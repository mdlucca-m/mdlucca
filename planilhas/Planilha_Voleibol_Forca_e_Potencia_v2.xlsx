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19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0.xml" ContentType="application/vnd.openxmlformats-officedocument.spreadsheetml.comments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4.xml.rels" ContentType="application/vnd.openxmlformats-package.relationships+xml"/>
  <Override PartName="/xl/drawings/_rels/drawing15.xml.rels" ContentType="application/vnd.openxmlformats-package.relationships+xml"/>
  <Override PartName="/xl/drawings/_rels/drawing16.xml.rels" ContentType="application/vnd.openxmlformats-package.relationships+xml"/>
  <Override PartName="/xl/drawings/_rels/drawing7.xml.rels" ContentType="application/vnd.openxmlformats-package.relationships+xml"/>
  <Override PartName="/xl/drawings/_rels/drawing17.xml.rels" ContentType="application/vnd.openxmlformats-package.relationships+xml"/>
  <Override PartName="/xl/drawings/_rels/drawing9.xml.rels" ContentType="application/vnd.openxmlformats-package.relationship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4.vml" ContentType="application/vnd.openxmlformats-officedocument.vmlDrawing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vmlDrawing5.vml" ContentType="application/vnd.openxmlformats-officedocument.vmlDrawing"/>
  <Override PartName="/xl/drawings/drawing15.xml" ContentType="application/vnd.openxmlformats-officedocument.drawing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omments8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Cadastro" sheetId="2" state="visible" r:id="rId4"/>
    <sheet name="Antropometria" sheetId="3" state="visible" r:id="rId5"/>
    <sheet name="Testes" sheetId="4" state="visible" r:id="rId6"/>
    <sheet name="Perfil F-V-P" sheetId="5" state="visible" r:id="rId7"/>
    <sheet name="Exercícios" sheetId="6" state="visible" r:id="rId8"/>
    <sheet name="Programa PF" sheetId="7" state="visible" r:id="rId9"/>
    <sheet name="Macrociclo" sheetId="8" state="visible" r:id="rId10"/>
    <sheet name="Mesociclo" sheetId="9" state="visible" r:id="rId11"/>
    <sheet name="Bloco Base" sheetId="10" state="visible" r:id="rId12"/>
    <sheet name="Microciclo" sheetId="11" state="visible" r:id="rId13"/>
    <sheet name="Prescrição" sheetId="12" state="visible" r:id="rId14"/>
    <sheet name="Prescrição Força" sheetId="13" state="visible" r:id="rId15"/>
    <sheet name="Força 1RM" sheetId="14" state="visible" r:id="rId16"/>
    <sheet name="Carga (PSE)" sheetId="15" state="visible" r:id="rId17"/>
    <sheet name="Saltos" sheetId="16" state="visible" r:id="rId18"/>
    <sheet name="Wellness" sheetId="17" state="visible" r:id="rId19"/>
    <sheet name="Presença" sheetId="18" state="visible" r:id="rId20"/>
    <sheet name="Atleta" sheetId="19" state="visible" r:id="rId21"/>
    <sheet name="Painel" sheetId="20" state="visible" r:id="rId22"/>
    <sheet name="KPIs Força" sheetId="21" state="visible" r:id="rId23"/>
    <sheet name="Evidências" sheetId="22" state="visible" r:id="rId24"/>
    <sheet name="Listas" sheetId="23" state="visible" r:id="rId25"/>
  </sheets>
  <definedNames>
    <definedName function="false" hidden="true" localSheetId="2" name="_xlnm._FilterDatabase" vbProcedure="false">Antropometria!$A$7:$AV$407</definedName>
    <definedName function="false" hidden="true" localSheetId="1" name="_xlnm._FilterDatabase" vbProcedure="false">Cadastro!$A$7:$BM$47</definedName>
    <definedName function="false" hidden="true" localSheetId="14" name="_xlnm._FilterDatabase" vbProcedure="false">'Carga (PSE)'!$A$7:$M$1007</definedName>
    <definedName function="false" hidden="true" localSheetId="21" name="_xlnm._FilterDatabase" vbProcedure="false">Evidências!$A$6:$H$75</definedName>
    <definedName function="false" hidden="true" localSheetId="5" name="_xlnm._FilterDatabase" vbProcedure="false">Exercícios!$A$6:$N$206</definedName>
    <definedName function="false" hidden="true" localSheetId="11" name="_xlnm._FilterDatabase" vbProcedure="false">Prescrição!$A$7:$T$507</definedName>
    <definedName function="false" hidden="true" localSheetId="12" name="_xlnm._FilterDatabase" vbProcedure="false">'Prescrição Força'!$A$7:$AB$407</definedName>
    <definedName function="false" hidden="true" localSheetId="6" name="_xlnm._FilterDatabase" vbProcedure="false">'Programa PF'!$A$6:$N$66</definedName>
    <definedName function="false" hidden="true" localSheetId="15" name="_xlnm._FilterDatabase" vbProcedure="false">Saltos!$A$7:$M$807</definedName>
    <definedName function="false" hidden="true" localSheetId="3" name="_xlnm._FilterDatabase" vbProcedure="false">Testes!$A$7:$AC$407</definedName>
    <definedName function="false" hidden="true" localSheetId="16" name="_xlnm._FilterDatabase" vbProcedure="false">Wellness!$A$7:$K$1007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Distância percorrida pelo centro de massa na fase propulsiva: da posição inicial do squat jump (≈90° de joelho) até a extensão completa.
Meça a diferença de altura do trocânter maior entre as duas posições. Faixa usual: 0,32 a 0,48 m.
hPO errado desloca todo o perfil — meça, não estime.</t>
        </r>
      </text>
    </comment>
    <comment ref="C7" authorId="0">
      <text>
        <r>
          <rPr>
            <sz val="10"/>
            <rFont val="Arial"/>
            <family val="2"/>
          </rPr>
          <t xml:space="preserve">Inclinação ÓTIMA teórica do perfil força-velocidade do atleta.
É calculada pelo método de Samozino/Jiménez-Reyes e sai pronta de softwares como o My Jump ou do relatório da sua plataforma de força.
Deixe em branco se não tiver: F0, V0, Pmax e a inclinação real continuam sendo calculados.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Data de Início do Macrociclo.
É a âncora do cálculo 'Semana nº' usado nas abas Prescrição, Carga (PSE), Wellness, Presença, Atleta e Painel.
Use preferencialmente uma segunda-feira.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Deve coincidir com a coluna 'Semana nº' da aba Mesociclo e com a numeração automática das abas de registro.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Digite uma data ou a fórmula  =HOJE()  (=TODAY() em inglês) para ver sempre os treinos de hoje em diante.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Vem preenchida com a semana atual do macrociclo. Digite outro número para analisar qualquer semana da temporada.</t>
        </r>
      </text>
    </comment>
  </commentList>
</comments>
</file>

<file path=xl/sharedStrings.xml><?xml version="1.0" encoding="utf-8"?>
<sst xmlns="http://schemas.openxmlformats.org/spreadsheetml/2006/main" count="9221" uniqueCount="1798">
  <si>
    <t xml:space="preserve">PLANILHA DE CONTROLE E PRESCRIÇÃO DE TREINAMENTO  •  VOLEIBOL</t>
  </si>
  <si>
    <t xml:space="preserve">Periodização Macrociclo → Mesociclo → Microciclo → Sessão  |  Controle de carga por PSE da sessão, ACWR, Monotonia/Strain e Wellness</t>
  </si>
  <si>
    <t xml:space="preserve">COMO USAR — PASSO A PASSO</t>
  </si>
  <si>
    <t xml:space="preserve">1. Listas</t>
  </si>
  <si>
    <t xml:space="preserve">Opções de todos os menus suspensos (posições, escolaridade, renda, tipos de sessão, superfícies…).</t>
  </si>
  <si>
    <t xml:space="preserve">2. Cadastro</t>
  </si>
  <si>
    <t xml:space="preserve">Ficha completa do atleta: identificação, contato, SOCIOECONÔMICO, histórico esportivo e saúde.</t>
  </si>
  <si>
    <t xml:space="preserve">3. Antropometria</t>
  </si>
  <si>
    <t xml:space="preserve">Avaliações longitudinais no perfil ISAK: dobras, perímetros, diâmetros, % de gordura e somatotipo.</t>
  </si>
  <si>
    <t xml:space="preserve">4. Testes</t>
  </si>
  <si>
    <t xml:space="preserve">Bateria física: alcances e impulsões, SJ, CMJ, drop jump com RSI, sprint, agilidade e IMTP.</t>
  </si>
  <si>
    <t xml:space="preserve">5. Perfil F-V-P</t>
  </si>
  <si>
    <t xml:space="preserve">Perfil força-velocidade-potência pelo salto com carga: F0, V0, Pmax e desequilíbrio F-V.</t>
  </si>
  <si>
    <t xml:space="preserve">6. Exercícios</t>
  </si>
  <si>
    <t xml:space="preserve">Biblioteca com 89 exercícios, incluindo todos os do seu documento de Preparação Física.</t>
  </si>
  <si>
    <t xml:space="preserve">7. Programa PF</t>
  </si>
  <si>
    <t xml:space="preserve">As 8 séries do seu documento 'Preparação Física 2026/2027', na íntegra.</t>
  </si>
  <si>
    <t xml:space="preserve">8. Macrociclo</t>
  </si>
  <si>
    <t xml:space="preserve">A temporada dividida em mesociclos, com dinâmica de volume e intensidade.</t>
  </si>
  <si>
    <t xml:space="preserve">9. Mesociclo</t>
  </si>
  <si>
    <t xml:space="preserve">Microciclos do mesociclo escolhido, com carga prevista × realizada.</t>
  </si>
  <si>
    <t xml:space="preserve">10. Bloco Base</t>
  </si>
  <si>
    <t xml:space="preserve">PERIODIZAÇÃO EM BLOCOS: as 8 semanas de base (força máxima, LPO, agachamento e pliometria).</t>
  </si>
  <si>
    <t xml:space="preserve">11. Microciclo</t>
  </si>
  <si>
    <t xml:space="preserve">A semana de quadra: sessões por dia e distribuição de conteúdos.</t>
  </si>
  <si>
    <t xml:space="preserve">12. Prescrição</t>
  </si>
  <si>
    <t xml:space="preserve">Prescrição do treino técnico-tático, por equipe ou por atleta.</t>
  </si>
  <si>
    <t xml:space="preserve">13. Prescrição Força</t>
  </si>
  <si>
    <t xml:space="preserve">Prescrição e controle do treino de força: %1RM, carga em kg, velocidade-alvo e tonelagem.</t>
  </si>
  <si>
    <t xml:space="preserve">14. Força 1RM</t>
  </si>
  <si>
    <t xml:space="preserve">Testes de 1RM diretos e estimados; mantém o 1RM ATUAL de cada atleta em cada exercício.</t>
  </si>
  <si>
    <t xml:space="preserve">15. Carga (PSE)</t>
  </si>
  <si>
    <t xml:space="preserve">Carga interna: duração × PSE, carga aguda, crônica, ACWR e zona de risco.</t>
  </si>
  <si>
    <t xml:space="preserve">16. Saltos</t>
  </si>
  <si>
    <t xml:space="preserve">Carga de saltos: contatos pliométricos, saltos de quadra e de jogo, com alerta de variação.</t>
  </si>
  <si>
    <t xml:space="preserve">17. Wellness</t>
  </si>
  <si>
    <t xml:space="preserve">Questionário diário e Índice de Hooper.</t>
  </si>
  <si>
    <t xml:space="preserve">18. Presença</t>
  </si>
  <si>
    <t xml:space="preserve">Chamada por sessão e percentual de assiduidade.</t>
  </si>
  <si>
    <t xml:space="preserve">19. Atleta</t>
  </si>
  <si>
    <t xml:space="preserve">ÁREA DO ATLETA: perfil, cargas, monotonia e o treino prescrito para ele.</t>
  </si>
  <si>
    <t xml:space="preserve">20. Painel</t>
  </si>
  <si>
    <t xml:space="preserve">PAINEL da equipe: indicadores e gráficos de carga, wellness e presença.</t>
  </si>
  <si>
    <t xml:space="preserve">21. KPIs Força</t>
  </si>
  <si>
    <t xml:space="preserve">PAINEL DE FORÇA: tonelagem, intensidade relativa, contatos, 1RM relativo e evolução do CMJ.</t>
  </si>
  <si>
    <t xml:space="preserve">22. Evidências</t>
  </si>
  <si>
    <t xml:space="preserve">60 referências científicas que sustentam cada escolha metodológica da planilha.</t>
  </si>
  <si>
    <t xml:space="preserve">LEGENDA DE CORES</t>
  </si>
  <si>
    <t xml:space="preserve">Célula de PREENCHIMENTO (azul sobre amarelo)</t>
  </si>
  <si>
    <t xml:space="preserve">Célula CALCULADA — não digite por cima</t>
  </si>
  <si>
    <t xml:space="preserve">Cabeçalho de tabela</t>
  </si>
  <si>
    <t xml:space="preserve">Alerta / risco elevado</t>
  </si>
  <si>
    <t xml:space="preserve">Atenção / monitorar</t>
  </si>
  <si>
    <t xml:space="preserve">Adequado / dentro da meta</t>
  </si>
  <si>
    <t xml:space="preserve">MÉTRICAS DE CONTROLE UTILIZADAS — DEFINIÇÕES E REFERÊNCIAS</t>
  </si>
  <si>
    <t xml:space="preserve">Carga Interna (UA)</t>
  </si>
  <si>
    <t xml:space="preserve">Duração da sessão (min) × PSE da sessão (escala 0–10, coletada ~30 min após o treino). Método da PSE da sessão de Foster et al. (2001), J Strength Cond Res.</t>
  </si>
  <si>
    <t xml:space="preserve">Carga Aguda (7 d)</t>
  </si>
  <si>
    <t xml:space="preserve">Soma da carga em UA dos últimos 7 dias do atleta (inclui o dia atual).</t>
  </si>
  <si>
    <t xml:space="preserve">Carga Crônica (28 d)</t>
  </si>
  <si>
    <t xml:space="preserve">Soma da carga dos últimos 28 dias ÷ 4 (média semanal), para ficar na mesma escala da aguda.</t>
  </si>
  <si>
    <t xml:space="preserve">ACWR</t>
  </si>
  <si>
    <t xml:space="preserve">Carga Aguda ÷ Carga Crônica. Faixas usadas na planilha: &lt;0,80 subcarga | 0,80–1,30 zona ideal | 1,31–1,50 atenção | &gt;1,50 risco elevado. Referência: Gabbett (2016), Br J Sports Med. Interpretar sempre junto do contexto e da clínica do atleta.</t>
  </si>
  <si>
    <t xml:space="preserve">Monotonia</t>
  </si>
  <si>
    <t xml:space="preserve">Média das cargas diárias da semana ÷ desvio-padrão dessas mesmas cargas (7 dias, dias de folga contam como zero). &gt;2,0 indica semana monótona.</t>
  </si>
  <si>
    <t xml:space="preserve">Strain</t>
  </si>
  <si>
    <t xml:space="preserve">Carga semanal total × Monotonia. Picos de strain associam-se a maior risco de lesão/doença (Foster, 1998).</t>
  </si>
  <si>
    <t xml:space="preserve">Índice de Hooper</t>
  </si>
  <si>
    <t xml:space="preserve">Soma de 4 itens (qualidade do sono, estresse, fadiga e dor muscular), cada um de 1 = muito bom/ausente a 7 = muito ruim/máxima. Varia de 4 a 28; QUANTO MAIOR, PIOR. Referência: Hooper &amp; Mackinnon (1995), Sports Med.</t>
  </si>
  <si>
    <t xml:space="preserve">Volume × Intensidade</t>
  </si>
  <si>
    <t xml:space="preserve">No Macrociclo, valores em % representam a proporção relativa planejada para cada mesociclo (ex.: 85% = volume alto).</t>
  </si>
  <si>
    <t xml:space="preserve">Tonelagem</t>
  </si>
  <si>
    <t xml:space="preserve">Séries × repetições × carga usada, em kg. É o volume-carga do treino de força; some por sessão, semana e bloco.</t>
  </si>
  <si>
    <t xml:space="preserve">Intensidade média relativa</t>
  </si>
  <si>
    <t xml:space="preserve">Média dos %1RM prescritos, ponderada pelo número de repetições de cada exercício. Mostra o quanto a semana foi 'pesada' de verdade.</t>
  </si>
  <si>
    <t xml:space="preserve">Perda de velocidade</t>
  </si>
  <si>
    <t xml:space="preserve">Queda percentual da velocidade da barra dentro da série. Limiares ≤ 25% favorecem força; acima de 20–25% favorecem hipertrofia (Hickmott et al., 2022).</t>
  </si>
  <si>
    <t xml:space="preserve">F0, V0 e Pmax</t>
  </si>
  <si>
    <t xml:space="preserve">Força teórica máxima, velocidade teórica máxima e potência máxima estimadas por regressão linear a partir de saltos com cargas progressivas (Morin &amp; Samozino, 2016).</t>
  </si>
  <si>
    <t xml:space="preserve">FVimb</t>
  </si>
  <si>
    <t xml:space="preserve">Razão entre a inclinação real do perfil força-velocidade e a inclinação ótima teórica. Abaixo de 90% indica déficit de força; acima de 110%, déficit de velocidade.</t>
  </si>
  <si>
    <t xml:space="preserve">RSI</t>
  </si>
  <si>
    <t xml:space="preserve">Reactive Strength Index: altura do drop jump ÷ tempo de contato com o solo. Mede a qualidade do ciclo alongamento-encurtamento.</t>
  </si>
  <si>
    <t xml:space="preserve">Contatos pliométricos</t>
  </si>
  <si>
    <t xml:space="preserve">Número de aterrissagens por sessão e por semana. É a dose que a meta-análise de Sáez de Villarreal et al. (2009) mostrou determinar o ganho de impulsão.</t>
  </si>
  <si>
    <t xml:space="preserve">Somatotipo</t>
  </si>
  <si>
    <t xml:space="preserve">Endomorfia, mesomorfia e ectomorfia pelo método Heath-Carter, a partir de dobras, perímetros, diâmetros, estatura e massa.</t>
  </si>
  <si>
    <t xml:space="preserve">ATENÇÃO — DADOS DE EXEMPLO: a planilha vem preenchida com 12 atletas fictícios, um macrociclo modelo e registros de carga/wellness/presença apenas para demonstrar os cálculos e os gráficos. Apague esses dados (linhas marcadas como EXEMPLO) antes de usar com a sua equipe. As fórmulas permanecem intactas.
AVISO: esta planilha é uma ferramenta de organização do treino. Não substitui avaliação médica nem fisioterápica; os indicadores de risco são apoio à decisão do técnico/preparador físico.</t>
  </si>
  <si>
    <t xml:space="preserve">CADASTRO DE ATLETAS — FICHA COMPLETA</t>
  </si>
  <si>
    <t xml:space="preserve">Uma linha por atleta. Blocos: Identificação · Antropometria (puxada da aba Antropometria) · Contato · Socioeconômico · Histórico Esportivo · Saúde · Situação.</t>
  </si>
  <si>
    <t xml:space="preserve">LGPD — esta aba armazena dados pessoais e de saúde (dados sensíveis). Colete somente o necessário, com consentimento por escrito do atleta (ou do responsável, se menor), e restrinja o acesso ao arquivo. Por decisão do usuário, NENHUM dado financeiro do atleta é registrado aqui.</t>
  </si>
  <si>
    <t xml:space="preserve">IDENTIFICAÇÃO</t>
  </si>
  <si>
    <t xml:space="preserve">ANTROPOMETRIA (puxada da aba Antropometria)</t>
  </si>
  <si>
    <t xml:space="preserve">CONTATO</t>
  </si>
  <si>
    <t xml:space="preserve">SOCIOECONÔMICO</t>
  </si>
  <si>
    <t xml:space="preserve">HISTÓRICO ESPORTIVO</t>
  </si>
  <si>
    <t xml:space="preserve">SAÚDE</t>
  </si>
  <si>
    <t xml:space="preserve">SITUAÇÃO</t>
  </si>
  <si>
    <t xml:space="preserve">ID</t>
  </si>
  <si>
    <t xml:space="preserve">Nome Completo</t>
  </si>
  <si>
    <t xml:space="preserve">Nome na Equipe</t>
  </si>
  <si>
    <t xml:space="preserve">Data de Nasc.</t>
  </si>
  <si>
    <t xml:space="preserve">Idade</t>
  </si>
  <si>
    <t xml:space="preserve">Sexo</t>
  </si>
  <si>
    <t xml:space="preserve">Nacionalidade</t>
  </si>
  <si>
    <t xml:space="preserve">Naturalidade (Cidade/UF)</t>
  </si>
  <si>
    <t xml:space="preserve">Documento (RG/CPF)</t>
  </si>
  <si>
    <t xml:space="preserve">Nº Camisa</t>
  </si>
  <si>
    <t xml:space="preserve">Categoria</t>
  </si>
  <si>
    <t xml:space="preserve">Posição</t>
  </si>
  <si>
    <t xml:space="preserve">Dominância de Mão</t>
  </si>
  <si>
    <t xml:space="preserve">Perna de Impulsão</t>
  </si>
  <si>
    <t xml:space="preserve">Estatura (cm)</t>
  </si>
  <si>
    <t xml:space="preserve">Massa (kg)</t>
  </si>
  <si>
    <t xml:space="preserve">IMC</t>
  </si>
  <si>
    <t xml:space="preserve">Telefone</t>
  </si>
  <si>
    <t xml:space="preserve">E-mail</t>
  </si>
  <si>
    <t xml:space="preserve">Endereço</t>
  </si>
  <si>
    <t xml:space="preserve">Cidade / UF</t>
  </si>
  <si>
    <t xml:space="preserve">CEP</t>
  </si>
  <si>
    <t xml:space="preserve">Contato de Emergência</t>
  </si>
  <si>
    <t xml:space="preserve">Telefone de Emergência</t>
  </si>
  <si>
    <t xml:space="preserve">Parentesco</t>
  </si>
  <si>
    <t xml:space="preserve">Escolaridade</t>
  </si>
  <si>
    <t xml:space="preserve">Situação de Estudo</t>
  </si>
  <si>
    <t xml:space="preserve">Turno de Estudo</t>
  </si>
  <si>
    <t xml:space="preserve">Instituição de Ensino</t>
  </si>
  <si>
    <t xml:space="preserve">Trabalha?</t>
  </si>
  <si>
    <t xml:space="preserve">Horas de Trabalho / Semana</t>
  </si>
  <si>
    <t xml:space="preserve">Ocupação</t>
  </si>
  <si>
    <t xml:space="preserve">Nº de Pessoas no Domicílio</t>
  </si>
  <si>
    <t xml:space="preserve">Classe Econômica (Critério Brasil)</t>
  </si>
  <si>
    <t xml:space="preserve">Tipo de Moradia</t>
  </si>
  <si>
    <t xml:space="preserve">Reside com</t>
  </si>
  <si>
    <t xml:space="preserve">Transporte para o Treino</t>
  </si>
  <si>
    <t xml:space="preserve">Tempo de Deslocamento (min)</t>
  </si>
  <si>
    <t xml:space="preserve">Recebe Bolsa / Auxílio?</t>
  </si>
  <si>
    <t xml:space="preserve">Benefício Social</t>
  </si>
  <si>
    <t xml:space="preserve">Plano de Saúde</t>
  </si>
  <si>
    <t xml:space="preserve">Acesso à Internet em Casa</t>
  </si>
  <si>
    <t xml:space="preserve">Refeições por Dia</t>
  </si>
  <si>
    <t xml:space="preserve">Acompanhamento Nutricional</t>
  </si>
  <si>
    <t xml:space="preserve">Idade de Início no Vôlei</t>
  </si>
  <si>
    <t xml:space="preserve">Anos de Prática</t>
  </si>
  <si>
    <t xml:space="preserve">Anos de Treino de Força</t>
  </si>
  <si>
    <t xml:space="preserve">Nível Competitivo Máximo</t>
  </si>
  <si>
    <t xml:space="preserve">Clubes Anteriores</t>
  </si>
  <si>
    <t xml:space="preserve">Seleções / Convocações</t>
  </si>
  <si>
    <t xml:space="preserve">Tipo Sanguíneo</t>
  </si>
  <si>
    <t xml:space="preserve">Alergias</t>
  </si>
  <si>
    <t xml:space="preserve">Medicamentos em Uso</t>
  </si>
  <si>
    <t xml:space="preserve">Cirurgias Prévias</t>
  </si>
  <si>
    <t xml:space="preserve">Lesões Prévias (região)</t>
  </si>
  <si>
    <t xml:space="preserve">Nº de Lesões (12 meses)</t>
  </si>
  <si>
    <t xml:space="preserve">Queixa / Dor Atual</t>
  </si>
  <si>
    <t xml:space="preserve">Data do Atestado Médico</t>
  </si>
  <si>
    <t xml:space="preserve">Validade do Atestado</t>
  </si>
  <si>
    <t xml:space="preserve">Situação do Atestado</t>
  </si>
  <si>
    <t xml:space="preserve">PAR-Q Respondido?</t>
  </si>
  <si>
    <t xml:space="preserve">Usa Óculos / Lentes?</t>
  </si>
  <si>
    <t xml:space="preserve">Data de Entrada na Equipe</t>
  </si>
  <si>
    <t xml:space="preserve">Status</t>
  </si>
  <si>
    <t xml:space="preserve">Observações</t>
  </si>
  <si>
    <t xml:space="preserve">últ. aval.</t>
  </si>
  <si>
    <t xml:space="preserve">Rafael Monteiro Alves</t>
  </si>
  <si>
    <t xml:space="preserve">Rafa</t>
  </si>
  <si>
    <t xml:space="preserve">Masculino</t>
  </si>
  <si>
    <t xml:space="preserve">Brasileira</t>
  </si>
  <si>
    <t xml:space="preserve">—</t>
  </si>
  <si>
    <t xml:space="preserve">Adulto</t>
  </si>
  <si>
    <t xml:space="preserve">Levantador</t>
  </si>
  <si>
    <t xml:space="preserve">Destro</t>
  </si>
  <si>
    <t xml:space="preserve">Esquerda</t>
  </si>
  <si>
    <t xml:space="preserve">(00) 90000-0001</t>
  </si>
  <si>
    <t xml:space="preserve">atleta1@elase.com.br</t>
  </si>
  <si>
    <t xml:space="preserve">Responsável / familiar</t>
  </si>
  <si>
    <t xml:space="preserve">(00) 90000-1001</t>
  </si>
  <si>
    <t xml:space="preserve">Superior em andamento</t>
  </si>
  <si>
    <t xml:space="preserve">Cursando</t>
  </si>
  <si>
    <t xml:space="preserve">Noturno</t>
  </si>
  <si>
    <t xml:space="preserve">Não</t>
  </si>
  <si>
    <t xml:space="preserve">Atleta profissional</t>
  </si>
  <si>
    <t xml:space="preserve">B1</t>
  </si>
  <si>
    <t xml:space="preserve">Própria</t>
  </si>
  <si>
    <t xml:space="preserve">Família</t>
  </si>
  <si>
    <t xml:space="preserve">Carro próprio</t>
  </si>
  <si>
    <t xml:space="preserve">Sim</t>
  </si>
  <si>
    <t xml:space="preserve">Superliga A</t>
  </si>
  <si>
    <t xml:space="preserve">Seleção estadual</t>
  </si>
  <si>
    <t xml:space="preserve">O+</t>
  </si>
  <si>
    <t xml:space="preserve">Ativo</t>
  </si>
  <si>
    <t xml:space="preserve">EXEMPLO — substituir</t>
  </si>
  <si>
    <t xml:space="preserve">Diego Salgado Ferraz</t>
  </si>
  <si>
    <t xml:space="preserve">Diego</t>
  </si>
  <si>
    <t xml:space="preserve">Oposto</t>
  </si>
  <si>
    <t xml:space="preserve">Canhoto</t>
  </si>
  <si>
    <t xml:space="preserve">(00) 90000-0002</t>
  </si>
  <si>
    <t xml:space="preserve">atleta2@elase.com.br</t>
  </si>
  <si>
    <t xml:space="preserve">(00) 90000-1002</t>
  </si>
  <si>
    <t xml:space="preserve">Superior completo</t>
  </si>
  <si>
    <t xml:space="preserve">Concluído</t>
  </si>
  <si>
    <t xml:space="preserve">Alugada</t>
  </si>
  <si>
    <t xml:space="preserve">Cônjuge</t>
  </si>
  <si>
    <t xml:space="preserve">Superliga B</t>
  </si>
  <si>
    <t xml:space="preserve">Seleção nacional Sub-21</t>
  </si>
  <si>
    <t xml:space="preserve">Entorse de tornozelo D</t>
  </si>
  <si>
    <t xml:space="preserve">Lucas Prado Bittencourt</t>
  </si>
  <si>
    <t xml:space="preserve">Lucas</t>
  </si>
  <si>
    <t xml:space="preserve">Ponteiro (Ponta)</t>
  </si>
  <si>
    <t xml:space="preserve">(00) 90000-0003</t>
  </si>
  <si>
    <t xml:space="preserve">atleta3@elase.com.br</t>
  </si>
  <si>
    <t xml:space="preserve">(00) 90000-1003</t>
  </si>
  <si>
    <t xml:space="preserve">Matutino</t>
  </si>
  <si>
    <t xml:space="preserve">B2</t>
  </si>
  <si>
    <t xml:space="preserve">Transporte do clube</t>
  </si>
  <si>
    <t xml:space="preserve">Bruno Rezende Camargo</t>
  </si>
  <si>
    <t xml:space="preserve">Bruninho</t>
  </si>
  <si>
    <t xml:space="preserve">(00) 90000-0004</t>
  </si>
  <si>
    <t xml:space="preserve">atleta4@elase.com.br</t>
  </si>
  <si>
    <t xml:space="preserve">(00) 90000-1004</t>
  </si>
  <si>
    <t xml:space="preserve">Estagiário</t>
  </si>
  <si>
    <t xml:space="preserve">C1</t>
  </si>
  <si>
    <t xml:space="preserve">Transporte público</t>
  </si>
  <si>
    <t xml:space="preserve">Tendinopatia patelar</t>
  </si>
  <si>
    <t xml:space="preserve">Dor anterior no joelho D (leve)</t>
  </si>
  <si>
    <t xml:space="preserve">Lesionado</t>
  </si>
  <si>
    <t xml:space="preserve">Thiago Nogueira Vasques</t>
  </si>
  <si>
    <t xml:space="preserve">Thiago</t>
  </si>
  <si>
    <t xml:space="preserve">Central</t>
  </si>
  <si>
    <t xml:space="preserve">Direita</t>
  </si>
  <si>
    <t xml:space="preserve">(00) 90000-0005</t>
  </si>
  <si>
    <t xml:space="preserve">atleta5@elase.com.br</t>
  </si>
  <si>
    <t xml:space="preserve">(00) 90000-1005</t>
  </si>
  <si>
    <t xml:space="preserve">A</t>
  </si>
  <si>
    <t xml:space="preserve">Seleção nacional adulta</t>
  </si>
  <si>
    <t xml:space="preserve">Lombalgia</t>
  </si>
  <si>
    <t xml:space="preserve">Matheus Caldeira Lins</t>
  </si>
  <si>
    <t xml:space="preserve">Matheus</t>
  </si>
  <si>
    <t xml:space="preserve">(00) 90000-0006</t>
  </si>
  <si>
    <t xml:space="preserve">atleta6@elase.com.br</t>
  </si>
  <si>
    <t xml:space="preserve">(00) 90000-1006</t>
  </si>
  <si>
    <t xml:space="preserve">Cedida</t>
  </si>
  <si>
    <t xml:space="preserve">Alojamento do clube</t>
  </si>
  <si>
    <t xml:space="preserve">A pé</t>
  </si>
  <si>
    <t xml:space="preserve">Felipe Andrade Rocha</t>
  </si>
  <si>
    <t xml:space="preserve">Felipão</t>
  </si>
  <si>
    <t xml:space="preserve">Líbero</t>
  </si>
  <si>
    <t xml:space="preserve">(00) 90000-0007</t>
  </si>
  <si>
    <t xml:space="preserve">atleta7@elase.com.br</t>
  </si>
  <si>
    <t xml:space="preserve">(00) 90000-1007</t>
  </si>
  <si>
    <t xml:space="preserve">C2</t>
  </si>
  <si>
    <t xml:space="preserve">Seleção estadual Sub-19</t>
  </si>
  <si>
    <t xml:space="preserve">Entorse de tornozelo E</t>
  </si>
  <si>
    <t xml:space="preserve">Gustavo Peixoto Maia</t>
  </si>
  <si>
    <t xml:space="preserve">Gu</t>
  </si>
  <si>
    <t xml:space="preserve">(00) 90000-0008</t>
  </si>
  <si>
    <t xml:space="preserve">atleta8@elase.com.br</t>
  </si>
  <si>
    <t xml:space="preserve">(00) 90000-1008</t>
  </si>
  <si>
    <t xml:space="preserve">Tendinopatia de ombro D</t>
  </si>
  <si>
    <t xml:space="preserve">Vinícius Barreto Duarte</t>
  </si>
  <si>
    <t xml:space="preserve">Vini</t>
  </si>
  <si>
    <t xml:space="preserve">(00) 90000-0009</t>
  </si>
  <si>
    <t xml:space="preserve">atleta9@elase.com.br</t>
  </si>
  <si>
    <t xml:space="preserve">(00) 90000-1009</t>
  </si>
  <si>
    <t xml:space="preserve">André Luiz Sampaio</t>
  </si>
  <si>
    <t xml:space="preserve">Dedé</t>
  </si>
  <si>
    <t xml:space="preserve">(00) 90000-0010</t>
  </si>
  <si>
    <t xml:space="preserve">atleta10@elase.com.br</t>
  </si>
  <si>
    <t xml:space="preserve">(00) 90000-1010</t>
  </si>
  <si>
    <t xml:space="preserve">Cirurgia de ombro D (2021)</t>
  </si>
  <si>
    <t xml:space="preserve">Pedro Henrique Coutinho</t>
  </si>
  <si>
    <t xml:space="preserve">PH</t>
  </si>
  <si>
    <t xml:space="preserve">(00) 90000-0011</t>
  </si>
  <si>
    <t xml:space="preserve">atleta11@elase.com.br</t>
  </si>
  <si>
    <t xml:space="preserve">(00) 90000-1011</t>
  </si>
  <si>
    <t xml:space="preserve">Ensino Médio completo</t>
  </si>
  <si>
    <t xml:space="preserve">Atleta em formação</t>
  </si>
  <si>
    <t xml:space="preserve">D-E</t>
  </si>
  <si>
    <t xml:space="preserve">Seleção estadual Sub-21</t>
  </si>
  <si>
    <t xml:space="preserve">Caio Fernandes Bastos</t>
  </si>
  <si>
    <t xml:space="preserve">Caio</t>
  </si>
  <si>
    <t xml:space="preserve">(00) 90000-0012</t>
  </si>
  <si>
    <t xml:space="preserve">atleta12@elase.com.br</t>
  </si>
  <si>
    <t xml:space="preserve">(00) 90000-1012</t>
  </si>
  <si>
    <t xml:space="preserve">Auxiliar administrativo</t>
  </si>
  <si>
    <t xml:space="preserve">Entorse de dedo</t>
  </si>
  <si>
    <t xml:space="preserve">ANTROPOMETRIA E COMPOSIÇÃO CORPORAL</t>
  </si>
  <si>
    <t xml:space="preserve">Avaliações longitudinais. Preencha as medidas em amarelo; densidade, % de gordura, massa magra, índices e somatotipo são calculados. Sexo e data de nascimento são lidos do Cadastro.</t>
  </si>
  <si>
    <t xml:space="preserve">Protocolo: perfil restrito ISAK. Dobras em mm, perímetros e diâmetros em cm.  •  % de gordura pela equação de 7 dobras de Jackson &amp; Pollock (1978 masculino / 1980 feminino) com conversão de Siri (1961) — a planilha escolhe a equação pelo sexo cadastrado.  •  Somatotipo pelo método Heath-Carter.  •  Σ 7 Dobras JP = peitoral + axilar média + tríceps + subescapular + abdominal + suprailíaca + coxa medial.</t>
  </si>
  <si>
    <t xml:space="preserve">IDENTIFICAÇÃO E MEDIDAS BÁSICAS</t>
  </si>
  <si>
    <t xml:space="preserve">DOBRAS CUTÂNEAS (mm)</t>
  </si>
  <si>
    <t xml:space="preserve">PERÍMETROS (cm)</t>
  </si>
  <si>
    <t xml:space="preserve">DIÂMETROS ÓSSEOS (cm)</t>
  </si>
  <si>
    <t xml:space="preserve">CALCULADOS</t>
  </si>
  <si>
    <t xml:space="preserve">Data</t>
  </si>
  <si>
    <t xml:space="preserve">Atleta</t>
  </si>
  <si>
    <t xml:space="preserve">Momento</t>
  </si>
  <si>
    <t xml:space="preserve">Avaliador</t>
  </si>
  <si>
    <t xml:space="preserve">Estatura Sentado (cm)</t>
  </si>
  <si>
    <t xml:space="preserve">Envergadura (cm)</t>
  </si>
  <si>
    <t xml:space="preserve">Tríceps</t>
  </si>
  <si>
    <t xml:space="preserve">Subescapular</t>
  </si>
  <si>
    <t xml:space="preserve">Bíceps</t>
  </si>
  <si>
    <t xml:space="preserve">Peitoral</t>
  </si>
  <si>
    <t xml:space="preserve">Axilar Média</t>
  </si>
  <si>
    <t xml:space="preserve">Suprailíaca</t>
  </si>
  <si>
    <t xml:space="preserve">Supraespinhal</t>
  </si>
  <si>
    <t xml:space="preserve">Abdominal</t>
  </si>
  <si>
    <t xml:space="preserve">Coxa Medial</t>
  </si>
  <si>
    <t xml:space="preserve">Perna Medial</t>
  </si>
  <si>
    <t xml:space="preserve">Braço Relaxado</t>
  </si>
  <si>
    <t xml:space="preserve">Braço Contraído</t>
  </si>
  <si>
    <t xml:space="preserve">Antebraço</t>
  </si>
  <si>
    <t xml:space="preserve">Tórax</t>
  </si>
  <si>
    <t xml:space="preserve">Cintura</t>
  </si>
  <si>
    <t xml:space="preserve">Abdômen</t>
  </si>
  <si>
    <t xml:space="preserve">Quadril</t>
  </si>
  <si>
    <t xml:space="preserve">Coxa (1/3)</t>
  </si>
  <si>
    <t xml:space="preserve">Perna</t>
  </si>
  <si>
    <t xml:space="preserve">Punho</t>
  </si>
  <si>
    <t xml:space="preserve">Biacromial</t>
  </si>
  <si>
    <t xml:space="preserve">Biileocristal</t>
  </si>
  <si>
    <t xml:space="preserve">Úmero</t>
  </si>
  <si>
    <t xml:space="preserve">Fêmur</t>
  </si>
  <si>
    <t xml:space="preserve">Idade na Avaliação</t>
  </si>
  <si>
    <t xml:space="preserve">Σ 4 Dobras (mm)</t>
  </si>
  <si>
    <t xml:space="preserve">Σ 7 Dobras JP (mm)</t>
  </si>
  <si>
    <t xml:space="preserve">Σ 8 Dobras (mm)</t>
  </si>
  <si>
    <t xml:space="preserve">Densidade Corporal</t>
  </si>
  <si>
    <t xml:space="preserve">% de Gordura</t>
  </si>
  <si>
    <t xml:space="preserve">Massa Gorda (kg)</t>
  </si>
  <si>
    <t xml:space="preserve">Massa Magra (kg)</t>
  </si>
  <si>
    <t xml:space="preserve">Índice Córmico</t>
  </si>
  <si>
    <t xml:space="preserve">Cintura / Estatura</t>
  </si>
  <si>
    <t xml:space="preserve">AMB (cm²)</t>
  </si>
  <si>
    <t xml:space="preserve">Endomorfia</t>
  </si>
  <si>
    <t xml:space="preserve">Mesomorfia</t>
  </si>
  <si>
    <t xml:space="preserve">Ectomorfia</t>
  </si>
  <si>
    <t xml:space="preserve">Somatotipo Dominante</t>
  </si>
  <si>
    <t xml:space="preserve">Pré-temporada</t>
  </si>
  <si>
    <t xml:space="preserve">Comissão técnica</t>
  </si>
  <si>
    <t xml:space="preserve">Meio da Temporada</t>
  </si>
  <si>
    <t xml:space="preserve">AVALIAÇÕES E TESTES FÍSICOS</t>
  </si>
  <si>
    <t xml:space="preserve">Bateria longitudinal. Impulsões, RSI, índice elástico e potência de pico são calculados automaticamente. Registre a melhor de 3 tentativas nos testes de salto, sprint e arremesso.</t>
  </si>
  <si>
    <t xml:space="preserve">RSI (Reactive Strength Index) = altura do drop jump (m) ÷ tempo de contato (s).  •  Índice Elástico = (CMJ − Squat Jump) ÷ Squat Jump — quanto o atleta aproveita do ciclo alongamento-encurtamento.  •  Potência de Pico pela equação de Sayers et al. (1999): P = 60,7 × CMJ(cm) + 45,3 × massa(kg) − 2055.</t>
  </si>
  <si>
    <t xml:space="preserve">ALCANCES E IMPULSÕES (específico do voleibol)</t>
  </si>
  <si>
    <t xml:space="preserve">SALTOS E POTÊNCIA</t>
  </si>
  <si>
    <t xml:space="preserve">VELOCIDADE, AGILIDADE E OUTROS</t>
  </si>
  <si>
    <t xml:space="preserve">FORÇA ISOMÉTRICA</t>
  </si>
  <si>
    <t xml:space="preserve">Alcance em Pé (cm)</t>
  </si>
  <si>
    <t xml:space="preserve">Alcance de Ataque (cm)</t>
  </si>
  <si>
    <t xml:space="preserve">Alcance de Bloqueio (cm)</t>
  </si>
  <si>
    <t xml:space="preserve">Impulsão de Ataque (cm)</t>
  </si>
  <si>
    <t xml:space="preserve">Impulsão de Bloqueio (cm)</t>
  </si>
  <si>
    <t xml:space="preserve">Squat Jump (cm)</t>
  </si>
  <si>
    <t xml:space="preserve">CMJ (cm)</t>
  </si>
  <si>
    <t xml:space="preserve">CMJ c/ Braços (cm)</t>
  </si>
  <si>
    <t xml:space="preserve">Drop Jump 40 cm (cm)</t>
  </si>
  <si>
    <t xml:space="preserve">Tempo de Contato DJ (s)</t>
  </si>
  <si>
    <t xml:space="preserve">RSI (m/s)</t>
  </si>
  <si>
    <t xml:space="preserve">Índice Elástico (%)</t>
  </si>
  <si>
    <t xml:space="preserve">Salto c/ Aproximação (cm)</t>
  </si>
  <si>
    <t xml:space="preserve">Potência de Pico — Sayers (W)</t>
  </si>
  <si>
    <t xml:space="preserve">Sprint 5 m (s)</t>
  </si>
  <si>
    <t xml:space="preserve">Sprint 10 m (s)</t>
  </si>
  <si>
    <t xml:space="preserve">T-Test (s)</t>
  </si>
  <si>
    <t xml:space="preserve">Sheppard Agility (s)</t>
  </si>
  <si>
    <t xml:space="preserve">Arremesso Medicine Ball (m)</t>
  </si>
  <si>
    <t xml:space="preserve">Sentar-e-Alcançar (cm)</t>
  </si>
  <si>
    <t xml:space="preserve">Yo-Yo IR1 (m)</t>
  </si>
  <si>
    <t xml:space="preserve">IMTP Pico de Força (N)</t>
  </si>
  <si>
    <t xml:space="preserve">Força Relativa IMTP (N/kg)</t>
  </si>
  <si>
    <t xml:space="preserve">Preparação física</t>
  </si>
  <si>
    <t xml:space="preserve">EXEMPLO</t>
  </si>
  <si>
    <t xml:space="preserve">PERFIL FORÇA–VELOCIDADE–POTÊNCIA (SALTO COM CARGA)</t>
  </si>
  <si>
    <t xml:space="preserve">Protocolo: squat jump com 0, 20, 40, 60 e 80 kg (ou % da massa corporal). A planilha calcula F0, V0, Pmax e a inclinação do perfil por regressão linear, pelo método de Samozino/Morin.</t>
  </si>
  <si>
    <t xml:space="preserve">PARÂMETROS DO TESTE</t>
  </si>
  <si>
    <t xml:space="preserve">Atleta:</t>
  </si>
  <si>
    <t xml:space="preserve">Massa corporal (kg):</t>
  </si>
  <si>
    <t xml:space="preserve">Distância de push-off hPO (m):</t>
  </si>
  <si>
    <t xml:space="preserve">SFvopt (N·s/m/kg):</t>
  </si>
  <si>
    <t xml:space="preserve">SALTOS COM CARGA PROGRESSIVA</t>
  </si>
  <si>
    <t xml:space="preserve">Carga Adicional (kg)</t>
  </si>
  <si>
    <t xml:space="preserve">Altura do Salto (cm)</t>
  </si>
  <si>
    <t xml:space="preserve">Massa Total (kg)</t>
  </si>
  <si>
    <t xml:space="preserve">Força Média (N)</t>
  </si>
  <si>
    <t xml:space="preserve">Força Relativa (N/kg)</t>
  </si>
  <si>
    <t xml:space="preserve">Velocidade Média (m/s)</t>
  </si>
  <si>
    <t xml:space="preserve">Potência Média (W)</t>
  </si>
  <si>
    <t xml:space="preserve">Potência Relativa (W/kg)</t>
  </si>
  <si>
    <t xml:space="preserve">F0 e V0 são EXTRAPOLAÇÕES da reta força-velocidade: dependem muito da distância de push-off (C6) e da amplitude de cargas testada. Use pelo menos 5 cargas cobrindo uma faixa ampla e confira o R² (linha 27): abaixo de 0,95, refaça o teste.</t>
  </si>
  <si>
    <t xml:space="preserve">RESULTADOS DO PERFIL</t>
  </si>
  <si>
    <t xml:space="preserve">F0 — Força teórica máxima (N)</t>
  </si>
  <si>
    <t xml:space="preserve">F0 relativa (N/kg)</t>
  </si>
  <si>
    <t xml:space="preserve">V0 — Velocidade teórica máxima (m/s)</t>
  </si>
  <si>
    <t xml:space="preserve">Sfv — Inclinação do perfil (N·s/m)</t>
  </si>
  <si>
    <t xml:space="preserve">Sfv relativa (N·s/m/kg)</t>
  </si>
  <si>
    <t xml:space="preserve">Pmax — Potência máxima (W)</t>
  </si>
  <si>
    <t xml:space="preserve">Pmax relativa (W/kg)</t>
  </si>
  <si>
    <t xml:space="preserve">FVimb — Desequilíbrio F-V (%)</t>
  </si>
  <si>
    <t xml:space="preserve">R² da regressão</t>
  </si>
  <si>
    <t xml:space="preserve">PERFIL:</t>
  </si>
  <si>
    <t xml:space="preserve">PERFIL F-V DE TODO O ELENCO</t>
  </si>
  <si>
    <t xml:space="preserve">F0 (N)</t>
  </si>
  <si>
    <t xml:space="preserve">V0 (m/s)</t>
  </si>
  <si>
    <t xml:space="preserve">F0 rel (N/kg)</t>
  </si>
  <si>
    <t xml:space="preserve">Pmax (W)</t>
  </si>
  <si>
    <t xml:space="preserve">Pmax rel (W/kg)</t>
  </si>
  <si>
    <t xml:space="preserve">Sfv rel (N·s/m/kg)</t>
  </si>
  <si>
    <t xml:space="preserve">SFvopt</t>
  </si>
  <si>
    <t xml:space="preserve">FVimb (%)</t>
  </si>
  <si>
    <t xml:space="preserve">Perfil</t>
  </si>
  <si>
    <t xml:space="preserve">Prioridade de Treino</t>
  </si>
  <si>
    <t xml:space="preserve">LEIA ANTES DE USAR — o treino individualizado pelo desequilíbrio F-V mostrou bons resultados em alguns estudos (Jiménez-Reyes et al., 2017 e 2019) e ganhos de F0, V0 e altura de salto em meta-análises recentes, mas ensaios controlados independentes não reproduziram a superioridade sobre um programa bem feito não individualizado (Lindberg et al., 2021; Solberg et al., 2025), e há questionamento de que parte do efeito seja aprendizado da tarefa e não adaptação neuromuscular (Bobbert et al., 2024). Use o perfil como MAIS UMA informação para decidir a ênfase do bloco — não como regra única de prescrição. A base continua sendo elevar a força máxima e a Pmax.</t>
  </si>
  <si>
    <t xml:space="preserve">BIBLIOTECA DE EXERCÍCIOS</t>
  </si>
  <si>
    <t xml:space="preserve">Cada exercício cadastrado aqui fica disponível no menu suspenso da aba Prescrição, que puxa automaticamente categoria, fundamento e capacidade física.</t>
  </si>
  <si>
    <t xml:space="preserve">Exercício</t>
  </si>
  <si>
    <t xml:space="preserve">Fundamento</t>
  </si>
  <si>
    <t xml:space="preserve">Capacidade Física</t>
  </si>
  <si>
    <t xml:space="preserve">Objetivo</t>
  </si>
  <si>
    <t xml:space="preserve">Descrição / Execução</t>
  </si>
  <si>
    <t xml:space="preserve">Material</t>
  </si>
  <si>
    <t xml:space="preserve">Nº de Atletas</t>
  </si>
  <si>
    <t xml:space="preserve">Duração Sug. (min)</t>
  </si>
  <si>
    <t xml:space="preserve">Intensidade Sug.</t>
  </si>
  <si>
    <t xml:space="preserve">PSE Sug.</t>
  </si>
  <si>
    <t xml:space="preserve">Nível</t>
  </si>
  <si>
    <t xml:space="preserve">Link de Vídeo</t>
  </si>
  <si>
    <t xml:space="preserve">Saque flutuante de apoio</t>
  </si>
  <si>
    <t xml:space="preserve">Técnico</t>
  </si>
  <si>
    <t xml:space="preserve">Saque</t>
  </si>
  <si>
    <t xml:space="preserve">Coordenação</t>
  </si>
  <si>
    <t xml:space="preserve">Precisão e constância do saque flutuante</t>
  </si>
  <si>
    <t xml:space="preserve">Séries de 10 saques por zona alvo (1, 5 e 6). Contato firme no centro da bola, sem rotação, braço freado no impacto.</t>
  </si>
  <si>
    <t xml:space="preserve">Bolas, cones/alvos</t>
  </si>
  <si>
    <t xml:space="preserve">Moderada</t>
  </si>
  <si>
    <t xml:space="preserve">Iniciante</t>
  </si>
  <si>
    <t xml:space="preserve">Saque viagem no fundo (jump float)</t>
  </si>
  <si>
    <t xml:space="preserve">Saque flutuante com salto e maior velocidade</t>
  </si>
  <si>
    <t xml:space="preserve">Passada de 2–3 tempos, salto vertical, contato seco. 3 blocos de 8 saques com alvo no fundo da quadra.</t>
  </si>
  <si>
    <t xml:space="preserve">Bolas</t>
  </si>
  <si>
    <t xml:space="preserve">Alta</t>
  </si>
  <si>
    <t xml:space="preserve">Intermediário</t>
  </si>
  <si>
    <t xml:space="preserve">Saque potente com salto</t>
  </si>
  <si>
    <t xml:space="preserve">Força Explosiva/Potência</t>
  </si>
  <si>
    <t xml:space="preserve">Velocidade e agressividade no saque</t>
  </si>
  <si>
    <t xml:space="preserve">4 séries de 6 saques em potência máxima, alternando zona 1 e zona 5. Pausa completa entre séries.</t>
  </si>
  <si>
    <t xml:space="preserve">Muito Alta</t>
  </si>
  <si>
    <t xml:space="preserve">Avançado</t>
  </si>
  <si>
    <t xml:space="preserve">Recepção em duplas com bola dirigida</t>
  </si>
  <si>
    <t xml:space="preserve">Recepção (Passe)</t>
  </si>
  <si>
    <t xml:space="preserve">Plataforma estável e passe ao alvo</t>
  </si>
  <si>
    <t xml:space="preserve">Técnico lança bolas alternadas; atleta recebe para o alvo em zona 2/3. 3 x 15 repetições.</t>
  </si>
  <si>
    <t xml:space="preserve">Bolas, alvo/cesto</t>
  </si>
  <si>
    <t xml:space="preserve">Recepção de saque em sistema de 2 passadores</t>
  </si>
  <si>
    <t xml:space="preserve">Leitura de trajetória e responsabilidade de zona</t>
  </si>
  <si>
    <t xml:space="preserve">Sacador real do outro lado. Passadores em L; 20 saques por rodízio, meta de 70% de passes A/B.</t>
  </si>
  <si>
    <t xml:space="preserve">Bolas, rede</t>
  </si>
  <si>
    <t xml:space="preserve">Manchete de deslocamento lateral (leque)</t>
  </si>
  <si>
    <t xml:space="preserve">Agilidade/COD</t>
  </si>
  <si>
    <t xml:space="preserve">Deslocamento e recepção fora da base</t>
  </si>
  <si>
    <t xml:space="preserve">Bolas alternadas à direita e à esquerda; deslocamento em passo lateral e retorno à base. 4 x 30 s.</t>
  </si>
  <si>
    <t xml:space="preserve">Levantamento em suspensão contra a parede</t>
  </si>
  <si>
    <t xml:space="preserve">Levantamento</t>
  </si>
  <si>
    <t xml:space="preserve">Consistência do toque e ação simétrica das mãos</t>
  </si>
  <si>
    <t xml:space="preserve">3 x 30 toques contra a parede a 3 m, mantendo a bola sem rotação.</t>
  </si>
  <si>
    <t xml:space="preserve">Bola, parede</t>
  </si>
  <si>
    <t xml:space="preserve">Baixa</t>
  </si>
  <si>
    <t xml:space="preserve">Levantamento em rede com alvos</t>
  </si>
  <si>
    <t xml:space="preserve">Precisão de bola alta, rápida e de fundo</t>
  </si>
  <si>
    <t xml:space="preserve">Levantador recebe passe do técnico e distribui para alvos em P4, P2 e Pipe. 5 x 12 levantamentos.</t>
  </si>
  <si>
    <t xml:space="preserve">Bolas, aros/alvos</t>
  </si>
  <si>
    <t xml:space="preserve">Levantamento invertido (costas)</t>
  </si>
  <si>
    <t xml:space="preserve">Domínio do levantamento para trás sem sinalizar</t>
  </si>
  <si>
    <t xml:space="preserve">3 x 15 levantamentos de costas para P2 com o técnico corrigindo a extensão de quadril.</t>
  </si>
  <si>
    <t xml:space="preserve">Ataque de bola alta pela ponta (P4)</t>
  </si>
  <si>
    <t xml:space="preserve">Ataque</t>
  </si>
  <si>
    <t xml:space="preserve">Ritmo de aproximação e ataque em bola alta</t>
  </si>
  <si>
    <t xml:space="preserve">4 x 10 ataques com levantador real. Foco na passada de 3 tempos e no braço em arco.</t>
  </si>
  <si>
    <t xml:space="preserve">Ataque de primeiro tempo (P3)</t>
  </si>
  <si>
    <t xml:space="preserve">Velocidade</t>
  </si>
  <si>
    <t xml:space="preserve">Sincronia central x levantador</t>
  </si>
  <si>
    <t xml:space="preserve">4 x 8 ataques de bola rápida, variando o ponto de contato ao longo da rede.</t>
  </si>
  <si>
    <t xml:space="preserve">Ataque de fundo (Pipe / P6)</t>
  </si>
  <si>
    <t xml:space="preserve">Ataque a partir da linha de 3 m</t>
  </si>
  <si>
    <t xml:space="preserve">3 x 10 ataques de fundo saindo da recepção. Atenção à marca dos 3 m.</t>
  </si>
  <si>
    <t xml:space="preserve">Largada e explorada de bloqueio</t>
  </si>
  <si>
    <t xml:space="preserve">Variação tática do ataque</t>
  </si>
  <si>
    <t xml:space="preserve">3 x 12 alternando largada curta, exploração de bloqueio e ataque forte, comandado pelo técnico.</t>
  </si>
  <si>
    <t xml:space="preserve">Bloqueio individual com deslocamento lateral</t>
  </si>
  <si>
    <t xml:space="preserve">Bloqueio</t>
  </si>
  <si>
    <t xml:space="preserve">Deslocamento e penetração das mãos</t>
  </si>
  <si>
    <t xml:space="preserve">4 x 8 deslocamentos P2→P3→P4 com salto de bloqueio em cada parada.</t>
  </si>
  <si>
    <t xml:space="preserve">Rede, plataforma</t>
  </si>
  <si>
    <t xml:space="preserve">Bloqueio duplo (fechamento ponta/central)</t>
  </si>
  <si>
    <t xml:space="preserve">Sincronia e fechamento do bloqueio duplo</t>
  </si>
  <si>
    <t xml:space="preserve">Central desloca e fecha com o ponteiro; 4 x 10 repetições com atacante real.</t>
  </si>
  <si>
    <t xml:space="preserve">Rede, bolas</t>
  </si>
  <si>
    <t xml:space="preserve">Defesa de mergulho e rolamento</t>
  </si>
  <si>
    <t xml:space="preserve">Defesa</t>
  </si>
  <si>
    <t xml:space="preserve">Técnica de queda segura e recuperação de bola</t>
  </si>
  <si>
    <t xml:space="preserve">3 x 10 mergulhos alternando lados, com progressão de colchonete para quadra.</t>
  </si>
  <si>
    <t xml:space="preserve">Bolas, colchonete</t>
  </si>
  <si>
    <t xml:space="preserve">Defesa em 3 zonas com técnico atacando</t>
  </si>
  <si>
    <t xml:space="preserve">Postura de defesa e leitura do atacante</t>
  </si>
  <si>
    <t xml:space="preserve">Técnico ataca da plataforma para zonas 1, 6 e 5; 4 x 45 s de defesa contínua.</t>
  </si>
  <si>
    <t xml:space="preserve">Bolas, plataforma</t>
  </si>
  <si>
    <t xml:space="preserve">Circuito de deslocamentos específicos da posição</t>
  </si>
  <si>
    <t xml:space="preserve">Deslocamento</t>
  </si>
  <si>
    <t xml:space="preserve">Automatizar trajetos de saída de rede e cobertura</t>
  </si>
  <si>
    <t xml:space="preserve">Circuito de cones reproduzindo o trajeto real da posição. 5 voltas com 60 s de pausa.</t>
  </si>
  <si>
    <t xml:space="preserve">Cones</t>
  </si>
  <si>
    <t xml:space="preserve">Complexo I (K1) — recepção, levantamento e ataque</t>
  </si>
  <si>
    <t xml:space="preserve">Tático</t>
  </si>
  <si>
    <t xml:space="preserve">Jogo/Coletivo</t>
  </si>
  <si>
    <t xml:space="preserve">N/A</t>
  </si>
  <si>
    <t xml:space="preserve">Eficiência do side-out</t>
  </si>
  <si>
    <t xml:space="preserve">Saque adversário real; a equipe pontua se converter o side-out. Meta de 60% em 20 tentativas.</t>
  </si>
  <si>
    <t xml:space="preserve">Complexo II (K2) — bloqueio, defesa e contra-ataque</t>
  </si>
  <si>
    <t xml:space="preserve">Transição defesa-ataque</t>
  </si>
  <si>
    <t xml:space="preserve">Técnico ataca; equipe defende e finaliza o contra-ataque. 20 séries por rodízio.</t>
  </si>
  <si>
    <t xml:space="preserve">Jogo 6x6 com pontuação diferenciada</t>
  </si>
  <si>
    <t xml:space="preserve">Aplicar o sistema em contexto real</t>
  </si>
  <si>
    <t xml:space="preserve">Sets a 15 com pontos em dobro para ponto de bloqueio ou side-out no 1º toque.</t>
  </si>
  <si>
    <t xml:space="preserve">Bolas, rede, placar</t>
  </si>
  <si>
    <t xml:space="preserve">Jogo reduzido 4x4 em quadra estreita</t>
  </si>
  <si>
    <t xml:space="preserve">Volume de toques e leitura de jogo</t>
  </si>
  <si>
    <t xml:space="preserve">3 sets a 11 pontos em meia quadra, obrigando 3 toques.</t>
  </si>
  <si>
    <t xml:space="preserve">Treino do sistema 5x1 — rodízios e coberturas</t>
  </si>
  <si>
    <t xml:space="preserve">Posicionamento em cada rodízio</t>
  </si>
  <si>
    <t xml:space="preserve">Sem bola primeiro, depois com bola: 6 rodízios x 4 repetições de recepção e cobertura.</t>
  </si>
  <si>
    <t xml:space="preserve">Saque-recepção sob pressão de placar</t>
  </si>
  <si>
    <t xml:space="preserve">Desempenho técnico sob estresse competitivo</t>
  </si>
  <si>
    <t xml:space="preserve">Placar simulado em 22x22; erro de saque ou recepção custa ponto. 6 rodadas.</t>
  </si>
  <si>
    <t xml:space="preserve">Bolas, placar</t>
  </si>
  <si>
    <t xml:space="preserve">Agachamento livre (back squat)</t>
  </si>
  <si>
    <t xml:space="preserve">Físico</t>
  </si>
  <si>
    <t xml:space="preserve">Força Máxima</t>
  </si>
  <si>
    <t xml:space="preserve">Força máxima de membros inferiores</t>
  </si>
  <si>
    <t xml:space="preserve">4 x 5 a 80–85% de 1RM, 3 min de pausa. Progressão semanal de 2,5%.</t>
  </si>
  <si>
    <t xml:space="preserve">Barra, anilhas, rack</t>
  </si>
  <si>
    <t xml:space="preserve">Levantamento terra romeno</t>
  </si>
  <si>
    <t xml:space="preserve">Força de cadeia posterior e prevenção de isquiotibiais</t>
  </si>
  <si>
    <t xml:space="preserve">4 x 8 a 70% de 1RM, ênfase excêntrica de 3 s.</t>
  </si>
  <si>
    <t xml:space="preserve">Barra, anilhas</t>
  </si>
  <si>
    <t xml:space="preserve">Afundo com halteres</t>
  </si>
  <si>
    <t xml:space="preserve">Força unilateral e estabilidade de quadril</t>
  </si>
  <si>
    <t xml:space="preserve">3 x 10 por perna com carga moderada.</t>
  </si>
  <si>
    <t xml:space="preserve">Halteres</t>
  </si>
  <si>
    <t xml:space="preserve">Power clean (levantamento olímpico)</t>
  </si>
  <si>
    <t xml:space="preserve">Taxa de produção de força</t>
  </si>
  <si>
    <t xml:space="preserve">5 x 3 a 70–80% de 1RM, foco em velocidade da barra.</t>
  </si>
  <si>
    <t xml:space="preserve">Barra, plataforma</t>
  </si>
  <si>
    <t xml:space="preserve">Agachamento com salto sob carga (jump squat)</t>
  </si>
  <si>
    <t xml:space="preserve">Potência específica de salto</t>
  </si>
  <si>
    <t xml:space="preserve">5 x 4 com 20–30% de 1RM, pausa completa de 2 min.</t>
  </si>
  <si>
    <t xml:space="preserve">Barra leve/halteres</t>
  </si>
  <si>
    <t xml:space="preserve">Salto em profundidade (drop jump)</t>
  </si>
  <si>
    <t xml:space="preserve">Pliometria</t>
  </si>
  <si>
    <t xml:space="preserve">Ciclo alongamento-encurtamento rápido</t>
  </si>
  <si>
    <t xml:space="preserve">5 x 5 quedas de caixa de 40 cm com salto imediato. Superfície firme e calçado adequado.</t>
  </si>
  <si>
    <t xml:space="preserve">Caixa pliométrica</t>
  </si>
  <si>
    <t xml:space="preserve">Saltos consecutivos sobre barreiras</t>
  </si>
  <si>
    <t xml:space="preserve">Rigidez muscular e reatividade</t>
  </si>
  <si>
    <t xml:space="preserve">4 x 6 barreiras de 40–50 cm, contato mínimo com o solo.</t>
  </si>
  <si>
    <t xml:space="preserve">Barreiras</t>
  </si>
  <si>
    <t xml:space="preserve">Sprints de 10 e 20 m com mudança de direção</t>
  </si>
  <si>
    <t xml:space="preserve">Aceleração e frenagem</t>
  </si>
  <si>
    <t xml:space="preserve">6 sprints de 10 m e 4 de 20 m com 90 s de pausa.</t>
  </si>
  <si>
    <t xml:space="preserve">Cones, cronômetro</t>
  </si>
  <si>
    <t xml:space="preserve">Circuito de agilidade T-Test</t>
  </si>
  <si>
    <t xml:space="preserve">Mudança de direção específica da quadra</t>
  </si>
  <si>
    <t xml:space="preserve">4 execuções completas com 2 min de pausa; registrar o melhor tempo.</t>
  </si>
  <si>
    <t xml:space="preserve">Intervalado de alta intensidade 15/15</t>
  </si>
  <si>
    <t xml:space="preserve">Resistência Anaeróbia</t>
  </si>
  <si>
    <t xml:space="preserve">Tolerância a esforços intermitentes</t>
  </si>
  <si>
    <t xml:space="preserve">2 blocos de 8 x 15 s de corrida intensa / 15 s de trote, 3 min entre blocos.</t>
  </si>
  <si>
    <t xml:space="preserve">Cronômetro</t>
  </si>
  <si>
    <t xml:space="preserve">Corrida contínua regenerativa</t>
  </si>
  <si>
    <t xml:space="preserve">Resistência Aeróbia</t>
  </si>
  <si>
    <t xml:space="preserve">Recuperação ativa e base aeróbia</t>
  </si>
  <si>
    <t xml:space="preserve">20–25 min em intensidade leve (60–65% da FCmáx).</t>
  </si>
  <si>
    <t xml:space="preserve">Prancha e anti-rotação (Pallof press)</t>
  </si>
  <si>
    <t xml:space="preserve">Core/Estabilidade</t>
  </si>
  <si>
    <t xml:space="preserve">Estabilidade de tronco para transferência de força</t>
  </si>
  <si>
    <t xml:space="preserve">3 x 40 s de prancha + 3 x 12 Pallof por lado.</t>
  </si>
  <si>
    <t xml:space="preserve">Elástico, colchonete</t>
  </si>
  <si>
    <t xml:space="preserve">Rotadores do ombro com elástico</t>
  </si>
  <si>
    <t xml:space="preserve">Preventivo/Compensatório</t>
  </si>
  <si>
    <t xml:space="preserve">Prevenção de lesão no ombro do atacante</t>
  </si>
  <si>
    <t xml:space="preserve">3 x 15 rotação externa e interna, carga leve, ritmo controlado.</t>
  </si>
  <si>
    <t xml:space="preserve">Elástico</t>
  </si>
  <si>
    <t xml:space="preserve">Nórdico de isquiotibiais (excêntrico)</t>
  </si>
  <si>
    <t xml:space="preserve">Prevenção de lesão de isquiotibiais</t>
  </si>
  <si>
    <t xml:space="preserve">3 x 6 repetições excêntricas lentas, 2x/semana.</t>
  </si>
  <si>
    <t xml:space="preserve">Colchonete, parceiro</t>
  </si>
  <si>
    <t xml:space="preserve">Excêntrico de tornozelo e panturrilha</t>
  </si>
  <si>
    <t xml:space="preserve">Prevenção de entorse e tendinopatia de aquileu</t>
  </si>
  <si>
    <t xml:space="preserve">3 x 12 elevações com descida lenta de 3 s no step.</t>
  </si>
  <si>
    <t xml:space="preserve">Step</t>
  </si>
  <si>
    <t xml:space="preserve">Mobilidade de tornozelo e quadril</t>
  </si>
  <si>
    <t xml:space="preserve">Mobilidade/Flexibilidade</t>
  </si>
  <si>
    <t xml:space="preserve">Amplitude para agachamento e aterrissagem</t>
  </si>
  <si>
    <t xml:space="preserve">6 exercícios x 8 repetições, antes da parte principal.</t>
  </si>
  <si>
    <t xml:space="preserve">Colchonete, elástico</t>
  </si>
  <si>
    <t xml:space="preserve">Muito Baixa</t>
  </si>
  <si>
    <t xml:space="preserve">Alongamento e liberação miofascial</t>
  </si>
  <si>
    <t xml:space="preserve">Recuperação</t>
  </si>
  <si>
    <t xml:space="preserve">Recuperação pós-sessão</t>
  </si>
  <si>
    <t xml:space="preserve">15 min de rolo e alongamentos estáticos de 30 s por grupamento.</t>
  </si>
  <si>
    <t xml:space="preserve">Rolo, colchonete</t>
  </si>
  <si>
    <t xml:space="preserve">Reação visual com estímulo do técnico</t>
  </si>
  <si>
    <t xml:space="preserve">Cognitivo/Visual</t>
  </si>
  <si>
    <t xml:space="preserve">Tempo de reação e leitura antecipatória</t>
  </si>
  <si>
    <t xml:space="preserve">Técnico sinaliza a direção no último instante; atleta desloca e defende. 5 x 30 s.</t>
  </si>
  <si>
    <t xml:space="preserve">Bolas, sinalizadores</t>
  </si>
  <si>
    <t xml:space="preserve">Power clean a partir do joelho</t>
  </si>
  <si>
    <t xml:space="preserve">Tripla extensão explosiva com técnica simplificada</t>
  </si>
  <si>
    <t xml:space="preserve">Barra na altura do joelho, extensão explosiva de quadril, joelho e tornozelo, recepção em meio agachamento.</t>
  </si>
  <si>
    <t xml:space="preserve">Barra, plataforma, anilhas emborrachadas</t>
  </si>
  <si>
    <t xml:space="preserve">Clean pull</t>
  </si>
  <si>
    <t xml:space="preserve">Segunda puxada do arranco/arremesso sem recepção</t>
  </si>
  <si>
    <t xml:space="preserve">Puxada completa sem receber a barra; permite cargas de 90 a 140% do 1RM do power clean.</t>
  </si>
  <si>
    <t xml:space="preserve">Snatch pull / Hang high pull</t>
  </si>
  <si>
    <t xml:space="preserve">Estímulo de tripla extensão com pegada aberta</t>
  </si>
  <si>
    <t xml:space="preserve">Puxada alta a partir da suspensão; carga de 40% 1RM maximiza velocidade, 140% maximiza força.</t>
  </si>
  <si>
    <t xml:space="preserve">Jump shrug</t>
  </si>
  <si>
    <t xml:space="preserve">Maior força relativa e taxa de produção de força entre os derivados de LPO</t>
  </si>
  <si>
    <t xml:space="preserve">Encolhimento de ombros com salto, sem recepção. Cargas leves (30–45% 1RM do power clean).</t>
  </si>
  <si>
    <t xml:space="preserve">Salto no caixote</t>
  </si>
  <si>
    <t xml:space="preserve">Potência concêntrica com baixa demanda de aterrissagem</t>
  </si>
  <si>
    <t xml:space="preserve">Salto sobre caixote com aterrissagem amortecida em cima; descer andando.</t>
  </si>
  <si>
    <t xml:space="preserve">Salto unilateral com sobrepeso</t>
  </si>
  <si>
    <t xml:space="preserve">Pliometria unilateral com sobrecarga</t>
  </si>
  <si>
    <t xml:space="preserve">Saltos alternados em uma perna com colete ou halteres leves; controle da aterrissagem.</t>
  </si>
  <si>
    <t xml:space="preserve">Colete lastrado / halteres</t>
  </si>
  <si>
    <t xml:space="preserve">Arremesso de bola</t>
  </si>
  <si>
    <t xml:space="preserve">Potência de membros superiores e tronco</t>
  </si>
  <si>
    <t xml:space="preserve">Arremesso de medicine ball acima da cabeça ou em rotação; máxima velocidade de saída.</t>
  </si>
  <si>
    <t xml:space="preserve">Medicine ball</t>
  </si>
  <si>
    <t xml:space="preserve">Armação de braço</t>
  </si>
  <si>
    <t xml:space="preserve">Padrão do braço de ataque com resistência leve</t>
  </si>
  <si>
    <t xml:space="preserve">Simulação do movimento de ataque com elástico ou halter leve, foco na trajetória do cotovelo.</t>
  </si>
  <si>
    <t xml:space="preserve">Elástico / halter leve</t>
  </si>
  <si>
    <t xml:space="preserve">Supino deitado com halteres</t>
  </si>
  <si>
    <t xml:space="preserve">Força horizontal de empurrar</t>
  </si>
  <si>
    <t xml:space="preserve">Amplitude completa, halteres permitem trajetória mais livre para o ombro do atacante.</t>
  </si>
  <si>
    <t xml:space="preserve">Halteres, banco</t>
  </si>
  <si>
    <t xml:space="preserve">Supino sentado</t>
  </si>
  <si>
    <t xml:space="preserve">Força de empurrar em ângulo inclinado</t>
  </si>
  <si>
    <t xml:space="preserve">Do programa original (Séries 3 e 5).</t>
  </si>
  <si>
    <t xml:space="preserve">Máquina / halteres</t>
  </si>
  <si>
    <t xml:space="preserve">Puxada alta</t>
  </si>
  <si>
    <t xml:space="preserve">Força de puxar vertical</t>
  </si>
  <si>
    <t xml:space="preserve">Do programa original (Séries 1, 4, 6 e 8).</t>
  </si>
  <si>
    <t xml:space="preserve">Polia alta</t>
  </si>
  <si>
    <t xml:space="preserve">Remada unilateral na polia</t>
  </si>
  <si>
    <t xml:space="preserve">Força de puxar horizontal unilateral</t>
  </si>
  <si>
    <t xml:space="preserve">Do programa original (Séries 2, 5 e 7).</t>
  </si>
  <si>
    <t xml:space="preserve">Polia baixa</t>
  </si>
  <si>
    <t xml:space="preserve">Remada serrote</t>
  </si>
  <si>
    <t xml:space="preserve">Força de puxar horizontal com apoio</t>
  </si>
  <si>
    <t xml:space="preserve">Do programa original (Série 3).</t>
  </si>
  <si>
    <t xml:space="preserve">Haltere, banco</t>
  </si>
  <si>
    <t xml:space="preserve">Pullover deitado com haltere</t>
  </si>
  <si>
    <t xml:space="preserve">Força de latíssimo e mobilidade de ombro</t>
  </si>
  <si>
    <t xml:space="preserve">Do programa original (Série 2).</t>
  </si>
  <si>
    <t xml:space="preserve">Pullover na polia</t>
  </si>
  <si>
    <t xml:space="preserve">Força de latíssimo com tensão constante</t>
  </si>
  <si>
    <t xml:space="preserve">Pullover com haltere no banco</t>
  </si>
  <si>
    <t xml:space="preserve">Variação do pullover com maior amplitude</t>
  </si>
  <si>
    <t xml:space="preserve">Do programa original (Série 7).</t>
  </si>
  <si>
    <t xml:space="preserve">Cross-over</t>
  </si>
  <si>
    <t xml:space="preserve">Adução horizontal de ombro</t>
  </si>
  <si>
    <t xml:space="preserve">Do programa original (Série 4).</t>
  </si>
  <si>
    <t xml:space="preserve">Polia dupla</t>
  </si>
  <si>
    <t xml:space="preserve">Cross-over supino</t>
  </si>
  <si>
    <t xml:space="preserve">Adução horizontal deitado</t>
  </si>
  <si>
    <t xml:space="preserve">Do programa original (Série 8).</t>
  </si>
  <si>
    <t xml:space="preserve">Polia dupla, banco</t>
  </si>
  <si>
    <t xml:space="preserve">Bíceps / Tríceps</t>
  </si>
  <si>
    <t xml:space="preserve">Trabalho complementar de braço</t>
  </si>
  <si>
    <t xml:space="preserve">Do programa original (Séries 2, 4 e 6).</t>
  </si>
  <si>
    <t xml:space="preserve">Halteres / polia</t>
  </si>
  <si>
    <t xml:space="preserve">Extensores de cotovelo</t>
  </si>
  <si>
    <t xml:space="preserve">Polia / halter</t>
  </si>
  <si>
    <t xml:space="preserve">Flexores de cotovelo</t>
  </si>
  <si>
    <t xml:space="preserve">Halteres / barra</t>
  </si>
  <si>
    <t xml:space="preserve">Agachamento profundo</t>
  </si>
  <si>
    <t xml:space="preserve">Força máxima de MMII em amplitude completa</t>
  </si>
  <si>
    <t xml:space="preserve">Exercício-âncora do bloco de base. Do programa original (Séries 1, 3 e 7).</t>
  </si>
  <si>
    <t xml:space="preserve">Barra, rack</t>
  </si>
  <si>
    <t xml:space="preserve">Agachamento</t>
  </si>
  <si>
    <t xml:space="preserve">Força máxima de MMII</t>
  </si>
  <si>
    <t xml:space="preserve">Do programa original (Série 5).</t>
  </si>
  <si>
    <t xml:space="preserve">Agachamento frontal</t>
  </si>
  <si>
    <t xml:space="preserve">Força de MMII com maior demanda de tronco</t>
  </si>
  <si>
    <t xml:space="preserve">Complemento ao agachamento profundo; útil como exercício de teste.</t>
  </si>
  <si>
    <t xml:space="preserve">Agachamento sumô no minitramp</t>
  </si>
  <si>
    <t xml:space="preserve">Agachamento com base ampla e superfície instável/elástica</t>
  </si>
  <si>
    <t xml:space="preserve">Minitramp, halteres</t>
  </si>
  <si>
    <t xml:space="preserve">Stiff com barra</t>
  </si>
  <si>
    <t xml:space="preserve">Cadeia posterior e prevenção de isquiotibiais</t>
  </si>
  <si>
    <t xml:space="preserve">Do programa original (Séries 1, 3, 5 e 7).</t>
  </si>
  <si>
    <t xml:space="preserve">Stiff</t>
  </si>
  <si>
    <t xml:space="preserve">Cadeia posterior</t>
  </si>
  <si>
    <t xml:space="preserve">Do programa original (Séries 3, 5 e 7).</t>
  </si>
  <si>
    <t xml:space="preserve">Barra / halteres</t>
  </si>
  <si>
    <t xml:space="preserve">Afundo lateral sem passada</t>
  </si>
  <si>
    <t xml:space="preserve">Força unilateral no plano frontal</t>
  </si>
  <si>
    <t xml:space="preserve">Do programa original (Série 1).</t>
  </si>
  <si>
    <t xml:space="preserve">Afundo lateral com tornozeleira</t>
  </si>
  <si>
    <t xml:space="preserve">Força unilateral com sobrecarga distal</t>
  </si>
  <si>
    <t xml:space="preserve">Tornozeleira</t>
  </si>
  <si>
    <t xml:space="preserve">Afundo lateral com sobrepeso</t>
  </si>
  <si>
    <t xml:space="preserve">Força unilateral com carga externa</t>
  </si>
  <si>
    <t xml:space="preserve">Colete / halteres</t>
  </si>
  <si>
    <t xml:space="preserve">Afundo frontal sem passada</t>
  </si>
  <si>
    <t xml:space="preserve">Força unilateral no plano sagital</t>
  </si>
  <si>
    <t xml:space="preserve">Afundo frontal sem passada com tornozeleira</t>
  </si>
  <si>
    <t xml:space="preserve">Afundo frontal com sobrepeso (sem passada)</t>
  </si>
  <si>
    <t xml:space="preserve">Flexão de joelho unilateral</t>
  </si>
  <si>
    <t xml:space="preserve">Isquiotibiais unilateral</t>
  </si>
  <si>
    <t xml:space="preserve">Do programa original (Séries 2 e 4).</t>
  </si>
  <si>
    <t xml:space="preserve">Mesa flexora</t>
  </si>
  <si>
    <t xml:space="preserve">Flexão de joelhos</t>
  </si>
  <si>
    <t xml:space="preserve">Isquiotibiais bilateral</t>
  </si>
  <si>
    <t xml:space="preserve">Do programa original (Séries 6 e 8).</t>
  </si>
  <si>
    <t xml:space="preserve">Elevação de calcanhares</t>
  </si>
  <si>
    <t xml:space="preserve">Tríceps sural e prevenção de tornozelo</t>
  </si>
  <si>
    <t xml:space="preserve">Do programa original (Séries 4, 6 e 8). Descida lenta de 3 s.</t>
  </si>
  <si>
    <t xml:space="preserve">Step, halteres</t>
  </si>
  <si>
    <t xml:space="preserve">Abdominal reto com braços esticados</t>
  </si>
  <si>
    <t xml:space="preserve">Flexão de tronco</t>
  </si>
  <si>
    <t xml:space="preserve">Colchonete</t>
  </si>
  <si>
    <t xml:space="preserve">Abdominal cruzado esticado</t>
  </si>
  <si>
    <t xml:space="preserve">Flexão com rotação</t>
  </si>
  <si>
    <t xml:space="preserve">Abdominal infra</t>
  </si>
  <si>
    <t xml:space="preserve">Porção inferior do reto abdominal</t>
  </si>
  <si>
    <t xml:space="preserve">Colchonete / barra fixa</t>
  </si>
  <si>
    <t xml:space="preserve">Abdominal reto</t>
  </si>
  <si>
    <t xml:space="preserve">Abdominal cruzado com anilha</t>
  </si>
  <si>
    <t xml:space="preserve">Flexão com rotação e sobrecarga</t>
  </si>
  <si>
    <t xml:space="preserve">Do programa original (Séries 5 e 7).</t>
  </si>
  <si>
    <t xml:space="preserve">Anilha, colchonete</t>
  </si>
  <si>
    <t xml:space="preserve">Abdominal cruzado com anilha de 20</t>
  </si>
  <si>
    <t xml:space="preserve">Flexão com rotação e carga alta</t>
  </si>
  <si>
    <t xml:space="preserve">Anilha de 20 kg</t>
  </si>
  <si>
    <t xml:space="preserve">Abdominal remador com anilha</t>
  </si>
  <si>
    <t xml:space="preserve">Flexão simultânea de tronco e quadril</t>
  </si>
  <si>
    <t xml:space="preserve">Do programa original (Série 6).</t>
  </si>
  <si>
    <t xml:space="preserve">Abdominal reto canivete</t>
  </si>
  <si>
    <t xml:space="preserve">Dorsal perdigueiro</t>
  </si>
  <si>
    <t xml:space="preserve">Estabilidade lombo-pélvica em quatro apoios</t>
  </si>
  <si>
    <t xml:space="preserve">Do programa original (Séries 1 e 3).</t>
  </si>
  <si>
    <t xml:space="preserve">Dorsal reto</t>
  </si>
  <si>
    <t xml:space="preserve">Extensores de tronco</t>
  </si>
  <si>
    <t xml:space="preserve">Banco romano / colchonete</t>
  </si>
  <si>
    <t xml:space="preserve">Levantamento terra</t>
  </si>
  <si>
    <t xml:space="preserve">Força máxima de cadeia posterior</t>
  </si>
  <si>
    <t xml:space="preserve">Exercício de teste de 1RM; velocidade média no 1RM ≈ 0,24 m/s.</t>
  </si>
  <si>
    <t xml:space="preserve">PROGRAMA DE PREPARAÇÃO FÍSICA 2026/2027 — SÉRIES 1 A 8</t>
  </si>
  <si>
    <t xml:space="preserve">Reprodução fiel do documento original (Adulto e Sub-19, fases Básica 1.1, 1.2, 2.1 e 3.1). As colunas %1RM, Carga e Pausa são sugestões editáveis; o restante é o conteúdo do documento.</t>
  </si>
  <si>
    <t xml:space="preserve">Série</t>
  </si>
  <si>
    <t xml:space="preserve">Temporada</t>
  </si>
  <si>
    <t xml:space="preserve">Fase</t>
  </si>
  <si>
    <t xml:space="preserve">Bloco</t>
  </si>
  <si>
    <t xml:space="preserve">Esquema (séries/reps)</t>
  </si>
  <si>
    <t xml:space="preserve">Ordem</t>
  </si>
  <si>
    <t xml:space="preserve">Nº de Séries</t>
  </si>
  <si>
    <t xml:space="preserve">Repetições</t>
  </si>
  <si>
    <t xml:space="preserve">%1RM Sug.</t>
  </si>
  <si>
    <t xml:space="preserve">Carga (kg)</t>
  </si>
  <si>
    <t xml:space="preserve">2026/2027</t>
  </si>
  <si>
    <t xml:space="preserve">Básica 1.1</t>
  </si>
  <si>
    <t xml:space="preserve">Força</t>
  </si>
  <si>
    <t xml:space="preserve">Core</t>
  </si>
  <si>
    <t xml:space="preserve">3x25</t>
  </si>
  <si>
    <t xml:space="preserve">25</t>
  </si>
  <si>
    <t xml:space="preserve">Do documento original</t>
  </si>
  <si>
    <t xml:space="preserve">Braço</t>
  </si>
  <si>
    <t xml:space="preserve">8/8/6/6</t>
  </si>
  <si>
    <t xml:space="preserve">2027</t>
  </si>
  <si>
    <t xml:space="preserve">2026</t>
  </si>
  <si>
    <t xml:space="preserve">Sub-19</t>
  </si>
  <si>
    <t xml:space="preserve">Fase 1.2</t>
  </si>
  <si>
    <t xml:space="preserve">Força 1</t>
  </si>
  <si>
    <t xml:space="preserve">carga alta – 8/8/6</t>
  </si>
  <si>
    <t xml:space="preserve">8/8/6</t>
  </si>
  <si>
    <t xml:space="preserve">Tríceps / Bíceps</t>
  </si>
  <si>
    <t xml:space="preserve">Flexão de joelhos (unilateral)</t>
  </si>
  <si>
    <t xml:space="preserve">Fase 2.1</t>
  </si>
  <si>
    <t xml:space="preserve">Potência</t>
  </si>
  <si>
    <t xml:space="preserve">carga alta menos – 10/8/6</t>
  </si>
  <si>
    <t xml:space="preserve">10/8/6</t>
  </si>
  <si>
    <t xml:space="preserve">3x20</t>
  </si>
  <si>
    <t xml:space="preserve">20</t>
  </si>
  <si>
    <t xml:space="preserve">Fase 3.1</t>
  </si>
  <si>
    <t xml:space="preserve">Força 3</t>
  </si>
  <si>
    <t xml:space="preserve">carga alta – 8/8/6/6</t>
  </si>
  <si>
    <t xml:space="preserve">Remada unilateral na polia (perna contrária à frente)</t>
  </si>
  <si>
    <t xml:space="preserve">COMO ESTE PROGRAMA SE ENCAIXA NA PERIODIZAÇÃO EM BLOCOS (aba Bloco Base)</t>
  </si>
  <si>
    <t xml:space="preserve">Séries 1 e 2 — Básica 1.1 (Adulto), 8/8/6/6</t>
  </si>
  <si>
    <t xml:space="preserve">Bloco de ACUMULAÇÃO — semanas 1 a 4. Volume alto, intensidade moderada (70–80% 1RM). É aqui que entram a técnica de LPO com carga leve e a pliometria de baixa intensidade.</t>
  </si>
  <si>
    <t xml:space="preserve">Séries 3 e 4 — Fase 1.2 'Força 1', carga alta 8/8/6</t>
  </si>
  <si>
    <t xml:space="preserve">Fim da ACUMULAÇÃO e início da TRANSMUTAÇÃO — semanas 4 a 6. Intensidade sobe para 80–88% 1RM no agachamento.</t>
  </si>
  <si>
    <t xml:space="preserve">Séries 5 e 6 — Fase 2.1 'Potência', carga alta menos 10/8/6 (já com salto no caixote e arremesso de bola)</t>
  </si>
  <si>
    <t xml:space="preserve">Bloco de TRANSMUTAÇÃO — semanas 6 e 7, incluindo o microciclo de CHOQUE. É o momento do jump squat com 30% 1RM, do drop jump e do power clean em intensidade alta.</t>
  </si>
  <si>
    <t xml:space="preserve">Séries 7 e 8 — Fase 3.1 'Força 3', carga alta 8/8/6/6</t>
  </si>
  <si>
    <t xml:space="preserve">Bloco de REALIZAÇÃO — semana 8 e o mesociclo seguinte. Volume baixo, intensidade ≥ 90% 1RM, pliometria de alta qualidade e pouco volume.</t>
  </si>
  <si>
    <t xml:space="preserve">MACROCICLO — PLANEJAMENTO DA TEMPORADA</t>
  </si>
  <si>
    <t xml:space="preserve">Defina o período total e divida-o em mesociclos. A Data de Início (C11) é a referência de TODA a numeração de semanas da planilha.</t>
  </si>
  <si>
    <t xml:space="preserve">IDENTIFICAÇÃO DO MACROCICLO</t>
  </si>
  <si>
    <t xml:space="preserve">Temporada / Época</t>
  </si>
  <si>
    <t xml:space="preserve">Equipe / Clube</t>
  </si>
  <si>
    <t xml:space="preserve">Equipe Exemplo de Voleibol</t>
  </si>
  <si>
    <t xml:space="preserve">Adulto Feminino</t>
  </si>
  <si>
    <t xml:space="preserve">Técnico Responsável</t>
  </si>
  <si>
    <t xml:space="preserve">(preencher)</t>
  </si>
  <si>
    <t xml:space="preserve">Preparador Físico</t>
  </si>
  <si>
    <t xml:space="preserve">Data de Início</t>
  </si>
  <si>
    <t xml:space="preserve">Data de Término</t>
  </si>
  <si>
    <t xml:space="preserve">Duração (semanas)</t>
  </si>
  <si>
    <t xml:space="preserve">Objetivo Principal</t>
  </si>
  <si>
    <t xml:space="preserve">Chegar ao 1º turno do estadual com alto nível técnico-tático e baixo índice de lesões</t>
  </si>
  <si>
    <t xml:space="preserve">Competição-Alvo</t>
  </si>
  <si>
    <t xml:space="preserve">Campeonato Estadual Adulto — fase final em outubro/2026</t>
  </si>
  <si>
    <t xml:space="preserve">DIVISÃO EM MESOCICLOS</t>
  </si>
  <si>
    <t xml:space="preserve">Nº</t>
  </si>
  <si>
    <t xml:space="preserve">Mesociclo</t>
  </si>
  <si>
    <t xml:space="preserve">Período</t>
  </si>
  <si>
    <t xml:space="preserve">Data Início</t>
  </si>
  <si>
    <t xml:space="preserve">Data Fim</t>
  </si>
  <si>
    <t xml:space="preserve">Semanas</t>
  </si>
  <si>
    <t xml:space="preserve">Semana Inicial</t>
  </si>
  <si>
    <t xml:space="preserve">Volume (%)</t>
  </si>
  <si>
    <t xml:space="preserve">Intensidade (%)</t>
  </si>
  <si>
    <t xml:space="preserve">Ênfase Física</t>
  </si>
  <si>
    <t xml:space="preserve">Ênfase Técnica</t>
  </si>
  <si>
    <t xml:space="preserve">Ênfase Tática</t>
  </si>
  <si>
    <t xml:space="preserve">Carga-Alvo Semanal (UA)</t>
  </si>
  <si>
    <t xml:space="preserve">Competições no Período</t>
  </si>
  <si>
    <t xml:space="preserve">Situação</t>
  </si>
  <si>
    <t xml:space="preserve">Meso 1 — Base Geral</t>
  </si>
  <si>
    <t xml:space="preserve">Preparatório Geral</t>
  </si>
  <si>
    <t xml:space="preserve">Força máxima, base aeróbia e core</t>
  </si>
  <si>
    <t xml:space="preserve">Fundamentos individuais e repetição técnica</t>
  </si>
  <si>
    <t xml:space="preserve">Reconhecimento do sistema 5x1</t>
  </si>
  <si>
    <t xml:space="preserve">Meso 2 — Base Específica</t>
  </si>
  <si>
    <t xml:space="preserve">Preparatório Específico</t>
  </si>
  <si>
    <t xml:space="preserve">Força-potência e pliometria introdutória</t>
  </si>
  <si>
    <t xml:space="preserve">Técnica sob deslocamento e sob fadiga</t>
  </si>
  <si>
    <t xml:space="preserve">Complexos K1 e K2</t>
  </si>
  <si>
    <t xml:space="preserve">Amistosos preparatórios</t>
  </si>
  <si>
    <t xml:space="preserve">Meso 3 — Pré-Competitivo</t>
  </si>
  <si>
    <t xml:space="preserve">Pré-Competitivo</t>
  </si>
  <si>
    <t xml:space="preserve">Potência, pliometria e velocidade</t>
  </si>
  <si>
    <t xml:space="preserve">Técnica em situação de jogo</t>
  </si>
  <si>
    <t xml:space="preserve">Sistemas de defesa e coberturas</t>
  </si>
  <si>
    <t xml:space="preserve">Copa regional</t>
  </si>
  <si>
    <t xml:space="preserve">Meso 4 — Competitivo I</t>
  </si>
  <si>
    <t xml:space="preserve">Competitivo I</t>
  </si>
  <si>
    <t xml:space="preserve">Manutenção de força e potência</t>
  </si>
  <si>
    <t xml:space="preserve">Correção pontual e saque sob pressão</t>
  </si>
  <si>
    <t xml:space="preserve">Ajustes de scout adversário</t>
  </si>
  <si>
    <t xml:space="preserve">Estadual — 1º turno</t>
  </si>
  <si>
    <t xml:space="preserve">Em execução</t>
  </si>
  <si>
    <t xml:space="preserve">Meso 5 — Competitivo II</t>
  </si>
  <si>
    <t xml:space="preserve">Competitivo II</t>
  </si>
  <si>
    <t xml:space="preserve">Manutenção e prevenção de lesões</t>
  </si>
  <si>
    <t xml:space="preserve">Refinamento técnico individual</t>
  </si>
  <si>
    <t xml:space="preserve">Preparação por adversário</t>
  </si>
  <si>
    <t xml:space="preserve">Estadual — 2º turno e playoffs</t>
  </si>
  <si>
    <t xml:space="preserve">Planejado</t>
  </si>
  <si>
    <t xml:space="preserve">Meso 6 — Transição</t>
  </si>
  <si>
    <t xml:space="preserve">Transição</t>
  </si>
  <si>
    <t xml:space="preserve">Recuperação ativa e trabalho compensatório</t>
  </si>
  <si>
    <t xml:space="preserve">Atividades lúdicas e técnica livre</t>
  </si>
  <si>
    <t xml:space="preserve">Avaliação da temporada</t>
  </si>
  <si>
    <t xml:space="preserve">TOTAL / MÉDIA</t>
  </si>
  <si>
    <t xml:space="preserve">Confira: a soma de semanas dos mesociclos deve bater com a Duração (semanas) em C13. A Carga-Alvo total é a soma de (semanas × carga-alvo semanal) de cada mesociclo.</t>
  </si>
  <si>
    <t xml:space="preserve">MESOCICLO — DETALHAMENTO EM MICROCICLOS</t>
  </si>
  <si>
    <t xml:space="preserve">Escolha o mesociclo no menu suspenso: os dados do planejamento são puxados do Macrociclo automaticamente.</t>
  </si>
  <si>
    <t xml:space="preserve">SELEÇÃO E RESUMO DO MESOCICLO</t>
  </si>
  <si>
    <t xml:space="preserve">Mesociclo selecionado</t>
  </si>
  <si>
    <t xml:space="preserve">Competições</t>
  </si>
  <si>
    <t xml:space="preserve">Semana Inicial no Macro</t>
  </si>
  <si>
    <t xml:space="preserve">Volume Planejado</t>
  </si>
  <si>
    <t xml:space="preserve">Intensidade Planejada</t>
  </si>
  <si>
    <t xml:space="preserve">MICROCICLOS DO MESOCICLO — PREVISTO × REALIZADO</t>
  </si>
  <si>
    <t xml:space="preserve">Microciclo</t>
  </si>
  <si>
    <t xml:space="preserve">Tipo de Microciclo</t>
  </si>
  <si>
    <t xml:space="preserve">Objetivo do Microciclo</t>
  </si>
  <si>
    <t xml:space="preserve">Semana nº</t>
  </si>
  <si>
    <t xml:space="preserve">Sessões Previstas</t>
  </si>
  <si>
    <t xml:space="preserve">Volume Previsto (min)</t>
  </si>
  <si>
    <t xml:space="preserve">PSE Média Prevista</t>
  </si>
  <si>
    <t xml:space="preserve">Carga Prevista (UA)</t>
  </si>
  <si>
    <t xml:space="preserve">% Cumprido</t>
  </si>
  <si>
    <t xml:space="preserve">Micro 5.1</t>
  </si>
  <si>
    <t xml:space="preserve">Ordinário</t>
  </si>
  <si>
    <t xml:space="preserve">Retomada do volume após a rodada; ênfase em side-out</t>
  </si>
  <si>
    <t xml:space="preserve">Micro 5.2</t>
  </si>
  <si>
    <t xml:space="preserve">Choque</t>
  </si>
  <si>
    <t xml:space="preserve">Pico de carga física da fase, mantendo o volume técnico</t>
  </si>
  <si>
    <t xml:space="preserve">Micro 5.3</t>
  </si>
  <si>
    <t xml:space="preserve">Consolidação técnico-tática do sistema defensivo</t>
  </si>
  <si>
    <t xml:space="preserve">Micro 5.4</t>
  </si>
  <si>
    <t xml:space="preserve">Recuperativo</t>
  </si>
  <si>
    <t xml:space="preserve">Redução de volume; recuperação e preparação do jogo</t>
  </si>
  <si>
    <t xml:space="preserve">Micro 5.5</t>
  </si>
  <si>
    <t xml:space="preserve">Polimento técnico e preparação por adversário</t>
  </si>
  <si>
    <t xml:space="preserve">% Cumprido = carga média por atleta ativo realizada na semana (aba Carga (PSE)) ÷ carga prevista do microciclo. Verde = 90–110% do previsto; amarelo = acima; vermelho = abaixo.</t>
  </si>
  <si>
    <t xml:space="preserve">PERIODIZAÇÃO EM BLOCOS — 2 MESES DE PERÍODO DE BASE</t>
  </si>
  <si>
    <t xml:space="preserve">Acumulação → Transmutação → Realização, com microciclos de CHOQUE nas semanas 3 e 7 e descarga na semana 4. Foco em força máxima, força explosiva com movimentos de LPO, agachamento e pliometria.</t>
  </si>
  <si>
    <t xml:space="preserve">PARÂMETROS DO BLOCO</t>
  </si>
  <si>
    <t xml:space="preserve">Início do bloco (2ª feira)</t>
  </si>
  <si>
    <t xml:space="preserve">OBJETIVO DO BLOCO — elevar a força máxima de membros inferiores e a taxa de produção de força, criando a base sobre a qual a potência será expressa nos blocos competitivos.
LÓGICA — a periodização em blocos concentra poucas capacidades por vez, em vez de desenvolver muitas ao mesmo tempo (Issurin, 2010; Stone et al., 2021). Estudos com esportes coletivos mostram vantagem dos blocos sobre a periodização tradicional em força, potência e salto (Rønnestad et al., 2018; Manchado et al., 2017).
CHOQUE — as semanas 3 e 7 concentram a carga deliberadamente para induzir overreaching funcional; espera-se queda transitória do CMJ nessas semanas, com supercompensação após a descarga (Micke et al., 2026). MONITORE o CMJ e o wellness nessas semanas: queda de CMJ acima de 10% por mais de 5 dias exige reduzir a carga.</t>
  </si>
  <si>
    <t xml:space="preserve">Sessões de força por semana</t>
  </si>
  <si>
    <t xml:space="preserve">Sessões de quadra por semana</t>
  </si>
  <si>
    <t xml:space="preserve">Atletas no bloco</t>
  </si>
  <si>
    <t xml:space="preserve">MATRIZ SEMANA A SEMANA</t>
  </si>
  <si>
    <t xml:space="preserve">Semana</t>
  </si>
  <si>
    <t xml:space="preserve">Ênfase Principal</t>
  </si>
  <si>
    <t xml:space="preserve">Sessões de Força</t>
  </si>
  <si>
    <t xml:space="preserve">Séries MMII/Sessão</t>
  </si>
  <si>
    <t xml:space="preserve">Agachamento (sér.×reps)</t>
  </si>
  <si>
    <t xml:space="preserve">%1RM Agach.</t>
  </si>
  <si>
    <t xml:space="preserve">Exercício de LPO</t>
  </si>
  <si>
    <t xml:space="preserve">LPO (sér.×reps)</t>
  </si>
  <si>
    <t xml:space="preserve">%1RM LPO</t>
  </si>
  <si>
    <t xml:space="preserve">Pliometria (contatos/sem)</t>
  </si>
  <si>
    <t xml:space="preserve">Intensidade Pliométrica</t>
  </si>
  <si>
    <t xml:space="preserve">Índice de Volume</t>
  </si>
  <si>
    <t xml:space="preserve">Índice de Intensidade</t>
  </si>
  <si>
    <t xml:space="preserve">ACWR Alvo</t>
  </si>
  <si>
    <t xml:space="preserve">O que monitorar nesta semana</t>
  </si>
  <si>
    <t xml:space="preserve">Acumulação</t>
  </si>
  <si>
    <t xml:space="preserve">Incorporação</t>
  </si>
  <si>
    <t xml:space="preserve">Adaptação anatômica + técnica de LPO</t>
  </si>
  <si>
    <t xml:space="preserve">4 × 8</t>
  </si>
  <si>
    <t xml:space="preserve">Power clean a partir do joelho (técnica)</t>
  </si>
  <si>
    <t xml:space="preserve">5 × 3</t>
  </si>
  <si>
    <t xml:space="preserve">Baixa (solo, CMJ e saltos horizontais)</t>
  </si>
  <si>
    <t xml:space="preserve">Qualidade técnica do power clean e da aterrissagem. Sem busca de carga.</t>
  </si>
  <si>
    <t xml:space="preserve">Força máxima de base</t>
  </si>
  <si>
    <t xml:space="preserve">4 × 6</t>
  </si>
  <si>
    <t xml:space="preserve">4 × 4</t>
  </si>
  <si>
    <t xml:space="preserve">Baixa a média (saltos sobre barreiras 40 cm)</t>
  </si>
  <si>
    <t xml:space="preserve">Velocidade média no agachamento a 75% ≥ 0,62 m/s. PSE das sessões de força entre 6 e 7.</t>
  </si>
  <si>
    <t xml:space="preserve">CHOQUE</t>
  </si>
  <si>
    <t xml:space="preserve">Pico de volume da fase de acumulação</t>
  </si>
  <si>
    <t xml:space="preserve">5 × 5</t>
  </si>
  <si>
    <t xml:space="preserve">Power clean</t>
  </si>
  <si>
    <t xml:space="preserve">Média (barreiras 50 cm + salto no caixote)</t>
  </si>
  <si>
    <t xml:space="preserve">SEMANA DE CHOQUE — espere queda de CMJ e piora do Hooper. Monitore diariamente e não some carga de quadra.</t>
  </si>
  <si>
    <t xml:space="preserve">Descarga</t>
  </si>
  <si>
    <t xml:space="preserve">Assimilação e supercompensação</t>
  </si>
  <si>
    <t xml:space="preserve">3 × 5</t>
  </si>
  <si>
    <t xml:space="preserve">Técnica leve (hang high pull)</t>
  </si>
  <si>
    <t xml:space="preserve">3 × 3</t>
  </si>
  <si>
    <t xml:space="preserve">Baixa (qualidade, volume reduzido)</t>
  </si>
  <si>
    <t xml:space="preserve">Retorno do CMJ ao valor da semana 1 ou acima. Se não voltar, prolongue a descarga.</t>
  </si>
  <si>
    <t xml:space="preserve">Transmutação</t>
  </si>
  <si>
    <t xml:space="preserve">Força máxima</t>
  </si>
  <si>
    <t xml:space="preserve">5 × 4</t>
  </si>
  <si>
    <t xml:space="preserve">5 × 2</t>
  </si>
  <si>
    <t xml:space="preserve">Média (drop jump 40 cm)</t>
  </si>
  <si>
    <t xml:space="preserve">Reteste indireto do 1RM pela velocidade. Ganho esperado de 3 a 6% no agachamento.</t>
  </si>
  <si>
    <t xml:space="preserve">Força-velocidade</t>
  </si>
  <si>
    <t xml:space="preserve">4 × 3</t>
  </si>
  <si>
    <t xml:space="preserve">Clean pull (carga supramáxima)</t>
  </si>
  <si>
    <t xml:space="preserve">Média a alta (drop jump 40–50 cm + unilaterais)</t>
  </si>
  <si>
    <t xml:space="preserve">Introduzir jump squat a 30% 1RM. Velocidade média do jump squat ≥ 1,0 m/s.</t>
  </si>
  <si>
    <t xml:space="preserve">Sobrecarga concentrada de potência</t>
  </si>
  <si>
    <t xml:space="preserve">4 × 3 (cluster 2+2)</t>
  </si>
  <si>
    <t xml:space="preserve">6 × 2</t>
  </si>
  <si>
    <t xml:space="preserve">Alta (drop jump 50 cm + saltos com sobrecarga)</t>
  </si>
  <si>
    <t xml:space="preserve">SEGUNDA SEMANA DE CHOQUE. ACWR chega a ~1,45 de propósito; reduza o volume de saltos de quadra para compensar.</t>
  </si>
  <si>
    <t xml:space="preserve">Realização</t>
  </si>
  <si>
    <t xml:space="preserve">Polimento</t>
  </si>
  <si>
    <t xml:space="preserve">Expressão de potência</t>
  </si>
  <si>
    <t xml:space="preserve">3 × 2</t>
  </si>
  <si>
    <t xml:space="preserve">4 × 1–2</t>
  </si>
  <si>
    <t xml:space="preserve">Alta qualidade, volume baixo (CMJ e DJ máximos)</t>
  </si>
  <si>
    <t xml:space="preserve">Reteste de CMJ, salto de ataque e 1RM. Espera-se o pico do bloco no fim desta semana.</t>
  </si>
  <si>
    <t xml:space="preserve">TOTAL</t>
  </si>
  <si>
    <t xml:space="preserve">SESSÕES-MODELO DA SEMANA (A, B e C) — exercícios do seu programa + LPO e pliometria</t>
  </si>
  <si>
    <t xml:space="preserve">Sessão</t>
  </si>
  <si>
    <t xml:space="preserve">Dia</t>
  </si>
  <si>
    <t xml:space="preserve">Ref. VBT</t>
  </si>
  <si>
    <t xml:space="preserve">Observação de execução</t>
  </si>
  <si>
    <t xml:space="preserve">A — Força MMII + LPO</t>
  </si>
  <si>
    <t xml:space="preserve">Segunda</t>
  </si>
  <si>
    <t xml:space="preserve">Aquecimento</t>
  </si>
  <si>
    <t xml:space="preserve">6 exercícios × 8 rep, antes da barra</t>
  </si>
  <si>
    <t xml:space="preserve">Força explosiva (LPO)</t>
  </si>
  <si>
    <t xml:space="preserve">Interromper a série se a velocidade da barra cair visivelmente</t>
  </si>
  <si>
    <t xml:space="preserve">Exercício-âncora do bloco; controlar pela velocidade média</t>
  </si>
  <si>
    <t xml:space="preserve">Força máxima (cadeia posterior)</t>
  </si>
  <si>
    <t xml:space="preserve">Terra</t>
  </si>
  <si>
    <t xml:space="preserve">Excêntrica de 3 s nas semanas 1 a 4</t>
  </si>
  <si>
    <t xml:space="preserve">Força unilateral</t>
  </si>
  <si>
    <t xml:space="preserve">Do seu programa (Séries 1, 3 e 7)</t>
  </si>
  <si>
    <t xml:space="preserve">Preventivo</t>
  </si>
  <si>
    <t xml:space="preserve">3 × 6, 2x por semana durante todo o bloco</t>
  </si>
  <si>
    <t xml:space="preserve">Abdominal reto com braços esticados + Dorsal perdigueiro</t>
  </si>
  <si>
    <t xml:space="preserve">3 × 25, do seu programa (Série 1)</t>
  </si>
  <si>
    <t xml:space="preserve">B — Potência, pliometria e MMSS</t>
  </si>
  <si>
    <t xml:space="preserve">Quarta</t>
  </si>
  <si>
    <t xml:space="preserve">Preventivo (ativação)</t>
  </si>
  <si>
    <t xml:space="preserve">3 × 15, antes de qualquer trabalho de ombro</t>
  </si>
  <si>
    <t xml:space="preserve">30% 1RM a partir da semana 6; pausa completa</t>
  </si>
  <si>
    <t xml:space="preserve">Salto no caixote / Drop jump</t>
  </si>
  <si>
    <t xml:space="preserve">Do seu programa (Série 5); altura conforme a matriz semanal</t>
  </si>
  <si>
    <t xml:space="preserve">Contato mínimo com o solo; contar os contatos</t>
  </si>
  <si>
    <t xml:space="preserve">Força MMSS</t>
  </si>
  <si>
    <t xml:space="preserve">Supino</t>
  </si>
  <si>
    <t xml:space="preserve">Do seu programa (Série 1)</t>
  </si>
  <si>
    <t xml:space="preserve">Do seu programa (Séries 2, 5 e 7)</t>
  </si>
  <si>
    <t xml:space="preserve">Potência MMSS</t>
  </si>
  <si>
    <t xml:space="preserve">Do seu programa (Série 6)</t>
  </si>
  <si>
    <t xml:space="preserve">Abdominal cruzado esticado + Dorsal reto</t>
  </si>
  <si>
    <t xml:space="preserve">3 × 25, do seu programa (Série 2)</t>
  </si>
  <si>
    <t xml:space="preserve">C — Força-velocidade e unilateral</t>
  </si>
  <si>
    <t xml:space="preserve">Sexta</t>
  </si>
  <si>
    <t xml:space="preserve">Puxadas sem fase de recepção: mesmo estímulo de tripla extensão, técnica mais simples</t>
  </si>
  <si>
    <t xml:space="preserve">Do seu programa (Série 2)</t>
  </si>
  <si>
    <t xml:space="preserve">Preventivo (tornozelo)</t>
  </si>
  <si>
    <t xml:space="preserve">Do seu programa (Séries 4, 6 e 8); descida lenta de 3 s</t>
  </si>
  <si>
    <t xml:space="preserve">Afundo frontal sem passada com sobrepeso</t>
  </si>
  <si>
    <t xml:space="preserve">Do seu programa (Séries 2, 4 e 8)</t>
  </si>
  <si>
    <t xml:space="preserve">Pliometria unilateral</t>
  </si>
  <si>
    <t xml:space="preserve">Só nas semanas sem choque</t>
  </si>
  <si>
    <t xml:space="preserve">3 × 20, do seu programa (Série 6)</t>
  </si>
  <si>
    <t xml:space="preserve">As sessões A, B e C já estão prescritas semana a semana na aba 'Prescrição Força', com séries, repetições, %1RM, carga calculada e velocidade-alvo para o atleta de referência.</t>
  </si>
  <si>
    <t xml:space="preserve">MICROCICLO — PLANEJAMENTO DA SEMANA</t>
  </si>
  <si>
    <t xml:space="preserve">Duas linhas por dia (duas sessões possíveis). As datas e os dias da semana são gerados a partir da Data de Início.</t>
  </si>
  <si>
    <t xml:space="preserve">IDENTIFICAÇÃO DO MICROCICLO</t>
  </si>
  <si>
    <t xml:space="preserve">Semana nº no Macrociclo</t>
  </si>
  <si>
    <t xml:space="preserve">Data de Início (2ª feira)</t>
  </si>
  <si>
    <t xml:space="preserve">Objetivo da Semana</t>
  </si>
  <si>
    <t xml:space="preserve">Consolidação técnico-tática do sistema defensivo, mantendo a carga física da fase</t>
  </si>
  <si>
    <t xml:space="preserve">SESSÕES DA SEMANA</t>
  </si>
  <si>
    <t xml:space="preserve">Dia da Semana</t>
  </si>
  <si>
    <t xml:space="preserve">Turno</t>
  </si>
  <si>
    <t xml:space="preserve">Tipo de Sessão</t>
  </si>
  <si>
    <t xml:space="preserve">Local</t>
  </si>
  <si>
    <t xml:space="preserve">Duração (min)</t>
  </si>
  <si>
    <t xml:space="preserve">PSE Prevista</t>
  </si>
  <si>
    <t xml:space="preserve">Ênfase Física / Prevenção</t>
  </si>
  <si>
    <t xml:space="preserve">Manhã</t>
  </si>
  <si>
    <t xml:space="preserve">Físico (Força)</t>
  </si>
  <si>
    <t xml:space="preserve">Sala de musculação</t>
  </si>
  <si>
    <t xml:space="preserve">Força máxima: agachamento e terra romeno</t>
  </si>
  <si>
    <t xml:space="preserve">Tarde</t>
  </si>
  <si>
    <t xml:space="preserve">Técnico-Tático</t>
  </si>
  <si>
    <t xml:space="preserve">Ginásio principal</t>
  </si>
  <si>
    <t xml:space="preserve">Recepção de saque e side-out</t>
  </si>
  <si>
    <t xml:space="preserve">Complexo K1</t>
  </si>
  <si>
    <t xml:space="preserve">Ativação e core</t>
  </si>
  <si>
    <t xml:space="preserve">Físico (Potência)</t>
  </si>
  <si>
    <t xml:space="preserve">Power clean e jump squat</t>
  </si>
  <si>
    <t xml:space="preserve">Ataque de ponta e primeiro tempo</t>
  </si>
  <si>
    <t xml:space="preserve">Complexo K2</t>
  </si>
  <si>
    <t xml:space="preserve">Pliometria de baixo volume</t>
  </si>
  <si>
    <t xml:space="preserve">Coletivo/Jogo</t>
  </si>
  <si>
    <t xml:space="preserve">Saque sob pressão</t>
  </si>
  <si>
    <t xml:space="preserve">Prevenção de ombro</t>
  </si>
  <si>
    <t xml:space="preserve">Físico (Condicionamento)</t>
  </si>
  <si>
    <t xml:space="preserve">Pista</t>
  </si>
  <si>
    <t xml:space="preserve">Intervalado 15/15</t>
  </si>
  <si>
    <t xml:space="preserve">Bloqueio e defesa</t>
  </si>
  <si>
    <t xml:space="preserve">Sistemas de cobertura</t>
  </si>
  <si>
    <t xml:space="preserve">Mobilidade</t>
  </si>
  <si>
    <t xml:space="preserve">Refinamento do side-out</t>
  </si>
  <si>
    <t xml:space="preserve">Ativação</t>
  </si>
  <si>
    <t xml:space="preserve">Recuperação/Regenerativo</t>
  </si>
  <si>
    <t xml:space="preserve">Piscina / sala</t>
  </si>
  <si>
    <t xml:space="preserve">Técnica livre</t>
  </si>
  <si>
    <t xml:space="preserve">Vídeo do adversário</t>
  </si>
  <si>
    <t xml:space="preserve">Liberação miofascial</t>
  </si>
  <si>
    <t xml:space="preserve">Folga</t>
  </si>
  <si>
    <t xml:space="preserve">Descanso completo</t>
  </si>
  <si>
    <t xml:space="preserve">TOTAL DA SEMANA</t>
  </si>
  <si>
    <t xml:space="preserve">RESUMO DA SEMANA — PREVISTO × REALIZADO</t>
  </si>
  <si>
    <t xml:space="preserve">SESSÕES PLANEJADAS</t>
  </si>
  <si>
    <t xml:space="preserve">DURAÇÃO TOTAL (min)</t>
  </si>
  <si>
    <t xml:space="preserve">CARGA PREVISTA (UA)</t>
  </si>
  <si>
    <t xml:space="preserve">CARGA REALIZADA — MÉDIA/ATLETA (UA)</t>
  </si>
  <si>
    <t xml:space="preserve">% DE CUMPRIMENTO DA CARGA</t>
  </si>
  <si>
    <t xml:space="preserve">DISTRIBUIÇÃO DE CONTEÚDOS POR DIA (minutos)</t>
  </si>
  <si>
    <t xml:space="preserve">Preventivo / Prevenção</t>
  </si>
  <si>
    <t xml:space="preserve">Total (min)</t>
  </si>
  <si>
    <t xml:space="preserve">% da Semana</t>
  </si>
  <si>
    <t xml:space="preserve">PRESCRIÇÃO DO TREINO</t>
  </si>
  <si>
    <t xml:space="preserve">Uma linha por exercício prescrito. Escolha o exercício no menu (vem da aba Exercícios) e defina o destinatário: 'Equipe (todos)' ou o nome de um atleta — é assim que o treino chega à Área do Atleta.</t>
  </si>
  <si>
    <t xml:space="preserve">RESUMO DA SESSÃO SELECIONADA</t>
  </si>
  <si>
    <t xml:space="preserve">Data:</t>
  </si>
  <si>
    <t xml:space="preserve">EXERCÍCIOS PRESCRITOS</t>
  </si>
  <si>
    <t xml:space="preserve">PSE MÉDIA PREVISTA</t>
  </si>
  <si>
    <t xml:space="preserve">MIN. TÉCNICO</t>
  </si>
  <si>
    <t xml:space="preserve">MIN. TÁTICO</t>
  </si>
  <si>
    <t xml:space="preserve">MIN. FÍSICO</t>
  </si>
  <si>
    <t xml:space="preserve">MIN. PREVENTIVO</t>
  </si>
  <si>
    <t xml:space="preserve">Digite a data em B4 para ver o resumo das sessões daquele dia. Séries × Repetições geram o Volume; Duração × PSE Prevista geram a Carga Prevista em UA (unidades arbitrárias).</t>
  </si>
  <si>
    <t xml:space="preserve">Destinatário</t>
  </si>
  <si>
    <t xml:space="preserve">Séries</t>
  </si>
  <si>
    <t xml:space="preserve">Repetições / Tempo</t>
  </si>
  <si>
    <t xml:space="preserve">Carga / Intensidade</t>
  </si>
  <si>
    <t xml:space="preserve">Pausa (s)</t>
  </si>
  <si>
    <t xml:space="preserve">PSE Prev.</t>
  </si>
  <si>
    <t xml:space="preserve">Volume</t>
  </si>
  <si>
    <t xml:space="preserve">Carga Prev. (UA)</t>
  </si>
  <si>
    <t xml:space="preserve">Progressão / Critério</t>
  </si>
  <si>
    <t xml:space="preserve">Índ.</t>
  </si>
  <si>
    <t xml:space="preserve">S1 — Força</t>
  </si>
  <si>
    <t xml:space="preserve">Equipe (todos)</t>
  </si>
  <si>
    <t xml:space="preserve">8 por exercício</t>
  </si>
  <si>
    <t xml:space="preserve">Peso corporal</t>
  </si>
  <si>
    <t xml:space="preserve">Amplitude completa</t>
  </si>
  <si>
    <t xml:space="preserve">Ativação / Prevenção</t>
  </si>
  <si>
    <t xml:space="preserve">Elástico vermelho</t>
  </si>
  <si>
    <t xml:space="preserve">Progredir a resistência a cada 2 semanas</t>
  </si>
  <si>
    <t xml:space="preserve">Parte Principal</t>
  </si>
  <si>
    <t xml:space="preserve">75% de 1RM</t>
  </si>
  <si>
    <t xml:space="preserve">+2,5% se completar todas as séries</t>
  </si>
  <si>
    <t xml:space="preserve">65% de 1RM</t>
  </si>
  <si>
    <t xml:space="preserve">Excêntrica de 3 s</t>
  </si>
  <si>
    <t xml:space="preserve">70% de 1RM</t>
  </si>
  <si>
    <t xml:space="preserve">Parar a série se a barra desacelerar</t>
  </si>
  <si>
    <t xml:space="preserve">Complementar</t>
  </si>
  <si>
    <t xml:space="preserve">2x por semana no bloco</t>
  </si>
  <si>
    <t xml:space="preserve">Volta à Calma</t>
  </si>
  <si>
    <t xml:space="preserve">30 s por grupamento</t>
  </si>
  <si>
    <t xml:space="preserve">Rolo</t>
  </si>
  <si>
    <t xml:space="preserve">S2 — Técnico-Tático</t>
  </si>
  <si>
    <t xml:space="preserve">Bola</t>
  </si>
  <si>
    <t xml:space="preserve">Meta de 80% ao alvo</t>
  </si>
  <si>
    <t xml:space="preserve">Saque real</t>
  </si>
  <si>
    <t xml:space="preserve">Meta de 70% de passes A/B</t>
  </si>
  <si>
    <t xml:space="preserve">Bola alta</t>
  </si>
  <si>
    <t xml:space="preserve">5 séries na semana seguinte</t>
  </si>
  <si>
    <t xml:space="preserve">20 tentativas</t>
  </si>
  <si>
    <t xml:space="preserve">Jogo</t>
  </si>
  <si>
    <t xml:space="preserve">Meta de 60% de side-out</t>
  </si>
  <si>
    <t xml:space="preserve">Máxima</t>
  </si>
  <si>
    <t xml:space="preserve">Registrar acertos por série</t>
  </si>
  <si>
    <t xml:space="preserve">EXEMPLO — treino individual</t>
  </si>
  <si>
    <t xml:space="preserve">S3 — Potência</t>
  </si>
  <si>
    <t xml:space="preserve">30% de 1RM</t>
  </si>
  <si>
    <t xml:space="preserve">Velocidade acima de 1,0 m/s</t>
  </si>
  <si>
    <t xml:space="preserve">Caixa de 40 cm</t>
  </si>
  <si>
    <t xml:space="preserve">Progredir só com boa aterrissagem</t>
  </si>
  <si>
    <t xml:space="preserve">S4 — Coletivo</t>
  </si>
  <si>
    <t xml:space="preserve">20 séries</t>
  </si>
  <si>
    <t xml:space="preserve">Avaliar eficiência do contra-ataque</t>
  </si>
  <si>
    <t xml:space="preserve">sets a 15</t>
  </si>
  <si>
    <t xml:space="preserve">PRESCRIÇÃO E CONTROLE DO TREINO DE FORÇA E POTÊNCIA</t>
  </si>
  <si>
    <t xml:space="preserve">As 8 semanas do bloco de base já vêm prescritas. A carga em kg sai de %1RM × 1RM atual do atleta de referência; a velocidade-alvo sai da tabela carga-velocidade (editável) à direita.</t>
  </si>
  <si>
    <t xml:space="preserve">PARÂMETROS E RESUMO DA SEMANA</t>
  </si>
  <si>
    <t xml:space="preserve">Atleta de referência:</t>
  </si>
  <si>
    <t xml:space="preserve">EXERCÍCIOS NA SEMANA</t>
  </si>
  <si>
    <t xml:space="preserve">SÉRIES TOTAIS</t>
  </si>
  <si>
    <t xml:space="preserve">REPETIÇÕES TOTAIS</t>
  </si>
  <si>
    <t xml:space="preserve">TONELAGEM DA SEMANA (kg)</t>
  </si>
  <si>
    <t xml:space="preserve">INTENSIDADE MÉDIA RELATIVA</t>
  </si>
  <si>
    <t xml:space="preserve">CONTATOS PLIOMÉTRICOS</t>
  </si>
  <si>
    <t xml:space="preserve">Semana do bloco (1 a 8):</t>
  </si>
  <si>
    <t xml:space="preserve">Preencha em amarelo o que foi EXECUTADO (carga usada, velocidade obtida, perda de velocidade, RIR e PSE). A tonelagem usa a carga usada quando informada e, na falta dela, a carga calculada.</t>
  </si>
  <si>
    <t xml:space="preserve">TABELA CARGA-VELOCIDADE (editável)</t>
  </si>
  <si>
    <t xml:space="preserve">Semana do Bloco</t>
  </si>
  <si>
    <t xml:space="preserve">Reps</t>
  </si>
  <si>
    <t xml:space="preserve">%1RM</t>
  </si>
  <si>
    <t xml:space="preserve">1RM Atual (kg)</t>
  </si>
  <si>
    <t xml:space="preserve">Carga Calculada (kg)</t>
  </si>
  <si>
    <t xml:space="preserve">Carga Usada (kg)</t>
  </si>
  <si>
    <t xml:space="preserve">Velocidade Alvo (m/s)</t>
  </si>
  <si>
    <t xml:space="preserve">Velocidade Obtida (m/s)</t>
  </si>
  <si>
    <t xml:space="preserve">Perda de Vel. Limite (%)</t>
  </si>
  <si>
    <t xml:space="preserve">Perda de Vel. Obtida (%)</t>
  </si>
  <si>
    <t xml:space="preserve">Situação VBT</t>
  </si>
  <si>
    <t xml:space="preserve">RIR</t>
  </si>
  <si>
    <t xml:space="preserve">PSE</t>
  </si>
  <si>
    <t xml:space="preserve">Reps Totais</t>
  </si>
  <si>
    <t xml:space="preserve">Tonelagem (kg)</t>
  </si>
  <si>
    <t xml:space="preserve">Zona de Intensidade</t>
  </si>
  <si>
    <t xml:space="preserve">Ref. 1RM</t>
  </si>
  <si>
    <t xml:space="preserve">Agachamento — MPV (m/s)</t>
  </si>
  <si>
    <t xml:space="preserve">Supino — MPV (m/s)</t>
  </si>
  <si>
    <t xml:space="preserve">Terra — MV (m/s)</t>
  </si>
  <si>
    <t xml:space="preserve">Força-Velocidade</t>
  </si>
  <si>
    <t xml:space="preserve">B</t>
  </si>
  <si>
    <t xml:space="preserve">C</t>
  </si>
  <si>
    <t xml:space="preserve">Valores APROXIMADOS de referência compilados da literatura de treinamento baseado em velocidade (velocidade média propulsiva no agachamento completo e no supino; velocidade média no terra). A relação carga-velocidade é específica de exercício, equipamento e atleta: levante o SEU perfil individual e substitua estes números. Use a velocidade para conferir a intensidade da série, não para substituir o teste de 1RM.</t>
  </si>
  <si>
    <t xml:space="preserve">CONTROLE DE FORÇA MÁXIMA (1RM)</t>
  </si>
  <si>
    <t xml:space="preserve">Registre testes diretos ou séries até a falha técnica: a planilha estima o 1RM por Epley e Brzycki. A matriz à direita mantém o 1RM ATUAL de cada atleta e alimenta o cálculo de carga da aba Prescrição Força.</t>
  </si>
  <si>
    <t xml:space="preserve">Epley: 1RM = carga × (1 + reps/30).  •  Brzycki: 1RM = carga ÷ (1,0278 − 0,0278 × reps).  Ambas perdem precisão acima de ~10 repetições — use 3 a 6 repetições.  A estimativa do 1RM pela velocidade da barra tende a SUPERESTIMAR a força real (Greig et al., 2023; LeMense et al., 2024): sempre que possível, teste o 1RM diretamente.</t>
  </si>
  <si>
    <t xml:space="preserve">1RM ATUAL POR ATLETA (última avaliação registrada, em kg)</t>
  </si>
  <si>
    <t xml:space="preserve">Método</t>
  </si>
  <si>
    <t xml:space="preserve">1RM Epley (kg)</t>
  </si>
  <si>
    <t xml:space="preserve">1RM Brzycki (kg)</t>
  </si>
  <si>
    <t xml:space="preserve">1RM Adotado (kg)</t>
  </si>
  <si>
    <t xml:space="preserve">Massa Corporal (kg)</t>
  </si>
  <si>
    <t xml:space="preserve">Força Relativa (×massa)</t>
  </si>
  <si>
    <t xml:space="preserve">Direto (1RM real)</t>
  </si>
  <si>
    <t xml:space="preserve">CONTROLE DE CARGA INTERNA — MÉTODO DA PSE DA SESSÃO</t>
  </si>
  <si>
    <t xml:space="preserve">Registre duração e PSE (0–10, coletada ~30 min após o treino). Carga, aguda, crônica, ACWR e zona de risco são automáticos.</t>
  </si>
  <si>
    <t xml:space="preserve">Carga (UA) = Duração × PSE  •  ACWR = Carga Aguda (7 d) ÷ Carga Crônica (média semanal dos 28 d).  Faixas: &lt; 0,80 subcarga | 0,80–1,30 zona ideal | 1,31–1,50 atenção | &gt; 1,50 risco elevado.  A Zona só é classificada após 21 dias de registros do atleta — antes disso aparece 'Histórico insuficiente'.</t>
  </si>
  <si>
    <t xml:space="preserve">PSE (0-10)</t>
  </si>
  <si>
    <t xml:space="preserve">Carga (UA)</t>
  </si>
  <si>
    <t xml:space="preserve">Carga Aguda 7 d</t>
  </si>
  <si>
    <t xml:space="preserve">Carga Crônica 28 d</t>
  </si>
  <si>
    <t xml:space="preserve">Dias de Histórico</t>
  </si>
  <si>
    <t xml:space="preserve">Zona / Alerta</t>
  </si>
  <si>
    <t xml:space="preserve">CARGA DE SALTOS — PLIOMETRIA, QUADRA E JOGO</t>
  </si>
  <si>
    <t xml:space="preserve">O salto é a carga externa que mais explica lesão por sobrecarga no voleibol. Registre TODOS os saltos: contatos pliométricos da musculação, saltos de treino de quadra e saltos de jogo.</t>
  </si>
  <si>
    <t xml:space="preserve">Referências de dose: programas pliométricos com mais de 10 semanas, mais de 20 sessões e mais de 50 saltos por sessão, combinando tipos de salto, maximizam o ganho de impulsão (Sáez de Villarreal et al., 2009). Em temporada, equipes universitárias masculinas chegam a ~466 saltos semanais no mesociclo competitivo (Lin et al., 2024). O alerta aqui é o SALTO SEMANAL e a variação brusca em relação à semana anterior.</t>
  </si>
  <si>
    <t xml:space="preserve">Semana de referência:</t>
  </si>
  <si>
    <t xml:space="preserve">RESUMO SEMANAL POR ATLETA</t>
  </si>
  <si>
    <t xml:space="preserve">Origem</t>
  </si>
  <si>
    <t xml:space="preserve">Exercício / Contexto</t>
  </si>
  <si>
    <t xml:space="preserve">Nº de Saltos ou Contatos</t>
  </si>
  <si>
    <t xml:space="preserve">Intensidade</t>
  </si>
  <si>
    <t xml:space="preserve">Superfície</t>
  </si>
  <si>
    <t xml:space="preserve">Altura da Caixa (cm)</t>
  </si>
  <si>
    <t xml:space="preserve">Altura Média do Salto (cm)</t>
  </si>
  <si>
    <t xml:space="preserve">% de Saltos &gt; 80% do Máx</t>
  </si>
  <si>
    <t xml:space="preserve">Qualidade Técnica (1-5)</t>
  </si>
  <si>
    <t xml:space="preserve">Quadra</t>
  </si>
  <si>
    <t xml:space="preserve">Total da Semana</t>
  </si>
  <si>
    <t xml:space="preserve">Semana Anterior</t>
  </si>
  <si>
    <t xml:space="preserve">Variação</t>
  </si>
  <si>
    <t xml:space="preserve">Sessão B — drop jump e barreiras</t>
  </si>
  <si>
    <t xml:space="preserve">Quadra (madeira)</t>
  </si>
  <si>
    <t xml:space="preserve">Treino de quadra</t>
  </si>
  <si>
    <t xml:space="preserve">Média</t>
  </si>
  <si>
    <t xml:space="preserve">Rodada do estadual</t>
  </si>
  <si>
    <t xml:space="preserve">WELLNESS DIÁRIO — ÍNDICE DE HOOPER</t>
  </si>
  <si>
    <t xml:space="preserve">Cada item de 1 (muito bom / ausente) a 7 (muito ruim / máxima). Soma de 4 a 28 — QUANTO MAIOR, PIOR. Aplicar antes do treino.</t>
  </si>
  <si>
    <t xml:space="preserve">Classificação: 4–8 Ótimo | 9–12 Bom | 13–16 Regular | 17–20 Alerta | 21–28 Crítico. Referência: Hooper &amp; Mackinnon (1995). Pontuações em Alerta/Crítico por 2 dias seguidos pedem conversa com o atleta e eventual ajuste da carga do dia.</t>
  </si>
  <si>
    <t xml:space="preserve">Qualidade do Sono (1-7)</t>
  </si>
  <si>
    <t xml:space="preserve">Estresse (1-7)</t>
  </si>
  <si>
    <t xml:space="preserve">Fadiga (1-7)</t>
  </si>
  <si>
    <t xml:space="preserve">Dor Muscular (1-7)</t>
  </si>
  <si>
    <t xml:space="preserve">Classificação</t>
  </si>
  <si>
    <t xml:space="preserve">Local da Dor / Queixa</t>
  </si>
  <si>
    <t xml:space="preserve">CONTROLE DE PRESENÇA</t>
  </si>
  <si>
    <t xml:space="preserve">Chamada por sessão à esquerda; percentual de presença por atleta calculado automaticamente à direita.</t>
  </si>
  <si>
    <t xml:space="preserve">RESUMO POR ATLETA</t>
  </si>
  <si>
    <t xml:space="preserve">Sessão / Tipo</t>
  </si>
  <si>
    <t xml:space="preserve">Presença</t>
  </si>
  <si>
    <t xml:space="preserve">Min. Participados</t>
  </si>
  <si>
    <t xml:space="preserve">Justificativa</t>
  </si>
  <si>
    <t xml:space="preserve">Registros</t>
  </si>
  <si>
    <t xml:space="preserve">Presenças</t>
  </si>
  <si>
    <t xml:space="preserve">% Presença</t>
  </si>
  <si>
    <t xml:space="preserve">Faltas</t>
  </si>
  <si>
    <t xml:space="preserve">Lesão / DM</t>
  </si>
  <si>
    <t xml:space="preserve">Min. Totais</t>
  </si>
  <si>
    <t xml:space="preserve">Presente</t>
  </si>
  <si>
    <t xml:space="preserve">Falta Justificada</t>
  </si>
  <si>
    <t xml:space="preserve">Compromisso acadêmico</t>
  </si>
  <si>
    <t xml:space="preserve">Tendinopatia patelar — DM</t>
  </si>
  <si>
    <t xml:space="preserve">ÁREA DO ATLETA</t>
  </si>
  <si>
    <t xml:space="preserve">Escolha o seu nome no menu: perfil, cargas da semana, monotonia e o treino prescrito aparecem automaticamente.</t>
  </si>
  <si>
    <t xml:space="preserve">ATLETA:</t>
  </si>
  <si>
    <t xml:space="preserve">Ver treinos a partir de:</t>
  </si>
  <si>
    <t xml:space="preserve">PERFIL DO ATLETA</t>
  </si>
  <si>
    <t xml:space="preserve">Dominância</t>
  </si>
  <si>
    <t xml:space="preserve">INDICADORES ATUAIS</t>
  </si>
  <si>
    <t xml:space="preserve">SESSÕES REGISTRADAS</t>
  </si>
  <si>
    <t xml:space="preserve">CARGA TOTAL (UA)</t>
  </si>
  <si>
    <t xml:space="preserve">CARGA MÉDIA SEMANAL (UA)</t>
  </si>
  <si>
    <t xml:space="preserve">ÚLTIMO REGISTRO</t>
  </si>
  <si>
    <t xml:space="preserve">ACWR ATUAL</t>
  </si>
  <si>
    <t xml:space="preserve">MONOTONIA MÉDIA</t>
  </si>
  <si>
    <t xml:space="preserve">% DE PRESENÇA</t>
  </si>
  <si>
    <t xml:space="preserve">HOOPER MÉDIO</t>
  </si>
  <si>
    <t xml:space="preserve">CONTROLE SEMANAL DE CARGA — MONOTONIA E STRAIN (FOSTER)</t>
  </si>
  <si>
    <t xml:space="preserve">Início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</si>
  <si>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</si>
  <si>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</si>
  <si>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</si>
  <si>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</si>
  <si>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</si>
  <si>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Sáb</t>
  </si>
  <si>
    <t xml:space="preserve">Dom</t>
  </si>
  <si>
    <t xml:space="preserve">Carga Semanal (UA)</t>
  </si>
  <si>
    <t xml:space="preserve">Sessões</t>
  </si>
  <si>
    <t xml:space="preserve">Média Diária</t>
  </si>
  <si>
    <t xml:space="preserve">Desvio-Padrão</t>
  </si>
  <si>
    <t xml:space="preserve">MEU TREINO PRESCRITO (a partir da data informada em C5)</t>
  </si>
  <si>
    <t xml:space="preserve">Reps / Tempo</t>
  </si>
  <si>
    <t xml:space="preserve">Aparecem aqui as linhas da aba Prescrição cujo Destinatário seja 'Equipe (todos)' ou o nome do atleta selecionado, com data igual ou posterior à informada em C5.</t>
  </si>
  <si>
    <t xml:space="preserve">PAINEL INTERATIVO DA EQUIPE</t>
  </si>
  <si>
    <t xml:space="preserve">Indicadores e gráficos alimentados por todas as abas de registro. Altere a semana de referência em C4 para atualizar os cartões.</t>
  </si>
  <si>
    <t xml:space="preserve">ATLETAS ATIVOS</t>
  </si>
  <si>
    <t xml:space="preserve">LESIONADOS / DM</t>
  </si>
  <si>
    <t xml:space="preserve">REGISTROS DE CARGA</t>
  </si>
  <si>
    <t xml:space="preserve">CARGA TOTAL DA EQUIPE (UA)</t>
  </si>
  <si>
    <t xml:space="preserve">CARGA DA SEMANA (UA)</t>
  </si>
  <si>
    <t xml:space="preserve">CARGA MÉDIA / ATLETA NA SEMANA</t>
  </si>
  <si>
    <t xml:space="preserve">ATLETAS EM RISCO (ACWR &gt; 1,5)</t>
  </si>
  <si>
    <t xml:space="preserve">HOOPER MÉDIO DA SEMANA</t>
  </si>
  <si>
    <t xml:space="preserve">EVOLUÇÃO SEMANAL DA EQUIPE</t>
  </si>
  <si>
    <t xml:space="preserve">Carga Total (UA)</t>
  </si>
  <si>
    <t xml:space="preserve">Carga Média/Atleta</t>
  </si>
  <si>
    <t xml:space="preserve">PSE Média</t>
  </si>
  <si>
    <t xml:space="preserve">Hooper Médio</t>
  </si>
  <si>
    <t xml:space="preserve">ACWR Médio</t>
  </si>
  <si>
    <t xml:space="preserve">CARGA POR TIPO DE SESSÃO</t>
  </si>
  <si>
    <t xml:space="preserve">% do Total</t>
  </si>
  <si>
    <t xml:space="preserve">Amistoso</t>
  </si>
  <si>
    <t xml:space="preserve">Competição Oficial</t>
  </si>
  <si>
    <t xml:space="preserve">Vídeo/Teórico</t>
  </si>
  <si>
    <t xml:space="preserve">RANKING E SITUAÇÃO POR ATLETA</t>
  </si>
  <si>
    <t xml:space="preserve">Carga Média/Sessão (UA)</t>
  </si>
  <si>
    <t xml:space="preserve">ACWR Atual</t>
  </si>
  <si>
    <t xml:space="preserve">KPIs DE FORÇA E POTÊNCIA — ACOMPANHAMENTO DO BLOCO</t>
  </si>
  <si>
    <t xml:space="preserve">Indicadores de carga (tonelagem, intensidade relativa, contatos pliométricos) e de evolução (1RM relativo, CMJ, potência de pico). Altere a semana em C4 para atualizar os cartões.</t>
  </si>
  <si>
    <t xml:space="preserve">1RM MÉDIO — AGACHAMENTO (kg)</t>
  </si>
  <si>
    <t xml:space="preserve">FORÇA RELATIVA MÉDIA (× massa)</t>
  </si>
  <si>
    <t xml:space="preserve">Δ CMJ MÉDIO DO BLOCO</t>
  </si>
  <si>
    <t xml:space="preserve">CARGA DE FORÇA POR SEMANA DO BLOCO</t>
  </si>
  <si>
    <t xml:space="preserve">Intensidade Média Relativa</t>
  </si>
  <si>
    <t xml:space="preserve">Contatos Pliométricos</t>
  </si>
  <si>
    <t xml:space="preserve">Exercícios Prescritos</t>
  </si>
  <si>
    <t xml:space="preserve">Tonelagem por Exercício</t>
  </si>
  <si>
    <t xml:space="preserve">DISTRIBUIÇÃO DE REPETIÇÕES POR ZONA DE INTENSIDADE (bloco completo)</t>
  </si>
  <si>
    <t xml:space="preserve">Balística / Velocidade (&lt;50%)</t>
  </si>
  <si>
    <t xml:space="preserve">Velocidade-Força (50–69%)</t>
  </si>
  <si>
    <t xml:space="preserve">Força-Velocidade (70–79%)</t>
  </si>
  <si>
    <t xml:space="preserve">Força Máxima (80–89%)</t>
  </si>
  <si>
    <t xml:space="preserve">Força Máxima Alta (≥90%)</t>
  </si>
  <si>
    <t xml:space="preserve">EVOLUÇÃO POR ATLETA</t>
  </si>
  <si>
    <t xml:space="preserve">1RM Agachamento (kg)</t>
  </si>
  <si>
    <t xml:space="preserve">Força Relativa (× massa)</t>
  </si>
  <si>
    <t xml:space="preserve">CMJ Inicial (cm)</t>
  </si>
  <si>
    <t xml:space="preserve">CMJ Atual (cm)</t>
  </si>
  <si>
    <t xml:space="preserve">Δ CMJ</t>
  </si>
  <si>
    <t xml:space="preserve">Potência de Pico Atual (W)</t>
  </si>
  <si>
    <t xml:space="preserve">Perfil F-V</t>
  </si>
  <si>
    <t xml:space="preserve">Prioridade</t>
  </si>
  <si>
    <t xml:space="preserve">BASE DE EVIDÊNCIAS — PREPARAÇÃO FÍSICA PARA VOLEIBOL</t>
  </si>
  <si>
    <t xml:space="preserve">Referências que sustentam as escolhas metodológicas desta planilha: periodização em blocos, LPO, pliometria, treino baseado em velocidade, perfil força-velocidade, antropometria e controle de carga.</t>
  </si>
  <si>
    <t xml:space="preserve">Autores (ano)</t>
  </si>
  <si>
    <t xml:space="preserve">Título</t>
  </si>
  <si>
    <t xml:space="preserve">Periódico</t>
  </si>
  <si>
    <t xml:space="preserve">Tipo de Estudo</t>
  </si>
  <si>
    <t xml:space="preserve">Achado Principal</t>
  </si>
  <si>
    <t xml:space="preserve">Onde é aplicado na planilha</t>
  </si>
  <si>
    <t xml:space="preserve">Link</t>
  </si>
  <si>
    <t xml:space="preserve">PERIODIZAÇÃO EM BLOCOS</t>
  </si>
  <si>
    <t xml:space="preserve">Issurin (2010)</t>
  </si>
  <si>
    <t xml:space="preserve">New Horizons for the Methodology and Physiology of Training Periodization</t>
  </si>
  <si>
    <t xml:space="preserve">Sports Medicine</t>
  </si>
  <si>
    <t xml:space="preserve">Revisão</t>
  </si>
  <si>
    <t xml:space="preserve">Base conceitual da periodização em blocos: mesociclos com cargas altamente concentradas em poucas capacidades, em vez do desenvolvimento simultâneo de muitas.</t>
  </si>
  <si>
    <t xml:space="preserve">Aba Bloco Base — estrutura acumulação/transmutação/realização</t>
  </si>
  <si>
    <t xml:space="preserve">https://consensus.app/papers/details/f382ecd540d75e349364da666ea4c096/</t>
  </si>
  <si>
    <t xml:space="preserve">Issurin (2016)</t>
  </si>
  <si>
    <t xml:space="preserve">Benefits and Limitations of Block Periodized Training Approaches to Athletes' Preparation</t>
  </si>
  <si>
    <t xml:space="preserve">O modelo em blocos MULTIALVO superou a preparação tradicional em 28 estudos com esportes coletivos, de resistência e de força; o modelo unidirecional concentrado só serve a disciplinas de uma única capacidade.</t>
  </si>
  <si>
    <t xml:space="preserve">Bloco Base — escolha do modelo multialvo, e não do concentrado puro</t>
  </si>
  <si>
    <t xml:space="preserve">https://consensus.app/papers/details/c45056fdee8e538689e4b3e3cedc15f7/</t>
  </si>
  <si>
    <t xml:space="preserve">Stone et al. (2021)</t>
  </si>
  <si>
    <t xml:space="preserve">Periodization and Block Periodization in Sports: Emphasis on Strength-Power Training</t>
  </si>
  <si>
    <t xml:space="preserve">J Strength Cond Res</t>
  </si>
  <si>
    <t xml:space="preserve">Narrativa</t>
  </si>
  <si>
    <t xml:space="preserve">Separa PERIODIZAÇÃO (fases e prazos) de PROGRAMAÇÃO (exercícios, volume, intensidade); esportes coletivos precisam da variante de blocos com múltiplos alvos.</t>
  </si>
  <si>
    <t xml:space="preserve">Macrociclo, Mesociclo e Bloco Base</t>
  </si>
  <si>
    <t xml:space="preserve">https://consensus.app/papers/details/f256bd9422b65ada8b27fd28db364b55/</t>
  </si>
  <si>
    <t xml:space="preserve">Rønnestad et al. (2018)</t>
  </si>
  <si>
    <t xml:space="preserve">Block periodization of strength and endurance training is superior to traditional periodization in ice hockey players</t>
  </si>
  <si>
    <t xml:space="preserve">Scand J Med Sci Sports</t>
  </si>
  <si>
    <t xml:space="preserve">ECR</t>
  </si>
  <si>
    <t xml:space="preserve">Com volume e intensidade IGUAIS, o grupo em blocos melhorou mais o torque de extensores de joelho e o VO2máx que o grupo tradicional.</t>
  </si>
  <si>
    <t xml:space="preserve">Bloco Base — justificativa do modelo</t>
  </si>
  <si>
    <t xml:space="preserve">https://consensus.app/papers/details/db1410c0c5ca5209811bb4e58eb7ec1b/</t>
  </si>
  <si>
    <t xml:space="preserve">Manchado et al. (2017)</t>
  </si>
  <si>
    <t xml:space="preserve">Effects of Two Different Training Periodization Models on Elite Female Team Handball Players</t>
  </si>
  <si>
    <t xml:space="preserve">Longitudinal</t>
  </si>
  <si>
    <t xml:space="preserve">Blocos superaram a periodização tradicional em salto agachado (+5,97%), CMJ (+8,76%), preensão manual, 1RM de supino e sprints de 10 e 20 m.</t>
  </si>
  <si>
    <t xml:space="preserve">Bloco Base — transferência para esporte coletivo de quadra</t>
  </si>
  <si>
    <t xml:space="preserve">https://consensus.app/papers/details/d8c5245dada2544285c48a147bbc308f/</t>
  </si>
  <si>
    <t xml:space="preserve">Bartolomei et al. (2014)</t>
  </si>
  <si>
    <t xml:space="preserve">A Comparison of Traditional and Block Periodized Strength Training Programs in Trained Athletes</t>
  </si>
  <si>
    <t xml:space="preserve">Em 15 semanas com volume igual, o grupo em blocos ampliou mais a área sob a curva força-potência de MMSS; sem diferença em MMII.</t>
  </si>
  <si>
    <t xml:space="preserve">Bloco Base — expectativa realista de efeito</t>
  </si>
  <si>
    <t xml:space="preserve">https://consensus.app/papers/details/51ebe06543295477a6e3b87ed2fffb56/</t>
  </si>
  <si>
    <t xml:space="preserve">Painter et al. (2012)</t>
  </si>
  <si>
    <t xml:space="preserve">Strength gains: block versus daily undulating periodization weight training among track and field athletes</t>
  </si>
  <si>
    <t xml:space="preserve">Int J Sports Physiol Perform</t>
  </si>
  <si>
    <t xml:space="preserve">Sem diferença estatística entre blocos e ondulatório diário, mas os blocos foram mais EFICIENTES: mais ganho por unidade de volume-carga.</t>
  </si>
  <si>
    <t xml:space="preserve">Prescrição Força — controle de tonelagem</t>
  </si>
  <si>
    <t xml:space="preserve">https://consensus.app/papers/details/37aba2c3463d5db18d9682ba4f77c696/</t>
  </si>
  <si>
    <t xml:space="preserve">Gavanda et al. (2019)</t>
  </si>
  <si>
    <t xml:space="preserve">The Effect of Block Versus Daily Undulating Periodization on Strength and Performance in Adolescent Football Players</t>
  </si>
  <si>
    <t xml:space="preserve">Em 12 semanas com adolescentes, blocos e ondulatório diário produziram ganhos equivalentes de massa muscular, força e potência.</t>
  </si>
  <si>
    <t xml:space="preserve">Bloco Base — ressalva para categorias de base (Sub-19)</t>
  </si>
  <si>
    <t xml:space="preserve">https://consensus.app/papers/details/8fc30754f83059c691319023497a547a/</t>
  </si>
  <si>
    <t xml:space="preserve">Micke et al. (2026)</t>
  </si>
  <si>
    <t xml:space="preserve">Block periodization vs. traditional periodization in high-intensity functional training</t>
  </si>
  <si>
    <t xml:space="preserve">Front Physiol</t>
  </si>
  <si>
    <t xml:space="preserve">Crossover randomizado</t>
  </si>
  <si>
    <t xml:space="preserve">Blocos produziram maior ganho de força máxima; houve queda AGUDA do CMJ na semana de carga concentrada, confirmando overreaching funcional.</t>
  </si>
  <si>
    <t xml:space="preserve">Semanas 3 e 7 (CHOQUE) — o que esperar e o que monitorar</t>
  </si>
  <si>
    <t xml:space="preserve">https://consensus.app/papers/details/cb319ced4f525fccb29ad766c357d07a/</t>
  </si>
  <si>
    <t xml:space="preserve">FORÇA E POTÊNCIA NO VOLEIBOL</t>
  </si>
  <si>
    <t xml:space="preserve">Berriel et al. (2022)</t>
  </si>
  <si>
    <t xml:space="preserve">Does Complex Training Enhance Vertical Jump Performance and Muscle Power in Elite Male Volleyball Players?</t>
  </si>
  <si>
    <t xml:space="preserve">Em 4 semanas, salto e potência melhoraram tanto com treino de saltos quanto com treino complexo; acrescentar estímulo pesado NÃO trouxe ganho adicional em atletas de elite.</t>
  </si>
  <si>
    <t xml:space="preserve">Prescrição Força — não sobrecarregar o elenco de elite com estímulo pesado desnecessário</t>
  </si>
  <si>
    <t xml:space="preserve">https://consensus.app/papers/details/342916b5711d52e1a81ed4f1f87bdecb/</t>
  </si>
  <si>
    <t xml:space="preserve">Rong et al. (2024)</t>
  </si>
  <si>
    <t xml:space="preserve">Effects of Cluster vs. Traditional Sets Complex Training on Trained Male Volleyball Players</t>
  </si>
  <si>
    <t xml:space="preserve">J Sports Sci Med</t>
  </si>
  <si>
    <t xml:space="preserve">Em 6 semanas, séries em CLUSTER produziram melhores CMJ, salto de ataque, T-test e potência de pico, além de menor cortisol de repouso, que séries tradicionais.</t>
  </si>
  <si>
    <t xml:space="preserve">Semana 7 do Bloco Base — agachamento em cluster 2+2</t>
  </si>
  <si>
    <t xml:space="preserve">https://consensus.app/papers/details/cc1f0acd730e55469151f4ddd60ad2d8/</t>
  </si>
  <si>
    <t xml:space="preserve">Cin et al. (2021)</t>
  </si>
  <si>
    <t xml:space="preserve">Cluster Resistance Training Results Higher Improvements on Sprint, Agility, Strength and Vertical Jump in Professional Volleyball Players</t>
  </si>
  <si>
    <t xml:space="preserve">Turkiye Klinikleri J Sports Sci</t>
  </si>
  <si>
    <t xml:space="preserve">Cluster superou o treino tradicional em 1RM de agachamento, terra, supino e pullover, sprint de 20 m, T-test e salto vertical.</t>
  </si>
  <si>
    <t xml:space="preserve">Prescrição Força — configuração de séries</t>
  </si>
  <si>
    <t xml:space="preserve">https://consensus.app/papers/details/5d6956f74040559da080d9e04b1cb3cc/</t>
  </si>
  <si>
    <t xml:space="preserve">Moussi et al. (2025)</t>
  </si>
  <si>
    <t xml:space="preserve">Effects of two periodization models (linear vs. nonlinear) in young adult male volleyball players</t>
  </si>
  <si>
    <t xml:space="preserve">J Bodyw Mov Ther</t>
  </si>
  <si>
    <t xml:space="preserve">6 semanas: ambos eficazes. O não linear foi melhor para salto vertical, salto de bloqueio e SJ; o linear, melhor para sprint de 10 m.</t>
  </si>
  <si>
    <t xml:space="preserve">Microciclo — variação de intensidade dentro da semana</t>
  </si>
  <si>
    <t xml:space="preserve">https://consensus.app/papers/details/9c60d35e1632588d8f6e0bf8707415fd/</t>
  </si>
  <si>
    <t xml:space="preserve">Wang et al. (2022)</t>
  </si>
  <si>
    <t xml:space="preserve">Effect of Leg Half-Squat Training With Blood Flow Restriction Under Different External Loads in Volleyball Players</t>
  </si>
  <si>
    <t xml:space="preserve">Dose-Response</t>
  </si>
  <si>
    <t xml:space="preserve">Carga alta (70% 1RM) foi o que melhorou o salto; carga baixa isolada aumentou pouco a força e não melhorou o salto.</t>
  </si>
  <si>
    <t xml:space="preserve">Prescrição Força — justificativa das faixas de 80-90% 1RM</t>
  </si>
  <si>
    <t xml:space="preserve">https://consensus.app/papers/details/9f2b4f05a98c52f2827718b3afa7bd36/</t>
  </si>
  <si>
    <t xml:space="preserve">Marques et al. (2009)</t>
  </si>
  <si>
    <t xml:space="preserve">Physical Fitness Qualities of Professional Volleyball Players: Determination of Positional Differences</t>
  </si>
  <si>
    <t xml:space="preserve">Transversal</t>
  </si>
  <si>
    <t xml:space="preserve">Centrais e opostos são os mais altos, pesados e fortes no supino; levantadores têm o pior desempenho no agachamento paralelo.</t>
  </si>
  <si>
    <t xml:space="preserve">Cadastro e Prescrição Força — individualização por posição</t>
  </si>
  <si>
    <t xml:space="preserve">https://consensus.app/papers/details/7f91b9f3f4aa502db2c5986d5aff1136/</t>
  </si>
  <si>
    <t xml:space="preserve">PLIOMETRIA</t>
  </si>
  <si>
    <t xml:space="preserve">Sáez de Villarreal et al. (2009)</t>
  </si>
  <si>
    <t xml:space="preserve">Determining Variables of Plyometric Training for Improving Vertical Jump Height Performance</t>
  </si>
  <si>
    <t xml:space="preserve">Meta-análise (56 estudos)</t>
  </si>
  <si>
    <t xml:space="preserve">Mais de 10 semanas, mais de 20 sessões, programas de alta intensidade com mais de 50 saltos por sessão e a COMBINAÇÃO de tipos de salto (SJ + CMJ + drop jump) maximizam o ganho. Peso adicional não trouxe benefício extra.</t>
  </si>
  <si>
    <t xml:space="preserve">Bloco Base e Saltos — dose de contatos por semana</t>
  </si>
  <si>
    <t xml:space="preserve">https://consensus.app/papers/details/e60a777fc6a654d29ca1c61c7d29da22/</t>
  </si>
  <si>
    <t xml:space="preserve">Sáez-Sáez de Villarreal et al. (2010)</t>
  </si>
  <si>
    <t xml:space="preserve">Does plyometric training improve strength performance? A meta-analysis</t>
  </si>
  <si>
    <t xml:space="preserve">J Sci Med Sport</t>
  </si>
  <si>
    <t xml:space="preserve">Meta-análise</t>
  </si>
  <si>
    <t xml:space="preserve">Combinar pliometria COM treino de força supera usar qualquer uma delas isoladamente; mais de 40 saltos por sessão em alta intensidade otimiza o ganho de força.</t>
  </si>
  <si>
    <t xml:space="preserve">Sessões A e B — força e pliometria na mesma semana</t>
  </si>
  <si>
    <t xml:space="preserve">https://consensus.app/papers/details/049130fbe9d05f56a4810dde0ff51ef8/</t>
  </si>
  <si>
    <t xml:space="preserve">Iranpour et al. (2025)</t>
  </si>
  <si>
    <t xml:space="preserve">The effects of plyometric training with speed and weight overloads on volleyball players</t>
  </si>
  <si>
    <t xml:space="preserve">PLOS One</t>
  </si>
  <si>
    <t xml:space="preserve">Pliometria com sobrecarga de velocidade E de peso foi superior à pliometria simples em salto de ataque, altura de salto e taxa de produção de força.</t>
  </si>
  <si>
    <t xml:space="preserve">Sessão B — salto unilateral com sobrepeso e jump squat</t>
  </si>
  <si>
    <t xml:space="preserve">https://consensus.app/papers/details/07f5b6752bba54198af3c2d0e5cd9d87/</t>
  </si>
  <si>
    <t xml:space="preserve">Yu et al. (2025)</t>
  </si>
  <si>
    <t xml:space="preserve">The influence of training surface on the effectiveness of plyometric training in volleyball players</t>
  </si>
  <si>
    <t xml:space="preserve">Scientific Reports</t>
  </si>
  <si>
    <t xml:space="preserve">Pliometria na AREIA e na ÁGUA gerou mais ganho de CMJ que no solo; a aquática também superou o solo em sprint, mudança de direção e força máxima.</t>
  </si>
  <si>
    <t xml:space="preserve">Aba Saltos — coluna Superfície</t>
  </si>
  <si>
    <t xml:space="preserve">https://consensus.app/papers/details/75bc1970db385dd2a7fc798a2d496428/</t>
  </si>
  <si>
    <t xml:space="preserve">Atıcı et al. (2025)</t>
  </si>
  <si>
    <t xml:space="preserve">Effects of plyometric and agility-based training in adolescent male volleyball players</t>
  </si>
  <si>
    <t xml:space="preserve">Ped Phys Cult Sports</t>
  </si>
  <si>
    <t xml:space="preserve">Experimental controlado</t>
  </si>
  <si>
    <t xml:space="preserve">8 semanas de pliometria: +14,1% no salto vertical, +13,25% na potência de pico e +3,07% no sprint. Agilidade melhora COD, não potência.</t>
  </si>
  <si>
    <t xml:space="preserve">Bloco Base — expectativa de ganho em 8 semanas</t>
  </si>
  <si>
    <t xml:space="preserve">https://consensus.app/papers/details/97766fe403ed5d0db00747ff1e0c3b71/</t>
  </si>
  <si>
    <t xml:space="preserve">Zhou et al. (2024)</t>
  </si>
  <si>
    <t xml:space="preserve">Meta-analysis of the effect of plyometric training on youth basketball players</t>
  </si>
  <si>
    <t xml:space="preserve">Meta-análise (24 estudos)</t>
  </si>
  <si>
    <t xml:space="preserve">Pliometria de BAIXA frequência (1-2x/semana), ALTO volume (&gt;150 saltos/semana) e de tipo MISTO melhorou salto, sprint, COD e equilíbrio; alta frequência com baixo volume só melhorou o salto.</t>
  </si>
  <si>
    <t xml:space="preserve">Saltos — faixas de referência de volume semanal</t>
  </si>
  <si>
    <t xml:space="preserve">https://consensus.app/papers/details/127de9c932de5022bf7207226214e479/</t>
  </si>
  <si>
    <t xml:space="preserve">LEVANTAMENTO DE PESO OLÍMPICO (LPO) E DERIVADOS</t>
  </si>
  <si>
    <t xml:space="preserve">Suchomel et al. (2015)</t>
  </si>
  <si>
    <t xml:space="preserve">Weightlifting Pulling Derivatives: Rationale for Implementation and Application</t>
  </si>
  <si>
    <t xml:space="preserve">Clean pull, snatch pull, hang high pull, jump shrug e mid-thigh pull dão estímulo igual ou melhor que os levantamentos completos, com técnica mais simples — ideal para quem não é levantador de peso.</t>
  </si>
  <si>
    <t xml:space="preserve">Sessões A e C — escolha de puxadas em vez do clean completo</t>
  </si>
  <si>
    <t xml:space="preserve">https://consensus.app/papers/details/e55b8645d8505f2bb685fbf171e41da5/</t>
  </si>
  <si>
    <t xml:space="preserve">Suchomel et al. (2017)</t>
  </si>
  <si>
    <t xml:space="preserve">Force-Time-Curve Comparison Between Weight-Lifting Derivatives</t>
  </si>
  <si>
    <t xml:space="preserve">O jump shrug produziu maior força relativa, impulso relativo e taxa de produção de força que o hang power clean e o hang high pull.</t>
  </si>
  <si>
    <t xml:space="preserve">Biblioteca de Exercícios — seleção de derivados</t>
  </si>
  <si>
    <t xml:space="preserve">https://consensus.app/papers/details/832a4d9da8035145b9b54feac5caa891/</t>
  </si>
  <si>
    <t xml:space="preserve">Power-Time Curve Comparison between Weightlifting Derivatives</t>
  </si>
  <si>
    <t xml:space="preserve">Cargas de 30-45% 1RM maximizam a potência no jump shrug e no hang high pull; 65-80% 1RM é a faixa ótima para o hang power clean.</t>
  </si>
  <si>
    <t xml:space="preserve">Prescrição Força — %1RM prescrito para o LPO</t>
  </si>
  <si>
    <t xml:space="preserve">https://consensus.app/papers/details/d4fd5a5594c45196bd8036e06e06ddd5/</t>
  </si>
  <si>
    <t xml:space="preserve">Suchomel et al. (2020)</t>
  </si>
  <si>
    <t xml:space="preserve">Training With Weightlifting Derivatives: The Effects of Force and Velocity Overload Stimuli</t>
  </si>
  <si>
    <t xml:space="preserve">ECR (10 semanas)</t>
  </si>
  <si>
    <t xml:space="preserve">Sobrecarga específica de força e de velocidade nas puxadas produziu os maiores ganhos em força isométrica relativa, sprint e mudança de direção.</t>
  </si>
  <si>
    <t xml:space="preserve">Semanas 6 e 7 — clean pull com carga supramáxima (95%)</t>
  </si>
  <si>
    <t xml:space="preserve">https://consensus.app/papers/details/bf6021458f755ca3a8d88965905119ed/</t>
  </si>
  <si>
    <t xml:space="preserve">Meechan et al. (2025)</t>
  </si>
  <si>
    <t xml:space="preserve">The Effect of Load on Subphase Analysis During the Hang Pull</t>
  </si>
  <si>
    <t xml:space="preserve">40% 1RM maximiza a velocidade de propulsão e 140% 1RM maximiza a força: o hang pull cabe tanto no mesociclo de força máxima quanto no de força-velocidade.</t>
  </si>
  <si>
    <t xml:space="preserve">Semana 6 — justificativa da carga supramáxima</t>
  </si>
  <si>
    <t xml:space="preserve">https://consensus.app/papers/details/45131b3cbdca5cfdb31431fdb5b7b004/</t>
  </si>
  <si>
    <t xml:space="preserve">James et al. (2022)</t>
  </si>
  <si>
    <t xml:space="preserve">Rate of Force Development Adaptations After Weightlifting-Style Training: The Influence of Power Clean Ability</t>
  </si>
  <si>
    <t xml:space="preserve">Atletas FORTES no power clean melhoram a RFD em cargas leves; atletas FRACOS deslocam-se para o lado da força do perfil. Quem é fraco precisa primeiro de força máxima.</t>
  </si>
  <si>
    <t xml:space="preserve">Perfil F-V-P — decisão de ênfase por atleta</t>
  </si>
  <si>
    <t xml:space="preserve">https://consensus.app/papers/details/df935f1fd927508eb7134ed0c1a65ea2/</t>
  </si>
  <si>
    <t xml:space="preserve">Mehls et al. (2022)</t>
  </si>
  <si>
    <t xml:space="preserve">An Examination of Loading Profiles for Youth Athletes Performing the Hang Power Clean</t>
  </si>
  <si>
    <t xml:space="preserve">Mont J Sports Sci Med</t>
  </si>
  <si>
    <t xml:space="preserve">Em jovens, a potência é máxima a ~70% 1RM, mas a velocidade da barra cai em cargas mais leves que em adultos: precisam de mais força antes de treinar pesado.</t>
  </si>
  <si>
    <t xml:space="preserve">Categoria Sub-19 — cautela com carga alta</t>
  </si>
  <si>
    <t xml:space="preserve">https://consensus.app/papers/details/011fd93e694d529a90e28eae7334b9c4/</t>
  </si>
  <si>
    <t xml:space="preserve">TREINAMENTO BASEADO EM VELOCIDADE (VBT)</t>
  </si>
  <si>
    <t xml:space="preserve">Weakley et al. (2020)</t>
  </si>
  <si>
    <t xml:space="preserve">Velocity-Based Training: From Theory to Application</t>
  </si>
  <si>
    <t xml:space="preserve">Strength Cond J</t>
  </si>
  <si>
    <t xml:space="preserve">Revisão aplicada</t>
  </si>
  <si>
    <t xml:space="preserve">Como montar perfis carga-velocidade, dar feedback objetivo, usar limiares de perda de velocidade e integrar o VBT aos modelos de periodização.</t>
  </si>
  <si>
    <t xml:space="preserve">Prescrição Força — colunas de velocidade</t>
  </si>
  <si>
    <t xml:space="preserve">https://consensus.app/papers/details/a39766be63eb5ac7a0b76b6229d01c5f/</t>
  </si>
  <si>
    <t xml:space="preserve">García Ramos (2023)</t>
  </si>
  <si>
    <t xml:space="preserve">Resistance Training Intensity Prescription Methods Based on Lifting Velocity Monitoring</t>
  </si>
  <si>
    <t xml:space="preserve">Int J Sports Med</t>
  </si>
  <si>
    <t xml:space="preserve">Três formas de prescrever %1RM pela velocidade — zonas, relação generalizada e relação INDIVIDUALIZADA — e os fatores que afetam a precisão de cada uma.</t>
  </si>
  <si>
    <t xml:space="preserve">Tabela carga-velocidade da aba Prescrição Força</t>
  </si>
  <si>
    <t xml:space="preserve">https://consensus.app/papers/details/7f88e021c22957a980dea51d84dd960a/</t>
  </si>
  <si>
    <t xml:space="preserve">Balsalobre-Fernández et al. (2021)</t>
  </si>
  <si>
    <t xml:space="preserve">The Implementation of Velocity-Based Training Paradigm for Team Sports</t>
  </si>
  <si>
    <t xml:space="preserve">Sports</t>
  </si>
  <si>
    <t xml:space="preserve">Como aplicar VBT em elencos grandes, combinando métricas de velocidade com escalas subjetivas e estimando o 1RM diariamente.</t>
  </si>
  <si>
    <t xml:space="preserve">Prescrição Força — uso prático com o elenco todo</t>
  </si>
  <si>
    <t xml:space="preserve">https://consensus.app/papers/details/bd88451c5a7955fa8fa376e203a6aa0e/</t>
  </si>
  <si>
    <t xml:space="preserve">Hickmott et al. (2022)</t>
  </si>
  <si>
    <t xml:space="preserve">The Effect of Load and Volume Autoregulation on Muscular Strength and Hypertrophy</t>
  </si>
  <si>
    <t xml:space="preserve">Sports Med Open</t>
  </si>
  <si>
    <t xml:space="preserve">Perda de velocidade ≤ 25% favorece FORÇA (menos fadiga aguda, mais adaptação crônica); perda &gt; 20-25% favorece HIPERTROFIA por acumular mais volume.</t>
  </si>
  <si>
    <t xml:space="preserve">Coluna Perda de Velocidade Limite (10-15% no bloco de força)</t>
  </si>
  <si>
    <t xml:space="preserve">https://consensus.app/papers/details/0e6bb3b98d875b1392222cf931190cb8/</t>
  </si>
  <si>
    <t xml:space="preserve">Jiménez-Reyes et al. (2021)</t>
  </si>
  <si>
    <t xml:space="preserve">Differences between adjusted vs. non-adjusted loads in velocity-based training</t>
  </si>
  <si>
    <t xml:space="preserve">PeerJ</t>
  </si>
  <si>
    <t xml:space="preserve">ECR (8 semanas)</t>
  </si>
  <si>
    <t xml:space="preserve">Sem ajuste diário pela velocidade, os atletas treinaram ~15% 1RM mais leve que o programado e não chegaram à intensidade alvo.</t>
  </si>
  <si>
    <t xml:space="preserve">Prescrição Força — por que registrar a velocidade obtida</t>
  </si>
  <si>
    <t xml:space="preserve">https://consensus.app/papers/details/c8cd652b51485409ae4e353f96d0cecd/</t>
  </si>
  <si>
    <t xml:space="preserve">Greig et al. (2023)</t>
  </si>
  <si>
    <t xml:space="preserve">The Predictive Validity of Individualised Load-Velocity Relationships for Predicting 1RM</t>
  </si>
  <si>
    <t xml:space="preserve">Revisão sistemática com meta-análise de dados individuais</t>
  </si>
  <si>
    <t xml:space="preserve">A estimativa do 1RM pela velocidade SUPERESTIMA a força real em ~3,7% (SEE ~9,8%). Use teste direto sempre que possível; a velocidade serve para acompanhar tendências.</t>
  </si>
  <si>
    <t xml:space="preserve">Força 1RM — ressalva sobre estimativas</t>
  </si>
  <si>
    <t xml:space="preserve">https://consensus.app/papers/details/94ecaddd8a3257c1ac5ba343f1a358be/</t>
  </si>
  <si>
    <t xml:space="preserve">LeMense et al. (2024)</t>
  </si>
  <si>
    <t xml:space="preserve">Validity of Using the Load-Velocity Relationship to Estimate 1RM in the Back Squat</t>
  </si>
  <si>
    <t xml:space="preserve">Revisão sistemática com meta-análise</t>
  </si>
  <si>
    <t xml:space="preserve">O método do limiar de velocidade mínima superestima o 1RM no agachamento livre e não é opção confiável de substituição do teste.</t>
  </si>
  <si>
    <t xml:space="preserve">https://consensus.app/papers/details/9f572c3e92ea5983aec88ccbe3db6da9/</t>
  </si>
  <si>
    <t xml:space="preserve">Morán-Navarro et al. (2020)</t>
  </si>
  <si>
    <t xml:space="preserve">Load-velocity relationship of the deadlift exercise</t>
  </si>
  <si>
    <t xml:space="preserve">Eur J Sport Sci</t>
  </si>
  <si>
    <t xml:space="preserve">Velocidade média no 1RM do terra ≈ 0,24 m/s, consistente entre atletas de força diferente; a potência é máxima a ~60% 1RM.</t>
  </si>
  <si>
    <t xml:space="preserve">Tabela carga-velocidade — coluna Terra</t>
  </si>
  <si>
    <t xml:space="preserve">https://consensus.app/papers/details/2699a62b8e4350bd918acff60c192346/</t>
  </si>
  <si>
    <t xml:space="preserve">PERFIL FORÇA-VELOCIDADE-POTÊNCIA</t>
  </si>
  <si>
    <t xml:space="preserve">Morin &amp; Samozino (2016)</t>
  </si>
  <si>
    <t xml:space="preserve">Interpreting Power-Force-Velocity Profiles for Individualized and Specific Training</t>
  </si>
  <si>
    <t xml:space="preserve">Método de campo para calcular F0, V0, Pmax e o desequilíbrio força-velocidade a partir da altura do salto com cargas progressivas e da distância de push-off.</t>
  </si>
  <si>
    <t xml:space="preserve">Perfil F-V-P — fórmulas usadas na planilha</t>
  </si>
  <si>
    <t xml:space="preserve">https://consensus.app/papers/details/0b47720f42de500d95c89cf488fa6bc6/</t>
  </si>
  <si>
    <t xml:space="preserve">Jiménez-Reyes et al. (2017)</t>
  </si>
  <si>
    <t xml:space="preserve">Effectiveness of an Individualized Training Based on Force-Velocity Profiling during Jumping</t>
  </si>
  <si>
    <t xml:space="preserve">Treino individualizado pelo desequilíbrio F-V melhorou o salto (+7 a +14%) mais que um programa igual para todos.</t>
  </si>
  <si>
    <t xml:space="preserve">Perfil F-V-P — lógica da recomendação por perfil</t>
  </si>
  <si>
    <t xml:space="preserve">https://consensus.app/papers/details/ac9d7b3fb607592887e952929efe8b2e/</t>
  </si>
  <si>
    <t xml:space="preserve">Jiménez-Reyes et al. (2019)</t>
  </si>
  <si>
    <t xml:space="preserve">Optimized training for jumping performance using the force-velocity imbalance</t>
  </si>
  <si>
    <t xml:space="preserve">PLoS ONE</t>
  </si>
  <si>
    <t xml:space="preserve">O tempo necessário para corrigir o perfil é proporcional ao desequilíbrio inicial (12,6 ± 4,6 semanas em média); os ganhos se mantiveram após 3 semanas sem treino específico.</t>
  </si>
  <si>
    <t xml:space="preserve">Perfil F-V-P — duração realista da intervenção</t>
  </si>
  <si>
    <t xml:space="preserve">https://consensus.app/papers/details/07f17089e4935553836bfe8b6c443414/</t>
  </si>
  <si>
    <t xml:space="preserve">Li et al. (2026)</t>
  </si>
  <si>
    <t xml:space="preserve">FV profile-based individualized vs. non-individualized strength training: systematic review and meta-analysis</t>
  </si>
  <si>
    <t xml:space="preserve">BMC Sports Sci Med Rehabil</t>
  </si>
  <si>
    <t xml:space="preserve">Vantagem grande do treino individualizado para F0, V0, desequilíbrio F-V e altura de salto; SEM efeito sobre Pmax e sprint.</t>
  </si>
  <si>
    <t xml:space="preserve">Perfil F-V-P — o que esperar de fato</t>
  </si>
  <si>
    <t xml:space="preserve">https://consensus.app/papers/details/bdbc8fc9675a54d29cca3b5eabf701bb/</t>
  </si>
  <si>
    <t xml:space="preserve">Lindberg et al. (2021)</t>
  </si>
  <si>
    <t xml:space="preserve">Should we individualize training based on force-velocity profiling to improve physical performance?</t>
  </si>
  <si>
    <t xml:space="preserve">RESSALVA: não houve diferença entre treinar a favor, contra ou independentemente do perfil ótimo em 40 atletas de esportes coletivos.</t>
  </si>
  <si>
    <t xml:space="preserve">Perfil F-V-P — aviso na própria aba</t>
  </si>
  <si>
    <t xml:space="preserve">https://consensus.app/papers/details/5eda6a3b427f55098d20848a20b32336/</t>
  </si>
  <si>
    <t xml:space="preserve">Solberg et al. (2025)</t>
  </si>
  <si>
    <t xml:space="preserve">Force-velocity profile based training to improve vertical jump performance: systematic review and meta-analysis</t>
  </si>
  <si>
    <t xml:space="preserve">RESSALVA: os ganhos de salto com treino otimizado foram comparáveis aos do treino não otimizado; permanece incerto se o método é superior.</t>
  </si>
  <si>
    <t xml:space="preserve">https://consensus.app/papers/details/92d673eefa9b57158c87d11c3ec5fe71/</t>
  </si>
  <si>
    <t xml:space="preserve">Bobbert et al. (2024)</t>
  </si>
  <si>
    <t xml:space="preserve">Is the Force-Velocity Profile for Free Jumping a Sound Basis for Individualized Jump Training Prescriptions?</t>
  </si>
  <si>
    <t xml:space="preserve">Med Sci Sports Exerc</t>
  </si>
  <si>
    <t xml:space="preserve">Simulação musculoesquelética</t>
  </si>
  <si>
    <t xml:space="preserve">RESSALVA: mudanças no perfil podem refletir aprendizado da tarefa (habilidade de saltar com e sem carga) e não adaptação neuromuscular.</t>
  </si>
  <si>
    <t xml:space="preserve">https://consensus.app/papers/details/6ab00db8b08e56fd86ec01c0c1b4054a/</t>
  </si>
  <si>
    <t xml:space="preserve">CARGA DE SALTOS E MONITORAMENTO</t>
  </si>
  <si>
    <t xml:space="preserve">Skazalski et al. (2018)</t>
  </si>
  <si>
    <t xml:space="preserve">A valid and reliable method to measure jump-specific training and competition load in elite volleyball players</t>
  </si>
  <si>
    <t xml:space="preserve">Validação</t>
  </si>
  <si>
    <t xml:space="preserve">Dispositivo inercial contou 99,3% dos 3.637 saltos de treinos e jogos, mas superestimou a altura em ~5,5 cm: serve para CONTAR saltos, não para medir salto máximo.</t>
  </si>
  <si>
    <t xml:space="preserve">Aba Saltos — como registrar o jump count</t>
  </si>
  <si>
    <t xml:space="preserve">https://consensus.app/papers/details/4113ba2b7f9254a78670457ae8f99ac2/</t>
  </si>
  <si>
    <t xml:space="preserve">Charlton et al. (2017)</t>
  </si>
  <si>
    <t xml:space="preserve">A simple method for quantifying jump loads in volleyball athletes</t>
  </si>
  <si>
    <t xml:space="preserve">Propõe um índice de carga externa a partir do produto entre número de saltos e energia cinética média.</t>
  </si>
  <si>
    <t xml:space="preserve">Aba Saltos — conceito de carga de salto</t>
  </si>
  <si>
    <t xml:space="preserve">https://consensus.app/papers/details/9895fbb37b4f5a628d174d7e58c624c4/</t>
  </si>
  <si>
    <t xml:space="preserve">Lin et al. (2024)</t>
  </si>
  <si>
    <t xml:space="preserve">Quantifying internal and external training loads in collegiate male volleyball players</t>
  </si>
  <si>
    <t xml:space="preserve">Longitudinal (29 semanas)</t>
  </si>
  <si>
    <t xml:space="preserve">Carga interna correlaciona com o número de saltos (ρ = 0,477); MUITOS saltos associam-se a MENOR altura média e a menos saltos acima de 80% do máximo — sinal de fadiga.</t>
  </si>
  <si>
    <t xml:space="preserve">Saltos e Carga (PSE) — leitura conjunta</t>
  </si>
  <si>
    <t xml:space="preserve">https://consensus.app/papers/details/e05450c06ad55ab29a85378baaaf6adb/</t>
  </si>
  <si>
    <t xml:space="preserve">Taylor et al. (2022)</t>
  </si>
  <si>
    <t xml:space="preserve">Quantifying External Load and Injury Occurrence in Women's Collegiate Volleyball Players</t>
  </si>
  <si>
    <t xml:space="preserve">Atletas que se lesionaram tiveram MAIOR VARIABILIDADE da carga (CV 54% vs 41%): a instabilidade da carga importa tanto quanto o volume absoluto.</t>
  </si>
  <si>
    <t xml:space="preserve">Saltos — alerta de variação acima de 30% entre semanas</t>
  </si>
  <si>
    <t xml:space="preserve">https://consensus.app/papers/details/49131de7b79c5ffa86f91d25bcf2469a/</t>
  </si>
  <si>
    <t xml:space="preserve">Wang et al. (2025)</t>
  </si>
  <si>
    <t xml:space="preserve">Comparison of external load and specific activities of starters vs. non-starters in men's professional volleyball</t>
  </si>
  <si>
    <t xml:space="preserve">J Men's Health</t>
  </si>
  <si>
    <t xml:space="preserve">Titulares acumulam mais player load, saltos totais e saltos de alta intensidade; centrais lideram os saltos de alta intensidade e os esforços repetidos.</t>
  </si>
  <si>
    <t xml:space="preserve">Saltos — controle individual por posição e por minutagem</t>
  </si>
  <si>
    <t xml:space="preserve">https://consensus.app/papers/details/8c773e2fbe795c968e9ea5185529f375/</t>
  </si>
  <si>
    <t xml:space="preserve">Villarejo-García et al. (2023)</t>
  </si>
  <si>
    <t xml:space="preserve">Use, Validity and Reliability of Inertial Movement Units in Volleyball</t>
  </si>
  <si>
    <t xml:space="preserve">Sensors</t>
  </si>
  <si>
    <t xml:space="preserve">Revisão sistemática</t>
  </si>
  <si>
    <t xml:space="preserve">As IMUs têm boa validade para CONTAR saltos; a confiabilidade entre medidas de ALTURA ainda é limitada e contraditória.</t>
  </si>
  <si>
    <t xml:space="preserve">Saltos — o que confiar no dado do dispositivo</t>
  </si>
  <si>
    <t xml:space="preserve">https://consensus.app/papers/details/9be281c8d4d25bfaa2a0d31a09c1c0f8/</t>
  </si>
  <si>
    <t xml:space="preserve">ANTROPOMETRIA E PERFIL DO VOLEIBOLISTA</t>
  </si>
  <si>
    <t xml:space="preserve">Sheppard et al. (2009)</t>
  </si>
  <si>
    <t xml:space="preserve">An Analysis of Playing Positions in Elite Men's Volleyball</t>
  </si>
  <si>
    <t xml:space="preserve">Transversal (142 atletas)</t>
  </si>
  <si>
    <t xml:space="preserve">Centrais executam muito mais saltos de bloqueio e de ataque que levantadores e ponteiros; a seleção adulta supera a de base no CMJ e no salto de ataque RELATIVOS.</t>
  </si>
  <si>
    <t xml:space="preserve">Cadastro e Testes — metas por posição</t>
  </si>
  <si>
    <t xml:space="preserve">https://consensus.app/papers/details/acb87a06dc0b57e7896f92d25162767f/</t>
  </si>
  <si>
    <t xml:space="preserve">Palao et al. (2014)</t>
  </si>
  <si>
    <t xml:space="preserve">Anthropometric, Physical, and Age Differences by the Player Position and the Performance Level in Volleyball</t>
  </si>
  <si>
    <t xml:space="preserve">J Hum Kinet</t>
  </si>
  <si>
    <t xml:space="preserve">Transversal (2.906 atletas)</t>
  </si>
  <si>
    <t xml:space="preserve">Normas de estatura, massa, alcance de ataque e alcance de bloqueio por posição em Jogos Olímpicos e Mundiais entre 2000 e 2012.</t>
  </si>
  <si>
    <t xml:space="preserve">Testes — referências de alcance por posição</t>
  </si>
  <si>
    <t xml:space="preserve">https://consensus.app/papers/details/bed94db8efef54d0b856b82b62dadcaf/</t>
  </si>
  <si>
    <t xml:space="preserve">Toselli &amp; Campa (2018)</t>
  </si>
  <si>
    <t xml:space="preserve">Anthropometry and Functional Movement Patterns in Elite Male Volleyball Players of Different Competitive Levels</t>
  </si>
  <si>
    <t xml:space="preserve">O que separou as duas divisões foram medidas NÃO modificáveis (largura de úmero, estatura) e MODIFICÁVEIS (perímetro de braço contraído e área muscular do braço).</t>
  </si>
  <si>
    <t xml:space="preserve">Antropometria — perímetros e área muscular do braço</t>
  </si>
  <si>
    <t xml:space="preserve">https://consensus.app/papers/details/5d2c1a9f86b35fd89bf83100980361d1/</t>
  </si>
  <si>
    <t xml:space="preserve">Giannopoulos et al. (2017)</t>
  </si>
  <si>
    <t xml:space="preserve">Somatotype, Level of Competition, and Performance in Attack in Elite Male Volleyball</t>
  </si>
  <si>
    <t xml:space="preserve">Atletas da divisão A1 são mais altos, pesados, musculosos e menos endomórficos que os da A2; centrais e opostos são endomorfo-ectomorfos.</t>
  </si>
  <si>
    <t xml:space="preserve">Antropometria — somatotipo Heath-Carter</t>
  </si>
  <si>
    <t xml:space="preserve">https://consensus.app/papers/details/8eb017eaf75f51948d230ec23aa8d1dd/</t>
  </si>
  <si>
    <t xml:space="preserve">De la Rosa et al. (2025)</t>
  </si>
  <si>
    <t xml:space="preserve">Positional Profiling of Anthropometric, Baropodometric, and Grip Strength Traits in Male Volleyball Players</t>
  </si>
  <si>
    <t xml:space="preserve">J Funct Morphol Kinesiol</t>
  </si>
  <si>
    <t xml:space="preserve">Transversal (92 Sub-23)</t>
  </si>
  <si>
    <t xml:space="preserve">Centrais, ponteiros e opostos superam líberos e levantadores na maioria das medidas de membro superior; largura da mão e área muscular do braço predizem a preensão manual.</t>
  </si>
  <si>
    <t xml:space="preserve">Antropometria — perfil por posição</t>
  </si>
  <si>
    <t xml:space="preserve">https://consensus.app/papers/details/7dcedc0290ee5117bc3e007990be1d87/</t>
  </si>
  <si>
    <t xml:space="preserve">MÉTODOS CLÁSSICOS DE CONTROLE (já usados na v1 da planilha)</t>
  </si>
  <si>
    <t xml:space="preserve">Foster et al. (2001)</t>
  </si>
  <si>
    <t xml:space="preserve">A new approach to monitoring exercise training</t>
  </si>
  <si>
    <t xml:space="preserve">Carga interna = PSE da sessão (0-10) × duração em minutos; base também da monotonia e do strain.</t>
  </si>
  <si>
    <t xml:space="preserve">Aba Carga (PSE)</t>
  </si>
  <si>
    <t xml:space="preserve">Gabbett (2016)</t>
  </si>
  <si>
    <t xml:space="preserve">The training-injury prevention paradox: should athletes be training smarter and harder?</t>
  </si>
  <si>
    <t xml:space="preserve">Br J Sports Med</t>
  </si>
  <si>
    <t xml:space="preserve">Razão entre carga aguda (7 dias) e crônica (28 dias) como ferramenta de gestão de risco; interpretar sempre com o contexto clínico.</t>
  </si>
  <si>
    <t xml:space="preserve">Aba Carga (PSE) — ACWR</t>
  </si>
  <si>
    <t xml:space="preserve">Hooper &amp; Mackinnon (1995)</t>
  </si>
  <si>
    <t xml:space="preserve">Monitoring overtraining in athletes</t>
  </si>
  <si>
    <t xml:space="preserve">Índice de bem-estar de 4 itens (sono, estresse, fadiga e dor muscular), de 1 a 7 cada.</t>
  </si>
  <si>
    <t xml:space="preserve">Aba Wellness</t>
  </si>
  <si>
    <t xml:space="preserve">Sayers et al. (1999)</t>
  </si>
  <si>
    <t xml:space="preserve">Cross-validation of three jump power equations</t>
  </si>
  <si>
    <t xml:space="preserve">Equação de potência de pico a partir da altura do CMJ e da massa corporal.</t>
  </si>
  <si>
    <t xml:space="preserve">Aba Testes — Potência de Pico</t>
  </si>
  <si>
    <t xml:space="preserve">Jackson &amp; Pollock (1978)</t>
  </si>
  <si>
    <t xml:space="preserve">Generalized equations for predicting body density of men</t>
  </si>
  <si>
    <t xml:space="preserve">Br J Nutr</t>
  </si>
  <si>
    <t xml:space="preserve">Equação de densidade corporal por 7 dobras cutâneas, convertida em % de gordura pela equação de Siri (1961).</t>
  </si>
  <si>
    <t xml:space="preserve">Aba Antropometria</t>
  </si>
  <si>
    <t xml:space="preserve">Carter &amp; Heath (1990)</t>
  </si>
  <si>
    <t xml:space="preserve">Somatotyping: Development and Applications</t>
  </si>
  <si>
    <t xml:space="preserve">Cambridge University Press</t>
  </si>
  <si>
    <t xml:space="preserve">Livro / método</t>
  </si>
  <si>
    <t xml:space="preserve">Método antropométrico de somatotipo (endomorfia, mesomorfia e ectomorfia).</t>
  </si>
  <si>
    <t xml:space="preserve">Aba Antropometria — somatotipo</t>
  </si>
  <si>
    <t xml:space="preserve">Os links levam ao registro do artigo. Referências sem link são obras clássicas de método, citadas pela fonte original.</t>
  </si>
  <si>
    <t xml:space="preserve">LISTAS AUXILIARES  |  fonte das caixas de seleção</t>
  </si>
  <si>
    <t xml:space="preserve">Edite/complemente as opções abaixo — elas alimentam automaticamente todos os menus suspensos da planilha.</t>
  </si>
  <si>
    <t xml:space="preserve">Status do Atleta</t>
  </si>
  <si>
    <t xml:space="preserve">Período do Macro</t>
  </si>
  <si>
    <t xml:space="preserve">Bloco da Sessão</t>
  </si>
  <si>
    <t xml:space="preserve">Categoria Exerc.</t>
  </si>
  <si>
    <t xml:space="preserve">Escala 1-7</t>
  </si>
  <si>
    <t xml:space="preserve">Momento do Teste</t>
  </si>
  <si>
    <t xml:space="preserve">Sim/Não</t>
  </si>
  <si>
    <t xml:space="preserve">Classe Econômica</t>
  </si>
  <si>
    <t xml:space="preserve">Transporte</t>
  </si>
  <si>
    <t xml:space="preserve">Nível Competitivo</t>
  </si>
  <si>
    <t xml:space="preserve">Região Corporal</t>
  </si>
  <si>
    <t xml:space="preserve">Método de 1RM</t>
  </si>
  <si>
    <t xml:space="preserve">Origem do Salto</t>
  </si>
  <si>
    <t xml:space="preserve">Objetivo de Força</t>
  </si>
  <si>
    <t xml:space="preserve">Bloco de Treino</t>
  </si>
  <si>
    <t xml:space="preserve">Destinatário (auto)</t>
  </si>
  <si>
    <t xml:space="preserve">Sub-13</t>
  </si>
  <si>
    <t xml:space="preserve">Ensino Fundamental incompleto</t>
  </si>
  <si>
    <t xml:space="preserve">Municipal</t>
  </si>
  <si>
    <t xml:space="preserve">A+</t>
  </si>
  <si>
    <t xml:space="preserve">Ombro</t>
  </si>
  <si>
    <t xml:space="preserve">Sub-15</t>
  </si>
  <si>
    <t xml:space="preserve">Feminino</t>
  </si>
  <si>
    <t xml:space="preserve">Fim Meso 1</t>
  </si>
  <si>
    <t xml:space="preserve">Ensino Fundamental completo</t>
  </si>
  <si>
    <t xml:space="preserve">Bicicleta</t>
  </si>
  <si>
    <t xml:space="preserve">Estadual</t>
  </si>
  <si>
    <t xml:space="preserve">A-</t>
  </si>
  <si>
    <t xml:space="preserve">Cotovelo</t>
  </si>
  <si>
    <t xml:space="preserve">Estimado por repetições</t>
  </si>
  <si>
    <t xml:space="preserve">Quadra (sintética)</t>
  </si>
  <si>
    <t xml:space="preserve">Sub-17</t>
  </si>
  <si>
    <t xml:space="preserve">Ambidestro</t>
  </si>
  <si>
    <t xml:space="preserve">Departamento Médico</t>
  </si>
  <si>
    <t xml:space="preserve">Falta Não Justificada</t>
  </si>
  <si>
    <t xml:space="preserve">Noite</t>
  </si>
  <si>
    <t xml:space="preserve">Fim Meso 2</t>
  </si>
  <si>
    <t xml:space="preserve">Ambas</t>
  </si>
  <si>
    <t xml:space="preserve">Ensino Médio incompleto</t>
  </si>
  <si>
    <t xml:space="preserve">Trancado</t>
  </si>
  <si>
    <t xml:space="preserve">Sozinho</t>
  </si>
  <si>
    <t xml:space="preserve">Superliga C</t>
  </si>
  <si>
    <t xml:space="preserve">B+</t>
  </si>
  <si>
    <t xml:space="preserve">Punho / Mão</t>
  </si>
  <si>
    <t xml:space="preserve">Estimado por velocidade (VBT)</t>
  </si>
  <si>
    <t xml:space="preserve">Grama</t>
  </si>
  <si>
    <t xml:space="preserve">Em transição</t>
  </si>
  <si>
    <t xml:space="preserve">Cancelado</t>
  </si>
  <si>
    <t xml:space="preserve">Fim Meso 3</t>
  </si>
  <si>
    <t xml:space="preserve">Não estuda</t>
  </si>
  <si>
    <t xml:space="preserve">Financiada</t>
  </si>
  <si>
    <t xml:space="preserve">Amigos / Colegas</t>
  </si>
  <si>
    <t xml:space="preserve">B-</t>
  </si>
  <si>
    <t xml:space="preserve">Coluna cervical</t>
  </si>
  <si>
    <t xml:space="preserve">Carga máxima em treino</t>
  </si>
  <si>
    <t xml:space="preserve">Musculação</t>
  </si>
  <si>
    <t xml:space="preserve">Areia</t>
  </si>
  <si>
    <t xml:space="preserve">Velocidade-Força</t>
  </si>
  <si>
    <t xml:space="preserve">Sub-21</t>
  </si>
  <si>
    <t xml:space="preserve">Afastado</t>
  </si>
  <si>
    <t xml:space="preserve">Vespertino</t>
  </si>
  <si>
    <t xml:space="preserve">AB+</t>
  </si>
  <si>
    <t xml:space="preserve">Coluna lombar</t>
  </si>
  <si>
    <t xml:space="preserve">Aquático</t>
  </si>
  <si>
    <t xml:space="preserve">Hipertrofia</t>
  </si>
  <si>
    <t xml:space="preserve">Defensor Específico</t>
  </si>
  <si>
    <t xml:space="preserve">Inativo</t>
  </si>
  <si>
    <t xml:space="preserve">Competitivo</t>
  </si>
  <si>
    <t xml:space="preserve">Liberado</t>
  </si>
  <si>
    <t xml:space="preserve">Fim da Temporada</t>
  </si>
  <si>
    <t xml:space="preserve">República</t>
  </si>
  <si>
    <t xml:space="preserve">Moto</t>
  </si>
  <si>
    <t xml:space="preserve">Seleção nacional</t>
  </si>
  <si>
    <t xml:space="preserve">AB-</t>
  </si>
  <si>
    <t xml:space="preserve">Colchão / Tatame</t>
  </si>
  <si>
    <t xml:space="preserve">Master</t>
  </si>
  <si>
    <t xml:space="preserve">Polimento (Taper)</t>
  </si>
  <si>
    <t xml:space="preserve">Seleção/Convocado</t>
  </si>
  <si>
    <t xml:space="preserve">Retorno de Lesão</t>
  </si>
  <si>
    <t xml:space="preserve">Pós-graduação</t>
  </si>
  <si>
    <t xml:space="preserve">Integral</t>
  </si>
  <si>
    <t xml:space="preserve">Aplicativo / Carona</t>
  </si>
  <si>
    <t xml:space="preserve">Clube no exterior</t>
  </si>
  <si>
    <t xml:space="preserve">Coxa</t>
  </si>
  <si>
    <t xml:space="preserve">EAD</t>
  </si>
  <si>
    <t xml:space="preserve">O-</t>
  </si>
  <si>
    <t xml:space="preserve">Joelho</t>
  </si>
  <si>
    <t xml:space="preserve">Não sabe</t>
  </si>
  <si>
    <t xml:space="preserve">Tornozelo</t>
  </si>
  <si>
    <t xml:space="preserve">Pé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</si>
</sst>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dd/mm/yyyy"/>
    <numFmt numFmtId="166" formatCode="0.0;;&quot;&quot;"/>
    <numFmt numFmtId="167" formatCode="0;;&quot;&quot;"/>
    <numFmt numFmtId="168" formatCode="0.0000;;&quot;&quot;"/>
    <numFmt numFmtId="169" formatCode="0.00;;&quot;&quot;"/>
    <numFmt numFmtId="170" formatCode="0.000;;&quot;&quot;"/>
    <numFmt numFmtId="171" formatCode="0.0%;\-0.0%;&quot;&quot;"/>
    <numFmt numFmtId="172" formatCode="#,##0;\-#,##0;&quot;&quot;"/>
    <numFmt numFmtId="173" formatCode="0.0"/>
    <numFmt numFmtId="174" formatCode="0.00"/>
    <numFmt numFmtId="175" formatCode="0"/>
    <numFmt numFmtId="176" formatCode="0%;\-0%;&quot;&quot;"/>
    <numFmt numFmtId="177" formatCode="0.000"/>
    <numFmt numFmtId="178" formatCode="0&quot; semanas&quot;"/>
    <numFmt numFmtId="179" formatCode="0.00;\-0.00;&quot;&quot;"/>
    <numFmt numFmtId="180" formatCode="\+0%;\-0%;&quot;&quot;"/>
    <numFmt numFmtId="181" formatCode="0&quot; anos&quot;"/>
    <numFmt numFmtId="182" formatCode="dd/mm/yyyy;;&quot;&quot;"/>
    <numFmt numFmtId="183" formatCode="dd/mm"/>
    <numFmt numFmtId="184" formatCode="\+0.0%;\-0.0%;&quot;&quot;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96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8A6D0B"/>
      <name val="Arial"/>
      <family val="0"/>
      <charset val="1"/>
    </font>
    <font>
      <b val="true"/>
      <sz val="9"/>
      <color rgb="FF0B6B2E"/>
      <name val="Arial"/>
      <family val="0"/>
      <charset val="1"/>
    </font>
    <font>
      <i val="true"/>
      <sz val="8"/>
      <color rgb="FF7F8C9A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1F4E96"/>
      <name val="Arial"/>
      <family val="0"/>
      <charset val="1"/>
    </font>
    <font>
      <b val="true"/>
      <sz val="9"/>
      <color rgb="FF13315C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1F4E9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4E96"/>
      <name val="Arial"/>
      <family val="0"/>
      <charset val="1"/>
    </font>
    <font>
      <b val="true"/>
      <sz val="12"/>
      <color rgb="FF13315C"/>
      <name val="Arial"/>
      <family val="0"/>
      <charset val="1"/>
    </font>
    <font>
      <b val="true"/>
      <sz val="10"/>
      <color rgb="FF13315C"/>
      <name val="Arial"/>
      <family val="0"/>
      <charset val="1"/>
    </font>
    <font>
      <sz val="9"/>
      <color rgb="FF9C0006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  <font>
      <sz val="9"/>
      <color rgb="FF13315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1F4E96"/>
      <name val="Arial"/>
      <family val="0"/>
      <charset val="1"/>
    </font>
    <font>
      <b val="true"/>
      <sz val="16"/>
      <color rgb="FFE8A33D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6B3FA0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b val="true"/>
      <sz val="16"/>
      <color rgb="FF9C0006"/>
      <name val="Arial"/>
      <family val="0"/>
      <charset val="1"/>
    </font>
    <font>
      <u val="single"/>
      <sz val="8"/>
      <color rgb="FF0563C1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3315C"/>
        <bgColor rgb="FF1F4E96"/>
      </patternFill>
    </fill>
    <fill>
      <patternFill patternType="solid">
        <fgColor rgb="FFE8A33D"/>
        <bgColor rgb="FFDC853E"/>
      </patternFill>
    </fill>
    <fill>
      <patternFill patternType="solid">
        <fgColor rgb="FF1F4E96"/>
        <bgColor rgb="FF0563C1"/>
      </patternFill>
    </fill>
    <fill>
      <patternFill patternType="solid">
        <fgColor rgb="FFF5F8FC"/>
        <bgColor rgb="FFFFFFFF"/>
      </patternFill>
    </fill>
    <fill>
      <patternFill patternType="solid">
        <fgColor rgb="FFFFF2CC"/>
        <bgColor rgb="FFFDECEA"/>
      </patternFill>
    </fill>
    <fill>
      <patternFill patternType="solid">
        <fgColor rgb="FFEAF1F8"/>
        <bgColor rgb="FFEDEDED"/>
      </patternFill>
    </fill>
    <fill>
      <patternFill patternType="solid">
        <fgColor rgb="FF2E75B6"/>
        <bgColor rgb="FF4672A8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1F6F4A"/>
        <bgColor rgb="FF0B6B2E"/>
      </patternFill>
    </fill>
    <fill>
      <patternFill patternType="solid">
        <fgColor rgb="FF6B3FA0"/>
        <bgColor rgb="FF725990"/>
      </patternFill>
    </fill>
    <fill>
      <patternFill patternType="solid">
        <fgColor rgb="FF9C0006"/>
        <bgColor rgb="FF800000"/>
      </patternFill>
    </fill>
    <fill>
      <patternFill patternType="solid">
        <fgColor rgb="FF7F8C9A"/>
        <bgColor rgb="FF878787"/>
      </patternFill>
    </fill>
    <fill>
      <patternFill patternType="solid">
        <fgColor rgb="FFFDECEA"/>
        <bgColor rgb="FFEDEDED"/>
      </patternFill>
    </fill>
    <fill>
      <patternFill patternType="solid">
        <fgColor rgb="FFDDEBF7"/>
        <bgColor rgb="FFEAF1F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CEDD"/>
      </left>
      <right/>
      <top style="thin">
        <color rgb="FFBFCEDD"/>
      </top>
      <bottom style="thin">
        <color rgb="FFBFCEDD"/>
      </bottom>
      <diagonal/>
    </border>
    <border diagonalUp="false" diagonalDown="false">
      <left style="thin">
        <color rgb="FFBFCEDD"/>
      </left>
      <right/>
      <top style="thin">
        <color rgb="FFBFCEDD"/>
      </top>
      <bottom/>
      <diagonal/>
    </border>
    <border diagonalUp="false" diagonalDown="false">
      <left style="thin">
        <color rgb="FFBFCEDD"/>
      </left>
      <right style="thin">
        <color rgb="FFBFCEDD"/>
      </right>
      <top style="thin">
        <color rgb="FFBFCEDD"/>
      </top>
      <bottom style="thin">
        <color rgb="FFBFCEDD"/>
      </bottom>
      <diagonal/>
    </border>
    <border diagonalUp="false" diagonalDown="false">
      <left style="thin">
        <color rgb="FFBFCEDD"/>
      </left>
      <right style="thin">
        <color rgb="FFBFCEDD"/>
      </right>
      <top style="medium">
        <color rgb="FF2E75B6"/>
      </top>
      <bottom style="thin">
        <color rgb="FFBFCE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1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0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5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5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8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19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19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9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5" fontId="2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9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9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6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6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2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6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1" fontId="19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9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2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3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3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top" textRotation="0" wrapText="true" indent="1" shrinkToFit="false"/>
      <protection locked="true" hidden="false"/>
    </xf>
    <xf numFmtId="164" fontId="7" fillId="7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6" fillId="7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8" fillId="7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top" textRotation="0" wrapText="true" indent="1" shrinkToFit="false"/>
      <protection locked="true" hidden="false"/>
    </xf>
    <xf numFmtId="164" fontId="16" fillId="5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8" fillId="5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7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5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5">
    <dxf>
      <fill>
        <patternFill patternType="solid">
          <fgColor rgb="FF2E75B6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fgColor rgb="FF1F4E9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B6B2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0B6B2E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A6D0B"/>
        <sz val="9"/>
      </font>
      <fill>
        <patternFill>
          <bgColor rgb="FFFFEB9C"/>
        </patternFill>
      </fill>
    </dxf>
    <dxf>
      <fill>
        <patternFill patternType="solid">
          <fgColor rgb="FFD3EFC3"/>
          <bgColor rgb="FF000000"/>
        </patternFill>
      </fill>
    </dxf>
    <dxf>
      <fill>
        <patternFill patternType="solid">
          <fgColor rgb="FFD6EEC0"/>
          <bgColor rgb="FF000000"/>
        </patternFill>
      </fill>
    </dxf>
    <dxf>
      <fill>
        <patternFill patternType="solid">
          <fgColor rgb="FFDAEEBC"/>
          <bgColor rgb="FF000000"/>
        </patternFill>
      </fill>
    </dxf>
    <dxf>
      <fill>
        <patternFill patternType="solid">
          <fgColor rgb="FFDAEEBD"/>
          <bgColor rgb="FF000000"/>
        </patternFill>
      </fill>
    </dxf>
    <dxf>
      <fill>
        <patternFill patternType="solid">
          <fgColor rgb="FFDBEEBC"/>
          <bgColor rgb="FF000000"/>
        </patternFill>
      </fill>
    </dxf>
    <dxf>
      <fill>
        <patternFill patternType="solid">
          <fgColor rgb="FFDCEEBA"/>
          <bgColor rgb="FF000000"/>
        </patternFill>
      </fill>
    </dxf>
    <dxf>
      <fill>
        <patternFill patternType="solid">
          <fgColor rgb="FFDCEEBB"/>
          <bgColor rgb="FF000000"/>
        </patternFill>
      </fill>
    </dxf>
    <dxf>
      <fill>
        <patternFill patternType="solid">
          <fgColor rgb="FFDDEEBA"/>
          <bgColor rgb="FF000000"/>
        </patternFill>
      </fill>
    </dxf>
    <dxf>
      <fill>
        <patternFill patternType="solid">
          <fgColor rgb="FFDEEEB9"/>
          <bgColor rgb="FF000000"/>
        </patternFill>
      </fill>
    </dxf>
    <dxf>
      <fill>
        <patternFill patternType="solid">
          <fgColor rgb="FFDFEEB8"/>
          <bgColor rgb="FF000000"/>
        </patternFill>
      </fill>
    </dxf>
    <dxf>
      <fill>
        <patternFill patternType="solid">
          <fgColor rgb="FFE0EEB7"/>
          <bgColor rgb="FF000000"/>
        </patternFill>
      </fill>
    </dxf>
    <dxf>
      <fill>
        <patternFill patternType="solid">
          <fgColor rgb="FFE0EEB8"/>
          <bgColor rgb="FF000000"/>
        </patternFill>
      </fill>
    </dxf>
    <dxf>
      <fill>
        <patternFill patternType="solid">
          <fgColor rgb="FFE1EEB6"/>
          <bgColor rgb="FF000000"/>
        </patternFill>
      </fill>
    </dxf>
    <dxf>
      <fill>
        <patternFill patternType="solid">
          <fgColor rgb="FFE1EEB7"/>
          <bgColor rgb="FF000000"/>
        </patternFill>
      </fill>
    </dxf>
    <dxf>
      <fill>
        <patternFill patternType="solid">
          <fgColor rgb="FFE2EDB5"/>
          <bgColor rgb="FF000000"/>
        </patternFill>
      </fill>
    </dxf>
    <dxf>
      <fill>
        <patternFill patternType="solid">
          <fgColor rgb="FFE2EEB6"/>
          <bgColor rgb="FF000000"/>
        </patternFill>
      </fill>
    </dxf>
    <dxf>
      <fill>
        <patternFill patternType="solid">
          <fgColor rgb="FFE4EDB4"/>
          <bgColor rgb="FF000000"/>
        </patternFill>
      </fill>
    </dxf>
    <dxf>
      <fill>
        <patternFill patternType="solid">
          <fgColor rgb="FFE5EDB3"/>
          <bgColor rgb="FF000000"/>
        </patternFill>
      </fill>
    </dxf>
    <dxf>
      <fill>
        <patternFill patternType="solid">
          <fgColor rgb="FFE6EDB2"/>
          <bgColor rgb="FF000000"/>
        </patternFill>
      </fill>
    </dxf>
    <dxf>
      <fill>
        <patternFill patternType="solid">
          <fgColor rgb="FFE7EDB1"/>
          <bgColor rgb="FF000000"/>
        </patternFill>
      </fill>
    </dxf>
    <dxf>
      <fill>
        <patternFill patternType="solid">
          <fgColor rgb="FFE9EDB0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B6D79F"/>
          <bgColor rgb="FF000000"/>
        </patternFill>
      </fill>
    </dxf>
    <dxf>
      <fill>
        <patternFill patternType="solid">
          <fgColor rgb="FFBCDBA7"/>
          <bgColor rgb="FF000000"/>
        </patternFill>
      </fill>
    </dxf>
    <dxf>
      <fill>
        <patternFill patternType="solid">
          <fgColor rgb="FFC2DEAF"/>
          <bgColor rgb="FF000000"/>
        </patternFill>
      </fill>
    </dxf>
    <dxf>
      <fill>
        <patternFill patternType="solid">
          <fgColor rgb="FFC8E1B7"/>
          <bgColor rgb="FF000000"/>
        </patternFill>
      </fill>
    </dxf>
    <dxf>
      <fill>
        <patternFill patternType="solid">
          <fgColor rgb="FFCEE5BF"/>
          <bgColor rgb="FF000000"/>
        </patternFill>
      </fill>
    </dxf>
    <dxf>
      <fill>
        <patternFill patternType="solid">
          <fgColor rgb="FFD4E8C7"/>
          <bgColor rgb="FF000000"/>
        </patternFill>
      </fill>
    </dxf>
    <dxf>
      <fill>
        <patternFill patternType="solid">
          <fgColor rgb="FFE1EFD7"/>
          <bgColor rgb="FF000000"/>
        </patternFill>
      </fill>
    </dxf>
    <dxf>
      <fill>
        <patternFill patternType="solid">
          <fgColor rgb="FFE7F2DF"/>
          <bgColor rgb="FF000000"/>
        </patternFill>
      </fill>
    </dxf>
    <dxf>
      <fill>
        <patternFill patternType="solid">
          <fgColor rgb="FFEDF5E7"/>
          <bgColor rgb="FF000000"/>
        </patternFill>
      </fill>
    </dxf>
    <dxf>
      <fill>
        <patternFill patternType="solid">
          <fgColor rgb="FFF3F9EF"/>
          <bgColor rgb="FF000000"/>
        </patternFill>
      </fill>
    </dxf>
    <dxf>
      <fill>
        <patternFill patternType="solid">
          <fgColor rgb="FFF9FCF7"/>
          <bgColor rgb="FF000000"/>
        </patternFill>
      </fill>
    </dxf>
    <dxf>
      <fill>
        <patternFill patternType="solid">
          <fgColor rgb="FF9CC3E5"/>
          <bgColor rgb="FF000000"/>
        </patternFill>
      </fill>
    </dxf>
    <dxf>
      <fill>
        <patternFill patternType="solid">
          <fgColor rgb="FFA8CAE8"/>
          <bgColor rgb="FF000000"/>
        </patternFill>
      </fill>
    </dxf>
    <dxf>
      <fill>
        <patternFill patternType="solid">
          <fgColor rgb="FFABCCE9"/>
          <bgColor rgb="FF000000"/>
        </patternFill>
      </fill>
    </dxf>
    <dxf>
      <fill>
        <patternFill patternType="solid">
          <fgColor rgb="FFB8D4ED"/>
          <bgColor rgb="FF000000"/>
        </patternFill>
      </fill>
    </dxf>
    <dxf>
      <fill>
        <patternFill patternType="solid">
          <fgColor rgb="FFBBD6ED"/>
          <bgColor rgb="FF000000"/>
        </patternFill>
      </fill>
    </dxf>
    <dxf>
      <fill>
        <patternFill patternType="solid">
          <fgColor rgb="FFC0D9EF"/>
          <bgColor rgb="FF000000"/>
        </patternFill>
      </fill>
    </dxf>
    <dxf>
      <fill>
        <patternFill patternType="solid">
          <fgColor rgb="FFC8DEF1"/>
          <bgColor rgb="FF000000"/>
        </patternFill>
      </fill>
    </dxf>
    <dxf>
      <fill>
        <patternFill patternType="solid">
          <fgColor rgb="FFCADFF1"/>
          <bgColor rgb="FF000000"/>
        </patternFill>
      </fill>
    </dxf>
    <dxf>
      <fill>
        <patternFill patternType="solid">
          <fgColor rgb="FFCBE0F2"/>
          <bgColor rgb="FF000000"/>
        </patternFill>
      </fill>
    </dxf>
    <dxf>
      <fill>
        <patternFill patternType="solid">
          <fgColor rgb="FFD0E3F3"/>
          <bgColor rgb="FF000000"/>
        </patternFill>
      </fill>
    </dxf>
    <dxf>
      <fill>
        <patternFill patternType="solid">
          <fgColor rgb="FFD2E4F4"/>
          <bgColor rgb="FF000000"/>
        </patternFill>
      </fill>
    </dxf>
    <dxf>
      <fill>
        <patternFill patternType="solid">
          <fgColor rgb="FFD4E5F4"/>
          <bgColor rgb="FF000000"/>
        </patternFill>
      </fill>
    </dxf>
    <dxf>
      <fill>
        <patternFill patternType="solid">
          <fgColor rgb="FFD9E8F5"/>
          <bgColor rgb="FF000000"/>
        </patternFill>
      </fill>
    </dxf>
    <dxf>
      <fill>
        <patternFill patternType="solid">
          <fgColor rgb="FFDBE9F6"/>
          <bgColor rgb="FF000000"/>
        </patternFill>
      </fill>
    </dxf>
    <dxf>
      <fill>
        <patternFill patternType="solid">
          <fgColor rgb="FFDFECF7"/>
          <bgColor rgb="FF000000"/>
        </patternFill>
      </fill>
    </dxf>
    <dxf>
      <fill>
        <patternFill patternType="solid">
          <fgColor rgb="FFE0EDF7"/>
          <bgColor rgb="FF000000"/>
        </patternFill>
      </fill>
    </dxf>
    <dxf>
      <fill>
        <patternFill patternType="solid">
          <fgColor rgb="FFE3EEF8"/>
          <bgColor rgb="FF000000"/>
        </patternFill>
      </fill>
    </dxf>
    <dxf>
      <fill>
        <patternFill patternType="solid">
          <fgColor rgb="FFE4EFF8"/>
          <bgColor rgb="FF000000"/>
        </patternFill>
      </fill>
    </dxf>
    <dxf>
      <fill>
        <patternFill patternType="solid">
          <fgColor rgb="FFEAF2FA"/>
          <bgColor rgb="FF000000"/>
        </patternFill>
      </fill>
    </dxf>
    <dxf>
      <fill>
        <patternFill patternType="solid">
          <fgColor rgb="FFF0F6FC"/>
          <bgColor rgb="FF000000"/>
        </patternFill>
      </fill>
    </dxf>
    <dxf>
      <fill>
        <patternFill patternType="solid">
          <fgColor rgb="FFF1F7FC"/>
          <bgColor rgb="FF000000"/>
        </patternFill>
      </fill>
    </dxf>
    <dxf>
      <fill>
        <patternFill patternType="solid">
          <fgColor rgb="FFF2F7FC"/>
          <bgColor rgb="FF000000"/>
        </patternFill>
      </fill>
    </dxf>
    <dxf>
      <font>
        <name val="Arial"/>
        <charset val="1"/>
        <family val="0"/>
        <b val="1"/>
        <color rgb="FFC55A11"/>
        <sz val="9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1F4E96"/>
        <sz val="9"/>
      </font>
      <fill>
        <patternFill>
          <bgColor rgb="FFDDEBF7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13315C"/>
          <bgColor rgb="FF000000"/>
        </patternFill>
      </fill>
    </dxf>
    <dxf>
      <fill>
        <patternFill patternType="solid">
          <fgColor rgb="FF7F8C9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8A6D0B"/>
          <bgColor rgb="FF000000"/>
        </patternFill>
      </fill>
    </dxf>
    <dxf>
      <font>
        <name val="Arial"/>
        <charset val="1"/>
        <family val="0"/>
        <b val="1"/>
        <color rgb="FF7F8C9A"/>
        <sz val="9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9C0006"/>
        <sz val="9"/>
      </font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ont>
        <name val="Arial"/>
        <charset val="1"/>
        <family val="0"/>
        <b val="1"/>
        <color rgb="FF0B6B2E"/>
        <sz val="9"/>
      </font>
      <fill>
        <patternFill>
          <bgColor rgb="FFE2EFDA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8AA64F"/>
      <rgbColor rgb="FF0000FF"/>
      <rgbColor rgb="FFFCE4D6"/>
      <rgbColor rgb="FFFDECEA"/>
      <rgbColor rgb="FFEDEDED"/>
      <rgbColor rgb="FF9C0006"/>
      <rgbColor rgb="FF0B6B2E"/>
      <rgbColor rgb="FF000080"/>
      <rgbColor rgb="FF8A6D0B"/>
      <rgbColor rgb="FFBE4B48"/>
      <rgbColor rgb="FF1F6F4A"/>
      <rgbColor rgb="FFB8CD97"/>
      <rgbColor rgb="FF878787"/>
      <rgbColor rgb="FF93A9CE"/>
      <rgbColor rgb="FFAA433F"/>
      <rgbColor rgb="FFFFF2CC"/>
      <rgbColor rgb="FFDDEBF7"/>
      <rgbColor rgb="FF660066"/>
      <rgbColor rgb="FFDC853E"/>
      <rgbColor rgb="FF0563C1"/>
      <rgbColor rgb="FFBFCEDD"/>
      <rgbColor rgb="FF000080"/>
      <rgbColor rgb="FFFF00FF"/>
      <rgbColor rgb="FFE2EFDA"/>
      <rgbColor rgb="FFF5F8FC"/>
      <rgbColor rgb="FFC0504D"/>
      <rgbColor rgb="FF800000"/>
      <rgbColor rgb="FF4672A8"/>
      <rgbColor rgb="FF0000FF"/>
      <rgbColor rgb="FF4F81BD"/>
      <rgbColor rgb="FFEAF1F8"/>
      <rgbColor rgb="FFC6EFCE"/>
      <rgbColor rgb="FFFFEB9C"/>
      <rgbColor rgb="FFD9D9D9"/>
      <rgbColor rgb="FFD09493"/>
      <rgbColor rgb="FFA99BBD"/>
      <rgbColor rgb="FFFFC7CE"/>
      <rgbColor rgb="FF2E75B6"/>
      <rgbColor rgb="FF4BACC6"/>
      <rgbColor rgb="FF9BBB59"/>
      <rgbColor rgb="FFCC8F8E"/>
      <rgbColor rgb="FFE8A33D"/>
      <rgbColor rgb="FFC55A11"/>
      <rgbColor rgb="FF725990"/>
      <rgbColor rgb="FF7F8C9A"/>
      <rgbColor rgb="FF13315C"/>
      <rgbColor rgb="FF4299B0"/>
      <rgbColor rgb="FF4A7EBB"/>
      <rgbColor rgb="FF8064A2"/>
      <rgbColor rgb="FF8A5A00"/>
      <rgbColor rgb="FFAB4744"/>
      <rgbColor rgb="FF1F4E96"/>
      <rgbColor rgb="FF6B3FA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Relação Força–Velocidade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"F-v"</c:f>
              <c:strCache>
                <c:ptCount val="1"/>
                <c:pt idx="0">
                  <c:v>F-v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8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'Perfil F-V-P'!$F$12:$F$16</c:f>
              <c:numCache>
                <c:formatCode>0.00</c:formatCode>
                <c:ptCount val="5"/>
                <c:pt idx="0">
                  <c:v>1.53440542230533</c:v>
                </c:pt>
                <c:pt idx="1">
                  <c:v>1.38309435686796</c:v>
                </c:pt>
                <c:pt idx="2">
                  <c:v>1.25283678106927</c:v>
                </c:pt>
                <c:pt idx="3">
                  <c:v>1.12929181348312</c:v>
                </c:pt>
                <c:pt idx="4">
                  <c:v>1.01491378944224</c:v>
                </c:pt>
              </c:numCache>
            </c:numRef>
          </c:xVal>
          <c:yVal>
            <c:numRef>
              <c:f>'Perfil F-V-P'!$D$12:$D$16</c:f>
              <c:numCache>
                <c:formatCode>0.0</c:formatCode>
                <c:ptCount val="5"/>
                <c:pt idx="0">
                  <c:v>1894.8996</c:v>
                </c:pt>
                <c:pt idx="1">
                  <c:v>2088.59805</c:v>
                </c:pt>
                <c:pt idx="2">
                  <c:v>2256.6924</c:v>
                </c:pt>
                <c:pt idx="3">
                  <c:v>2392.3647</c:v>
                </c:pt>
                <c:pt idx="4">
                  <c:v>2510.32995</c:v>
                </c:pt>
              </c:numCache>
            </c:numRef>
          </c:yVal>
          <c:smooth val="1"/>
        </c:ser>
        <c:axId val="93540556"/>
        <c:axId val="64772517"/>
      </c:scatterChart>
      <c:valAx>
        <c:axId val="935405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Velocidade média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72517"/>
        <c:crosses val="autoZero"/>
        <c:crossBetween val="midCat"/>
      </c:valAx>
      <c:valAx>
        <c:axId val="64772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Força média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4055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Relação Potência–Velocidade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"P-v"</c:f>
              <c:strCache>
                <c:ptCount val="1"/>
                <c:pt idx="0">
                  <c:v>P-v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triangle"/>
            <c:size val="8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'Perfil F-V-P'!$F$12:$F$16</c:f>
              <c:numCache>
                <c:formatCode>0.00</c:formatCode>
                <c:ptCount val="5"/>
                <c:pt idx="0">
                  <c:v>1.53440542230533</c:v>
                </c:pt>
                <c:pt idx="1">
                  <c:v>1.38309435686796</c:v>
                </c:pt>
                <c:pt idx="2">
                  <c:v>1.25283678106927</c:v>
                </c:pt>
                <c:pt idx="3">
                  <c:v>1.12929181348312</c:v>
                </c:pt>
                <c:pt idx="4">
                  <c:v>1.01491378944224</c:v>
                </c:pt>
              </c:numCache>
            </c:numRef>
          </c:xVal>
          <c:yVal>
            <c:numRef>
              <c:f>'Perfil F-V-P'!$G$12:$G$16</c:f>
              <c:numCache>
                <c:formatCode>0.0</c:formatCode>
                <c:ptCount val="5"/>
                <c:pt idx="0">
                  <c:v>2907.5442209642</c:v>
                </c:pt>
                <c:pt idx="1">
                  <c:v>2888.72817672043</c:v>
                </c:pt>
                <c:pt idx="2">
                  <c:v>2827.26724227948</c:v>
                </c:pt>
                <c:pt idx="3">
                  <c:v>2701.67787057601</c:v>
                </c:pt>
                <c:pt idx="4">
                  <c:v>2547.76848230484</c:v>
                </c:pt>
              </c:numCache>
            </c:numRef>
          </c:yVal>
          <c:smooth val="1"/>
        </c:ser>
        <c:axId val="68238119"/>
        <c:axId val="21921048"/>
      </c:scatterChart>
      <c:valAx>
        <c:axId val="682381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Velocidade média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21048"/>
        <c:crosses val="autoZero"/>
        <c:crossBetween val="midCat"/>
      </c:valAx>
      <c:valAx>
        <c:axId val="219210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Potência média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3811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Elenco: Força relativa (F0/kg) × Velocidade (V0)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"Atletas"</c:f>
              <c:strCache>
                <c:ptCount val="1"/>
                <c:pt idx="0">
                  <c:v>Atletas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diamond"/>
            <c:size val="9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'Perfil F-V-P'!$E$36:$E$75</c:f>
              <c:numCache>
                <c:formatCode>0.00;;""</c:formatCode>
                <c:ptCount val="40"/>
                <c:pt idx="0">
                  <c:v>36.7198177676538</c:v>
                </c:pt>
                <c:pt idx="1">
                  <c:v>31.4543524416136</c:v>
                </c:pt>
                <c:pt idx="2">
                  <c:v>31.6535433070866</c:v>
                </c:pt>
                <c:pt idx="3">
                  <c:v>34.5381984036488</c:v>
                </c:pt>
                <c:pt idx="4">
                  <c:v>33.0591775325978</c:v>
                </c:pt>
                <c:pt idx="5">
                  <c:v>30.2212855637513</c:v>
                </c:pt>
                <c:pt idx="6">
                  <c:v>33.5822784810127</c:v>
                </c:pt>
                <c:pt idx="7">
                  <c:v>30.7411504424779</c:v>
                </c:pt>
                <c:pt idx="8">
                  <c:v>31.1757575757576</c:v>
                </c:pt>
                <c:pt idx="9">
                  <c:v>34.6666666666667</c:v>
                </c:pt>
                <c:pt idx="10">
                  <c:v>36.2309368191721</c:v>
                </c:pt>
                <c:pt idx="11">
                  <c:v>36.7902813299233</c:v>
                </c:pt>
              </c:numCache>
            </c:numRef>
          </c:xVal>
          <c:yVal>
            <c:numRef>
              <c:f>'Perfil F-V-P'!$D$36:$D$75</c:f>
              <c:numCache>
                <c:formatCode>0.00;;""</c:formatCode>
                <c:ptCount val="40"/>
                <c:pt idx="0">
                  <c:v>3.4</c:v>
                </c:pt>
                <c:pt idx="1">
                  <c:v>3.65</c:v>
                </c:pt>
                <c:pt idx="2">
                  <c:v>3.54</c:v>
                </c:pt>
                <c:pt idx="3">
                  <c:v>4.07</c:v>
                </c:pt>
                <c:pt idx="4">
                  <c:v>3.63</c:v>
                </c:pt>
                <c:pt idx="5">
                  <c:v>3.52</c:v>
                </c:pt>
                <c:pt idx="6">
                  <c:v>4.01</c:v>
                </c:pt>
                <c:pt idx="7">
                  <c:v>4.2</c:v>
                </c:pt>
                <c:pt idx="8">
                  <c:v>3.37</c:v>
                </c:pt>
                <c:pt idx="9">
                  <c:v>3.79</c:v>
                </c:pt>
                <c:pt idx="10">
                  <c:v>3.43</c:v>
                </c:pt>
                <c:pt idx="11">
                  <c:v>3.15</c:v>
                </c:pt>
              </c:numCache>
            </c:numRef>
          </c:yVal>
          <c:smooth val="1"/>
        </c:ser>
        <c:axId val="49220855"/>
        <c:axId val="89494892"/>
      </c:scatterChart>
      <c:valAx>
        <c:axId val="492208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F0 relativa (N/kg)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94892"/>
        <c:crosses val="autoZero"/>
        <c:crossBetween val="midCat"/>
      </c:valAx>
      <c:valAx>
        <c:axId val="894948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V0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2085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Dinâmica da Carga: Volume × Intensidade por Mesociclo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Macrociclo!H18</c:f>
              <c:strCache>
                <c:ptCount val="1"/>
                <c:pt idx="0">
                  <c:v>Volume (%)</c:v>
                </c:pt>
              </c:strCache>
            </c:strRef>
          </c:tx>
          <c:spPr>
            <a:solidFill>
              <a:srgbClr val="aa433f"/>
            </a:solidFill>
            <a:ln w="2808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Macrociclo!$B$19:$B$30</c:f>
              <c:strCache>
                <c:ptCount val="12"/>
                <c:pt idx="0">
                  <c:v>Meso 1 — Base Geral</c:v>
                </c:pt>
                <c:pt idx="1">
                  <c:v>Meso 2 — Base Específica</c:v>
                </c:pt>
                <c:pt idx="2">
                  <c:v>Meso 3 — Pré-Competitivo</c:v>
                </c:pt>
                <c:pt idx="3">
                  <c:v>Meso 4 — Competitivo I</c:v>
                </c:pt>
                <c:pt idx="4">
                  <c:v>Meso 5 — Competitivo II</c:v>
                </c:pt>
                <c:pt idx="5">
                  <c:v>Meso 6 — Transição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Macrociclo!$H$19:$H$30</c:f>
              <c:numCache>
                <c:formatCode>0%;\-0%;""</c:formatCode>
                <c:ptCount val="12"/>
                <c:pt idx="0">
                  <c:v>0.9</c:v>
                </c:pt>
                <c:pt idx="1">
                  <c:v>0.85</c:v>
                </c:pt>
                <c:pt idx="2">
                  <c:v>0.7</c:v>
                </c:pt>
                <c:pt idx="3">
                  <c:v>0.55</c:v>
                </c:pt>
                <c:pt idx="4">
                  <c:v>0.5</c:v>
                </c:pt>
                <c:pt idx="5">
                  <c:v>0.35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Macrociclo!I18</c:f>
              <c:strCache>
                <c:ptCount val="1"/>
                <c:pt idx="0">
                  <c:v>Intensidade (%)</c:v>
                </c:pt>
              </c:strCache>
            </c:strRef>
          </c:tx>
          <c:spPr>
            <a:solidFill>
              <a:srgbClr val="cc8f8e"/>
            </a:solidFill>
            <a:ln w="2808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Macrociclo!$B$19:$B$30</c:f>
              <c:strCache>
                <c:ptCount val="12"/>
                <c:pt idx="0">
                  <c:v>Meso 1 — Base Geral</c:v>
                </c:pt>
                <c:pt idx="1">
                  <c:v>Meso 2 — Base Específica</c:v>
                </c:pt>
                <c:pt idx="2">
                  <c:v>Meso 3 — Pré-Competitivo</c:v>
                </c:pt>
                <c:pt idx="3">
                  <c:v>Meso 4 — Competitivo I</c:v>
                </c:pt>
                <c:pt idx="4">
                  <c:v>Meso 5 — Competitivo II</c:v>
                </c:pt>
                <c:pt idx="5">
                  <c:v>Meso 6 — Transição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Macrociclo!$I$19:$I$30</c:f>
              <c:numCache>
                <c:formatCode>0%;\-0%;""</c:formatCode>
                <c:ptCount val="12"/>
                <c:pt idx="0">
                  <c:v>0.55</c:v>
                </c:pt>
                <c:pt idx="1">
                  <c:v>0.7</c:v>
                </c:pt>
                <c:pt idx="2">
                  <c:v>0.85</c:v>
                </c:pt>
                <c:pt idx="3">
                  <c:v>0.9</c:v>
                </c:pt>
                <c:pt idx="4">
                  <c:v>0.95</c:v>
                </c:pt>
                <c:pt idx="5">
                  <c:v>0.4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457126"/>
        <c:axId val="58110810"/>
      </c:lineChart>
      <c:catAx>
        <c:axId val="244571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10810"/>
        <c:crosses val="autoZero"/>
        <c:auto val="1"/>
        <c:lblAlgn val="ctr"/>
        <c:lblOffset val="100"/>
        <c:noMultiLvlLbl val="0"/>
      </c:catAx>
      <c:valAx>
        <c:axId val="581108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relativo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;\-0%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571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Dinâmica do Bloco: Volume × Intensidade (índices relativos)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'Bloco Base'!O11</c:f>
              <c:strCache>
                <c:ptCount val="1"/>
                <c:pt idx="0">
                  <c:v>Índice de Volume</c:v>
                </c:pt>
              </c:strCache>
            </c:strRef>
          </c:tx>
          <c:spPr>
            <a:solidFill>
              <a:srgbClr val="4a7ebb"/>
            </a:solidFill>
            <a:ln w="280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'Bloco Base'!$A$12:$A$19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'Bloco Base'!$O$12:$O$19</c:f>
              <c:numCache>
                <c:formatCode>0%;\-0%;""</c:formatCode>
                <c:ptCount val="8"/>
                <c:pt idx="0">
                  <c:v>0.75</c:v>
                </c:pt>
                <c:pt idx="1">
                  <c:v>0.88</c:v>
                </c:pt>
                <c:pt idx="2">
                  <c:v>1</c:v>
                </c:pt>
                <c:pt idx="3">
                  <c:v>0.45</c:v>
                </c:pt>
                <c:pt idx="4">
                  <c:v>0.75</c:v>
                </c:pt>
                <c:pt idx="5">
                  <c:v>0.7</c:v>
                </c:pt>
                <c:pt idx="6">
                  <c:v>0.85</c:v>
                </c:pt>
                <c:pt idx="7">
                  <c:v>0.42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'Bloco Base'!P11</c:f>
              <c:strCache>
                <c:ptCount val="1"/>
                <c:pt idx="0">
                  <c:v>Índice de Intensidade</c:v>
                </c:pt>
              </c:strCache>
            </c:strRef>
          </c:tx>
          <c:spPr>
            <a:solidFill>
              <a:srgbClr val="be4b48"/>
            </a:solidFill>
            <a:ln w="2808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'Bloco Base'!$A$12:$A$19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'Bloco Base'!$P$12:$P$19</c:f>
              <c:numCache>
                <c:formatCode>0%;\-0%;""</c:formatCode>
                <c:ptCount val="8"/>
                <c:pt idx="0">
                  <c:v>0.62</c:v>
                </c:pt>
                <c:pt idx="1">
                  <c:v>0.72</c:v>
                </c:pt>
                <c:pt idx="2">
                  <c:v>0.78</c:v>
                </c:pt>
                <c:pt idx="3">
                  <c:v>0.66</c:v>
                </c:pt>
                <c:pt idx="4">
                  <c:v>0.85</c:v>
                </c:pt>
                <c:pt idx="5">
                  <c:v>0.9</c:v>
                </c:pt>
                <c:pt idx="6">
                  <c:v>0.93</c:v>
                </c:pt>
                <c:pt idx="7">
                  <c:v>0.95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841970"/>
        <c:axId val="35594555"/>
      </c:lineChart>
      <c:catAx>
        <c:axId val="618419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94555"/>
        <c:crosses val="autoZero"/>
        <c:auto val="1"/>
        <c:lblAlgn val="ctr"/>
        <c:lblOffset val="100"/>
        <c:noMultiLvlLbl val="0"/>
      </c:catAx>
      <c:valAx>
        <c:axId val="355945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relativo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;\-0%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419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Contatos Pliométricos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'Bloco Base'!M11</c:f>
              <c:strCache>
                <c:ptCount val="1"/>
                <c:pt idx="0">
                  <c:v>Pliometria (contatos/sem)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'Bloco Base'!$A$12:$A$19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'Bloco Base'!$M$12:$M$19</c:f>
              <c:numCache>
                <c:formatCode>General</c:formatCode>
                <c:ptCount val="8"/>
                <c:pt idx="0">
                  <c:v>60</c:v>
                </c:pt>
                <c:pt idx="1">
                  <c:v>90</c:v>
                </c:pt>
                <c:pt idx="2">
                  <c:v>120</c:v>
                </c:pt>
                <c:pt idx="3">
                  <c:v>45</c:v>
                </c:pt>
                <c:pt idx="4">
                  <c:v>90</c:v>
                </c:pt>
                <c:pt idx="5">
                  <c:v>110</c:v>
                </c:pt>
                <c:pt idx="6">
                  <c:v>140</c:v>
                </c:pt>
                <c:pt idx="7">
                  <c:v>70</c:v>
                </c:pt>
              </c:numCache>
            </c:numRef>
          </c:val>
        </c:ser>
        <c:gapWidth val="150"/>
        <c:overlap val="0"/>
        <c:axId val="7362576"/>
        <c:axId val="62706040"/>
      </c:barChart>
      <c:catAx>
        <c:axId val="736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06040"/>
        <c:crosses val="autoZero"/>
        <c:auto val="1"/>
        <c:lblAlgn val="ctr"/>
        <c:lblOffset val="100"/>
        <c:noMultiLvlLbl val="0"/>
      </c:catAx>
      <c:valAx>
        <c:axId val="62706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contatos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25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de Conteúdos na Semana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Microciclo!B35</c:f>
              <c:strCache>
                <c:ptCount val="1"/>
                <c:pt idx="0">
                  <c:v>Técnico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Microciclo!$B$36:$B$42</c:f>
              <c:numCache>
                <c:formatCode>#,##0;\-#,##0;""</c:formatCode>
                <c:ptCount val="7"/>
                <c:pt idx="0">
                  <c:v>60</c:v>
                </c:pt>
                <c:pt idx="1">
                  <c:v>50</c:v>
                </c:pt>
                <c:pt idx="2">
                  <c:v>60</c:v>
                </c:pt>
                <c:pt idx="3">
                  <c:v>45</c:v>
                </c:pt>
                <c:pt idx="4">
                  <c:v>70</c:v>
                </c:pt>
                <c:pt idx="5">
                  <c:v>30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Microciclo!C35</c:f>
              <c:strCache>
                <c:ptCount val="1"/>
                <c:pt idx="0">
                  <c:v>Tático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Microciclo!$C$36:$C$42</c:f>
              <c:numCache>
                <c:formatCode>#,##0;\-#,##0;""</c:formatCode>
                <c:ptCount val="7"/>
                <c:pt idx="0">
                  <c:v>30</c:v>
                </c:pt>
                <c:pt idx="1">
                  <c:v>20</c:v>
                </c:pt>
                <c:pt idx="2">
                  <c:v>40</c:v>
                </c:pt>
                <c:pt idx="3">
                  <c:v>35</c:v>
                </c:pt>
                <c:pt idx="4">
                  <c:v>50</c:v>
                </c:pt>
                <c:pt idx="5">
                  <c:v>20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Microciclo!D35</c:f>
              <c:strCache>
                <c:ptCount val="1"/>
                <c:pt idx="0">
                  <c:v>Físico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Microciclo!$D$36:$D$42</c:f>
              <c:numCache>
                <c:formatCode>#,##0;\-#,##0;""</c:formatCode>
                <c:ptCount val="7"/>
                <c:pt idx="0">
                  <c:v>45</c:v>
                </c:pt>
                <c:pt idx="1">
                  <c:v>70</c:v>
                </c:pt>
                <c:pt idx="2">
                  <c:v>30</c:v>
                </c:pt>
                <c:pt idx="3">
                  <c:v>60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Microciclo!E35</c:f>
              <c:strCache>
                <c:ptCount val="1"/>
                <c:pt idx="0">
                  <c:v>Preventivo / Prevenção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Microciclo!$E$36:$E$42</c:f>
              <c:numCache>
                <c:formatCode>#,##0;\-#,##0;""</c:formatCode>
                <c:ptCount val="7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10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strRef>
              <c:f>Microciclo!F35</c:f>
              <c:strCache>
                <c:ptCount val="1"/>
                <c:pt idx="0">
                  <c:v>Recuperação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Microciclo!$F$36:$F$42</c:f>
              <c:numCache>
                <c:formatCode>#,##0;\-#,##0;""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0</c:v>
                </c:pt>
              </c:numCache>
            </c:numRef>
          </c:val>
        </c:ser>
        <c:gapWidth val="150"/>
        <c:overlap val="100"/>
        <c:axId val="97904911"/>
        <c:axId val="84274207"/>
      </c:barChart>
      <c:catAx>
        <c:axId val="979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74207"/>
        <c:crosses val="autoZero"/>
        <c:auto val="1"/>
        <c:lblAlgn val="ctr"/>
        <c:lblOffset val="100"/>
        <c:noMultiLvlLbl val="0"/>
      </c:catAx>
      <c:valAx>
        <c:axId val="84274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049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Saltos da Semana por Atleta (origem)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Saltos!P7</c:f>
              <c:strCache>
                <c:ptCount val="1"/>
                <c:pt idx="0">
                  <c:v>Pliometria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Saltos!$O$8:$O$27</c:f>
              <c:strCache>
                <c:ptCount val="20"/>
                <c:pt idx="0">
                  <c:v>Rafael Monteiro Alves</c:v>
                </c:pt>
                <c:pt idx="1">
                  <c:v>Diego Salgado Ferraz</c:v>
                </c:pt>
                <c:pt idx="2">
                  <c:v>Lucas Prado Bittencourt</c:v>
                </c:pt>
                <c:pt idx="3">
                  <c:v>Bruno Rezende Camargo</c:v>
                </c:pt>
                <c:pt idx="4">
                  <c:v>Thiago Nogueira Vasques</c:v>
                </c:pt>
                <c:pt idx="5">
                  <c:v>Matheus Caldeira Lins</c:v>
                </c:pt>
                <c:pt idx="6">
                  <c:v>Felipe Andrade Rocha</c:v>
                </c:pt>
                <c:pt idx="7">
                  <c:v>Gustavo Peixoto Maia</c:v>
                </c:pt>
                <c:pt idx="8">
                  <c:v>Vinícius Barreto Duarte</c:v>
                </c:pt>
                <c:pt idx="9">
                  <c:v>André Luiz Sampaio</c:v>
                </c:pt>
                <c:pt idx="10">
                  <c:v>Pedro Henrique Coutinho</c:v>
                </c:pt>
                <c:pt idx="11">
                  <c:v>Caio Fernandes Bastos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Saltos!$P$8:$P$27</c:f>
              <c:numCache>
                <c:formatCode>#,##0;\-#,##0;""</c:formatCode>
                <c:ptCount val="20"/>
                <c:pt idx="0">
                  <c:v>123</c:v>
                </c:pt>
                <c:pt idx="1">
                  <c:v>111</c:v>
                </c:pt>
                <c:pt idx="2">
                  <c:v>80</c:v>
                </c:pt>
                <c:pt idx="3">
                  <c:v>0</c:v>
                </c:pt>
                <c:pt idx="4">
                  <c:v>106</c:v>
                </c:pt>
                <c:pt idx="5">
                  <c:v>108</c:v>
                </c:pt>
                <c:pt idx="6">
                  <c:v>101</c:v>
                </c:pt>
                <c:pt idx="7">
                  <c:v>118</c:v>
                </c:pt>
                <c:pt idx="8">
                  <c:v>85</c:v>
                </c:pt>
                <c:pt idx="9">
                  <c:v>114</c:v>
                </c:pt>
                <c:pt idx="10">
                  <c:v>91</c:v>
                </c:pt>
                <c:pt idx="11">
                  <c:v>122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Saltos!Q7</c:f>
              <c:strCache>
                <c:ptCount val="1"/>
                <c:pt idx="0">
                  <c:v>Quadra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Saltos!$O$8:$O$27</c:f>
              <c:strCache>
                <c:ptCount val="20"/>
                <c:pt idx="0">
                  <c:v>Rafael Monteiro Alves</c:v>
                </c:pt>
                <c:pt idx="1">
                  <c:v>Diego Salgado Ferraz</c:v>
                </c:pt>
                <c:pt idx="2">
                  <c:v>Lucas Prado Bittencourt</c:v>
                </c:pt>
                <c:pt idx="3">
                  <c:v>Bruno Rezende Camargo</c:v>
                </c:pt>
                <c:pt idx="4">
                  <c:v>Thiago Nogueira Vasques</c:v>
                </c:pt>
                <c:pt idx="5">
                  <c:v>Matheus Caldeira Lins</c:v>
                </c:pt>
                <c:pt idx="6">
                  <c:v>Felipe Andrade Rocha</c:v>
                </c:pt>
                <c:pt idx="7">
                  <c:v>Gustavo Peixoto Maia</c:v>
                </c:pt>
                <c:pt idx="8">
                  <c:v>Vinícius Barreto Duarte</c:v>
                </c:pt>
                <c:pt idx="9">
                  <c:v>André Luiz Sampaio</c:v>
                </c:pt>
                <c:pt idx="10">
                  <c:v>Pedro Henrique Coutinho</c:v>
                </c:pt>
                <c:pt idx="11">
                  <c:v>Caio Fernandes Bastos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Saltos!$Q$8:$Q$27</c:f>
              <c:numCache>
                <c:formatCode>#,##0;\-#,##0;""</c:formatCode>
                <c:ptCount val="20"/>
                <c:pt idx="0">
                  <c:v>252</c:v>
                </c:pt>
                <c:pt idx="1">
                  <c:v>227</c:v>
                </c:pt>
                <c:pt idx="2">
                  <c:v>318</c:v>
                </c:pt>
                <c:pt idx="3">
                  <c:v>0</c:v>
                </c:pt>
                <c:pt idx="4">
                  <c:v>190</c:v>
                </c:pt>
                <c:pt idx="5">
                  <c:v>247</c:v>
                </c:pt>
                <c:pt idx="6">
                  <c:v>297</c:v>
                </c:pt>
                <c:pt idx="7">
                  <c:v>205</c:v>
                </c:pt>
                <c:pt idx="8">
                  <c:v>228</c:v>
                </c:pt>
                <c:pt idx="9">
                  <c:v>195</c:v>
                </c:pt>
                <c:pt idx="10">
                  <c:v>216</c:v>
                </c:pt>
                <c:pt idx="11">
                  <c:v>260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strRef>
              <c:f>Saltos!R7</c:f>
              <c:strCache>
                <c:ptCount val="1"/>
                <c:pt idx="0">
                  <c:v>Jogo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Saltos!$O$8:$O$27</c:f>
              <c:strCache>
                <c:ptCount val="20"/>
                <c:pt idx="0">
                  <c:v>Rafael Monteiro Alves</c:v>
                </c:pt>
                <c:pt idx="1">
                  <c:v>Diego Salgado Ferraz</c:v>
                </c:pt>
                <c:pt idx="2">
                  <c:v>Lucas Prado Bittencourt</c:v>
                </c:pt>
                <c:pt idx="3">
                  <c:v>Bruno Rezende Camargo</c:v>
                </c:pt>
                <c:pt idx="4">
                  <c:v>Thiago Nogueira Vasques</c:v>
                </c:pt>
                <c:pt idx="5">
                  <c:v>Matheus Caldeira Lins</c:v>
                </c:pt>
                <c:pt idx="6">
                  <c:v>Felipe Andrade Rocha</c:v>
                </c:pt>
                <c:pt idx="7">
                  <c:v>Gustavo Peixoto Maia</c:v>
                </c:pt>
                <c:pt idx="8">
                  <c:v>Vinícius Barreto Duarte</c:v>
                </c:pt>
                <c:pt idx="9">
                  <c:v>André Luiz Sampaio</c:v>
                </c:pt>
                <c:pt idx="10">
                  <c:v>Pedro Henrique Coutinho</c:v>
                </c:pt>
                <c:pt idx="11">
                  <c:v>Caio Fernandes Bastos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Saltos!$R$8:$R$27</c:f>
              <c:numCache>
                <c:formatCode>#,##0;\-#,##0;""</c:formatCode>
                <c:ptCount val="20"/>
                <c:pt idx="0">
                  <c:v>85</c:v>
                </c:pt>
                <c:pt idx="1">
                  <c:v>70</c:v>
                </c:pt>
                <c:pt idx="2">
                  <c:v>70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100"/>
        <c:axId val="89539988"/>
        <c:axId val="56298427"/>
      </c:barChart>
      <c:catAx>
        <c:axId val="895399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98427"/>
        <c:crosses val="autoZero"/>
        <c:auto val="1"/>
        <c:lblAlgn val="ctr"/>
        <c:lblOffset val="100"/>
        <c:noMultiLvlLbl val="0"/>
      </c:catAx>
      <c:valAx>
        <c:axId val="56298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399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Semanal do Atleta (UA)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Atleta!J19</c:f>
              <c:strCache>
                <c:ptCount val="1"/>
                <c:pt idx="0">
                  <c:v>Carga Semanal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Atleta!$A$20:$A$67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Atleta!$J$20:$J$67</c:f>
              <c:numCache>
                <c:formatCode>#,##0;\-#,##0;""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3905</c:v>
                </c:pt>
                <c:pt idx="32">
                  <c:v>3595</c:v>
                </c:pt>
                <c:pt idx="33">
                  <c:v>3990</c:v>
                </c:pt>
                <c:pt idx="34">
                  <c:v>1335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</c:ser>
        <c:gapWidth val="150"/>
        <c:overlap val="0"/>
        <c:axId val="35747806"/>
        <c:axId val="71207445"/>
      </c:barChart>
      <c:catAx>
        <c:axId val="35747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07445"/>
        <c:crosses val="autoZero"/>
        <c:auto val="1"/>
        <c:lblAlgn val="ctr"/>
        <c:lblOffset val="100"/>
        <c:noMultiLvlLbl val="0"/>
      </c:catAx>
      <c:valAx>
        <c:axId val="712074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478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Monotonia Semanal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Atleta!N19</c:f>
              <c:strCache>
                <c:ptCount val="1"/>
                <c:pt idx="0">
                  <c:v>Monotonia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Atleta!$A$20:$A$67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Atleta!$N$20:$N$67</c:f>
              <c:numCache>
                <c:formatCode>0.00;\-0.00;""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1.30225643298727</c:v>
                </c:pt>
                <c:pt idx="32">
                  <c:v>1.2857139304198</c:v>
                </c:pt>
                <c:pt idx="33">
                  <c:v>1.29046497288098</c:v>
                </c:pt>
                <c:pt idx="34">
                  <c:v>0.529074666787717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962456"/>
        <c:axId val="12496309"/>
      </c:lineChart>
      <c:catAx>
        <c:axId val="15962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96309"/>
        <c:crosses val="autoZero"/>
        <c:auto val="1"/>
        <c:lblAlgn val="ctr"/>
        <c:lblOffset val="100"/>
        <c:noMultiLvlLbl val="0"/>
      </c:catAx>
      <c:valAx>
        <c:axId val="124963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;\-0.0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624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Total da Equipe por Semana (UA)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Painel!C10</c:f>
              <c:strCache>
                <c:ptCount val="1"/>
                <c:pt idx="0">
                  <c:v>Carga Total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Painel!$A$11:$A$58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Painel!$C$11:$C$58</c:f>
              <c:numCache>
                <c:formatCode>#,##0;\-#,##0;""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44915</c:v>
                </c:pt>
                <c:pt idx="32">
                  <c:v>44825</c:v>
                </c:pt>
                <c:pt idx="33">
                  <c:v>42085</c:v>
                </c:pt>
                <c:pt idx="34">
                  <c:v>21910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</c:ser>
        <c:gapWidth val="150"/>
        <c:overlap val="0"/>
        <c:axId val="63649029"/>
        <c:axId val="88818390"/>
      </c:barChart>
      <c:catAx>
        <c:axId val="636490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18390"/>
        <c:crosses val="autoZero"/>
        <c:auto val="1"/>
        <c:lblAlgn val="ctr"/>
        <c:lblOffset val="100"/>
        <c:noMultiLvlLbl val="0"/>
      </c:catAx>
      <c:valAx>
        <c:axId val="88818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490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ACWR Médio da Equipe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Painel!H10</c:f>
              <c:strCache>
                <c:ptCount val="1"/>
                <c:pt idx="0">
                  <c:v>ACWR Médio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Painel!$A$11:$A$58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Painel!$H$11:$H$58</c:f>
              <c:numCache>
                <c:formatCode>0.00;\-0.00;""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</c:v>
                </c:pt>
                <c:pt idx="32">
                  <c:v>2.62602406122498</c:v>
                </c:pt>
                <c:pt idx="33">
                  <c:v>1.58832652557741</c:v>
                </c:pt>
                <c:pt idx="34">
                  <c:v>1.22346041289585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877059"/>
        <c:axId val="78483821"/>
      </c:lineChart>
      <c:catAx>
        <c:axId val="528770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83821"/>
        <c:crosses val="autoZero"/>
        <c:auto val="1"/>
        <c:lblAlgn val="ctr"/>
        <c:lblOffset val="100"/>
        <c:noMultiLvlLbl val="0"/>
      </c:catAx>
      <c:valAx>
        <c:axId val="784838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;\-0.0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770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da Carga por Tipo de Sessão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Painel!L46</c:f>
              <c:strCache>
                <c:ptCount val="1"/>
                <c:pt idx="0">
                  <c:v>Carga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Painel!$K$47:$K$56</c:f>
              <c:strCache>
                <c:ptCount val="10"/>
                <c:pt idx="0">
                  <c:v>Técnico-Tático</c:v>
                </c:pt>
                <c:pt idx="1">
                  <c:v>Físico (Força)</c:v>
                </c:pt>
                <c:pt idx="2">
                  <c:v>Físico (Potência)</c:v>
                </c:pt>
                <c:pt idx="3">
                  <c:v>Físico (Condicionamento)</c:v>
                </c:pt>
                <c:pt idx="4">
                  <c:v>Coletivo/Jogo</c:v>
                </c:pt>
                <c:pt idx="5">
                  <c:v>Amistoso</c:v>
                </c:pt>
                <c:pt idx="6">
                  <c:v>Competição Oficial</c:v>
                </c:pt>
                <c:pt idx="7">
                  <c:v>Recuperação/Regenerativo</c:v>
                </c:pt>
                <c:pt idx="8">
                  <c:v>Vídeo/Teórico</c:v>
                </c:pt>
                <c:pt idx="9">
                  <c:v>Folga</c:v>
                </c:pt>
              </c:strCache>
            </c:strRef>
          </c:cat>
          <c:val>
            <c:numRef>
              <c:f>Painel!$L$47:$L$56</c:f>
              <c:numCache>
                <c:formatCode>#,##0;\-#,##0;""</c:formatCode>
                <c:ptCount val="10"/>
                <c:pt idx="0">
                  <c:v>44565</c:v>
                </c:pt>
                <c:pt idx="1">
                  <c:v>21160</c:v>
                </c:pt>
                <c:pt idx="2">
                  <c:v>17055</c:v>
                </c:pt>
                <c:pt idx="3">
                  <c:v>9950</c:v>
                </c:pt>
                <c:pt idx="4">
                  <c:v>61005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Total por Atleta (UA)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Painel!D62</c:f>
              <c:strCache>
                <c:ptCount val="1"/>
                <c:pt idx="0">
                  <c:v>Carga Total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Painel!$A$63:$A$82</c:f>
              <c:strCache>
                <c:ptCount val="20"/>
                <c:pt idx="0">
                  <c:v>Rafael Monteiro Alves</c:v>
                </c:pt>
                <c:pt idx="1">
                  <c:v>Diego Salgado Ferraz</c:v>
                </c:pt>
                <c:pt idx="2">
                  <c:v>Lucas Prado Bittencourt</c:v>
                </c:pt>
                <c:pt idx="3">
                  <c:v>Bruno Rezende Camargo</c:v>
                </c:pt>
                <c:pt idx="4">
                  <c:v>Thiago Nogueira Vasques</c:v>
                </c:pt>
                <c:pt idx="5">
                  <c:v>Matheus Caldeira Lins</c:v>
                </c:pt>
                <c:pt idx="6">
                  <c:v>Felipe Andrade Rocha</c:v>
                </c:pt>
                <c:pt idx="7">
                  <c:v>Gustavo Peixoto Maia</c:v>
                </c:pt>
                <c:pt idx="8">
                  <c:v>Vinícius Barreto Duarte</c:v>
                </c:pt>
                <c:pt idx="9">
                  <c:v>André Luiz Sampaio</c:v>
                </c:pt>
                <c:pt idx="10">
                  <c:v>Pedro Henrique Coutinho</c:v>
                </c:pt>
                <c:pt idx="11">
                  <c:v>Caio Fernandes Bastos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Painel!$D$63:$D$82</c:f>
              <c:numCache>
                <c:formatCode>#,##0;\-#,##0;""</c:formatCode>
                <c:ptCount val="20"/>
                <c:pt idx="0">
                  <c:v>12825</c:v>
                </c:pt>
                <c:pt idx="1">
                  <c:v>14405</c:v>
                </c:pt>
                <c:pt idx="2">
                  <c:v>11685</c:v>
                </c:pt>
                <c:pt idx="3">
                  <c:v>7850</c:v>
                </c:pt>
                <c:pt idx="4">
                  <c:v>14235</c:v>
                </c:pt>
                <c:pt idx="5">
                  <c:v>12990</c:v>
                </c:pt>
                <c:pt idx="6">
                  <c:v>13560</c:v>
                </c:pt>
                <c:pt idx="7">
                  <c:v>13725</c:v>
                </c:pt>
                <c:pt idx="8">
                  <c:v>13575</c:v>
                </c:pt>
                <c:pt idx="9">
                  <c:v>13735</c:v>
                </c:pt>
                <c:pt idx="10">
                  <c:v>12985</c:v>
                </c:pt>
                <c:pt idx="11">
                  <c:v>12165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2523231"/>
        <c:axId val="27982244"/>
      </c:barChart>
      <c:catAx>
        <c:axId val="252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82244"/>
        <c:crosses val="autoZero"/>
        <c:auto val="1"/>
        <c:lblAlgn val="ctr"/>
        <c:lblOffset val="100"/>
        <c:noMultiLvlLbl val="0"/>
      </c:catAx>
      <c:valAx>
        <c:axId val="27982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32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 Presença por Atleta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Painel!G62</c:f>
              <c:strCache>
                <c:ptCount val="1"/>
                <c:pt idx="0">
                  <c:v>% Presença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Painel!$A$63:$A$82</c:f>
              <c:strCache>
                <c:ptCount val="20"/>
                <c:pt idx="0">
                  <c:v>Rafael Monteiro Alves</c:v>
                </c:pt>
                <c:pt idx="1">
                  <c:v>Diego Salgado Ferraz</c:v>
                </c:pt>
                <c:pt idx="2">
                  <c:v>Lucas Prado Bittencourt</c:v>
                </c:pt>
                <c:pt idx="3">
                  <c:v>Bruno Rezende Camargo</c:v>
                </c:pt>
                <c:pt idx="4">
                  <c:v>Thiago Nogueira Vasques</c:v>
                </c:pt>
                <c:pt idx="5">
                  <c:v>Matheus Caldeira Lins</c:v>
                </c:pt>
                <c:pt idx="6">
                  <c:v>Felipe Andrade Rocha</c:v>
                </c:pt>
                <c:pt idx="7">
                  <c:v>Gustavo Peixoto Maia</c:v>
                </c:pt>
                <c:pt idx="8">
                  <c:v>Vinícius Barreto Duarte</c:v>
                </c:pt>
                <c:pt idx="9">
                  <c:v>André Luiz Sampaio</c:v>
                </c:pt>
                <c:pt idx="10">
                  <c:v>Pedro Henrique Coutinho</c:v>
                </c:pt>
                <c:pt idx="11">
                  <c:v>Caio Fernandes Bastos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Painel!$G$63:$G$82</c:f>
              <c:numCache>
                <c:formatCode>0%;\-0%;""</c:formatCode>
                <c:ptCount val="20"/>
                <c:pt idx="0">
                  <c:v>0.92</c:v>
                </c:pt>
                <c:pt idx="1">
                  <c:v>1</c:v>
                </c:pt>
                <c:pt idx="2">
                  <c:v>0.84</c:v>
                </c:pt>
                <c:pt idx="3">
                  <c:v>0.52</c:v>
                </c:pt>
                <c:pt idx="4">
                  <c:v>0.96</c:v>
                </c:pt>
                <c:pt idx="5">
                  <c:v>0.96</c:v>
                </c:pt>
                <c:pt idx="6">
                  <c:v>0.96</c:v>
                </c:pt>
                <c:pt idx="7">
                  <c:v>1</c:v>
                </c:pt>
                <c:pt idx="8">
                  <c:v>1</c:v>
                </c:pt>
                <c:pt idx="9">
                  <c:v>0.96</c:v>
                </c:pt>
                <c:pt idx="10">
                  <c:v>0.92</c:v>
                </c:pt>
                <c:pt idx="11">
                  <c:v>0.84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6143447"/>
        <c:axId val="3739233"/>
      </c:barChart>
      <c:catAx>
        <c:axId val="6143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9233"/>
        <c:crosses val="autoZero"/>
        <c:auto val="1"/>
        <c:lblAlgn val="ctr"/>
        <c:lblOffset val="100"/>
        <c:noMultiLvlLbl val="0"/>
      </c:catAx>
      <c:valAx>
        <c:axId val="3739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;\-0%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34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Tonelagem × Intensidade Média Relativa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'KPIs Força'!E10</c:f>
              <c:strCache>
                <c:ptCount val="1"/>
                <c:pt idx="0">
                  <c:v>Tonelagem (kg)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Força'!$A$11:$A$18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'KPIs Força'!$E$11:$E$18</c:f>
              <c:numCache>
                <c:formatCode>#,##0;\-#,##0;""</c:formatCode>
                <c:ptCount val="8"/>
                <c:pt idx="0">
                  <c:v>11641</c:v>
                </c:pt>
                <c:pt idx="1">
                  <c:v>11894</c:v>
                </c:pt>
                <c:pt idx="2">
                  <c:v>11796.5</c:v>
                </c:pt>
                <c:pt idx="3">
                  <c:v>6846</c:v>
                </c:pt>
                <c:pt idx="4">
                  <c:v>10882</c:v>
                </c:pt>
                <c:pt idx="5">
                  <c:v>10056</c:v>
                </c:pt>
                <c:pt idx="6">
                  <c:v>9166</c:v>
                </c:pt>
                <c:pt idx="7">
                  <c:v>5856.5</c:v>
                </c:pt>
              </c:numCache>
            </c:numRef>
          </c:val>
        </c:ser>
        <c:gapWidth val="150"/>
        <c:overlap val="0"/>
        <c:axId val="23955406"/>
        <c:axId val="17934060"/>
      </c:barChart>
      <c:lineChart>
        <c:grouping val="standard"/>
        <c:varyColors val="0"/>
        <c:ser>
          <c:idx val="1"/>
          <c:order val="1"/>
          <c:tx>
            <c:strRef>
              <c:f>'KPIs Força'!F10</c:f>
              <c:strCache>
                <c:ptCount val="1"/>
                <c:pt idx="0">
                  <c:v>Intensidade Média Relativa</c:v>
                </c:pt>
              </c:strCache>
            </c:strRef>
          </c:tx>
          <c:spPr>
            <a:solidFill>
              <a:srgbClr val="be4b48"/>
            </a:solidFill>
            <a:ln w="2988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Força'!$A$11:$A$18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'KPIs Força'!$F$11:$F$18</c:f>
              <c:numCache>
                <c:formatCode>0%;\-0%;""</c:formatCode>
                <c:ptCount val="8"/>
                <c:pt idx="0">
                  <c:v>0.610082304526749</c:v>
                </c:pt>
                <c:pt idx="1">
                  <c:v>0.648181818181818</c:v>
                </c:pt>
                <c:pt idx="2">
                  <c:v>0.699278846153846</c:v>
                </c:pt>
                <c:pt idx="3">
                  <c:v>0.602040816326531</c:v>
                </c:pt>
                <c:pt idx="4">
                  <c:v>0.727816091954023</c:v>
                </c:pt>
                <c:pt idx="5">
                  <c:v>0.754390243902439</c:v>
                </c:pt>
                <c:pt idx="6">
                  <c:v>0.785177304964539</c:v>
                </c:pt>
                <c:pt idx="7">
                  <c:v>0.769591836734694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734873"/>
        <c:axId val="69136357"/>
      </c:lineChart>
      <c:catAx>
        <c:axId val="239554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34060"/>
        <c:crosses val="autoZero"/>
        <c:auto val="1"/>
        <c:lblAlgn val="ctr"/>
        <c:lblOffset val="100"/>
        <c:noMultiLvlLbl val="0"/>
      </c:catAx>
      <c:valAx>
        <c:axId val="1793406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Tonelagem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55406"/>
        <c:crosses val="autoZero"/>
        <c:crossBetween val="between"/>
      </c:valAx>
      <c:catAx>
        <c:axId val="6573487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36357"/>
        <c:crosses val="autoZero"/>
        <c:auto val="1"/>
        <c:lblAlgn val="ctr"/>
        <c:lblOffset val="100"/>
        <c:noMultiLvlLbl val="0"/>
      </c:catAx>
      <c:valAx>
        <c:axId val="6913635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1RM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;\-0%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34873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Contatos Pliométricos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'KPIs Força'!G10</c:f>
              <c:strCache>
                <c:ptCount val="1"/>
                <c:pt idx="0">
                  <c:v>Contatos Pliométricos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Força'!$A$11:$A$18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'KPIs Força'!$G$11:$G$18</c:f>
              <c:numCache>
                <c:formatCode>#,##0;\-#,##0;""</c:formatCode>
                <c:ptCount val="8"/>
                <c:pt idx="0">
                  <c:v>60</c:v>
                </c:pt>
                <c:pt idx="1">
                  <c:v>85</c:v>
                </c:pt>
                <c:pt idx="2">
                  <c:v>120</c:v>
                </c:pt>
                <c:pt idx="3">
                  <c:v>45</c:v>
                </c:pt>
                <c:pt idx="4">
                  <c:v>85</c:v>
                </c:pt>
                <c:pt idx="5">
                  <c:v>115</c:v>
                </c:pt>
                <c:pt idx="6">
                  <c:v>140</c:v>
                </c:pt>
                <c:pt idx="7">
                  <c:v>75</c:v>
                </c:pt>
              </c:numCache>
            </c:numRef>
          </c:val>
        </c:ser>
        <c:gapWidth val="150"/>
        <c:overlap val="0"/>
        <c:axId val="67389277"/>
        <c:axId val="97235104"/>
      </c:barChart>
      <c:catAx>
        <c:axId val="673892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35104"/>
        <c:crosses val="autoZero"/>
        <c:auto val="1"/>
        <c:lblAlgn val="ctr"/>
        <c:lblOffset val="100"/>
        <c:noMultiLvlLbl val="0"/>
      </c:catAx>
      <c:valAx>
        <c:axId val="972351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contatos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892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Repetições por Zona de Intensidade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'KPIs Força'!B21</c:f>
              <c:strCache>
                <c:ptCount val="1"/>
                <c:pt idx="0">
                  <c:v>Repetições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Força'!$A$22:$A$26</c:f>
              <c:strCache>
                <c:ptCount val="5"/>
                <c:pt idx="0">
                  <c:v>Balística / Velocidade (&lt;50%)</c:v>
                </c:pt>
                <c:pt idx="1">
                  <c:v>Velocidade-Força (50–69%)</c:v>
                </c:pt>
                <c:pt idx="2">
                  <c:v>Força-Velocidade (70–79%)</c:v>
                </c:pt>
                <c:pt idx="3">
                  <c:v>Força Máxima (80–89%)</c:v>
                </c:pt>
                <c:pt idx="4">
                  <c:v>Força Máxima Alta (≥90%)</c:v>
                </c:pt>
              </c:strCache>
            </c:strRef>
          </c:cat>
          <c:val>
            <c:numRef>
              <c:f>'KPIs Força'!$B$22:$B$26</c:f>
              <c:numCache>
                <c:formatCode>#,##0;\-#,##0;""</c:formatCode>
                <c:ptCount val="5"/>
                <c:pt idx="0">
                  <c:v>108</c:v>
                </c:pt>
                <c:pt idx="1">
                  <c:v>454</c:v>
                </c:pt>
                <c:pt idx="2">
                  <c:v>439</c:v>
                </c:pt>
                <c:pt idx="3">
                  <c:v>356</c:v>
                </c:pt>
                <c:pt idx="4">
                  <c:v>38</c:v>
                </c:pt>
              </c:numCache>
            </c:numRef>
          </c:val>
        </c:ser>
        <c:gapWidth val="150"/>
        <c:overlap val="0"/>
        <c:axId val="6464891"/>
        <c:axId val="61167909"/>
      </c:barChart>
      <c:catAx>
        <c:axId val="6464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67909"/>
        <c:crosses val="autoZero"/>
        <c:auto val="1"/>
        <c:lblAlgn val="ctr"/>
        <c:lblOffset val="100"/>
        <c:noMultiLvlLbl val="0"/>
      </c:catAx>
      <c:valAx>
        <c:axId val="61167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48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CMJ: primeiro teste × teste mais recente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'KPIs Força'!D30</c:f>
              <c:strCache>
                <c:ptCount val="1"/>
                <c:pt idx="0">
                  <c:v>CMJ Inicial (cm)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Força'!$A$31:$A$50</c:f>
              <c:strCache>
                <c:ptCount val="20"/>
                <c:pt idx="0">
                  <c:v>Rafael Monteiro Alves</c:v>
                </c:pt>
                <c:pt idx="1">
                  <c:v>Diego Salgado Ferraz</c:v>
                </c:pt>
                <c:pt idx="2">
                  <c:v>Lucas Prado Bittencourt</c:v>
                </c:pt>
                <c:pt idx="3">
                  <c:v>Bruno Rezende Camargo</c:v>
                </c:pt>
                <c:pt idx="4">
                  <c:v>Thiago Nogueira Vasques</c:v>
                </c:pt>
                <c:pt idx="5">
                  <c:v>Matheus Caldeira Lins</c:v>
                </c:pt>
                <c:pt idx="6">
                  <c:v>Felipe Andrade Rocha</c:v>
                </c:pt>
                <c:pt idx="7">
                  <c:v>Gustavo Peixoto Maia</c:v>
                </c:pt>
                <c:pt idx="8">
                  <c:v>Vinícius Barreto Duarte</c:v>
                </c:pt>
                <c:pt idx="9">
                  <c:v>André Luiz Sampaio</c:v>
                </c:pt>
                <c:pt idx="10">
                  <c:v>Pedro Henrique Coutinho</c:v>
                </c:pt>
                <c:pt idx="11">
                  <c:v>Caio Fernandes Bastos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'KPIs Força'!$D$31:$D$50</c:f>
              <c:numCache>
                <c:formatCode>0.0;;""</c:formatCode>
                <c:ptCount val="20"/>
                <c:pt idx="0">
                  <c:v>49.1</c:v>
                </c:pt>
                <c:pt idx="1">
                  <c:v>55.3</c:v>
                </c:pt>
                <c:pt idx="2">
                  <c:v>50</c:v>
                </c:pt>
                <c:pt idx="3">
                  <c:v>46.4</c:v>
                </c:pt>
                <c:pt idx="4">
                  <c:v>50.3</c:v>
                </c:pt>
                <c:pt idx="5">
                  <c:v>46.5</c:v>
                </c:pt>
                <c:pt idx="6">
                  <c:v>53.1</c:v>
                </c:pt>
                <c:pt idx="7">
                  <c:v>51</c:v>
                </c:pt>
                <c:pt idx="8">
                  <c:v>48.2</c:v>
                </c:pt>
                <c:pt idx="9">
                  <c:v>57</c:v>
                </c:pt>
                <c:pt idx="10">
                  <c:v>48.3</c:v>
                </c:pt>
                <c:pt idx="11">
                  <c:v>51.9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'KPIs Força'!E30</c:f>
              <c:strCache>
                <c:ptCount val="1"/>
                <c:pt idx="0">
                  <c:v>CMJ Atual (cm)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Força'!$A$31:$A$50</c:f>
              <c:strCache>
                <c:ptCount val="20"/>
                <c:pt idx="0">
                  <c:v>Rafael Monteiro Alves</c:v>
                </c:pt>
                <c:pt idx="1">
                  <c:v>Diego Salgado Ferraz</c:v>
                </c:pt>
                <c:pt idx="2">
                  <c:v>Lucas Prado Bittencourt</c:v>
                </c:pt>
                <c:pt idx="3">
                  <c:v>Bruno Rezende Camargo</c:v>
                </c:pt>
                <c:pt idx="4">
                  <c:v>Thiago Nogueira Vasques</c:v>
                </c:pt>
                <c:pt idx="5">
                  <c:v>Matheus Caldeira Lins</c:v>
                </c:pt>
                <c:pt idx="6">
                  <c:v>Felipe Andrade Rocha</c:v>
                </c:pt>
                <c:pt idx="7">
                  <c:v>Gustavo Peixoto Maia</c:v>
                </c:pt>
                <c:pt idx="8">
                  <c:v>Vinícius Barreto Duarte</c:v>
                </c:pt>
                <c:pt idx="9">
                  <c:v>André Luiz Sampaio</c:v>
                </c:pt>
                <c:pt idx="10">
                  <c:v>Pedro Henrique Coutinho</c:v>
                </c:pt>
                <c:pt idx="11">
                  <c:v>Caio Fernandes Bastos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'KPIs Força'!$E$31:$E$50</c:f>
              <c:numCache>
                <c:formatCode>0.0;;""</c:formatCode>
                <c:ptCount val="20"/>
                <c:pt idx="0">
                  <c:v>52.1</c:v>
                </c:pt>
                <c:pt idx="1">
                  <c:v>57.4</c:v>
                </c:pt>
                <c:pt idx="2">
                  <c:v>52.3</c:v>
                </c:pt>
                <c:pt idx="3">
                  <c:v>48.1</c:v>
                </c:pt>
                <c:pt idx="4">
                  <c:v>53</c:v>
                </c:pt>
                <c:pt idx="5">
                  <c:v>49.8</c:v>
                </c:pt>
                <c:pt idx="6">
                  <c:v>55</c:v>
                </c:pt>
                <c:pt idx="7">
                  <c:v>54.3</c:v>
                </c:pt>
                <c:pt idx="8">
                  <c:v>50.5</c:v>
                </c:pt>
                <c:pt idx="9">
                  <c:v>58.8</c:v>
                </c:pt>
                <c:pt idx="10">
                  <c:v>51.2</c:v>
                </c:pt>
                <c:pt idx="11">
                  <c:v>53.3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3406053"/>
        <c:axId val="64059630"/>
      </c:barChart>
      <c:catAx>
        <c:axId val="34060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59630"/>
        <c:crosses val="autoZero"/>
        <c:auto val="1"/>
        <c:lblAlgn val="ctr"/>
        <c:lblOffset val="100"/>
        <c:noMultiLvlLbl val="0"/>
      </c:catAx>
      <c:valAx>
        <c:axId val="64059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;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60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Força Relativa no Agachamento (× massa corporal)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'KPIs Força'!C30</c:f>
              <c:strCache>
                <c:ptCount val="1"/>
                <c:pt idx="0">
                  <c:v>Força Relativa (× massa)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Força'!$A$31:$A$50</c:f>
              <c:strCache>
                <c:ptCount val="20"/>
                <c:pt idx="0">
                  <c:v>Rafael Monteiro Alves</c:v>
                </c:pt>
                <c:pt idx="1">
                  <c:v>Diego Salgado Ferraz</c:v>
                </c:pt>
                <c:pt idx="2">
                  <c:v>Lucas Prado Bittencourt</c:v>
                </c:pt>
                <c:pt idx="3">
                  <c:v>Bruno Rezende Camargo</c:v>
                </c:pt>
                <c:pt idx="4">
                  <c:v>Thiago Nogueira Vasques</c:v>
                </c:pt>
                <c:pt idx="5">
                  <c:v>Matheus Caldeira Lins</c:v>
                </c:pt>
                <c:pt idx="6">
                  <c:v>Felipe Andrade Rocha</c:v>
                </c:pt>
                <c:pt idx="7">
                  <c:v>Gustavo Peixoto Maia</c:v>
                </c:pt>
                <c:pt idx="8">
                  <c:v>Vinícius Barreto Duarte</c:v>
                </c:pt>
                <c:pt idx="9">
                  <c:v>André Luiz Sampaio</c:v>
                </c:pt>
                <c:pt idx="10">
                  <c:v>Pedro Henrique Coutinho</c:v>
                </c:pt>
                <c:pt idx="11">
                  <c:v>Caio Fernandes Bastos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'KPIs Força'!$C$31:$C$50</c:f>
              <c:numCache>
                <c:formatCode>0.00;\-0.00;""</c:formatCode>
                <c:ptCount val="20"/>
                <c:pt idx="0">
                  <c:v>1.82232346241458</c:v>
                </c:pt>
                <c:pt idx="1">
                  <c:v>1.77813163481953</c:v>
                </c:pt>
                <c:pt idx="2">
                  <c:v>1.79977502812148</c:v>
                </c:pt>
                <c:pt idx="3">
                  <c:v>1.82440136830103</c:v>
                </c:pt>
                <c:pt idx="4">
                  <c:v>1.80541624874624</c:v>
                </c:pt>
                <c:pt idx="5">
                  <c:v>1.71232876712329</c:v>
                </c:pt>
                <c:pt idx="6">
                  <c:v>1.83544303797468</c:v>
                </c:pt>
                <c:pt idx="7">
                  <c:v>1.74225663716814</c:v>
                </c:pt>
                <c:pt idx="8">
                  <c:v>1.96969696969697</c:v>
                </c:pt>
                <c:pt idx="9">
                  <c:v>1.7948717948718</c:v>
                </c:pt>
                <c:pt idx="10">
                  <c:v>1.93355119825708</c:v>
                </c:pt>
                <c:pt idx="11">
                  <c:v>1.69437340153453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14259828"/>
        <c:axId val="45282906"/>
      </c:barChart>
      <c:catAx>
        <c:axId val="142598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82906"/>
        <c:crosses val="autoZero"/>
        <c:auto val="1"/>
        <c:lblAlgn val="ctr"/>
        <c:lblOffset val="100"/>
        <c:noMultiLvlLbl val="0"/>
      </c:catAx>
      <c:valAx>
        <c:axId val="45282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;\-0.0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598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Relationship Id="rId5" Type="http://schemas.openxmlformats.org/officeDocument/2006/relationships/chart" Target="../charts/chart2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9</xdr:col>
      <xdr:colOff>1834920</xdr:colOff>
      <xdr:row>24</xdr:row>
      <xdr:rowOff>58320</xdr:rowOff>
    </xdr:to>
    <xdr:graphicFrame>
      <xdr:nvGraphicFramePr>
        <xdr:cNvPr id="0" name="Chart 1"/>
        <xdr:cNvGraphicFramePr/>
      </xdr:nvGraphicFramePr>
      <xdr:xfrm>
        <a:off x="10134720" y="197172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9</xdr:col>
      <xdr:colOff>1834920</xdr:colOff>
      <xdr:row>43</xdr:row>
      <xdr:rowOff>115560</xdr:rowOff>
    </xdr:to>
    <xdr:graphicFrame>
      <xdr:nvGraphicFramePr>
        <xdr:cNvPr id="1" name="Chart 2"/>
        <xdr:cNvGraphicFramePr/>
      </xdr:nvGraphicFramePr>
      <xdr:xfrm>
        <a:off x="10134720" y="591516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34</xdr:row>
      <xdr:rowOff>0</xdr:rowOff>
    </xdr:from>
    <xdr:to>
      <xdr:col>19</xdr:col>
      <xdr:colOff>721080</xdr:colOff>
      <xdr:row>51</xdr:row>
      <xdr:rowOff>151560</xdr:rowOff>
    </xdr:to>
    <xdr:graphicFrame>
      <xdr:nvGraphicFramePr>
        <xdr:cNvPr id="2" name="Chart 3"/>
        <xdr:cNvGraphicFramePr/>
      </xdr:nvGraphicFramePr>
      <xdr:xfrm>
        <a:off x="22580640" y="71150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7560</xdr:rowOff>
    </xdr:from>
    <xdr:to>
      <xdr:col>6</xdr:col>
      <xdr:colOff>718920</xdr:colOff>
      <xdr:row>47</xdr:row>
      <xdr:rowOff>19080</xdr:rowOff>
    </xdr:to>
    <xdr:graphicFrame>
      <xdr:nvGraphicFramePr>
        <xdr:cNvPr id="3" name="Chart 1"/>
        <xdr:cNvGraphicFramePr/>
      </xdr:nvGraphicFramePr>
      <xdr:xfrm>
        <a:off x="533520" y="719136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3</xdr:col>
      <xdr:colOff>3639240</xdr:colOff>
      <xdr:row>37</xdr:row>
      <xdr:rowOff>22320</xdr:rowOff>
    </xdr:to>
    <xdr:graphicFrame>
      <xdr:nvGraphicFramePr>
        <xdr:cNvPr id="4" name="Chart 1"/>
        <xdr:cNvGraphicFramePr/>
      </xdr:nvGraphicFramePr>
      <xdr:xfrm>
        <a:off x="0" y="6620040"/>
        <a:ext cx="68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0</xdr:rowOff>
    </xdr:from>
    <xdr:to>
      <xdr:col>13</xdr:col>
      <xdr:colOff>1149840</xdr:colOff>
      <xdr:row>37</xdr:row>
      <xdr:rowOff>22320</xdr:rowOff>
    </xdr:to>
    <xdr:graphicFrame>
      <xdr:nvGraphicFramePr>
        <xdr:cNvPr id="5" name="Chart 2"/>
        <xdr:cNvGraphicFramePr/>
      </xdr:nvGraphicFramePr>
      <xdr:xfrm>
        <a:off x="18491040" y="6620040"/>
        <a:ext cx="68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33</xdr:row>
      <xdr:rowOff>154440</xdr:rowOff>
    </xdr:from>
    <xdr:to>
      <xdr:col>11</xdr:col>
      <xdr:colOff>1856880</xdr:colOff>
      <xdr:row>47</xdr:row>
      <xdr:rowOff>100080</xdr:rowOff>
    </xdr:to>
    <xdr:graphicFrame>
      <xdr:nvGraphicFramePr>
        <xdr:cNvPr id="6" name="Chart 1"/>
        <xdr:cNvGraphicFramePr/>
      </xdr:nvGraphicFramePr>
      <xdr:xfrm>
        <a:off x="12445920" y="74390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0</xdr:colOff>
      <xdr:row>6</xdr:row>
      <xdr:rowOff>0</xdr:rowOff>
    </xdr:from>
    <xdr:to>
      <xdr:col>32</xdr:col>
      <xdr:colOff>370080</xdr:colOff>
      <xdr:row>21</xdr:row>
      <xdr:rowOff>172800</xdr:rowOff>
    </xdr:to>
    <xdr:graphicFrame>
      <xdr:nvGraphicFramePr>
        <xdr:cNvPr id="7" name="Chart 1"/>
        <xdr:cNvGraphicFramePr/>
      </xdr:nvGraphicFramePr>
      <xdr:xfrm>
        <a:off x="34096320" y="15908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18</xdr:row>
      <xdr:rowOff>0</xdr:rowOff>
    </xdr:from>
    <xdr:to>
      <xdr:col>26</xdr:col>
      <xdr:colOff>370080</xdr:colOff>
      <xdr:row>32</xdr:row>
      <xdr:rowOff>2880</xdr:rowOff>
    </xdr:to>
    <xdr:graphicFrame>
      <xdr:nvGraphicFramePr>
        <xdr:cNvPr id="8" name="Chart 1"/>
        <xdr:cNvGraphicFramePr/>
      </xdr:nvGraphicFramePr>
      <xdr:xfrm>
        <a:off x="21027960" y="435276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35</xdr:row>
      <xdr:rowOff>0</xdr:rowOff>
    </xdr:from>
    <xdr:to>
      <xdr:col>26</xdr:col>
      <xdr:colOff>370080</xdr:colOff>
      <xdr:row>50</xdr:row>
      <xdr:rowOff>21960</xdr:rowOff>
    </xdr:to>
    <xdr:graphicFrame>
      <xdr:nvGraphicFramePr>
        <xdr:cNvPr id="9" name="Chart 2"/>
        <xdr:cNvGraphicFramePr/>
      </xdr:nvGraphicFramePr>
      <xdr:xfrm>
        <a:off x="21027960" y="78008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9</xdr:row>
      <xdr:rowOff>0</xdr:rowOff>
    </xdr:from>
    <xdr:to>
      <xdr:col>16</xdr:col>
      <xdr:colOff>265680</xdr:colOff>
      <xdr:row>23</xdr:row>
      <xdr:rowOff>182880</xdr:rowOff>
    </xdr:to>
    <xdr:graphicFrame>
      <xdr:nvGraphicFramePr>
        <xdr:cNvPr id="10" name="Chart 1"/>
        <xdr:cNvGraphicFramePr/>
      </xdr:nvGraphicFramePr>
      <xdr:xfrm>
        <a:off x="10312560" y="229536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16</xdr:col>
      <xdr:colOff>265680</xdr:colOff>
      <xdr:row>43</xdr:row>
      <xdr:rowOff>11880</xdr:rowOff>
    </xdr:to>
    <xdr:graphicFrame>
      <xdr:nvGraphicFramePr>
        <xdr:cNvPr id="11" name="Chart 2"/>
        <xdr:cNvGraphicFramePr/>
      </xdr:nvGraphicFramePr>
      <xdr:xfrm>
        <a:off x="10312560" y="593424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45</xdr:row>
      <xdr:rowOff>0</xdr:rowOff>
    </xdr:from>
    <xdr:to>
      <xdr:col>18</xdr:col>
      <xdr:colOff>56880</xdr:colOff>
      <xdr:row>60</xdr:row>
      <xdr:rowOff>172440</xdr:rowOff>
    </xdr:to>
    <xdr:graphicFrame>
      <xdr:nvGraphicFramePr>
        <xdr:cNvPr id="12" name="Chart 3"/>
        <xdr:cNvGraphicFramePr/>
      </xdr:nvGraphicFramePr>
      <xdr:xfrm>
        <a:off x="14935320" y="942012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61</xdr:row>
      <xdr:rowOff>0</xdr:rowOff>
    </xdr:from>
    <xdr:to>
      <xdr:col>16</xdr:col>
      <xdr:colOff>265680</xdr:colOff>
      <xdr:row>78</xdr:row>
      <xdr:rowOff>151560</xdr:rowOff>
    </xdr:to>
    <xdr:graphicFrame>
      <xdr:nvGraphicFramePr>
        <xdr:cNvPr id="13" name="Chart 4"/>
        <xdr:cNvGraphicFramePr/>
      </xdr:nvGraphicFramePr>
      <xdr:xfrm>
        <a:off x="10312560" y="12735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0</xdr:colOff>
      <xdr:row>61</xdr:row>
      <xdr:rowOff>0</xdr:rowOff>
    </xdr:from>
    <xdr:to>
      <xdr:col>24</xdr:col>
      <xdr:colOff>300600</xdr:colOff>
      <xdr:row>78</xdr:row>
      <xdr:rowOff>151560</xdr:rowOff>
    </xdr:to>
    <xdr:graphicFrame>
      <xdr:nvGraphicFramePr>
        <xdr:cNvPr id="14" name="Chart 5"/>
        <xdr:cNvGraphicFramePr/>
      </xdr:nvGraphicFramePr>
      <xdr:xfrm>
        <a:off x="19558080" y="12735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9</xdr:row>
      <xdr:rowOff>0</xdr:rowOff>
    </xdr:from>
    <xdr:to>
      <xdr:col>16</xdr:col>
      <xdr:colOff>265680</xdr:colOff>
      <xdr:row>23</xdr:row>
      <xdr:rowOff>96120</xdr:rowOff>
    </xdr:to>
    <xdr:graphicFrame>
      <xdr:nvGraphicFramePr>
        <xdr:cNvPr id="15" name="Chart 1"/>
        <xdr:cNvGraphicFramePr/>
      </xdr:nvGraphicFramePr>
      <xdr:xfrm>
        <a:off x="13601880" y="22953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28</xdr:row>
      <xdr:rowOff>0</xdr:rowOff>
    </xdr:from>
    <xdr:to>
      <xdr:col>16</xdr:col>
      <xdr:colOff>265680</xdr:colOff>
      <xdr:row>43</xdr:row>
      <xdr:rowOff>115560</xdr:rowOff>
    </xdr:to>
    <xdr:graphicFrame>
      <xdr:nvGraphicFramePr>
        <xdr:cNvPr id="16" name="Chart 2"/>
        <xdr:cNvGraphicFramePr/>
      </xdr:nvGraphicFramePr>
      <xdr:xfrm>
        <a:off x="13601880" y="6391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47</xdr:row>
      <xdr:rowOff>0</xdr:rowOff>
    </xdr:from>
    <xdr:to>
      <xdr:col>16</xdr:col>
      <xdr:colOff>265680</xdr:colOff>
      <xdr:row>60</xdr:row>
      <xdr:rowOff>43200</xdr:rowOff>
    </xdr:to>
    <xdr:graphicFrame>
      <xdr:nvGraphicFramePr>
        <xdr:cNvPr id="17" name="Chart 3"/>
        <xdr:cNvGraphicFramePr/>
      </xdr:nvGraphicFramePr>
      <xdr:xfrm>
        <a:off x="13601880" y="10277640"/>
        <a:ext cx="71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66</xdr:row>
      <xdr:rowOff>0</xdr:rowOff>
    </xdr:from>
    <xdr:to>
      <xdr:col>16</xdr:col>
      <xdr:colOff>265680</xdr:colOff>
      <xdr:row>83</xdr:row>
      <xdr:rowOff>1080</xdr:rowOff>
    </xdr:to>
    <xdr:graphicFrame>
      <xdr:nvGraphicFramePr>
        <xdr:cNvPr id="18" name="Chart 4"/>
        <xdr:cNvGraphicFramePr/>
      </xdr:nvGraphicFramePr>
      <xdr:xfrm>
        <a:off x="13601880" y="138970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85</xdr:row>
      <xdr:rowOff>0</xdr:rowOff>
    </xdr:from>
    <xdr:to>
      <xdr:col>16</xdr:col>
      <xdr:colOff>265680</xdr:colOff>
      <xdr:row>103</xdr:row>
      <xdr:rowOff>170640</xdr:rowOff>
    </xdr:to>
    <xdr:graphicFrame>
      <xdr:nvGraphicFramePr>
        <xdr:cNvPr id="19" name="Chart 5"/>
        <xdr:cNvGraphicFramePr/>
      </xdr:nvGraphicFramePr>
      <xdr:xfrm>
        <a:off x="13601880" y="175165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4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5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https://consensus.app/papers/details/f382ecd540d75e349364da666ea4c096/" TargetMode="External"/><Relationship Id="rId2" Type="http://schemas.openxmlformats.org/officeDocument/2006/relationships/hyperlink" Target="https://consensus.app/papers/details/c45056fdee8e538689e4b3e3cedc15f7/" TargetMode="External"/><Relationship Id="rId3" Type="http://schemas.openxmlformats.org/officeDocument/2006/relationships/hyperlink" Target="https://consensus.app/papers/details/f256bd9422b65ada8b27fd28db364b55/" TargetMode="External"/><Relationship Id="rId4" Type="http://schemas.openxmlformats.org/officeDocument/2006/relationships/hyperlink" Target="https://consensus.app/papers/details/db1410c0c5ca5209811bb4e58eb7ec1b/" TargetMode="External"/><Relationship Id="rId5" Type="http://schemas.openxmlformats.org/officeDocument/2006/relationships/hyperlink" Target="https://consensus.app/papers/details/d8c5245dada2544285c48a147bbc308f/" TargetMode="External"/><Relationship Id="rId6" Type="http://schemas.openxmlformats.org/officeDocument/2006/relationships/hyperlink" Target="https://consensus.app/papers/details/51ebe06543295477a6e3b87ed2fffb56/" TargetMode="External"/><Relationship Id="rId7" Type="http://schemas.openxmlformats.org/officeDocument/2006/relationships/hyperlink" Target="https://consensus.app/papers/details/37aba2c3463d5db18d9682ba4f77c696/" TargetMode="External"/><Relationship Id="rId8" Type="http://schemas.openxmlformats.org/officeDocument/2006/relationships/hyperlink" Target="https://consensus.app/papers/details/8fc30754f83059c691319023497a547a/" TargetMode="External"/><Relationship Id="rId9" Type="http://schemas.openxmlformats.org/officeDocument/2006/relationships/hyperlink" Target="https://consensus.app/papers/details/cb319ced4f525fccb29ad766c357d07a/" TargetMode="External"/><Relationship Id="rId10" Type="http://schemas.openxmlformats.org/officeDocument/2006/relationships/hyperlink" Target="https://consensus.app/papers/details/342916b5711d52e1a81ed4f1f87bdecb/" TargetMode="External"/><Relationship Id="rId11" Type="http://schemas.openxmlformats.org/officeDocument/2006/relationships/hyperlink" Target="https://consensus.app/papers/details/cc1f0acd730e55469151f4ddd60ad2d8/" TargetMode="External"/><Relationship Id="rId12" Type="http://schemas.openxmlformats.org/officeDocument/2006/relationships/hyperlink" Target="https://consensus.app/papers/details/5d6956f74040559da080d9e04b1cb3cc/" TargetMode="External"/><Relationship Id="rId13" Type="http://schemas.openxmlformats.org/officeDocument/2006/relationships/hyperlink" Target="https://consensus.app/papers/details/9c60d35e1632588d8f6e0bf8707415fd/" TargetMode="External"/><Relationship Id="rId14" Type="http://schemas.openxmlformats.org/officeDocument/2006/relationships/hyperlink" Target="https://consensus.app/papers/details/9f2b4f05a98c52f2827718b3afa7bd36/" TargetMode="External"/><Relationship Id="rId15" Type="http://schemas.openxmlformats.org/officeDocument/2006/relationships/hyperlink" Target="https://consensus.app/papers/details/7f91b9f3f4aa502db2c5986d5aff1136/" TargetMode="External"/><Relationship Id="rId16" Type="http://schemas.openxmlformats.org/officeDocument/2006/relationships/hyperlink" Target="https://consensus.app/papers/details/e60a777fc6a654d29ca1c61c7d29da22/" TargetMode="External"/><Relationship Id="rId17" Type="http://schemas.openxmlformats.org/officeDocument/2006/relationships/hyperlink" Target="https://consensus.app/papers/details/049130fbe9d05f56a4810dde0ff51ef8/" TargetMode="External"/><Relationship Id="rId18" Type="http://schemas.openxmlformats.org/officeDocument/2006/relationships/hyperlink" Target="https://consensus.app/papers/details/07f5b6752bba54198af3c2d0e5cd9d87/" TargetMode="External"/><Relationship Id="rId19" Type="http://schemas.openxmlformats.org/officeDocument/2006/relationships/hyperlink" Target="https://consensus.app/papers/details/75bc1970db385dd2a7fc798a2d496428/" TargetMode="External"/><Relationship Id="rId20" Type="http://schemas.openxmlformats.org/officeDocument/2006/relationships/hyperlink" Target="https://consensus.app/papers/details/97766fe403ed5d0db00747ff1e0c3b71/" TargetMode="External"/><Relationship Id="rId21" Type="http://schemas.openxmlformats.org/officeDocument/2006/relationships/hyperlink" Target="https://consensus.app/papers/details/127de9c932de5022bf7207226214e479/" TargetMode="External"/><Relationship Id="rId22" Type="http://schemas.openxmlformats.org/officeDocument/2006/relationships/hyperlink" Target="https://consensus.app/papers/details/e55b8645d8505f2bb685fbf171e41da5/" TargetMode="External"/><Relationship Id="rId23" Type="http://schemas.openxmlformats.org/officeDocument/2006/relationships/hyperlink" Target="https://consensus.app/papers/details/832a4d9da8035145b9b54feac5caa891/" TargetMode="External"/><Relationship Id="rId24" Type="http://schemas.openxmlformats.org/officeDocument/2006/relationships/hyperlink" Target="https://consensus.app/papers/details/d4fd5a5594c45196bd8036e06e06ddd5/" TargetMode="External"/><Relationship Id="rId25" Type="http://schemas.openxmlformats.org/officeDocument/2006/relationships/hyperlink" Target="https://consensus.app/papers/details/bf6021458f755ca3a8d88965905119ed/" TargetMode="External"/><Relationship Id="rId26" Type="http://schemas.openxmlformats.org/officeDocument/2006/relationships/hyperlink" Target="https://consensus.app/papers/details/45131b3cbdca5cfdb31431fdb5b7b004/" TargetMode="External"/><Relationship Id="rId27" Type="http://schemas.openxmlformats.org/officeDocument/2006/relationships/hyperlink" Target="https://consensus.app/papers/details/df935f1fd927508eb7134ed0c1a65ea2/" TargetMode="External"/><Relationship Id="rId28" Type="http://schemas.openxmlformats.org/officeDocument/2006/relationships/hyperlink" Target="https://consensus.app/papers/details/011fd93e694d529a90e28eae7334b9c4/" TargetMode="External"/><Relationship Id="rId29" Type="http://schemas.openxmlformats.org/officeDocument/2006/relationships/hyperlink" Target="https://consensus.app/papers/details/a39766be63eb5ac7a0b76b6229d01c5f/" TargetMode="External"/><Relationship Id="rId30" Type="http://schemas.openxmlformats.org/officeDocument/2006/relationships/hyperlink" Target="https://consensus.app/papers/details/7f88e021c22957a980dea51d84dd960a/" TargetMode="External"/><Relationship Id="rId31" Type="http://schemas.openxmlformats.org/officeDocument/2006/relationships/hyperlink" Target="https://consensus.app/papers/details/bd88451c5a7955fa8fa376e203a6aa0e/" TargetMode="External"/><Relationship Id="rId32" Type="http://schemas.openxmlformats.org/officeDocument/2006/relationships/hyperlink" Target="https://consensus.app/papers/details/0e6bb3b98d875b1392222cf931190cb8/" TargetMode="External"/><Relationship Id="rId33" Type="http://schemas.openxmlformats.org/officeDocument/2006/relationships/hyperlink" Target="https://consensus.app/papers/details/c8cd652b51485409ae4e353f96d0cecd/" TargetMode="External"/><Relationship Id="rId34" Type="http://schemas.openxmlformats.org/officeDocument/2006/relationships/hyperlink" Target="https://consensus.app/papers/details/94ecaddd8a3257c1ac5ba343f1a358be/" TargetMode="External"/><Relationship Id="rId35" Type="http://schemas.openxmlformats.org/officeDocument/2006/relationships/hyperlink" Target="https://consensus.app/papers/details/9f572c3e92ea5983aec88ccbe3db6da9/" TargetMode="External"/><Relationship Id="rId36" Type="http://schemas.openxmlformats.org/officeDocument/2006/relationships/hyperlink" Target="https://consensus.app/papers/details/2699a62b8e4350bd918acff60c192346/" TargetMode="External"/><Relationship Id="rId37" Type="http://schemas.openxmlformats.org/officeDocument/2006/relationships/hyperlink" Target="https://consensus.app/papers/details/0b47720f42de500d95c89cf488fa6bc6/" TargetMode="External"/><Relationship Id="rId38" Type="http://schemas.openxmlformats.org/officeDocument/2006/relationships/hyperlink" Target="https://consensus.app/papers/details/ac9d7b3fb607592887e952929efe8b2e/" TargetMode="External"/><Relationship Id="rId39" Type="http://schemas.openxmlformats.org/officeDocument/2006/relationships/hyperlink" Target="https://consensus.app/papers/details/07f17089e4935553836bfe8b6c443414/" TargetMode="External"/><Relationship Id="rId40" Type="http://schemas.openxmlformats.org/officeDocument/2006/relationships/hyperlink" Target="https://consensus.app/papers/details/bdbc8fc9675a54d29cca3b5eabf701bb/" TargetMode="External"/><Relationship Id="rId41" Type="http://schemas.openxmlformats.org/officeDocument/2006/relationships/hyperlink" Target="https://consensus.app/papers/details/5eda6a3b427f55098d20848a20b32336/" TargetMode="External"/><Relationship Id="rId42" Type="http://schemas.openxmlformats.org/officeDocument/2006/relationships/hyperlink" Target="https://consensus.app/papers/details/92d673eefa9b57158c87d11c3ec5fe71/" TargetMode="External"/><Relationship Id="rId43" Type="http://schemas.openxmlformats.org/officeDocument/2006/relationships/hyperlink" Target="https://consensus.app/papers/details/6ab00db8b08e56fd86ec01c0c1b4054a/" TargetMode="External"/><Relationship Id="rId44" Type="http://schemas.openxmlformats.org/officeDocument/2006/relationships/hyperlink" Target="https://consensus.app/papers/details/4113ba2b7f9254a78670457ae8f99ac2/" TargetMode="External"/><Relationship Id="rId45" Type="http://schemas.openxmlformats.org/officeDocument/2006/relationships/hyperlink" Target="https://consensus.app/papers/details/9895fbb37b4f5a628d174d7e58c624c4/" TargetMode="External"/><Relationship Id="rId46" Type="http://schemas.openxmlformats.org/officeDocument/2006/relationships/hyperlink" Target="https://consensus.app/papers/details/e05450c06ad55ab29a85378baaaf6adb/" TargetMode="External"/><Relationship Id="rId47" Type="http://schemas.openxmlformats.org/officeDocument/2006/relationships/hyperlink" Target="https://consensus.app/papers/details/49131de7b79c5ffa86f91d25bcf2469a/" TargetMode="External"/><Relationship Id="rId48" Type="http://schemas.openxmlformats.org/officeDocument/2006/relationships/hyperlink" Target="https://consensus.app/papers/details/8c773e2fbe795c968e9ea5185529f375/" TargetMode="External"/><Relationship Id="rId49" Type="http://schemas.openxmlformats.org/officeDocument/2006/relationships/hyperlink" Target="https://consensus.app/papers/details/9be281c8d4d25bfaa2a0d31a09c1c0f8/" TargetMode="External"/><Relationship Id="rId50" Type="http://schemas.openxmlformats.org/officeDocument/2006/relationships/hyperlink" Target="https://consensus.app/papers/details/acb87a06dc0b57e7896f92d25162767f/" TargetMode="External"/><Relationship Id="rId51" Type="http://schemas.openxmlformats.org/officeDocument/2006/relationships/hyperlink" Target="https://consensus.app/papers/details/bed94db8efef54d0b856b82b62dadcaf/" TargetMode="External"/><Relationship Id="rId52" Type="http://schemas.openxmlformats.org/officeDocument/2006/relationships/hyperlink" Target="https://consensus.app/papers/details/5d2c1a9f86b35fd89bf83100980361d1/" TargetMode="External"/><Relationship Id="rId53" Type="http://schemas.openxmlformats.org/officeDocument/2006/relationships/hyperlink" Target="https://consensus.app/papers/details/8eb017eaf75f51948d230ec23aa8d1dd/" TargetMode="External"/><Relationship Id="rId54" Type="http://schemas.openxmlformats.org/officeDocument/2006/relationships/hyperlink" Target="https://consensus.app/papers/details/7dcedc0290ee5117bc3e007990be1d87/" TargetMode="External"/><Relationship Id="rId55" Type="http://schemas.openxmlformats.org/officeDocument/2006/relationships/drawing" Target="../drawings/drawing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J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9" min="3" style="0" width="16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B5" s="4" t="s">
        <v>3</v>
      </c>
      <c r="C5" s="5" t="s">
        <v>4</v>
      </c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B6" s="6" t="s">
        <v>5</v>
      </c>
      <c r="C6" s="7" t="s">
        <v>6</v>
      </c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B7" s="4" t="s">
        <v>7</v>
      </c>
      <c r="C7" s="5" t="s">
        <v>8</v>
      </c>
      <c r="D7" s="5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B8" s="6" t="s">
        <v>9</v>
      </c>
      <c r="C8" s="7" t="s">
        <v>10</v>
      </c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B9" s="4" t="s">
        <v>11</v>
      </c>
      <c r="C9" s="5" t="s">
        <v>12</v>
      </c>
      <c r="D9" s="5"/>
      <c r="E9" s="5"/>
      <c r="F9" s="5"/>
      <c r="G9" s="5"/>
      <c r="H9" s="5"/>
      <c r="I9" s="5"/>
      <c r="J9" s="5"/>
    </row>
    <row r="10" customFormat="false" ht="15" hidden="false" customHeight="false" outlineLevel="0" collapsed="false">
      <c r="B10" s="6" t="s">
        <v>13</v>
      </c>
      <c r="C10" s="7" t="s">
        <v>14</v>
      </c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B11" s="4" t="s">
        <v>15</v>
      </c>
      <c r="C11" s="5" t="s">
        <v>16</v>
      </c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B12" s="6" t="s">
        <v>17</v>
      </c>
      <c r="C12" s="7" t="s">
        <v>18</v>
      </c>
      <c r="D12" s="7"/>
      <c r="E12" s="7"/>
      <c r="F12" s="7"/>
      <c r="G12" s="7"/>
      <c r="H12" s="7"/>
      <c r="I12" s="7"/>
      <c r="J12" s="7"/>
    </row>
    <row r="13" customFormat="false" ht="15" hidden="false" customHeight="false" outlineLevel="0" collapsed="false">
      <c r="B13" s="4" t="s">
        <v>19</v>
      </c>
      <c r="C13" s="5" t="s">
        <v>20</v>
      </c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B14" s="6" t="s">
        <v>21</v>
      </c>
      <c r="C14" s="7" t="s">
        <v>22</v>
      </c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B15" s="4" t="s">
        <v>23</v>
      </c>
      <c r="C15" s="5" t="s">
        <v>24</v>
      </c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B16" s="6" t="s">
        <v>25</v>
      </c>
      <c r="C16" s="7" t="s">
        <v>26</v>
      </c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B17" s="4" t="s">
        <v>27</v>
      </c>
      <c r="C17" s="5" t="s">
        <v>28</v>
      </c>
      <c r="D17" s="5"/>
      <c r="E17" s="5"/>
      <c r="F17" s="5"/>
      <c r="G17" s="5"/>
      <c r="H17" s="5"/>
      <c r="I17" s="5"/>
      <c r="J17" s="5"/>
    </row>
    <row r="18" customFormat="false" ht="15" hidden="false" customHeight="false" outlineLevel="0" collapsed="false">
      <c r="B18" s="6" t="s">
        <v>29</v>
      </c>
      <c r="C18" s="7" t="s">
        <v>30</v>
      </c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B19" s="4" t="s">
        <v>31</v>
      </c>
      <c r="C19" s="5" t="s">
        <v>32</v>
      </c>
      <c r="D19" s="5"/>
      <c r="E19" s="5"/>
      <c r="F19" s="5"/>
      <c r="G19" s="5"/>
      <c r="H19" s="5"/>
      <c r="I19" s="5"/>
      <c r="J19" s="5"/>
    </row>
    <row r="20" customFormat="false" ht="15" hidden="false" customHeight="false" outlineLevel="0" collapsed="false">
      <c r="B20" s="6" t="s">
        <v>33</v>
      </c>
      <c r="C20" s="7" t="s">
        <v>34</v>
      </c>
      <c r="D20" s="7"/>
      <c r="E20" s="7"/>
      <c r="F20" s="7"/>
      <c r="G20" s="7"/>
      <c r="H20" s="7"/>
      <c r="I20" s="7"/>
      <c r="J20" s="7"/>
    </row>
    <row r="21" customFormat="false" ht="15" hidden="false" customHeight="false" outlineLevel="0" collapsed="false">
      <c r="B21" s="4" t="s">
        <v>35</v>
      </c>
      <c r="C21" s="5" t="s">
        <v>36</v>
      </c>
      <c r="D21" s="5"/>
      <c r="E21" s="5"/>
      <c r="F21" s="5"/>
      <c r="G21" s="5"/>
      <c r="H21" s="5"/>
      <c r="I21" s="5"/>
      <c r="J21" s="5"/>
    </row>
    <row r="22" customFormat="false" ht="15" hidden="false" customHeight="false" outlineLevel="0" collapsed="false">
      <c r="B22" s="6" t="s">
        <v>37</v>
      </c>
      <c r="C22" s="7" t="s">
        <v>38</v>
      </c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B23" s="4" t="s">
        <v>39</v>
      </c>
      <c r="C23" s="5" t="s">
        <v>40</v>
      </c>
      <c r="D23" s="5"/>
      <c r="E23" s="5"/>
      <c r="F23" s="5"/>
      <c r="G23" s="5"/>
      <c r="H23" s="5"/>
      <c r="I23" s="5"/>
      <c r="J23" s="5"/>
    </row>
    <row r="24" customFormat="false" ht="15" hidden="false" customHeight="false" outlineLevel="0" collapsed="false">
      <c r="B24" s="6" t="s">
        <v>41</v>
      </c>
      <c r="C24" s="7" t="s">
        <v>42</v>
      </c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B25" s="4" t="s">
        <v>43</v>
      </c>
      <c r="C25" s="5" t="s">
        <v>44</v>
      </c>
      <c r="D25" s="5"/>
      <c r="E25" s="5"/>
      <c r="F25" s="5"/>
      <c r="G25" s="5"/>
      <c r="H25" s="5"/>
      <c r="I25" s="5"/>
      <c r="J25" s="5"/>
    </row>
    <row r="26" customFormat="false" ht="15" hidden="false" customHeight="false" outlineLevel="0" collapsed="false">
      <c r="B26" s="6" t="s">
        <v>45</v>
      </c>
      <c r="C26" s="7" t="s">
        <v>46</v>
      </c>
      <c r="D26" s="7"/>
      <c r="E26" s="7"/>
      <c r="F26" s="7"/>
      <c r="G26" s="7"/>
      <c r="H26" s="7"/>
      <c r="I26" s="7"/>
      <c r="J26" s="7"/>
    </row>
    <row r="28" customFormat="false" ht="19.5" hidden="false" customHeight="true" outlineLevel="0" collapsed="false">
      <c r="B28" s="3" t="s">
        <v>47</v>
      </c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false" outlineLevel="0" collapsed="false">
      <c r="B29" s="8" t="s">
        <v>48</v>
      </c>
      <c r="C29" s="8"/>
      <c r="D29" s="8"/>
      <c r="E29" s="8"/>
      <c r="F29" s="8"/>
    </row>
    <row r="30" customFormat="false" ht="15" hidden="false" customHeight="false" outlineLevel="0" collapsed="false">
      <c r="B30" s="9" t="s">
        <v>49</v>
      </c>
      <c r="C30" s="9"/>
      <c r="D30" s="9"/>
      <c r="E30" s="9"/>
      <c r="F30" s="9"/>
    </row>
    <row r="31" customFormat="false" ht="15" hidden="false" customHeight="false" outlineLevel="0" collapsed="false">
      <c r="B31" s="10" t="s">
        <v>50</v>
      </c>
      <c r="C31" s="10"/>
      <c r="D31" s="10"/>
      <c r="E31" s="10"/>
      <c r="F31" s="10"/>
    </row>
    <row r="32" customFormat="false" ht="15" hidden="false" customHeight="false" outlineLevel="0" collapsed="false">
      <c r="B32" s="11" t="s">
        <v>51</v>
      </c>
      <c r="C32" s="11"/>
      <c r="D32" s="11"/>
      <c r="E32" s="11"/>
      <c r="F32" s="11"/>
    </row>
    <row r="33" customFormat="false" ht="15" hidden="false" customHeight="false" outlineLevel="0" collapsed="false">
      <c r="B33" s="12" t="s">
        <v>52</v>
      </c>
      <c r="C33" s="12"/>
      <c r="D33" s="12"/>
      <c r="E33" s="12"/>
      <c r="F33" s="12"/>
    </row>
    <row r="34" customFormat="false" ht="15" hidden="false" customHeight="false" outlineLevel="0" collapsed="false">
      <c r="B34" s="13" t="s">
        <v>53</v>
      </c>
      <c r="C34" s="13"/>
      <c r="D34" s="13"/>
      <c r="E34" s="13"/>
      <c r="F34" s="13"/>
    </row>
    <row r="36" customFormat="false" ht="19.5" hidden="false" customHeight="true" outlineLevel="0" collapsed="false">
      <c r="B36" s="3" t="s">
        <v>54</v>
      </c>
      <c r="C36" s="3"/>
      <c r="D36" s="3"/>
      <c r="E36" s="3"/>
      <c r="F36" s="3"/>
      <c r="G36" s="3"/>
      <c r="H36" s="3"/>
      <c r="I36" s="3"/>
      <c r="J36" s="3"/>
    </row>
    <row r="37" customFormat="false" ht="30" hidden="false" customHeight="true" outlineLevel="0" collapsed="false">
      <c r="B37" s="14" t="s">
        <v>55</v>
      </c>
      <c r="C37" s="15" t="s">
        <v>56</v>
      </c>
      <c r="D37" s="15"/>
      <c r="E37" s="15"/>
      <c r="F37" s="15"/>
      <c r="G37" s="15"/>
      <c r="H37" s="15"/>
      <c r="I37" s="15"/>
      <c r="J37" s="15"/>
    </row>
    <row r="38" customFormat="false" ht="30" hidden="false" customHeight="true" outlineLevel="0" collapsed="false">
      <c r="B38" s="14" t="s">
        <v>57</v>
      </c>
      <c r="C38" s="15" t="s">
        <v>58</v>
      </c>
      <c r="D38" s="15"/>
      <c r="E38" s="15"/>
      <c r="F38" s="15"/>
      <c r="G38" s="15"/>
      <c r="H38" s="15"/>
      <c r="I38" s="15"/>
      <c r="J38" s="15"/>
    </row>
    <row r="39" customFormat="false" ht="30" hidden="false" customHeight="true" outlineLevel="0" collapsed="false">
      <c r="B39" s="14" t="s">
        <v>59</v>
      </c>
      <c r="C39" s="15" t="s">
        <v>60</v>
      </c>
      <c r="D39" s="15"/>
      <c r="E39" s="15"/>
      <c r="F39" s="15"/>
      <c r="G39" s="15"/>
      <c r="H39" s="15"/>
      <c r="I39" s="15"/>
      <c r="J39" s="15"/>
    </row>
    <row r="40" customFormat="false" ht="30" hidden="false" customHeight="true" outlineLevel="0" collapsed="false">
      <c r="B40" s="14" t="s">
        <v>61</v>
      </c>
      <c r="C40" s="15" t="s">
        <v>62</v>
      </c>
      <c r="D40" s="15"/>
      <c r="E40" s="15"/>
      <c r="F40" s="15"/>
      <c r="G40" s="15"/>
      <c r="H40" s="15"/>
      <c r="I40" s="15"/>
      <c r="J40" s="15"/>
    </row>
    <row r="41" customFormat="false" ht="30" hidden="false" customHeight="true" outlineLevel="0" collapsed="false">
      <c r="B41" s="14" t="s">
        <v>63</v>
      </c>
      <c r="C41" s="15" t="s">
        <v>64</v>
      </c>
      <c r="D41" s="15"/>
      <c r="E41" s="15"/>
      <c r="F41" s="15"/>
      <c r="G41" s="15"/>
      <c r="H41" s="15"/>
      <c r="I41" s="15"/>
      <c r="J41" s="15"/>
    </row>
    <row r="42" customFormat="false" ht="30" hidden="false" customHeight="true" outlineLevel="0" collapsed="false">
      <c r="B42" s="14" t="s">
        <v>65</v>
      </c>
      <c r="C42" s="15" t="s">
        <v>66</v>
      </c>
      <c r="D42" s="15"/>
      <c r="E42" s="15"/>
      <c r="F42" s="15"/>
      <c r="G42" s="15"/>
      <c r="H42" s="15"/>
      <c r="I42" s="15"/>
      <c r="J42" s="15"/>
    </row>
    <row r="43" customFormat="false" ht="30" hidden="false" customHeight="true" outlineLevel="0" collapsed="false">
      <c r="B43" s="14" t="s">
        <v>67</v>
      </c>
      <c r="C43" s="15" t="s">
        <v>68</v>
      </c>
      <c r="D43" s="15"/>
      <c r="E43" s="15"/>
      <c r="F43" s="15"/>
      <c r="G43" s="15"/>
      <c r="H43" s="15"/>
      <c r="I43" s="15"/>
      <c r="J43" s="15"/>
    </row>
    <row r="44" customFormat="false" ht="30" hidden="false" customHeight="true" outlineLevel="0" collapsed="false">
      <c r="B44" s="14" t="s">
        <v>69</v>
      </c>
      <c r="C44" s="15" t="s">
        <v>70</v>
      </c>
      <c r="D44" s="15"/>
      <c r="E44" s="15"/>
      <c r="F44" s="15"/>
      <c r="G44" s="15"/>
      <c r="H44" s="15"/>
      <c r="I44" s="15"/>
      <c r="J44" s="15"/>
    </row>
    <row r="45" customFormat="false" ht="30" hidden="false" customHeight="true" outlineLevel="0" collapsed="false">
      <c r="B45" s="14" t="s">
        <v>71</v>
      </c>
      <c r="C45" s="15" t="s">
        <v>72</v>
      </c>
      <c r="D45" s="15"/>
      <c r="E45" s="15"/>
      <c r="F45" s="15"/>
      <c r="G45" s="15"/>
      <c r="H45" s="15"/>
      <c r="I45" s="15"/>
      <c r="J45" s="15"/>
    </row>
    <row r="46" customFormat="false" ht="30" hidden="false" customHeight="true" outlineLevel="0" collapsed="false">
      <c r="B46" s="14" t="s">
        <v>73</v>
      </c>
      <c r="C46" s="15" t="s">
        <v>74</v>
      </c>
      <c r="D46" s="15"/>
      <c r="E46" s="15"/>
      <c r="F46" s="15"/>
      <c r="G46" s="15"/>
      <c r="H46" s="15"/>
      <c r="I46" s="15"/>
      <c r="J46" s="15"/>
    </row>
    <row r="47" customFormat="false" ht="30" hidden="false" customHeight="true" outlineLevel="0" collapsed="false">
      <c r="B47" s="14" t="s">
        <v>75</v>
      </c>
      <c r="C47" s="15" t="s">
        <v>76</v>
      </c>
      <c r="D47" s="15"/>
      <c r="E47" s="15"/>
      <c r="F47" s="15"/>
      <c r="G47" s="15"/>
      <c r="H47" s="15"/>
      <c r="I47" s="15"/>
      <c r="J47" s="15"/>
    </row>
    <row r="48" customFormat="false" ht="30" hidden="false" customHeight="true" outlineLevel="0" collapsed="false">
      <c r="B48" s="14" t="s">
        <v>77</v>
      </c>
      <c r="C48" s="15" t="s">
        <v>78</v>
      </c>
      <c r="D48" s="15"/>
      <c r="E48" s="15"/>
      <c r="F48" s="15"/>
      <c r="G48" s="15"/>
      <c r="H48" s="15"/>
      <c r="I48" s="15"/>
      <c r="J48" s="15"/>
    </row>
    <row r="49" customFormat="false" ht="30" hidden="false" customHeight="true" outlineLevel="0" collapsed="false">
      <c r="B49" s="14" t="s">
        <v>79</v>
      </c>
      <c r="C49" s="15" t="s">
        <v>80</v>
      </c>
      <c r="D49" s="15"/>
      <c r="E49" s="15"/>
      <c r="F49" s="15"/>
      <c r="G49" s="15"/>
      <c r="H49" s="15"/>
      <c r="I49" s="15"/>
      <c r="J49" s="15"/>
    </row>
    <row r="50" customFormat="false" ht="30" hidden="false" customHeight="true" outlineLevel="0" collapsed="false">
      <c r="B50" s="14" t="s">
        <v>81</v>
      </c>
      <c r="C50" s="15" t="s">
        <v>82</v>
      </c>
      <c r="D50" s="15"/>
      <c r="E50" s="15"/>
      <c r="F50" s="15"/>
      <c r="G50" s="15"/>
      <c r="H50" s="15"/>
      <c r="I50" s="15"/>
      <c r="J50" s="15"/>
    </row>
    <row r="51" customFormat="false" ht="30" hidden="false" customHeight="true" outlineLevel="0" collapsed="false">
      <c r="B51" s="14" t="s">
        <v>83</v>
      </c>
      <c r="C51" s="15" t="s">
        <v>84</v>
      </c>
      <c r="D51" s="15"/>
      <c r="E51" s="15"/>
      <c r="F51" s="15"/>
      <c r="G51" s="15"/>
      <c r="H51" s="15"/>
      <c r="I51" s="15"/>
      <c r="J51" s="15"/>
    </row>
    <row r="52" customFormat="false" ht="30" hidden="false" customHeight="true" outlineLevel="0" collapsed="false">
      <c r="B52" s="14" t="s">
        <v>85</v>
      </c>
      <c r="C52" s="15" t="s">
        <v>86</v>
      </c>
      <c r="D52" s="15"/>
      <c r="E52" s="15"/>
      <c r="F52" s="15"/>
      <c r="G52" s="15"/>
      <c r="H52" s="15"/>
      <c r="I52" s="15"/>
      <c r="J52" s="15"/>
    </row>
    <row r="54" customFormat="false" ht="15" hidden="false" customHeight="true" outlineLevel="0" collapsed="false">
      <c r="B54" s="16" t="s">
        <v>87</v>
      </c>
      <c r="C54" s="16"/>
      <c r="D54" s="16"/>
      <c r="E54" s="16"/>
      <c r="F54" s="16"/>
      <c r="G54" s="16"/>
      <c r="H54" s="16"/>
      <c r="I54" s="16"/>
      <c r="J54" s="16"/>
    </row>
    <row r="55" customFormat="false" ht="15" hidden="false" customHeight="false" outlineLevel="0" collapsed="false">
      <c r="B55" s="16"/>
      <c r="C55" s="16"/>
      <c r="D55" s="16"/>
      <c r="E55" s="16"/>
      <c r="F55" s="16"/>
      <c r="G55" s="16"/>
      <c r="H55" s="16"/>
      <c r="I55" s="16"/>
      <c r="J55" s="16"/>
    </row>
    <row r="56" customFormat="false" ht="15" hidden="false" customHeight="false" outlineLevel="0" collapsed="false">
      <c r="B56" s="16"/>
      <c r="C56" s="16"/>
      <c r="D56" s="16"/>
      <c r="E56" s="16"/>
      <c r="F56" s="16"/>
      <c r="G56" s="16"/>
      <c r="H56" s="16"/>
      <c r="I56" s="16"/>
      <c r="J56" s="16"/>
    </row>
  </sheetData>
  <mergeCells count="50">
    <mergeCell ref="A1:J1"/>
    <mergeCell ref="A2:J2"/>
    <mergeCell ref="B4:J4"/>
    <mergeCell ref="C5:J5"/>
    <mergeCell ref="C6:J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B28:J28"/>
    <mergeCell ref="B29:F29"/>
    <mergeCell ref="B30:F30"/>
    <mergeCell ref="B31:F31"/>
    <mergeCell ref="B32:F32"/>
    <mergeCell ref="B33:F33"/>
    <mergeCell ref="B34:F34"/>
    <mergeCell ref="B36:J36"/>
    <mergeCell ref="C37:J37"/>
    <mergeCell ref="C38:J38"/>
    <mergeCell ref="C39:J39"/>
    <mergeCell ref="C40:J40"/>
    <mergeCell ref="C41:J41"/>
    <mergeCell ref="C42:J42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52:J52"/>
    <mergeCell ref="B54:J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96"/>
    <pageSetUpPr fitToPage="true"/>
  </sheetPr>
  <dimension ref="A1:BN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9"/>
    <col collapsed="false" customWidth="true" hidden="false" outlineLevel="0" max="9" min="9" style="0" width="16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8"/>
    <col collapsed="false" customWidth="true" hidden="false" outlineLevel="0" max="18" min="18" style="0" width="15"/>
    <col collapsed="false" customWidth="true" hidden="false" outlineLevel="0" max="19" min="19" style="0" width="26"/>
    <col collapsed="false" customWidth="true" hidden="false" outlineLevel="0" max="20" min="20" style="0" width="30"/>
    <col collapsed="false" customWidth="true" hidden="false" outlineLevel="0" max="21" min="21" style="0" width="18"/>
    <col collapsed="false" customWidth="true" hidden="false" outlineLevel="0" max="22" min="22" style="0" width="12"/>
    <col collapsed="false" customWidth="true" hidden="false" outlineLevel="0" max="23" min="23" style="0" width="24"/>
    <col collapsed="false" customWidth="true" hidden="false" outlineLevel="0" max="24" min="24" style="0" width="18"/>
    <col collapsed="false" customWidth="true" hidden="false" outlineLevel="0" max="25" min="25" style="0" width="13"/>
    <col collapsed="false" customWidth="true" hidden="false" outlineLevel="0" max="26" min="26" style="0" width="22"/>
    <col collapsed="false" customWidth="true" hidden="false" outlineLevel="0" max="27" min="27" style="0" width="18"/>
    <col collapsed="false" customWidth="true" hidden="false" outlineLevel="0" max="28" min="28" style="0" width="14"/>
    <col collapsed="false" customWidth="true" hidden="false" outlineLevel="0" max="29" min="29" style="0" width="24"/>
    <col collapsed="false" customWidth="true" hidden="false" outlineLevel="0" max="30" min="30" style="0" width="11"/>
    <col collapsed="false" customWidth="true" hidden="false" outlineLevel="0" max="31" min="31" style="0" width="15"/>
    <col collapsed="false" customWidth="true" hidden="false" outlineLevel="0" max="32" min="32" style="0" width="20"/>
    <col collapsed="false" customWidth="true" hidden="false" outlineLevel="0" max="33" min="33" style="0" width="13"/>
    <col collapsed="false" customWidth="true" hidden="false" outlineLevel="0" max="34" min="34" style="0" width="20"/>
    <col collapsed="false" customWidth="true" hidden="false" outlineLevel="0" max="35" min="35" style="0" width="16"/>
    <col collapsed="false" customWidth="true" hidden="false" outlineLevel="0" max="36" min="36" style="0" width="18"/>
    <col collapsed="false" customWidth="true" hidden="false" outlineLevel="0" max="37" min="37" style="0" width="22"/>
    <col collapsed="false" customWidth="true" hidden="false" outlineLevel="0" max="38" min="38" style="0" width="15"/>
    <col collapsed="false" customWidth="true" hidden="false" outlineLevel="0" max="39" min="39" style="0" width="16"/>
    <col collapsed="false" customWidth="true" hidden="false" outlineLevel="0" max="41" min="40" style="0" width="14"/>
    <col collapsed="false" customWidth="true" hidden="false" outlineLevel="0" max="42" min="42" style="0" width="16"/>
    <col collapsed="false" customWidth="true" hidden="false" outlineLevel="0" max="43" min="43" style="0" width="12"/>
    <col collapsed="false" customWidth="true" hidden="false" outlineLevel="0" max="44" min="44" style="0" width="18"/>
    <col collapsed="false" customWidth="true" hidden="false" outlineLevel="0" max="45" min="45" style="0" width="15"/>
    <col collapsed="false" customWidth="true" hidden="false" outlineLevel="0" max="46" min="46" style="0" width="12"/>
    <col collapsed="false" customWidth="true" hidden="false" outlineLevel="0" max="47" min="47" style="0" width="15"/>
    <col collapsed="false" customWidth="true" hidden="false" outlineLevel="0" max="48" min="48" style="0" width="22"/>
    <col collapsed="false" customWidth="true" hidden="false" outlineLevel="0" max="49" min="49" style="0" width="26"/>
    <col collapsed="false" customWidth="true" hidden="false" outlineLevel="0" max="50" min="50" style="0" width="22"/>
    <col collapsed="false" customWidth="true" hidden="false" outlineLevel="0" max="51" min="51" style="0" width="11"/>
    <col collapsed="false" customWidth="true" hidden="false" outlineLevel="0" max="52" min="52" style="0" width="20"/>
    <col collapsed="false" customWidth="true" hidden="false" outlineLevel="0" max="54" min="53" style="0" width="22"/>
    <col collapsed="false" customWidth="true" hidden="false" outlineLevel="0" max="55" min="55" style="0" width="24"/>
    <col collapsed="false" customWidth="true" hidden="false" outlineLevel="0" max="56" min="56" style="0" width="13"/>
    <col collapsed="false" customWidth="true" hidden="false" outlineLevel="0" max="57" min="57" style="0" width="22"/>
    <col collapsed="false" customWidth="true" hidden="false" outlineLevel="0" max="59" min="58" style="0" width="14"/>
    <col collapsed="false" customWidth="true" hidden="false" outlineLevel="0" max="60" min="60" style="0" width="16"/>
    <col collapsed="false" customWidth="true" hidden="false" outlineLevel="0" max="62" min="61" style="0" width="14"/>
    <col collapsed="false" customWidth="true" hidden="false" outlineLevel="0" max="63" min="63" style="0" width="15"/>
    <col collapsed="false" customWidth="true" hidden="false" outlineLevel="0" max="64" min="64" style="0" width="14"/>
    <col collapsed="false" customWidth="true" hidden="false" outlineLevel="0" max="65" min="65" style="0" width="26"/>
    <col collapsed="false" customWidth="true" hidden="true" outlineLevel="0" max="66" min="66" style="0" width="11"/>
  </cols>
  <sheetData>
    <row r="1" customFormat="false" ht="30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customFormat="false" ht="15.75" hidden="false" customHeight="true" outlineLevel="0" collapsed="false">
      <c r="A2" s="2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4" customFormat="false" ht="15" hidden="false" customHeight="true" outlineLevel="0" collapsed="false">
      <c r="B4" s="17" t="s">
        <v>90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6" customFormat="false" ht="18" hidden="false" customHeight="true" outlineLevel="0" collapsed="false">
      <c r="A6" s="18" t="s">
        <v>91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" t="s">
        <v>92</v>
      </c>
      <c r="N6" s="19"/>
      <c r="O6" s="19"/>
      <c r="P6" s="19"/>
      <c r="Q6" s="19"/>
      <c r="R6" s="20" t="s">
        <v>93</v>
      </c>
      <c r="S6" s="20"/>
      <c r="T6" s="20"/>
      <c r="U6" s="20"/>
      <c r="V6" s="20"/>
      <c r="W6" s="20"/>
      <c r="X6" s="20"/>
      <c r="Y6" s="20"/>
      <c r="Z6" s="21" t="s">
        <v>94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2" t="s">
        <v>95</v>
      </c>
      <c r="AT6" s="22"/>
      <c r="AU6" s="22"/>
      <c r="AV6" s="22"/>
      <c r="AW6" s="22"/>
      <c r="AX6" s="22"/>
      <c r="AY6" s="23" t="s">
        <v>96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4" t="s">
        <v>97</v>
      </c>
      <c r="BL6" s="24"/>
      <c r="BM6" s="24"/>
    </row>
    <row r="7" customFormat="false" ht="31.5" hidden="false" customHeight="true" outlineLevel="0" collapsed="false">
      <c r="A7" s="25" t="s">
        <v>98</v>
      </c>
      <c r="B7" s="25" t="s">
        <v>99</v>
      </c>
      <c r="C7" s="25" t="s">
        <v>100</v>
      </c>
      <c r="D7" s="25" t="s">
        <v>101</v>
      </c>
      <c r="E7" s="25" t="s">
        <v>102</v>
      </c>
      <c r="F7" s="25" t="s">
        <v>103</v>
      </c>
      <c r="G7" s="25" t="s">
        <v>104</v>
      </c>
      <c r="H7" s="25" t="s">
        <v>105</v>
      </c>
      <c r="I7" s="25" t="s">
        <v>106</v>
      </c>
      <c r="J7" s="25" t="s">
        <v>107</v>
      </c>
      <c r="K7" s="25" t="s">
        <v>108</v>
      </c>
      <c r="L7" s="25" t="s">
        <v>109</v>
      </c>
      <c r="M7" s="25" t="s">
        <v>110</v>
      </c>
      <c r="N7" s="25" t="s">
        <v>111</v>
      </c>
      <c r="O7" s="25" t="s">
        <v>112</v>
      </c>
      <c r="P7" s="25" t="s">
        <v>113</v>
      </c>
      <c r="Q7" s="25" t="s">
        <v>114</v>
      </c>
      <c r="R7" s="25" t="s">
        <v>115</v>
      </c>
      <c r="S7" s="25" t="s">
        <v>116</v>
      </c>
      <c r="T7" s="25" t="s">
        <v>117</v>
      </c>
      <c r="U7" s="25" t="s">
        <v>118</v>
      </c>
      <c r="V7" s="25" t="s">
        <v>119</v>
      </c>
      <c r="W7" s="25" t="s">
        <v>120</v>
      </c>
      <c r="X7" s="25" t="s">
        <v>121</v>
      </c>
      <c r="Y7" s="25" t="s">
        <v>122</v>
      </c>
      <c r="Z7" s="25" t="s">
        <v>123</v>
      </c>
      <c r="AA7" s="25" t="s">
        <v>124</v>
      </c>
      <c r="AB7" s="25" t="s">
        <v>125</v>
      </c>
      <c r="AC7" s="25" t="s">
        <v>126</v>
      </c>
      <c r="AD7" s="25" t="s">
        <v>127</v>
      </c>
      <c r="AE7" s="25" t="s">
        <v>128</v>
      </c>
      <c r="AF7" s="25" t="s">
        <v>129</v>
      </c>
      <c r="AG7" s="25" t="s">
        <v>130</v>
      </c>
      <c r="AH7" s="25" t="s">
        <v>131</v>
      </c>
      <c r="AI7" s="25" t="s">
        <v>132</v>
      </c>
      <c r="AJ7" s="25" t="s">
        <v>133</v>
      </c>
      <c r="AK7" s="25" t="s">
        <v>134</v>
      </c>
      <c r="AL7" s="25" t="s">
        <v>135</v>
      </c>
      <c r="AM7" s="25" t="s">
        <v>136</v>
      </c>
      <c r="AN7" s="25" t="s">
        <v>137</v>
      </c>
      <c r="AO7" s="25" t="s">
        <v>138</v>
      </c>
      <c r="AP7" s="25" t="s">
        <v>139</v>
      </c>
      <c r="AQ7" s="25" t="s">
        <v>140</v>
      </c>
      <c r="AR7" s="25" t="s">
        <v>141</v>
      </c>
      <c r="AS7" s="25" t="s">
        <v>142</v>
      </c>
      <c r="AT7" s="25" t="s">
        <v>143</v>
      </c>
      <c r="AU7" s="25" t="s">
        <v>144</v>
      </c>
      <c r="AV7" s="25" t="s">
        <v>145</v>
      </c>
      <c r="AW7" s="25" t="s">
        <v>146</v>
      </c>
      <c r="AX7" s="25" t="s">
        <v>147</v>
      </c>
      <c r="AY7" s="25" t="s">
        <v>148</v>
      </c>
      <c r="AZ7" s="25" t="s">
        <v>149</v>
      </c>
      <c r="BA7" s="25" t="s">
        <v>150</v>
      </c>
      <c r="BB7" s="25" t="s">
        <v>151</v>
      </c>
      <c r="BC7" s="25" t="s">
        <v>152</v>
      </c>
      <c r="BD7" s="25" t="s">
        <v>153</v>
      </c>
      <c r="BE7" s="25" t="s">
        <v>154</v>
      </c>
      <c r="BF7" s="25" t="s">
        <v>155</v>
      </c>
      <c r="BG7" s="25" t="s">
        <v>156</v>
      </c>
      <c r="BH7" s="25" t="s">
        <v>157</v>
      </c>
      <c r="BI7" s="25" t="s">
        <v>158</v>
      </c>
      <c r="BJ7" s="25" t="s">
        <v>159</v>
      </c>
      <c r="BK7" s="25" t="s">
        <v>160</v>
      </c>
      <c r="BL7" s="25" t="s">
        <v>161</v>
      </c>
      <c r="BM7" s="25" t="s">
        <v>162</v>
      </c>
      <c r="BN7" s="25" t="s">
        <v>163</v>
      </c>
    </row>
    <row r="8" customFormat="false" ht="15" hidden="false" customHeight="false" outlineLevel="0" collapsed="false">
      <c r="A8" s="26" t="str">
        <f aca="false">IF($B8="","","ATL-"&amp;TEXT(ROW()-7,"000"))</f>
        <v>ATL-001</v>
      </c>
      <c r="B8" s="27" t="s">
        <v>164</v>
      </c>
      <c r="C8" s="28" t="s">
        <v>165</v>
      </c>
      <c r="D8" s="29" t="n">
        <v>35868</v>
      </c>
      <c r="E8" s="26" t="n">
        <f aca="true">IFERROR(DATEDIF($D8,TODAY(),"Y"),"")</f>
        <v>28</v>
      </c>
      <c r="F8" s="28" t="s">
        <v>166</v>
      </c>
      <c r="G8" s="28" t="s">
        <v>167</v>
      </c>
      <c r="H8" s="27" t="s">
        <v>168</v>
      </c>
      <c r="I8" s="28" t="s">
        <v>168</v>
      </c>
      <c r="J8" s="28" t="n">
        <v>5</v>
      </c>
      <c r="K8" s="28" t="s">
        <v>169</v>
      </c>
      <c r="L8" s="28" t="s">
        <v>170</v>
      </c>
      <c r="M8" s="28" t="s">
        <v>171</v>
      </c>
      <c r="N8" s="28" t="s">
        <v>172</v>
      </c>
      <c r="O8" s="30" t="n">
        <f aca="false">IF(OR($B8="",$BN8=0),"",IFERROR(AVERAGEIFS(Antropometria!$F$8:$F$407,Antropometria!$B$8:$B$407,$B8,Antropometria!$A$8:$A$407,$BN8),""))</f>
        <v>196</v>
      </c>
      <c r="P8" s="30" t="n">
        <f aca="false">IF(OR($B8="",$BN8=0),"",IFERROR(AVERAGEIFS(Antropometria!$E$8:$E$407,Antropometria!$B$8:$B$407,$B8,Antropometria!$A$8:$A$407,$BN8),""))</f>
        <v>87.8</v>
      </c>
      <c r="Q8" s="30" t="n">
        <f aca="false">IFERROR(ROUND($P8/($O8/100)^2,1),"")</f>
        <v>22.9</v>
      </c>
      <c r="R8" s="28" t="s">
        <v>173</v>
      </c>
      <c r="S8" s="27" t="s">
        <v>174</v>
      </c>
      <c r="T8" s="27" t="s">
        <v>168</v>
      </c>
      <c r="U8" s="27" t="s">
        <v>168</v>
      </c>
      <c r="V8" s="28" t="s">
        <v>168</v>
      </c>
      <c r="W8" s="28" t="s">
        <v>175</v>
      </c>
      <c r="X8" s="28" t="s">
        <v>176</v>
      </c>
      <c r="Y8" s="28" t="s">
        <v>168</v>
      </c>
      <c r="Z8" s="28" t="s">
        <v>177</v>
      </c>
      <c r="AA8" s="28" t="s">
        <v>178</v>
      </c>
      <c r="AB8" s="28" t="s">
        <v>179</v>
      </c>
      <c r="AC8" s="27" t="s">
        <v>168</v>
      </c>
      <c r="AD8" s="28" t="s">
        <v>180</v>
      </c>
      <c r="AE8" s="28" t="n">
        <v>0</v>
      </c>
      <c r="AF8" s="27" t="s">
        <v>181</v>
      </c>
      <c r="AG8" s="28" t="n">
        <v>3</v>
      </c>
      <c r="AH8" s="28" t="s">
        <v>182</v>
      </c>
      <c r="AI8" s="28" t="s">
        <v>183</v>
      </c>
      <c r="AJ8" s="28" t="s">
        <v>184</v>
      </c>
      <c r="AK8" s="28" t="s">
        <v>185</v>
      </c>
      <c r="AL8" s="28" t="n">
        <v>25</v>
      </c>
      <c r="AM8" s="28" t="s">
        <v>186</v>
      </c>
      <c r="AN8" s="28" t="s">
        <v>180</v>
      </c>
      <c r="AO8" s="28" t="s">
        <v>186</v>
      </c>
      <c r="AP8" s="28" t="s">
        <v>186</v>
      </c>
      <c r="AQ8" s="28" t="n">
        <v>6</v>
      </c>
      <c r="AR8" s="28" t="s">
        <v>186</v>
      </c>
      <c r="AS8" s="28" t="n">
        <v>11</v>
      </c>
      <c r="AT8" s="26" t="n">
        <f aca="false">IFERROR($E8-$AS8,"")</f>
        <v>17</v>
      </c>
      <c r="AU8" s="28" t="n">
        <v>4</v>
      </c>
      <c r="AV8" s="27" t="s">
        <v>187</v>
      </c>
      <c r="AW8" s="27" t="s">
        <v>168</v>
      </c>
      <c r="AX8" s="27" t="s">
        <v>188</v>
      </c>
      <c r="AY8" s="28" t="s">
        <v>189</v>
      </c>
      <c r="AZ8" s="27" t="s">
        <v>168</v>
      </c>
      <c r="BA8" s="27" t="s">
        <v>168</v>
      </c>
      <c r="BB8" s="27" t="s">
        <v>168</v>
      </c>
      <c r="BC8" s="27" t="s">
        <v>168</v>
      </c>
      <c r="BD8" s="28" t="n">
        <v>0</v>
      </c>
      <c r="BE8" s="27" t="s">
        <v>168</v>
      </c>
      <c r="BF8" s="29" t="n">
        <v>46034</v>
      </c>
      <c r="BG8" s="29" t="n">
        <v>46399</v>
      </c>
      <c r="BH8" s="26" t="str">
        <f aca="true">IF($BG8="","",IF($BG8&lt;TODAY(),"VENCIDO",IF($BG8&lt;=TODAY()+30,"Vence em 30 dias","Válido")))</f>
        <v>Válido</v>
      </c>
      <c r="BI8" s="28" t="s">
        <v>186</v>
      </c>
      <c r="BJ8" s="28" t="s">
        <v>186</v>
      </c>
      <c r="BK8" s="29" t="n">
        <v>46027</v>
      </c>
      <c r="BL8" s="28" t="s">
        <v>190</v>
      </c>
      <c r="BM8" s="27" t="s">
        <v>191</v>
      </c>
      <c r="BN8" s="31" t="n">
        <f aca="false">IF($B8="",0,IFERROR(SUMPRODUCT(MAX((Antropometria!$B$8:$B$407=$B8)*Antropometria!$A$8:$A$407)),0))</f>
        <v>46225</v>
      </c>
    </row>
    <row r="9" customFormat="false" ht="15" hidden="false" customHeight="false" outlineLevel="0" collapsed="false">
      <c r="A9" s="26" t="str">
        <f aca="false">IF($B9="","","ATL-"&amp;TEXT(ROW()-7,"000"))</f>
        <v>ATL-002</v>
      </c>
      <c r="B9" s="27" t="s">
        <v>192</v>
      </c>
      <c r="C9" s="28" t="s">
        <v>193</v>
      </c>
      <c r="D9" s="29" t="n">
        <v>35279</v>
      </c>
      <c r="E9" s="26" t="n">
        <f aca="true">IFERROR(DATEDIF($D9,TODAY(),"Y"),"")</f>
        <v>30</v>
      </c>
      <c r="F9" s="28" t="s">
        <v>166</v>
      </c>
      <c r="G9" s="28" t="s">
        <v>167</v>
      </c>
      <c r="H9" s="27" t="s">
        <v>168</v>
      </c>
      <c r="I9" s="28" t="s">
        <v>168</v>
      </c>
      <c r="J9" s="28" t="n">
        <v>12</v>
      </c>
      <c r="K9" s="28" t="s">
        <v>169</v>
      </c>
      <c r="L9" s="28" t="s">
        <v>194</v>
      </c>
      <c r="M9" s="28" t="s">
        <v>195</v>
      </c>
      <c r="N9" s="28" t="s">
        <v>172</v>
      </c>
      <c r="O9" s="30" t="n">
        <f aca="false">IF(OR($B9="",$BN9=0),"",IFERROR(AVERAGEIFS(Antropometria!$F$8:$F$407,Antropometria!$B$8:$B$407,$B9,Antropometria!$A$8:$A$407,$BN9),""))</f>
        <v>202</v>
      </c>
      <c r="P9" s="30" t="n">
        <f aca="false">IF(OR($B9="",$BN9=0),"",IFERROR(AVERAGEIFS(Antropometria!$E$8:$E$407,Antropometria!$B$8:$B$407,$B9,Antropometria!$A$8:$A$407,$BN9),""))</f>
        <v>94.2</v>
      </c>
      <c r="Q9" s="30" t="n">
        <f aca="false">IFERROR(ROUND($P9/($O9/100)^2,1),"")</f>
        <v>23.1</v>
      </c>
      <c r="R9" s="28" t="s">
        <v>196</v>
      </c>
      <c r="S9" s="27" t="s">
        <v>197</v>
      </c>
      <c r="T9" s="27" t="s">
        <v>168</v>
      </c>
      <c r="U9" s="27" t="s">
        <v>168</v>
      </c>
      <c r="V9" s="28" t="s">
        <v>168</v>
      </c>
      <c r="W9" s="28" t="s">
        <v>175</v>
      </c>
      <c r="X9" s="28" t="s">
        <v>198</v>
      </c>
      <c r="Y9" s="28" t="s">
        <v>168</v>
      </c>
      <c r="Z9" s="28" t="s">
        <v>199</v>
      </c>
      <c r="AA9" s="28" t="s">
        <v>200</v>
      </c>
      <c r="AB9" s="28" t="s">
        <v>168</v>
      </c>
      <c r="AC9" s="27" t="s">
        <v>168</v>
      </c>
      <c r="AD9" s="28" t="s">
        <v>180</v>
      </c>
      <c r="AE9" s="28" t="n">
        <v>0</v>
      </c>
      <c r="AF9" s="27" t="s">
        <v>181</v>
      </c>
      <c r="AG9" s="28" t="n">
        <v>2</v>
      </c>
      <c r="AH9" s="28" t="s">
        <v>182</v>
      </c>
      <c r="AI9" s="28" t="s">
        <v>201</v>
      </c>
      <c r="AJ9" s="28" t="s">
        <v>202</v>
      </c>
      <c r="AK9" s="28" t="s">
        <v>185</v>
      </c>
      <c r="AL9" s="28" t="n">
        <v>20</v>
      </c>
      <c r="AM9" s="28" t="s">
        <v>186</v>
      </c>
      <c r="AN9" s="28" t="s">
        <v>180</v>
      </c>
      <c r="AO9" s="28" t="s">
        <v>186</v>
      </c>
      <c r="AP9" s="28" t="s">
        <v>186</v>
      </c>
      <c r="AQ9" s="28" t="n">
        <v>6</v>
      </c>
      <c r="AR9" s="28" t="s">
        <v>186</v>
      </c>
      <c r="AS9" s="28" t="n">
        <v>12</v>
      </c>
      <c r="AT9" s="26" t="n">
        <f aca="false">IFERROR($E9-$AS9,"")</f>
        <v>18</v>
      </c>
      <c r="AU9" s="28" t="n">
        <v>6</v>
      </c>
      <c r="AV9" s="27" t="s">
        <v>203</v>
      </c>
      <c r="AW9" s="27" t="s">
        <v>168</v>
      </c>
      <c r="AX9" s="27" t="s">
        <v>204</v>
      </c>
      <c r="AY9" s="28" t="s">
        <v>189</v>
      </c>
      <c r="AZ9" s="27" t="s">
        <v>168</v>
      </c>
      <c r="BA9" s="27" t="s">
        <v>168</v>
      </c>
      <c r="BB9" s="27" t="s">
        <v>168</v>
      </c>
      <c r="BC9" s="27" t="s">
        <v>205</v>
      </c>
      <c r="BD9" s="28" t="n">
        <v>1</v>
      </c>
      <c r="BE9" s="27" t="s">
        <v>168</v>
      </c>
      <c r="BF9" s="29" t="n">
        <v>46034</v>
      </c>
      <c r="BG9" s="29" t="n">
        <v>46399</v>
      </c>
      <c r="BH9" s="26" t="str">
        <f aca="true">IF($BG9="","",IF($BG9&lt;TODAY(),"VENCIDO",IF($BG9&lt;=TODAY()+30,"Vence em 30 dias","Válido")))</f>
        <v>Válido</v>
      </c>
      <c r="BI9" s="28" t="s">
        <v>186</v>
      </c>
      <c r="BJ9" s="28" t="s">
        <v>180</v>
      </c>
      <c r="BK9" s="29" t="n">
        <v>46027</v>
      </c>
      <c r="BL9" s="28" t="s">
        <v>190</v>
      </c>
      <c r="BM9" s="27" t="s">
        <v>191</v>
      </c>
      <c r="BN9" s="31" t="n">
        <f aca="false">IF($B9="",0,IFERROR(SUMPRODUCT(MAX((Antropometria!$B$8:$B$407=$B9)*Antropometria!$A$8:$A$407)),0))</f>
        <v>46225</v>
      </c>
    </row>
    <row r="10" customFormat="false" ht="15" hidden="false" customHeight="false" outlineLevel="0" collapsed="false">
      <c r="A10" s="26" t="str">
        <f aca="false">IF($B10="","","ATL-"&amp;TEXT(ROW()-7,"000"))</f>
        <v>ATL-003</v>
      </c>
      <c r="B10" s="27" t="s">
        <v>206</v>
      </c>
      <c r="C10" s="28" t="s">
        <v>207</v>
      </c>
      <c r="D10" s="29" t="n">
        <v>36552</v>
      </c>
      <c r="E10" s="26" t="n">
        <f aca="true">IFERROR(DATEDIF($D10,TODAY(),"Y"),"")</f>
        <v>26</v>
      </c>
      <c r="F10" s="28" t="s">
        <v>166</v>
      </c>
      <c r="G10" s="28" t="s">
        <v>167</v>
      </c>
      <c r="H10" s="27" t="s">
        <v>168</v>
      </c>
      <c r="I10" s="28" t="s">
        <v>168</v>
      </c>
      <c r="J10" s="28" t="n">
        <v>7</v>
      </c>
      <c r="K10" s="28" t="s">
        <v>169</v>
      </c>
      <c r="L10" s="28" t="s">
        <v>208</v>
      </c>
      <c r="M10" s="28" t="s">
        <v>171</v>
      </c>
      <c r="N10" s="28" t="s">
        <v>172</v>
      </c>
      <c r="O10" s="30" t="n">
        <f aca="false">IF(OR($B10="",$BN10=0),"",IFERROR(AVERAGEIFS(Antropometria!$F$8:$F$407,Antropometria!$B$8:$B$407,$B10,Antropometria!$A$8:$A$407,$BN10),""))</f>
        <v>198</v>
      </c>
      <c r="P10" s="30" t="n">
        <f aca="false">IF(OR($B10="",$BN10=0),"",IFERROR(AVERAGEIFS(Antropometria!$E$8:$E$407,Antropometria!$B$8:$B$407,$B10,Antropometria!$A$8:$A$407,$BN10),""))</f>
        <v>88.9</v>
      </c>
      <c r="Q10" s="30" t="n">
        <f aca="false">IFERROR(ROUND($P10/($O10/100)^2,1),"")</f>
        <v>22.7</v>
      </c>
      <c r="R10" s="28" t="s">
        <v>209</v>
      </c>
      <c r="S10" s="27" t="s">
        <v>210</v>
      </c>
      <c r="T10" s="27" t="s">
        <v>168</v>
      </c>
      <c r="U10" s="27" t="s">
        <v>168</v>
      </c>
      <c r="V10" s="28" t="s">
        <v>168</v>
      </c>
      <c r="W10" s="28" t="s">
        <v>175</v>
      </c>
      <c r="X10" s="28" t="s">
        <v>211</v>
      </c>
      <c r="Y10" s="28" t="s">
        <v>168</v>
      </c>
      <c r="Z10" s="28" t="s">
        <v>177</v>
      </c>
      <c r="AA10" s="28" t="s">
        <v>178</v>
      </c>
      <c r="AB10" s="28" t="s">
        <v>212</v>
      </c>
      <c r="AC10" s="27" t="s">
        <v>168</v>
      </c>
      <c r="AD10" s="28" t="s">
        <v>180</v>
      </c>
      <c r="AE10" s="28" t="n">
        <v>0</v>
      </c>
      <c r="AF10" s="27" t="s">
        <v>181</v>
      </c>
      <c r="AG10" s="28" t="n">
        <v>4</v>
      </c>
      <c r="AH10" s="28" t="s">
        <v>213</v>
      </c>
      <c r="AI10" s="28" t="s">
        <v>183</v>
      </c>
      <c r="AJ10" s="28" t="s">
        <v>184</v>
      </c>
      <c r="AK10" s="28" t="s">
        <v>214</v>
      </c>
      <c r="AL10" s="28" t="n">
        <v>35</v>
      </c>
      <c r="AM10" s="28" t="s">
        <v>186</v>
      </c>
      <c r="AN10" s="28" t="s">
        <v>180</v>
      </c>
      <c r="AO10" s="28" t="s">
        <v>186</v>
      </c>
      <c r="AP10" s="28" t="s">
        <v>186</v>
      </c>
      <c r="AQ10" s="28" t="n">
        <v>5</v>
      </c>
      <c r="AR10" s="28" t="s">
        <v>186</v>
      </c>
      <c r="AS10" s="28" t="n">
        <v>13</v>
      </c>
      <c r="AT10" s="26" t="n">
        <f aca="false">IFERROR($E10-$AS10,"")</f>
        <v>13</v>
      </c>
      <c r="AU10" s="28" t="n">
        <v>3</v>
      </c>
      <c r="AV10" s="27" t="s">
        <v>203</v>
      </c>
      <c r="AW10" s="27" t="s">
        <v>168</v>
      </c>
      <c r="AX10" s="27" t="s">
        <v>188</v>
      </c>
      <c r="AY10" s="28" t="s">
        <v>189</v>
      </c>
      <c r="AZ10" s="27" t="s">
        <v>168</v>
      </c>
      <c r="BA10" s="27" t="s">
        <v>168</v>
      </c>
      <c r="BB10" s="27" t="s">
        <v>168</v>
      </c>
      <c r="BC10" s="27" t="s">
        <v>168</v>
      </c>
      <c r="BD10" s="28" t="n">
        <v>0</v>
      </c>
      <c r="BE10" s="27" t="s">
        <v>168</v>
      </c>
      <c r="BF10" s="29" t="n">
        <v>46034</v>
      </c>
      <c r="BG10" s="29" t="n">
        <v>46399</v>
      </c>
      <c r="BH10" s="26" t="str">
        <f aca="true">IF($BG10="","",IF($BG10&lt;TODAY(),"VENCIDO",IF($BG10&lt;=TODAY()+30,"Vence em 30 dias","Válido")))</f>
        <v>Válido</v>
      </c>
      <c r="BI10" s="28" t="s">
        <v>186</v>
      </c>
      <c r="BJ10" s="28" t="s">
        <v>180</v>
      </c>
      <c r="BK10" s="29" t="n">
        <v>46027</v>
      </c>
      <c r="BL10" s="28" t="s">
        <v>190</v>
      </c>
      <c r="BM10" s="27" t="s">
        <v>191</v>
      </c>
      <c r="BN10" s="31" t="n">
        <f aca="false">IF($B10="",0,IFERROR(SUMPRODUCT(MAX((Antropometria!$B$8:$B$407=$B10)*Antropometria!$A$8:$A$407)),0))</f>
        <v>46225</v>
      </c>
    </row>
    <row r="11" customFormat="false" ht="15" hidden="false" customHeight="false" outlineLevel="0" collapsed="false">
      <c r="A11" s="26" t="str">
        <f aca="false">IF($B11="","","ATL-"&amp;TEXT(ROW()-7,"000"))</f>
        <v>ATL-004</v>
      </c>
      <c r="B11" s="27" t="s">
        <v>215</v>
      </c>
      <c r="C11" s="28" t="s">
        <v>216</v>
      </c>
      <c r="D11" s="29" t="n">
        <v>36469</v>
      </c>
      <c r="E11" s="26" t="n">
        <f aca="true">IFERROR(DATEDIF($D11,TODAY(),"Y"),"")</f>
        <v>26</v>
      </c>
      <c r="F11" s="28" t="s">
        <v>166</v>
      </c>
      <c r="G11" s="28" t="s">
        <v>167</v>
      </c>
      <c r="H11" s="27" t="s">
        <v>168</v>
      </c>
      <c r="I11" s="28" t="s">
        <v>168</v>
      </c>
      <c r="J11" s="28" t="n">
        <v>9</v>
      </c>
      <c r="K11" s="28" t="s">
        <v>169</v>
      </c>
      <c r="L11" s="28" t="s">
        <v>208</v>
      </c>
      <c r="M11" s="28" t="s">
        <v>171</v>
      </c>
      <c r="N11" s="28" t="s">
        <v>172</v>
      </c>
      <c r="O11" s="30" t="n">
        <f aca="false">IF(OR($B11="",$BN11=0),"",IFERROR(AVERAGEIFS(Antropometria!$F$8:$F$407,Antropometria!$B$8:$B$407,$B11,Antropometria!$A$8:$A$407,$BN11),""))</f>
        <v>197</v>
      </c>
      <c r="P11" s="30" t="n">
        <f aca="false">IF(OR($B11="",$BN11=0),"",IFERROR(AVERAGEIFS(Antropometria!$E$8:$E$407,Antropometria!$B$8:$B$407,$B11,Antropometria!$A$8:$A$407,$BN11),""))</f>
        <v>87.7</v>
      </c>
      <c r="Q11" s="30" t="n">
        <f aca="false">IFERROR(ROUND($P11/($O11/100)^2,1),"")</f>
        <v>22.6</v>
      </c>
      <c r="R11" s="28" t="s">
        <v>217</v>
      </c>
      <c r="S11" s="27" t="s">
        <v>218</v>
      </c>
      <c r="T11" s="27" t="s">
        <v>168</v>
      </c>
      <c r="U11" s="27" t="s">
        <v>168</v>
      </c>
      <c r="V11" s="28" t="s">
        <v>168</v>
      </c>
      <c r="W11" s="28" t="s">
        <v>175</v>
      </c>
      <c r="X11" s="28" t="s">
        <v>219</v>
      </c>
      <c r="Y11" s="28" t="s">
        <v>168</v>
      </c>
      <c r="Z11" s="28" t="s">
        <v>177</v>
      </c>
      <c r="AA11" s="28" t="s">
        <v>178</v>
      </c>
      <c r="AB11" s="28" t="s">
        <v>179</v>
      </c>
      <c r="AC11" s="27" t="s">
        <v>168</v>
      </c>
      <c r="AD11" s="28" t="s">
        <v>186</v>
      </c>
      <c r="AE11" s="28" t="n">
        <v>20</v>
      </c>
      <c r="AF11" s="27" t="s">
        <v>220</v>
      </c>
      <c r="AG11" s="28" t="n">
        <v>4</v>
      </c>
      <c r="AH11" s="28" t="s">
        <v>221</v>
      </c>
      <c r="AI11" s="28" t="s">
        <v>201</v>
      </c>
      <c r="AJ11" s="28" t="s">
        <v>184</v>
      </c>
      <c r="AK11" s="28" t="s">
        <v>222</v>
      </c>
      <c r="AL11" s="28" t="n">
        <v>55</v>
      </c>
      <c r="AM11" s="28" t="s">
        <v>186</v>
      </c>
      <c r="AN11" s="28" t="s">
        <v>186</v>
      </c>
      <c r="AO11" s="28" t="s">
        <v>180</v>
      </c>
      <c r="AP11" s="28" t="s">
        <v>186</v>
      </c>
      <c r="AQ11" s="28" t="n">
        <v>4</v>
      </c>
      <c r="AR11" s="28" t="s">
        <v>180</v>
      </c>
      <c r="AS11" s="28" t="n">
        <v>12</v>
      </c>
      <c r="AT11" s="26" t="n">
        <f aca="false">IFERROR($E11-$AS11,"")</f>
        <v>14</v>
      </c>
      <c r="AU11" s="28" t="n">
        <v>3</v>
      </c>
      <c r="AV11" s="27" t="s">
        <v>187</v>
      </c>
      <c r="AW11" s="27" t="s">
        <v>168</v>
      </c>
      <c r="AX11" s="27" t="s">
        <v>168</v>
      </c>
      <c r="AY11" s="28" t="s">
        <v>189</v>
      </c>
      <c r="AZ11" s="27" t="s">
        <v>168</v>
      </c>
      <c r="BA11" s="27" t="s">
        <v>168</v>
      </c>
      <c r="BB11" s="27" t="s">
        <v>168</v>
      </c>
      <c r="BC11" s="27" t="s">
        <v>223</v>
      </c>
      <c r="BD11" s="28" t="n">
        <v>2</v>
      </c>
      <c r="BE11" s="27" t="s">
        <v>224</v>
      </c>
      <c r="BF11" s="29" t="n">
        <v>46034</v>
      </c>
      <c r="BG11" s="29" t="n">
        <v>46399</v>
      </c>
      <c r="BH11" s="26" t="str">
        <f aca="true">IF($BG11="","",IF($BG11&lt;TODAY(),"VENCIDO",IF($BG11&lt;=TODAY()+30,"Vence em 30 dias","Válido")))</f>
        <v>Válido</v>
      </c>
      <c r="BI11" s="28" t="s">
        <v>186</v>
      </c>
      <c r="BJ11" s="28" t="s">
        <v>180</v>
      </c>
      <c r="BK11" s="29" t="n">
        <v>46027</v>
      </c>
      <c r="BL11" s="28" t="s">
        <v>225</v>
      </c>
      <c r="BM11" s="27" t="s">
        <v>191</v>
      </c>
      <c r="BN11" s="31" t="n">
        <f aca="false">IF($B11="",0,IFERROR(SUMPRODUCT(MAX((Antropometria!$B$8:$B$407=$B11)*Antropometria!$A$8:$A$407)),0))</f>
        <v>46225</v>
      </c>
    </row>
    <row r="12" customFormat="false" ht="15" hidden="false" customHeight="false" outlineLevel="0" collapsed="false">
      <c r="A12" s="26" t="str">
        <f aca="false">IF($B12="","","ATL-"&amp;TEXT(ROW()-7,"000"))</f>
        <v>ATL-005</v>
      </c>
      <c r="B12" s="27" t="s">
        <v>226</v>
      </c>
      <c r="C12" s="28" t="s">
        <v>227</v>
      </c>
      <c r="D12" s="29" t="n">
        <v>34838</v>
      </c>
      <c r="E12" s="26" t="n">
        <f aca="true">IFERROR(DATEDIF($D12,TODAY(),"Y"),"")</f>
        <v>31</v>
      </c>
      <c r="F12" s="28" t="s">
        <v>166</v>
      </c>
      <c r="G12" s="28" t="s">
        <v>167</v>
      </c>
      <c r="H12" s="27" t="s">
        <v>168</v>
      </c>
      <c r="I12" s="28" t="s">
        <v>168</v>
      </c>
      <c r="J12" s="28" t="n">
        <v>4</v>
      </c>
      <c r="K12" s="28" t="s">
        <v>169</v>
      </c>
      <c r="L12" s="28" t="s">
        <v>228</v>
      </c>
      <c r="M12" s="28" t="s">
        <v>171</v>
      </c>
      <c r="N12" s="28" t="s">
        <v>229</v>
      </c>
      <c r="O12" s="30" t="n">
        <f aca="false">IF(OR($B12="",$BN12=0),"",IFERROR(AVERAGEIFS(Antropometria!$F$8:$F$407,Antropometria!$B$8:$B$407,$B12,Antropometria!$A$8:$A$407,$BN12),""))</f>
        <v>205</v>
      </c>
      <c r="P12" s="30" t="n">
        <f aca="false">IF(OR($B12="",$BN12=0),"",IFERROR(AVERAGEIFS(Antropometria!$E$8:$E$407,Antropometria!$B$8:$B$407,$B12,Antropometria!$A$8:$A$407,$BN12),""))</f>
        <v>99.7</v>
      </c>
      <c r="Q12" s="30" t="n">
        <f aca="false">IFERROR(ROUND($P12/($O12/100)^2,1),"")</f>
        <v>23.7</v>
      </c>
      <c r="R12" s="28" t="s">
        <v>230</v>
      </c>
      <c r="S12" s="27" t="s">
        <v>231</v>
      </c>
      <c r="T12" s="27" t="s">
        <v>168</v>
      </c>
      <c r="U12" s="27" t="s">
        <v>168</v>
      </c>
      <c r="V12" s="28" t="s">
        <v>168</v>
      </c>
      <c r="W12" s="28" t="s">
        <v>175</v>
      </c>
      <c r="X12" s="28" t="s">
        <v>232</v>
      </c>
      <c r="Y12" s="28" t="s">
        <v>168</v>
      </c>
      <c r="Z12" s="28" t="s">
        <v>199</v>
      </c>
      <c r="AA12" s="28" t="s">
        <v>200</v>
      </c>
      <c r="AB12" s="28" t="s">
        <v>168</v>
      </c>
      <c r="AC12" s="27" t="s">
        <v>168</v>
      </c>
      <c r="AD12" s="28" t="s">
        <v>180</v>
      </c>
      <c r="AE12" s="28" t="n">
        <v>0</v>
      </c>
      <c r="AF12" s="27" t="s">
        <v>181</v>
      </c>
      <c r="AG12" s="28" t="n">
        <v>3</v>
      </c>
      <c r="AH12" s="28" t="s">
        <v>233</v>
      </c>
      <c r="AI12" s="28" t="s">
        <v>183</v>
      </c>
      <c r="AJ12" s="28" t="s">
        <v>184</v>
      </c>
      <c r="AK12" s="28" t="s">
        <v>185</v>
      </c>
      <c r="AL12" s="28" t="n">
        <v>18</v>
      </c>
      <c r="AM12" s="28" t="s">
        <v>186</v>
      </c>
      <c r="AN12" s="28" t="s">
        <v>180</v>
      </c>
      <c r="AO12" s="28" t="s">
        <v>186</v>
      </c>
      <c r="AP12" s="28" t="s">
        <v>186</v>
      </c>
      <c r="AQ12" s="28" t="n">
        <v>6</v>
      </c>
      <c r="AR12" s="28" t="s">
        <v>186</v>
      </c>
      <c r="AS12" s="28" t="n">
        <v>10</v>
      </c>
      <c r="AT12" s="26" t="n">
        <f aca="false">IFERROR($E12-$AS12,"")</f>
        <v>21</v>
      </c>
      <c r="AU12" s="28" t="n">
        <v>8</v>
      </c>
      <c r="AV12" s="27" t="s">
        <v>203</v>
      </c>
      <c r="AW12" s="27" t="s">
        <v>168</v>
      </c>
      <c r="AX12" s="27" t="s">
        <v>234</v>
      </c>
      <c r="AY12" s="28" t="s">
        <v>189</v>
      </c>
      <c r="AZ12" s="27" t="s">
        <v>168</v>
      </c>
      <c r="BA12" s="27" t="s">
        <v>168</v>
      </c>
      <c r="BB12" s="27" t="s">
        <v>168</v>
      </c>
      <c r="BC12" s="27" t="s">
        <v>235</v>
      </c>
      <c r="BD12" s="28" t="n">
        <v>1</v>
      </c>
      <c r="BE12" s="27" t="s">
        <v>168</v>
      </c>
      <c r="BF12" s="29" t="n">
        <v>46034</v>
      </c>
      <c r="BG12" s="29" t="n">
        <v>46399</v>
      </c>
      <c r="BH12" s="26" t="str">
        <f aca="true">IF($BG12="","",IF($BG12&lt;TODAY(),"VENCIDO",IF($BG12&lt;=TODAY()+30,"Vence em 30 dias","Válido")))</f>
        <v>Válido</v>
      </c>
      <c r="BI12" s="28" t="s">
        <v>186</v>
      </c>
      <c r="BJ12" s="28" t="s">
        <v>186</v>
      </c>
      <c r="BK12" s="29" t="n">
        <v>46027</v>
      </c>
      <c r="BL12" s="28" t="s">
        <v>190</v>
      </c>
      <c r="BM12" s="27" t="s">
        <v>191</v>
      </c>
      <c r="BN12" s="31" t="n">
        <f aca="false">IF($B12="",0,IFERROR(SUMPRODUCT(MAX((Antropometria!$B$8:$B$407=$B12)*Antropometria!$A$8:$A$407)),0))</f>
        <v>46225</v>
      </c>
    </row>
    <row r="13" customFormat="false" ht="15" hidden="false" customHeight="false" outlineLevel="0" collapsed="false">
      <c r="A13" s="26" t="str">
        <f aca="false">IF($B13="","","ATL-"&amp;TEXT(ROW()-7,"000"))</f>
        <v>ATL-006</v>
      </c>
      <c r="B13" s="27" t="s">
        <v>236</v>
      </c>
      <c r="C13" s="28" t="s">
        <v>237</v>
      </c>
      <c r="D13" s="29" t="n">
        <v>37142</v>
      </c>
      <c r="E13" s="26" t="n">
        <f aca="true">IFERROR(DATEDIF($D13,TODAY(),"Y"),"")</f>
        <v>24</v>
      </c>
      <c r="F13" s="28" t="s">
        <v>166</v>
      </c>
      <c r="G13" s="28" t="s">
        <v>167</v>
      </c>
      <c r="H13" s="27" t="s">
        <v>168</v>
      </c>
      <c r="I13" s="28" t="s">
        <v>168</v>
      </c>
      <c r="J13" s="28" t="n">
        <v>15</v>
      </c>
      <c r="K13" s="28" t="s">
        <v>169</v>
      </c>
      <c r="L13" s="28" t="s">
        <v>228</v>
      </c>
      <c r="M13" s="28" t="s">
        <v>171</v>
      </c>
      <c r="N13" s="28" t="s">
        <v>172</v>
      </c>
      <c r="O13" s="30" t="n">
        <f aca="false">IF(OR($B13="",$BN13=0),"",IFERROR(AVERAGEIFS(Antropometria!$F$8:$F$407,Antropometria!$B$8:$B$407,$B13,Antropometria!$A$8:$A$407,$BN13),""))</f>
        <v>203</v>
      </c>
      <c r="P13" s="30" t="n">
        <f aca="false">IF(OR($B13="",$BN13=0),"",IFERROR(AVERAGEIFS(Antropometria!$E$8:$E$407,Antropometria!$B$8:$B$407,$B13,Antropometria!$A$8:$A$407,$BN13),""))</f>
        <v>94.9</v>
      </c>
      <c r="Q13" s="30" t="n">
        <f aca="false">IFERROR(ROUND($P13/($O13/100)^2,1),"")</f>
        <v>23</v>
      </c>
      <c r="R13" s="28" t="s">
        <v>238</v>
      </c>
      <c r="S13" s="27" t="s">
        <v>239</v>
      </c>
      <c r="T13" s="27" t="s">
        <v>168</v>
      </c>
      <c r="U13" s="27" t="s">
        <v>168</v>
      </c>
      <c r="V13" s="28" t="s">
        <v>168</v>
      </c>
      <c r="W13" s="28" t="s">
        <v>175</v>
      </c>
      <c r="X13" s="28" t="s">
        <v>240</v>
      </c>
      <c r="Y13" s="28" t="s">
        <v>168</v>
      </c>
      <c r="Z13" s="28" t="s">
        <v>177</v>
      </c>
      <c r="AA13" s="28" t="s">
        <v>178</v>
      </c>
      <c r="AB13" s="28" t="s">
        <v>179</v>
      </c>
      <c r="AC13" s="27" t="s">
        <v>168</v>
      </c>
      <c r="AD13" s="28" t="s">
        <v>180</v>
      </c>
      <c r="AE13" s="28" t="n">
        <v>0</v>
      </c>
      <c r="AF13" s="27" t="s">
        <v>181</v>
      </c>
      <c r="AG13" s="28" t="n">
        <v>5</v>
      </c>
      <c r="AH13" s="28" t="s">
        <v>221</v>
      </c>
      <c r="AI13" s="28" t="s">
        <v>241</v>
      </c>
      <c r="AJ13" s="28" t="s">
        <v>242</v>
      </c>
      <c r="AK13" s="28" t="s">
        <v>243</v>
      </c>
      <c r="AL13" s="28" t="n">
        <v>10</v>
      </c>
      <c r="AM13" s="28" t="s">
        <v>186</v>
      </c>
      <c r="AN13" s="28" t="s">
        <v>186</v>
      </c>
      <c r="AO13" s="28" t="s">
        <v>186</v>
      </c>
      <c r="AP13" s="28" t="s">
        <v>186</v>
      </c>
      <c r="AQ13" s="28" t="n">
        <v>5</v>
      </c>
      <c r="AR13" s="28" t="s">
        <v>186</v>
      </c>
      <c r="AS13" s="28" t="n">
        <v>14</v>
      </c>
      <c r="AT13" s="26" t="n">
        <f aca="false">IFERROR($E13-$AS13,"")</f>
        <v>10</v>
      </c>
      <c r="AU13" s="28" t="n">
        <v>2</v>
      </c>
      <c r="AV13" s="27" t="s">
        <v>203</v>
      </c>
      <c r="AW13" s="27" t="s">
        <v>168</v>
      </c>
      <c r="AX13" s="27" t="s">
        <v>168</v>
      </c>
      <c r="AY13" s="28" t="s">
        <v>189</v>
      </c>
      <c r="AZ13" s="27" t="s">
        <v>168</v>
      </c>
      <c r="BA13" s="27" t="s">
        <v>168</v>
      </c>
      <c r="BB13" s="27" t="s">
        <v>168</v>
      </c>
      <c r="BC13" s="27" t="s">
        <v>168</v>
      </c>
      <c r="BD13" s="28" t="n">
        <v>0</v>
      </c>
      <c r="BE13" s="27" t="s">
        <v>168</v>
      </c>
      <c r="BF13" s="29" t="n">
        <v>46034</v>
      </c>
      <c r="BG13" s="29" t="n">
        <v>46399</v>
      </c>
      <c r="BH13" s="26" t="str">
        <f aca="true">IF($BG13="","",IF($BG13&lt;TODAY(),"VENCIDO",IF($BG13&lt;=TODAY()+30,"Vence em 30 dias","Válido")))</f>
        <v>Válido</v>
      </c>
      <c r="BI13" s="28" t="s">
        <v>186</v>
      </c>
      <c r="BJ13" s="28" t="s">
        <v>180</v>
      </c>
      <c r="BK13" s="29" t="n">
        <v>46027</v>
      </c>
      <c r="BL13" s="28" t="s">
        <v>190</v>
      </c>
      <c r="BM13" s="27" t="s">
        <v>191</v>
      </c>
      <c r="BN13" s="31" t="n">
        <f aca="false">IF($B13="",0,IFERROR(SUMPRODUCT(MAX((Antropometria!$B$8:$B$407=$B13)*Antropometria!$A$8:$A$407)),0))</f>
        <v>46225</v>
      </c>
    </row>
    <row r="14" customFormat="false" ht="15" hidden="false" customHeight="false" outlineLevel="0" collapsed="false">
      <c r="A14" s="26" t="str">
        <f aca="false">IF($B14="","","ATL-"&amp;TEXT(ROW()-7,"000"))</f>
        <v>ATL-007</v>
      </c>
      <c r="B14" s="27" t="s">
        <v>244</v>
      </c>
      <c r="C14" s="28" t="s">
        <v>245</v>
      </c>
      <c r="D14" s="29" t="n">
        <v>37663</v>
      </c>
      <c r="E14" s="26" t="n">
        <f aca="true">IFERROR(DATEDIF($D14,TODAY(),"Y"),"")</f>
        <v>23</v>
      </c>
      <c r="F14" s="28" t="s">
        <v>166</v>
      </c>
      <c r="G14" s="28" t="s">
        <v>167</v>
      </c>
      <c r="H14" s="27" t="s">
        <v>168</v>
      </c>
      <c r="I14" s="28" t="s">
        <v>168</v>
      </c>
      <c r="J14" s="28" t="n">
        <v>2</v>
      </c>
      <c r="K14" s="28" t="s">
        <v>169</v>
      </c>
      <c r="L14" s="28" t="s">
        <v>246</v>
      </c>
      <c r="M14" s="28" t="s">
        <v>171</v>
      </c>
      <c r="N14" s="28" t="s">
        <v>229</v>
      </c>
      <c r="O14" s="30" t="n">
        <f aca="false">IF(OR($B14="",$BN14=0),"",IFERROR(AVERAGEIFS(Antropometria!$F$8:$F$407,Antropometria!$B$8:$B$407,$B14,Antropometria!$A$8:$A$407,$BN14),""))</f>
        <v>184</v>
      </c>
      <c r="P14" s="30" t="n">
        <f aca="false">IF(OR($B14="",$BN14=0),"",IFERROR(AVERAGEIFS(Antropometria!$E$8:$E$407,Antropometria!$B$8:$B$407,$B14,Antropometria!$A$8:$A$407,$BN14),""))</f>
        <v>79</v>
      </c>
      <c r="Q14" s="30" t="n">
        <f aca="false">IFERROR(ROUND($P14/($O14/100)^2,1),"")</f>
        <v>23.3</v>
      </c>
      <c r="R14" s="28" t="s">
        <v>247</v>
      </c>
      <c r="S14" s="27" t="s">
        <v>248</v>
      </c>
      <c r="T14" s="27" t="s">
        <v>168</v>
      </c>
      <c r="U14" s="27" t="s">
        <v>168</v>
      </c>
      <c r="V14" s="28" t="s">
        <v>168</v>
      </c>
      <c r="W14" s="28" t="s">
        <v>175</v>
      </c>
      <c r="X14" s="28" t="s">
        <v>249</v>
      </c>
      <c r="Y14" s="28" t="s">
        <v>168</v>
      </c>
      <c r="Z14" s="28" t="s">
        <v>177</v>
      </c>
      <c r="AA14" s="28" t="s">
        <v>178</v>
      </c>
      <c r="AB14" s="28" t="s">
        <v>212</v>
      </c>
      <c r="AC14" s="27" t="s">
        <v>168</v>
      </c>
      <c r="AD14" s="28" t="s">
        <v>180</v>
      </c>
      <c r="AE14" s="28" t="n">
        <v>0</v>
      </c>
      <c r="AF14" s="27" t="s">
        <v>181</v>
      </c>
      <c r="AG14" s="28" t="n">
        <v>4</v>
      </c>
      <c r="AH14" s="28" t="s">
        <v>250</v>
      </c>
      <c r="AI14" s="28" t="s">
        <v>201</v>
      </c>
      <c r="AJ14" s="28" t="s">
        <v>242</v>
      </c>
      <c r="AK14" s="28" t="s">
        <v>214</v>
      </c>
      <c r="AL14" s="28" t="n">
        <v>30</v>
      </c>
      <c r="AM14" s="28" t="s">
        <v>186</v>
      </c>
      <c r="AN14" s="28" t="s">
        <v>186</v>
      </c>
      <c r="AO14" s="28" t="s">
        <v>180</v>
      </c>
      <c r="AP14" s="28" t="s">
        <v>186</v>
      </c>
      <c r="AQ14" s="28" t="n">
        <v>5</v>
      </c>
      <c r="AR14" s="28" t="s">
        <v>186</v>
      </c>
      <c r="AS14" s="28" t="n">
        <v>12</v>
      </c>
      <c r="AT14" s="26" t="n">
        <f aca="false">IFERROR($E14-$AS14,"")</f>
        <v>11</v>
      </c>
      <c r="AU14" s="28" t="n">
        <v>2</v>
      </c>
      <c r="AV14" s="27" t="s">
        <v>187</v>
      </c>
      <c r="AW14" s="27" t="s">
        <v>168</v>
      </c>
      <c r="AX14" s="27" t="s">
        <v>251</v>
      </c>
      <c r="AY14" s="28" t="s">
        <v>189</v>
      </c>
      <c r="AZ14" s="27" t="s">
        <v>168</v>
      </c>
      <c r="BA14" s="27" t="s">
        <v>168</v>
      </c>
      <c r="BB14" s="27" t="s">
        <v>168</v>
      </c>
      <c r="BC14" s="27" t="s">
        <v>252</v>
      </c>
      <c r="BD14" s="28" t="n">
        <v>1</v>
      </c>
      <c r="BE14" s="27" t="s">
        <v>168</v>
      </c>
      <c r="BF14" s="29" t="n">
        <v>46034</v>
      </c>
      <c r="BG14" s="29" t="n">
        <v>46399</v>
      </c>
      <c r="BH14" s="26" t="str">
        <f aca="true">IF($BG14="","",IF($BG14&lt;TODAY(),"VENCIDO",IF($BG14&lt;=TODAY()+30,"Vence em 30 dias","Válido")))</f>
        <v>Válido</v>
      </c>
      <c r="BI14" s="28" t="s">
        <v>186</v>
      </c>
      <c r="BJ14" s="28" t="s">
        <v>180</v>
      </c>
      <c r="BK14" s="29" t="n">
        <v>46027</v>
      </c>
      <c r="BL14" s="28" t="s">
        <v>190</v>
      </c>
      <c r="BM14" s="27" t="s">
        <v>191</v>
      </c>
      <c r="BN14" s="31" t="n">
        <f aca="false">IF($B14="",0,IFERROR(SUMPRODUCT(MAX((Antropometria!$B$8:$B$407=$B14)*Antropometria!$A$8:$A$407)),0))</f>
        <v>46225</v>
      </c>
    </row>
    <row r="15" customFormat="false" ht="15" hidden="false" customHeight="false" outlineLevel="0" collapsed="false">
      <c r="A15" s="26" t="str">
        <f aca="false">IF($B15="","","ATL-"&amp;TEXT(ROW()-7,"000"))</f>
        <v>ATL-008</v>
      </c>
      <c r="B15" s="27" t="s">
        <v>253</v>
      </c>
      <c r="C15" s="28" t="s">
        <v>254</v>
      </c>
      <c r="D15" s="29" t="n">
        <v>35634</v>
      </c>
      <c r="E15" s="26" t="n">
        <f aca="true">IFERROR(DATEDIF($D15,TODAY(),"Y"),"")</f>
        <v>29</v>
      </c>
      <c r="F15" s="28" t="s">
        <v>166</v>
      </c>
      <c r="G15" s="28" t="s">
        <v>167</v>
      </c>
      <c r="H15" s="27" t="s">
        <v>168</v>
      </c>
      <c r="I15" s="28" t="s">
        <v>168</v>
      </c>
      <c r="J15" s="28" t="n">
        <v>11</v>
      </c>
      <c r="K15" s="28" t="s">
        <v>169</v>
      </c>
      <c r="L15" s="28" t="s">
        <v>208</v>
      </c>
      <c r="M15" s="28" t="s">
        <v>171</v>
      </c>
      <c r="N15" s="28" t="s">
        <v>172</v>
      </c>
      <c r="O15" s="30" t="n">
        <f aca="false">IF(OR($B15="",$BN15=0),"",IFERROR(AVERAGEIFS(Antropometria!$F$8:$F$407,Antropometria!$B$8:$B$407,$B15,Antropometria!$A$8:$A$407,$BN15),""))</f>
        <v>199</v>
      </c>
      <c r="P15" s="30" t="n">
        <f aca="false">IF(OR($B15="",$BN15=0),"",IFERROR(AVERAGEIFS(Antropometria!$E$8:$E$407,Antropometria!$B$8:$B$407,$B15,Antropometria!$A$8:$A$407,$BN15),""))</f>
        <v>90.4</v>
      </c>
      <c r="Q15" s="30" t="n">
        <f aca="false">IFERROR(ROUND($P15/($O15/100)^2,1),"")</f>
        <v>22.8</v>
      </c>
      <c r="R15" s="28" t="s">
        <v>255</v>
      </c>
      <c r="S15" s="27" t="s">
        <v>256</v>
      </c>
      <c r="T15" s="27" t="s">
        <v>168</v>
      </c>
      <c r="U15" s="27" t="s">
        <v>168</v>
      </c>
      <c r="V15" s="28" t="s">
        <v>168</v>
      </c>
      <c r="W15" s="28" t="s">
        <v>175</v>
      </c>
      <c r="X15" s="28" t="s">
        <v>257</v>
      </c>
      <c r="Y15" s="28" t="s">
        <v>168</v>
      </c>
      <c r="Z15" s="28" t="s">
        <v>199</v>
      </c>
      <c r="AA15" s="28" t="s">
        <v>200</v>
      </c>
      <c r="AB15" s="28" t="s">
        <v>168</v>
      </c>
      <c r="AC15" s="27" t="s">
        <v>168</v>
      </c>
      <c r="AD15" s="28" t="s">
        <v>180</v>
      </c>
      <c r="AE15" s="28" t="n">
        <v>0</v>
      </c>
      <c r="AF15" s="27" t="s">
        <v>181</v>
      </c>
      <c r="AG15" s="28" t="n">
        <v>2</v>
      </c>
      <c r="AH15" s="28" t="s">
        <v>182</v>
      </c>
      <c r="AI15" s="28" t="s">
        <v>183</v>
      </c>
      <c r="AJ15" s="28" t="s">
        <v>202</v>
      </c>
      <c r="AK15" s="28" t="s">
        <v>185</v>
      </c>
      <c r="AL15" s="28" t="n">
        <v>22</v>
      </c>
      <c r="AM15" s="28" t="s">
        <v>186</v>
      </c>
      <c r="AN15" s="28" t="s">
        <v>180</v>
      </c>
      <c r="AO15" s="28" t="s">
        <v>186</v>
      </c>
      <c r="AP15" s="28" t="s">
        <v>186</v>
      </c>
      <c r="AQ15" s="28" t="n">
        <v>6</v>
      </c>
      <c r="AR15" s="28" t="s">
        <v>186</v>
      </c>
      <c r="AS15" s="28" t="n">
        <v>11</v>
      </c>
      <c r="AT15" s="26" t="n">
        <f aca="false">IFERROR($E15-$AS15,"")</f>
        <v>18</v>
      </c>
      <c r="AU15" s="28" t="n">
        <v>7</v>
      </c>
      <c r="AV15" s="27" t="s">
        <v>203</v>
      </c>
      <c r="AW15" s="27" t="s">
        <v>168</v>
      </c>
      <c r="AX15" s="27" t="s">
        <v>168</v>
      </c>
      <c r="AY15" s="28" t="s">
        <v>189</v>
      </c>
      <c r="AZ15" s="27" t="s">
        <v>168</v>
      </c>
      <c r="BA15" s="27" t="s">
        <v>168</v>
      </c>
      <c r="BB15" s="27" t="s">
        <v>168</v>
      </c>
      <c r="BC15" s="27" t="s">
        <v>258</v>
      </c>
      <c r="BD15" s="28" t="n">
        <v>1</v>
      </c>
      <c r="BE15" s="27" t="s">
        <v>168</v>
      </c>
      <c r="BF15" s="29" t="n">
        <v>46034</v>
      </c>
      <c r="BG15" s="29" t="n">
        <v>46399</v>
      </c>
      <c r="BH15" s="26" t="str">
        <f aca="true">IF($BG15="","",IF($BG15&lt;TODAY(),"VENCIDO",IF($BG15&lt;=TODAY()+30,"Vence em 30 dias","Válido")))</f>
        <v>Válido</v>
      </c>
      <c r="BI15" s="28" t="s">
        <v>186</v>
      </c>
      <c r="BJ15" s="28" t="s">
        <v>180</v>
      </c>
      <c r="BK15" s="29" t="n">
        <v>46027</v>
      </c>
      <c r="BL15" s="28" t="s">
        <v>190</v>
      </c>
      <c r="BM15" s="27" t="s">
        <v>191</v>
      </c>
      <c r="BN15" s="31" t="n">
        <f aca="false">IF($B15="",0,IFERROR(SUMPRODUCT(MAX((Antropometria!$B$8:$B$407=$B15)*Antropometria!$A$8:$A$407)),0))</f>
        <v>46225</v>
      </c>
    </row>
    <row r="16" customFormat="false" ht="15" hidden="false" customHeight="false" outlineLevel="0" collapsed="false">
      <c r="A16" s="26" t="str">
        <f aca="false">IF($B16="","","ATL-"&amp;TEXT(ROW()-7,"000"))</f>
        <v>ATL-009</v>
      </c>
      <c r="B16" s="27" t="s">
        <v>259</v>
      </c>
      <c r="C16" s="28" t="s">
        <v>260</v>
      </c>
      <c r="D16" s="29" t="n">
        <v>37593</v>
      </c>
      <c r="E16" s="26" t="n">
        <f aca="true">IFERROR(DATEDIF($D16,TODAY(),"Y"),"")</f>
        <v>23</v>
      </c>
      <c r="F16" s="28" t="s">
        <v>166</v>
      </c>
      <c r="G16" s="28" t="s">
        <v>167</v>
      </c>
      <c r="H16" s="27" t="s">
        <v>168</v>
      </c>
      <c r="I16" s="28" t="s">
        <v>168</v>
      </c>
      <c r="J16" s="28" t="n">
        <v>6</v>
      </c>
      <c r="K16" s="28" t="s">
        <v>169</v>
      </c>
      <c r="L16" s="28" t="s">
        <v>170</v>
      </c>
      <c r="M16" s="28" t="s">
        <v>171</v>
      </c>
      <c r="N16" s="28" t="s">
        <v>172</v>
      </c>
      <c r="O16" s="30" t="n">
        <f aca="false">IF(OR($B16="",$BN16=0),"",IFERROR(AVERAGEIFS(Antropometria!$F$8:$F$407,Antropometria!$B$8:$B$407,$B16,Antropometria!$A$8:$A$407,$BN16),""))</f>
        <v>192</v>
      </c>
      <c r="P16" s="30" t="n">
        <f aca="false">IF(OR($B16="",$BN16=0),"",IFERROR(AVERAGEIFS(Antropometria!$E$8:$E$407,Antropometria!$B$8:$B$407,$B16,Antropometria!$A$8:$A$407,$BN16),""))</f>
        <v>82.5</v>
      </c>
      <c r="Q16" s="30" t="n">
        <f aca="false">IFERROR(ROUND($P16/($O16/100)^2,1),"")</f>
        <v>22.4</v>
      </c>
      <c r="R16" s="28" t="s">
        <v>261</v>
      </c>
      <c r="S16" s="27" t="s">
        <v>262</v>
      </c>
      <c r="T16" s="27" t="s">
        <v>168</v>
      </c>
      <c r="U16" s="27" t="s">
        <v>168</v>
      </c>
      <c r="V16" s="28" t="s">
        <v>168</v>
      </c>
      <c r="W16" s="28" t="s">
        <v>175</v>
      </c>
      <c r="X16" s="28" t="s">
        <v>263</v>
      </c>
      <c r="Y16" s="28" t="s">
        <v>168</v>
      </c>
      <c r="Z16" s="28" t="s">
        <v>177</v>
      </c>
      <c r="AA16" s="28" t="s">
        <v>178</v>
      </c>
      <c r="AB16" s="28" t="s">
        <v>179</v>
      </c>
      <c r="AC16" s="27" t="s">
        <v>168</v>
      </c>
      <c r="AD16" s="28" t="s">
        <v>180</v>
      </c>
      <c r="AE16" s="28" t="n">
        <v>0</v>
      </c>
      <c r="AF16" s="27" t="s">
        <v>181</v>
      </c>
      <c r="AG16" s="28" t="n">
        <v>5</v>
      </c>
      <c r="AH16" s="28" t="s">
        <v>250</v>
      </c>
      <c r="AI16" s="28" t="s">
        <v>241</v>
      </c>
      <c r="AJ16" s="28" t="s">
        <v>242</v>
      </c>
      <c r="AK16" s="28" t="s">
        <v>243</v>
      </c>
      <c r="AL16" s="28" t="n">
        <v>8</v>
      </c>
      <c r="AM16" s="28" t="s">
        <v>186</v>
      </c>
      <c r="AN16" s="28" t="s">
        <v>186</v>
      </c>
      <c r="AO16" s="28" t="s">
        <v>180</v>
      </c>
      <c r="AP16" s="28" t="s">
        <v>186</v>
      </c>
      <c r="AQ16" s="28" t="n">
        <v>5</v>
      </c>
      <c r="AR16" s="28" t="s">
        <v>186</v>
      </c>
      <c r="AS16" s="28" t="n">
        <v>13</v>
      </c>
      <c r="AT16" s="26" t="n">
        <f aca="false">IFERROR($E16-$AS16,"")</f>
        <v>10</v>
      </c>
      <c r="AU16" s="28" t="n">
        <v>2</v>
      </c>
      <c r="AV16" s="27" t="s">
        <v>203</v>
      </c>
      <c r="AW16" s="27" t="s">
        <v>168</v>
      </c>
      <c r="AX16" s="27" t="s">
        <v>168</v>
      </c>
      <c r="AY16" s="28" t="s">
        <v>189</v>
      </c>
      <c r="AZ16" s="27" t="s">
        <v>168</v>
      </c>
      <c r="BA16" s="27" t="s">
        <v>168</v>
      </c>
      <c r="BB16" s="27" t="s">
        <v>168</v>
      </c>
      <c r="BC16" s="27" t="s">
        <v>168</v>
      </c>
      <c r="BD16" s="28" t="n">
        <v>0</v>
      </c>
      <c r="BE16" s="27" t="s">
        <v>168</v>
      </c>
      <c r="BF16" s="29" t="n">
        <v>46034</v>
      </c>
      <c r="BG16" s="29" t="n">
        <v>46399</v>
      </c>
      <c r="BH16" s="26" t="str">
        <f aca="true">IF($BG16="","",IF($BG16&lt;TODAY(),"VENCIDO",IF($BG16&lt;=TODAY()+30,"Vence em 30 dias","Válido")))</f>
        <v>Válido</v>
      </c>
      <c r="BI16" s="28" t="s">
        <v>186</v>
      </c>
      <c r="BJ16" s="28" t="s">
        <v>186</v>
      </c>
      <c r="BK16" s="29" t="n">
        <v>46027</v>
      </c>
      <c r="BL16" s="28" t="s">
        <v>190</v>
      </c>
      <c r="BM16" s="27" t="s">
        <v>191</v>
      </c>
      <c r="BN16" s="31" t="n">
        <f aca="false">IF($B16="",0,IFERROR(SUMPRODUCT(MAX((Antropometria!$B$8:$B$407=$B16)*Antropometria!$A$8:$A$407)),0))</f>
        <v>46225</v>
      </c>
    </row>
    <row r="17" customFormat="false" ht="15" hidden="false" customHeight="false" outlineLevel="0" collapsed="false">
      <c r="A17" s="26" t="str">
        <f aca="false">IF($B17="","","ATL-"&amp;TEXT(ROW()-7,"000"))</f>
        <v>ATL-010</v>
      </c>
      <c r="B17" s="27" t="s">
        <v>264</v>
      </c>
      <c r="C17" s="28" t="s">
        <v>265</v>
      </c>
      <c r="D17" s="29" t="n">
        <v>34454</v>
      </c>
      <c r="E17" s="26" t="n">
        <f aca="true">IFERROR(DATEDIF($D17,TODAY(),"Y"),"")</f>
        <v>32</v>
      </c>
      <c r="F17" s="28" t="s">
        <v>166</v>
      </c>
      <c r="G17" s="28" t="s">
        <v>167</v>
      </c>
      <c r="H17" s="27" t="s">
        <v>168</v>
      </c>
      <c r="I17" s="28" t="s">
        <v>168</v>
      </c>
      <c r="J17" s="28" t="n">
        <v>18</v>
      </c>
      <c r="K17" s="28" t="s">
        <v>169</v>
      </c>
      <c r="L17" s="28" t="s">
        <v>194</v>
      </c>
      <c r="M17" s="28" t="s">
        <v>171</v>
      </c>
      <c r="N17" s="28" t="s">
        <v>172</v>
      </c>
      <c r="O17" s="30" t="n">
        <f aca="false">IF(OR($B17="",$BN17=0),"",IFERROR(AVERAGEIFS(Antropometria!$F$8:$F$407,Antropometria!$B$8:$B$407,$B17,Antropometria!$A$8:$A$407,$BN17),""))</f>
        <v>201</v>
      </c>
      <c r="P17" s="30" t="n">
        <f aca="false">IF(OR($B17="",$BN17=0),"",IFERROR(AVERAGEIFS(Antropometria!$E$8:$E$407,Antropometria!$B$8:$B$407,$B17,Antropometria!$A$8:$A$407,$BN17),""))</f>
        <v>97.5</v>
      </c>
      <c r="Q17" s="30" t="n">
        <f aca="false">IFERROR(ROUND($P17/($O17/100)^2,1),"")</f>
        <v>24.1</v>
      </c>
      <c r="R17" s="28" t="s">
        <v>266</v>
      </c>
      <c r="S17" s="27" t="s">
        <v>267</v>
      </c>
      <c r="T17" s="27" t="s">
        <v>168</v>
      </c>
      <c r="U17" s="27" t="s">
        <v>168</v>
      </c>
      <c r="V17" s="28" t="s">
        <v>168</v>
      </c>
      <c r="W17" s="28" t="s">
        <v>175</v>
      </c>
      <c r="X17" s="28" t="s">
        <v>268</v>
      </c>
      <c r="Y17" s="28" t="s">
        <v>168</v>
      </c>
      <c r="Z17" s="28" t="s">
        <v>199</v>
      </c>
      <c r="AA17" s="28" t="s">
        <v>200</v>
      </c>
      <c r="AB17" s="28" t="s">
        <v>168</v>
      </c>
      <c r="AC17" s="27" t="s">
        <v>168</v>
      </c>
      <c r="AD17" s="28" t="s">
        <v>180</v>
      </c>
      <c r="AE17" s="28" t="n">
        <v>0</v>
      </c>
      <c r="AF17" s="27" t="s">
        <v>181</v>
      </c>
      <c r="AG17" s="28" t="n">
        <v>4</v>
      </c>
      <c r="AH17" s="28" t="s">
        <v>233</v>
      </c>
      <c r="AI17" s="28" t="s">
        <v>183</v>
      </c>
      <c r="AJ17" s="28" t="s">
        <v>184</v>
      </c>
      <c r="AK17" s="28" t="s">
        <v>185</v>
      </c>
      <c r="AL17" s="28" t="n">
        <v>15</v>
      </c>
      <c r="AM17" s="28" t="s">
        <v>186</v>
      </c>
      <c r="AN17" s="28" t="s">
        <v>180</v>
      </c>
      <c r="AO17" s="28" t="s">
        <v>186</v>
      </c>
      <c r="AP17" s="28" t="s">
        <v>186</v>
      </c>
      <c r="AQ17" s="28" t="n">
        <v>6</v>
      </c>
      <c r="AR17" s="28" t="s">
        <v>186</v>
      </c>
      <c r="AS17" s="28" t="n">
        <v>10</v>
      </c>
      <c r="AT17" s="26" t="n">
        <f aca="false">IFERROR($E17-$AS17,"")</f>
        <v>22</v>
      </c>
      <c r="AU17" s="28" t="n">
        <v>9</v>
      </c>
      <c r="AV17" s="27" t="s">
        <v>187</v>
      </c>
      <c r="AW17" s="27" t="s">
        <v>168</v>
      </c>
      <c r="AX17" s="27" t="s">
        <v>234</v>
      </c>
      <c r="AY17" s="28" t="s">
        <v>189</v>
      </c>
      <c r="AZ17" s="27" t="s">
        <v>168</v>
      </c>
      <c r="BA17" s="27" t="s">
        <v>168</v>
      </c>
      <c r="BB17" s="27" t="s">
        <v>269</v>
      </c>
      <c r="BC17" s="27" t="s">
        <v>269</v>
      </c>
      <c r="BD17" s="28" t="n">
        <v>0</v>
      </c>
      <c r="BE17" s="27" t="s">
        <v>168</v>
      </c>
      <c r="BF17" s="29" t="n">
        <v>46034</v>
      </c>
      <c r="BG17" s="29" t="n">
        <v>46399</v>
      </c>
      <c r="BH17" s="26" t="str">
        <f aca="true">IF($BG17="","",IF($BG17&lt;TODAY(),"VENCIDO",IF($BG17&lt;=TODAY()+30,"Vence em 30 dias","Válido")))</f>
        <v>Válido</v>
      </c>
      <c r="BI17" s="28" t="s">
        <v>186</v>
      </c>
      <c r="BJ17" s="28" t="s">
        <v>180</v>
      </c>
      <c r="BK17" s="29" t="n">
        <v>46027</v>
      </c>
      <c r="BL17" s="28" t="s">
        <v>190</v>
      </c>
      <c r="BM17" s="27" t="s">
        <v>191</v>
      </c>
      <c r="BN17" s="31" t="n">
        <f aca="false">IF($B17="",0,IFERROR(SUMPRODUCT(MAX((Antropometria!$B$8:$B$407=$B17)*Antropometria!$A$8:$A$407)),0))</f>
        <v>46225</v>
      </c>
    </row>
    <row r="18" customFormat="false" ht="15" hidden="false" customHeight="false" outlineLevel="0" collapsed="false">
      <c r="A18" s="26" t="str">
        <f aca="false">IF($B18="","","ATL-"&amp;TEXT(ROW()-7,"000"))</f>
        <v>ATL-011</v>
      </c>
      <c r="B18" s="27" t="s">
        <v>270</v>
      </c>
      <c r="C18" s="28" t="s">
        <v>271</v>
      </c>
      <c r="D18" s="29" t="n">
        <v>38155</v>
      </c>
      <c r="E18" s="26" t="n">
        <f aca="true">IFERROR(DATEDIF($D18,TODAY(),"Y"),"")</f>
        <v>22</v>
      </c>
      <c r="F18" s="28" t="s">
        <v>166</v>
      </c>
      <c r="G18" s="28" t="s">
        <v>167</v>
      </c>
      <c r="H18" s="27" t="s">
        <v>168</v>
      </c>
      <c r="I18" s="28" t="s">
        <v>168</v>
      </c>
      <c r="J18" s="28" t="n">
        <v>3</v>
      </c>
      <c r="K18" s="28" t="s">
        <v>169</v>
      </c>
      <c r="L18" s="28" t="s">
        <v>228</v>
      </c>
      <c r="M18" s="28" t="s">
        <v>171</v>
      </c>
      <c r="N18" s="28" t="s">
        <v>229</v>
      </c>
      <c r="O18" s="30" t="n">
        <f aca="false">IF(OR($B18="",$BN18=0),"",IFERROR(AVERAGEIFS(Antropometria!$F$8:$F$407,Antropometria!$B$8:$B$407,$B18,Antropometria!$A$8:$A$407,$BN18),""))</f>
        <v>204</v>
      </c>
      <c r="P18" s="30" t="n">
        <f aca="false">IF(OR($B18="",$BN18=0),"",IFERROR(AVERAGEIFS(Antropometria!$E$8:$E$407,Antropometria!$B$8:$B$407,$B18,Antropometria!$A$8:$A$407,$BN18),""))</f>
        <v>91.8</v>
      </c>
      <c r="Q18" s="30" t="n">
        <f aca="false">IFERROR(ROUND($P18/($O18/100)^2,1),"")</f>
        <v>22.1</v>
      </c>
      <c r="R18" s="28" t="s">
        <v>272</v>
      </c>
      <c r="S18" s="27" t="s">
        <v>273</v>
      </c>
      <c r="T18" s="27" t="s">
        <v>168</v>
      </c>
      <c r="U18" s="27" t="s">
        <v>168</v>
      </c>
      <c r="V18" s="28" t="s">
        <v>168</v>
      </c>
      <c r="W18" s="28" t="s">
        <v>175</v>
      </c>
      <c r="X18" s="28" t="s">
        <v>274</v>
      </c>
      <c r="Y18" s="28" t="s">
        <v>168</v>
      </c>
      <c r="Z18" s="28" t="s">
        <v>275</v>
      </c>
      <c r="AA18" s="28" t="s">
        <v>200</v>
      </c>
      <c r="AB18" s="28" t="s">
        <v>168</v>
      </c>
      <c r="AC18" s="27" t="s">
        <v>168</v>
      </c>
      <c r="AD18" s="28" t="s">
        <v>180</v>
      </c>
      <c r="AE18" s="28" t="n">
        <v>0</v>
      </c>
      <c r="AF18" s="27" t="s">
        <v>276</v>
      </c>
      <c r="AG18" s="28" t="n">
        <v>6</v>
      </c>
      <c r="AH18" s="28" t="s">
        <v>277</v>
      </c>
      <c r="AI18" s="28" t="s">
        <v>241</v>
      </c>
      <c r="AJ18" s="28" t="s">
        <v>242</v>
      </c>
      <c r="AK18" s="28" t="s">
        <v>243</v>
      </c>
      <c r="AL18" s="28" t="n">
        <v>5</v>
      </c>
      <c r="AM18" s="28" t="s">
        <v>186</v>
      </c>
      <c r="AN18" s="28" t="s">
        <v>186</v>
      </c>
      <c r="AO18" s="28" t="s">
        <v>180</v>
      </c>
      <c r="AP18" s="28" t="s">
        <v>186</v>
      </c>
      <c r="AQ18" s="28" t="n">
        <v>5</v>
      </c>
      <c r="AR18" s="28" t="s">
        <v>186</v>
      </c>
      <c r="AS18" s="28" t="n">
        <v>13</v>
      </c>
      <c r="AT18" s="26" t="n">
        <f aca="false">IFERROR($E18-$AS18,"")</f>
        <v>9</v>
      </c>
      <c r="AU18" s="28" t="n">
        <v>1</v>
      </c>
      <c r="AV18" s="27" t="s">
        <v>203</v>
      </c>
      <c r="AW18" s="27" t="s">
        <v>168</v>
      </c>
      <c r="AX18" s="27" t="s">
        <v>278</v>
      </c>
      <c r="AY18" s="28" t="s">
        <v>189</v>
      </c>
      <c r="AZ18" s="27" t="s">
        <v>168</v>
      </c>
      <c r="BA18" s="27" t="s">
        <v>168</v>
      </c>
      <c r="BB18" s="27" t="s">
        <v>168</v>
      </c>
      <c r="BC18" s="27" t="s">
        <v>168</v>
      </c>
      <c r="BD18" s="28" t="n">
        <v>0</v>
      </c>
      <c r="BE18" s="27" t="s">
        <v>168</v>
      </c>
      <c r="BF18" s="29" t="n">
        <v>46034</v>
      </c>
      <c r="BG18" s="29" t="n">
        <v>46399</v>
      </c>
      <c r="BH18" s="26" t="str">
        <f aca="true">IF($BG18="","",IF($BG18&lt;TODAY(),"VENCIDO",IF($BG18&lt;=TODAY()+30,"Vence em 30 dias","Válido")))</f>
        <v>Válido</v>
      </c>
      <c r="BI18" s="28" t="s">
        <v>186</v>
      </c>
      <c r="BJ18" s="28" t="s">
        <v>180</v>
      </c>
      <c r="BK18" s="29" t="n">
        <v>46027</v>
      </c>
      <c r="BL18" s="28" t="s">
        <v>190</v>
      </c>
      <c r="BM18" s="27" t="s">
        <v>191</v>
      </c>
      <c r="BN18" s="31" t="n">
        <f aca="false">IF($B18="",0,IFERROR(SUMPRODUCT(MAX((Antropometria!$B$8:$B$407=$B18)*Antropometria!$A$8:$A$407)),0))</f>
        <v>46225</v>
      </c>
    </row>
    <row r="19" customFormat="false" ht="15" hidden="false" customHeight="false" outlineLevel="0" collapsed="false">
      <c r="A19" s="26" t="str">
        <f aca="false">IF($B19="","","ATL-"&amp;TEXT(ROW()-7,"000"))</f>
        <v>ATL-012</v>
      </c>
      <c r="B19" s="27" t="s">
        <v>279</v>
      </c>
      <c r="C19" s="28" t="s">
        <v>280</v>
      </c>
      <c r="D19" s="29" t="n">
        <v>37173</v>
      </c>
      <c r="E19" s="26" t="n">
        <f aca="true">IFERROR(DATEDIF($D19,TODAY(),"Y"),"")</f>
        <v>24</v>
      </c>
      <c r="F19" s="28" t="s">
        <v>166</v>
      </c>
      <c r="G19" s="28" t="s">
        <v>167</v>
      </c>
      <c r="H19" s="27" t="s">
        <v>168</v>
      </c>
      <c r="I19" s="28" t="s">
        <v>168</v>
      </c>
      <c r="J19" s="28" t="n">
        <v>1</v>
      </c>
      <c r="K19" s="28" t="s">
        <v>169</v>
      </c>
      <c r="L19" s="28" t="s">
        <v>246</v>
      </c>
      <c r="M19" s="28" t="s">
        <v>195</v>
      </c>
      <c r="N19" s="28" t="s">
        <v>229</v>
      </c>
      <c r="O19" s="30" t="n">
        <f aca="false">IF(OR($B19="",$BN19=0),"",IFERROR(AVERAGEIFS(Antropometria!$F$8:$F$407,Antropometria!$B$8:$B$407,$B19,Antropometria!$A$8:$A$407,$BN19),""))</f>
        <v>186</v>
      </c>
      <c r="P19" s="30" t="n">
        <f aca="false">IF(OR($B19="",$BN19=0),"",IFERROR(AVERAGEIFS(Antropometria!$E$8:$E$407,Antropometria!$B$8:$B$407,$B19,Antropometria!$A$8:$A$407,$BN19),""))</f>
        <v>78.2</v>
      </c>
      <c r="Q19" s="30" t="n">
        <f aca="false">IFERROR(ROUND($P19/($O19/100)^2,1),"")</f>
        <v>22.6</v>
      </c>
      <c r="R19" s="28" t="s">
        <v>281</v>
      </c>
      <c r="S19" s="27" t="s">
        <v>282</v>
      </c>
      <c r="T19" s="27" t="s">
        <v>168</v>
      </c>
      <c r="U19" s="27" t="s">
        <v>168</v>
      </c>
      <c r="V19" s="28" t="s">
        <v>168</v>
      </c>
      <c r="W19" s="28" t="s">
        <v>175</v>
      </c>
      <c r="X19" s="28" t="s">
        <v>283</v>
      </c>
      <c r="Y19" s="28" t="s">
        <v>168</v>
      </c>
      <c r="Z19" s="28" t="s">
        <v>177</v>
      </c>
      <c r="AA19" s="28" t="s">
        <v>178</v>
      </c>
      <c r="AB19" s="28" t="s">
        <v>212</v>
      </c>
      <c r="AC19" s="27" t="s">
        <v>168</v>
      </c>
      <c r="AD19" s="28" t="s">
        <v>186</v>
      </c>
      <c r="AE19" s="28" t="n">
        <v>12</v>
      </c>
      <c r="AF19" s="27" t="s">
        <v>284</v>
      </c>
      <c r="AG19" s="28" t="n">
        <v>3</v>
      </c>
      <c r="AH19" s="28" t="s">
        <v>221</v>
      </c>
      <c r="AI19" s="28" t="s">
        <v>201</v>
      </c>
      <c r="AJ19" s="28" t="s">
        <v>184</v>
      </c>
      <c r="AK19" s="28" t="s">
        <v>222</v>
      </c>
      <c r="AL19" s="28" t="n">
        <v>45</v>
      </c>
      <c r="AM19" s="28" t="s">
        <v>180</v>
      </c>
      <c r="AN19" s="28" t="s">
        <v>180</v>
      </c>
      <c r="AO19" s="28" t="s">
        <v>186</v>
      </c>
      <c r="AP19" s="28" t="s">
        <v>186</v>
      </c>
      <c r="AQ19" s="28" t="n">
        <v>4</v>
      </c>
      <c r="AR19" s="28" t="s">
        <v>180</v>
      </c>
      <c r="AS19" s="28" t="n">
        <v>12</v>
      </c>
      <c r="AT19" s="26" t="n">
        <f aca="false">IFERROR($E19-$AS19,"")</f>
        <v>12</v>
      </c>
      <c r="AU19" s="28" t="n">
        <v>3</v>
      </c>
      <c r="AV19" s="27" t="s">
        <v>203</v>
      </c>
      <c r="AW19" s="27" t="s">
        <v>168</v>
      </c>
      <c r="AX19" s="27" t="s">
        <v>168</v>
      </c>
      <c r="AY19" s="28" t="s">
        <v>189</v>
      </c>
      <c r="AZ19" s="27" t="s">
        <v>168</v>
      </c>
      <c r="BA19" s="27" t="s">
        <v>168</v>
      </c>
      <c r="BB19" s="27" t="s">
        <v>168</v>
      </c>
      <c r="BC19" s="27" t="s">
        <v>285</v>
      </c>
      <c r="BD19" s="28" t="n">
        <v>1</v>
      </c>
      <c r="BE19" s="27" t="s">
        <v>168</v>
      </c>
      <c r="BF19" s="29" t="n">
        <v>46034</v>
      </c>
      <c r="BG19" s="29" t="n">
        <v>46399</v>
      </c>
      <c r="BH19" s="26" t="str">
        <f aca="true">IF($BG19="","",IF($BG19&lt;TODAY(),"VENCIDO",IF($BG19&lt;=TODAY()+30,"Vence em 30 dias","Válido")))</f>
        <v>Válido</v>
      </c>
      <c r="BI19" s="28" t="s">
        <v>186</v>
      </c>
      <c r="BJ19" s="28" t="s">
        <v>180</v>
      </c>
      <c r="BK19" s="29" t="n">
        <v>46027</v>
      </c>
      <c r="BL19" s="28" t="s">
        <v>190</v>
      </c>
      <c r="BM19" s="27" t="s">
        <v>191</v>
      </c>
      <c r="BN19" s="31" t="n">
        <f aca="false">IF($B19="",0,IFERROR(SUMPRODUCT(MAX((Antropometria!$B$8:$B$407=$B19)*Antropometria!$A$8:$A$407)),0))</f>
        <v>46225</v>
      </c>
    </row>
    <row r="20" customFormat="false" ht="15" hidden="false" customHeight="false" outlineLevel="0" collapsed="false">
      <c r="A20" s="26" t="str">
        <f aca="false">IF($B20="","","ATL-"&amp;TEXT(ROW()-7,"000"))</f>
        <v/>
      </c>
      <c r="B20" s="27"/>
      <c r="C20" s="28"/>
      <c r="D20" s="29"/>
      <c r="E20" s="26" t="n">
        <f aca="true">IFERROR(DATEDIF($D20,TODAY(),"Y"),"")</f>
        <v>126</v>
      </c>
      <c r="F20" s="28"/>
      <c r="G20" s="28"/>
      <c r="H20" s="27"/>
      <c r="I20" s="28"/>
      <c r="J20" s="28"/>
      <c r="K20" s="28"/>
      <c r="L20" s="28"/>
      <c r="M20" s="28"/>
      <c r="N20" s="28"/>
      <c r="O20" s="30" t="str">
        <f aca="false">IF(OR($B20="",$BN20=0),"",IFERROR(AVERAGEIFS(Antropometria!$F$8:$F$407,Antropometria!$B$8:$B$407,$B20,Antropometria!$A$8:$A$407,$BN20),""))</f>
        <v/>
      </c>
      <c r="P20" s="30" t="str">
        <f aca="false">IF(OR($B20="",$BN20=0),"",IFERROR(AVERAGEIFS(Antropometria!$E$8:$E$407,Antropometria!$B$8:$B$407,$B20,Antropometria!$A$8:$A$407,$BN20),""))</f>
        <v/>
      </c>
      <c r="Q20" s="30" t="str">
        <f aca="false">IFERROR(ROUND($P20/($O20/100)^2,1),"")</f>
        <v/>
      </c>
      <c r="R20" s="28"/>
      <c r="S20" s="27"/>
      <c r="T20" s="27"/>
      <c r="U20" s="27"/>
      <c r="V20" s="28"/>
      <c r="W20" s="28"/>
      <c r="X20" s="28"/>
      <c r="Y20" s="28"/>
      <c r="Z20" s="28"/>
      <c r="AA20" s="28"/>
      <c r="AB20" s="28"/>
      <c r="AC20" s="27"/>
      <c r="AD20" s="28"/>
      <c r="AE20" s="28"/>
      <c r="AF20" s="27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6" t="n">
        <f aca="false">IFERROR($E20-$AS20,"")</f>
        <v>126</v>
      </c>
      <c r="AU20" s="28"/>
      <c r="AV20" s="27"/>
      <c r="AW20" s="27"/>
      <c r="AX20" s="27"/>
      <c r="AY20" s="28"/>
      <c r="AZ20" s="27"/>
      <c r="BA20" s="27"/>
      <c r="BB20" s="27"/>
      <c r="BC20" s="27"/>
      <c r="BD20" s="28"/>
      <c r="BE20" s="27"/>
      <c r="BF20" s="29"/>
      <c r="BG20" s="29"/>
      <c r="BH20" s="26" t="str">
        <f aca="true">IF($BG20="","",IF($BG20&lt;TODAY(),"VENCIDO",IF($BG20&lt;=TODAY()+30,"Vence em 30 dias","Válido")))</f>
        <v/>
      </c>
      <c r="BI20" s="28"/>
      <c r="BJ20" s="28"/>
      <c r="BK20" s="29"/>
      <c r="BL20" s="28"/>
      <c r="BM20" s="27"/>
      <c r="BN20" s="31" t="n">
        <f aca="false">IF($B20="",0,IFERROR(SUMPRODUCT(MAX((Antropometria!$B$8:$B$407=$B20)*Antropometria!$A$8:$A$407)),0))</f>
        <v>0</v>
      </c>
    </row>
    <row r="21" customFormat="false" ht="15" hidden="false" customHeight="false" outlineLevel="0" collapsed="false">
      <c r="A21" s="26" t="str">
        <f aca="false">IF($B21="","","ATL-"&amp;TEXT(ROW()-7,"000"))</f>
        <v/>
      </c>
      <c r="B21" s="27"/>
      <c r="C21" s="28"/>
      <c r="D21" s="29"/>
      <c r="E21" s="26" t="n">
        <f aca="true">IFERROR(DATEDIF($D21,TODAY(),"Y"),"")</f>
        <v>126</v>
      </c>
      <c r="F21" s="28"/>
      <c r="G21" s="28"/>
      <c r="H21" s="27"/>
      <c r="I21" s="28"/>
      <c r="J21" s="28"/>
      <c r="K21" s="28"/>
      <c r="L21" s="28"/>
      <c r="M21" s="28"/>
      <c r="N21" s="28"/>
      <c r="O21" s="30" t="str">
        <f aca="false">IF(OR($B21="",$BN21=0),"",IFERROR(AVERAGEIFS(Antropometria!$F$8:$F$407,Antropometria!$B$8:$B$407,$B21,Antropometria!$A$8:$A$407,$BN21),""))</f>
        <v/>
      </c>
      <c r="P21" s="30" t="str">
        <f aca="false">IF(OR($B21="",$BN21=0),"",IFERROR(AVERAGEIFS(Antropometria!$E$8:$E$407,Antropometria!$B$8:$B$407,$B21,Antropometria!$A$8:$A$407,$BN21),""))</f>
        <v/>
      </c>
      <c r="Q21" s="30" t="str">
        <f aca="false">IFERROR(ROUND($P21/($O21/100)^2,1),"")</f>
        <v/>
      </c>
      <c r="R21" s="28"/>
      <c r="S21" s="27"/>
      <c r="T21" s="27"/>
      <c r="U21" s="27"/>
      <c r="V21" s="28"/>
      <c r="W21" s="28"/>
      <c r="X21" s="28"/>
      <c r="Y21" s="28"/>
      <c r="Z21" s="28"/>
      <c r="AA21" s="28"/>
      <c r="AB21" s="28"/>
      <c r="AC21" s="27"/>
      <c r="AD21" s="28"/>
      <c r="AE21" s="28"/>
      <c r="AF21" s="27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6" t="n">
        <f aca="false">IFERROR($E21-$AS21,"")</f>
        <v>126</v>
      </c>
      <c r="AU21" s="28"/>
      <c r="AV21" s="27"/>
      <c r="AW21" s="27"/>
      <c r="AX21" s="27"/>
      <c r="AY21" s="28"/>
      <c r="AZ21" s="27"/>
      <c r="BA21" s="27"/>
      <c r="BB21" s="27"/>
      <c r="BC21" s="27"/>
      <c r="BD21" s="28"/>
      <c r="BE21" s="27"/>
      <c r="BF21" s="29"/>
      <c r="BG21" s="29"/>
      <c r="BH21" s="26" t="str">
        <f aca="true">IF($BG21="","",IF($BG21&lt;TODAY(),"VENCIDO",IF($BG21&lt;=TODAY()+30,"Vence em 30 dias","Válido")))</f>
        <v/>
      </c>
      <c r="BI21" s="28"/>
      <c r="BJ21" s="28"/>
      <c r="BK21" s="29"/>
      <c r="BL21" s="28"/>
      <c r="BM21" s="27"/>
      <c r="BN21" s="31" t="n">
        <f aca="false">IF($B21="",0,IFERROR(SUMPRODUCT(MAX((Antropometria!$B$8:$B$407=$B21)*Antropometria!$A$8:$A$407)),0))</f>
        <v>0</v>
      </c>
    </row>
    <row r="22" customFormat="false" ht="15" hidden="false" customHeight="false" outlineLevel="0" collapsed="false">
      <c r="A22" s="26" t="str">
        <f aca="false">IF($B22="","","ATL-"&amp;TEXT(ROW()-7,"000"))</f>
        <v/>
      </c>
      <c r="B22" s="27"/>
      <c r="C22" s="28"/>
      <c r="D22" s="29"/>
      <c r="E22" s="26" t="n">
        <f aca="true">IFERROR(DATEDIF($D22,TODAY(),"Y"),"")</f>
        <v>126</v>
      </c>
      <c r="F22" s="28"/>
      <c r="G22" s="28"/>
      <c r="H22" s="27"/>
      <c r="I22" s="28"/>
      <c r="J22" s="28"/>
      <c r="K22" s="28"/>
      <c r="L22" s="28"/>
      <c r="M22" s="28"/>
      <c r="N22" s="28"/>
      <c r="O22" s="30" t="str">
        <f aca="false">IF(OR($B22="",$BN22=0),"",IFERROR(AVERAGEIFS(Antropometria!$F$8:$F$407,Antropometria!$B$8:$B$407,$B22,Antropometria!$A$8:$A$407,$BN22),""))</f>
        <v/>
      </c>
      <c r="P22" s="30" t="str">
        <f aca="false">IF(OR($B22="",$BN22=0),"",IFERROR(AVERAGEIFS(Antropometria!$E$8:$E$407,Antropometria!$B$8:$B$407,$B22,Antropometria!$A$8:$A$407,$BN22),""))</f>
        <v/>
      </c>
      <c r="Q22" s="30" t="str">
        <f aca="false">IFERROR(ROUND($P22/($O22/100)^2,1),"")</f>
        <v/>
      </c>
      <c r="R22" s="28"/>
      <c r="S22" s="27"/>
      <c r="T22" s="27"/>
      <c r="U22" s="27"/>
      <c r="V22" s="28"/>
      <c r="W22" s="28"/>
      <c r="X22" s="28"/>
      <c r="Y22" s="28"/>
      <c r="Z22" s="28"/>
      <c r="AA22" s="28"/>
      <c r="AB22" s="28"/>
      <c r="AC22" s="27"/>
      <c r="AD22" s="28"/>
      <c r="AE22" s="28"/>
      <c r="AF22" s="27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6" t="n">
        <f aca="false">IFERROR($E22-$AS22,"")</f>
        <v>126</v>
      </c>
      <c r="AU22" s="28"/>
      <c r="AV22" s="27"/>
      <c r="AW22" s="27"/>
      <c r="AX22" s="27"/>
      <c r="AY22" s="28"/>
      <c r="AZ22" s="27"/>
      <c r="BA22" s="27"/>
      <c r="BB22" s="27"/>
      <c r="BC22" s="27"/>
      <c r="BD22" s="28"/>
      <c r="BE22" s="27"/>
      <c r="BF22" s="29"/>
      <c r="BG22" s="29"/>
      <c r="BH22" s="26" t="str">
        <f aca="true">IF($BG22="","",IF($BG22&lt;TODAY(),"VENCIDO",IF($BG22&lt;=TODAY()+30,"Vence em 30 dias","Válido")))</f>
        <v/>
      </c>
      <c r="BI22" s="28"/>
      <c r="BJ22" s="28"/>
      <c r="BK22" s="29"/>
      <c r="BL22" s="28"/>
      <c r="BM22" s="27"/>
      <c r="BN22" s="31" t="n">
        <f aca="false">IF($B22="",0,IFERROR(SUMPRODUCT(MAX((Antropometria!$B$8:$B$407=$B22)*Antropometria!$A$8:$A$407)),0))</f>
        <v>0</v>
      </c>
    </row>
    <row r="23" customFormat="false" ht="15" hidden="false" customHeight="false" outlineLevel="0" collapsed="false">
      <c r="A23" s="26" t="str">
        <f aca="false">IF($B23="","","ATL-"&amp;TEXT(ROW()-7,"000"))</f>
        <v/>
      </c>
      <c r="B23" s="27"/>
      <c r="C23" s="28"/>
      <c r="D23" s="29"/>
      <c r="E23" s="26" t="n">
        <f aca="true">IFERROR(DATEDIF($D23,TODAY(),"Y"),"")</f>
        <v>126</v>
      </c>
      <c r="F23" s="28"/>
      <c r="G23" s="28"/>
      <c r="H23" s="27"/>
      <c r="I23" s="28"/>
      <c r="J23" s="28"/>
      <c r="K23" s="28"/>
      <c r="L23" s="28"/>
      <c r="M23" s="28"/>
      <c r="N23" s="28"/>
      <c r="O23" s="30" t="str">
        <f aca="false">IF(OR($B23="",$BN23=0),"",IFERROR(AVERAGEIFS(Antropometria!$F$8:$F$407,Antropometria!$B$8:$B$407,$B23,Antropometria!$A$8:$A$407,$BN23),""))</f>
        <v/>
      </c>
      <c r="P23" s="30" t="str">
        <f aca="false">IF(OR($B23="",$BN23=0),"",IFERROR(AVERAGEIFS(Antropometria!$E$8:$E$407,Antropometria!$B$8:$B$407,$B23,Antropometria!$A$8:$A$407,$BN23),""))</f>
        <v/>
      </c>
      <c r="Q23" s="30" t="str">
        <f aca="false">IFERROR(ROUND($P23/($O23/100)^2,1),"")</f>
        <v/>
      </c>
      <c r="R23" s="28"/>
      <c r="S23" s="27"/>
      <c r="T23" s="27"/>
      <c r="U23" s="27"/>
      <c r="V23" s="28"/>
      <c r="W23" s="28"/>
      <c r="X23" s="28"/>
      <c r="Y23" s="28"/>
      <c r="Z23" s="28"/>
      <c r="AA23" s="28"/>
      <c r="AB23" s="28"/>
      <c r="AC23" s="27"/>
      <c r="AD23" s="28"/>
      <c r="AE23" s="28"/>
      <c r="AF23" s="27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6" t="n">
        <f aca="false">IFERROR($E23-$AS23,"")</f>
        <v>126</v>
      </c>
      <c r="AU23" s="28"/>
      <c r="AV23" s="27"/>
      <c r="AW23" s="27"/>
      <c r="AX23" s="27"/>
      <c r="AY23" s="28"/>
      <c r="AZ23" s="27"/>
      <c r="BA23" s="27"/>
      <c r="BB23" s="27"/>
      <c r="BC23" s="27"/>
      <c r="BD23" s="28"/>
      <c r="BE23" s="27"/>
      <c r="BF23" s="29"/>
      <c r="BG23" s="29"/>
      <c r="BH23" s="26" t="str">
        <f aca="true">IF($BG23="","",IF($BG23&lt;TODAY(),"VENCIDO",IF($BG23&lt;=TODAY()+30,"Vence em 30 dias","Válido")))</f>
        <v/>
      </c>
      <c r="BI23" s="28"/>
      <c r="BJ23" s="28"/>
      <c r="BK23" s="29"/>
      <c r="BL23" s="28"/>
      <c r="BM23" s="27"/>
      <c r="BN23" s="31" t="n">
        <f aca="false">IF($B23="",0,IFERROR(SUMPRODUCT(MAX((Antropometria!$B$8:$B$407=$B23)*Antropometria!$A$8:$A$407)),0))</f>
        <v>0</v>
      </c>
    </row>
    <row r="24" customFormat="false" ht="15" hidden="false" customHeight="false" outlineLevel="0" collapsed="false">
      <c r="A24" s="26" t="str">
        <f aca="false">IF($B24="","","ATL-"&amp;TEXT(ROW()-7,"000"))</f>
        <v/>
      </c>
      <c r="B24" s="27"/>
      <c r="C24" s="28"/>
      <c r="D24" s="29"/>
      <c r="E24" s="26" t="n">
        <f aca="true">IFERROR(DATEDIF($D24,TODAY(),"Y"),"")</f>
        <v>126</v>
      </c>
      <c r="F24" s="28"/>
      <c r="G24" s="28"/>
      <c r="H24" s="27"/>
      <c r="I24" s="28"/>
      <c r="J24" s="28"/>
      <c r="K24" s="28"/>
      <c r="L24" s="28"/>
      <c r="M24" s="28"/>
      <c r="N24" s="28"/>
      <c r="O24" s="30" t="str">
        <f aca="false">IF(OR($B24="",$BN24=0),"",IFERROR(AVERAGEIFS(Antropometria!$F$8:$F$407,Antropometria!$B$8:$B$407,$B24,Antropometria!$A$8:$A$407,$BN24),""))</f>
        <v/>
      </c>
      <c r="P24" s="30" t="str">
        <f aca="false">IF(OR($B24="",$BN24=0),"",IFERROR(AVERAGEIFS(Antropometria!$E$8:$E$407,Antropometria!$B$8:$B$407,$B24,Antropometria!$A$8:$A$407,$BN24),""))</f>
        <v/>
      </c>
      <c r="Q24" s="30" t="str">
        <f aca="false">IFERROR(ROUND($P24/($O24/100)^2,1),"")</f>
        <v/>
      </c>
      <c r="R24" s="28"/>
      <c r="S24" s="27"/>
      <c r="T24" s="27"/>
      <c r="U24" s="27"/>
      <c r="V24" s="28"/>
      <c r="W24" s="28"/>
      <c r="X24" s="28"/>
      <c r="Y24" s="28"/>
      <c r="Z24" s="28"/>
      <c r="AA24" s="28"/>
      <c r="AB24" s="28"/>
      <c r="AC24" s="27"/>
      <c r="AD24" s="28"/>
      <c r="AE24" s="28"/>
      <c r="AF24" s="27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6" t="n">
        <f aca="false">IFERROR($E24-$AS24,"")</f>
        <v>126</v>
      </c>
      <c r="AU24" s="28"/>
      <c r="AV24" s="27"/>
      <c r="AW24" s="27"/>
      <c r="AX24" s="27"/>
      <c r="AY24" s="28"/>
      <c r="AZ24" s="27"/>
      <c r="BA24" s="27"/>
      <c r="BB24" s="27"/>
      <c r="BC24" s="27"/>
      <c r="BD24" s="28"/>
      <c r="BE24" s="27"/>
      <c r="BF24" s="29"/>
      <c r="BG24" s="29"/>
      <c r="BH24" s="26" t="str">
        <f aca="true">IF($BG24="","",IF($BG24&lt;TODAY(),"VENCIDO",IF($BG24&lt;=TODAY()+30,"Vence em 30 dias","Válido")))</f>
        <v/>
      </c>
      <c r="BI24" s="28"/>
      <c r="BJ24" s="28"/>
      <c r="BK24" s="29"/>
      <c r="BL24" s="28"/>
      <c r="BM24" s="27"/>
      <c r="BN24" s="31" t="n">
        <f aca="false">IF($B24="",0,IFERROR(SUMPRODUCT(MAX((Antropometria!$B$8:$B$407=$B24)*Antropometria!$A$8:$A$407)),0))</f>
        <v>0</v>
      </c>
    </row>
    <row r="25" customFormat="false" ht="15" hidden="false" customHeight="false" outlineLevel="0" collapsed="false">
      <c r="A25" s="26" t="str">
        <f aca="false">IF($B25="","","ATL-"&amp;TEXT(ROW()-7,"000"))</f>
        <v/>
      </c>
      <c r="B25" s="27"/>
      <c r="C25" s="28"/>
      <c r="D25" s="29"/>
      <c r="E25" s="26" t="n">
        <f aca="true">IFERROR(DATEDIF($D25,TODAY(),"Y"),"")</f>
        <v>126</v>
      </c>
      <c r="F25" s="28"/>
      <c r="G25" s="28"/>
      <c r="H25" s="27"/>
      <c r="I25" s="28"/>
      <c r="J25" s="28"/>
      <c r="K25" s="28"/>
      <c r="L25" s="28"/>
      <c r="M25" s="28"/>
      <c r="N25" s="28"/>
      <c r="O25" s="30" t="str">
        <f aca="false">IF(OR($B25="",$BN25=0),"",IFERROR(AVERAGEIFS(Antropometria!$F$8:$F$407,Antropometria!$B$8:$B$407,$B25,Antropometria!$A$8:$A$407,$BN25),""))</f>
        <v/>
      </c>
      <c r="P25" s="30" t="str">
        <f aca="false">IF(OR($B25="",$BN25=0),"",IFERROR(AVERAGEIFS(Antropometria!$E$8:$E$407,Antropometria!$B$8:$B$407,$B25,Antropometria!$A$8:$A$407,$BN25),""))</f>
        <v/>
      </c>
      <c r="Q25" s="30" t="str">
        <f aca="false">IFERROR(ROUND($P25/($O25/100)^2,1),"")</f>
        <v/>
      </c>
      <c r="R25" s="28"/>
      <c r="S25" s="27"/>
      <c r="T25" s="27"/>
      <c r="U25" s="27"/>
      <c r="V25" s="28"/>
      <c r="W25" s="28"/>
      <c r="X25" s="28"/>
      <c r="Y25" s="28"/>
      <c r="Z25" s="28"/>
      <c r="AA25" s="28"/>
      <c r="AB25" s="28"/>
      <c r="AC25" s="27"/>
      <c r="AD25" s="28"/>
      <c r="AE25" s="28"/>
      <c r="AF25" s="27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6" t="n">
        <f aca="false">IFERROR($E25-$AS25,"")</f>
        <v>126</v>
      </c>
      <c r="AU25" s="28"/>
      <c r="AV25" s="27"/>
      <c r="AW25" s="27"/>
      <c r="AX25" s="27"/>
      <c r="AY25" s="28"/>
      <c r="AZ25" s="27"/>
      <c r="BA25" s="27"/>
      <c r="BB25" s="27"/>
      <c r="BC25" s="27"/>
      <c r="BD25" s="28"/>
      <c r="BE25" s="27"/>
      <c r="BF25" s="29"/>
      <c r="BG25" s="29"/>
      <c r="BH25" s="26" t="str">
        <f aca="true">IF($BG25="","",IF($BG25&lt;TODAY(),"VENCIDO",IF($BG25&lt;=TODAY()+30,"Vence em 30 dias","Válido")))</f>
        <v/>
      </c>
      <c r="BI25" s="28"/>
      <c r="BJ25" s="28"/>
      <c r="BK25" s="29"/>
      <c r="BL25" s="28"/>
      <c r="BM25" s="27"/>
      <c r="BN25" s="31" t="n">
        <f aca="false">IF($B25="",0,IFERROR(SUMPRODUCT(MAX((Antropometria!$B$8:$B$407=$B25)*Antropometria!$A$8:$A$407)),0))</f>
        <v>0</v>
      </c>
    </row>
    <row r="26" customFormat="false" ht="15" hidden="false" customHeight="false" outlineLevel="0" collapsed="false">
      <c r="A26" s="26" t="str">
        <f aca="false">IF($B26="","","ATL-"&amp;TEXT(ROW()-7,"000"))</f>
        <v/>
      </c>
      <c r="B26" s="27"/>
      <c r="C26" s="28"/>
      <c r="D26" s="29"/>
      <c r="E26" s="26" t="n">
        <f aca="true">IFERROR(DATEDIF($D26,TODAY(),"Y"),"")</f>
        <v>126</v>
      </c>
      <c r="F26" s="28"/>
      <c r="G26" s="28"/>
      <c r="H26" s="27"/>
      <c r="I26" s="28"/>
      <c r="J26" s="28"/>
      <c r="K26" s="28"/>
      <c r="L26" s="28"/>
      <c r="M26" s="28"/>
      <c r="N26" s="28"/>
      <c r="O26" s="30" t="str">
        <f aca="false">IF(OR($B26="",$BN26=0),"",IFERROR(AVERAGEIFS(Antropometria!$F$8:$F$407,Antropometria!$B$8:$B$407,$B26,Antropometria!$A$8:$A$407,$BN26),""))</f>
        <v/>
      </c>
      <c r="P26" s="30" t="str">
        <f aca="false">IF(OR($B26="",$BN26=0),"",IFERROR(AVERAGEIFS(Antropometria!$E$8:$E$407,Antropometria!$B$8:$B$407,$B26,Antropometria!$A$8:$A$407,$BN26),""))</f>
        <v/>
      </c>
      <c r="Q26" s="30" t="str">
        <f aca="false">IFERROR(ROUND($P26/($O26/100)^2,1),"")</f>
        <v/>
      </c>
      <c r="R26" s="28"/>
      <c r="S26" s="27"/>
      <c r="T26" s="27"/>
      <c r="U26" s="27"/>
      <c r="V26" s="28"/>
      <c r="W26" s="28"/>
      <c r="X26" s="28"/>
      <c r="Y26" s="28"/>
      <c r="Z26" s="28"/>
      <c r="AA26" s="28"/>
      <c r="AB26" s="28"/>
      <c r="AC26" s="27"/>
      <c r="AD26" s="28"/>
      <c r="AE26" s="28"/>
      <c r="AF26" s="27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6" t="n">
        <f aca="false">IFERROR($E26-$AS26,"")</f>
        <v>126</v>
      </c>
      <c r="AU26" s="28"/>
      <c r="AV26" s="27"/>
      <c r="AW26" s="27"/>
      <c r="AX26" s="27"/>
      <c r="AY26" s="28"/>
      <c r="AZ26" s="27"/>
      <c r="BA26" s="27"/>
      <c r="BB26" s="27"/>
      <c r="BC26" s="27"/>
      <c r="BD26" s="28"/>
      <c r="BE26" s="27"/>
      <c r="BF26" s="29"/>
      <c r="BG26" s="29"/>
      <c r="BH26" s="26" t="str">
        <f aca="true">IF($BG26="","",IF($BG26&lt;TODAY(),"VENCIDO",IF($BG26&lt;=TODAY()+30,"Vence em 30 dias","Válido")))</f>
        <v/>
      </c>
      <c r="BI26" s="28"/>
      <c r="BJ26" s="28"/>
      <c r="BK26" s="29"/>
      <c r="BL26" s="28"/>
      <c r="BM26" s="27"/>
      <c r="BN26" s="31" t="n">
        <f aca="false">IF($B26="",0,IFERROR(SUMPRODUCT(MAX((Antropometria!$B$8:$B$407=$B26)*Antropometria!$A$8:$A$407)),0))</f>
        <v>0</v>
      </c>
    </row>
    <row r="27" customFormat="false" ht="15" hidden="false" customHeight="false" outlineLevel="0" collapsed="false">
      <c r="A27" s="26" t="str">
        <f aca="false">IF($B27="","","ATL-"&amp;TEXT(ROW()-7,"000"))</f>
        <v/>
      </c>
      <c r="B27" s="27"/>
      <c r="C27" s="28"/>
      <c r="D27" s="29"/>
      <c r="E27" s="26" t="n">
        <f aca="true">IFERROR(DATEDIF($D27,TODAY(),"Y"),"")</f>
        <v>126</v>
      </c>
      <c r="F27" s="28"/>
      <c r="G27" s="28"/>
      <c r="H27" s="27"/>
      <c r="I27" s="28"/>
      <c r="J27" s="28"/>
      <c r="K27" s="28"/>
      <c r="L27" s="28"/>
      <c r="M27" s="28"/>
      <c r="N27" s="28"/>
      <c r="O27" s="30" t="str">
        <f aca="false">IF(OR($B27="",$BN27=0),"",IFERROR(AVERAGEIFS(Antropometria!$F$8:$F$407,Antropometria!$B$8:$B$407,$B27,Antropometria!$A$8:$A$407,$BN27),""))</f>
        <v/>
      </c>
      <c r="P27" s="30" t="str">
        <f aca="false">IF(OR($B27="",$BN27=0),"",IFERROR(AVERAGEIFS(Antropometria!$E$8:$E$407,Antropometria!$B$8:$B$407,$B27,Antropometria!$A$8:$A$407,$BN27),""))</f>
        <v/>
      </c>
      <c r="Q27" s="30" t="str">
        <f aca="false">IFERROR(ROUND($P27/($O27/100)^2,1),"")</f>
        <v/>
      </c>
      <c r="R27" s="28"/>
      <c r="S27" s="27"/>
      <c r="T27" s="27"/>
      <c r="U27" s="27"/>
      <c r="V27" s="28"/>
      <c r="W27" s="28"/>
      <c r="X27" s="28"/>
      <c r="Y27" s="28"/>
      <c r="Z27" s="28"/>
      <c r="AA27" s="28"/>
      <c r="AB27" s="28"/>
      <c r="AC27" s="27"/>
      <c r="AD27" s="28"/>
      <c r="AE27" s="28"/>
      <c r="AF27" s="27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6" t="n">
        <f aca="false">IFERROR($E27-$AS27,"")</f>
        <v>126</v>
      </c>
      <c r="AU27" s="28"/>
      <c r="AV27" s="27"/>
      <c r="AW27" s="27"/>
      <c r="AX27" s="27"/>
      <c r="AY27" s="28"/>
      <c r="AZ27" s="27"/>
      <c r="BA27" s="27"/>
      <c r="BB27" s="27"/>
      <c r="BC27" s="27"/>
      <c r="BD27" s="28"/>
      <c r="BE27" s="27"/>
      <c r="BF27" s="29"/>
      <c r="BG27" s="29"/>
      <c r="BH27" s="26" t="str">
        <f aca="true">IF($BG27="","",IF($BG27&lt;TODAY(),"VENCIDO",IF($BG27&lt;=TODAY()+30,"Vence em 30 dias","Válido")))</f>
        <v/>
      </c>
      <c r="BI27" s="28"/>
      <c r="BJ27" s="28"/>
      <c r="BK27" s="29"/>
      <c r="BL27" s="28"/>
      <c r="BM27" s="27"/>
      <c r="BN27" s="31" t="n">
        <f aca="false">IF($B27="",0,IFERROR(SUMPRODUCT(MAX((Antropometria!$B$8:$B$407=$B27)*Antropometria!$A$8:$A$407)),0))</f>
        <v>0</v>
      </c>
    </row>
    <row r="28" customFormat="false" ht="15" hidden="false" customHeight="false" outlineLevel="0" collapsed="false">
      <c r="A28" s="26" t="str">
        <f aca="false">IF($B28="","","ATL-"&amp;TEXT(ROW()-7,"000"))</f>
        <v/>
      </c>
      <c r="B28" s="27"/>
      <c r="C28" s="28"/>
      <c r="D28" s="29"/>
      <c r="E28" s="26" t="n">
        <f aca="true">IFERROR(DATEDIF($D28,TODAY(),"Y"),"")</f>
        <v>126</v>
      </c>
      <c r="F28" s="28"/>
      <c r="G28" s="28"/>
      <c r="H28" s="27"/>
      <c r="I28" s="28"/>
      <c r="J28" s="28"/>
      <c r="K28" s="28"/>
      <c r="L28" s="28"/>
      <c r="M28" s="28"/>
      <c r="N28" s="28"/>
      <c r="O28" s="30" t="str">
        <f aca="false">IF(OR($B28="",$BN28=0),"",IFERROR(AVERAGEIFS(Antropometria!$F$8:$F$407,Antropometria!$B$8:$B$407,$B28,Antropometria!$A$8:$A$407,$BN28),""))</f>
        <v/>
      </c>
      <c r="P28" s="30" t="str">
        <f aca="false">IF(OR($B28="",$BN28=0),"",IFERROR(AVERAGEIFS(Antropometria!$E$8:$E$407,Antropometria!$B$8:$B$407,$B28,Antropometria!$A$8:$A$407,$BN28),""))</f>
        <v/>
      </c>
      <c r="Q28" s="30" t="str">
        <f aca="false">IFERROR(ROUND($P28/($O28/100)^2,1),"")</f>
        <v/>
      </c>
      <c r="R28" s="28"/>
      <c r="S28" s="27"/>
      <c r="T28" s="27"/>
      <c r="U28" s="27"/>
      <c r="V28" s="28"/>
      <c r="W28" s="28"/>
      <c r="X28" s="28"/>
      <c r="Y28" s="28"/>
      <c r="Z28" s="28"/>
      <c r="AA28" s="28"/>
      <c r="AB28" s="28"/>
      <c r="AC28" s="27"/>
      <c r="AD28" s="28"/>
      <c r="AE28" s="28"/>
      <c r="AF28" s="27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6" t="n">
        <f aca="false">IFERROR($E28-$AS28,"")</f>
        <v>126</v>
      </c>
      <c r="AU28" s="28"/>
      <c r="AV28" s="27"/>
      <c r="AW28" s="27"/>
      <c r="AX28" s="27"/>
      <c r="AY28" s="28"/>
      <c r="AZ28" s="27"/>
      <c r="BA28" s="27"/>
      <c r="BB28" s="27"/>
      <c r="BC28" s="27"/>
      <c r="BD28" s="28"/>
      <c r="BE28" s="27"/>
      <c r="BF28" s="29"/>
      <c r="BG28" s="29"/>
      <c r="BH28" s="26" t="str">
        <f aca="true">IF($BG28="","",IF($BG28&lt;TODAY(),"VENCIDO",IF($BG28&lt;=TODAY()+30,"Vence em 30 dias","Válido")))</f>
        <v/>
      </c>
      <c r="BI28" s="28"/>
      <c r="BJ28" s="28"/>
      <c r="BK28" s="29"/>
      <c r="BL28" s="28"/>
      <c r="BM28" s="27"/>
      <c r="BN28" s="31" t="n">
        <f aca="false">IF($B28="",0,IFERROR(SUMPRODUCT(MAX((Antropometria!$B$8:$B$407=$B28)*Antropometria!$A$8:$A$407)),0))</f>
        <v>0</v>
      </c>
    </row>
    <row r="29" customFormat="false" ht="15" hidden="false" customHeight="false" outlineLevel="0" collapsed="false">
      <c r="A29" s="26" t="str">
        <f aca="false">IF($B29="","","ATL-"&amp;TEXT(ROW()-7,"000"))</f>
        <v/>
      </c>
      <c r="B29" s="27"/>
      <c r="C29" s="28"/>
      <c r="D29" s="29"/>
      <c r="E29" s="26" t="n">
        <f aca="true">IFERROR(DATEDIF($D29,TODAY(),"Y"),"")</f>
        <v>126</v>
      </c>
      <c r="F29" s="28"/>
      <c r="G29" s="28"/>
      <c r="H29" s="27"/>
      <c r="I29" s="28"/>
      <c r="J29" s="28"/>
      <c r="K29" s="28"/>
      <c r="L29" s="28"/>
      <c r="M29" s="28"/>
      <c r="N29" s="28"/>
      <c r="O29" s="30" t="str">
        <f aca="false">IF(OR($B29="",$BN29=0),"",IFERROR(AVERAGEIFS(Antropometria!$F$8:$F$407,Antropometria!$B$8:$B$407,$B29,Antropometria!$A$8:$A$407,$BN29),""))</f>
        <v/>
      </c>
      <c r="P29" s="30" t="str">
        <f aca="false">IF(OR($B29="",$BN29=0),"",IFERROR(AVERAGEIFS(Antropometria!$E$8:$E$407,Antropometria!$B$8:$B$407,$B29,Antropometria!$A$8:$A$407,$BN29),""))</f>
        <v/>
      </c>
      <c r="Q29" s="30" t="str">
        <f aca="false">IFERROR(ROUND($P29/($O29/100)^2,1),"")</f>
        <v/>
      </c>
      <c r="R29" s="28"/>
      <c r="S29" s="27"/>
      <c r="T29" s="27"/>
      <c r="U29" s="27"/>
      <c r="V29" s="28"/>
      <c r="W29" s="28"/>
      <c r="X29" s="28"/>
      <c r="Y29" s="28"/>
      <c r="Z29" s="28"/>
      <c r="AA29" s="28"/>
      <c r="AB29" s="28"/>
      <c r="AC29" s="27"/>
      <c r="AD29" s="28"/>
      <c r="AE29" s="28"/>
      <c r="AF29" s="27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6" t="n">
        <f aca="false">IFERROR($E29-$AS29,"")</f>
        <v>126</v>
      </c>
      <c r="AU29" s="28"/>
      <c r="AV29" s="27"/>
      <c r="AW29" s="27"/>
      <c r="AX29" s="27"/>
      <c r="AY29" s="28"/>
      <c r="AZ29" s="27"/>
      <c r="BA29" s="27"/>
      <c r="BB29" s="27"/>
      <c r="BC29" s="27"/>
      <c r="BD29" s="28"/>
      <c r="BE29" s="27"/>
      <c r="BF29" s="29"/>
      <c r="BG29" s="29"/>
      <c r="BH29" s="26" t="str">
        <f aca="true">IF($BG29="","",IF($BG29&lt;TODAY(),"VENCIDO",IF($BG29&lt;=TODAY()+30,"Vence em 30 dias","Válido")))</f>
        <v/>
      </c>
      <c r="BI29" s="28"/>
      <c r="BJ29" s="28"/>
      <c r="BK29" s="29"/>
      <c r="BL29" s="28"/>
      <c r="BM29" s="27"/>
      <c r="BN29" s="31" t="n">
        <f aca="false">IF($B29="",0,IFERROR(SUMPRODUCT(MAX((Antropometria!$B$8:$B$407=$B29)*Antropometria!$A$8:$A$407)),0))</f>
        <v>0</v>
      </c>
    </row>
    <row r="30" customFormat="false" ht="15" hidden="false" customHeight="false" outlineLevel="0" collapsed="false">
      <c r="A30" s="26" t="str">
        <f aca="false">IF($B30="","","ATL-"&amp;TEXT(ROW()-7,"000"))</f>
        <v/>
      </c>
      <c r="B30" s="27"/>
      <c r="C30" s="28"/>
      <c r="D30" s="29"/>
      <c r="E30" s="26" t="n">
        <f aca="true">IFERROR(DATEDIF($D30,TODAY(),"Y"),"")</f>
        <v>126</v>
      </c>
      <c r="F30" s="28"/>
      <c r="G30" s="28"/>
      <c r="H30" s="27"/>
      <c r="I30" s="28"/>
      <c r="J30" s="28"/>
      <c r="K30" s="28"/>
      <c r="L30" s="28"/>
      <c r="M30" s="28"/>
      <c r="N30" s="28"/>
      <c r="O30" s="30" t="str">
        <f aca="false">IF(OR($B30="",$BN30=0),"",IFERROR(AVERAGEIFS(Antropometria!$F$8:$F$407,Antropometria!$B$8:$B$407,$B30,Antropometria!$A$8:$A$407,$BN30),""))</f>
        <v/>
      </c>
      <c r="P30" s="30" t="str">
        <f aca="false">IF(OR($B30="",$BN30=0),"",IFERROR(AVERAGEIFS(Antropometria!$E$8:$E$407,Antropometria!$B$8:$B$407,$B30,Antropometria!$A$8:$A$407,$BN30),""))</f>
        <v/>
      </c>
      <c r="Q30" s="30" t="str">
        <f aca="false">IFERROR(ROUND($P30/($O30/100)^2,1),"")</f>
        <v/>
      </c>
      <c r="R30" s="28"/>
      <c r="S30" s="27"/>
      <c r="T30" s="27"/>
      <c r="U30" s="27"/>
      <c r="V30" s="28"/>
      <c r="W30" s="28"/>
      <c r="X30" s="28"/>
      <c r="Y30" s="28"/>
      <c r="Z30" s="28"/>
      <c r="AA30" s="28"/>
      <c r="AB30" s="28"/>
      <c r="AC30" s="27"/>
      <c r="AD30" s="28"/>
      <c r="AE30" s="28"/>
      <c r="AF30" s="27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6" t="n">
        <f aca="false">IFERROR($E30-$AS30,"")</f>
        <v>126</v>
      </c>
      <c r="AU30" s="28"/>
      <c r="AV30" s="27"/>
      <c r="AW30" s="27"/>
      <c r="AX30" s="27"/>
      <c r="AY30" s="28"/>
      <c r="AZ30" s="27"/>
      <c r="BA30" s="27"/>
      <c r="BB30" s="27"/>
      <c r="BC30" s="27"/>
      <c r="BD30" s="28"/>
      <c r="BE30" s="27"/>
      <c r="BF30" s="29"/>
      <c r="BG30" s="29"/>
      <c r="BH30" s="26" t="str">
        <f aca="true">IF($BG30="","",IF($BG30&lt;TODAY(),"VENCIDO",IF($BG30&lt;=TODAY()+30,"Vence em 30 dias","Válido")))</f>
        <v/>
      </c>
      <c r="BI30" s="28"/>
      <c r="BJ30" s="28"/>
      <c r="BK30" s="29"/>
      <c r="BL30" s="28"/>
      <c r="BM30" s="27"/>
      <c r="BN30" s="31" t="n">
        <f aca="false">IF($B30="",0,IFERROR(SUMPRODUCT(MAX((Antropometria!$B$8:$B$407=$B30)*Antropometria!$A$8:$A$407)),0))</f>
        <v>0</v>
      </c>
    </row>
    <row r="31" customFormat="false" ht="15" hidden="false" customHeight="false" outlineLevel="0" collapsed="false">
      <c r="A31" s="26" t="str">
        <f aca="false">IF($B31="","","ATL-"&amp;TEXT(ROW()-7,"000"))</f>
        <v/>
      </c>
      <c r="B31" s="27"/>
      <c r="C31" s="28"/>
      <c r="D31" s="29"/>
      <c r="E31" s="26" t="n">
        <f aca="true">IFERROR(DATEDIF($D31,TODAY(),"Y"),"")</f>
        <v>126</v>
      </c>
      <c r="F31" s="28"/>
      <c r="G31" s="28"/>
      <c r="H31" s="27"/>
      <c r="I31" s="28"/>
      <c r="J31" s="28"/>
      <c r="K31" s="28"/>
      <c r="L31" s="28"/>
      <c r="M31" s="28"/>
      <c r="N31" s="28"/>
      <c r="O31" s="30" t="str">
        <f aca="false">IF(OR($B31="",$BN31=0),"",IFERROR(AVERAGEIFS(Antropometria!$F$8:$F$407,Antropometria!$B$8:$B$407,$B31,Antropometria!$A$8:$A$407,$BN31),""))</f>
        <v/>
      </c>
      <c r="P31" s="30" t="str">
        <f aca="false">IF(OR($B31="",$BN31=0),"",IFERROR(AVERAGEIFS(Antropometria!$E$8:$E$407,Antropometria!$B$8:$B$407,$B31,Antropometria!$A$8:$A$407,$BN31),""))</f>
        <v/>
      </c>
      <c r="Q31" s="30" t="str">
        <f aca="false">IFERROR(ROUND($P31/($O31/100)^2,1),"")</f>
        <v/>
      </c>
      <c r="R31" s="28"/>
      <c r="S31" s="27"/>
      <c r="T31" s="27"/>
      <c r="U31" s="27"/>
      <c r="V31" s="28"/>
      <c r="W31" s="28"/>
      <c r="X31" s="28"/>
      <c r="Y31" s="28"/>
      <c r="Z31" s="28"/>
      <c r="AA31" s="28"/>
      <c r="AB31" s="28"/>
      <c r="AC31" s="27"/>
      <c r="AD31" s="28"/>
      <c r="AE31" s="28"/>
      <c r="AF31" s="27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6" t="n">
        <f aca="false">IFERROR($E31-$AS31,"")</f>
        <v>126</v>
      </c>
      <c r="AU31" s="28"/>
      <c r="AV31" s="27"/>
      <c r="AW31" s="27"/>
      <c r="AX31" s="27"/>
      <c r="AY31" s="28"/>
      <c r="AZ31" s="27"/>
      <c r="BA31" s="27"/>
      <c r="BB31" s="27"/>
      <c r="BC31" s="27"/>
      <c r="BD31" s="28"/>
      <c r="BE31" s="27"/>
      <c r="BF31" s="29"/>
      <c r="BG31" s="29"/>
      <c r="BH31" s="26" t="str">
        <f aca="true">IF($BG31="","",IF($BG31&lt;TODAY(),"VENCIDO",IF($BG31&lt;=TODAY()+30,"Vence em 30 dias","Válido")))</f>
        <v/>
      </c>
      <c r="BI31" s="28"/>
      <c r="BJ31" s="28"/>
      <c r="BK31" s="29"/>
      <c r="BL31" s="28"/>
      <c r="BM31" s="27"/>
      <c r="BN31" s="31" t="n">
        <f aca="false">IF($B31="",0,IFERROR(SUMPRODUCT(MAX((Antropometria!$B$8:$B$407=$B31)*Antropometria!$A$8:$A$407)),0))</f>
        <v>0</v>
      </c>
    </row>
    <row r="32" customFormat="false" ht="15" hidden="false" customHeight="false" outlineLevel="0" collapsed="false">
      <c r="A32" s="26" t="str">
        <f aca="false">IF($B32="","","ATL-"&amp;TEXT(ROW()-7,"000"))</f>
        <v/>
      </c>
      <c r="B32" s="27"/>
      <c r="C32" s="28"/>
      <c r="D32" s="29"/>
      <c r="E32" s="26" t="n">
        <f aca="true">IFERROR(DATEDIF($D32,TODAY(),"Y"),"")</f>
        <v>126</v>
      </c>
      <c r="F32" s="28"/>
      <c r="G32" s="28"/>
      <c r="H32" s="27"/>
      <c r="I32" s="28"/>
      <c r="J32" s="28"/>
      <c r="K32" s="28"/>
      <c r="L32" s="28"/>
      <c r="M32" s="28"/>
      <c r="N32" s="28"/>
      <c r="O32" s="30" t="str">
        <f aca="false">IF(OR($B32="",$BN32=0),"",IFERROR(AVERAGEIFS(Antropometria!$F$8:$F$407,Antropometria!$B$8:$B$407,$B32,Antropometria!$A$8:$A$407,$BN32),""))</f>
        <v/>
      </c>
      <c r="P32" s="30" t="str">
        <f aca="false">IF(OR($B32="",$BN32=0),"",IFERROR(AVERAGEIFS(Antropometria!$E$8:$E$407,Antropometria!$B$8:$B$407,$B32,Antropometria!$A$8:$A$407,$BN32),""))</f>
        <v/>
      </c>
      <c r="Q32" s="30" t="str">
        <f aca="false">IFERROR(ROUND($P32/($O32/100)^2,1),"")</f>
        <v/>
      </c>
      <c r="R32" s="28"/>
      <c r="S32" s="27"/>
      <c r="T32" s="27"/>
      <c r="U32" s="27"/>
      <c r="V32" s="28"/>
      <c r="W32" s="28"/>
      <c r="X32" s="28"/>
      <c r="Y32" s="28"/>
      <c r="Z32" s="28"/>
      <c r="AA32" s="28"/>
      <c r="AB32" s="28"/>
      <c r="AC32" s="27"/>
      <c r="AD32" s="28"/>
      <c r="AE32" s="28"/>
      <c r="AF32" s="27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6" t="n">
        <f aca="false">IFERROR($E32-$AS32,"")</f>
        <v>126</v>
      </c>
      <c r="AU32" s="28"/>
      <c r="AV32" s="27"/>
      <c r="AW32" s="27"/>
      <c r="AX32" s="27"/>
      <c r="AY32" s="28"/>
      <c r="AZ32" s="27"/>
      <c r="BA32" s="27"/>
      <c r="BB32" s="27"/>
      <c r="BC32" s="27"/>
      <c r="BD32" s="28"/>
      <c r="BE32" s="27"/>
      <c r="BF32" s="29"/>
      <c r="BG32" s="29"/>
      <c r="BH32" s="26" t="str">
        <f aca="true">IF($BG32="","",IF($BG32&lt;TODAY(),"VENCIDO",IF($BG32&lt;=TODAY()+30,"Vence em 30 dias","Válido")))</f>
        <v/>
      </c>
      <c r="BI32" s="28"/>
      <c r="BJ32" s="28"/>
      <c r="BK32" s="29"/>
      <c r="BL32" s="28"/>
      <c r="BM32" s="27"/>
      <c r="BN32" s="31" t="n">
        <f aca="false">IF($B32="",0,IFERROR(SUMPRODUCT(MAX((Antropometria!$B$8:$B$407=$B32)*Antropometria!$A$8:$A$407)),0))</f>
        <v>0</v>
      </c>
    </row>
    <row r="33" customFormat="false" ht="15" hidden="false" customHeight="false" outlineLevel="0" collapsed="false">
      <c r="A33" s="26" t="str">
        <f aca="false">IF($B33="","","ATL-"&amp;TEXT(ROW()-7,"000"))</f>
        <v/>
      </c>
      <c r="B33" s="27"/>
      <c r="C33" s="28"/>
      <c r="D33" s="29"/>
      <c r="E33" s="26" t="n">
        <f aca="true">IFERROR(DATEDIF($D33,TODAY(),"Y"),"")</f>
        <v>126</v>
      </c>
      <c r="F33" s="28"/>
      <c r="G33" s="28"/>
      <c r="H33" s="27"/>
      <c r="I33" s="28"/>
      <c r="J33" s="28"/>
      <c r="K33" s="28"/>
      <c r="L33" s="28"/>
      <c r="M33" s="28"/>
      <c r="N33" s="28"/>
      <c r="O33" s="30" t="str">
        <f aca="false">IF(OR($B33="",$BN33=0),"",IFERROR(AVERAGEIFS(Antropometria!$F$8:$F$407,Antropometria!$B$8:$B$407,$B33,Antropometria!$A$8:$A$407,$BN33),""))</f>
        <v/>
      </c>
      <c r="P33" s="30" t="str">
        <f aca="false">IF(OR($B33="",$BN33=0),"",IFERROR(AVERAGEIFS(Antropometria!$E$8:$E$407,Antropometria!$B$8:$B$407,$B33,Antropometria!$A$8:$A$407,$BN33),""))</f>
        <v/>
      </c>
      <c r="Q33" s="30" t="str">
        <f aca="false">IFERROR(ROUND($P33/($O33/100)^2,1),"")</f>
        <v/>
      </c>
      <c r="R33" s="28"/>
      <c r="S33" s="27"/>
      <c r="T33" s="27"/>
      <c r="U33" s="27"/>
      <c r="V33" s="28"/>
      <c r="W33" s="28"/>
      <c r="X33" s="28"/>
      <c r="Y33" s="28"/>
      <c r="Z33" s="28"/>
      <c r="AA33" s="28"/>
      <c r="AB33" s="28"/>
      <c r="AC33" s="27"/>
      <c r="AD33" s="28"/>
      <c r="AE33" s="28"/>
      <c r="AF33" s="27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6" t="n">
        <f aca="false">IFERROR($E33-$AS33,"")</f>
        <v>126</v>
      </c>
      <c r="AU33" s="28"/>
      <c r="AV33" s="27"/>
      <c r="AW33" s="27"/>
      <c r="AX33" s="27"/>
      <c r="AY33" s="28"/>
      <c r="AZ33" s="27"/>
      <c r="BA33" s="27"/>
      <c r="BB33" s="27"/>
      <c r="BC33" s="27"/>
      <c r="BD33" s="28"/>
      <c r="BE33" s="27"/>
      <c r="BF33" s="29"/>
      <c r="BG33" s="29"/>
      <c r="BH33" s="26" t="str">
        <f aca="true">IF($BG33="","",IF($BG33&lt;TODAY(),"VENCIDO",IF($BG33&lt;=TODAY()+30,"Vence em 30 dias","Válido")))</f>
        <v/>
      </c>
      <c r="BI33" s="28"/>
      <c r="BJ33" s="28"/>
      <c r="BK33" s="29"/>
      <c r="BL33" s="28"/>
      <c r="BM33" s="27"/>
      <c r="BN33" s="31" t="n">
        <f aca="false">IF($B33="",0,IFERROR(SUMPRODUCT(MAX((Antropometria!$B$8:$B$407=$B33)*Antropometria!$A$8:$A$407)),0))</f>
        <v>0</v>
      </c>
    </row>
    <row r="34" customFormat="false" ht="15" hidden="false" customHeight="false" outlineLevel="0" collapsed="false">
      <c r="A34" s="26" t="str">
        <f aca="false">IF($B34="","","ATL-"&amp;TEXT(ROW()-7,"000"))</f>
        <v/>
      </c>
      <c r="B34" s="27"/>
      <c r="C34" s="28"/>
      <c r="D34" s="29"/>
      <c r="E34" s="26" t="n">
        <f aca="true">IFERROR(DATEDIF($D34,TODAY(),"Y"),"")</f>
        <v>126</v>
      </c>
      <c r="F34" s="28"/>
      <c r="G34" s="28"/>
      <c r="H34" s="27"/>
      <c r="I34" s="28"/>
      <c r="J34" s="28"/>
      <c r="K34" s="28"/>
      <c r="L34" s="28"/>
      <c r="M34" s="28"/>
      <c r="N34" s="28"/>
      <c r="O34" s="30" t="str">
        <f aca="false">IF(OR($B34="",$BN34=0),"",IFERROR(AVERAGEIFS(Antropometria!$F$8:$F$407,Antropometria!$B$8:$B$407,$B34,Antropometria!$A$8:$A$407,$BN34),""))</f>
        <v/>
      </c>
      <c r="P34" s="30" t="str">
        <f aca="false">IF(OR($B34="",$BN34=0),"",IFERROR(AVERAGEIFS(Antropometria!$E$8:$E$407,Antropometria!$B$8:$B$407,$B34,Antropometria!$A$8:$A$407,$BN34),""))</f>
        <v/>
      </c>
      <c r="Q34" s="30" t="str">
        <f aca="false">IFERROR(ROUND($P34/($O34/100)^2,1),"")</f>
        <v/>
      </c>
      <c r="R34" s="28"/>
      <c r="S34" s="27"/>
      <c r="T34" s="27"/>
      <c r="U34" s="27"/>
      <c r="V34" s="28"/>
      <c r="W34" s="28"/>
      <c r="X34" s="28"/>
      <c r="Y34" s="28"/>
      <c r="Z34" s="28"/>
      <c r="AA34" s="28"/>
      <c r="AB34" s="28"/>
      <c r="AC34" s="27"/>
      <c r="AD34" s="28"/>
      <c r="AE34" s="28"/>
      <c r="AF34" s="27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6" t="n">
        <f aca="false">IFERROR($E34-$AS34,"")</f>
        <v>126</v>
      </c>
      <c r="AU34" s="28"/>
      <c r="AV34" s="27"/>
      <c r="AW34" s="27"/>
      <c r="AX34" s="27"/>
      <c r="AY34" s="28"/>
      <c r="AZ34" s="27"/>
      <c r="BA34" s="27"/>
      <c r="BB34" s="27"/>
      <c r="BC34" s="27"/>
      <c r="BD34" s="28"/>
      <c r="BE34" s="27"/>
      <c r="BF34" s="29"/>
      <c r="BG34" s="29"/>
      <c r="BH34" s="26" t="str">
        <f aca="true">IF($BG34="","",IF($BG34&lt;TODAY(),"VENCIDO",IF($BG34&lt;=TODAY()+30,"Vence em 30 dias","Válido")))</f>
        <v/>
      </c>
      <c r="BI34" s="28"/>
      <c r="BJ34" s="28"/>
      <c r="BK34" s="29"/>
      <c r="BL34" s="28"/>
      <c r="BM34" s="27"/>
      <c r="BN34" s="31" t="n">
        <f aca="false">IF($B34="",0,IFERROR(SUMPRODUCT(MAX((Antropometria!$B$8:$B$407=$B34)*Antropometria!$A$8:$A$407)),0))</f>
        <v>0</v>
      </c>
    </row>
    <row r="35" customFormat="false" ht="15" hidden="false" customHeight="false" outlineLevel="0" collapsed="false">
      <c r="A35" s="26" t="str">
        <f aca="false">IF($B35="","","ATL-"&amp;TEXT(ROW()-7,"000"))</f>
        <v/>
      </c>
      <c r="B35" s="27"/>
      <c r="C35" s="28"/>
      <c r="D35" s="29"/>
      <c r="E35" s="26" t="n">
        <f aca="true">IFERROR(DATEDIF($D35,TODAY(),"Y"),"")</f>
        <v>126</v>
      </c>
      <c r="F35" s="28"/>
      <c r="G35" s="28"/>
      <c r="H35" s="27"/>
      <c r="I35" s="28"/>
      <c r="J35" s="28"/>
      <c r="K35" s="28"/>
      <c r="L35" s="28"/>
      <c r="M35" s="28"/>
      <c r="N35" s="28"/>
      <c r="O35" s="30" t="str">
        <f aca="false">IF(OR($B35="",$BN35=0),"",IFERROR(AVERAGEIFS(Antropometria!$F$8:$F$407,Antropometria!$B$8:$B$407,$B35,Antropometria!$A$8:$A$407,$BN35),""))</f>
        <v/>
      </c>
      <c r="P35" s="30" t="str">
        <f aca="false">IF(OR($B35="",$BN35=0),"",IFERROR(AVERAGEIFS(Antropometria!$E$8:$E$407,Antropometria!$B$8:$B$407,$B35,Antropometria!$A$8:$A$407,$BN35),""))</f>
        <v/>
      </c>
      <c r="Q35" s="30" t="str">
        <f aca="false">IFERROR(ROUND($P35/($O35/100)^2,1),"")</f>
        <v/>
      </c>
      <c r="R35" s="28"/>
      <c r="S35" s="27"/>
      <c r="T35" s="27"/>
      <c r="U35" s="27"/>
      <c r="V35" s="28"/>
      <c r="W35" s="28"/>
      <c r="X35" s="28"/>
      <c r="Y35" s="28"/>
      <c r="Z35" s="28"/>
      <c r="AA35" s="28"/>
      <c r="AB35" s="28"/>
      <c r="AC35" s="27"/>
      <c r="AD35" s="28"/>
      <c r="AE35" s="28"/>
      <c r="AF35" s="27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6" t="n">
        <f aca="false">IFERROR($E35-$AS35,"")</f>
        <v>126</v>
      </c>
      <c r="AU35" s="28"/>
      <c r="AV35" s="27"/>
      <c r="AW35" s="27"/>
      <c r="AX35" s="27"/>
      <c r="AY35" s="28"/>
      <c r="AZ35" s="27"/>
      <c r="BA35" s="27"/>
      <c r="BB35" s="27"/>
      <c r="BC35" s="27"/>
      <c r="BD35" s="28"/>
      <c r="BE35" s="27"/>
      <c r="BF35" s="29"/>
      <c r="BG35" s="29"/>
      <c r="BH35" s="26" t="str">
        <f aca="true">IF($BG35="","",IF($BG35&lt;TODAY(),"VENCIDO",IF($BG35&lt;=TODAY()+30,"Vence em 30 dias","Válido")))</f>
        <v/>
      </c>
      <c r="BI35" s="28"/>
      <c r="BJ35" s="28"/>
      <c r="BK35" s="29"/>
      <c r="BL35" s="28"/>
      <c r="BM35" s="27"/>
      <c r="BN35" s="31" t="n">
        <f aca="false">IF($B35="",0,IFERROR(SUMPRODUCT(MAX((Antropometria!$B$8:$B$407=$B35)*Antropometria!$A$8:$A$407)),0))</f>
        <v>0</v>
      </c>
    </row>
    <row r="36" customFormat="false" ht="15" hidden="false" customHeight="false" outlineLevel="0" collapsed="false">
      <c r="A36" s="26" t="str">
        <f aca="false">IF($B36="","","ATL-"&amp;TEXT(ROW()-7,"000"))</f>
        <v/>
      </c>
      <c r="B36" s="27"/>
      <c r="C36" s="28"/>
      <c r="D36" s="29"/>
      <c r="E36" s="26" t="n">
        <f aca="true">IFERROR(DATEDIF($D36,TODAY(),"Y"),"")</f>
        <v>126</v>
      </c>
      <c r="F36" s="28"/>
      <c r="G36" s="28"/>
      <c r="H36" s="27"/>
      <c r="I36" s="28"/>
      <c r="J36" s="28"/>
      <c r="K36" s="28"/>
      <c r="L36" s="28"/>
      <c r="M36" s="28"/>
      <c r="N36" s="28"/>
      <c r="O36" s="30" t="str">
        <f aca="false">IF(OR($B36="",$BN36=0),"",IFERROR(AVERAGEIFS(Antropometria!$F$8:$F$407,Antropometria!$B$8:$B$407,$B36,Antropometria!$A$8:$A$407,$BN36),""))</f>
        <v/>
      </c>
      <c r="P36" s="30" t="str">
        <f aca="false">IF(OR($B36="",$BN36=0),"",IFERROR(AVERAGEIFS(Antropometria!$E$8:$E$407,Antropometria!$B$8:$B$407,$B36,Antropometria!$A$8:$A$407,$BN36),""))</f>
        <v/>
      </c>
      <c r="Q36" s="30" t="str">
        <f aca="false">IFERROR(ROUND($P36/($O36/100)^2,1),"")</f>
        <v/>
      </c>
      <c r="R36" s="28"/>
      <c r="S36" s="27"/>
      <c r="T36" s="27"/>
      <c r="U36" s="27"/>
      <c r="V36" s="28"/>
      <c r="W36" s="28"/>
      <c r="X36" s="28"/>
      <c r="Y36" s="28"/>
      <c r="Z36" s="28"/>
      <c r="AA36" s="28"/>
      <c r="AB36" s="28"/>
      <c r="AC36" s="27"/>
      <c r="AD36" s="28"/>
      <c r="AE36" s="28"/>
      <c r="AF36" s="27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6" t="n">
        <f aca="false">IFERROR($E36-$AS36,"")</f>
        <v>126</v>
      </c>
      <c r="AU36" s="28"/>
      <c r="AV36" s="27"/>
      <c r="AW36" s="27"/>
      <c r="AX36" s="27"/>
      <c r="AY36" s="28"/>
      <c r="AZ36" s="27"/>
      <c r="BA36" s="27"/>
      <c r="BB36" s="27"/>
      <c r="BC36" s="27"/>
      <c r="BD36" s="28"/>
      <c r="BE36" s="27"/>
      <c r="BF36" s="29"/>
      <c r="BG36" s="29"/>
      <c r="BH36" s="26" t="str">
        <f aca="true">IF($BG36="","",IF($BG36&lt;TODAY(),"VENCIDO",IF($BG36&lt;=TODAY()+30,"Vence em 30 dias","Válido")))</f>
        <v/>
      </c>
      <c r="BI36" s="28"/>
      <c r="BJ36" s="28"/>
      <c r="BK36" s="29"/>
      <c r="BL36" s="28"/>
      <c r="BM36" s="27"/>
      <c r="BN36" s="31" t="n">
        <f aca="false">IF($B36="",0,IFERROR(SUMPRODUCT(MAX((Antropometria!$B$8:$B$407=$B36)*Antropometria!$A$8:$A$407)),0))</f>
        <v>0</v>
      </c>
    </row>
    <row r="37" customFormat="false" ht="15" hidden="false" customHeight="false" outlineLevel="0" collapsed="false">
      <c r="A37" s="26" t="str">
        <f aca="false">IF($B37="","","ATL-"&amp;TEXT(ROW()-7,"000"))</f>
        <v/>
      </c>
      <c r="B37" s="27"/>
      <c r="C37" s="28"/>
      <c r="D37" s="29"/>
      <c r="E37" s="26" t="n">
        <f aca="true">IFERROR(DATEDIF($D37,TODAY(),"Y"),"")</f>
        <v>126</v>
      </c>
      <c r="F37" s="28"/>
      <c r="G37" s="28"/>
      <c r="H37" s="27"/>
      <c r="I37" s="28"/>
      <c r="J37" s="28"/>
      <c r="K37" s="28"/>
      <c r="L37" s="28"/>
      <c r="M37" s="28"/>
      <c r="N37" s="28"/>
      <c r="O37" s="30" t="str">
        <f aca="false">IF(OR($B37="",$BN37=0),"",IFERROR(AVERAGEIFS(Antropometria!$F$8:$F$407,Antropometria!$B$8:$B$407,$B37,Antropometria!$A$8:$A$407,$BN37),""))</f>
        <v/>
      </c>
      <c r="P37" s="30" t="str">
        <f aca="false">IF(OR($B37="",$BN37=0),"",IFERROR(AVERAGEIFS(Antropometria!$E$8:$E$407,Antropometria!$B$8:$B$407,$B37,Antropometria!$A$8:$A$407,$BN37),""))</f>
        <v/>
      </c>
      <c r="Q37" s="30" t="str">
        <f aca="false">IFERROR(ROUND($P37/($O37/100)^2,1),"")</f>
        <v/>
      </c>
      <c r="R37" s="28"/>
      <c r="S37" s="27"/>
      <c r="T37" s="27"/>
      <c r="U37" s="27"/>
      <c r="V37" s="28"/>
      <c r="W37" s="28"/>
      <c r="X37" s="28"/>
      <c r="Y37" s="28"/>
      <c r="Z37" s="28"/>
      <c r="AA37" s="28"/>
      <c r="AB37" s="28"/>
      <c r="AC37" s="27"/>
      <c r="AD37" s="28"/>
      <c r="AE37" s="28"/>
      <c r="AF37" s="27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6" t="n">
        <f aca="false">IFERROR($E37-$AS37,"")</f>
        <v>126</v>
      </c>
      <c r="AU37" s="28"/>
      <c r="AV37" s="27"/>
      <c r="AW37" s="27"/>
      <c r="AX37" s="27"/>
      <c r="AY37" s="28"/>
      <c r="AZ37" s="27"/>
      <c r="BA37" s="27"/>
      <c r="BB37" s="27"/>
      <c r="BC37" s="27"/>
      <c r="BD37" s="28"/>
      <c r="BE37" s="27"/>
      <c r="BF37" s="29"/>
      <c r="BG37" s="29"/>
      <c r="BH37" s="26" t="str">
        <f aca="true">IF($BG37="","",IF($BG37&lt;TODAY(),"VENCIDO",IF($BG37&lt;=TODAY()+30,"Vence em 30 dias","Válido")))</f>
        <v/>
      </c>
      <c r="BI37" s="28"/>
      <c r="BJ37" s="28"/>
      <c r="BK37" s="29"/>
      <c r="BL37" s="28"/>
      <c r="BM37" s="27"/>
      <c r="BN37" s="31" t="n">
        <f aca="false">IF($B37="",0,IFERROR(SUMPRODUCT(MAX((Antropometria!$B$8:$B$407=$B37)*Antropometria!$A$8:$A$407)),0))</f>
        <v>0</v>
      </c>
    </row>
    <row r="38" customFormat="false" ht="15" hidden="false" customHeight="false" outlineLevel="0" collapsed="false">
      <c r="A38" s="26" t="str">
        <f aca="false">IF($B38="","","ATL-"&amp;TEXT(ROW()-7,"000"))</f>
        <v/>
      </c>
      <c r="B38" s="27"/>
      <c r="C38" s="28"/>
      <c r="D38" s="29"/>
      <c r="E38" s="26" t="n">
        <f aca="true">IFERROR(DATEDIF($D38,TODAY(),"Y"),"")</f>
        <v>126</v>
      </c>
      <c r="F38" s="28"/>
      <c r="G38" s="28"/>
      <c r="H38" s="27"/>
      <c r="I38" s="28"/>
      <c r="J38" s="28"/>
      <c r="K38" s="28"/>
      <c r="L38" s="28"/>
      <c r="M38" s="28"/>
      <c r="N38" s="28"/>
      <c r="O38" s="30" t="str">
        <f aca="false">IF(OR($B38="",$BN38=0),"",IFERROR(AVERAGEIFS(Antropometria!$F$8:$F$407,Antropometria!$B$8:$B$407,$B38,Antropometria!$A$8:$A$407,$BN38),""))</f>
        <v/>
      </c>
      <c r="P38" s="30" t="str">
        <f aca="false">IF(OR($B38="",$BN38=0),"",IFERROR(AVERAGEIFS(Antropometria!$E$8:$E$407,Antropometria!$B$8:$B$407,$B38,Antropometria!$A$8:$A$407,$BN38),""))</f>
        <v/>
      </c>
      <c r="Q38" s="30" t="str">
        <f aca="false">IFERROR(ROUND($P38/($O38/100)^2,1),"")</f>
        <v/>
      </c>
      <c r="R38" s="28"/>
      <c r="S38" s="27"/>
      <c r="T38" s="27"/>
      <c r="U38" s="27"/>
      <c r="V38" s="28"/>
      <c r="W38" s="28"/>
      <c r="X38" s="28"/>
      <c r="Y38" s="28"/>
      <c r="Z38" s="28"/>
      <c r="AA38" s="28"/>
      <c r="AB38" s="28"/>
      <c r="AC38" s="27"/>
      <c r="AD38" s="28"/>
      <c r="AE38" s="28"/>
      <c r="AF38" s="27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6" t="n">
        <f aca="false">IFERROR($E38-$AS38,"")</f>
        <v>126</v>
      </c>
      <c r="AU38" s="28"/>
      <c r="AV38" s="27"/>
      <c r="AW38" s="27"/>
      <c r="AX38" s="27"/>
      <c r="AY38" s="28"/>
      <c r="AZ38" s="27"/>
      <c r="BA38" s="27"/>
      <c r="BB38" s="27"/>
      <c r="BC38" s="27"/>
      <c r="BD38" s="28"/>
      <c r="BE38" s="27"/>
      <c r="BF38" s="29"/>
      <c r="BG38" s="29"/>
      <c r="BH38" s="26" t="str">
        <f aca="true">IF($BG38="","",IF($BG38&lt;TODAY(),"VENCIDO",IF($BG38&lt;=TODAY()+30,"Vence em 30 dias","Válido")))</f>
        <v/>
      </c>
      <c r="BI38" s="28"/>
      <c r="BJ38" s="28"/>
      <c r="BK38" s="29"/>
      <c r="BL38" s="28"/>
      <c r="BM38" s="27"/>
      <c r="BN38" s="31" t="n">
        <f aca="false">IF($B38="",0,IFERROR(SUMPRODUCT(MAX((Antropometria!$B$8:$B$407=$B38)*Antropometria!$A$8:$A$407)),0))</f>
        <v>0</v>
      </c>
    </row>
    <row r="39" customFormat="false" ht="15" hidden="false" customHeight="false" outlineLevel="0" collapsed="false">
      <c r="A39" s="26" t="str">
        <f aca="false">IF($B39="","","ATL-"&amp;TEXT(ROW()-7,"000"))</f>
        <v/>
      </c>
      <c r="B39" s="27"/>
      <c r="C39" s="28"/>
      <c r="D39" s="29"/>
      <c r="E39" s="26" t="n">
        <f aca="true">IFERROR(DATEDIF($D39,TODAY(),"Y"),"")</f>
        <v>126</v>
      </c>
      <c r="F39" s="28"/>
      <c r="G39" s="28"/>
      <c r="H39" s="27"/>
      <c r="I39" s="28"/>
      <c r="J39" s="28"/>
      <c r="K39" s="28"/>
      <c r="L39" s="28"/>
      <c r="M39" s="28"/>
      <c r="N39" s="28"/>
      <c r="O39" s="30" t="str">
        <f aca="false">IF(OR($B39="",$BN39=0),"",IFERROR(AVERAGEIFS(Antropometria!$F$8:$F$407,Antropometria!$B$8:$B$407,$B39,Antropometria!$A$8:$A$407,$BN39),""))</f>
        <v/>
      </c>
      <c r="P39" s="30" t="str">
        <f aca="false">IF(OR($B39="",$BN39=0),"",IFERROR(AVERAGEIFS(Antropometria!$E$8:$E$407,Antropometria!$B$8:$B$407,$B39,Antropometria!$A$8:$A$407,$BN39),""))</f>
        <v/>
      </c>
      <c r="Q39" s="30" t="str">
        <f aca="false">IFERROR(ROUND($P39/($O39/100)^2,1),"")</f>
        <v/>
      </c>
      <c r="R39" s="28"/>
      <c r="S39" s="27"/>
      <c r="T39" s="27"/>
      <c r="U39" s="27"/>
      <c r="V39" s="28"/>
      <c r="W39" s="28"/>
      <c r="X39" s="28"/>
      <c r="Y39" s="28"/>
      <c r="Z39" s="28"/>
      <c r="AA39" s="28"/>
      <c r="AB39" s="28"/>
      <c r="AC39" s="27"/>
      <c r="AD39" s="28"/>
      <c r="AE39" s="28"/>
      <c r="AF39" s="27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6" t="n">
        <f aca="false">IFERROR($E39-$AS39,"")</f>
        <v>126</v>
      </c>
      <c r="AU39" s="28"/>
      <c r="AV39" s="27"/>
      <c r="AW39" s="27"/>
      <c r="AX39" s="27"/>
      <c r="AY39" s="28"/>
      <c r="AZ39" s="27"/>
      <c r="BA39" s="27"/>
      <c r="BB39" s="27"/>
      <c r="BC39" s="27"/>
      <c r="BD39" s="28"/>
      <c r="BE39" s="27"/>
      <c r="BF39" s="29"/>
      <c r="BG39" s="29"/>
      <c r="BH39" s="26" t="str">
        <f aca="true">IF($BG39="","",IF($BG39&lt;TODAY(),"VENCIDO",IF($BG39&lt;=TODAY()+30,"Vence em 30 dias","Válido")))</f>
        <v/>
      </c>
      <c r="BI39" s="28"/>
      <c r="BJ39" s="28"/>
      <c r="BK39" s="29"/>
      <c r="BL39" s="28"/>
      <c r="BM39" s="27"/>
      <c r="BN39" s="31" t="n">
        <f aca="false">IF($B39="",0,IFERROR(SUMPRODUCT(MAX((Antropometria!$B$8:$B$407=$B39)*Antropometria!$A$8:$A$407)),0))</f>
        <v>0</v>
      </c>
    </row>
    <row r="40" customFormat="false" ht="15" hidden="false" customHeight="false" outlineLevel="0" collapsed="false">
      <c r="A40" s="26" t="str">
        <f aca="false">IF($B40="","","ATL-"&amp;TEXT(ROW()-7,"000"))</f>
        <v/>
      </c>
      <c r="B40" s="27"/>
      <c r="C40" s="28"/>
      <c r="D40" s="29"/>
      <c r="E40" s="26" t="n">
        <f aca="true">IFERROR(DATEDIF($D40,TODAY(),"Y"),"")</f>
        <v>126</v>
      </c>
      <c r="F40" s="28"/>
      <c r="G40" s="28"/>
      <c r="H40" s="27"/>
      <c r="I40" s="28"/>
      <c r="J40" s="28"/>
      <c r="K40" s="28"/>
      <c r="L40" s="28"/>
      <c r="M40" s="28"/>
      <c r="N40" s="28"/>
      <c r="O40" s="30" t="str">
        <f aca="false">IF(OR($B40="",$BN40=0),"",IFERROR(AVERAGEIFS(Antropometria!$F$8:$F$407,Antropometria!$B$8:$B$407,$B40,Antropometria!$A$8:$A$407,$BN40),""))</f>
        <v/>
      </c>
      <c r="P40" s="30" t="str">
        <f aca="false">IF(OR($B40="",$BN40=0),"",IFERROR(AVERAGEIFS(Antropometria!$E$8:$E$407,Antropometria!$B$8:$B$407,$B40,Antropometria!$A$8:$A$407,$BN40),""))</f>
        <v/>
      </c>
      <c r="Q40" s="30" t="str">
        <f aca="false">IFERROR(ROUND($P40/($O40/100)^2,1),"")</f>
        <v/>
      </c>
      <c r="R40" s="28"/>
      <c r="S40" s="27"/>
      <c r="T40" s="27"/>
      <c r="U40" s="27"/>
      <c r="V40" s="28"/>
      <c r="W40" s="28"/>
      <c r="X40" s="28"/>
      <c r="Y40" s="28"/>
      <c r="Z40" s="28"/>
      <c r="AA40" s="28"/>
      <c r="AB40" s="28"/>
      <c r="AC40" s="27"/>
      <c r="AD40" s="28"/>
      <c r="AE40" s="28"/>
      <c r="AF40" s="27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6" t="n">
        <f aca="false">IFERROR($E40-$AS40,"")</f>
        <v>126</v>
      </c>
      <c r="AU40" s="28"/>
      <c r="AV40" s="27"/>
      <c r="AW40" s="27"/>
      <c r="AX40" s="27"/>
      <c r="AY40" s="28"/>
      <c r="AZ40" s="27"/>
      <c r="BA40" s="27"/>
      <c r="BB40" s="27"/>
      <c r="BC40" s="27"/>
      <c r="BD40" s="28"/>
      <c r="BE40" s="27"/>
      <c r="BF40" s="29"/>
      <c r="BG40" s="29"/>
      <c r="BH40" s="26" t="str">
        <f aca="true">IF($BG40="","",IF($BG40&lt;TODAY(),"VENCIDO",IF($BG40&lt;=TODAY()+30,"Vence em 30 dias","Válido")))</f>
        <v/>
      </c>
      <c r="BI40" s="28"/>
      <c r="BJ40" s="28"/>
      <c r="BK40" s="29"/>
      <c r="BL40" s="28"/>
      <c r="BM40" s="27"/>
      <c r="BN40" s="31" t="n">
        <f aca="false">IF($B40="",0,IFERROR(SUMPRODUCT(MAX((Antropometria!$B$8:$B$407=$B40)*Antropometria!$A$8:$A$407)),0))</f>
        <v>0</v>
      </c>
    </row>
    <row r="41" customFormat="false" ht="15" hidden="false" customHeight="false" outlineLevel="0" collapsed="false">
      <c r="A41" s="26" t="str">
        <f aca="false">IF($B41="","","ATL-"&amp;TEXT(ROW()-7,"000"))</f>
        <v/>
      </c>
      <c r="B41" s="27"/>
      <c r="C41" s="28"/>
      <c r="D41" s="29"/>
      <c r="E41" s="26" t="n">
        <f aca="true">IFERROR(DATEDIF($D41,TODAY(),"Y"),"")</f>
        <v>126</v>
      </c>
      <c r="F41" s="28"/>
      <c r="G41" s="28"/>
      <c r="H41" s="27"/>
      <c r="I41" s="28"/>
      <c r="J41" s="28"/>
      <c r="K41" s="28"/>
      <c r="L41" s="28"/>
      <c r="M41" s="28"/>
      <c r="N41" s="28"/>
      <c r="O41" s="30" t="str">
        <f aca="false">IF(OR($B41="",$BN41=0),"",IFERROR(AVERAGEIFS(Antropometria!$F$8:$F$407,Antropometria!$B$8:$B$407,$B41,Antropometria!$A$8:$A$407,$BN41),""))</f>
        <v/>
      </c>
      <c r="P41" s="30" t="str">
        <f aca="false">IF(OR($B41="",$BN41=0),"",IFERROR(AVERAGEIFS(Antropometria!$E$8:$E$407,Antropometria!$B$8:$B$407,$B41,Antropometria!$A$8:$A$407,$BN41),""))</f>
        <v/>
      </c>
      <c r="Q41" s="30" t="str">
        <f aca="false">IFERROR(ROUND($P41/($O41/100)^2,1),"")</f>
        <v/>
      </c>
      <c r="R41" s="28"/>
      <c r="S41" s="27"/>
      <c r="T41" s="27"/>
      <c r="U41" s="27"/>
      <c r="V41" s="28"/>
      <c r="W41" s="28"/>
      <c r="X41" s="28"/>
      <c r="Y41" s="28"/>
      <c r="Z41" s="28"/>
      <c r="AA41" s="28"/>
      <c r="AB41" s="28"/>
      <c r="AC41" s="27"/>
      <c r="AD41" s="28"/>
      <c r="AE41" s="28"/>
      <c r="AF41" s="27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6" t="n">
        <f aca="false">IFERROR($E41-$AS41,"")</f>
        <v>126</v>
      </c>
      <c r="AU41" s="28"/>
      <c r="AV41" s="27"/>
      <c r="AW41" s="27"/>
      <c r="AX41" s="27"/>
      <c r="AY41" s="28"/>
      <c r="AZ41" s="27"/>
      <c r="BA41" s="27"/>
      <c r="BB41" s="27"/>
      <c r="BC41" s="27"/>
      <c r="BD41" s="28"/>
      <c r="BE41" s="27"/>
      <c r="BF41" s="29"/>
      <c r="BG41" s="29"/>
      <c r="BH41" s="26" t="str">
        <f aca="true">IF($BG41="","",IF($BG41&lt;TODAY(),"VENCIDO",IF($BG41&lt;=TODAY()+30,"Vence em 30 dias","Válido")))</f>
        <v/>
      </c>
      <c r="BI41" s="28"/>
      <c r="BJ41" s="28"/>
      <c r="BK41" s="29"/>
      <c r="BL41" s="28"/>
      <c r="BM41" s="27"/>
      <c r="BN41" s="31" t="n">
        <f aca="false">IF($B41="",0,IFERROR(SUMPRODUCT(MAX((Antropometria!$B$8:$B$407=$B41)*Antropometria!$A$8:$A$407)),0))</f>
        <v>0</v>
      </c>
    </row>
    <row r="42" customFormat="false" ht="15" hidden="false" customHeight="false" outlineLevel="0" collapsed="false">
      <c r="A42" s="26" t="str">
        <f aca="false">IF($B42="","","ATL-"&amp;TEXT(ROW()-7,"000"))</f>
        <v/>
      </c>
      <c r="B42" s="27"/>
      <c r="C42" s="28"/>
      <c r="D42" s="29"/>
      <c r="E42" s="26" t="n">
        <f aca="true">IFERROR(DATEDIF($D42,TODAY(),"Y"),"")</f>
        <v>126</v>
      </c>
      <c r="F42" s="28"/>
      <c r="G42" s="28"/>
      <c r="H42" s="27"/>
      <c r="I42" s="28"/>
      <c r="J42" s="28"/>
      <c r="K42" s="28"/>
      <c r="L42" s="28"/>
      <c r="M42" s="28"/>
      <c r="N42" s="28"/>
      <c r="O42" s="30" t="str">
        <f aca="false">IF(OR($B42="",$BN42=0),"",IFERROR(AVERAGEIFS(Antropometria!$F$8:$F$407,Antropometria!$B$8:$B$407,$B42,Antropometria!$A$8:$A$407,$BN42),""))</f>
        <v/>
      </c>
      <c r="P42" s="30" t="str">
        <f aca="false">IF(OR($B42="",$BN42=0),"",IFERROR(AVERAGEIFS(Antropometria!$E$8:$E$407,Antropometria!$B$8:$B$407,$B42,Antropometria!$A$8:$A$407,$BN42),""))</f>
        <v/>
      </c>
      <c r="Q42" s="30" t="str">
        <f aca="false">IFERROR(ROUND($P42/($O42/100)^2,1),"")</f>
        <v/>
      </c>
      <c r="R42" s="28"/>
      <c r="S42" s="27"/>
      <c r="T42" s="27"/>
      <c r="U42" s="27"/>
      <c r="V42" s="28"/>
      <c r="W42" s="28"/>
      <c r="X42" s="28"/>
      <c r="Y42" s="28"/>
      <c r="Z42" s="28"/>
      <c r="AA42" s="28"/>
      <c r="AB42" s="28"/>
      <c r="AC42" s="27"/>
      <c r="AD42" s="28"/>
      <c r="AE42" s="28"/>
      <c r="AF42" s="27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6" t="n">
        <f aca="false">IFERROR($E42-$AS42,"")</f>
        <v>126</v>
      </c>
      <c r="AU42" s="28"/>
      <c r="AV42" s="27"/>
      <c r="AW42" s="27"/>
      <c r="AX42" s="27"/>
      <c r="AY42" s="28"/>
      <c r="AZ42" s="27"/>
      <c r="BA42" s="27"/>
      <c r="BB42" s="27"/>
      <c r="BC42" s="27"/>
      <c r="BD42" s="28"/>
      <c r="BE42" s="27"/>
      <c r="BF42" s="29"/>
      <c r="BG42" s="29"/>
      <c r="BH42" s="26" t="str">
        <f aca="true">IF($BG42="","",IF($BG42&lt;TODAY(),"VENCIDO",IF($BG42&lt;=TODAY()+30,"Vence em 30 dias","Válido")))</f>
        <v/>
      </c>
      <c r="BI42" s="28"/>
      <c r="BJ42" s="28"/>
      <c r="BK42" s="29"/>
      <c r="BL42" s="28"/>
      <c r="BM42" s="27"/>
      <c r="BN42" s="31" t="n">
        <f aca="false">IF($B42="",0,IFERROR(SUMPRODUCT(MAX((Antropometria!$B$8:$B$407=$B42)*Antropometria!$A$8:$A$407)),0))</f>
        <v>0</v>
      </c>
    </row>
    <row r="43" customFormat="false" ht="15" hidden="false" customHeight="false" outlineLevel="0" collapsed="false">
      <c r="A43" s="26" t="str">
        <f aca="false">IF($B43="","","ATL-"&amp;TEXT(ROW()-7,"000"))</f>
        <v/>
      </c>
      <c r="B43" s="27"/>
      <c r="C43" s="28"/>
      <c r="D43" s="29"/>
      <c r="E43" s="26" t="n">
        <f aca="true">IFERROR(DATEDIF($D43,TODAY(),"Y"),"")</f>
        <v>126</v>
      </c>
      <c r="F43" s="28"/>
      <c r="G43" s="28"/>
      <c r="H43" s="27"/>
      <c r="I43" s="28"/>
      <c r="J43" s="28"/>
      <c r="K43" s="28"/>
      <c r="L43" s="28"/>
      <c r="M43" s="28"/>
      <c r="N43" s="28"/>
      <c r="O43" s="30" t="str">
        <f aca="false">IF(OR($B43="",$BN43=0),"",IFERROR(AVERAGEIFS(Antropometria!$F$8:$F$407,Antropometria!$B$8:$B$407,$B43,Antropometria!$A$8:$A$407,$BN43),""))</f>
        <v/>
      </c>
      <c r="P43" s="30" t="str">
        <f aca="false">IF(OR($B43="",$BN43=0),"",IFERROR(AVERAGEIFS(Antropometria!$E$8:$E$407,Antropometria!$B$8:$B$407,$B43,Antropometria!$A$8:$A$407,$BN43),""))</f>
        <v/>
      </c>
      <c r="Q43" s="30" t="str">
        <f aca="false">IFERROR(ROUND($P43/($O43/100)^2,1),"")</f>
        <v/>
      </c>
      <c r="R43" s="28"/>
      <c r="S43" s="27"/>
      <c r="T43" s="27"/>
      <c r="U43" s="27"/>
      <c r="V43" s="28"/>
      <c r="W43" s="28"/>
      <c r="X43" s="28"/>
      <c r="Y43" s="28"/>
      <c r="Z43" s="28"/>
      <c r="AA43" s="28"/>
      <c r="AB43" s="28"/>
      <c r="AC43" s="27"/>
      <c r="AD43" s="28"/>
      <c r="AE43" s="28"/>
      <c r="AF43" s="27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6" t="n">
        <f aca="false">IFERROR($E43-$AS43,"")</f>
        <v>126</v>
      </c>
      <c r="AU43" s="28"/>
      <c r="AV43" s="27"/>
      <c r="AW43" s="27"/>
      <c r="AX43" s="27"/>
      <c r="AY43" s="28"/>
      <c r="AZ43" s="27"/>
      <c r="BA43" s="27"/>
      <c r="BB43" s="27"/>
      <c r="BC43" s="27"/>
      <c r="BD43" s="28"/>
      <c r="BE43" s="27"/>
      <c r="BF43" s="29"/>
      <c r="BG43" s="29"/>
      <c r="BH43" s="26" t="str">
        <f aca="true">IF($BG43="","",IF($BG43&lt;TODAY(),"VENCIDO",IF($BG43&lt;=TODAY()+30,"Vence em 30 dias","Válido")))</f>
        <v/>
      </c>
      <c r="BI43" s="28"/>
      <c r="BJ43" s="28"/>
      <c r="BK43" s="29"/>
      <c r="BL43" s="28"/>
      <c r="BM43" s="27"/>
      <c r="BN43" s="31" t="n">
        <f aca="false">IF($B43="",0,IFERROR(SUMPRODUCT(MAX((Antropometria!$B$8:$B$407=$B43)*Antropometria!$A$8:$A$407)),0))</f>
        <v>0</v>
      </c>
    </row>
    <row r="44" customFormat="false" ht="15" hidden="false" customHeight="false" outlineLevel="0" collapsed="false">
      <c r="A44" s="26" t="str">
        <f aca="false">IF($B44="","","ATL-"&amp;TEXT(ROW()-7,"000"))</f>
        <v/>
      </c>
      <c r="B44" s="27"/>
      <c r="C44" s="28"/>
      <c r="D44" s="29"/>
      <c r="E44" s="26" t="n">
        <f aca="true">IFERROR(DATEDIF($D44,TODAY(),"Y"),"")</f>
        <v>126</v>
      </c>
      <c r="F44" s="28"/>
      <c r="G44" s="28"/>
      <c r="H44" s="27"/>
      <c r="I44" s="28"/>
      <c r="J44" s="28"/>
      <c r="K44" s="28"/>
      <c r="L44" s="28"/>
      <c r="M44" s="28"/>
      <c r="N44" s="28"/>
      <c r="O44" s="30" t="str">
        <f aca="false">IF(OR($B44="",$BN44=0),"",IFERROR(AVERAGEIFS(Antropometria!$F$8:$F$407,Antropometria!$B$8:$B$407,$B44,Antropometria!$A$8:$A$407,$BN44),""))</f>
        <v/>
      </c>
      <c r="P44" s="30" t="str">
        <f aca="false">IF(OR($B44="",$BN44=0),"",IFERROR(AVERAGEIFS(Antropometria!$E$8:$E$407,Antropometria!$B$8:$B$407,$B44,Antropometria!$A$8:$A$407,$BN44),""))</f>
        <v/>
      </c>
      <c r="Q44" s="30" t="str">
        <f aca="false">IFERROR(ROUND($P44/($O44/100)^2,1),"")</f>
        <v/>
      </c>
      <c r="R44" s="28"/>
      <c r="S44" s="27"/>
      <c r="T44" s="27"/>
      <c r="U44" s="27"/>
      <c r="V44" s="28"/>
      <c r="W44" s="28"/>
      <c r="X44" s="28"/>
      <c r="Y44" s="28"/>
      <c r="Z44" s="28"/>
      <c r="AA44" s="28"/>
      <c r="AB44" s="28"/>
      <c r="AC44" s="27"/>
      <c r="AD44" s="28"/>
      <c r="AE44" s="28"/>
      <c r="AF44" s="27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6" t="n">
        <f aca="false">IFERROR($E44-$AS44,"")</f>
        <v>126</v>
      </c>
      <c r="AU44" s="28"/>
      <c r="AV44" s="27"/>
      <c r="AW44" s="27"/>
      <c r="AX44" s="27"/>
      <c r="AY44" s="28"/>
      <c r="AZ44" s="27"/>
      <c r="BA44" s="27"/>
      <c r="BB44" s="27"/>
      <c r="BC44" s="27"/>
      <c r="BD44" s="28"/>
      <c r="BE44" s="27"/>
      <c r="BF44" s="29"/>
      <c r="BG44" s="29"/>
      <c r="BH44" s="26" t="str">
        <f aca="true">IF($BG44="","",IF($BG44&lt;TODAY(),"VENCIDO",IF($BG44&lt;=TODAY()+30,"Vence em 30 dias","Válido")))</f>
        <v/>
      </c>
      <c r="BI44" s="28"/>
      <c r="BJ44" s="28"/>
      <c r="BK44" s="29"/>
      <c r="BL44" s="28"/>
      <c r="BM44" s="27"/>
      <c r="BN44" s="31" t="n">
        <f aca="false">IF($B44="",0,IFERROR(SUMPRODUCT(MAX((Antropometria!$B$8:$B$407=$B44)*Antropometria!$A$8:$A$407)),0))</f>
        <v>0</v>
      </c>
    </row>
    <row r="45" customFormat="false" ht="15" hidden="false" customHeight="false" outlineLevel="0" collapsed="false">
      <c r="A45" s="26" t="str">
        <f aca="false">IF($B45="","","ATL-"&amp;TEXT(ROW()-7,"000"))</f>
        <v/>
      </c>
      <c r="B45" s="27"/>
      <c r="C45" s="28"/>
      <c r="D45" s="29"/>
      <c r="E45" s="26" t="n">
        <f aca="true">IFERROR(DATEDIF($D45,TODAY(),"Y"),"")</f>
        <v>126</v>
      </c>
      <c r="F45" s="28"/>
      <c r="G45" s="28"/>
      <c r="H45" s="27"/>
      <c r="I45" s="28"/>
      <c r="J45" s="28"/>
      <c r="K45" s="28"/>
      <c r="L45" s="28"/>
      <c r="M45" s="28"/>
      <c r="N45" s="28"/>
      <c r="O45" s="30" t="str">
        <f aca="false">IF(OR($B45="",$BN45=0),"",IFERROR(AVERAGEIFS(Antropometria!$F$8:$F$407,Antropometria!$B$8:$B$407,$B45,Antropometria!$A$8:$A$407,$BN45),""))</f>
        <v/>
      </c>
      <c r="P45" s="30" t="str">
        <f aca="false">IF(OR($B45="",$BN45=0),"",IFERROR(AVERAGEIFS(Antropometria!$E$8:$E$407,Antropometria!$B$8:$B$407,$B45,Antropometria!$A$8:$A$407,$BN45),""))</f>
        <v/>
      </c>
      <c r="Q45" s="30" t="str">
        <f aca="false">IFERROR(ROUND($P45/($O45/100)^2,1),"")</f>
        <v/>
      </c>
      <c r="R45" s="28"/>
      <c r="S45" s="27"/>
      <c r="T45" s="27"/>
      <c r="U45" s="27"/>
      <c r="V45" s="28"/>
      <c r="W45" s="28"/>
      <c r="X45" s="28"/>
      <c r="Y45" s="28"/>
      <c r="Z45" s="28"/>
      <c r="AA45" s="28"/>
      <c r="AB45" s="28"/>
      <c r="AC45" s="27"/>
      <c r="AD45" s="28"/>
      <c r="AE45" s="28"/>
      <c r="AF45" s="27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6" t="n">
        <f aca="false">IFERROR($E45-$AS45,"")</f>
        <v>126</v>
      </c>
      <c r="AU45" s="28"/>
      <c r="AV45" s="27"/>
      <c r="AW45" s="27"/>
      <c r="AX45" s="27"/>
      <c r="AY45" s="28"/>
      <c r="AZ45" s="27"/>
      <c r="BA45" s="27"/>
      <c r="BB45" s="27"/>
      <c r="BC45" s="27"/>
      <c r="BD45" s="28"/>
      <c r="BE45" s="27"/>
      <c r="BF45" s="29"/>
      <c r="BG45" s="29"/>
      <c r="BH45" s="26" t="str">
        <f aca="true">IF($BG45="","",IF($BG45&lt;TODAY(),"VENCIDO",IF($BG45&lt;=TODAY()+30,"Vence em 30 dias","Válido")))</f>
        <v/>
      </c>
      <c r="BI45" s="28"/>
      <c r="BJ45" s="28"/>
      <c r="BK45" s="29"/>
      <c r="BL45" s="28"/>
      <c r="BM45" s="27"/>
      <c r="BN45" s="31" t="n">
        <f aca="false">IF($B45="",0,IFERROR(SUMPRODUCT(MAX((Antropometria!$B$8:$B$407=$B45)*Antropometria!$A$8:$A$407)),0))</f>
        <v>0</v>
      </c>
    </row>
    <row r="46" customFormat="false" ht="15" hidden="false" customHeight="false" outlineLevel="0" collapsed="false">
      <c r="A46" s="26" t="str">
        <f aca="false">IF($B46="","","ATL-"&amp;TEXT(ROW()-7,"000"))</f>
        <v/>
      </c>
      <c r="B46" s="27"/>
      <c r="C46" s="28"/>
      <c r="D46" s="29"/>
      <c r="E46" s="26" t="n">
        <f aca="true">IFERROR(DATEDIF($D46,TODAY(),"Y"),"")</f>
        <v>126</v>
      </c>
      <c r="F46" s="28"/>
      <c r="G46" s="28"/>
      <c r="H46" s="27"/>
      <c r="I46" s="28"/>
      <c r="J46" s="28"/>
      <c r="K46" s="28"/>
      <c r="L46" s="28"/>
      <c r="M46" s="28"/>
      <c r="N46" s="28"/>
      <c r="O46" s="30" t="str">
        <f aca="false">IF(OR($B46="",$BN46=0),"",IFERROR(AVERAGEIFS(Antropometria!$F$8:$F$407,Antropometria!$B$8:$B$407,$B46,Antropometria!$A$8:$A$407,$BN46),""))</f>
        <v/>
      </c>
      <c r="P46" s="30" t="str">
        <f aca="false">IF(OR($B46="",$BN46=0),"",IFERROR(AVERAGEIFS(Antropometria!$E$8:$E$407,Antropometria!$B$8:$B$407,$B46,Antropometria!$A$8:$A$407,$BN46),""))</f>
        <v/>
      </c>
      <c r="Q46" s="30" t="str">
        <f aca="false">IFERROR(ROUND($P46/($O46/100)^2,1),"")</f>
        <v/>
      </c>
      <c r="R46" s="28"/>
      <c r="S46" s="27"/>
      <c r="T46" s="27"/>
      <c r="U46" s="27"/>
      <c r="V46" s="28"/>
      <c r="W46" s="28"/>
      <c r="X46" s="28"/>
      <c r="Y46" s="28"/>
      <c r="Z46" s="28"/>
      <c r="AA46" s="28"/>
      <c r="AB46" s="28"/>
      <c r="AC46" s="27"/>
      <c r="AD46" s="28"/>
      <c r="AE46" s="28"/>
      <c r="AF46" s="27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6" t="n">
        <f aca="false">IFERROR($E46-$AS46,"")</f>
        <v>126</v>
      </c>
      <c r="AU46" s="28"/>
      <c r="AV46" s="27"/>
      <c r="AW46" s="27"/>
      <c r="AX46" s="27"/>
      <c r="AY46" s="28"/>
      <c r="AZ46" s="27"/>
      <c r="BA46" s="27"/>
      <c r="BB46" s="27"/>
      <c r="BC46" s="27"/>
      <c r="BD46" s="28"/>
      <c r="BE46" s="27"/>
      <c r="BF46" s="29"/>
      <c r="BG46" s="29"/>
      <c r="BH46" s="26" t="str">
        <f aca="true">IF($BG46="","",IF($BG46&lt;TODAY(),"VENCIDO",IF($BG46&lt;=TODAY()+30,"Vence em 30 dias","Válido")))</f>
        <v/>
      </c>
      <c r="BI46" s="28"/>
      <c r="BJ46" s="28"/>
      <c r="BK46" s="29"/>
      <c r="BL46" s="28"/>
      <c r="BM46" s="27"/>
      <c r="BN46" s="31" t="n">
        <f aca="false">IF($B46="",0,IFERROR(SUMPRODUCT(MAX((Antropometria!$B$8:$B$407=$B46)*Antropometria!$A$8:$A$407)),0))</f>
        <v>0</v>
      </c>
    </row>
    <row r="47" customFormat="false" ht="15" hidden="false" customHeight="false" outlineLevel="0" collapsed="false">
      <c r="A47" s="26" t="str">
        <f aca="false">IF($B47="","","ATL-"&amp;TEXT(ROW()-7,"000"))</f>
        <v/>
      </c>
      <c r="B47" s="27"/>
      <c r="C47" s="28"/>
      <c r="D47" s="29"/>
      <c r="E47" s="26" t="n">
        <f aca="true">IFERROR(DATEDIF($D47,TODAY(),"Y"),"")</f>
        <v>126</v>
      </c>
      <c r="F47" s="28"/>
      <c r="G47" s="28"/>
      <c r="H47" s="27"/>
      <c r="I47" s="28"/>
      <c r="J47" s="28"/>
      <c r="K47" s="28"/>
      <c r="L47" s="28"/>
      <c r="M47" s="28"/>
      <c r="N47" s="28"/>
      <c r="O47" s="30" t="str">
        <f aca="false">IF(OR($B47="",$BN47=0),"",IFERROR(AVERAGEIFS(Antropometria!$F$8:$F$407,Antropometria!$B$8:$B$407,$B47,Antropometria!$A$8:$A$407,$BN47),""))</f>
        <v/>
      </c>
      <c r="P47" s="30" t="str">
        <f aca="false">IF(OR($B47="",$BN47=0),"",IFERROR(AVERAGEIFS(Antropometria!$E$8:$E$407,Antropometria!$B$8:$B$407,$B47,Antropometria!$A$8:$A$407,$BN47),""))</f>
        <v/>
      </c>
      <c r="Q47" s="30" t="str">
        <f aca="false">IFERROR(ROUND($P47/($O47/100)^2,1),"")</f>
        <v/>
      </c>
      <c r="R47" s="28"/>
      <c r="S47" s="27"/>
      <c r="T47" s="27"/>
      <c r="U47" s="27"/>
      <c r="V47" s="28"/>
      <c r="W47" s="28"/>
      <c r="X47" s="28"/>
      <c r="Y47" s="28"/>
      <c r="Z47" s="28"/>
      <c r="AA47" s="28"/>
      <c r="AB47" s="28"/>
      <c r="AC47" s="27"/>
      <c r="AD47" s="28"/>
      <c r="AE47" s="28"/>
      <c r="AF47" s="27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6" t="n">
        <f aca="false">IFERROR($E47-$AS47,"")</f>
        <v>126</v>
      </c>
      <c r="AU47" s="28"/>
      <c r="AV47" s="27"/>
      <c r="AW47" s="27"/>
      <c r="AX47" s="27"/>
      <c r="AY47" s="28"/>
      <c r="AZ47" s="27"/>
      <c r="BA47" s="27"/>
      <c r="BB47" s="27"/>
      <c r="BC47" s="27"/>
      <c r="BD47" s="28"/>
      <c r="BE47" s="27"/>
      <c r="BF47" s="29"/>
      <c r="BG47" s="29"/>
      <c r="BH47" s="26" t="str">
        <f aca="true">IF($BG47="","",IF($BG47&lt;TODAY(),"VENCIDO",IF($BG47&lt;=TODAY()+30,"Vence em 30 dias","Válido")))</f>
        <v/>
      </c>
      <c r="BI47" s="28"/>
      <c r="BJ47" s="28"/>
      <c r="BK47" s="29"/>
      <c r="BL47" s="28"/>
      <c r="BM47" s="27"/>
      <c r="BN47" s="31" t="n">
        <f aca="false">IF($B47="",0,IFERROR(SUMPRODUCT(MAX((Antropometria!$B$8:$B$407=$B47)*Antropometria!$A$8:$A$407)),0))</f>
        <v>0</v>
      </c>
    </row>
  </sheetData>
  <autoFilter ref="A7:BM47"/>
  <mergeCells count="10">
    <mergeCell ref="A1:BM1"/>
    <mergeCell ref="A2:BM2"/>
    <mergeCell ref="B4:AN4"/>
    <mergeCell ref="A6:L6"/>
    <mergeCell ref="M6:Q6"/>
    <mergeCell ref="R6:Y6"/>
    <mergeCell ref="Z6:AR6"/>
    <mergeCell ref="AS6:AX6"/>
    <mergeCell ref="AY6:BJ6"/>
    <mergeCell ref="BK6:BM6"/>
  </mergeCells>
  <conditionalFormatting sqref="BL8:BL47">
    <cfRule type="cellIs" priority="2" operator="equal" aboveAverage="0" equalAverage="0" bottom="0" percent="0" rank="0" text="" dxfId="10">
      <formula>"Ativo"</formula>
    </cfRule>
    <cfRule type="cellIs" priority="3" operator="equal" aboveAverage="0" equalAverage="0" bottom="0" percent="0" rank="0" text="" dxfId="11">
      <formula>"Lesionado"</formula>
    </cfRule>
    <cfRule type="cellIs" priority="4" operator="equal" aboveAverage="0" equalAverage="0" bottom="0" percent="0" rank="0" text="" dxfId="11">
      <formula>"Departamento Médico"</formula>
    </cfRule>
  </conditionalFormatting>
  <conditionalFormatting sqref="BH8:BH47">
    <cfRule type="cellIs" priority="5" operator="equal" aboveAverage="0" equalAverage="0" bottom="0" percent="0" rank="0" text="" dxfId="11">
      <formula>"VENCIDO"</formula>
    </cfRule>
    <cfRule type="cellIs" priority="6" operator="equal" aboveAverage="0" equalAverage="0" bottom="0" percent="0" rank="0" text="" dxfId="12">
      <formula>"Vence em 30 dias"</formula>
    </cfRule>
    <cfRule type="cellIs" priority="7" operator="equal" aboveAverage="0" equalAverage="0" bottom="0" percent="0" rank="0" text="" dxfId="10">
      <formula>"Válido"</formula>
    </cfRule>
  </conditionalFormatting>
  <dataValidations count="25">
    <dataValidation allowBlank="true" errorStyle="stop" operator="between" showDropDown="false" showErrorMessage="false" showInputMessage="false" sqref="F8:F47" type="list">
      <formula1>Listas!$C$5:$C$16</formula1>
      <formula2>0</formula2>
    </dataValidation>
    <dataValidation allowBlank="true" errorStyle="stop" operator="between" showDropDown="false" showErrorMessage="false" showInputMessage="false" sqref="K8:K47" type="list">
      <formula1>Listas!$B$5:$B$16</formula1>
      <formula2>0</formula2>
    </dataValidation>
    <dataValidation allowBlank="true" errorStyle="stop" operator="between" showDropDown="false" showErrorMessage="false" showInputMessage="false" sqref="L8:L47" type="list">
      <formula1>Listas!$A$5:$A$16</formula1>
      <formula2>0</formula2>
    </dataValidation>
    <dataValidation allowBlank="true" errorStyle="stop" operator="between" showDropDown="false" showErrorMessage="false" showInputMessage="false" sqref="M8:M47" type="list">
      <formula1>Listas!$D$5:$D$16</formula1>
      <formula2>0</formula2>
    </dataValidation>
    <dataValidation allowBlank="true" errorStyle="stop" operator="between" showDropDown="false" showErrorMessage="false" showInputMessage="false" sqref="N8:N47" type="list">
      <formula1>Listas!$U$5:$U$16</formula1>
      <formula2>0</formula2>
    </dataValidation>
    <dataValidation allowBlank="true" errorStyle="stop" operator="between" showDropDown="false" showErrorMessage="false" showInputMessage="false" sqref="Z8:Z47" type="list">
      <formula1>Listas!$V$5:$V$16</formula1>
      <formula2>0</formula2>
    </dataValidation>
    <dataValidation allowBlank="true" errorStyle="stop" operator="between" showDropDown="false" showErrorMessage="false" showInputMessage="false" sqref="AA8:AA47" type="list">
      <formula1>Listas!$W$5:$W$16</formula1>
      <formula2>0</formula2>
    </dataValidation>
    <dataValidation allowBlank="true" errorStyle="stop" operator="between" showDropDown="false" showErrorMessage="false" showInputMessage="false" sqref="AB8:AB47" type="list">
      <formula1>Listas!$X$5:$X$16</formula1>
      <formula2>0</formula2>
    </dataValidation>
    <dataValidation allowBlank="true" errorStyle="stop" operator="between" showDropDown="false" showErrorMessage="false" showInputMessage="false" sqref="AD8:AD47" type="list">
      <formula1>Listas!$Y$5:$Y$16</formula1>
      <formula2>0</formula2>
    </dataValidation>
    <dataValidation allowBlank="true" errorStyle="stop" operator="between" showDropDown="false" showErrorMessage="false" showInputMessage="false" sqref="AH8:AH47" type="list">
      <formula1>Listas!$Z$5:$Z$16</formula1>
      <formula2>0</formula2>
    </dataValidation>
    <dataValidation allowBlank="true" errorStyle="stop" operator="between" showDropDown="false" showErrorMessage="false" showInputMessage="false" sqref="AI8:AI47" type="list">
      <formula1>Listas!$AA$5:$AA$16</formula1>
      <formula2>0</formula2>
    </dataValidation>
    <dataValidation allowBlank="true" errorStyle="stop" operator="between" showDropDown="false" showErrorMessage="false" showInputMessage="false" sqref="AJ8:AJ47" type="list">
      <formula1>Listas!$AB$5:$AB$16</formula1>
      <formula2>0</formula2>
    </dataValidation>
    <dataValidation allowBlank="true" errorStyle="stop" operator="between" showDropDown="false" showErrorMessage="false" showInputMessage="false" sqref="AK8:AK47" type="list">
      <formula1>Listas!$AC$5:$AC$16</formula1>
      <formula2>0</formula2>
    </dataValidation>
    <dataValidation allowBlank="true" errorStyle="stop" operator="between" showDropDown="false" showErrorMessage="false" showInputMessage="false" sqref="AM8:AM47" type="list">
      <formula1>Listas!$Y$5:$Y$16</formula1>
      <formula2>0</formula2>
    </dataValidation>
    <dataValidation allowBlank="true" errorStyle="stop" operator="between" showDropDown="false" showErrorMessage="false" showInputMessage="false" sqref="AN8:AN47" type="list">
      <formula1>Listas!$Y$5:$Y$16</formula1>
      <formula2>0</formula2>
    </dataValidation>
    <dataValidation allowBlank="true" errorStyle="stop" operator="between" showDropDown="false" showErrorMessage="false" showInputMessage="false" sqref="AO8:AO47" type="list">
      <formula1>Listas!$Y$5:$Y$16</formula1>
      <formula2>0</formula2>
    </dataValidation>
    <dataValidation allowBlank="true" errorStyle="stop" operator="between" showDropDown="false" showErrorMessage="false" showInputMessage="false" sqref="AP8:AP47" type="list">
      <formula1>Listas!$Y$5:$Y$16</formula1>
      <formula2>0</formula2>
    </dataValidation>
    <dataValidation allowBlank="true" errorStyle="stop" operator="between" showDropDown="false" showErrorMessage="false" showInputMessage="false" sqref="AR8:AR47" type="list">
      <formula1>Listas!$Y$5:$Y$16</formula1>
      <formula2>0</formula2>
    </dataValidation>
    <dataValidation allowBlank="true" errorStyle="stop" operator="between" showDropDown="false" showErrorMessage="false" showInputMessage="false" sqref="AV8:AV47" type="list">
      <formula1>Listas!$AD$5:$AD$16</formula1>
      <formula2>0</formula2>
    </dataValidation>
    <dataValidation allowBlank="true" errorStyle="stop" operator="between" showDropDown="false" showErrorMessage="false" showInputMessage="false" sqref="AY8:AY47" type="list">
      <formula1>Listas!$AE$5:$AE$16</formula1>
      <formula2>0</formula2>
    </dataValidation>
    <dataValidation allowBlank="true" errorStyle="stop" operator="between" showDropDown="false" showErrorMessage="false" showInputMessage="false" sqref="BC8:BC47" type="list">
      <formula1>Listas!$AF$5:$AF$16</formula1>
      <formula2>0</formula2>
    </dataValidation>
    <dataValidation allowBlank="true" errorStyle="stop" operator="between" showDropDown="false" showErrorMessage="false" showInputMessage="false" sqref="BE8:BE47" type="list">
      <formula1>Listas!$AF$5:$AF$16</formula1>
      <formula2>0</formula2>
    </dataValidation>
    <dataValidation allowBlank="true" errorStyle="stop" operator="between" showDropDown="false" showErrorMessage="false" showInputMessage="false" sqref="BI8:BI47" type="list">
      <formula1>Listas!$Y$5:$Y$16</formula1>
      <formula2>0</formula2>
    </dataValidation>
    <dataValidation allowBlank="true" errorStyle="stop" operator="between" showDropDown="false" showErrorMessage="false" showInputMessage="false" sqref="BJ8:BJ47" type="list">
      <formula1>Listas!$Y$5:$Y$16</formula1>
      <formula2>0</formula2>
    </dataValidation>
    <dataValidation allowBlank="true" errorStyle="stop" operator="between" showDropDown="false" showErrorMessage="false" showInputMessage="false" sqref="BL8:BL47" type="list">
      <formula1>Listas!$E$5:$E$16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A"/>
    <pageSetUpPr fitToPage="true"/>
  </sheetPr>
  <dimension ref="A1:AV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5"/>
    <col collapsed="false" customWidth="true" hidden="false" outlineLevel="0" max="32" min="9" style="0" width="11"/>
    <col collapsed="false" customWidth="true" hidden="false" outlineLevel="0" max="33" min="33" style="0" width="15"/>
    <col collapsed="false" customWidth="true" hidden="false" outlineLevel="0" max="34" min="34" style="0" width="13"/>
    <col collapsed="false" customWidth="true" hidden="false" outlineLevel="0" max="35" min="35" style="0" width="15"/>
    <col collapsed="false" customWidth="true" hidden="false" outlineLevel="0" max="36" min="36" style="0" width="13"/>
    <col collapsed="false" customWidth="true" hidden="false" outlineLevel="0" max="37" min="37" style="0" width="14"/>
    <col collapsed="false" customWidth="true" hidden="false" outlineLevel="0" max="38" min="38" style="0" width="12"/>
    <col collapsed="false" customWidth="true" hidden="false" outlineLevel="0" max="40" min="39" style="0" width="13"/>
    <col collapsed="false" customWidth="true" hidden="false" outlineLevel="0" max="41" min="41" style="0" width="9"/>
    <col collapsed="false" customWidth="true" hidden="false" outlineLevel="0" max="42" min="42" style="0" width="13"/>
    <col collapsed="false" customWidth="true" hidden="false" outlineLevel="0" max="43" min="43" style="0" width="14"/>
    <col collapsed="false" customWidth="true" hidden="false" outlineLevel="0" max="44" min="44" style="0" width="11"/>
    <col collapsed="false" customWidth="true" hidden="false" outlineLevel="0" max="47" min="45" style="0" width="12"/>
    <col collapsed="false" customWidth="true" hidden="false" outlineLevel="0" max="48" min="48" style="0" width="20"/>
  </cols>
  <sheetData>
    <row r="1" customFormat="false" ht="30" hidden="false" customHeight="true" outlineLevel="0" collapsed="false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customFormat="false" ht="15.75" hidden="false" customHeight="true" outlineLevel="0" collapsed="false">
      <c r="A2" s="2" t="s">
        <v>287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4" customFormat="false" ht="33.75" hidden="false" customHeight="true" outlineLevel="0" collapsed="false">
      <c r="A4" s="17" t="s">
        <v>288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6" customFormat="false" ht="18" hidden="false" customHeight="true" outlineLevel="0" collapsed="false">
      <c r="A6" s="18" t="s">
        <v>289</v>
      </c>
      <c r="B6" s="18"/>
      <c r="C6" s="18"/>
      <c r="D6" s="18"/>
      <c r="E6" s="18"/>
      <c r="F6" s="18"/>
      <c r="G6" s="18"/>
      <c r="H6" s="18"/>
      <c r="I6" s="21" t="s">
        <v>290</v>
      </c>
      <c r="J6" s="21"/>
      <c r="K6" s="21"/>
      <c r="L6" s="21"/>
      <c r="M6" s="21"/>
      <c r="N6" s="21"/>
      <c r="O6" s="21"/>
      <c r="P6" s="21"/>
      <c r="Q6" s="21"/>
      <c r="R6" s="21"/>
      <c r="S6" s="20" t="s">
        <v>291</v>
      </c>
      <c r="T6" s="20"/>
      <c r="U6" s="20"/>
      <c r="V6" s="20"/>
      <c r="W6" s="20"/>
      <c r="X6" s="20"/>
      <c r="Y6" s="20"/>
      <c r="Z6" s="20"/>
      <c r="AA6" s="20"/>
      <c r="AB6" s="20"/>
      <c r="AC6" s="22" t="s">
        <v>292</v>
      </c>
      <c r="AD6" s="22"/>
      <c r="AE6" s="22"/>
      <c r="AF6" s="22"/>
      <c r="AG6" s="19" t="s">
        <v>293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</row>
    <row r="7" customFormat="false" ht="31.5" hidden="false" customHeight="true" outlineLevel="0" collapsed="false">
      <c r="A7" s="25" t="s">
        <v>294</v>
      </c>
      <c r="B7" s="25" t="s">
        <v>295</v>
      </c>
      <c r="C7" s="25" t="s">
        <v>296</v>
      </c>
      <c r="D7" s="25" t="s">
        <v>297</v>
      </c>
      <c r="E7" s="25" t="s">
        <v>113</v>
      </c>
      <c r="F7" s="25" t="s">
        <v>112</v>
      </c>
      <c r="G7" s="25" t="s">
        <v>298</v>
      </c>
      <c r="H7" s="25" t="s">
        <v>299</v>
      </c>
      <c r="I7" s="25" t="s">
        <v>300</v>
      </c>
      <c r="J7" s="25" t="s">
        <v>301</v>
      </c>
      <c r="K7" s="25" t="s">
        <v>302</v>
      </c>
      <c r="L7" s="25" t="s">
        <v>303</v>
      </c>
      <c r="M7" s="25" t="s">
        <v>304</v>
      </c>
      <c r="N7" s="25" t="s">
        <v>305</v>
      </c>
      <c r="O7" s="25" t="s">
        <v>306</v>
      </c>
      <c r="P7" s="25" t="s">
        <v>307</v>
      </c>
      <c r="Q7" s="25" t="s">
        <v>308</v>
      </c>
      <c r="R7" s="25" t="s">
        <v>309</v>
      </c>
      <c r="S7" s="25" t="s">
        <v>310</v>
      </c>
      <c r="T7" s="25" t="s">
        <v>311</v>
      </c>
      <c r="U7" s="25" t="s">
        <v>312</v>
      </c>
      <c r="V7" s="25" t="s">
        <v>313</v>
      </c>
      <c r="W7" s="25" t="s">
        <v>314</v>
      </c>
      <c r="X7" s="25" t="s">
        <v>315</v>
      </c>
      <c r="Y7" s="25" t="s">
        <v>316</v>
      </c>
      <c r="Z7" s="25" t="s">
        <v>317</v>
      </c>
      <c r="AA7" s="25" t="s">
        <v>318</v>
      </c>
      <c r="AB7" s="25" t="s">
        <v>319</v>
      </c>
      <c r="AC7" s="25" t="s">
        <v>320</v>
      </c>
      <c r="AD7" s="25" t="s">
        <v>321</v>
      </c>
      <c r="AE7" s="25" t="s">
        <v>322</v>
      </c>
      <c r="AF7" s="25" t="s">
        <v>323</v>
      </c>
      <c r="AG7" s="25" t="s">
        <v>324</v>
      </c>
      <c r="AH7" s="25" t="s">
        <v>325</v>
      </c>
      <c r="AI7" s="25" t="s">
        <v>326</v>
      </c>
      <c r="AJ7" s="25" t="s">
        <v>327</v>
      </c>
      <c r="AK7" s="25" t="s">
        <v>328</v>
      </c>
      <c r="AL7" s="25" t="s">
        <v>329</v>
      </c>
      <c r="AM7" s="25" t="s">
        <v>330</v>
      </c>
      <c r="AN7" s="25" t="s">
        <v>331</v>
      </c>
      <c r="AO7" s="25" t="s">
        <v>114</v>
      </c>
      <c r="AP7" s="25" t="s">
        <v>332</v>
      </c>
      <c r="AQ7" s="25" t="s">
        <v>333</v>
      </c>
      <c r="AR7" s="25" t="s">
        <v>334</v>
      </c>
      <c r="AS7" s="25" t="s">
        <v>335</v>
      </c>
      <c r="AT7" s="25" t="s">
        <v>336</v>
      </c>
      <c r="AU7" s="25" t="s">
        <v>337</v>
      </c>
      <c r="AV7" s="25" t="s">
        <v>338</v>
      </c>
    </row>
    <row r="8" customFormat="false" ht="15" hidden="false" customHeight="false" outlineLevel="0" collapsed="false">
      <c r="A8" s="29" t="n">
        <v>46034</v>
      </c>
      <c r="B8" s="27" t="s">
        <v>164</v>
      </c>
      <c r="C8" s="28" t="s">
        <v>339</v>
      </c>
      <c r="D8" s="27" t="s">
        <v>340</v>
      </c>
      <c r="E8" s="32" t="n">
        <v>88</v>
      </c>
      <c r="F8" s="32" t="n">
        <v>196</v>
      </c>
      <c r="G8" s="32" t="n">
        <v>102.3</v>
      </c>
      <c r="H8" s="32" t="n">
        <v>201.9</v>
      </c>
      <c r="I8" s="32" t="n">
        <v>8.1</v>
      </c>
      <c r="J8" s="32" t="n">
        <v>13</v>
      </c>
      <c r="K8" s="32" t="n">
        <v>5.4</v>
      </c>
      <c r="L8" s="32" t="n">
        <v>6.9</v>
      </c>
      <c r="M8" s="32" t="n">
        <v>7</v>
      </c>
      <c r="N8" s="32" t="n">
        <v>10</v>
      </c>
      <c r="O8" s="32" t="n">
        <v>8</v>
      </c>
      <c r="P8" s="32" t="n">
        <v>14.1</v>
      </c>
      <c r="Q8" s="32" t="n">
        <v>9.7</v>
      </c>
      <c r="R8" s="32" t="n">
        <v>6.8</v>
      </c>
      <c r="S8" s="32" t="n">
        <v>34.8</v>
      </c>
      <c r="T8" s="32" t="n">
        <v>36.3</v>
      </c>
      <c r="U8" s="32" t="n">
        <v>27.1</v>
      </c>
      <c r="V8" s="32" t="n">
        <v>98.5</v>
      </c>
      <c r="W8" s="32" t="n">
        <v>85.6</v>
      </c>
      <c r="X8" s="32" t="n">
        <v>82.2</v>
      </c>
      <c r="Y8" s="32" t="n">
        <v>101.6</v>
      </c>
      <c r="Z8" s="32" t="n">
        <v>60.2</v>
      </c>
      <c r="AA8" s="32" t="n">
        <v>38.1</v>
      </c>
      <c r="AB8" s="32" t="n">
        <v>18.5</v>
      </c>
      <c r="AC8" s="32" t="n">
        <v>44.1</v>
      </c>
      <c r="AD8" s="32" t="n">
        <v>27.7</v>
      </c>
      <c r="AE8" s="32" t="n">
        <v>7.3</v>
      </c>
      <c r="AF8" s="32" t="n">
        <v>10.2</v>
      </c>
      <c r="AG8" s="33" t="n">
        <f aca="false">IFERROR(DATEDIF(INDEX(Cadastro!$D$8:$D$47,MATCH($B8,Cadastro!$B$8:$B$47,0)),$A8,"Y"),"")</f>
        <v>27</v>
      </c>
      <c r="AH8" s="33" t="n">
        <f aca="false">IF(COUNT($I8,$K8,$J8,$N8)&lt;4,"",$I8+$K8+$J8+$N8)</f>
        <v>36.5</v>
      </c>
      <c r="AI8" s="33" t="n">
        <f aca="false">IF(COUNT($L8,$M8,$I8,$J8,$P8,$N8,$Q8)&lt;7,"",$L8+$M8+$I8+$J8+$P8+$N8+$Q8)</f>
        <v>68.8</v>
      </c>
      <c r="AJ8" s="33" t="n">
        <f aca="false">IF(COUNT($I8,$J8,$K8,$O8,$P8,$Q8,$R8,$N8)&lt;8,"",$I8+$J8+$K8+$O8+$P8+$Q8+$R8+$N8)</f>
        <v>75.1</v>
      </c>
      <c r="AK8" s="34" t="n">
        <f aca="false">IF(OR($AI8="",$AG8=""),"",IF(IFERROR(INDEX(Cadastro!$F$8:$F$47,MATCH($B8,Cadastro!$B$8:$B$47,0)),"")="Feminino",1.097-0.00046971*$AI8+0.00000056*$AI8^2-0.00012828*$AG8,1.112-0.00043499*$AI8+0.00000055*$AI8^2-0.00028826*$AG8))</f>
        <v>1.07689306</v>
      </c>
      <c r="AL8" s="30" t="n">
        <f aca="false">IF(OR($AK8="",$AK8=0),"",495/$AK8-450)</f>
        <v>9.65566905965579</v>
      </c>
      <c r="AM8" s="35" t="n">
        <f aca="false">IF(OR($AL8="",$E8=""),"",$E8*$AL8/100)</f>
        <v>8.4969887724971</v>
      </c>
      <c r="AN8" s="30" t="n">
        <f aca="false">IF(OR($AM8="",$E8=""),"",$E8-$AM8)</f>
        <v>79.5030112275029</v>
      </c>
      <c r="AO8" s="35" t="n">
        <f aca="false">IFERROR($E8/($F8/100)^2,"")</f>
        <v>22.9071220324865</v>
      </c>
      <c r="AP8" s="35" t="n">
        <f aca="false">IFERROR($G8/$F8*100,"")</f>
        <v>52.1938775510204</v>
      </c>
      <c r="AQ8" s="36" t="n">
        <f aca="false">IFERROR($W8/$F8,"")</f>
        <v>0.436734693877551</v>
      </c>
      <c r="AR8" s="35" t="n">
        <f aca="false">IF(OR($S8="",$I8=""),"",($S8-PI()*$I8/10)^2/(4*PI())-IF(IFERROR(INDEX(Cadastro!$F$8:$F$47,MATCH($B8,Cadastro!$B$8:$B$47,0)),"")="Feminino",6.5,10))</f>
        <v>72.7928008760095</v>
      </c>
      <c r="AS8" s="35" t="n">
        <f aca="false">IF(OR($I8="",$J8="",$O8="",$F8=""),"",-0.7182+0.1451*(($I8+$J8+$O8)*(170.18/$F8))-0.00068*(($I8+$J8+$O8)*(170.18/$F8))^2+0.0000014*(($I8+$J8+$O8)*(170.18/$F8))^3)</f>
        <v>2.53644421587428</v>
      </c>
      <c r="AT8" s="35" t="n">
        <f aca="false">IF(OR($AE8="",$AF8="",$T8="",$AA8="",$F8=""),"",0.858*$AE8+0.601*$AF8+0.188*($T8-$I8/10)+0.161*($AA8-$R8/10)-0.131*$F8+4.5)</f>
        <v>3.91434</v>
      </c>
      <c r="AU8" s="35" t="n">
        <f aca="false">IF(OR($E8="",$F8=""),"",IF($F8/$E8^(1/3)&gt;=40.75,0.732*($F8/$E8^(1/3))-28.58,IF($F8/$E8^(1/3)&gt;=38.25,0.463*($F8/$E8^(1/3))-17.63,0.1)))</f>
        <v>3.6756844389899</v>
      </c>
      <c r="AV8" s="37" t="str">
        <f aca="false">IF(OR($AS8="",$AT8="",$AU8=""),"",IF(AND($AT8&gt;=$AS8,$AT8&gt;=$AU8),"Mesomorfo dominante",IF(AND($AU8&gt;=$AS8,$AU8&gt;=$AT8),"Ectomorfo dominante","Endomorfo dominante")))</f>
        <v>Mesomorfo dominante</v>
      </c>
    </row>
    <row r="9" customFormat="false" ht="15" hidden="false" customHeight="false" outlineLevel="0" collapsed="false">
      <c r="A9" s="29" t="n">
        <v>46034</v>
      </c>
      <c r="B9" s="27" t="s">
        <v>192</v>
      </c>
      <c r="C9" s="28" t="s">
        <v>339</v>
      </c>
      <c r="D9" s="27" t="s">
        <v>340</v>
      </c>
      <c r="E9" s="32" t="n">
        <v>95</v>
      </c>
      <c r="F9" s="32" t="n">
        <v>202</v>
      </c>
      <c r="G9" s="32" t="n">
        <v>105.4</v>
      </c>
      <c r="H9" s="32" t="n">
        <v>207</v>
      </c>
      <c r="I9" s="32" t="n">
        <v>9</v>
      </c>
      <c r="J9" s="32" t="n">
        <v>12.4</v>
      </c>
      <c r="K9" s="32" t="n">
        <v>3.1</v>
      </c>
      <c r="L9" s="32" t="n">
        <v>6.3</v>
      </c>
      <c r="M9" s="32" t="n">
        <v>7.9</v>
      </c>
      <c r="N9" s="32" t="n">
        <v>9.1</v>
      </c>
      <c r="O9" s="32" t="n">
        <v>7</v>
      </c>
      <c r="P9" s="32" t="n">
        <v>11.8</v>
      </c>
      <c r="Q9" s="32" t="n">
        <v>9.1</v>
      </c>
      <c r="R9" s="32" t="n">
        <v>6.8</v>
      </c>
      <c r="S9" s="32" t="n">
        <v>33.8</v>
      </c>
      <c r="T9" s="32" t="n">
        <v>33.7</v>
      </c>
      <c r="U9" s="32" t="n">
        <v>29.3</v>
      </c>
      <c r="V9" s="32" t="n">
        <v>99.9</v>
      </c>
      <c r="W9" s="32" t="n">
        <v>84.2</v>
      </c>
      <c r="X9" s="32" t="n">
        <v>87.8</v>
      </c>
      <c r="Y9" s="32" t="n">
        <v>98.3</v>
      </c>
      <c r="Z9" s="32" t="n">
        <v>56.3</v>
      </c>
      <c r="AA9" s="32" t="n">
        <v>39.3</v>
      </c>
      <c r="AB9" s="32" t="n">
        <v>18.5</v>
      </c>
      <c r="AC9" s="32" t="n">
        <v>42.4</v>
      </c>
      <c r="AD9" s="32" t="n">
        <v>29.8</v>
      </c>
      <c r="AE9" s="32" t="n">
        <v>7.5</v>
      </c>
      <c r="AF9" s="32" t="n">
        <v>9.6</v>
      </c>
      <c r="AG9" s="33" t="n">
        <f aca="false">IFERROR(DATEDIF(INDEX(Cadastro!$D$8:$D$47,MATCH($B9,Cadastro!$B$8:$B$47,0)),$A9,"Y"),"")</f>
        <v>29</v>
      </c>
      <c r="AH9" s="33" t="n">
        <f aca="false">IF(COUNT($I9,$K9,$J9,$N9)&lt;4,"",$I9+$K9+$J9+$N9)</f>
        <v>33.6</v>
      </c>
      <c r="AI9" s="33" t="n">
        <f aca="false">IF(COUNT($L9,$M9,$I9,$J9,$P9,$N9,$Q9)&lt;7,"",$L9+$M9+$I9+$J9+$P9+$N9+$Q9)</f>
        <v>65.6</v>
      </c>
      <c r="AJ9" s="33" t="n">
        <f aca="false">IF(COUNT($I9,$J9,$K9,$O9,$P9,$Q9,$R9,$N9)&lt;8,"",$I9+$J9+$K9+$O9+$P9+$Q9+$R9+$N9)</f>
        <v>68.3</v>
      </c>
      <c r="AK9" s="34" t="n">
        <f aca="false">IF(OR($AI9="",$AG9=""),"",IF(IFERROR(INDEX(Cadastro!$F$8:$F$47,MATCH($B9,Cadastro!$B$8:$B$47,0)),"")="Feminino",1.097-0.00046971*$AI9+0.00000056*$AI9^2-0.00012828*$AG9,1.112-0.00043499*$AI9+0.00000055*$AI9^2-0.00028826*$AG9))</f>
        <v>1.077471964</v>
      </c>
      <c r="AL9" s="30" t="n">
        <f aca="false">IF(OR($AK9="",$AK9=0),"",495/$AK9-450)</f>
        <v>9.4087053201506</v>
      </c>
      <c r="AM9" s="35" t="n">
        <f aca="false">IF(OR($AL9="",$E9=""),"",$E9*$AL9/100)</f>
        <v>8.93827005414307</v>
      </c>
      <c r="AN9" s="30" t="n">
        <f aca="false">IF(OR($AM9="",$E9=""),"",$E9-$AM9)</f>
        <v>86.0617299458569</v>
      </c>
      <c r="AO9" s="35" t="n">
        <f aca="false">IFERROR($E9/($F9/100)^2,"")</f>
        <v>23.2820311734144</v>
      </c>
      <c r="AP9" s="35" t="n">
        <f aca="false">IFERROR($G9/$F9*100,"")</f>
        <v>52.1782178217822</v>
      </c>
      <c r="AQ9" s="36" t="n">
        <f aca="false">IFERROR($W9/$F9,"")</f>
        <v>0.416831683168317</v>
      </c>
      <c r="AR9" s="35" t="n">
        <f aca="false">IF(OR($S9="",$I9=""),"",($S9-PI()*$I9/10)^2/(4*PI())-IF(IFERROR(INDEX(Cadastro!$F$8:$F$47,MATCH($B9,Cadastro!$B$8:$B$47,0)),"")="Feminino",6.5,10))</f>
        <v>66.3386591053044</v>
      </c>
      <c r="AS9" s="35" t="n">
        <f aca="false">IF(OR($I9="",$J9="",$O9="",$F9=""),"",-0.7182+0.1451*(($I9+$J9+$O9)*(170.18/$F9))-0.00068*(($I9+$J9+$O9)*(170.18/$F9))^2+0.0000014*(($I9+$J9+$O9)*(170.18/$F9))^3)</f>
        <v>2.38340351488571</v>
      </c>
      <c r="AT9" s="35" t="n">
        <f aca="false">IF(OR($AE9="",$AF9="",$T9="",$AA9="",$F9=""),"",0.858*$AE9+0.601*$AF9+0.188*($T9-$I9/10)+0.161*($AA9-$R9/10)-0.131*$F9+4.5)</f>
        <v>2.62682</v>
      </c>
      <c r="AU9" s="35" t="n">
        <f aca="false">IF(OR($E9="",$F9=""),"",IF($F9/$E9^(1/3)&gt;=40.75,0.732*($F9/$E9^(1/3))-28.58,IF($F9/$E9^(1/3)&gt;=38.25,0.463*($F9/$E9^(1/3))-17.63,0.1)))</f>
        <v>3.8256881804273</v>
      </c>
      <c r="AV9" s="37" t="str">
        <f aca="false">IF(OR($AS9="",$AT9="",$AU9=""),"",IF(AND($AT9&gt;=$AS9,$AT9&gt;=$AU9),"Mesomorfo dominante",IF(AND($AU9&gt;=$AS9,$AU9&gt;=$AT9),"Ectomorfo dominante","Endomorfo dominante")))</f>
        <v>Ectomorfo dominante</v>
      </c>
    </row>
    <row r="10" customFormat="false" ht="15" hidden="false" customHeight="false" outlineLevel="0" collapsed="false">
      <c r="A10" s="29" t="n">
        <v>46034</v>
      </c>
      <c r="B10" s="27" t="s">
        <v>206</v>
      </c>
      <c r="C10" s="28" t="s">
        <v>339</v>
      </c>
      <c r="D10" s="27" t="s">
        <v>340</v>
      </c>
      <c r="E10" s="32" t="n">
        <v>89</v>
      </c>
      <c r="F10" s="32" t="n">
        <v>198</v>
      </c>
      <c r="G10" s="32" t="n">
        <v>103.4</v>
      </c>
      <c r="H10" s="32" t="n">
        <v>203</v>
      </c>
      <c r="I10" s="32" t="n">
        <v>9.3</v>
      </c>
      <c r="J10" s="32" t="n">
        <v>9.5</v>
      </c>
      <c r="K10" s="32" t="n">
        <v>5.5</v>
      </c>
      <c r="L10" s="32" t="n">
        <v>6.4</v>
      </c>
      <c r="M10" s="32" t="n">
        <v>7.3</v>
      </c>
      <c r="N10" s="32" t="n">
        <v>13.8</v>
      </c>
      <c r="O10" s="32" t="n">
        <v>8.3</v>
      </c>
      <c r="P10" s="32" t="n">
        <v>14.9</v>
      </c>
      <c r="Q10" s="32" t="n">
        <v>11.1</v>
      </c>
      <c r="R10" s="32" t="n">
        <v>8</v>
      </c>
      <c r="S10" s="32" t="n">
        <v>31.3</v>
      </c>
      <c r="T10" s="32" t="n">
        <v>35.3</v>
      </c>
      <c r="U10" s="32" t="n">
        <v>28.7</v>
      </c>
      <c r="V10" s="32" t="n">
        <v>99.1</v>
      </c>
      <c r="W10" s="32" t="n">
        <v>84.8</v>
      </c>
      <c r="X10" s="32" t="n">
        <v>81.3</v>
      </c>
      <c r="Y10" s="32" t="n">
        <v>96.5</v>
      </c>
      <c r="Z10" s="32" t="n">
        <v>59.4</v>
      </c>
      <c r="AA10" s="32" t="n">
        <v>40.7</v>
      </c>
      <c r="AB10" s="32" t="n">
        <v>18.6</v>
      </c>
      <c r="AC10" s="32" t="n">
        <v>44.5</v>
      </c>
      <c r="AD10" s="32" t="n">
        <v>28.6</v>
      </c>
      <c r="AE10" s="32" t="n">
        <v>7.3</v>
      </c>
      <c r="AF10" s="32" t="n">
        <v>9.6</v>
      </c>
      <c r="AG10" s="33" t="n">
        <f aca="false">IFERROR(DATEDIF(INDEX(Cadastro!$D$8:$D$47,MATCH($B10,Cadastro!$B$8:$B$47,0)),$A10,"Y"),"")</f>
        <v>25</v>
      </c>
      <c r="AH10" s="33" t="n">
        <f aca="false">IF(COUNT($I10,$K10,$J10,$N10)&lt;4,"",$I10+$K10+$J10+$N10)</f>
        <v>38.1</v>
      </c>
      <c r="AI10" s="33" t="n">
        <f aca="false">IF(COUNT($L10,$M10,$I10,$J10,$P10,$N10,$Q10)&lt;7,"",$L10+$M10+$I10+$J10+$P10+$N10+$Q10)</f>
        <v>72.3</v>
      </c>
      <c r="AJ10" s="33" t="n">
        <f aca="false">IF(COUNT($I10,$J10,$K10,$O10,$P10,$Q10,$R10,$N10)&lt;8,"",$I10+$J10+$K10+$O10+$P10+$Q10+$R10+$N10)</f>
        <v>80.4</v>
      </c>
      <c r="AK10" s="34" t="n">
        <f aca="false">IF(OR($AI10="",$AG10=""),"",IF(IFERROR(INDEX(Cadastro!$F$8:$F$47,MATCH($B10,Cadastro!$B$8:$B$47,0)),"")="Feminino",1.097-0.00046971*$AI10+0.00000056*$AI10^2-0.00012828*$AG10,1.112-0.00043499*$AI10+0.00000055*$AI10^2-0.00028826*$AG10))</f>
        <v>1.0762187325</v>
      </c>
      <c r="AL10" s="30" t="n">
        <f aca="false">IF(OR($AK10="",$AK10=0),"",495/$AK10-450)</f>
        <v>9.94367599432195</v>
      </c>
      <c r="AM10" s="35" t="n">
        <f aca="false">IF(OR($AL10="",$E10=""),"",$E10*$AL10/100)</f>
        <v>8.84987163494654</v>
      </c>
      <c r="AN10" s="30" t="n">
        <f aca="false">IF(OR($AM10="",$E10=""),"",$E10-$AM10)</f>
        <v>80.1501283650535</v>
      </c>
      <c r="AO10" s="35" t="n">
        <f aca="false">IFERROR($E10/($F10/100)^2,"")</f>
        <v>22.7017651260076</v>
      </c>
      <c r="AP10" s="35" t="n">
        <f aca="false">IFERROR($G10/$F10*100,"")</f>
        <v>52.2222222222222</v>
      </c>
      <c r="AQ10" s="36" t="n">
        <f aca="false">IFERROR($W10/$F10,"")</f>
        <v>0.428282828282828</v>
      </c>
      <c r="AR10" s="35" t="n">
        <f aca="false">IF(OR($S10="",$I10=""),"",($S10-PI()*$I10/10)^2/(4*PI())-IF(IFERROR(INDEX(Cadastro!$F$8:$F$47,MATCH($B10,Cadastro!$B$8:$B$47,0)),"")="Feminino",6.5,10))</f>
        <v>54.0860439703719</v>
      </c>
      <c r="AS10" s="35" t="n">
        <f aca="false">IF(OR($I10="",$J10="",$O10="",$F10=""),"",-0.7182+0.1451*(($I10+$J10+$O10)*(170.18/$F10))-0.00068*(($I10+$J10+$O10)*(170.18/$F10))^2+0.0000014*(($I10+$J10+$O10)*(170.18/$F10))^3)</f>
        <v>2.310284527129</v>
      </c>
      <c r="AT10" s="35" t="n">
        <f aca="false">IF(OR($AE10="",$AF10="",$T10="",$AA10="",$F10=""),"",0.858*$AE10+0.601*$AF10+0.188*($T10-$I10/10)+0.161*($AA10-$R10/10)-0.131*$F10+4.5)</f>
        <v>3.48046</v>
      </c>
      <c r="AU10" s="35" t="n">
        <f aca="false">IF(OR($E10="",$F10=""),"",IF($F10/$E10^(1/3)&gt;=40.75,0.732*($F10/$E10^(1/3))-28.58,IF($F10/$E10^(1/3)&gt;=38.25,0.463*($F10/$E10^(1/3))-17.63,0.1)))</f>
        <v>3.88232358110123</v>
      </c>
      <c r="AV10" s="37" t="str">
        <f aca="false">IF(OR($AS10="",$AT10="",$AU10=""),"",IF(AND($AT10&gt;=$AS10,$AT10&gt;=$AU10),"Mesomorfo dominante",IF(AND($AU10&gt;=$AS10,$AU10&gt;=$AT10),"Ectomorfo dominante","Endomorfo dominante")))</f>
        <v>Ectomorfo dominante</v>
      </c>
    </row>
    <row r="11" customFormat="false" ht="15" hidden="false" customHeight="false" outlineLevel="0" collapsed="false">
      <c r="A11" s="29" t="n">
        <v>46034</v>
      </c>
      <c r="B11" s="27" t="s">
        <v>215</v>
      </c>
      <c r="C11" s="28" t="s">
        <v>339</v>
      </c>
      <c r="D11" s="27" t="s">
        <v>340</v>
      </c>
      <c r="E11" s="32" t="n">
        <v>87</v>
      </c>
      <c r="F11" s="32" t="n">
        <v>197</v>
      </c>
      <c r="G11" s="32" t="n">
        <v>102.8</v>
      </c>
      <c r="H11" s="32" t="n">
        <v>202.6</v>
      </c>
      <c r="I11" s="32" t="n">
        <v>9.4</v>
      </c>
      <c r="J11" s="32" t="n">
        <v>9.7</v>
      </c>
      <c r="K11" s="32" t="n">
        <v>3</v>
      </c>
      <c r="L11" s="32" t="n">
        <v>6.4</v>
      </c>
      <c r="M11" s="32" t="n">
        <v>7.4</v>
      </c>
      <c r="N11" s="32" t="n">
        <v>13.7</v>
      </c>
      <c r="O11" s="32" t="n">
        <v>9.2</v>
      </c>
      <c r="P11" s="32" t="n">
        <v>16.6</v>
      </c>
      <c r="Q11" s="32" t="n">
        <v>13.2</v>
      </c>
      <c r="R11" s="32" t="n">
        <v>8.8</v>
      </c>
      <c r="S11" s="32" t="n">
        <v>31.6</v>
      </c>
      <c r="T11" s="32" t="n">
        <v>36.4</v>
      </c>
      <c r="U11" s="32" t="n">
        <v>29.2</v>
      </c>
      <c r="V11" s="32" t="n">
        <v>99.2</v>
      </c>
      <c r="W11" s="32" t="n">
        <v>81.4</v>
      </c>
      <c r="X11" s="32" t="n">
        <v>83.8</v>
      </c>
      <c r="Y11" s="32" t="n">
        <v>100.6</v>
      </c>
      <c r="Z11" s="32" t="n">
        <v>55.4</v>
      </c>
      <c r="AA11" s="32" t="n">
        <v>37.2</v>
      </c>
      <c r="AB11" s="32" t="n">
        <v>17.9</v>
      </c>
      <c r="AC11" s="32" t="n">
        <v>42.4</v>
      </c>
      <c r="AD11" s="32" t="n">
        <v>28.8</v>
      </c>
      <c r="AE11" s="32" t="n">
        <v>7.5</v>
      </c>
      <c r="AF11" s="32" t="n">
        <v>9.9</v>
      </c>
      <c r="AG11" s="33" t="n">
        <f aca="false">IFERROR(DATEDIF(INDEX(Cadastro!$D$8:$D$47,MATCH($B11,Cadastro!$B$8:$B$47,0)),$A11,"Y"),"")</f>
        <v>26</v>
      </c>
      <c r="AH11" s="33" t="n">
        <f aca="false">IF(COUNT($I11,$K11,$J11,$N11)&lt;4,"",$I11+$K11+$J11+$N11)</f>
        <v>35.8</v>
      </c>
      <c r="AI11" s="33" t="n">
        <f aca="false">IF(COUNT($L11,$M11,$I11,$J11,$P11,$N11,$Q11)&lt;7,"",$L11+$M11+$I11+$J11+$P11+$N11+$Q11)</f>
        <v>76.4</v>
      </c>
      <c r="AJ11" s="33" t="n">
        <f aca="false">IF(COUNT($I11,$J11,$K11,$O11,$P11,$Q11,$R11,$N11)&lt;8,"",$I11+$J11+$K11+$O11+$P11+$Q11+$R11+$N11)</f>
        <v>83.6</v>
      </c>
      <c r="AK11" s="34" t="n">
        <f aca="false">IF(OR($AI11="",$AG11=""),"",IF(IFERROR(INDEX(Cadastro!$F$8:$F$47,MATCH($B11,Cadastro!$B$8:$B$47,0)),"")="Feminino",1.097-0.00046971*$AI11+0.00000056*$AI11^2-0.00012828*$AG11,1.112-0.00043499*$AI11+0.00000055*$AI11^2-0.00028826*$AG11))</f>
        <v>1.074482332</v>
      </c>
      <c r="AL11" s="30" t="n">
        <f aca="false">IF(OR($AK11="",$AK11=0),"",495/$AK11-450)</f>
        <v>10.6869608350153</v>
      </c>
      <c r="AM11" s="35" t="n">
        <f aca="false">IF(OR($AL11="",$E11=""),"",$E11*$AL11/100)</f>
        <v>9.29765592646334</v>
      </c>
      <c r="AN11" s="30" t="n">
        <f aca="false">IF(OR($AM11="",$E11=""),"",$E11-$AM11)</f>
        <v>77.7023440735367</v>
      </c>
      <c r="AO11" s="35" t="n">
        <f aca="false">IFERROR($E11/($F11/100)^2,"")</f>
        <v>22.4174804813317</v>
      </c>
      <c r="AP11" s="35" t="n">
        <f aca="false">IFERROR($G11/$F11*100,"")</f>
        <v>52.1827411167513</v>
      </c>
      <c r="AQ11" s="36" t="n">
        <f aca="false">IFERROR($W11/$F11,"")</f>
        <v>0.413197969543147</v>
      </c>
      <c r="AR11" s="35" t="n">
        <f aca="false">IF(OR($S11="",$I11=""),"",($S11-PI()*$I11/10)^2/(4*PI())-IF(IFERROR(INDEX(Cadastro!$F$8:$F$47,MATCH($B11,Cadastro!$B$8:$B$47,0)),"")="Feminino",6.5,10))</f>
        <v>55.3048578040995</v>
      </c>
      <c r="AS11" s="35" t="n">
        <f aca="false">IF(OR($I11="",$J11="",$O11="",$F11=""),"",-0.7182+0.1451*(($I11+$J11+$O11)*(170.18/$F11))-0.00068*(($I11+$J11+$O11)*(170.18/$F11))^2+0.0000014*(($I11+$J11+$O11)*(170.18/$F11))^3)</f>
        <v>2.44312931621292</v>
      </c>
      <c r="AT11" s="35" t="n">
        <f aca="false">IF(OR($AE11="",$AF11="",$T11="",$AA11="",$F11=""),"",0.858*$AE11+0.601*$AF11+0.188*($T11-$I11/10)+0.161*($AA11-$R11/10)-0.131*$F11+4.5)</f>
        <v>3.5919</v>
      </c>
      <c r="AU11" s="35" t="n">
        <f aca="false">IF(OR($E11="",$F11=""),"",IF($F11/$E11^(1/3)&gt;=40.75,0.732*($F11/$E11^(1/3))-28.58,IF($F11/$E11^(1/3)&gt;=38.25,0.463*($F11/$E11^(1/3))-17.63,0.1)))</f>
        <v>3.96399688552261</v>
      </c>
      <c r="AV11" s="37" t="str">
        <f aca="false">IF(OR($AS11="",$AT11="",$AU11=""),"",IF(AND($AT11&gt;=$AS11,$AT11&gt;=$AU11),"Mesomorfo dominante",IF(AND($AU11&gt;=$AS11,$AU11&gt;=$AT11),"Ectomorfo dominante","Endomorfo dominante")))</f>
        <v>Ectomorfo dominante</v>
      </c>
    </row>
    <row r="12" customFormat="false" ht="15" hidden="false" customHeight="false" outlineLevel="0" collapsed="false">
      <c r="A12" s="29" t="n">
        <v>46034</v>
      </c>
      <c r="B12" s="27" t="s">
        <v>226</v>
      </c>
      <c r="C12" s="28" t="s">
        <v>339</v>
      </c>
      <c r="D12" s="27" t="s">
        <v>340</v>
      </c>
      <c r="E12" s="32" t="n">
        <v>99</v>
      </c>
      <c r="F12" s="32" t="n">
        <v>205</v>
      </c>
      <c r="G12" s="32" t="n">
        <v>107</v>
      </c>
      <c r="H12" s="32" t="n">
        <v>209.6</v>
      </c>
      <c r="I12" s="32" t="n">
        <v>8.5</v>
      </c>
      <c r="J12" s="32" t="n">
        <v>11.9</v>
      </c>
      <c r="K12" s="32" t="n">
        <v>5.5</v>
      </c>
      <c r="L12" s="32" t="n">
        <v>7.7</v>
      </c>
      <c r="M12" s="32" t="n">
        <v>6.5</v>
      </c>
      <c r="N12" s="32" t="n">
        <v>12</v>
      </c>
      <c r="O12" s="32" t="n">
        <v>6.5</v>
      </c>
      <c r="P12" s="32" t="n">
        <v>16.3</v>
      </c>
      <c r="Q12" s="32" t="n">
        <v>12</v>
      </c>
      <c r="R12" s="32" t="n">
        <v>9.7</v>
      </c>
      <c r="S12" s="32" t="n">
        <v>31.1</v>
      </c>
      <c r="T12" s="32" t="n">
        <v>37.4</v>
      </c>
      <c r="U12" s="32" t="n">
        <v>29.3</v>
      </c>
      <c r="V12" s="32" t="n">
        <v>96.7</v>
      </c>
      <c r="W12" s="32" t="n">
        <v>80.9</v>
      </c>
      <c r="X12" s="32" t="n">
        <v>85</v>
      </c>
      <c r="Y12" s="32" t="n">
        <v>98.9</v>
      </c>
      <c r="Z12" s="32" t="n">
        <v>61.2</v>
      </c>
      <c r="AA12" s="32" t="n">
        <v>38.9</v>
      </c>
      <c r="AB12" s="32" t="n">
        <v>18</v>
      </c>
      <c r="AC12" s="32" t="n">
        <v>44.6</v>
      </c>
      <c r="AD12" s="32" t="n">
        <v>27.7</v>
      </c>
      <c r="AE12" s="32" t="n">
        <v>7.3</v>
      </c>
      <c r="AF12" s="32" t="n">
        <v>9.5</v>
      </c>
      <c r="AG12" s="33" t="n">
        <f aca="false">IFERROR(DATEDIF(INDEX(Cadastro!$D$8:$D$47,MATCH($B12,Cadastro!$B$8:$B$47,0)),$A12,"Y"),"")</f>
        <v>30</v>
      </c>
      <c r="AH12" s="33" t="n">
        <f aca="false">IF(COUNT($I12,$K12,$J12,$N12)&lt;4,"",$I12+$K12+$J12+$N12)</f>
        <v>37.9</v>
      </c>
      <c r="AI12" s="33" t="n">
        <f aca="false">IF(COUNT($L12,$M12,$I12,$J12,$P12,$N12,$Q12)&lt;7,"",$L12+$M12+$I12+$J12+$P12+$N12+$Q12)</f>
        <v>74.9</v>
      </c>
      <c r="AJ12" s="33" t="n">
        <f aca="false">IF(COUNT($I12,$J12,$K12,$O12,$P12,$Q12,$R12,$N12)&lt;8,"",$I12+$J12+$K12+$O12+$P12+$Q12+$R12+$N12)</f>
        <v>82.4</v>
      </c>
      <c r="AK12" s="34" t="n">
        <f aca="false">IF(OR($AI12="",$AG12=""),"",IF(IFERROR(INDEX(Cadastro!$F$8:$F$47,MATCH($B12,Cadastro!$B$8:$B$47,0)),"")="Feminino",1.097-0.00046971*$AI12+0.00000056*$AI12^2-0.00012828*$AG12,1.112-0.00043499*$AI12+0.00000055*$AI12^2-0.00028826*$AG12))</f>
        <v>1.0738569545</v>
      </c>
      <c r="AL12" s="30" t="n">
        <f aca="false">IF(OR($AK12="",$AK12=0),"",495/$AK12-450)</f>
        <v>10.9552491378869</v>
      </c>
      <c r="AM12" s="35" t="n">
        <f aca="false">IF(OR($AL12="",$E12=""),"",$E12*$AL12/100)</f>
        <v>10.845696646508</v>
      </c>
      <c r="AN12" s="30" t="n">
        <f aca="false">IF(OR($AM12="",$E12=""),"",$E12-$AM12)</f>
        <v>88.154303353492</v>
      </c>
      <c r="AO12" s="35" t="n">
        <f aca="false">IFERROR($E12/($F12/100)^2,"")</f>
        <v>23.5574063057704</v>
      </c>
      <c r="AP12" s="35" t="n">
        <f aca="false">IFERROR($G12/$F12*100,"")</f>
        <v>52.1951219512195</v>
      </c>
      <c r="AQ12" s="36" t="n">
        <f aca="false">IFERROR($W12/$F12,"")</f>
        <v>0.394634146341463</v>
      </c>
      <c r="AR12" s="35" t="n">
        <f aca="false">IF(OR($S12="",$I12=""),"",($S12-PI()*$I12/10)^2/(4*PI())-IF(IFERROR(INDEX(Cadastro!$F$8:$F$47,MATCH($B12,Cadastro!$B$8:$B$47,0)),"")="Feminino",6.5,10))</f>
        <v>54.3180764270107</v>
      </c>
      <c r="AS12" s="35" t="n">
        <f aca="false">IF(OR($I12="",$J12="",$O12="",$F12=""),"",-0.7182+0.1451*(($I12+$J12+$O12)*(170.18/$F12))-0.00068*(($I12+$J12+$O12)*(170.18/$F12))^2+0.0000014*(($I12+$J12+$O12)*(170.18/$F12))^3)</f>
        <v>2.19851290115634</v>
      </c>
      <c r="AT12" s="35" t="n">
        <f aca="false">IF(OR($AE12="",$AF12="",$T12="",$AA12="",$F12=""),"",0.858*$AE12+0.601*$AF12+0.188*($T12-$I12/10)+0.161*($AA12-$R12/10)-0.131*$F12+4.5)</f>
        <v>2.59603</v>
      </c>
      <c r="AU12" s="35" t="n">
        <f aca="false">IF(OR($E12="",$F12=""),"",IF($F12/$E12^(1/3)&gt;=40.75,0.732*($F12/$E12^(1/3))-28.58,IF($F12/$E12^(1/3)&gt;=38.25,0.463*($F12/$E12^(1/3))-17.63,0.1)))</f>
        <v>3.85793584874636</v>
      </c>
      <c r="AV12" s="37" t="str">
        <f aca="false">IF(OR($AS12="",$AT12="",$AU12=""),"",IF(AND($AT12&gt;=$AS12,$AT12&gt;=$AU12),"Mesomorfo dominante",IF(AND($AU12&gt;=$AS12,$AU12&gt;=$AT12),"Ectomorfo dominante","Endomorfo dominante")))</f>
        <v>Ectomorfo dominante</v>
      </c>
    </row>
    <row r="13" customFormat="false" ht="15" hidden="false" customHeight="false" outlineLevel="0" collapsed="false">
      <c r="A13" s="29" t="n">
        <v>46034</v>
      </c>
      <c r="B13" s="27" t="s">
        <v>236</v>
      </c>
      <c r="C13" s="28" t="s">
        <v>339</v>
      </c>
      <c r="D13" s="27" t="s">
        <v>340</v>
      </c>
      <c r="E13" s="32" t="n">
        <v>95</v>
      </c>
      <c r="F13" s="32" t="n">
        <v>203</v>
      </c>
      <c r="G13" s="32" t="n">
        <v>106</v>
      </c>
      <c r="H13" s="32" t="n">
        <v>206.8</v>
      </c>
      <c r="I13" s="32" t="n">
        <v>10</v>
      </c>
      <c r="J13" s="32" t="n">
        <v>9.1</v>
      </c>
      <c r="K13" s="32" t="n">
        <v>3.5</v>
      </c>
      <c r="L13" s="32" t="n">
        <v>6.3</v>
      </c>
      <c r="M13" s="32" t="n">
        <v>8.6</v>
      </c>
      <c r="N13" s="32" t="n">
        <v>12.4</v>
      </c>
      <c r="O13" s="32" t="n">
        <v>8</v>
      </c>
      <c r="P13" s="32" t="n">
        <v>10</v>
      </c>
      <c r="Q13" s="32" t="n">
        <v>10.7</v>
      </c>
      <c r="R13" s="32" t="n">
        <v>8.2</v>
      </c>
      <c r="S13" s="32" t="n">
        <v>32.5</v>
      </c>
      <c r="T13" s="32" t="n">
        <v>35.1</v>
      </c>
      <c r="U13" s="32" t="n">
        <v>28.6</v>
      </c>
      <c r="V13" s="32" t="n">
        <v>104.3</v>
      </c>
      <c r="W13" s="32" t="n">
        <v>83.2</v>
      </c>
      <c r="X13" s="32" t="n">
        <v>85.3</v>
      </c>
      <c r="Y13" s="32" t="n">
        <v>100.6</v>
      </c>
      <c r="Z13" s="32" t="n">
        <v>57.4</v>
      </c>
      <c r="AA13" s="32" t="n">
        <v>37.6</v>
      </c>
      <c r="AB13" s="32" t="n">
        <v>18.8</v>
      </c>
      <c r="AC13" s="32" t="n">
        <v>44.2</v>
      </c>
      <c r="AD13" s="32" t="n">
        <v>27.6</v>
      </c>
      <c r="AE13" s="32" t="n">
        <v>7.5</v>
      </c>
      <c r="AF13" s="32" t="n">
        <v>9.9</v>
      </c>
      <c r="AG13" s="33" t="n">
        <f aca="false">IFERROR(DATEDIF(INDEX(Cadastro!$D$8:$D$47,MATCH($B13,Cadastro!$B$8:$B$47,0)),$A13,"Y"),"")</f>
        <v>24</v>
      </c>
      <c r="AH13" s="33" t="n">
        <f aca="false">IF(COUNT($I13,$K13,$J13,$N13)&lt;4,"",$I13+$K13+$J13+$N13)</f>
        <v>35</v>
      </c>
      <c r="AI13" s="33" t="n">
        <f aca="false">IF(COUNT($L13,$M13,$I13,$J13,$P13,$N13,$Q13)&lt;7,"",$L13+$M13+$I13+$J13+$P13+$N13+$Q13)</f>
        <v>67.1</v>
      </c>
      <c r="AJ13" s="33" t="n">
        <f aca="false">IF(COUNT($I13,$J13,$K13,$O13,$P13,$Q13,$R13,$N13)&lt;8,"",$I13+$J13+$K13+$O13+$P13+$Q13+$R13+$N13)</f>
        <v>71.9</v>
      </c>
      <c r="AK13" s="34" t="n">
        <f aca="false">IF(OR($AI13="",$AG13=""),"",IF(IFERROR(INDEX(Cadastro!$F$8:$F$47,MATCH($B13,Cadastro!$B$8:$B$47,0)),"")="Feminino",1.097-0.00046971*$AI13+0.00000056*$AI13^2-0.00012828*$AG13,1.112-0.00043499*$AI13+0.00000055*$AI13^2-0.00028826*$AG13))</f>
        <v>1.0783702565</v>
      </c>
      <c r="AL13" s="30" t="n">
        <f aca="false">IF(OR($AK13="",$AK13=0),"",495/$AK13-450)</f>
        <v>9.02601357588537</v>
      </c>
      <c r="AM13" s="35" t="n">
        <f aca="false">IF(OR($AL13="",$E13=""),"",$E13*$AL13/100)</f>
        <v>8.5747128970911</v>
      </c>
      <c r="AN13" s="30" t="n">
        <f aca="false">IF(OR($AM13="",$E13=""),"",$E13-$AM13)</f>
        <v>86.4252871029089</v>
      </c>
      <c r="AO13" s="35" t="n">
        <f aca="false">IFERROR($E13/($F13/100)^2,"")</f>
        <v>23.0532165303696</v>
      </c>
      <c r="AP13" s="35" t="n">
        <f aca="false">IFERROR($G13/$F13*100,"")</f>
        <v>52.2167487684729</v>
      </c>
      <c r="AQ13" s="36" t="n">
        <f aca="false">IFERROR($W13/$F13,"")</f>
        <v>0.409852216748769</v>
      </c>
      <c r="AR13" s="35" t="n">
        <f aca="false">IF(OR($S13="",$I13=""),"",($S13-PI()*$I13/10)^2/(4*PI())-IF(IFERROR(INDEX(Cadastro!$F$8:$F$47,MATCH($B13,Cadastro!$B$8:$B$47,0)),"")="Feminino",6.5,10))</f>
        <v>58.5891024838047</v>
      </c>
      <c r="AS13" s="35" t="n">
        <f aca="false">IF(OR($I13="",$J13="",$O13="",$F13=""),"",-0.7182+0.1451*(($I13+$J13+$O13)*(170.18/$F13))-0.00068*(($I13+$J13+$O13)*(170.18/$F13))^2+0.0000014*(($I13+$J13+$O13)*(170.18/$F13))^3)</f>
        <v>2.24371467035257</v>
      </c>
      <c r="AT13" s="35" t="n">
        <f aca="false">IF(OR($AE13="",$AF13="",$T13="",$AA13="",$F13=""),"",0.858*$AE13+0.601*$AF13+0.188*($T13-$I13/10)+0.161*($AA13-$R13/10)-0.131*$F13+4.5)</f>
        <v>2.62428</v>
      </c>
      <c r="AU13" s="35" t="n">
        <f aca="false">IF(OR($E13="",$F13=""),"",IF($F13/$E13^(1/3)&gt;=40.75,0.732*($F13/$E13^(1/3))-28.58,IF($F13/$E13^(1/3)&gt;=38.25,0.463*($F13/$E13^(1/3))-17.63,0.1)))</f>
        <v>3.98611237934031</v>
      </c>
      <c r="AV13" s="37" t="str">
        <f aca="false">IF(OR($AS13="",$AT13="",$AU13=""),"",IF(AND($AT13&gt;=$AS13,$AT13&gt;=$AU13),"Mesomorfo dominante",IF(AND($AU13&gt;=$AS13,$AU13&gt;=$AT13),"Ectomorfo dominante","Endomorfo dominante")))</f>
        <v>Ectomorfo dominante</v>
      </c>
    </row>
    <row r="14" customFormat="false" ht="15" hidden="false" customHeight="false" outlineLevel="0" collapsed="false">
      <c r="A14" s="29" t="n">
        <v>46034</v>
      </c>
      <c r="B14" s="27" t="s">
        <v>244</v>
      </c>
      <c r="C14" s="28" t="s">
        <v>339</v>
      </c>
      <c r="D14" s="27" t="s">
        <v>340</v>
      </c>
      <c r="E14" s="32" t="n">
        <v>78</v>
      </c>
      <c r="F14" s="32" t="n">
        <v>184</v>
      </c>
      <c r="G14" s="32" t="n">
        <v>96</v>
      </c>
      <c r="H14" s="32" t="n">
        <v>190.2</v>
      </c>
      <c r="I14" s="32" t="n">
        <v>8.7</v>
      </c>
      <c r="J14" s="32" t="n">
        <v>12.2</v>
      </c>
      <c r="K14" s="32" t="n">
        <v>3.3</v>
      </c>
      <c r="L14" s="32" t="n">
        <v>6</v>
      </c>
      <c r="M14" s="32" t="n">
        <v>8.9</v>
      </c>
      <c r="N14" s="32" t="n">
        <v>13.7</v>
      </c>
      <c r="O14" s="32" t="n">
        <v>8.8</v>
      </c>
      <c r="P14" s="32" t="n">
        <v>15.6</v>
      </c>
      <c r="Q14" s="32" t="n">
        <v>12</v>
      </c>
      <c r="R14" s="32" t="n">
        <v>7.1</v>
      </c>
      <c r="S14" s="32" t="n">
        <v>34.3</v>
      </c>
      <c r="T14" s="32" t="n">
        <v>35.3</v>
      </c>
      <c r="U14" s="32" t="n">
        <v>29.9</v>
      </c>
      <c r="V14" s="32" t="n">
        <v>96.8</v>
      </c>
      <c r="W14" s="32" t="n">
        <v>85.7</v>
      </c>
      <c r="X14" s="32" t="n">
        <v>84</v>
      </c>
      <c r="Y14" s="32" t="n">
        <v>95.4</v>
      </c>
      <c r="Z14" s="32" t="n">
        <v>61.5</v>
      </c>
      <c r="AA14" s="32" t="n">
        <v>40.6</v>
      </c>
      <c r="AB14" s="32" t="n">
        <v>18.7</v>
      </c>
      <c r="AC14" s="32" t="n">
        <v>43.6</v>
      </c>
      <c r="AD14" s="32" t="n">
        <v>28.3</v>
      </c>
      <c r="AE14" s="32" t="n">
        <v>7.1</v>
      </c>
      <c r="AF14" s="32" t="n">
        <v>10.3</v>
      </c>
      <c r="AG14" s="33" t="n">
        <f aca="false">IFERROR(DATEDIF(INDEX(Cadastro!$D$8:$D$47,MATCH($B14,Cadastro!$B$8:$B$47,0)),$A14,"Y"),"")</f>
        <v>22</v>
      </c>
      <c r="AH14" s="33" t="n">
        <f aca="false">IF(COUNT($I14,$K14,$J14,$N14)&lt;4,"",$I14+$K14+$J14+$N14)</f>
        <v>37.9</v>
      </c>
      <c r="AI14" s="33" t="n">
        <f aca="false">IF(COUNT($L14,$M14,$I14,$J14,$P14,$N14,$Q14)&lt;7,"",$L14+$M14+$I14+$J14+$P14+$N14+$Q14)</f>
        <v>77.1</v>
      </c>
      <c r="AJ14" s="33" t="n">
        <f aca="false">IF(COUNT($I14,$J14,$K14,$O14,$P14,$Q14,$R14,$N14)&lt;8,"",$I14+$J14+$K14+$O14+$P14+$Q14+$R14+$N14)</f>
        <v>81.4</v>
      </c>
      <c r="AK14" s="34" t="n">
        <f aca="false">IF(OR($AI14="",$AG14=""),"",IF(IFERROR(INDEX(Cadastro!$F$8:$F$47,MATCH($B14,Cadastro!$B$8:$B$47,0)),"")="Feminino",1.097-0.00046971*$AI14+0.00000056*$AI14^2-0.00012828*$AG14,1.112-0.00043499*$AI14+0.00000055*$AI14^2-0.00028826*$AG14))</f>
        <v>1.0753899765</v>
      </c>
      <c r="AL14" s="30" t="n">
        <f aca="false">IF(OR($AK14="",$AK14=0),"",495/$AK14-450)</f>
        <v>10.298134460062</v>
      </c>
      <c r="AM14" s="35" t="n">
        <f aca="false">IF(OR($AL14="",$E14=""),"",$E14*$AL14/100)</f>
        <v>8.0325448788484</v>
      </c>
      <c r="AN14" s="30" t="n">
        <f aca="false">IF(OR($AM14="",$E14=""),"",$E14-$AM14)</f>
        <v>69.9674551211516</v>
      </c>
      <c r="AO14" s="35" t="n">
        <f aca="false">IFERROR($E14/($F14/100)^2,"")</f>
        <v>23.038752362949</v>
      </c>
      <c r="AP14" s="35" t="n">
        <f aca="false">IFERROR($G14/$F14*100,"")</f>
        <v>52.1739130434783</v>
      </c>
      <c r="AQ14" s="36" t="n">
        <f aca="false">IFERROR($W14/$F14,"")</f>
        <v>0.465760869565217</v>
      </c>
      <c r="AR14" s="35" t="n">
        <f aca="false">IF(OR($S14="",$I14=""),"",($S14-PI()*$I14/10)^2/(4*PI())-IF(IFERROR(INDEX(Cadastro!$F$8:$F$47,MATCH($B14,Cadastro!$B$8:$B$47,0)),"")="Feminino",6.5,10))</f>
        <v>69.2960673689675</v>
      </c>
      <c r="AS14" s="35" t="n">
        <f aca="false">IF(OR($I14="",$J14="",$O14="",$F14=""),"",-0.7182+0.1451*(($I14+$J14+$O14)*(170.18/$F14))-0.00068*(($I14+$J14+$O14)*(170.18/$F14))^2+0.0000014*(($I14+$J14+$O14)*(170.18/$F14))^3)</f>
        <v>2.78350805760955</v>
      </c>
      <c r="AT14" s="35" t="n">
        <f aca="false">IF(OR($AE14="",$AF14="",$T14="",$AA14="",$F14=""),"",0.858*$AE14+0.601*$AF14+0.188*($T14-$I14/10)+0.161*($AA14-$R14/10)-0.131*$F14+4.5)</f>
        <v>5.57323</v>
      </c>
      <c r="AU14" s="35" t="n">
        <f aca="false">IF(OR($E14="",$F14=""),"",IF($F14/$E14^(1/3)&gt;=40.75,0.732*($F14/$E14^(1/3))-28.58,IF($F14/$E14^(1/3)&gt;=38.25,0.463*($F14/$E14^(1/3))-17.63,0.1)))</f>
        <v>2.94322945358139</v>
      </c>
      <c r="AV14" s="37" t="str">
        <f aca="false">IF(OR($AS14="",$AT14="",$AU14=""),"",IF(AND($AT14&gt;=$AS14,$AT14&gt;=$AU14),"Mesomorfo dominante",IF(AND($AU14&gt;=$AS14,$AU14&gt;=$AT14),"Ectomorfo dominante","Endomorfo dominante")))</f>
        <v>Mesomorfo dominante</v>
      </c>
    </row>
    <row r="15" customFormat="false" ht="15" hidden="false" customHeight="false" outlineLevel="0" collapsed="false">
      <c r="A15" s="29" t="n">
        <v>46034</v>
      </c>
      <c r="B15" s="27" t="s">
        <v>253</v>
      </c>
      <c r="C15" s="28" t="s">
        <v>339</v>
      </c>
      <c r="D15" s="27" t="s">
        <v>340</v>
      </c>
      <c r="E15" s="32" t="n">
        <v>91</v>
      </c>
      <c r="F15" s="32" t="n">
        <v>199</v>
      </c>
      <c r="G15" s="32" t="n">
        <v>103.9</v>
      </c>
      <c r="H15" s="32" t="n">
        <v>202.9</v>
      </c>
      <c r="I15" s="32" t="n">
        <v>9.1</v>
      </c>
      <c r="J15" s="32" t="n">
        <v>12.4</v>
      </c>
      <c r="K15" s="32" t="n">
        <v>5.2</v>
      </c>
      <c r="L15" s="32" t="n">
        <v>7.9</v>
      </c>
      <c r="M15" s="32" t="n">
        <v>8.8</v>
      </c>
      <c r="N15" s="32" t="n">
        <v>9.4</v>
      </c>
      <c r="O15" s="32" t="n">
        <v>9</v>
      </c>
      <c r="P15" s="32" t="n">
        <v>12.1</v>
      </c>
      <c r="Q15" s="32" t="n">
        <v>13.9</v>
      </c>
      <c r="R15" s="32" t="n">
        <v>9.5</v>
      </c>
      <c r="S15" s="32" t="n">
        <v>32.6</v>
      </c>
      <c r="T15" s="32" t="n">
        <v>33.5</v>
      </c>
      <c r="U15" s="32" t="n">
        <v>29.2</v>
      </c>
      <c r="V15" s="32" t="n">
        <v>99</v>
      </c>
      <c r="W15" s="32" t="n">
        <v>83.3</v>
      </c>
      <c r="X15" s="32" t="n">
        <v>83.2</v>
      </c>
      <c r="Y15" s="32" t="n">
        <v>99.8</v>
      </c>
      <c r="Z15" s="32" t="n">
        <v>56.4</v>
      </c>
      <c r="AA15" s="32" t="n">
        <v>40.5</v>
      </c>
      <c r="AB15" s="32" t="n">
        <v>18</v>
      </c>
      <c r="AC15" s="32" t="n">
        <v>42.5</v>
      </c>
      <c r="AD15" s="32" t="n">
        <v>28.7</v>
      </c>
      <c r="AE15" s="32" t="n">
        <v>7.2</v>
      </c>
      <c r="AF15" s="32" t="n">
        <v>10.2</v>
      </c>
      <c r="AG15" s="33" t="n">
        <f aca="false">IFERROR(DATEDIF(INDEX(Cadastro!$D$8:$D$47,MATCH($B15,Cadastro!$B$8:$B$47,0)),$A15,"Y"),"")</f>
        <v>28</v>
      </c>
      <c r="AH15" s="33" t="n">
        <f aca="false">IF(COUNT($I15,$K15,$J15,$N15)&lt;4,"",$I15+$K15+$J15+$N15)</f>
        <v>36.1</v>
      </c>
      <c r="AI15" s="33" t="n">
        <f aca="false">IF(COUNT($L15,$M15,$I15,$J15,$P15,$N15,$Q15)&lt;7,"",$L15+$M15+$I15+$J15+$P15+$N15+$Q15)</f>
        <v>73.6</v>
      </c>
      <c r="AJ15" s="33" t="n">
        <f aca="false">IF(COUNT($I15,$J15,$K15,$O15,$P15,$Q15,$R15,$N15)&lt;8,"",$I15+$J15+$K15+$O15+$P15+$Q15+$R15+$N15)</f>
        <v>80.6</v>
      </c>
      <c r="AK15" s="34" t="n">
        <f aca="false">IF(OR($AI15="",$AG15=""),"",IF(IFERROR(INDEX(Cadastro!$F$8:$F$47,MATCH($B15,Cadastro!$B$8:$B$47,0)),"")="Feminino",1.097-0.00046971*$AI15+0.00000056*$AI15^2-0.00012828*$AG15,1.112-0.00043499*$AI15+0.00000055*$AI15^2-0.00028826*$AG15))</f>
        <v>1.074892784</v>
      </c>
      <c r="AL15" s="30" t="n">
        <f aca="false">IF(OR($AK15="",$AK15=0),"",495/$AK15-450)</f>
        <v>10.5110457230495</v>
      </c>
      <c r="AM15" s="35" t="n">
        <f aca="false">IF(OR($AL15="",$E15=""),"",$E15*$AL15/100)</f>
        <v>9.56505160797505</v>
      </c>
      <c r="AN15" s="30" t="n">
        <f aca="false">IF(OR($AM15="",$E15=""),"",$E15-$AM15)</f>
        <v>81.434948392025</v>
      </c>
      <c r="AO15" s="35" t="n">
        <f aca="false">IFERROR($E15/($F15/100)^2,"")</f>
        <v>22.9792176965228</v>
      </c>
      <c r="AP15" s="35" t="n">
        <f aca="false">IFERROR($G15/$F15*100,"")</f>
        <v>52.2110552763819</v>
      </c>
      <c r="AQ15" s="36" t="n">
        <f aca="false">IFERROR($W15/$F15,"")</f>
        <v>0.418592964824121</v>
      </c>
      <c r="AR15" s="35" t="n">
        <f aca="false">IF(OR($S15="",$I15=""),"",($S15-PI()*$I15/10)^2/(4*PI())-IF(IFERROR(INDEX(Cadastro!$F$8:$F$47,MATCH($B15,Cadastro!$B$8:$B$47,0)),"")="Feminino",6.5,10))</f>
        <v>60.3891418792808</v>
      </c>
      <c r="AS15" s="35" t="n">
        <f aca="false">IF(OR($I15="",$J15="",$O15="",$F15=""),"",-0.7182+0.1451*(($I15+$J15+$O15)*(170.18/$F15))-0.00068*(($I15+$J15+$O15)*(170.18/$F15))^2+0.0000014*(($I15+$J15+$O15)*(170.18/$F15))^3)</f>
        <v>2.62865128043596</v>
      </c>
      <c r="AT15" s="35" t="n">
        <f aca="false">IF(OR($AE15="",$AF15="",$T15="",$AA15="",$F15=""),"",0.858*$AE15+0.601*$AF15+0.188*($T15-$I15/10)+0.161*($AA15-$R15/10)-0.131*$F15+4.5)</f>
        <v>3.23327</v>
      </c>
      <c r="AU15" s="35" t="n">
        <f aca="false">IF(OR($E15="",$F15=""),"",IF($F15/$E15^(1/3)&gt;=40.75,0.732*($F15/$E15^(1/3))-28.58,IF($F15/$E15^(1/3)&gt;=38.25,0.463*($F15/$E15^(1/3))-17.63,0.1)))</f>
        <v>3.80548161915446</v>
      </c>
      <c r="AV15" s="37" t="str">
        <f aca="false">IF(OR($AS15="",$AT15="",$AU15=""),"",IF(AND($AT15&gt;=$AS15,$AT15&gt;=$AU15),"Mesomorfo dominante",IF(AND($AU15&gt;=$AS15,$AU15&gt;=$AT15),"Ectomorfo dominante","Endomorfo dominante")))</f>
        <v>Ectomorfo dominante</v>
      </c>
    </row>
    <row r="16" customFormat="false" ht="15" hidden="false" customHeight="false" outlineLevel="0" collapsed="false">
      <c r="A16" s="29" t="n">
        <v>46034</v>
      </c>
      <c r="B16" s="27" t="s">
        <v>259</v>
      </c>
      <c r="C16" s="28" t="s">
        <v>339</v>
      </c>
      <c r="D16" s="27" t="s">
        <v>340</v>
      </c>
      <c r="E16" s="32" t="n">
        <v>84</v>
      </c>
      <c r="F16" s="32" t="n">
        <v>192</v>
      </c>
      <c r="G16" s="32" t="n">
        <v>100.2</v>
      </c>
      <c r="H16" s="32" t="n">
        <v>196.9</v>
      </c>
      <c r="I16" s="32" t="n">
        <v>11</v>
      </c>
      <c r="J16" s="32" t="n">
        <v>9.1</v>
      </c>
      <c r="K16" s="32" t="n">
        <v>3.9</v>
      </c>
      <c r="L16" s="32" t="n">
        <v>6.2</v>
      </c>
      <c r="M16" s="32" t="n">
        <v>7.2</v>
      </c>
      <c r="N16" s="32" t="n">
        <v>13.3</v>
      </c>
      <c r="O16" s="32" t="n">
        <v>6.3</v>
      </c>
      <c r="P16" s="32" t="n">
        <v>13.8</v>
      </c>
      <c r="Q16" s="32" t="n">
        <v>12.9</v>
      </c>
      <c r="R16" s="32" t="n">
        <v>6.2</v>
      </c>
      <c r="S16" s="32" t="n">
        <v>31.1</v>
      </c>
      <c r="T16" s="32" t="n">
        <v>33</v>
      </c>
      <c r="U16" s="32" t="n">
        <v>27.9</v>
      </c>
      <c r="V16" s="32" t="n">
        <v>104.8</v>
      </c>
      <c r="W16" s="32" t="n">
        <v>83</v>
      </c>
      <c r="X16" s="32" t="n">
        <v>87.1</v>
      </c>
      <c r="Y16" s="32" t="n">
        <v>101.2</v>
      </c>
      <c r="Z16" s="32" t="n">
        <v>55.4</v>
      </c>
      <c r="AA16" s="32" t="n">
        <v>40.5</v>
      </c>
      <c r="AB16" s="32" t="n">
        <v>18.2</v>
      </c>
      <c r="AC16" s="32" t="n">
        <v>44.4</v>
      </c>
      <c r="AD16" s="32" t="n">
        <v>28.1</v>
      </c>
      <c r="AE16" s="32" t="n">
        <v>7.4</v>
      </c>
      <c r="AF16" s="32" t="n">
        <v>9.6</v>
      </c>
      <c r="AG16" s="33" t="n">
        <f aca="false">IFERROR(DATEDIF(INDEX(Cadastro!$D$8:$D$47,MATCH($B16,Cadastro!$B$8:$B$47,0)),$A16,"Y"),"")</f>
        <v>23</v>
      </c>
      <c r="AH16" s="33" t="n">
        <f aca="false">IF(COUNT($I16,$K16,$J16,$N16)&lt;4,"",$I16+$K16+$J16+$N16)</f>
        <v>37.3</v>
      </c>
      <c r="AI16" s="33" t="n">
        <f aca="false">IF(COUNT($L16,$M16,$I16,$J16,$P16,$N16,$Q16)&lt;7,"",$L16+$M16+$I16+$J16+$P16+$N16+$Q16)</f>
        <v>73.5</v>
      </c>
      <c r="AJ16" s="33" t="n">
        <f aca="false">IF(COUNT($I16,$J16,$K16,$O16,$P16,$Q16,$R16,$N16)&lt;8,"",$I16+$J16+$K16+$O16+$P16+$Q16+$R16+$N16)</f>
        <v>76.5</v>
      </c>
      <c r="AK16" s="34" t="n">
        <f aca="false">IF(OR($AI16="",$AG16=""),"",IF(IFERROR(INDEX(Cadastro!$F$8:$F$47,MATCH($B16,Cadastro!$B$8:$B$47,0)),"")="Feminino",1.097-0.00046971*$AI16+0.00000056*$AI16^2-0.00012828*$AG16,1.112-0.00043499*$AI16+0.00000055*$AI16^2-0.00028826*$AG16))</f>
        <v>1.0763694925</v>
      </c>
      <c r="AL16" s="30" t="n">
        <f aca="false">IF(OR($AK16="",$AK16=0),"",495/$AK16-450)</f>
        <v>9.87925470676601</v>
      </c>
      <c r="AM16" s="35" t="n">
        <f aca="false">IF(OR($AL16="",$E16=""),"",$E16*$AL16/100)</f>
        <v>8.29857395368344</v>
      </c>
      <c r="AN16" s="30" t="n">
        <f aca="false">IF(OR($AM16="",$E16=""),"",$E16-$AM16)</f>
        <v>75.7014260463166</v>
      </c>
      <c r="AO16" s="35" t="n">
        <f aca="false">IFERROR($E16/($F16/100)^2,"")</f>
        <v>22.7864583333333</v>
      </c>
      <c r="AP16" s="35" t="n">
        <f aca="false">IFERROR($G16/$F16*100,"")</f>
        <v>52.1875</v>
      </c>
      <c r="AQ16" s="36" t="n">
        <f aca="false">IFERROR($W16/$F16,"")</f>
        <v>0.432291666666667</v>
      </c>
      <c r="AR16" s="35" t="n">
        <f aca="false">IF(OR($S16="",$I16=""),"",($S16-PI()*$I16/10)^2/(4*PI())-IF(IFERROR(INDEX(Cadastro!$F$8:$F$47,MATCH($B16,Cadastro!$B$8:$B$47,0)),"")="Feminino",6.5,10))</f>
        <v>50.813458031667</v>
      </c>
      <c r="AS16" s="35" t="n">
        <f aca="false">IF(OR($I16="",$J16="",$O16="",$F16=""),"",-0.7182+0.1451*(($I16+$J16+$O16)*(170.18/$F16))-0.00068*(($I16+$J16+$O16)*(170.18/$F16))^2+0.0000014*(($I16+$J16+$O16)*(170.18/$F16))^3)</f>
        <v>2.32270837162564</v>
      </c>
      <c r="AT16" s="35" t="n">
        <f aca="false">IF(OR($AE16="",$AF16="",$T16="",$AA16="",$F16=""),"",0.858*$AE16+0.601*$AF16+0.188*($T16-$I16/10)+0.161*($AA16-$R16/10)-0.131*$F16+4.5)</f>
        <v>3.88468</v>
      </c>
      <c r="AU16" s="35" t="n">
        <f aca="false">IF(OR($E16="",$F16=""),"",IF($F16/$E16^(1/3)&gt;=40.75,0.732*($F16/$E16^(1/3))-28.58,IF($F16/$E16^(1/3)&gt;=38.25,0.463*($F16/$E16^(1/3))-17.63,0.1)))</f>
        <v>3.51119437792839</v>
      </c>
      <c r="AV16" s="37" t="str">
        <f aca="false">IF(OR($AS16="",$AT16="",$AU16=""),"",IF(AND($AT16&gt;=$AS16,$AT16&gt;=$AU16),"Mesomorfo dominante",IF(AND($AU16&gt;=$AS16,$AU16&gt;=$AT16),"Ectomorfo dominante","Endomorfo dominante")))</f>
        <v>Mesomorfo dominante</v>
      </c>
    </row>
    <row r="17" customFormat="false" ht="15" hidden="false" customHeight="false" outlineLevel="0" collapsed="false">
      <c r="A17" s="29" t="n">
        <v>46034</v>
      </c>
      <c r="B17" s="27" t="s">
        <v>264</v>
      </c>
      <c r="C17" s="28" t="s">
        <v>339</v>
      </c>
      <c r="D17" s="27" t="s">
        <v>340</v>
      </c>
      <c r="E17" s="32" t="n">
        <v>97</v>
      </c>
      <c r="F17" s="32" t="n">
        <v>201</v>
      </c>
      <c r="G17" s="32" t="n">
        <v>104.9</v>
      </c>
      <c r="H17" s="32" t="n">
        <v>206</v>
      </c>
      <c r="I17" s="32" t="n">
        <v>10.9</v>
      </c>
      <c r="J17" s="32" t="n">
        <v>12.2</v>
      </c>
      <c r="K17" s="32" t="n">
        <v>4</v>
      </c>
      <c r="L17" s="32" t="n">
        <v>5.3</v>
      </c>
      <c r="M17" s="32" t="n">
        <v>7.4</v>
      </c>
      <c r="N17" s="32" t="n">
        <v>8.5</v>
      </c>
      <c r="O17" s="32" t="n">
        <v>6.5</v>
      </c>
      <c r="P17" s="32" t="n">
        <v>16.4</v>
      </c>
      <c r="Q17" s="32" t="n">
        <v>12.1</v>
      </c>
      <c r="R17" s="32" t="n">
        <v>9.1</v>
      </c>
      <c r="S17" s="32" t="n">
        <v>33</v>
      </c>
      <c r="T17" s="32" t="n">
        <v>33.3</v>
      </c>
      <c r="U17" s="32" t="n">
        <v>28.2</v>
      </c>
      <c r="V17" s="32" t="n">
        <v>104.1</v>
      </c>
      <c r="W17" s="32" t="n">
        <v>81.8</v>
      </c>
      <c r="X17" s="32" t="n">
        <v>86.4</v>
      </c>
      <c r="Y17" s="32" t="n">
        <v>96.8</v>
      </c>
      <c r="Z17" s="32" t="n">
        <v>61</v>
      </c>
      <c r="AA17" s="32" t="n">
        <v>40.6</v>
      </c>
      <c r="AB17" s="32" t="n">
        <v>17.9</v>
      </c>
      <c r="AC17" s="32" t="n">
        <v>44.1</v>
      </c>
      <c r="AD17" s="32" t="n">
        <v>27.5</v>
      </c>
      <c r="AE17" s="32" t="n">
        <v>7.7</v>
      </c>
      <c r="AF17" s="32" t="n">
        <v>9.9</v>
      </c>
      <c r="AG17" s="33" t="n">
        <f aca="false">IFERROR(DATEDIF(INDEX(Cadastro!$D$8:$D$47,MATCH($B17,Cadastro!$B$8:$B$47,0)),$A17,"Y"),"")</f>
        <v>31</v>
      </c>
      <c r="AH17" s="33" t="n">
        <f aca="false">IF(COUNT($I17,$K17,$J17,$N17)&lt;4,"",$I17+$K17+$J17+$N17)</f>
        <v>35.6</v>
      </c>
      <c r="AI17" s="33" t="n">
        <f aca="false">IF(COUNT($L17,$M17,$I17,$J17,$P17,$N17,$Q17)&lt;7,"",$L17+$M17+$I17+$J17+$P17+$N17+$Q17)</f>
        <v>72.8</v>
      </c>
      <c r="AJ17" s="33" t="n">
        <f aca="false">IF(COUNT($I17,$J17,$K17,$O17,$P17,$Q17,$R17,$N17)&lt;8,"",$I17+$J17+$K17+$O17+$P17+$Q17+$R17+$N17)</f>
        <v>79.7</v>
      </c>
      <c r="AK17" s="34" t="n">
        <f aca="false">IF(OR($AI17="",$AG17=""),"",IF(IFERROR(INDEX(Cadastro!$F$8:$F$47,MATCH($B17,Cadastro!$B$8:$B$47,0)),"")="Feminino",1.097-0.00046971*$AI17+0.00000056*$AI17^2-0.00012828*$AG17,1.112-0.00043499*$AI17+0.00000055*$AI17^2-0.00028826*$AG17))</f>
        <v>1.07431158</v>
      </c>
      <c r="AL17" s="30" t="n">
        <f aca="false">IF(OR($AK17="",$AK17=0),"",495/$AK17-450)</f>
        <v>10.7601828140025</v>
      </c>
      <c r="AM17" s="35" t="n">
        <f aca="false">IF(OR($AL17="",$E17=""),"",$E17*$AL17/100)</f>
        <v>10.4373773295824</v>
      </c>
      <c r="AN17" s="30" t="n">
        <f aca="false">IF(OR($AM17="",$E17=""),"",$E17-$AM17)</f>
        <v>86.5626226704176</v>
      </c>
      <c r="AO17" s="35" t="n">
        <f aca="false">IFERROR($E17/($F17/100)^2,"")</f>
        <v>24.0093067003292</v>
      </c>
      <c r="AP17" s="35" t="n">
        <f aca="false">IFERROR($G17/$F17*100,"")</f>
        <v>52.1890547263682</v>
      </c>
      <c r="AQ17" s="36" t="n">
        <f aca="false">IFERROR($W17/$F17,"")</f>
        <v>0.406965174129353</v>
      </c>
      <c r="AR17" s="35" t="n">
        <f aca="false">IF(OR($S17="",$I17=""),"",($S17-PI()*$I17/10)^2/(4*PI())-IF(IFERROR(INDEX(Cadastro!$F$8:$F$47,MATCH($B17,Cadastro!$B$8:$B$47,0)),"")="Feminino",6.5,10))</f>
        <v>59.6079980714695</v>
      </c>
      <c r="AS17" s="35" t="n">
        <f aca="false">IF(OR($I17="",$J17="",$O17="",$F17=""),"",-0.7182+0.1451*(($I17+$J17+$O17)*(170.18/$F17))-0.00068*(($I17+$J17+$O17)*(170.18/$F17))^2+0.0000014*(($I17+$J17+$O17)*(170.18/$F17))^3)</f>
        <v>2.51314797063412</v>
      </c>
      <c r="AT17" s="35" t="n">
        <f aca="false">IF(OR($AE17="",$AF17="",$T17="",$AA17="",$F17=""),"",0.858*$AE17+0.601*$AF17+0.188*($T17-$I17/10)+0.161*($AA17-$R17/10)-0.131*$F17+4.5)</f>
        <v>3.17107</v>
      </c>
      <c r="AU17" s="35" t="n">
        <f aca="false">IF(OR($E17="",$F17=""),"",IF($F17/$E17^(1/3)&gt;=40.75,0.732*($F17/$E17^(1/3))-28.58,IF($F17/$E17^(1/3)&gt;=38.25,0.463*($F17/$E17^(1/3))-17.63,0.1)))</f>
        <v>3.44210621578154</v>
      </c>
      <c r="AV17" s="37" t="str">
        <f aca="false">IF(OR($AS17="",$AT17="",$AU17=""),"",IF(AND($AT17&gt;=$AS17,$AT17&gt;=$AU17),"Mesomorfo dominante",IF(AND($AU17&gt;=$AS17,$AU17&gt;=$AT17),"Ectomorfo dominante","Endomorfo dominante")))</f>
        <v>Ectomorfo dominante</v>
      </c>
    </row>
    <row r="18" customFormat="false" ht="15" hidden="false" customHeight="false" outlineLevel="0" collapsed="false">
      <c r="A18" s="29" t="n">
        <v>46034</v>
      </c>
      <c r="B18" s="27" t="s">
        <v>270</v>
      </c>
      <c r="C18" s="28" t="s">
        <v>339</v>
      </c>
      <c r="D18" s="27" t="s">
        <v>340</v>
      </c>
      <c r="E18" s="32" t="n">
        <v>93</v>
      </c>
      <c r="F18" s="32" t="n">
        <v>204</v>
      </c>
      <c r="G18" s="32" t="n">
        <v>106.5</v>
      </c>
      <c r="H18" s="32" t="n">
        <v>209.3</v>
      </c>
      <c r="I18" s="32" t="n">
        <v>7.8</v>
      </c>
      <c r="J18" s="32" t="n">
        <v>9.7</v>
      </c>
      <c r="K18" s="32" t="n">
        <v>5.1</v>
      </c>
      <c r="L18" s="32" t="n">
        <v>7.5</v>
      </c>
      <c r="M18" s="32" t="n">
        <v>9.6</v>
      </c>
      <c r="N18" s="32" t="n">
        <v>8.1</v>
      </c>
      <c r="O18" s="32" t="n">
        <v>9.3</v>
      </c>
      <c r="P18" s="32" t="n">
        <v>13.3</v>
      </c>
      <c r="Q18" s="32" t="n">
        <v>12.2</v>
      </c>
      <c r="R18" s="32" t="n">
        <v>8.1</v>
      </c>
      <c r="S18" s="32" t="n">
        <v>31.8</v>
      </c>
      <c r="T18" s="32" t="n">
        <v>36.5</v>
      </c>
      <c r="U18" s="32" t="n">
        <v>29</v>
      </c>
      <c r="V18" s="32" t="n">
        <v>103.5</v>
      </c>
      <c r="W18" s="32" t="n">
        <v>81.2</v>
      </c>
      <c r="X18" s="32" t="n">
        <v>83.6</v>
      </c>
      <c r="Y18" s="32" t="n">
        <v>97.7</v>
      </c>
      <c r="Z18" s="32" t="n">
        <v>57.1</v>
      </c>
      <c r="AA18" s="32" t="n">
        <v>38.6</v>
      </c>
      <c r="AB18" s="32" t="n">
        <v>18.6</v>
      </c>
      <c r="AC18" s="32" t="n">
        <v>41</v>
      </c>
      <c r="AD18" s="32" t="n">
        <v>28.2</v>
      </c>
      <c r="AE18" s="32" t="n">
        <v>7.7</v>
      </c>
      <c r="AF18" s="32" t="n">
        <v>10.4</v>
      </c>
      <c r="AG18" s="33" t="n">
        <f aca="false">IFERROR(DATEDIF(INDEX(Cadastro!$D$8:$D$47,MATCH($B18,Cadastro!$B$8:$B$47,0)),$A18,"Y"),"")</f>
        <v>21</v>
      </c>
      <c r="AH18" s="33" t="n">
        <f aca="false">IF(COUNT($I18,$K18,$J18,$N18)&lt;4,"",$I18+$K18+$J18+$N18)</f>
        <v>30.7</v>
      </c>
      <c r="AI18" s="33" t="n">
        <f aca="false">IF(COUNT($L18,$M18,$I18,$J18,$P18,$N18,$Q18)&lt;7,"",$L18+$M18+$I18+$J18+$P18+$N18+$Q18)</f>
        <v>68.2</v>
      </c>
      <c r="AJ18" s="33" t="n">
        <f aca="false">IF(COUNT($I18,$J18,$K18,$O18,$P18,$Q18,$R18,$N18)&lt;8,"",$I18+$J18+$K18+$O18+$P18+$Q18+$R18+$N18)</f>
        <v>73.6</v>
      </c>
      <c r="AK18" s="34" t="n">
        <f aca="false">IF(OR($AI18="",$AG18=""),"",IF(IFERROR(INDEX(Cadastro!$F$8:$F$47,MATCH($B18,Cadastro!$B$8:$B$47,0)),"")="Feminino",1.097-0.00046971*$AI18+0.00000056*$AI18^2-0.00012828*$AG18,1.112-0.00043499*$AI18+0.00000055*$AI18^2-0.00028826*$AG18))</f>
        <v>1.078838404</v>
      </c>
      <c r="AL18" s="30" t="n">
        <f aca="false">IF(OR($AK18="",$AK18=0),"",495/$AK18-450)</f>
        <v>8.82682537504473</v>
      </c>
      <c r="AM18" s="35" t="n">
        <f aca="false">IF(OR($AL18="",$E18=""),"",$E18*$AL18/100)</f>
        <v>8.2089475987916</v>
      </c>
      <c r="AN18" s="30" t="n">
        <f aca="false">IF(OR($AM18="",$E18=""),"",$E18-$AM18)</f>
        <v>84.7910524012084</v>
      </c>
      <c r="AO18" s="35" t="n">
        <f aca="false">IFERROR($E18/($F18/100)^2,"")</f>
        <v>22.3471741637832</v>
      </c>
      <c r="AP18" s="35" t="n">
        <f aca="false">IFERROR($G18/$F18*100,"")</f>
        <v>52.2058823529412</v>
      </c>
      <c r="AQ18" s="36" t="n">
        <f aca="false">IFERROR($W18/$F18,"")</f>
        <v>0.398039215686275</v>
      </c>
      <c r="AR18" s="35" t="n">
        <f aca="false">IF(OR($S18="",$I18=""),"",($S18-PI()*$I18/10)^2/(4*PI())-IF(IFERROR(INDEX(Cadastro!$F$8:$F$47,MATCH($B18,Cadastro!$B$8:$B$47,0)),"")="Feminino",6.5,10))</f>
        <v>58.5477585687351</v>
      </c>
      <c r="AS18" s="35" t="n">
        <f aca="false">IF(OR($I18="",$J18="",$O18="",$F18=""),"",-0.7182+0.1451*(($I18+$J18+$O18)*(170.18/$F18))-0.00068*(($I18+$J18+$O18)*(170.18/$F18))^2+0.0000014*(($I18+$J18+$O18)*(170.18/$F18))^3)</f>
        <v>2.20155505419209</v>
      </c>
      <c r="AT18" s="35" t="n">
        <f aca="false">IF(OR($AE18="",$AF18="",$T18="",$AA18="",$F18=""),"",0.858*$AE18+0.601*$AF18+0.188*($T18-$I18/10)+0.161*($AA18-$R18/10)-0.131*$F18+4.5)</f>
        <v>3.43255</v>
      </c>
      <c r="AU18" s="35" t="n">
        <f aca="false">IF(OR($E18="",$F18=""),"",IF($F18/$E18^(1/3)&gt;=40.75,0.732*($F18/$E18^(1/3))-28.58,IF($F18/$E18^(1/3)&gt;=38.25,0.463*($F18/$E18^(1/3))-17.63,0.1)))</f>
        <v>4.3794735032867</v>
      </c>
      <c r="AV18" s="37" t="str">
        <f aca="false">IF(OR($AS18="",$AT18="",$AU18=""),"",IF(AND($AT18&gt;=$AS18,$AT18&gt;=$AU18),"Mesomorfo dominante",IF(AND($AU18&gt;=$AS18,$AU18&gt;=$AT18),"Ectomorfo dominante","Endomorfo dominante")))</f>
        <v>Ectomorfo dominante</v>
      </c>
    </row>
    <row r="19" customFormat="false" ht="15" hidden="false" customHeight="false" outlineLevel="0" collapsed="false">
      <c r="A19" s="29" t="n">
        <v>46034</v>
      </c>
      <c r="B19" s="27" t="s">
        <v>279</v>
      </c>
      <c r="C19" s="28" t="s">
        <v>339</v>
      </c>
      <c r="D19" s="27" t="s">
        <v>340</v>
      </c>
      <c r="E19" s="32" t="n">
        <v>79</v>
      </c>
      <c r="F19" s="32" t="n">
        <v>186</v>
      </c>
      <c r="G19" s="32" t="n">
        <v>97.1</v>
      </c>
      <c r="H19" s="32" t="n">
        <v>189.2</v>
      </c>
      <c r="I19" s="32" t="n">
        <v>10.7</v>
      </c>
      <c r="J19" s="32" t="n">
        <v>12.1</v>
      </c>
      <c r="K19" s="32" t="n">
        <v>3.1</v>
      </c>
      <c r="L19" s="32" t="n">
        <v>8</v>
      </c>
      <c r="M19" s="32" t="n">
        <v>6.8</v>
      </c>
      <c r="N19" s="32" t="n">
        <v>8.8</v>
      </c>
      <c r="O19" s="32" t="n">
        <v>8.4</v>
      </c>
      <c r="P19" s="32" t="n">
        <v>13.4</v>
      </c>
      <c r="Q19" s="32" t="n">
        <v>13.7</v>
      </c>
      <c r="R19" s="32" t="n">
        <v>9.7</v>
      </c>
      <c r="S19" s="32" t="n">
        <v>32.7</v>
      </c>
      <c r="T19" s="32" t="n">
        <v>35.8</v>
      </c>
      <c r="U19" s="32" t="n">
        <v>27.5</v>
      </c>
      <c r="V19" s="32" t="n">
        <v>96.4</v>
      </c>
      <c r="W19" s="32" t="n">
        <v>82.6</v>
      </c>
      <c r="X19" s="32" t="n">
        <v>82.6</v>
      </c>
      <c r="Y19" s="32" t="n">
        <v>95.5</v>
      </c>
      <c r="Z19" s="32" t="n">
        <v>58.9</v>
      </c>
      <c r="AA19" s="32" t="n">
        <v>39.4</v>
      </c>
      <c r="AB19" s="32" t="n">
        <v>17.1</v>
      </c>
      <c r="AC19" s="32" t="n">
        <v>41.8</v>
      </c>
      <c r="AD19" s="32" t="n">
        <v>29.6</v>
      </c>
      <c r="AE19" s="32" t="n">
        <v>7.4</v>
      </c>
      <c r="AF19" s="32" t="n">
        <v>9.8</v>
      </c>
      <c r="AG19" s="33" t="n">
        <f aca="false">IFERROR(DATEDIF(INDEX(Cadastro!$D$8:$D$47,MATCH($B19,Cadastro!$B$8:$B$47,0)),$A19,"Y"),"")</f>
        <v>24</v>
      </c>
      <c r="AH19" s="33" t="n">
        <f aca="false">IF(COUNT($I19,$K19,$J19,$N19)&lt;4,"",$I19+$K19+$J19+$N19)</f>
        <v>34.7</v>
      </c>
      <c r="AI19" s="33" t="n">
        <f aca="false">IF(COUNT($L19,$M19,$I19,$J19,$P19,$N19,$Q19)&lt;7,"",$L19+$M19+$I19+$J19+$P19+$N19+$Q19)</f>
        <v>73.5</v>
      </c>
      <c r="AJ19" s="33" t="n">
        <f aca="false">IF(COUNT($I19,$J19,$K19,$O19,$P19,$Q19,$R19,$N19)&lt;8,"",$I19+$J19+$K19+$O19+$P19+$Q19+$R19+$N19)</f>
        <v>79.9</v>
      </c>
      <c r="AK19" s="34" t="n">
        <f aca="false">IF(OR($AI19="",$AG19=""),"",IF(IFERROR(INDEX(Cadastro!$F$8:$F$47,MATCH($B19,Cadastro!$B$8:$B$47,0)),"")="Feminino",1.097-0.00046971*$AI19+0.00000056*$AI19^2-0.00012828*$AG19,1.112-0.00043499*$AI19+0.00000055*$AI19^2-0.00028826*$AG19))</f>
        <v>1.0760812325</v>
      </c>
      <c r="AL19" s="30" t="n">
        <f aca="false">IF(OR($AK19="",$AK19=0),"",495/$AK19-450)</f>
        <v>10.0024468877632</v>
      </c>
      <c r="AM19" s="35" t="n">
        <f aca="false">IF(OR($AL19="",$E19=""),"",$E19*$AL19/100)</f>
        <v>7.90193304133293</v>
      </c>
      <c r="AN19" s="30" t="n">
        <f aca="false">IF(OR($AM19="",$E19=""),"",$E19-$AM19)</f>
        <v>71.0980669586671</v>
      </c>
      <c r="AO19" s="35" t="n">
        <f aca="false">IFERROR($E19/($F19/100)^2,"")</f>
        <v>22.8350098277257</v>
      </c>
      <c r="AP19" s="35" t="n">
        <f aca="false">IFERROR($G19/$F19*100,"")</f>
        <v>52.2043010752688</v>
      </c>
      <c r="AQ19" s="36" t="n">
        <f aca="false">IFERROR($W19/$F19,"")</f>
        <v>0.444086021505376</v>
      </c>
      <c r="AR19" s="35" t="n">
        <f aca="false">IF(OR($S19="",$I19=""),"",($S19-PI()*$I19/10)^2/(4*PI())-IF(IFERROR(INDEX(Cadastro!$F$8:$F$47,MATCH($B19,Cadastro!$B$8:$B$47,0)),"")="Feminino",6.5,10))</f>
        <v>58.4960969066401</v>
      </c>
      <c r="AS19" s="35" t="n">
        <f aca="false">IF(OR($I19="",$J19="",$O19="",$F19=""),"",-0.7182+0.1451*(($I19+$J19+$O19)*(170.18/$F19))-0.00068*(($I19+$J19+$O19)*(170.18/$F19))^2+0.0000014*(($I19+$J19+$O19)*(170.18/$F19))^3)</f>
        <v>2.90231154325134</v>
      </c>
      <c r="AT19" s="35" t="n">
        <f aca="false">IF(OR($AE19="",$AF19="",$T19="",$AA19="",$F19=""),"",0.858*$AE19+0.601*$AF19+0.188*($T19-$I19/10)+0.161*($AA19-$R19/10)-0.131*$F19+4.5)</f>
        <v>5.08947</v>
      </c>
      <c r="AU19" s="35" t="n">
        <f aca="false">IF(OR($E19="",$F19=""),"",IF($F19/$E19^(1/3)&gt;=40.75,0.732*($F19/$E19^(1/3))-28.58,IF($F19/$E19^(1/3)&gt;=38.25,0.463*($F19/$E19^(1/3))-17.63,0.1)))</f>
        <v>3.15084674564815</v>
      </c>
      <c r="AV19" s="37" t="str">
        <f aca="false">IF(OR($AS19="",$AT19="",$AU19=""),"",IF(AND($AT19&gt;=$AS19,$AT19&gt;=$AU19),"Mesomorfo dominante",IF(AND($AU19&gt;=$AS19,$AU19&gt;=$AT19),"Ectomorfo dominante","Endomorfo dominante")))</f>
        <v>Mesomorfo dominante</v>
      </c>
    </row>
    <row r="20" customFormat="false" ht="15" hidden="false" customHeight="false" outlineLevel="0" collapsed="false">
      <c r="A20" s="29" t="n">
        <v>46225</v>
      </c>
      <c r="B20" s="27" t="s">
        <v>164</v>
      </c>
      <c r="C20" s="28" t="s">
        <v>341</v>
      </c>
      <c r="D20" s="27" t="s">
        <v>340</v>
      </c>
      <c r="E20" s="32" t="n">
        <v>87.8</v>
      </c>
      <c r="F20" s="32" t="n">
        <v>196</v>
      </c>
      <c r="G20" s="32" t="n">
        <v>102.3</v>
      </c>
      <c r="H20" s="32" t="n">
        <v>200.6</v>
      </c>
      <c r="I20" s="32" t="n">
        <v>6.9</v>
      </c>
      <c r="J20" s="32" t="n">
        <v>12</v>
      </c>
      <c r="K20" s="32" t="n">
        <v>4.3</v>
      </c>
      <c r="L20" s="32" t="n">
        <v>5.4</v>
      </c>
      <c r="M20" s="32" t="n">
        <v>9.4</v>
      </c>
      <c r="N20" s="32" t="n">
        <v>8.8</v>
      </c>
      <c r="O20" s="32" t="n">
        <v>7.8</v>
      </c>
      <c r="P20" s="32" t="n">
        <v>12.2</v>
      </c>
      <c r="Q20" s="32" t="n">
        <v>10.1</v>
      </c>
      <c r="R20" s="32" t="n">
        <v>9.5</v>
      </c>
      <c r="S20" s="32" t="n">
        <v>35.3</v>
      </c>
      <c r="T20" s="32" t="n">
        <v>34.9</v>
      </c>
      <c r="U20" s="32" t="n">
        <v>27.3</v>
      </c>
      <c r="V20" s="32" t="n">
        <v>98.4</v>
      </c>
      <c r="W20" s="32" t="n">
        <v>80.5</v>
      </c>
      <c r="X20" s="32" t="n">
        <v>80.3</v>
      </c>
      <c r="Y20" s="32" t="n">
        <v>101.6</v>
      </c>
      <c r="Z20" s="32" t="n">
        <v>61.5</v>
      </c>
      <c r="AA20" s="32" t="n">
        <v>38.6</v>
      </c>
      <c r="AB20" s="32" t="n">
        <v>18.9</v>
      </c>
      <c r="AC20" s="32" t="n">
        <v>41.6</v>
      </c>
      <c r="AD20" s="32" t="n">
        <v>27</v>
      </c>
      <c r="AE20" s="32" t="n">
        <v>7.3</v>
      </c>
      <c r="AF20" s="32" t="n">
        <v>10</v>
      </c>
      <c r="AG20" s="33" t="n">
        <f aca="false">IFERROR(DATEDIF(INDEX(Cadastro!$D$8:$D$47,MATCH($B20,Cadastro!$B$8:$B$47,0)),$A20,"Y"),"")</f>
        <v>28</v>
      </c>
      <c r="AH20" s="33" t="n">
        <f aca="false">IF(COUNT($I20,$K20,$J20,$N20)&lt;4,"",$I20+$K20+$J20+$N20)</f>
        <v>32</v>
      </c>
      <c r="AI20" s="33" t="n">
        <f aca="false">IF(COUNT($L20,$M20,$I20,$J20,$P20,$N20,$Q20)&lt;7,"",$L20+$M20+$I20+$J20+$P20+$N20+$Q20)</f>
        <v>64.8</v>
      </c>
      <c r="AJ20" s="33" t="n">
        <f aca="false">IF(COUNT($I20,$J20,$K20,$O20,$P20,$Q20,$R20,$N20)&lt;8,"",$I20+$J20+$K20+$O20+$P20+$Q20+$R20+$N20)</f>
        <v>71.6</v>
      </c>
      <c r="AK20" s="34" t="n">
        <f aca="false">IF(OR($AI20="",$AG20=""),"",IF(IFERROR(INDEX(Cadastro!$F$8:$F$47,MATCH($B20,Cadastro!$B$8:$B$47,0)),"")="Feminino",1.097-0.00046971*$AI20+0.00000056*$AI20^2-0.00012828*$AG20,1.112-0.00043499*$AI20+0.00000055*$AI20^2-0.00028826*$AG20))</f>
        <v>1.07805084</v>
      </c>
      <c r="AL20" s="30" t="n">
        <f aca="false">IF(OR($AK20="",$AK20=0),"",495/$AK20-450)</f>
        <v>9.16201874115689</v>
      </c>
      <c r="AM20" s="35" t="n">
        <f aca="false">IF(OR($AL20="",$E20=""),"",$E20*$AL20/100)</f>
        <v>8.04425245473574</v>
      </c>
      <c r="AN20" s="30" t="n">
        <f aca="false">IF(OR($AM20="",$E20=""),"",$E20-$AM20)</f>
        <v>79.7557475452643</v>
      </c>
      <c r="AO20" s="35" t="n">
        <f aca="false">IFERROR($E20/($F20/100)^2,"")</f>
        <v>22.8550603915035</v>
      </c>
      <c r="AP20" s="35" t="n">
        <f aca="false">IFERROR($G20/$F20*100,"")</f>
        <v>52.1938775510204</v>
      </c>
      <c r="AQ20" s="36" t="n">
        <f aca="false">IFERROR($W20/$F20,"")</f>
        <v>0.410714285714286</v>
      </c>
      <c r="AR20" s="35" t="n">
        <f aca="false">IF(OR($S20="",$I20=""),"",($S20-PI()*$I20/10)^2/(4*PI())-IF(IFERROR(INDEX(Cadastro!$F$8:$F$47,MATCH($B20,Cadastro!$B$8:$B$47,0)),"")="Feminino",6.5,10))</f>
        <v>77.3561195842835</v>
      </c>
      <c r="AS20" s="35" t="n">
        <f aca="false">IF(OR($I20="",$J20="",$O20="",$F20=""),"",-0.7182+0.1451*(($I20+$J20+$O20)*(170.18/$F20))-0.00068*(($I20+$J20+$O20)*(170.18/$F20))^2+0.0000014*(($I20+$J20+$O20)*(170.18/$F20))^3)</f>
        <v>2.29759328083792</v>
      </c>
      <c r="AT20" s="35" t="n">
        <f aca="false">IF(OR($AE20="",$AF20="",$T20="",$AA20="",$F20=""),"",0.858*$AE20+0.601*$AF20+0.188*($T20-$I20/10)+0.161*($AA20-$R20/10)-0.131*$F20+4.5)</f>
        <v>3.59053</v>
      </c>
      <c r="AU20" s="35" t="n">
        <f aca="false">IF(OR($E20="",$F20=""),"",IF($F20/$E20^(1/3)&gt;=40.75,0.732*($F20/$E20^(1/3))-28.58,IF($F20/$E20^(1/3)&gt;=38.25,0.463*($F20/$E20^(1/3))-17.63,0.1)))</f>
        <v>3.70015765356749</v>
      </c>
      <c r="AV20" s="37" t="str">
        <f aca="false">IF(OR($AS20="",$AT20="",$AU20=""),"",IF(AND($AT20&gt;=$AS20,$AT20&gt;=$AU20),"Mesomorfo dominante",IF(AND($AU20&gt;=$AS20,$AU20&gt;=$AT20),"Ectomorfo dominante","Endomorfo dominante")))</f>
        <v>Ectomorfo dominante</v>
      </c>
    </row>
    <row r="21" customFormat="false" ht="15" hidden="false" customHeight="false" outlineLevel="0" collapsed="false">
      <c r="A21" s="29" t="n">
        <v>46225</v>
      </c>
      <c r="B21" s="27" t="s">
        <v>192</v>
      </c>
      <c r="C21" s="28" t="s">
        <v>341</v>
      </c>
      <c r="D21" s="27" t="s">
        <v>340</v>
      </c>
      <c r="E21" s="32" t="n">
        <v>94.2</v>
      </c>
      <c r="F21" s="32" t="n">
        <v>202</v>
      </c>
      <c r="G21" s="32" t="n">
        <v>105.4</v>
      </c>
      <c r="H21" s="32" t="n">
        <v>204.4</v>
      </c>
      <c r="I21" s="32" t="n">
        <v>7.9</v>
      </c>
      <c r="J21" s="32" t="n">
        <v>10.7</v>
      </c>
      <c r="K21" s="32" t="n">
        <v>4.7</v>
      </c>
      <c r="L21" s="32" t="n">
        <v>5.5</v>
      </c>
      <c r="M21" s="32" t="n">
        <v>6.9</v>
      </c>
      <c r="N21" s="32" t="n">
        <v>13</v>
      </c>
      <c r="O21" s="32" t="n">
        <v>8.4</v>
      </c>
      <c r="P21" s="32" t="n">
        <v>10.4</v>
      </c>
      <c r="Q21" s="32" t="n">
        <v>13.6</v>
      </c>
      <c r="R21" s="32" t="n">
        <v>8.3</v>
      </c>
      <c r="S21" s="32" t="n">
        <v>35</v>
      </c>
      <c r="T21" s="32" t="n">
        <v>35.4</v>
      </c>
      <c r="U21" s="32" t="n">
        <v>28.2</v>
      </c>
      <c r="V21" s="32" t="n">
        <v>105.5</v>
      </c>
      <c r="W21" s="32" t="n">
        <v>83.3</v>
      </c>
      <c r="X21" s="32" t="n">
        <v>82.2</v>
      </c>
      <c r="Y21" s="32" t="n">
        <v>97.3</v>
      </c>
      <c r="Z21" s="32" t="n">
        <v>59.5</v>
      </c>
      <c r="AA21" s="32" t="n">
        <v>39.9</v>
      </c>
      <c r="AB21" s="32" t="n">
        <v>18.1</v>
      </c>
      <c r="AC21" s="32" t="n">
        <v>43.5</v>
      </c>
      <c r="AD21" s="32" t="n">
        <v>28.6</v>
      </c>
      <c r="AE21" s="32" t="n">
        <v>7.2</v>
      </c>
      <c r="AF21" s="32" t="n">
        <v>10.1</v>
      </c>
      <c r="AG21" s="33" t="n">
        <f aca="false">IFERROR(DATEDIF(INDEX(Cadastro!$D$8:$D$47,MATCH($B21,Cadastro!$B$8:$B$47,0)),$A21,"Y"),"")</f>
        <v>29</v>
      </c>
      <c r="AH21" s="33" t="n">
        <f aca="false">IF(COUNT($I21,$K21,$J21,$N21)&lt;4,"",$I21+$K21+$J21+$N21)</f>
        <v>36.3</v>
      </c>
      <c r="AI21" s="33" t="n">
        <f aca="false">IF(COUNT($L21,$M21,$I21,$J21,$P21,$N21,$Q21)&lt;7,"",$L21+$M21+$I21+$J21+$P21+$N21+$Q21)</f>
        <v>68</v>
      </c>
      <c r="AJ21" s="33" t="n">
        <f aca="false">IF(COUNT($I21,$J21,$K21,$O21,$P21,$Q21,$R21,$N21)&lt;8,"",$I21+$J21+$K21+$O21+$P21+$Q21+$R21+$N21)</f>
        <v>77</v>
      </c>
      <c r="AK21" s="34" t="n">
        <f aca="false">IF(OR($AI21="",$AG21=""),"",IF(IFERROR(INDEX(Cadastro!$F$8:$F$47,MATCH($B21,Cadastro!$B$8:$B$47,0)),"")="Feminino",1.097-0.00046971*$AI21+0.00000056*$AI21^2-0.00012828*$AG21,1.112-0.00043499*$AI21+0.00000055*$AI21^2-0.00028826*$AG21))</f>
        <v>1.07660434</v>
      </c>
      <c r="AL21" s="30" t="n">
        <f aca="false">IF(OR($AK21="",$AK21=0),"",495/$AK21-450)</f>
        <v>9.77893791511184</v>
      </c>
      <c r="AM21" s="35" t="n">
        <f aca="false">IF(OR($AL21="",$E21=""),"",$E21*$AL21/100)</f>
        <v>9.21175951603535</v>
      </c>
      <c r="AN21" s="30" t="n">
        <f aca="false">IF(OR($AM21="",$E21=""),"",$E21-$AM21)</f>
        <v>84.9882404839647</v>
      </c>
      <c r="AO21" s="35" t="n">
        <f aca="false">IFERROR($E21/($F21/100)^2,"")</f>
        <v>23.085971963533</v>
      </c>
      <c r="AP21" s="35" t="n">
        <f aca="false">IFERROR($G21/$F21*100,"")</f>
        <v>52.1782178217822</v>
      </c>
      <c r="AQ21" s="36" t="n">
        <f aca="false">IFERROR($W21/$F21,"")</f>
        <v>0.412376237623762</v>
      </c>
      <c r="AR21" s="35" t="n">
        <f aca="false">IF(OR($S21="",$I21=""),"",($S21-PI()*$I21/10)^2/(4*PI())-IF(IFERROR(INDEX(Cadastro!$F$8:$F$47,MATCH($B21,Cadastro!$B$8:$B$47,0)),"")="Feminino",6.5,10))</f>
        <v>74.1475696375623</v>
      </c>
      <c r="AS21" s="35" t="n">
        <f aca="false">IF(OR($I21="",$J21="",$O21="",$F21=""),"",-0.7182+0.1451*(($I21+$J21+$O21)*(170.18/$F21))-0.00068*(($I21+$J21+$O21)*(170.18/$F21))^2+0.0000014*(($I21+$J21+$O21)*(170.18/$F21))^3)</f>
        <v>2.24699827754029</v>
      </c>
      <c r="AT21" s="35" t="n">
        <f aca="false">IF(OR($AE21="",$AF21="",$T21="",$AA21="",$F21=""),"",0.858*$AE21+0.601*$AF21+0.188*($T21-$I21/10)+0.161*($AA21-$R21/10)-0.131*$F21+4.5)</f>
        <v>3.08265</v>
      </c>
      <c r="AU21" s="35" t="n">
        <f aca="false">IF(OR($E21="",$F21=""),"",IF($F21/$E21^(1/3)&gt;=40.75,0.732*($F21/$E21^(1/3))-28.58,IF($F21/$E21^(1/3)&gt;=38.25,0.463*($F21/$E21^(1/3))-17.63,0.1)))</f>
        <v>3.91716555541893</v>
      </c>
      <c r="AV21" s="37" t="str">
        <f aca="false">IF(OR($AS21="",$AT21="",$AU21=""),"",IF(AND($AT21&gt;=$AS21,$AT21&gt;=$AU21),"Mesomorfo dominante",IF(AND($AU21&gt;=$AS21,$AU21&gt;=$AT21),"Ectomorfo dominante","Endomorfo dominante")))</f>
        <v>Ectomorfo dominante</v>
      </c>
    </row>
    <row r="22" customFormat="false" ht="15" hidden="false" customHeight="false" outlineLevel="0" collapsed="false">
      <c r="A22" s="29" t="n">
        <v>46225</v>
      </c>
      <c r="B22" s="27" t="s">
        <v>206</v>
      </c>
      <c r="C22" s="28" t="s">
        <v>341</v>
      </c>
      <c r="D22" s="27" t="s">
        <v>340</v>
      </c>
      <c r="E22" s="32" t="n">
        <v>88.9</v>
      </c>
      <c r="F22" s="32" t="n">
        <v>198</v>
      </c>
      <c r="G22" s="32" t="n">
        <v>103.4</v>
      </c>
      <c r="H22" s="32" t="n">
        <v>203.8</v>
      </c>
      <c r="I22" s="32" t="n">
        <v>9</v>
      </c>
      <c r="J22" s="32" t="n">
        <v>11.3</v>
      </c>
      <c r="K22" s="32" t="n">
        <v>5.5</v>
      </c>
      <c r="L22" s="32" t="n">
        <v>5</v>
      </c>
      <c r="M22" s="32" t="n">
        <v>7.8</v>
      </c>
      <c r="N22" s="32" t="n">
        <v>7.3</v>
      </c>
      <c r="O22" s="32" t="n">
        <v>7.4</v>
      </c>
      <c r="P22" s="32" t="n">
        <v>16.5</v>
      </c>
      <c r="Q22" s="32" t="n">
        <v>12</v>
      </c>
      <c r="R22" s="32" t="n">
        <v>9.4</v>
      </c>
      <c r="S22" s="32" t="n">
        <v>32.1</v>
      </c>
      <c r="T22" s="32" t="n">
        <v>36.5</v>
      </c>
      <c r="U22" s="32" t="n">
        <v>29.3</v>
      </c>
      <c r="V22" s="32" t="n">
        <v>100.6</v>
      </c>
      <c r="W22" s="32" t="n">
        <v>77.5</v>
      </c>
      <c r="X22" s="32" t="n">
        <v>85.9</v>
      </c>
      <c r="Y22" s="32" t="n">
        <v>95.3</v>
      </c>
      <c r="Z22" s="32" t="n">
        <v>62.3</v>
      </c>
      <c r="AA22" s="32" t="n">
        <v>39.2</v>
      </c>
      <c r="AB22" s="32" t="n">
        <v>17.9</v>
      </c>
      <c r="AC22" s="32" t="n">
        <v>41.7</v>
      </c>
      <c r="AD22" s="32" t="n">
        <v>28.1</v>
      </c>
      <c r="AE22" s="32" t="n">
        <v>7.3</v>
      </c>
      <c r="AF22" s="32" t="n">
        <v>10</v>
      </c>
      <c r="AG22" s="33" t="n">
        <f aca="false">IFERROR(DATEDIF(INDEX(Cadastro!$D$8:$D$47,MATCH($B22,Cadastro!$B$8:$B$47,0)),$A22,"Y"),"")</f>
        <v>26</v>
      </c>
      <c r="AH22" s="33" t="n">
        <f aca="false">IF(COUNT($I22,$K22,$J22,$N22)&lt;4,"",$I22+$K22+$J22+$N22)</f>
        <v>33.1</v>
      </c>
      <c r="AI22" s="33" t="n">
        <f aca="false">IF(COUNT($L22,$M22,$I22,$J22,$P22,$N22,$Q22)&lt;7,"",$L22+$M22+$I22+$J22+$P22+$N22+$Q22)</f>
        <v>68.9</v>
      </c>
      <c r="AJ22" s="33" t="n">
        <f aca="false">IF(COUNT($I22,$J22,$K22,$O22,$P22,$Q22,$R22,$N22)&lt;8,"",$I22+$J22+$K22+$O22+$P22+$Q22+$R22+$N22)</f>
        <v>78.4</v>
      </c>
      <c r="AK22" s="34" t="n">
        <f aca="false">IF(OR($AI22="",$AG22=""),"",IF(IFERROR(INDEX(Cadastro!$F$8:$F$47,MATCH($B22,Cadastro!$B$8:$B$47,0)),"")="Feminino",1.097-0.00046971*$AI22+0.00000056*$AI22^2-0.00012828*$AG22,1.112-0.00043499*$AI22+0.00000055*$AI22^2-0.00028826*$AG22))</f>
        <v>1.0771453945</v>
      </c>
      <c r="AL22" s="30" t="n">
        <f aca="false">IF(OR($AK22="",$AK22=0),"",495/$AK22-450)</f>
        <v>9.54798908997236</v>
      </c>
      <c r="AM22" s="35" t="n">
        <f aca="false">IF(OR($AL22="",$E22=""),"",$E22*$AL22/100)</f>
        <v>8.48816230098543</v>
      </c>
      <c r="AN22" s="30" t="n">
        <f aca="false">IF(OR($AM22="",$E22=""),"",$E22-$AM22)</f>
        <v>80.4118376990146</v>
      </c>
      <c r="AO22" s="35" t="n">
        <f aca="false">IFERROR($E22/($F22/100)^2,"")</f>
        <v>22.6762575247424</v>
      </c>
      <c r="AP22" s="35" t="n">
        <f aca="false">IFERROR($G22/$F22*100,"")</f>
        <v>52.2222222222222</v>
      </c>
      <c r="AQ22" s="36" t="n">
        <f aca="false">IFERROR($W22/$F22,"")</f>
        <v>0.391414141414141</v>
      </c>
      <c r="AR22" s="35" t="n">
        <f aca="false">IF(OR($S22="",$I22=""),"",($S22-PI()*$I22/10)^2/(4*PI())-IF(IFERROR(INDEX(Cadastro!$F$8:$F$47,MATCH($B22,Cadastro!$B$8:$B$47,0)),"")="Feminino",6.5,10))</f>
        <v>58.1885949680119</v>
      </c>
      <c r="AS22" s="35" t="n">
        <f aca="false">IF(OR($I22="",$J22="",$O22="",$F22=""),"",-0.7182+0.1451*(($I22+$J22+$O22)*(170.18/$F22))-0.00068*(($I22+$J22+$O22)*(170.18/$F22))^2+0.0000014*(($I22+$J22+$O22)*(170.18/$F22))^3)</f>
        <v>2.36979659470622</v>
      </c>
      <c r="AT22" s="35" t="n">
        <f aca="false">IF(OR($AE22="",$AF22="",$T22="",$AA22="",$F22=""),"",0.858*$AE22+0.601*$AF22+0.188*($T22-$I22/10)+0.161*($AA22-$R22/10)-0.131*$F22+4.5)</f>
        <v>3.68806</v>
      </c>
      <c r="AU22" s="35" t="n">
        <f aca="false">IF(OR($E22="",$F22=""),"",IF($F22/$E22^(1/3)&gt;=40.75,0.732*($F22/$E22^(1/3))-28.58,IF($F22/$E22^(1/3)&gt;=38.25,0.463*($F22/$E22^(1/3))-17.63,0.1)))</f>
        <v>3.89449086993963</v>
      </c>
      <c r="AV22" s="37" t="str">
        <f aca="false">IF(OR($AS22="",$AT22="",$AU22=""),"",IF(AND($AT22&gt;=$AS22,$AT22&gt;=$AU22),"Mesomorfo dominante",IF(AND($AU22&gt;=$AS22,$AU22&gt;=$AT22),"Ectomorfo dominante","Endomorfo dominante")))</f>
        <v>Ectomorfo dominante</v>
      </c>
    </row>
    <row r="23" customFormat="false" ht="15" hidden="false" customHeight="false" outlineLevel="0" collapsed="false">
      <c r="A23" s="29" t="n">
        <v>46225</v>
      </c>
      <c r="B23" s="27" t="s">
        <v>215</v>
      </c>
      <c r="C23" s="28" t="s">
        <v>341</v>
      </c>
      <c r="D23" s="27" t="s">
        <v>340</v>
      </c>
      <c r="E23" s="32" t="n">
        <v>87.7</v>
      </c>
      <c r="F23" s="32" t="n">
        <v>197</v>
      </c>
      <c r="G23" s="32" t="n">
        <v>102.8</v>
      </c>
      <c r="H23" s="32" t="n">
        <v>200.5</v>
      </c>
      <c r="I23" s="32" t="n">
        <v>8.9</v>
      </c>
      <c r="J23" s="32" t="n">
        <v>11.4</v>
      </c>
      <c r="K23" s="32" t="n">
        <v>5.2</v>
      </c>
      <c r="L23" s="32" t="n">
        <v>5.6</v>
      </c>
      <c r="M23" s="32" t="n">
        <v>6.3</v>
      </c>
      <c r="N23" s="32" t="n">
        <v>8.7</v>
      </c>
      <c r="O23" s="32" t="n">
        <v>7.1</v>
      </c>
      <c r="P23" s="32" t="n">
        <v>13.5</v>
      </c>
      <c r="Q23" s="32" t="n">
        <v>10.9</v>
      </c>
      <c r="R23" s="32" t="n">
        <v>6.1</v>
      </c>
      <c r="S23" s="32" t="n">
        <v>31.4</v>
      </c>
      <c r="T23" s="32" t="n">
        <v>36</v>
      </c>
      <c r="U23" s="32" t="n">
        <v>29.8</v>
      </c>
      <c r="V23" s="32" t="n">
        <v>102.4</v>
      </c>
      <c r="W23" s="32" t="n">
        <v>82.5</v>
      </c>
      <c r="X23" s="32" t="n">
        <v>85.3</v>
      </c>
      <c r="Y23" s="32" t="n">
        <v>97.8</v>
      </c>
      <c r="Z23" s="32" t="n">
        <v>60.4</v>
      </c>
      <c r="AA23" s="32" t="n">
        <v>41</v>
      </c>
      <c r="AB23" s="32" t="n">
        <v>18.2</v>
      </c>
      <c r="AC23" s="32" t="n">
        <v>42</v>
      </c>
      <c r="AD23" s="32" t="n">
        <v>27.2</v>
      </c>
      <c r="AE23" s="32" t="n">
        <v>7.7</v>
      </c>
      <c r="AF23" s="32" t="n">
        <v>10.2</v>
      </c>
      <c r="AG23" s="33" t="n">
        <f aca="false">IFERROR(DATEDIF(INDEX(Cadastro!$D$8:$D$47,MATCH($B23,Cadastro!$B$8:$B$47,0)),$A23,"Y"),"")</f>
        <v>26</v>
      </c>
      <c r="AH23" s="33" t="n">
        <f aca="false">IF(COUNT($I23,$K23,$J23,$N23)&lt;4,"",$I23+$K23+$J23+$N23)</f>
        <v>34.2</v>
      </c>
      <c r="AI23" s="33" t="n">
        <f aca="false">IF(COUNT($L23,$M23,$I23,$J23,$P23,$N23,$Q23)&lt;7,"",$L23+$M23+$I23+$J23+$P23+$N23+$Q23)</f>
        <v>65.3</v>
      </c>
      <c r="AJ23" s="33" t="n">
        <f aca="false">IF(COUNT($I23,$J23,$K23,$O23,$P23,$Q23,$R23,$N23)&lt;8,"",$I23+$J23+$K23+$O23+$P23+$Q23+$R23+$N23)</f>
        <v>71.8</v>
      </c>
      <c r="AK23" s="34" t="n">
        <f aca="false">IF(OR($AI23="",$AG23=""),"",IF(IFERROR(INDEX(Cadastro!$F$8:$F$47,MATCH($B23,Cadastro!$B$8:$B$47,0)),"")="Feminino",1.097-0.00046971*$AI23+0.00000056*$AI23^2-0.00012828*$AG23,1.112-0.00043499*$AI23+0.00000055*$AI23^2-0.00028826*$AG23))</f>
        <v>1.0784456425</v>
      </c>
      <c r="AL23" s="30" t="n">
        <f aca="false">IF(OR($AK23="",$AK23=0),"",495/$AK23-450)</f>
        <v>8.993926529774</v>
      </c>
      <c r="AM23" s="35" t="n">
        <f aca="false">IF(OR($AL23="",$E23=""),"",$E23*$AL23/100)</f>
        <v>7.8876735666118</v>
      </c>
      <c r="AN23" s="30" t="n">
        <f aca="false">IF(OR($AM23="",$E23=""),"",$E23-$AM23)</f>
        <v>79.8123264333882</v>
      </c>
      <c r="AO23" s="35" t="n">
        <f aca="false">IFERROR($E23/($F23/100)^2,"")</f>
        <v>22.5978510139401</v>
      </c>
      <c r="AP23" s="35" t="n">
        <f aca="false">IFERROR($G23/$F23*100,"")</f>
        <v>52.1827411167513</v>
      </c>
      <c r="AQ23" s="36" t="n">
        <f aca="false">IFERROR($W23/$F23,"")</f>
        <v>0.418781725888325</v>
      </c>
      <c r="AR23" s="35" t="n">
        <f aca="false">IF(OR($S23="",$I23=""),"",($S23-PI()*$I23/10)^2/(4*PI())-IF(IFERROR(INDEX(Cadastro!$F$8:$F$47,MATCH($B23,Cadastro!$B$8:$B$47,0)),"")="Feminino",6.5,10))</f>
        <v>55.1093177306697</v>
      </c>
      <c r="AS23" s="35" t="n">
        <f aca="false">IF(OR($I23="",$J23="",$O23="",$F23=""),"",-0.7182+0.1451*(($I23+$J23+$O23)*(170.18/$F23))-0.00068*(($I23+$J23+$O23)*(170.18/$F23))^2+0.0000014*(($I23+$J23+$O23)*(170.18/$F23))^3)</f>
        <v>2.35386640377359</v>
      </c>
      <c r="AT23" s="35" t="n">
        <f aca="false">IF(OR($AE23="",$AF23="",$T23="",$AA23="",$F23=""),"",0.858*$AE23+0.601*$AF23+0.188*($T23-$I23/10)+0.161*($AA23-$R23/10)-0.131*$F23+4.5)</f>
        <v>4.53327</v>
      </c>
      <c r="AU23" s="35" t="n">
        <f aca="false">IF(OR($E23="",$F23=""),"",IF($F23/$E23^(1/3)&gt;=40.75,0.732*($F23/$E23^(1/3))-28.58,IF($F23/$E23^(1/3)&gt;=38.25,0.463*($F23/$E23^(1/3))-17.63,0.1)))</f>
        <v>3.87717940821555</v>
      </c>
      <c r="AV23" s="37" t="str">
        <f aca="false">IF(OR($AS23="",$AT23="",$AU23=""),"",IF(AND($AT23&gt;=$AS23,$AT23&gt;=$AU23),"Mesomorfo dominante",IF(AND($AU23&gt;=$AS23,$AU23&gt;=$AT23),"Ectomorfo dominante","Endomorfo dominante")))</f>
        <v>Mesomorfo dominante</v>
      </c>
    </row>
    <row r="24" customFormat="false" ht="15" hidden="false" customHeight="false" outlineLevel="0" collapsed="false">
      <c r="A24" s="29" t="n">
        <v>46225</v>
      </c>
      <c r="B24" s="27" t="s">
        <v>226</v>
      </c>
      <c r="C24" s="28" t="s">
        <v>341</v>
      </c>
      <c r="D24" s="27" t="s">
        <v>340</v>
      </c>
      <c r="E24" s="32" t="n">
        <v>99.7</v>
      </c>
      <c r="F24" s="32" t="n">
        <v>205</v>
      </c>
      <c r="G24" s="32" t="n">
        <v>107</v>
      </c>
      <c r="H24" s="32" t="n">
        <v>210.5</v>
      </c>
      <c r="I24" s="32" t="n">
        <v>10</v>
      </c>
      <c r="J24" s="32" t="n">
        <v>10.2</v>
      </c>
      <c r="K24" s="32" t="n">
        <v>3.2</v>
      </c>
      <c r="L24" s="32" t="n">
        <v>8.6</v>
      </c>
      <c r="M24" s="32" t="n">
        <v>8.1</v>
      </c>
      <c r="N24" s="32" t="n">
        <v>8.3</v>
      </c>
      <c r="O24" s="32" t="n">
        <v>9.3</v>
      </c>
      <c r="P24" s="32" t="n">
        <v>14.4</v>
      </c>
      <c r="Q24" s="32" t="n">
        <v>10.9</v>
      </c>
      <c r="R24" s="32" t="n">
        <v>7.1</v>
      </c>
      <c r="S24" s="32" t="n">
        <v>35.3</v>
      </c>
      <c r="T24" s="32" t="n">
        <v>33.9</v>
      </c>
      <c r="U24" s="32" t="n">
        <v>27.8</v>
      </c>
      <c r="V24" s="32" t="n">
        <v>99.9</v>
      </c>
      <c r="W24" s="32" t="n">
        <v>80.4</v>
      </c>
      <c r="X24" s="32" t="n">
        <v>81.7</v>
      </c>
      <c r="Y24" s="32" t="n">
        <v>98.5</v>
      </c>
      <c r="Z24" s="32" t="n">
        <v>59.3</v>
      </c>
      <c r="AA24" s="32" t="n">
        <v>37.9</v>
      </c>
      <c r="AB24" s="32" t="n">
        <v>17.6</v>
      </c>
      <c r="AC24" s="32" t="n">
        <v>43.1</v>
      </c>
      <c r="AD24" s="32" t="n">
        <v>29.4</v>
      </c>
      <c r="AE24" s="32" t="n">
        <v>7.5</v>
      </c>
      <c r="AF24" s="32" t="n">
        <v>10.5</v>
      </c>
      <c r="AG24" s="33" t="n">
        <f aca="false">IFERROR(DATEDIF(INDEX(Cadastro!$D$8:$D$47,MATCH($B24,Cadastro!$B$8:$B$47,0)),$A24,"Y"),"")</f>
        <v>31</v>
      </c>
      <c r="AH24" s="33" t="n">
        <f aca="false">IF(COUNT($I24,$K24,$J24,$N24)&lt;4,"",$I24+$K24+$J24+$N24)</f>
        <v>31.7</v>
      </c>
      <c r="AI24" s="33" t="n">
        <f aca="false">IF(COUNT($L24,$M24,$I24,$J24,$P24,$N24,$Q24)&lt;7,"",$L24+$M24+$I24+$J24+$P24+$N24+$Q24)</f>
        <v>70.5</v>
      </c>
      <c r="AJ24" s="33" t="n">
        <f aca="false">IF(COUNT($I24,$J24,$K24,$O24,$P24,$Q24,$R24,$N24)&lt;8,"",$I24+$J24+$K24+$O24+$P24+$Q24+$R24+$N24)</f>
        <v>73.4</v>
      </c>
      <c r="AK24" s="34" t="n">
        <f aca="false">IF(OR($AI24="",$AG24=""),"",IF(IFERROR(INDEX(Cadastro!$F$8:$F$47,MATCH($B24,Cadastro!$B$8:$B$47,0)),"")="Feminino",1.097-0.00046971*$AI24+0.00000056*$AI24^2-0.00012828*$AG24,1.112-0.00043499*$AI24+0.00000055*$AI24^2-0.00028826*$AG24))</f>
        <v>1.0751307825</v>
      </c>
      <c r="AL24" s="30" t="n">
        <f aca="false">IF(OR($AK24="",$AK24=0),"",495/$AK24-450)</f>
        <v>10.4091037640808</v>
      </c>
      <c r="AM24" s="35" t="n">
        <f aca="false">IF(OR($AL24="",$E24=""),"",$E24*$AL24/100)</f>
        <v>10.3778764527885</v>
      </c>
      <c r="AN24" s="30" t="n">
        <f aca="false">IF(OR($AM24="",$E24=""),"",$E24-$AM24)</f>
        <v>89.3221235472115</v>
      </c>
      <c r="AO24" s="35" t="n">
        <f aca="false">IFERROR($E24/($F24/100)^2,"")</f>
        <v>23.7239738251041</v>
      </c>
      <c r="AP24" s="35" t="n">
        <f aca="false">IFERROR($G24/$F24*100,"")</f>
        <v>52.1951219512195</v>
      </c>
      <c r="AQ24" s="36" t="n">
        <f aca="false">IFERROR($W24/$F24,"")</f>
        <v>0.39219512195122</v>
      </c>
      <c r="AR24" s="35" t="n">
        <f aca="false">IF(OR($S24="",$I24=""),"",($S24-PI()*$I24/10)^2/(4*PI())-IF(IFERROR(INDEX(Cadastro!$F$8:$F$47,MATCH($B24,Cadastro!$B$8:$B$47,0)),"")="Feminino",6.5,10))</f>
        <v>72.2960896820874</v>
      </c>
      <c r="AS24" s="35" t="n">
        <f aca="false">IF(OR($I24="",$J24="",$O24="",$F24=""),"",-0.7182+0.1451*(($I24+$J24+$O24)*(170.18/$F24))-0.00068*(($I24+$J24+$O24)*(170.18/$F24))^2+0.0000014*(($I24+$J24+$O24)*(170.18/$F24))^3)</f>
        <v>2.44794743938314</v>
      </c>
      <c r="AT24" s="35" t="n">
        <f aca="false">IF(OR($AE24="",$AF24="",$T24="",$AA24="",$F24=""),"",0.858*$AE24+0.601*$AF24+0.188*($T24-$I24/10)+0.161*($AA24-$R24/10)-0.131*$F24+4.5)</f>
        <v>2.56329</v>
      </c>
      <c r="AU24" s="35" t="n">
        <f aca="false">IF(OR($E24="",$F24=""),"",IF($F24/$E24^(1/3)&gt;=40.75,0.732*($F24/$E24^(1/3))-28.58,IF($F24/$E24^(1/3)&gt;=38.25,0.463*($F24/$E24^(1/3))-17.63,0.1)))</f>
        <v>3.7818412157199</v>
      </c>
      <c r="AV24" s="37" t="str">
        <f aca="false">IF(OR($AS24="",$AT24="",$AU24=""),"",IF(AND($AT24&gt;=$AS24,$AT24&gt;=$AU24),"Mesomorfo dominante",IF(AND($AU24&gt;=$AS24,$AU24&gt;=$AT24),"Ectomorfo dominante","Endomorfo dominante")))</f>
        <v>Ectomorfo dominante</v>
      </c>
    </row>
    <row r="25" customFormat="false" ht="15" hidden="false" customHeight="false" outlineLevel="0" collapsed="false">
      <c r="A25" s="29" t="n">
        <v>46225</v>
      </c>
      <c r="B25" s="27" t="s">
        <v>236</v>
      </c>
      <c r="C25" s="28" t="s">
        <v>341</v>
      </c>
      <c r="D25" s="27" t="s">
        <v>340</v>
      </c>
      <c r="E25" s="32" t="n">
        <v>94.9</v>
      </c>
      <c r="F25" s="32" t="n">
        <v>203</v>
      </c>
      <c r="G25" s="32" t="n">
        <v>106</v>
      </c>
      <c r="H25" s="32" t="n">
        <v>205.5</v>
      </c>
      <c r="I25" s="32" t="n">
        <v>6.7</v>
      </c>
      <c r="J25" s="32" t="n">
        <v>10.7</v>
      </c>
      <c r="K25" s="32" t="n">
        <v>3.3</v>
      </c>
      <c r="L25" s="32" t="n">
        <v>6.2</v>
      </c>
      <c r="M25" s="32" t="n">
        <v>6.1</v>
      </c>
      <c r="N25" s="32" t="n">
        <v>12.8</v>
      </c>
      <c r="O25" s="32" t="n">
        <v>6.5</v>
      </c>
      <c r="P25" s="32" t="n">
        <v>15.5</v>
      </c>
      <c r="Q25" s="32" t="n">
        <v>10.3</v>
      </c>
      <c r="R25" s="32" t="n">
        <v>6</v>
      </c>
      <c r="S25" s="32" t="n">
        <v>32.6</v>
      </c>
      <c r="T25" s="32" t="n">
        <v>35.6</v>
      </c>
      <c r="U25" s="32" t="n">
        <v>27.7</v>
      </c>
      <c r="V25" s="32" t="n">
        <v>96.6</v>
      </c>
      <c r="W25" s="32" t="n">
        <v>78.4</v>
      </c>
      <c r="X25" s="32" t="n">
        <v>83.3</v>
      </c>
      <c r="Y25" s="32" t="n">
        <v>98.5</v>
      </c>
      <c r="Z25" s="32" t="n">
        <v>61.3</v>
      </c>
      <c r="AA25" s="32" t="n">
        <v>40.9</v>
      </c>
      <c r="AB25" s="32" t="n">
        <v>18.3</v>
      </c>
      <c r="AC25" s="32" t="n">
        <v>41.4</v>
      </c>
      <c r="AD25" s="32" t="n">
        <v>29.1</v>
      </c>
      <c r="AE25" s="32" t="n">
        <v>7</v>
      </c>
      <c r="AF25" s="32" t="n">
        <v>10.1</v>
      </c>
      <c r="AG25" s="33" t="n">
        <f aca="false">IFERROR(DATEDIF(INDEX(Cadastro!$D$8:$D$47,MATCH($B25,Cadastro!$B$8:$B$47,0)),$A25,"Y"),"")</f>
        <v>24</v>
      </c>
      <c r="AH25" s="33" t="n">
        <f aca="false">IF(COUNT($I25,$K25,$J25,$N25)&lt;4,"",$I25+$K25+$J25+$N25)</f>
        <v>33.5</v>
      </c>
      <c r="AI25" s="33" t="n">
        <f aca="false">IF(COUNT($L25,$M25,$I25,$J25,$P25,$N25,$Q25)&lt;7,"",$L25+$M25+$I25+$J25+$P25+$N25+$Q25)</f>
        <v>68.3</v>
      </c>
      <c r="AJ25" s="33" t="n">
        <f aca="false">IF(COUNT($I25,$J25,$K25,$O25,$P25,$Q25,$R25,$N25)&lt;8,"",$I25+$J25+$K25+$O25+$P25+$Q25+$R25+$N25)</f>
        <v>71.8</v>
      </c>
      <c r="AK25" s="34" t="n">
        <f aca="false">IF(OR($AI25="",$AG25=""),"",IF(IFERROR(INDEX(Cadastro!$F$8:$F$47,MATCH($B25,Cadastro!$B$8:$B$47,0)),"")="Feminino",1.097-0.00046971*$AI25+0.00000056*$AI25^2-0.00012828*$AG25,1.112-0.00043499*$AI25+0.00000055*$AI25^2-0.00028826*$AG25))</f>
        <v>1.0779376325</v>
      </c>
      <c r="AL25" s="30" t="n">
        <f aca="false">IF(OR($AK25="",$AK25=0),"",495/$AK25-450)</f>
        <v>9.21024099694381</v>
      </c>
      <c r="AM25" s="35" t="n">
        <f aca="false">IF(OR($AL25="",$E25=""),"",$E25*$AL25/100)</f>
        <v>8.74051870609968</v>
      </c>
      <c r="AN25" s="30" t="n">
        <f aca="false">IF(OR($AM25="",$E25=""),"",$E25-$AM25)</f>
        <v>86.1594812939003</v>
      </c>
      <c r="AO25" s="35" t="n">
        <f aca="false">IFERROR($E25/($F25/100)^2,"")</f>
        <v>23.0289499866534</v>
      </c>
      <c r="AP25" s="35" t="n">
        <f aca="false">IFERROR($G25/$F25*100,"")</f>
        <v>52.2167487684729</v>
      </c>
      <c r="AQ25" s="36" t="n">
        <f aca="false">IFERROR($W25/$F25,"")</f>
        <v>0.386206896551724</v>
      </c>
      <c r="AR25" s="35" t="n">
        <f aca="false">IF(OR($S25="",$I25=""),"",($S25-PI()*$I25/10)^2/(4*PI())-IF(IFERROR(INDEX(Cadastro!$F$8:$F$47,MATCH($B25,Cadastro!$B$8:$B$47,0)),"")="Feminino",6.5,10))</f>
        <v>64.0033188957205</v>
      </c>
      <c r="AS25" s="35" t="n">
        <f aca="false">IF(OR($I25="",$J25="",$O25="",$F25=""),"",-0.7182+0.1451*(($I25+$J25+$O25)*(170.18/$F25))-0.00068*(($I25+$J25+$O25)*(170.18/$F25))^2+0.0000014*(($I25+$J25+$O25)*(170.18/$F25))^3)</f>
        <v>1.92730057453274</v>
      </c>
      <c r="AT25" s="35" t="n">
        <f aca="false">IF(OR($AE25="",$AF25="",$T25="",$AA25="",$F25=""),"",0.858*$AE25+0.601*$AF25+0.188*($T25-$I25/10)+0.161*($AA25-$R25/10)-0.131*$F25+4.5)</f>
        <v>3.03824</v>
      </c>
      <c r="AU25" s="35" t="n">
        <f aca="false">IF(OR($E25="",$F25=""),"",IF($F25/$E25^(1/3)&gt;=40.75,0.732*($F25/$E25^(1/3))-28.58,IF($F25/$E25^(1/3)&gt;=38.25,0.463*($F25/$E25^(1/3))-17.63,0.1)))</f>
        <v>3.99754711075025</v>
      </c>
      <c r="AV25" s="37" t="str">
        <f aca="false">IF(OR($AS25="",$AT25="",$AU25=""),"",IF(AND($AT25&gt;=$AS25,$AT25&gt;=$AU25),"Mesomorfo dominante",IF(AND($AU25&gt;=$AS25,$AU25&gt;=$AT25),"Ectomorfo dominante","Endomorfo dominante")))</f>
        <v>Ectomorfo dominante</v>
      </c>
    </row>
    <row r="26" customFormat="false" ht="15" hidden="false" customHeight="false" outlineLevel="0" collapsed="false">
      <c r="A26" s="29" t="n">
        <v>46225</v>
      </c>
      <c r="B26" s="27" t="s">
        <v>244</v>
      </c>
      <c r="C26" s="28" t="s">
        <v>341</v>
      </c>
      <c r="D26" s="27" t="s">
        <v>340</v>
      </c>
      <c r="E26" s="32" t="n">
        <v>79</v>
      </c>
      <c r="F26" s="32" t="n">
        <v>184</v>
      </c>
      <c r="G26" s="32" t="n">
        <v>96</v>
      </c>
      <c r="H26" s="32" t="n">
        <v>189.8</v>
      </c>
      <c r="I26" s="32" t="n">
        <v>8.8</v>
      </c>
      <c r="J26" s="32" t="n">
        <v>11.9</v>
      </c>
      <c r="K26" s="32" t="n">
        <v>5.5</v>
      </c>
      <c r="L26" s="32" t="n">
        <v>5.2</v>
      </c>
      <c r="M26" s="32" t="n">
        <v>6.2</v>
      </c>
      <c r="N26" s="32" t="n">
        <v>9.9</v>
      </c>
      <c r="O26" s="32" t="n">
        <v>7.8</v>
      </c>
      <c r="P26" s="32" t="n">
        <v>12.2</v>
      </c>
      <c r="Q26" s="32" t="n">
        <v>9.5</v>
      </c>
      <c r="R26" s="32" t="n">
        <v>6.2</v>
      </c>
      <c r="S26" s="32" t="n">
        <v>32.6</v>
      </c>
      <c r="T26" s="32" t="n">
        <v>36.5</v>
      </c>
      <c r="U26" s="32" t="n">
        <v>27.4</v>
      </c>
      <c r="V26" s="32" t="n">
        <v>96.7</v>
      </c>
      <c r="W26" s="32" t="n">
        <v>79.9</v>
      </c>
      <c r="X26" s="32" t="n">
        <v>81.8</v>
      </c>
      <c r="Y26" s="32" t="n">
        <v>99</v>
      </c>
      <c r="Z26" s="32" t="n">
        <v>58</v>
      </c>
      <c r="AA26" s="32" t="n">
        <v>40.3</v>
      </c>
      <c r="AB26" s="32" t="n">
        <v>17.5</v>
      </c>
      <c r="AC26" s="32" t="n">
        <v>43.9</v>
      </c>
      <c r="AD26" s="32" t="n">
        <v>28.3</v>
      </c>
      <c r="AE26" s="32" t="n">
        <v>7.8</v>
      </c>
      <c r="AF26" s="32" t="n">
        <v>9.7</v>
      </c>
      <c r="AG26" s="33" t="n">
        <f aca="false">IFERROR(DATEDIF(INDEX(Cadastro!$D$8:$D$47,MATCH($B26,Cadastro!$B$8:$B$47,0)),$A26,"Y"),"")</f>
        <v>23</v>
      </c>
      <c r="AH26" s="33" t="n">
        <f aca="false">IF(COUNT($I26,$K26,$J26,$N26)&lt;4,"",$I26+$K26+$J26+$N26)</f>
        <v>36.1</v>
      </c>
      <c r="AI26" s="33" t="n">
        <f aca="false">IF(COUNT($L26,$M26,$I26,$J26,$P26,$N26,$Q26)&lt;7,"",$L26+$M26+$I26+$J26+$P26+$N26+$Q26)</f>
        <v>63.7</v>
      </c>
      <c r="AJ26" s="33" t="n">
        <f aca="false">IF(COUNT($I26,$J26,$K26,$O26,$P26,$Q26,$R26,$N26)&lt;8,"",$I26+$J26+$K26+$O26+$P26+$Q26+$R26+$N26)</f>
        <v>71.8</v>
      </c>
      <c r="AK26" s="34" t="n">
        <f aca="false">IF(OR($AI26="",$AG26=""),"",IF(IFERROR(INDEX(Cadastro!$F$8:$F$47,MATCH($B26,Cadastro!$B$8:$B$47,0)),"")="Feminino",1.097-0.00046971*$AI26+0.00000056*$AI26^2-0.00012828*$AG26,1.112-0.00043499*$AI26+0.00000055*$AI26^2-0.00028826*$AG26))</f>
        <v>1.0798928865</v>
      </c>
      <c r="AL26" s="30" t="n">
        <f aca="false">IF(OR($AK26="",$AK26=0),"",495/$AK26-450)</f>
        <v>8.3787949602351</v>
      </c>
      <c r="AM26" s="35" t="n">
        <f aca="false">IF(OR($AL26="",$E26=""),"",$E26*$AL26/100)</f>
        <v>6.61924801858573</v>
      </c>
      <c r="AN26" s="30" t="n">
        <f aca="false">IF(OR($AM26="",$E26=""),"",$E26-$AM26)</f>
        <v>72.3807519814143</v>
      </c>
      <c r="AO26" s="35" t="n">
        <f aca="false">IFERROR($E26/($F26/100)^2,"")</f>
        <v>23.3341209829868</v>
      </c>
      <c r="AP26" s="35" t="n">
        <f aca="false">IFERROR($G26/$F26*100,"")</f>
        <v>52.1739130434783</v>
      </c>
      <c r="AQ26" s="36" t="n">
        <f aca="false">IFERROR($W26/$F26,"")</f>
        <v>0.434239130434783</v>
      </c>
      <c r="AR26" s="35" t="n">
        <f aca="false">IF(OR($S26="",$I26=""),"",($S26-PI()*$I26/10)^2/(4*PI())-IF(IFERROR(INDEX(Cadastro!$F$8:$F$47,MATCH($B26,Cadastro!$B$8:$B$47,0)),"")="Feminino",6.5,10))</f>
        <v>60.8359659979063</v>
      </c>
      <c r="AS26" s="35" t="n">
        <f aca="false">IF(OR($I26="",$J26="",$O26="",$F26=""),"",-0.7182+0.1451*(($I26+$J26+$O26)*(170.18/$F26))-0.00068*(($I26+$J26+$O26)*(170.18/$F26))^2+0.0000014*(($I26+$J26+$O26)*(170.18/$F26))^3)</f>
        <v>2.6597139440191</v>
      </c>
      <c r="AT26" s="35" t="n">
        <f aca="false">IF(OR($AE26="",$AF26="",$T26="",$AA26="",$F26=""),"",0.858*$AE26+0.601*$AF26+0.188*($T26-$I26/10)+0.161*($AA26-$R26/10)-0.131*$F26+4.5)</f>
        <v>6.00314</v>
      </c>
      <c r="AU26" s="35" t="n">
        <f aca="false">IF(OR($E26="",$F26=""),"",IF($F26/$E26^(1/3)&gt;=40.75,0.732*($F26/$E26^(1/3))-28.58,IF($F26/$E26^(1/3)&gt;=38.25,0.463*($F26/$E26^(1/3))-17.63,0.1)))</f>
        <v>2.8096548451573</v>
      </c>
      <c r="AV26" s="37" t="str">
        <f aca="false">IF(OR($AS26="",$AT26="",$AU26=""),"",IF(AND($AT26&gt;=$AS26,$AT26&gt;=$AU26),"Mesomorfo dominante",IF(AND($AU26&gt;=$AS26,$AU26&gt;=$AT26),"Ectomorfo dominante","Endomorfo dominante")))</f>
        <v>Mesomorfo dominante</v>
      </c>
    </row>
    <row r="27" customFormat="false" ht="15" hidden="false" customHeight="false" outlineLevel="0" collapsed="false">
      <c r="A27" s="29" t="n">
        <v>46225</v>
      </c>
      <c r="B27" s="27" t="s">
        <v>253</v>
      </c>
      <c r="C27" s="28" t="s">
        <v>341</v>
      </c>
      <c r="D27" s="27" t="s">
        <v>340</v>
      </c>
      <c r="E27" s="32" t="n">
        <v>90.4</v>
      </c>
      <c r="F27" s="32" t="n">
        <v>199</v>
      </c>
      <c r="G27" s="32" t="n">
        <v>103.9</v>
      </c>
      <c r="H27" s="32" t="n">
        <v>201.4</v>
      </c>
      <c r="I27" s="32" t="n">
        <v>8.6</v>
      </c>
      <c r="J27" s="32" t="n">
        <v>10.9</v>
      </c>
      <c r="K27" s="32" t="n">
        <v>5.4</v>
      </c>
      <c r="L27" s="32" t="n">
        <v>7.9</v>
      </c>
      <c r="M27" s="32" t="n">
        <v>7.6</v>
      </c>
      <c r="N27" s="32" t="n">
        <v>7.1</v>
      </c>
      <c r="O27" s="32" t="n">
        <v>8</v>
      </c>
      <c r="P27" s="32" t="n">
        <v>11.8</v>
      </c>
      <c r="Q27" s="32" t="n">
        <v>11.8</v>
      </c>
      <c r="R27" s="32" t="n">
        <v>8.6</v>
      </c>
      <c r="S27" s="32" t="n">
        <v>34.4</v>
      </c>
      <c r="T27" s="32" t="n">
        <v>38.3</v>
      </c>
      <c r="U27" s="32" t="n">
        <v>29.5</v>
      </c>
      <c r="V27" s="32" t="n">
        <v>103.1</v>
      </c>
      <c r="W27" s="32" t="n">
        <v>77.8</v>
      </c>
      <c r="X27" s="32" t="n">
        <v>80.4</v>
      </c>
      <c r="Y27" s="32" t="n">
        <v>100</v>
      </c>
      <c r="Z27" s="32" t="n">
        <v>59.6</v>
      </c>
      <c r="AA27" s="32" t="n">
        <v>38.4</v>
      </c>
      <c r="AB27" s="32" t="n">
        <v>18.1</v>
      </c>
      <c r="AC27" s="32" t="n">
        <v>43.5</v>
      </c>
      <c r="AD27" s="32" t="n">
        <v>29.7</v>
      </c>
      <c r="AE27" s="32" t="n">
        <v>7.4</v>
      </c>
      <c r="AF27" s="32" t="n">
        <v>9.8</v>
      </c>
      <c r="AG27" s="33" t="n">
        <f aca="false">IFERROR(DATEDIF(INDEX(Cadastro!$D$8:$D$47,MATCH($B27,Cadastro!$B$8:$B$47,0)),$A27,"Y"),"")</f>
        <v>28</v>
      </c>
      <c r="AH27" s="33" t="n">
        <f aca="false">IF(COUNT($I27,$K27,$J27,$N27)&lt;4,"",$I27+$K27+$J27+$N27)</f>
        <v>32</v>
      </c>
      <c r="AI27" s="33" t="n">
        <f aca="false">IF(COUNT($L27,$M27,$I27,$J27,$P27,$N27,$Q27)&lt;7,"",$L27+$M27+$I27+$J27+$P27+$N27+$Q27)</f>
        <v>65.7</v>
      </c>
      <c r="AJ27" s="33" t="n">
        <f aca="false">IF(COUNT($I27,$J27,$K27,$O27,$P27,$Q27,$R27,$N27)&lt;8,"",$I27+$J27+$K27+$O27+$P27+$Q27+$R27+$N27)</f>
        <v>72.2</v>
      </c>
      <c r="AK27" s="34" t="n">
        <f aca="false">IF(OR($AI27="",$AG27=""),"",IF(IFERROR(INDEX(Cadastro!$F$8:$F$47,MATCH($B27,Cadastro!$B$8:$B$47,0)),"")="Feminino",1.097-0.00046971*$AI27+0.00000056*$AI27^2-0.00012828*$AG27,1.112-0.00043499*$AI27+0.00000055*$AI27^2-0.00028826*$AG27))</f>
        <v>1.0777239465</v>
      </c>
      <c r="AL27" s="30" t="n">
        <f aca="false">IF(OR($AK27="",$AK27=0),"",495/$AK27-450)</f>
        <v>9.30129102870404</v>
      </c>
      <c r="AM27" s="35" t="n">
        <f aca="false">IF(OR($AL27="",$E27=""),"",$E27*$AL27/100)</f>
        <v>8.40836708994845</v>
      </c>
      <c r="AN27" s="30" t="n">
        <f aca="false">IF(OR($AM27="",$E27=""),"",$E27-$AM27)</f>
        <v>81.9916329100516</v>
      </c>
      <c r="AO27" s="35" t="n">
        <f aca="false">IFERROR($E27/($F27/100)^2,"")</f>
        <v>22.8277063710512</v>
      </c>
      <c r="AP27" s="35" t="n">
        <f aca="false">IFERROR($G27/$F27*100,"")</f>
        <v>52.2110552763819</v>
      </c>
      <c r="AQ27" s="36" t="n">
        <f aca="false">IFERROR($W27/$F27,"")</f>
        <v>0.390954773869347</v>
      </c>
      <c r="AR27" s="35" t="n">
        <f aca="false">IF(OR($S27="",$I27=""),"",($S27-PI()*$I27/10)^2/(4*PI())-IF(IFERROR(INDEX(Cadastro!$F$8:$F$47,MATCH($B27,Cadastro!$B$8:$B$47,0)),"")="Feminino",6.5,10))</f>
        <v>69.9576772102614</v>
      </c>
      <c r="AS27" s="35" t="n">
        <f aca="false">IF(OR($I27="",$J27="",$O27="",$F27=""),"",-0.7182+0.1451*(($I27+$J27+$O27)*(170.18/$F27))-0.00068*(($I27+$J27+$O27)*(170.18/$F27))^2+0.0000014*(($I27+$J27+$O27)*(170.18/$F27))^3)</f>
        <v>2.33629053422358</v>
      </c>
      <c r="AT27" s="35" t="n">
        <f aca="false">IF(OR($AE27="",$AF27="",$T27="",$AA27="",$F27=""),"",0.858*$AE27+0.601*$AF27+0.188*($T27-$I27/10)+0.161*($AA27-$R27/10)-0.131*$F27+4.5)</f>
        <v>3.75266</v>
      </c>
      <c r="AU27" s="35" t="n">
        <f aca="false">IF(OR($E27="",$F27=""),"",IF($F27/$E27^(1/3)&gt;=40.75,0.732*($F27/$E27^(1/3))-28.58,IF($F27/$E27^(1/3)&gt;=38.25,0.463*($F27/$E27^(1/3))-17.63,0.1)))</f>
        <v>3.8769729805566</v>
      </c>
      <c r="AV27" s="37" t="str">
        <f aca="false">IF(OR($AS27="",$AT27="",$AU27=""),"",IF(AND($AT27&gt;=$AS27,$AT27&gt;=$AU27),"Mesomorfo dominante",IF(AND($AU27&gt;=$AS27,$AU27&gt;=$AT27),"Ectomorfo dominante","Endomorfo dominante")))</f>
        <v>Ectomorfo dominante</v>
      </c>
    </row>
    <row r="28" customFormat="false" ht="15" hidden="false" customHeight="false" outlineLevel="0" collapsed="false">
      <c r="A28" s="29" t="n">
        <v>46225</v>
      </c>
      <c r="B28" s="27" t="s">
        <v>259</v>
      </c>
      <c r="C28" s="28" t="s">
        <v>341</v>
      </c>
      <c r="D28" s="27" t="s">
        <v>340</v>
      </c>
      <c r="E28" s="32" t="n">
        <v>82.5</v>
      </c>
      <c r="F28" s="32" t="n">
        <v>192</v>
      </c>
      <c r="G28" s="32" t="n">
        <v>100.2</v>
      </c>
      <c r="H28" s="32" t="n">
        <v>198.5</v>
      </c>
      <c r="I28" s="32" t="n">
        <v>9.2</v>
      </c>
      <c r="J28" s="32" t="n">
        <v>11.9</v>
      </c>
      <c r="K28" s="32" t="n">
        <v>4.3</v>
      </c>
      <c r="L28" s="32" t="n">
        <v>7.5</v>
      </c>
      <c r="M28" s="32" t="n">
        <v>5.8</v>
      </c>
      <c r="N28" s="32" t="n">
        <v>7.4</v>
      </c>
      <c r="O28" s="32" t="n">
        <v>8.9</v>
      </c>
      <c r="P28" s="32" t="n">
        <v>10.2</v>
      </c>
      <c r="Q28" s="32" t="n">
        <v>8.3</v>
      </c>
      <c r="R28" s="32" t="n">
        <v>7.9</v>
      </c>
      <c r="S28" s="32" t="n">
        <v>34.8</v>
      </c>
      <c r="T28" s="32" t="n">
        <v>35.4</v>
      </c>
      <c r="U28" s="32" t="n">
        <v>29.8</v>
      </c>
      <c r="V28" s="32" t="n">
        <v>97.8</v>
      </c>
      <c r="W28" s="32" t="n">
        <v>79.3</v>
      </c>
      <c r="X28" s="32" t="n">
        <v>86.4</v>
      </c>
      <c r="Y28" s="32" t="n">
        <v>95.2</v>
      </c>
      <c r="Z28" s="32" t="n">
        <v>59.2</v>
      </c>
      <c r="AA28" s="32" t="n">
        <v>39.9</v>
      </c>
      <c r="AB28" s="32" t="n">
        <v>18.7</v>
      </c>
      <c r="AC28" s="32" t="n">
        <v>41.5</v>
      </c>
      <c r="AD28" s="32" t="n">
        <v>29.8</v>
      </c>
      <c r="AE28" s="32" t="n">
        <v>7.4</v>
      </c>
      <c r="AF28" s="32" t="n">
        <v>10.1</v>
      </c>
      <c r="AG28" s="33" t="n">
        <f aca="false">IFERROR(DATEDIF(INDEX(Cadastro!$D$8:$D$47,MATCH($B28,Cadastro!$B$8:$B$47,0)),$A28,"Y"),"")</f>
        <v>23</v>
      </c>
      <c r="AH28" s="33" t="n">
        <f aca="false">IF(COUNT($I28,$K28,$J28,$N28)&lt;4,"",$I28+$K28+$J28+$N28)</f>
        <v>32.8</v>
      </c>
      <c r="AI28" s="33" t="n">
        <f aca="false">IF(COUNT($L28,$M28,$I28,$J28,$P28,$N28,$Q28)&lt;7,"",$L28+$M28+$I28+$J28+$P28+$N28+$Q28)</f>
        <v>60.3</v>
      </c>
      <c r="AJ28" s="33" t="n">
        <f aca="false">IF(COUNT($I28,$J28,$K28,$O28,$P28,$Q28,$R28,$N28)&lt;8,"",$I28+$J28+$K28+$O28+$P28+$Q28+$R28+$N28)</f>
        <v>68.1</v>
      </c>
      <c r="AK28" s="34" t="n">
        <f aca="false">IF(OR($AI28="",$AG28=""),"",IF(IFERROR(INDEX(Cadastro!$F$8:$F$47,MATCH($B28,Cadastro!$B$8:$B$47,0)),"")="Feminino",1.097-0.00046971*$AI28+0.00000056*$AI28^2-0.00012828*$AG28,1.112-0.00043499*$AI28+0.00000055*$AI28^2-0.00028826*$AG28))</f>
        <v>1.0811399725</v>
      </c>
      <c r="AL28" s="30" t="n">
        <f aca="false">IF(OR($AK28="",$AK28=0),"",495/$AK28-450)</f>
        <v>7.85005881835519</v>
      </c>
      <c r="AM28" s="35" t="n">
        <f aca="false">IF(OR($AL28="",$E28=""),"",$E28*$AL28/100)</f>
        <v>6.47629852514304</v>
      </c>
      <c r="AN28" s="30" t="n">
        <f aca="false">IF(OR($AM28="",$E28=""),"",$E28-$AM28)</f>
        <v>76.023701474857</v>
      </c>
      <c r="AO28" s="35" t="n">
        <f aca="false">IFERROR($E28/($F28/100)^2,"")</f>
        <v>22.3795572916667</v>
      </c>
      <c r="AP28" s="35" t="n">
        <f aca="false">IFERROR($G28/$F28*100,"")</f>
        <v>52.1875</v>
      </c>
      <c r="AQ28" s="36" t="n">
        <f aca="false">IFERROR($W28/$F28,"")</f>
        <v>0.413020833333333</v>
      </c>
      <c r="AR28" s="35" t="n">
        <f aca="false">IF(OR($S28="",$I28=""),"",($S28-PI()*$I28/10)^2/(4*PI())-IF(IFERROR(INDEX(Cadastro!$F$8:$F$47,MATCH($B28,Cadastro!$B$8:$B$47,0)),"")="Feminino",6.5,10))</f>
        <v>71.0282621465041</v>
      </c>
      <c r="AS28" s="35" t="n">
        <f aca="false">IF(OR($I28="",$J28="",$O28="",$F28=""),"",-0.7182+0.1451*(($I28+$J28+$O28)*(170.18/$F28))-0.00068*(($I28+$J28+$O28)*(170.18/$F28))^2+0.0000014*(($I28+$J28+$O28)*(170.18/$F28))^3)</f>
        <v>2.68561966177736</v>
      </c>
      <c r="AT28" s="35" t="n">
        <f aca="false">IF(OR($AE28="",$AF28="",$T28="",$AA28="",$F28=""),"",0.858*$AE28+0.601*$AF28+0.188*($T28-$I28/10)+0.161*($AA28-$R28/10)-0.131*$F28+4.5)</f>
        <v>4.54625</v>
      </c>
      <c r="AU28" s="35" t="n">
        <f aca="false">IF(OR($E28="",$F28=""),"",IF($F28/$E28^(1/3)&gt;=40.75,0.732*($F28/$E28^(1/3))-28.58,IF($F28/$E28^(1/3)&gt;=38.25,0.463*($F28/$E28^(1/3))-17.63,0.1)))</f>
        <v>3.70451948918583</v>
      </c>
      <c r="AV28" s="37" t="str">
        <f aca="false">IF(OR($AS28="",$AT28="",$AU28=""),"",IF(AND($AT28&gt;=$AS28,$AT28&gt;=$AU28),"Mesomorfo dominante",IF(AND($AU28&gt;=$AS28,$AU28&gt;=$AT28),"Ectomorfo dominante","Endomorfo dominante")))</f>
        <v>Mesomorfo dominante</v>
      </c>
    </row>
    <row r="29" customFormat="false" ht="15" hidden="false" customHeight="false" outlineLevel="0" collapsed="false">
      <c r="A29" s="29" t="n">
        <v>46225</v>
      </c>
      <c r="B29" s="27" t="s">
        <v>264</v>
      </c>
      <c r="C29" s="28" t="s">
        <v>341</v>
      </c>
      <c r="D29" s="27" t="s">
        <v>340</v>
      </c>
      <c r="E29" s="32" t="n">
        <v>97.5</v>
      </c>
      <c r="F29" s="32" t="n">
        <v>201</v>
      </c>
      <c r="G29" s="32" t="n">
        <v>104.9</v>
      </c>
      <c r="H29" s="32" t="n">
        <v>204.3</v>
      </c>
      <c r="I29" s="32" t="n">
        <v>9.5</v>
      </c>
      <c r="J29" s="32" t="n">
        <v>8.7</v>
      </c>
      <c r="K29" s="32" t="n">
        <v>3.7</v>
      </c>
      <c r="L29" s="32" t="n">
        <v>4.7</v>
      </c>
      <c r="M29" s="32" t="n">
        <v>9.3</v>
      </c>
      <c r="N29" s="32" t="n">
        <v>11.6</v>
      </c>
      <c r="O29" s="32" t="n">
        <v>6.3</v>
      </c>
      <c r="P29" s="32" t="n">
        <v>10.2</v>
      </c>
      <c r="Q29" s="32" t="n">
        <v>12</v>
      </c>
      <c r="R29" s="32" t="n">
        <v>8.7</v>
      </c>
      <c r="S29" s="32" t="n">
        <v>33.3</v>
      </c>
      <c r="T29" s="32" t="n">
        <v>38.4</v>
      </c>
      <c r="U29" s="32" t="n">
        <v>27.2</v>
      </c>
      <c r="V29" s="32" t="n">
        <v>97.6</v>
      </c>
      <c r="W29" s="32" t="n">
        <v>81.8</v>
      </c>
      <c r="X29" s="32" t="n">
        <v>86.4</v>
      </c>
      <c r="Y29" s="32" t="n">
        <v>97.2</v>
      </c>
      <c r="Z29" s="32" t="n">
        <v>56.2</v>
      </c>
      <c r="AA29" s="32" t="n">
        <v>40.1</v>
      </c>
      <c r="AB29" s="32" t="n">
        <v>18.9</v>
      </c>
      <c r="AC29" s="32" t="n">
        <v>41.7</v>
      </c>
      <c r="AD29" s="32" t="n">
        <v>29.7</v>
      </c>
      <c r="AE29" s="32" t="n">
        <v>7.1</v>
      </c>
      <c r="AF29" s="32" t="n">
        <v>9.5</v>
      </c>
      <c r="AG29" s="33" t="n">
        <f aca="false">IFERROR(DATEDIF(INDEX(Cadastro!$D$8:$D$47,MATCH($B29,Cadastro!$B$8:$B$47,0)),$A29,"Y"),"")</f>
        <v>32</v>
      </c>
      <c r="AH29" s="33" t="n">
        <f aca="false">IF(COUNT($I29,$K29,$J29,$N29)&lt;4,"",$I29+$K29+$J29+$N29)</f>
        <v>33.5</v>
      </c>
      <c r="AI29" s="33" t="n">
        <f aca="false">IF(COUNT($L29,$M29,$I29,$J29,$P29,$N29,$Q29)&lt;7,"",$L29+$M29+$I29+$J29+$P29+$N29+$Q29)</f>
        <v>66</v>
      </c>
      <c r="AJ29" s="33" t="n">
        <f aca="false">IF(COUNT($I29,$J29,$K29,$O29,$P29,$Q29,$R29,$N29)&lt;8,"",$I29+$J29+$K29+$O29+$P29+$Q29+$R29+$N29)</f>
        <v>70.7</v>
      </c>
      <c r="AK29" s="34" t="n">
        <f aca="false">IF(OR($AI29="",$AG29=""),"",IF(IFERROR(INDEX(Cadastro!$F$8:$F$47,MATCH($B29,Cadastro!$B$8:$B$47,0)),"")="Feminino",1.097-0.00046971*$AI29+0.00000056*$AI29^2-0.00012828*$AG29,1.112-0.00043499*$AI29+0.00000055*$AI29^2-0.00028826*$AG29))</f>
        <v>1.07646214</v>
      </c>
      <c r="AL29" s="30" t="n">
        <f aca="false">IF(OR($AK29="",$AK29=0),"",495/$AK29-450)</f>
        <v>9.83967443573999</v>
      </c>
      <c r="AM29" s="35" t="n">
        <f aca="false">IF(OR($AL29="",$E29=""),"",$E29*$AL29/100)</f>
        <v>9.59368257484649</v>
      </c>
      <c r="AN29" s="30" t="n">
        <f aca="false">IF(OR($AM29="",$E29=""),"",$E29-$AM29)</f>
        <v>87.9063174251535</v>
      </c>
      <c r="AO29" s="35" t="n">
        <f aca="false">IFERROR($E29/($F29/100)^2,"")</f>
        <v>24.1330660132175</v>
      </c>
      <c r="AP29" s="35" t="n">
        <f aca="false">IFERROR($G29/$F29*100,"")</f>
        <v>52.1890547263682</v>
      </c>
      <c r="AQ29" s="36" t="n">
        <f aca="false">IFERROR($W29/$F29,"")</f>
        <v>0.406965174129353</v>
      </c>
      <c r="AR29" s="35" t="n">
        <f aca="false">IF(OR($S29="",$I29=""),"",($S29-PI()*$I29/10)^2/(4*PI())-IF(IFERROR(INDEX(Cadastro!$F$8:$F$47,MATCH($B29,Cadastro!$B$8:$B$47,0)),"")="Feminino",6.5,10))</f>
        <v>63.1339842650521</v>
      </c>
      <c r="AS29" s="35" t="n">
        <f aca="false">IF(OR($I29="",$J29="",$O29="",$F29=""),"",-0.7182+0.1451*(($I29+$J29+$O29)*(170.18/$F29))-0.00068*(($I29+$J29+$O29)*(170.18/$F29))^2+0.0000014*(($I29+$J29+$O29)*(170.18/$F29))^3)</f>
        <v>2.0115590585257</v>
      </c>
      <c r="AT29" s="35" t="n">
        <f aca="false">IF(OR($AE29="",$AF29="",$T29="",$AA29="",$F29=""),"",0.858*$AE29+0.601*$AF29+0.188*($T29-$I29/10)+0.161*($AA29-$R29/10)-0.131*$F29+4.5)</f>
        <v>3.32693</v>
      </c>
      <c r="AU29" s="35" t="n">
        <f aca="false">IF(OR($E29="",$F29=""),"",IF($F29/$E29^(1/3)&gt;=40.75,0.732*($F29/$E29^(1/3))-28.58,IF($F29/$E29^(1/3)&gt;=38.25,0.463*($F29/$E29^(1/3))-17.63,0.1)))</f>
        <v>3.38727373485057</v>
      </c>
      <c r="AV29" s="37" t="str">
        <f aca="false">IF(OR($AS29="",$AT29="",$AU29=""),"",IF(AND($AT29&gt;=$AS29,$AT29&gt;=$AU29),"Mesomorfo dominante",IF(AND($AU29&gt;=$AS29,$AU29&gt;=$AT29),"Ectomorfo dominante","Endomorfo dominante")))</f>
        <v>Ectomorfo dominante</v>
      </c>
    </row>
    <row r="30" customFormat="false" ht="15" hidden="false" customHeight="false" outlineLevel="0" collapsed="false">
      <c r="A30" s="29" t="n">
        <v>46225</v>
      </c>
      <c r="B30" s="27" t="s">
        <v>270</v>
      </c>
      <c r="C30" s="28" t="s">
        <v>341</v>
      </c>
      <c r="D30" s="27" t="s">
        <v>340</v>
      </c>
      <c r="E30" s="32" t="n">
        <v>91.8</v>
      </c>
      <c r="F30" s="32" t="n">
        <v>204</v>
      </c>
      <c r="G30" s="32" t="n">
        <v>106.5</v>
      </c>
      <c r="H30" s="32" t="n">
        <v>210.7</v>
      </c>
      <c r="I30" s="32" t="n">
        <v>10</v>
      </c>
      <c r="J30" s="32" t="n">
        <v>10.5</v>
      </c>
      <c r="K30" s="32" t="n">
        <v>5.3</v>
      </c>
      <c r="L30" s="32" t="n">
        <v>4.9</v>
      </c>
      <c r="M30" s="32" t="n">
        <v>5.8</v>
      </c>
      <c r="N30" s="32" t="n">
        <v>13.1</v>
      </c>
      <c r="O30" s="32" t="n">
        <v>8.6</v>
      </c>
      <c r="P30" s="32" t="n">
        <v>10.1</v>
      </c>
      <c r="Q30" s="32" t="n">
        <v>10</v>
      </c>
      <c r="R30" s="32" t="n">
        <v>7.4</v>
      </c>
      <c r="S30" s="32" t="n">
        <v>34.9</v>
      </c>
      <c r="T30" s="32" t="n">
        <v>37.1</v>
      </c>
      <c r="U30" s="32" t="n">
        <v>28.1</v>
      </c>
      <c r="V30" s="32" t="n">
        <v>98.2</v>
      </c>
      <c r="W30" s="32" t="n">
        <v>84.7</v>
      </c>
      <c r="X30" s="32" t="n">
        <v>85.7</v>
      </c>
      <c r="Y30" s="32" t="n">
        <v>96.8</v>
      </c>
      <c r="Z30" s="32" t="n">
        <v>62</v>
      </c>
      <c r="AA30" s="32" t="n">
        <v>40.2</v>
      </c>
      <c r="AB30" s="32" t="n">
        <v>17.4</v>
      </c>
      <c r="AC30" s="32" t="n">
        <v>43.1</v>
      </c>
      <c r="AD30" s="32" t="n">
        <v>28.2</v>
      </c>
      <c r="AE30" s="32" t="n">
        <v>7.3</v>
      </c>
      <c r="AF30" s="32" t="n">
        <v>10.5</v>
      </c>
      <c r="AG30" s="33" t="n">
        <f aca="false">IFERROR(DATEDIF(INDEX(Cadastro!$D$8:$D$47,MATCH($B30,Cadastro!$B$8:$B$47,0)),$A30,"Y"),"")</f>
        <v>22</v>
      </c>
      <c r="AH30" s="33" t="n">
        <f aca="false">IF(COUNT($I30,$K30,$J30,$N30)&lt;4,"",$I30+$K30+$J30+$N30)</f>
        <v>38.9</v>
      </c>
      <c r="AI30" s="33" t="n">
        <f aca="false">IF(COUNT($L30,$M30,$I30,$J30,$P30,$N30,$Q30)&lt;7,"",$L30+$M30+$I30+$J30+$P30+$N30+$Q30)</f>
        <v>64.4</v>
      </c>
      <c r="AJ30" s="33" t="n">
        <f aca="false">IF(COUNT($I30,$J30,$K30,$O30,$P30,$Q30,$R30,$N30)&lt;8,"",$I30+$J30+$K30+$O30+$P30+$Q30+$R30+$N30)</f>
        <v>75</v>
      </c>
      <c r="AK30" s="34" t="n">
        <f aca="false">IF(OR($AI30="",$AG30=""),"",IF(IFERROR(INDEX(Cadastro!$F$8:$F$47,MATCH($B30,Cadastro!$B$8:$B$47,0)),"")="Feminino",1.097-0.00046971*$AI30+0.00000056*$AI30^2-0.00012828*$AG30,1.112-0.00043499*$AI30+0.00000055*$AI30^2-0.00028826*$AG30))</f>
        <v>1.079925972</v>
      </c>
      <c r="AL30" s="30" t="n">
        <f aca="false">IF(OR($AK30="",$AK30=0),"",495/$AK30-450)</f>
        <v>8.36475169059088</v>
      </c>
      <c r="AM30" s="35" t="n">
        <f aca="false">IF(OR($AL30="",$E30=""),"",$E30*$AL30/100)</f>
        <v>7.67884205196243</v>
      </c>
      <c r="AN30" s="30" t="n">
        <f aca="false">IF(OR($AM30="",$E30=""),"",$E30-$AM30)</f>
        <v>84.1211579480376</v>
      </c>
      <c r="AO30" s="35" t="n">
        <f aca="false">IFERROR($E30/($F30/100)^2,"")</f>
        <v>22.0588235294118</v>
      </c>
      <c r="AP30" s="35" t="n">
        <f aca="false">IFERROR($G30/$F30*100,"")</f>
        <v>52.2058823529412</v>
      </c>
      <c r="AQ30" s="36" t="n">
        <f aca="false">IFERROR($W30/$F30,"")</f>
        <v>0.415196078431373</v>
      </c>
      <c r="AR30" s="35" t="n">
        <f aca="false">IF(OR($S30="",$I30=""),"",($S30-PI()*$I30/10)^2/(4*PI())-IF(IFERROR(INDEX(Cadastro!$F$8:$F$47,MATCH($B30,Cadastro!$B$8:$B$47,0)),"")="Feminino",6.5,10))</f>
        <v>70.2615542810772</v>
      </c>
      <c r="AS30" s="35" t="n">
        <f aca="false">IF(OR($I30="",$J30="",$O30="",$F30=""),"",-0.7182+0.1451*(($I30+$J30+$O30)*(170.18/$F30))-0.00068*(($I30+$J30+$O30)*(170.18/$F30))^2+0.0000014*(($I30+$J30+$O30)*(170.18/$F30))^3)</f>
        <v>2.4234991039695</v>
      </c>
      <c r="AT30" s="35" t="n">
        <f aca="false">IF(OR($AE30="",$AF30="",$T30="",$AA30="",$F30=""),"",0.858*$AE30+0.601*$AF30+0.188*($T30-$I30/10)+0.161*($AA30-$R30/10)-0.131*$F30+4.5)</f>
        <v>3.48976</v>
      </c>
      <c r="AU30" s="35" t="n">
        <f aca="false">IF(OR($E30="",$F30=""),"",IF($F30/$E30^(1/3)&gt;=40.75,0.732*($F30/$E30^(1/3))-28.58,IF($F30/$E30^(1/3)&gt;=38.25,0.463*($F30/$E30^(1/3))-17.63,0.1)))</f>
        <v>4.52246650192446</v>
      </c>
      <c r="AV30" s="37" t="str">
        <f aca="false">IF(OR($AS30="",$AT30="",$AU30=""),"",IF(AND($AT30&gt;=$AS30,$AT30&gt;=$AU30),"Mesomorfo dominante",IF(AND($AU30&gt;=$AS30,$AU30&gt;=$AT30),"Ectomorfo dominante","Endomorfo dominante")))</f>
        <v>Ectomorfo dominante</v>
      </c>
    </row>
    <row r="31" customFormat="false" ht="15" hidden="false" customHeight="false" outlineLevel="0" collapsed="false">
      <c r="A31" s="29" t="n">
        <v>46225</v>
      </c>
      <c r="B31" s="27" t="s">
        <v>279</v>
      </c>
      <c r="C31" s="28" t="s">
        <v>341</v>
      </c>
      <c r="D31" s="27" t="s">
        <v>340</v>
      </c>
      <c r="E31" s="32" t="n">
        <v>78.2</v>
      </c>
      <c r="F31" s="32" t="n">
        <v>186</v>
      </c>
      <c r="G31" s="32" t="n">
        <v>97.1</v>
      </c>
      <c r="H31" s="32" t="n">
        <v>190.9</v>
      </c>
      <c r="I31" s="32" t="n">
        <v>10.1</v>
      </c>
      <c r="J31" s="32" t="n">
        <v>10.3</v>
      </c>
      <c r="K31" s="32" t="n">
        <v>3.1</v>
      </c>
      <c r="L31" s="32" t="n">
        <v>6.8</v>
      </c>
      <c r="M31" s="32" t="n">
        <v>6</v>
      </c>
      <c r="N31" s="32" t="n">
        <v>7.6</v>
      </c>
      <c r="O31" s="32" t="n">
        <v>5.6</v>
      </c>
      <c r="P31" s="32" t="n">
        <v>15.2</v>
      </c>
      <c r="Q31" s="32" t="n">
        <v>10.2</v>
      </c>
      <c r="R31" s="32" t="n">
        <v>6.6</v>
      </c>
      <c r="S31" s="32" t="n">
        <v>31.7</v>
      </c>
      <c r="T31" s="32" t="n">
        <v>34.6</v>
      </c>
      <c r="U31" s="32" t="n">
        <v>28.3</v>
      </c>
      <c r="V31" s="32" t="n">
        <v>98.2</v>
      </c>
      <c r="W31" s="32" t="n">
        <v>77.5</v>
      </c>
      <c r="X31" s="32" t="n">
        <v>81.6</v>
      </c>
      <c r="Y31" s="32" t="n">
        <v>99.1</v>
      </c>
      <c r="Z31" s="32" t="n">
        <v>55.9</v>
      </c>
      <c r="AA31" s="32" t="n">
        <v>40.6</v>
      </c>
      <c r="AB31" s="32" t="n">
        <v>17.6</v>
      </c>
      <c r="AC31" s="32" t="n">
        <v>41.9</v>
      </c>
      <c r="AD31" s="32" t="n">
        <v>29.7</v>
      </c>
      <c r="AE31" s="32" t="n">
        <v>7.2</v>
      </c>
      <c r="AF31" s="32" t="n">
        <v>10.1</v>
      </c>
      <c r="AG31" s="33" t="n">
        <f aca="false">IFERROR(DATEDIF(INDEX(Cadastro!$D$8:$D$47,MATCH($B31,Cadastro!$B$8:$B$47,0)),$A31,"Y"),"")</f>
        <v>24</v>
      </c>
      <c r="AH31" s="33" t="n">
        <f aca="false">IF(COUNT($I31,$K31,$J31,$N31)&lt;4,"",$I31+$K31+$J31+$N31)</f>
        <v>31.1</v>
      </c>
      <c r="AI31" s="33" t="n">
        <f aca="false">IF(COUNT($L31,$M31,$I31,$J31,$P31,$N31,$Q31)&lt;7,"",$L31+$M31+$I31+$J31+$P31+$N31+$Q31)</f>
        <v>66.2</v>
      </c>
      <c r="AJ31" s="33" t="n">
        <f aca="false">IF(COUNT($I31,$J31,$K31,$O31,$P31,$Q31,$R31,$N31)&lt;8,"",$I31+$J31+$K31+$O31+$P31+$Q31+$R31+$N31)</f>
        <v>68.7</v>
      </c>
      <c r="AK31" s="34" t="n">
        <f aca="false">IF(OR($AI31="",$AG31=""),"",IF(IFERROR(INDEX(Cadastro!$F$8:$F$47,MATCH($B31,Cadastro!$B$8:$B$47,0)),"")="Feminino",1.097-0.00046971*$AI31+0.00000056*$AI31^2-0.00012828*$AG31,1.112-0.00043499*$AI31+0.00000055*$AI31^2-0.00028826*$AG31))</f>
        <v>1.078695764</v>
      </c>
      <c r="AL31" s="30" t="n">
        <f aca="false">IF(OR($AK31="",$AK31=0),"",495/$AK31-450)</f>
        <v>8.88749777272699</v>
      </c>
      <c r="AM31" s="35" t="n">
        <f aca="false">IF(OR($AL31="",$E31=""),"",$E31*$AL31/100)</f>
        <v>6.95002325827251</v>
      </c>
      <c r="AN31" s="30" t="n">
        <f aca="false">IF(OR($AM31="",$E31=""),"",$E31-$AM31)</f>
        <v>71.2499767417275</v>
      </c>
      <c r="AO31" s="35" t="n">
        <f aca="false">IFERROR($E31/($F31/100)^2,"")</f>
        <v>22.6037692218754</v>
      </c>
      <c r="AP31" s="35" t="n">
        <f aca="false">IFERROR($G31/$F31*100,"")</f>
        <v>52.2043010752688</v>
      </c>
      <c r="AQ31" s="36" t="n">
        <f aca="false">IFERROR($W31/$F31,"")</f>
        <v>0.416666666666667</v>
      </c>
      <c r="AR31" s="35" t="n">
        <f aca="false">IF(OR($S31="",$I31=""),"",($S31-PI()*$I31/10)^2/(4*PI())-IF(IFERROR(INDEX(Cadastro!$F$8:$F$47,MATCH($B31,Cadastro!$B$8:$B$47,0)),"")="Feminino",6.5,10))</f>
        <v>54.7592900482891</v>
      </c>
      <c r="AS31" s="35" t="n">
        <f aca="false">IF(OR($I31="",$J31="",$O31="",$F31=""),"",-0.7182+0.1451*(($I31+$J31+$O31)*(170.18/$F31))-0.00068*(($I31+$J31+$O31)*(170.18/$F31))^2+0.0000014*(($I31+$J31+$O31)*(170.18/$F31))^3)</f>
        <v>2.36756248704781</v>
      </c>
      <c r="AT31" s="35" t="n">
        <f aca="false">IF(OR($AE31="",$AF31="",$T31="",$AA31="",$F31=""),"",0.858*$AE31+0.601*$AF31+0.188*($T31-$I31/10)+0.161*($AA31-$R31/10)-0.131*$F31+4.5)</f>
        <v>5.12696</v>
      </c>
      <c r="AU31" s="35" t="n">
        <f aca="false">IF(OR($E31="",$F31=""),"",IF($F31/$E31^(1/3)&gt;=40.75,0.732*($F31/$E31^(1/3))-28.58,IF($F31/$E31^(1/3)&gt;=38.25,0.463*($F31/$E31^(1/3))-17.63,0.1)))</f>
        <v>3.2586839271395</v>
      </c>
      <c r="AV31" s="37" t="str">
        <f aca="false">IF(OR($AS31="",$AT31="",$AU31=""),"",IF(AND($AT31&gt;=$AS31,$AT31&gt;=$AU31),"Mesomorfo dominante",IF(AND($AU31&gt;=$AS31,$AU31&gt;=$AT31),"Ectomorfo dominante","Endomorfo dominante")))</f>
        <v>Mesomorfo dominante</v>
      </c>
    </row>
    <row r="32" customFormat="false" ht="15" hidden="false" customHeight="false" outlineLevel="0" collapsed="false">
      <c r="A32" s="29"/>
      <c r="B32" s="27"/>
      <c r="C32" s="28"/>
      <c r="D32" s="27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3" t="str">
        <f aca="false">IFERROR(DATEDIF(INDEX(Cadastro!$D$8:$D$47,MATCH($B32,Cadastro!$B$8:$B$47,0)),$A32,"Y"),"")</f>
        <v/>
      </c>
      <c r="AH32" s="33" t="str">
        <f aca="false">IF(COUNT($I32,$K32,$J32,$N32)&lt;4,"",$I32+$K32+$J32+$N32)</f>
        <v/>
      </c>
      <c r="AI32" s="33" t="str">
        <f aca="false">IF(COUNT($L32,$M32,$I32,$J32,$P32,$N32,$Q32)&lt;7,"",$L32+$M32+$I32+$J32+$P32+$N32+$Q32)</f>
        <v/>
      </c>
      <c r="AJ32" s="33" t="str">
        <f aca="false">IF(COUNT($I32,$J32,$K32,$O32,$P32,$Q32,$R32,$N32)&lt;8,"",$I32+$J32+$K32+$O32+$P32+$Q32+$R32+$N32)</f>
        <v/>
      </c>
      <c r="AK32" s="34" t="str">
        <f aca="false">IF(OR($AI32="",$AG32=""),"",IF(IFERROR(INDEX(Cadastro!$F$8:$F$47,MATCH($B32,Cadastro!$B$8:$B$47,0)),"")="Feminino",1.097-0.00046971*$AI32+0.00000056*$AI32^2-0.00012828*$AG32,1.112-0.00043499*$AI32+0.00000055*$AI32^2-0.00028826*$AG32))</f>
        <v/>
      </c>
      <c r="AL32" s="30" t="str">
        <f aca="false">IF(OR($AK32="",$AK32=0),"",495/$AK32-450)</f>
        <v/>
      </c>
      <c r="AM32" s="35" t="str">
        <f aca="false">IF(OR($AL32="",$E32=""),"",$E32*$AL32/100)</f>
        <v/>
      </c>
      <c r="AN32" s="30" t="str">
        <f aca="false">IF(OR($AM32="",$E32=""),"",$E32-$AM32)</f>
        <v/>
      </c>
      <c r="AO32" s="35" t="str">
        <f aca="false">IFERROR($E32/($F32/100)^2,"")</f>
        <v/>
      </c>
      <c r="AP32" s="35" t="str">
        <f aca="false">IFERROR($G32/$F32*100,"")</f>
        <v/>
      </c>
      <c r="AQ32" s="36" t="str">
        <f aca="false">IFERROR($W32/$F32,"")</f>
        <v/>
      </c>
      <c r="AR32" s="35" t="str">
        <f aca="false">IF(OR($S32="",$I32=""),"",($S32-PI()*$I32/10)^2/(4*PI())-IF(IFERROR(INDEX(Cadastro!$F$8:$F$47,MATCH($B32,Cadastro!$B$8:$B$47,0)),"")="Feminino",6.5,10))</f>
        <v/>
      </c>
      <c r="AS32" s="35" t="str">
        <f aca="false">IF(OR($I32="",$J32="",$O32="",$F32=""),"",-0.7182+0.1451*(($I32+$J32+$O32)*(170.18/$F32))-0.00068*(($I32+$J32+$O32)*(170.18/$F32))^2+0.0000014*(($I32+$J32+$O32)*(170.18/$F32))^3)</f>
        <v/>
      </c>
      <c r="AT32" s="35" t="str">
        <f aca="false">IF(OR($AE32="",$AF32="",$T32="",$AA32="",$F32=""),"",0.858*$AE32+0.601*$AF32+0.188*($T32-$I32/10)+0.161*($AA32-$R32/10)-0.131*$F32+4.5)</f>
        <v/>
      </c>
      <c r="AU32" s="35" t="str">
        <f aca="false">IF(OR($E32="",$F32=""),"",IF($F32/$E32^(1/3)&gt;=40.75,0.732*($F32/$E32^(1/3))-28.58,IF($F32/$E32^(1/3)&gt;=38.25,0.463*($F32/$E32^(1/3))-17.63,0.1)))</f>
        <v/>
      </c>
      <c r="AV32" s="37" t="str">
        <f aca="false">IF(OR($AS32="",$AT32="",$AU32=""),"",IF(AND($AT32&gt;=$AS32,$AT32&gt;=$AU32),"Mesomorfo dominante",IF(AND($AU32&gt;=$AS32,$AU32&gt;=$AT32),"Ectomorfo dominante","Endomorfo dominante")))</f>
        <v/>
      </c>
    </row>
    <row r="33" customFormat="false" ht="15" hidden="false" customHeight="false" outlineLevel="0" collapsed="false">
      <c r="A33" s="29"/>
      <c r="B33" s="27"/>
      <c r="C33" s="28"/>
      <c r="D33" s="27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3" t="str">
        <f aca="false">IFERROR(DATEDIF(INDEX(Cadastro!$D$8:$D$47,MATCH($B33,Cadastro!$B$8:$B$47,0)),$A33,"Y"),"")</f>
        <v/>
      </c>
      <c r="AH33" s="33" t="str">
        <f aca="false">IF(COUNT($I33,$K33,$J33,$N33)&lt;4,"",$I33+$K33+$J33+$N33)</f>
        <v/>
      </c>
      <c r="AI33" s="33" t="str">
        <f aca="false">IF(COUNT($L33,$M33,$I33,$J33,$P33,$N33,$Q33)&lt;7,"",$L33+$M33+$I33+$J33+$P33+$N33+$Q33)</f>
        <v/>
      </c>
      <c r="AJ33" s="33" t="str">
        <f aca="false">IF(COUNT($I33,$J33,$K33,$O33,$P33,$Q33,$R33,$N33)&lt;8,"",$I33+$J33+$K33+$O33+$P33+$Q33+$R33+$N33)</f>
        <v/>
      </c>
      <c r="AK33" s="34" t="str">
        <f aca="false">IF(OR($AI33="",$AG33=""),"",IF(IFERROR(INDEX(Cadastro!$F$8:$F$47,MATCH($B33,Cadastro!$B$8:$B$47,0)),"")="Feminino",1.097-0.00046971*$AI33+0.00000056*$AI33^2-0.00012828*$AG33,1.112-0.00043499*$AI33+0.00000055*$AI33^2-0.00028826*$AG33))</f>
        <v/>
      </c>
      <c r="AL33" s="30" t="str">
        <f aca="false">IF(OR($AK33="",$AK33=0),"",495/$AK33-450)</f>
        <v/>
      </c>
      <c r="AM33" s="35" t="str">
        <f aca="false">IF(OR($AL33="",$E33=""),"",$E33*$AL33/100)</f>
        <v/>
      </c>
      <c r="AN33" s="30" t="str">
        <f aca="false">IF(OR($AM33="",$E33=""),"",$E33-$AM33)</f>
        <v/>
      </c>
      <c r="AO33" s="35" t="str">
        <f aca="false">IFERROR($E33/($F33/100)^2,"")</f>
        <v/>
      </c>
      <c r="AP33" s="35" t="str">
        <f aca="false">IFERROR($G33/$F33*100,"")</f>
        <v/>
      </c>
      <c r="AQ33" s="36" t="str">
        <f aca="false">IFERROR($W33/$F33,"")</f>
        <v/>
      </c>
      <c r="AR33" s="35" t="str">
        <f aca="false">IF(OR($S33="",$I33=""),"",($S33-PI()*$I33/10)^2/(4*PI())-IF(IFERROR(INDEX(Cadastro!$F$8:$F$47,MATCH($B33,Cadastro!$B$8:$B$47,0)),"")="Feminino",6.5,10))</f>
        <v/>
      </c>
      <c r="AS33" s="35" t="str">
        <f aca="false">IF(OR($I33="",$J33="",$O33="",$F33=""),"",-0.7182+0.1451*(($I33+$J33+$O33)*(170.18/$F33))-0.00068*(($I33+$J33+$O33)*(170.18/$F33))^2+0.0000014*(($I33+$J33+$O33)*(170.18/$F33))^3)</f>
        <v/>
      </c>
      <c r="AT33" s="35" t="str">
        <f aca="false">IF(OR($AE33="",$AF33="",$T33="",$AA33="",$F33=""),"",0.858*$AE33+0.601*$AF33+0.188*($T33-$I33/10)+0.161*($AA33-$R33/10)-0.131*$F33+4.5)</f>
        <v/>
      </c>
      <c r="AU33" s="35" t="str">
        <f aca="false">IF(OR($E33="",$F33=""),"",IF($F33/$E33^(1/3)&gt;=40.75,0.732*($F33/$E33^(1/3))-28.58,IF($F33/$E33^(1/3)&gt;=38.25,0.463*($F33/$E33^(1/3))-17.63,0.1)))</f>
        <v/>
      </c>
      <c r="AV33" s="37" t="str">
        <f aca="false">IF(OR($AS33="",$AT33="",$AU33=""),"",IF(AND($AT33&gt;=$AS33,$AT33&gt;=$AU33),"Mesomorfo dominante",IF(AND($AU33&gt;=$AS33,$AU33&gt;=$AT33),"Ectomorfo dominante","Endomorfo dominante")))</f>
        <v/>
      </c>
    </row>
    <row r="34" customFormat="false" ht="15" hidden="false" customHeight="false" outlineLevel="0" collapsed="false">
      <c r="A34" s="29"/>
      <c r="B34" s="27"/>
      <c r="C34" s="28"/>
      <c r="D34" s="27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3" t="str">
        <f aca="false">IFERROR(DATEDIF(INDEX(Cadastro!$D$8:$D$47,MATCH($B34,Cadastro!$B$8:$B$47,0)),$A34,"Y"),"")</f>
        <v/>
      </c>
      <c r="AH34" s="33" t="str">
        <f aca="false">IF(COUNT($I34,$K34,$J34,$N34)&lt;4,"",$I34+$K34+$J34+$N34)</f>
        <v/>
      </c>
      <c r="AI34" s="33" t="str">
        <f aca="false">IF(COUNT($L34,$M34,$I34,$J34,$P34,$N34,$Q34)&lt;7,"",$L34+$M34+$I34+$J34+$P34+$N34+$Q34)</f>
        <v/>
      </c>
      <c r="AJ34" s="33" t="str">
        <f aca="false">IF(COUNT($I34,$J34,$K34,$O34,$P34,$Q34,$R34,$N34)&lt;8,"",$I34+$J34+$K34+$O34+$P34+$Q34+$R34+$N34)</f>
        <v/>
      </c>
      <c r="AK34" s="34" t="str">
        <f aca="false">IF(OR($AI34="",$AG34=""),"",IF(IFERROR(INDEX(Cadastro!$F$8:$F$47,MATCH($B34,Cadastro!$B$8:$B$47,0)),"")="Feminino",1.097-0.00046971*$AI34+0.00000056*$AI34^2-0.00012828*$AG34,1.112-0.00043499*$AI34+0.00000055*$AI34^2-0.00028826*$AG34))</f>
        <v/>
      </c>
      <c r="AL34" s="30" t="str">
        <f aca="false">IF(OR($AK34="",$AK34=0),"",495/$AK34-450)</f>
        <v/>
      </c>
      <c r="AM34" s="35" t="str">
        <f aca="false">IF(OR($AL34="",$E34=""),"",$E34*$AL34/100)</f>
        <v/>
      </c>
      <c r="AN34" s="30" t="str">
        <f aca="false">IF(OR($AM34="",$E34=""),"",$E34-$AM34)</f>
        <v/>
      </c>
      <c r="AO34" s="35" t="str">
        <f aca="false">IFERROR($E34/($F34/100)^2,"")</f>
        <v/>
      </c>
      <c r="AP34" s="35" t="str">
        <f aca="false">IFERROR($G34/$F34*100,"")</f>
        <v/>
      </c>
      <c r="AQ34" s="36" t="str">
        <f aca="false">IFERROR($W34/$F34,"")</f>
        <v/>
      </c>
      <c r="AR34" s="35" t="str">
        <f aca="false">IF(OR($S34="",$I34=""),"",($S34-PI()*$I34/10)^2/(4*PI())-IF(IFERROR(INDEX(Cadastro!$F$8:$F$47,MATCH($B34,Cadastro!$B$8:$B$47,0)),"")="Feminino",6.5,10))</f>
        <v/>
      </c>
      <c r="AS34" s="35" t="str">
        <f aca="false">IF(OR($I34="",$J34="",$O34="",$F34=""),"",-0.7182+0.1451*(($I34+$J34+$O34)*(170.18/$F34))-0.00068*(($I34+$J34+$O34)*(170.18/$F34))^2+0.0000014*(($I34+$J34+$O34)*(170.18/$F34))^3)</f>
        <v/>
      </c>
      <c r="AT34" s="35" t="str">
        <f aca="false">IF(OR($AE34="",$AF34="",$T34="",$AA34="",$F34=""),"",0.858*$AE34+0.601*$AF34+0.188*($T34-$I34/10)+0.161*($AA34-$R34/10)-0.131*$F34+4.5)</f>
        <v/>
      </c>
      <c r="AU34" s="35" t="str">
        <f aca="false">IF(OR($E34="",$F34=""),"",IF($F34/$E34^(1/3)&gt;=40.75,0.732*($F34/$E34^(1/3))-28.58,IF($F34/$E34^(1/3)&gt;=38.25,0.463*($F34/$E34^(1/3))-17.63,0.1)))</f>
        <v/>
      </c>
      <c r="AV34" s="37" t="str">
        <f aca="false">IF(OR($AS34="",$AT34="",$AU34=""),"",IF(AND($AT34&gt;=$AS34,$AT34&gt;=$AU34),"Mesomorfo dominante",IF(AND($AU34&gt;=$AS34,$AU34&gt;=$AT34),"Ectomorfo dominante","Endomorfo dominante")))</f>
        <v/>
      </c>
    </row>
    <row r="35" customFormat="false" ht="15" hidden="false" customHeight="false" outlineLevel="0" collapsed="false">
      <c r="A35" s="29"/>
      <c r="B35" s="27"/>
      <c r="C35" s="28"/>
      <c r="D35" s="27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3" t="str">
        <f aca="false">IFERROR(DATEDIF(INDEX(Cadastro!$D$8:$D$47,MATCH($B35,Cadastro!$B$8:$B$47,0)),$A35,"Y"),"")</f>
        <v/>
      </c>
      <c r="AH35" s="33" t="str">
        <f aca="false">IF(COUNT($I35,$K35,$J35,$N35)&lt;4,"",$I35+$K35+$J35+$N35)</f>
        <v/>
      </c>
      <c r="AI35" s="33" t="str">
        <f aca="false">IF(COUNT($L35,$M35,$I35,$J35,$P35,$N35,$Q35)&lt;7,"",$L35+$M35+$I35+$J35+$P35+$N35+$Q35)</f>
        <v/>
      </c>
      <c r="AJ35" s="33" t="str">
        <f aca="false">IF(COUNT($I35,$J35,$K35,$O35,$P35,$Q35,$R35,$N35)&lt;8,"",$I35+$J35+$K35+$O35+$P35+$Q35+$R35+$N35)</f>
        <v/>
      </c>
      <c r="AK35" s="34" t="str">
        <f aca="false">IF(OR($AI35="",$AG35=""),"",IF(IFERROR(INDEX(Cadastro!$F$8:$F$47,MATCH($B35,Cadastro!$B$8:$B$47,0)),"")="Feminino",1.097-0.00046971*$AI35+0.00000056*$AI35^2-0.00012828*$AG35,1.112-0.00043499*$AI35+0.00000055*$AI35^2-0.00028826*$AG35))</f>
        <v/>
      </c>
      <c r="AL35" s="30" t="str">
        <f aca="false">IF(OR($AK35="",$AK35=0),"",495/$AK35-450)</f>
        <v/>
      </c>
      <c r="AM35" s="35" t="str">
        <f aca="false">IF(OR($AL35="",$E35=""),"",$E35*$AL35/100)</f>
        <v/>
      </c>
      <c r="AN35" s="30" t="str">
        <f aca="false">IF(OR($AM35="",$E35=""),"",$E35-$AM35)</f>
        <v/>
      </c>
      <c r="AO35" s="35" t="str">
        <f aca="false">IFERROR($E35/($F35/100)^2,"")</f>
        <v/>
      </c>
      <c r="AP35" s="35" t="str">
        <f aca="false">IFERROR($G35/$F35*100,"")</f>
        <v/>
      </c>
      <c r="AQ35" s="36" t="str">
        <f aca="false">IFERROR($W35/$F35,"")</f>
        <v/>
      </c>
      <c r="AR35" s="35" t="str">
        <f aca="false">IF(OR($S35="",$I35=""),"",($S35-PI()*$I35/10)^2/(4*PI())-IF(IFERROR(INDEX(Cadastro!$F$8:$F$47,MATCH($B35,Cadastro!$B$8:$B$47,0)),"")="Feminino",6.5,10))</f>
        <v/>
      </c>
      <c r="AS35" s="35" t="str">
        <f aca="false">IF(OR($I35="",$J35="",$O35="",$F35=""),"",-0.7182+0.1451*(($I35+$J35+$O35)*(170.18/$F35))-0.00068*(($I35+$J35+$O35)*(170.18/$F35))^2+0.0000014*(($I35+$J35+$O35)*(170.18/$F35))^3)</f>
        <v/>
      </c>
      <c r="AT35" s="35" t="str">
        <f aca="false">IF(OR($AE35="",$AF35="",$T35="",$AA35="",$F35=""),"",0.858*$AE35+0.601*$AF35+0.188*($T35-$I35/10)+0.161*($AA35-$R35/10)-0.131*$F35+4.5)</f>
        <v/>
      </c>
      <c r="AU35" s="35" t="str">
        <f aca="false">IF(OR($E35="",$F35=""),"",IF($F35/$E35^(1/3)&gt;=40.75,0.732*($F35/$E35^(1/3))-28.58,IF($F35/$E35^(1/3)&gt;=38.25,0.463*($F35/$E35^(1/3))-17.63,0.1)))</f>
        <v/>
      </c>
      <c r="AV35" s="37" t="str">
        <f aca="false">IF(OR($AS35="",$AT35="",$AU35=""),"",IF(AND($AT35&gt;=$AS35,$AT35&gt;=$AU35),"Mesomorfo dominante",IF(AND($AU35&gt;=$AS35,$AU35&gt;=$AT35),"Ectomorfo dominante","Endomorfo dominante")))</f>
        <v/>
      </c>
    </row>
    <row r="36" customFormat="false" ht="15" hidden="false" customHeight="false" outlineLevel="0" collapsed="false">
      <c r="A36" s="29"/>
      <c r="B36" s="27"/>
      <c r="C36" s="28"/>
      <c r="D36" s="27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3" t="str">
        <f aca="false">IFERROR(DATEDIF(INDEX(Cadastro!$D$8:$D$47,MATCH($B36,Cadastro!$B$8:$B$47,0)),$A36,"Y"),"")</f>
        <v/>
      </c>
      <c r="AH36" s="33" t="str">
        <f aca="false">IF(COUNT($I36,$K36,$J36,$N36)&lt;4,"",$I36+$K36+$J36+$N36)</f>
        <v/>
      </c>
      <c r="AI36" s="33" t="str">
        <f aca="false">IF(COUNT($L36,$M36,$I36,$J36,$P36,$N36,$Q36)&lt;7,"",$L36+$M36+$I36+$J36+$P36+$N36+$Q36)</f>
        <v/>
      </c>
      <c r="AJ36" s="33" t="str">
        <f aca="false">IF(COUNT($I36,$J36,$K36,$O36,$P36,$Q36,$R36,$N36)&lt;8,"",$I36+$J36+$K36+$O36+$P36+$Q36+$R36+$N36)</f>
        <v/>
      </c>
      <c r="AK36" s="34" t="str">
        <f aca="false">IF(OR($AI36="",$AG36=""),"",IF(IFERROR(INDEX(Cadastro!$F$8:$F$47,MATCH($B36,Cadastro!$B$8:$B$47,0)),"")="Feminino",1.097-0.00046971*$AI36+0.00000056*$AI36^2-0.00012828*$AG36,1.112-0.00043499*$AI36+0.00000055*$AI36^2-0.00028826*$AG36))</f>
        <v/>
      </c>
      <c r="AL36" s="30" t="str">
        <f aca="false">IF(OR($AK36="",$AK36=0),"",495/$AK36-450)</f>
        <v/>
      </c>
      <c r="AM36" s="35" t="str">
        <f aca="false">IF(OR($AL36="",$E36=""),"",$E36*$AL36/100)</f>
        <v/>
      </c>
      <c r="AN36" s="30" t="str">
        <f aca="false">IF(OR($AM36="",$E36=""),"",$E36-$AM36)</f>
        <v/>
      </c>
      <c r="AO36" s="35" t="str">
        <f aca="false">IFERROR($E36/($F36/100)^2,"")</f>
        <v/>
      </c>
      <c r="AP36" s="35" t="str">
        <f aca="false">IFERROR($G36/$F36*100,"")</f>
        <v/>
      </c>
      <c r="AQ36" s="36" t="str">
        <f aca="false">IFERROR($W36/$F36,"")</f>
        <v/>
      </c>
      <c r="AR36" s="35" t="str">
        <f aca="false">IF(OR($S36="",$I36=""),"",($S36-PI()*$I36/10)^2/(4*PI())-IF(IFERROR(INDEX(Cadastro!$F$8:$F$47,MATCH($B36,Cadastro!$B$8:$B$47,0)),"")="Feminino",6.5,10))</f>
        <v/>
      </c>
      <c r="AS36" s="35" t="str">
        <f aca="false">IF(OR($I36="",$J36="",$O36="",$F36=""),"",-0.7182+0.1451*(($I36+$J36+$O36)*(170.18/$F36))-0.00068*(($I36+$J36+$O36)*(170.18/$F36))^2+0.0000014*(($I36+$J36+$O36)*(170.18/$F36))^3)</f>
        <v/>
      </c>
      <c r="AT36" s="35" t="str">
        <f aca="false">IF(OR($AE36="",$AF36="",$T36="",$AA36="",$F36=""),"",0.858*$AE36+0.601*$AF36+0.188*($T36-$I36/10)+0.161*($AA36-$R36/10)-0.131*$F36+4.5)</f>
        <v/>
      </c>
      <c r="AU36" s="35" t="str">
        <f aca="false">IF(OR($E36="",$F36=""),"",IF($F36/$E36^(1/3)&gt;=40.75,0.732*($F36/$E36^(1/3))-28.58,IF($F36/$E36^(1/3)&gt;=38.25,0.463*($F36/$E36^(1/3))-17.63,0.1)))</f>
        <v/>
      </c>
      <c r="AV36" s="37" t="str">
        <f aca="false">IF(OR($AS36="",$AT36="",$AU36=""),"",IF(AND($AT36&gt;=$AS36,$AT36&gt;=$AU36),"Mesomorfo dominante",IF(AND($AU36&gt;=$AS36,$AU36&gt;=$AT36),"Ectomorfo dominante","Endomorfo dominante")))</f>
        <v/>
      </c>
    </row>
    <row r="37" customFormat="false" ht="15" hidden="false" customHeight="false" outlineLevel="0" collapsed="false">
      <c r="A37" s="29"/>
      <c r="B37" s="27"/>
      <c r="C37" s="28"/>
      <c r="D37" s="27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3" t="str">
        <f aca="false">IFERROR(DATEDIF(INDEX(Cadastro!$D$8:$D$47,MATCH($B37,Cadastro!$B$8:$B$47,0)),$A37,"Y"),"")</f>
        <v/>
      </c>
      <c r="AH37" s="33" t="str">
        <f aca="false">IF(COUNT($I37,$K37,$J37,$N37)&lt;4,"",$I37+$K37+$J37+$N37)</f>
        <v/>
      </c>
      <c r="AI37" s="33" t="str">
        <f aca="false">IF(COUNT($L37,$M37,$I37,$J37,$P37,$N37,$Q37)&lt;7,"",$L37+$M37+$I37+$J37+$P37+$N37+$Q37)</f>
        <v/>
      </c>
      <c r="AJ37" s="33" t="str">
        <f aca="false">IF(COUNT($I37,$J37,$K37,$O37,$P37,$Q37,$R37,$N37)&lt;8,"",$I37+$J37+$K37+$O37+$P37+$Q37+$R37+$N37)</f>
        <v/>
      </c>
      <c r="AK37" s="34" t="str">
        <f aca="false">IF(OR($AI37="",$AG37=""),"",IF(IFERROR(INDEX(Cadastro!$F$8:$F$47,MATCH($B37,Cadastro!$B$8:$B$47,0)),"")="Feminino",1.097-0.00046971*$AI37+0.00000056*$AI37^2-0.00012828*$AG37,1.112-0.00043499*$AI37+0.00000055*$AI37^2-0.00028826*$AG37))</f>
        <v/>
      </c>
      <c r="AL37" s="30" t="str">
        <f aca="false">IF(OR($AK37="",$AK37=0),"",495/$AK37-450)</f>
        <v/>
      </c>
      <c r="AM37" s="35" t="str">
        <f aca="false">IF(OR($AL37="",$E37=""),"",$E37*$AL37/100)</f>
        <v/>
      </c>
      <c r="AN37" s="30" t="str">
        <f aca="false">IF(OR($AM37="",$E37=""),"",$E37-$AM37)</f>
        <v/>
      </c>
      <c r="AO37" s="35" t="str">
        <f aca="false">IFERROR($E37/($F37/100)^2,"")</f>
        <v/>
      </c>
      <c r="AP37" s="35" t="str">
        <f aca="false">IFERROR($G37/$F37*100,"")</f>
        <v/>
      </c>
      <c r="AQ37" s="36" t="str">
        <f aca="false">IFERROR($W37/$F37,"")</f>
        <v/>
      </c>
      <c r="AR37" s="35" t="str">
        <f aca="false">IF(OR($S37="",$I37=""),"",($S37-PI()*$I37/10)^2/(4*PI())-IF(IFERROR(INDEX(Cadastro!$F$8:$F$47,MATCH($B37,Cadastro!$B$8:$B$47,0)),"")="Feminino",6.5,10))</f>
        <v/>
      </c>
      <c r="AS37" s="35" t="str">
        <f aca="false">IF(OR($I37="",$J37="",$O37="",$F37=""),"",-0.7182+0.1451*(($I37+$J37+$O37)*(170.18/$F37))-0.00068*(($I37+$J37+$O37)*(170.18/$F37))^2+0.0000014*(($I37+$J37+$O37)*(170.18/$F37))^3)</f>
        <v/>
      </c>
      <c r="AT37" s="35" t="str">
        <f aca="false">IF(OR($AE37="",$AF37="",$T37="",$AA37="",$F37=""),"",0.858*$AE37+0.601*$AF37+0.188*($T37-$I37/10)+0.161*($AA37-$R37/10)-0.131*$F37+4.5)</f>
        <v/>
      </c>
      <c r="AU37" s="35" t="str">
        <f aca="false">IF(OR($E37="",$F37=""),"",IF($F37/$E37^(1/3)&gt;=40.75,0.732*($F37/$E37^(1/3))-28.58,IF($F37/$E37^(1/3)&gt;=38.25,0.463*($F37/$E37^(1/3))-17.63,0.1)))</f>
        <v/>
      </c>
      <c r="AV37" s="37" t="str">
        <f aca="false">IF(OR($AS37="",$AT37="",$AU37=""),"",IF(AND($AT37&gt;=$AS37,$AT37&gt;=$AU37),"Mesomorfo dominante",IF(AND($AU37&gt;=$AS37,$AU37&gt;=$AT37),"Ectomorfo dominante","Endomorfo dominante")))</f>
        <v/>
      </c>
    </row>
    <row r="38" customFormat="false" ht="15" hidden="false" customHeight="false" outlineLevel="0" collapsed="false">
      <c r="A38" s="29"/>
      <c r="B38" s="27"/>
      <c r="C38" s="28"/>
      <c r="D38" s="27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3" t="str">
        <f aca="false">IFERROR(DATEDIF(INDEX(Cadastro!$D$8:$D$47,MATCH($B38,Cadastro!$B$8:$B$47,0)),$A38,"Y"),"")</f>
        <v/>
      </c>
      <c r="AH38" s="33" t="str">
        <f aca="false">IF(COUNT($I38,$K38,$J38,$N38)&lt;4,"",$I38+$K38+$J38+$N38)</f>
        <v/>
      </c>
      <c r="AI38" s="33" t="str">
        <f aca="false">IF(COUNT($L38,$M38,$I38,$J38,$P38,$N38,$Q38)&lt;7,"",$L38+$M38+$I38+$J38+$P38+$N38+$Q38)</f>
        <v/>
      </c>
      <c r="AJ38" s="33" t="str">
        <f aca="false">IF(COUNT($I38,$J38,$K38,$O38,$P38,$Q38,$R38,$N38)&lt;8,"",$I38+$J38+$K38+$O38+$P38+$Q38+$R38+$N38)</f>
        <v/>
      </c>
      <c r="AK38" s="34" t="str">
        <f aca="false">IF(OR($AI38="",$AG38=""),"",IF(IFERROR(INDEX(Cadastro!$F$8:$F$47,MATCH($B38,Cadastro!$B$8:$B$47,0)),"")="Feminino",1.097-0.00046971*$AI38+0.00000056*$AI38^2-0.00012828*$AG38,1.112-0.00043499*$AI38+0.00000055*$AI38^2-0.00028826*$AG38))</f>
        <v/>
      </c>
      <c r="AL38" s="30" t="str">
        <f aca="false">IF(OR($AK38="",$AK38=0),"",495/$AK38-450)</f>
        <v/>
      </c>
      <c r="AM38" s="35" t="str">
        <f aca="false">IF(OR($AL38="",$E38=""),"",$E38*$AL38/100)</f>
        <v/>
      </c>
      <c r="AN38" s="30" t="str">
        <f aca="false">IF(OR($AM38="",$E38=""),"",$E38-$AM38)</f>
        <v/>
      </c>
      <c r="AO38" s="35" t="str">
        <f aca="false">IFERROR($E38/($F38/100)^2,"")</f>
        <v/>
      </c>
      <c r="AP38" s="35" t="str">
        <f aca="false">IFERROR($G38/$F38*100,"")</f>
        <v/>
      </c>
      <c r="AQ38" s="36" t="str">
        <f aca="false">IFERROR($W38/$F38,"")</f>
        <v/>
      </c>
      <c r="AR38" s="35" t="str">
        <f aca="false">IF(OR($S38="",$I38=""),"",($S38-PI()*$I38/10)^2/(4*PI())-IF(IFERROR(INDEX(Cadastro!$F$8:$F$47,MATCH($B38,Cadastro!$B$8:$B$47,0)),"")="Feminino",6.5,10))</f>
        <v/>
      </c>
      <c r="AS38" s="35" t="str">
        <f aca="false">IF(OR($I38="",$J38="",$O38="",$F38=""),"",-0.7182+0.1451*(($I38+$J38+$O38)*(170.18/$F38))-0.00068*(($I38+$J38+$O38)*(170.18/$F38))^2+0.0000014*(($I38+$J38+$O38)*(170.18/$F38))^3)</f>
        <v/>
      </c>
      <c r="AT38" s="35" t="str">
        <f aca="false">IF(OR($AE38="",$AF38="",$T38="",$AA38="",$F38=""),"",0.858*$AE38+0.601*$AF38+0.188*($T38-$I38/10)+0.161*($AA38-$R38/10)-0.131*$F38+4.5)</f>
        <v/>
      </c>
      <c r="AU38" s="35" t="str">
        <f aca="false">IF(OR($E38="",$F38=""),"",IF($F38/$E38^(1/3)&gt;=40.75,0.732*($F38/$E38^(1/3))-28.58,IF($F38/$E38^(1/3)&gt;=38.25,0.463*($F38/$E38^(1/3))-17.63,0.1)))</f>
        <v/>
      </c>
      <c r="AV38" s="37" t="str">
        <f aca="false">IF(OR($AS38="",$AT38="",$AU38=""),"",IF(AND($AT38&gt;=$AS38,$AT38&gt;=$AU38),"Mesomorfo dominante",IF(AND($AU38&gt;=$AS38,$AU38&gt;=$AT38),"Ectomorfo dominante","Endomorfo dominante")))</f>
        <v/>
      </c>
    </row>
    <row r="39" customFormat="false" ht="15" hidden="false" customHeight="false" outlineLevel="0" collapsed="false">
      <c r="A39" s="29"/>
      <c r="B39" s="27"/>
      <c r="C39" s="28"/>
      <c r="D39" s="27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3" t="str">
        <f aca="false">IFERROR(DATEDIF(INDEX(Cadastro!$D$8:$D$47,MATCH($B39,Cadastro!$B$8:$B$47,0)),$A39,"Y"),"")</f>
        <v/>
      </c>
      <c r="AH39" s="33" t="str">
        <f aca="false">IF(COUNT($I39,$K39,$J39,$N39)&lt;4,"",$I39+$K39+$J39+$N39)</f>
        <v/>
      </c>
      <c r="AI39" s="33" t="str">
        <f aca="false">IF(COUNT($L39,$M39,$I39,$J39,$P39,$N39,$Q39)&lt;7,"",$L39+$M39+$I39+$J39+$P39+$N39+$Q39)</f>
        <v/>
      </c>
      <c r="AJ39" s="33" t="str">
        <f aca="false">IF(COUNT($I39,$J39,$K39,$O39,$P39,$Q39,$R39,$N39)&lt;8,"",$I39+$J39+$K39+$O39+$P39+$Q39+$R39+$N39)</f>
        <v/>
      </c>
      <c r="AK39" s="34" t="str">
        <f aca="false">IF(OR($AI39="",$AG39=""),"",IF(IFERROR(INDEX(Cadastro!$F$8:$F$47,MATCH($B39,Cadastro!$B$8:$B$47,0)),"")="Feminino",1.097-0.00046971*$AI39+0.00000056*$AI39^2-0.00012828*$AG39,1.112-0.00043499*$AI39+0.00000055*$AI39^2-0.00028826*$AG39))</f>
        <v/>
      </c>
      <c r="AL39" s="30" t="str">
        <f aca="false">IF(OR($AK39="",$AK39=0),"",495/$AK39-450)</f>
        <v/>
      </c>
      <c r="AM39" s="35" t="str">
        <f aca="false">IF(OR($AL39="",$E39=""),"",$E39*$AL39/100)</f>
        <v/>
      </c>
      <c r="AN39" s="30" t="str">
        <f aca="false">IF(OR($AM39="",$E39=""),"",$E39-$AM39)</f>
        <v/>
      </c>
      <c r="AO39" s="35" t="str">
        <f aca="false">IFERROR($E39/($F39/100)^2,"")</f>
        <v/>
      </c>
      <c r="AP39" s="35" t="str">
        <f aca="false">IFERROR($G39/$F39*100,"")</f>
        <v/>
      </c>
      <c r="AQ39" s="36" t="str">
        <f aca="false">IFERROR($W39/$F39,"")</f>
        <v/>
      </c>
      <c r="AR39" s="35" t="str">
        <f aca="false">IF(OR($S39="",$I39=""),"",($S39-PI()*$I39/10)^2/(4*PI())-IF(IFERROR(INDEX(Cadastro!$F$8:$F$47,MATCH($B39,Cadastro!$B$8:$B$47,0)),"")="Feminino",6.5,10))</f>
        <v/>
      </c>
      <c r="AS39" s="35" t="str">
        <f aca="false">IF(OR($I39="",$J39="",$O39="",$F39=""),"",-0.7182+0.1451*(($I39+$J39+$O39)*(170.18/$F39))-0.00068*(($I39+$J39+$O39)*(170.18/$F39))^2+0.0000014*(($I39+$J39+$O39)*(170.18/$F39))^3)</f>
        <v/>
      </c>
      <c r="AT39" s="35" t="str">
        <f aca="false">IF(OR($AE39="",$AF39="",$T39="",$AA39="",$F39=""),"",0.858*$AE39+0.601*$AF39+0.188*($T39-$I39/10)+0.161*($AA39-$R39/10)-0.131*$F39+4.5)</f>
        <v/>
      </c>
      <c r="AU39" s="35" t="str">
        <f aca="false">IF(OR($E39="",$F39=""),"",IF($F39/$E39^(1/3)&gt;=40.75,0.732*($F39/$E39^(1/3))-28.58,IF($F39/$E39^(1/3)&gt;=38.25,0.463*($F39/$E39^(1/3))-17.63,0.1)))</f>
        <v/>
      </c>
      <c r="AV39" s="37" t="str">
        <f aca="false">IF(OR($AS39="",$AT39="",$AU39=""),"",IF(AND($AT39&gt;=$AS39,$AT39&gt;=$AU39),"Mesomorfo dominante",IF(AND($AU39&gt;=$AS39,$AU39&gt;=$AT39),"Ectomorfo dominante","Endomorfo dominante")))</f>
        <v/>
      </c>
    </row>
    <row r="40" customFormat="false" ht="15" hidden="false" customHeight="false" outlineLevel="0" collapsed="false">
      <c r="A40" s="29"/>
      <c r="B40" s="27"/>
      <c r="C40" s="28"/>
      <c r="D40" s="27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3" t="str">
        <f aca="false">IFERROR(DATEDIF(INDEX(Cadastro!$D$8:$D$47,MATCH($B40,Cadastro!$B$8:$B$47,0)),$A40,"Y"),"")</f>
        <v/>
      </c>
      <c r="AH40" s="33" t="str">
        <f aca="false">IF(COUNT($I40,$K40,$J40,$N40)&lt;4,"",$I40+$K40+$J40+$N40)</f>
        <v/>
      </c>
      <c r="AI40" s="33" t="str">
        <f aca="false">IF(COUNT($L40,$M40,$I40,$J40,$P40,$N40,$Q40)&lt;7,"",$L40+$M40+$I40+$J40+$P40+$N40+$Q40)</f>
        <v/>
      </c>
      <c r="AJ40" s="33" t="str">
        <f aca="false">IF(COUNT($I40,$J40,$K40,$O40,$P40,$Q40,$R40,$N40)&lt;8,"",$I40+$J40+$K40+$O40+$P40+$Q40+$R40+$N40)</f>
        <v/>
      </c>
      <c r="AK40" s="34" t="str">
        <f aca="false">IF(OR($AI40="",$AG40=""),"",IF(IFERROR(INDEX(Cadastro!$F$8:$F$47,MATCH($B40,Cadastro!$B$8:$B$47,0)),"")="Feminino",1.097-0.00046971*$AI40+0.00000056*$AI40^2-0.00012828*$AG40,1.112-0.00043499*$AI40+0.00000055*$AI40^2-0.00028826*$AG40))</f>
        <v/>
      </c>
      <c r="AL40" s="30" t="str">
        <f aca="false">IF(OR($AK40="",$AK40=0),"",495/$AK40-450)</f>
        <v/>
      </c>
      <c r="AM40" s="35" t="str">
        <f aca="false">IF(OR($AL40="",$E40=""),"",$E40*$AL40/100)</f>
        <v/>
      </c>
      <c r="AN40" s="30" t="str">
        <f aca="false">IF(OR($AM40="",$E40=""),"",$E40-$AM40)</f>
        <v/>
      </c>
      <c r="AO40" s="35" t="str">
        <f aca="false">IFERROR($E40/($F40/100)^2,"")</f>
        <v/>
      </c>
      <c r="AP40" s="35" t="str">
        <f aca="false">IFERROR($G40/$F40*100,"")</f>
        <v/>
      </c>
      <c r="AQ40" s="36" t="str">
        <f aca="false">IFERROR($W40/$F40,"")</f>
        <v/>
      </c>
      <c r="AR40" s="35" t="str">
        <f aca="false">IF(OR($S40="",$I40=""),"",($S40-PI()*$I40/10)^2/(4*PI())-IF(IFERROR(INDEX(Cadastro!$F$8:$F$47,MATCH($B40,Cadastro!$B$8:$B$47,0)),"")="Feminino",6.5,10))</f>
        <v/>
      </c>
      <c r="AS40" s="35" t="str">
        <f aca="false">IF(OR($I40="",$J40="",$O40="",$F40=""),"",-0.7182+0.1451*(($I40+$J40+$O40)*(170.18/$F40))-0.00068*(($I40+$J40+$O40)*(170.18/$F40))^2+0.0000014*(($I40+$J40+$O40)*(170.18/$F40))^3)</f>
        <v/>
      </c>
      <c r="AT40" s="35" t="str">
        <f aca="false">IF(OR($AE40="",$AF40="",$T40="",$AA40="",$F40=""),"",0.858*$AE40+0.601*$AF40+0.188*($T40-$I40/10)+0.161*($AA40-$R40/10)-0.131*$F40+4.5)</f>
        <v/>
      </c>
      <c r="AU40" s="35" t="str">
        <f aca="false">IF(OR($E40="",$F40=""),"",IF($F40/$E40^(1/3)&gt;=40.75,0.732*($F40/$E40^(1/3))-28.58,IF($F40/$E40^(1/3)&gt;=38.25,0.463*($F40/$E40^(1/3))-17.63,0.1)))</f>
        <v/>
      </c>
      <c r="AV40" s="37" t="str">
        <f aca="false">IF(OR($AS40="",$AT40="",$AU40=""),"",IF(AND($AT40&gt;=$AS40,$AT40&gt;=$AU40),"Mesomorfo dominante",IF(AND($AU40&gt;=$AS40,$AU40&gt;=$AT40),"Ectomorfo dominante","Endomorfo dominante")))</f>
        <v/>
      </c>
    </row>
    <row r="41" customFormat="false" ht="15" hidden="false" customHeight="false" outlineLevel="0" collapsed="false">
      <c r="A41" s="29"/>
      <c r="B41" s="27"/>
      <c r="C41" s="28"/>
      <c r="D41" s="27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3" t="str">
        <f aca="false">IFERROR(DATEDIF(INDEX(Cadastro!$D$8:$D$47,MATCH($B41,Cadastro!$B$8:$B$47,0)),$A41,"Y"),"")</f>
        <v/>
      </c>
      <c r="AH41" s="33" t="str">
        <f aca="false">IF(COUNT($I41,$K41,$J41,$N41)&lt;4,"",$I41+$K41+$J41+$N41)</f>
        <v/>
      </c>
      <c r="AI41" s="33" t="str">
        <f aca="false">IF(COUNT($L41,$M41,$I41,$J41,$P41,$N41,$Q41)&lt;7,"",$L41+$M41+$I41+$J41+$P41+$N41+$Q41)</f>
        <v/>
      </c>
      <c r="AJ41" s="33" t="str">
        <f aca="false">IF(COUNT($I41,$J41,$K41,$O41,$P41,$Q41,$R41,$N41)&lt;8,"",$I41+$J41+$K41+$O41+$P41+$Q41+$R41+$N41)</f>
        <v/>
      </c>
      <c r="AK41" s="34" t="str">
        <f aca="false">IF(OR($AI41="",$AG41=""),"",IF(IFERROR(INDEX(Cadastro!$F$8:$F$47,MATCH($B41,Cadastro!$B$8:$B$47,0)),"")="Feminino",1.097-0.00046971*$AI41+0.00000056*$AI41^2-0.00012828*$AG41,1.112-0.00043499*$AI41+0.00000055*$AI41^2-0.00028826*$AG41))</f>
        <v/>
      </c>
      <c r="AL41" s="30" t="str">
        <f aca="false">IF(OR($AK41="",$AK41=0),"",495/$AK41-450)</f>
        <v/>
      </c>
      <c r="AM41" s="35" t="str">
        <f aca="false">IF(OR($AL41="",$E41=""),"",$E41*$AL41/100)</f>
        <v/>
      </c>
      <c r="AN41" s="30" t="str">
        <f aca="false">IF(OR($AM41="",$E41=""),"",$E41-$AM41)</f>
        <v/>
      </c>
      <c r="AO41" s="35" t="str">
        <f aca="false">IFERROR($E41/($F41/100)^2,"")</f>
        <v/>
      </c>
      <c r="AP41" s="35" t="str">
        <f aca="false">IFERROR($G41/$F41*100,"")</f>
        <v/>
      </c>
      <c r="AQ41" s="36" t="str">
        <f aca="false">IFERROR($W41/$F41,"")</f>
        <v/>
      </c>
      <c r="AR41" s="35" t="str">
        <f aca="false">IF(OR($S41="",$I41=""),"",($S41-PI()*$I41/10)^2/(4*PI())-IF(IFERROR(INDEX(Cadastro!$F$8:$F$47,MATCH($B41,Cadastro!$B$8:$B$47,0)),"")="Feminino",6.5,10))</f>
        <v/>
      </c>
      <c r="AS41" s="35" t="str">
        <f aca="false">IF(OR($I41="",$J41="",$O41="",$F41=""),"",-0.7182+0.1451*(($I41+$J41+$O41)*(170.18/$F41))-0.00068*(($I41+$J41+$O41)*(170.18/$F41))^2+0.0000014*(($I41+$J41+$O41)*(170.18/$F41))^3)</f>
        <v/>
      </c>
      <c r="AT41" s="35" t="str">
        <f aca="false">IF(OR($AE41="",$AF41="",$T41="",$AA41="",$F41=""),"",0.858*$AE41+0.601*$AF41+0.188*($T41-$I41/10)+0.161*($AA41-$R41/10)-0.131*$F41+4.5)</f>
        <v/>
      </c>
      <c r="AU41" s="35" t="str">
        <f aca="false">IF(OR($E41="",$F41=""),"",IF($F41/$E41^(1/3)&gt;=40.75,0.732*($F41/$E41^(1/3))-28.58,IF($F41/$E41^(1/3)&gt;=38.25,0.463*($F41/$E41^(1/3))-17.63,0.1)))</f>
        <v/>
      </c>
      <c r="AV41" s="37" t="str">
        <f aca="false">IF(OR($AS41="",$AT41="",$AU41=""),"",IF(AND($AT41&gt;=$AS41,$AT41&gt;=$AU41),"Mesomorfo dominante",IF(AND($AU41&gt;=$AS41,$AU41&gt;=$AT41),"Ectomorfo dominante","Endomorfo dominante")))</f>
        <v/>
      </c>
    </row>
    <row r="42" customFormat="false" ht="15" hidden="false" customHeight="false" outlineLevel="0" collapsed="false">
      <c r="A42" s="29"/>
      <c r="B42" s="27"/>
      <c r="C42" s="28"/>
      <c r="D42" s="27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3" t="str">
        <f aca="false">IFERROR(DATEDIF(INDEX(Cadastro!$D$8:$D$47,MATCH($B42,Cadastro!$B$8:$B$47,0)),$A42,"Y"),"")</f>
        <v/>
      </c>
      <c r="AH42" s="33" t="str">
        <f aca="false">IF(COUNT($I42,$K42,$J42,$N42)&lt;4,"",$I42+$K42+$J42+$N42)</f>
        <v/>
      </c>
      <c r="AI42" s="33" t="str">
        <f aca="false">IF(COUNT($L42,$M42,$I42,$J42,$P42,$N42,$Q42)&lt;7,"",$L42+$M42+$I42+$J42+$P42+$N42+$Q42)</f>
        <v/>
      </c>
      <c r="AJ42" s="33" t="str">
        <f aca="false">IF(COUNT($I42,$J42,$K42,$O42,$P42,$Q42,$R42,$N42)&lt;8,"",$I42+$J42+$K42+$O42+$P42+$Q42+$R42+$N42)</f>
        <v/>
      </c>
      <c r="AK42" s="34" t="str">
        <f aca="false">IF(OR($AI42="",$AG42=""),"",IF(IFERROR(INDEX(Cadastro!$F$8:$F$47,MATCH($B42,Cadastro!$B$8:$B$47,0)),"")="Feminino",1.097-0.00046971*$AI42+0.00000056*$AI42^2-0.00012828*$AG42,1.112-0.00043499*$AI42+0.00000055*$AI42^2-0.00028826*$AG42))</f>
        <v/>
      </c>
      <c r="AL42" s="30" t="str">
        <f aca="false">IF(OR($AK42="",$AK42=0),"",495/$AK42-450)</f>
        <v/>
      </c>
      <c r="AM42" s="35" t="str">
        <f aca="false">IF(OR($AL42="",$E42=""),"",$E42*$AL42/100)</f>
        <v/>
      </c>
      <c r="AN42" s="30" t="str">
        <f aca="false">IF(OR($AM42="",$E42=""),"",$E42-$AM42)</f>
        <v/>
      </c>
      <c r="AO42" s="35" t="str">
        <f aca="false">IFERROR($E42/($F42/100)^2,"")</f>
        <v/>
      </c>
      <c r="AP42" s="35" t="str">
        <f aca="false">IFERROR($G42/$F42*100,"")</f>
        <v/>
      </c>
      <c r="AQ42" s="36" t="str">
        <f aca="false">IFERROR($W42/$F42,"")</f>
        <v/>
      </c>
      <c r="AR42" s="35" t="str">
        <f aca="false">IF(OR($S42="",$I42=""),"",($S42-PI()*$I42/10)^2/(4*PI())-IF(IFERROR(INDEX(Cadastro!$F$8:$F$47,MATCH($B42,Cadastro!$B$8:$B$47,0)),"")="Feminino",6.5,10))</f>
        <v/>
      </c>
      <c r="AS42" s="35" t="str">
        <f aca="false">IF(OR($I42="",$J42="",$O42="",$F42=""),"",-0.7182+0.1451*(($I42+$J42+$O42)*(170.18/$F42))-0.00068*(($I42+$J42+$O42)*(170.18/$F42))^2+0.0000014*(($I42+$J42+$O42)*(170.18/$F42))^3)</f>
        <v/>
      </c>
      <c r="AT42" s="35" t="str">
        <f aca="false">IF(OR($AE42="",$AF42="",$T42="",$AA42="",$F42=""),"",0.858*$AE42+0.601*$AF42+0.188*($T42-$I42/10)+0.161*($AA42-$R42/10)-0.131*$F42+4.5)</f>
        <v/>
      </c>
      <c r="AU42" s="35" t="str">
        <f aca="false">IF(OR($E42="",$F42=""),"",IF($F42/$E42^(1/3)&gt;=40.75,0.732*($F42/$E42^(1/3))-28.58,IF($F42/$E42^(1/3)&gt;=38.25,0.463*($F42/$E42^(1/3))-17.63,0.1)))</f>
        <v/>
      </c>
      <c r="AV42" s="37" t="str">
        <f aca="false">IF(OR($AS42="",$AT42="",$AU42=""),"",IF(AND($AT42&gt;=$AS42,$AT42&gt;=$AU42),"Mesomorfo dominante",IF(AND($AU42&gt;=$AS42,$AU42&gt;=$AT42),"Ectomorfo dominante","Endomorfo dominante")))</f>
        <v/>
      </c>
    </row>
    <row r="43" customFormat="false" ht="15" hidden="false" customHeight="false" outlineLevel="0" collapsed="false">
      <c r="A43" s="29"/>
      <c r="B43" s="27"/>
      <c r="C43" s="28"/>
      <c r="D43" s="27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3" t="str">
        <f aca="false">IFERROR(DATEDIF(INDEX(Cadastro!$D$8:$D$47,MATCH($B43,Cadastro!$B$8:$B$47,0)),$A43,"Y"),"")</f>
        <v/>
      </c>
      <c r="AH43" s="33" t="str">
        <f aca="false">IF(COUNT($I43,$K43,$J43,$N43)&lt;4,"",$I43+$K43+$J43+$N43)</f>
        <v/>
      </c>
      <c r="AI43" s="33" t="str">
        <f aca="false">IF(COUNT($L43,$M43,$I43,$J43,$P43,$N43,$Q43)&lt;7,"",$L43+$M43+$I43+$J43+$P43+$N43+$Q43)</f>
        <v/>
      </c>
      <c r="AJ43" s="33" t="str">
        <f aca="false">IF(COUNT($I43,$J43,$K43,$O43,$P43,$Q43,$R43,$N43)&lt;8,"",$I43+$J43+$K43+$O43+$P43+$Q43+$R43+$N43)</f>
        <v/>
      </c>
      <c r="AK43" s="34" t="str">
        <f aca="false">IF(OR($AI43="",$AG43=""),"",IF(IFERROR(INDEX(Cadastro!$F$8:$F$47,MATCH($B43,Cadastro!$B$8:$B$47,0)),"")="Feminino",1.097-0.00046971*$AI43+0.00000056*$AI43^2-0.00012828*$AG43,1.112-0.00043499*$AI43+0.00000055*$AI43^2-0.00028826*$AG43))</f>
        <v/>
      </c>
      <c r="AL43" s="30" t="str">
        <f aca="false">IF(OR($AK43="",$AK43=0),"",495/$AK43-450)</f>
        <v/>
      </c>
      <c r="AM43" s="35" t="str">
        <f aca="false">IF(OR($AL43="",$E43=""),"",$E43*$AL43/100)</f>
        <v/>
      </c>
      <c r="AN43" s="30" t="str">
        <f aca="false">IF(OR($AM43="",$E43=""),"",$E43-$AM43)</f>
        <v/>
      </c>
      <c r="AO43" s="35" t="str">
        <f aca="false">IFERROR($E43/($F43/100)^2,"")</f>
        <v/>
      </c>
      <c r="AP43" s="35" t="str">
        <f aca="false">IFERROR($G43/$F43*100,"")</f>
        <v/>
      </c>
      <c r="AQ43" s="36" t="str">
        <f aca="false">IFERROR($W43/$F43,"")</f>
        <v/>
      </c>
      <c r="AR43" s="35" t="str">
        <f aca="false">IF(OR($S43="",$I43=""),"",($S43-PI()*$I43/10)^2/(4*PI())-IF(IFERROR(INDEX(Cadastro!$F$8:$F$47,MATCH($B43,Cadastro!$B$8:$B$47,0)),"")="Feminino",6.5,10))</f>
        <v/>
      </c>
      <c r="AS43" s="35" t="str">
        <f aca="false">IF(OR($I43="",$J43="",$O43="",$F43=""),"",-0.7182+0.1451*(($I43+$J43+$O43)*(170.18/$F43))-0.00068*(($I43+$J43+$O43)*(170.18/$F43))^2+0.0000014*(($I43+$J43+$O43)*(170.18/$F43))^3)</f>
        <v/>
      </c>
      <c r="AT43" s="35" t="str">
        <f aca="false">IF(OR($AE43="",$AF43="",$T43="",$AA43="",$F43=""),"",0.858*$AE43+0.601*$AF43+0.188*($T43-$I43/10)+0.161*($AA43-$R43/10)-0.131*$F43+4.5)</f>
        <v/>
      </c>
      <c r="AU43" s="35" t="str">
        <f aca="false">IF(OR($E43="",$F43=""),"",IF($F43/$E43^(1/3)&gt;=40.75,0.732*($F43/$E43^(1/3))-28.58,IF($F43/$E43^(1/3)&gt;=38.25,0.463*($F43/$E43^(1/3))-17.63,0.1)))</f>
        <v/>
      </c>
      <c r="AV43" s="37" t="str">
        <f aca="false">IF(OR($AS43="",$AT43="",$AU43=""),"",IF(AND($AT43&gt;=$AS43,$AT43&gt;=$AU43),"Mesomorfo dominante",IF(AND($AU43&gt;=$AS43,$AU43&gt;=$AT43),"Ectomorfo dominante","Endomorfo dominante")))</f>
        <v/>
      </c>
    </row>
    <row r="44" customFormat="false" ht="15" hidden="false" customHeight="false" outlineLevel="0" collapsed="false">
      <c r="A44" s="29"/>
      <c r="B44" s="27"/>
      <c r="C44" s="28"/>
      <c r="D44" s="27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3" t="str">
        <f aca="false">IFERROR(DATEDIF(INDEX(Cadastro!$D$8:$D$47,MATCH($B44,Cadastro!$B$8:$B$47,0)),$A44,"Y"),"")</f>
        <v/>
      </c>
      <c r="AH44" s="33" t="str">
        <f aca="false">IF(COUNT($I44,$K44,$J44,$N44)&lt;4,"",$I44+$K44+$J44+$N44)</f>
        <v/>
      </c>
      <c r="AI44" s="33" t="str">
        <f aca="false">IF(COUNT($L44,$M44,$I44,$J44,$P44,$N44,$Q44)&lt;7,"",$L44+$M44+$I44+$J44+$P44+$N44+$Q44)</f>
        <v/>
      </c>
      <c r="AJ44" s="33" t="str">
        <f aca="false">IF(COUNT($I44,$J44,$K44,$O44,$P44,$Q44,$R44,$N44)&lt;8,"",$I44+$J44+$K44+$O44+$P44+$Q44+$R44+$N44)</f>
        <v/>
      </c>
      <c r="AK44" s="34" t="str">
        <f aca="false">IF(OR($AI44="",$AG44=""),"",IF(IFERROR(INDEX(Cadastro!$F$8:$F$47,MATCH($B44,Cadastro!$B$8:$B$47,0)),"")="Feminino",1.097-0.00046971*$AI44+0.00000056*$AI44^2-0.00012828*$AG44,1.112-0.00043499*$AI44+0.00000055*$AI44^2-0.00028826*$AG44))</f>
        <v/>
      </c>
      <c r="AL44" s="30" t="str">
        <f aca="false">IF(OR($AK44="",$AK44=0),"",495/$AK44-450)</f>
        <v/>
      </c>
      <c r="AM44" s="35" t="str">
        <f aca="false">IF(OR($AL44="",$E44=""),"",$E44*$AL44/100)</f>
        <v/>
      </c>
      <c r="AN44" s="30" t="str">
        <f aca="false">IF(OR($AM44="",$E44=""),"",$E44-$AM44)</f>
        <v/>
      </c>
      <c r="AO44" s="35" t="str">
        <f aca="false">IFERROR($E44/($F44/100)^2,"")</f>
        <v/>
      </c>
      <c r="AP44" s="35" t="str">
        <f aca="false">IFERROR($G44/$F44*100,"")</f>
        <v/>
      </c>
      <c r="AQ44" s="36" t="str">
        <f aca="false">IFERROR($W44/$F44,"")</f>
        <v/>
      </c>
      <c r="AR44" s="35" t="str">
        <f aca="false">IF(OR($S44="",$I44=""),"",($S44-PI()*$I44/10)^2/(4*PI())-IF(IFERROR(INDEX(Cadastro!$F$8:$F$47,MATCH($B44,Cadastro!$B$8:$B$47,0)),"")="Feminino",6.5,10))</f>
        <v/>
      </c>
      <c r="AS44" s="35" t="str">
        <f aca="false">IF(OR($I44="",$J44="",$O44="",$F44=""),"",-0.7182+0.1451*(($I44+$J44+$O44)*(170.18/$F44))-0.00068*(($I44+$J44+$O44)*(170.18/$F44))^2+0.0000014*(($I44+$J44+$O44)*(170.18/$F44))^3)</f>
        <v/>
      </c>
      <c r="AT44" s="35" t="str">
        <f aca="false">IF(OR($AE44="",$AF44="",$T44="",$AA44="",$F44=""),"",0.858*$AE44+0.601*$AF44+0.188*($T44-$I44/10)+0.161*($AA44-$R44/10)-0.131*$F44+4.5)</f>
        <v/>
      </c>
      <c r="AU44" s="35" t="str">
        <f aca="false">IF(OR($E44="",$F44=""),"",IF($F44/$E44^(1/3)&gt;=40.75,0.732*($F44/$E44^(1/3))-28.58,IF($F44/$E44^(1/3)&gt;=38.25,0.463*($F44/$E44^(1/3))-17.63,0.1)))</f>
        <v/>
      </c>
      <c r="AV44" s="37" t="str">
        <f aca="false">IF(OR($AS44="",$AT44="",$AU44=""),"",IF(AND($AT44&gt;=$AS44,$AT44&gt;=$AU44),"Mesomorfo dominante",IF(AND($AU44&gt;=$AS44,$AU44&gt;=$AT44),"Ectomorfo dominante","Endomorfo dominante")))</f>
        <v/>
      </c>
    </row>
    <row r="45" customFormat="false" ht="15" hidden="false" customHeight="false" outlineLevel="0" collapsed="false">
      <c r="A45" s="29"/>
      <c r="B45" s="27"/>
      <c r="C45" s="28"/>
      <c r="D45" s="27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3" t="str">
        <f aca="false">IFERROR(DATEDIF(INDEX(Cadastro!$D$8:$D$47,MATCH($B45,Cadastro!$B$8:$B$47,0)),$A45,"Y"),"")</f>
        <v/>
      </c>
      <c r="AH45" s="33" t="str">
        <f aca="false">IF(COUNT($I45,$K45,$J45,$N45)&lt;4,"",$I45+$K45+$J45+$N45)</f>
        <v/>
      </c>
      <c r="AI45" s="33" t="str">
        <f aca="false">IF(COUNT($L45,$M45,$I45,$J45,$P45,$N45,$Q45)&lt;7,"",$L45+$M45+$I45+$J45+$P45+$N45+$Q45)</f>
        <v/>
      </c>
      <c r="AJ45" s="33" t="str">
        <f aca="false">IF(COUNT($I45,$J45,$K45,$O45,$P45,$Q45,$R45,$N45)&lt;8,"",$I45+$J45+$K45+$O45+$P45+$Q45+$R45+$N45)</f>
        <v/>
      </c>
      <c r="AK45" s="34" t="str">
        <f aca="false">IF(OR($AI45="",$AG45=""),"",IF(IFERROR(INDEX(Cadastro!$F$8:$F$47,MATCH($B45,Cadastro!$B$8:$B$47,0)),"")="Feminino",1.097-0.00046971*$AI45+0.00000056*$AI45^2-0.00012828*$AG45,1.112-0.00043499*$AI45+0.00000055*$AI45^2-0.00028826*$AG45))</f>
        <v/>
      </c>
      <c r="AL45" s="30" t="str">
        <f aca="false">IF(OR($AK45="",$AK45=0),"",495/$AK45-450)</f>
        <v/>
      </c>
      <c r="AM45" s="35" t="str">
        <f aca="false">IF(OR($AL45="",$E45=""),"",$E45*$AL45/100)</f>
        <v/>
      </c>
      <c r="AN45" s="30" t="str">
        <f aca="false">IF(OR($AM45="",$E45=""),"",$E45-$AM45)</f>
        <v/>
      </c>
      <c r="AO45" s="35" t="str">
        <f aca="false">IFERROR($E45/($F45/100)^2,"")</f>
        <v/>
      </c>
      <c r="AP45" s="35" t="str">
        <f aca="false">IFERROR($G45/$F45*100,"")</f>
        <v/>
      </c>
      <c r="AQ45" s="36" t="str">
        <f aca="false">IFERROR($W45/$F45,"")</f>
        <v/>
      </c>
      <c r="AR45" s="35" t="str">
        <f aca="false">IF(OR($S45="",$I45=""),"",($S45-PI()*$I45/10)^2/(4*PI())-IF(IFERROR(INDEX(Cadastro!$F$8:$F$47,MATCH($B45,Cadastro!$B$8:$B$47,0)),"")="Feminino",6.5,10))</f>
        <v/>
      </c>
      <c r="AS45" s="35" t="str">
        <f aca="false">IF(OR($I45="",$J45="",$O45="",$F45=""),"",-0.7182+0.1451*(($I45+$J45+$O45)*(170.18/$F45))-0.00068*(($I45+$J45+$O45)*(170.18/$F45))^2+0.0000014*(($I45+$J45+$O45)*(170.18/$F45))^3)</f>
        <v/>
      </c>
      <c r="AT45" s="35" t="str">
        <f aca="false">IF(OR($AE45="",$AF45="",$T45="",$AA45="",$F45=""),"",0.858*$AE45+0.601*$AF45+0.188*($T45-$I45/10)+0.161*($AA45-$R45/10)-0.131*$F45+4.5)</f>
        <v/>
      </c>
      <c r="AU45" s="35" t="str">
        <f aca="false">IF(OR($E45="",$F45=""),"",IF($F45/$E45^(1/3)&gt;=40.75,0.732*($F45/$E45^(1/3))-28.58,IF($F45/$E45^(1/3)&gt;=38.25,0.463*($F45/$E45^(1/3))-17.63,0.1)))</f>
        <v/>
      </c>
      <c r="AV45" s="37" t="str">
        <f aca="false">IF(OR($AS45="",$AT45="",$AU45=""),"",IF(AND($AT45&gt;=$AS45,$AT45&gt;=$AU45),"Mesomorfo dominante",IF(AND($AU45&gt;=$AS45,$AU45&gt;=$AT45),"Ectomorfo dominante","Endomorfo dominante")))</f>
        <v/>
      </c>
    </row>
    <row r="46" customFormat="false" ht="15" hidden="false" customHeight="false" outlineLevel="0" collapsed="false">
      <c r="A46" s="29"/>
      <c r="B46" s="27"/>
      <c r="C46" s="28"/>
      <c r="D46" s="27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3" t="str">
        <f aca="false">IFERROR(DATEDIF(INDEX(Cadastro!$D$8:$D$47,MATCH($B46,Cadastro!$B$8:$B$47,0)),$A46,"Y"),"")</f>
        <v/>
      </c>
      <c r="AH46" s="33" t="str">
        <f aca="false">IF(COUNT($I46,$K46,$J46,$N46)&lt;4,"",$I46+$K46+$J46+$N46)</f>
        <v/>
      </c>
      <c r="AI46" s="33" t="str">
        <f aca="false">IF(COUNT($L46,$M46,$I46,$J46,$P46,$N46,$Q46)&lt;7,"",$L46+$M46+$I46+$J46+$P46+$N46+$Q46)</f>
        <v/>
      </c>
      <c r="AJ46" s="33" t="str">
        <f aca="false">IF(COUNT($I46,$J46,$K46,$O46,$P46,$Q46,$R46,$N46)&lt;8,"",$I46+$J46+$K46+$O46+$P46+$Q46+$R46+$N46)</f>
        <v/>
      </c>
      <c r="AK46" s="34" t="str">
        <f aca="false">IF(OR($AI46="",$AG46=""),"",IF(IFERROR(INDEX(Cadastro!$F$8:$F$47,MATCH($B46,Cadastro!$B$8:$B$47,0)),"")="Feminino",1.097-0.00046971*$AI46+0.00000056*$AI46^2-0.00012828*$AG46,1.112-0.00043499*$AI46+0.00000055*$AI46^2-0.00028826*$AG46))</f>
        <v/>
      </c>
      <c r="AL46" s="30" t="str">
        <f aca="false">IF(OR($AK46="",$AK46=0),"",495/$AK46-450)</f>
        <v/>
      </c>
      <c r="AM46" s="35" t="str">
        <f aca="false">IF(OR($AL46="",$E46=""),"",$E46*$AL46/100)</f>
        <v/>
      </c>
      <c r="AN46" s="30" t="str">
        <f aca="false">IF(OR($AM46="",$E46=""),"",$E46-$AM46)</f>
        <v/>
      </c>
      <c r="AO46" s="35" t="str">
        <f aca="false">IFERROR($E46/($F46/100)^2,"")</f>
        <v/>
      </c>
      <c r="AP46" s="35" t="str">
        <f aca="false">IFERROR($G46/$F46*100,"")</f>
        <v/>
      </c>
      <c r="AQ46" s="36" t="str">
        <f aca="false">IFERROR($W46/$F46,"")</f>
        <v/>
      </c>
      <c r="AR46" s="35" t="str">
        <f aca="false">IF(OR($S46="",$I46=""),"",($S46-PI()*$I46/10)^2/(4*PI())-IF(IFERROR(INDEX(Cadastro!$F$8:$F$47,MATCH($B46,Cadastro!$B$8:$B$47,0)),"")="Feminino",6.5,10))</f>
        <v/>
      </c>
      <c r="AS46" s="35" t="str">
        <f aca="false">IF(OR($I46="",$J46="",$O46="",$F46=""),"",-0.7182+0.1451*(($I46+$J46+$O46)*(170.18/$F46))-0.00068*(($I46+$J46+$O46)*(170.18/$F46))^2+0.0000014*(($I46+$J46+$O46)*(170.18/$F46))^3)</f>
        <v/>
      </c>
      <c r="AT46" s="35" t="str">
        <f aca="false">IF(OR($AE46="",$AF46="",$T46="",$AA46="",$F46=""),"",0.858*$AE46+0.601*$AF46+0.188*($T46-$I46/10)+0.161*($AA46-$R46/10)-0.131*$F46+4.5)</f>
        <v/>
      </c>
      <c r="AU46" s="35" t="str">
        <f aca="false">IF(OR($E46="",$F46=""),"",IF($F46/$E46^(1/3)&gt;=40.75,0.732*($F46/$E46^(1/3))-28.58,IF($F46/$E46^(1/3)&gt;=38.25,0.463*($F46/$E46^(1/3))-17.63,0.1)))</f>
        <v/>
      </c>
      <c r="AV46" s="37" t="str">
        <f aca="false">IF(OR($AS46="",$AT46="",$AU46=""),"",IF(AND($AT46&gt;=$AS46,$AT46&gt;=$AU46),"Mesomorfo dominante",IF(AND($AU46&gt;=$AS46,$AU46&gt;=$AT46),"Ectomorfo dominante","Endomorfo dominante")))</f>
        <v/>
      </c>
    </row>
    <row r="47" customFormat="false" ht="15" hidden="false" customHeight="false" outlineLevel="0" collapsed="false">
      <c r="A47" s="29"/>
      <c r="B47" s="27"/>
      <c r="C47" s="28"/>
      <c r="D47" s="27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3" t="str">
        <f aca="false">IFERROR(DATEDIF(INDEX(Cadastro!$D$8:$D$47,MATCH($B47,Cadastro!$B$8:$B$47,0)),$A47,"Y"),"")</f>
        <v/>
      </c>
      <c r="AH47" s="33" t="str">
        <f aca="false">IF(COUNT($I47,$K47,$J47,$N47)&lt;4,"",$I47+$K47+$J47+$N47)</f>
        <v/>
      </c>
      <c r="AI47" s="33" t="str">
        <f aca="false">IF(COUNT($L47,$M47,$I47,$J47,$P47,$N47,$Q47)&lt;7,"",$L47+$M47+$I47+$J47+$P47+$N47+$Q47)</f>
        <v/>
      </c>
      <c r="AJ47" s="33" t="str">
        <f aca="false">IF(COUNT($I47,$J47,$K47,$O47,$P47,$Q47,$R47,$N47)&lt;8,"",$I47+$J47+$K47+$O47+$P47+$Q47+$R47+$N47)</f>
        <v/>
      </c>
      <c r="AK47" s="34" t="str">
        <f aca="false">IF(OR($AI47="",$AG47=""),"",IF(IFERROR(INDEX(Cadastro!$F$8:$F$47,MATCH($B47,Cadastro!$B$8:$B$47,0)),"")="Feminino",1.097-0.00046971*$AI47+0.00000056*$AI47^2-0.00012828*$AG47,1.112-0.00043499*$AI47+0.00000055*$AI47^2-0.00028826*$AG47))</f>
        <v/>
      </c>
      <c r="AL47" s="30" t="str">
        <f aca="false">IF(OR($AK47="",$AK47=0),"",495/$AK47-450)</f>
        <v/>
      </c>
      <c r="AM47" s="35" t="str">
        <f aca="false">IF(OR($AL47="",$E47=""),"",$E47*$AL47/100)</f>
        <v/>
      </c>
      <c r="AN47" s="30" t="str">
        <f aca="false">IF(OR($AM47="",$E47=""),"",$E47-$AM47)</f>
        <v/>
      </c>
      <c r="AO47" s="35" t="str">
        <f aca="false">IFERROR($E47/($F47/100)^2,"")</f>
        <v/>
      </c>
      <c r="AP47" s="35" t="str">
        <f aca="false">IFERROR($G47/$F47*100,"")</f>
        <v/>
      </c>
      <c r="AQ47" s="36" t="str">
        <f aca="false">IFERROR($W47/$F47,"")</f>
        <v/>
      </c>
      <c r="AR47" s="35" t="str">
        <f aca="false">IF(OR($S47="",$I47=""),"",($S47-PI()*$I47/10)^2/(4*PI())-IF(IFERROR(INDEX(Cadastro!$F$8:$F$47,MATCH($B47,Cadastro!$B$8:$B$47,0)),"")="Feminino",6.5,10))</f>
        <v/>
      </c>
      <c r="AS47" s="35" t="str">
        <f aca="false">IF(OR($I47="",$J47="",$O47="",$F47=""),"",-0.7182+0.1451*(($I47+$J47+$O47)*(170.18/$F47))-0.00068*(($I47+$J47+$O47)*(170.18/$F47))^2+0.0000014*(($I47+$J47+$O47)*(170.18/$F47))^3)</f>
        <v/>
      </c>
      <c r="AT47" s="35" t="str">
        <f aca="false">IF(OR($AE47="",$AF47="",$T47="",$AA47="",$F47=""),"",0.858*$AE47+0.601*$AF47+0.188*($T47-$I47/10)+0.161*($AA47-$R47/10)-0.131*$F47+4.5)</f>
        <v/>
      </c>
      <c r="AU47" s="35" t="str">
        <f aca="false">IF(OR($E47="",$F47=""),"",IF($F47/$E47^(1/3)&gt;=40.75,0.732*($F47/$E47^(1/3))-28.58,IF($F47/$E47^(1/3)&gt;=38.25,0.463*($F47/$E47^(1/3))-17.63,0.1)))</f>
        <v/>
      </c>
      <c r="AV47" s="37" t="str">
        <f aca="false">IF(OR($AS47="",$AT47="",$AU47=""),"",IF(AND($AT47&gt;=$AS47,$AT47&gt;=$AU47),"Mesomorfo dominante",IF(AND($AU47&gt;=$AS47,$AU47&gt;=$AT47),"Ectomorfo dominante","Endomorfo dominante")))</f>
        <v/>
      </c>
    </row>
    <row r="48" customFormat="false" ht="15" hidden="false" customHeight="false" outlineLevel="0" collapsed="false">
      <c r="A48" s="29"/>
      <c r="B48" s="27"/>
      <c r="C48" s="28"/>
      <c r="D48" s="27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3" t="str">
        <f aca="false">IFERROR(DATEDIF(INDEX(Cadastro!$D$8:$D$47,MATCH($B48,Cadastro!$B$8:$B$47,0)),$A48,"Y"),"")</f>
        <v/>
      </c>
      <c r="AH48" s="33" t="str">
        <f aca="false">IF(COUNT($I48,$K48,$J48,$N48)&lt;4,"",$I48+$K48+$J48+$N48)</f>
        <v/>
      </c>
      <c r="AI48" s="33" t="str">
        <f aca="false">IF(COUNT($L48,$M48,$I48,$J48,$P48,$N48,$Q48)&lt;7,"",$L48+$M48+$I48+$J48+$P48+$N48+$Q48)</f>
        <v/>
      </c>
      <c r="AJ48" s="33" t="str">
        <f aca="false">IF(COUNT($I48,$J48,$K48,$O48,$P48,$Q48,$R48,$N48)&lt;8,"",$I48+$J48+$K48+$O48+$P48+$Q48+$R48+$N48)</f>
        <v/>
      </c>
      <c r="AK48" s="34" t="str">
        <f aca="false">IF(OR($AI48="",$AG48=""),"",IF(IFERROR(INDEX(Cadastro!$F$8:$F$47,MATCH($B48,Cadastro!$B$8:$B$47,0)),"")="Feminino",1.097-0.00046971*$AI48+0.00000056*$AI48^2-0.00012828*$AG48,1.112-0.00043499*$AI48+0.00000055*$AI48^2-0.00028826*$AG48))</f>
        <v/>
      </c>
      <c r="AL48" s="30" t="str">
        <f aca="false">IF(OR($AK48="",$AK48=0),"",495/$AK48-450)</f>
        <v/>
      </c>
      <c r="AM48" s="35" t="str">
        <f aca="false">IF(OR($AL48="",$E48=""),"",$E48*$AL48/100)</f>
        <v/>
      </c>
      <c r="AN48" s="30" t="str">
        <f aca="false">IF(OR($AM48="",$E48=""),"",$E48-$AM48)</f>
        <v/>
      </c>
      <c r="AO48" s="35" t="str">
        <f aca="false">IFERROR($E48/($F48/100)^2,"")</f>
        <v/>
      </c>
      <c r="AP48" s="35" t="str">
        <f aca="false">IFERROR($G48/$F48*100,"")</f>
        <v/>
      </c>
      <c r="AQ48" s="36" t="str">
        <f aca="false">IFERROR($W48/$F48,"")</f>
        <v/>
      </c>
      <c r="AR48" s="35" t="str">
        <f aca="false">IF(OR($S48="",$I48=""),"",($S48-PI()*$I48/10)^2/(4*PI())-IF(IFERROR(INDEX(Cadastro!$F$8:$F$47,MATCH($B48,Cadastro!$B$8:$B$47,0)),"")="Feminino",6.5,10))</f>
        <v/>
      </c>
      <c r="AS48" s="35" t="str">
        <f aca="false">IF(OR($I48="",$J48="",$O48="",$F48=""),"",-0.7182+0.1451*(($I48+$J48+$O48)*(170.18/$F48))-0.00068*(($I48+$J48+$O48)*(170.18/$F48))^2+0.0000014*(($I48+$J48+$O48)*(170.18/$F48))^3)</f>
        <v/>
      </c>
      <c r="AT48" s="35" t="str">
        <f aca="false">IF(OR($AE48="",$AF48="",$T48="",$AA48="",$F48=""),"",0.858*$AE48+0.601*$AF48+0.188*($T48-$I48/10)+0.161*($AA48-$R48/10)-0.131*$F48+4.5)</f>
        <v/>
      </c>
      <c r="AU48" s="35" t="str">
        <f aca="false">IF(OR($E48="",$F48=""),"",IF($F48/$E48^(1/3)&gt;=40.75,0.732*($F48/$E48^(1/3))-28.58,IF($F48/$E48^(1/3)&gt;=38.25,0.463*($F48/$E48^(1/3))-17.63,0.1)))</f>
        <v/>
      </c>
      <c r="AV48" s="37" t="str">
        <f aca="false">IF(OR($AS48="",$AT48="",$AU48=""),"",IF(AND($AT48&gt;=$AS48,$AT48&gt;=$AU48),"Mesomorfo dominante",IF(AND($AU48&gt;=$AS48,$AU48&gt;=$AT48),"Ectomorfo dominante","Endomorfo dominante")))</f>
        <v/>
      </c>
    </row>
    <row r="49" customFormat="false" ht="15" hidden="false" customHeight="false" outlineLevel="0" collapsed="false">
      <c r="A49" s="29"/>
      <c r="B49" s="27"/>
      <c r="C49" s="28"/>
      <c r="D49" s="27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3" t="str">
        <f aca="false">IFERROR(DATEDIF(INDEX(Cadastro!$D$8:$D$47,MATCH($B49,Cadastro!$B$8:$B$47,0)),$A49,"Y"),"")</f>
        <v/>
      </c>
      <c r="AH49" s="33" t="str">
        <f aca="false">IF(COUNT($I49,$K49,$J49,$N49)&lt;4,"",$I49+$K49+$J49+$N49)</f>
        <v/>
      </c>
      <c r="AI49" s="33" t="str">
        <f aca="false">IF(COUNT($L49,$M49,$I49,$J49,$P49,$N49,$Q49)&lt;7,"",$L49+$M49+$I49+$J49+$P49+$N49+$Q49)</f>
        <v/>
      </c>
      <c r="AJ49" s="33" t="str">
        <f aca="false">IF(COUNT($I49,$J49,$K49,$O49,$P49,$Q49,$R49,$N49)&lt;8,"",$I49+$J49+$K49+$O49+$P49+$Q49+$R49+$N49)</f>
        <v/>
      </c>
      <c r="AK49" s="34" t="str">
        <f aca="false">IF(OR($AI49="",$AG49=""),"",IF(IFERROR(INDEX(Cadastro!$F$8:$F$47,MATCH($B49,Cadastro!$B$8:$B$47,0)),"")="Feminino",1.097-0.00046971*$AI49+0.00000056*$AI49^2-0.00012828*$AG49,1.112-0.00043499*$AI49+0.00000055*$AI49^2-0.00028826*$AG49))</f>
        <v/>
      </c>
      <c r="AL49" s="30" t="str">
        <f aca="false">IF(OR($AK49="",$AK49=0),"",495/$AK49-450)</f>
        <v/>
      </c>
      <c r="AM49" s="35" t="str">
        <f aca="false">IF(OR($AL49="",$E49=""),"",$E49*$AL49/100)</f>
        <v/>
      </c>
      <c r="AN49" s="30" t="str">
        <f aca="false">IF(OR($AM49="",$E49=""),"",$E49-$AM49)</f>
        <v/>
      </c>
      <c r="AO49" s="35" t="str">
        <f aca="false">IFERROR($E49/($F49/100)^2,"")</f>
        <v/>
      </c>
      <c r="AP49" s="35" t="str">
        <f aca="false">IFERROR($G49/$F49*100,"")</f>
        <v/>
      </c>
      <c r="AQ49" s="36" t="str">
        <f aca="false">IFERROR($W49/$F49,"")</f>
        <v/>
      </c>
      <c r="AR49" s="35" t="str">
        <f aca="false">IF(OR($S49="",$I49=""),"",($S49-PI()*$I49/10)^2/(4*PI())-IF(IFERROR(INDEX(Cadastro!$F$8:$F$47,MATCH($B49,Cadastro!$B$8:$B$47,0)),"")="Feminino",6.5,10))</f>
        <v/>
      </c>
      <c r="AS49" s="35" t="str">
        <f aca="false">IF(OR($I49="",$J49="",$O49="",$F49=""),"",-0.7182+0.1451*(($I49+$J49+$O49)*(170.18/$F49))-0.00068*(($I49+$J49+$O49)*(170.18/$F49))^2+0.0000014*(($I49+$J49+$O49)*(170.18/$F49))^3)</f>
        <v/>
      </c>
      <c r="AT49" s="35" t="str">
        <f aca="false">IF(OR($AE49="",$AF49="",$T49="",$AA49="",$F49=""),"",0.858*$AE49+0.601*$AF49+0.188*($T49-$I49/10)+0.161*($AA49-$R49/10)-0.131*$F49+4.5)</f>
        <v/>
      </c>
      <c r="AU49" s="35" t="str">
        <f aca="false">IF(OR($E49="",$F49=""),"",IF($F49/$E49^(1/3)&gt;=40.75,0.732*($F49/$E49^(1/3))-28.58,IF($F49/$E49^(1/3)&gt;=38.25,0.463*($F49/$E49^(1/3))-17.63,0.1)))</f>
        <v/>
      </c>
      <c r="AV49" s="37" t="str">
        <f aca="false">IF(OR($AS49="",$AT49="",$AU49=""),"",IF(AND($AT49&gt;=$AS49,$AT49&gt;=$AU49),"Mesomorfo dominante",IF(AND($AU49&gt;=$AS49,$AU49&gt;=$AT49),"Ectomorfo dominante","Endomorfo dominante")))</f>
        <v/>
      </c>
    </row>
    <row r="50" customFormat="false" ht="15" hidden="false" customHeight="false" outlineLevel="0" collapsed="false">
      <c r="A50" s="29"/>
      <c r="B50" s="27"/>
      <c r="C50" s="28"/>
      <c r="D50" s="27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3" t="str">
        <f aca="false">IFERROR(DATEDIF(INDEX(Cadastro!$D$8:$D$47,MATCH($B50,Cadastro!$B$8:$B$47,0)),$A50,"Y"),"")</f>
        <v/>
      </c>
      <c r="AH50" s="33" t="str">
        <f aca="false">IF(COUNT($I50,$K50,$J50,$N50)&lt;4,"",$I50+$K50+$J50+$N50)</f>
        <v/>
      </c>
      <c r="AI50" s="33" t="str">
        <f aca="false">IF(COUNT($L50,$M50,$I50,$J50,$P50,$N50,$Q50)&lt;7,"",$L50+$M50+$I50+$J50+$P50+$N50+$Q50)</f>
        <v/>
      </c>
      <c r="AJ50" s="33" t="str">
        <f aca="false">IF(COUNT($I50,$J50,$K50,$O50,$P50,$Q50,$R50,$N50)&lt;8,"",$I50+$J50+$K50+$O50+$P50+$Q50+$R50+$N50)</f>
        <v/>
      </c>
      <c r="AK50" s="34" t="str">
        <f aca="false">IF(OR($AI50="",$AG50=""),"",IF(IFERROR(INDEX(Cadastro!$F$8:$F$47,MATCH($B50,Cadastro!$B$8:$B$47,0)),"")="Feminino",1.097-0.00046971*$AI50+0.00000056*$AI50^2-0.00012828*$AG50,1.112-0.00043499*$AI50+0.00000055*$AI50^2-0.00028826*$AG50))</f>
        <v/>
      </c>
      <c r="AL50" s="30" t="str">
        <f aca="false">IF(OR($AK50="",$AK50=0),"",495/$AK50-450)</f>
        <v/>
      </c>
      <c r="AM50" s="35" t="str">
        <f aca="false">IF(OR($AL50="",$E50=""),"",$E50*$AL50/100)</f>
        <v/>
      </c>
      <c r="AN50" s="30" t="str">
        <f aca="false">IF(OR($AM50="",$E50=""),"",$E50-$AM50)</f>
        <v/>
      </c>
      <c r="AO50" s="35" t="str">
        <f aca="false">IFERROR($E50/($F50/100)^2,"")</f>
        <v/>
      </c>
      <c r="AP50" s="35" t="str">
        <f aca="false">IFERROR($G50/$F50*100,"")</f>
        <v/>
      </c>
      <c r="AQ50" s="36" t="str">
        <f aca="false">IFERROR($W50/$F50,"")</f>
        <v/>
      </c>
      <c r="AR50" s="35" t="str">
        <f aca="false">IF(OR($S50="",$I50=""),"",($S50-PI()*$I50/10)^2/(4*PI())-IF(IFERROR(INDEX(Cadastro!$F$8:$F$47,MATCH($B50,Cadastro!$B$8:$B$47,0)),"")="Feminino",6.5,10))</f>
        <v/>
      </c>
      <c r="AS50" s="35" t="str">
        <f aca="false">IF(OR($I50="",$J50="",$O50="",$F50=""),"",-0.7182+0.1451*(($I50+$J50+$O50)*(170.18/$F50))-0.00068*(($I50+$J50+$O50)*(170.18/$F50))^2+0.0000014*(($I50+$J50+$O50)*(170.18/$F50))^3)</f>
        <v/>
      </c>
      <c r="AT50" s="35" t="str">
        <f aca="false">IF(OR($AE50="",$AF50="",$T50="",$AA50="",$F50=""),"",0.858*$AE50+0.601*$AF50+0.188*($T50-$I50/10)+0.161*($AA50-$R50/10)-0.131*$F50+4.5)</f>
        <v/>
      </c>
      <c r="AU50" s="35" t="str">
        <f aca="false">IF(OR($E50="",$F50=""),"",IF($F50/$E50^(1/3)&gt;=40.75,0.732*($F50/$E50^(1/3))-28.58,IF($F50/$E50^(1/3)&gt;=38.25,0.463*($F50/$E50^(1/3))-17.63,0.1)))</f>
        <v/>
      </c>
      <c r="AV50" s="37" t="str">
        <f aca="false">IF(OR($AS50="",$AT50="",$AU50=""),"",IF(AND($AT50&gt;=$AS50,$AT50&gt;=$AU50),"Mesomorfo dominante",IF(AND($AU50&gt;=$AS50,$AU50&gt;=$AT50),"Ectomorfo dominante","Endomorfo dominante")))</f>
        <v/>
      </c>
    </row>
    <row r="51" customFormat="false" ht="15" hidden="false" customHeight="false" outlineLevel="0" collapsed="false">
      <c r="A51" s="29"/>
      <c r="B51" s="27"/>
      <c r="C51" s="28"/>
      <c r="D51" s="27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3" t="str">
        <f aca="false">IFERROR(DATEDIF(INDEX(Cadastro!$D$8:$D$47,MATCH($B51,Cadastro!$B$8:$B$47,0)),$A51,"Y"),"")</f>
        <v/>
      </c>
      <c r="AH51" s="33" t="str">
        <f aca="false">IF(COUNT($I51,$K51,$J51,$N51)&lt;4,"",$I51+$K51+$J51+$N51)</f>
        <v/>
      </c>
      <c r="AI51" s="33" t="str">
        <f aca="false">IF(COUNT($L51,$M51,$I51,$J51,$P51,$N51,$Q51)&lt;7,"",$L51+$M51+$I51+$J51+$P51+$N51+$Q51)</f>
        <v/>
      </c>
      <c r="AJ51" s="33" t="str">
        <f aca="false">IF(COUNT($I51,$J51,$K51,$O51,$P51,$Q51,$R51,$N51)&lt;8,"",$I51+$J51+$K51+$O51+$P51+$Q51+$R51+$N51)</f>
        <v/>
      </c>
      <c r="AK51" s="34" t="str">
        <f aca="false">IF(OR($AI51="",$AG51=""),"",IF(IFERROR(INDEX(Cadastro!$F$8:$F$47,MATCH($B51,Cadastro!$B$8:$B$47,0)),"")="Feminino",1.097-0.00046971*$AI51+0.00000056*$AI51^2-0.00012828*$AG51,1.112-0.00043499*$AI51+0.00000055*$AI51^2-0.00028826*$AG51))</f>
        <v/>
      </c>
      <c r="AL51" s="30" t="str">
        <f aca="false">IF(OR($AK51="",$AK51=0),"",495/$AK51-450)</f>
        <v/>
      </c>
      <c r="AM51" s="35" t="str">
        <f aca="false">IF(OR($AL51="",$E51=""),"",$E51*$AL51/100)</f>
        <v/>
      </c>
      <c r="AN51" s="30" t="str">
        <f aca="false">IF(OR($AM51="",$E51=""),"",$E51-$AM51)</f>
        <v/>
      </c>
      <c r="AO51" s="35" t="str">
        <f aca="false">IFERROR($E51/($F51/100)^2,"")</f>
        <v/>
      </c>
      <c r="AP51" s="35" t="str">
        <f aca="false">IFERROR($G51/$F51*100,"")</f>
        <v/>
      </c>
      <c r="AQ51" s="36" t="str">
        <f aca="false">IFERROR($W51/$F51,"")</f>
        <v/>
      </c>
      <c r="AR51" s="35" t="str">
        <f aca="false">IF(OR($S51="",$I51=""),"",($S51-PI()*$I51/10)^2/(4*PI())-IF(IFERROR(INDEX(Cadastro!$F$8:$F$47,MATCH($B51,Cadastro!$B$8:$B$47,0)),"")="Feminino",6.5,10))</f>
        <v/>
      </c>
      <c r="AS51" s="35" t="str">
        <f aca="false">IF(OR($I51="",$J51="",$O51="",$F51=""),"",-0.7182+0.1451*(($I51+$J51+$O51)*(170.18/$F51))-0.00068*(($I51+$J51+$O51)*(170.18/$F51))^2+0.0000014*(($I51+$J51+$O51)*(170.18/$F51))^3)</f>
        <v/>
      </c>
      <c r="AT51" s="35" t="str">
        <f aca="false">IF(OR($AE51="",$AF51="",$T51="",$AA51="",$F51=""),"",0.858*$AE51+0.601*$AF51+0.188*($T51-$I51/10)+0.161*($AA51-$R51/10)-0.131*$F51+4.5)</f>
        <v/>
      </c>
      <c r="AU51" s="35" t="str">
        <f aca="false">IF(OR($E51="",$F51=""),"",IF($F51/$E51^(1/3)&gt;=40.75,0.732*($F51/$E51^(1/3))-28.58,IF($F51/$E51^(1/3)&gt;=38.25,0.463*($F51/$E51^(1/3))-17.63,0.1)))</f>
        <v/>
      </c>
      <c r="AV51" s="37" t="str">
        <f aca="false">IF(OR($AS51="",$AT51="",$AU51=""),"",IF(AND($AT51&gt;=$AS51,$AT51&gt;=$AU51),"Mesomorfo dominante",IF(AND($AU51&gt;=$AS51,$AU51&gt;=$AT51),"Ectomorfo dominante","Endomorfo dominante")))</f>
        <v/>
      </c>
    </row>
    <row r="52" customFormat="false" ht="15" hidden="false" customHeight="false" outlineLevel="0" collapsed="false">
      <c r="A52" s="29"/>
      <c r="B52" s="27"/>
      <c r="C52" s="28"/>
      <c r="D52" s="27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3" t="str">
        <f aca="false">IFERROR(DATEDIF(INDEX(Cadastro!$D$8:$D$47,MATCH($B52,Cadastro!$B$8:$B$47,0)),$A52,"Y"),"")</f>
        <v/>
      </c>
      <c r="AH52" s="33" t="str">
        <f aca="false">IF(COUNT($I52,$K52,$J52,$N52)&lt;4,"",$I52+$K52+$J52+$N52)</f>
        <v/>
      </c>
      <c r="AI52" s="33" t="str">
        <f aca="false">IF(COUNT($L52,$M52,$I52,$J52,$P52,$N52,$Q52)&lt;7,"",$L52+$M52+$I52+$J52+$P52+$N52+$Q52)</f>
        <v/>
      </c>
      <c r="AJ52" s="33" t="str">
        <f aca="false">IF(COUNT($I52,$J52,$K52,$O52,$P52,$Q52,$R52,$N52)&lt;8,"",$I52+$J52+$K52+$O52+$P52+$Q52+$R52+$N52)</f>
        <v/>
      </c>
      <c r="AK52" s="34" t="str">
        <f aca="false">IF(OR($AI52="",$AG52=""),"",IF(IFERROR(INDEX(Cadastro!$F$8:$F$47,MATCH($B52,Cadastro!$B$8:$B$47,0)),"")="Feminino",1.097-0.00046971*$AI52+0.00000056*$AI52^2-0.00012828*$AG52,1.112-0.00043499*$AI52+0.00000055*$AI52^2-0.00028826*$AG52))</f>
        <v/>
      </c>
      <c r="AL52" s="30" t="str">
        <f aca="false">IF(OR($AK52="",$AK52=0),"",495/$AK52-450)</f>
        <v/>
      </c>
      <c r="AM52" s="35" t="str">
        <f aca="false">IF(OR($AL52="",$E52=""),"",$E52*$AL52/100)</f>
        <v/>
      </c>
      <c r="AN52" s="30" t="str">
        <f aca="false">IF(OR($AM52="",$E52=""),"",$E52-$AM52)</f>
        <v/>
      </c>
      <c r="AO52" s="35" t="str">
        <f aca="false">IFERROR($E52/($F52/100)^2,"")</f>
        <v/>
      </c>
      <c r="AP52" s="35" t="str">
        <f aca="false">IFERROR($G52/$F52*100,"")</f>
        <v/>
      </c>
      <c r="AQ52" s="36" t="str">
        <f aca="false">IFERROR($W52/$F52,"")</f>
        <v/>
      </c>
      <c r="AR52" s="35" t="str">
        <f aca="false">IF(OR($S52="",$I52=""),"",($S52-PI()*$I52/10)^2/(4*PI())-IF(IFERROR(INDEX(Cadastro!$F$8:$F$47,MATCH($B52,Cadastro!$B$8:$B$47,0)),"")="Feminino",6.5,10))</f>
        <v/>
      </c>
      <c r="AS52" s="35" t="str">
        <f aca="false">IF(OR($I52="",$J52="",$O52="",$F52=""),"",-0.7182+0.1451*(($I52+$J52+$O52)*(170.18/$F52))-0.00068*(($I52+$J52+$O52)*(170.18/$F52))^2+0.0000014*(($I52+$J52+$O52)*(170.18/$F52))^3)</f>
        <v/>
      </c>
      <c r="AT52" s="35" t="str">
        <f aca="false">IF(OR($AE52="",$AF52="",$T52="",$AA52="",$F52=""),"",0.858*$AE52+0.601*$AF52+0.188*($T52-$I52/10)+0.161*($AA52-$R52/10)-0.131*$F52+4.5)</f>
        <v/>
      </c>
      <c r="AU52" s="35" t="str">
        <f aca="false">IF(OR($E52="",$F52=""),"",IF($F52/$E52^(1/3)&gt;=40.75,0.732*($F52/$E52^(1/3))-28.58,IF($F52/$E52^(1/3)&gt;=38.25,0.463*($F52/$E52^(1/3))-17.63,0.1)))</f>
        <v/>
      </c>
      <c r="AV52" s="37" t="str">
        <f aca="false">IF(OR($AS52="",$AT52="",$AU52=""),"",IF(AND($AT52&gt;=$AS52,$AT52&gt;=$AU52),"Mesomorfo dominante",IF(AND($AU52&gt;=$AS52,$AU52&gt;=$AT52),"Ectomorfo dominante","Endomorfo dominante")))</f>
        <v/>
      </c>
    </row>
    <row r="53" customFormat="false" ht="15" hidden="false" customHeight="false" outlineLevel="0" collapsed="false">
      <c r="A53" s="29"/>
      <c r="B53" s="27"/>
      <c r="C53" s="28"/>
      <c r="D53" s="27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3" t="str">
        <f aca="false">IFERROR(DATEDIF(INDEX(Cadastro!$D$8:$D$47,MATCH($B53,Cadastro!$B$8:$B$47,0)),$A53,"Y"),"")</f>
        <v/>
      </c>
      <c r="AH53" s="33" t="str">
        <f aca="false">IF(COUNT($I53,$K53,$J53,$N53)&lt;4,"",$I53+$K53+$J53+$N53)</f>
        <v/>
      </c>
      <c r="AI53" s="33" t="str">
        <f aca="false">IF(COUNT($L53,$M53,$I53,$J53,$P53,$N53,$Q53)&lt;7,"",$L53+$M53+$I53+$J53+$P53+$N53+$Q53)</f>
        <v/>
      </c>
      <c r="AJ53" s="33" t="str">
        <f aca="false">IF(COUNT($I53,$J53,$K53,$O53,$P53,$Q53,$R53,$N53)&lt;8,"",$I53+$J53+$K53+$O53+$P53+$Q53+$R53+$N53)</f>
        <v/>
      </c>
      <c r="AK53" s="34" t="str">
        <f aca="false">IF(OR($AI53="",$AG53=""),"",IF(IFERROR(INDEX(Cadastro!$F$8:$F$47,MATCH($B53,Cadastro!$B$8:$B$47,0)),"")="Feminino",1.097-0.00046971*$AI53+0.00000056*$AI53^2-0.00012828*$AG53,1.112-0.00043499*$AI53+0.00000055*$AI53^2-0.00028826*$AG53))</f>
        <v/>
      </c>
      <c r="AL53" s="30" t="str">
        <f aca="false">IF(OR($AK53="",$AK53=0),"",495/$AK53-450)</f>
        <v/>
      </c>
      <c r="AM53" s="35" t="str">
        <f aca="false">IF(OR($AL53="",$E53=""),"",$E53*$AL53/100)</f>
        <v/>
      </c>
      <c r="AN53" s="30" t="str">
        <f aca="false">IF(OR($AM53="",$E53=""),"",$E53-$AM53)</f>
        <v/>
      </c>
      <c r="AO53" s="35" t="str">
        <f aca="false">IFERROR($E53/($F53/100)^2,"")</f>
        <v/>
      </c>
      <c r="AP53" s="35" t="str">
        <f aca="false">IFERROR($G53/$F53*100,"")</f>
        <v/>
      </c>
      <c r="AQ53" s="36" t="str">
        <f aca="false">IFERROR($W53/$F53,"")</f>
        <v/>
      </c>
      <c r="AR53" s="35" t="str">
        <f aca="false">IF(OR($S53="",$I53=""),"",($S53-PI()*$I53/10)^2/(4*PI())-IF(IFERROR(INDEX(Cadastro!$F$8:$F$47,MATCH($B53,Cadastro!$B$8:$B$47,0)),"")="Feminino",6.5,10))</f>
        <v/>
      </c>
      <c r="AS53" s="35" t="str">
        <f aca="false">IF(OR($I53="",$J53="",$O53="",$F53=""),"",-0.7182+0.1451*(($I53+$J53+$O53)*(170.18/$F53))-0.00068*(($I53+$J53+$O53)*(170.18/$F53))^2+0.0000014*(($I53+$J53+$O53)*(170.18/$F53))^3)</f>
        <v/>
      </c>
      <c r="AT53" s="35" t="str">
        <f aca="false">IF(OR($AE53="",$AF53="",$T53="",$AA53="",$F53=""),"",0.858*$AE53+0.601*$AF53+0.188*($T53-$I53/10)+0.161*($AA53-$R53/10)-0.131*$F53+4.5)</f>
        <v/>
      </c>
      <c r="AU53" s="35" t="str">
        <f aca="false">IF(OR($E53="",$F53=""),"",IF($F53/$E53^(1/3)&gt;=40.75,0.732*($F53/$E53^(1/3))-28.58,IF($F53/$E53^(1/3)&gt;=38.25,0.463*($F53/$E53^(1/3))-17.63,0.1)))</f>
        <v/>
      </c>
      <c r="AV53" s="37" t="str">
        <f aca="false">IF(OR($AS53="",$AT53="",$AU53=""),"",IF(AND($AT53&gt;=$AS53,$AT53&gt;=$AU53),"Mesomorfo dominante",IF(AND($AU53&gt;=$AS53,$AU53&gt;=$AT53),"Ectomorfo dominante","Endomorfo dominante")))</f>
        <v/>
      </c>
    </row>
    <row r="54" customFormat="false" ht="15" hidden="false" customHeight="false" outlineLevel="0" collapsed="false">
      <c r="A54" s="29"/>
      <c r="B54" s="27"/>
      <c r="C54" s="28"/>
      <c r="D54" s="27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3" t="str">
        <f aca="false">IFERROR(DATEDIF(INDEX(Cadastro!$D$8:$D$47,MATCH($B54,Cadastro!$B$8:$B$47,0)),$A54,"Y"),"")</f>
        <v/>
      </c>
      <c r="AH54" s="33" t="str">
        <f aca="false">IF(COUNT($I54,$K54,$J54,$N54)&lt;4,"",$I54+$K54+$J54+$N54)</f>
        <v/>
      </c>
      <c r="AI54" s="33" t="str">
        <f aca="false">IF(COUNT($L54,$M54,$I54,$J54,$P54,$N54,$Q54)&lt;7,"",$L54+$M54+$I54+$J54+$P54+$N54+$Q54)</f>
        <v/>
      </c>
      <c r="AJ54" s="33" t="str">
        <f aca="false">IF(COUNT($I54,$J54,$K54,$O54,$P54,$Q54,$R54,$N54)&lt;8,"",$I54+$J54+$K54+$O54+$P54+$Q54+$R54+$N54)</f>
        <v/>
      </c>
      <c r="AK54" s="34" t="str">
        <f aca="false">IF(OR($AI54="",$AG54=""),"",IF(IFERROR(INDEX(Cadastro!$F$8:$F$47,MATCH($B54,Cadastro!$B$8:$B$47,0)),"")="Feminino",1.097-0.00046971*$AI54+0.00000056*$AI54^2-0.00012828*$AG54,1.112-0.00043499*$AI54+0.00000055*$AI54^2-0.00028826*$AG54))</f>
        <v/>
      </c>
      <c r="AL54" s="30" t="str">
        <f aca="false">IF(OR($AK54="",$AK54=0),"",495/$AK54-450)</f>
        <v/>
      </c>
      <c r="AM54" s="35" t="str">
        <f aca="false">IF(OR($AL54="",$E54=""),"",$E54*$AL54/100)</f>
        <v/>
      </c>
      <c r="AN54" s="30" t="str">
        <f aca="false">IF(OR($AM54="",$E54=""),"",$E54-$AM54)</f>
        <v/>
      </c>
      <c r="AO54" s="35" t="str">
        <f aca="false">IFERROR($E54/($F54/100)^2,"")</f>
        <v/>
      </c>
      <c r="AP54" s="35" t="str">
        <f aca="false">IFERROR($G54/$F54*100,"")</f>
        <v/>
      </c>
      <c r="AQ54" s="36" t="str">
        <f aca="false">IFERROR($W54/$F54,"")</f>
        <v/>
      </c>
      <c r="AR54" s="35" t="str">
        <f aca="false">IF(OR($S54="",$I54=""),"",($S54-PI()*$I54/10)^2/(4*PI())-IF(IFERROR(INDEX(Cadastro!$F$8:$F$47,MATCH($B54,Cadastro!$B$8:$B$47,0)),"")="Feminino",6.5,10))</f>
        <v/>
      </c>
      <c r="AS54" s="35" t="str">
        <f aca="false">IF(OR($I54="",$J54="",$O54="",$F54=""),"",-0.7182+0.1451*(($I54+$J54+$O54)*(170.18/$F54))-0.00068*(($I54+$J54+$O54)*(170.18/$F54))^2+0.0000014*(($I54+$J54+$O54)*(170.18/$F54))^3)</f>
        <v/>
      </c>
      <c r="AT54" s="35" t="str">
        <f aca="false">IF(OR($AE54="",$AF54="",$T54="",$AA54="",$F54=""),"",0.858*$AE54+0.601*$AF54+0.188*($T54-$I54/10)+0.161*($AA54-$R54/10)-0.131*$F54+4.5)</f>
        <v/>
      </c>
      <c r="AU54" s="35" t="str">
        <f aca="false">IF(OR($E54="",$F54=""),"",IF($F54/$E54^(1/3)&gt;=40.75,0.732*($F54/$E54^(1/3))-28.58,IF($F54/$E54^(1/3)&gt;=38.25,0.463*($F54/$E54^(1/3))-17.63,0.1)))</f>
        <v/>
      </c>
      <c r="AV54" s="37" t="str">
        <f aca="false">IF(OR($AS54="",$AT54="",$AU54=""),"",IF(AND($AT54&gt;=$AS54,$AT54&gt;=$AU54),"Mesomorfo dominante",IF(AND($AU54&gt;=$AS54,$AU54&gt;=$AT54),"Ectomorfo dominante","Endomorfo dominante")))</f>
        <v/>
      </c>
    </row>
    <row r="55" customFormat="false" ht="15" hidden="false" customHeight="false" outlineLevel="0" collapsed="false">
      <c r="A55" s="29"/>
      <c r="B55" s="27"/>
      <c r="C55" s="28"/>
      <c r="D55" s="27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3" t="str">
        <f aca="false">IFERROR(DATEDIF(INDEX(Cadastro!$D$8:$D$47,MATCH($B55,Cadastro!$B$8:$B$47,0)),$A55,"Y"),"")</f>
        <v/>
      </c>
      <c r="AH55" s="33" t="str">
        <f aca="false">IF(COUNT($I55,$K55,$J55,$N55)&lt;4,"",$I55+$K55+$J55+$N55)</f>
        <v/>
      </c>
      <c r="AI55" s="33" t="str">
        <f aca="false">IF(COUNT($L55,$M55,$I55,$J55,$P55,$N55,$Q55)&lt;7,"",$L55+$M55+$I55+$J55+$P55+$N55+$Q55)</f>
        <v/>
      </c>
      <c r="AJ55" s="33" t="str">
        <f aca="false">IF(COUNT($I55,$J55,$K55,$O55,$P55,$Q55,$R55,$N55)&lt;8,"",$I55+$J55+$K55+$O55+$P55+$Q55+$R55+$N55)</f>
        <v/>
      </c>
      <c r="AK55" s="34" t="str">
        <f aca="false">IF(OR($AI55="",$AG55=""),"",IF(IFERROR(INDEX(Cadastro!$F$8:$F$47,MATCH($B55,Cadastro!$B$8:$B$47,0)),"")="Feminino",1.097-0.00046971*$AI55+0.00000056*$AI55^2-0.00012828*$AG55,1.112-0.00043499*$AI55+0.00000055*$AI55^2-0.00028826*$AG55))</f>
        <v/>
      </c>
      <c r="AL55" s="30" t="str">
        <f aca="false">IF(OR($AK55="",$AK55=0),"",495/$AK55-450)</f>
        <v/>
      </c>
      <c r="AM55" s="35" t="str">
        <f aca="false">IF(OR($AL55="",$E55=""),"",$E55*$AL55/100)</f>
        <v/>
      </c>
      <c r="AN55" s="30" t="str">
        <f aca="false">IF(OR($AM55="",$E55=""),"",$E55-$AM55)</f>
        <v/>
      </c>
      <c r="AO55" s="35" t="str">
        <f aca="false">IFERROR($E55/($F55/100)^2,"")</f>
        <v/>
      </c>
      <c r="AP55" s="35" t="str">
        <f aca="false">IFERROR($G55/$F55*100,"")</f>
        <v/>
      </c>
      <c r="AQ55" s="36" t="str">
        <f aca="false">IFERROR($W55/$F55,"")</f>
        <v/>
      </c>
      <c r="AR55" s="35" t="str">
        <f aca="false">IF(OR($S55="",$I55=""),"",($S55-PI()*$I55/10)^2/(4*PI())-IF(IFERROR(INDEX(Cadastro!$F$8:$F$47,MATCH($B55,Cadastro!$B$8:$B$47,0)),"")="Feminino",6.5,10))</f>
        <v/>
      </c>
      <c r="AS55" s="35" t="str">
        <f aca="false">IF(OR($I55="",$J55="",$O55="",$F55=""),"",-0.7182+0.1451*(($I55+$J55+$O55)*(170.18/$F55))-0.00068*(($I55+$J55+$O55)*(170.18/$F55))^2+0.0000014*(($I55+$J55+$O55)*(170.18/$F55))^3)</f>
        <v/>
      </c>
      <c r="AT55" s="35" t="str">
        <f aca="false">IF(OR($AE55="",$AF55="",$T55="",$AA55="",$F55=""),"",0.858*$AE55+0.601*$AF55+0.188*($T55-$I55/10)+0.161*($AA55-$R55/10)-0.131*$F55+4.5)</f>
        <v/>
      </c>
      <c r="AU55" s="35" t="str">
        <f aca="false">IF(OR($E55="",$F55=""),"",IF($F55/$E55^(1/3)&gt;=40.75,0.732*($F55/$E55^(1/3))-28.58,IF($F55/$E55^(1/3)&gt;=38.25,0.463*($F55/$E55^(1/3))-17.63,0.1)))</f>
        <v/>
      </c>
      <c r="AV55" s="37" t="str">
        <f aca="false">IF(OR($AS55="",$AT55="",$AU55=""),"",IF(AND($AT55&gt;=$AS55,$AT55&gt;=$AU55),"Mesomorfo dominante",IF(AND($AU55&gt;=$AS55,$AU55&gt;=$AT55),"Ectomorfo dominante","Endomorfo dominante")))</f>
        <v/>
      </c>
    </row>
    <row r="56" customFormat="false" ht="15" hidden="false" customHeight="false" outlineLevel="0" collapsed="false">
      <c r="A56" s="29"/>
      <c r="B56" s="27"/>
      <c r="C56" s="28"/>
      <c r="D56" s="27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3" t="str">
        <f aca="false">IFERROR(DATEDIF(INDEX(Cadastro!$D$8:$D$47,MATCH($B56,Cadastro!$B$8:$B$47,0)),$A56,"Y"),"")</f>
        <v/>
      </c>
      <c r="AH56" s="33" t="str">
        <f aca="false">IF(COUNT($I56,$K56,$J56,$N56)&lt;4,"",$I56+$K56+$J56+$N56)</f>
        <v/>
      </c>
      <c r="AI56" s="33" t="str">
        <f aca="false">IF(COUNT($L56,$M56,$I56,$J56,$P56,$N56,$Q56)&lt;7,"",$L56+$M56+$I56+$J56+$P56+$N56+$Q56)</f>
        <v/>
      </c>
      <c r="AJ56" s="33" t="str">
        <f aca="false">IF(COUNT($I56,$J56,$K56,$O56,$P56,$Q56,$R56,$N56)&lt;8,"",$I56+$J56+$K56+$O56+$P56+$Q56+$R56+$N56)</f>
        <v/>
      </c>
      <c r="AK56" s="34" t="str">
        <f aca="false">IF(OR($AI56="",$AG56=""),"",IF(IFERROR(INDEX(Cadastro!$F$8:$F$47,MATCH($B56,Cadastro!$B$8:$B$47,0)),"")="Feminino",1.097-0.00046971*$AI56+0.00000056*$AI56^2-0.00012828*$AG56,1.112-0.00043499*$AI56+0.00000055*$AI56^2-0.00028826*$AG56))</f>
        <v/>
      </c>
      <c r="AL56" s="30" t="str">
        <f aca="false">IF(OR($AK56="",$AK56=0),"",495/$AK56-450)</f>
        <v/>
      </c>
      <c r="AM56" s="35" t="str">
        <f aca="false">IF(OR($AL56="",$E56=""),"",$E56*$AL56/100)</f>
        <v/>
      </c>
      <c r="AN56" s="30" t="str">
        <f aca="false">IF(OR($AM56="",$E56=""),"",$E56-$AM56)</f>
        <v/>
      </c>
      <c r="AO56" s="35" t="str">
        <f aca="false">IFERROR($E56/($F56/100)^2,"")</f>
        <v/>
      </c>
      <c r="AP56" s="35" t="str">
        <f aca="false">IFERROR($G56/$F56*100,"")</f>
        <v/>
      </c>
      <c r="AQ56" s="36" t="str">
        <f aca="false">IFERROR($W56/$F56,"")</f>
        <v/>
      </c>
      <c r="AR56" s="35" t="str">
        <f aca="false">IF(OR($S56="",$I56=""),"",($S56-PI()*$I56/10)^2/(4*PI())-IF(IFERROR(INDEX(Cadastro!$F$8:$F$47,MATCH($B56,Cadastro!$B$8:$B$47,0)),"")="Feminino",6.5,10))</f>
        <v/>
      </c>
      <c r="AS56" s="35" t="str">
        <f aca="false">IF(OR($I56="",$J56="",$O56="",$F56=""),"",-0.7182+0.1451*(($I56+$J56+$O56)*(170.18/$F56))-0.00068*(($I56+$J56+$O56)*(170.18/$F56))^2+0.0000014*(($I56+$J56+$O56)*(170.18/$F56))^3)</f>
        <v/>
      </c>
      <c r="AT56" s="35" t="str">
        <f aca="false">IF(OR($AE56="",$AF56="",$T56="",$AA56="",$F56=""),"",0.858*$AE56+0.601*$AF56+0.188*($T56-$I56/10)+0.161*($AA56-$R56/10)-0.131*$F56+4.5)</f>
        <v/>
      </c>
      <c r="AU56" s="35" t="str">
        <f aca="false">IF(OR($E56="",$F56=""),"",IF($F56/$E56^(1/3)&gt;=40.75,0.732*($F56/$E56^(1/3))-28.58,IF($F56/$E56^(1/3)&gt;=38.25,0.463*($F56/$E56^(1/3))-17.63,0.1)))</f>
        <v/>
      </c>
      <c r="AV56" s="37" t="str">
        <f aca="false">IF(OR($AS56="",$AT56="",$AU56=""),"",IF(AND($AT56&gt;=$AS56,$AT56&gt;=$AU56),"Mesomorfo dominante",IF(AND($AU56&gt;=$AS56,$AU56&gt;=$AT56),"Ectomorfo dominante","Endomorfo dominante")))</f>
        <v/>
      </c>
    </row>
    <row r="57" customFormat="false" ht="15" hidden="false" customHeight="false" outlineLevel="0" collapsed="false">
      <c r="A57" s="29"/>
      <c r="B57" s="27"/>
      <c r="C57" s="28"/>
      <c r="D57" s="27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3" t="str">
        <f aca="false">IFERROR(DATEDIF(INDEX(Cadastro!$D$8:$D$47,MATCH($B57,Cadastro!$B$8:$B$47,0)),$A57,"Y"),"")</f>
        <v/>
      </c>
      <c r="AH57" s="33" t="str">
        <f aca="false">IF(COUNT($I57,$K57,$J57,$N57)&lt;4,"",$I57+$K57+$J57+$N57)</f>
        <v/>
      </c>
      <c r="AI57" s="33" t="str">
        <f aca="false">IF(COUNT($L57,$M57,$I57,$J57,$P57,$N57,$Q57)&lt;7,"",$L57+$M57+$I57+$J57+$P57+$N57+$Q57)</f>
        <v/>
      </c>
      <c r="AJ57" s="33" t="str">
        <f aca="false">IF(COUNT($I57,$J57,$K57,$O57,$P57,$Q57,$R57,$N57)&lt;8,"",$I57+$J57+$K57+$O57+$P57+$Q57+$R57+$N57)</f>
        <v/>
      </c>
      <c r="AK57" s="34" t="str">
        <f aca="false">IF(OR($AI57="",$AG57=""),"",IF(IFERROR(INDEX(Cadastro!$F$8:$F$47,MATCH($B57,Cadastro!$B$8:$B$47,0)),"")="Feminino",1.097-0.00046971*$AI57+0.00000056*$AI57^2-0.00012828*$AG57,1.112-0.00043499*$AI57+0.00000055*$AI57^2-0.00028826*$AG57))</f>
        <v/>
      </c>
      <c r="AL57" s="30" t="str">
        <f aca="false">IF(OR($AK57="",$AK57=0),"",495/$AK57-450)</f>
        <v/>
      </c>
      <c r="AM57" s="35" t="str">
        <f aca="false">IF(OR($AL57="",$E57=""),"",$E57*$AL57/100)</f>
        <v/>
      </c>
      <c r="AN57" s="30" t="str">
        <f aca="false">IF(OR($AM57="",$E57=""),"",$E57-$AM57)</f>
        <v/>
      </c>
      <c r="AO57" s="35" t="str">
        <f aca="false">IFERROR($E57/($F57/100)^2,"")</f>
        <v/>
      </c>
      <c r="AP57" s="35" t="str">
        <f aca="false">IFERROR($G57/$F57*100,"")</f>
        <v/>
      </c>
      <c r="AQ57" s="36" t="str">
        <f aca="false">IFERROR($W57/$F57,"")</f>
        <v/>
      </c>
      <c r="AR57" s="35" t="str">
        <f aca="false">IF(OR($S57="",$I57=""),"",($S57-PI()*$I57/10)^2/(4*PI())-IF(IFERROR(INDEX(Cadastro!$F$8:$F$47,MATCH($B57,Cadastro!$B$8:$B$47,0)),"")="Feminino",6.5,10))</f>
        <v/>
      </c>
      <c r="AS57" s="35" t="str">
        <f aca="false">IF(OR($I57="",$J57="",$O57="",$F57=""),"",-0.7182+0.1451*(($I57+$J57+$O57)*(170.18/$F57))-0.00068*(($I57+$J57+$O57)*(170.18/$F57))^2+0.0000014*(($I57+$J57+$O57)*(170.18/$F57))^3)</f>
        <v/>
      </c>
      <c r="AT57" s="35" t="str">
        <f aca="false">IF(OR($AE57="",$AF57="",$T57="",$AA57="",$F57=""),"",0.858*$AE57+0.601*$AF57+0.188*($T57-$I57/10)+0.161*($AA57-$R57/10)-0.131*$F57+4.5)</f>
        <v/>
      </c>
      <c r="AU57" s="35" t="str">
        <f aca="false">IF(OR($E57="",$F57=""),"",IF($F57/$E57^(1/3)&gt;=40.75,0.732*($F57/$E57^(1/3))-28.58,IF($F57/$E57^(1/3)&gt;=38.25,0.463*($F57/$E57^(1/3))-17.63,0.1)))</f>
        <v/>
      </c>
      <c r="AV57" s="37" t="str">
        <f aca="false">IF(OR($AS57="",$AT57="",$AU57=""),"",IF(AND($AT57&gt;=$AS57,$AT57&gt;=$AU57),"Mesomorfo dominante",IF(AND($AU57&gt;=$AS57,$AU57&gt;=$AT57),"Ectomorfo dominante","Endomorfo dominante")))</f>
        <v/>
      </c>
    </row>
    <row r="58" customFormat="false" ht="15" hidden="false" customHeight="false" outlineLevel="0" collapsed="false">
      <c r="A58" s="29"/>
      <c r="B58" s="27"/>
      <c r="C58" s="28"/>
      <c r="D58" s="27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3" t="str">
        <f aca="false">IFERROR(DATEDIF(INDEX(Cadastro!$D$8:$D$47,MATCH($B58,Cadastro!$B$8:$B$47,0)),$A58,"Y"),"")</f>
        <v/>
      </c>
      <c r="AH58" s="33" t="str">
        <f aca="false">IF(COUNT($I58,$K58,$J58,$N58)&lt;4,"",$I58+$K58+$J58+$N58)</f>
        <v/>
      </c>
      <c r="AI58" s="33" t="str">
        <f aca="false">IF(COUNT($L58,$M58,$I58,$J58,$P58,$N58,$Q58)&lt;7,"",$L58+$M58+$I58+$J58+$P58+$N58+$Q58)</f>
        <v/>
      </c>
      <c r="AJ58" s="33" t="str">
        <f aca="false">IF(COUNT($I58,$J58,$K58,$O58,$P58,$Q58,$R58,$N58)&lt;8,"",$I58+$J58+$K58+$O58+$P58+$Q58+$R58+$N58)</f>
        <v/>
      </c>
      <c r="AK58" s="34" t="str">
        <f aca="false">IF(OR($AI58="",$AG58=""),"",IF(IFERROR(INDEX(Cadastro!$F$8:$F$47,MATCH($B58,Cadastro!$B$8:$B$47,0)),"")="Feminino",1.097-0.00046971*$AI58+0.00000056*$AI58^2-0.00012828*$AG58,1.112-0.00043499*$AI58+0.00000055*$AI58^2-0.00028826*$AG58))</f>
        <v/>
      </c>
      <c r="AL58" s="30" t="str">
        <f aca="false">IF(OR($AK58="",$AK58=0),"",495/$AK58-450)</f>
        <v/>
      </c>
      <c r="AM58" s="35" t="str">
        <f aca="false">IF(OR($AL58="",$E58=""),"",$E58*$AL58/100)</f>
        <v/>
      </c>
      <c r="AN58" s="30" t="str">
        <f aca="false">IF(OR($AM58="",$E58=""),"",$E58-$AM58)</f>
        <v/>
      </c>
      <c r="AO58" s="35" t="str">
        <f aca="false">IFERROR($E58/($F58/100)^2,"")</f>
        <v/>
      </c>
      <c r="AP58" s="35" t="str">
        <f aca="false">IFERROR($G58/$F58*100,"")</f>
        <v/>
      </c>
      <c r="AQ58" s="36" t="str">
        <f aca="false">IFERROR($W58/$F58,"")</f>
        <v/>
      </c>
      <c r="AR58" s="35" t="str">
        <f aca="false">IF(OR($S58="",$I58=""),"",($S58-PI()*$I58/10)^2/(4*PI())-IF(IFERROR(INDEX(Cadastro!$F$8:$F$47,MATCH($B58,Cadastro!$B$8:$B$47,0)),"")="Feminino",6.5,10))</f>
        <v/>
      </c>
      <c r="AS58" s="35" t="str">
        <f aca="false">IF(OR($I58="",$J58="",$O58="",$F58=""),"",-0.7182+0.1451*(($I58+$J58+$O58)*(170.18/$F58))-0.00068*(($I58+$J58+$O58)*(170.18/$F58))^2+0.0000014*(($I58+$J58+$O58)*(170.18/$F58))^3)</f>
        <v/>
      </c>
      <c r="AT58" s="35" t="str">
        <f aca="false">IF(OR($AE58="",$AF58="",$T58="",$AA58="",$F58=""),"",0.858*$AE58+0.601*$AF58+0.188*($T58-$I58/10)+0.161*($AA58-$R58/10)-0.131*$F58+4.5)</f>
        <v/>
      </c>
      <c r="AU58" s="35" t="str">
        <f aca="false">IF(OR($E58="",$F58=""),"",IF($F58/$E58^(1/3)&gt;=40.75,0.732*($F58/$E58^(1/3))-28.58,IF($F58/$E58^(1/3)&gt;=38.25,0.463*($F58/$E58^(1/3))-17.63,0.1)))</f>
        <v/>
      </c>
      <c r="AV58" s="37" t="str">
        <f aca="false">IF(OR($AS58="",$AT58="",$AU58=""),"",IF(AND($AT58&gt;=$AS58,$AT58&gt;=$AU58),"Mesomorfo dominante",IF(AND($AU58&gt;=$AS58,$AU58&gt;=$AT58),"Ectomorfo dominante","Endomorfo dominante")))</f>
        <v/>
      </c>
    </row>
    <row r="59" customFormat="false" ht="15" hidden="false" customHeight="false" outlineLevel="0" collapsed="false">
      <c r="A59" s="29"/>
      <c r="B59" s="27"/>
      <c r="C59" s="28"/>
      <c r="D59" s="27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3" t="str">
        <f aca="false">IFERROR(DATEDIF(INDEX(Cadastro!$D$8:$D$47,MATCH($B59,Cadastro!$B$8:$B$47,0)),$A59,"Y"),"")</f>
        <v/>
      </c>
      <c r="AH59" s="33" t="str">
        <f aca="false">IF(COUNT($I59,$K59,$J59,$N59)&lt;4,"",$I59+$K59+$J59+$N59)</f>
        <v/>
      </c>
      <c r="AI59" s="33" t="str">
        <f aca="false">IF(COUNT($L59,$M59,$I59,$J59,$P59,$N59,$Q59)&lt;7,"",$L59+$M59+$I59+$J59+$P59+$N59+$Q59)</f>
        <v/>
      </c>
      <c r="AJ59" s="33" t="str">
        <f aca="false">IF(COUNT($I59,$J59,$K59,$O59,$P59,$Q59,$R59,$N59)&lt;8,"",$I59+$J59+$K59+$O59+$P59+$Q59+$R59+$N59)</f>
        <v/>
      </c>
      <c r="AK59" s="34" t="str">
        <f aca="false">IF(OR($AI59="",$AG59=""),"",IF(IFERROR(INDEX(Cadastro!$F$8:$F$47,MATCH($B59,Cadastro!$B$8:$B$47,0)),"")="Feminino",1.097-0.00046971*$AI59+0.00000056*$AI59^2-0.00012828*$AG59,1.112-0.00043499*$AI59+0.00000055*$AI59^2-0.00028826*$AG59))</f>
        <v/>
      </c>
      <c r="AL59" s="30" t="str">
        <f aca="false">IF(OR($AK59="",$AK59=0),"",495/$AK59-450)</f>
        <v/>
      </c>
      <c r="AM59" s="35" t="str">
        <f aca="false">IF(OR($AL59="",$E59=""),"",$E59*$AL59/100)</f>
        <v/>
      </c>
      <c r="AN59" s="30" t="str">
        <f aca="false">IF(OR($AM59="",$E59=""),"",$E59-$AM59)</f>
        <v/>
      </c>
      <c r="AO59" s="35" t="str">
        <f aca="false">IFERROR($E59/($F59/100)^2,"")</f>
        <v/>
      </c>
      <c r="AP59" s="35" t="str">
        <f aca="false">IFERROR($G59/$F59*100,"")</f>
        <v/>
      </c>
      <c r="AQ59" s="36" t="str">
        <f aca="false">IFERROR($W59/$F59,"")</f>
        <v/>
      </c>
      <c r="AR59" s="35" t="str">
        <f aca="false">IF(OR($S59="",$I59=""),"",($S59-PI()*$I59/10)^2/(4*PI())-IF(IFERROR(INDEX(Cadastro!$F$8:$F$47,MATCH($B59,Cadastro!$B$8:$B$47,0)),"")="Feminino",6.5,10))</f>
        <v/>
      </c>
      <c r="AS59" s="35" t="str">
        <f aca="false">IF(OR($I59="",$J59="",$O59="",$F59=""),"",-0.7182+0.1451*(($I59+$J59+$O59)*(170.18/$F59))-0.00068*(($I59+$J59+$O59)*(170.18/$F59))^2+0.0000014*(($I59+$J59+$O59)*(170.18/$F59))^3)</f>
        <v/>
      </c>
      <c r="AT59" s="35" t="str">
        <f aca="false">IF(OR($AE59="",$AF59="",$T59="",$AA59="",$F59=""),"",0.858*$AE59+0.601*$AF59+0.188*($T59-$I59/10)+0.161*($AA59-$R59/10)-0.131*$F59+4.5)</f>
        <v/>
      </c>
      <c r="AU59" s="35" t="str">
        <f aca="false">IF(OR($E59="",$F59=""),"",IF($F59/$E59^(1/3)&gt;=40.75,0.732*($F59/$E59^(1/3))-28.58,IF($F59/$E59^(1/3)&gt;=38.25,0.463*($F59/$E59^(1/3))-17.63,0.1)))</f>
        <v/>
      </c>
      <c r="AV59" s="37" t="str">
        <f aca="false">IF(OR($AS59="",$AT59="",$AU59=""),"",IF(AND($AT59&gt;=$AS59,$AT59&gt;=$AU59),"Mesomorfo dominante",IF(AND($AU59&gt;=$AS59,$AU59&gt;=$AT59),"Ectomorfo dominante","Endomorfo dominante")))</f>
        <v/>
      </c>
    </row>
    <row r="60" customFormat="false" ht="15" hidden="false" customHeight="false" outlineLevel="0" collapsed="false">
      <c r="A60" s="29"/>
      <c r="B60" s="27"/>
      <c r="C60" s="28"/>
      <c r="D60" s="27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3" t="str">
        <f aca="false">IFERROR(DATEDIF(INDEX(Cadastro!$D$8:$D$47,MATCH($B60,Cadastro!$B$8:$B$47,0)),$A60,"Y"),"")</f>
        <v/>
      </c>
      <c r="AH60" s="33" t="str">
        <f aca="false">IF(COUNT($I60,$K60,$J60,$N60)&lt;4,"",$I60+$K60+$J60+$N60)</f>
        <v/>
      </c>
      <c r="AI60" s="33" t="str">
        <f aca="false">IF(COUNT($L60,$M60,$I60,$J60,$P60,$N60,$Q60)&lt;7,"",$L60+$M60+$I60+$J60+$P60+$N60+$Q60)</f>
        <v/>
      </c>
      <c r="AJ60" s="33" t="str">
        <f aca="false">IF(COUNT($I60,$J60,$K60,$O60,$P60,$Q60,$R60,$N60)&lt;8,"",$I60+$J60+$K60+$O60+$P60+$Q60+$R60+$N60)</f>
        <v/>
      </c>
      <c r="AK60" s="34" t="str">
        <f aca="false">IF(OR($AI60="",$AG60=""),"",IF(IFERROR(INDEX(Cadastro!$F$8:$F$47,MATCH($B60,Cadastro!$B$8:$B$47,0)),"")="Feminino",1.097-0.00046971*$AI60+0.00000056*$AI60^2-0.00012828*$AG60,1.112-0.00043499*$AI60+0.00000055*$AI60^2-0.00028826*$AG60))</f>
        <v/>
      </c>
      <c r="AL60" s="30" t="str">
        <f aca="false">IF(OR($AK60="",$AK60=0),"",495/$AK60-450)</f>
        <v/>
      </c>
      <c r="AM60" s="35" t="str">
        <f aca="false">IF(OR($AL60="",$E60=""),"",$E60*$AL60/100)</f>
        <v/>
      </c>
      <c r="AN60" s="30" t="str">
        <f aca="false">IF(OR($AM60="",$E60=""),"",$E60-$AM60)</f>
        <v/>
      </c>
      <c r="AO60" s="35" t="str">
        <f aca="false">IFERROR($E60/($F60/100)^2,"")</f>
        <v/>
      </c>
      <c r="AP60" s="35" t="str">
        <f aca="false">IFERROR($G60/$F60*100,"")</f>
        <v/>
      </c>
      <c r="AQ60" s="36" t="str">
        <f aca="false">IFERROR($W60/$F60,"")</f>
        <v/>
      </c>
      <c r="AR60" s="35" t="str">
        <f aca="false">IF(OR($S60="",$I60=""),"",($S60-PI()*$I60/10)^2/(4*PI())-IF(IFERROR(INDEX(Cadastro!$F$8:$F$47,MATCH($B60,Cadastro!$B$8:$B$47,0)),"")="Feminino",6.5,10))</f>
        <v/>
      </c>
      <c r="AS60" s="35" t="str">
        <f aca="false">IF(OR($I60="",$J60="",$O60="",$F60=""),"",-0.7182+0.1451*(($I60+$J60+$O60)*(170.18/$F60))-0.00068*(($I60+$J60+$O60)*(170.18/$F60))^2+0.0000014*(($I60+$J60+$O60)*(170.18/$F60))^3)</f>
        <v/>
      </c>
      <c r="AT60" s="35" t="str">
        <f aca="false">IF(OR($AE60="",$AF60="",$T60="",$AA60="",$F60=""),"",0.858*$AE60+0.601*$AF60+0.188*($T60-$I60/10)+0.161*($AA60-$R60/10)-0.131*$F60+4.5)</f>
        <v/>
      </c>
      <c r="AU60" s="35" t="str">
        <f aca="false">IF(OR($E60="",$F60=""),"",IF($F60/$E60^(1/3)&gt;=40.75,0.732*($F60/$E60^(1/3))-28.58,IF($F60/$E60^(1/3)&gt;=38.25,0.463*($F60/$E60^(1/3))-17.63,0.1)))</f>
        <v/>
      </c>
      <c r="AV60" s="37" t="str">
        <f aca="false">IF(OR($AS60="",$AT60="",$AU60=""),"",IF(AND($AT60&gt;=$AS60,$AT60&gt;=$AU60),"Mesomorfo dominante",IF(AND($AU60&gt;=$AS60,$AU60&gt;=$AT60),"Ectomorfo dominante","Endomorfo dominante")))</f>
        <v/>
      </c>
    </row>
    <row r="61" customFormat="false" ht="15" hidden="false" customHeight="false" outlineLevel="0" collapsed="false">
      <c r="A61" s="29"/>
      <c r="B61" s="27"/>
      <c r="C61" s="28"/>
      <c r="D61" s="27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3" t="str">
        <f aca="false">IFERROR(DATEDIF(INDEX(Cadastro!$D$8:$D$47,MATCH($B61,Cadastro!$B$8:$B$47,0)),$A61,"Y"),"")</f>
        <v/>
      </c>
      <c r="AH61" s="33" t="str">
        <f aca="false">IF(COUNT($I61,$K61,$J61,$N61)&lt;4,"",$I61+$K61+$J61+$N61)</f>
        <v/>
      </c>
      <c r="AI61" s="33" t="str">
        <f aca="false">IF(COUNT($L61,$M61,$I61,$J61,$P61,$N61,$Q61)&lt;7,"",$L61+$M61+$I61+$J61+$P61+$N61+$Q61)</f>
        <v/>
      </c>
      <c r="AJ61" s="33" t="str">
        <f aca="false">IF(COUNT($I61,$J61,$K61,$O61,$P61,$Q61,$R61,$N61)&lt;8,"",$I61+$J61+$K61+$O61+$P61+$Q61+$R61+$N61)</f>
        <v/>
      </c>
      <c r="AK61" s="34" t="str">
        <f aca="false">IF(OR($AI61="",$AG61=""),"",IF(IFERROR(INDEX(Cadastro!$F$8:$F$47,MATCH($B61,Cadastro!$B$8:$B$47,0)),"")="Feminino",1.097-0.00046971*$AI61+0.00000056*$AI61^2-0.00012828*$AG61,1.112-0.00043499*$AI61+0.00000055*$AI61^2-0.00028826*$AG61))</f>
        <v/>
      </c>
      <c r="AL61" s="30" t="str">
        <f aca="false">IF(OR($AK61="",$AK61=0),"",495/$AK61-450)</f>
        <v/>
      </c>
      <c r="AM61" s="35" t="str">
        <f aca="false">IF(OR($AL61="",$E61=""),"",$E61*$AL61/100)</f>
        <v/>
      </c>
      <c r="AN61" s="30" t="str">
        <f aca="false">IF(OR($AM61="",$E61=""),"",$E61-$AM61)</f>
        <v/>
      </c>
      <c r="AO61" s="35" t="str">
        <f aca="false">IFERROR($E61/($F61/100)^2,"")</f>
        <v/>
      </c>
      <c r="AP61" s="35" t="str">
        <f aca="false">IFERROR($G61/$F61*100,"")</f>
        <v/>
      </c>
      <c r="AQ61" s="36" t="str">
        <f aca="false">IFERROR($W61/$F61,"")</f>
        <v/>
      </c>
      <c r="AR61" s="35" t="str">
        <f aca="false">IF(OR($S61="",$I61=""),"",($S61-PI()*$I61/10)^2/(4*PI())-IF(IFERROR(INDEX(Cadastro!$F$8:$F$47,MATCH($B61,Cadastro!$B$8:$B$47,0)),"")="Feminino",6.5,10))</f>
        <v/>
      </c>
      <c r="AS61" s="35" t="str">
        <f aca="false">IF(OR($I61="",$J61="",$O61="",$F61=""),"",-0.7182+0.1451*(($I61+$J61+$O61)*(170.18/$F61))-0.00068*(($I61+$J61+$O61)*(170.18/$F61))^2+0.0000014*(($I61+$J61+$O61)*(170.18/$F61))^3)</f>
        <v/>
      </c>
      <c r="AT61" s="35" t="str">
        <f aca="false">IF(OR($AE61="",$AF61="",$T61="",$AA61="",$F61=""),"",0.858*$AE61+0.601*$AF61+0.188*($T61-$I61/10)+0.161*($AA61-$R61/10)-0.131*$F61+4.5)</f>
        <v/>
      </c>
      <c r="AU61" s="35" t="str">
        <f aca="false">IF(OR($E61="",$F61=""),"",IF($F61/$E61^(1/3)&gt;=40.75,0.732*($F61/$E61^(1/3))-28.58,IF($F61/$E61^(1/3)&gt;=38.25,0.463*($F61/$E61^(1/3))-17.63,0.1)))</f>
        <v/>
      </c>
      <c r="AV61" s="37" t="str">
        <f aca="false">IF(OR($AS61="",$AT61="",$AU61=""),"",IF(AND($AT61&gt;=$AS61,$AT61&gt;=$AU61),"Mesomorfo dominante",IF(AND($AU61&gt;=$AS61,$AU61&gt;=$AT61),"Ectomorfo dominante","Endomorfo dominante")))</f>
        <v/>
      </c>
    </row>
    <row r="62" customFormat="false" ht="15" hidden="false" customHeight="false" outlineLevel="0" collapsed="false">
      <c r="A62" s="29"/>
      <c r="B62" s="27"/>
      <c r="C62" s="28"/>
      <c r="D62" s="27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3" t="str">
        <f aca="false">IFERROR(DATEDIF(INDEX(Cadastro!$D$8:$D$47,MATCH($B62,Cadastro!$B$8:$B$47,0)),$A62,"Y"),"")</f>
        <v/>
      </c>
      <c r="AH62" s="33" t="str">
        <f aca="false">IF(COUNT($I62,$K62,$J62,$N62)&lt;4,"",$I62+$K62+$J62+$N62)</f>
        <v/>
      </c>
      <c r="AI62" s="33" t="str">
        <f aca="false">IF(COUNT($L62,$M62,$I62,$J62,$P62,$N62,$Q62)&lt;7,"",$L62+$M62+$I62+$J62+$P62+$N62+$Q62)</f>
        <v/>
      </c>
      <c r="AJ62" s="33" t="str">
        <f aca="false">IF(COUNT($I62,$J62,$K62,$O62,$P62,$Q62,$R62,$N62)&lt;8,"",$I62+$J62+$K62+$O62+$P62+$Q62+$R62+$N62)</f>
        <v/>
      </c>
      <c r="AK62" s="34" t="str">
        <f aca="false">IF(OR($AI62="",$AG62=""),"",IF(IFERROR(INDEX(Cadastro!$F$8:$F$47,MATCH($B62,Cadastro!$B$8:$B$47,0)),"")="Feminino",1.097-0.00046971*$AI62+0.00000056*$AI62^2-0.00012828*$AG62,1.112-0.00043499*$AI62+0.00000055*$AI62^2-0.00028826*$AG62))</f>
        <v/>
      </c>
      <c r="AL62" s="30" t="str">
        <f aca="false">IF(OR($AK62="",$AK62=0),"",495/$AK62-450)</f>
        <v/>
      </c>
      <c r="AM62" s="35" t="str">
        <f aca="false">IF(OR($AL62="",$E62=""),"",$E62*$AL62/100)</f>
        <v/>
      </c>
      <c r="AN62" s="30" t="str">
        <f aca="false">IF(OR($AM62="",$E62=""),"",$E62-$AM62)</f>
        <v/>
      </c>
      <c r="AO62" s="35" t="str">
        <f aca="false">IFERROR($E62/($F62/100)^2,"")</f>
        <v/>
      </c>
      <c r="AP62" s="35" t="str">
        <f aca="false">IFERROR($G62/$F62*100,"")</f>
        <v/>
      </c>
      <c r="AQ62" s="36" t="str">
        <f aca="false">IFERROR($W62/$F62,"")</f>
        <v/>
      </c>
      <c r="AR62" s="35" t="str">
        <f aca="false">IF(OR($S62="",$I62=""),"",($S62-PI()*$I62/10)^2/(4*PI())-IF(IFERROR(INDEX(Cadastro!$F$8:$F$47,MATCH($B62,Cadastro!$B$8:$B$47,0)),"")="Feminino",6.5,10))</f>
        <v/>
      </c>
      <c r="AS62" s="35" t="str">
        <f aca="false">IF(OR($I62="",$J62="",$O62="",$F62=""),"",-0.7182+0.1451*(($I62+$J62+$O62)*(170.18/$F62))-0.00068*(($I62+$J62+$O62)*(170.18/$F62))^2+0.0000014*(($I62+$J62+$O62)*(170.18/$F62))^3)</f>
        <v/>
      </c>
      <c r="AT62" s="35" t="str">
        <f aca="false">IF(OR($AE62="",$AF62="",$T62="",$AA62="",$F62=""),"",0.858*$AE62+0.601*$AF62+0.188*($T62-$I62/10)+0.161*($AA62-$R62/10)-0.131*$F62+4.5)</f>
        <v/>
      </c>
      <c r="AU62" s="35" t="str">
        <f aca="false">IF(OR($E62="",$F62=""),"",IF($F62/$E62^(1/3)&gt;=40.75,0.732*($F62/$E62^(1/3))-28.58,IF($F62/$E62^(1/3)&gt;=38.25,0.463*($F62/$E62^(1/3))-17.63,0.1)))</f>
        <v/>
      </c>
      <c r="AV62" s="37" t="str">
        <f aca="false">IF(OR($AS62="",$AT62="",$AU62=""),"",IF(AND($AT62&gt;=$AS62,$AT62&gt;=$AU62),"Mesomorfo dominante",IF(AND($AU62&gt;=$AS62,$AU62&gt;=$AT62),"Ectomorfo dominante","Endomorfo dominante")))</f>
        <v/>
      </c>
    </row>
    <row r="63" customFormat="false" ht="15" hidden="false" customHeight="false" outlineLevel="0" collapsed="false">
      <c r="A63" s="29"/>
      <c r="B63" s="27"/>
      <c r="C63" s="28"/>
      <c r="D63" s="27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3" t="str">
        <f aca="false">IFERROR(DATEDIF(INDEX(Cadastro!$D$8:$D$47,MATCH($B63,Cadastro!$B$8:$B$47,0)),$A63,"Y"),"")</f>
        <v/>
      </c>
      <c r="AH63" s="33" t="str">
        <f aca="false">IF(COUNT($I63,$K63,$J63,$N63)&lt;4,"",$I63+$K63+$J63+$N63)</f>
        <v/>
      </c>
      <c r="AI63" s="33" t="str">
        <f aca="false">IF(COUNT($L63,$M63,$I63,$J63,$P63,$N63,$Q63)&lt;7,"",$L63+$M63+$I63+$J63+$P63+$N63+$Q63)</f>
        <v/>
      </c>
      <c r="AJ63" s="33" t="str">
        <f aca="false">IF(COUNT($I63,$J63,$K63,$O63,$P63,$Q63,$R63,$N63)&lt;8,"",$I63+$J63+$K63+$O63+$P63+$Q63+$R63+$N63)</f>
        <v/>
      </c>
      <c r="AK63" s="34" t="str">
        <f aca="false">IF(OR($AI63="",$AG63=""),"",IF(IFERROR(INDEX(Cadastro!$F$8:$F$47,MATCH($B63,Cadastro!$B$8:$B$47,0)),"")="Feminino",1.097-0.00046971*$AI63+0.00000056*$AI63^2-0.00012828*$AG63,1.112-0.00043499*$AI63+0.00000055*$AI63^2-0.00028826*$AG63))</f>
        <v/>
      </c>
      <c r="AL63" s="30" t="str">
        <f aca="false">IF(OR($AK63="",$AK63=0),"",495/$AK63-450)</f>
        <v/>
      </c>
      <c r="AM63" s="35" t="str">
        <f aca="false">IF(OR($AL63="",$E63=""),"",$E63*$AL63/100)</f>
        <v/>
      </c>
      <c r="AN63" s="30" t="str">
        <f aca="false">IF(OR($AM63="",$E63=""),"",$E63-$AM63)</f>
        <v/>
      </c>
      <c r="AO63" s="35" t="str">
        <f aca="false">IFERROR($E63/($F63/100)^2,"")</f>
        <v/>
      </c>
      <c r="AP63" s="35" t="str">
        <f aca="false">IFERROR($G63/$F63*100,"")</f>
        <v/>
      </c>
      <c r="AQ63" s="36" t="str">
        <f aca="false">IFERROR($W63/$F63,"")</f>
        <v/>
      </c>
      <c r="AR63" s="35" t="str">
        <f aca="false">IF(OR($S63="",$I63=""),"",($S63-PI()*$I63/10)^2/(4*PI())-IF(IFERROR(INDEX(Cadastro!$F$8:$F$47,MATCH($B63,Cadastro!$B$8:$B$47,0)),"")="Feminino",6.5,10))</f>
        <v/>
      </c>
      <c r="AS63" s="35" t="str">
        <f aca="false">IF(OR($I63="",$J63="",$O63="",$F63=""),"",-0.7182+0.1451*(($I63+$J63+$O63)*(170.18/$F63))-0.00068*(($I63+$J63+$O63)*(170.18/$F63))^2+0.0000014*(($I63+$J63+$O63)*(170.18/$F63))^3)</f>
        <v/>
      </c>
      <c r="AT63" s="35" t="str">
        <f aca="false">IF(OR($AE63="",$AF63="",$T63="",$AA63="",$F63=""),"",0.858*$AE63+0.601*$AF63+0.188*($T63-$I63/10)+0.161*($AA63-$R63/10)-0.131*$F63+4.5)</f>
        <v/>
      </c>
      <c r="AU63" s="35" t="str">
        <f aca="false">IF(OR($E63="",$F63=""),"",IF($F63/$E63^(1/3)&gt;=40.75,0.732*($F63/$E63^(1/3))-28.58,IF($F63/$E63^(1/3)&gt;=38.25,0.463*($F63/$E63^(1/3))-17.63,0.1)))</f>
        <v/>
      </c>
      <c r="AV63" s="37" t="str">
        <f aca="false">IF(OR($AS63="",$AT63="",$AU63=""),"",IF(AND($AT63&gt;=$AS63,$AT63&gt;=$AU63),"Mesomorfo dominante",IF(AND($AU63&gt;=$AS63,$AU63&gt;=$AT63),"Ectomorfo dominante","Endomorfo dominante")))</f>
        <v/>
      </c>
    </row>
    <row r="64" customFormat="false" ht="15" hidden="false" customHeight="false" outlineLevel="0" collapsed="false">
      <c r="A64" s="29"/>
      <c r="B64" s="27"/>
      <c r="C64" s="28"/>
      <c r="D64" s="27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3" t="str">
        <f aca="false">IFERROR(DATEDIF(INDEX(Cadastro!$D$8:$D$47,MATCH($B64,Cadastro!$B$8:$B$47,0)),$A64,"Y"),"")</f>
        <v/>
      </c>
      <c r="AH64" s="33" t="str">
        <f aca="false">IF(COUNT($I64,$K64,$J64,$N64)&lt;4,"",$I64+$K64+$J64+$N64)</f>
        <v/>
      </c>
      <c r="AI64" s="33" t="str">
        <f aca="false">IF(COUNT($L64,$M64,$I64,$J64,$P64,$N64,$Q64)&lt;7,"",$L64+$M64+$I64+$J64+$P64+$N64+$Q64)</f>
        <v/>
      </c>
      <c r="AJ64" s="33" t="str">
        <f aca="false">IF(COUNT($I64,$J64,$K64,$O64,$P64,$Q64,$R64,$N64)&lt;8,"",$I64+$J64+$K64+$O64+$P64+$Q64+$R64+$N64)</f>
        <v/>
      </c>
      <c r="AK64" s="34" t="str">
        <f aca="false">IF(OR($AI64="",$AG64=""),"",IF(IFERROR(INDEX(Cadastro!$F$8:$F$47,MATCH($B64,Cadastro!$B$8:$B$47,0)),"")="Feminino",1.097-0.00046971*$AI64+0.00000056*$AI64^2-0.00012828*$AG64,1.112-0.00043499*$AI64+0.00000055*$AI64^2-0.00028826*$AG64))</f>
        <v/>
      </c>
      <c r="AL64" s="30" t="str">
        <f aca="false">IF(OR($AK64="",$AK64=0),"",495/$AK64-450)</f>
        <v/>
      </c>
      <c r="AM64" s="35" t="str">
        <f aca="false">IF(OR($AL64="",$E64=""),"",$E64*$AL64/100)</f>
        <v/>
      </c>
      <c r="AN64" s="30" t="str">
        <f aca="false">IF(OR($AM64="",$E64=""),"",$E64-$AM64)</f>
        <v/>
      </c>
      <c r="AO64" s="35" t="str">
        <f aca="false">IFERROR($E64/($F64/100)^2,"")</f>
        <v/>
      </c>
      <c r="AP64" s="35" t="str">
        <f aca="false">IFERROR($G64/$F64*100,"")</f>
        <v/>
      </c>
      <c r="AQ64" s="36" t="str">
        <f aca="false">IFERROR($W64/$F64,"")</f>
        <v/>
      </c>
      <c r="AR64" s="35" t="str">
        <f aca="false">IF(OR($S64="",$I64=""),"",($S64-PI()*$I64/10)^2/(4*PI())-IF(IFERROR(INDEX(Cadastro!$F$8:$F$47,MATCH($B64,Cadastro!$B$8:$B$47,0)),"")="Feminino",6.5,10))</f>
        <v/>
      </c>
      <c r="AS64" s="35" t="str">
        <f aca="false">IF(OR($I64="",$J64="",$O64="",$F64=""),"",-0.7182+0.1451*(($I64+$J64+$O64)*(170.18/$F64))-0.00068*(($I64+$J64+$O64)*(170.18/$F64))^2+0.0000014*(($I64+$J64+$O64)*(170.18/$F64))^3)</f>
        <v/>
      </c>
      <c r="AT64" s="35" t="str">
        <f aca="false">IF(OR($AE64="",$AF64="",$T64="",$AA64="",$F64=""),"",0.858*$AE64+0.601*$AF64+0.188*($T64-$I64/10)+0.161*($AA64-$R64/10)-0.131*$F64+4.5)</f>
        <v/>
      </c>
      <c r="AU64" s="35" t="str">
        <f aca="false">IF(OR($E64="",$F64=""),"",IF($F64/$E64^(1/3)&gt;=40.75,0.732*($F64/$E64^(1/3))-28.58,IF($F64/$E64^(1/3)&gt;=38.25,0.463*($F64/$E64^(1/3))-17.63,0.1)))</f>
        <v/>
      </c>
      <c r="AV64" s="37" t="str">
        <f aca="false">IF(OR($AS64="",$AT64="",$AU64=""),"",IF(AND($AT64&gt;=$AS64,$AT64&gt;=$AU64),"Mesomorfo dominante",IF(AND($AU64&gt;=$AS64,$AU64&gt;=$AT64),"Ectomorfo dominante","Endomorfo dominante")))</f>
        <v/>
      </c>
    </row>
    <row r="65" customFormat="false" ht="15" hidden="false" customHeight="false" outlineLevel="0" collapsed="false">
      <c r="A65" s="29"/>
      <c r="B65" s="27"/>
      <c r="C65" s="28"/>
      <c r="D65" s="27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3" t="str">
        <f aca="false">IFERROR(DATEDIF(INDEX(Cadastro!$D$8:$D$47,MATCH($B65,Cadastro!$B$8:$B$47,0)),$A65,"Y"),"")</f>
        <v/>
      </c>
      <c r="AH65" s="33" t="str">
        <f aca="false">IF(COUNT($I65,$K65,$J65,$N65)&lt;4,"",$I65+$K65+$J65+$N65)</f>
        <v/>
      </c>
      <c r="AI65" s="33" t="str">
        <f aca="false">IF(COUNT($L65,$M65,$I65,$J65,$P65,$N65,$Q65)&lt;7,"",$L65+$M65+$I65+$J65+$P65+$N65+$Q65)</f>
        <v/>
      </c>
      <c r="AJ65" s="33" t="str">
        <f aca="false">IF(COUNT($I65,$J65,$K65,$O65,$P65,$Q65,$R65,$N65)&lt;8,"",$I65+$J65+$K65+$O65+$P65+$Q65+$R65+$N65)</f>
        <v/>
      </c>
      <c r="AK65" s="34" t="str">
        <f aca="false">IF(OR($AI65="",$AG65=""),"",IF(IFERROR(INDEX(Cadastro!$F$8:$F$47,MATCH($B65,Cadastro!$B$8:$B$47,0)),"")="Feminino",1.097-0.00046971*$AI65+0.00000056*$AI65^2-0.00012828*$AG65,1.112-0.00043499*$AI65+0.00000055*$AI65^2-0.00028826*$AG65))</f>
        <v/>
      </c>
      <c r="AL65" s="30" t="str">
        <f aca="false">IF(OR($AK65="",$AK65=0),"",495/$AK65-450)</f>
        <v/>
      </c>
      <c r="AM65" s="35" t="str">
        <f aca="false">IF(OR($AL65="",$E65=""),"",$E65*$AL65/100)</f>
        <v/>
      </c>
      <c r="AN65" s="30" t="str">
        <f aca="false">IF(OR($AM65="",$E65=""),"",$E65-$AM65)</f>
        <v/>
      </c>
      <c r="AO65" s="35" t="str">
        <f aca="false">IFERROR($E65/($F65/100)^2,"")</f>
        <v/>
      </c>
      <c r="AP65" s="35" t="str">
        <f aca="false">IFERROR($G65/$F65*100,"")</f>
        <v/>
      </c>
      <c r="AQ65" s="36" t="str">
        <f aca="false">IFERROR($W65/$F65,"")</f>
        <v/>
      </c>
      <c r="AR65" s="35" t="str">
        <f aca="false">IF(OR($S65="",$I65=""),"",($S65-PI()*$I65/10)^2/(4*PI())-IF(IFERROR(INDEX(Cadastro!$F$8:$F$47,MATCH($B65,Cadastro!$B$8:$B$47,0)),"")="Feminino",6.5,10))</f>
        <v/>
      </c>
      <c r="AS65" s="35" t="str">
        <f aca="false">IF(OR($I65="",$J65="",$O65="",$F65=""),"",-0.7182+0.1451*(($I65+$J65+$O65)*(170.18/$F65))-0.00068*(($I65+$J65+$O65)*(170.18/$F65))^2+0.0000014*(($I65+$J65+$O65)*(170.18/$F65))^3)</f>
        <v/>
      </c>
      <c r="AT65" s="35" t="str">
        <f aca="false">IF(OR($AE65="",$AF65="",$T65="",$AA65="",$F65=""),"",0.858*$AE65+0.601*$AF65+0.188*($T65-$I65/10)+0.161*($AA65-$R65/10)-0.131*$F65+4.5)</f>
        <v/>
      </c>
      <c r="AU65" s="35" t="str">
        <f aca="false">IF(OR($E65="",$F65=""),"",IF($F65/$E65^(1/3)&gt;=40.75,0.732*($F65/$E65^(1/3))-28.58,IF($F65/$E65^(1/3)&gt;=38.25,0.463*($F65/$E65^(1/3))-17.63,0.1)))</f>
        <v/>
      </c>
      <c r="AV65" s="37" t="str">
        <f aca="false">IF(OR($AS65="",$AT65="",$AU65=""),"",IF(AND($AT65&gt;=$AS65,$AT65&gt;=$AU65),"Mesomorfo dominante",IF(AND($AU65&gt;=$AS65,$AU65&gt;=$AT65),"Ectomorfo dominante","Endomorfo dominante")))</f>
        <v/>
      </c>
    </row>
    <row r="66" customFormat="false" ht="15" hidden="false" customHeight="false" outlineLevel="0" collapsed="false">
      <c r="A66" s="29"/>
      <c r="B66" s="27"/>
      <c r="C66" s="28"/>
      <c r="D66" s="27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3" t="str">
        <f aca="false">IFERROR(DATEDIF(INDEX(Cadastro!$D$8:$D$47,MATCH($B66,Cadastro!$B$8:$B$47,0)),$A66,"Y"),"")</f>
        <v/>
      </c>
      <c r="AH66" s="33" t="str">
        <f aca="false">IF(COUNT($I66,$K66,$J66,$N66)&lt;4,"",$I66+$K66+$J66+$N66)</f>
        <v/>
      </c>
      <c r="AI66" s="33" t="str">
        <f aca="false">IF(COUNT($L66,$M66,$I66,$J66,$P66,$N66,$Q66)&lt;7,"",$L66+$M66+$I66+$J66+$P66+$N66+$Q66)</f>
        <v/>
      </c>
      <c r="AJ66" s="33" t="str">
        <f aca="false">IF(COUNT($I66,$J66,$K66,$O66,$P66,$Q66,$R66,$N66)&lt;8,"",$I66+$J66+$K66+$O66+$P66+$Q66+$R66+$N66)</f>
        <v/>
      </c>
      <c r="AK66" s="34" t="str">
        <f aca="false">IF(OR($AI66="",$AG66=""),"",IF(IFERROR(INDEX(Cadastro!$F$8:$F$47,MATCH($B66,Cadastro!$B$8:$B$47,0)),"")="Feminino",1.097-0.00046971*$AI66+0.00000056*$AI66^2-0.00012828*$AG66,1.112-0.00043499*$AI66+0.00000055*$AI66^2-0.00028826*$AG66))</f>
        <v/>
      </c>
      <c r="AL66" s="30" t="str">
        <f aca="false">IF(OR($AK66="",$AK66=0),"",495/$AK66-450)</f>
        <v/>
      </c>
      <c r="AM66" s="35" t="str">
        <f aca="false">IF(OR($AL66="",$E66=""),"",$E66*$AL66/100)</f>
        <v/>
      </c>
      <c r="AN66" s="30" t="str">
        <f aca="false">IF(OR($AM66="",$E66=""),"",$E66-$AM66)</f>
        <v/>
      </c>
      <c r="AO66" s="35" t="str">
        <f aca="false">IFERROR($E66/($F66/100)^2,"")</f>
        <v/>
      </c>
      <c r="AP66" s="35" t="str">
        <f aca="false">IFERROR($G66/$F66*100,"")</f>
        <v/>
      </c>
      <c r="AQ66" s="36" t="str">
        <f aca="false">IFERROR($W66/$F66,"")</f>
        <v/>
      </c>
      <c r="AR66" s="35" t="str">
        <f aca="false">IF(OR($S66="",$I66=""),"",($S66-PI()*$I66/10)^2/(4*PI())-IF(IFERROR(INDEX(Cadastro!$F$8:$F$47,MATCH($B66,Cadastro!$B$8:$B$47,0)),"")="Feminino",6.5,10))</f>
        <v/>
      </c>
      <c r="AS66" s="35" t="str">
        <f aca="false">IF(OR($I66="",$J66="",$O66="",$F66=""),"",-0.7182+0.1451*(($I66+$J66+$O66)*(170.18/$F66))-0.00068*(($I66+$J66+$O66)*(170.18/$F66))^2+0.0000014*(($I66+$J66+$O66)*(170.18/$F66))^3)</f>
        <v/>
      </c>
      <c r="AT66" s="35" t="str">
        <f aca="false">IF(OR($AE66="",$AF66="",$T66="",$AA66="",$F66=""),"",0.858*$AE66+0.601*$AF66+0.188*($T66-$I66/10)+0.161*($AA66-$R66/10)-0.131*$F66+4.5)</f>
        <v/>
      </c>
      <c r="AU66" s="35" t="str">
        <f aca="false">IF(OR($E66="",$F66=""),"",IF($F66/$E66^(1/3)&gt;=40.75,0.732*($F66/$E66^(1/3))-28.58,IF($F66/$E66^(1/3)&gt;=38.25,0.463*($F66/$E66^(1/3))-17.63,0.1)))</f>
        <v/>
      </c>
      <c r="AV66" s="37" t="str">
        <f aca="false">IF(OR($AS66="",$AT66="",$AU66=""),"",IF(AND($AT66&gt;=$AS66,$AT66&gt;=$AU66),"Mesomorfo dominante",IF(AND($AU66&gt;=$AS66,$AU66&gt;=$AT66),"Ectomorfo dominante","Endomorfo dominante")))</f>
        <v/>
      </c>
    </row>
    <row r="67" customFormat="false" ht="15" hidden="false" customHeight="false" outlineLevel="0" collapsed="false">
      <c r="A67" s="29"/>
      <c r="B67" s="27"/>
      <c r="C67" s="28"/>
      <c r="D67" s="27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3" t="str">
        <f aca="false">IFERROR(DATEDIF(INDEX(Cadastro!$D$8:$D$47,MATCH($B67,Cadastro!$B$8:$B$47,0)),$A67,"Y"),"")</f>
        <v/>
      </c>
      <c r="AH67" s="33" t="str">
        <f aca="false">IF(COUNT($I67,$K67,$J67,$N67)&lt;4,"",$I67+$K67+$J67+$N67)</f>
        <v/>
      </c>
      <c r="AI67" s="33" t="str">
        <f aca="false">IF(COUNT($L67,$M67,$I67,$J67,$P67,$N67,$Q67)&lt;7,"",$L67+$M67+$I67+$J67+$P67+$N67+$Q67)</f>
        <v/>
      </c>
      <c r="AJ67" s="33" t="str">
        <f aca="false">IF(COUNT($I67,$J67,$K67,$O67,$P67,$Q67,$R67,$N67)&lt;8,"",$I67+$J67+$K67+$O67+$P67+$Q67+$R67+$N67)</f>
        <v/>
      </c>
      <c r="AK67" s="34" t="str">
        <f aca="false">IF(OR($AI67="",$AG67=""),"",IF(IFERROR(INDEX(Cadastro!$F$8:$F$47,MATCH($B67,Cadastro!$B$8:$B$47,0)),"")="Feminino",1.097-0.00046971*$AI67+0.00000056*$AI67^2-0.00012828*$AG67,1.112-0.00043499*$AI67+0.00000055*$AI67^2-0.00028826*$AG67))</f>
        <v/>
      </c>
      <c r="AL67" s="30" t="str">
        <f aca="false">IF(OR($AK67="",$AK67=0),"",495/$AK67-450)</f>
        <v/>
      </c>
      <c r="AM67" s="35" t="str">
        <f aca="false">IF(OR($AL67="",$E67=""),"",$E67*$AL67/100)</f>
        <v/>
      </c>
      <c r="AN67" s="30" t="str">
        <f aca="false">IF(OR($AM67="",$E67=""),"",$E67-$AM67)</f>
        <v/>
      </c>
      <c r="AO67" s="35" t="str">
        <f aca="false">IFERROR($E67/($F67/100)^2,"")</f>
        <v/>
      </c>
      <c r="AP67" s="35" t="str">
        <f aca="false">IFERROR($G67/$F67*100,"")</f>
        <v/>
      </c>
      <c r="AQ67" s="36" t="str">
        <f aca="false">IFERROR($W67/$F67,"")</f>
        <v/>
      </c>
      <c r="AR67" s="35" t="str">
        <f aca="false">IF(OR($S67="",$I67=""),"",($S67-PI()*$I67/10)^2/(4*PI())-IF(IFERROR(INDEX(Cadastro!$F$8:$F$47,MATCH($B67,Cadastro!$B$8:$B$47,0)),"")="Feminino",6.5,10))</f>
        <v/>
      </c>
      <c r="AS67" s="35" t="str">
        <f aca="false">IF(OR($I67="",$J67="",$O67="",$F67=""),"",-0.7182+0.1451*(($I67+$J67+$O67)*(170.18/$F67))-0.00068*(($I67+$J67+$O67)*(170.18/$F67))^2+0.0000014*(($I67+$J67+$O67)*(170.18/$F67))^3)</f>
        <v/>
      </c>
      <c r="AT67" s="35" t="str">
        <f aca="false">IF(OR($AE67="",$AF67="",$T67="",$AA67="",$F67=""),"",0.858*$AE67+0.601*$AF67+0.188*($T67-$I67/10)+0.161*($AA67-$R67/10)-0.131*$F67+4.5)</f>
        <v/>
      </c>
      <c r="AU67" s="35" t="str">
        <f aca="false">IF(OR($E67="",$F67=""),"",IF($F67/$E67^(1/3)&gt;=40.75,0.732*($F67/$E67^(1/3))-28.58,IF($F67/$E67^(1/3)&gt;=38.25,0.463*($F67/$E67^(1/3))-17.63,0.1)))</f>
        <v/>
      </c>
      <c r="AV67" s="37" t="str">
        <f aca="false">IF(OR($AS67="",$AT67="",$AU67=""),"",IF(AND($AT67&gt;=$AS67,$AT67&gt;=$AU67),"Mesomorfo dominante",IF(AND($AU67&gt;=$AS67,$AU67&gt;=$AT67),"Ectomorfo dominante","Endomorfo dominante")))</f>
        <v/>
      </c>
    </row>
    <row r="68" customFormat="false" ht="15" hidden="false" customHeight="false" outlineLevel="0" collapsed="false">
      <c r="A68" s="29"/>
      <c r="B68" s="27"/>
      <c r="C68" s="28"/>
      <c r="D68" s="27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3" t="str">
        <f aca="false">IFERROR(DATEDIF(INDEX(Cadastro!$D$8:$D$47,MATCH($B68,Cadastro!$B$8:$B$47,0)),$A68,"Y"),"")</f>
        <v/>
      </c>
      <c r="AH68" s="33" t="str">
        <f aca="false">IF(COUNT($I68,$K68,$J68,$N68)&lt;4,"",$I68+$K68+$J68+$N68)</f>
        <v/>
      </c>
      <c r="AI68" s="33" t="str">
        <f aca="false">IF(COUNT($L68,$M68,$I68,$J68,$P68,$N68,$Q68)&lt;7,"",$L68+$M68+$I68+$J68+$P68+$N68+$Q68)</f>
        <v/>
      </c>
      <c r="AJ68" s="33" t="str">
        <f aca="false">IF(COUNT($I68,$J68,$K68,$O68,$P68,$Q68,$R68,$N68)&lt;8,"",$I68+$J68+$K68+$O68+$P68+$Q68+$R68+$N68)</f>
        <v/>
      </c>
      <c r="AK68" s="34" t="str">
        <f aca="false">IF(OR($AI68="",$AG68=""),"",IF(IFERROR(INDEX(Cadastro!$F$8:$F$47,MATCH($B68,Cadastro!$B$8:$B$47,0)),"")="Feminino",1.097-0.00046971*$AI68+0.00000056*$AI68^2-0.00012828*$AG68,1.112-0.00043499*$AI68+0.00000055*$AI68^2-0.00028826*$AG68))</f>
        <v/>
      </c>
      <c r="AL68" s="30" t="str">
        <f aca="false">IF(OR($AK68="",$AK68=0),"",495/$AK68-450)</f>
        <v/>
      </c>
      <c r="AM68" s="35" t="str">
        <f aca="false">IF(OR($AL68="",$E68=""),"",$E68*$AL68/100)</f>
        <v/>
      </c>
      <c r="AN68" s="30" t="str">
        <f aca="false">IF(OR($AM68="",$E68=""),"",$E68-$AM68)</f>
        <v/>
      </c>
      <c r="AO68" s="35" t="str">
        <f aca="false">IFERROR($E68/($F68/100)^2,"")</f>
        <v/>
      </c>
      <c r="AP68" s="35" t="str">
        <f aca="false">IFERROR($G68/$F68*100,"")</f>
        <v/>
      </c>
      <c r="AQ68" s="36" t="str">
        <f aca="false">IFERROR($W68/$F68,"")</f>
        <v/>
      </c>
      <c r="AR68" s="35" t="str">
        <f aca="false">IF(OR($S68="",$I68=""),"",($S68-PI()*$I68/10)^2/(4*PI())-IF(IFERROR(INDEX(Cadastro!$F$8:$F$47,MATCH($B68,Cadastro!$B$8:$B$47,0)),"")="Feminino",6.5,10))</f>
        <v/>
      </c>
      <c r="AS68" s="35" t="str">
        <f aca="false">IF(OR($I68="",$J68="",$O68="",$F68=""),"",-0.7182+0.1451*(($I68+$J68+$O68)*(170.18/$F68))-0.00068*(($I68+$J68+$O68)*(170.18/$F68))^2+0.0000014*(($I68+$J68+$O68)*(170.18/$F68))^3)</f>
        <v/>
      </c>
      <c r="AT68" s="35" t="str">
        <f aca="false">IF(OR($AE68="",$AF68="",$T68="",$AA68="",$F68=""),"",0.858*$AE68+0.601*$AF68+0.188*($T68-$I68/10)+0.161*($AA68-$R68/10)-0.131*$F68+4.5)</f>
        <v/>
      </c>
      <c r="AU68" s="35" t="str">
        <f aca="false">IF(OR($E68="",$F68=""),"",IF($F68/$E68^(1/3)&gt;=40.75,0.732*($F68/$E68^(1/3))-28.58,IF($F68/$E68^(1/3)&gt;=38.25,0.463*($F68/$E68^(1/3))-17.63,0.1)))</f>
        <v/>
      </c>
      <c r="AV68" s="37" t="str">
        <f aca="false">IF(OR($AS68="",$AT68="",$AU68=""),"",IF(AND($AT68&gt;=$AS68,$AT68&gt;=$AU68),"Mesomorfo dominante",IF(AND($AU68&gt;=$AS68,$AU68&gt;=$AT68),"Ectomorfo dominante","Endomorfo dominante")))</f>
        <v/>
      </c>
    </row>
    <row r="69" customFormat="false" ht="15" hidden="false" customHeight="false" outlineLevel="0" collapsed="false">
      <c r="A69" s="29"/>
      <c r="B69" s="27"/>
      <c r="C69" s="28"/>
      <c r="D69" s="27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3" t="str">
        <f aca="false">IFERROR(DATEDIF(INDEX(Cadastro!$D$8:$D$47,MATCH($B69,Cadastro!$B$8:$B$47,0)),$A69,"Y"),"")</f>
        <v/>
      </c>
      <c r="AH69" s="33" t="str">
        <f aca="false">IF(COUNT($I69,$K69,$J69,$N69)&lt;4,"",$I69+$K69+$J69+$N69)</f>
        <v/>
      </c>
      <c r="AI69" s="33" t="str">
        <f aca="false">IF(COUNT($L69,$M69,$I69,$J69,$P69,$N69,$Q69)&lt;7,"",$L69+$M69+$I69+$J69+$P69+$N69+$Q69)</f>
        <v/>
      </c>
      <c r="AJ69" s="33" t="str">
        <f aca="false">IF(COUNT($I69,$J69,$K69,$O69,$P69,$Q69,$R69,$N69)&lt;8,"",$I69+$J69+$K69+$O69+$P69+$Q69+$R69+$N69)</f>
        <v/>
      </c>
      <c r="AK69" s="34" t="str">
        <f aca="false">IF(OR($AI69="",$AG69=""),"",IF(IFERROR(INDEX(Cadastro!$F$8:$F$47,MATCH($B69,Cadastro!$B$8:$B$47,0)),"")="Feminino",1.097-0.00046971*$AI69+0.00000056*$AI69^2-0.00012828*$AG69,1.112-0.00043499*$AI69+0.00000055*$AI69^2-0.00028826*$AG69))</f>
        <v/>
      </c>
      <c r="AL69" s="30" t="str">
        <f aca="false">IF(OR($AK69="",$AK69=0),"",495/$AK69-450)</f>
        <v/>
      </c>
      <c r="AM69" s="35" t="str">
        <f aca="false">IF(OR($AL69="",$E69=""),"",$E69*$AL69/100)</f>
        <v/>
      </c>
      <c r="AN69" s="30" t="str">
        <f aca="false">IF(OR($AM69="",$E69=""),"",$E69-$AM69)</f>
        <v/>
      </c>
      <c r="AO69" s="35" t="str">
        <f aca="false">IFERROR($E69/($F69/100)^2,"")</f>
        <v/>
      </c>
      <c r="AP69" s="35" t="str">
        <f aca="false">IFERROR($G69/$F69*100,"")</f>
        <v/>
      </c>
      <c r="AQ69" s="36" t="str">
        <f aca="false">IFERROR($W69/$F69,"")</f>
        <v/>
      </c>
      <c r="AR69" s="35" t="str">
        <f aca="false">IF(OR($S69="",$I69=""),"",($S69-PI()*$I69/10)^2/(4*PI())-IF(IFERROR(INDEX(Cadastro!$F$8:$F$47,MATCH($B69,Cadastro!$B$8:$B$47,0)),"")="Feminino",6.5,10))</f>
        <v/>
      </c>
      <c r="AS69" s="35" t="str">
        <f aca="false">IF(OR($I69="",$J69="",$O69="",$F69=""),"",-0.7182+0.1451*(($I69+$J69+$O69)*(170.18/$F69))-0.00068*(($I69+$J69+$O69)*(170.18/$F69))^2+0.0000014*(($I69+$J69+$O69)*(170.18/$F69))^3)</f>
        <v/>
      </c>
      <c r="AT69" s="35" t="str">
        <f aca="false">IF(OR($AE69="",$AF69="",$T69="",$AA69="",$F69=""),"",0.858*$AE69+0.601*$AF69+0.188*($T69-$I69/10)+0.161*($AA69-$R69/10)-0.131*$F69+4.5)</f>
        <v/>
      </c>
      <c r="AU69" s="35" t="str">
        <f aca="false">IF(OR($E69="",$F69=""),"",IF($F69/$E69^(1/3)&gt;=40.75,0.732*($F69/$E69^(1/3))-28.58,IF($F69/$E69^(1/3)&gt;=38.25,0.463*($F69/$E69^(1/3))-17.63,0.1)))</f>
        <v/>
      </c>
      <c r="AV69" s="37" t="str">
        <f aca="false">IF(OR($AS69="",$AT69="",$AU69=""),"",IF(AND($AT69&gt;=$AS69,$AT69&gt;=$AU69),"Mesomorfo dominante",IF(AND($AU69&gt;=$AS69,$AU69&gt;=$AT69),"Ectomorfo dominante","Endomorfo dominante")))</f>
        <v/>
      </c>
    </row>
    <row r="70" customFormat="false" ht="15" hidden="false" customHeight="false" outlineLevel="0" collapsed="false">
      <c r="A70" s="29"/>
      <c r="B70" s="27"/>
      <c r="C70" s="28"/>
      <c r="D70" s="27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3" t="str">
        <f aca="false">IFERROR(DATEDIF(INDEX(Cadastro!$D$8:$D$47,MATCH($B70,Cadastro!$B$8:$B$47,0)),$A70,"Y"),"")</f>
        <v/>
      </c>
      <c r="AH70" s="33" t="str">
        <f aca="false">IF(COUNT($I70,$K70,$J70,$N70)&lt;4,"",$I70+$K70+$J70+$N70)</f>
        <v/>
      </c>
      <c r="AI70" s="33" t="str">
        <f aca="false">IF(COUNT($L70,$M70,$I70,$J70,$P70,$N70,$Q70)&lt;7,"",$L70+$M70+$I70+$J70+$P70+$N70+$Q70)</f>
        <v/>
      </c>
      <c r="AJ70" s="33" t="str">
        <f aca="false">IF(COUNT($I70,$J70,$K70,$O70,$P70,$Q70,$R70,$N70)&lt;8,"",$I70+$J70+$K70+$O70+$P70+$Q70+$R70+$N70)</f>
        <v/>
      </c>
      <c r="AK70" s="34" t="str">
        <f aca="false">IF(OR($AI70="",$AG70=""),"",IF(IFERROR(INDEX(Cadastro!$F$8:$F$47,MATCH($B70,Cadastro!$B$8:$B$47,0)),"")="Feminino",1.097-0.00046971*$AI70+0.00000056*$AI70^2-0.00012828*$AG70,1.112-0.00043499*$AI70+0.00000055*$AI70^2-0.00028826*$AG70))</f>
        <v/>
      </c>
      <c r="AL70" s="30" t="str">
        <f aca="false">IF(OR($AK70="",$AK70=0),"",495/$AK70-450)</f>
        <v/>
      </c>
      <c r="AM70" s="35" t="str">
        <f aca="false">IF(OR($AL70="",$E70=""),"",$E70*$AL70/100)</f>
        <v/>
      </c>
      <c r="AN70" s="30" t="str">
        <f aca="false">IF(OR($AM70="",$E70=""),"",$E70-$AM70)</f>
        <v/>
      </c>
      <c r="AO70" s="35" t="str">
        <f aca="false">IFERROR($E70/($F70/100)^2,"")</f>
        <v/>
      </c>
      <c r="AP70" s="35" t="str">
        <f aca="false">IFERROR($G70/$F70*100,"")</f>
        <v/>
      </c>
      <c r="AQ70" s="36" t="str">
        <f aca="false">IFERROR($W70/$F70,"")</f>
        <v/>
      </c>
      <c r="AR70" s="35" t="str">
        <f aca="false">IF(OR($S70="",$I70=""),"",($S70-PI()*$I70/10)^2/(4*PI())-IF(IFERROR(INDEX(Cadastro!$F$8:$F$47,MATCH($B70,Cadastro!$B$8:$B$47,0)),"")="Feminino",6.5,10))</f>
        <v/>
      </c>
      <c r="AS70" s="35" t="str">
        <f aca="false">IF(OR($I70="",$J70="",$O70="",$F70=""),"",-0.7182+0.1451*(($I70+$J70+$O70)*(170.18/$F70))-0.00068*(($I70+$J70+$O70)*(170.18/$F70))^2+0.0000014*(($I70+$J70+$O70)*(170.18/$F70))^3)</f>
        <v/>
      </c>
      <c r="AT70" s="35" t="str">
        <f aca="false">IF(OR($AE70="",$AF70="",$T70="",$AA70="",$F70=""),"",0.858*$AE70+0.601*$AF70+0.188*($T70-$I70/10)+0.161*($AA70-$R70/10)-0.131*$F70+4.5)</f>
        <v/>
      </c>
      <c r="AU70" s="35" t="str">
        <f aca="false">IF(OR($E70="",$F70=""),"",IF($F70/$E70^(1/3)&gt;=40.75,0.732*($F70/$E70^(1/3))-28.58,IF($F70/$E70^(1/3)&gt;=38.25,0.463*($F70/$E70^(1/3))-17.63,0.1)))</f>
        <v/>
      </c>
      <c r="AV70" s="37" t="str">
        <f aca="false">IF(OR($AS70="",$AT70="",$AU70=""),"",IF(AND($AT70&gt;=$AS70,$AT70&gt;=$AU70),"Mesomorfo dominante",IF(AND($AU70&gt;=$AS70,$AU70&gt;=$AT70),"Ectomorfo dominante","Endomorfo dominante")))</f>
        <v/>
      </c>
    </row>
    <row r="71" customFormat="false" ht="15" hidden="false" customHeight="false" outlineLevel="0" collapsed="false">
      <c r="A71" s="29"/>
      <c r="B71" s="27"/>
      <c r="C71" s="28"/>
      <c r="D71" s="27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3" t="str">
        <f aca="false">IFERROR(DATEDIF(INDEX(Cadastro!$D$8:$D$47,MATCH($B71,Cadastro!$B$8:$B$47,0)),$A71,"Y"),"")</f>
        <v/>
      </c>
      <c r="AH71" s="33" t="str">
        <f aca="false">IF(COUNT($I71,$K71,$J71,$N71)&lt;4,"",$I71+$K71+$J71+$N71)</f>
        <v/>
      </c>
      <c r="AI71" s="33" t="str">
        <f aca="false">IF(COUNT($L71,$M71,$I71,$J71,$P71,$N71,$Q71)&lt;7,"",$L71+$M71+$I71+$J71+$P71+$N71+$Q71)</f>
        <v/>
      </c>
      <c r="AJ71" s="33" t="str">
        <f aca="false">IF(COUNT($I71,$J71,$K71,$O71,$P71,$Q71,$R71,$N71)&lt;8,"",$I71+$J71+$K71+$O71+$P71+$Q71+$R71+$N71)</f>
        <v/>
      </c>
      <c r="AK71" s="34" t="str">
        <f aca="false">IF(OR($AI71="",$AG71=""),"",IF(IFERROR(INDEX(Cadastro!$F$8:$F$47,MATCH($B71,Cadastro!$B$8:$B$47,0)),"")="Feminino",1.097-0.00046971*$AI71+0.00000056*$AI71^2-0.00012828*$AG71,1.112-0.00043499*$AI71+0.00000055*$AI71^2-0.00028826*$AG71))</f>
        <v/>
      </c>
      <c r="AL71" s="30" t="str">
        <f aca="false">IF(OR($AK71="",$AK71=0),"",495/$AK71-450)</f>
        <v/>
      </c>
      <c r="AM71" s="35" t="str">
        <f aca="false">IF(OR($AL71="",$E71=""),"",$E71*$AL71/100)</f>
        <v/>
      </c>
      <c r="AN71" s="30" t="str">
        <f aca="false">IF(OR($AM71="",$E71=""),"",$E71-$AM71)</f>
        <v/>
      </c>
      <c r="AO71" s="35" t="str">
        <f aca="false">IFERROR($E71/($F71/100)^2,"")</f>
        <v/>
      </c>
      <c r="AP71" s="35" t="str">
        <f aca="false">IFERROR($G71/$F71*100,"")</f>
        <v/>
      </c>
      <c r="AQ71" s="36" t="str">
        <f aca="false">IFERROR($W71/$F71,"")</f>
        <v/>
      </c>
      <c r="AR71" s="35" t="str">
        <f aca="false">IF(OR($S71="",$I71=""),"",($S71-PI()*$I71/10)^2/(4*PI())-IF(IFERROR(INDEX(Cadastro!$F$8:$F$47,MATCH($B71,Cadastro!$B$8:$B$47,0)),"")="Feminino",6.5,10))</f>
        <v/>
      </c>
      <c r="AS71" s="35" t="str">
        <f aca="false">IF(OR($I71="",$J71="",$O71="",$F71=""),"",-0.7182+0.1451*(($I71+$J71+$O71)*(170.18/$F71))-0.00068*(($I71+$J71+$O71)*(170.18/$F71))^2+0.0000014*(($I71+$J71+$O71)*(170.18/$F71))^3)</f>
        <v/>
      </c>
      <c r="AT71" s="35" t="str">
        <f aca="false">IF(OR($AE71="",$AF71="",$T71="",$AA71="",$F71=""),"",0.858*$AE71+0.601*$AF71+0.188*($T71-$I71/10)+0.161*($AA71-$R71/10)-0.131*$F71+4.5)</f>
        <v/>
      </c>
      <c r="AU71" s="35" t="str">
        <f aca="false">IF(OR($E71="",$F71=""),"",IF($F71/$E71^(1/3)&gt;=40.75,0.732*($F71/$E71^(1/3))-28.58,IF($F71/$E71^(1/3)&gt;=38.25,0.463*($F71/$E71^(1/3))-17.63,0.1)))</f>
        <v/>
      </c>
      <c r="AV71" s="37" t="str">
        <f aca="false">IF(OR($AS71="",$AT71="",$AU71=""),"",IF(AND($AT71&gt;=$AS71,$AT71&gt;=$AU71),"Mesomorfo dominante",IF(AND($AU71&gt;=$AS71,$AU71&gt;=$AT71),"Ectomorfo dominante","Endomorfo dominante")))</f>
        <v/>
      </c>
    </row>
    <row r="72" customFormat="false" ht="15" hidden="false" customHeight="false" outlineLevel="0" collapsed="false">
      <c r="A72" s="29"/>
      <c r="B72" s="27"/>
      <c r="C72" s="28"/>
      <c r="D72" s="27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3" t="str">
        <f aca="false">IFERROR(DATEDIF(INDEX(Cadastro!$D$8:$D$47,MATCH($B72,Cadastro!$B$8:$B$47,0)),$A72,"Y"),"")</f>
        <v/>
      </c>
      <c r="AH72" s="33" t="str">
        <f aca="false">IF(COUNT($I72,$K72,$J72,$N72)&lt;4,"",$I72+$K72+$J72+$N72)</f>
        <v/>
      </c>
      <c r="AI72" s="33" t="str">
        <f aca="false">IF(COUNT($L72,$M72,$I72,$J72,$P72,$N72,$Q72)&lt;7,"",$L72+$M72+$I72+$J72+$P72+$N72+$Q72)</f>
        <v/>
      </c>
      <c r="AJ72" s="33" t="str">
        <f aca="false">IF(COUNT($I72,$J72,$K72,$O72,$P72,$Q72,$R72,$N72)&lt;8,"",$I72+$J72+$K72+$O72+$P72+$Q72+$R72+$N72)</f>
        <v/>
      </c>
      <c r="AK72" s="34" t="str">
        <f aca="false">IF(OR($AI72="",$AG72=""),"",IF(IFERROR(INDEX(Cadastro!$F$8:$F$47,MATCH($B72,Cadastro!$B$8:$B$47,0)),"")="Feminino",1.097-0.00046971*$AI72+0.00000056*$AI72^2-0.00012828*$AG72,1.112-0.00043499*$AI72+0.00000055*$AI72^2-0.00028826*$AG72))</f>
        <v/>
      </c>
      <c r="AL72" s="30" t="str">
        <f aca="false">IF(OR($AK72="",$AK72=0),"",495/$AK72-450)</f>
        <v/>
      </c>
      <c r="AM72" s="35" t="str">
        <f aca="false">IF(OR($AL72="",$E72=""),"",$E72*$AL72/100)</f>
        <v/>
      </c>
      <c r="AN72" s="30" t="str">
        <f aca="false">IF(OR($AM72="",$E72=""),"",$E72-$AM72)</f>
        <v/>
      </c>
      <c r="AO72" s="35" t="str">
        <f aca="false">IFERROR($E72/($F72/100)^2,"")</f>
        <v/>
      </c>
      <c r="AP72" s="35" t="str">
        <f aca="false">IFERROR($G72/$F72*100,"")</f>
        <v/>
      </c>
      <c r="AQ72" s="36" t="str">
        <f aca="false">IFERROR($W72/$F72,"")</f>
        <v/>
      </c>
      <c r="AR72" s="35" t="str">
        <f aca="false">IF(OR($S72="",$I72=""),"",($S72-PI()*$I72/10)^2/(4*PI())-IF(IFERROR(INDEX(Cadastro!$F$8:$F$47,MATCH($B72,Cadastro!$B$8:$B$47,0)),"")="Feminino",6.5,10))</f>
        <v/>
      </c>
      <c r="AS72" s="35" t="str">
        <f aca="false">IF(OR($I72="",$J72="",$O72="",$F72=""),"",-0.7182+0.1451*(($I72+$J72+$O72)*(170.18/$F72))-0.00068*(($I72+$J72+$O72)*(170.18/$F72))^2+0.0000014*(($I72+$J72+$O72)*(170.18/$F72))^3)</f>
        <v/>
      </c>
      <c r="AT72" s="35" t="str">
        <f aca="false">IF(OR($AE72="",$AF72="",$T72="",$AA72="",$F72=""),"",0.858*$AE72+0.601*$AF72+0.188*($T72-$I72/10)+0.161*($AA72-$R72/10)-0.131*$F72+4.5)</f>
        <v/>
      </c>
      <c r="AU72" s="35" t="str">
        <f aca="false">IF(OR($E72="",$F72=""),"",IF($F72/$E72^(1/3)&gt;=40.75,0.732*($F72/$E72^(1/3))-28.58,IF($F72/$E72^(1/3)&gt;=38.25,0.463*($F72/$E72^(1/3))-17.63,0.1)))</f>
        <v/>
      </c>
      <c r="AV72" s="37" t="str">
        <f aca="false">IF(OR($AS72="",$AT72="",$AU72=""),"",IF(AND($AT72&gt;=$AS72,$AT72&gt;=$AU72),"Mesomorfo dominante",IF(AND($AU72&gt;=$AS72,$AU72&gt;=$AT72),"Ectomorfo dominante","Endomorfo dominante")))</f>
        <v/>
      </c>
    </row>
    <row r="73" customFormat="false" ht="15" hidden="false" customHeight="false" outlineLevel="0" collapsed="false">
      <c r="A73" s="29"/>
      <c r="B73" s="27"/>
      <c r="C73" s="28"/>
      <c r="D73" s="27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3" t="str">
        <f aca="false">IFERROR(DATEDIF(INDEX(Cadastro!$D$8:$D$47,MATCH($B73,Cadastro!$B$8:$B$47,0)),$A73,"Y"),"")</f>
        <v/>
      </c>
      <c r="AH73" s="33" t="str">
        <f aca="false">IF(COUNT($I73,$K73,$J73,$N73)&lt;4,"",$I73+$K73+$J73+$N73)</f>
        <v/>
      </c>
      <c r="AI73" s="33" t="str">
        <f aca="false">IF(COUNT($L73,$M73,$I73,$J73,$P73,$N73,$Q73)&lt;7,"",$L73+$M73+$I73+$J73+$P73+$N73+$Q73)</f>
        <v/>
      </c>
      <c r="AJ73" s="33" t="str">
        <f aca="false">IF(COUNT($I73,$J73,$K73,$O73,$P73,$Q73,$R73,$N73)&lt;8,"",$I73+$J73+$K73+$O73+$P73+$Q73+$R73+$N73)</f>
        <v/>
      </c>
      <c r="AK73" s="34" t="str">
        <f aca="false">IF(OR($AI73="",$AG73=""),"",IF(IFERROR(INDEX(Cadastro!$F$8:$F$47,MATCH($B73,Cadastro!$B$8:$B$47,0)),"")="Feminino",1.097-0.00046971*$AI73+0.00000056*$AI73^2-0.00012828*$AG73,1.112-0.00043499*$AI73+0.00000055*$AI73^2-0.00028826*$AG73))</f>
        <v/>
      </c>
      <c r="AL73" s="30" t="str">
        <f aca="false">IF(OR($AK73="",$AK73=0),"",495/$AK73-450)</f>
        <v/>
      </c>
      <c r="AM73" s="35" t="str">
        <f aca="false">IF(OR($AL73="",$E73=""),"",$E73*$AL73/100)</f>
        <v/>
      </c>
      <c r="AN73" s="30" t="str">
        <f aca="false">IF(OR($AM73="",$E73=""),"",$E73-$AM73)</f>
        <v/>
      </c>
      <c r="AO73" s="35" t="str">
        <f aca="false">IFERROR($E73/($F73/100)^2,"")</f>
        <v/>
      </c>
      <c r="AP73" s="35" t="str">
        <f aca="false">IFERROR($G73/$F73*100,"")</f>
        <v/>
      </c>
      <c r="AQ73" s="36" t="str">
        <f aca="false">IFERROR($W73/$F73,"")</f>
        <v/>
      </c>
      <c r="AR73" s="35" t="str">
        <f aca="false">IF(OR($S73="",$I73=""),"",($S73-PI()*$I73/10)^2/(4*PI())-IF(IFERROR(INDEX(Cadastro!$F$8:$F$47,MATCH($B73,Cadastro!$B$8:$B$47,0)),"")="Feminino",6.5,10))</f>
        <v/>
      </c>
      <c r="AS73" s="35" t="str">
        <f aca="false">IF(OR($I73="",$J73="",$O73="",$F73=""),"",-0.7182+0.1451*(($I73+$J73+$O73)*(170.18/$F73))-0.00068*(($I73+$J73+$O73)*(170.18/$F73))^2+0.0000014*(($I73+$J73+$O73)*(170.18/$F73))^3)</f>
        <v/>
      </c>
      <c r="AT73" s="35" t="str">
        <f aca="false">IF(OR($AE73="",$AF73="",$T73="",$AA73="",$F73=""),"",0.858*$AE73+0.601*$AF73+0.188*($T73-$I73/10)+0.161*($AA73-$R73/10)-0.131*$F73+4.5)</f>
        <v/>
      </c>
      <c r="AU73" s="35" t="str">
        <f aca="false">IF(OR($E73="",$F73=""),"",IF($F73/$E73^(1/3)&gt;=40.75,0.732*($F73/$E73^(1/3))-28.58,IF($F73/$E73^(1/3)&gt;=38.25,0.463*($F73/$E73^(1/3))-17.63,0.1)))</f>
        <v/>
      </c>
      <c r="AV73" s="37" t="str">
        <f aca="false">IF(OR($AS73="",$AT73="",$AU73=""),"",IF(AND($AT73&gt;=$AS73,$AT73&gt;=$AU73),"Mesomorfo dominante",IF(AND($AU73&gt;=$AS73,$AU73&gt;=$AT73),"Ectomorfo dominante","Endomorfo dominante")))</f>
        <v/>
      </c>
    </row>
    <row r="74" customFormat="false" ht="15" hidden="false" customHeight="false" outlineLevel="0" collapsed="false">
      <c r="A74" s="29"/>
      <c r="B74" s="27"/>
      <c r="C74" s="28"/>
      <c r="D74" s="27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3" t="str">
        <f aca="false">IFERROR(DATEDIF(INDEX(Cadastro!$D$8:$D$47,MATCH($B74,Cadastro!$B$8:$B$47,0)),$A74,"Y"),"")</f>
        <v/>
      </c>
      <c r="AH74" s="33" t="str">
        <f aca="false">IF(COUNT($I74,$K74,$J74,$N74)&lt;4,"",$I74+$K74+$J74+$N74)</f>
        <v/>
      </c>
      <c r="AI74" s="33" t="str">
        <f aca="false">IF(COUNT($L74,$M74,$I74,$J74,$P74,$N74,$Q74)&lt;7,"",$L74+$M74+$I74+$J74+$P74+$N74+$Q74)</f>
        <v/>
      </c>
      <c r="AJ74" s="33" t="str">
        <f aca="false">IF(COUNT($I74,$J74,$K74,$O74,$P74,$Q74,$R74,$N74)&lt;8,"",$I74+$J74+$K74+$O74+$P74+$Q74+$R74+$N74)</f>
        <v/>
      </c>
      <c r="AK74" s="34" t="str">
        <f aca="false">IF(OR($AI74="",$AG74=""),"",IF(IFERROR(INDEX(Cadastro!$F$8:$F$47,MATCH($B74,Cadastro!$B$8:$B$47,0)),"")="Feminino",1.097-0.00046971*$AI74+0.00000056*$AI74^2-0.00012828*$AG74,1.112-0.00043499*$AI74+0.00000055*$AI74^2-0.00028826*$AG74))</f>
        <v/>
      </c>
      <c r="AL74" s="30" t="str">
        <f aca="false">IF(OR($AK74="",$AK74=0),"",495/$AK74-450)</f>
        <v/>
      </c>
      <c r="AM74" s="35" t="str">
        <f aca="false">IF(OR($AL74="",$E74=""),"",$E74*$AL74/100)</f>
        <v/>
      </c>
      <c r="AN74" s="30" t="str">
        <f aca="false">IF(OR($AM74="",$E74=""),"",$E74-$AM74)</f>
        <v/>
      </c>
      <c r="AO74" s="35" t="str">
        <f aca="false">IFERROR($E74/($F74/100)^2,"")</f>
        <v/>
      </c>
      <c r="AP74" s="35" t="str">
        <f aca="false">IFERROR($G74/$F74*100,"")</f>
        <v/>
      </c>
      <c r="AQ74" s="36" t="str">
        <f aca="false">IFERROR($W74/$F74,"")</f>
        <v/>
      </c>
      <c r="AR74" s="35" t="str">
        <f aca="false">IF(OR($S74="",$I74=""),"",($S74-PI()*$I74/10)^2/(4*PI())-IF(IFERROR(INDEX(Cadastro!$F$8:$F$47,MATCH($B74,Cadastro!$B$8:$B$47,0)),"")="Feminino",6.5,10))</f>
        <v/>
      </c>
      <c r="AS74" s="35" t="str">
        <f aca="false">IF(OR($I74="",$J74="",$O74="",$F74=""),"",-0.7182+0.1451*(($I74+$J74+$O74)*(170.18/$F74))-0.00068*(($I74+$J74+$O74)*(170.18/$F74))^2+0.0000014*(($I74+$J74+$O74)*(170.18/$F74))^3)</f>
        <v/>
      </c>
      <c r="AT74" s="35" t="str">
        <f aca="false">IF(OR($AE74="",$AF74="",$T74="",$AA74="",$F74=""),"",0.858*$AE74+0.601*$AF74+0.188*($T74-$I74/10)+0.161*($AA74-$R74/10)-0.131*$F74+4.5)</f>
        <v/>
      </c>
      <c r="AU74" s="35" t="str">
        <f aca="false">IF(OR($E74="",$F74=""),"",IF($F74/$E74^(1/3)&gt;=40.75,0.732*($F74/$E74^(1/3))-28.58,IF($F74/$E74^(1/3)&gt;=38.25,0.463*($F74/$E74^(1/3))-17.63,0.1)))</f>
        <v/>
      </c>
      <c r="AV74" s="37" t="str">
        <f aca="false">IF(OR($AS74="",$AT74="",$AU74=""),"",IF(AND($AT74&gt;=$AS74,$AT74&gt;=$AU74),"Mesomorfo dominante",IF(AND($AU74&gt;=$AS74,$AU74&gt;=$AT74),"Ectomorfo dominante","Endomorfo dominante")))</f>
        <v/>
      </c>
    </row>
    <row r="75" customFormat="false" ht="15" hidden="false" customHeight="false" outlineLevel="0" collapsed="false">
      <c r="A75" s="29"/>
      <c r="B75" s="27"/>
      <c r="C75" s="28"/>
      <c r="D75" s="27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3" t="str">
        <f aca="false">IFERROR(DATEDIF(INDEX(Cadastro!$D$8:$D$47,MATCH($B75,Cadastro!$B$8:$B$47,0)),$A75,"Y"),"")</f>
        <v/>
      </c>
      <c r="AH75" s="33" t="str">
        <f aca="false">IF(COUNT($I75,$K75,$J75,$N75)&lt;4,"",$I75+$K75+$J75+$N75)</f>
        <v/>
      </c>
      <c r="AI75" s="33" t="str">
        <f aca="false">IF(COUNT($L75,$M75,$I75,$J75,$P75,$N75,$Q75)&lt;7,"",$L75+$M75+$I75+$J75+$P75+$N75+$Q75)</f>
        <v/>
      </c>
      <c r="AJ75" s="33" t="str">
        <f aca="false">IF(COUNT($I75,$J75,$K75,$O75,$P75,$Q75,$R75,$N75)&lt;8,"",$I75+$J75+$K75+$O75+$P75+$Q75+$R75+$N75)</f>
        <v/>
      </c>
      <c r="AK75" s="34" t="str">
        <f aca="false">IF(OR($AI75="",$AG75=""),"",IF(IFERROR(INDEX(Cadastro!$F$8:$F$47,MATCH($B75,Cadastro!$B$8:$B$47,0)),"")="Feminino",1.097-0.00046971*$AI75+0.00000056*$AI75^2-0.00012828*$AG75,1.112-0.00043499*$AI75+0.00000055*$AI75^2-0.00028826*$AG75))</f>
        <v/>
      </c>
      <c r="AL75" s="30" t="str">
        <f aca="false">IF(OR($AK75="",$AK75=0),"",495/$AK75-450)</f>
        <v/>
      </c>
      <c r="AM75" s="35" t="str">
        <f aca="false">IF(OR($AL75="",$E75=""),"",$E75*$AL75/100)</f>
        <v/>
      </c>
      <c r="AN75" s="30" t="str">
        <f aca="false">IF(OR($AM75="",$E75=""),"",$E75-$AM75)</f>
        <v/>
      </c>
      <c r="AO75" s="35" t="str">
        <f aca="false">IFERROR($E75/($F75/100)^2,"")</f>
        <v/>
      </c>
      <c r="AP75" s="35" t="str">
        <f aca="false">IFERROR($G75/$F75*100,"")</f>
        <v/>
      </c>
      <c r="AQ75" s="36" t="str">
        <f aca="false">IFERROR($W75/$F75,"")</f>
        <v/>
      </c>
      <c r="AR75" s="35" t="str">
        <f aca="false">IF(OR($S75="",$I75=""),"",($S75-PI()*$I75/10)^2/(4*PI())-IF(IFERROR(INDEX(Cadastro!$F$8:$F$47,MATCH($B75,Cadastro!$B$8:$B$47,0)),"")="Feminino",6.5,10))</f>
        <v/>
      </c>
      <c r="AS75" s="35" t="str">
        <f aca="false">IF(OR($I75="",$J75="",$O75="",$F75=""),"",-0.7182+0.1451*(($I75+$J75+$O75)*(170.18/$F75))-0.00068*(($I75+$J75+$O75)*(170.18/$F75))^2+0.0000014*(($I75+$J75+$O75)*(170.18/$F75))^3)</f>
        <v/>
      </c>
      <c r="AT75" s="35" t="str">
        <f aca="false">IF(OR($AE75="",$AF75="",$T75="",$AA75="",$F75=""),"",0.858*$AE75+0.601*$AF75+0.188*($T75-$I75/10)+0.161*($AA75-$R75/10)-0.131*$F75+4.5)</f>
        <v/>
      </c>
      <c r="AU75" s="35" t="str">
        <f aca="false">IF(OR($E75="",$F75=""),"",IF($F75/$E75^(1/3)&gt;=40.75,0.732*($F75/$E75^(1/3))-28.58,IF($F75/$E75^(1/3)&gt;=38.25,0.463*($F75/$E75^(1/3))-17.63,0.1)))</f>
        <v/>
      </c>
      <c r="AV75" s="37" t="str">
        <f aca="false">IF(OR($AS75="",$AT75="",$AU75=""),"",IF(AND($AT75&gt;=$AS75,$AT75&gt;=$AU75),"Mesomorfo dominante",IF(AND($AU75&gt;=$AS75,$AU75&gt;=$AT75),"Ectomorfo dominante","Endomorfo dominante")))</f>
        <v/>
      </c>
    </row>
    <row r="76" customFormat="false" ht="15" hidden="false" customHeight="false" outlineLevel="0" collapsed="false">
      <c r="A76" s="29"/>
      <c r="B76" s="27"/>
      <c r="C76" s="28"/>
      <c r="D76" s="27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3" t="str">
        <f aca="false">IFERROR(DATEDIF(INDEX(Cadastro!$D$8:$D$47,MATCH($B76,Cadastro!$B$8:$B$47,0)),$A76,"Y"),"")</f>
        <v/>
      </c>
      <c r="AH76" s="33" t="str">
        <f aca="false">IF(COUNT($I76,$K76,$J76,$N76)&lt;4,"",$I76+$K76+$J76+$N76)</f>
        <v/>
      </c>
      <c r="AI76" s="33" t="str">
        <f aca="false">IF(COUNT($L76,$M76,$I76,$J76,$P76,$N76,$Q76)&lt;7,"",$L76+$M76+$I76+$J76+$P76+$N76+$Q76)</f>
        <v/>
      </c>
      <c r="AJ76" s="33" t="str">
        <f aca="false">IF(COUNT($I76,$J76,$K76,$O76,$P76,$Q76,$R76,$N76)&lt;8,"",$I76+$J76+$K76+$O76+$P76+$Q76+$R76+$N76)</f>
        <v/>
      </c>
      <c r="AK76" s="34" t="str">
        <f aca="false">IF(OR($AI76="",$AG76=""),"",IF(IFERROR(INDEX(Cadastro!$F$8:$F$47,MATCH($B76,Cadastro!$B$8:$B$47,0)),"")="Feminino",1.097-0.00046971*$AI76+0.00000056*$AI76^2-0.00012828*$AG76,1.112-0.00043499*$AI76+0.00000055*$AI76^2-0.00028826*$AG76))</f>
        <v/>
      </c>
      <c r="AL76" s="30" t="str">
        <f aca="false">IF(OR($AK76="",$AK76=0),"",495/$AK76-450)</f>
        <v/>
      </c>
      <c r="AM76" s="35" t="str">
        <f aca="false">IF(OR($AL76="",$E76=""),"",$E76*$AL76/100)</f>
        <v/>
      </c>
      <c r="AN76" s="30" t="str">
        <f aca="false">IF(OR($AM76="",$E76=""),"",$E76-$AM76)</f>
        <v/>
      </c>
      <c r="AO76" s="35" t="str">
        <f aca="false">IFERROR($E76/($F76/100)^2,"")</f>
        <v/>
      </c>
      <c r="AP76" s="35" t="str">
        <f aca="false">IFERROR($G76/$F76*100,"")</f>
        <v/>
      </c>
      <c r="AQ76" s="36" t="str">
        <f aca="false">IFERROR($W76/$F76,"")</f>
        <v/>
      </c>
      <c r="AR76" s="35" t="str">
        <f aca="false">IF(OR($S76="",$I76=""),"",($S76-PI()*$I76/10)^2/(4*PI())-IF(IFERROR(INDEX(Cadastro!$F$8:$F$47,MATCH($B76,Cadastro!$B$8:$B$47,0)),"")="Feminino",6.5,10))</f>
        <v/>
      </c>
      <c r="AS76" s="35" t="str">
        <f aca="false">IF(OR($I76="",$J76="",$O76="",$F76=""),"",-0.7182+0.1451*(($I76+$J76+$O76)*(170.18/$F76))-0.00068*(($I76+$J76+$O76)*(170.18/$F76))^2+0.0000014*(($I76+$J76+$O76)*(170.18/$F76))^3)</f>
        <v/>
      </c>
      <c r="AT76" s="35" t="str">
        <f aca="false">IF(OR($AE76="",$AF76="",$T76="",$AA76="",$F76=""),"",0.858*$AE76+0.601*$AF76+0.188*($T76-$I76/10)+0.161*($AA76-$R76/10)-0.131*$F76+4.5)</f>
        <v/>
      </c>
      <c r="AU76" s="35" t="str">
        <f aca="false">IF(OR($E76="",$F76=""),"",IF($F76/$E76^(1/3)&gt;=40.75,0.732*($F76/$E76^(1/3))-28.58,IF($F76/$E76^(1/3)&gt;=38.25,0.463*($F76/$E76^(1/3))-17.63,0.1)))</f>
        <v/>
      </c>
      <c r="AV76" s="37" t="str">
        <f aca="false">IF(OR($AS76="",$AT76="",$AU76=""),"",IF(AND($AT76&gt;=$AS76,$AT76&gt;=$AU76),"Mesomorfo dominante",IF(AND($AU76&gt;=$AS76,$AU76&gt;=$AT76),"Ectomorfo dominante","Endomorfo dominante")))</f>
        <v/>
      </c>
    </row>
    <row r="77" customFormat="false" ht="15" hidden="false" customHeight="false" outlineLevel="0" collapsed="false">
      <c r="A77" s="29"/>
      <c r="B77" s="27"/>
      <c r="C77" s="28"/>
      <c r="D77" s="27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3" t="str">
        <f aca="false">IFERROR(DATEDIF(INDEX(Cadastro!$D$8:$D$47,MATCH($B77,Cadastro!$B$8:$B$47,0)),$A77,"Y"),"")</f>
        <v/>
      </c>
      <c r="AH77" s="33" t="str">
        <f aca="false">IF(COUNT($I77,$K77,$J77,$N77)&lt;4,"",$I77+$K77+$J77+$N77)</f>
        <v/>
      </c>
      <c r="AI77" s="33" t="str">
        <f aca="false">IF(COUNT($L77,$M77,$I77,$J77,$P77,$N77,$Q77)&lt;7,"",$L77+$M77+$I77+$J77+$P77+$N77+$Q77)</f>
        <v/>
      </c>
      <c r="AJ77" s="33" t="str">
        <f aca="false">IF(COUNT($I77,$J77,$K77,$O77,$P77,$Q77,$R77,$N77)&lt;8,"",$I77+$J77+$K77+$O77+$P77+$Q77+$R77+$N77)</f>
        <v/>
      </c>
      <c r="AK77" s="34" t="str">
        <f aca="false">IF(OR($AI77="",$AG77=""),"",IF(IFERROR(INDEX(Cadastro!$F$8:$F$47,MATCH($B77,Cadastro!$B$8:$B$47,0)),"")="Feminino",1.097-0.00046971*$AI77+0.00000056*$AI77^2-0.00012828*$AG77,1.112-0.00043499*$AI77+0.00000055*$AI77^2-0.00028826*$AG77))</f>
        <v/>
      </c>
      <c r="AL77" s="30" t="str">
        <f aca="false">IF(OR($AK77="",$AK77=0),"",495/$AK77-450)</f>
        <v/>
      </c>
      <c r="AM77" s="35" t="str">
        <f aca="false">IF(OR($AL77="",$E77=""),"",$E77*$AL77/100)</f>
        <v/>
      </c>
      <c r="AN77" s="30" t="str">
        <f aca="false">IF(OR($AM77="",$E77=""),"",$E77-$AM77)</f>
        <v/>
      </c>
      <c r="AO77" s="35" t="str">
        <f aca="false">IFERROR($E77/($F77/100)^2,"")</f>
        <v/>
      </c>
      <c r="AP77" s="35" t="str">
        <f aca="false">IFERROR($G77/$F77*100,"")</f>
        <v/>
      </c>
      <c r="AQ77" s="36" t="str">
        <f aca="false">IFERROR($W77/$F77,"")</f>
        <v/>
      </c>
      <c r="AR77" s="35" t="str">
        <f aca="false">IF(OR($S77="",$I77=""),"",($S77-PI()*$I77/10)^2/(4*PI())-IF(IFERROR(INDEX(Cadastro!$F$8:$F$47,MATCH($B77,Cadastro!$B$8:$B$47,0)),"")="Feminino",6.5,10))</f>
        <v/>
      </c>
      <c r="AS77" s="35" t="str">
        <f aca="false">IF(OR($I77="",$J77="",$O77="",$F77=""),"",-0.7182+0.1451*(($I77+$J77+$O77)*(170.18/$F77))-0.00068*(($I77+$J77+$O77)*(170.18/$F77))^2+0.0000014*(($I77+$J77+$O77)*(170.18/$F77))^3)</f>
        <v/>
      </c>
      <c r="AT77" s="35" t="str">
        <f aca="false">IF(OR($AE77="",$AF77="",$T77="",$AA77="",$F77=""),"",0.858*$AE77+0.601*$AF77+0.188*($T77-$I77/10)+0.161*($AA77-$R77/10)-0.131*$F77+4.5)</f>
        <v/>
      </c>
      <c r="AU77" s="35" t="str">
        <f aca="false">IF(OR($E77="",$F77=""),"",IF($F77/$E77^(1/3)&gt;=40.75,0.732*($F77/$E77^(1/3))-28.58,IF($F77/$E77^(1/3)&gt;=38.25,0.463*($F77/$E77^(1/3))-17.63,0.1)))</f>
        <v/>
      </c>
      <c r="AV77" s="37" t="str">
        <f aca="false">IF(OR($AS77="",$AT77="",$AU77=""),"",IF(AND($AT77&gt;=$AS77,$AT77&gt;=$AU77),"Mesomorfo dominante",IF(AND($AU77&gt;=$AS77,$AU77&gt;=$AT77),"Ectomorfo dominante","Endomorfo dominante")))</f>
        <v/>
      </c>
    </row>
    <row r="78" customFormat="false" ht="15" hidden="false" customHeight="false" outlineLevel="0" collapsed="false">
      <c r="A78" s="29"/>
      <c r="B78" s="27"/>
      <c r="C78" s="28"/>
      <c r="D78" s="27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3" t="str">
        <f aca="false">IFERROR(DATEDIF(INDEX(Cadastro!$D$8:$D$47,MATCH($B78,Cadastro!$B$8:$B$47,0)),$A78,"Y"),"")</f>
        <v/>
      </c>
      <c r="AH78" s="33" t="str">
        <f aca="false">IF(COUNT($I78,$K78,$J78,$N78)&lt;4,"",$I78+$K78+$J78+$N78)</f>
        <v/>
      </c>
      <c r="AI78" s="33" t="str">
        <f aca="false">IF(COUNT($L78,$M78,$I78,$J78,$P78,$N78,$Q78)&lt;7,"",$L78+$M78+$I78+$J78+$P78+$N78+$Q78)</f>
        <v/>
      </c>
      <c r="AJ78" s="33" t="str">
        <f aca="false">IF(COUNT($I78,$J78,$K78,$O78,$P78,$Q78,$R78,$N78)&lt;8,"",$I78+$J78+$K78+$O78+$P78+$Q78+$R78+$N78)</f>
        <v/>
      </c>
      <c r="AK78" s="34" t="str">
        <f aca="false">IF(OR($AI78="",$AG78=""),"",IF(IFERROR(INDEX(Cadastro!$F$8:$F$47,MATCH($B78,Cadastro!$B$8:$B$47,0)),"")="Feminino",1.097-0.00046971*$AI78+0.00000056*$AI78^2-0.00012828*$AG78,1.112-0.00043499*$AI78+0.00000055*$AI78^2-0.00028826*$AG78))</f>
        <v/>
      </c>
      <c r="AL78" s="30" t="str">
        <f aca="false">IF(OR($AK78="",$AK78=0),"",495/$AK78-450)</f>
        <v/>
      </c>
      <c r="AM78" s="35" t="str">
        <f aca="false">IF(OR($AL78="",$E78=""),"",$E78*$AL78/100)</f>
        <v/>
      </c>
      <c r="AN78" s="30" t="str">
        <f aca="false">IF(OR($AM78="",$E78=""),"",$E78-$AM78)</f>
        <v/>
      </c>
      <c r="AO78" s="35" t="str">
        <f aca="false">IFERROR($E78/($F78/100)^2,"")</f>
        <v/>
      </c>
      <c r="AP78" s="35" t="str">
        <f aca="false">IFERROR($G78/$F78*100,"")</f>
        <v/>
      </c>
      <c r="AQ78" s="36" t="str">
        <f aca="false">IFERROR($W78/$F78,"")</f>
        <v/>
      </c>
      <c r="AR78" s="35" t="str">
        <f aca="false">IF(OR($S78="",$I78=""),"",($S78-PI()*$I78/10)^2/(4*PI())-IF(IFERROR(INDEX(Cadastro!$F$8:$F$47,MATCH($B78,Cadastro!$B$8:$B$47,0)),"")="Feminino",6.5,10))</f>
        <v/>
      </c>
      <c r="AS78" s="35" t="str">
        <f aca="false">IF(OR($I78="",$J78="",$O78="",$F78=""),"",-0.7182+0.1451*(($I78+$J78+$O78)*(170.18/$F78))-0.00068*(($I78+$J78+$O78)*(170.18/$F78))^2+0.0000014*(($I78+$J78+$O78)*(170.18/$F78))^3)</f>
        <v/>
      </c>
      <c r="AT78" s="35" t="str">
        <f aca="false">IF(OR($AE78="",$AF78="",$T78="",$AA78="",$F78=""),"",0.858*$AE78+0.601*$AF78+0.188*($T78-$I78/10)+0.161*($AA78-$R78/10)-0.131*$F78+4.5)</f>
        <v/>
      </c>
      <c r="AU78" s="35" t="str">
        <f aca="false">IF(OR($E78="",$F78=""),"",IF($F78/$E78^(1/3)&gt;=40.75,0.732*($F78/$E78^(1/3))-28.58,IF($F78/$E78^(1/3)&gt;=38.25,0.463*($F78/$E78^(1/3))-17.63,0.1)))</f>
        <v/>
      </c>
      <c r="AV78" s="37" t="str">
        <f aca="false">IF(OR($AS78="",$AT78="",$AU78=""),"",IF(AND($AT78&gt;=$AS78,$AT78&gt;=$AU78),"Mesomorfo dominante",IF(AND($AU78&gt;=$AS78,$AU78&gt;=$AT78),"Ectomorfo dominante","Endomorfo dominante")))</f>
        <v/>
      </c>
    </row>
    <row r="79" customFormat="false" ht="15" hidden="false" customHeight="false" outlineLevel="0" collapsed="false">
      <c r="A79" s="29"/>
      <c r="B79" s="27"/>
      <c r="C79" s="28"/>
      <c r="D79" s="27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3" t="str">
        <f aca="false">IFERROR(DATEDIF(INDEX(Cadastro!$D$8:$D$47,MATCH($B79,Cadastro!$B$8:$B$47,0)),$A79,"Y"),"")</f>
        <v/>
      </c>
      <c r="AH79" s="33" t="str">
        <f aca="false">IF(COUNT($I79,$K79,$J79,$N79)&lt;4,"",$I79+$K79+$J79+$N79)</f>
        <v/>
      </c>
      <c r="AI79" s="33" t="str">
        <f aca="false">IF(COUNT($L79,$M79,$I79,$J79,$P79,$N79,$Q79)&lt;7,"",$L79+$M79+$I79+$J79+$P79+$N79+$Q79)</f>
        <v/>
      </c>
      <c r="AJ79" s="33" t="str">
        <f aca="false">IF(COUNT($I79,$J79,$K79,$O79,$P79,$Q79,$R79,$N79)&lt;8,"",$I79+$J79+$K79+$O79+$P79+$Q79+$R79+$N79)</f>
        <v/>
      </c>
      <c r="AK79" s="34" t="str">
        <f aca="false">IF(OR($AI79="",$AG79=""),"",IF(IFERROR(INDEX(Cadastro!$F$8:$F$47,MATCH($B79,Cadastro!$B$8:$B$47,0)),"")="Feminino",1.097-0.00046971*$AI79+0.00000056*$AI79^2-0.00012828*$AG79,1.112-0.00043499*$AI79+0.00000055*$AI79^2-0.00028826*$AG79))</f>
        <v/>
      </c>
      <c r="AL79" s="30" t="str">
        <f aca="false">IF(OR($AK79="",$AK79=0),"",495/$AK79-450)</f>
        <v/>
      </c>
      <c r="AM79" s="35" t="str">
        <f aca="false">IF(OR($AL79="",$E79=""),"",$E79*$AL79/100)</f>
        <v/>
      </c>
      <c r="AN79" s="30" t="str">
        <f aca="false">IF(OR($AM79="",$E79=""),"",$E79-$AM79)</f>
        <v/>
      </c>
      <c r="AO79" s="35" t="str">
        <f aca="false">IFERROR($E79/($F79/100)^2,"")</f>
        <v/>
      </c>
      <c r="AP79" s="35" t="str">
        <f aca="false">IFERROR($G79/$F79*100,"")</f>
        <v/>
      </c>
      <c r="AQ79" s="36" t="str">
        <f aca="false">IFERROR($W79/$F79,"")</f>
        <v/>
      </c>
      <c r="AR79" s="35" t="str">
        <f aca="false">IF(OR($S79="",$I79=""),"",($S79-PI()*$I79/10)^2/(4*PI())-IF(IFERROR(INDEX(Cadastro!$F$8:$F$47,MATCH($B79,Cadastro!$B$8:$B$47,0)),"")="Feminino",6.5,10))</f>
        <v/>
      </c>
      <c r="AS79" s="35" t="str">
        <f aca="false">IF(OR($I79="",$J79="",$O79="",$F79=""),"",-0.7182+0.1451*(($I79+$J79+$O79)*(170.18/$F79))-0.00068*(($I79+$J79+$O79)*(170.18/$F79))^2+0.0000014*(($I79+$J79+$O79)*(170.18/$F79))^3)</f>
        <v/>
      </c>
      <c r="AT79" s="35" t="str">
        <f aca="false">IF(OR($AE79="",$AF79="",$T79="",$AA79="",$F79=""),"",0.858*$AE79+0.601*$AF79+0.188*($T79-$I79/10)+0.161*($AA79-$R79/10)-0.131*$F79+4.5)</f>
        <v/>
      </c>
      <c r="AU79" s="35" t="str">
        <f aca="false">IF(OR($E79="",$F79=""),"",IF($F79/$E79^(1/3)&gt;=40.75,0.732*($F79/$E79^(1/3))-28.58,IF($F79/$E79^(1/3)&gt;=38.25,0.463*($F79/$E79^(1/3))-17.63,0.1)))</f>
        <v/>
      </c>
      <c r="AV79" s="37" t="str">
        <f aca="false">IF(OR($AS79="",$AT79="",$AU79=""),"",IF(AND($AT79&gt;=$AS79,$AT79&gt;=$AU79),"Mesomorfo dominante",IF(AND($AU79&gt;=$AS79,$AU79&gt;=$AT79),"Ectomorfo dominante","Endomorfo dominante")))</f>
        <v/>
      </c>
    </row>
    <row r="80" customFormat="false" ht="15" hidden="false" customHeight="false" outlineLevel="0" collapsed="false">
      <c r="A80" s="29"/>
      <c r="B80" s="27"/>
      <c r="C80" s="28"/>
      <c r="D80" s="27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3" t="str">
        <f aca="false">IFERROR(DATEDIF(INDEX(Cadastro!$D$8:$D$47,MATCH($B80,Cadastro!$B$8:$B$47,0)),$A80,"Y"),"")</f>
        <v/>
      </c>
      <c r="AH80" s="33" t="str">
        <f aca="false">IF(COUNT($I80,$K80,$J80,$N80)&lt;4,"",$I80+$K80+$J80+$N80)</f>
        <v/>
      </c>
      <c r="AI80" s="33" t="str">
        <f aca="false">IF(COUNT($L80,$M80,$I80,$J80,$P80,$N80,$Q80)&lt;7,"",$L80+$M80+$I80+$J80+$P80+$N80+$Q80)</f>
        <v/>
      </c>
      <c r="AJ80" s="33" t="str">
        <f aca="false">IF(COUNT($I80,$J80,$K80,$O80,$P80,$Q80,$R80,$N80)&lt;8,"",$I80+$J80+$K80+$O80+$P80+$Q80+$R80+$N80)</f>
        <v/>
      </c>
      <c r="AK80" s="34" t="str">
        <f aca="false">IF(OR($AI80="",$AG80=""),"",IF(IFERROR(INDEX(Cadastro!$F$8:$F$47,MATCH($B80,Cadastro!$B$8:$B$47,0)),"")="Feminino",1.097-0.00046971*$AI80+0.00000056*$AI80^2-0.00012828*$AG80,1.112-0.00043499*$AI80+0.00000055*$AI80^2-0.00028826*$AG80))</f>
        <v/>
      </c>
      <c r="AL80" s="30" t="str">
        <f aca="false">IF(OR($AK80="",$AK80=0),"",495/$AK80-450)</f>
        <v/>
      </c>
      <c r="AM80" s="35" t="str">
        <f aca="false">IF(OR($AL80="",$E80=""),"",$E80*$AL80/100)</f>
        <v/>
      </c>
      <c r="AN80" s="30" t="str">
        <f aca="false">IF(OR($AM80="",$E80=""),"",$E80-$AM80)</f>
        <v/>
      </c>
      <c r="AO80" s="35" t="str">
        <f aca="false">IFERROR($E80/($F80/100)^2,"")</f>
        <v/>
      </c>
      <c r="AP80" s="35" t="str">
        <f aca="false">IFERROR($G80/$F80*100,"")</f>
        <v/>
      </c>
      <c r="AQ80" s="36" t="str">
        <f aca="false">IFERROR($W80/$F80,"")</f>
        <v/>
      </c>
      <c r="AR80" s="35" t="str">
        <f aca="false">IF(OR($S80="",$I80=""),"",($S80-PI()*$I80/10)^2/(4*PI())-IF(IFERROR(INDEX(Cadastro!$F$8:$F$47,MATCH($B80,Cadastro!$B$8:$B$47,0)),"")="Feminino",6.5,10))</f>
        <v/>
      </c>
      <c r="AS80" s="35" t="str">
        <f aca="false">IF(OR($I80="",$J80="",$O80="",$F80=""),"",-0.7182+0.1451*(($I80+$J80+$O80)*(170.18/$F80))-0.00068*(($I80+$J80+$O80)*(170.18/$F80))^2+0.0000014*(($I80+$J80+$O80)*(170.18/$F80))^3)</f>
        <v/>
      </c>
      <c r="AT80" s="35" t="str">
        <f aca="false">IF(OR($AE80="",$AF80="",$T80="",$AA80="",$F80=""),"",0.858*$AE80+0.601*$AF80+0.188*($T80-$I80/10)+0.161*($AA80-$R80/10)-0.131*$F80+4.5)</f>
        <v/>
      </c>
      <c r="AU80" s="35" t="str">
        <f aca="false">IF(OR($E80="",$F80=""),"",IF($F80/$E80^(1/3)&gt;=40.75,0.732*($F80/$E80^(1/3))-28.58,IF($F80/$E80^(1/3)&gt;=38.25,0.463*($F80/$E80^(1/3))-17.63,0.1)))</f>
        <v/>
      </c>
      <c r="AV80" s="37" t="str">
        <f aca="false">IF(OR($AS80="",$AT80="",$AU80=""),"",IF(AND($AT80&gt;=$AS80,$AT80&gt;=$AU80),"Mesomorfo dominante",IF(AND($AU80&gt;=$AS80,$AU80&gt;=$AT80),"Ectomorfo dominante","Endomorfo dominante")))</f>
        <v/>
      </c>
    </row>
    <row r="81" customFormat="false" ht="15" hidden="false" customHeight="false" outlineLevel="0" collapsed="false">
      <c r="A81" s="29"/>
      <c r="B81" s="27"/>
      <c r="C81" s="28"/>
      <c r="D81" s="27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3" t="str">
        <f aca="false">IFERROR(DATEDIF(INDEX(Cadastro!$D$8:$D$47,MATCH($B81,Cadastro!$B$8:$B$47,0)),$A81,"Y"),"")</f>
        <v/>
      </c>
      <c r="AH81" s="33" t="str">
        <f aca="false">IF(COUNT($I81,$K81,$J81,$N81)&lt;4,"",$I81+$K81+$J81+$N81)</f>
        <v/>
      </c>
      <c r="AI81" s="33" t="str">
        <f aca="false">IF(COUNT($L81,$M81,$I81,$J81,$P81,$N81,$Q81)&lt;7,"",$L81+$M81+$I81+$J81+$P81+$N81+$Q81)</f>
        <v/>
      </c>
      <c r="AJ81" s="33" t="str">
        <f aca="false">IF(COUNT($I81,$J81,$K81,$O81,$P81,$Q81,$R81,$N81)&lt;8,"",$I81+$J81+$K81+$O81+$P81+$Q81+$R81+$N81)</f>
        <v/>
      </c>
      <c r="AK81" s="34" t="str">
        <f aca="false">IF(OR($AI81="",$AG81=""),"",IF(IFERROR(INDEX(Cadastro!$F$8:$F$47,MATCH($B81,Cadastro!$B$8:$B$47,0)),"")="Feminino",1.097-0.00046971*$AI81+0.00000056*$AI81^2-0.00012828*$AG81,1.112-0.00043499*$AI81+0.00000055*$AI81^2-0.00028826*$AG81))</f>
        <v/>
      </c>
      <c r="AL81" s="30" t="str">
        <f aca="false">IF(OR($AK81="",$AK81=0),"",495/$AK81-450)</f>
        <v/>
      </c>
      <c r="AM81" s="35" t="str">
        <f aca="false">IF(OR($AL81="",$E81=""),"",$E81*$AL81/100)</f>
        <v/>
      </c>
      <c r="AN81" s="30" t="str">
        <f aca="false">IF(OR($AM81="",$E81=""),"",$E81-$AM81)</f>
        <v/>
      </c>
      <c r="AO81" s="35" t="str">
        <f aca="false">IFERROR($E81/($F81/100)^2,"")</f>
        <v/>
      </c>
      <c r="AP81" s="35" t="str">
        <f aca="false">IFERROR($G81/$F81*100,"")</f>
        <v/>
      </c>
      <c r="AQ81" s="36" t="str">
        <f aca="false">IFERROR($W81/$F81,"")</f>
        <v/>
      </c>
      <c r="AR81" s="35" t="str">
        <f aca="false">IF(OR($S81="",$I81=""),"",($S81-PI()*$I81/10)^2/(4*PI())-IF(IFERROR(INDEX(Cadastro!$F$8:$F$47,MATCH($B81,Cadastro!$B$8:$B$47,0)),"")="Feminino",6.5,10))</f>
        <v/>
      </c>
      <c r="AS81" s="35" t="str">
        <f aca="false">IF(OR($I81="",$J81="",$O81="",$F81=""),"",-0.7182+0.1451*(($I81+$J81+$O81)*(170.18/$F81))-0.00068*(($I81+$J81+$O81)*(170.18/$F81))^2+0.0000014*(($I81+$J81+$O81)*(170.18/$F81))^3)</f>
        <v/>
      </c>
      <c r="AT81" s="35" t="str">
        <f aca="false">IF(OR($AE81="",$AF81="",$T81="",$AA81="",$F81=""),"",0.858*$AE81+0.601*$AF81+0.188*($T81-$I81/10)+0.161*($AA81-$R81/10)-0.131*$F81+4.5)</f>
        <v/>
      </c>
      <c r="AU81" s="35" t="str">
        <f aca="false">IF(OR($E81="",$F81=""),"",IF($F81/$E81^(1/3)&gt;=40.75,0.732*($F81/$E81^(1/3))-28.58,IF($F81/$E81^(1/3)&gt;=38.25,0.463*($F81/$E81^(1/3))-17.63,0.1)))</f>
        <v/>
      </c>
      <c r="AV81" s="37" t="str">
        <f aca="false">IF(OR($AS81="",$AT81="",$AU81=""),"",IF(AND($AT81&gt;=$AS81,$AT81&gt;=$AU81),"Mesomorfo dominante",IF(AND($AU81&gt;=$AS81,$AU81&gt;=$AT81),"Ectomorfo dominante","Endomorfo dominante")))</f>
        <v/>
      </c>
    </row>
    <row r="82" customFormat="false" ht="15" hidden="false" customHeight="false" outlineLevel="0" collapsed="false">
      <c r="A82" s="29"/>
      <c r="B82" s="27"/>
      <c r="C82" s="28"/>
      <c r="D82" s="27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3" t="str">
        <f aca="false">IFERROR(DATEDIF(INDEX(Cadastro!$D$8:$D$47,MATCH($B82,Cadastro!$B$8:$B$47,0)),$A82,"Y"),"")</f>
        <v/>
      </c>
      <c r="AH82" s="33" t="str">
        <f aca="false">IF(COUNT($I82,$K82,$J82,$N82)&lt;4,"",$I82+$K82+$J82+$N82)</f>
        <v/>
      </c>
      <c r="AI82" s="33" t="str">
        <f aca="false">IF(COUNT($L82,$M82,$I82,$J82,$P82,$N82,$Q82)&lt;7,"",$L82+$M82+$I82+$J82+$P82+$N82+$Q82)</f>
        <v/>
      </c>
      <c r="AJ82" s="33" t="str">
        <f aca="false">IF(COUNT($I82,$J82,$K82,$O82,$P82,$Q82,$R82,$N82)&lt;8,"",$I82+$J82+$K82+$O82+$P82+$Q82+$R82+$N82)</f>
        <v/>
      </c>
      <c r="AK82" s="34" t="str">
        <f aca="false">IF(OR($AI82="",$AG82=""),"",IF(IFERROR(INDEX(Cadastro!$F$8:$F$47,MATCH($B82,Cadastro!$B$8:$B$47,0)),"")="Feminino",1.097-0.00046971*$AI82+0.00000056*$AI82^2-0.00012828*$AG82,1.112-0.00043499*$AI82+0.00000055*$AI82^2-0.00028826*$AG82))</f>
        <v/>
      </c>
      <c r="AL82" s="30" t="str">
        <f aca="false">IF(OR($AK82="",$AK82=0),"",495/$AK82-450)</f>
        <v/>
      </c>
      <c r="AM82" s="35" t="str">
        <f aca="false">IF(OR($AL82="",$E82=""),"",$E82*$AL82/100)</f>
        <v/>
      </c>
      <c r="AN82" s="30" t="str">
        <f aca="false">IF(OR($AM82="",$E82=""),"",$E82-$AM82)</f>
        <v/>
      </c>
      <c r="AO82" s="35" t="str">
        <f aca="false">IFERROR($E82/($F82/100)^2,"")</f>
        <v/>
      </c>
      <c r="AP82" s="35" t="str">
        <f aca="false">IFERROR($G82/$F82*100,"")</f>
        <v/>
      </c>
      <c r="AQ82" s="36" t="str">
        <f aca="false">IFERROR($W82/$F82,"")</f>
        <v/>
      </c>
      <c r="AR82" s="35" t="str">
        <f aca="false">IF(OR($S82="",$I82=""),"",($S82-PI()*$I82/10)^2/(4*PI())-IF(IFERROR(INDEX(Cadastro!$F$8:$F$47,MATCH($B82,Cadastro!$B$8:$B$47,0)),"")="Feminino",6.5,10))</f>
        <v/>
      </c>
      <c r="AS82" s="35" t="str">
        <f aca="false">IF(OR($I82="",$J82="",$O82="",$F82=""),"",-0.7182+0.1451*(($I82+$J82+$O82)*(170.18/$F82))-0.00068*(($I82+$J82+$O82)*(170.18/$F82))^2+0.0000014*(($I82+$J82+$O82)*(170.18/$F82))^3)</f>
        <v/>
      </c>
      <c r="AT82" s="35" t="str">
        <f aca="false">IF(OR($AE82="",$AF82="",$T82="",$AA82="",$F82=""),"",0.858*$AE82+0.601*$AF82+0.188*($T82-$I82/10)+0.161*($AA82-$R82/10)-0.131*$F82+4.5)</f>
        <v/>
      </c>
      <c r="AU82" s="35" t="str">
        <f aca="false">IF(OR($E82="",$F82=""),"",IF($F82/$E82^(1/3)&gt;=40.75,0.732*($F82/$E82^(1/3))-28.58,IF($F82/$E82^(1/3)&gt;=38.25,0.463*($F82/$E82^(1/3))-17.63,0.1)))</f>
        <v/>
      </c>
      <c r="AV82" s="37" t="str">
        <f aca="false">IF(OR($AS82="",$AT82="",$AU82=""),"",IF(AND($AT82&gt;=$AS82,$AT82&gt;=$AU82),"Mesomorfo dominante",IF(AND($AU82&gt;=$AS82,$AU82&gt;=$AT82),"Ectomorfo dominante","Endomorfo dominante")))</f>
        <v/>
      </c>
    </row>
    <row r="83" customFormat="false" ht="15" hidden="false" customHeight="false" outlineLevel="0" collapsed="false">
      <c r="A83" s="29"/>
      <c r="B83" s="27"/>
      <c r="C83" s="28"/>
      <c r="D83" s="27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3" t="str">
        <f aca="false">IFERROR(DATEDIF(INDEX(Cadastro!$D$8:$D$47,MATCH($B83,Cadastro!$B$8:$B$47,0)),$A83,"Y"),"")</f>
        <v/>
      </c>
      <c r="AH83" s="33" t="str">
        <f aca="false">IF(COUNT($I83,$K83,$J83,$N83)&lt;4,"",$I83+$K83+$J83+$N83)</f>
        <v/>
      </c>
      <c r="AI83" s="33" t="str">
        <f aca="false">IF(COUNT($L83,$M83,$I83,$J83,$P83,$N83,$Q83)&lt;7,"",$L83+$M83+$I83+$J83+$P83+$N83+$Q83)</f>
        <v/>
      </c>
      <c r="AJ83" s="33" t="str">
        <f aca="false">IF(COUNT($I83,$J83,$K83,$O83,$P83,$Q83,$R83,$N83)&lt;8,"",$I83+$J83+$K83+$O83+$P83+$Q83+$R83+$N83)</f>
        <v/>
      </c>
      <c r="AK83" s="34" t="str">
        <f aca="false">IF(OR($AI83="",$AG83=""),"",IF(IFERROR(INDEX(Cadastro!$F$8:$F$47,MATCH($B83,Cadastro!$B$8:$B$47,0)),"")="Feminino",1.097-0.00046971*$AI83+0.00000056*$AI83^2-0.00012828*$AG83,1.112-0.00043499*$AI83+0.00000055*$AI83^2-0.00028826*$AG83))</f>
        <v/>
      </c>
      <c r="AL83" s="30" t="str">
        <f aca="false">IF(OR($AK83="",$AK83=0),"",495/$AK83-450)</f>
        <v/>
      </c>
      <c r="AM83" s="35" t="str">
        <f aca="false">IF(OR($AL83="",$E83=""),"",$E83*$AL83/100)</f>
        <v/>
      </c>
      <c r="AN83" s="30" t="str">
        <f aca="false">IF(OR($AM83="",$E83=""),"",$E83-$AM83)</f>
        <v/>
      </c>
      <c r="AO83" s="35" t="str">
        <f aca="false">IFERROR($E83/($F83/100)^2,"")</f>
        <v/>
      </c>
      <c r="AP83" s="35" t="str">
        <f aca="false">IFERROR($G83/$F83*100,"")</f>
        <v/>
      </c>
      <c r="AQ83" s="36" t="str">
        <f aca="false">IFERROR($W83/$F83,"")</f>
        <v/>
      </c>
      <c r="AR83" s="35" t="str">
        <f aca="false">IF(OR($S83="",$I83=""),"",($S83-PI()*$I83/10)^2/(4*PI())-IF(IFERROR(INDEX(Cadastro!$F$8:$F$47,MATCH($B83,Cadastro!$B$8:$B$47,0)),"")="Feminino",6.5,10))</f>
        <v/>
      </c>
      <c r="AS83" s="35" t="str">
        <f aca="false">IF(OR($I83="",$J83="",$O83="",$F83=""),"",-0.7182+0.1451*(($I83+$J83+$O83)*(170.18/$F83))-0.00068*(($I83+$J83+$O83)*(170.18/$F83))^2+0.0000014*(($I83+$J83+$O83)*(170.18/$F83))^3)</f>
        <v/>
      </c>
      <c r="AT83" s="35" t="str">
        <f aca="false">IF(OR($AE83="",$AF83="",$T83="",$AA83="",$F83=""),"",0.858*$AE83+0.601*$AF83+0.188*($T83-$I83/10)+0.161*($AA83-$R83/10)-0.131*$F83+4.5)</f>
        <v/>
      </c>
      <c r="AU83" s="35" t="str">
        <f aca="false">IF(OR($E83="",$F83=""),"",IF($F83/$E83^(1/3)&gt;=40.75,0.732*($F83/$E83^(1/3))-28.58,IF($F83/$E83^(1/3)&gt;=38.25,0.463*($F83/$E83^(1/3))-17.63,0.1)))</f>
        <v/>
      </c>
      <c r="AV83" s="37" t="str">
        <f aca="false">IF(OR($AS83="",$AT83="",$AU83=""),"",IF(AND($AT83&gt;=$AS83,$AT83&gt;=$AU83),"Mesomorfo dominante",IF(AND($AU83&gt;=$AS83,$AU83&gt;=$AT83),"Ectomorfo dominante","Endomorfo dominante")))</f>
        <v/>
      </c>
    </row>
    <row r="84" customFormat="false" ht="15" hidden="false" customHeight="false" outlineLevel="0" collapsed="false">
      <c r="A84" s="29"/>
      <c r="B84" s="27"/>
      <c r="C84" s="28"/>
      <c r="D84" s="27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3" t="str">
        <f aca="false">IFERROR(DATEDIF(INDEX(Cadastro!$D$8:$D$47,MATCH($B84,Cadastro!$B$8:$B$47,0)),$A84,"Y"),"")</f>
        <v/>
      </c>
      <c r="AH84" s="33" t="str">
        <f aca="false">IF(COUNT($I84,$K84,$J84,$N84)&lt;4,"",$I84+$K84+$J84+$N84)</f>
        <v/>
      </c>
      <c r="AI84" s="33" t="str">
        <f aca="false">IF(COUNT($L84,$M84,$I84,$J84,$P84,$N84,$Q84)&lt;7,"",$L84+$M84+$I84+$J84+$P84+$N84+$Q84)</f>
        <v/>
      </c>
      <c r="AJ84" s="33" t="str">
        <f aca="false">IF(COUNT($I84,$J84,$K84,$O84,$P84,$Q84,$R84,$N84)&lt;8,"",$I84+$J84+$K84+$O84+$P84+$Q84+$R84+$N84)</f>
        <v/>
      </c>
      <c r="AK84" s="34" t="str">
        <f aca="false">IF(OR($AI84="",$AG84=""),"",IF(IFERROR(INDEX(Cadastro!$F$8:$F$47,MATCH($B84,Cadastro!$B$8:$B$47,0)),"")="Feminino",1.097-0.00046971*$AI84+0.00000056*$AI84^2-0.00012828*$AG84,1.112-0.00043499*$AI84+0.00000055*$AI84^2-0.00028826*$AG84))</f>
        <v/>
      </c>
      <c r="AL84" s="30" t="str">
        <f aca="false">IF(OR($AK84="",$AK84=0),"",495/$AK84-450)</f>
        <v/>
      </c>
      <c r="AM84" s="35" t="str">
        <f aca="false">IF(OR($AL84="",$E84=""),"",$E84*$AL84/100)</f>
        <v/>
      </c>
      <c r="AN84" s="30" t="str">
        <f aca="false">IF(OR($AM84="",$E84=""),"",$E84-$AM84)</f>
        <v/>
      </c>
      <c r="AO84" s="35" t="str">
        <f aca="false">IFERROR($E84/($F84/100)^2,"")</f>
        <v/>
      </c>
      <c r="AP84" s="35" t="str">
        <f aca="false">IFERROR($G84/$F84*100,"")</f>
        <v/>
      </c>
      <c r="AQ84" s="36" t="str">
        <f aca="false">IFERROR($W84/$F84,"")</f>
        <v/>
      </c>
      <c r="AR84" s="35" t="str">
        <f aca="false">IF(OR($S84="",$I84=""),"",($S84-PI()*$I84/10)^2/(4*PI())-IF(IFERROR(INDEX(Cadastro!$F$8:$F$47,MATCH($B84,Cadastro!$B$8:$B$47,0)),"")="Feminino",6.5,10))</f>
        <v/>
      </c>
      <c r="AS84" s="35" t="str">
        <f aca="false">IF(OR($I84="",$J84="",$O84="",$F84=""),"",-0.7182+0.1451*(($I84+$J84+$O84)*(170.18/$F84))-0.00068*(($I84+$J84+$O84)*(170.18/$F84))^2+0.0000014*(($I84+$J84+$O84)*(170.18/$F84))^3)</f>
        <v/>
      </c>
      <c r="AT84" s="35" t="str">
        <f aca="false">IF(OR($AE84="",$AF84="",$T84="",$AA84="",$F84=""),"",0.858*$AE84+0.601*$AF84+0.188*($T84-$I84/10)+0.161*($AA84-$R84/10)-0.131*$F84+4.5)</f>
        <v/>
      </c>
      <c r="AU84" s="35" t="str">
        <f aca="false">IF(OR($E84="",$F84=""),"",IF($F84/$E84^(1/3)&gt;=40.75,0.732*($F84/$E84^(1/3))-28.58,IF($F84/$E84^(1/3)&gt;=38.25,0.463*($F84/$E84^(1/3))-17.63,0.1)))</f>
        <v/>
      </c>
      <c r="AV84" s="37" t="str">
        <f aca="false">IF(OR($AS84="",$AT84="",$AU84=""),"",IF(AND($AT84&gt;=$AS84,$AT84&gt;=$AU84),"Mesomorfo dominante",IF(AND($AU84&gt;=$AS84,$AU84&gt;=$AT84),"Ectomorfo dominante","Endomorfo dominante")))</f>
        <v/>
      </c>
    </row>
    <row r="85" customFormat="false" ht="15" hidden="false" customHeight="false" outlineLevel="0" collapsed="false">
      <c r="A85" s="29"/>
      <c r="B85" s="27"/>
      <c r="C85" s="28"/>
      <c r="D85" s="27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3" t="str">
        <f aca="false">IFERROR(DATEDIF(INDEX(Cadastro!$D$8:$D$47,MATCH($B85,Cadastro!$B$8:$B$47,0)),$A85,"Y"),"")</f>
        <v/>
      </c>
      <c r="AH85" s="33" t="str">
        <f aca="false">IF(COUNT($I85,$K85,$J85,$N85)&lt;4,"",$I85+$K85+$J85+$N85)</f>
        <v/>
      </c>
      <c r="AI85" s="33" t="str">
        <f aca="false">IF(COUNT($L85,$M85,$I85,$J85,$P85,$N85,$Q85)&lt;7,"",$L85+$M85+$I85+$J85+$P85+$N85+$Q85)</f>
        <v/>
      </c>
      <c r="AJ85" s="33" t="str">
        <f aca="false">IF(COUNT($I85,$J85,$K85,$O85,$P85,$Q85,$R85,$N85)&lt;8,"",$I85+$J85+$K85+$O85+$P85+$Q85+$R85+$N85)</f>
        <v/>
      </c>
      <c r="AK85" s="34" t="str">
        <f aca="false">IF(OR($AI85="",$AG85=""),"",IF(IFERROR(INDEX(Cadastro!$F$8:$F$47,MATCH($B85,Cadastro!$B$8:$B$47,0)),"")="Feminino",1.097-0.00046971*$AI85+0.00000056*$AI85^2-0.00012828*$AG85,1.112-0.00043499*$AI85+0.00000055*$AI85^2-0.00028826*$AG85))</f>
        <v/>
      </c>
      <c r="AL85" s="30" t="str">
        <f aca="false">IF(OR($AK85="",$AK85=0),"",495/$AK85-450)</f>
        <v/>
      </c>
      <c r="AM85" s="35" t="str">
        <f aca="false">IF(OR($AL85="",$E85=""),"",$E85*$AL85/100)</f>
        <v/>
      </c>
      <c r="AN85" s="30" t="str">
        <f aca="false">IF(OR($AM85="",$E85=""),"",$E85-$AM85)</f>
        <v/>
      </c>
      <c r="AO85" s="35" t="str">
        <f aca="false">IFERROR($E85/($F85/100)^2,"")</f>
        <v/>
      </c>
      <c r="AP85" s="35" t="str">
        <f aca="false">IFERROR($G85/$F85*100,"")</f>
        <v/>
      </c>
      <c r="AQ85" s="36" t="str">
        <f aca="false">IFERROR($W85/$F85,"")</f>
        <v/>
      </c>
      <c r="AR85" s="35" t="str">
        <f aca="false">IF(OR($S85="",$I85=""),"",($S85-PI()*$I85/10)^2/(4*PI())-IF(IFERROR(INDEX(Cadastro!$F$8:$F$47,MATCH($B85,Cadastro!$B$8:$B$47,0)),"")="Feminino",6.5,10))</f>
        <v/>
      </c>
      <c r="AS85" s="35" t="str">
        <f aca="false">IF(OR($I85="",$J85="",$O85="",$F85=""),"",-0.7182+0.1451*(($I85+$J85+$O85)*(170.18/$F85))-0.00068*(($I85+$J85+$O85)*(170.18/$F85))^2+0.0000014*(($I85+$J85+$O85)*(170.18/$F85))^3)</f>
        <v/>
      </c>
      <c r="AT85" s="35" t="str">
        <f aca="false">IF(OR($AE85="",$AF85="",$T85="",$AA85="",$F85=""),"",0.858*$AE85+0.601*$AF85+0.188*($T85-$I85/10)+0.161*($AA85-$R85/10)-0.131*$F85+4.5)</f>
        <v/>
      </c>
      <c r="AU85" s="35" t="str">
        <f aca="false">IF(OR($E85="",$F85=""),"",IF($F85/$E85^(1/3)&gt;=40.75,0.732*($F85/$E85^(1/3))-28.58,IF($F85/$E85^(1/3)&gt;=38.25,0.463*($F85/$E85^(1/3))-17.63,0.1)))</f>
        <v/>
      </c>
      <c r="AV85" s="37" t="str">
        <f aca="false">IF(OR($AS85="",$AT85="",$AU85=""),"",IF(AND($AT85&gt;=$AS85,$AT85&gt;=$AU85),"Mesomorfo dominante",IF(AND($AU85&gt;=$AS85,$AU85&gt;=$AT85),"Ectomorfo dominante","Endomorfo dominante")))</f>
        <v/>
      </c>
    </row>
    <row r="86" customFormat="false" ht="15" hidden="false" customHeight="false" outlineLevel="0" collapsed="false">
      <c r="A86" s="29"/>
      <c r="B86" s="27"/>
      <c r="C86" s="28"/>
      <c r="D86" s="27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3" t="str">
        <f aca="false">IFERROR(DATEDIF(INDEX(Cadastro!$D$8:$D$47,MATCH($B86,Cadastro!$B$8:$B$47,0)),$A86,"Y"),"")</f>
        <v/>
      </c>
      <c r="AH86" s="33" t="str">
        <f aca="false">IF(COUNT($I86,$K86,$J86,$N86)&lt;4,"",$I86+$K86+$J86+$N86)</f>
        <v/>
      </c>
      <c r="AI86" s="33" t="str">
        <f aca="false">IF(COUNT($L86,$M86,$I86,$J86,$P86,$N86,$Q86)&lt;7,"",$L86+$M86+$I86+$J86+$P86+$N86+$Q86)</f>
        <v/>
      </c>
      <c r="AJ86" s="33" t="str">
        <f aca="false">IF(COUNT($I86,$J86,$K86,$O86,$P86,$Q86,$R86,$N86)&lt;8,"",$I86+$J86+$K86+$O86+$P86+$Q86+$R86+$N86)</f>
        <v/>
      </c>
      <c r="AK86" s="34" t="str">
        <f aca="false">IF(OR($AI86="",$AG86=""),"",IF(IFERROR(INDEX(Cadastro!$F$8:$F$47,MATCH($B86,Cadastro!$B$8:$B$47,0)),"")="Feminino",1.097-0.00046971*$AI86+0.00000056*$AI86^2-0.00012828*$AG86,1.112-0.00043499*$AI86+0.00000055*$AI86^2-0.00028826*$AG86))</f>
        <v/>
      </c>
      <c r="AL86" s="30" t="str">
        <f aca="false">IF(OR($AK86="",$AK86=0),"",495/$AK86-450)</f>
        <v/>
      </c>
      <c r="AM86" s="35" t="str">
        <f aca="false">IF(OR($AL86="",$E86=""),"",$E86*$AL86/100)</f>
        <v/>
      </c>
      <c r="AN86" s="30" t="str">
        <f aca="false">IF(OR($AM86="",$E86=""),"",$E86-$AM86)</f>
        <v/>
      </c>
      <c r="AO86" s="35" t="str">
        <f aca="false">IFERROR($E86/($F86/100)^2,"")</f>
        <v/>
      </c>
      <c r="AP86" s="35" t="str">
        <f aca="false">IFERROR($G86/$F86*100,"")</f>
        <v/>
      </c>
      <c r="AQ86" s="36" t="str">
        <f aca="false">IFERROR($W86/$F86,"")</f>
        <v/>
      </c>
      <c r="AR86" s="35" t="str">
        <f aca="false">IF(OR($S86="",$I86=""),"",($S86-PI()*$I86/10)^2/(4*PI())-IF(IFERROR(INDEX(Cadastro!$F$8:$F$47,MATCH($B86,Cadastro!$B$8:$B$47,0)),"")="Feminino",6.5,10))</f>
        <v/>
      </c>
      <c r="AS86" s="35" t="str">
        <f aca="false">IF(OR($I86="",$J86="",$O86="",$F86=""),"",-0.7182+0.1451*(($I86+$J86+$O86)*(170.18/$F86))-0.00068*(($I86+$J86+$O86)*(170.18/$F86))^2+0.0000014*(($I86+$J86+$O86)*(170.18/$F86))^3)</f>
        <v/>
      </c>
      <c r="AT86" s="35" t="str">
        <f aca="false">IF(OR($AE86="",$AF86="",$T86="",$AA86="",$F86=""),"",0.858*$AE86+0.601*$AF86+0.188*($T86-$I86/10)+0.161*($AA86-$R86/10)-0.131*$F86+4.5)</f>
        <v/>
      </c>
      <c r="AU86" s="35" t="str">
        <f aca="false">IF(OR($E86="",$F86=""),"",IF($F86/$E86^(1/3)&gt;=40.75,0.732*($F86/$E86^(1/3))-28.58,IF($F86/$E86^(1/3)&gt;=38.25,0.463*($F86/$E86^(1/3))-17.63,0.1)))</f>
        <v/>
      </c>
      <c r="AV86" s="37" t="str">
        <f aca="false">IF(OR($AS86="",$AT86="",$AU86=""),"",IF(AND($AT86&gt;=$AS86,$AT86&gt;=$AU86),"Mesomorfo dominante",IF(AND($AU86&gt;=$AS86,$AU86&gt;=$AT86),"Ectomorfo dominante","Endomorfo dominante")))</f>
        <v/>
      </c>
    </row>
    <row r="87" customFormat="false" ht="15" hidden="false" customHeight="false" outlineLevel="0" collapsed="false">
      <c r="A87" s="29"/>
      <c r="B87" s="27"/>
      <c r="C87" s="28"/>
      <c r="D87" s="27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3" t="str">
        <f aca="false">IFERROR(DATEDIF(INDEX(Cadastro!$D$8:$D$47,MATCH($B87,Cadastro!$B$8:$B$47,0)),$A87,"Y"),"")</f>
        <v/>
      </c>
      <c r="AH87" s="33" t="str">
        <f aca="false">IF(COUNT($I87,$K87,$J87,$N87)&lt;4,"",$I87+$K87+$J87+$N87)</f>
        <v/>
      </c>
      <c r="AI87" s="33" t="str">
        <f aca="false">IF(COUNT($L87,$M87,$I87,$J87,$P87,$N87,$Q87)&lt;7,"",$L87+$M87+$I87+$J87+$P87+$N87+$Q87)</f>
        <v/>
      </c>
      <c r="AJ87" s="33" t="str">
        <f aca="false">IF(COUNT($I87,$J87,$K87,$O87,$P87,$Q87,$R87,$N87)&lt;8,"",$I87+$J87+$K87+$O87+$P87+$Q87+$R87+$N87)</f>
        <v/>
      </c>
      <c r="AK87" s="34" t="str">
        <f aca="false">IF(OR($AI87="",$AG87=""),"",IF(IFERROR(INDEX(Cadastro!$F$8:$F$47,MATCH($B87,Cadastro!$B$8:$B$47,0)),"")="Feminino",1.097-0.00046971*$AI87+0.00000056*$AI87^2-0.00012828*$AG87,1.112-0.00043499*$AI87+0.00000055*$AI87^2-0.00028826*$AG87))</f>
        <v/>
      </c>
      <c r="AL87" s="30" t="str">
        <f aca="false">IF(OR($AK87="",$AK87=0),"",495/$AK87-450)</f>
        <v/>
      </c>
      <c r="AM87" s="35" t="str">
        <f aca="false">IF(OR($AL87="",$E87=""),"",$E87*$AL87/100)</f>
        <v/>
      </c>
      <c r="AN87" s="30" t="str">
        <f aca="false">IF(OR($AM87="",$E87=""),"",$E87-$AM87)</f>
        <v/>
      </c>
      <c r="AO87" s="35" t="str">
        <f aca="false">IFERROR($E87/($F87/100)^2,"")</f>
        <v/>
      </c>
      <c r="AP87" s="35" t="str">
        <f aca="false">IFERROR($G87/$F87*100,"")</f>
        <v/>
      </c>
      <c r="AQ87" s="36" t="str">
        <f aca="false">IFERROR($W87/$F87,"")</f>
        <v/>
      </c>
      <c r="AR87" s="35" t="str">
        <f aca="false">IF(OR($S87="",$I87=""),"",($S87-PI()*$I87/10)^2/(4*PI())-IF(IFERROR(INDEX(Cadastro!$F$8:$F$47,MATCH($B87,Cadastro!$B$8:$B$47,0)),"")="Feminino",6.5,10))</f>
        <v/>
      </c>
      <c r="AS87" s="35" t="str">
        <f aca="false">IF(OR($I87="",$J87="",$O87="",$F87=""),"",-0.7182+0.1451*(($I87+$J87+$O87)*(170.18/$F87))-0.00068*(($I87+$J87+$O87)*(170.18/$F87))^2+0.0000014*(($I87+$J87+$O87)*(170.18/$F87))^3)</f>
        <v/>
      </c>
      <c r="AT87" s="35" t="str">
        <f aca="false">IF(OR($AE87="",$AF87="",$T87="",$AA87="",$F87=""),"",0.858*$AE87+0.601*$AF87+0.188*($T87-$I87/10)+0.161*($AA87-$R87/10)-0.131*$F87+4.5)</f>
        <v/>
      </c>
      <c r="AU87" s="35" t="str">
        <f aca="false">IF(OR($E87="",$F87=""),"",IF($F87/$E87^(1/3)&gt;=40.75,0.732*($F87/$E87^(1/3))-28.58,IF($F87/$E87^(1/3)&gt;=38.25,0.463*($F87/$E87^(1/3))-17.63,0.1)))</f>
        <v/>
      </c>
      <c r="AV87" s="37" t="str">
        <f aca="false">IF(OR($AS87="",$AT87="",$AU87=""),"",IF(AND($AT87&gt;=$AS87,$AT87&gt;=$AU87),"Mesomorfo dominante",IF(AND($AU87&gt;=$AS87,$AU87&gt;=$AT87),"Ectomorfo dominante","Endomorfo dominante")))</f>
        <v/>
      </c>
    </row>
    <row r="88" customFormat="false" ht="15" hidden="false" customHeight="false" outlineLevel="0" collapsed="false">
      <c r="A88" s="29"/>
      <c r="B88" s="27"/>
      <c r="C88" s="28"/>
      <c r="D88" s="27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3" t="str">
        <f aca="false">IFERROR(DATEDIF(INDEX(Cadastro!$D$8:$D$47,MATCH($B88,Cadastro!$B$8:$B$47,0)),$A88,"Y"),"")</f>
        <v/>
      </c>
      <c r="AH88" s="33" t="str">
        <f aca="false">IF(COUNT($I88,$K88,$J88,$N88)&lt;4,"",$I88+$K88+$J88+$N88)</f>
        <v/>
      </c>
      <c r="AI88" s="33" t="str">
        <f aca="false">IF(COUNT($L88,$M88,$I88,$J88,$P88,$N88,$Q88)&lt;7,"",$L88+$M88+$I88+$J88+$P88+$N88+$Q88)</f>
        <v/>
      </c>
      <c r="AJ88" s="33" t="str">
        <f aca="false">IF(COUNT($I88,$J88,$K88,$O88,$P88,$Q88,$R88,$N88)&lt;8,"",$I88+$J88+$K88+$O88+$P88+$Q88+$R88+$N88)</f>
        <v/>
      </c>
      <c r="AK88" s="34" t="str">
        <f aca="false">IF(OR($AI88="",$AG88=""),"",IF(IFERROR(INDEX(Cadastro!$F$8:$F$47,MATCH($B88,Cadastro!$B$8:$B$47,0)),"")="Feminino",1.097-0.00046971*$AI88+0.00000056*$AI88^2-0.00012828*$AG88,1.112-0.00043499*$AI88+0.00000055*$AI88^2-0.00028826*$AG88))</f>
        <v/>
      </c>
      <c r="AL88" s="30" t="str">
        <f aca="false">IF(OR($AK88="",$AK88=0),"",495/$AK88-450)</f>
        <v/>
      </c>
      <c r="AM88" s="35" t="str">
        <f aca="false">IF(OR($AL88="",$E88=""),"",$E88*$AL88/100)</f>
        <v/>
      </c>
      <c r="AN88" s="30" t="str">
        <f aca="false">IF(OR($AM88="",$E88=""),"",$E88-$AM88)</f>
        <v/>
      </c>
      <c r="AO88" s="35" t="str">
        <f aca="false">IFERROR($E88/($F88/100)^2,"")</f>
        <v/>
      </c>
      <c r="AP88" s="35" t="str">
        <f aca="false">IFERROR($G88/$F88*100,"")</f>
        <v/>
      </c>
      <c r="AQ88" s="36" t="str">
        <f aca="false">IFERROR($W88/$F88,"")</f>
        <v/>
      </c>
      <c r="AR88" s="35" t="str">
        <f aca="false">IF(OR($S88="",$I88=""),"",($S88-PI()*$I88/10)^2/(4*PI())-IF(IFERROR(INDEX(Cadastro!$F$8:$F$47,MATCH($B88,Cadastro!$B$8:$B$47,0)),"")="Feminino",6.5,10))</f>
        <v/>
      </c>
      <c r="AS88" s="35" t="str">
        <f aca="false">IF(OR($I88="",$J88="",$O88="",$F88=""),"",-0.7182+0.1451*(($I88+$J88+$O88)*(170.18/$F88))-0.00068*(($I88+$J88+$O88)*(170.18/$F88))^2+0.0000014*(($I88+$J88+$O88)*(170.18/$F88))^3)</f>
        <v/>
      </c>
      <c r="AT88" s="35" t="str">
        <f aca="false">IF(OR($AE88="",$AF88="",$T88="",$AA88="",$F88=""),"",0.858*$AE88+0.601*$AF88+0.188*($T88-$I88/10)+0.161*($AA88-$R88/10)-0.131*$F88+4.5)</f>
        <v/>
      </c>
      <c r="AU88" s="35" t="str">
        <f aca="false">IF(OR($E88="",$F88=""),"",IF($F88/$E88^(1/3)&gt;=40.75,0.732*($F88/$E88^(1/3))-28.58,IF($F88/$E88^(1/3)&gt;=38.25,0.463*($F88/$E88^(1/3))-17.63,0.1)))</f>
        <v/>
      </c>
      <c r="AV88" s="37" t="str">
        <f aca="false">IF(OR($AS88="",$AT88="",$AU88=""),"",IF(AND($AT88&gt;=$AS88,$AT88&gt;=$AU88),"Mesomorfo dominante",IF(AND($AU88&gt;=$AS88,$AU88&gt;=$AT88),"Ectomorfo dominante","Endomorfo dominante")))</f>
        <v/>
      </c>
    </row>
    <row r="89" customFormat="false" ht="15" hidden="false" customHeight="false" outlineLevel="0" collapsed="false">
      <c r="A89" s="29"/>
      <c r="B89" s="27"/>
      <c r="C89" s="28"/>
      <c r="D89" s="27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3" t="str">
        <f aca="false">IFERROR(DATEDIF(INDEX(Cadastro!$D$8:$D$47,MATCH($B89,Cadastro!$B$8:$B$47,0)),$A89,"Y"),"")</f>
        <v/>
      </c>
      <c r="AH89" s="33" t="str">
        <f aca="false">IF(COUNT($I89,$K89,$J89,$N89)&lt;4,"",$I89+$K89+$J89+$N89)</f>
        <v/>
      </c>
      <c r="AI89" s="33" t="str">
        <f aca="false">IF(COUNT($L89,$M89,$I89,$J89,$P89,$N89,$Q89)&lt;7,"",$L89+$M89+$I89+$J89+$P89+$N89+$Q89)</f>
        <v/>
      </c>
      <c r="AJ89" s="33" t="str">
        <f aca="false">IF(COUNT($I89,$J89,$K89,$O89,$P89,$Q89,$R89,$N89)&lt;8,"",$I89+$J89+$K89+$O89+$P89+$Q89+$R89+$N89)</f>
        <v/>
      </c>
      <c r="AK89" s="34" t="str">
        <f aca="false">IF(OR($AI89="",$AG89=""),"",IF(IFERROR(INDEX(Cadastro!$F$8:$F$47,MATCH($B89,Cadastro!$B$8:$B$47,0)),"")="Feminino",1.097-0.00046971*$AI89+0.00000056*$AI89^2-0.00012828*$AG89,1.112-0.00043499*$AI89+0.00000055*$AI89^2-0.00028826*$AG89))</f>
        <v/>
      </c>
      <c r="AL89" s="30" t="str">
        <f aca="false">IF(OR($AK89="",$AK89=0),"",495/$AK89-450)</f>
        <v/>
      </c>
      <c r="AM89" s="35" t="str">
        <f aca="false">IF(OR($AL89="",$E89=""),"",$E89*$AL89/100)</f>
        <v/>
      </c>
      <c r="AN89" s="30" t="str">
        <f aca="false">IF(OR($AM89="",$E89=""),"",$E89-$AM89)</f>
        <v/>
      </c>
      <c r="AO89" s="35" t="str">
        <f aca="false">IFERROR($E89/($F89/100)^2,"")</f>
        <v/>
      </c>
      <c r="AP89" s="35" t="str">
        <f aca="false">IFERROR($G89/$F89*100,"")</f>
        <v/>
      </c>
      <c r="AQ89" s="36" t="str">
        <f aca="false">IFERROR($W89/$F89,"")</f>
        <v/>
      </c>
      <c r="AR89" s="35" t="str">
        <f aca="false">IF(OR($S89="",$I89=""),"",($S89-PI()*$I89/10)^2/(4*PI())-IF(IFERROR(INDEX(Cadastro!$F$8:$F$47,MATCH($B89,Cadastro!$B$8:$B$47,0)),"")="Feminino",6.5,10))</f>
        <v/>
      </c>
      <c r="AS89" s="35" t="str">
        <f aca="false">IF(OR($I89="",$J89="",$O89="",$F89=""),"",-0.7182+0.1451*(($I89+$J89+$O89)*(170.18/$F89))-0.00068*(($I89+$J89+$O89)*(170.18/$F89))^2+0.0000014*(($I89+$J89+$O89)*(170.18/$F89))^3)</f>
        <v/>
      </c>
      <c r="AT89" s="35" t="str">
        <f aca="false">IF(OR($AE89="",$AF89="",$T89="",$AA89="",$F89=""),"",0.858*$AE89+0.601*$AF89+0.188*($T89-$I89/10)+0.161*($AA89-$R89/10)-0.131*$F89+4.5)</f>
        <v/>
      </c>
      <c r="AU89" s="35" t="str">
        <f aca="false">IF(OR($E89="",$F89=""),"",IF($F89/$E89^(1/3)&gt;=40.75,0.732*($F89/$E89^(1/3))-28.58,IF($F89/$E89^(1/3)&gt;=38.25,0.463*($F89/$E89^(1/3))-17.63,0.1)))</f>
        <v/>
      </c>
      <c r="AV89" s="37" t="str">
        <f aca="false">IF(OR($AS89="",$AT89="",$AU89=""),"",IF(AND($AT89&gt;=$AS89,$AT89&gt;=$AU89),"Mesomorfo dominante",IF(AND($AU89&gt;=$AS89,$AU89&gt;=$AT89),"Ectomorfo dominante","Endomorfo dominante")))</f>
        <v/>
      </c>
    </row>
    <row r="90" customFormat="false" ht="15" hidden="false" customHeight="false" outlineLevel="0" collapsed="false">
      <c r="A90" s="29"/>
      <c r="B90" s="27"/>
      <c r="C90" s="28"/>
      <c r="D90" s="27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3" t="str">
        <f aca="false">IFERROR(DATEDIF(INDEX(Cadastro!$D$8:$D$47,MATCH($B90,Cadastro!$B$8:$B$47,0)),$A90,"Y"),"")</f>
        <v/>
      </c>
      <c r="AH90" s="33" t="str">
        <f aca="false">IF(COUNT($I90,$K90,$J90,$N90)&lt;4,"",$I90+$K90+$J90+$N90)</f>
        <v/>
      </c>
      <c r="AI90" s="33" t="str">
        <f aca="false">IF(COUNT($L90,$M90,$I90,$J90,$P90,$N90,$Q90)&lt;7,"",$L90+$M90+$I90+$J90+$P90+$N90+$Q90)</f>
        <v/>
      </c>
      <c r="AJ90" s="33" t="str">
        <f aca="false">IF(COUNT($I90,$J90,$K90,$O90,$P90,$Q90,$R90,$N90)&lt;8,"",$I90+$J90+$K90+$O90+$P90+$Q90+$R90+$N90)</f>
        <v/>
      </c>
      <c r="AK90" s="34" t="str">
        <f aca="false">IF(OR($AI90="",$AG90=""),"",IF(IFERROR(INDEX(Cadastro!$F$8:$F$47,MATCH($B90,Cadastro!$B$8:$B$47,0)),"")="Feminino",1.097-0.00046971*$AI90+0.00000056*$AI90^2-0.00012828*$AG90,1.112-0.00043499*$AI90+0.00000055*$AI90^2-0.00028826*$AG90))</f>
        <v/>
      </c>
      <c r="AL90" s="30" t="str">
        <f aca="false">IF(OR($AK90="",$AK90=0),"",495/$AK90-450)</f>
        <v/>
      </c>
      <c r="AM90" s="35" t="str">
        <f aca="false">IF(OR($AL90="",$E90=""),"",$E90*$AL90/100)</f>
        <v/>
      </c>
      <c r="AN90" s="30" t="str">
        <f aca="false">IF(OR($AM90="",$E90=""),"",$E90-$AM90)</f>
        <v/>
      </c>
      <c r="AO90" s="35" t="str">
        <f aca="false">IFERROR($E90/($F90/100)^2,"")</f>
        <v/>
      </c>
      <c r="AP90" s="35" t="str">
        <f aca="false">IFERROR($G90/$F90*100,"")</f>
        <v/>
      </c>
      <c r="AQ90" s="36" t="str">
        <f aca="false">IFERROR($W90/$F90,"")</f>
        <v/>
      </c>
      <c r="AR90" s="35" t="str">
        <f aca="false">IF(OR($S90="",$I90=""),"",($S90-PI()*$I90/10)^2/(4*PI())-IF(IFERROR(INDEX(Cadastro!$F$8:$F$47,MATCH($B90,Cadastro!$B$8:$B$47,0)),"")="Feminino",6.5,10))</f>
        <v/>
      </c>
      <c r="AS90" s="35" t="str">
        <f aca="false">IF(OR($I90="",$J90="",$O90="",$F90=""),"",-0.7182+0.1451*(($I90+$J90+$O90)*(170.18/$F90))-0.00068*(($I90+$J90+$O90)*(170.18/$F90))^2+0.0000014*(($I90+$J90+$O90)*(170.18/$F90))^3)</f>
        <v/>
      </c>
      <c r="AT90" s="35" t="str">
        <f aca="false">IF(OR($AE90="",$AF90="",$T90="",$AA90="",$F90=""),"",0.858*$AE90+0.601*$AF90+0.188*($T90-$I90/10)+0.161*($AA90-$R90/10)-0.131*$F90+4.5)</f>
        <v/>
      </c>
      <c r="AU90" s="35" t="str">
        <f aca="false">IF(OR($E90="",$F90=""),"",IF($F90/$E90^(1/3)&gt;=40.75,0.732*($F90/$E90^(1/3))-28.58,IF($F90/$E90^(1/3)&gt;=38.25,0.463*($F90/$E90^(1/3))-17.63,0.1)))</f>
        <v/>
      </c>
      <c r="AV90" s="37" t="str">
        <f aca="false">IF(OR($AS90="",$AT90="",$AU90=""),"",IF(AND($AT90&gt;=$AS90,$AT90&gt;=$AU90),"Mesomorfo dominante",IF(AND($AU90&gt;=$AS90,$AU90&gt;=$AT90),"Ectomorfo dominante","Endomorfo dominante")))</f>
        <v/>
      </c>
    </row>
    <row r="91" customFormat="false" ht="15" hidden="false" customHeight="false" outlineLevel="0" collapsed="false">
      <c r="A91" s="29"/>
      <c r="B91" s="27"/>
      <c r="C91" s="28"/>
      <c r="D91" s="27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3" t="str">
        <f aca="false">IFERROR(DATEDIF(INDEX(Cadastro!$D$8:$D$47,MATCH($B91,Cadastro!$B$8:$B$47,0)),$A91,"Y"),"")</f>
        <v/>
      </c>
      <c r="AH91" s="33" t="str">
        <f aca="false">IF(COUNT($I91,$K91,$J91,$N91)&lt;4,"",$I91+$K91+$J91+$N91)</f>
        <v/>
      </c>
      <c r="AI91" s="33" t="str">
        <f aca="false">IF(COUNT($L91,$M91,$I91,$J91,$P91,$N91,$Q91)&lt;7,"",$L91+$M91+$I91+$J91+$P91+$N91+$Q91)</f>
        <v/>
      </c>
      <c r="AJ91" s="33" t="str">
        <f aca="false">IF(COUNT($I91,$J91,$K91,$O91,$P91,$Q91,$R91,$N91)&lt;8,"",$I91+$J91+$K91+$O91+$P91+$Q91+$R91+$N91)</f>
        <v/>
      </c>
      <c r="AK91" s="34" t="str">
        <f aca="false">IF(OR($AI91="",$AG91=""),"",IF(IFERROR(INDEX(Cadastro!$F$8:$F$47,MATCH($B91,Cadastro!$B$8:$B$47,0)),"")="Feminino",1.097-0.00046971*$AI91+0.00000056*$AI91^2-0.00012828*$AG91,1.112-0.00043499*$AI91+0.00000055*$AI91^2-0.00028826*$AG91))</f>
        <v/>
      </c>
      <c r="AL91" s="30" t="str">
        <f aca="false">IF(OR($AK91="",$AK91=0),"",495/$AK91-450)</f>
        <v/>
      </c>
      <c r="AM91" s="35" t="str">
        <f aca="false">IF(OR($AL91="",$E91=""),"",$E91*$AL91/100)</f>
        <v/>
      </c>
      <c r="AN91" s="30" t="str">
        <f aca="false">IF(OR($AM91="",$E91=""),"",$E91-$AM91)</f>
        <v/>
      </c>
      <c r="AO91" s="35" t="str">
        <f aca="false">IFERROR($E91/($F91/100)^2,"")</f>
        <v/>
      </c>
      <c r="AP91" s="35" t="str">
        <f aca="false">IFERROR($G91/$F91*100,"")</f>
        <v/>
      </c>
      <c r="AQ91" s="36" t="str">
        <f aca="false">IFERROR($W91/$F91,"")</f>
        <v/>
      </c>
      <c r="AR91" s="35" t="str">
        <f aca="false">IF(OR($S91="",$I91=""),"",($S91-PI()*$I91/10)^2/(4*PI())-IF(IFERROR(INDEX(Cadastro!$F$8:$F$47,MATCH($B91,Cadastro!$B$8:$B$47,0)),"")="Feminino",6.5,10))</f>
        <v/>
      </c>
      <c r="AS91" s="35" t="str">
        <f aca="false">IF(OR($I91="",$J91="",$O91="",$F91=""),"",-0.7182+0.1451*(($I91+$J91+$O91)*(170.18/$F91))-0.00068*(($I91+$J91+$O91)*(170.18/$F91))^2+0.0000014*(($I91+$J91+$O91)*(170.18/$F91))^3)</f>
        <v/>
      </c>
      <c r="AT91" s="35" t="str">
        <f aca="false">IF(OR($AE91="",$AF91="",$T91="",$AA91="",$F91=""),"",0.858*$AE91+0.601*$AF91+0.188*($T91-$I91/10)+0.161*($AA91-$R91/10)-0.131*$F91+4.5)</f>
        <v/>
      </c>
      <c r="AU91" s="35" t="str">
        <f aca="false">IF(OR($E91="",$F91=""),"",IF($F91/$E91^(1/3)&gt;=40.75,0.732*($F91/$E91^(1/3))-28.58,IF($F91/$E91^(1/3)&gt;=38.25,0.463*($F91/$E91^(1/3))-17.63,0.1)))</f>
        <v/>
      </c>
      <c r="AV91" s="37" t="str">
        <f aca="false">IF(OR($AS91="",$AT91="",$AU91=""),"",IF(AND($AT91&gt;=$AS91,$AT91&gt;=$AU91),"Mesomorfo dominante",IF(AND($AU91&gt;=$AS91,$AU91&gt;=$AT91),"Ectomorfo dominante","Endomorfo dominante")))</f>
        <v/>
      </c>
    </row>
    <row r="92" customFormat="false" ht="15" hidden="false" customHeight="false" outlineLevel="0" collapsed="false">
      <c r="A92" s="29"/>
      <c r="B92" s="27"/>
      <c r="C92" s="28"/>
      <c r="D92" s="27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3" t="str">
        <f aca="false">IFERROR(DATEDIF(INDEX(Cadastro!$D$8:$D$47,MATCH($B92,Cadastro!$B$8:$B$47,0)),$A92,"Y"),"")</f>
        <v/>
      </c>
      <c r="AH92" s="33" t="str">
        <f aca="false">IF(COUNT($I92,$K92,$J92,$N92)&lt;4,"",$I92+$K92+$J92+$N92)</f>
        <v/>
      </c>
      <c r="AI92" s="33" t="str">
        <f aca="false">IF(COUNT($L92,$M92,$I92,$J92,$P92,$N92,$Q92)&lt;7,"",$L92+$M92+$I92+$J92+$P92+$N92+$Q92)</f>
        <v/>
      </c>
      <c r="AJ92" s="33" t="str">
        <f aca="false">IF(COUNT($I92,$J92,$K92,$O92,$P92,$Q92,$R92,$N92)&lt;8,"",$I92+$J92+$K92+$O92+$P92+$Q92+$R92+$N92)</f>
        <v/>
      </c>
      <c r="AK92" s="34" t="str">
        <f aca="false">IF(OR($AI92="",$AG92=""),"",IF(IFERROR(INDEX(Cadastro!$F$8:$F$47,MATCH($B92,Cadastro!$B$8:$B$47,0)),"")="Feminino",1.097-0.00046971*$AI92+0.00000056*$AI92^2-0.00012828*$AG92,1.112-0.00043499*$AI92+0.00000055*$AI92^2-0.00028826*$AG92))</f>
        <v/>
      </c>
      <c r="AL92" s="30" t="str">
        <f aca="false">IF(OR($AK92="",$AK92=0),"",495/$AK92-450)</f>
        <v/>
      </c>
      <c r="AM92" s="35" t="str">
        <f aca="false">IF(OR($AL92="",$E92=""),"",$E92*$AL92/100)</f>
        <v/>
      </c>
      <c r="AN92" s="30" t="str">
        <f aca="false">IF(OR($AM92="",$E92=""),"",$E92-$AM92)</f>
        <v/>
      </c>
      <c r="AO92" s="35" t="str">
        <f aca="false">IFERROR($E92/($F92/100)^2,"")</f>
        <v/>
      </c>
      <c r="AP92" s="35" t="str">
        <f aca="false">IFERROR($G92/$F92*100,"")</f>
        <v/>
      </c>
      <c r="AQ92" s="36" t="str">
        <f aca="false">IFERROR($W92/$F92,"")</f>
        <v/>
      </c>
      <c r="AR92" s="35" t="str">
        <f aca="false">IF(OR($S92="",$I92=""),"",($S92-PI()*$I92/10)^2/(4*PI())-IF(IFERROR(INDEX(Cadastro!$F$8:$F$47,MATCH($B92,Cadastro!$B$8:$B$47,0)),"")="Feminino",6.5,10))</f>
        <v/>
      </c>
      <c r="AS92" s="35" t="str">
        <f aca="false">IF(OR($I92="",$J92="",$O92="",$F92=""),"",-0.7182+0.1451*(($I92+$J92+$O92)*(170.18/$F92))-0.00068*(($I92+$J92+$O92)*(170.18/$F92))^2+0.0000014*(($I92+$J92+$O92)*(170.18/$F92))^3)</f>
        <v/>
      </c>
      <c r="AT92" s="35" t="str">
        <f aca="false">IF(OR($AE92="",$AF92="",$T92="",$AA92="",$F92=""),"",0.858*$AE92+0.601*$AF92+0.188*($T92-$I92/10)+0.161*($AA92-$R92/10)-0.131*$F92+4.5)</f>
        <v/>
      </c>
      <c r="AU92" s="35" t="str">
        <f aca="false">IF(OR($E92="",$F92=""),"",IF($F92/$E92^(1/3)&gt;=40.75,0.732*($F92/$E92^(1/3))-28.58,IF($F92/$E92^(1/3)&gt;=38.25,0.463*($F92/$E92^(1/3))-17.63,0.1)))</f>
        <v/>
      </c>
      <c r="AV92" s="37" t="str">
        <f aca="false">IF(OR($AS92="",$AT92="",$AU92=""),"",IF(AND($AT92&gt;=$AS92,$AT92&gt;=$AU92),"Mesomorfo dominante",IF(AND($AU92&gt;=$AS92,$AU92&gt;=$AT92),"Ectomorfo dominante","Endomorfo dominante")))</f>
        <v/>
      </c>
    </row>
    <row r="93" customFormat="false" ht="15" hidden="false" customHeight="false" outlineLevel="0" collapsed="false">
      <c r="A93" s="29"/>
      <c r="B93" s="27"/>
      <c r="C93" s="28"/>
      <c r="D93" s="27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3" t="str">
        <f aca="false">IFERROR(DATEDIF(INDEX(Cadastro!$D$8:$D$47,MATCH($B93,Cadastro!$B$8:$B$47,0)),$A93,"Y"),"")</f>
        <v/>
      </c>
      <c r="AH93" s="33" t="str">
        <f aca="false">IF(COUNT($I93,$K93,$J93,$N93)&lt;4,"",$I93+$K93+$J93+$N93)</f>
        <v/>
      </c>
      <c r="AI93" s="33" t="str">
        <f aca="false">IF(COUNT($L93,$M93,$I93,$J93,$P93,$N93,$Q93)&lt;7,"",$L93+$M93+$I93+$J93+$P93+$N93+$Q93)</f>
        <v/>
      </c>
      <c r="AJ93" s="33" t="str">
        <f aca="false">IF(COUNT($I93,$J93,$K93,$O93,$P93,$Q93,$R93,$N93)&lt;8,"",$I93+$J93+$K93+$O93+$P93+$Q93+$R93+$N93)</f>
        <v/>
      </c>
      <c r="AK93" s="34" t="str">
        <f aca="false">IF(OR($AI93="",$AG93=""),"",IF(IFERROR(INDEX(Cadastro!$F$8:$F$47,MATCH($B93,Cadastro!$B$8:$B$47,0)),"")="Feminino",1.097-0.00046971*$AI93+0.00000056*$AI93^2-0.00012828*$AG93,1.112-0.00043499*$AI93+0.00000055*$AI93^2-0.00028826*$AG93))</f>
        <v/>
      </c>
      <c r="AL93" s="30" t="str">
        <f aca="false">IF(OR($AK93="",$AK93=0),"",495/$AK93-450)</f>
        <v/>
      </c>
      <c r="AM93" s="35" t="str">
        <f aca="false">IF(OR($AL93="",$E93=""),"",$E93*$AL93/100)</f>
        <v/>
      </c>
      <c r="AN93" s="30" t="str">
        <f aca="false">IF(OR($AM93="",$E93=""),"",$E93-$AM93)</f>
        <v/>
      </c>
      <c r="AO93" s="35" t="str">
        <f aca="false">IFERROR($E93/($F93/100)^2,"")</f>
        <v/>
      </c>
      <c r="AP93" s="35" t="str">
        <f aca="false">IFERROR($G93/$F93*100,"")</f>
        <v/>
      </c>
      <c r="AQ93" s="36" t="str">
        <f aca="false">IFERROR($W93/$F93,"")</f>
        <v/>
      </c>
      <c r="AR93" s="35" t="str">
        <f aca="false">IF(OR($S93="",$I93=""),"",($S93-PI()*$I93/10)^2/(4*PI())-IF(IFERROR(INDEX(Cadastro!$F$8:$F$47,MATCH($B93,Cadastro!$B$8:$B$47,0)),"")="Feminino",6.5,10))</f>
        <v/>
      </c>
      <c r="AS93" s="35" t="str">
        <f aca="false">IF(OR($I93="",$J93="",$O93="",$F93=""),"",-0.7182+0.1451*(($I93+$J93+$O93)*(170.18/$F93))-0.00068*(($I93+$J93+$O93)*(170.18/$F93))^2+0.0000014*(($I93+$J93+$O93)*(170.18/$F93))^3)</f>
        <v/>
      </c>
      <c r="AT93" s="35" t="str">
        <f aca="false">IF(OR($AE93="",$AF93="",$T93="",$AA93="",$F93=""),"",0.858*$AE93+0.601*$AF93+0.188*($T93-$I93/10)+0.161*($AA93-$R93/10)-0.131*$F93+4.5)</f>
        <v/>
      </c>
      <c r="AU93" s="35" t="str">
        <f aca="false">IF(OR($E93="",$F93=""),"",IF($F93/$E93^(1/3)&gt;=40.75,0.732*($F93/$E93^(1/3))-28.58,IF($F93/$E93^(1/3)&gt;=38.25,0.463*($F93/$E93^(1/3))-17.63,0.1)))</f>
        <v/>
      </c>
      <c r="AV93" s="37" t="str">
        <f aca="false">IF(OR($AS93="",$AT93="",$AU93=""),"",IF(AND($AT93&gt;=$AS93,$AT93&gt;=$AU93),"Mesomorfo dominante",IF(AND($AU93&gt;=$AS93,$AU93&gt;=$AT93),"Ectomorfo dominante","Endomorfo dominante")))</f>
        <v/>
      </c>
    </row>
    <row r="94" customFormat="false" ht="15" hidden="false" customHeight="false" outlineLevel="0" collapsed="false">
      <c r="A94" s="29"/>
      <c r="B94" s="27"/>
      <c r="C94" s="28"/>
      <c r="D94" s="27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3" t="str">
        <f aca="false">IFERROR(DATEDIF(INDEX(Cadastro!$D$8:$D$47,MATCH($B94,Cadastro!$B$8:$B$47,0)),$A94,"Y"),"")</f>
        <v/>
      </c>
      <c r="AH94" s="33" t="str">
        <f aca="false">IF(COUNT($I94,$K94,$J94,$N94)&lt;4,"",$I94+$K94+$J94+$N94)</f>
        <v/>
      </c>
      <c r="AI94" s="33" t="str">
        <f aca="false">IF(COUNT($L94,$M94,$I94,$J94,$P94,$N94,$Q94)&lt;7,"",$L94+$M94+$I94+$J94+$P94+$N94+$Q94)</f>
        <v/>
      </c>
      <c r="AJ94" s="33" t="str">
        <f aca="false">IF(COUNT($I94,$J94,$K94,$O94,$P94,$Q94,$R94,$N94)&lt;8,"",$I94+$J94+$K94+$O94+$P94+$Q94+$R94+$N94)</f>
        <v/>
      </c>
      <c r="AK94" s="34" t="str">
        <f aca="false">IF(OR($AI94="",$AG94=""),"",IF(IFERROR(INDEX(Cadastro!$F$8:$F$47,MATCH($B94,Cadastro!$B$8:$B$47,0)),"")="Feminino",1.097-0.00046971*$AI94+0.00000056*$AI94^2-0.00012828*$AG94,1.112-0.00043499*$AI94+0.00000055*$AI94^2-0.00028826*$AG94))</f>
        <v/>
      </c>
      <c r="AL94" s="30" t="str">
        <f aca="false">IF(OR($AK94="",$AK94=0),"",495/$AK94-450)</f>
        <v/>
      </c>
      <c r="AM94" s="35" t="str">
        <f aca="false">IF(OR($AL94="",$E94=""),"",$E94*$AL94/100)</f>
        <v/>
      </c>
      <c r="AN94" s="30" t="str">
        <f aca="false">IF(OR($AM94="",$E94=""),"",$E94-$AM94)</f>
        <v/>
      </c>
      <c r="AO94" s="35" t="str">
        <f aca="false">IFERROR($E94/($F94/100)^2,"")</f>
        <v/>
      </c>
      <c r="AP94" s="35" t="str">
        <f aca="false">IFERROR($G94/$F94*100,"")</f>
        <v/>
      </c>
      <c r="AQ94" s="36" t="str">
        <f aca="false">IFERROR($W94/$F94,"")</f>
        <v/>
      </c>
      <c r="AR94" s="35" t="str">
        <f aca="false">IF(OR($S94="",$I94=""),"",($S94-PI()*$I94/10)^2/(4*PI())-IF(IFERROR(INDEX(Cadastro!$F$8:$F$47,MATCH($B94,Cadastro!$B$8:$B$47,0)),"")="Feminino",6.5,10))</f>
        <v/>
      </c>
      <c r="AS94" s="35" t="str">
        <f aca="false">IF(OR($I94="",$J94="",$O94="",$F94=""),"",-0.7182+0.1451*(($I94+$J94+$O94)*(170.18/$F94))-0.00068*(($I94+$J94+$O94)*(170.18/$F94))^2+0.0000014*(($I94+$J94+$O94)*(170.18/$F94))^3)</f>
        <v/>
      </c>
      <c r="AT94" s="35" t="str">
        <f aca="false">IF(OR($AE94="",$AF94="",$T94="",$AA94="",$F94=""),"",0.858*$AE94+0.601*$AF94+0.188*($T94-$I94/10)+0.161*($AA94-$R94/10)-0.131*$F94+4.5)</f>
        <v/>
      </c>
      <c r="AU94" s="35" t="str">
        <f aca="false">IF(OR($E94="",$F94=""),"",IF($F94/$E94^(1/3)&gt;=40.75,0.732*($F94/$E94^(1/3))-28.58,IF($F94/$E94^(1/3)&gt;=38.25,0.463*($F94/$E94^(1/3))-17.63,0.1)))</f>
        <v/>
      </c>
      <c r="AV94" s="37" t="str">
        <f aca="false">IF(OR($AS94="",$AT94="",$AU94=""),"",IF(AND($AT94&gt;=$AS94,$AT94&gt;=$AU94),"Mesomorfo dominante",IF(AND($AU94&gt;=$AS94,$AU94&gt;=$AT94),"Ectomorfo dominante","Endomorfo dominante")))</f>
        <v/>
      </c>
    </row>
    <row r="95" customFormat="false" ht="15" hidden="false" customHeight="false" outlineLevel="0" collapsed="false">
      <c r="A95" s="29"/>
      <c r="B95" s="27"/>
      <c r="C95" s="28"/>
      <c r="D95" s="27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3" t="str">
        <f aca="false">IFERROR(DATEDIF(INDEX(Cadastro!$D$8:$D$47,MATCH($B95,Cadastro!$B$8:$B$47,0)),$A95,"Y"),"")</f>
        <v/>
      </c>
      <c r="AH95" s="33" t="str">
        <f aca="false">IF(COUNT($I95,$K95,$J95,$N95)&lt;4,"",$I95+$K95+$J95+$N95)</f>
        <v/>
      </c>
      <c r="AI95" s="33" t="str">
        <f aca="false">IF(COUNT($L95,$M95,$I95,$J95,$P95,$N95,$Q95)&lt;7,"",$L95+$M95+$I95+$J95+$P95+$N95+$Q95)</f>
        <v/>
      </c>
      <c r="AJ95" s="33" t="str">
        <f aca="false">IF(COUNT($I95,$J95,$K95,$O95,$P95,$Q95,$R95,$N95)&lt;8,"",$I95+$J95+$K95+$O95+$P95+$Q95+$R95+$N95)</f>
        <v/>
      </c>
      <c r="AK95" s="34" t="str">
        <f aca="false">IF(OR($AI95="",$AG95=""),"",IF(IFERROR(INDEX(Cadastro!$F$8:$F$47,MATCH($B95,Cadastro!$B$8:$B$47,0)),"")="Feminino",1.097-0.00046971*$AI95+0.00000056*$AI95^2-0.00012828*$AG95,1.112-0.00043499*$AI95+0.00000055*$AI95^2-0.00028826*$AG95))</f>
        <v/>
      </c>
      <c r="AL95" s="30" t="str">
        <f aca="false">IF(OR($AK95="",$AK95=0),"",495/$AK95-450)</f>
        <v/>
      </c>
      <c r="AM95" s="35" t="str">
        <f aca="false">IF(OR($AL95="",$E95=""),"",$E95*$AL95/100)</f>
        <v/>
      </c>
      <c r="AN95" s="30" t="str">
        <f aca="false">IF(OR($AM95="",$E95=""),"",$E95-$AM95)</f>
        <v/>
      </c>
      <c r="AO95" s="35" t="str">
        <f aca="false">IFERROR($E95/($F95/100)^2,"")</f>
        <v/>
      </c>
      <c r="AP95" s="35" t="str">
        <f aca="false">IFERROR($G95/$F95*100,"")</f>
        <v/>
      </c>
      <c r="AQ95" s="36" t="str">
        <f aca="false">IFERROR($W95/$F95,"")</f>
        <v/>
      </c>
      <c r="AR95" s="35" t="str">
        <f aca="false">IF(OR($S95="",$I95=""),"",($S95-PI()*$I95/10)^2/(4*PI())-IF(IFERROR(INDEX(Cadastro!$F$8:$F$47,MATCH($B95,Cadastro!$B$8:$B$47,0)),"")="Feminino",6.5,10))</f>
        <v/>
      </c>
      <c r="AS95" s="35" t="str">
        <f aca="false">IF(OR($I95="",$J95="",$O95="",$F95=""),"",-0.7182+0.1451*(($I95+$J95+$O95)*(170.18/$F95))-0.00068*(($I95+$J95+$O95)*(170.18/$F95))^2+0.0000014*(($I95+$J95+$O95)*(170.18/$F95))^3)</f>
        <v/>
      </c>
      <c r="AT95" s="35" t="str">
        <f aca="false">IF(OR($AE95="",$AF95="",$T95="",$AA95="",$F95=""),"",0.858*$AE95+0.601*$AF95+0.188*($T95-$I95/10)+0.161*($AA95-$R95/10)-0.131*$F95+4.5)</f>
        <v/>
      </c>
      <c r="AU95" s="35" t="str">
        <f aca="false">IF(OR($E95="",$F95=""),"",IF($F95/$E95^(1/3)&gt;=40.75,0.732*($F95/$E95^(1/3))-28.58,IF($F95/$E95^(1/3)&gt;=38.25,0.463*($F95/$E95^(1/3))-17.63,0.1)))</f>
        <v/>
      </c>
      <c r="AV95" s="37" t="str">
        <f aca="false">IF(OR($AS95="",$AT95="",$AU95=""),"",IF(AND($AT95&gt;=$AS95,$AT95&gt;=$AU95),"Mesomorfo dominante",IF(AND($AU95&gt;=$AS95,$AU95&gt;=$AT95),"Ectomorfo dominante","Endomorfo dominante")))</f>
        <v/>
      </c>
    </row>
    <row r="96" customFormat="false" ht="15" hidden="false" customHeight="false" outlineLevel="0" collapsed="false">
      <c r="A96" s="29"/>
      <c r="B96" s="27"/>
      <c r="C96" s="28"/>
      <c r="D96" s="27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3" t="str">
        <f aca="false">IFERROR(DATEDIF(INDEX(Cadastro!$D$8:$D$47,MATCH($B96,Cadastro!$B$8:$B$47,0)),$A96,"Y"),"")</f>
        <v/>
      </c>
      <c r="AH96" s="33" t="str">
        <f aca="false">IF(COUNT($I96,$K96,$J96,$N96)&lt;4,"",$I96+$K96+$J96+$N96)</f>
        <v/>
      </c>
      <c r="AI96" s="33" t="str">
        <f aca="false">IF(COUNT($L96,$M96,$I96,$J96,$P96,$N96,$Q96)&lt;7,"",$L96+$M96+$I96+$J96+$P96+$N96+$Q96)</f>
        <v/>
      </c>
      <c r="AJ96" s="33" t="str">
        <f aca="false">IF(COUNT($I96,$J96,$K96,$O96,$P96,$Q96,$R96,$N96)&lt;8,"",$I96+$J96+$K96+$O96+$P96+$Q96+$R96+$N96)</f>
        <v/>
      </c>
      <c r="AK96" s="34" t="str">
        <f aca="false">IF(OR($AI96="",$AG96=""),"",IF(IFERROR(INDEX(Cadastro!$F$8:$F$47,MATCH($B96,Cadastro!$B$8:$B$47,0)),"")="Feminino",1.097-0.00046971*$AI96+0.00000056*$AI96^2-0.00012828*$AG96,1.112-0.00043499*$AI96+0.00000055*$AI96^2-0.00028826*$AG96))</f>
        <v/>
      </c>
      <c r="AL96" s="30" t="str">
        <f aca="false">IF(OR($AK96="",$AK96=0),"",495/$AK96-450)</f>
        <v/>
      </c>
      <c r="AM96" s="35" t="str">
        <f aca="false">IF(OR($AL96="",$E96=""),"",$E96*$AL96/100)</f>
        <v/>
      </c>
      <c r="AN96" s="30" t="str">
        <f aca="false">IF(OR($AM96="",$E96=""),"",$E96-$AM96)</f>
        <v/>
      </c>
      <c r="AO96" s="35" t="str">
        <f aca="false">IFERROR($E96/($F96/100)^2,"")</f>
        <v/>
      </c>
      <c r="AP96" s="35" t="str">
        <f aca="false">IFERROR($G96/$F96*100,"")</f>
        <v/>
      </c>
      <c r="AQ96" s="36" t="str">
        <f aca="false">IFERROR($W96/$F96,"")</f>
        <v/>
      </c>
      <c r="AR96" s="35" t="str">
        <f aca="false">IF(OR($S96="",$I96=""),"",($S96-PI()*$I96/10)^2/(4*PI())-IF(IFERROR(INDEX(Cadastro!$F$8:$F$47,MATCH($B96,Cadastro!$B$8:$B$47,0)),"")="Feminino",6.5,10))</f>
        <v/>
      </c>
      <c r="AS96" s="35" t="str">
        <f aca="false">IF(OR($I96="",$J96="",$O96="",$F96=""),"",-0.7182+0.1451*(($I96+$J96+$O96)*(170.18/$F96))-0.00068*(($I96+$J96+$O96)*(170.18/$F96))^2+0.0000014*(($I96+$J96+$O96)*(170.18/$F96))^3)</f>
        <v/>
      </c>
      <c r="AT96" s="35" t="str">
        <f aca="false">IF(OR($AE96="",$AF96="",$T96="",$AA96="",$F96=""),"",0.858*$AE96+0.601*$AF96+0.188*($T96-$I96/10)+0.161*($AA96-$R96/10)-0.131*$F96+4.5)</f>
        <v/>
      </c>
      <c r="AU96" s="35" t="str">
        <f aca="false">IF(OR($E96="",$F96=""),"",IF($F96/$E96^(1/3)&gt;=40.75,0.732*($F96/$E96^(1/3))-28.58,IF($F96/$E96^(1/3)&gt;=38.25,0.463*($F96/$E96^(1/3))-17.63,0.1)))</f>
        <v/>
      </c>
      <c r="AV96" s="37" t="str">
        <f aca="false">IF(OR($AS96="",$AT96="",$AU96=""),"",IF(AND($AT96&gt;=$AS96,$AT96&gt;=$AU96),"Mesomorfo dominante",IF(AND($AU96&gt;=$AS96,$AU96&gt;=$AT96),"Ectomorfo dominante","Endomorfo dominante")))</f>
        <v/>
      </c>
    </row>
    <row r="97" customFormat="false" ht="15" hidden="false" customHeight="false" outlineLevel="0" collapsed="false">
      <c r="A97" s="29"/>
      <c r="B97" s="27"/>
      <c r="C97" s="28"/>
      <c r="D97" s="27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3" t="str">
        <f aca="false">IFERROR(DATEDIF(INDEX(Cadastro!$D$8:$D$47,MATCH($B97,Cadastro!$B$8:$B$47,0)),$A97,"Y"),"")</f>
        <v/>
      </c>
      <c r="AH97" s="33" t="str">
        <f aca="false">IF(COUNT($I97,$K97,$J97,$N97)&lt;4,"",$I97+$K97+$J97+$N97)</f>
        <v/>
      </c>
      <c r="AI97" s="33" t="str">
        <f aca="false">IF(COUNT($L97,$M97,$I97,$J97,$P97,$N97,$Q97)&lt;7,"",$L97+$M97+$I97+$J97+$P97+$N97+$Q97)</f>
        <v/>
      </c>
      <c r="AJ97" s="33" t="str">
        <f aca="false">IF(COUNT($I97,$J97,$K97,$O97,$P97,$Q97,$R97,$N97)&lt;8,"",$I97+$J97+$K97+$O97+$P97+$Q97+$R97+$N97)</f>
        <v/>
      </c>
      <c r="AK97" s="34" t="str">
        <f aca="false">IF(OR($AI97="",$AG97=""),"",IF(IFERROR(INDEX(Cadastro!$F$8:$F$47,MATCH($B97,Cadastro!$B$8:$B$47,0)),"")="Feminino",1.097-0.00046971*$AI97+0.00000056*$AI97^2-0.00012828*$AG97,1.112-0.00043499*$AI97+0.00000055*$AI97^2-0.00028826*$AG97))</f>
        <v/>
      </c>
      <c r="AL97" s="30" t="str">
        <f aca="false">IF(OR($AK97="",$AK97=0),"",495/$AK97-450)</f>
        <v/>
      </c>
      <c r="AM97" s="35" t="str">
        <f aca="false">IF(OR($AL97="",$E97=""),"",$E97*$AL97/100)</f>
        <v/>
      </c>
      <c r="AN97" s="30" t="str">
        <f aca="false">IF(OR($AM97="",$E97=""),"",$E97-$AM97)</f>
        <v/>
      </c>
      <c r="AO97" s="35" t="str">
        <f aca="false">IFERROR($E97/($F97/100)^2,"")</f>
        <v/>
      </c>
      <c r="AP97" s="35" t="str">
        <f aca="false">IFERROR($G97/$F97*100,"")</f>
        <v/>
      </c>
      <c r="AQ97" s="36" t="str">
        <f aca="false">IFERROR($W97/$F97,"")</f>
        <v/>
      </c>
      <c r="AR97" s="35" t="str">
        <f aca="false">IF(OR($S97="",$I97=""),"",($S97-PI()*$I97/10)^2/(4*PI())-IF(IFERROR(INDEX(Cadastro!$F$8:$F$47,MATCH($B97,Cadastro!$B$8:$B$47,0)),"")="Feminino",6.5,10))</f>
        <v/>
      </c>
      <c r="AS97" s="35" t="str">
        <f aca="false">IF(OR($I97="",$J97="",$O97="",$F97=""),"",-0.7182+0.1451*(($I97+$J97+$O97)*(170.18/$F97))-0.00068*(($I97+$J97+$O97)*(170.18/$F97))^2+0.0000014*(($I97+$J97+$O97)*(170.18/$F97))^3)</f>
        <v/>
      </c>
      <c r="AT97" s="35" t="str">
        <f aca="false">IF(OR($AE97="",$AF97="",$T97="",$AA97="",$F97=""),"",0.858*$AE97+0.601*$AF97+0.188*($T97-$I97/10)+0.161*($AA97-$R97/10)-0.131*$F97+4.5)</f>
        <v/>
      </c>
      <c r="AU97" s="35" t="str">
        <f aca="false">IF(OR($E97="",$F97=""),"",IF($F97/$E97^(1/3)&gt;=40.75,0.732*($F97/$E97^(1/3))-28.58,IF($F97/$E97^(1/3)&gt;=38.25,0.463*($F97/$E97^(1/3))-17.63,0.1)))</f>
        <v/>
      </c>
      <c r="AV97" s="37" t="str">
        <f aca="false">IF(OR($AS97="",$AT97="",$AU97=""),"",IF(AND($AT97&gt;=$AS97,$AT97&gt;=$AU97),"Mesomorfo dominante",IF(AND($AU97&gt;=$AS97,$AU97&gt;=$AT97),"Ectomorfo dominante","Endomorfo dominante")))</f>
        <v/>
      </c>
    </row>
    <row r="98" customFormat="false" ht="15" hidden="false" customHeight="false" outlineLevel="0" collapsed="false">
      <c r="A98" s="29"/>
      <c r="B98" s="27"/>
      <c r="C98" s="28"/>
      <c r="D98" s="27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3" t="str">
        <f aca="false">IFERROR(DATEDIF(INDEX(Cadastro!$D$8:$D$47,MATCH($B98,Cadastro!$B$8:$B$47,0)),$A98,"Y"),"")</f>
        <v/>
      </c>
      <c r="AH98" s="33" t="str">
        <f aca="false">IF(COUNT($I98,$K98,$J98,$N98)&lt;4,"",$I98+$K98+$J98+$N98)</f>
        <v/>
      </c>
      <c r="AI98" s="33" t="str">
        <f aca="false">IF(COUNT($L98,$M98,$I98,$J98,$P98,$N98,$Q98)&lt;7,"",$L98+$M98+$I98+$J98+$P98+$N98+$Q98)</f>
        <v/>
      </c>
      <c r="AJ98" s="33" t="str">
        <f aca="false">IF(COUNT($I98,$J98,$K98,$O98,$P98,$Q98,$R98,$N98)&lt;8,"",$I98+$J98+$K98+$O98+$P98+$Q98+$R98+$N98)</f>
        <v/>
      </c>
      <c r="AK98" s="34" t="str">
        <f aca="false">IF(OR($AI98="",$AG98=""),"",IF(IFERROR(INDEX(Cadastro!$F$8:$F$47,MATCH($B98,Cadastro!$B$8:$B$47,0)),"")="Feminino",1.097-0.00046971*$AI98+0.00000056*$AI98^2-0.00012828*$AG98,1.112-0.00043499*$AI98+0.00000055*$AI98^2-0.00028826*$AG98))</f>
        <v/>
      </c>
      <c r="AL98" s="30" t="str">
        <f aca="false">IF(OR($AK98="",$AK98=0),"",495/$AK98-450)</f>
        <v/>
      </c>
      <c r="AM98" s="35" t="str">
        <f aca="false">IF(OR($AL98="",$E98=""),"",$E98*$AL98/100)</f>
        <v/>
      </c>
      <c r="AN98" s="30" t="str">
        <f aca="false">IF(OR($AM98="",$E98=""),"",$E98-$AM98)</f>
        <v/>
      </c>
      <c r="AO98" s="35" t="str">
        <f aca="false">IFERROR($E98/($F98/100)^2,"")</f>
        <v/>
      </c>
      <c r="AP98" s="35" t="str">
        <f aca="false">IFERROR($G98/$F98*100,"")</f>
        <v/>
      </c>
      <c r="AQ98" s="36" t="str">
        <f aca="false">IFERROR($W98/$F98,"")</f>
        <v/>
      </c>
      <c r="AR98" s="35" t="str">
        <f aca="false">IF(OR($S98="",$I98=""),"",($S98-PI()*$I98/10)^2/(4*PI())-IF(IFERROR(INDEX(Cadastro!$F$8:$F$47,MATCH($B98,Cadastro!$B$8:$B$47,0)),"")="Feminino",6.5,10))</f>
        <v/>
      </c>
      <c r="AS98" s="35" t="str">
        <f aca="false">IF(OR($I98="",$J98="",$O98="",$F98=""),"",-0.7182+0.1451*(($I98+$J98+$O98)*(170.18/$F98))-0.00068*(($I98+$J98+$O98)*(170.18/$F98))^2+0.0000014*(($I98+$J98+$O98)*(170.18/$F98))^3)</f>
        <v/>
      </c>
      <c r="AT98" s="35" t="str">
        <f aca="false">IF(OR($AE98="",$AF98="",$T98="",$AA98="",$F98=""),"",0.858*$AE98+0.601*$AF98+0.188*($T98-$I98/10)+0.161*($AA98-$R98/10)-0.131*$F98+4.5)</f>
        <v/>
      </c>
      <c r="AU98" s="35" t="str">
        <f aca="false">IF(OR($E98="",$F98=""),"",IF($F98/$E98^(1/3)&gt;=40.75,0.732*($F98/$E98^(1/3))-28.58,IF($F98/$E98^(1/3)&gt;=38.25,0.463*($F98/$E98^(1/3))-17.63,0.1)))</f>
        <v/>
      </c>
      <c r="AV98" s="37" t="str">
        <f aca="false">IF(OR($AS98="",$AT98="",$AU98=""),"",IF(AND($AT98&gt;=$AS98,$AT98&gt;=$AU98),"Mesomorfo dominante",IF(AND($AU98&gt;=$AS98,$AU98&gt;=$AT98),"Ectomorfo dominante","Endomorfo dominante")))</f>
        <v/>
      </c>
    </row>
    <row r="99" customFormat="false" ht="15" hidden="false" customHeight="false" outlineLevel="0" collapsed="false">
      <c r="A99" s="29"/>
      <c r="B99" s="27"/>
      <c r="C99" s="28"/>
      <c r="D99" s="27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3" t="str">
        <f aca="false">IFERROR(DATEDIF(INDEX(Cadastro!$D$8:$D$47,MATCH($B99,Cadastro!$B$8:$B$47,0)),$A99,"Y"),"")</f>
        <v/>
      </c>
      <c r="AH99" s="33" t="str">
        <f aca="false">IF(COUNT($I99,$K99,$J99,$N99)&lt;4,"",$I99+$K99+$J99+$N99)</f>
        <v/>
      </c>
      <c r="AI99" s="33" t="str">
        <f aca="false">IF(COUNT($L99,$M99,$I99,$J99,$P99,$N99,$Q99)&lt;7,"",$L99+$M99+$I99+$J99+$P99+$N99+$Q99)</f>
        <v/>
      </c>
      <c r="AJ99" s="33" t="str">
        <f aca="false">IF(COUNT($I99,$J99,$K99,$O99,$P99,$Q99,$R99,$N99)&lt;8,"",$I99+$J99+$K99+$O99+$P99+$Q99+$R99+$N99)</f>
        <v/>
      </c>
      <c r="AK99" s="34" t="str">
        <f aca="false">IF(OR($AI99="",$AG99=""),"",IF(IFERROR(INDEX(Cadastro!$F$8:$F$47,MATCH($B99,Cadastro!$B$8:$B$47,0)),"")="Feminino",1.097-0.00046971*$AI99+0.00000056*$AI99^2-0.00012828*$AG99,1.112-0.00043499*$AI99+0.00000055*$AI99^2-0.00028826*$AG99))</f>
        <v/>
      </c>
      <c r="AL99" s="30" t="str">
        <f aca="false">IF(OR($AK99="",$AK99=0),"",495/$AK99-450)</f>
        <v/>
      </c>
      <c r="AM99" s="35" t="str">
        <f aca="false">IF(OR($AL99="",$E99=""),"",$E99*$AL99/100)</f>
        <v/>
      </c>
      <c r="AN99" s="30" t="str">
        <f aca="false">IF(OR($AM99="",$E99=""),"",$E99-$AM99)</f>
        <v/>
      </c>
      <c r="AO99" s="35" t="str">
        <f aca="false">IFERROR($E99/($F99/100)^2,"")</f>
        <v/>
      </c>
      <c r="AP99" s="35" t="str">
        <f aca="false">IFERROR($G99/$F99*100,"")</f>
        <v/>
      </c>
      <c r="AQ99" s="36" t="str">
        <f aca="false">IFERROR($W99/$F99,"")</f>
        <v/>
      </c>
      <c r="AR99" s="35" t="str">
        <f aca="false">IF(OR($S99="",$I99=""),"",($S99-PI()*$I99/10)^2/(4*PI())-IF(IFERROR(INDEX(Cadastro!$F$8:$F$47,MATCH($B99,Cadastro!$B$8:$B$47,0)),"")="Feminino",6.5,10))</f>
        <v/>
      </c>
      <c r="AS99" s="35" t="str">
        <f aca="false">IF(OR($I99="",$J99="",$O99="",$F99=""),"",-0.7182+0.1451*(($I99+$J99+$O99)*(170.18/$F99))-0.00068*(($I99+$J99+$O99)*(170.18/$F99))^2+0.0000014*(($I99+$J99+$O99)*(170.18/$F99))^3)</f>
        <v/>
      </c>
      <c r="AT99" s="35" t="str">
        <f aca="false">IF(OR($AE99="",$AF99="",$T99="",$AA99="",$F99=""),"",0.858*$AE99+0.601*$AF99+0.188*($T99-$I99/10)+0.161*($AA99-$R99/10)-0.131*$F99+4.5)</f>
        <v/>
      </c>
      <c r="AU99" s="35" t="str">
        <f aca="false">IF(OR($E99="",$F99=""),"",IF($F99/$E99^(1/3)&gt;=40.75,0.732*($F99/$E99^(1/3))-28.58,IF($F99/$E99^(1/3)&gt;=38.25,0.463*($F99/$E99^(1/3))-17.63,0.1)))</f>
        <v/>
      </c>
      <c r="AV99" s="37" t="str">
        <f aca="false">IF(OR($AS99="",$AT99="",$AU99=""),"",IF(AND($AT99&gt;=$AS99,$AT99&gt;=$AU99),"Mesomorfo dominante",IF(AND($AU99&gt;=$AS99,$AU99&gt;=$AT99),"Ectomorfo dominante","Endomorfo dominante")))</f>
        <v/>
      </c>
    </row>
    <row r="100" customFormat="false" ht="15" hidden="false" customHeight="false" outlineLevel="0" collapsed="false">
      <c r="A100" s="29"/>
      <c r="B100" s="27"/>
      <c r="C100" s="28"/>
      <c r="D100" s="27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3" t="str">
        <f aca="false">IFERROR(DATEDIF(INDEX(Cadastro!$D$8:$D$47,MATCH($B100,Cadastro!$B$8:$B$47,0)),$A100,"Y"),"")</f>
        <v/>
      </c>
      <c r="AH100" s="33" t="str">
        <f aca="false">IF(COUNT($I100,$K100,$J100,$N100)&lt;4,"",$I100+$K100+$J100+$N100)</f>
        <v/>
      </c>
      <c r="AI100" s="33" t="str">
        <f aca="false">IF(COUNT($L100,$M100,$I100,$J100,$P100,$N100,$Q100)&lt;7,"",$L100+$M100+$I100+$J100+$P100+$N100+$Q100)</f>
        <v/>
      </c>
      <c r="AJ100" s="33" t="str">
        <f aca="false">IF(COUNT($I100,$J100,$K100,$O100,$P100,$Q100,$R100,$N100)&lt;8,"",$I100+$J100+$K100+$O100+$P100+$Q100+$R100+$N100)</f>
        <v/>
      </c>
      <c r="AK100" s="34" t="str">
        <f aca="false">IF(OR($AI100="",$AG100=""),"",IF(IFERROR(INDEX(Cadastro!$F$8:$F$47,MATCH($B100,Cadastro!$B$8:$B$47,0)),"")="Feminino",1.097-0.00046971*$AI100+0.00000056*$AI100^2-0.00012828*$AG100,1.112-0.00043499*$AI100+0.00000055*$AI100^2-0.00028826*$AG100))</f>
        <v/>
      </c>
      <c r="AL100" s="30" t="str">
        <f aca="false">IF(OR($AK100="",$AK100=0),"",495/$AK100-450)</f>
        <v/>
      </c>
      <c r="AM100" s="35" t="str">
        <f aca="false">IF(OR($AL100="",$E100=""),"",$E100*$AL100/100)</f>
        <v/>
      </c>
      <c r="AN100" s="30" t="str">
        <f aca="false">IF(OR($AM100="",$E100=""),"",$E100-$AM100)</f>
        <v/>
      </c>
      <c r="AO100" s="35" t="str">
        <f aca="false">IFERROR($E100/($F100/100)^2,"")</f>
        <v/>
      </c>
      <c r="AP100" s="35" t="str">
        <f aca="false">IFERROR($G100/$F100*100,"")</f>
        <v/>
      </c>
      <c r="AQ100" s="36" t="str">
        <f aca="false">IFERROR($W100/$F100,"")</f>
        <v/>
      </c>
      <c r="AR100" s="35" t="str">
        <f aca="false">IF(OR($S100="",$I100=""),"",($S100-PI()*$I100/10)^2/(4*PI())-IF(IFERROR(INDEX(Cadastro!$F$8:$F$47,MATCH($B100,Cadastro!$B$8:$B$47,0)),"")="Feminino",6.5,10))</f>
        <v/>
      </c>
      <c r="AS100" s="35" t="str">
        <f aca="false">IF(OR($I100="",$J100="",$O100="",$F100=""),"",-0.7182+0.1451*(($I100+$J100+$O100)*(170.18/$F100))-0.00068*(($I100+$J100+$O100)*(170.18/$F100))^2+0.0000014*(($I100+$J100+$O100)*(170.18/$F100))^3)</f>
        <v/>
      </c>
      <c r="AT100" s="35" t="str">
        <f aca="false">IF(OR($AE100="",$AF100="",$T100="",$AA100="",$F100=""),"",0.858*$AE100+0.601*$AF100+0.188*($T100-$I100/10)+0.161*($AA100-$R100/10)-0.131*$F100+4.5)</f>
        <v/>
      </c>
      <c r="AU100" s="35" t="str">
        <f aca="false">IF(OR($E100="",$F100=""),"",IF($F100/$E100^(1/3)&gt;=40.75,0.732*($F100/$E100^(1/3))-28.58,IF($F100/$E100^(1/3)&gt;=38.25,0.463*($F100/$E100^(1/3))-17.63,0.1)))</f>
        <v/>
      </c>
      <c r="AV100" s="37" t="str">
        <f aca="false">IF(OR($AS100="",$AT100="",$AU100=""),"",IF(AND($AT100&gt;=$AS100,$AT100&gt;=$AU100),"Mesomorfo dominante",IF(AND($AU100&gt;=$AS100,$AU100&gt;=$AT100),"Ectomorfo dominante","Endomorfo dominante")))</f>
        <v/>
      </c>
    </row>
    <row r="101" customFormat="false" ht="15" hidden="false" customHeight="false" outlineLevel="0" collapsed="false">
      <c r="A101" s="29"/>
      <c r="B101" s="27"/>
      <c r="C101" s="28"/>
      <c r="D101" s="27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3" t="str">
        <f aca="false">IFERROR(DATEDIF(INDEX(Cadastro!$D$8:$D$47,MATCH($B101,Cadastro!$B$8:$B$47,0)),$A101,"Y"),"")</f>
        <v/>
      </c>
      <c r="AH101" s="33" t="str">
        <f aca="false">IF(COUNT($I101,$K101,$J101,$N101)&lt;4,"",$I101+$K101+$J101+$N101)</f>
        <v/>
      </c>
      <c r="AI101" s="33" t="str">
        <f aca="false">IF(COUNT($L101,$M101,$I101,$J101,$P101,$N101,$Q101)&lt;7,"",$L101+$M101+$I101+$J101+$P101+$N101+$Q101)</f>
        <v/>
      </c>
      <c r="AJ101" s="33" t="str">
        <f aca="false">IF(COUNT($I101,$J101,$K101,$O101,$P101,$Q101,$R101,$N101)&lt;8,"",$I101+$J101+$K101+$O101+$P101+$Q101+$R101+$N101)</f>
        <v/>
      </c>
      <c r="AK101" s="34" t="str">
        <f aca="false">IF(OR($AI101="",$AG101=""),"",IF(IFERROR(INDEX(Cadastro!$F$8:$F$47,MATCH($B101,Cadastro!$B$8:$B$47,0)),"")="Feminino",1.097-0.00046971*$AI101+0.00000056*$AI101^2-0.00012828*$AG101,1.112-0.00043499*$AI101+0.00000055*$AI101^2-0.00028826*$AG101))</f>
        <v/>
      </c>
      <c r="AL101" s="30" t="str">
        <f aca="false">IF(OR($AK101="",$AK101=0),"",495/$AK101-450)</f>
        <v/>
      </c>
      <c r="AM101" s="35" t="str">
        <f aca="false">IF(OR($AL101="",$E101=""),"",$E101*$AL101/100)</f>
        <v/>
      </c>
      <c r="AN101" s="30" t="str">
        <f aca="false">IF(OR($AM101="",$E101=""),"",$E101-$AM101)</f>
        <v/>
      </c>
      <c r="AO101" s="35" t="str">
        <f aca="false">IFERROR($E101/($F101/100)^2,"")</f>
        <v/>
      </c>
      <c r="AP101" s="35" t="str">
        <f aca="false">IFERROR($G101/$F101*100,"")</f>
        <v/>
      </c>
      <c r="AQ101" s="36" t="str">
        <f aca="false">IFERROR($W101/$F101,"")</f>
        <v/>
      </c>
      <c r="AR101" s="35" t="str">
        <f aca="false">IF(OR($S101="",$I101=""),"",($S101-PI()*$I101/10)^2/(4*PI())-IF(IFERROR(INDEX(Cadastro!$F$8:$F$47,MATCH($B101,Cadastro!$B$8:$B$47,0)),"")="Feminino",6.5,10))</f>
        <v/>
      </c>
      <c r="AS101" s="35" t="str">
        <f aca="false">IF(OR($I101="",$J101="",$O101="",$F101=""),"",-0.7182+0.1451*(($I101+$J101+$O101)*(170.18/$F101))-0.00068*(($I101+$J101+$O101)*(170.18/$F101))^2+0.0000014*(($I101+$J101+$O101)*(170.18/$F101))^3)</f>
        <v/>
      </c>
      <c r="AT101" s="35" t="str">
        <f aca="false">IF(OR($AE101="",$AF101="",$T101="",$AA101="",$F101=""),"",0.858*$AE101+0.601*$AF101+0.188*($T101-$I101/10)+0.161*($AA101-$R101/10)-0.131*$F101+4.5)</f>
        <v/>
      </c>
      <c r="AU101" s="35" t="str">
        <f aca="false">IF(OR($E101="",$F101=""),"",IF($F101/$E101^(1/3)&gt;=40.75,0.732*($F101/$E101^(1/3))-28.58,IF($F101/$E101^(1/3)&gt;=38.25,0.463*($F101/$E101^(1/3))-17.63,0.1)))</f>
        <v/>
      </c>
      <c r="AV101" s="37" t="str">
        <f aca="false">IF(OR($AS101="",$AT101="",$AU101=""),"",IF(AND($AT101&gt;=$AS101,$AT101&gt;=$AU101),"Mesomorfo dominante",IF(AND($AU101&gt;=$AS101,$AU101&gt;=$AT101),"Ectomorfo dominante","Endomorfo dominante")))</f>
        <v/>
      </c>
    </row>
    <row r="102" customFormat="false" ht="15" hidden="false" customHeight="false" outlineLevel="0" collapsed="false">
      <c r="A102" s="29"/>
      <c r="B102" s="27"/>
      <c r="C102" s="28"/>
      <c r="D102" s="27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3" t="str">
        <f aca="false">IFERROR(DATEDIF(INDEX(Cadastro!$D$8:$D$47,MATCH($B102,Cadastro!$B$8:$B$47,0)),$A102,"Y"),"")</f>
        <v/>
      </c>
      <c r="AH102" s="33" t="str">
        <f aca="false">IF(COUNT($I102,$K102,$J102,$N102)&lt;4,"",$I102+$K102+$J102+$N102)</f>
        <v/>
      </c>
      <c r="AI102" s="33" t="str">
        <f aca="false">IF(COUNT($L102,$M102,$I102,$J102,$P102,$N102,$Q102)&lt;7,"",$L102+$M102+$I102+$J102+$P102+$N102+$Q102)</f>
        <v/>
      </c>
      <c r="AJ102" s="33" t="str">
        <f aca="false">IF(COUNT($I102,$J102,$K102,$O102,$P102,$Q102,$R102,$N102)&lt;8,"",$I102+$J102+$K102+$O102+$P102+$Q102+$R102+$N102)</f>
        <v/>
      </c>
      <c r="AK102" s="34" t="str">
        <f aca="false">IF(OR($AI102="",$AG102=""),"",IF(IFERROR(INDEX(Cadastro!$F$8:$F$47,MATCH($B102,Cadastro!$B$8:$B$47,0)),"")="Feminino",1.097-0.00046971*$AI102+0.00000056*$AI102^2-0.00012828*$AG102,1.112-0.00043499*$AI102+0.00000055*$AI102^2-0.00028826*$AG102))</f>
        <v/>
      </c>
      <c r="AL102" s="30" t="str">
        <f aca="false">IF(OR($AK102="",$AK102=0),"",495/$AK102-450)</f>
        <v/>
      </c>
      <c r="AM102" s="35" t="str">
        <f aca="false">IF(OR($AL102="",$E102=""),"",$E102*$AL102/100)</f>
        <v/>
      </c>
      <c r="AN102" s="30" t="str">
        <f aca="false">IF(OR($AM102="",$E102=""),"",$E102-$AM102)</f>
        <v/>
      </c>
      <c r="AO102" s="35" t="str">
        <f aca="false">IFERROR($E102/($F102/100)^2,"")</f>
        <v/>
      </c>
      <c r="AP102" s="35" t="str">
        <f aca="false">IFERROR($G102/$F102*100,"")</f>
        <v/>
      </c>
      <c r="AQ102" s="36" t="str">
        <f aca="false">IFERROR($W102/$F102,"")</f>
        <v/>
      </c>
      <c r="AR102" s="35" t="str">
        <f aca="false">IF(OR($S102="",$I102=""),"",($S102-PI()*$I102/10)^2/(4*PI())-IF(IFERROR(INDEX(Cadastro!$F$8:$F$47,MATCH($B102,Cadastro!$B$8:$B$47,0)),"")="Feminino",6.5,10))</f>
        <v/>
      </c>
      <c r="AS102" s="35" t="str">
        <f aca="false">IF(OR($I102="",$J102="",$O102="",$F102=""),"",-0.7182+0.1451*(($I102+$J102+$O102)*(170.18/$F102))-0.00068*(($I102+$J102+$O102)*(170.18/$F102))^2+0.0000014*(($I102+$J102+$O102)*(170.18/$F102))^3)</f>
        <v/>
      </c>
      <c r="AT102" s="35" t="str">
        <f aca="false">IF(OR($AE102="",$AF102="",$T102="",$AA102="",$F102=""),"",0.858*$AE102+0.601*$AF102+0.188*($T102-$I102/10)+0.161*($AA102-$R102/10)-0.131*$F102+4.5)</f>
        <v/>
      </c>
      <c r="AU102" s="35" t="str">
        <f aca="false">IF(OR($E102="",$F102=""),"",IF($F102/$E102^(1/3)&gt;=40.75,0.732*($F102/$E102^(1/3))-28.58,IF($F102/$E102^(1/3)&gt;=38.25,0.463*($F102/$E102^(1/3))-17.63,0.1)))</f>
        <v/>
      </c>
      <c r="AV102" s="37" t="str">
        <f aca="false">IF(OR($AS102="",$AT102="",$AU102=""),"",IF(AND($AT102&gt;=$AS102,$AT102&gt;=$AU102),"Mesomorfo dominante",IF(AND($AU102&gt;=$AS102,$AU102&gt;=$AT102),"Ectomorfo dominante","Endomorfo dominante")))</f>
        <v/>
      </c>
    </row>
    <row r="103" customFormat="false" ht="15" hidden="false" customHeight="false" outlineLevel="0" collapsed="false">
      <c r="A103" s="29"/>
      <c r="B103" s="27"/>
      <c r="C103" s="28"/>
      <c r="D103" s="27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3" t="str">
        <f aca="false">IFERROR(DATEDIF(INDEX(Cadastro!$D$8:$D$47,MATCH($B103,Cadastro!$B$8:$B$47,0)),$A103,"Y"),"")</f>
        <v/>
      </c>
      <c r="AH103" s="33" t="str">
        <f aca="false">IF(COUNT($I103,$K103,$J103,$N103)&lt;4,"",$I103+$K103+$J103+$N103)</f>
        <v/>
      </c>
      <c r="AI103" s="33" t="str">
        <f aca="false">IF(COUNT($L103,$M103,$I103,$J103,$P103,$N103,$Q103)&lt;7,"",$L103+$M103+$I103+$J103+$P103+$N103+$Q103)</f>
        <v/>
      </c>
      <c r="AJ103" s="33" t="str">
        <f aca="false">IF(COUNT($I103,$J103,$K103,$O103,$P103,$Q103,$R103,$N103)&lt;8,"",$I103+$J103+$K103+$O103+$P103+$Q103+$R103+$N103)</f>
        <v/>
      </c>
      <c r="AK103" s="34" t="str">
        <f aca="false">IF(OR($AI103="",$AG103=""),"",IF(IFERROR(INDEX(Cadastro!$F$8:$F$47,MATCH($B103,Cadastro!$B$8:$B$47,0)),"")="Feminino",1.097-0.00046971*$AI103+0.00000056*$AI103^2-0.00012828*$AG103,1.112-0.00043499*$AI103+0.00000055*$AI103^2-0.00028826*$AG103))</f>
        <v/>
      </c>
      <c r="AL103" s="30" t="str">
        <f aca="false">IF(OR($AK103="",$AK103=0),"",495/$AK103-450)</f>
        <v/>
      </c>
      <c r="AM103" s="35" t="str">
        <f aca="false">IF(OR($AL103="",$E103=""),"",$E103*$AL103/100)</f>
        <v/>
      </c>
      <c r="AN103" s="30" t="str">
        <f aca="false">IF(OR($AM103="",$E103=""),"",$E103-$AM103)</f>
        <v/>
      </c>
      <c r="AO103" s="35" t="str">
        <f aca="false">IFERROR($E103/($F103/100)^2,"")</f>
        <v/>
      </c>
      <c r="AP103" s="35" t="str">
        <f aca="false">IFERROR($G103/$F103*100,"")</f>
        <v/>
      </c>
      <c r="AQ103" s="36" t="str">
        <f aca="false">IFERROR($W103/$F103,"")</f>
        <v/>
      </c>
      <c r="AR103" s="35" t="str">
        <f aca="false">IF(OR($S103="",$I103=""),"",($S103-PI()*$I103/10)^2/(4*PI())-IF(IFERROR(INDEX(Cadastro!$F$8:$F$47,MATCH($B103,Cadastro!$B$8:$B$47,0)),"")="Feminino",6.5,10))</f>
        <v/>
      </c>
      <c r="AS103" s="35" t="str">
        <f aca="false">IF(OR($I103="",$J103="",$O103="",$F103=""),"",-0.7182+0.1451*(($I103+$J103+$O103)*(170.18/$F103))-0.00068*(($I103+$J103+$O103)*(170.18/$F103))^2+0.0000014*(($I103+$J103+$O103)*(170.18/$F103))^3)</f>
        <v/>
      </c>
      <c r="AT103" s="35" t="str">
        <f aca="false">IF(OR($AE103="",$AF103="",$T103="",$AA103="",$F103=""),"",0.858*$AE103+0.601*$AF103+0.188*($T103-$I103/10)+0.161*($AA103-$R103/10)-0.131*$F103+4.5)</f>
        <v/>
      </c>
      <c r="AU103" s="35" t="str">
        <f aca="false">IF(OR($E103="",$F103=""),"",IF($F103/$E103^(1/3)&gt;=40.75,0.732*($F103/$E103^(1/3))-28.58,IF($F103/$E103^(1/3)&gt;=38.25,0.463*($F103/$E103^(1/3))-17.63,0.1)))</f>
        <v/>
      </c>
      <c r="AV103" s="37" t="str">
        <f aca="false">IF(OR($AS103="",$AT103="",$AU103=""),"",IF(AND($AT103&gt;=$AS103,$AT103&gt;=$AU103),"Mesomorfo dominante",IF(AND($AU103&gt;=$AS103,$AU103&gt;=$AT103),"Ectomorfo dominante","Endomorfo dominante")))</f>
        <v/>
      </c>
    </row>
    <row r="104" customFormat="false" ht="15" hidden="false" customHeight="false" outlineLevel="0" collapsed="false">
      <c r="A104" s="29"/>
      <c r="B104" s="27"/>
      <c r="C104" s="28"/>
      <c r="D104" s="27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3" t="str">
        <f aca="false">IFERROR(DATEDIF(INDEX(Cadastro!$D$8:$D$47,MATCH($B104,Cadastro!$B$8:$B$47,0)),$A104,"Y"),"")</f>
        <v/>
      </c>
      <c r="AH104" s="33" t="str">
        <f aca="false">IF(COUNT($I104,$K104,$J104,$N104)&lt;4,"",$I104+$K104+$J104+$N104)</f>
        <v/>
      </c>
      <c r="AI104" s="33" t="str">
        <f aca="false">IF(COUNT($L104,$M104,$I104,$J104,$P104,$N104,$Q104)&lt;7,"",$L104+$M104+$I104+$J104+$P104+$N104+$Q104)</f>
        <v/>
      </c>
      <c r="AJ104" s="33" t="str">
        <f aca="false">IF(COUNT($I104,$J104,$K104,$O104,$P104,$Q104,$R104,$N104)&lt;8,"",$I104+$J104+$K104+$O104+$P104+$Q104+$R104+$N104)</f>
        <v/>
      </c>
      <c r="AK104" s="34" t="str">
        <f aca="false">IF(OR($AI104="",$AG104=""),"",IF(IFERROR(INDEX(Cadastro!$F$8:$F$47,MATCH($B104,Cadastro!$B$8:$B$47,0)),"")="Feminino",1.097-0.00046971*$AI104+0.00000056*$AI104^2-0.00012828*$AG104,1.112-0.00043499*$AI104+0.00000055*$AI104^2-0.00028826*$AG104))</f>
        <v/>
      </c>
      <c r="AL104" s="30" t="str">
        <f aca="false">IF(OR($AK104="",$AK104=0),"",495/$AK104-450)</f>
        <v/>
      </c>
      <c r="AM104" s="35" t="str">
        <f aca="false">IF(OR($AL104="",$E104=""),"",$E104*$AL104/100)</f>
        <v/>
      </c>
      <c r="AN104" s="30" t="str">
        <f aca="false">IF(OR($AM104="",$E104=""),"",$E104-$AM104)</f>
        <v/>
      </c>
      <c r="AO104" s="35" t="str">
        <f aca="false">IFERROR($E104/($F104/100)^2,"")</f>
        <v/>
      </c>
      <c r="AP104" s="35" t="str">
        <f aca="false">IFERROR($G104/$F104*100,"")</f>
        <v/>
      </c>
      <c r="AQ104" s="36" t="str">
        <f aca="false">IFERROR($W104/$F104,"")</f>
        <v/>
      </c>
      <c r="AR104" s="35" t="str">
        <f aca="false">IF(OR($S104="",$I104=""),"",($S104-PI()*$I104/10)^2/(4*PI())-IF(IFERROR(INDEX(Cadastro!$F$8:$F$47,MATCH($B104,Cadastro!$B$8:$B$47,0)),"")="Feminino",6.5,10))</f>
        <v/>
      </c>
      <c r="AS104" s="35" t="str">
        <f aca="false">IF(OR($I104="",$J104="",$O104="",$F104=""),"",-0.7182+0.1451*(($I104+$J104+$O104)*(170.18/$F104))-0.00068*(($I104+$J104+$O104)*(170.18/$F104))^2+0.0000014*(($I104+$J104+$O104)*(170.18/$F104))^3)</f>
        <v/>
      </c>
      <c r="AT104" s="35" t="str">
        <f aca="false">IF(OR($AE104="",$AF104="",$T104="",$AA104="",$F104=""),"",0.858*$AE104+0.601*$AF104+0.188*($T104-$I104/10)+0.161*($AA104-$R104/10)-0.131*$F104+4.5)</f>
        <v/>
      </c>
      <c r="AU104" s="35" t="str">
        <f aca="false">IF(OR($E104="",$F104=""),"",IF($F104/$E104^(1/3)&gt;=40.75,0.732*($F104/$E104^(1/3))-28.58,IF($F104/$E104^(1/3)&gt;=38.25,0.463*($F104/$E104^(1/3))-17.63,0.1)))</f>
        <v/>
      </c>
      <c r="AV104" s="37" t="str">
        <f aca="false">IF(OR($AS104="",$AT104="",$AU104=""),"",IF(AND($AT104&gt;=$AS104,$AT104&gt;=$AU104),"Mesomorfo dominante",IF(AND($AU104&gt;=$AS104,$AU104&gt;=$AT104),"Ectomorfo dominante","Endomorfo dominante")))</f>
        <v/>
      </c>
    </row>
    <row r="105" customFormat="false" ht="15" hidden="false" customHeight="false" outlineLevel="0" collapsed="false">
      <c r="A105" s="29"/>
      <c r="B105" s="27"/>
      <c r="C105" s="28"/>
      <c r="D105" s="27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3" t="str">
        <f aca="false">IFERROR(DATEDIF(INDEX(Cadastro!$D$8:$D$47,MATCH($B105,Cadastro!$B$8:$B$47,0)),$A105,"Y"),"")</f>
        <v/>
      </c>
      <c r="AH105" s="33" t="str">
        <f aca="false">IF(COUNT($I105,$K105,$J105,$N105)&lt;4,"",$I105+$K105+$J105+$N105)</f>
        <v/>
      </c>
      <c r="AI105" s="33" t="str">
        <f aca="false">IF(COUNT($L105,$M105,$I105,$J105,$P105,$N105,$Q105)&lt;7,"",$L105+$M105+$I105+$J105+$P105+$N105+$Q105)</f>
        <v/>
      </c>
      <c r="AJ105" s="33" t="str">
        <f aca="false">IF(COUNT($I105,$J105,$K105,$O105,$P105,$Q105,$R105,$N105)&lt;8,"",$I105+$J105+$K105+$O105+$P105+$Q105+$R105+$N105)</f>
        <v/>
      </c>
      <c r="AK105" s="34" t="str">
        <f aca="false">IF(OR($AI105="",$AG105=""),"",IF(IFERROR(INDEX(Cadastro!$F$8:$F$47,MATCH($B105,Cadastro!$B$8:$B$47,0)),"")="Feminino",1.097-0.00046971*$AI105+0.00000056*$AI105^2-0.00012828*$AG105,1.112-0.00043499*$AI105+0.00000055*$AI105^2-0.00028826*$AG105))</f>
        <v/>
      </c>
      <c r="AL105" s="30" t="str">
        <f aca="false">IF(OR($AK105="",$AK105=0),"",495/$AK105-450)</f>
        <v/>
      </c>
      <c r="AM105" s="35" t="str">
        <f aca="false">IF(OR($AL105="",$E105=""),"",$E105*$AL105/100)</f>
        <v/>
      </c>
      <c r="AN105" s="30" t="str">
        <f aca="false">IF(OR($AM105="",$E105=""),"",$E105-$AM105)</f>
        <v/>
      </c>
      <c r="AO105" s="35" t="str">
        <f aca="false">IFERROR($E105/($F105/100)^2,"")</f>
        <v/>
      </c>
      <c r="AP105" s="35" t="str">
        <f aca="false">IFERROR($G105/$F105*100,"")</f>
        <v/>
      </c>
      <c r="AQ105" s="36" t="str">
        <f aca="false">IFERROR($W105/$F105,"")</f>
        <v/>
      </c>
      <c r="AR105" s="35" t="str">
        <f aca="false">IF(OR($S105="",$I105=""),"",($S105-PI()*$I105/10)^2/(4*PI())-IF(IFERROR(INDEX(Cadastro!$F$8:$F$47,MATCH($B105,Cadastro!$B$8:$B$47,0)),"")="Feminino",6.5,10))</f>
        <v/>
      </c>
      <c r="AS105" s="35" t="str">
        <f aca="false">IF(OR($I105="",$J105="",$O105="",$F105=""),"",-0.7182+0.1451*(($I105+$J105+$O105)*(170.18/$F105))-0.00068*(($I105+$J105+$O105)*(170.18/$F105))^2+0.0000014*(($I105+$J105+$O105)*(170.18/$F105))^3)</f>
        <v/>
      </c>
      <c r="AT105" s="35" t="str">
        <f aca="false">IF(OR($AE105="",$AF105="",$T105="",$AA105="",$F105=""),"",0.858*$AE105+0.601*$AF105+0.188*($T105-$I105/10)+0.161*($AA105-$R105/10)-0.131*$F105+4.5)</f>
        <v/>
      </c>
      <c r="AU105" s="35" t="str">
        <f aca="false">IF(OR($E105="",$F105=""),"",IF($F105/$E105^(1/3)&gt;=40.75,0.732*($F105/$E105^(1/3))-28.58,IF($F105/$E105^(1/3)&gt;=38.25,0.463*($F105/$E105^(1/3))-17.63,0.1)))</f>
        <v/>
      </c>
      <c r="AV105" s="37" t="str">
        <f aca="false">IF(OR($AS105="",$AT105="",$AU105=""),"",IF(AND($AT105&gt;=$AS105,$AT105&gt;=$AU105),"Mesomorfo dominante",IF(AND($AU105&gt;=$AS105,$AU105&gt;=$AT105),"Ectomorfo dominante","Endomorfo dominante")))</f>
        <v/>
      </c>
    </row>
    <row r="106" customFormat="false" ht="15" hidden="false" customHeight="false" outlineLevel="0" collapsed="false">
      <c r="A106" s="29"/>
      <c r="B106" s="27"/>
      <c r="C106" s="28"/>
      <c r="D106" s="27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3" t="str">
        <f aca="false">IFERROR(DATEDIF(INDEX(Cadastro!$D$8:$D$47,MATCH($B106,Cadastro!$B$8:$B$47,0)),$A106,"Y"),"")</f>
        <v/>
      </c>
      <c r="AH106" s="33" t="str">
        <f aca="false">IF(COUNT($I106,$K106,$J106,$N106)&lt;4,"",$I106+$K106+$J106+$N106)</f>
        <v/>
      </c>
      <c r="AI106" s="33" t="str">
        <f aca="false">IF(COUNT($L106,$M106,$I106,$J106,$P106,$N106,$Q106)&lt;7,"",$L106+$M106+$I106+$J106+$P106+$N106+$Q106)</f>
        <v/>
      </c>
      <c r="AJ106" s="33" t="str">
        <f aca="false">IF(COUNT($I106,$J106,$K106,$O106,$P106,$Q106,$R106,$N106)&lt;8,"",$I106+$J106+$K106+$O106+$P106+$Q106+$R106+$N106)</f>
        <v/>
      </c>
      <c r="AK106" s="34" t="str">
        <f aca="false">IF(OR($AI106="",$AG106=""),"",IF(IFERROR(INDEX(Cadastro!$F$8:$F$47,MATCH($B106,Cadastro!$B$8:$B$47,0)),"")="Feminino",1.097-0.00046971*$AI106+0.00000056*$AI106^2-0.00012828*$AG106,1.112-0.00043499*$AI106+0.00000055*$AI106^2-0.00028826*$AG106))</f>
        <v/>
      </c>
      <c r="AL106" s="30" t="str">
        <f aca="false">IF(OR($AK106="",$AK106=0),"",495/$AK106-450)</f>
        <v/>
      </c>
      <c r="AM106" s="35" t="str">
        <f aca="false">IF(OR($AL106="",$E106=""),"",$E106*$AL106/100)</f>
        <v/>
      </c>
      <c r="AN106" s="30" t="str">
        <f aca="false">IF(OR($AM106="",$E106=""),"",$E106-$AM106)</f>
        <v/>
      </c>
      <c r="AO106" s="35" t="str">
        <f aca="false">IFERROR($E106/($F106/100)^2,"")</f>
        <v/>
      </c>
      <c r="AP106" s="35" t="str">
        <f aca="false">IFERROR($G106/$F106*100,"")</f>
        <v/>
      </c>
      <c r="AQ106" s="36" t="str">
        <f aca="false">IFERROR($W106/$F106,"")</f>
        <v/>
      </c>
      <c r="AR106" s="35" t="str">
        <f aca="false">IF(OR($S106="",$I106=""),"",($S106-PI()*$I106/10)^2/(4*PI())-IF(IFERROR(INDEX(Cadastro!$F$8:$F$47,MATCH($B106,Cadastro!$B$8:$B$47,0)),"")="Feminino",6.5,10))</f>
        <v/>
      </c>
      <c r="AS106" s="35" t="str">
        <f aca="false">IF(OR($I106="",$J106="",$O106="",$F106=""),"",-0.7182+0.1451*(($I106+$J106+$O106)*(170.18/$F106))-0.00068*(($I106+$J106+$O106)*(170.18/$F106))^2+0.0000014*(($I106+$J106+$O106)*(170.18/$F106))^3)</f>
        <v/>
      </c>
      <c r="AT106" s="35" t="str">
        <f aca="false">IF(OR($AE106="",$AF106="",$T106="",$AA106="",$F106=""),"",0.858*$AE106+0.601*$AF106+0.188*($T106-$I106/10)+0.161*($AA106-$R106/10)-0.131*$F106+4.5)</f>
        <v/>
      </c>
      <c r="AU106" s="35" t="str">
        <f aca="false">IF(OR($E106="",$F106=""),"",IF($F106/$E106^(1/3)&gt;=40.75,0.732*($F106/$E106^(1/3))-28.58,IF($F106/$E106^(1/3)&gt;=38.25,0.463*($F106/$E106^(1/3))-17.63,0.1)))</f>
        <v/>
      </c>
      <c r="AV106" s="37" t="str">
        <f aca="false">IF(OR($AS106="",$AT106="",$AU106=""),"",IF(AND($AT106&gt;=$AS106,$AT106&gt;=$AU106),"Mesomorfo dominante",IF(AND($AU106&gt;=$AS106,$AU106&gt;=$AT106),"Ectomorfo dominante","Endomorfo dominante")))</f>
        <v/>
      </c>
    </row>
    <row r="107" customFormat="false" ht="15" hidden="false" customHeight="false" outlineLevel="0" collapsed="false">
      <c r="A107" s="29"/>
      <c r="B107" s="27"/>
      <c r="C107" s="28"/>
      <c r="D107" s="27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3" t="str">
        <f aca="false">IFERROR(DATEDIF(INDEX(Cadastro!$D$8:$D$47,MATCH($B107,Cadastro!$B$8:$B$47,0)),$A107,"Y"),"")</f>
        <v/>
      </c>
      <c r="AH107" s="33" t="str">
        <f aca="false">IF(COUNT($I107,$K107,$J107,$N107)&lt;4,"",$I107+$K107+$J107+$N107)</f>
        <v/>
      </c>
      <c r="AI107" s="33" t="str">
        <f aca="false">IF(COUNT($L107,$M107,$I107,$J107,$P107,$N107,$Q107)&lt;7,"",$L107+$M107+$I107+$J107+$P107+$N107+$Q107)</f>
        <v/>
      </c>
      <c r="AJ107" s="33" t="str">
        <f aca="false">IF(COUNT($I107,$J107,$K107,$O107,$P107,$Q107,$R107,$N107)&lt;8,"",$I107+$J107+$K107+$O107+$P107+$Q107+$R107+$N107)</f>
        <v/>
      </c>
      <c r="AK107" s="34" t="str">
        <f aca="false">IF(OR($AI107="",$AG107=""),"",IF(IFERROR(INDEX(Cadastro!$F$8:$F$47,MATCH($B107,Cadastro!$B$8:$B$47,0)),"")="Feminino",1.097-0.00046971*$AI107+0.00000056*$AI107^2-0.00012828*$AG107,1.112-0.00043499*$AI107+0.00000055*$AI107^2-0.00028826*$AG107))</f>
        <v/>
      </c>
      <c r="AL107" s="30" t="str">
        <f aca="false">IF(OR($AK107="",$AK107=0),"",495/$AK107-450)</f>
        <v/>
      </c>
      <c r="AM107" s="35" t="str">
        <f aca="false">IF(OR($AL107="",$E107=""),"",$E107*$AL107/100)</f>
        <v/>
      </c>
      <c r="AN107" s="30" t="str">
        <f aca="false">IF(OR($AM107="",$E107=""),"",$E107-$AM107)</f>
        <v/>
      </c>
      <c r="AO107" s="35" t="str">
        <f aca="false">IFERROR($E107/($F107/100)^2,"")</f>
        <v/>
      </c>
      <c r="AP107" s="35" t="str">
        <f aca="false">IFERROR($G107/$F107*100,"")</f>
        <v/>
      </c>
      <c r="AQ107" s="36" t="str">
        <f aca="false">IFERROR($W107/$F107,"")</f>
        <v/>
      </c>
      <c r="AR107" s="35" t="str">
        <f aca="false">IF(OR($S107="",$I107=""),"",($S107-PI()*$I107/10)^2/(4*PI())-IF(IFERROR(INDEX(Cadastro!$F$8:$F$47,MATCH($B107,Cadastro!$B$8:$B$47,0)),"")="Feminino",6.5,10))</f>
        <v/>
      </c>
      <c r="AS107" s="35" t="str">
        <f aca="false">IF(OR($I107="",$J107="",$O107="",$F107=""),"",-0.7182+0.1451*(($I107+$J107+$O107)*(170.18/$F107))-0.00068*(($I107+$J107+$O107)*(170.18/$F107))^2+0.0000014*(($I107+$J107+$O107)*(170.18/$F107))^3)</f>
        <v/>
      </c>
      <c r="AT107" s="35" t="str">
        <f aca="false">IF(OR($AE107="",$AF107="",$T107="",$AA107="",$F107=""),"",0.858*$AE107+0.601*$AF107+0.188*($T107-$I107/10)+0.161*($AA107-$R107/10)-0.131*$F107+4.5)</f>
        <v/>
      </c>
      <c r="AU107" s="35" t="str">
        <f aca="false">IF(OR($E107="",$F107=""),"",IF($F107/$E107^(1/3)&gt;=40.75,0.732*($F107/$E107^(1/3))-28.58,IF($F107/$E107^(1/3)&gt;=38.25,0.463*($F107/$E107^(1/3))-17.63,0.1)))</f>
        <v/>
      </c>
      <c r="AV107" s="37" t="str">
        <f aca="false">IF(OR($AS107="",$AT107="",$AU107=""),"",IF(AND($AT107&gt;=$AS107,$AT107&gt;=$AU107),"Mesomorfo dominante",IF(AND($AU107&gt;=$AS107,$AU107&gt;=$AT107),"Ectomorfo dominante","Endomorfo dominante")))</f>
        <v/>
      </c>
    </row>
    <row r="108" customFormat="false" ht="15" hidden="false" customHeight="false" outlineLevel="0" collapsed="false">
      <c r="A108" s="29"/>
      <c r="B108" s="27"/>
      <c r="C108" s="28"/>
      <c r="D108" s="27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3" t="str">
        <f aca="false">IFERROR(DATEDIF(INDEX(Cadastro!$D$8:$D$47,MATCH($B108,Cadastro!$B$8:$B$47,0)),$A108,"Y"),"")</f>
        <v/>
      </c>
      <c r="AH108" s="33" t="str">
        <f aca="false">IF(COUNT($I108,$K108,$J108,$N108)&lt;4,"",$I108+$K108+$J108+$N108)</f>
        <v/>
      </c>
      <c r="AI108" s="33" t="str">
        <f aca="false">IF(COUNT($L108,$M108,$I108,$J108,$P108,$N108,$Q108)&lt;7,"",$L108+$M108+$I108+$J108+$P108+$N108+$Q108)</f>
        <v/>
      </c>
      <c r="AJ108" s="33" t="str">
        <f aca="false">IF(COUNT($I108,$J108,$K108,$O108,$P108,$Q108,$R108,$N108)&lt;8,"",$I108+$J108+$K108+$O108+$P108+$Q108+$R108+$N108)</f>
        <v/>
      </c>
      <c r="AK108" s="34" t="str">
        <f aca="false">IF(OR($AI108="",$AG108=""),"",IF(IFERROR(INDEX(Cadastro!$F$8:$F$47,MATCH($B108,Cadastro!$B$8:$B$47,0)),"")="Feminino",1.097-0.00046971*$AI108+0.00000056*$AI108^2-0.00012828*$AG108,1.112-0.00043499*$AI108+0.00000055*$AI108^2-0.00028826*$AG108))</f>
        <v/>
      </c>
      <c r="AL108" s="30" t="str">
        <f aca="false">IF(OR($AK108="",$AK108=0),"",495/$AK108-450)</f>
        <v/>
      </c>
      <c r="AM108" s="35" t="str">
        <f aca="false">IF(OR($AL108="",$E108=""),"",$E108*$AL108/100)</f>
        <v/>
      </c>
      <c r="AN108" s="30" t="str">
        <f aca="false">IF(OR($AM108="",$E108=""),"",$E108-$AM108)</f>
        <v/>
      </c>
      <c r="AO108" s="35" t="str">
        <f aca="false">IFERROR($E108/($F108/100)^2,"")</f>
        <v/>
      </c>
      <c r="AP108" s="35" t="str">
        <f aca="false">IFERROR($G108/$F108*100,"")</f>
        <v/>
      </c>
      <c r="AQ108" s="36" t="str">
        <f aca="false">IFERROR($W108/$F108,"")</f>
        <v/>
      </c>
      <c r="AR108" s="35" t="str">
        <f aca="false">IF(OR($S108="",$I108=""),"",($S108-PI()*$I108/10)^2/(4*PI())-IF(IFERROR(INDEX(Cadastro!$F$8:$F$47,MATCH($B108,Cadastro!$B$8:$B$47,0)),"")="Feminino",6.5,10))</f>
        <v/>
      </c>
      <c r="AS108" s="35" t="str">
        <f aca="false">IF(OR($I108="",$J108="",$O108="",$F108=""),"",-0.7182+0.1451*(($I108+$J108+$O108)*(170.18/$F108))-0.00068*(($I108+$J108+$O108)*(170.18/$F108))^2+0.0000014*(($I108+$J108+$O108)*(170.18/$F108))^3)</f>
        <v/>
      </c>
      <c r="AT108" s="35" t="str">
        <f aca="false">IF(OR($AE108="",$AF108="",$T108="",$AA108="",$F108=""),"",0.858*$AE108+0.601*$AF108+0.188*($T108-$I108/10)+0.161*($AA108-$R108/10)-0.131*$F108+4.5)</f>
        <v/>
      </c>
      <c r="AU108" s="35" t="str">
        <f aca="false">IF(OR($E108="",$F108=""),"",IF($F108/$E108^(1/3)&gt;=40.75,0.732*($F108/$E108^(1/3))-28.58,IF($F108/$E108^(1/3)&gt;=38.25,0.463*($F108/$E108^(1/3))-17.63,0.1)))</f>
        <v/>
      </c>
      <c r="AV108" s="37" t="str">
        <f aca="false">IF(OR($AS108="",$AT108="",$AU108=""),"",IF(AND($AT108&gt;=$AS108,$AT108&gt;=$AU108),"Mesomorfo dominante",IF(AND($AU108&gt;=$AS108,$AU108&gt;=$AT108),"Ectomorfo dominante","Endomorfo dominante")))</f>
        <v/>
      </c>
    </row>
    <row r="109" customFormat="false" ht="15" hidden="false" customHeight="false" outlineLevel="0" collapsed="false">
      <c r="A109" s="29"/>
      <c r="B109" s="27"/>
      <c r="C109" s="28"/>
      <c r="D109" s="27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3" t="str">
        <f aca="false">IFERROR(DATEDIF(INDEX(Cadastro!$D$8:$D$47,MATCH($B109,Cadastro!$B$8:$B$47,0)),$A109,"Y"),"")</f>
        <v/>
      </c>
      <c r="AH109" s="33" t="str">
        <f aca="false">IF(COUNT($I109,$K109,$J109,$N109)&lt;4,"",$I109+$K109+$J109+$N109)</f>
        <v/>
      </c>
      <c r="AI109" s="33" t="str">
        <f aca="false">IF(COUNT($L109,$M109,$I109,$J109,$P109,$N109,$Q109)&lt;7,"",$L109+$M109+$I109+$J109+$P109+$N109+$Q109)</f>
        <v/>
      </c>
      <c r="AJ109" s="33" t="str">
        <f aca="false">IF(COUNT($I109,$J109,$K109,$O109,$P109,$Q109,$R109,$N109)&lt;8,"",$I109+$J109+$K109+$O109+$P109+$Q109+$R109+$N109)</f>
        <v/>
      </c>
      <c r="AK109" s="34" t="str">
        <f aca="false">IF(OR($AI109="",$AG109=""),"",IF(IFERROR(INDEX(Cadastro!$F$8:$F$47,MATCH($B109,Cadastro!$B$8:$B$47,0)),"")="Feminino",1.097-0.00046971*$AI109+0.00000056*$AI109^2-0.00012828*$AG109,1.112-0.00043499*$AI109+0.00000055*$AI109^2-0.00028826*$AG109))</f>
        <v/>
      </c>
      <c r="AL109" s="30" t="str">
        <f aca="false">IF(OR($AK109="",$AK109=0),"",495/$AK109-450)</f>
        <v/>
      </c>
      <c r="AM109" s="35" t="str">
        <f aca="false">IF(OR($AL109="",$E109=""),"",$E109*$AL109/100)</f>
        <v/>
      </c>
      <c r="AN109" s="30" t="str">
        <f aca="false">IF(OR($AM109="",$E109=""),"",$E109-$AM109)</f>
        <v/>
      </c>
      <c r="AO109" s="35" t="str">
        <f aca="false">IFERROR($E109/($F109/100)^2,"")</f>
        <v/>
      </c>
      <c r="AP109" s="35" t="str">
        <f aca="false">IFERROR($G109/$F109*100,"")</f>
        <v/>
      </c>
      <c r="AQ109" s="36" t="str">
        <f aca="false">IFERROR($W109/$F109,"")</f>
        <v/>
      </c>
      <c r="AR109" s="35" t="str">
        <f aca="false">IF(OR($S109="",$I109=""),"",($S109-PI()*$I109/10)^2/(4*PI())-IF(IFERROR(INDEX(Cadastro!$F$8:$F$47,MATCH($B109,Cadastro!$B$8:$B$47,0)),"")="Feminino",6.5,10))</f>
        <v/>
      </c>
      <c r="AS109" s="35" t="str">
        <f aca="false">IF(OR($I109="",$J109="",$O109="",$F109=""),"",-0.7182+0.1451*(($I109+$J109+$O109)*(170.18/$F109))-0.00068*(($I109+$J109+$O109)*(170.18/$F109))^2+0.0000014*(($I109+$J109+$O109)*(170.18/$F109))^3)</f>
        <v/>
      </c>
      <c r="AT109" s="35" t="str">
        <f aca="false">IF(OR($AE109="",$AF109="",$T109="",$AA109="",$F109=""),"",0.858*$AE109+0.601*$AF109+0.188*($T109-$I109/10)+0.161*($AA109-$R109/10)-0.131*$F109+4.5)</f>
        <v/>
      </c>
      <c r="AU109" s="35" t="str">
        <f aca="false">IF(OR($E109="",$F109=""),"",IF($F109/$E109^(1/3)&gt;=40.75,0.732*($F109/$E109^(1/3))-28.58,IF($F109/$E109^(1/3)&gt;=38.25,0.463*($F109/$E109^(1/3))-17.63,0.1)))</f>
        <v/>
      </c>
      <c r="AV109" s="37" t="str">
        <f aca="false">IF(OR($AS109="",$AT109="",$AU109=""),"",IF(AND($AT109&gt;=$AS109,$AT109&gt;=$AU109),"Mesomorfo dominante",IF(AND($AU109&gt;=$AS109,$AU109&gt;=$AT109),"Ectomorfo dominante","Endomorfo dominante")))</f>
        <v/>
      </c>
    </row>
    <row r="110" customFormat="false" ht="15" hidden="false" customHeight="false" outlineLevel="0" collapsed="false">
      <c r="A110" s="29"/>
      <c r="B110" s="27"/>
      <c r="C110" s="28"/>
      <c r="D110" s="27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3" t="str">
        <f aca="false">IFERROR(DATEDIF(INDEX(Cadastro!$D$8:$D$47,MATCH($B110,Cadastro!$B$8:$B$47,0)),$A110,"Y"),"")</f>
        <v/>
      </c>
      <c r="AH110" s="33" t="str">
        <f aca="false">IF(COUNT($I110,$K110,$J110,$N110)&lt;4,"",$I110+$K110+$J110+$N110)</f>
        <v/>
      </c>
      <c r="AI110" s="33" t="str">
        <f aca="false">IF(COUNT($L110,$M110,$I110,$J110,$P110,$N110,$Q110)&lt;7,"",$L110+$M110+$I110+$J110+$P110+$N110+$Q110)</f>
        <v/>
      </c>
      <c r="AJ110" s="33" t="str">
        <f aca="false">IF(COUNT($I110,$J110,$K110,$O110,$P110,$Q110,$R110,$N110)&lt;8,"",$I110+$J110+$K110+$O110+$P110+$Q110+$R110+$N110)</f>
        <v/>
      </c>
      <c r="AK110" s="34" t="str">
        <f aca="false">IF(OR($AI110="",$AG110=""),"",IF(IFERROR(INDEX(Cadastro!$F$8:$F$47,MATCH($B110,Cadastro!$B$8:$B$47,0)),"")="Feminino",1.097-0.00046971*$AI110+0.00000056*$AI110^2-0.00012828*$AG110,1.112-0.00043499*$AI110+0.00000055*$AI110^2-0.00028826*$AG110))</f>
        <v/>
      </c>
      <c r="AL110" s="30" t="str">
        <f aca="false">IF(OR($AK110="",$AK110=0),"",495/$AK110-450)</f>
        <v/>
      </c>
      <c r="AM110" s="35" t="str">
        <f aca="false">IF(OR($AL110="",$E110=""),"",$E110*$AL110/100)</f>
        <v/>
      </c>
      <c r="AN110" s="30" t="str">
        <f aca="false">IF(OR($AM110="",$E110=""),"",$E110-$AM110)</f>
        <v/>
      </c>
      <c r="AO110" s="35" t="str">
        <f aca="false">IFERROR($E110/($F110/100)^2,"")</f>
        <v/>
      </c>
      <c r="AP110" s="35" t="str">
        <f aca="false">IFERROR($G110/$F110*100,"")</f>
        <v/>
      </c>
      <c r="AQ110" s="36" t="str">
        <f aca="false">IFERROR($W110/$F110,"")</f>
        <v/>
      </c>
      <c r="AR110" s="35" t="str">
        <f aca="false">IF(OR($S110="",$I110=""),"",($S110-PI()*$I110/10)^2/(4*PI())-IF(IFERROR(INDEX(Cadastro!$F$8:$F$47,MATCH($B110,Cadastro!$B$8:$B$47,0)),"")="Feminino",6.5,10))</f>
        <v/>
      </c>
      <c r="AS110" s="35" t="str">
        <f aca="false">IF(OR($I110="",$J110="",$O110="",$F110=""),"",-0.7182+0.1451*(($I110+$J110+$O110)*(170.18/$F110))-0.00068*(($I110+$J110+$O110)*(170.18/$F110))^2+0.0000014*(($I110+$J110+$O110)*(170.18/$F110))^3)</f>
        <v/>
      </c>
      <c r="AT110" s="35" t="str">
        <f aca="false">IF(OR($AE110="",$AF110="",$T110="",$AA110="",$F110=""),"",0.858*$AE110+0.601*$AF110+0.188*($T110-$I110/10)+0.161*($AA110-$R110/10)-0.131*$F110+4.5)</f>
        <v/>
      </c>
      <c r="AU110" s="35" t="str">
        <f aca="false">IF(OR($E110="",$F110=""),"",IF($F110/$E110^(1/3)&gt;=40.75,0.732*($F110/$E110^(1/3))-28.58,IF($F110/$E110^(1/3)&gt;=38.25,0.463*($F110/$E110^(1/3))-17.63,0.1)))</f>
        <v/>
      </c>
      <c r="AV110" s="37" t="str">
        <f aca="false">IF(OR($AS110="",$AT110="",$AU110=""),"",IF(AND($AT110&gt;=$AS110,$AT110&gt;=$AU110),"Mesomorfo dominante",IF(AND($AU110&gt;=$AS110,$AU110&gt;=$AT110),"Ectomorfo dominante","Endomorfo dominante")))</f>
        <v/>
      </c>
    </row>
    <row r="111" customFormat="false" ht="15" hidden="false" customHeight="false" outlineLevel="0" collapsed="false">
      <c r="A111" s="29"/>
      <c r="B111" s="27"/>
      <c r="C111" s="28"/>
      <c r="D111" s="27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3" t="str">
        <f aca="false">IFERROR(DATEDIF(INDEX(Cadastro!$D$8:$D$47,MATCH($B111,Cadastro!$B$8:$B$47,0)),$A111,"Y"),"")</f>
        <v/>
      </c>
      <c r="AH111" s="33" t="str">
        <f aca="false">IF(COUNT($I111,$K111,$J111,$N111)&lt;4,"",$I111+$K111+$J111+$N111)</f>
        <v/>
      </c>
      <c r="AI111" s="33" t="str">
        <f aca="false">IF(COUNT($L111,$M111,$I111,$J111,$P111,$N111,$Q111)&lt;7,"",$L111+$M111+$I111+$J111+$P111+$N111+$Q111)</f>
        <v/>
      </c>
      <c r="AJ111" s="33" t="str">
        <f aca="false">IF(COUNT($I111,$J111,$K111,$O111,$P111,$Q111,$R111,$N111)&lt;8,"",$I111+$J111+$K111+$O111+$P111+$Q111+$R111+$N111)</f>
        <v/>
      </c>
      <c r="AK111" s="34" t="str">
        <f aca="false">IF(OR($AI111="",$AG111=""),"",IF(IFERROR(INDEX(Cadastro!$F$8:$F$47,MATCH($B111,Cadastro!$B$8:$B$47,0)),"")="Feminino",1.097-0.00046971*$AI111+0.00000056*$AI111^2-0.00012828*$AG111,1.112-0.00043499*$AI111+0.00000055*$AI111^2-0.00028826*$AG111))</f>
        <v/>
      </c>
      <c r="AL111" s="30" t="str">
        <f aca="false">IF(OR($AK111="",$AK111=0),"",495/$AK111-450)</f>
        <v/>
      </c>
      <c r="AM111" s="35" t="str">
        <f aca="false">IF(OR($AL111="",$E111=""),"",$E111*$AL111/100)</f>
        <v/>
      </c>
      <c r="AN111" s="30" t="str">
        <f aca="false">IF(OR($AM111="",$E111=""),"",$E111-$AM111)</f>
        <v/>
      </c>
      <c r="AO111" s="35" t="str">
        <f aca="false">IFERROR($E111/($F111/100)^2,"")</f>
        <v/>
      </c>
      <c r="AP111" s="35" t="str">
        <f aca="false">IFERROR($G111/$F111*100,"")</f>
        <v/>
      </c>
      <c r="AQ111" s="36" t="str">
        <f aca="false">IFERROR($W111/$F111,"")</f>
        <v/>
      </c>
      <c r="AR111" s="35" t="str">
        <f aca="false">IF(OR($S111="",$I111=""),"",($S111-PI()*$I111/10)^2/(4*PI())-IF(IFERROR(INDEX(Cadastro!$F$8:$F$47,MATCH($B111,Cadastro!$B$8:$B$47,0)),"")="Feminino",6.5,10))</f>
        <v/>
      </c>
      <c r="AS111" s="35" t="str">
        <f aca="false">IF(OR($I111="",$J111="",$O111="",$F111=""),"",-0.7182+0.1451*(($I111+$J111+$O111)*(170.18/$F111))-0.00068*(($I111+$J111+$O111)*(170.18/$F111))^2+0.0000014*(($I111+$J111+$O111)*(170.18/$F111))^3)</f>
        <v/>
      </c>
      <c r="AT111" s="35" t="str">
        <f aca="false">IF(OR($AE111="",$AF111="",$T111="",$AA111="",$F111=""),"",0.858*$AE111+0.601*$AF111+0.188*($T111-$I111/10)+0.161*($AA111-$R111/10)-0.131*$F111+4.5)</f>
        <v/>
      </c>
      <c r="AU111" s="35" t="str">
        <f aca="false">IF(OR($E111="",$F111=""),"",IF($F111/$E111^(1/3)&gt;=40.75,0.732*($F111/$E111^(1/3))-28.58,IF($F111/$E111^(1/3)&gt;=38.25,0.463*($F111/$E111^(1/3))-17.63,0.1)))</f>
        <v/>
      </c>
      <c r="AV111" s="37" t="str">
        <f aca="false">IF(OR($AS111="",$AT111="",$AU111=""),"",IF(AND($AT111&gt;=$AS111,$AT111&gt;=$AU111),"Mesomorfo dominante",IF(AND($AU111&gt;=$AS111,$AU111&gt;=$AT111),"Ectomorfo dominante","Endomorfo dominante")))</f>
        <v/>
      </c>
    </row>
    <row r="112" customFormat="false" ht="15" hidden="false" customHeight="false" outlineLevel="0" collapsed="false">
      <c r="A112" s="29"/>
      <c r="B112" s="27"/>
      <c r="C112" s="28"/>
      <c r="D112" s="27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3" t="str">
        <f aca="false">IFERROR(DATEDIF(INDEX(Cadastro!$D$8:$D$47,MATCH($B112,Cadastro!$B$8:$B$47,0)),$A112,"Y"),"")</f>
        <v/>
      </c>
      <c r="AH112" s="33" t="str">
        <f aca="false">IF(COUNT($I112,$K112,$J112,$N112)&lt;4,"",$I112+$K112+$J112+$N112)</f>
        <v/>
      </c>
      <c r="AI112" s="33" t="str">
        <f aca="false">IF(COUNT($L112,$M112,$I112,$J112,$P112,$N112,$Q112)&lt;7,"",$L112+$M112+$I112+$J112+$P112+$N112+$Q112)</f>
        <v/>
      </c>
      <c r="AJ112" s="33" t="str">
        <f aca="false">IF(COUNT($I112,$J112,$K112,$O112,$P112,$Q112,$R112,$N112)&lt;8,"",$I112+$J112+$K112+$O112+$P112+$Q112+$R112+$N112)</f>
        <v/>
      </c>
      <c r="AK112" s="34" t="str">
        <f aca="false">IF(OR($AI112="",$AG112=""),"",IF(IFERROR(INDEX(Cadastro!$F$8:$F$47,MATCH($B112,Cadastro!$B$8:$B$47,0)),"")="Feminino",1.097-0.00046971*$AI112+0.00000056*$AI112^2-0.00012828*$AG112,1.112-0.00043499*$AI112+0.00000055*$AI112^2-0.00028826*$AG112))</f>
        <v/>
      </c>
      <c r="AL112" s="30" t="str">
        <f aca="false">IF(OR($AK112="",$AK112=0),"",495/$AK112-450)</f>
        <v/>
      </c>
      <c r="AM112" s="35" t="str">
        <f aca="false">IF(OR($AL112="",$E112=""),"",$E112*$AL112/100)</f>
        <v/>
      </c>
      <c r="AN112" s="30" t="str">
        <f aca="false">IF(OR($AM112="",$E112=""),"",$E112-$AM112)</f>
        <v/>
      </c>
      <c r="AO112" s="35" t="str">
        <f aca="false">IFERROR($E112/($F112/100)^2,"")</f>
        <v/>
      </c>
      <c r="AP112" s="35" t="str">
        <f aca="false">IFERROR($G112/$F112*100,"")</f>
        <v/>
      </c>
      <c r="AQ112" s="36" t="str">
        <f aca="false">IFERROR($W112/$F112,"")</f>
        <v/>
      </c>
      <c r="AR112" s="35" t="str">
        <f aca="false">IF(OR($S112="",$I112=""),"",($S112-PI()*$I112/10)^2/(4*PI())-IF(IFERROR(INDEX(Cadastro!$F$8:$F$47,MATCH($B112,Cadastro!$B$8:$B$47,0)),"")="Feminino",6.5,10))</f>
        <v/>
      </c>
      <c r="AS112" s="35" t="str">
        <f aca="false">IF(OR($I112="",$J112="",$O112="",$F112=""),"",-0.7182+0.1451*(($I112+$J112+$O112)*(170.18/$F112))-0.00068*(($I112+$J112+$O112)*(170.18/$F112))^2+0.0000014*(($I112+$J112+$O112)*(170.18/$F112))^3)</f>
        <v/>
      </c>
      <c r="AT112" s="35" t="str">
        <f aca="false">IF(OR($AE112="",$AF112="",$T112="",$AA112="",$F112=""),"",0.858*$AE112+0.601*$AF112+0.188*($T112-$I112/10)+0.161*($AA112-$R112/10)-0.131*$F112+4.5)</f>
        <v/>
      </c>
      <c r="AU112" s="35" t="str">
        <f aca="false">IF(OR($E112="",$F112=""),"",IF($F112/$E112^(1/3)&gt;=40.75,0.732*($F112/$E112^(1/3))-28.58,IF($F112/$E112^(1/3)&gt;=38.25,0.463*($F112/$E112^(1/3))-17.63,0.1)))</f>
        <v/>
      </c>
      <c r="AV112" s="37" t="str">
        <f aca="false">IF(OR($AS112="",$AT112="",$AU112=""),"",IF(AND($AT112&gt;=$AS112,$AT112&gt;=$AU112),"Mesomorfo dominante",IF(AND($AU112&gt;=$AS112,$AU112&gt;=$AT112),"Ectomorfo dominante","Endomorfo dominante")))</f>
        <v/>
      </c>
    </row>
    <row r="113" customFormat="false" ht="15" hidden="false" customHeight="false" outlineLevel="0" collapsed="false">
      <c r="A113" s="29"/>
      <c r="B113" s="27"/>
      <c r="C113" s="28"/>
      <c r="D113" s="27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3" t="str">
        <f aca="false">IFERROR(DATEDIF(INDEX(Cadastro!$D$8:$D$47,MATCH($B113,Cadastro!$B$8:$B$47,0)),$A113,"Y"),"")</f>
        <v/>
      </c>
      <c r="AH113" s="33" t="str">
        <f aca="false">IF(COUNT($I113,$K113,$J113,$N113)&lt;4,"",$I113+$K113+$J113+$N113)</f>
        <v/>
      </c>
      <c r="AI113" s="33" t="str">
        <f aca="false">IF(COUNT($L113,$M113,$I113,$J113,$P113,$N113,$Q113)&lt;7,"",$L113+$M113+$I113+$J113+$P113+$N113+$Q113)</f>
        <v/>
      </c>
      <c r="AJ113" s="33" t="str">
        <f aca="false">IF(COUNT($I113,$J113,$K113,$O113,$P113,$Q113,$R113,$N113)&lt;8,"",$I113+$J113+$K113+$O113+$P113+$Q113+$R113+$N113)</f>
        <v/>
      </c>
      <c r="AK113" s="34" t="str">
        <f aca="false">IF(OR($AI113="",$AG113=""),"",IF(IFERROR(INDEX(Cadastro!$F$8:$F$47,MATCH($B113,Cadastro!$B$8:$B$47,0)),"")="Feminino",1.097-0.00046971*$AI113+0.00000056*$AI113^2-0.00012828*$AG113,1.112-0.00043499*$AI113+0.00000055*$AI113^2-0.00028826*$AG113))</f>
        <v/>
      </c>
      <c r="AL113" s="30" t="str">
        <f aca="false">IF(OR($AK113="",$AK113=0),"",495/$AK113-450)</f>
        <v/>
      </c>
      <c r="AM113" s="35" t="str">
        <f aca="false">IF(OR($AL113="",$E113=""),"",$E113*$AL113/100)</f>
        <v/>
      </c>
      <c r="AN113" s="30" t="str">
        <f aca="false">IF(OR($AM113="",$E113=""),"",$E113-$AM113)</f>
        <v/>
      </c>
      <c r="AO113" s="35" t="str">
        <f aca="false">IFERROR($E113/($F113/100)^2,"")</f>
        <v/>
      </c>
      <c r="AP113" s="35" t="str">
        <f aca="false">IFERROR($G113/$F113*100,"")</f>
        <v/>
      </c>
      <c r="AQ113" s="36" t="str">
        <f aca="false">IFERROR($W113/$F113,"")</f>
        <v/>
      </c>
      <c r="AR113" s="35" t="str">
        <f aca="false">IF(OR($S113="",$I113=""),"",($S113-PI()*$I113/10)^2/(4*PI())-IF(IFERROR(INDEX(Cadastro!$F$8:$F$47,MATCH($B113,Cadastro!$B$8:$B$47,0)),"")="Feminino",6.5,10))</f>
        <v/>
      </c>
      <c r="AS113" s="35" t="str">
        <f aca="false">IF(OR($I113="",$J113="",$O113="",$F113=""),"",-0.7182+0.1451*(($I113+$J113+$O113)*(170.18/$F113))-0.00068*(($I113+$J113+$O113)*(170.18/$F113))^2+0.0000014*(($I113+$J113+$O113)*(170.18/$F113))^3)</f>
        <v/>
      </c>
      <c r="AT113" s="35" t="str">
        <f aca="false">IF(OR($AE113="",$AF113="",$T113="",$AA113="",$F113=""),"",0.858*$AE113+0.601*$AF113+0.188*($T113-$I113/10)+0.161*($AA113-$R113/10)-0.131*$F113+4.5)</f>
        <v/>
      </c>
      <c r="AU113" s="35" t="str">
        <f aca="false">IF(OR($E113="",$F113=""),"",IF($F113/$E113^(1/3)&gt;=40.75,0.732*($F113/$E113^(1/3))-28.58,IF($F113/$E113^(1/3)&gt;=38.25,0.463*($F113/$E113^(1/3))-17.63,0.1)))</f>
        <v/>
      </c>
      <c r="AV113" s="37" t="str">
        <f aca="false">IF(OR($AS113="",$AT113="",$AU113=""),"",IF(AND($AT113&gt;=$AS113,$AT113&gt;=$AU113),"Mesomorfo dominante",IF(AND($AU113&gt;=$AS113,$AU113&gt;=$AT113),"Ectomorfo dominante","Endomorfo dominante")))</f>
        <v/>
      </c>
    </row>
    <row r="114" customFormat="false" ht="15" hidden="false" customHeight="false" outlineLevel="0" collapsed="false">
      <c r="A114" s="29"/>
      <c r="B114" s="27"/>
      <c r="C114" s="28"/>
      <c r="D114" s="27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3" t="str">
        <f aca="false">IFERROR(DATEDIF(INDEX(Cadastro!$D$8:$D$47,MATCH($B114,Cadastro!$B$8:$B$47,0)),$A114,"Y"),"")</f>
        <v/>
      </c>
      <c r="AH114" s="33" t="str">
        <f aca="false">IF(COUNT($I114,$K114,$J114,$N114)&lt;4,"",$I114+$K114+$J114+$N114)</f>
        <v/>
      </c>
      <c r="AI114" s="33" t="str">
        <f aca="false">IF(COUNT($L114,$M114,$I114,$J114,$P114,$N114,$Q114)&lt;7,"",$L114+$M114+$I114+$J114+$P114+$N114+$Q114)</f>
        <v/>
      </c>
      <c r="AJ114" s="33" t="str">
        <f aca="false">IF(COUNT($I114,$J114,$K114,$O114,$P114,$Q114,$R114,$N114)&lt;8,"",$I114+$J114+$K114+$O114+$P114+$Q114+$R114+$N114)</f>
        <v/>
      </c>
      <c r="AK114" s="34" t="str">
        <f aca="false">IF(OR($AI114="",$AG114=""),"",IF(IFERROR(INDEX(Cadastro!$F$8:$F$47,MATCH($B114,Cadastro!$B$8:$B$47,0)),"")="Feminino",1.097-0.00046971*$AI114+0.00000056*$AI114^2-0.00012828*$AG114,1.112-0.00043499*$AI114+0.00000055*$AI114^2-0.00028826*$AG114))</f>
        <v/>
      </c>
      <c r="AL114" s="30" t="str">
        <f aca="false">IF(OR($AK114="",$AK114=0),"",495/$AK114-450)</f>
        <v/>
      </c>
      <c r="AM114" s="35" t="str">
        <f aca="false">IF(OR($AL114="",$E114=""),"",$E114*$AL114/100)</f>
        <v/>
      </c>
      <c r="AN114" s="30" t="str">
        <f aca="false">IF(OR($AM114="",$E114=""),"",$E114-$AM114)</f>
        <v/>
      </c>
      <c r="AO114" s="35" t="str">
        <f aca="false">IFERROR($E114/($F114/100)^2,"")</f>
        <v/>
      </c>
      <c r="AP114" s="35" t="str">
        <f aca="false">IFERROR($G114/$F114*100,"")</f>
        <v/>
      </c>
      <c r="AQ114" s="36" t="str">
        <f aca="false">IFERROR($W114/$F114,"")</f>
        <v/>
      </c>
      <c r="AR114" s="35" t="str">
        <f aca="false">IF(OR($S114="",$I114=""),"",($S114-PI()*$I114/10)^2/(4*PI())-IF(IFERROR(INDEX(Cadastro!$F$8:$F$47,MATCH($B114,Cadastro!$B$8:$B$47,0)),"")="Feminino",6.5,10))</f>
        <v/>
      </c>
      <c r="AS114" s="35" t="str">
        <f aca="false">IF(OR($I114="",$J114="",$O114="",$F114=""),"",-0.7182+0.1451*(($I114+$J114+$O114)*(170.18/$F114))-0.00068*(($I114+$J114+$O114)*(170.18/$F114))^2+0.0000014*(($I114+$J114+$O114)*(170.18/$F114))^3)</f>
        <v/>
      </c>
      <c r="AT114" s="35" t="str">
        <f aca="false">IF(OR($AE114="",$AF114="",$T114="",$AA114="",$F114=""),"",0.858*$AE114+0.601*$AF114+0.188*($T114-$I114/10)+0.161*($AA114-$R114/10)-0.131*$F114+4.5)</f>
        <v/>
      </c>
      <c r="AU114" s="35" t="str">
        <f aca="false">IF(OR($E114="",$F114=""),"",IF($F114/$E114^(1/3)&gt;=40.75,0.732*($F114/$E114^(1/3))-28.58,IF($F114/$E114^(1/3)&gt;=38.25,0.463*($F114/$E114^(1/3))-17.63,0.1)))</f>
        <v/>
      </c>
      <c r="AV114" s="37" t="str">
        <f aca="false">IF(OR($AS114="",$AT114="",$AU114=""),"",IF(AND($AT114&gt;=$AS114,$AT114&gt;=$AU114),"Mesomorfo dominante",IF(AND($AU114&gt;=$AS114,$AU114&gt;=$AT114),"Ectomorfo dominante","Endomorfo dominante")))</f>
        <v/>
      </c>
    </row>
    <row r="115" customFormat="false" ht="15" hidden="false" customHeight="false" outlineLevel="0" collapsed="false">
      <c r="A115" s="29"/>
      <c r="B115" s="27"/>
      <c r="C115" s="28"/>
      <c r="D115" s="27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3" t="str">
        <f aca="false">IFERROR(DATEDIF(INDEX(Cadastro!$D$8:$D$47,MATCH($B115,Cadastro!$B$8:$B$47,0)),$A115,"Y"),"")</f>
        <v/>
      </c>
      <c r="AH115" s="33" t="str">
        <f aca="false">IF(COUNT($I115,$K115,$J115,$N115)&lt;4,"",$I115+$K115+$J115+$N115)</f>
        <v/>
      </c>
      <c r="AI115" s="33" t="str">
        <f aca="false">IF(COUNT($L115,$M115,$I115,$J115,$P115,$N115,$Q115)&lt;7,"",$L115+$M115+$I115+$J115+$P115+$N115+$Q115)</f>
        <v/>
      </c>
      <c r="AJ115" s="33" t="str">
        <f aca="false">IF(COUNT($I115,$J115,$K115,$O115,$P115,$Q115,$R115,$N115)&lt;8,"",$I115+$J115+$K115+$O115+$P115+$Q115+$R115+$N115)</f>
        <v/>
      </c>
      <c r="AK115" s="34" t="str">
        <f aca="false">IF(OR($AI115="",$AG115=""),"",IF(IFERROR(INDEX(Cadastro!$F$8:$F$47,MATCH($B115,Cadastro!$B$8:$B$47,0)),"")="Feminino",1.097-0.00046971*$AI115+0.00000056*$AI115^2-0.00012828*$AG115,1.112-0.00043499*$AI115+0.00000055*$AI115^2-0.00028826*$AG115))</f>
        <v/>
      </c>
      <c r="AL115" s="30" t="str">
        <f aca="false">IF(OR($AK115="",$AK115=0),"",495/$AK115-450)</f>
        <v/>
      </c>
      <c r="AM115" s="35" t="str">
        <f aca="false">IF(OR($AL115="",$E115=""),"",$E115*$AL115/100)</f>
        <v/>
      </c>
      <c r="AN115" s="30" t="str">
        <f aca="false">IF(OR($AM115="",$E115=""),"",$E115-$AM115)</f>
        <v/>
      </c>
      <c r="AO115" s="35" t="str">
        <f aca="false">IFERROR($E115/($F115/100)^2,"")</f>
        <v/>
      </c>
      <c r="AP115" s="35" t="str">
        <f aca="false">IFERROR($G115/$F115*100,"")</f>
        <v/>
      </c>
      <c r="AQ115" s="36" t="str">
        <f aca="false">IFERROR($W115/$F115,"")</f>
        <v/>
      </c>
      <c r="AR115" s="35" t="str">
        <f aca="false">IF(OR($S115="",$I115=""),"",($S115-PI()*$I115/10)^2/(4*PI())-IF(IFERROR(INDEX(Cadastro!$F$8:$F$47,MATCH($B115,Cadastro!$B$8:$B$47,0)),"")="Feminino",6.5,10))</f>
        <v/>
      </c>
      <c r="AS115" s="35" t="str">
        <f aca="false">IF(OR($I115="",$J115="",$O115="",$F115=""),"",-0.7182+0.1451*(($I115+$J115+$O115)*(170.18/$F115))-0.00068*(($I115+$J115+$O115)*(170.18/$F115))^2+0.0000014*(($I115+$J115+$O115)*(170.18/$F115))^3)</f>
        <v/>
      </c>
      <c r="AT115" s="35" t="str">
        <f aca="false">IF(OR($AE115="",$AF115="",$T115="",$AA115="",$F115=""),"",0.858*$AE115+0.601*$AF115+0.188*($T115-$I115/10)+0.161*($AA115-$R115/10)-0.131*$F115+4.5)</f>
        <v/>
      </c>
      <c r="AU115" s="35" t="str">
        <f aca="false">IF(OR($E115="",$F115=""),"",IF($F115/$E115^(1/3)&gt;=40.75,0.732*($F115/$E115^(1/3))-28.58,IF($F115/$E115^(1/3)&gt;=38.25,0.463*($F115/$E115^(1/3))-17.63,0.1)))</f>
        <v/>
      </c>
      <c r="AV115" s="37" t="str">
        <f aca="false">IF(OR($AS115="",$AT115="",$AU115=""),"",IF(AND($AT115&gt;=$AS115,$AT115&gt;=$AU115),"Mesomorfo dominante",IF(AND($AU115&gt;=$AS115,$AU115&gt;=$AT115),"Ectomorfo dominante","Endomorfo dominante")))</f>
        <v/>
      </c>
    </row>
    <row r="116" customFormat="false" ht="15" hidden="false" customHeight="false" outlineLevel="0" collapsed="false">
      <c r="A116" s="29"/>
      <c r="B116" s="27"/>
      <c r="C116" s="28"/>
      <c r="D116" s="27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3" t="str">
        <f aca="false">IFERROR(DATEDIF(INDEX(Cadastro!$D$8:$D$47,MATCH($B116,Cadastro!$B$8:$B$47,0)),$A116,"Y"),"")</f>
        <v/>
      </c>
      <c r="AH116" s="33" t="str">
        <f aca="false">IF(COUNT($I116,$K116,$J116,$N116)&lt;4,"",$I116+$K116+$J116+$N116)</f>
        <v/>
      </c>
      <c r="AI116" s="33" t="str">
        <f aca="false">IF(COUNT($L116,$M116,$I116,$J116,$P116,$N116,$Q116)&lt;7,"",$L116+$M116+$I116+$J116+$P116+$N116+$Q116)</f>
        <v/>
      </c>
      <c r="AJ116" s="33" t="str">
        <f aca="false">IF(COUNT($I116,$J116,$K116,$O116,$P116,$Q116,$R116,$N116)&lt;8,"",$I116+$J116+$K116+$O116+$P116+$Q116+$R116+$N116)</f>
        <v/>
      </c>
      <c r="AK116" s="34" t="str">
        <f aca="false">IF(OR($AI116="",$AG116=""),"",IF(IFERROR(INDEX(Cadastro!$F$8:$F$47,MATCH($B116,Cadastro!$B$8:$B$47,0)),"")="Feminino",1.097-0.00046971*$AI116+0.00000056*$AI116^2-0.00012828*$AG116,1.112-0.00043499*$AI116+0.00000055*$AI116^2-0.00028826*$AG116))</f>
        <v/>
      </c>
      <c r="AL116" s="30" t="str">
        <f aca="false">IF(OR($AK116="",$AK116=0),"",495/$AK116-450)</f>
        <v/>
      </c>
      <c r="AM116" s="35" t="str">
        <f aca="false">IF(OR($AL116="",$E116=""),"",$E116*$AL116/100)</f>
        <v/>
      </c>
      <c r="AN116" s="30" t="str">
        <f aca="false">IF(OR($AM116="",$E116=""),"",$E116-$AM116)</f>
        <v/>
      </c>
      <c r="AO116" s="35" t="str">
        <f aca="false">IFERROR($E116/($F116/100)^2,"")</f>
        <v/>
      </c>
      <c r="AP116" s="35" t="str">
        <f aca="false">IFERROR($G116/$F116*100,"")</f>
        <v/>
      </c>
      <c r="AQ116" s="36" t="str">
        <f aca="false">IFERROR($W116/$F116,"")</f>
        <v/>
      </c>
      <c r="AR116" s="35" t="str">
        <f aca="false">IF(OR($S116="",$I116=""),"",($S116-PI()*$I116/10)^2/(4*PI())-IF(IFERROR(INDEX(Cadastro!$F$8:$F$47,MATCH($B116,Cadastro!$B$8:$B$47,0)),"")="Feminino",6.5,10))</f>
        <v/>
      </c>
      <c r="AS116" s="35" t="str">
        <f aca="false">IF(OR($I116="",$J116="",$O116="",$F116=""),"",-0.7182+0.1451*(($I116+$J116+$O116)*(170.18/$F116))-0.00068*(($I116+$J116+$O116)*(170.18/$F116))^2+0.0000014*(($I116+$J116+$O116)*(170.18/$F116))^3)</f>
        <v/>
      </c>
      <c r="AT116" s="35" t="str">
        <f aca="false">IF(OR($AE116="",$AF116="",$T116="",$AA116="",$F116=""),"",0.858*$AE116+0.601*$AF116+0.188*($T116-$I116/10)+0.161*($AA116-$R116/10)-0.131*$F116+4.5)</f>
        <v/>
      </c>
      <c r="AU116" s="35" t="str">
        <f aca="false">IF(OR($E116="",$F116=""),"",IF($F116/$E116^(1/3)&gt;=40.75,0.732*($F116/$E116^(1/3))-28.58,IF($F116/$E116^(1/3)&gt;=38.25,0.463*($F116/$E116^(1/3))-17.63,0.1)))</f>
        <v/>
      </c>
      <c r="AV116" s="37" t="str">
        <f aca="false">IF(OR($AS116="",$AT116="",$AU116=""),"",IF(AND($AT116&gt;=$AS116,$AT116&gt;=$AU116),"Mesomorfo dominante",IF(AND($AU116&gt;=$AS116,$AU116&gt;=$AT116),"Ectomorfo dominante","Endomorfo dominante")))</f>
        <v/>
      </c>
    </row>
    <row r="117" customFormat="false" ht="15" hidden="false" customHeight="false" outlineLevel="0" collapsed="false">
      <c r="A117" s="29"/>
      <c r="B117" s="27"/>
      <c r="C117" s="28"/>
      <c r="D117" s="27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3" t="str">
        <f aca="false">IFERROR(DATEDIF(INDEX(Cadastro!$D$8:$D$47,MATCH($B117,Cadastro!$B$8:$B$47,0)),$A117,"Y"),"")</f>
        <v/>
      </c>
      <c r="AH117" s="33" t="str">
        <f aca="false">IF(COUNT($I117,$K117,$J117,$N117)&lt;4,"",$I117+$K117+$J117+$N117)</f>
        <v/>
      </c>
      <c r="AI117" s="33" t="str">
        <f aca="false">IF(COUNT($L117,$M117,$I117,$J117,$P117,$N117,$Q117)&lt;7,"",$L117+$M117+$I117+$J117+$P117+$N117+$Q117)</f>
        <v/>
      </c>
      <c r="AJ117" s="33" t="str">
        <f aca="false">IF(COUNT($I117,$J117,$K117,$O117,$P117,$Q117,$R117,$N117)&lt;8,"",$I117+$J117+$K117+$O117+$P117+$Q117+$R117+$N117)</f>
        <v/>
      </c>
      <c r="AK117" s="34" t="str">
        <f aca="false">IF(OR($AI117="",$AG117=""),"",IF(IFERROR(INDEX(Cadastro!$F$8:$F$47,MATCH($B117,Cadastro!$B$8:$B$47,0)),"")="Feminino",1.097-0.00046971*$AI117+0.00000056*$AI117^2-0.00012828*$AG117,1.112-0.00043499*$AI117+0.00000055*$AI117^2-0.00028826*$AG117))</f>
        <v/>
      </c>
      <c r="AL117" s="30" t="str">
        <f aca="false">IF(OR($AK117="",$AK117=0),"",495/$AK117-450)</f>
        <v/>
      </c>
      <c r="AM117" s="35" t="str">
        <f aca="false">IF(OR($AL117="",$E117=""),"",$E117*$AL117/100)</f>
        <v/>
      </c>
      <c r="AN117" s="30" t="str">
        <f aca="false">IF(OR($AM117="",$E117=""),"",$E117-$AM117)</f>
        <v/>
      </c>
      <c r="AO117" s="35" t="str">
        <f aca="false">IFERROR($E117/($F117/100)^2,"")</f>
        <v/>
      </c>
      <c r="AP117" s="35" t="str">
        <f aca="false">IFERROR($G117/$F117*100,"")</f>
        <v/>
      </c>
      <c r="AQ117" s="36" t="str">
        <f aca="false">IFERROR($W117/$F117,"")</f>
        <v/>
      </c>
      <c r="AR117" s="35" t="str">
        <f aca="false">IF(OR($S117="",$I117=""),"",($S117-PI()*$I117/10)^2/(4*PI())-IF(IFERROR(INDEX(Cadastro!$F$8:$F$47,MATCH($B117,Cadastro!$B$8:$B$47,0)),"")="Feminino",6.5,10))</f>
        <v/>
      </c>
      <c r="AS117" s="35" t="str">
        <f aca="false">IF(OR($I117="",$J117="",$O117="",$F117=""),"",-0.7182+0.1451*(($I117+$J117+$O117)*(170.18/$F117))-0.00068*(($I117+$J117+$O117)*(170.18/$F117))^2+0.0000014*(($I117+$J117+$O117)*(170.18/$F117))^3)</f>
        <v/>
      </c>
      <c r="AT117" s="35" t="str">
        <f aca="false">IF(OR($AE117="",$AF117="",$T117="",$AA117="",$F117=""),"",0.858*$AE117+0.601*$AF117+0.188*($T117-$I117/10)+0.161*($AA117-$R117/10)-0.131*$F117+4.5)</f>
        <v/>
      </c>
      <c r="AU117" s="35" t="str">
        <f aca="false">IF(OR($E117="",$F117=""),"",IF($F117/$E117^(1/3)&gt;=40.75,0.732*($F117/$E117^(1/3))-28.58,IF($F117/$E117^(1/3)&gt;=38.25,0.463*($F117/$E117^(1/3))-17.63,0.1)))</f>
        <v/>
      </c>
      <c r="AV117" s="37" t="str">
        <f aca="false">IF(OR($AS117="",$AT117="",$AU117=""),"",IF(AND($AT117&gt;=$AS117,$AT117&gt;=$AU117),"Mesomorfo dominante",IF(AND($AU117&gt;=$AS117,$AU117&gt;=$AT117),"Ectomorfo dominante","Endomorfo dominante")))</f>
        <v/>
      </c>
    </row>
    <row r="118" customFormat="false" ht="15" hidden="false" customHeight="false" outlineLevel="0" collapsed="false">
      <c r="A118" s="29"/>
      <c r="B118" s="27"/>
      <c r="C118" s="28"/>
      <c r="D118" s="27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3" t="str">
        <f aca="false">IFERROR(DATEDIF(INDEX(Cadastro!$D$8:$D$47,MATCH($B118,Cadastro!$B$8:$B$47,0)),$A118,"Y"),"")</f>
        <v/>
      </c>
      <c r="AH118" s="33" t="str">
        <f aca="false">IF(COUNT($I118,$K118,$J118,$N118)&lt;4,"",$I118+$K118+$J118+$N118)</f>
        <v/>
      </c>
      <c r="AI118" s="33" t="str">
        <f aca="false">IF(COUNT($L118,$M118,$I118,$J118,$P118,$N118,$Q118)&lt;7,"",$L118+$M118+$I118+$J118+$P118+$N118+$Q118)</f>
        <v/>
      </c>
      <c r="AJ118" s="33" t="str">
        <f aca="false">IF(COUNT($I118,$J118,$K118,$O118,$P118,$Q118,$R118,$N118)&lt;8,"",$I118+$J118+$K118+$O118+$P118+$Q118+$R118+$N118)</f>
        <v/>
      </c>
      <c r="AK118" s="34" t="str">
        <f aca="false">IF(OR($AI118="",$AG118=""),"",IF(IFERROR(INDEX(Cadastro!$F$8:$F$47,MATCH($B118,Cadastro!$B$8:$B$47,0)),"")="Feminino",1.097-0.00046971*$AI118+0.00000056*$AI118^2-0.00012828*$AG118,1.112-0.00043499*$AI118+0.00000055*$AI118^2-0.00028826*$AG118))</f>
        <v/>
      </c>
      <c r="AL118" s="30" t="str">
        <f aca="false">IF(OR($AK118="",$AK118=0),"",495/$AK118-450)</f>
        <v/>
      </c>
      <c r="AM118" s="35" t="str">
        <f aca="false">IF(OR($AL118="",$E118=""),"",$E118*$AL118/100)</f>
        <v/>
      </c>
      <c r="AN118" s="30" t="str">
        <f aca="false">IF(OR($AM118="",$E118=""),"",$E118-$AM118)</f>
        <v/>
      </c>
      <c r="AO118" s="35" t="str">
        <f aca="false">IFERROR($E118/($F118/100)^2,"")</f>
        <v/>
      </c>
      <c r="AP118" s="35" t="str">
        <f aca="false">IFERROR($G118/$F118*100,"")</f>
        <v/>
      </c>
      <c r="AQ118" s="36" t="str">
        <f aca="false">IFERROR($W118/$F118,"")</f>
        <v/>
      </c>
      <c r="AR118" s="35" t="str">
        <f aca="false">IF(OR($S118="",$I118=""),"",($S118-PI()*$I118/10)^2/(4*PI())-IF(IFERROR(INDEX(Cadastro!$F$8:$F$47,MATCH($B118,Cadastro!$B$8:$B$47,0)),"")="Feminino",6.5,10))</f>
        <v/>
      </c>
      <c r="AS118" s="35" t="str">
        <f aca="false">IF(OR($I118="",$J118="",$O118="",$F118=""),"",-0.7182+0.1451*(($I118+$J118+$O118)*(170.18/$F118))-0.00068*(($I118+$J118+$O118)*(170.18/$F118))^2+0.0000014*(($I118+$J118+$O118)*(170.18/$F118))^3)</f>
        <v/>
      </c>
      <c r="AT118" s="35" t="str">
        <f aca="false">IF(OR($AE118="",$AF118="",$T118="",$AA118="",$F118=""),"",0.858*$AE118+0.601*$AF118+0.188*($T118-$I118/10)+0.161*($AA118-$R118/10)-0.131*$F118+4.5)</f>
        <v/>
      </c>
      <c r="AU118" s="35" t="str">
        <f aca="false">IF(OR($E118="",$F118=""),"",IF($F118/$E118^(1/3)&gt;=40.75,0.732*($F118/$E118^(1/3))-28.58,IF($F118/$E118^(1/3)&gt;=38.25,0.463*($F118/$E118^(1/3))-17.63,0.1)))</f>
        <v/>
      </c>
      <c r="AV118" s="37" t="str">
        <f aca="false">IF(OR($AS118="",$AT118="",$AU118=""),"",IF(AND($AT118&gt;=$AS118,$AT118&gt;=$AU118),"Mesomorfo dominante",IF(AND($AU118&gt;=$AS118,$AU118&gt;=$AT118),"Ectomorfo dominante","Endomorfo dominante")))</f>
        <v/>
      </c>
    </row>
    <row r="119" customFormat="false" ht="15" hidden="false" customHeight="false" outlineLevel="0" collapsed="false">
      <c r="A119" s="29"/>
      <c r="B119" s="27"/>
      <c r="C119" s="28"/>
      <c r="D119" s="27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3" t="str">
        <f aca="false">IFERROR(DATEDIF(INDEX(Cadastro!$D$8:$D$47,MATCH($B119,Cadastro!$B$8:$B$47,0)),$A119,"Y"),"")</f>
        <v/>
      </c>
      <c r="AH119" s="33" t="str">
        <f aca="false">IF(COUNT($I119,$K119,$J119,$N119)&lt;4,"",$I119+$K119+$J119+$N119)</f>
        <v/>
      </c>
      <c r="AI119" s="33" t="str">
        <f aca="false">IF(COUNT($L119,$M119,$I119,$J119,$P119,$N119,$Q119)&lt;7,"",$L119+$M119+$I119+$J119+$P119+$N119+$Q119)</f>
        <v/>
      </c>
      <c r="AJ119" s="33" t="str">
        <f aca="false">IF(COUNT($I119,$J119,$K119,$O119,$P119,$Q119,$R119,$N119)&lt;8,"",$I119+$J119+$K119+$O119+$P119+$Q119+$R119+$N119)</f>
        <v/>
      </c>
      <c r="AK119" s="34" t="str">
        <f aca="false">IF(OR($AI119="",$AG119=""),"",IF(IFERROR(INDEX(Cadastro!$F$8:$F$47,MATCH($B119,Cadastro!$B$8:$B$47,0)),"")="Feminino",1.097-0.00046971*$AI119+0.00000056*$AI119^2-0.00012828*$AG119,1.112-0.00043499*$AI119+0.00000055*$AI119^2-0.00028826*$AG119))</f>
        <v/>
      </c>
      <c r="AL119" s="30" t="str">
        <f aca="false">IF(OR($AK119="",$AK119=0),"",495/$AK119-450)</f>
        <v/>
      </c>
      <c r="AM119" s="35" t="str">
        <f aca="false">IF(OR($AL119="",$E119=""),"",$E119*$AL119/100)</f>
        <v/>
      </c>
      <c r="AN119" s="30" t="str">
        <f aca="false">IF(OR($AM119="",$E119=""),"",$E119-$AM119)</f>
        <v/>
      </c>
      <c r="AO119" s="35" t="str">
        <f aca="false">IFERROR($E119/($F119/100)^2,"")</f>
        <v/>
      </c>
      <c r="AP119" s="35" t="str">
        <f aca="false">IFERROR($G119/$F119*100,"")</f>
        <v/>
      </c>
      <c r="AQ119" s="36" t="str">
        <f aca="false">IFERROR($W119/$F119,"")</f>
        <v/>
      </c>
      <c r="AR119" s="35" t="str">
        <f aca="false">IF(OR($S119="",$I119=""),"",($S119-PI()*$I119/10)^2/(4*PI())-IF(IFERROR(INDEX(Cadastro!$F$8:$F$47,MATCH($B119,Cadastro!$B$8:$B$47,0)),"")="Feminino",6.5,10))</f>
        <v/>
      </c>
      <c r="AS119" s="35" t="str">
        <f aca="false">IF(OR($I119="",$J119="",$O119="",$F119=""),"",-0.7182+0.1451*(($I119+$J119+$O119)*(170.18/$F119))-0.00068*(($I119+$J119+$O119)*(170.18/$F119))^2+0.0000014*(($I119+$J119+$O119)*(170.18/$F119))^3)</f>
        <v/>
      </c>
      <c r="AT119" s="35" t="str">
        <f aca="false">IF(OR($AE119="",$AF119="",$T119="",$AA119="",$F119=""),"",0.858*$AE119+0.601*$AF119+0.188*($T119-$I119/10)+0.161*($AA119-$R119/10)-0.131*$F119+4.5)</f>
        <v/>
      </c>
      <c r="AU119" s="35" t="str">
        <f aca="false">IF(OR($E119="",$F119=""),"",IF($F119/$E119^(1/3)&gt;=40.75,0.732*($F119/$E119^(1/3))-28.58,IF($F119/$E119^(1/3)&gt;=38.25,0.463*($F119/$E119^(1/3))-17.63,0.1)))</f>
        <v/>
      </c>
      <c r="AV119" s="37" t="str">
        <f aca="false">IF(OR($AS119="",$AT119="",$AU119=""),"",IF(AND($AT119&gt;=$AS119,$AT119&gt;=$AU119),"Mesomorfo dominante",IF(AND($AU119&gt;=$AS119,$AU119&gt;=$AT119),"Ectomorfo dominante","Endomorfo dominante")))</f>
        <v/>
      </c>
    </row>
    <row r="120" customFormat="false" ht="15" hidden="false" customHeight="false" outlineLevel="0" collapsed="false">
      <c r="A120" s="29"/>
      <c r="B120" s="27"/>
      <c r="C120" s="28"/>
      <c r="D120" s="27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3" t="str">
        <f aca="false">IFERROR(DATEDIF(INDEX(Cadastro!$D$8:$D$47,MATCH($B120,Cadastro!$B$8:$B$47,0)),$A120,"Y"),"")</f>
        <v/>
      </c>
      <c r="AH120" s="33" t="str">
        <f aca="false">IF(COUNT($I120,$K120,$J120,$N120)&lt;4,"",$I120+$K120+$J120+$N120)</f>
        <v/>
      </c>
      <c r="AI120" s="33" t="str">
        <f aca="false">IF(COUNT($L120,$M120,$I120,$J120,$P120,$N120,$Q120)&lt;7,"",$L120+$M120+$I120+$J120+$P120+$N120+$Q120)</f>
        <v/>
      </c>
      <c r="AJ120" s="33" t="str">
        <f aca="false">IF(COUNT($I120,$J120,$K120,$O120,$P120,$Q120,$R120,$N120)&lt;8,"",$I120+$J120+$K120+$O120+$P120+$Q120+$R120+$N120)</f>
        <v/>
      </c>
      <c r="AK120" s="34" t="str">
        <f aca="false">IF(OR($AI120="",$AG120=""),"",IF(IFERROR(INDEX(Cadastro!$F$8:$F$47,MATCH($B120,Cadastro!$B$8:$B$47,0)),"")="Feminino",1.097-0.00046971*$AI120+0.00000056*$AI120^2-0.00012828*$AG120,1.112-0.00043499*$AI120+0.00000055*$AI120^2-0.00028826*$AG120))</f>
        <v/>
      </c>
      <c r="AL120" s="30" t="str">
        <f aca="false">IF(OR($AK120="",$AK120=0),"",495/$AK120-450)</f>
        <v/>
      </c>
      <c r="AM120" s="35" t="str">
        <f aca="false">IF(OR($AL120="",$E120=""),"",$E120*$AL120/100)</f>
        <v/>
      </c>
      <c r="AN120" s="30" t="str">
        <f aca="false">IF(OR($AM120="",$E120=""),"",$E120-$AM120)</f>
        <v/>
      </c>
      <c r="AO120" s="35" t="str">
        <f aca="false">IFERROR($E120/($F120/100)^2,"")</f>
        <v/>
      </c>
      <c r="AP120" s="35" t="str">
        <f aca="false">IFERROR($G120/$F120*100,"")</f>
        <v/>
      </c>
      <c r="AQ120" s="36" t="str">
        <f aca="false">IFERROR($W120/$F120,"")</f>
        <v/>
      </c>
      <c r="AR120" s="35" t="str">
        <f aca="false">IF(OR($S120="",$I120=""),"",($S120-PI()*$I120/10)^2/(4*PI())-IF(IFERROR(INDEX(Cadastro!$F$8:$F$47,MATCH($B120,Cadastro!$B$8:$B$47,0)),"")="Feminino",6.5,10))</f>
        <v/>
      </c>
      <c r="AS120" s="35" t="str">
        <f aca="false">IF(OR($I120="",$J120="",$O120="",$F120=""),"",-0.7182+0.1451*(($I120+$J120+$O120)*(170.18/$F120))-0.00068*(($I120+$J120+$O120)*(170.18/$F120))^2+0.0000014*(($I120+$J120+$O120)*(170.18/$F120))^3)</f>
        <v/>
      </c>
      <c r="AT120" s="35" t="str">
        <f aca="false">IF(OR($AE120="",$AF120="",$T120="",$AA120="",$F120=""),"",0.858*$AE120+0.601*$AF120+0.188*($T120-$I120/10)+0.161*($AA120-$R120/10)-0.131*$F120+4.5)</f>
        <v/>
      </c>
      <c r="AU120" s="35" t="str">
        <f aca="false">IF(OR($E120="",$F120=""),"",IF($F120/$E120^(1/3)&gt;=40.75,0.732*($F120/$E120^(1/3))-28.58,IF($F120/$E120^(1/3)&gt;=38.25,0.463*($F120/$E120^(1/3))-17.63,0.1)))</f>
        <v/>
      </c>
      <c r="AV120" s="37" t="str">
        <f aca="false">IF(OR($AS120="",$AT120="",$AU120=""),"",IF(AND($AT120&gt;=$AS120,$AT120&gt;=$AU120),"Mesomorfo dominante",IF(AND($AU120&gt;=$AS120,$AU120&gt;=$AT120),"Ectomorfo dominante","Endomorfo dominante")))</f>
        <v/>
      </c>
    </row>
    <row r="121" customFormat="false" ht="15" hidden="false" customHeight="false" outlineLevel="0" collapsed="false">
      <c r="A121" s="29"/>
      <c r="B121" s="27"/>
      <c r="C121" s="28"/>
      <c r="D121" s="27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3" t="str">
        <f aca="false">IFERROR(DATEDIF(INDEX(Cadastro!$D$8:$D$47,MATCH($B121,Cadastro!$B$8:$B$47,0)),$A121,"Y"),"")</f>
        <v/>
      </c>
      <c r="AH121" s="33" t="str">
        <f aca="false">IF(COUNT($I121,$K121,$J121,$N121)&lt;4,"",$I121+$K121+$J121+$N121)</f>
        <v/>
      </c>
      <c r="AI121" s="33" t="str">
        <f aca="false">IF(COUNT($L121,$M121,$I121,$J121,$P121,$N121,$Q121)&lt;7,"",$L121+$M121+$I121+$J121+$P121+$N121+$Q121)</f>
        <v/>
      </c>
      <c r="AJ121" s="33" t="str">
        <f aca="false">IF(COUNT($I121,$J121,$K121,$O121,$P121,$Q121,$R121,$N121)&lt;8,"",$I121+$J121+$K121+$O121+$P121+$Q121+$R121+$N121)</f>
        <v/>
      </c>
      <c r="AK121" s="34" t="str">
        <f aca="false">IF(OR($AI121="",$AG121=""),"",IF(IFERROR(INDEX(Cadastro!$F$8:$F$47,MATCH($B121,Cadastro!$B$8:$B$47,0)),"")="Feminino",1.097-0.00046971*$AI121+0.00000056*$AI121^2-0.00012828*$AG121,1.112-0.00043499*$AI121+0.00000055*$AI121^2-0.00028826*$AG121))</f>
        <v/>
      </c>
      <c r="AL121" s="30" t="str">
        <f aca="false">IF(OR($AK121="",$AK121=0),"",495/$AK121-450)</f>
        <v/>
      </c>
      <c r="AM121" s="35" t="str">
        <f aca="false">IF(OR($AL121="",$E121=""),"",$E121*$AL121/100)</f>
        <v/>
      </c>
      <c r="AN121" s="30" t="str">
        <f aca="false">IF(OR($AM121="",$E121=""),"",$E121-$AM121)</f>
        <v/>
      </c>
      <c r="AO121" s="35" t="str">
        <f aca="false">IFERROR($E121/($F121/100)^2,"")</f>
        <v/>
      </c>
      <c r="AP121" s="35" t="str">
        <f aca="false">IFERROR($G121/$F121*100,"")</f>
        <v/>
      </c>
      <c r="AQ121" s="36" t="str">
        <f aca="false">IFERROR($W121/$F121,"")</f>
        <v/>
      </c>
      <c r="AR121" s="35" t="str">
        <f aca="false">IF(OR($S121="",$I121=""),"",($S121-PI()*$I121/10)^2/(4*PI())-IF(IFERROR(INDEX(Cadastro!$F$8:$F$47,MATCH($B121,Cadastro!$B$8:$B$47,0)),"")="Feminino",6.5,10))</f>
        <v/>
      </c>
      <c r="AS121" s="35" t="str">
        <f aca="false">IF(OR($I121="",$J121="",$O121="",$F121=""),"",-0.7182+0.1451*(($I121+$J121+$O121)*(170.18/$F121))-0.00068*(($I121+$J121+$O121)*(170.18/$F121))^2+0.0000014*(($I121+$J121+$O121)*(170.18/$F121))^3)</f>
        <v/>
      </c>
      <c r="AT121" s="35" t="str">
        <f aca="false">IF(OR($AE121="",$AF121="",$T121="",$AA121="",$F121=""),"",0.858*$AE121+0.601*$AF121+0.188*($T121-$I121/10)+0.161*($AA121-$R121/10)-0.131*$F121+4.5)</f>
        <v/>
      </c>
      <c r="AU121" s="35" t="str">
        <f aca="false">IF(OR($E121="",$F121=""),"",IF($F121/$E121^(1/3)&gt;=40.75,0.732*($F121/$E121^(1/3))-28.58,IF($F121/$E121^(1/3)&gt;=38.25,0.463*($F121/$E121^(1/3))-17.63,0.1)))</f>
        <v/>
      </c>
      <c r="AV121" s="37" t="str">
        <f aca="false">IF(OR($AS121="",$AT121="",$AU121=""),"",IF(AND($AT121&gt;=$AS121,$AT121&gt;=$AU121),"Mesomorfo dominante",IF(AND($AU121&gt;=$AS121,$AU121&gt;=$AT121),"Ectomorfo dominante","Endomorfo dominante")))</f>
        <v/>
      </c>
    </row>
    <row r="122" customFormat="false" ht="15" hidden="false" customHeight="false" outlineLevel="0" collapsed="false">
      <c r="A122" s="29"/>
      <c r="B122" s="27"/>
      <c r="C122" s="28"/>
      <c r="D122" s="27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3" t="str">
        <f aca="false">IFERROR(DATEDIF(INDEX(Cadastro!$D$8:$D$47,MATCH($B122,Cadastro!$B$8:$B$47,0)),$A122,"Y"),"")</f>
        <v/>
      </c>
      <c r="AH122" s="33" t="str">
        <f aca="false">IF(COUNT($I122,$K122,$J122,$N122)&lt;4,"",$I122+$K122+$J122+$N122)</f>
        <v/>
      </c>
      <c r="AI122" s="33" t="str">
        <f aca="false">IF(COUNT($L122,$M122,$I122,$J122,$P122,$N122,$Q122)&lt;7,"",$L122+$M122+$I122+$J122+$P122+$N122+$Q122)</f>
        <v/>
      </c>
      <c r="AJ122" s="33" t="str">
        <f aca="false">IF(COUNT($I122,$J122,$K122,$O122,$P122,$Q122,$R122,$N122)&lt;8,"",$I122+$J122+$K122+$O122+$P122+$Q122+$R122+$N122)</f>
        <v/>
      </c>
      <c r="AK122" s="34" t="str">
        <f aca="false">IF(OR($AI122="",$AG122=""),"",IF(IFERROR(INDEX(Cadastro!$F$8:$F$47,MATCH($B122,Cadastro!$B$8:$B$47,0)),"")="Feminino",1.097-0.00046971*$AI122+0.00000056*$AI122^2-0.00012828*$AG122,1.112-0.00043499*$AI122+0.00000055*$AI122^2-0.00028826*$AG122))</f>
        <v/>
      </c>
      <c r="AL122" s="30" t="str">
        <f aca="false">IF(OR($AK122="",$AK122=0),"",495/$AK122-450)</f>
        <v/>
      </c>
      <c r="AM122" s="35" t="str">
        <f aca="false">IF(OR($AL122="",$E122=""),"",$E122*$AL122/100)</f>
        <v/>
      </c>
      <c r="AN122" s="30" t="str">
        <f aca="false">IF(OR($AM122="",$E122=""),"",$E122-$AM122)</f>
        <v/>
      </c>
      <c r="AO122" s="35" t="str">
        <f aca="false">IFERROR($E122/($F122/100)^2,"")</f>
        <v/>
      </c>
      <c r="AP122" s="35" t="str">
        <f aca="false">IFERROR($G122/$F122*100,"")</f>
        <v/>
      </c>
      <c r="AQ122" s="36" t="str">
        <f aca="false">IFERROR($W122/$F122,"")</f>
        <v/>
      </c>
      <c r="AR122" s="35" t="str">
        <f aca="false">IF(OR($S122="",$I122=""),"",($S122-PI()*$I122/10)^2/(4*PI())-IF(IFERROR(INDEX(Cadastro!$F$8:$F$47,MATCH($B122,Cadastro!$B$8:$B$47,0)),"")="Feminino",6.5,10))</f>
        <v/>
      </c>
      <c r="AS122" s="35" t="str">
        <f aca="false">IF(OR($I122="",$J122="",$O122="",$F122=""),"",-0.7182+0.1451*(($I122+$J122+$O122)*(170.18/$F122))-0.00068*(($I122+$J122+$O122)*(170.18/$F122))^2+0.0000014*(($I122+$J122+$O122)*(170.18/$F122))^3)</f>
        <v/>
      </c>
      <c r="AT122" s="35" t="str">
        <f aca="false">IF(OR($AE122="",$AF122="",$T122="",$AA122="",$F122=""),"",0.858*$AE122+0.601*$AF122+0.188*($T122-$I122/10)+0.161*($AA122-$R122/10)-0.131*$F122+4.5)</f>
        <v/>
      </c>
      <c r="AU122" s="35" t="str">
        <f aca="false">IF(OR($E122="",$F122=""),"",IF($F122/$E122^(1/3)&gt;=40.75,0.732*($F122/$E122^(1/3))-28.58,IF($F122/$E122^(1/3)&gt;=38.25,0.463*($F122/$E122^(1/3))-17.63,0.1)))</f>
        <v/>
      </c>
      <c r="AV122" s="37" t="str">
        <f aca="false">IF(OR($AS122="",$AT122="",$AU122=""),"",IF(AND($AT122&gt;=$AS122,$AT122&gt;=$AU122),"Mesomorfo dominante",IF(AND($AU122&gt;=$AS122,$AU122&gt;=$AT122),"Ectomorfo dominante","Endomorfo dominante")))</f>
        <v/>
      </c>
    </row>
    <row r="123" customFormat="false" ht="15" hidden="false" customHeight="false" outlineLevel="0" collapsed="false">
      <c r="A123" s="29"/>
      <c r="B123" s="27"/>
      <c r="C123" s="28"/>
      <c r="D123" s="27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3" t="str">
        <f aca="false">IFERROR(DATEDIF(INDEX(Cadastro!$D$8:$D$47,MATCH($B123,Cadastro!$B$8:$B$47,0)),$A123,"Y"),"")</f>
        <v/>
      </c>
      <c r="AH123" s="33" t="str">
        <f aca="false">IF(COUNT($I123,$K123,$J123,$N123)&lt;4,"",$I123+$K123+$J123+$N123)</f>
        <v/>
      </c>
      <c r="AI123" s="33" t="str">
        <f aca="false">IF(COUNT($L123,$M123,$I123,$J123,$P123,$N123,$Q123)&lt;7,"",$L123+$M123+$I123+$J123+$P123+$N123+$Q123)</f>
        <v/>
      </c>
      <c r="AJ123" s="33" t="str">
        <f aca="false">IF(COUNT($I123,$J123,$K123,$O123,$P123,$Q123,$R123,$N123)&lt;8,"",$I123+$J123+$K123+$O123+$P123+$Q123+$R123+$N123)</f>
        <v/>
      </c>
      <c r="AK123" s="34" t="str">
        <f aca="false">IF(OR($AI123="",$AG123=""),"",IF(IFERROR(INDEX(Cadastro!$F$8:$F$47,MATCH($B123,Cadastro!$B$8:$B$47,0)),"")="Feminino",1.097-0.00046971*$AI123+0.00000056*$AI123^2-0.00012828*$AG123,1.112-0.00043499*$AI123+0.00000055*$AI123^2-0.00028826*$AG123))</f>
        <v/>
      </c>
      <c r="AL123" s="30" t="str">
        <f aca="false">IF(OR($AK123="",$AK123=0),"",495/$AK123-450)</f>
        <v/>
      </c>
      <c r="AM123" s="35" t="str">
        <f aca="false">IF(OR($AL123="",$E123=""),"",$E123*$AL123/100)</f>
        <v/>
      </c>
      <c r="AN123" s="30" t="str">
        <f aca="false">IF(OR($AM123="",$E123=""),"",$E123-$AM123)</f>
        <v/>
      </c>
      <c r="AO123" s="35" t="str">
        <f aca="false">IFERROR($E123/($F123/100)^2,"")</f>
        <v/>
      </c>
      <c r="AP123" s="35" t="str">
        <f aca="false">IFERROR($G123/$F123*100,"")</f>
        <v/>
      </c>
      <c r="AQ123" s="36" t="str">
        <f aca="false">IFERROR($W123/$F123,"")</f>
        <v/>
      </c>
      <c r="AR123" s="35" t="str">
        <f aca="false">IF(OR($S123="",$I123=""),"",($S123-PI()*$I123/10)^2/(4*PI())-IF(IFERROR(INDEX(Cadastro!$F$8:$F$47,MATCH($B123,Cadastro!$B$8:$B$47,0)),"")="Feminino",6.5,10))</f>
        <v/>
      </c>
      <c r="AS123" s="35" t="str">
        <f aca="false">IF(OR($I123="",$J123="",$O123="",$F123=""),"",-0.7182+0.1451*(($I123+$J123+$O123)*(170.18/$F123))-0.00068*(($I123+$J123+$O123)*(170.18/$F123))^2+0.0000014*(($I123+$J123+$O123)*(170.18/$F123))^3)</f>
        <v/>
      </c>
      <c r="AT123" s="35" t="str">
        <f aca="false">IF(OR($AE123="",$AF123="",$T123="",$AA123="",$F123=""),"",0.858*$AE123+0.601*$AF123+0.188*($T123-$I123/10)+0.161*($AA123-$R123/10)-0.131*$F123+4.5)</f>
        <v/>
      </c>
      <c r="AU123" s="35" t="str">
        <f aca="false">IF(OR($E123="",$F123=""),"",IF($F123/$E123^(1/3)&gt;=40.75,0.732*($F123/$E123^(1/3))-28.58,IF($F123/$E123^(1/3)&gt;=38.25,0.463*($F123/$E123^(1/3))-17.63,0.1)))</f>
        <v/>
      </c>
      <c r="AV123" s="37" t="str">
        <f aca="false">IF(OR($AS123="",$AT123="",$AU123=""),"",IF(AND($AT123&gt;=$AS123,$AT123&gt;=$AU123),"Mesomorfo dominante",IF(AND($AU123&gt;=$AS123,$AU123&gt;=$AT123),"Ectomorfo dominante","Endomorfo dominante")))</f>
        <v/>
      </c>
    </row>
    <row r="124" customFormat="false" ht="15" hidden="false" customHeight="false" outlineLevel="0" collapsed="false">
      <c r="A124" s="29"/>
      <c r="B124" s="27"/>
      <c r="C124" s="28"/>
      <c r="D124" s="27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3" t="str">
        <f aca="false">IFERROR(DATEDIF(INDEX(Cadastro!$D$8:$D$47,MATCH($B124,Cadastro!$B$8:$B$47,0)),$A124,"Y"),"")</f>
        <v/>
      </c>
      <c r="AH124" s="33" t="str">
        <f aca="false">IF(COUNT($I124,$K124,$J124,$N124)&lt;4,"",$I124+$K124+$J124+$N124)</f>
        <v/>
      </c>
      <c r="AI124" s="33" t="str">
        <f aca="false">IF(COUNT($L124,$M124,$I124,$J124,$P124,$N124,$Q124)&lt;7,"",$L124+$M124+$I124+$J124+$P124+$N124+$Q124)</f>
        <v/>
      </c>
      <c r="AJ124" s="33" t="str">
        <f aca="false">IF(COUNT($I124,$J124,$K124,$O124,$P124,$Q124,$R124,$N124)&lt;8,"",$I124+$J124+$K124+$O124+$P124+$Q124+$R124+$N124)</f>
        <v/>
      </c>
      <c r="AK124" s="34" t="str">
        <f aca="false">IF(OR($AI124="",$AG124=""),"",IF(IFERROR(INDEX(Cadastro!$F$8:$F$47,MATCH($B124,Cadastro!$B$8:$B$47,0)),"")="Feminino",1.097-0.00046971*$AI124+0.00000056*$AI124^2-0.00012828*$AG124,1.112-0.00043499*$AI124+0.00000055*$AI124^2-0.00028826*$AG124))</f>
        <v/>
      </c>
      <c r="AL124" s="30" t="str">
        <f aca="false">IF(OR($AK124="",$AK124=0),"",495/$AK124-450)</f>
        <v/>
      </c>
      <c r="AM124" s="35" t="str">
        <f aca="false">IF(OR($AL124="",$E124=""),"",$E124*$AL124/100)</f>
        <v/>
      </c>
      <c r="AN124" s="30" t="str">
        <f aca="false">IF(OR($AM124="",$E124=""),"",$E124-$AM124)</f>
        <v/>
      </c>
      <c r="AO124" s="35" t="str">
        <f aca="false">IFERROR($E124/($F124/100)^2,"")</f>
        <v/>
      </c>
      <c r="AP124" s="35" t="str">
        <f aca="false">IFERROR($G124/$F124*100,"")</f>
        <v/>
      </c>
      <c r="AQ124" s="36" t="str">
        <f aca="false">IFERROR($W124/$F124,"")</f>
        <v/>
      </c>
      <c r="AR124" s="35" t="str">
        <f aca="false">IF(OR($S124="",$I124=""),"",($S124-PI()*$I124/10)^2/(4*PI())-IF(IFERROR(INDEX(Cadastro!$F$8:$F$47,MATCH($B124,Cadastro!$B$8:$B$47,0)),"")="Feminino",6.5,10))</f>
        <v/>
      </c>
      <c r="AS124" s="35" t="str">
        <f aca="false">IF(OR($I124="",$J124="",$O124="",$F124=""),"",-0.7182+0.1451*(($I124+$J124+$O124)*(170.18/$F124))-0.00068*(($I124+$J124+$O124)*(170.18/$F124))^2+0.0000014*(($I124+$J124+$O124)*(170.18/$F124))^3)</f>
        <v/>
      </c>
      <c r="AT124" s="35" t="str">
        <f aca="false">IF(OR($AE124="",$AF124="",$T124="",$AA124="",$F124=""),"",0.858*$AE124+0.601*$AF124+0.188*($T124-$I124/10)+0.161*($AA124-$R124/10)-0.131*$F124+4.5)</f>
        <v/>
      </c>
      <c r="AU124" s="35" t="str">
        <f aca="false">IF(OR($E124="",$F124=""),"",IF($F124/$E124^(1/3)&gt;=40.75,0.732*($F124/$E124^(1/3))-28.58,IF($F124/$E124^(1/3)&gt;=38.25,0.463*($F124/$E124^(1/3))-17.63,0.1)))</f>
        <v/>
      </c>
      <c r="AV124" s="37" t="str">
        <f aca="false">IF(OR($AS124="",$AT124="",$AU124=""),"",IF(AND($AT124&gt;=$AS124,$AT124&gt;=$AU124),"Mesomorfo dominante",IF(AND($AU124&gt;=$AS124,$AU124&gt;=$AT124),"Ectomorfo dominante","Endomorfo dominante")))</f>
        <v/>
      </c>
    </row>
    <row r="125" customFormat="false" ht="15" hidden="false" customHeight="false" outlineLevel="0" collapsed="false">
      <c r="A125" s="29"/>
      <c r="B125" s="27"/>
      <c r="C125" s="28"/>
      <c r="D125" s="27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3" t="str">
        <f aca="false">IFERROR(DATEDIF(INDEX(Cadastro!$D$8:$D$47,MATCH($B125,Cadastro!$B$8:$B$47,0)),$A125,"Y"),"")</f>
        <v/>
      </c>
      <c r="AH125" s="33" t="str">
        <f aca="false">IF(COUNT($I125,$K125,$J125,$N125)&lt;4,"",$I125+$K125+$J125+$N125)</f>
        <v/>
      </c>
      <c r="AI125" s="33" t="str">
        <f aca="false">IF(COUNT($L125,$M125,$I125,$J125,$P125,$N125,$Q125)&lt;7,"",$L125+$M125+$I125+$J125+$P125+$N125+$Q125)</f>
        <v/>
      </c>
      <c r="AJ125" s="33" t="str">
        <f aca="false">IF(COUNT($I125,$J125,$K125,$O125,$P125,$Q125,$R125,$N125)&lt;8,"",$I125+$J125+$K125+$O125+$P125+$Q125+$R125+$N125)</f>
        <v/>
      </c>
      <c r="AK125" s="34" t="str">
        <f aca="false">IF(OR($AI125="",$AG125=""),"",IF(IFERROR(INDEX(Cadastro!$F$8:$F$47,MATCH($B125,Cadastro!$B$8:$B$47,0)),"")="Feminino",1.097-0.00046971*$AI125+0.00000056*$AI125^2-0.00012828*$AG125,1.112-0.00043499*$AI125+0.00000055*$AI125^2-0.00028826*$AG125))</f>
        <v/>
      </c>
      <c r="AL125" s="30" t="str">
        <f aca="false">IF(OR($AK125="",$AK125=0),"",495/$AK125-450)</f>
        <v/>
      </c>
      <c r="AM125" s="35" t="str">
        <f aca="false">IF(OR($AL125="",$E125=""),"",$E125*$AL125/100)</f>
        <v/>
      </c>
      <c r="AN125" s="30" t="str">
        <f aca="false">IF(OR($AM125="",$E125=""),"",$E125-$AM125)</f>
        <v/>
      </c>
      <c r="AO125" s="35" t="str">
        <f aca="false">IFERROR($E125/($F125/100)^2,"")</f>
        <v/>
      </c>
      <c r="AP125" s="35" t="str">
        <f aca="false">IFERROR($G125/$F125*100,"")</f>
        <v/>
      </c>
      <c r="AQ125" s="36" t="str">
        <f aca="false">IFERROR($W125/$F125,"")</f>
        <v/>
      </c>
      <c r="AR125" s="35" t="str">
        <f aca="false">IF(OR($S125="",$I125=""),"",($S125-PI()*$I125/10)^2/(4*PI())-IF(IFERROR(INDEX(Cadastro!$F$8:$F$47,MATCH($B125,Cadastro!$B$8:$B$47,0)),"")="Feminino",6.5,10))</f>
        <v/>
      </c>
      <c r="AS125" s="35" t="str">
        <f aca="false">IF(OR($I125="",$J125="",$O125="",$F125=""),"",-0.7182+0.1451*(($I125+$J125+$O125)*(170.18/$F125))-0.00068*(($I125+$J125+$O125)*(170.18/$F125))^2+0.0000014*(($I125+$J125+$O125)*(170.18/$F125))^3)</f>
        <v/>
      </c>
      <c r="AT125" s="35" t="str">
        <f aca="false">IF(OR($AE125="",$AF125="",$T125="",$AA125="",$F125=""),"",0.858*$AE125+0.601*$AF125+0.188*($T125-$I125/10)+0.161*($AA125-$R125/10)-0.131*$F125+4.5)</f>
        <v/>
      </c>
      <c r="AU125" s="35" t="str">
        <f aca="false">IF(OR($E125="",$F125=""),"",IF($F125/$E125^(1/3)&gt;=40.75,0.732*($F125/$E125^(1/3))-28.58,IF($F125/$E125^(1/3)&gt;=38.25,0.463*($F125/$E125^(1/3))-17.63,0.1)))</f>
        <v/>
      </c>
      <c r="AV125" s="37" t="str">
        <f aca="false">IF(OR($AS125="",$AT125="",$AU125=""),"",IF(AND($AT125&gt;=$AS125,$AT125&gt;=$AU125),"Mesomorfo dominante",IF(AND($AU125&gt;=$AS125,$AU125&gt;=$AT125),"Ectomorfo dominante","Endomorfo dominante")))</f>
        <v/>
      </c>
    </row>
    <row r="126" customFormat="false" ht="15" hidden="false" customHeight="false" outlineLevel="0" collapsed="false">
      <c r="A126" s="29"/>
      <c r="B126" s="27"/>
      <c r="C126" s="28"/>
      <c r="D126" s="27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3" t="str">
        <f aca="false">IFERROR(DATEDIF(INDEX(Cadastro!$D$8:$D$47,MATCH($B126,Cadastro!$B$8:$B$47,0)),$A126,"Y"),"")</f>
        <v/>
      </c>
      <c r="AH126" s="33" t="str">
        <f aca="false">IF(COUNT($I126,$K126,$J126,$N126)&lt;4,"",$I126+$K126+$J126+$N126)</f>
        <v/>
      </c>
      <c r="AI126" s="33" t="str">
        <f aca="false">IF(COUNT($L126,$M126,$I126,$J126,$P126,$N126,$Q126)&lt;7,"",$L126+$M126+$I126+$J126+$P126+$N126+$Q126)</f>
        <v/>
      </c>
      <c r="AJ126" s="33" t="str">
        <f aca="false">IF(COUNT($I126,$J126,$K126,$O126,$P126,$Q126,$R126,$N126)&lt;8,"",$I126+$J126+$K126+$O126+$P126+$Q126+$R126+$N126)</f>
        <v/>
      </c>
      <c r="AK126" s="34" t="str">
        <f aca="false">IF(OR($AI126="",$AG126=""),"",IF(IFERROR(INDEX(Cadastro!$F$8:$F$47,MATCH($B126,Cadastro!$B$8:$B$47,0)),"")="Feminino",1.097-0.00046971*$AI126+0.00000056*$AI126^2-0.00012828*$AG126,1.112-0.00043499*$AI126+0.00000055*$AI126^2-0.00028826*$AG126))</f>
        <v/>
      </c>
      <c r="AL126" s="30" t="str">
        <f aca="false">IF(OR($AK126="",$AK126=0),"",495/$AK126-450)</f>
        <v/>
      </c>
      <c r="AM126" s="35" t="str">
        <f aca="false">IF(OR($AL126="",$E126=""),"",$E126*$AL126/100)</f>
        <v/>
      </c>
      <c r="AN126" s="30" t="str">
        <f aca="false">IF(OR($AM126="",$E126=""),"",$E126-$AM126)</f>
        <v/>
      </c>
      <c r="AO126" s="35" t="str">
        <f aca="false">IFERROR($E126/($F126/100)^2,"")</f>
        <v/>
      </c>
      <c r="AP126" s="35" t="str">
        <f aca="false">IFERROR($G126/$F126*100,"")</f>
        <v/>
      </c>
      <c r="AQ126" s="36" t="str">
        <f aca="false">IFERROR($W126/$F126,"")</f>
        <v/>
      </c>
      <c r="AR126" s="35" t="str">
        <f aca="false">IF(OR($S126="",$I126=""),"",($S126-PI()*$I126/10)^2/(4*PI())-IF(IFERROR(INDEX(Cadastro!$F$8:$F$47,MATCH($B126,Cadastro!$B$8:$B$47,0)),"")="Feminino",6.5,10))</f>
        <v/>
      </c>
      <c r="AS126" s="35" t="str">
        <f aca="false">IF(OR($I126="",$J126="",$O126="",$F126=""),"",-0.7182+0.1451*(($I126+$J126+$O126)*(170.18/$F126))-0.00068*(($I126+$J126+$O126)*(170.18/$F126))^2+0.0000014*(($I126+$J126+$O126)*(170.18/$F126))^3)</f>
        <v/>
      </c>
      <c r="AT126" s="35" t="str">
        <f aca="false">IF(OR($AE126="",$AF126="",$T126="",$AA126="",$F126=""),"",0.858*$AE126+0.601*$AF126+0.188*($T126-$I126/10)+0.161*($AA126-$R126/10)-0.131*$F126+4.5)</f>
        <v/>
      </c>
      <c r="AU126" s="35" t="str">
        <f aca="false">IF(OR($E126="",$F126=""),"",IF($F126/$E126^(1/3)&gt;=40.75,0.732*($F126/$E126^(1/3))-28.58,IF($F126/$E126^(1/3)&gt;=38.25,0.463*($F126/$E126^(1/3))-17.63,0.1)))</f>
        <v/>
      </c>
      <c r="AV126" s="37" t="str">
        <f aca="false">IF(OR($AS126="",$AT126="",$AU126=""),"",IF(AND($AT126&gt;=$AS126,$AT126&gt;=$AU126),"Mesomorfo dominante",IF(AND($AU126&gt;=$AS126,$AU126&gt;=$AT126),"Ectomorfo dominante","Endomorfo dominante")))</f>
        <v/>
      </c>
    </row>
    <row r="127" customFormat="false" ht="15" hidden="false" customHeight="false" outlineLevel="0" collapsed="false">
      <c r="A127" s="29"/>
      <c r="B127" s="27"/>
      <c r="C127" s="28"/>
      <c r="D127" s="27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3" t="str">
        <f aca="false">IFERROR(DATEDIF(INDEX(Cadastro!$D$8:$D$47,MATCH($B127,Cadastro!$B$8:$B$47,0)),$A127,"Y"),"")</f>
        <v/>
      </c>
      <c r="AH127" s="33" t="str">
        <f aca="false">IF(COUNT($I127,$K127,$J127,$N127)&lt;4,"",$I127+$K127+$J127+$N127)</f>
        <v/>
      </c>
      <c r="AI127" s="33" t="str">
        <f aca="false">IF(COUNT($L127,$M127,$I127,$J127,$P127,$N127,$Q127)&lt;7,"",$L127+$M127+$I127+$J127+$P127+$N127+$Q127)</f>
        <v/>
      </c>
      <c r="AJ127" s="33" t="str">
        <f aca="false">IF(COUNT($I127,$J127,$K127,$O127,$P127,$Q127,$R127,$N127)&lt;8,"",$I127+$J127+$K127+$O127+$P127+$Q127+$R127+$N127)</f>
        <v/>
      </c>
      <c r="AK127" s="34" t="str">
        <f aca="false">IF(OR($AI127="",$AG127=""),"",IF(IFERROR(INDEX(Cadastro!$F$8:$F$47,MATCH($B127,Cadastro!$B$8:$B$47,0)),"")="Feminino",1.097-0.00046971*$AI127+0.00000056*$AI127^2-0.00012828*$AG127,1.112-0.00043499*$AI127+0.00000055*$AI127^2-0.00028826*$AG127))</f>
        <v/>
      </c>
      <c r="AL127" s="30" t="str">
        <f aca="false">IF(OR($AK127="",$AK127=0),"",495/$AK127-450)</f>
        <v/>
      </c>
      <c r="AM127" s="35" t="str">
        <f aca="false">IF(OR($AL127="",$E127=""),"",$E127*$AL127/100)</f>
        <v/>
      </c>
      <c r="AN127" s="30" t="str">
        <f aca="false">IF(OR($AM127="",$E127=""),"",$E127-$AM127)</f>
        <v/>
      </c>
      <c r="AO127" s="35" t="str">
        <f aca="false">IFERROR($E127/($F127/100)^2,"")</f>
        <v/>
      </c>
      <c r="AP127" s="35" t="str">
        <f aca="false">IFERROR($G127/$F127*100,"")</f>
        <v/>
      </c>
      <c r="AQ127" s="36" t="str">
        <f aca="false">IFERROR($W127/$F127,"")</f>
        <v/>
      </c>
      <c r="AR127" s="35" t="str">
        <f aca="false">IF(OR($S127="",$I127=""),"",($S127-PI()*$I127/10)^2/(4*PI())-IF(IFERROR(INDEX(Cadastro!$F$8:$F$47,MATCH($B127,Cadastro!$B$8:$B$47,0)),"")="Feminino",6.5,10))</f>
        <v/>
      </c>
      <c r="AS127" s="35" t="str">
        <f aca="false">IF(OR($I127="",$J127="",$O127="",$F127=""),"",-0.7182+0.1451*(($I127+$J127+$O127)*(170.18/$F127))-0.00068*(($I127+$J127+$O127)*(170.18/$F127))^2+0.0000014*(($I127+$J127+$O127)*(170.18/$F127))^3)</f>
        <v/>
      </c>
      <c r="AT127" s="35" t="str">
        <f aca="false">IF(OR($AE127="",$AF127="",$T127="",$AA127="",$F127=""),"",0.858*$AE127+0.601*$AF127+0.188*($T127-$I127/10)+0.161*($AA127-$R127/10)-0.131*$F127+4.5)</f>
        <v/>
      </c>
      <c r="AU127" s="35" t="str">
        <f aca="false">IF(OR($E127="",$F127=""),"",IF($F127/$E127^(1/3)&gt;=40.75,0.732*($F127/$E127^(1/3))-28.58,IF($F127/$E127^(1/3)&gt;=38.25,0.463*($F127/$E127^(1/3))-17.63,0.1)))</f>
        <v/>
      </c>
      <c r="AV127" s="37" t="str">
        <f aca="false">IF(OR($AS127="",$AT127="",$AU127=""),"",IF(AND($AT127&gt;=$AS127,$AT127&gt;=$AU127),"Mesomorfo dominante",IF(AND($AU127&gt;=$AS127,$AU127&gt;=$AT127),"Ectomorfo dominante","Endomorfo dominante")))</f>
        <v/>
      </c>
    </row>
    <row r="128" customFormat="false" ht="15" hidden="false" customHeight="false" outlineLevel="0" collapsed="false">
      <c r="A128" s="29"/>
      <c r="B128" s="27"/>
      <c r="C128" s="28"/>
      <c r="D128" s="27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3" t="str">
        <f aca="false">IFERROR(DATEDIF(INDEX(Cadastro!$D$8:$D$47,MATCH($B128,Cadastro!$B$8:$B$47,0)),$A128,"Y"),"")</f>
        <v/>
      </c>
      <c r="AH128" s="33" t="str">
        <f aca="false">IF(COUNT($I128,$K128,$J128,$N128)&lt;4,"",$I128+$K128+$J128+$N128)</f>
        <v/>
      </c>
      <c r="AI128" s="33" t="str">
        <f aca="false">IF(COUNT($L128,$M128,$I128,$J128,$P128,$N128,$Q128)&lt;7,"",$L128+$M128+$I128+$J128+$P128+$N128+$Q128)</f>
        <v/>
      </c>
      <c r="AJ128" s="33" t="str">
        <f aca="false">IF(COUNT($I128,$J128,$K128,$O128,$P128,$Q128,$R128,$N128)&lt;8,"",$I128+$J128+$K128+$O128+$P128+$Q128+$R128+$N128)</f>
        <v/>
      </c>
      <c r="AK128" s="34" t="str">
        <f aca="false">IF(OR($AI128="",$AG128=""),"",IF(IFERROR(INDEX(Cadastro!$F$8:$F$47,MATCH($B128,Cadastro!$B$8:$B$47,0)),"")="Feminino",1.097-0.00046971*$AI128+0.00000056*$AI128^2-0.00012828*$AG128,1.112-0.00043499*$AI128+0.00000055*$AI128^2-0.00028826*$AG128))</f>
        <v/>
      </c>
      <c r="AL128" s="30" t="str">
        <f aca="false">IF(OR($AK128="",$AK128=0),"",495/$AK128-450)</f>
        <v/>
      </c>
      <c r="AM128" s="35" t="str">
        <f aca="false">IF(OR($AL128="",$E128=""),"",$E128*$AL128/100)</f>
        <v/>
      </c>
      <c r="AN128" s="30" t="str">
        <f aca="false">IF(OR($AM128="",$E128=""),"",$E128-$AM128)</f>
        <v/>
      </c>
      <c r="AO128" s="35" t="str">
        <f aca="false">IFERROR($E128/($F128/100)^2,"")</f>
        <v/>
      </c>
      <c r="AP128" s="35" t="str">
        <f aca="false">IFERROR($G128/$F128*100,"")</f>
        <v/>
      </c>
      <c r="AQ128" s="36" t="str">
        <f aca="false">IFERROR($W128/$F128,"")</f>
        <v/>
      </c>
      <c r="AR128" s="35" t="str">
        <f aca="false">IF(OR($S128="",$I128=""),"",($S128-PI()*$I128/10)^2/(4*PI())-IF(IFERROR(INDEX(Cadastro!$F$8:$F$47,MATCH($B128,Cadastro!$B$8:$B$47,0)),"")="Feminino",6.5,10))</f>
        <v/>
      </c>
      <c r="AS128" s="35" t="str">
        <f aca="false">IF(OR($I128="",$J128="",$O128="",$F128=""),"",-0.7182+0.1451*(($I128+$J128+$O128)*(170.18/$F128))-0.00068*(($I128+$J128+$O128)*(170.18/$F128))^2+0.0000014*(($I128+$J128+$O128)*(170.18/$F128))^3)</f>
        <v/>
      </c>
      <c r="AT128" s="35" t="str">
        <f aca="false">IF(OR($AE128="",$AF128="",$T128="",$AA128="",$F128=""),"",0.858*$AE128+0.601*$AF128+0.188*($T128-$I128/10)+0.161*($AA128-$R128/10)-0.131*$F128+4.5)</f>
        <v/>
      </c>
      <c r="AU128" s="35" t="str">
        <f aca="false">IF(OR($E128="",$F128=""),"",IF($F128/$E128^(1/3)&gt;=40.75,0.732*($F128/$E128^(1/3))-28.58,IF($F128/$E128^(1/3)&gt;=38.25,0.463*($F128/$E128^(1/3))-17.63,0.1)))</f>
        <v/>
      </c>
      <c r="AV128" s="37" t="str">
        <f aca="false">IF(OR($AS128="",$AT128="",$AU128=""),"",IF(AND($AT128&gt;=$AS128,$AT128&gt;=$AU128),"Mesomorfo dominante",IF(AND($AU128&gt;=$AS128,$AU128&gt;=$AT128),"Ectomorfo dominante","Endomorfo dominante")))</f>
        <v/>
      </c>
    </row>
    <row r="129" customFormat="false" ht="15" hidden="false" customHeight="false" outlineLevel="0" collapsed="false">
      <c r="A129" s="29"/>
      <c r="B129" s="27"/>
      <c r="C129" s="28"/>
      <c r="D129" s="27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3" t="str">
        <f aca="false">IFERROR(DATEDIF(INDEX(Cadastro!$D$8:$D$47,MATCH($B129,Cadastro!$B$8:$B$47,0)),$A129,"Y"),"")</f>
        <v/>
      </c>
      <c r="AH129" s="33" t="str">
        <f aca="false">IF(COUNT($I129,$K129,$J129,$N129)&lt;4,"",$I129+$K129+$J129+$N129)</f>
        <v/>
      </c>
      <c r="AI129" s="33" t="str">
        <f aca="false">IF(COUNT($L129,$M129,$I129,$J129,$P129,$N129,$Q129)&lt;7,"",$L129+$M129+$I129+$J129+$P129+$N129+$Q129)</f>
        <v/>
      </c>
      <c r="AJ129" s="33" t="str">
        <f aca="false">IF(COUNT($I129,$J129,$K129,$O129,$P129,$Q129,$R129,$N129)&lt;8,"",$I129+$J129+$K129+$O129+$P129+$Q129+$R129+$N129)</f>
        <v/>
      </c>
      <c r="AK129" s="34" t="str">
        <f aca="false">IF(OR($AI129="",$AG129=""),"",IF(IFERROR(INDEX(Cadastro!$F$8:$F$47,MATCH($B129,Cadastro!$B$8:$B$47,0)),"")="Feminino",1.097-0.00046971*$AI129+0.00000056*$AI129^2-0.00012828*$AG129,1.112-0.00043499*$AI129+0.00000055*$AI129^2-0.00028826*$AG129))</f>
        <v/>
      </c>
      <c r="AL129" s="30" t="str">
        <f aca="false">IF(OR($AK129="",$AK129=0),"",495/$AK129-450)</f>
        <v/>
      </c>
      <c r="AM129" s="35" t="str">
        <f aca="false">IF(OR($AL129="",$E129=""),"",$E129*$AL129/100)</f>
        <v/>
      </c>
      <c r="AN129" s="30" t="str">
        <f aca="false">IF(OR($AM129="",$E129=""),"",$E129-$AM129)</f>
        <v/>
      </c>
      <c r="AO129" s="35" t="str">
        <f aca="false">IFERROR($E129/($F129/100)^2,"")</f>
        <v/>
      </c>
      <c r="AP129" s="35" t="str">
        <f aca="false">IFERROR($G129/$F129*100,"")</f>
        <v/>
      </c>
      <c r="AQ129" s="36" t="str">
        <f aca="false">IFERROR($W129/$F129,"")</f>
        <v/>
      </c>
      <c r="AR129" s="35" t="str">
        <f aca="false">IF(OR($S129="",$I129=""),"",($S129-PI()*$I129/10)^2/(4*PI())-IF(IFERROR(INDEX(Cadastro!$F$8:$F$47,MATCH($B129,Cadastro!$B$8:$B$47,0)),"")="Feminino",6.5,10))</f>
        <v/>
      </c>
      <c r="AS129" s="35" t="str">
        <f aca="false">IF(OR($I129="",$J129="",$O129="",$F129=""),"",-0.7182+0.1451*(($I129+$J129+$O129)*(170.18/$F129))-0.00068*(($I129+$J129+$O129)*(170.18/$F129))^2+0.0000014*(($I129+$J129+$O129)*(170.18/$F129))^3)</f>
        <v/>
      </c>
      <c r="AT129" s="35" t="str">
        <f aca="false">IF(OR($AE129="",$AF129="",$T129="",$AA129="",$F129=""),"",0.858*$AE129+0.601*$AF129+0.188*($T129-$I129/10)+0.161*($AA129-$R129/10)-0.131*$F129+4.5)</f>
        <v/>
      </c>
      <c r="AU129" s="35" t="str">
        <f aca="false">IF(OR($E129="",$F129=""),"",IF($F129/$E129^(1/3)&gt;=40.75,0.732*($F129/$E129^(1/3))-28.58,IF($F129/$E129^(1/3)&gt;=38.25,0.463*($F129/$E129^(1/3))-17.63,0.1)))</f>
        <v/>
      </c>
      <c r="AV129" s="37" t="str">
        <f aca="false">IF(OR($AS129="",$AT129="",$AU129=""),"",IF(AND($AT129&gt;=$AS129,$AT129&gt;=$AU129),"Mesomorfo dominante",IF(AND($AU129&gt;=$AS129,$AU129&gt;=$AT129),"Ectomorfo dominante","Endomorfo dominante")))</f>
        <v/>
      </c>
    </row>
    <row r="130" customFormat="false" ht="15" hidden="false" customHeight="false" outlineLevel="0" collapsed="false">
      <c r="A130" s="29"/>
      <c r="B130" s="27"/>
      <c r="C130" s="28"/>
      <c r="D130" s="27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3" t="str">
        <f aca="false">IFERROR(DATEDIF(INDEX(Cadastro!$D$8:$D$47,MATCH($B130,Cadastro!$B$8:$B$47,0)),$A130,"Y"),"")</f>
        <v/>
      </c>
      <c r="AH130" s="33" t="str">
        <f aca="false">IF(COUNT($I130,$K130,$J130,$N130)&lt;4,"",$I130+$K130+$J130+$N130)</f>
        <v/>
      </c>
      <c r="AI130" s="33" t="str">
        <f aca="false">IF(COUNT($L130,$M130,$I130,$J130,$P130,$N130,$Q130)&lt;7,"",$L130+$M130+$I130+$J130+$P130+$N130+$Q130)</f>
        <v/>
      </c>
      <c r="AJ130" s="33" t="str">
        <f aca="false">IF(COUNT($I130,$J130,$K130,$O130,$P130,$Q130,$R130,$N130)&lt;8,"",$I130+$J130+$K130+$O130+$P130+$Q130+$R130+$N130)</f>
        <v/>
      </c>
      <c r="AK130" s="34" t="str">
        <f aca="false">IF(OR($AI130="",$AG130=""),"",IF(IFERROR(INDEX(Cadastro!$F$8:$F$47,MATCH($B130,Cadastro!$B$8:$B$47,0)),"")="Feminino",1.097-0.00046971*$AI130+0.00000056*$AI130^2-0.00012828*$AG130,1.112-0.00043499*$AI130+0.00000055*$AI130^2-0.00028826*$AG130))</f>
        <v/>
      </c>
      <c r="AL130" s="30" t="str">
        <f aca="false">IF(OR($AK130="",$AK130=0),"",495/$AK130-450)</f>
        <v/>
      </c>
      <c r="AM130" s="35" t="str">
        <f aca="false">IF(OR($AL130="",$E130=""),"",$E130*$AL130/100)</f>
        <v/>
      </c>
      <c r="AN130" s="30" t="str">
        <f aca="false">IF(OR($AM130="",$E130=""),"",$E130-$AM130)</f>
        <v/>
      </c>
      <c r="AO130" s="35" t="str">
        <f aca="false">IFERROR($E130/($F130/100)^2,"")</f>
        <v/>
      </c>
      <c r="AP130" s="35" t="str">
        <f aca="false">IFERROR($G130/$F130*100,"")</f>
        <v/>
      </c>
      <c r="AQ130" s="36" t="str">
        <f aca="false">IFERROR($W130/$F130,"")</f>
        <v/>
      </c>
      <c r="AR130" s="35" t="str">
        <f aca="false">IF(OR($S130="",$I130=""),"",($S130-PI()*$I130/10)^2/(4*PI())-IF(IFERROR(INDEX(Cadastro!$F$8:$F$47,MATCH($B130,Cadastro!$B$8:$B$47,0)),"")="Feminino",6.5,10))</f>
        <v/>
      </c>
      <c r="AS130" s="35" t="str">
        <f aca="false">IF(OR($I130="",$J130="",$O130="",$F130=""),"",-0.7182+0.1451*(($I130+$J130+$O130)*(170.18/$F130))-0.00068*(($I130+$J130+$O130)*(170.18/$F130))^2+0.0000014*(($I130+$J130+$O130)*(170.18/$F130))^3)</f>
        <v/>
      </c>
      <c r="AT130" s="35" t="str">
        <f aca="false">IF(OR($AE130="",$AF130="",$T130="",$AA130="",$F130=""),"",0.858*$AE130+0.601*$AF130+0.188*($T130-$I130/10)+0.161*($AA130-$R130/10)-0.131*$F130+4.5)</f>
        <v/>
      </c>
      <c r="AU130" s="35" t="str">
        <f aca="false">IF(OR($E130="",$F130=""),"",IF($F130/$E130^(1/3)&gt;=40.75,0.732*($F130/$E130^(1/3))-28.58,IF($F130/$E130^(1/3)&gt;=38.25,0.463*($F130/$E130^(1/3))-17.63,0.1)))</f>
        <v/>
      </c>
      <c r="AV130" s="37" t="str">
        <f aca="false">IF(OR($AS130="",$AT130="",$AU130=""),"",IF(AND($AT130&gt;=$AS130,$AT130&gt;=$AU130),"Mesomorfo dominante",IF(AND($AU130&gt;=$AS130,$AU130&gt;=$AT130),"Ectomorfo dominante","Endomorfo dominante")))</f>
        <v/>
      </c>
    </row>
    <row r="131" customFormat="false" ht="15" hidden="false" customHeight="false" outlineLevel="0" collapsed="false">
      <c r="A131" s="29"/>
      <c r="B131" s="27"/>
      <c r="C131" s="28"/>
      <c r="D131" s="27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3" t="str">
        <f aca="false">IFERROR(DATEDIF(INDEX(Cadastro!$D$8:$D$47,MATCH($B131,Cadastro!$B$8:$B$47,0)),$A131,"Y"),"")</f>
        <v/>
      </c>
      <c r="AH131" s="33" t="str">
        <f aca="false">IF(COUNT($I131,$K131,$J131,$N131)&lt;4,"",$I131+$K131+$J131+$N131)</f>
        <v/>
      </c>
      <c r="AI131" s="33" t="str">
        <f aca="false">IF(COUNT($L131,$M131,$I131,$J131,$P131,$N131,$Q131)&lt;7,"",$L131+$M131+$I131+$J131+$P131+$N131+$Q131)</f>
        <v/>
      </c>
      <c r="AJ131" s="33" t="str">
        <f aca="false">IF(COUNT($I131,$J131,$K131,$O131,$P131,$Q131,$R131,$N131)&lt;8,"",$I131+$J131+$K131+$O131+$P131+$Q131+$R131+$N131)</f>
        <v/>
      </c>
      <c r="AK131" s="34" t="str">
        <f aca="false">IF(OR($AI131="",$AG131=""),"",IF(IFERROR(INDEX(Cadastro!$F$8:$F$47,MATCH($B131,Cadastro!$B$8:$B$47,0)),"")="Feminino",1.097-0.00046971*$AI131+0.00000056*$AI131^2-0.00012828*$AG131,1.112-0.00043499*$AI131+0.00000055*$AI131^2-0.00028826*$AG131))</f>
        <v/>
      </c>
      <c r="AL131" s="30" t="str">
        <f aca="false">IF(OR($AK131="",$AK131=0),"",495/$AK131-450)</f>
        <v/>
      </c>
      <c r="AM131" s="35" t="str">
        <f aca="false">IF(OR($AL131="",$E131=""),"",$E131*$AL131/100)</f>
        <v/>
      </c>
      <c r="AN131" s="30" t="str">
        <f aca="false">IF(OR($AM131="",$E131=""),"",$E131-$AM131)</f>
        <v/>
      </c>
      <c r="AO131" s="35" t="str">
        <f aca="false">IFERROR($E131/($F131/100)^2,"")</f>
        <v/>
      </c>
      <c r="AP131" s="35" t="str">
        <f aca="false">IFERROR($G131/$F131*100,"")</f>
        <v/>
      </c>
      <c r="AQ131" s="36" t="str">
        <f aca="false">IFERROR($W131/$F131,"")</f>
        <v/>
      </c>
      <c r="AR131" s="35" t="str">
        <f aca="false">IF(OR($S131="",$I131=""),"",($S131-PI()*$I131/10)^2/(4*PI())-IF(IFERROR(INDEX(Cadastro!$F$8:$F$47,MATCH($B131,Cadastro!$B$8:$B$47,0)),"")="Feminino",6.5,10))</f>
        <v/>
      </c>
      <c r="AS131" s="35" t="str">
        <f aca="false">IF(OR($I131="",$J131="",$O131="",$F131=""),"",-0.7182+0.1451*(($I131+$J131+$O131)*(170.18/$F131))-0.00068*(($I131+$J131+$O131)*(170.18/$F131))^2+0.0000014*(($I131+$J131+$O131)*(170.18/$F131))^3)</f>
        <v/>
      </c>
      <c r="AT131" s="35" t="str">
        <f aca="false">IF(OR($AE131="",$AF131="",$T131="",$AA131="",$F131=""),"",0.858*$AE131+0.601*$AF131+0.188*($T131-$I131/10)+0.161*($AA131-$R131/10)-0.131*$F131+4.5)</f>
        <v/>
      </c>
      <c r="AU131" s="35" t="str">
        <f aca="false">IF(OR($E131="",$F131=""),"",IF($F131/$E131^(1/3)&gt;=40.75,0.732*($F131/$E131^(1/3))-28.58,IF($F131/$E131^(1/3)&gt;=38.25,0.463*($F131/$E131^(1/3))-17.63,0.1)))</f>
        <v/>
      </c>
      <c r="AV131" s="37" t="str">
        <f aca="false">IF(OR($AS131="",$AT131="",$AU131=""),"",IF(AND($AT131&gt;=$AS131,$AT131&gt;=$AU131),"Mesomorfo dominante",IF(AND($AU131&gt;=$AS131,$AU131&gt;=$AT131),"Ectomorfo dominante","Endomorfo dominante")))</f>
        <v/>
      </c>
    </row>
    <row r="132" customFormat="false" ht="15" hidden="false" customHeight="false" outlineLevel="0" collapsed="false">
      <c r="A132" s="29"/>
      <c r="B132" s="27"/>
      <c r="C132" s="28"/>
      <c r="D132" s="27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3" t="str">
        <f aca="false">IFERROR(DATEDIF(INDEX(Cadastro!$D$8:$D$47,MATCH($B132,Cadastro!$B$8:$B$47,0)),$A132,"Y"),"")</f>
        <v/>
      </c>
      <c r="AH132" s="33" t="str">
        <f aca="false">IF(COUNT($I132,$K132,$J132,$N132)&lt;4,"",$I132+$K132+$J132+$N132)</f>
        <v/>
      </c>
      <c r="AI132" s="33" t="str">
        <f aca="false">IF(COUNT($L132,$M132,$I132,$J132,$P132,$N132,$Q132)&lt;7,"",$L132+$M132+$I132+$J132+$P132+$N132+$Q132)</f>
        <v/>
      </c>
      <c r="AJ132" s="33" t="str">
        <f aca="false">IF(COUNT($I132,$J132,$K132,$O132,$P132,$Q132,$R132,$N132)&lt;8,"",$I132+$J132+$K132+$O132+$P132+$Q132+$R132+$N132)</f>
        <v/>
      </c>
      <c r="AK132" s="34" t="str">
        <f aca="false">IF(OR($AI132="",$AG132=""),"",IF(IFERROR(INDEX(Cadastro!$F$8:$F$47,MATCH($B132,Cadastro!$B$8:$B$47,0)),"")="Feminino",1.097-0.00046971*$AI132+0.00000056*$AI132^2-0.00012828*$AG132,1.112-0.00043499*$AI132+0.00000055*$AI132^2-0.00028826*$AG132))</f>
        <v/>
      </c>
      <c r="AL132" s="30" t="str">
        <f aca="false">IF(OR($AK132="",$AK132=0),"",495/$AK132-450)</f>
        <v/>
      </c>
      <c r="AM132" s="35" t="str">
        <f aca="false">IF(OR($AL132="",$E132=""),"",$E132*$AL132/100)</f>
        <v/>
      </c>
      <c r="AN132" s="30" t="str">
        <f aca="false">IF(OR($AM132="",$E132=""),"",$E132-$AM132)</f>
        <v/>
      </c>
      <c r="AO132" s="35" t="str">
        <f aca="false">IFERROR($E132/($F132/100)^2,"")</f>
        <v/>
      </c>
      <c r="AP132" s="35" t="str">
        <f aca="false">IFERROR($G132/$F132*100,"")</f>
        <v/>
      </c>
      <c r="AQ132" s="36" t="str">
        <f aca="false">IFERROR($W132/$F132,"")</f>
        <v/>
      </c>
      <c r="AR132" s="35" t="str">
        <f aca="false">IF(OR($S132="",$I132=""),"",($S132-PI()*$I132/10)^2/(4*PI())-IF(IFERROR(INDEX(Cadastro!$F$8:$F$47,MATCH($B132,Cadastro!$B$8:$B$47,0)),"")="Feminino",6.5,10))</f>
        <v/>
      </c>
      <c r="AS132" s="35" t="str">
        <f aca="false">IF(OR($I132="",$J132="",$O132="",$F132=""),"",-0.7182+0.1451*(($I132+$J132+$O132)*(170.18/$F132))-0.00068*(($I132+$J132+$O132)*(170.18/$F132))^2+0.0000014*(($I132+$J132+$O132)*(170.18/$F132))^3)</f>
        <v/>
      </c>
      <c r="AT132" s="35" t="str">
        <f aca="false">IF(OR($AE132="",$AF132="",$T132="",$AA132="",$F132=""),"",0.858*$AE132+0.601*$AF132+0.188*($T132-$I132/10)+0.161*($AA132-$R132/10)-0.131*$F132+4.5)</f>
        <v/>
      </c>
      <c r="AU132" s="35" t="str">
        <f aca="false">IF(OR($E132="",$F132=""),"",IF($F132/$E132^(1/3)&gt;=40.75,0.732*($F132/$E132^(1/3))-28.58,IF($F132/$E132^(1/3)&gt;=38.25,0.463*($F132/$E132^(1/3))-17.63,0.1)))</f>
        <v/>
      </c>
      <c r="AV132" s="37" t="str">
        <f aca="false">IF(OR($AS132="",$AT132="",$AU132=""),"",IF(AND($AT132&gt;=$AS132,$AT132&gt;=$AU132),"Mesomorfo dominante",IF(AND($AU132&gt;=$AS132,$AU132&gt;=$AT132),"Ectomorfo dominante","Endomorfo dominante")))</f>
        <v/>
      </c>
    </row>
    <row r="133" customFormat="false" ht="15" hidden="false" customHeight="false" outlineLevel="0" collapsed="false">
      <c r="A133" s="29"/>
      <c r="B133" s="27"/>
      <c r="C133" s="28"/>
      <c r="D133" s="27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3" t="str">
        <f aca="false">IFERROR(DATEDIF(INDEX(Cadastro!$D$8:$D$47,MATCH($B133,Cadastro!$B$8:$B$47,0)),$A133,"Y"),"")</f>
        <v/>
      </c>
      <c r="AH133" s="33" t="str">
        <f aca="false">IF(COUNT($I133,$K133,$J133,$N133)&lt;4,"",$I133+$K133+$J133+$N133)</f>
        <v/>
      </c>
      <c r="AI133" s="33" t="str">
        <f aca="false">IF(COUNT($L133,$M133,$I133,$J133,$P133,$N133,$Q133)&lt;7,"",$L133+$M133+$I133+$J133+$P133+$N133+$Q133)</f>
        <v/>
      </c>
      <c r="AJ133" s="33" t="str">
        <f aca="false">IF(COUNT($I133,$J133,$K133,$O133,$P133,$Q133,$R133,$N133)&lt;8,"",$I133+$J133+$K133+$O133+$P133+$Q133+$R133+$N133)</f>
        <v/>
      </c>
      <c r="AK133" s="34" t="str">
        <f aca="false">IF(OR($AI133="",$AG133=""),"",IF(IFERROR(INDEX(Cadastro!$F$8:$F$47,MATCH($B133,Cadastro!$B$8:$B$47,0)),"")="Feminino",1.097-0.00046971*$AI133+0.00000056*$AI133^2-0.00012828*$AG133,1.112-0.00043499*$AI133+0.00000055*$AI133^2-0.00028826*$AG133))</f>
        <v/>
      </c>
      <c r="AL133" s="30" t="str">
        <f aca="false">IF(OR($AK133="",$AK133=0),"",495/$AK133-450)</f>
        <v/>
      </c>
      <c r="AM133" s="35" t="str">
        <f aca="false">IF(OR($AL133="",$E133=""),"",$E133*$AL133/100)</f>
        <v/>
      </c>
      <c r="AN133" s="30" t="str">
        <f aca="false">IF(OR($AM133="",$E133=""),"",$E133-$AM133)</f>
        <v/>
      </c>
      <c r="AO133" s="35" t="str">
        <f aca="false">IFERROR($E133/($F133/100)^2,"")</f>
        <v/>
      </c>
      <c r="AP133" s="35" t="str">
        <f aca="false">IFERROR($G133/$F133*100,"")</f>
        <v/>
      </c>
      <c r="AQ133" s="36" t="str">
        <f aca="false">IFERROR($W133/$F133,"")</f>
        <v/>
      </c>
      <c r="AR133" s="35" t="str">
        <f aca="false">IF(OR($S133="",$I133=""),"",($S133-PI()*$I133/10)^2/(4*PI())-IF(IFERROR(INDEX(Cadastro!$F$8:$F$47,MATCH($B133,Cadastro!$B$8:$B$47,0)),"")="Feminino",6.5,10))</f>
        <v/>
      </c>
      <c r="AS133" s="35" t="str">
        <f aca="false">IF(OR($I133="",$J133="",$O133="",$F133=""),"",-0.7182+0.1451*(($I133+$J133+$O133)*(170.18/$F133))-0.00068*(($I133+$J133+$O133)*(170.18/$F133))^2+0.0000014*(($I133+$J133+$O133)*(170.18/$F133))^3)</f>
        <v/>
      </c>
      <c r="AT133" s="35" t="str">
        <f aca="false">IF(OR($AE133="",$AF133="",$T133="",$AA133="",$F133=""),"",0.858*$AE133+0.601*$AF133+0.188*($T133-$I133/10)+0.161*($AA133-$R133/10)-0.131*$F133+4.5)</f>
        <v/>
      </c>
      <c r="AU133" s="35" t="str">
        <f aca="false">IF(OR($E133="",$F133=""),"",IF($F133/$E133^(1/3)&gt;=40.75,0.732*($F133/$E133^(1/3))-28.58,IF($F133/$E133^(1/3)&gt;=38.25,0.463*($F133/$E133^(1/3))-17.63,0.1)))</f>
        <v/>
      </c>
      <c r="AV133" s="37" t="str">
        <f aca="false">IF(OR($AS133="",$AT133="",$AU133=""),"",IF(AND($AT133&gt;=$AS133,$AT133&gt;=$AU133),"Mesomorfo dominante",IF(AND($AU133&gt;=$AS133,$AU133&gt;=$AT133),"Ectomorfo dominante","Endomorfo dominante")))</f>
        <v/>
      </c>
    </row>
    <row r="134" customFormat="false" ht="15" hidden="false" customHeight="false" outlineLevel="0" collapsed="false">
      <c r="A134" s="29"/>
      <c r="B134" s="27"/>
      <c r="C134" s="28"/>
      <c r="D134" s="27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3" t="str">
        <f aca="false">IFERROR(DATEDIF(INDEX(Cadastro!$D$8:$D$47,MATCH($B134,Cadastro!$B$8:$B$47,0)),$A134,"Y"),"")</f>
        <v/>
      </c>
      <c r="AH134" s="33" t="str">
        <f aca="false">IF(COUNT($I134,$K134,$J134,$N134)&lt;4,"",$I134+$K134+$J134+$N134)</f>
        <v/>
      </c>
      <c r="AI134" s="33" t="str">
        <f aca="false">IF(COUNT($L134,$M134,$I134,$J134,$P134,$N134,$Q134)&lt;7,"",$L134+$M134+$I134+$J134+$P134+$N134+$Q134)</f>
        <v/>
      </c>
      <c r="AJ134" s="33" t="str">
        <f aca="false">IF(COUNT($I134,$J134,$K134,$O134,$P134,$Q134,$R134,$N134)&lt;8,"",$I134+$J134+$K134+$O134+$P134+$Q134+$R134+$N134)</f>
        <v/>
      </c>
      <c r="AK134" s="34" t="str">
        <f aca="false">IF(OR($AI134="",$AG134=""),"",IF(IFERROR(INDEX(Cadastro!$F$8:$F$47,MATCH($B134,Cadastro!$B$8:$B$47,0)),"")="Feminino",1.097-0.00046971*$AI134+0.00000056*$AI134^2-0.00012828*$AG134,1.112-0.00043499*$AI134+0.00000055*$AI134^2-0.00028826*$AG134))</f>
        <v/>
      </c>
      <c r="AL134" s="30" t="str">
        <f aca="false">IF(OR($AK134="",$AK134=0),"",495/$AK134-450)</f>
        <v/>
      </c>
      <c r="AM134" s="35" t="str">
        <f aca="false">IF(OR($AL134="",$E134=""),"",$E134*$AL134/100)</f>
        <v/>
      </c>
      <c r="AN134" s="30" t="str">
        <f aca="false">IF(OR($AM134="",$E134=""),"",$E134-$AM134)</f>
        <v/>
      </c>
      <c r="AO134" s="35" t="str">
        <f aca="false">IFERROR($E134/($F134/100)^2,"")</f>
        <v/>
      </c>
      <c r="AP134" s="35" t="str">
        <f aca="false">IFERROR($G134/$F134*100,"")</f>
        <v/>
      </c>
      <c r="AQ134" s="36" t="str">
        <f aca="false">IFERROR($W134/$F134,"")</f>
        <v/>
      </c>
      <c r="AR134" s="35" t="str">
        <f aca="false">IF(OR($S134="",$I134=""),"",($S134-PI()*$I134/10)^2/(4*PI())-IF(IFERROR(INDEX(Cadastro!$F$8:$F$47,MATCH($B134,Cadastro!$B$8:$B$47,0)),"")="Feminino",6.5,10))</f>
        <v/>
      </c>
      <c r="AS134" s="35" t="str">
        <f aca="false">IF(OR($I134="",$J134="",$O134="",$F134=""),"",-0.7182+0.1451*(($I134+$J134+$O134)*(170.18/$F134))-0.00068*(($I134+$J134+$O134)*(170.18/$F134))^2+0.0000014*(($I134+$J134+$O134)*(170.18/$F134))^3)</f>
        <v/>
      </c>
      <c r="AT134" s="35" t="str">
        <f aca="false">IF(OR($AE134="",$AF134="",$T134="",$AA134="",$F134=""),"",0.858*$AE134+0.601*$AF134+0.188*($T134-$I134/10)+0.161*($AA134-$R134/10)-0.131*$F134+4.5)</f>
        <v/>
      </c>
      <c r="AU134" s="35" t="str">
        <f aca="false">IF(OR($E134="",$F134=""),"",IF($F134/$E134^(1/3)&gt;=40.75,0.732*($F134/$E134^(1/3))-28.58,IF($F134/$E134^(1/3)&gt;=38.25,0.463*($F134/$E134^(1/3))-17.63,0.1)))</f>
        <v/>
      </c>
      <c r="AV134" s="37" t="str">
        <f aca="false">IF(OR($AS134="",$AT134="",$AU134=""),"",IF(AND($AT134&gt;=$AS134,$AT134&gt;=$AU134),"Mesomorfo dominante",IF(AND($AU134&gt;=$AS134,$AU134&gt;=$AT134),"Ectomorfo dominante","Endomorfo dominante")))</f>
        <v/>
      </c>
    </row>
    <row r="135" customFormat="false" ht="15" hidden="false" customHeight="false" outlineLevel="0" collapsed="false">
      <c r="A135" s="29"/>
      <c r="B135" s="27"/>
      <c r="C135" s="28"/>
      <c r="D135" s="27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3" t="str">
        <f aca="false">IFERROR(DATEDIF(INDEX(Cadastro!$D$8:$D$47,MATCH($B135,Cadastro!$B$8:$B$47,0)),$A135,"Y"),"")</f>
        <v/>
      </c>
      <c r="AH135" s="33" t="str">
        <f aca="false">IF(COUNT($I135,$K135,$J135,$N135)&lt;4,"",$I135+$K135+$J135+$N135)</f>
        <v/>
      </c>
      <c r="AI135" s="33" t="str">
        <f aca="false">IF(COUNT($L135,$M135,$I135,$J135,$P135,$N135,$Q135)&lt;7,"",$L135+$M135+$I135+$J135+$P135+$N135+$Q135)</f>
        <v/>
      </c>
      <c r="AJ135" s="33" t="str">
        <f aca="false">IF(COUNT($I135,$J135,$K135,$O135,$P135,$Q135,$R135,$N135)&lt;8,"",$I135+$J135+$K135+$O135+$P135+$Q135+$R135+$N135)</f>
        <v/>
      </c>
      <c r="AK135" s="34" t="str">
        <f aca="false">IF(OR($AI135="",$AG135=""),"",IF(IFERROR(INDEX(Cadastro!$F$8:$F$47,MATCH($B135,Cadastro!$B$8:$B$47,0)),"")="Feminino",1.097-0.00046971*$AI135+0.00000056*$AI135^2-0.00012828*$AG135,1.112-0.00043499*$AI135+0.00000055*$AI135^2-0.00028826*$AG135))</f>
        <v/>
      </c>
      <c r="AL135" s="30" t="str">
        <f aca="false">IF(OR($AK135="",$AK135=0),"",495/$AK135-450)</f>
        <v/>
      </c>
      <c r="AM135" s="35" t="str">
        <f aca="false">IF(OR($AL135="",$E135=""),"",$E135*$AL135/100)</f>
        <v/>
      </c>
      <c r="AN135" s="30" t="str">
        <f aca="false">IF(OR($AM135="",$E135=""),"",$E135-$AM135)</f>
        <v/>
      </c>
      <c r="AO135" s="35" t="str">
        <f aca="false">IFERROR($E135/($F135/100)^2,"")</f>
        <v/>
      </c>
      <c r="AP135" s="35" t="str">
        <f aca="false">IFERROR($G135/$F135*100,"")</f>
        <v/>
      </c>
      <c r="AQ135" s="36" t="str">
        <f aca="false">IFERROR($W135/$F135,"")</f>
        <v/>
      </c>
      <c r="AR135" s="35" t="str">
        <f aca="false">IF(OR($S135="",$I135=""),"",($S135-PI()*$I135/10)^2/(4*PI())-IF(IFERROR(INDEX(Cadastro!$F$8:$F$47,MATCH($B135,Cadastro!$B$8:$B$47,0)),"")="Feminino",6.5,10))</f>
        <v/>
      </c>
      <c r="AS135" s="35" t="str">
        <f aca="false">IF(OR($I135="",$J135="",$O135="",$F135=""),"",-0.7182+0.1451*(($I135+$J135+$O135)*(170.18/$F135))-0.00068*(($I135+$J135+$O135)*(170.18/$F135))^2+0.0000014*(($I135+$J135+$O135)*(170.18/$F135))^3)</f>
        <v/>
      </c>
      <c r="AT135" s="35" t="str">
        <f aca="false">IF(OR($AE135="",$AF135="",$T135="",$AA135="",$F135=""),"",0.858*$AE135+0.601*$AF135+0.188*($T135-$I135/10)+0.161*($AA135-$R135/10)-0.131*$F135+4.5)</f>
        <v/>
      </c>
      <c r="AU135" s="35" t="str">
        <f aca="false">IF(OR($E135="",$F135=""),"",IF($F135/$E135^(1/3)&gt;=40.75,0.732*($F135/$E135^(1/3))-28.58,IF($F135/$E135^(1/3)&gt;=38.25,0.463*($F135/$E135^(1/3))-17.63,0.1)))</f>
        <v/>
      </c>
      <c r="AV135" s="37" t="str">
        <f aca="false">IF(OR($AS135="",$AT135="",$AU135=""),"",IF(AND($AT135&gt;=$AS135,$AT135&gt;=$AU135),"Mesomorfo dominante",IF(AND($AU135&gt;=$AS135,$AU135&gt;=$AT135),"Ectomorfo dominante","Endomorfo dominante")))</f>
        <v/>
      </c>
    </row>
    <row r="136" customFormat="false" ht="15" hidden="false" customHeight="false" outlineLevel="0" collapsed="false">
      <c r="A136" s="29"/>
      <c r="B136" s="27"/>
      <c r="C136" s="28"/>
      <c r="D136" s="27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3" t="str">
        <f aca="false">IFERROR(DATEDIF(INDEX(Cadastro!$D$8:$D$47,MATCH($B136,Cadastro!$B$8:$B$47,0)),$A136,"Y"),"")</f>
        <v/>
      </c>
      <c r="AH136" s="33" t="str">
        <f aca="false">IF(COUNT($I136,$K136,$J136,$N136)&lt;4,"",$I136+$K136+$J136+$N136)</f>
        <v/>
      </c>
      <c r="AI136" s="33" t="str">
        <f aca="false">IF(COUNT($L136,$M136,$I136,$J136,$P136,$N136,$Q136)&lt;7,"",$L136+$M136+$I136+$J136+$P136+$N136+$Q136)</f>
        <v/>
      </c>
      <c r="AJ136" s="33" t="str">
        <f aca="false">IF(COUNT($I136,$J136,$K136,$O136,$P136,$Q136,$R136,$N136)&lt;8,"",$I136+$J136+$K136+$O136+$P136+$Q136+$R136+$N136)</f>
        <v/>
      </c>
      <c r="AK136" s="34" t="str">
        <f aca="false">IF(OR($AI136="",$AG136=""),"",IF(IFERROR(INDEX(Cadastro!$F$8:$F$47,MATCH($B136,Cadastro!$B$8:$B$47,0)),"")="Feminino",1.097-0.00046971*$AI136+0.00000056*$AI136^2-0.00012828*$AG136,1.112-0.00043499*$AI136+0.00000055*$AI136^2-0.00028826*$AG136))</f>
        <v/>
      </c>
      <c r="AL136" s="30" t="str">
        <f aca="false">IF(OR($AK136="",$AK136=0),"",495/$AK136-450)</f>
        <v/>
      </c>
      <c r="AM136" s="35" t="str">
        <f aca="false">IF(OR($AL136="",$E136=""),"",$E136*$AL136/100)</f>
        <v/>
      </c>
      <c r="AN136" s="30" t="str">
        <f aca="false">IF(OR($AM136="",$E136=""),"",$E136-$AM136)</f>
        <v/>
      </c>
      <c r="AO136" s="35" t="str">
        <f aca="false">IFERROR($E136/($F136/100)^2,"")</f>
        <v/>
      </c>
      <c r="AP136" s="35" t="str">
        <f aca="false">IFERROR($G136/$F136*100,"")</f>
        <v/>
      </c>
      <c r="AQ136" s="36" t="str">
        <f aca="false">IFERROR($W136/$F136,"")</f>
        <v/>
      </c>
      <c r="AR136" s="35" t="str">
        <f aca="false">IF(OR($S136="",$I136=""),"",($S136-PI()*$I136/10)^2/(4*PI())-IF(IFERROR(INDEX(Cadastro!$F$8:$F$47,MATCH($B136,Cadastro!$B$8:$B$47,0)),"")="Feminino",6.5,10))</f>
        <v/>
      </c>
      <c r="AS136" s="35" t="str">
        <f aca="false">IF(OR($I136="",$J136="",$O136="",$F136=""),"",-0.7182+0.1451*(($I136+$J136+$O136)*(170.18/$F136))-0.00068*(($I136+$J136+$O136)*(170.18/$F136))^2+0.0000014*(($I136+$J136+$O136)*(170.18/$F136))^3)</f>
        <v/>
      </c>
      <c r="AT136" s="35" t="str">
        <f aca="false">IF(OR($AE136="",$AF136="",$T136="",$AA136="",$F136=""),"",0.858*$AE136+0.601*$AF136+0.188*($T136-$I136/10)+0.161*($AA136-$R136/10)-0.131*$F136+4.5)</f>
        <v/>
      </c>
      <c r="AU136" s="35" t="str">
        <f aca="false">IF(OR($E136="",$F136=""),"",IF($F136/$E136^(1/3)&gt;=40.75,0.732*($F136/$E136^(1/3))-28.58,IF($F136/$E136^(1/3)&gt;=38.25,0.463*($F136/$E136^(1/3))-17.63,0.1)))</f>
        <v/>
      </c>
      <c r="AV136" s="37" t="str">
        <f aca="false">IF(OR($AS136="",$AT136="",$AU136=""),"",IF(AND($AT136&gt;=$AS136,$AT136&gt;=$AU136),"Mesomorfo dominante",IF(AND($AU136&gt;=$AS136,$AU136&gt;=$AT136),"Ectomorfo dominante","Endomorfo dominante")))</f>
        <v/>
      </c>
    </row>
    <row r="137" customFormat="false" ht="15" hidden="false" customHeight="false" outlineLevel="0" collapsed="false">
      <c r="A137" s="29"/>
      <c r="B137" s="27"/>
      <c r="C137" s="28"/>
      <c r="D137" s="27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3" t="str">
        <f aca="false">IFERROR(DATEDIF(INDEX(Cadastro!$D$8:$D$47,MATCH($B137,Cadastro!$B$8:$B$47,0)),$A137,"Y"),"")</f>
        <v/>
      </c>
      <c r="AH137" s="33" t="str">
        <f aca="false">IF(COUNT($I137,$K137,$J137,$N137)&lt;4,"",$I137+$K137+$J137+$N137)</f>
        <v/>
      </c>
      <c r="AI137" s="33" t="str">
        <f aca="false">IF(COUNT($L137,$M137,$I137,$J137,$P137,$N137,$Q137)&lt;7,"",$L137+$M137+$I137+$J137+$P137+$N137+$Q137)</f>
        <v/>
      </c>
      <c r="AJ137" s="33" t="str">
        <f aca="false">IF(COUNT($I137,$J137,$K137,$O137,$P137,$Q137,$R137,$N137)&lt;8,"",$I137+$J137+$K137+$O137+$P137+$Q137+$R137+$N137)</f>
        <v/>
      </c>
      <c r="AK137" s="34" t="str">
        <f aca="false">IF(OR($AI137="",$AG137=""),"",IF(IFERROR(INDEX(Cadastro!$F$8:$F$47,MATCH($B137,Cadastro!$B$8:$B$47,0)),"")="Feminino",1.097-0.00046971*$AI137+0.00000056*$AI137^2-0.00012828*$AG137,1.112-0.00043499*$AI137+0.00000055*$AI137^2-0.00028826*$AG137))</f>
        <v/>
      </c>
      <c r="AL137" s="30" t="str">
        <f aca="false">IF(OR($AK137="",$AK137=0),"",495/$AK137-450)</f>
        <v/>
      </c>
      <c r="AM137" s="35" t="str">
        <f aca="false">IF(OR($AL137="",$E137=""),"",$E137*$AL137/100)</f>
        <v/>
      </c>
      <c r="AN137" s="30" t="str">
        <f aca="false">IF(OR($AM137="",$E137=""),"",$E137-$AM137)</f>
        <v/>
      </c>
      <c r="AO137" s="35" t="str">
        <f aca="false">IFERROR($E137/($F137/100)^2,"")</f>
        <v/>
      </c>
      <c r="AP137" s="35" t="str">
        <f aca="false">IFERROR($G137/$F137*100,"")</f>
        <v/>
      </c>
      <c r="AQ137" s="36" t="str">
        <f aca="false">IFERROR($W137/$F137,"")</f>
        <v/>
      </c>
      <c r="AR137" s="35" t="str">
        <f aca="false">IF(OR($S137="",$I137=""),"",($S137-PI()*$I137/10)^2/(4*PI())-IF(IFERROR(INDEX(Cadastro!$F$8:$F$47,MATCH($B137,Cadastro!$B$8:$B$47,0)),"")="Feminino",6.5,10))</f>
        <v/>
      </c>
      <c r="AS137" s="35" t="str">
        <f aca="false">IF(OR($I137="",$J137="",$O137="",$F137=""),"",-0.7182+0.1451*(($I137+$J137+$O137)*(170.18/$F137))-0.00068*(($I137+$J137+$O137)*(170.18/$F137))^2+0.0000014*(($I137+$J137+$O137)*(170.18/$F137))^3)</f>
        <v/>
      </c>
      <c r="AT137" s="35" t="str">
        <f aca="false">IF(OR($AE137="",$AF137="",$T137="",$AA137="",$F137=""),"",0.858*$AE137+0.601*$AF137+0.188*($T137-$I137/10)+0.161*($AA137-$R137/10)-0.131*$F137+4.5)</f>
        <v/>
      </c>
      <c r="AU137" s="35" t="str">
        <f aca="false">IF(OR($E137="",$F137=""),"",IF($F137/$E137^(1/3)&gt;=40.75,0.732*($F137/$E137^(1/3))-28.58,IF($F137/$E137^(1/3)&gt;=38.25,0.463*($F137/$E137^(1/3))-17.63,0.1)))</f>
        <v/>
      </c>
      <c r="AV137" s="37" t="str">
        <f aca="false">IF(OR($AS137="",$AT137="",$AU137=""),"",IF(AND($AT137&gt;=$AS137,$AT137&gt;=$AU137),"Mesomorfo dominante",IF(AND($AU137&gt;=$AS137,$AU137&gt;=$AT137),"Ectomorfo dominante","Endomorfo dominante")))</f>
        <v/>
      </c>
    </row>
    <row r="138" customFormat="false" ht="15" hidden="false" customHeight="false" outlineLevel="0" collapsed="false">
      <c r="A138" s="29"/>
      <c r="B138" s="27"/>
      <c r="C138" s="28"/>
      <c r="D138" s="27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3" t="str">
        <f aca="false">IFERROR(DATEDIF(INDEX(Cadastro!$D$8:$D$47,MATCH($B138,Cadastro!$B$8:$B$47,0)),$A138,"Y"),"")</f>
        <v/>
      </c>
      <c r="AH138" s="33" t="str">
        <f aca="false">IF(COUNT($I138,$K138,$J138,$N138)&lt;4,"",$I138+$K138+$J138+$N138)</f>
        <v/>
      </c>
      <c r="AI138" s="33" t="str">
        <f aca="false">IF(COUNT($L138,$M138,$I138,$J138,$P138,$N138,$Q138)&lt;7,"",$L138+$M138+$I138+$J138+$P138+$N138+$Q138)</f>
        <v/>
      </c>
      <c r="AJ138" s="33" t="str">
        <f aca="false">IF(COUNT($I138,$J138,$K138,$O138,$P138,$Q138,$R138,$N138)&lt;8,"",$I138+$J138+$K138+$O138+$P138+$Q138+$R138+$N138)</f>
        <v/>
      </c>
      <c r="AK138" s="34" t="str">
        <f aca="false">IF(OR($AI138="",$AG138=""),"",IF(IFERROR(INDEX(Cadastro!$F$8:$F$47,MATCH($B138,Cadastro!$B$8:$B$47,0)),"")="Feminino",1.097-0.00046971*$AI138+0.00000056*$AI138^2-0.00012828*$AG138,1.112-0.00043499*$AI138+0.00000055*$AI138^2-0.00028826*$AG138))</f>
        <v/>
      </c>
      <c r="AL138" s="30" t="str">
        <f aca="false">IF(OR($AK138="",$AK138=0),"",495/$AK138-450)</f>
        <v/>
      </c>
      <c r="AM138" s="35" t="str">
        <f aca="false">IF(OR($AL138="",$E138=""),"",$E138*$AL138/100)</f>
        <v/>
      </c>
      <c r="AN138" s="30" t="str">
        <f aca="false">IF(OR($AM138="",$E138=""),"",$E138-$AM138)</f>
        <v/>
      </c>
      <c r="AO138" s="35" t="str">
        <f aca="false">IFERROR($E138/($F138/100)^2,"")</f>
        <v/>
      </c>
      <c r="AP138" s="35" t="str">
        <f aca="false">IFERROR($G138/$F138*100,"")</f>
        <v/>
      </c>
      <c r="AQ138" s="36" t="str">
        <f aca="false">IFERROR($W138/$F138,"")</f>
        <v/>
      </c>
      <c r="AR138" s="35" t="str">
        <f aca="false">IF(OR($S138="",$I138=""),"",($S138-PI()*$I138/10)^2/(4*PI())-IF(IFERROR(INDEX(Cadastro!$F$8:$F$47,MATCH($B138,Cadastro!$B$8:$B$47,0)),"")="Feminino",6.5,10))</f>
        <v/>
      </c>
      <c r="AS138" s="35" t="str">
        <f aca="false">IF(OR($I138="",$J138="",$O138="",$F138=""),"",-0.7182+0.1451*(($I138+$J138+$O138)*(170.18/$F138))-0.00068*(($I138+$J138+$O138)*(170.18/$F138))^2+0.0000014*(($I138+$J138+$O138)*(170.18/$F138))^3)</f>
        <v/>
      </c>
      <c r="AT138" s="35" t="str">
        <f aca="false">IF(OR($AE138="",$AF138="",$T138="",$AA138="",$F138=""),"",0.858*$AE138+0.601*$AF138+0.188*($T138-$I138/10)+0.161*($AA138-$R138/10)-0.131*$F138+4.5)</f>
        <v/>
      </c>
      <c r="AU138" s="35" t="str">
        <f aca="false">IF(OR($E138="",$F138=""),"",IF($F138/$E138^(1/3)&gt;=40.75,0.732*($F138/$E138^(1/3))-28.58,IF($F138/$E138^(1/3)&gt;=38.25,0.463*($F138/$E138^(1/3))-17.63,0.1)))</f>
        <v/>
      </c>
      <c r="AV138" s="37" t="str">
        <f aca="false">IF(OR($AS138="",$AT138="",$AU138=""),"",IF(AND($AT138&gt;=$AS138,$AT138&gt;=$AU138),"Mesomorfo dominante",IF(AND($AU138&gt;=$AS138,$AU138&gt;=$AT138),"Ectomorfo dominante","Endomorfo dominante")))</f>
        <v/>
      </c>
    </row>
    <row r="139" customFormat="false" ht="15" hidden="false" customHeight="false" outlineLevel="0" collapsed="false">
      <c r="A139" s="29"/>
      <c r="B139" s="27"/>
      <c r="C139" s="28"/>
      <c r="D139" s="27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3" t="str">
        <f aca="false">IFERROR(DATEDIF(INDEX(Cadastro!$D$8:$D$47,MATCH($B139,Cadastro!$B$8:$B$47,0)),$A139,"Y"),"")</f>
        <v/>
      </c>
      <c r="AH139" s="33" t="str">
        <f aca="false">IF(COUNT($I139,$K139,$J139,$N139)&lt;4,"",$I139+$K139+$J139+$N139)</f>
        <v/>
      </c>
      <c r="AI139" s="33" t="str">
        <f aca="false">IF(COUNT($L139,$M139,$I139,$J139,$P139,$N139,$Q139)&lt;7,"",$L139+$M139+$I139+$J139+$P139+$N139+$Q139)</f>
        <v/>
      </c>
      <c r="AJ139" s="33" t="str">
        <f aca="false">IF(COUNT($I139,$J139,$K139,$O139,$P139,$Q139,$R139,$N139)&lt;8,"",$I139+$J139+$K139+$O139+$P139+$Q139+$R139+$N139)</f>
        <v/>
      </c>
      <c r="AK139" s="34" t="str">
        <f aca="false">IF(OR($AI139="",$AG139=""),"",IF(IFERROR(INDEX(Cadastro!$F$8:$F$47,MATCH($B139,Cadastro!$B$8:$B$47,0)),"")="Feminino",1.097-0.00046971*$AI139+0.00000056*$AI139^2-0.00012828*$AG139,1.112-0.00043499*$AI139+0.00000055*$AI139^2-0.00028826*$AG139))</f>
        <v/>
      </c>
      <c r="AL139" s="30" t="str">
        <f aca="false">IF(OR($AK139="",$AK139=0),"",495/$AK139-450)</f>
        <v/>
      </c>
      <c r="AM139" s="35" t="str">
        <f aca="false">IF(OR($AL139="",$E139=""),"",$E139*$AL139/100)</f>
        <v/>
      </c>
      <c r="AN139" s="30" t="str">
        <f aca="false">IF(OR($AM139="",$E139=""),"",$E139-$AM139)</f>
        <v/>
      </c>
      <c r="AO139" s="35" t="str">
        <f aca="false">IFERROR($E139/($F139/100)^2,"")</f>
        <v/>
      </c>
      <c r="AP139" s="35" t="str">
        <f aca="false">IFERROR($G139/$F139*100,"")</f>
        <v/>
      </c>
      <c r="AQ139" s="36" t="str">
        <f aca="false">IFERROR($W139/$F139,"")</f>
        <v/>
      </c>
      <c r="AR139" s="35" t="str">
        <f aca="false">IF(OR($S139="",$I139=""),"",($S139-PI()*$I139/10)^2/(4*PI())-IF(IFERROR(INDEX(Cadastro!$F$8:$F$47,MATCH($B139,Cadastro!$B$8:$B$47,0)),"")="Feminino",6.5,10))</f>
        <v/>
      </c>
      <c r="AS139" s="35" t="str">
        <f aca="false">IF(OR($I139="",$J139="",$O139="",$F139=""),"",-0.7182+0.1451*(($I139+$J139+$O139)*(170.18/$F139))-0.00068*(($I139+$J139+$O139)*(170.18/$F139))^2+0.0000014*(($I139+$J139+$O139)*(170.18/$F139))^3)</f>
        <v/>
      </c>
      <c r="AT139" s="35" t="str">
        <f aca="false">IF(OR($AE139="",$AF139="",$T139="",$AA139="",$F139=""),"",0.858*$AE139+0.601*$AF139+0.188*($T139-$I139/10)+0.161*($AA139-$R139/10)-0.131*$F139+4.5)</f>
        <v/>
      </c>
      <c r="AU139" s="35" t="str">
        <f aca="false">IF(OR($E139="",$F139=""),"",IF($F139/$E139^(1/3)&gt;=40.75,0.732*($F139/$E139^(1/3))-28.58,IF($F139/$E139^(1/3)&gt;=38.25,0.463*($F139/$E139^(1/3))-17.63,0.1)))</f>
        <v/>
      </c>
      <c r="AV139" s="37" t="str">
        <f aca="false">IF(OR($AS139="",$AT139="",$AU139=""),"",IF(AND($AT139&gt;=$AS139,$AT139&gt;=$AU139),"Mesomorfo dominante",IF(AND($AU139&gt;=$AS139,$AU139&gt;=$AT139),"Ectomorfo dominante","Endomorfo dominante")))</f>
        <v/>
      </c>
    </row>
    <row r="140" customFormat="false" ht="15" hidden="false" customHeight="false" outlineLevel="0" collapsed="false">
      <c r="A140" s="29"/>
      <c r="B140" s="27"/>
      <c r="C140" s="28"/>
      <c r="D140" s="27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3" t="str">
        <f aca="false">IFERROR(DATEDIF(INDEX(Cadastro!$D$8:$D$47,MATCH($B140,Cadastro!$B$8:$B$47,0)),$A140,"Y"),"")</f>
        <v/>
      </c>
      <c r="AH140" s="33" t="str">
        <f aca="false">IF(COUNT($I140,$K140,$J140,$N140)&lt;4,"",$I140+$K140+$J140+$N140)</f>
        <v/>
      </c>
      <c r="AI140" s="33" t="str">
        <f aca="false">IF(COUNT($L140,$M140,$I140,$J140,$P140,$N140,$Q140)&lt;7,"",$L140+$M140+$I140+$J140+$P140+$N140+$Q140)</f>
        <v/>
      </c>
      <c r="AJ140" s="33" t="str">
        <f aca="false">IF(COUNT($I140,$J140,$K140,$O140,$P140,$Q140,$R140,$N140)&lt;8,"",$I140+$J140+$K140+$O140+$P140+$Q140+$R140+$N140)</f>
        <v/>
      </c>
      <c r="AK140" s="34" t="str">
        <f aca="false">IF(OR($AI140="",$AG140=""),"",IF(IFERROR(INDEX(Cadastro!$F$8:$F$47,MATCH($B140,Cadastro!$B$8:$B$47,0)),"")="Feminino",1.097-0.00046971*$AI140+0.00000056*$AI140^2-0.00012828*$AG140,1.112-0.00043499*$AI140+0.00000055*$AI140^2-0.00028826*$AG140))</f>
        <v/>
      </c>
      <c r="AL140" s="30" t="str">
        <f aca="false">IF(OR($AK140="",$AK140=0),"",495/$AK140-450)</f>
        <v/>
      </c>
      <c r="AM140" s="35" t="str">
        <f aca="false">IF(OR($AL140="",$E140=""),"",$E140*$AL140/100)</f>
        <v/>
      </c>
      <c r="AN140" s="30" t="str">
        <f aca="false">IF(OR($AM140="",$E140=""),"",$E140-$AM140)</f>
        <v/>
      </c>
      <c r="AO140" s="35" t="str">
        <f aca="false">IFERROR($E140/($F140/100)^2,"")</f>
        <v/>
      </c>
      <c r="AP140" s="35" t="str">
        <f aca="false">IFERROR($G140/$F140*100,"")</f>
        <v/>
      </c>
      <c r="AQ140" s="36" t="str">
        <f aca="false">IFERROR($W140/$F140,"")</f>
        <v/>
      </c>
      <c r="AR140" s="35" t="str">
        <f aca="false">IF(OR($S140="",$I140=""),"",($S140-PI()*$I140/10)^2/(4*PI())-IF(IFERROR(INDEX(Cadastro!$F$8:$F$47,MATCH($B140,Cadastro!$B$8:$B$47,0)),"")="Feminino",6.5,10))</f>
        <v/>
      </c>
      <c r="AS140" s="35" t="str">
        <f aca="false">IF(OR($I140="",$J140="",$O140="",$F140=""),"",-0.7182+0.1451*(($I140+$J140+$O140)*(170.18/$F140))-0.00068*(($I140+$J140+$O140)*(170.18/$F140))^2+0.0000014*(($I140+$J140+$O140)*(170.18/$F140))^3)</f>
        <v/>
      </c>
      <c r="AT140" s="35" t="str">
        <f aca="false">IF(OR($AE140="",$AF140="",$T140="",$AA140="",$F140=""),"",0.858*$AE140+0.601*$AF140+0.188*($T140-$I140/10)+0.161*($AA140-$R140/10)-0.131*$F140+4.5)</f>
        <v/>
      </c>
      <c r="AU140" s="35" t="str">
        <f aca="false">IF(OR($E140="",$F140=""),"",IF($F140/$E140^(1/3)&gt;=40.75,0.732*($F140/$E140^(1/3))-28.58,IF($F140/$E140^(1/3)&gt;=38.25,0.463*($F140/$E140^(1/3))-17.63,0.1)))</f>
        <v/>
      </c>
      <c r="AV140" s="37" t="str">
        <f aca="false">IF(OR($AS140="",$AT140="",$AU140=""),"",IF(AND($AT140&gt;=$AS140,$AT140&gt;=$AU140),"Mesomorfo dominante",IF(AND($AU140&gt;=$AS140,$AU140&gt;=$AT140),"Ectomorfo dominante","Endomorfo dominante")))</f>
        <v/>
      </c>
    </row>
    <row r="141" customFormat="false" ht="15" hidden="false" customHeight="false" outlineLevel="0" collapsed="false">
      <c r="A141" s="29"/>
      <c r="B141" s="27"/>
      <c r="C141" s="28"/>
      <c r="D141" s="27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3" t="str">
        <f aca="false">IFERROR(DATEDIF(INDEX(Cadastro!$D$8:$D$47,MATCH($B141,Cadastro!$B$8:$B$47,0)),$A141,"Y"),"")</f>
        <v/>
      </c>
      <c r="AH141" s="33" t="str">
        <f aca="false">IF(COUNT($I141,$K141,$J141,$N141)&lt;4,"",$I141+$K141+$J141+$N141)</f>
        <v/>
      </c>
      <c r="AI141" s="33" t="str">
        <f aca="false">IF(COUNT($L141,$M141,$I141,$J141,$P141,$N141,$Q141)&lt;7,"",$L141+$M141+$I141+$J141+$P141+$N141+$Q141)</f>
        <v/>
      </c>
      <c r="AJ141" s="33" t="str">
        <f aca="false">IF(COUNT($I141,$J141,$K141,$O141,$P141,$Q141,$R141,$N141)&lt;8,"",$I141+$J141+$K141+$O141+$P141+$Q141+$R141+$N141)</f>
        <v/>
      </c>
      <c r="AK141" s="34" t="str">
        <f aca="false">IF(OR($AI141="",$AG141=""),"",IF(IFERROR(INDEX(Cadastro!$F$8:$F$47,MATCH($B141,Cadastro!$B$8:$B$47,0)),"")="Feminino",1.097-0.00046971*$AI141+0.00000056*$AI141^2-0.00012828*$AG141,1.112-0.00043499*$AI141+0.00000055*$AI141^2-0.00028826*$AG141))</f>
        <v/>
      </c>
      <c r="AL141" s="30" t="str">
        <f aca="false">IF(OR($AK141="",$AK141=0),"",495/$AK141-450)</f>
        <v/>
      </c>
      <c r="AM141" s="35" t="str">
        <f aca="false">IF(OR($AL141="",$E141=""),"",$E141*$AL141/100)</f>
        <v/>
      </c>
      <c r="AN141" s="30" t="str">
        <f aca="false">IF(OR($AM141="",$E141=""),"",$E141-$AM141)</f>
        <v/>
      </c>
      <c r="AO141" s="35" t="str">
        <f aca="false">IFERROR($E141/($F141/100)^2,"")</f>
        <v/>
      </c>
      <c r="AP141" s="35" t="str">
        <f aca="false">IFERROR($G141/$F141*100,"")</f>
        <v/>
      </c>
      <c r="AQ141" s="36" t="str">
        <f aca="false">IFERROR($W141/$F141,"")</f>
        <v/>
      </c>
      <c r="AR141" s="35" t="str">
        <f aca="false">IF(OR($S141="",$I141=""),"",($S141-PI()*$I141/10)^2/(4*PI())-IF(IFERROR(INDEX(Cadastro!$F$8:$F$47,MATCH($B141,Cadastro!$B$8:$B$47,0)),"")="Feminino",6.5,10))</f>
        <v/>
      </c>
      <c r="AS141" s="35" t="str">
        <f aca="false">IF(OR($I141="",$J141="",$O141="",$F141=""),"",-0.7182+0.1451*(($I141+$J141+$O141)*(170.18/$F141))-0.00068*(($I141+$J141+$O141)*(170.18/$F141))^2+0.0000014*(($I141+$J141+$O141)*(170.18/$F141))^3)</f>
        <v/>
      </c>
      <c r="AT141" s="35" t="str">
        <f aca="false">IF(OR($AE141="",$AF141="",$T141="",$AA141="",$F141=""),"",0.858*$AE141+0.601*$AF141+0.188*($T141-$I141/10)+0.161*($AA141-$R141/10)-0.131*$F141+4.5)</f>
        <v/>
      </c>
      <c r="AU141" s="35" t="str">
        <f aca="false">IF(OR($E141="",$F141=""),"",IF($F141/$E141^(1/3)&gt;=40.75,0.732*($F141/$E141^(1/3))-28.58,IF($F141/$E141^(1/3)&gt;=38.25,0.463*($F141/$E141^(1/3))-17.63,0.1)))</f>
        <v/>
      </c>
      <c r="AV141" s="37" t="str">
        <f aca="false">IF(OR($AS141="",$AT141="",$AU141=""),"",IF(AND($AT141&gt;=$AS141,$AT141&gt;=$AU141),"Mesomorfo dominante",IF(AND($AU141&gt;=$AS141,$AU141&gt;=$AT141),"Ectomorfo dominante","Endomorfo dominante")))</f>
        <v/>
      </c>
    </row>
    <row r="142" customFormat="false" ht="15" hidden="false" customHeight="false" outlineLevel="0" collapsed="false">
      <c r="A142" s="29"/>
      <c r="B142" s="27"/>
      <c r="C142" s="28"/>
      <c r="D142" s="27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3" t="str">
        <f aca="false">IFERROR(DATEDIF(INDEX(Cadastro!$D$8:$D$47,MATCH($B142,Cadastro!$B$8:$B$47,0)),$A142,"Y"),"")</f>
        <v/>
      </c>
      <c r="AH142" s="33" t="str">
        <f aca="false">IF(COUNT($I142,$K142,$J142,$N142)&lt;4,"",$I142+$K142+$J142+$N142)</f>
        <v/>
      </c>
      <c r="AI142" s="33" t="str">
        <f aca="false">IF(COUNT($L142,$M142,$I142,$J142,$P142,$N142,$Q142)&lt;7,"",$L142+$M142+$I142+$J142+$P142+$N142+$Q142)</f>
        <v/>
      </c>
      <c r="AJ142" s="33" t="str">
        <f aca="false">IF(COUNT($I142,$J142,$K142,$O142,$P142,$Q142,$R142,$N142)&lt;8,"",$I142+$J142+$K142+$O142+$P142+$Q142+$R142+$N142)</f>
        <v/>
      </c>
      <c r="AK142" s="34" t="str">
        <f aca="false">IF(OR($AI142="",$AG142=""),"",IF(IFERROR(INDEX(Cadastro!$F$8:$F$47,MATCH($B142,Cadastro!$B$8:$B$47,0)),"")="Feminino",1.097-0.00046971*$AI142+0.00000056*$AI142^2-0.00012828*$AG142,1.112-0.00043499*$AI142+0.00000055*$AI142^2-0.00028826*$AG142))</f>
        <v/>
      </c>
      <c r="AL142" s="30" t="str">
        <f aca="false">IF(OR($AK142="",$AK142=0),"",495/$AK142-450)</f>
        <v/>
      </c>
      <c r="AM142" s="35" t="str">
        <f aca="false">IF(OR($AL142="",$E142=""),"",$E142*$AL142/100)</f>
        <v/>
      </c>
      <c r="AN142" s="30" t="str">
        <f aca="false">IF(OR($AM142="",$E142=""),"",$E142-$AM142)</f>
        <v/>
      </c>
      <c r="AO142" s="35" t="str">
        <f aca="false">IFERROR($E142/($F142/100)^2,"")</f>
        <v/>
      </c>
      <c r="AP142" s="35" t="str">
        <f aca="false">IFERROR($G142/$F142*100,"")</f>
        <v/>
      </c>
      <c r="AQ142" s="36" t="str">
        <f aca="false">IFERROR($W142/$F142,"")</f>
        <v/>
      </c>
      <c r="AR142" s="35" t="str">
        <f aca="false">IF(OR($S142="",$I142=""),"",($S142-PI()*$I142/10)^2/(4*PI())-IF(IFERROR(INDEX(Cadastro!$F$8:$F$47,MATCH($B142,Cadastro!$B$8:$B$47,0)),"")="Feminino",6.5,10))</f>
        <v/>
      </c>
      <c r="AS142" s="35" t="str">
        <f aca="false">IF(OR($I142="",$J142="",$O142="",$F142=""),"",-0.7182+0.1451*(($I142+$J142+$O142)*(170.18/$F142))-0.00068*(($I142+$J142+$O142)*(170.18/$F142))^2+0.0000014*(($I142+$J142+$O142)*(170.18/$F142))^3)</f>
        <v/>
      </c>
      <c r="AT142" s="35" t="str">
        <f aca="false">IF(OR($AE142="",$AF142="",$T142="",$AA142="",$F142=""),"",0.858*$AE142+0.601*$AF142+0.188*($T142-$I142/10)+0.161*($AA142-$R142/10)-0.131*$F142+4.5)</f>
        <v/>
      </c>
      <c r="AU142" s="35" t="str">
        <f aca="false">IF(OR($E142="",$F142=""),"",IF($F142/$E142^(1/3)&gt;=40.75,0.732*($F142/$E142^(1/3))-28.58,IF($F142/$E142^(1/3)&gt;=38.25,0.463*($F142/$E142^(1/3))-17.63,0.1)))</f>
        <v/>
      </c>
      <c r="AV142" s="37" t="str">
        <f aca="false">IF(OR($AS142="",$AT142="",$AU142=""),"",IF(AND($AT142&gt;=$AS142,$AT142&gt;=$AU142),"Mesomorfo dominante",IF(AND($AU142&gt;=$AS142,$AU142&gt;=$AT142),"Ectomorfo dominante","Endomorfo dominante")))</f>
        <v/>
      </c>
    </row>
    <row r="143" customFormat="false" ht="15" hidden="false" customHeight="false" outlineLevel="0" collapsed="false">
      <c r="A143" s="29"/>
      <c r="B143" s="27"/>
      <c r="C143" s="28"/>
      <c r="D143" s="27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3" t="str">
        <f aca="false">IFERROR(DATEDIF(INDEX(Cadastro!$D$8:$D$47,MATCH($B143,Cadastro!$B$8:$B$47,0)),$A143,"Y"),"")</f>
        <v/>
      </c>
      <c r="AH143" s="33" t="str">
        <f aca="false">IF(COUNT($I143,$K143,$J143,$N143)&lt;4,"",$I143+$K143+$J143+$N143)</f>
        <v/>
      </c>
      <c r="AI143" s="33" t="str">
        <f aca="false">IF(COUNT($L143,$M143,$I143,$J143,$P143,$N143,$Q143)&lt;7,"",$L143+$M143+$I143+$J143+$P143+$N143+$Q143)</f>
        <v/>
      </c>
      <c r="AJ143" s="33" t="str">
        <f aca="false">IF(COUNT($I143,$J143,$K143,$O143,$P143,$Q143,$R143,$N143)&lt;8,"",$I143+$J143+$K143+$O143+$P143+$Q143+$R143+$N143)</f>
        <v/>
      </c>
      <c r="AK143" s="34" t="str">
        <f aca="false">IF(OR($AI143="",$AG143=""),"",IF(IFERROR(INDEX(Cadastro!$F$8:$F$47,MATCH($B143,Cadastro!$B$8:$B$47,0)),"")="Feminino",1.097-0.00046971*$AI143+0.00000056*$AI143^2-0.00012828*$AG143,1.112-0.00043499*$AI143+0.00000055*$AI143^2-0.00028826*$AG143))</f>
        <v/>
      </c>
      <c r="AL143" s="30" t="str">
        <f aca="false">IF(OR($AK143="",$AK143=0),"",495/$AK143-450)</f>
        <v/>
      </c>
      <c r="AM143" s="35" t="str">
        <f aca="false">IF(OR($AL143="",$E143=""),"",$E143*$AL143/100)</f>
        <v/>
      </c>
      <c r="AN143" s="30" t="str">
        <f aca="false">IF(OR($AM143="",$E143=""),"",$E143-$AM143)</f>
        <v/>
      </c>
      <c r="AO143" s="35" t="str">
        <f aca="false">IFERROR($E143/($F143/100)^2,"")</f>
        <v/>
      </c>
      <c r="AP143" s="35" t="str">
        <f aca="false">IFERROR($G143/$F143*100,"")</f>
        <v/>
      </c>
      <c r="AQ143" s="36" t="str">
        <f aca="false">IFERROR($W143/$F143,"")</f>
        <v/>
      </c>
      <c r="AR143" s="35" t="str">
        <f aca="false">IF(OR($S143="",$I143=""),"",($S143-PI()*$I143/10)^2/(4*PI())-IF(IFERROR(INDEX(Cadastro!$F$8:$F$47,MATCH($B143,Cadastro!$B$8:$B$47,0)),"")="Feminino",6.5,10))</f>
        <v/>
      </c>
      <c r="AS143" s="35" t="str">
        <f aca="false">IF(OR($I143="",$J143="",$O143="",$F143=""),"",-0.7182+0.1451*(($I143+$J143+$O143)*(170.18/$F143))-0.00068*(($I143+$J143+$O143)*(170.18/$F143))^2+0.0000014*(($I143+$J143+$O143)*(170.18/$F143))^3)</f>
        <v/>
      </c>
      <c r="AT143" s="35" t="str">
        <f aca="false">IF(OR($AE143="",$AF143="",$T143="",$AA143="",$F143=""),"",0.858*$AE143+0.601*$AF143+0.188*($T143-$I143/10)+0.161*($AA143-$R143/10)-0.131*$F143+4.5)</f>
        <v/>
      </c>
      <c r="AU143" s="35" t="str">
        <f aca="false">IF(OR($E143="",$F143=""),"",IF($F143/$E143^(1/3)&gt;=40.75,0.732*($F143/$E143^(1/3))-28.58,IF($F143/$E143^(1/3)&gt;=38.25,0.463*($F143/$E143^(1/3))-17.63,0.1)))</f>
        <v/>
      </c>
      <c r="AV143" s="37" t="str">
        <f aca="false">IF(OR($AS143="",$AT143="",$AU143=""),"",IF(AND($AT143&gt;=$AS143,$AT143&gt;=$AU143),"Mesomorfo dominante",IF(AND($AU143&gt;=$AS143,$AU143&gt;=$AT143),"Ectomorfo dominante","Endomorfo dominante")))</f>
        <v/>
      </c>
    </row>
    <row r="144" customFormat="false" ht="15" hidden="false" customHeight="false" outlineLevel="0" collapsed="false">
      <c r="A144" s="29"/>
      <c r="B144" s="27"/>
      <c r="C144" s="28"/>
      <c r="D144" s="27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3" t="str">
        <f aca="false">IFERROR(DATEDIF(INDEX(Cadastro!$D$8:$D$47,MATCH($B144,Cadastro!$B$8:$B$47,0)),$A144,"Y"),"")</f>
        <v/>
      </c>
      <c r="AH144" s="33" t="str">
        <f aca="false">IF(COUNT($I144,$K144,$J144,$N144)&lt;4,"",$I144+$K144+$J144+$N144)</f>
        <v/>
      </c>
      <c r="AI144" s="33" t="str">
        <f aca="false">IF(COUNT($L144,$M144,$I144,$J144,$P144,$N144,$Q144)&lt;7,"",$L144+$M144+$I144+$J144+$P144+$N144+$Q144)</f>
        <v/>
      </c>
      <c r="AJ144" s="33" t="str">
        <f aca="false">IF(COUNT($I144,$J144,$K144,$O144,$P144,$Q144,$R144,$N144)&lt;8,"",$I144+$J144+$K144+$O144+$P144+$Q144+$R144+$N144)</f>
        <v/>
      </c>
      <c r="AK144" s="34" t="str">
        <f aca="false">IF(OR($AI144="",$AG144=""),"",IF(IFERROR(INDEX(Cadastro!$F$8:$F$47,MATCH($B144,Cadastro!$B$8:$B$47,0)),"")="Feminino",1.097-0.00046971*$AI144+0.00000056*$AI144^2-0.00012828*$AG144,1.112-0.00043499*$AI144+0.00000055*$AI144^2-0.00028826*$AG144))</f>
        <v/>
      </c>
      <c r="AL144" s="30" t="str">
        <f aca="false">IF(OR($AK144="",$AK144=0),"",495/$AK144-450)</f>
        <v/>
      </c>
      <c r="AM144" s="35" t="str">
        <f aca="false">IF(OR($AL144="",$E144=""),"",$E144*$AL144/100)</f>
        <v/>
      </c>
      <c r="AN144" s="30" t="str">
        <f aca="false">IF(OR($AM144="",$E144=""),"",$E144-$AM144)</f>
        <v/>
      </c>
      <c r="AO144" s="35" t="str">
        <f aca="false">IFERROR($E144/($F144/100)^2,"")</f>
        <v/>
      </c>
      <c r="AP144" s="35" t="str">
        <f aca="false">IFERROR($G144/$F144*100,"")</f>
        <v/>
      </c>
      <c r="AQ144" s="36" t="str">
        <f aca="false">IFERROR($W144/$F144,"")</f>
        <v/>
      </c>
      <c r="AR144" s="35" t="str">
        <f aca="false">IF(OR($S144="",$I144=""),"",($S144-PI()*$I144/10)^2/(4*PI())-IF(IFERROR(INDEX(Cadastro!$F$8:$F$47,MATCH($B144,Cadastro!$B$8:$B$47,0)),"")="Feminino",6.5,10))</f>
        <v/>
      </c>
      <c r="AS144" s="35" t="str">
        <f aca="false">IF(OR($I144="",$J144="",$O144="",$F144=""),"",-0.7182+0.1451*(($I144+$J144+$O144)*(170.18/$F144))-0.00068*(($I144+$J144+$O144)*(170.18/$F144))^2+0.0000014*(($I144+$J144+$O144)*(170.18/$F144))^3)</f>
        <v/>
      </c>
      <c r="AT144" s="35" t="str">
        <f aca="false">IF(OR($AE144="",$AF144="",$T144="",$AA144="",$F144=""),"",0.858*$AE144+0.601*$AF144+0.188*($T144-$I144/10)+0.161*($AA144-$R144/10)-0.131*$F144+4.5)</f>
        <v/>
      </c>
      <c r="AU144" s="35" t="str">
        <f aca="false">IF(OR($E144="",$F144=""),"",IF($F144/$E144^(1/3)&gt;=40.75,0.732*($F144/$E144^(1/3))-28.58,IF($F144/$E144^(1/3)&gt;=38.25,0.463*($F144/$E144^(1/3))-17.63,0.1)))</f>
        <v/>
      </c>
      <c r="AV144" s="37" t="str">
        <f aca="false">IF(OR($AS144="",$AT144="",$AU144=""),"",IF(AND($AT144&gt;=$AS144,$AT144&gt;=$AU144),"Mesomorfo dominante",IF(AND($AU144&gt;=$AS144,$AU144&gt;=$AT144),"Ectomorfo dominante","Endomorfo dominante")))</f>
        <v/>
      </c>
    </row>
    <row r="145" customFormat="false" ht="15" hidden="false" customHeight="false" outlineLevel="0" collapsed="false">
      <c r="A145" s="29"/>
      <c r="B145" s="27"/>
      <c r="C145" s="28"/>
      <c r="D145" s="27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3" t="str">
        <f aca="false">IFERROR(DATEDIF(INDEX(Cadastro!$D$8:$D$47,MATCH($B145,Cadastro!$B$8:$B$47,0)),$A145,"Y"),"")</f>
        <v/>
      </c>
      <c r="AH145" s="33" t="str">
        <f aca="false">IF(COUNT($I145,$K145,$J145,$N145)&lt;4,"",$I145+$K145+$J145+$N145)</f>
        <v/>
      </c>
      <c r="AI145" s="33" t="str">
        <f aca="false">IF(COUNT($L145,$M145,$I145,$J145,$P145,$N145,$Q145)&lt;7,"",$L145+$M145+$I145+$J145+$P145+$N145+$Q145)</f>
        <v/>
      </c>
      <c r="AJ145" s="33" t="str">
        <f aca="false">IF(COUNT($I145,$J145,$K145,$O145,$P145,$Q145,$R145,$N145)&lt;8,"",$I145+$J145+$K145+$O145+$P145+$Q145+$R145+$N145)</f>
        <v/>
      </c>
      <c r="AK145" s="34" t="str">
        <f aca="false">IF(OR($AI145="",$AG145=""),"",IF(IFERROR(INDEX(Cadastro!$F$8:$F$47,MATCH($B145,Cadastro!$B$8:$B$47,0)),"")="Feminino",1.097-0.00046971*$AI145+0.00000056*$AI145^2-0.00012828*$AG145,1.112-0.00043499*$AI145+0.00000055*$AI145^2-0.00028826*$AG145))</f>
        <v/>
      </c>
      <c r="AL145" s="30" t="str">
        <f aca="false">IF(OR($AK145="",$AK145=0),"",495/$AK145-450)</f>
        <v/>
      </c>
      <c r="AM145" s="35" t="str">
        <f aca="false">IF(OR($AL145="",$E145=""),"",$E145*$AL145/100)</f>
        <v/>
      </c>
      <c r="AN145" s="30" t="str">
        <f aca="false">IF(OR($AM145="",$E145=""),"",$E145-$AM145)</f>
        <v/>
      </c>
      <c r="AO145" s="35" t="str">
        <f aca="false">IFERROR($E145/($F145/100)^2,"")</f>
        <v/>
      </c>
      <c r="AP145" s="35" t="str">
        <f aca="false">IFERROR($G145/$F145*100,"")</f>
        <v/>
      </c>
      <c r="AQ145" s="36" t="str">
        <f aca="false">IFERROR($W145/$F145,"")</f>
        <v/>
      </c>
      <c r="AR145" s="35" t="str">
        <f aca="false">IF(OR($S145="",$I145=""),"",($S145-PI()*$I145/10)^2/(4*PI())-IF(IFERROR(INDEX(Cadastro!$F$8:$F$47,MATCH($B145,Cadastro!$B$8:$B$47,0)),"")="Feminino",6.5,10))</f>
        <v/>
      </c>
      <c r="AS145" s="35" t="str">
        <f aca="false">IF(OR($I145="",$J145="",$O145="",$F145=""),"",-0.7182+0.1451*(($I145+$J145+$O145)*(170.18/$F145))-0.00068*(($I145+$J145+$O145)*(170.18/$F145))^2+0.0000014*(($I145+$J145+$O145)*(170.18/$F145))^3)</f>
        <v/>
      </c>
      <c r="AT145" s="35" t="str">
        <f aca="false">IF(OR($AE145="",$AF145="",$T145="",$AA145="",$F145=""),"",0.858*$AE145+0.601*$AF145+0.188*($T145-$I145/10)+0.161*($AA145-$R145/10)-0.131*$F145+4.5)</f>
        <v/>
      </c>
      <c r="AU145" s="35" t="str">
        <f aca="false">IF(OR($E145="",$F145=""),"",IF($F145/$E145^(1/3)&gt;=40.75,0.732*($F145/$E145^(1/3))-28.58,IF($F145/$E145^(1/3)&gt;=38.25,0.463*($F145/$E145^(1/3))-17.63,0.1)))</f>
        <v/>
      </c>
      <c r="AV145" s="37" t="str">
        <f aca="false">IF(OR($AS145="",$AT145="",$AU145=""),"",IF(AND($AT145&gt;=$AS145,$AT145&gt;=$AU145),"Mesomorfo dominante",IF(AND($AU145&gt;=$AS145,$AU145&gt;=$AT145),"Ectomorfo dominante","Endomorfo dominante")))</f>
        <v/>
      </c>
    </row>
    <row r="146" customFormat="false" ht="15" hidden="false" customHeight="false" outlineLevel="0" collapsed="false">
      <c r="A146" s="29"/>
      <c r="B146" s="27"/>
      <c r="C146" s="28"/>
      <c r="D146" s="27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3" t="str">
        <f aca="false">IFERROR(DATEDIF(INDEX(Cadastro!$D$8:$D$47,MATCH($B146,Cadastro!$B$8:$B$47,0)),$A146,"Y"),"")</f>
        <v/>
      </c>
      <c r="AH146" s="33" t="str">
        <f aca="false">IF(COUNT($I146,$K146,$J146,$N146)&lt;4,"",$I146+$K146+$J146+$N146)</f>
        <v/>
      </c>
      <c r="AI146" s="33" t="str">
        <f aca="false">IF(COUNT($L146,$M146,$I146,$J146,$P146,$N146,$Q146)&lt;7,"",$L146+$M146+$I146+$J146+$P146+$N146+$Q146)</f>
        <v/>
      </c>
      <c r="AJ146" s="33" t="str">
        <f aca="false">IF(COUNT($I146,$J146,$K146,$O146,$P146,$Q146,$R146,$N146)&lt;8,"",$I146+$J146+$K146+$O146+$P146+$Q146+$R146+$N146)</f>
        <v/>
      </c>
      <c r="AK146" s="34" t="str">
        <f aca="false">IF(OR($AI146="",$AG146=""),"",IF(IFERROR(INDEX(Cadastro!$F$8:$F$47,MATCH($B146,Cadastro!$B$8:$B$47,0)),"")="Feminino",1.097-0.00046971*$AI146+0.00000056*$AI146^2-0.00012828*$AG146,1.112-0.00043499*$AI146+0.00000055*$AI146^2-0.00028826*$AG146))</f>
        <v/>
      </c>
      <c r="AL146" s="30" t="str">
        <f aca="false">IF(OR($AK146="",$AK146=0),"",495/$AK146-450)</f>
        <v/>
      </c>
      <c r="AM146" s="35" t="str">
        <f aca="false">IF(OR($AL146="",$E146=""),"",$E146*$AL146/100)</f>
        <v/>
      </c>
      <c r="AN146" s="30" t="str">
        <f aca="false">IF(OR($AM146="",$E146=""),"",$E146-$AM146)</f>
        <v/>
      </c>
      <c r="AO146" s="35" t="str">
        <f aca="false">IFERROR($E146/($F146/100)^2,"")</f>
        <v/>
      </c>
      <c r="AP146" s="35" t="str">
        <f aca="false">IFERROR($G146/$F146*100,"")</f>
        <v/>
      </c>
      <c r="AQ146" s="36" t="str">
        <f aca="false">IFERROR($W146/$F146,"")</f>
        <v/>
      </c>
      <c r="AR146" s="35" t="str">
        <f aca="false">IF(OR($S146="",$I146=""),"",($S146-PI()*$I146/10)^2/(4*PI())-IF(IFERROR(INDEX(Cadastro!$F$8:$F$47,MATCH($B146,Cadastro!$B$8:$B$47,0)),"")="Feminino",6.5,10))</f>
        <v/>
      </c>
      <c r="AS146" s="35" t="str">
        <f aca="false">IF(OR($I146="",$J146="",$O146="",$F146=""),"",-0.7182+0.1451*(($I146+$J146+$O146)*(170.18/$F146))-0.00068*(($I146+$J146+$O146)*(170.18/$F146))^2+0.0000014*(($I146+$J146+$O146)*(170.18/$F146))^3)</f>
        <v/>
      </c>
      <c r="AT146" s="35" t="str">
        <f aca="false">IF(OR($AE146="",$AF146="",$T146="",$AA146="",$F146=""),"",0.858*$AE146+0.601*$AF146+0.188*($T146-$I146/10)+0.161*($AA146-$R146/10)-0.131*$F146+4.5)</f>
        <v/>
      </c>
      <c r="AU146" s="35" t="str">
        <f aca="false">IF(OR($E146="",$F146=""),"",IF($F146/$E146^(1/3)&gt;=40.75,0.732*($F146/$E146^(1/3))-28.58,IF($F146/$E146^(1/3)&gt;=38.25,0.463*($F146/$E146^(1/3))-17.63,0.1)))</f>
        <v/>
      </c>
      <c r="AV146" s="37" t="str">
        <f aca="false">IF(OR($AS146="",$AT146="",$AU146=""),"",IF(AND($AT146&gt;=$AS146,$AT146&gt;=$AU146),"Mesomorfo dominante",IF(AND($AU146&gt;=$AS146,$AU146&gt;=$AT146),"Ectomorfo dominante","Endomorfo dominante")))</f>
        <v/>
      </c>
    </row>
    <row r="147" customFormat="false" ht="15" hidden="false" customHeight="false" outlineLevel="0" collapsed="false">
      <c r="A147" s="29"/>
      <c r="B147" s="27"/>
      <c r="C147" s="28"/>
      <c r="D147" s="27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3" t="str">
        <f aca="false">IFERROR(DATEDIF(INDEX(Cadastro!$D$8:$D$47,MATCH($B147,Cadastro!$B$8:$B$47,0)),$A147,"Y"),"")</f>
        <v/>
      </c>
      <c r="AH147" s="33" t="str">
        <f aca="false">IF(COUNT($I147,$K147,$J147,$N147)&lt;4,"",$I147+$K147+$J147+$N147)</f>
        <v/>
      </c>
      <c r="AI147" s="33" t="str">
        <f aca="false">IF(COUNT($L147,$M147,$I147,$J147,$P147,$N147,$Q147)&lt;7,"",$L147+$M147+$I147+$J147+$P147+$N147+$Q147)</f>
        <v/>
      </c>
      <c r="AJ147" s="33" t="str">
        <f aca="false">IF(COUNT($I147,$J147,$K147,$O147,$P147,$Q147,$R147,$N147)&lt;8,"",$I147+$J147+$K147+$O147+$P147+$Q147+$R147+$N147)</f>
        <v/>
      </c>
      <c r="AK147" s="34" t="str">
        <f aca="false">IF(OR($AI147="",$AG147=""),"",IF(IFERROR(INDEX(Cadastro!$F$8:$F$47,MATCH($B147,Cadastro!$B$8:$B$47,0)),"")="Feminino",1.097-0.00046971*$AI147+0.00000056*$AI147^2-0.00012828*$AG147,1.112-0.00043499*$AI147+0.00000055*$AI147^2-0.00028826*$AG147))</f>
        <v/>
      </c>
      <c r="AL147" s="30" t="str">
        <f aca="false">IF(OR($AK147="",$AK147=0),"",495/$AK147-450)</f>
        <v/>
      </c>
      <c r="AM147" s="35" t="str">
        <f aca="false">IF(OR($AL147="",$E147=""),"",$E147*$AL147/100)</f>
        <v/>
      </c>
      <c r="AN147" s="30" t="str">
        <f aca="false">IF(OR($AM147="",$E147=""),"",$E147-$AM147)</f>
        <v/>
      </c>
      <c r="AO147" s="35" t="str">
        <f aca="false">IFERROR($E147/($F147/100)^2,"")</f>
        <v/>
      </c>
      <c r="AP147" s="35" t="str">
        <f aca="false">IFERROR($G147/$F147*100,"")</f>
        <v/>
      </c>
      <c r="AQ147" s="36" t="str">
        <f aca="false">IFERROR($W147/$F147,"")</f>
        <v/>
      </c>
      <c r="AR147" s="35" t="str">
        <f aca="false">IF(OR($S147="",$I147=""),"",($S147-PI()*$I147/10)^2/(4*PI())-IF(IFERROR(INDEX(Cadastro!$F$8:$F$47,MATCH($B147,Cadastro!$B$8:$B$47,0)),"")="Feminino",6.5,10))</f>
        <v/>
      </c>
      <c r="AS147" s="35" t="str">
        <f aca="false">IF(OR($I147="",$J147="",$O147="",$F147=""),"",-0.7182+0.1451*(($I147+$J147+$O147)*(170.18/$F147))-0.00068*(($I147+$J147+$O147)*(170.18/$F147))^2+0.0000014*(($I147+$J147+$O147)*(170.18/$F147))^3)</f>
        <v/>
      </c>
      <c r="AT147" s="35" t="str">
        <f aca="false">IF(OR($AE147="",$AF147="",$T147="",$AA147="",$F147=""),"",0.858*$AE147+0.601*$AF147+0.188*($T147-$I147/10)+0.161*($AA147-$R147/10)-0.131*$F147+4.5)</f>
        <v/>
      </c>
      <c r="AU147" s="35" t="str">
        <f aca="false">IF(OR($E147="",$F147=""),"",IF($F147/$E147^(1/3)&gt;=40.75,0.732*($F147/$E147^(1/3))-28.58,IF($F147/$E147^(1/3)&gt;=38.25,0.463*($F147/$E147^(1/3))-17.63,0.1)))</f>
        <v/>
      </c>
      <c r="AV147" s="37" t="str">
        <f aca="false">IF(OR($AS147="",$AT147="",$AU147=""),"",IF(AND($AT147&gt;=$AS147,$AT147&gt;=$AU147),"Mesomorfo dominante",IF(AND($AU147&gt;=$AS147,$AU147&gt;=$AT147),"Ectomorfo dominante","Endomorfo dominante")))</f>
        <v/>
      </c>
    </row>
    <row r="148" customFormat="false" ht="15" hidden="false" customHeight="false" outlineLevel="0" collapsed="false">
      <c r="A148" s="29"/>
      <c r="B148" s="27"/>
      <c r="C148" s="28"/>
      <c r="D148" s="27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3" t="str">
        <f aca="false">IFERROR(DATEDIF(INDEX(Cadastro!$D$8:$D$47,MATCH($B148,Cadastro!$B$8:$B$47,0)),$A148,"Y"),"")</f>
        <v/>
      </c>
      <c r="AH148" s="33" t="str">
        <f aca="false">IF(COUNT($I148,$K148,$J148,$N148)&lt;4,"",$I148+$K148+$J148+$N148)</f>
        <v/>
      </c>
      <c r="AI148" s="33" t="str">
        <f aca="false">IF(COUNT($L148,$M148,$I148,$J148,$P148,$N148,$Q148)&lt;7,"",$L148+$M148+$I148+$J148+$P148+$N148+$Q148)</f>
        <v/>
      </c>
      <c r="AJ148" s="33" t="str">
        <f aca="false">IF(COUNT($I148,$J148,$K148,$O148,$P148,$Q148,$R148,$N148)&lt;8,"",$I148+$J148+$K148+$O148+$P148+$Q148+$R148+$N148)</f>
        <v/>
      </c>
      <c r="AK148" s="34" t="str">
        <f aca="false">IF(OR($AI148="",$AG148=""),"",IF(IFERROR(INDEX(Cadastro!$F$8:$F$47,MATCH($B148,Cadastro!$B$8:$B$47,0)),"")="Feminino",1.097-0.00046971*$AI148+0.00000056*$AI148^2-0.00012828*$AG148,1.112-0.00043499*$AI148+0.00000055*$AI148^2-0.00028826*$AG148))</f>
        <v/>
      </c>
      <c r="AL148" s="30" t="str">
        <f aca="false">IF(OR($AK148="",$AK148=0),"",495/$AK148-450)</f>
        <v/>
      </c>
      <c r="AM148" s="35" t="str">
        <f aca="false">IF(OR($AL148="",$E148=""),"",$E148*$AL148/100)</f>
        <v/>
      </c>
      <c r="AN148" s="30" t="str">
        <f aca="false">IF(OR($AM148="",$E148=""),"",$E148-$AM148)</f>
        <v/>
      </c>
      <c r="AO148" s="35" t="str">
        <f aca="false">IFERROR($E148/($F148/100)^2,"")</f>
        <v/>
      </c>
      <c r="AP148" s="35" t="str">
        <f aca="false">IFERROR($G148/$F148*100,"")</f>
        <v/>
      </c>
      <c r="AQ148" s="36" t="str">
        <f aca="false">IFERROR($W148/$F148,"")</f>
        <v/>
      </c>
      <c r="AR148" s="35" t="str">
        <f aca="false">IF(OR($S148="",$I148=""),"",($S148-PI()*$I148/10)^2/(4*PI())-IF(IFERROR(INDEX(Cadastro!$F$8:$F$47,MATCH($B148,Cadastro!$B$8:$B$47,0)),"")="Feminino",6.5,10))</f>
        <v/>
      </c>
      <c r="AS148" s="35" t="str">
        <f aca="false">IF(OR($I148="",$J148="",$O148="",$F148=""),"",-0.7182+0.1451*(($I148+$J148+$O148)*(170.18/$F148))-0.00068*(($I148+$J148+$O148)*(170.18/$F148))^2+0.0000014*(($I148+$J148+$O148)*(170.18/$F148))^3)</f>
        <v/>
      </c>
      <c r="AT148" s="35" t="str">
        <f aca="false">IF(OR($AE148="",$AF148="",$T148="",$AA148="",$F148=""),"",0.858*$AE148+0.601*$AF148+0.188*($T148-$I148/10)+0.161*($AA148-$R148/10)-0.131*$F148+4.5)</f>
        <v/>
      </c>
      <c r="AU148" s="35" t="str">
        <f aca="false">IF(OR($E148="",$F148=""),"",IF($F148/$E148^(1/3)&gt;=40.75,0.732*($F148/$E148^(1/3))-28.58,IF($F148/$E148^(1/3)&gt;=38.25,0.463*($F148/$E148^(1/3))-17.63,0.1)))</f>
        <v/>
      </c>
      <c r="AV148" s="37" t="str">
        <f aca="false">IF(OR($AS148="",$AT148="",$AU148=""),"",IF(AND($AT148&gt;=$AS148,$AT148&gt;=$AU148),"Mesomorfo dominante",IF(AND($AU148&gt;=$AS148,$AU148&gt;=$AT148),"Ectomorfo dominante","Endomorfo dominante")))</f>
        <v/>
      </c>
    </row>
    <row r="149" customFormat="false" ht="15" hidden="false" customHeight="false" outlineLevel="0" collapsed="false">
      <c r="A149" s="29"/>
      <c r="B149" s="27"/>
      <c r="C149" s="28"/>
      <c r="D149" s="27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3" t="str">
        <f aca="false">IFERROR(DATEDIF(INDEX(Cadastro!$D$8:$D$47,MATCH($B149,Cadastro!$B$8:$B$47,0)),$A149,"Y"),"")</f>
        <v/>
      </c>
      <c r="AH149" s="33" t="str">
        <f aca="false">IF(COUNT($I149,$K149,$J149,$N149)&lt;4,"",$I149+$K149+$J149+$N149)</f>
        <v/>
      </c>
      <c r="AI149" s="33" t="str">
        <f aca="false">IF(COUNT($L149,$M149,$I149,$J149,$P149,$N149,$Q149)&lt;7,"",$L149+$M149+$I149+$J149+$P149+$N149+$Q149)</f>
        <v/>
      </c>
      <c r="AJ149" s="33" t="str">
        <f aca="false">IF(COUNT($I149,$J149,$K149,$O149,$P149,$Q149,$R149,$N149)&lt;8,"",$I149+$J149+$K149+$O149+$P149+$Q149+$R149+$N149)</f>
        <v/>
      </c>
      <c r="AK149" s="34" t="str">
        <f aca="false">IF(OR($AI149="",$AG149=""),"",IF(IFERROR(INDEX(Cadastro!$F$8:$F$47,MATCH($B149,Cadastro!$B$8:$B$47,0)),"")="Feminino",1.097-0.00046971*$AI149+0.00000056*$AI149^2-0.00012828*$AG149,1.112-0.00043499*$AI149+0.00000055*$AI149^2-0.00028826*$AG149))</f>
        <v/>
      </c>
      <c r="AL149" s="30" t="str">
        <f aca="false">IF(OR($AK149="",$AK149=0),"",495/$AK149-450)</f>
        <v/>
      </c>
      <c r="AM149" s="35" t="str">
        <f aca="false">IF(OR($AL149="",$E149=""),"",$E149*$AL149/100)</f>
        <v/>
      </c>
      <c r="AN149" s="30" t="str">
        <f aca="false">IF(OR($AM149="",$E149=""),"",$E149-$AM149)</f>
        <v/>
      </c>
      <c r="AO149" s="35" t="str">
        <f aca="false">IFERROR($E149/($F149/100)^2,"")</f>
        <v/>
      </c>
      <c r="AP149" s="35" t="str">
        <f aca="false">IFERROR($G149/$F149*100,"")</f>
        <v/>
      </c>
      <c r="AQ149" s="36" t="str">
        <f aca="false">IFERROR($W149/$F149,"")</f>
        <v/>
      </c>
      <c r="AR149" s="35" t="str">
        <f aca="false">IF(OR($S149="",$I149=""),"",($S149-PI()*$I149/10)^2/(4*PI())-IF(IFERROR(INDEX(Cadastro!$F$8:$F$47,MATCH($B149,Cadastro!$B$8:$B$47,0)),"")="Feminino",6.5,10))</f>
        <v/>
      </c>
      <c r="AS149" s="35" t="str">
        <f aca="false">IF(OR($I149="",$J149="",$O149="",$F149=""),"",-0.7182+0.1451*(($I149+$J149+$O149)*(170.18/$F149))-0.00068*(($I149+$J149+$O149)*(170.18/$F149))^2+0.0000014*(($I149+$J149+$O149)*(170.18/$F149))^3)</f>
        <v/>
      </c>
      <c r="AT149" s="35" t="str">
        <f aca="false">IF(OR($AE149="",$AF149="",$T149="",$AA149="",$F149=""),"",0.858*$AE149+0.601*$AF149+0.188*($T149-$I149/10)+0.161*($AA149-$R149/10)-0.131*$F149+4.5)</f>
        <v/>
      </c>
      <c r="AU149" s="35" t="str">
        <f aca="false">IF(OR($E149="",$F149=""),"",IF($F149/$E149^(1/3)&gt;=40.75,0.732*($F149/$E149^(1/3))-28.58,IF($F149/$E149^(1/3)&gt;=38.25,0.463*($F149/$E149^(1/3))-17.63,0.1)))</f>
        <v/>
      </c>
      <c r="AV149" s="37" t="str">
        <f aca="false">IF(OR($AS149="",$AT149="",$AU149=""),"",IF(AND($AT149&gt;=$AS149,$AT149&gt;=$AU149),"Mesomorfo dominante",IF(AND($AU149&gt;=$AS149,$AU149&gt;=$AT149),"Ectomorfo dominante","Endomorfo dominante")))</f>
        <v/>
      </c>
    </row>
    <row r="150" customFormat="false" ht="15" hidden="false" customHeight="false" outlineLevel="0" collapsed="false">
      <c r="A150" s="29"/>
      <c r="B150" s="27"/>
      <c r="C150" s="28"/>
      <c r="D150" s="27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3" t="str">
        <f aca="false">IFERROR(DATEDIF(INDEX(Cadastro!$D$8:$D$47,MATCH($B150,Cadastro!$B$8:$B$47,0)),$A150,"Y"),"")</f>
        <v/>
      </c>
      <c r="AH150" s="33" t="str">
        <f aca="false">IF(COUNT($I150,$K150,$J150,$N150)&lt;4,"",$I150+$K150+$J150+$N150)</f>
        <v/>
      </c>
      <c r="AI150" s="33" t="str">
        <f aca="false">IF(COUNT($L150,$M150,$I150,$J150,$P150,$N150,$Q150)&lt;7,"",$L150+$M150+$I150+$J150+$P150+$N150+$Q150)</f>
        <v/>
      </c>
      <c r="AJ150" s="33" t="str">
        <f aca="false">IF(COUNT($I150,$J150,$K150,$O150,$P150,$Q150,$R150,$N150)&lt;8,"",$I150+$J150+$K150+$O150+$P150+$Q150+$R150+$N150)</f>
        <v/>
      </c>
      <c r="AK150" s="34" t="str">
        <f aca="false">IF(OR($AI150="",$AG150=""),"",IF(IFERROR(INDEX(Cadastro!$F$8:$F$47,MATCH($B150,Cadastro!$B$8:$B$47,0)),"")="Feminino",1.097-0.00046971*$AI150+0.00000056*$AI150^2-0.00012828*$AG150,1.112-0.00043499*$AI150+0.00000055*$AI150^2-0.00028826*$AG150))</f>
        <v/>
      </c>
      <c r="AL150" s="30" t="str">
        <f aca="false">IF(OR($AK150="",$AK150=0),"",495/$AK150-450)</f>
        <v/>
      </c>
      <c r="AM150" s="35" t="str">
        <f aca="false">IF(OR($AL150="",$E150=""),"",$E150*$AL150/100)</f>
        <v/>
      </c>
      <c r="AN150" s="30" t="str">
        <f aca="false">IF(OR($AM150="",$E150=""),"",$E150-$AM150)</f>
        <v/>
      </c>
      <c r="AO150" s="35" t="str">
        <f aca="false">IFERROR($E150/($F150/100)^2,"")</f>
        <v/>
      </c>
      <c r="AP150" s="35" t="str">
        <f aca="false">IFERROR($G150/$F150*100,"")</f>
        <v/>
      </c>
      <c r="AQ150" s="36" t="str">
        <f aca="false">IFERROR($W150/$F150,"")</f>
        <v/>
      </c>
      <c r="AR150" s="35" t="str">
        <f aca="false">IF(OR($S150="",$I150=""),"",($S150-PI()*$I150/10)^2/(4*PI())-IF(IFERROR(INDEX(Cadastro!$F$8:$F$47,MATCH($B150,Cadastro!$B$8:$B$47,0)),"")="Feminino",6.5,10))</f>
        <v/>
      </c>
      <c r="AS150" s="35" t="str">
        <f aca="false">IF(OR($I150="",$J150="",$O150="",$F150=""),"",-0.7182+0.1451*(($I150+$J150+$O150)*(170.18/$F150))-0.00068*(($I150+$J150+$O150)*(170.18/$F150))^2+0.0000014*(($I150+$J150+$O150)*(170.18/$F150))^3)</f>
        <v/>
      </c>
      <c r="AT150" s="35" t="str">
        <f aca="false">IF(OR($AE150="",$AF150="",$T150="",$AA150="",$F150=""),"",0.858*$AE150+0.601*$AF150+0.188*($T150-$I150/10)+0.161*($AA150-$R150/10)-0.131*$F150+4.5)</f>
        <v/>
      </c>
      <c r="AU150" s="35" t="str">
        <f aca="false">IF(OR($E150="",$F150=""),"",IF($F150/$E150^(1/3)&gt;=40.75,0.732*($F150/$E150^(1/3))-28.58,IF($F150/$E150^(1/3)&gt;=38.25,0.463*($F150/$E150^(1/3))-17.63,0.1)))</f>
        <v/>
      </c>
      <c r="AV150" s="37" t="str">
        <f aca="false">IF(OR($AS150="",$AT150="",$AU150=""),"",IF(AND($AT150&gt;=$AS150,$AT150&gt;=$AU150),"Mesomorfo dominante",IF(AND($AU150&gt;=$AS150,$AU150&gt;=$AT150),"Ectomorfo dominante","Endomorfo dominante")))</f>
        <v/>
      </c>
    </row>
    <row r="151" customFormat="false" ht="15" hidden="false" customHeight="false" outlineLevel="0" collapsed="false">
      <c r="A151" s="29"/>
      <c r="B151" s="27"/>
      <c r="C151" s="28"/>
      <c r="D151" s="27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3" t="str">
        <f aca="false">IFERROR(DATEDIF(INDEX(Cadastro!$D$8:$D$47,MATCH($B151,Cadastro!$B$8:$B$47,0)),$A151,"Y"),"")</f>
        <v/>
      </c>
      <c r="AH151" s="33" t="str">
        <f aca="false">IF(COUNT($I151,$K151,$J151,$N151)&lt;4,"",$I151+$K151+$J151+$N151)</f>
        <v/>
      </c>
      <c r="AI151" s="33" t="str">
        <f aca="false">IF(COUNT($L151,$M151,$I151,$J151,$P151,$N151,$Q151)&lt;7,"",$L151+$M151+$I151+$J151+$P151+$N151+$Q151)</f>
        <v/>
      </c>
      <c r="AJ151" s="33" t="str">
        <f aca="false">IF(COUNT($I151,$J151,$K151,$O151,$P151,$Q151,$R151,$N151)&lt;8,"",$I151+$J151+$K151+$O151+$P151+$Q151+$R151+$N151)</f>
        <v/>
      </c>
      <c r="AK151" s="34" t="str">
        <f aca="false">IF(OR($AI151="",$AG151=""),"",IF(IFERROR(INDEX(Cadastro!$F$8:$F$47,MATCH($B151,Cadastro!$B$8:$B$47,0)),"")="Feminino",1.097-0.00046971*$AI151+0.00000056*$AI151^2-0.00012828*$AG151,1.112-0.00043499*$AI151+0.00000055*$AI151^2-0.00028826*$AG151))</f>
        <v/>
      </c>
      <c r="AL151" s="30" t="str">
        <f aca="false">IF(OR($AK151="",$AK151=0),"",495/$AK151-450)</f>
        <v/>
      </c>
      <c r="AM151" s="35" t="str">
        <f aca="false">IF(OR($AL151="",$E151=""),"",$E151*$AL151/100)</f>
        <v/>
      </c>
      <c r="AN151" s="30" t="str">
        <f aca="false">IF(OR($AM151="",$E151=""),"",$E151-$AM151)</f>
        <v/>
      </c>
      <c r="AO151" s="35" t="str">
        <f aca="false">IFERROR($E151/($F151/100)^2,"")</f>
        <v/>
      </c>
      <c r="AP151" s="35" t="str">
        <f aca="false">IFERROR($G151/$F151*100,"")</f>
        <v/>
      </c>
      <c r="AQ151" s="36" t="str">
        <f aca="false">IFERROR($W151/$F151,"")</f>
        <v/>
      </c>
      <c r="AR151" s="35" t="str">
        <f aca="false">IF(OR($S151="",$I151=""),"",($S151-PI()*$I151/10)^2/(4*PI())-IF(IFERROR(INDEX(Cadastro!$F$8:$F$47,MATCH($B151,Cadastro!$B$8:$B$47,0)),"")="Feminino",6.5,10))</f>
        <v/>
      </c>
      <c r="AS151" s="35" t="str">
        <f aca="false">IF(OR($I151="",$J151="",$O151="",$F151=""),"",-0.7182+0.1451*(($I151+$J151+$O151)*(170.18/$F151))-0.00068*(($I151+$J151+$O151)*(170.18/$F151))^2+0.0000014*(($I151+$J151+$O151)*(170.18/$F151))^3)</f>
        <v/>
      </c>
      <c r="AT151" s="35" t="str">
        <f aca="false">IF(OR($AE151="",$AF151="",$T151="",$AA151="",$F151=""),"",0.858*$AE151+0.601*$AF151+0.188*($T151-$I151/10)+0.161*($AA151-$R151/10)-0.131*$F151+4.5)</f>
        <v/>
      </c>
      <c r="AU151" s="35" t="str">
        <f aca="false">IF(OR($E151="",$F151=""),"",IF($F151/$E151^(1/3)&gt;=40.75,0.732*($F151/$E151^(1/3))-28.58,IF($F151/$E151^(1/3)&gt;=38.25,0.463*($F151/$E151^(1/3))-17.63,0.1)))</f>
        <v/>
      </c>
      <c r="AV151" s="37" t="str">
        <f aca="false">IF(OR($AS151="",$AT151="",$AU151=""),"",IF(AND($AT151&gt;=$AS151,$AT151&gt;=$AU151),"Mesomorfo dominante",IF(AND($AU151&gt;=$AS151,$AU151&gt;=$AT151),"Ectomorfo dominante","Endomorfo dominante")))</f>
        <v/>
      </c>
    </row>
    <row r="152" customFormat="false" ht="15" hidden="false" customHeight="false" outlineLevel="0" collapsed="false">
      <c r="A152" s="29"/>
      <c r="B152" s="27"/>
      <c r="C152" s="28"/>
      <c r="D152" s="27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3" t="str">
        <f aca="false">IFERROR(DATEDIF(INDEX(Cadastro!$D$8:$D$47,MATCH($B152,Cadastro!$B$8:$B$47,0)),$A152,"Y"),"")</f>
        <v/>
      </c>
      <c r="AH152" s="33" t="str">
        <f aca="false">IF(COUNT($I152,$K152,$J152,$N152)&lt;4,"",$I152+$K152+$J152+$N152)</f>
        <v/>
      </c>
      <c r="AI152" s="33" t="str">
        <f aca="false">IF(COUNT($L152,$M152,$I152,$J152,$P152,$N152,$Q152)&lt;7,"",$L152+$M152+$I152+$J152+$P152+$N152+$Q152)</f>
        <v/>
      </c>
      <c r="AJ152" s="33" t="str">
        <f aca="false">IF(COUNT($I152,$J152,$K152,$O152,$P152,$Q152,$R152,$N152)&lt;8,"",$I152+$J152+$K152+$O152+$P152+$Q152+$R152+$N152)</f>
        <v/>
      </c>
      <c r="AK152" s="34" t="str">
        <f aca="false">IF(OR($AI152="",$AG152=""),"",IF(IFERROR(INDEX(Cadastro!$F$8:$F$47,MATCH($B152,Cadastro!$B$8:$B$47,0)),"")="Feminino",1.097-0.00046971*$AI152+0.00000056*$AI152^2-0.00012828*$AG152,1.112-0.00043499*$AI152+0.00000055*$AI152^2-0.00028826*$AG152))</f>
        <v/>
      </c>
      <c r="AL152" s="30" t="str">
        <f aca="false">IF(OR($AK152="",$AK152=0),"",495/$AK152-450)</f>
        <v/>
      </c>
      <c r="AM152" s="35" t="str">
        <f aca="false">IF(OR($AL152="",$E152=""),"",$E152*$AL152/100)</f>
        <v/>
      </c>
      <c r="AN152" s="30" t="str">
        <f aca="false">IF(OR($AM152="",$E152=""),"",$E152-$AM152)</f>
        <v/>
      </c>
      <c r="AO152" s="35" t="str">
        <f aca="false">IFERROR($E152/($F152/100)^2,"")</f>
        <v/>
      </c>
      <c r="AP152" s="35" t="str">
        <f aca="false">IFERROR($G152/$F152*100,"")</f>
        <v/>
      </c>
      <c r="AQ152" s="36" t="str">
        <f aca="false">IFERROR($W152/$F152,"")</f>
        <v/>
      </c>
      <c r="AR152" s="35" t="str">
        <f aca="false">IF(OR($S152="",$I152=""),"",($S152-PI()*$I152/10)^2/(4*PI())-IF(IFERROR(INDEX(Cadastro!$F$8:$F$47,MATCH($B152,Cadastro!$B$8:$B$47,0)),"")="Feminino",6.5,10))</f>
        <v/>
      </c>
      <c r="AS152" s="35" t="str">
        <f aca="false">IF(OR($I152="",$J152="",$O152="",$F152=""),"",-0.7182+0.1451*(($I152+$J152+$O152)*(170.18/$F152))-0.00068*(($I152+$J152+$O152)*(170.18/$F152))^2+0.0000014*(($I152+$J152+$O152)*(170.18/$F152))^3)</f>
        <v/>
      </c>
      <c r="AT152" s="35" t="str">
        <f aca="false">IF(OR($AE152="",$AF152="",$T152="",$AA152="",$F152=""),"",0.858*$AE152+0.601*$AF152+0.188*($T152-$I152/10)+0.161*($AA152-$R152/10)-0.131*$F152+4.5)</f>
        <v/>
      </c>
      <c r="AU152" s="35" t="str">
        <f aca="false">IF(OR($E152="",$F152=""),"",IF($F152/$E152^(1/3)&gt;=40.75,0.732*($F152/$E152^(1/3))-28.58,IF($F152/$E152^(1/3)&gt;=38.25,0.463*($F152/$E152^(1/3))-17.63,0.1)))</f>
        <v/>
      </c>
      <c r="AV152" s="37" t="str">
        <f aca="false">IF(OR($AS152="",$AT152="",$AU152=""),"",IF(AND($AT152&gt;=$AS152,$AT152&gt;=$AU152),"Mesomorfo dominante",IF(AND($AU152&gt;=$AS152,$AU152&gt;=$AT152),"Ectomorfo dominante","Endomorfo dominante")))</f>
        <v/>
      </c>
    </row>
    <row r="153" customFormat="false" ht="15" hidden="false" customHeight="false" outlineLevel="0" collapsed="false">
      <c r="A153" s="29"/>
      <c r="B153" s="27"/>
      <c r="C153" s="28"/>
      <c r="D153" s="27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3" t="str">
        <f aca="false">IFERROR(DATEDIF(INDEX(Cadastro!$D$8:$D$47,MATCH($B153,Cadastro!$B$8:$B$47,0)),$A153,"Y"),"")</f>
        <v/>
      </c>
      <c r="AH153" s="33" t="str">
        <f aca="false">IF(COUNT($I153,$K153,$J153,$N153)&lt;4,"",$I153+$K153+$J153+$N153)</f>
        <v/>
      </c>
      <c r="AI153" s="33" t="str">
        <f aca="false">IF(COUNT($L153,$M153,$I153,$J153,$P153,$N153,$Q153)&lt;7,"",$L153+$M153+$I153+$J153+$P153+$N153+$Q153)</f>
        <v/>
      </c>
      <c r="AJ153" s="33" t="str">
        <f aca="false">IF(COUNT($I153,$J153,$K153,$O153,$P153,$Q153,$R153,$N153)&lt;8,"",$I153+$J153+$K153+$O153+$P153+$Q153+$R153+$N153)</f>
        <v/>
      </c>
      <c r="AK153" s="34" t="str">
        <f aca="false">IF(OR($AI153="",$AG153=""),"",IF(IFERROR(INDEX(Cadastro!$F$8:$F$47,MATCH($B153,Cadastro!$B$8:$B$47,0)),"")="Feminino",1.097-0.00046971*$AI153+0.00000056*$AI153^2-0.00012828*$AG153,1.112-0.00043499*$AI153+0.00000055*$AI153^2-0.00028826*$AG153))</f>
        <v/>
      </c>
      <c r="AL153" s="30" t="str">
        <f aca="false">IF(OR($AK153="",$AK153=0),"",495/$AK153-450)</f>
        <v/>
      </c>
      <c r="AM153" s="35" t="str">
        <f aca="false">IF(OR($AL153="",$E153=""),"",$E153*$AL153/100)</f>
        <v/>
      </c>
      <c r="AN153" s="30" t="str">
        <f aca="false">IF(OR($AM153="",$E153=""),"",$E153-$AM153)</f>
        <v/>
      </c>
      <c r="AO153" s="35" t="str">
        <f aca="false">IFERROR($E153/($F153/100)^2,"")</f>
        <v/>
      </c>
      <c r="AP153" s="35" t="str">
        <f aca="false">IFERROR($G153/$F153*100,"")</f>
        <v/>
      </c>
      <c r="AQ153" s="36" t="str">
        <f aca="false">IFERROR($W153/$F153,"")</f>
        <v/>
      </c>
      <c r="AR153" s="35" t="str">
        <f aca="false">IF(OR($S153="",$I153=""),"",($S153-PI()*$I153/10)^2/(4*PI())-IF(IFERROR(INDEX(Cadastro!$F$8:$F$47,MATCH($B153,Cadastro!$B$8:$B$47,0)),"")="Feminino",6.5,10))</f>
        <v/>
      </c>
      <c r="AS153" s="35" t="str">
        <f aca="false">IF(OR($I153="",$J153="",$O153="",$F153=""),"",-0.7182+0.1451*(($I153+$J153+$O153)*(170.18/$F153))-0.00068*(($I153+$J153+$O153)*(170.18/$F153))^2+0.0000014*(($I153+$J153+$O153)*(170.18/$F153))^3)</f>
        <v/>
      </c>
      <c r="AT153" s="35" t="str">
        <f aca="false">IF(OR($AE153="",$AF153="",$T153="",$AA153="",$F153=""),"",0.858*$AE153+0.601*$AF153+0.188*($T153-$I153/10)+0.161*($AA153-$R153/10)-0.131*$F153+4.5)</f>
        <v/>
      </c>
      <c r="AU153" s="35" t="str">
        <f aca="false">IF(OR($E153="",$F153=""),"",IF($F153/$E153^(1/3)&gt;=40.75,0.732*($F153/$E153^(1/3))-28.58,IF($F153/$E153^(1/3)&gt;=38.25,0.463*($F153/$E153^(1/3))-17.63,0.1)))</f>
        <v/>
      </c>
      <c r="AV153" s="37" t="str">
        <f aca="false">IF(OR($AS153="",$AT153="",$AU153=""),"",IF(AND($AT153&gt;=$AS153,$AT153&gt;=$AU153),"Mesomorfo dominante",IF(AND($AU153&gt;=$AS153,$AU153&gt;=$AT153),"Ectomorfo dominante","Endomorfo dominante")))</f>
        <v/>
      </c>
    </row>
    <row r="154" customFormat="false" ht="15" hidden="false" customHeight="false" outlineLevel="0" collapsed="false">
      <c r="A154" s="29"/>
      <c r="B154" s="27"/>
      <c r="C154" s="28"/>
      <c r="D154" s="27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3" t="str">
        <f aca="false">IFERROR(DATEDIF(INDEX(Cadastro!$D$8:$D$47,MATCH($B154,Cadastro!$B$8:$B$47,0)),$A154,"Y"),"")</f>
        <v/>
      </c>
      <c r="AH154" s="33" t="str">
        <f aca="false">IF(COUNT($I154,$K154,$J154,$N154)&lt;4,"",$I154+$K154+$J154+$N154)</f>
        <v/>
      </c>
      <c r="AI154" s="33" t="str">
        <f aca="false">IF(COUNT($L154,$M154,$I154,$J154,$P154,$N154,$Q154)&lt;7,"",$L154+$M154+$I154+$J154+$P154+$N154+$Q154)</f>
        <v/>
      </c>
      <c r="AJ154" s="33" t="str">
        <f aca="false">IF(COUNT($I154,$J154,$K154,$O154,$P154,$Q154,$R154,$N154)&lt;8,"",$I154+$J154+$K154+$O154+$P154+$Q154+$R154+$N154)</f>
        <v/>
      </c>
      <c r="AK154" s="34" t="str">
        <f aca="false">IF(OR($AI154="",$AG154=""),"",IF(IFERROR(INDEX(Cadastro!$F$8:$F$47,MATCH($B154,Cadastro!$B$8:$B$47,0)),"")="Feminino",1.097-0.00046971*$AI154+0.00000056*$AI154^2-0.00012828*$AG154,1.112-0.00043499*$AI154+0.00000055*$AI154^2-0.00028826*$AG154))</f>
        <v/>
      </c>
      <c r="AL154" s="30" t="str">
        <f aca="false">IF(OR($AK154="",$AK154=0),"",495/$AK154-450)</f>
        <v/>
      </c>
      <c r="AM154" s="35" t="str">
        <f aca="false">IF(OR($AL154="",$E154=""),"",$E154*$AL154/100)</f>
        <v/>
      </c>
      <c r="AN154" s="30" t="str">
        <f aca="false">IF(OR($AM154="",$E154=""),"",$E154-$AM154)</f>
        <v/>
      </c>
      <c r="AO154" s="35" t="str">
        <f aca="false">IFERROR($E154/($F154/100)^2,"")</f>
        <v/>
      </c>
      <c r="AP154" s="35" t="str">
        <f aca="false">IFERROR($G154/$F154*100,"")</f>
        <v/>
      </c>
      <c r="AQ154" s="36" t="str">
        <f aca="false">IFERROR($W154/$F154,"")</f>
        <v/>
      </c>
      <c r="AR154" s="35" t="str">
        <f aca="false">IF(OR($S154="",$I154=""),"",($S154-PI()*$I154/10)^2/(4*PI())-IF(IFERROR(INDEX(Cadastro!$F$8:$F$47,MATCH($B154,Cadastro!$B$8:$B$47,0)),"")="Feminino",6.5,10))</f>
        <v/>
      </c>
      <c r="AS154" s="35" t="str">
        <f aca="false">IF(OR($I154="",$J154="",$O154="",$F154=""),"",-0.7182+0.1451*(($I154+$J154+$O154)*(170.18/$F154))-0.00068*(($I154+$J154+$O154)*(170.18/$F154))^2+0.0000014*(($I154+$J154+$O154)*(170.18/$F154))^3)</f>
        <v/>
      </c>
      <c r="AT154" s="35" t="str">
        <f aca="false">IF(OR($AE154="",$AF154="",$T154="",$AA154="",$F154=""),"",0.858*$AE154+0.601*$AF154+0.188*($T154-$I154/10)+0.161*($AA154-$R154/10)-0.131*$F154+4.5)</f>
        <v/>
      </c>
      <c r="AU154" s="35" t="str">
        <f aca="false">IF(OR($E154="",$F154=""),"",IF($F154/$E154^(1/3)&gt;=40.75,0.732*($F154/$E154^(1/3))-28.58,IF($F154/$E154^(1/3)&gt;=38.25,0.463*($F154/$E154^(1/3))-17.63,0.1)))</f>
        <v/>
      </c>
      <c r="AV154" s="37" t="str">
        <f aca="false">IF(OR($AS154="",$AT154="",$AU154=""),"",IF(AND($AT154&gt;=$AS154,$AT154&gt;=$AU154),"Mesomorfo dominante",IF(AND($AU154&gt;=$AS154,$AU154&gt;=$AT154),"Ectomorfo dominante","Endomorfo dominante")))</f>
        <v/>
      </c>
    </row>
    <row r="155" customFormat="false" ht="15" hidden="false" customHeight="false" outlineLevel="0" collapsed="false">
      <c r="A155" s="29"/>
      <c r="B155" s="27"/>
      <c r="C155" s="28"/>
      <c r="D155" s="27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3" t="str">
        <f aca="false">IFERROR(DATEDIF(INDEX(Cadastro!$D$8:$D$47,MATCH($B155,Cadastro!$B$8:$B$47,0)),$A155,"Y"),"")</f>
        <v/>
      </c>
      <c r="AH155" s="33" t="str">
        <f aca="false">IF(COUNT($I155,$K155,$J155,$N155)&lt;4,"",$I155+$K155+$J155+$N155)</f>
        <v/>
      </c>
      <c r="AI155" s="33" t="str">
        <f aca="false">IF(COUNT($L155,$M155,$I155,$J155,$P155,$N155,$Q155)&lt;7,"",$L155+$M155+$I155+$J155+$P155+$N155+$Q155)</f>
        <v/>
      </c>
      <c r="AJ155" s="33" t="str">
        <f aca="false">IF(COUNT($I155,$J155,$K155,$O155,$P155,$Q155,$R155,$N155)&lt;8,"",$I155+$J155+$K155+$O155+$P155+$Q155+$R155+$N155)</f>
        <v/>
      </c>
      <c r="AK155" s="34" t="str">
        <f aca="false">IF(OR($AI155="",$AG155=""),"",IF(IFERROR(INDEX(Cadastro!$F$8:$F$47,MATCH($B155,Cadastro!$B$8:$B$47,0)),"")="Feminino",1.097-0.00046971*$AI155+0.00000056*$AI155^2-0.00012828*$AG155,1.112-0.00043499*$AI155+0.00000055*$AI155^2-0.00028826*$AG155))</f>
        <v/>
      </c>
      <c r="AL155" s="30" t="str">
        <f aca="false">IF(OR($AK155="",$AK155=0),"",495/$AK155-450)</f>
        <v/>
      </c>
      <c r="AM155" s="35" t="str">
        <f aca="false">IF(OR($AL155="",$E155=""),"",$E155*$AL155/100)</f>
        <v/>
      </c>
      <c r="AN155" s="30" t="str">
        <f aca="false">IF(OR($AM155="",$E155=""),"",$E155-$AM155)</f>
        <v/>
      </c>
      <c r="AO155" s="35" t="str">
        <f aca="false">IFERROR($E155/($F155/100)^2,"")</f>
        <v/>
      </c>
      <c r="AP155" s="35" t="str">
        <f aca="false">IFERROR($G155/$F155*100,"")</f>
        <v/>
      </c>
      <c r="AQ155" s="36" t="str">
        <f aca="false">IFERROR($W155/$F155,"")</f>
        <v/>
      </c>
      <c r="AR155" s="35" t="str">
        <f aca="false">IF(OR($S155="",$I155=""),"",($S155-PI()*$I155/10)^2/(4*PI())-IF(IFERROR(INDEX(Cadastro!$F$8:$F$47,MATCH($B155,Cadastro!$B$8:$B$47,0)),"")="Feminino",6.5,10))</f>
        <v/>
      </c>
      <c r="AS155" s="35" t="str">
        <f aca="false">IF(OR($I155="",$J155="",$O155="",$F155=""),"",-0.7182+0.1451*(($I155+$J155+$O155)*(170.18/$F155))-0.00068*(($I155+$J155+$O155)*(170.18/$F155))^2+0.0000014*(($I155+$J155+$O155)*(170.18/$F155))^3)</f>
        <v/>
      </c>
      <c r="AT155" s="35" t="str">
        <f aca="false">IF(OR($AE155="",$AF155="",$T155="",$AA155="",$F155=""),"",0.858*$AE155+0.601*$AF155+0.188*($T155-$I155/10)+0.161*($AA155-$R155/10)-0.131*$F155+4.5)</f>
        <v/>
      </c>
      <c r="AU155" s="35" t="str">
        <f aca="false">IF(OR($E155="",$F155=""),"",IF($F155/$E155^(1/3)&gt;=40.75,0.732*($F155/$E155^(1/3))-28.58,IF($F155/$E155^(1/3)&gt;=38.25,0.463*($F155/$E155^(1/3))-17.63,0.1)))</f>
        <v/>
      </c>
      <c r="AV155" s="37" t="str">
        <f aca="false">IF(OR($AS155="",$AT155="",$AU155=""),"",IF(AND($AT155&gt;=$AS155,$AT155&gt;=$AU155),"Mesomorfo dominante",IF(AND($AU155&gt;=$AS155,$AU155&gt;=$AT155),"Ectomorfo dominante","Endomorfo dominante")))</f>
        <v/>
      </c>
    </row>
    <row r="156" customFormat="false" ht="15" hidden="false" customHeight="false" outlineLevel="0" collapsed="false">
      <c r="A156" s="29"/>
      <c r="B156" s="27"/>
      <c r="C156" s="28"/>
      <c r="D156" s="27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3" t="str">
        <f aca="false">IFERROR(DATEDIF(INDEX(Cadastro!$D$8:$D$47,MATCH($B156,Cadastro!$B$8:$B$47,0)),$A156,"Y"),"")</f>
        <v/>
      </c>
      <c r="AH156" s="33" t="str">
        <f aca="false">IF(COUNT($I156,$K156,$J156,$N156)&lt;4,"",$I156+$K156+$J156+$N156)</f>
        <v/>
      </c>
      <c r="AI156" s="33" t="str">
        <f aca="false">IF(COUNT($L156,$M156,$I156,$J156,$P156,$N156,$Q156)&lt;7,"",$L156+$M156+$I156+$J156+$P156+$N156+$Q156)</f>
        <v/>
      </c>
      <c r="AJ156" s="33" t="str">
        <f aca="false">IF(COUNT($I156,$J156,$K156,$O156,$P156,$Q156,$R156,$N156)&lt;8,"",$I156+$J156+$K156+$O156+$P156+$Q156+$R156+$N156)</f>
        <v/>
      </c>
      <c r="AK156" s="34" t="str">
        <f aca="false">IF(OR($AI156="",$AG156=""),"",IF(IFERROR(INDEX(Cadastro!$F$8:$F$47,MATCH($B156,Cadastro!$B$8:$B$47,0)),"")="Feminino",1.097-0.00046971*$AI156+0.00000056*$AI156^2-0.00012828*$AG156,1.112-0.00043499*$AI156+0.00000055*$AI156^2-0.00028826*$AG156))</f>
        <v/>
      </c>
      <c r="AL156" s="30" t="str">
        <f aca="false">IF(OR($AK156="",$AK156=0),"",495/$AK156-450)</f>
        <v/>
      </c>
      <c r="AM156" s="35" t="str">
        <f aca="false">IF(OR($AL156="",$E156=""),"",$E156*$AL156/100)</f>
        <v/>
      </c>
      <c r="AN156" s="30" t="str">
        <f aca="false">IF(OR($AM156="",$E156=""),"",$E156-$AM156)</f>
        <v/>
      </c>
      <c r="AO156" s="35" t="str">
        <f aca="false">IFERROR($E156/($F156/100)^2,"")</f>
        <v/>
      </c>
      <c r="AP156" s="35" t="str">
        <f aca="false">IFERROR($G156/$F156*100,"")</f>
        <v/>
      </c>
      <c r="AQ156" s="36" t="str">
        <f aca="false">IFERROR($W156/$F156,"")</f>
        <v/>
      </c>
      <c r="AR156" s="35" t="str">
        <f aca="false">IF(OR($S156="",$I156=""),"",($S156-PI()*$I156/10)^2/(4*PI())-IF(IFERROR(INDEX(Cadastro!$F$8:$F$47,MATCH($B156,Cadastro!$B$8:$B$47,0)),"")="Feminino",6.5,10))</f>
        <v/>
      </c>
      <c r="AS156" s="35" t="str">
        <f aca="false">IF(OR($I156="",$J156="",$O156="",$F156=""),"",-0.7182+0.1451*(($I156+$J156+$O156)*(170.18/$F156))-0.00068*(($I156+$J156+$O156)*(170.18/$F156))^2+0.0000014*(($I156+$J156+$O156)*(170.18/$F156))^3)</f>
        <v/>
      </c>
      <c r="AT156" s="35" t="str">
        <f aca="false">IF(OR($AE156="",$AF156="",$T156="",$AA156="",$F156=""),"",0.858*$AE156+0.601*$AF156+0.188*($T156-$I156/10)+0.161*($AA156-$R156/10)-0.131*$F156+4.5)</f>
        <v/>
      </c>
      <c r="AU156" s="35" t="str">
        <f aca="false">IF(OR($E156="",$F156=""),"",IF($F156/$E156^(1/3)&gt;=40.75,0.732*($F156/$E156^(1/3))-28.58,IF($F156/$E156^(1/3)&gt;=38.25,0.463*($F156/$E156^(1/3))-17.63,0.1)))</f>
        <v/>
      </c>
      <c r="AV156" s="37" t="str">
        <f aca="false">IF(OR($AS156="",$AT156="",$AU156=""),"",IF(AND($AT156&gt;=$AS156,$AT156&gt;=$AU156),"Mesomorfo dominante",IF(AND($AU156&gt;=$AS156,$AU156&gt;=$AT156),"Ectomorfo dominante","Endomorfo dominante")))</f>
        <v/>
      </c>
    </row>
    <row r="157" customFormat="false" ht="15" hidden="false" customHeight="false" outlineLevel="0" collapsed="false">
      <c r="A157" s="29"/>
      <c r="B157" s="27"/>
      <c r="C157" s="28"/>
      <c r="D157" s="27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3" t="str">
        <f aca="false">IFERROR(DATEDIF(INDEX(Cadastro!$D$8:$D$47,MATCH($B157,Cadastro!$B$8:$B$47,0)),$A157,"Y"),"")</f>
        <v/>
      </c>
      <c r="AH157" s="33" t="str">
        <f aca="false">IF(COUNT($I157,$K157,$J157,$N157)&lt;4,"",$I157+$K157+$J157+$N157)</f>
        <v/>
      </c>
      <c r="AI157" s="33" t="str">
        <f aca="false">IF(COUNT($L157,$M157,$I157,$J157,$P157,$N157,$Q157)&lt;7,"",$L157+$M157+$I157+$J157+$P157+$N157+$Q157)</f>
        <v/>
      </c>
      <c r="AJ157" s="33" t="str">
        <f aca="false">IF(COUNT($I157,$J157,$K157,$O157,$P157,$Q157,$R157,$N157)&lt;8,"",$I157+$J157+$K157+$O157+$P157+$Q157+$R157+$N157)</f>
        <v/>
      </c>
      <c r="AK157" s="34" t="str">
        <f aca="false">IF(OR($AI157="",$AG157=""),"",IF(IFERROR(INDEX(Cadastro!$F$8:$F$47,MATCH($B157,Cadastro!$B$8:$B$47,0)),"")="Feminino",1.097-0.00046971*$AI157+0.00000056*$AI157^2-0.00012828*$AG157,1.112-0.00043499*$AI157+0.00000055*$AI157^2-0.00028826*$AG157))</f>
        <v/>
      </c>
      <c r="AL157" s="30" t="str">
        <f aca="false">IF(OR($AK157="",$AK157=0),"",495/$AK157-450)</f>
        <v/>
      </c>
      <c r="AM157" s="35" t="str">
        <f aca="false">IF(OR($AL157="",$E157=""),"",$E157*$AL157/100)</f>
        <v/>
      </c>
      <c r="AN157" s="30" t="str">
        <f aca="false">IF(OR($AM157="",$E157=""),"",$E157-$AM157)</f>
        <v/>
      </c>
      <c r="AO157" s="35" t="str">
        <f aca="false">IFERROR($E157/($F157/100)^2,"")</f>
        <v/>
      </c>
      <c r="AP157" s="35" t="str">
        <f aca="false">IFERROR($G157/$F157*100,"")</f>
        <v/>
      </c>
      <c r="AQ157" s="36" t="str">
        <f aca="false">IFERROR($W157/$F157,"")</f>
        <v/>
      </c>
      <c r="AR157" s="35" t="str">
        <f aca="false">IF(OR($S157="",$I157=""),"",($S157-PI()*$I157/10)^2/(4*PI())-IF(IFERROR(INDEX(Cadastro!$F$8:$F$47,MATCH($B157,Cadastro!$B$8:$B$47,0)),"")="Feminino",6.5,10))</f>
        <v/>
      </c>
      <c r="AS157" s="35" t="str">
        <f aca="false">IF(OR($I157="",$J157="",$O157="",$F157=""),"",-0.7182+0.1451*(($I157+$J157+$O157)*(170.18/$F157))-0.00068*(($I157+$J157+$O157)*(170.18/$F157))^2+0.0000014*(($I157+$J157+$O157)*(170.18/$F157))^3)</f>
        <v/>
      </c>
      <c r="AT157" s="35" t="str">
        <f aca="false">IF(OR($AE157="",$AF157="",$T157="",$AA157="",$F157=""),"",0.858*$AE157+0.601*$AF157+0.188*($T157-$I157/10)+0.161*($AA157-$R157/10)-0.131*$F157+4.5)</f>
        <v/>
      </c>
      <c r="AU157" s="35" t="str">
        <f aca="false">IF(OR($E157="",$F157=""),"",IF($F157/$E157^(1/3)&gt;=40.75,0.732*($F157/$E157^(1/3))-28.58,IF($F157/$E157^(1/3)&gt;=38.25,0.463*($F157/$E157^(1/3))-17.63,0.1)))</f>
        <v/>
      </c>
      <c r="AV157" s="37" t="str">
        <f aca="false">IF(OR($AS157="",$AT157="",$AU157=""),"",IF(AND($AT157&gt;=$AS157,$AT157&gt;=$AU157),"Mesomorfo dominante",IF(AND($AU157&gt;=$AS157,$AU157&gt;=$AT157),"Ectomorfo dominante","Endomorfo dominante")))</f>
        <v/>
      </c>
    </row>
    <row r="158" customFormat="false" ht="15" hidden="false" customHeight="false" outlineLevel="0" collapsed="false">
      <c r="A158" s="29"/>
      <c r="B158" s="27"/>
      <c r="C158" s="28"/>
      <c r="D158" s="27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3" t="str">
        <f aca="false">IFERROR(DATEDIF(INDEX(Cadastro!$D$8:$D$47,MATCH($B158,Cadastro!$B$8:$B$47,0)),$A158,"Y"),"")</f>
        <v/>
      </c>
      <c r="AH158" s="33" t="str">
        <f aca="false">IF(COUNT($I158,$K158,$J158,$N158)&lt;4,"",$I158+$K158+$J158+$N158)</f>
        <v/>
      </c>
      <c r="AI158" s="33" t="str">
        <f aca="false">IF(COUNT($L158,$M158,$I158,$J158,$P158,$N158,$Q158)&lt;7,"",$L158+$M158+$I158+$J158+$P158+$N158+$Q158)</f>
        <v/>
      </c>
      <c r="AJ158" s="33" t="str">
        <f aca="false">IF(COUNT($I158,$J158,$K158,$O158,$P158,$Q158,$R158,$N158)&lt;8,"",$I158+$J158+$K158+$O158+$P158+$Q158+$R158+$N158)</f>
        <v/>
      </c>
      <c r="AK158" s="34" t="str">
        <f aca="false">IF(OR($AI158="",$AG158=""),"",IF(IFERROR(INDEX(Cadastro!$F$8:$F$47,MATCH($B158,Cadastro!$B$8:$B$47,0)),"")="Feminino",1.097-0.00046971*$AI158+0.00000056*$AI158^2-0.00012828*$AG158,1.112-0.00043499*$AI158+0.00000055*$AI158^2-0.00028826*$AG158))</f>
        <v/>
      </c>
      <c r="AL158" s="30" t="str">
        <f aca="false">IF(OR($AK158="",$AK158=0),"",495/$AK158-450)</f>
        <v/>
      </c>
      <c r="AM158" s="35" t="str">
        <f aca="false">IF(OR($AL158="",$E158=""),"",$E158*$AL158/100)</f>
        <v/>
      </c>
      <c r="AN158" s="30" t="str">
        <f aca="false">IF(OR($AM158="",$E158=""),"",$E158-$AM158)</f>
        <v/>
      </c>
      <c r="AO158" s="35" t="str">
        <f aca="false">IFERROR($E158/($F158/100)^2,"")</f>
        <v/>
      </c>
      <c r="AP158" s="35" t="str">
        <f aca="false">IFERROR($G158/$F158*100,"")</f>
        <v/>
      </c>
      <c r="AQ158" s="36" t="str">
        <f aca="false">IFERROR($W158/$F158,"")</f>
        <v/>
      </c>
      <c r="AR158" s="35" t="str">
        <f aca="false">IF(OR($S158="",$I158=""),"",($S158-PI()*$I158/10)^2/(4*PI())-IF(IFERROR(INDEX(Cadastro!$F$8:$F$47,MATCH($B158,Cadastro!$B$8:$B$47,0)),"")="Feminino",6.5,10))</f>
        <v/>
      </c>
      <c r="AS158" s="35" t="str">
        <f aca="false">IF(OR($I158="",$J158="",$O158="",$F158=""),"",-0.7182+0.1451*(($I158+$J158+$O158)*(170.18/$F158))-0.00068*(($I158+$J158+$O158)*(170.18/$F158))^2+0.0000014*(($I158+$J158+$O158)*(170.18/$F158))^3)</f>
        <v/>
      </c>
      <c r="AT158" s="35" t="str">
        <f aca="false">IF(OR($AE158="",$AF158="",$T158="",$AA158="",$F158=""),"",0.858*$AE158+0.601*$AF158+0.188*($T158-$I158/10)+0.161*($AA158-$R158/10)-0.131*$F158+4.5)</f>
        <v/>
      </c>
      <c r="AU158" s="35" t="str">
        <f aca="false">IF(OR($E158="",$F158=""),"",IF($F158/$E158^(1/3)&gt;=40.75,0.732*($F158/$E158^(1/3))-28.58,IF($F158/$E158^(1/3)&gt;=38.25,0.463*($F158/$E158^(1/3))-17.63,0.1)))</f>
        <v/>
      </c>
      <c r="AV158" s="37" t="str">
        <f aca="false">IF(OR($AS158="",$AT158="",$AU158=""),"",IF(AND($AT158&gt;=$AS158,$AT158&gt;=$AU158),"Mesomorfo dominante",IF(AND($AU158&gt;=$AS158,$AU158&gt;=$AT158),"Ectomorfo dominante","Endomorfo dominante")))</f>
        <v/>
      </c>
    </row>
    <row r="159" customFormat="false" ht="15" hidden="false" customHeight="false" outlineLevel="0" collapsed="false">
      <c r="A159" s="29"/>
      <c r="B159" s="27"/>
      <c r="C159" s="28"/>
      <c r="D159" s="27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3" t="str">
        <f aca="false">IFERROR(DATEDIF(INDEX(Cadastro!$D$8:$D$47,MATCH($B159,Cadastro!$B$8:$B$47,0)),$A159,"Y"),"")</f>
        <v/>
      </c>
      <c r="AH159" s="33" t="str">
        <f aca="false">IF(COUNT($I159,$K159,$J159,$N159)&lt;4,"",$I159+$K159+$J159+$N159)</f>
        <v/>
      </c>
      <c r="AI159" s="33" t="str">
        <f aca="false">IF(COUNT($L159,$M159,$I159,$J159,$P159,$N159,$Q159)&lt;7,"",$L159+$M159+$I159+$J159+$P159+$N159+$Q159)</f>
        <v/>
      </c>
      <c r="AJ159" s="33" t="str">
        <f aca="false">IF(COUNT($I159,$J159,$K159,$O159,$P159,$Q159,$R159,$N159)&lt;8,"",$I159+$J159+$K159+$O159+$P159+$Q159+$R159+$N159)</f>
        <v/>
      </c>
      <c r="AK159" s="34" t="str">
        <f aca="false">IF(OR($AI159="",$AG159=""),"",IF(IFERROR(INDEX(Cadastro!$F$8:$F$47,MATCH($B159,Cadastro!$B$8:$B$47,0)),"")="Feminino",1.097-0.00046971*$AI159+0.00000056*$AI159^2-0.00012828*$AG159,1.112-0.00043499*$AI159+0.00000055*$AI159^2-0.00028826*$AG159))</f>
        <v/>
      </c>
      <c r="AL159" s="30" t="str">
        <f aca="false">IF(OR($AK159="",$AK159=0),"",495/$AK159-450)</f>
        <v/>
      </c>
      <c r="AM159" s="35" t="str">
        <f aca="false">IF(OR($AL159="",$E159=""),"",$E159*$AL159/100)</f>
        <v/>
      </c>
      <c r="AN159" s="30" t="str">
        <f aca="false">IF(OR($AM159="",$E159=""),"",$E159-$AM159)</f>
        <v/>
      </c>
      <c r="AO159" s="35" t="str">
        <f aca="false">IFERROR($E159/($F159/100)^2,"")</f>
        <v/>
      </c>
      <c r="AP159" s="35" t="str">
        <f aca="false">IFERROR($G159/$F159*100,"")</f>
        <v/>
      </c>
      <c r="AQ159" s="36" t="str">
        <f aca="false">IFERROR($W159/$F159,"")</f>
        <v/>
      </c>
      <c r="AR159" s="35" t="str">
        <f aca="false">IF(OR($S159="",$I159=""),"",($S159-PI()*$I159/10)^2/(4*PI())-IF(IFERROR(INDEX(Cadastro!$F$8:$F$47,MATCH($B159,Cadastro!$B$8:$B$47,0)),"")="Feminino",6.5,10))</f>
        <v/>
      </c>
      <c r="AS159" s="35" t="str">
        <f aca="false">IF(OR($I159="",$J159="",$O159="",$F159=""),"",-0.7182+0.1451*(($I159+$J159+$O159)*(170.18/$F159))-0.00068*(($I159+$J159+$O159)*(170.18/$F159))^2+0.0000014*(($I159+$J159+$O159)*(170.18/$F159))^3)</f>
        <v/>
      </c>
      <c r="AT159" s="35" t="str">
        <f aca="false">IF(OR($AE159="",$AF159="",$T159="",$AA159="",$F159=""),"",0.858*$AE159+0.601*$AF159+0.188*($T159-$I159/10)+0.161*($AA159-$R159/10)-0.131*$F159+4.5)</f>
        <v/>
      </c>
      <c r="AU159" s="35" t="str">
        <f aca="false">IF(OR($E159="",$F159=""),"",IF($F159/$E159^(1/3)&gt;=40.75,0.732*($F159/$E159^(1/3))-28.58,IF($F159/$E159^(1/3)&gt;=38.25,0.463*($F159/$E159^(1/3))-17.63,0.1)))</f>
        <v/>
      </c>
      <c r="AV159" s="37" t="str">
        <f aca="false">IF(OR($AS159="",$AT159="",$AU159=""),"",IF(AND($AT159&gt;=$AS159,$AT159&gt;=$AU159),"Mesomorfo dominante",IF(AND($AU159&gt;=$AS159,$AU159&gt;=$AT159),"Ectomorfo dominante","Endomorfo dominante")))</f>
        <v/>
      </c>
    </row>
    <row r="160" customFormat="false" ht="15" hidden="false" customHeight="false" outlineLevel="0" collapsed="false">
      <c r="A160" s="29"/>
      <c r="B160" s="27"/>
      <c r="C160" s="28"/>
      <c r="D160" s="27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3" t="str">
        <f aca="false">IFERROR(DATEDIF(INDEX(Cadastro!$D$8:$D$47,MATCH($B160,Cadastro!$B$8:$B$47,0)),$A160,"Y"),"")</f>
        <v/>
      </c>
      <c r="AH160" s="33" t="str">
        <f aca="false">IF(COUNT($I160,$K160,$J160,$N160)&lt;4,"",$I160+$K160+$J160+$N160)</f>
        <v/>
      </c>
      <c r="AI160" s="33" t="str">
        <f aca="false">IF(COUNT($L160,$M160,$I160,$J160,$P160,$N160,$Q160)&lt;7,"",$L160+$M160+$I160+$J160+$P160+$N160+$Q160)</f>
        <v/>
      </c>
      <c r="AJ160" s="33" t="str">
        <f aca="false">IF(COUNT($I160,$J160,$K160,$O160,$P160,$Q160,$R160,$N160)&lt;8,"",$I160+$J160+$K160+$O160+$P160+$Q160+$R160+$N160)</f>
        <v/>
      </c>
      <c r="AK160" s="34" t="str">
        <f aca="false">IF(OR($AI160="",$AG160=""),"",IF(IFERROR(INDEX(Cadastro!$F$8:$F$47,MATCH($B160,Cadastro!$B$8:$B$47,0)),"")="Feminino",1.097-0.00046971*$AI160+0.00000056*$AI160^2-0.00012828*$AG160,1.112-0.00043499*$AI160+0.00000055*$AI160^2-0.00028826*$AG160))</f>
        <v/>
      </c>
      <c r="AL160" s="30" t="str">
        <f aca="false">IF(OR($AK160="",$AK160=0),"",495/$AK160-450)</f>
        <v/>
      </c>
      <c r="AM160" s="35" t="str">
        <f aca="false">IF(OR($AL160="",$E160=""),"",$E160*$AL160/100)</f>
        <v/>
      </c>
      <c r="AN160" s="30" t="str">
        <f aca="false">IF(OR($AM160="",$E160=""),"",$E160-$AM160)</f>
        <v/>
      </c>
      <c r="AO160" s="35" t="str">
        <f aca="false">IFERROR($E160/($F160/100)^2,"")</f>
        <v/>
      </c>
      <c r="AP160" s="35" t="str">
        <f aca="false">IFERROR($G160/$F160*100,"")</f>
        <v/>
      </c>
      <c r="AQ160" s="36" t="str">
        <f aca="false">IFERROR($W160/$F160,"")</f>
        <v/>
      </c>
      <c r="AR160" s="35" t="str">
        <f aca="false">IF(OR($S160="",$I160=""),"",($S160-PI()*$I160/10)^2/(4*PI())-IF(IFERROR(INDEX(Cadastro!$F$8:$F$47,MATCH($B160,Cadastro!$B$8:$B$47,0)),"")="Feminino",6.5,10))</f>
        <v/>
      </c>
      <c r="AS160" s="35" t="str">
        <f aca="false">IF(OR($I160="",$J160="",$O160="",$F160=""),"",-0.7182+0.1451*(($I160+$J160+$O160)*(170.18/$F160))-0.00068*(($I160+$J160+$O160)*(170.18/$F160))^2+0.0000014*(($I160+$J160+$O160)*(170.18/$F160))^3)</f>
        <v/>
      </c>
      <c r="AT160" s="35" t="str">
        <f aca="false">IF(OR($AE160="",$AF160="",$T160="",$AA160="",$F160=""),"",0.858*$AE160+0.601*$AF160+0.188*($T160-$I160/10)+0.161*($AA160-$R160/10)-0.131*$F160+4.5)</f>
        <v/>
      </c>
      <c r="AU160" s="35" t="str">
        <f aca="false">IF(OR($E160="",$F160=""),"",IF($F160/$E160^(1/3)&gt;=40.75,0.732*($F160/$E160^(1/3))-28.58,IF($F160/$E160^(1/3)&gt;=38.25,0.463*($F160/$E160^(1/3))-17.63,0.1)))</f>
        <v/>
      </c>
      <c r="AV160" s="37" t="str">
        <f aca="false">IF(OR($AS160="",$AT160="",$AU160=""),"",IF(AND($AT160&gt;=$AS160,$AT160&gt;=$AU160),"Mesomorfo dominante",IF(AND($AU160&gt;=$AS160,$AU160&gt;=$AT160),"Ectomorfo dominante","Endomorfo dominante")))</f>
        <v/>
      </c>
    </row>
    <row r="161" customFormat="false" ht="15" hidden="false" customHeight="false" outlineLevel="0" collapsed="false">
      <c r="A161" s="29"/>
      <c r="B161" s="27"/>
      <c r="C161" s="28"/>
      <c r="D161" s="27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3" t="str">
        <f aca="false">IFERROR(DATEDIF(INDEX(Cadastro!$D$8:$D$47,MATCH($B161,Cadastro!$B$8:$B$47,0)),$A161,"Y"),"")</f>
        <v/>
      </c>
      <c r="AH161" s="33" t="str">
        <f aca="false">IF(COUNT($I161,$K161,$J161,$N161)&lt;4,"",$I161+$K161+$J161+$N161)</f>
        <v/>
      </c>
      <c r="AI161" s="33" t="str">
        <f aca="false">IF(COUNT($L161,$M161,$I161,$J161,$P161,$N161,$Q161)&lt;7,"",$L161+$M161+$I161+$J161+$P161+$N161+$Q161)</f>
        <v/>
      </c>
      <c r="AJ161" s="33" t="str">
        <f aca="false">IF(COUNT($I161,$J161,$K161,$O161,$P161,$Q161,$R161,$N161)&lt;8,"",$I161+$J161+$K161+$O161+$P161+$Q161+$R161+$N161)</f>
        <v/>
      </c>
      <c r="AK161" s="34" t="str">
        <f aca="false">IF(OR($AI161="",$AG161=""),"",IF(IFERROR(INDEX(Cadastro!$F$8:$F$47,MATCH($B161,Cadastro!$B$8:$B$47,0)),"")="Feminino",1.097-0.00046971*$AI161+0.00000056*$AI161^2-0.00012828*$AG161,1.112-0.00043499*$AI161+0.00000055*$AI161^2-0.00028826*$AG161))</f>
        <v/>
      </c>
      <c r="AL161" s="30" t="str">
        <f aca="false">IF(OR($AK161="",$AK161=0),"",495/$AK161-450)</f>
        <v/>
      </c>
      <c r="AM161" s="35" t="str">
        <f aca="false">IF(OR($AL161="",$E161=""),"",$E161*$AL161/100)</f>
        <v/>
      </c>
      <c r="AN161" s="30" t="str">
        <f aca="false">IF(OR($AM161="",$E161=""),"",$E161-$AM161)</f>
        <v/>
      </c>
      <c r="AO161" s="35" t="str">
        <f aca="false">IFERROR($E161/($F161/100)^2,"")</f>
        <v/>
      </c>
      <c r="AP161" s="35" t="str">
        <f aca="false">IFERROR($G161/$F161*100,"")</f>
        <v/>
      </c>
      <c r="AQ161" s="36" t="str">
        <f aca="false">IFERROR($W161/$F161,"")</f>
        <v/>
      </c>
      <c r="AR161" s="35" t="str">
        <f aca="false">IF(OR($S161="",$I161=""),"",($S161-PI()*$I161/10)^2/(4*PI())-IF(IFERROR(INDEX(Cadastro!$F$8:$F$47,MATCH($B161,Cadastro!$B$8:$B$47,0)),"")="Feminino",6.5,10))</f>
        <v/>
      </c>
      <c r="AS161" s="35" t="str">
        <f aca="false">IF(OR($I161="",$J161="",$O161="",$F161=""),"",-0.7182+0.1451*(($I161+$J161+$O161)*(170.18/$F161))-0.00068*(($I161+$J161+$O161)*(170.18/$F161))^2+0.0000014*(($I161+$J161+$O161)*(170.18/$F161))^3)</f>
        <v/>
      </c>
      <c r="AT161" s="35" t="str">
        <f aca="false">IF(OR($AE161="",$AF161="",$T161="",$AA161="",$F161=""),"",0.858*$AE161+0.601*$AF161+0.188*($T161-$I161/10)+0.161*($AA161-$R161/10)-0.131*$F161+4.5)</f>
        <v/>
      </c>
      <c r="AU161" s="35" t="str">
        <f aca="false">IF(OR($E161="",$F161=""),"",IF($F161/$E161^(1/3)&gt;=40.75,0.732*($F161/$E161^(1/3))-28.58,IF($F161/$E161^(1/3)&gt;=38.25,0.463*($F161/$E161^(1/3))-17.63,0.1)))</f>
        <v/>
      </c>
      <c r="AV161" s="37" t="str">
        <f aca="false">IF(OR($AS161="",$AT161="",$AU161=""),"",IF(AND($AT161&gt;=$AS161,$AT161&gt;=$AU161),"Mesomorfo dominante",IF(AND($AU161&gt;=$AS161,$AU161&gt;=$AT161),"Ectomorfo dominante","Endomorfo dominante")))</f>
        <v/>
      </c>
    </row>
    <row r="162" customFormat="false" ht="15" hidden="false" customHeight="false" outlineLevel="0" collapsed="false">
      <c r="A162" s="29"/>
      <c r="B162" s="27"/>
      <c r="C162" s="28"/>
      <c r="D162" s="27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3" t="str">
        <f aca="false">IFERROR(DATEDIF(INDEX(Cadastro!$D$8:$D$47,MATCH($B162,Cadastro!$B$8:$B$47,0)),$A162,"Y"),"")</f>
        <v/>
      </c>
      <c r="AH162" s="33" t="str">
        <f aca="false">IF(COUNT($I162,$K162,$J162,$N162)&lt;4,"",$I162+$K162+$J162+$N162)</f>
        <v/>
      </c>
      <c r="AI162" s="33" t="str">
        <f aca="false">IF(COUNT($L162,$M162,$I162,$J162,$P162,$N162,$Q162)&lt;7,"",$L162+$M162+$I162+$J162+$P162+$N162+$Q162)</f>
        <v/>
      </c>
      <c r="AJ162" s="33" t="str">
        <f aca="false">IF(COUNT($I162,$J162,$K162,$O162,$P162,$Q162,$R162,$N162)&lt;8,"",$I162+$J162+$K162+$O162+$P162+$Q162+$R162+$N162)</f>
        <v/>
      </c>
      <c r="AK162" s="34" t="str">
        <f aca="false">IF(OR($AI162="",$AG162=""),"",IF(IFERROR(INDEX(Cadastro!$F$8:$F$47,MATCH($B162,Cadastro!$B$8:$B$47,0)),"")="Feminino",1.097-0.00046971*$AI162+0.00000056*$AI162^2-0.00012828*$AG162,1.112-0.00043499*$AI162+0.00000055*$AI162^2-0.00028826*$AG162))</f>
        <v/>
      </c>
      <c r="AL162" s="30" t="str">
        <f aca="false">IF(OR($AK162="",$AK162=0),"",495/$AK162-450)</f>
        <v/>
      </c>
      <c r="AM162" s="35" t="str">
        <f aca="false">IF(OR($AL162="",$E162=""),"",$E162*$AL162/100)</f>
        <v/>
      </c>
      <c r="AN162" s="30" t="str">
        <f aca="false">IF(OR($AM162="",$E162=""),"",$E162-$AM162)</f>
        <v/>
      </c>
      <c r="AO162" s="35" t="str">
        <f aca="false">IFERROR($E162/($F162/100)^2,"")</f>
        <v/>
      </c>
      <c r="AP162" s="35" t="str">
        <f aca="false">IFERROR($G162/$F162*100,"")</f>
        <v/>
      </c>
      <c r="AQ162" s="36" t="str">
        <f aca="false">IFERROR($W162/$F162,"")</f>
        <v/>
      </c>
      <c r="AR162" s="35" t="str">
        <f aca="false">IF(OR($S162="",$I162=""),"",($S162-PI()*$I162/10)^2/(4*PI())-IF(IFERROR(INDEX(Cadastro!$F$8:$F$47,MATCH($B162,Cadastro!$B$8:$B$47,0)),"")="Feminino",6.5,10))</f>
        <v/>
      </c>
      <c r="AS162" s="35" t="str">
        <f aca="false">IF(OR($I162="",$J162="",$O162="",$F162=""),"",-0.7182+0.1451*(($I162+$J162+$O162)*(170.18/$F162))-0.00068*(($I162+$J162+$O162)*(170.18/$F162))^2+0.0000014*(($I162+$J162+$O162)*(170.18/$F162))^3)</f>
        <v/>
      </c>
      <c r="AT162" s="35" t="str">
        <f aca="false">IF(OR($AE162="",$AF162="",$T162="",$AA162="",$F162=""),"",0.858*$AE162+0.601*$AF162+0.188*($T162-$I162/10)+0.161*($AA162-$R162/10)-0.131*$F162+4.5)</f>
        <v/>
      </c>
      <c r="AU162" s="35" t="str">
        <f aca="false">IF(OR($E162="",$F162=""),"",IF($F162/$E162^(1/3)&gt;=40.75,0.732*($F162/$E162^(1/3))-28.58,IF($F162/$E162^(1/3)&gt;=38.25,0.463*($F162/$E162^(1/3))-17.63,0.1)))</f>
        <v/>
      </c>
      <c r="AV162" s="37" t="str">
        <f aca="false">IF(OR($AS162="",$AT162="",$AU162=""),"",IF(AND($AT162&gt;=$AS162,$AT162&gt;=$AU162),"Mesomorfo dominante",IF(AND($AU162&gt;=$AS162,$AU162&gt;=$AT162),"Ectomorfo dominante","Endomorfo dominante")))</f>
        <v/>
      </c>
    </row>
    <row r="163" customFormat="false" ht="15" hidden="false" customHeight="false" outlineLevel="0" collapsed="false">
      <c r="A163" s="29"/>
      <c r="B163" s="27"/>
      <c r="C163" s="28"/>
      <c r="D163" s="27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3" t="str">
        <f aca="false">IFERROR(DATEDIF(INDEX(Cadastro!$D$8:$D$47,MATCH($B163,Cadastro!$B$8:$B$47,0)),$A163,"Y"),"")</f>
        <v/>
      </c>
      <c r="AH163" s="33" t="str">
        <f aca="false">IF(COUNT($I163,$K163,$J163,$N163)&lt;4,"",$I163+$K163+$J163+$N163)</f>
        <v/>
      </c>
      <c r="AI163" s="33" t="str">
        <f aca="false">IF(COUNT($L163,$M163,$I163,$J163,$P163,$N163,$Q163)&lt;7,"",$L163+$M163+$I163+$J163+$P163+$N163+$Q163)</f>
        <v/>
      </c>
      <c r="AJ163" s="33" t="str">
        <f aca="false">IF(COUNT($I163,$J163,$K163,$O163,$P163,$Q163,$R163,$N163)&lt;8,"",$I163+$J163+$K163+$O163+$P163+$Q163+$R163+$N163)</f>
        <v/>
      </c>
      <c r="AK163" s="34" t="str">
        <f aca="false">IF(OR($AI163="",$AG163=""),"",IF(IFERROR(INDEX(Cadastro!$F$8:$F$47,MATCH($B163,Cadastro!$B$8:$B$47,0)),"")="Feminino",1.097-0.00046971*$AI163+0.00000056*$AI163^2-0.00012828*$AG163,1.112-0.00043499*$AI163+0.00000055*$AI163^2-0.00028826*$AG163))</f>
        <v/>
      </c>
      <c r="AL163" s="30" t="str">
        <f aca="false">IF(OR($AK163="",$AK163=0),"",495/$AK163-450)</f>
        <v/>
      </c>
      <c r="AM163" s="35" t="str">
        <f aca="false">IF(OR($AL163="",$E163=""),"",$E163*$AL163/100)</f>
        <v/>
      </c>
      <c r="AN163" s="30" t="str">
        <f aca="false">IF(OR($AM163="",$E163=""),"",$E163-$AM163)</f>
        <v/>
      </c>
      <c r="AO163" s="35" t="str">
        <f aca="false">IFERROR($E163/($F163/100)^2,"")</f>
        <v/>
      </c>
      <c r="AP163" s="35" t="str">
        <f aca="false">IFERROR($G163/$F163*100,"")</f>
        <v/>
      </c>
      <c r="AQ163" s="36" t="str">
        <f aca="false">IFERROR($W163/$F163,"")</f>
        <v/>
      </c>
      <c r="AR163" s="35" t="str">
        <f aca="false">IF(OR($S163="",$I163=""),"",($S163-PI()*$I163/10)^2/(4*PI())-IF(IFERROR(INDEX(Cadastro!$F$8:$F$47,MATCH($B163,Cadastro!$B$8:$B$47,0)),"")="Feminino",6.5,10))</f>
        <v/>
      </c>
      <c r="AS163" s="35" t="str">
        <f aca="false">IF(OR($I163="",$J163="",$O163="",$F163=""),"",-0.7182+0.1451*(($I163+$J163+$O163)*(170.18/$F163))-0.00068*(($I163+$J163+$O163)*(170.18/$F163))^2+0.0000014*(($I163+$J163+$O163)*(170.18/$F163))^3)</f>
        <v/>
      </c>
      <c r="AT163" s="35" t="str">
        <f aca="false">IF(OR($AE163="",$AF163="",$T163="",$AA163="",$F163=""),"",0.858*$AE163+0.601*$AF163+0.188*($T163-$I163/10)+0.161*($AA163-$R163/10)-0.131*$F163+4.5)</f>
        <v/>
      </c>
      <c r="AU163" s="35" t="str">
        <f aca="false">IF(OR($E163="",$F163=""),"",IF($F163/$E163^(1/3)&gt;=40.75,0.732*($F163/$E163^(1/3))-28.58,IF($F163/$E163^(1/3)&gt;=38.25,0.463*($F163/$E163^(1/3))-17.63,0.1)))</f>
        <v/>
      </c>
      <c r="AV163" s="37" t="str">
        <f aca="false">IF(OR($AS163="",$AT163="",$AU163=""),"",IF(AND($AT163&gt;=$AS163,$AT163&gt;=$AU163),"Mesomorfo dominante",IF(AND($AU163&gt;=$AS163,$AU163&gt;=$AT163),"Ectomorfo dominante","Endomorfo dominante")))</f>
        <v/>
      </c>
    </row>
    <row r="164" customFormat="false" ht="15" hidden="false" customHeight="false" outlineLevel="0" collapsed="false">
      <c r="A164" s="29"/>
      <c r="B164" s="27"/>
      <c r="C164" s="28"/>
      <c r="D164" s="27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3" t="str">
        <f aca="false">IFERROR(DATEDIF(INDEX(Cadastro!$D$8:$D$47,MATCH($B164,Cadastro!$B$8:$B$47,0)),$A164,"Y"),"")</f>
        <v/>
      </c>
      <c r="AH164" s="33" t="str">
        <f aca="false">IF(COUNT($I164,$K164,$J164,$N164)&lt;4,"",$I164+$K164+$J164+$N164)</f>
        <v/>
      </c>
      <c r="AI164" s="33" t="str">
        <f aca="false">IF(COUNT($L164,$M164,$I164,$J164,$P164,$N164,$Q164)&lt;7,"",$L164+$M164+$I164+$J164+$P164+$N164+$Q164)</f>
        <v/>
      </c>
      <c r="AJ164" s="33" t="str">
        <f aca="false">IF(COUNT($I164,$J164,$K164,$O164,$P164,$Q164,$R164,$N164)&lt;8,"",$I164+$J164+$K164+$O164+$P164+$Q164+$R164+$N164)</f>
        <v/>
      </c>
      <c r="AK164" s="34" t="str">
        <f aca="false">IF(OR($AI164="",$AG164=""),"",IF(IFERROR(INDEX(Cadastro!$F$8:$F$47,MATCH($B164,Cadastro!$B$8:$B$47,0)),"")="Feminino",1.097-0.00046971*$AI164+0.00000056*$AI164^2-0.00012828*$AG164,1.112-0.00043499*$AI164+0.00000055*$AI164^2-0.00028826*$AG164))</f>
        <v/>
      </c>
      <c r="AL164" s="30" t="str">
        <f aca="false">IF(OR($AK164="",$AK164=0),"",495/$AK164-450)</f>
        <v/>
      </c>
      <c r="AM164" s="35" t="str">
        <f aca="false">IF(OR($AL164="",$E164=""),"",$E164*$AL164/100)</f>
        <v/>
      </c>
      <c r="AN164" s="30" t="str">
        <f aca="false">IF(OR($AM164="",$E164=""),"",$E164-$AM164)</f>
        <v/>
      </c>
      <c r="AO164" s="35" t="str">
        <f aca="false">IFERROR($E164/($F164/100)^2,"")</f>
        <v/>
      </c>
      <c r="AP164" s="35" t="str">
        <f aca="false">IFERROR($G164/$F164*100,"")</f>
        <v/>
      </c>
      <c r="AQ164" s="36" t="str">
        <f aca="false">IFERROR($W164/$F164,"")</f>
        <v/>
      </c>
      <c r="AR164" s="35" t="str">
        <f aca="false">IF(OR($S164="",$I164=""),"",($S164-PI()*$I164/10)^2/(4*PI())-IF(IFERROR(INDEX(Cadastro!$F$8:$F$47,MATCH($B164,Cadastro!$B$8:$B$47,0)),"")="Feminino",6.5,10))</f>
        <v/>
      </c>
      <c r="AS164" s="35" t="str">
        <f aca="false">IF(OR($I164="",$J164="",$O164="",$F164=""),"",-0.7182+0.1451*(($I164+$J164+$O164)*(170.18/$F164))-0.00068*(($I164+$J164+$O164)*(170.18/$F164))^2+0.0000014*(($I164+$J164+$O164)*(170.18/$F164))^3)</f>
        <v/>
      </c>
      <c r="AT164" s="35" t="str">
        <f aca="false">IF(OR($AE164="",$AF164="",$T164="",$AA164="",$F164=""),"",0.858*$AE164+0.601*$AF164+0.188*($T164-$I164/10)+0.161*($AA164-$R164/10)-0.131*$F164+4.5)</f>
        <v/>
      </c>
      <c r="AU164" s="35" t="str">
        <f aca="false">IF(OR($E164="",$F164=""),"",IF($F164/$E164^(1/3)&gt;=40.75,0.732*($F164/$E164^(1/3))-28.58,IF($F164/$E164^(1/3)&gt;=38.25,0.463*($F164/$E164^(1/3))-17.63,0.1)))</f>
        <v/>
      </c>
      <c r="AV164" s="37" t="str">
        <f aca="false">IF(OR($AS164="",$AT164="",$AU164=""),"",IF(AND($AT164&gt;=$AS164,$AT164&gt;=$AU164),"Mesomorfo dominante",IF(AND($AU164&gt;=$AS164,$AU164&gt;=$AT164),"Ectomorfo dominante","Endomorfo dominante")))</f>
        <v/>
      </c>
    </row>
    <row r="165" customFormat="false" ht="15" hidden="false" customHeight="false" outlineLevel="0" collapsed="false">
      <c r="A165" s="29"/>
      <c r="B165" s="27"/>
      <c r="C165" s="28"/>
      <c r="D165" s="27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3" t="str">
        <f aca="false">IFERROR(DATEDIF(INDEX(Cadastro!$D$8:$D$47,MATCH($B165,Cadastro!$B$8:$B$47,0)),$A165,"Y"),"")</f>
        <v/>
      </c>
      <c r="AH165" s="33" t="str">
        <f aca="false">IF(COUNT($I165,$K165,$J165,$N165)&lt;4,"",$I165+$K165+$J165+$N165)</f>
        <v/>
      </c>
      <c r="AI165" s="33" t="str">
        <f aca="false">IF(COUNT($L165,$M165,$I165,$J165,$P165,$N165,$Q165)&lt;7,"",$L165+$M165+$I165+$J165+$P165+$N165+$Q165)</f>
        <v/>
      </c>
      <c r="AJ165" s="33" t="str">
        <f aca="false">IF(COUNT($I165,$J165,$K165,$O165,$P165,$Q165,$R165,$N165)&lt;8,"",$I165+$J165+$K165+$O165+$P165+$Q165+$R165+$N165)</f>
        <v/>
      </c>
      <c r="AK165" s="34" t="str">
        <f aca="false">IF(OR($AI165="",$AG165=""),"",IF(IFERROR(INDEX(Cadastro!$F$8:$F$47,MATCH($B165,Cadastro!$B$8:$B$47,0)),"")="Feminino",1.097-0.00046971*$AI165+0.00000056*$AI165^2-0.00012828*$AG165,1.112-0.00043499*$AI165+0.00000055*$AI165^2-0.00028826*$AG165))</f>
        <v/>
      </c>
      <c r="AL165" s="30" t="str">
        <f aca="false">IF(OR($AK165="",$AK165=0),"",495/$AK165-450)</f>
        <v/>
      </c>
      <c r="AM165" s="35" t="str">
        <f aca="false">IF(OR($AL165="",$E165=""),"",$E165*$AL165/100)</f>
        <v/>
      </c>
      <c r="AN165" s="30" t="str">
        <f aca="false">IF(OR($AM165="",$E165=""),"",$E165-$AM165)</f>
        <v/>
      </c>
      <c r="AO165" s="35" t="str">
        <f aca="false">IFERROR($E165/($F165/100)^2,"")</f>
        <v/>
      </c>
      <c r="AP165" s="35" t="str">
        <f aca="false">IFERROR($G165/$F165*100,"")</f>
        <v/>
      </c>
      <c r="AQ165" s="36" t="str">
        <f aca="false">IFERROR($W165/$F165,"")</f>
        <v/>
      </c>
      <c r="AR165" s="35" t="str">
        <f aca="false">IF(OR($S165="",$I165=""),"",($S165-PI()*$I165/10)^2/(4*PI())-IF(IFERROR(INDEX(Cadastro!$F$8:$F$47,MATCH($B165,Cadastro!$B$8:$B$47,0)),"")="Feminino",6.5,10))</f>
        <v/>
      </c>
      <c r="AS165" s="35" t="str">
        <f aca="false">IF(OR($I165="",$J165="",$O165="",$F165=""),"",-0.7182+0.1451*(($I165+$J165+$O165)*(170.18/$F165))-0.00068*(($I165+$J165+$O165)*(170.18/$F165))^2+0.0000014*(($I165+$J165+$O165)*(170.18/$F165))^3)</f>
        <v/>
      </c>
      <c r="AT165" s="35" t="str">
        <f aca="false">IF(OR($AE165="",$AF165="",$T165="",$AA165="",$F165=""),"",0.858*$AE165+0.601*$AF165+0.188*($T165-$I165/10)+0.161*($AA165-$R165/10)-0.131*$F165+4.5)</f>
        <v/>
      </c>
      <c r="AU165" s="35" t="str">
        <f aca="false">IF(OR($E165="",$F165=""),"",IF($F165/$E165^(1/3)&gt;=40.75,0.732*($F165/$E165^(1/3))-28.58,IF($F165/$E165^(1/3)&gt;=38.25,0.463*($F165/$E165^(1/3))-17.63,0.1)))</f>
        <v/>
      </c>
      <c r="AV165" s="37" t="str">
        <f aca="false">IF(OR($AS165="",$AT165="",$AU165=""),"",IF(AND($AT165&gt;=$AS165,$AT165&gt;=$AU165),"Mesomorfo dominante",IF(AND($AU165&gt;=$AS165,$AU165&gt;=$AT165),"Ectomorfo dominante","Endomorfo dominante")))</f>
        <v/>
      </c>
    </row>
    <row r="166" customFormat="false" ht="15" hidden="false" customHeight="false" outlineLevel="0" collapsed="false">
      <c r="A166" s="29"/>
      <c r="B166" s="27"/>
      <c r="C166" s="28"/>
      <c r="D166" s="27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3" t="str">
        <f aca="false">IFERROR(DATEDIF(INDEX(Cadastro!$D$8:$D$47,MATCH($B166,Cadastro!$B$8:$B$47,0)),$A166,"Y"),"")</f>
        <v/>
      </c>
      <c r="AH166" s="33" t="str">
        <f aca="false">IF(COUNT($I166,$K166,$J166,$N166)&lt;4,"",$I166+$K166+$J166+$N166)</f>
        <v/>
      </c>
      <c r="AI166" s="33" t="str">
        <f aca="false">IF(COUNT($L166,$M166,$I166,$J166,$P166,$N166,$Q166)&lt;7,"",$L166+$M166+$I166+$J166+$P166+$N166+$Q166)</f>
        <v/>
      </c>
      <c r="AJ166" s="33" t="str">
        <f aca="false">IF(COUNT($I166,$J166,$K166,$O166,$P166,$Q166,$R166,$N166)&lt;8,"",$I166+$J166+$K166+$O166+$P166+$Q166+$R166+$N166)</f>
        <v/>
      </c>
      <c r="AK166" s="34" t="str">
        <f aca="false">IF(OR($AI166="",$AG166=""),"",IF(IFERROR(INDEX(Cadastro!$F$8:$F$47,MATCH($B166,Cadastro!$B$8:$B$47,0)),"")="Feminino",1.097-0.00046971*$AI166+0.00000056*$AI166^2-0.00012828*$AG166,1.112-0.00043499*$AI166+0.00000055*$AI166^2-0.00028826*$AG166))</f>
        <v/>
      </c>
      <c r="AL166" s="30" t="str">
        <f aca="false">IF(OR($AK166="",$AK166=0),"",495/$AK166-450)</f>
        <v/>
      </c>
      <c r="AM166" s="35" t="str">
        <f aca="false">IF(OR($AL166="",$E166=""),"",$E166*$AL166/100)</f>
        <v/>
      </c>
      <c r="AN166" s="30" t="str">
        <f aca="false">IF(OR($AM166="",$E166=""),"",$E166-$AM166)</f>
        <v/>
      </c>
      <c r="AO166" s="35" t="str">
        <f aca="false">IFERROR($E166/($F166/100)^2,"")</f>
        <v/>
      </c>
      <c r="AP166" s="35" t="str">
        <f aca="false">IFERROR($G166/$F166*100,"")</f>
        <v/>
      </c>
      <c r="AQ166" s="36" t="str">
        <f aca="false">IFERROR($W166/$F166,"")</f>
        <v/>
      </c>
      <c r="AR166" s="35" t="str">
        <f aca="false">IF(OR($S166="",$I166=""),"",($S166-PI()*$I166/10)^2/(4*PI())-IF(IFERROR(INDEX(Cadastro!$F$8:$F$47,MATCH($B166,Cadastro!$B$8:$B$47,0)),"")="Feminino",6.5,10))</f>
        <v/>
      </c>
      <c r="AS166" s="35" t="str">
        <f aca="false">IF(OR($I166="",$J166="",$O166="",$F166=""),"",-0.7182+0.1451*(($I166+$J166+$O166)*(170.18/$F166))-0.00068*(($I166+$J166+$O166)*(170.18/$F166))^2+0.0000014*(($I166+$J166+$O166)*(170.18/$F166))^3)</f>
        <v/>
      </c>
      <c r="AT166" s="35" t="str">
        <f aca="false">IF(OR($AE166="",$AF166="",$T166="",$AA166="",$F166=""),"",0.858*$AE166+0.601*$AF166+0.188*($T166-$I166/10)+0.161*($AA166-$R166/10)-0.131*$F166+4.5)</f>
        <v/>
      </c>
      <c r="AU166" s="35" t="str">
        <f aca="false">IF(OR($E166="",$F166=""),"",IF($F166/$E166^(1/3)&gt;=40.75,0.732*($F166/$E166^(1/3))-28.58,IF($F166/$E166^(1/3)&gt;=38.25,0.463*($F166/$E166^(1/3))-17.63,0.1)))</f>
        <v/>
      </c>
      <c r="AV166" s="37" t="str">
        <f aca="false">IF(OR($AS166="",$AT166="",$AU166=""),"",IF(AND($AT166&gt;=$AS166,$AT166&gt;=$AU166),"Mesomorfo dominante",IF(AND($AU166&gt;=$AS166,$AU166&gt;=$AT166),"Ectomorfo dominante","Endomorfo dominante")))</f>
        <v/>
      </c>
    </row>
    <row r="167" customFormat="false" ht="15" hidden="false" customHeight="false" outlineLevel="0" collapsed="false">
      <c r="A167" s="29"/>
      <c r="B167" s="27"/>
      <c r="C167" s="28"/>
      <c r="D167" s="27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3" t="str">
        <f aca="false">IFERROR(DATEDIF(INDEX(Cadastro!$D$8:$D$47,MATCH($B167,Cadastro!$B$8:$B$47,0)),$A167,"Y"),"")</f>
        <v/>
      </c>
      <c r="AH167" s="33" t="str">
        <f aca="false">IF(COUNT($I167,$K167,$J167,$N167)&lt;4,"",$I167+$K167+$J167+$N167)</f>
        <v/>
      </c>
      <c r="AI167" s="33" t="str">
        <f aca="false">IF(COUNT($L167,$M167,$I167,$J167,$P167,$N167,$Q167)&lt;7,"",$L167+$M167+$I167+$J167+$P167+$N167+$Q167)</f>
        <v/>
      </c>
      <c r="AJ167" s="33" t="str">
        <f aca="false">IF(COUNT($I167,$J167,$K167,$O167,$P167,$Q167,$R167,$N167)&lt;8,"",$I167+$J167+$K167+$O167+$P167+$Q167+$R167+$N167)</f>
        <v/>
      </c>
      <c r="AK167" s="34" t="str">
        <f aca="false">IF(OR($AI167="",$AG167=""),"",IF(IFERROR(INDEX(Cadastro!$F$8:$F$47,MATCH($B167,Cadastro!$B$8:$B$47,0)),"")="Feminino",1.097-0.00046971*$AI167+0.00000056*$AI167^2-0.00012828*$AG167,1.112-0.00043499*$AI167+0.00000055*$AI167^2-0.00028826*$AG167))</f>
        <v/>
      </c>
      <c r="AL167" s="30" t="str">
        <f aca="false">IF(OR($AK167="",$AK167=0),"",495/$AK167-450)</f>
        <v/>
      </c>
      <c r="AM167" s="35" t="str">
        <f aca="false">IF(OR($AL167="",$E167=""),"",$E167*$AL167/100)</f>
        <v/>
      </c>
      <c r="AN167" s="30" t="str">
        <f aca="false">IF(OR($AM167="",$E167=""),"",$E167-$AM167)</f>
        <v/>
      </c>
      <c r="AO167" s="35" t="str">
        <f aca="false">IFERROR($E167/($F167/100)^2,"")</f>
        <v/>
      </c>
      <c r="AP167" s="35" t="str">
        <f aca="false">IFERROR($G167/$F167*100,"")</f>
        <v/>
      </c>
      <c r="AQ167" s="36" t="str">
        <f aca="false">IFERROR($W167/$F167,"")</f>
        <v/>
      </c>
      <c r="AR167" s="35" t="str">
        <f aca="false">IF(OR($S167="",$I167=""),"",($S167-PI()*$I167/10)^2/(4*PI())-IF(IFERROR(INDEX(Cadastro!$F$8:$F$47,MATCH($B167,Cadastro!$B$8:$B$47,0)),"")="Feminino",6.5,10))</f>
        <v/>
      </c>
      <c r="AS167" s="35" t="str">
        <f aca="false">IF(OR($I167="",$J167="",$O167="",$F167=""),"",-0.7182+0.1451*(($I167+$J167+$O167)*(170.18/$F167))-0.00068*(($I167+$J167+$O167)*(170.18/$F167))^2+0.0000014*(($I167+$J167+$O167)*(170.18/$F167))^3)</f>
        <v/>
      </c>
      <c r="AT167" s="35" t="str">
        <f aca="false">IF(OR($AE167="",$AF167="",$T167="",$AA167="",$F167=""),"",0.858*$AE167+0.601*$AF167+0.188*($T167-$I167/10)+0.161*($AA167-$R167/10)-0.131*$F167+4.5)</f>
        <v/>
      </c>
      <c r="AU167" s="35" t="str">
        <f aca="false">IF(OR($E167="",$F167=""),"",IF($F167/$E167^(1/3)&gt;=40.75,0.732*($F167/$E167^(1/3))-28.58,IF($F167/$E167^(1/3)&gt;=38.25,0.463*($F167/$E167^(1/3))-17.63,0.1)))</f>
        <v/>
      </c>
      <c r="AV167" s="37" t="str">
        <f aca="false">IF(OR($AS167="",$AT167="",$AU167=""),"",IF(AND($AT167&gt;=$AS167,$AT167&gt;=$AU167),"Mesomorfo dominante",IF(AND($AU167&gt;=$AS167,$AU167&gt;=$AT167),"Ectomorfo dominante","Endomorfo dominante")))</f>
        <v/>
      </c>
    </row>
    <row r="168" customFormat="false" ht="15" hidden="false" customHeight="false" outlineLevel="0" collapsed="false">
      <c r="A168" s="29"/>
      <c r="B168" s="27"/>
      <c r="C168" s="28"/>
      <c r="D168" s="27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3" t="str">
        <f aca="false">IFERROR(DATEDIF(INDEX(Cadastro!$D$8:$D$47,MATCH($B168,Cadastro!$B$8:$B$47,0)),$A168,"Y"),"")</f>
        <v/>
      </c>
      <c r="AH168" s="33" t="str">
        <f aca="false">IF(COUNT($I168,$K168,$J168,$N168)&lt;4,"",$I168+$K168+$J168+$N168)</f>
        <v/>
      </c>
      <c r="AI168" s="33" t="str">
        <f aca="false">IF(COUNT($L168,$M168,$I168,$J168,$P168,$N168,$Q168)&lt;7,"",$L168+$M168+$I168+$J168+$P168+$N168+$Q168)</f>
        <v/>
      </c>
      <c r="AJ168" s="33" t="str">
        <f aca="false">IF(COUNT($I168,$J168,$K168,$O168,$P168,$Q168,$R168,$N168)&lt;8,"",$I168+$J168+$K168+$O168+$P168+$Q168+$R168+$N168)</f>
        <v/>
      </c>
      <c r="AK168" s="34" t="str">
        <f aca="false">IF(OR($AI168="",$AG168=""),"",IF(IFERROR(INDEX(Cadastro!$F$8:$F$47,MATCH($B168,Cadastro!$B$8:$B$47,0)),"")="Feminino",1.097-0.00046971*$AI168+0.00000056*$AI168^2-0.00012828*$AG168,1.112-0.00043499*$AI168+0.00000055*$AI168^2-0.00028826*$AG168))</f>
        <v/>
      </c>
      <c r="AL168" s="30" t="str">
        <f aca="false">IF(OR($AK168="",$AK168=0),"",495/$AK168-450)</f>
        <v/>
      </c>
      <c r="AM168" s="35" t="str">
        <f aca="false">IF(OR($AL168="",$E168=""),"",$E168*$AL168/100)</f>
        <v/>
      </c>
      <c r="AN168" s="30" t="str">
        <f aca="false">IF(OR($AM168="",$E168=""),"",$E168-$AM168)</f>
        <v/>
      </c>
      <c r="AO168" s="35" t="str">
        <f aca="false">IFERROR($E168/($F168/100)^2,"")</f>
        <v/>
      </c>
      <c r="AP168" s="35" t="str">
        <f aca="false">IFERROR($G168/$F168*100,"")</f>
        <v/>
      </c>
      <c r="AQ168" s="36" t="str">
        <f aca="false">IFERROR($W168/$F168,"")</f>
        <v/>
      </c>
      <c r="AR168" s="35" t="str">
        <f aca="false">IF(OR($S168="",$I168=""),"",($S168-PI()*$I168/10)^2/(4*PI())-IF(IFERROR(INDEX(Cadastro!$F$8:$F$47,MATCH($B168,Cadastro!$B$8:$B$47,0)),"")="Feminino",6.5,10))</f>
        <v/>
      </c>
      <c r="AS168" s="35" t="str">
        <f aca="false">IF(OR($I168="",$J168="",$O168="",$F168=""),"",-0.7182+0.1451*(($I168+$J168+$O168)*(170.18/$F168))-0.00068*(($I168+$J168+$O168)*(170.18/$F168))^2+0.0000014*(($I168+$J168+$O168)*(170.18/$F168))^3)</f>
        <v/>
      </c>
      <c r="AT168" s="35" t="str">
        <f aca="false">IF(OR($AE168="",$AF168="",$T168="",$AA168="",$F168=""),"",0.858*$AE168+0.601*$AF168+0.188*($T168-$I168/10)+0.161*($AA168-$R168/10)-0.131*$F168+4.5)</f>
        <v/>
      </c>
      <c r="AU168" s="35" t="str">
        <f aca="false">IF(OR($E168="",$F168=""),"",IF($F168/$E168^(1/3)&gt;=40.75,0.732*($F168/$E168^(1/3))-28.58,IF($F168/$E168^(1/3)&gt;=38.25,0.463*($F168/$E168^(1/3))-17.63,0.1)))</f>
        <v/>
      </c>
      <c r="AV168" s="37" t="str">
        <f aca="false">IF(OR($AS168="",$AT168="",$AU168=""),"",IF(AND($AT168&gt;=$AS168,$AT168&gt;=$AU168),"Mesomorfo dominante",IF(AND($AU168&gt;=$AS168,$AU168&gt;=$AT168),"Ectomorfo dominante","Endomorfo dominante")))</f>
        <v/>
      </c>
    </row>
    <row r="169" customFormat="false" ht="15" hidden="false" customHeight="false" outlineLevel="0" collapsed="false">
      <c r="A169" s="29"/>
      <c r="B169" s="27"/>
      <c r="C169" s="28"/>
      <c r="D169" s="27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3" t="str">
        <f aca="false">IFERROR(DATEDIF(INDEX(Cadastro!$D$8:$D$47,MATCH($B169,Cadastro!$B$8:$B$47,0)),$A169,"Y"),"")</f>
        <v/>
      </c>
      <c r="AH169" s="33" t="str">
        <f aca="false">IF(COUNT($I169,$K169,$J169,$N169)&lt;4,"",$I169+$K169+$J169+$N169)</f>
        <v/>
      </c>
      <c r="AI169" s="33" t="str">
        <f aca="false">IF(COUNT($L169,$M169,$I169,$J169,$P169,$N169,$Q169)&lt;7,"",$L169+$M169+$I169+$J169+$P169+$N169+$Q169)</f>
        <v/>
      </c>
      <c r="AJ169" s="33" t="str">
        <f aca="false">IF(COUNT($I169,$J169,$K169,$O169,$P169,$Q169,$R169,$N169)&lt;8,"",$I169+$J169+$K169+$O169+$P169+$Q169+$R169+$N169)</f>
        <v/>
      </c>
      <c r="AK169" s="34" t="str">
        <f aca="false">IF(OR($AI169="",$AG169=""),"",IF(IFERROR(INDEX(Cadastro!$F$8:$F$47,MATCH($B169,Cadastro!$B$8:$B$47,0)),"")="Feminino",1.097-0.00046971*$AI169+0.00000056*$AI169^2-0.00012828*$AG169,1.112-0.00043499*$AI169+0.00000055*$AI169^2-0.00028826*$AG169))</f>
        <v/>
      </c>
      <c r="AL169" s="30" t="str">
        <f aca="false">IF(OR($AK169="",$AK169=0),"",495/$AK169-450)</f>
        <v/>
      </c>
      <c r="AM169" s="35" t="str">
        <f aca="false">IF(OR($AL169="",$E169=""),"",$E169*$AL169/100)</f>
        <v/>
      </c>
      <c r="AN169" s="30" t="str">
        <f aca="false">IF(OR($AM169="",$E169=""),"",$E169-$AM169)</f>
        <v/>
      </c>
      <c r="AO169" s="35" t="str">
        <f aca="false">IFERROR($E169/($F169/100)^2,"")</f>
        <v/>
      </c>
      <c r="AP169" s="35" t="str">
        <f aca="false">IFERROR($G169/$F169*100,"")</f>
        <v/>
      </c>
      <c r="AQ169" s="36" t="str">
        <f aca="false">IFERROR($W169/$F169,"")</f>
        <v/>
      </c>
      <c r="AR169" s="35" t="str">
        <f aca="false">IF(OR($S169="",$I169=""),"",($S169-PI()*$I169/10)^2/(4*PI())-IF(IFERROR(INDEX(Cadastro!$F$8:$F$47,MATCH($B169,Cadastro!$B$8:$B$47,0)),"")="Feminino",6.5,10))</f>
        <v/>
      </c>
      <c r="AS169" s="35" t="str">
        <f aca="false">IF(OR($I169="",$J169="",$O169="",$F169=""),"",-0.7182+0.1451*(($I169+$J169+$O169)*(170.18/$F169))-0.00068*(($I169+$J169+$O169)*(170.18/$F169))^2+0.0000014*(($I169+$J169+$O169)*(170.18/$F169))^3)</f>
        <v/>
      </c>
      <c r="AT169" s="35" t="str">
        <f aca="false">IF(OR($AE169="",$AF169="",$T169="",$AA169="",$F169=""),"",0.858*$AE169+0.601*$AF169+0.188*($T169-$I169/10)+0.161*($AA169-$R169/10)-0.131*$F169+4.5)</f>
        <v/>
      </c>
      <c r="AU169" s="35" t="str">
        <f aca="false">IF(OR($E169="",$F169=""),"",IF($F169/$E169^(1/3)&gt;=40.75,0.732*($F169/$E169^(1/3))-28.58,IF($F169/$E169^(1/3)&gt;=38.25,0.463*($F169/$E169^(1/3))-17.63,0.1)))</f>
        <v/>
      </c>
      <c r="AV169" s="37" t="str">
        <f aca="false">IF(OR($AS169="",$AT169="",$AU169=""),"",IF(AND($AT169&gt;=$AS169,$AT169&gt;=$AU169),"Mesomorfo dominante",IF(AND($AU169&gt;=$AS169,$AU169&gt;=$AT169),"Ectomorfo dominante","Endomorfo dominante")))</f>
        <v/>
      </c>
    </row>
    <row r="170" customFormat="false" ht="15" hidden="false" customHeight="false" outlineLevel="0" collapsed="false">
      <c r="A170" s="29"/>
      <c r="B170" s="27"/>
      <c r="C170" s="28"/>
      <c r="D170" s="27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3" t="str">
        <f aca="false">IFERROR(DATEDIF(INDEX(Cadastro!$D$8:$D$47,MATCH($B170,Cadastro!$B$8:$B$47,0)),$A170,"Y"),"")</f>
        <v/>
      </c>
      <c r="AH170" s="33" t="str">
        <f aca="false">IF(COUNT($I170,$K170,$J170,$N170)&lt;4,"",$I170+$K170+$J170+$N170)</f>
        <v/>
      </c>
      <c r="AI170" s="33" t="str">
        <f aca="false">IF(COUNT($L170,$M170,$I170,$J170,$P170,$N170,$Q170)&lt;7,"",$L170+$M170+$I170+$J170+$P170+$N170+$Q170)</f>
        <v/>
      </c>
      <c r="AJ170" s="33" t="str">
        <f aca="false">IF(COUNT($I170,$J170,$K170,$O170,$P170,$Q170,$R170,$N170)&lt;8,"",$I170+$J170+$K170+$O170+$P170+$Q170+$R170+$N170)</f>
        <v/>
      </c>
      <c r="AK170" s="34" t="str">
        <f aca="false">IF(OR($AI170="",$AG170=""),"",IF(IFERROR(INDEX(Cadastro!$F$8:$F$47,MATCH($B170,Cadastro!$B$8:$B$47,0)),"")="Feminino",1.097-0.00046971*$AI170+0.00000056*$AI170^2-0.00012828*$AG170,1.112-0.00043499*$AI170+0.00000055*$AI170^2-0.00028826*$AG170))</f>
        <v/>
      </c>
      <c r="AL170" s="30" t="str">
        <f aca="false">IF(OR($AK170="",$AK170=0),"",495/$AK170-450)</f>
        <v/>
      </c>
      <c r="AM170" s="35" t="str">
        <f aca="false">IF(OR($AL170="",$E170=""),"",$E170*$AL170/100)</f>
        <v/>
      </c>
      <c r="AN170" s="30" t="str">
        <f aca="false">IF(OR($AM170="",$E170=""),"",$E170-$AM170)</f>
        <v/>
      </c>
      <c r="AO170" s="35" t="str">
        <f aca="false">IFERROR($E170/($F170/100)^2,"")</f>
        <v/>
      </c>
      <c r="AP170" s="35" t="str">
        <f aca="false">IFERROR($G170/$F170*100,"")</f>
        <v/>
      </c>
      <c r="AQ170" s="36" t="str">
        <f aca="false">IFERROR($W170/$F170,"")</f>
        <v/>
      </c>
      <c r="AR170" s="35" t="str">
        <f aca="false">IF(OR($S170="",$I170=""),"",($S170-PI()*$I170/10)^2/(4*PI())-IF(IFERROR(INDEX(Cadastro!$F$8:$F$47,MATCH($B170,Cadastro!$B$8:$B$47,0)),"")="Feminino",6.5,10))</f>
        <v/>
      </c>
      <c r="AS170" s="35" t="str">
        <f aca="false">IF(OR($I170="",$J170="",$O170="",$F170=""),"",-0.7182+0.1451*(($I170+$J170+$O170)*(170.18/$F170))-0.00068*(($I170+$J170+$O170)*(170.18/$F170))^2+0.0000014*(($I170+$J170+$O170)*(170.18/$F170))^3)</f>
        <v/>
      </c>
      <c r="AT170" s="35" t="str">
        <f aca="false">IF(OR($AE170="",$AF170="",$T170="",$AA170="",$F170=""),"",0.858*$AE170+0.601*$AF170+0.188*($T170-$I170/10)+0.161*($AA170-$R170/10)-0.131*$F170+4.5)</f>
        <v/>
      </c>
      <c r="AU170" s="35" t="str">
        <f aca="false">IF(OR($E170="",$F170=""),"",IF($F170/$E170^(1/3)&gt;=40.75,0.732*($F170/$E170^(1/3))-28.58,IF($F170/$E170^(1/3)&gt;=38.25,0.463*($F170/$E170^(1/3))-17.63,0.1)))</f>
        <v/>
      </c>
      <c r="AV170" s="37" t="str">
        <f aca="false">IF(OR($AS170="",$AT170="",$AU170=""),"",IF(AND($AT170&gt;=$AS170,$AT170&gt;=$AU170),"Mesomorfo dominante",IF(AND($AU170&gt;=$AS170,$AU170&gt;=$AT170),"Ectomorfo dominante","Endomorfo dominante")))</f>
        <v/>
      </c>
    </row>
    <row r="171" customFormat="false" ht="15" hidden="false" customHeight="false" outlineLevel="0" collapsed="false">
      <c r="A171" s="29"/>
      <c r="B171" s="27"/>
      <c r="C171" s="28"/>
      <c r="D171" s="27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3" t="str">
        <f aca="false">IFERROR(DATEDIF(INDEX(Cadastro!$D$8:$D$47,MATCH($B171,Cadastro!$B$8:$B$47,0)),$A171,"Y"),"")</f>
        <v/>
      </c>
      <c r="AH171" s="33" t="str">
        <f aca="false">IF(COUNT($I171,$K171,$J171,$N171)&lt;4,"",$I171+$K171+$J171+$N171)</f>
        <v/>
      </c>
      <c r="AI171" s="33" t="str">
        <f aca="false">IF(COUNT($L171,$M171,$I171,$J171,$P171,$N171,$Q171)&lt;7,"",$L171+$M171+$I171+$J171+$P171+$N171+$Q171)</f>
        <v/>
      </c>
      <c r="AJ171" s="33" t="str">
        <f aca="false">IF(COUNT($I171,$J171,$K171,$O171,$P171,$Q171,$R171,$N171)&lt;8,"",$I171+$J171+$K171+$O171+$P171+$Q171+$R171+$N171)</f>
        <v/>
      </c>
      <c r="AK171" s="34" t="str">
        <f aca="false">IF(OR($AI171="",$AG171=""),"",IF(IFERROR(INDEX(Cadastro!$F$8:$F$47,MATCH($B171,Cadastro!$B$8:$B$47,0)),"")="Feminino",1.097-0.00046971*$AI171+0.00000056*$AI171^2-0.00012828*$AG171,1.112-0.00043499*$AI171+0.00000055*$AI171^2-0.00028826*$AG171))</f>
        <v/>
      </c>
      <c r="AL171" s="30" t="str">
        <f aca="false">IF(OR($AK171="",$AK171=0),"",495/$AK171-450)</f>
        <v/>
      </c>
      <c r="AM171" s="35" t="str">
        <f aca="false">IF(OR($AL171="",$E171=""),"",$E171*$AL171/100)</f>
        <v/>
      </c>
      <c r="AN171" s="30" t="str">
        <f aca="false">IF(OR($AM171="",$E171=""),"",$E171-$AM171)</f>
        <v/>
      </c>
      <c r="AO171" s="35" t="str">
        <f aca="false">IFERROR($E171/($F171/100)^2,"")</f>
        <v/>
      </c>
      <c r="AP171" s="35" t="str">
        <f aca="false">IFERROR($G171/$F171*100,"")</f>
        <v/>
      </c>
      <c r="AQ171" s="36" t="str">
        <f aca="false">IFERROR($W171/$F171,"")</f>
        <v/>
      </c>
      <c r="AR171" s="35" t="str">
        <f aca="false">IF(OR($S171="",$I171=""),"",($S171-PI()*$I171/10)^2/(4*PI())-IF(IFERROR(INDEX(Cadastro!$F$8:$F$47,MATCH($B171,Cadastro!$B$8:$B$47,0)),"")="Feminino",6.5,10))</f>
        <v/>
      </c>
      <c r="AS171" s="35" t="str">
        <f aca="false">IF(OR($I171="",$J171="",$O171="",$F171=""),"",-0.7182+0.1451*(($I171+$J171+$O171)*(170.18/$F171))-0.00068*(($I171+$J171+$O171)*(170.18/$F171))^2+0.0000014*(($I171+$J171+$O171)*(170.18/$F171))^3)</f>
        <v/>
      </c>
      <c r="AT171" s="35" t="str">
        <f aca="false">IF(OR($AE171="",$AF171="",$T171="",$AA171="",$F171=""),"",0.858*$AE171+0.601*$AF171+0.188*($T171-$I171/10)+0.161*($AA171-$R171/10)-0.131*$F171+4.5)</f>
        <v/>
      </c>
      <c r="AU171" s="35" t="str">
        <f aca="false">IF(OR($E171="",$F171=""),"",IF($F171/$E171^(1/3)&gt;=40.75,0.732*($F171/$E171^(1/3))-28.58,IF($F171/$E171^(1/3)&gt;=38.25,0.463*($F171/$E171^(1/3))-17.63,0.1)))</f>
        <v/>
      </c>
      <c r="AV171" s="37" t="str">
        <f aca="false">IF(OR($AS171="",$AT171="",$AU171=""),"",IF(AND($AT171&gt;=$AS171,$AT171&gt;=$AU171),"Mesomorfo dominante",IF(AND($AU171&gt;=$AS171,$AU171&gt;=$AT171),"Ectomorfo dominante","Endomorfo dominante")))</f>
        <v/>
      </c>
    </row>
    <row r="172" customFormat="false" ht="15" hidden="false" customHeight="false" outlineLevel="0" collapsed="false">
      <c r="A172" s="29"/>
      <c r="B172" s="27"/>
      <c r="C172" s="28"/>
      <c r="D172" s="27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3" t="str">
        <f aca="false">IFERROR(DATEDIF(INDEX(Cadastro!$D$8:$D$47,MATCH($B172,Cadastro!$B$8:$B$47,0)),$A172,"Y"),"")</f>
        <v/>
      </c>
      <c r="AH172" s="33" t="str">
        <f aca="false">IF(COUNT($I172,$K172,$J172,$N172)&lt;4,"",$I172+$K172+$J172+$N172)</f>
        <v/>
      </c>
      <c r="AI172" s="33" t="str">
        <f aca="false">IF(COUNT($L172,$M172,$I172,$J172,$P172,$N172,$Q172)&lt;7,"",$L172+$M172+$I172+$J172+$P172+$N172+$Q172)</f>
        <v/>
      </c>
      <c r="AJ172" s="33" t="str">
        <f aca="false">IF(COUNT($I172,$J172,$K172,$O172,$P172,$Q172,$R172,$N172)&lt;8,"",$I172+$J172+$K172+$O172+$P172+$Q172+$R172+$N172)</f>
        <v/>
      </c>
      <c r="AK172" s="34" t="str">
        <f aca="false">IF(OR($AI172="",$AG172=""),"",IF(IFERROR(INDEX(Cadastro!$F$8:$F$47,MATCH($B172,Cadastro!$B$8:$B$47,0)),"")="Feminino",1.097-0.00046971*$AI172+0.00000056*$AI172^2-0.00012828*$AG172,1.112-0.00043499*$AI172+0.00000055*$AI172^2-0.00028826*$AG172))</f>
        <v/>
      </c>
      <c r="AL172" s="30" t="str">
        <f aca="false">IF(OR($AK172="",$AK172=0),"",495/$AK172-450)</f>
        <v/>
      </c>
      <c r="AM172" s="35" t="str">
        <f aca="false">IF(OR($AL172="",$E172=""),"",$E172*$AL172/100)</f>
        <v/>
      </c>
      <c r="AN172" s="30" t="str">
        <f aca="false">IF(OR($AM172="",$E172=""),"",$E172-$AM172)</f>
        <v/>
      </c>
      <c r="AO172" s="35" t="str">
        <f aca="false">IFERROR($E172/($F172/100)^2,"")</f>
        <v/>
      </c>
      <c r="AP172" s="35" t="str">
        <f aca="false">IFERROR($G172/$F172*100,"")</f>
        <v/>
      </c>
      <c r="AQ172" s="36" t="str">
        <f aca="false">IFERROR($W172/$F172,"")</f>
        <v/>
      </c>
      <c r="AR172" s="35" t="str">
        <f aca="false">IF(OR($S172="",$I172=""),"",($S172-PI()*$I172/10)^2/(4*PI())-IF(IFERROR(INDEX(Cadastro!$F$8:$F$47,MATCH($B172,Cadastro!$B$8:$B$47,0)),"")="Feminino",6.5,10))</f>
        <v/>
      </c>
      <c r="AS172" s="35" t="str">
        <f aca="false">IF(OR($I172="",$J172="",$O172="",$F172=""),"",-0.7182+0.1451*(($I172+$J172+$O172)*(170.18/$F172))-0.00068*(($I172+$J172+$O172)*(170.18/$F172))^2+0.0000014*(($I172+$J172+$O172)*(170.18/$F172))^3)</f>
        <v/>
      </c>
      <c r="AT172" s="35" t="str">
        <f aca="false">IF(OR($AE172="",$AF172="",$T172="",$AA172="",$F172=""),"",0.858*$AE172+0.601*$AF172+0.188*($T172-$I172/10)+0.161*($AA172-$R172/10)-0.131*$F172+4.5)</f>
        <v/>
      </c>
      <c r="AU172" s="35" t="str">
        <f aca="false">IF(OR($E172="",$F172=""),"",IF($F172/$E172^(1/3)&gt;=40.75,0.732*($F172/$E172^(1/3))-28.58,IF($F172/$E172^(1/3)&gt;=38.25,0.463*($F172/$E172^(1/3))-17.63,0.1)))</f>
        <v/>
      </c>
      <c r="AV172" s="37" t="str">
        <f aca="false">IF(OR($AS172="",$AT172="",$AU172=""),"",IF(AND($AT172&gt;=$AS172,$AT172&gt;=$AU172),"Mesomorfo dominante",IF(AND($AU172&gt;=$AS172,$AU172&gt;=$AT172),"Ectomorfo dominante","Endomorfo dominante")))</f>
        <v/>
      </c>
    </row>
    <row r="173" customFormat="false" ht="15" hidden="false" customHeight="false" outlineLevel="0" collapsed="false">
      <c r="A173" s="29"/>
      <c r="B173" s="27"/>
      <c r="C173" s="28"/>
      <c r="D173" s="27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3" t="str">
        <f aca="false">IFERROR(DATEDIF(INDEX(Cadastro!$D$8:$D$47,MATCH($B173,Cadastro!$B$8:$B$47,0)),$A173,"Y"),"")</f>
        <v/>
      </c>
      <c r="AH173" s="33" t="str">
        <f aca="false">IF(COUNT($I173,$K173,$J173,$N173)&lt;4,"",$I173+$K173+$J173+$N173)</f>
        <v/>
      </c>
      <c r="AI173" s="33" t="str">
        <f aca="false">IF(COUNT($L173,$M173,$I173,$J173,$P173,$N173,$Q173)&lt;7,"",$L173+$M173+$I173+$J173+$P173+$N173+$Q173)</f>
        <v/>
      </c>
      <c r="AJ173" s="33" t="str">
        <f aca="false">IF(COUNT($I173,$J173,$K173,$O173,$P173,$Q173,$R173,$N173)&lt;8,"",$I173+$J173+$K173+$O173+$P173+$Q173+$R173+$N173)</f>
        <v/>
      </c>
      <c r="AK173" s="34" t="str">
        <f aca="false">IF(OR($AI173="",$AG173=""),"",IF(IFERROR(INDEX(Cadastro!$F$8:$F$47,MATCH($B173,Cadastro!$B$8:$B$47,0)),"")="Feminino",1.097-0.00046971*$AI173+0.00000056*$AI173^2-0.00012828*$AG173,1.112-0.00043499*$AI173+0.00000055*$AI173^2-0.00028826*$AG173))</f>
        <v/>
      </c>
      <c r="AL173" s="30" t="str">
        <f aca="false">IF(OR($AK173="",$AK173=0),"",495/$AK173-450)</f>
        <v/>
      </c>
      <c r="AM173" s="35" t="str">
        <f aca="false">IF(OR($AL173="",$E173=""),"",$E173*$AL173/100)</f>
        <v/>
      </c>
      <c r="AN173" s="30" t="str">
        <f aca="false">IF(OR($AM173="",$E173=""),"",$E173-$AM173)</f>
        <v/>
      </c>
      <c r="AO173" s="35" t="str">
        <f aca="false">IFERROR($E173/($F173/100)^2,"")</f>
        <v/>
      </c>
      <c r="AP173" s="35" t="str">
        <f aca="false">IFERROR($G173/$F173*100,"")</f>
        <v/>
      </c>
      <c r="AQ173" s="36" t="str">
        <f aca="false">IFERROR($W173/$F173,"")</f>
        <v/>
      </c>
      <c r="AR173" s="35" t="str">
        <f aca="false">IF(OR($S173="",$I173=""),"",($S173-PI()*$I173/10)^2/(4*PI())-IF(IFERROR(INDEX(Cadastro!$F$8:$F$47,MATCH($B173,Cadastro!$B$8:$B$47,0)),"")="Feminino",6.5,10))</f>
        <v/>
      </c>
      <c r="AS173" s="35" t="str">
        <f aca="false">IF(OR($I173="",$J173="",$O173="",$F173=""),"",-0.7182+0.1451*(($I173+$J173+$O173)*(170.18/$F173))-0.00068*(($I173+$J173+$O173)*(170.18/$F173))^2+0.0000014*(($I173+$J173+$O173)*(170.18/$F173))^3)</f>
        <v/>
      </c>
      <c r="AT173" s="35" t="str">
        <f aca="false">IF(OR($AE173="",$AF173="",$T173="",$AA173="",$F173=""),"",0.858*$AE173+0.601*$AF173+0.188*($T173-$I173/10)+0.161*($AA173-$R173/10)-0.131*$F173+4.5)</f>
        <v/>
      </c>
      <c r="AU173" s="35" t="str">
        <f aca="false">IF(OR($E173="",$F173=""),"",IF($F173/$E173^(1/3)&gt;=40.75,0.732*($F173/$E173^(1/3))-28.58,IF($F173/$E173^(1/3)&gt;=38.25,0.463*($F173/$E173^(1/3))-17.63,0.1)))</f>
        <v/>
      </c>
      <c r="AV173" s="37" t="str">
        <f aca="false">IF(OR($AS173="",$AT173="",$AU173=""),"",IF(AND($AT173&gt;=$AS173,$AT173&gt;=$AU173),"Mesomorfo dominante",IF(AND($AU173&gt;=$AS173,$AU173&gt;=$AT173),"Ectomorfo dominante","Endomorfo dominante")))</f>
        <v/>
      </c>
    </row>
    <row r="174" customFormat="false" ht="15" hidden="false" customHeight="false" outlineLevel="0" collapsed="false">
      <c r="A174" s="29"/>
      <c r="B174" s="27"/>
      <c r="C174" s="28"/>
      <c r="D174" s="27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3" t="str">
        <f aca="false">IFERROR(DATEDIF(INDEX(Cadastro!$D$8:$D$47,MATCH($B174,Cadastro!$B$8:$B$47,0)),$A174,"Y"),"")</f>
        <v/>
      </c>
      <c r="AH174" s="33" t="str">
        <f aca="false">IF(COUNT($I174,$K174,$J174,$N174)&lt;4,"",$I174+$K174+$J174+$N174)</f>
        <v/>
      </c>
      <c r="AI174" s="33" t="str">
        <f aca="false">IF(COUNT($L174,$M174,$I174,$J174,$P174,$N174,$Q174)&lt;7,"",$L174+$M174+$I174+$J174+$P174+$N174+$Q174)</f>
        <v/>
      </c>
      <c r="AJ174" s="33" t="str">
        <f aca="false">IF(COUNT($I174,$J174,$K174,$O174,$P174,$Q174,$R174,$N174)&lt;8,"",$I174+$J174+$K174+$O174+$P174+$Q174+$R174+$N174)</f>
        <v/>
      </c>
      <c r="AK174" s="34" t="str">
        <f aca="false">IF(OR($AI174="",$AG174=""),"",IF(IFERROR(INDEX(Cadastro!$F$8:$F$47,MATCH($B174,Cadastro!$B$8:$B$47,0)),"")="Feminino",1.097-0.00046971*$AI174+0.00000056*$AI174^2-0.00012828*$AG174,1.112-0.00043499*$AI174+0.00000055*$AI174^2-0.00028826*$AG174))</f>
        <v/>
      </c>
      <c r="AL174" s="30" t="str">
        <f aca="false">IF(OR($AK174="",$AK174=0),"",495/$AK174-450)</f>
        <v/>
      </c>
      <c r="AM174" s="35" t="str">
        <f aca="false">IF(OR($AL174="",$E174=""),"",$E174*$AL174/100)</f>
        <v/>
      </c>
      <c r="AN174" s="30" t="str">
        <f aca="false">IF(OR($AM174="",$E174=""),"",$E174-$AM174)</f>
        <v/>
      </c>
      <c r="AO174" s="35" t="str">
        <f aca="false">IFERROR($E174/($F174/100)^2,"")</f>
        <v/>
      </c>
      <c r="AP174" s="35" t="str">
        <f aca="false">IFERROR($G174/$F174*100,"")</f>
        <v/>
      </c>
      <c r="AQ174" s="36" t="str">
        <f aca="false">IFERROR($W174/$F174,"")</f>
        <v/>
      </c>
      <c r="AR174" s="35" t="str">
        <f aca="false">IF(OR($S174="",$I174=""),"",($S174-PI()*$I174/10)^2/(4*PI())-IF(IFERROR(INDEX(Cadastro!$F$8:$F$47,MATCH($B174,Cadastro!$B$8:$B$47,0)),"")="Feminino",6.5,10))</f>
        <v/>
      </c>
      <c r="AS174" s="35" t="str">
        <f aca="false">IF(OR($I174="",$J174="",$O174="",$F174=""),"",-0.7182+0.1451*(($I174+$J174+$O174)*(170.18/$F174))-0.00068*(($I174+$J174+$O174)*(170.18/$F174))^2+0.0000014*(($I174+$J174+$O174)*(170.18/$F174))^3)</f>
        <v/>
      </c>
      <c r="AT174" s="35" t="str">
        <f aca="false">IF(OR($AE174="",$AF174="",$T174="",$AA174="",$F174=""),"",0.858*$AE174+0.601*$AF174+0.188*($T174-$I174/10)+0.161*($AA174-$R174/10)-0.131*$F174+4.5)</f>
        <v/>
      </c>
      <c r="AU174" s="35" t="str">
        <f aca="false">IF(OR($E174="",$F174=""),"",IF($F174/$E174^(1/3)&gt;=40.75,0.732*($F174/$E174^(1/3))-28.58,IF($F174/$E174^(1/3)&gt;=38.25,0.463*($F174/$E174^(1/3))-17.63,0.1)))</f>
        <v/>
      </c>
      <c r="AV174" s="37" t="str">
        <f aca="false">IF(OR($AS174="",$AT174="",$AU174=""),"",IF(AND($AT174&gt;=$AS174,$AT174&gt;=$AU174),"Mesomorfo dominante",IF(AND($AU174&gt;=$AS174,$AU174&gt;=$AT174),"Ectomorfo dominante","Endomorfo dominante")))</f>
        <v/>
      </c>
    </row>
    <row r="175" customFormat="false" ht="15" hidden="false" customHeight="false" outlineLevel="0" collapsed="false">
      <c r="A175" s="29"/>
      <c r="B175" s="27"/>
      <c r="C175" s="28"/>
      <c r="D175" s="27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3" t="str">
        <f aca="false">IFERROR(DATEDIF(INDEX(Cadastro!$D$8:$D$47,MATCH($B175,Cadastro!$B$8:$B$47,0)),$A175,"Y"),"")</f>
        <v/>
      </c>
      <c r="AH175" s="33" t="str">
        <f aca="false">IF(COUNT($I175,$K175,$J175,$N175)&lt;4,"",$I175+$K175+$J175+$N175)</f>
        <v/>
      </c>
      <c r="AI175" s="33" t="str">
        <f aca="false">IF(COUNT($L175,$M175,$I175,$J175,$P175,$N175,$Q175)&lt;7,"",$L175+$M175+$I175+$J175+$P175+$N175+$Q175)</f>
        <v/>
      </c>
      <c r="AJ175" s="33" t="str">
        <f aca="false">IF(COUNT($I175,$J175,$K175,$O175,$P175,$Q175,$R175,$N175)&lt;8,"",$I175+$J175+$K175+$O175+$P175+$Q175+$R175+$N175)</f>
        <v/>
      </c>
      <c r="AK175" s="34" t="str">
        <f aca="false">IF(OR($AI175="",$AG175=""),"",IF(IFERROR(INDEX(Cadastro!$F$8:$F$47,MATCH($B175,Cadastro!$B$8:$B$47,0)),"")="Feminino",1.097-0.00046971*$AI175+0.00000056*$AI175^2-0.00012828*$AG175,1.112-0.00043499*$AI175+0.00000055*$AI175^2-0.00028826*$AG175))</f>
        <v/>
      </c>
      <c r="AL175" s="30" t="str">
        <f aca="false">IF(OR($AK175="",$AK175=0),"",495/$AK175-450)</f>
        <v/>
      </c>
      <c r="AM175" s="35" t="str">
        <f aca="false">IF(OR($AL175="",$E175=""),"",$E175*$AL175/100)</f>
        <v/>
      </c>
      <c r="AN175" s="30" t="str">
        <f aca="false">IF(OR($AM175="",$E175=""),"",$E175-$AM175)</f>
        <v/>
      </c>
      <c r="AO175" s="35" t="str">
        <f aca="false">IFERROR($E175/($F175/100)^2,"")</f>
        <v/>
      </c>
      <c r="AP175" s="35" t="str">
        <f aca="false">IFERROR($G175/$F175*100,"")</f>
        <v/>
      </c>
      <c r="AQ175" s="36" t="str">
        <f aca="false">IFERROR($W175/$F175,"")</f>
        <v/>
      </c>
      <c r="AR175" s="35" t="str">
        <f aca="false">IF(OR($S175="",$I175=""),"",($S175-PI()*$I175/10)^2/(4*PI())-IF(IFERROR(INDEX(Cadastro!$F$8:$F$47,MATCH($B175,Cadastro!$B$8:$B$47,0)),"")="Feminino",6.5,10))</f>
        <v/>
      </c>
      <c r="AS175" s="35" t="str">
        <f aca="false">IF(OR($I175="",$J175="",$O175="",$F175=""),"",-0.7182+0.1451*(($I175+$J175+$O175)*(170.18/$F175))-0.00068*(($I175+$J175+$O175)*(170.18/$F175))^2+0.0000014*(($I175+$J175+$O175)*(170.18/$F175))^3)</f>
        <v/>
      </c>
      <c r="AT175" s="35" t="str">
        <f aca="false">IF(OR($AE175="",$AF175="",$T175="",$AA175="",$F175=""),"",0.858*$AE175+0.601*$AF175+0.188*($T175-$I175/10)+0.161*($AA175-$R175/10)-0.131*$F175+4.5)</f>
        <v/>
      </c>
      <c r="AU175" s="35" t="str">
        <f aca="false">IF(OR($E175="",$F175=""),"",IF($F175/$E175^(1/3)&gt;=40.75,0.732*($F175/$E175^(1/3))-28.58,IF($F175/$E175^(1/3)&gt;=38.25,0.463*($F175/$E175^(1/3))-17.63,0.1)))</f>
        <v/>
      </c>
      <c r="AV175" s="37" t="str">
        <f aca="false">IF(OR($AS175="",$AT175="",$AU175=""),"",IF(AND($AT175&gt;=$AS175,$AT175&gt;=$AU175),"Mesomorfo dominante",IF(AND($AU175&gt;=$AS175,$AU175&gt;=$AT175),"Ectomorfo dominante","Endomorfo dominante")))</f>
        <v/>
      </c>
    </row>
    <row r="176" customFormat="false" ht="15" hidden="false" customHeight="false" outlineLevel="0" collapsed="false">
      <c r="A176" s="29"/>
      <c r="B176" s="27"/>
      <c r="C176" s="28"/>
      <c r="D176" s="27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3" t="str">
        <f aca="false">IFERROR(DATEDIF(INDEX(Cadastro!$D$8:$D$47,MATCH($B176,Cadastro!$B$8:$B$47,0)),$A176,"Y"),"")</f>
        <v/>
      </c>
      <c r="AH176" s="33" t="str">
        <f aca="false">IF(COUNT($I176,$K176,$J176,$N176)&lt;4,"",$I176+$K176+$J176+$N176)</f>
        <v/>
      </c>
      <c r="AI176" s="33" t="str">
        <f aca="false">IF(COUNT($L176,$M176,$I176,$J176,$P176,$N176,$Q176)&lt;7,"",$L176+$M176+$I176+$J176+$P176+$N176+$Q176)</f>
        <v/>
      </c>
      <c r="AJ176" s="33" t="str">
        <f aca="false">IF(COUNT($I176,$J176,$K176,$O176,$P176,$Q176,$R176,$N176)&lt;8,"",$I176+$J176+$K176+$O176+$P176+$Q176+$R176+$N176)</f>
        <v/>
      </c>
      <c r="AK176" s="34" t="str">
        <f aca="false">IF(OR($AI176="",$AG176=""),"",IF(IFERROR(INDEX(Cadastro!$F$8:$F$47,MATCH($B176,Cadastro!$B$8:$B$47,0)),"")="Feminino",1.097-0.00046971*$AI176+0.00000056*$AI176^2-0.00012828*$AG176,1.112-0.00043499*$AI176+0.00000055*$AI176^2-0.00028826*$AG176))</f>
        <v/>
      </c>
      <c r="AL176" s="30" t="str">
        <f aca="false">IF(OR($AK176="",$AK176=0),"",495/$AK176-450)</f>
        <v/>
      </c>
      <c r="AM176" s="35" t="str">
        <f aca="false">IF(OR($AL176="",$E176=""),"",$E176*$AL176/100)</f>
        <v/>
      </c>
      <c r="AN176" s="30" t="str">
        <f aca="false">IF(OR($AM176="",$E176=""),"",$E176-$AM176)</f>
        <v/>
      </c>
      <c r="AO176" s="35" t="str">
        <f aca="false">IFERROR($E176/($F176/100)^2,"")</f>
        <v/>
      </c>
      <c r="AP176" s="35" t="str">
        <f aca="false">IFERROR($G176/$F176*100,"")</f>
        <v/>
      </c>
      <c r="AQ176" s="36" t="str">
        <f aca="false">IFERROR($W176/$F176,"")</f>
        <v/>
      </c>
      <c r="AR176" s="35" t="str">
        <f aca="false">IF(OR($S176="",$I176=""),"",($S176-PI()*$I176/10)^2/(4*PI())-IF(IFERROR(INDEX(Cadastro!$F$8:$F$47,MATCH($B176,Cadastro!$B$8:$B$47,0)),"")="Feminino",6.5,10))</f>
        <v/>
      </c>
      <c r="AS176" s="35" t="str">
        <f aca="false">IF(OR($I176="",$J176="",$O176="",$F176=""),"",-0.7182+0.1451*(($I176+$J176+$O176)*(170.18/$F176))-0.00068*(($I176+$J176+$O176)*(170.18/$F176))^2+0.0000014*(($I176+$J176+$O176)*(170.18/$F176))^3)</f>
        <v/>
      </c>
      <c r="AT176" s="35" t="str">
        <f aca="false">IF(OR($AE176="",$AF176="",$T176="",$AA176="",$F176=""),"",0.858*$AE176+0.601*$AF176+0.188*($T176-$I176/10)+0.161*($AA176-$R176/10)-0.131*$F176+4.5)</f>
        <v/>
      </c>
      <c r="AU176" s="35" t="str">
        <f aca="false">IF(OR($E176="",$F176=""),"",IF($F176/$E176^(1/3)&gt;=40.75,0.732*($F176/$E176^(1/3))-28.58,IF($F176/$E176^(1/3)&gt;=38.25,0.463*($F176/$E176^(1/3))-17.63,0.1)))</f>
        <v/>
      </c>
      <c r="AV176" s="37" t="str">
        <f aca="false">IF(OR($AS176="",$AT176="",$AU176=""),"",IF(AND($AT176&gt;=$AS176,$AT176&gt;=$AU176),"Mesomorfo dominante",IF(AND($AU176&gt;=$AS176,$AU176&gt;=$AT176),"Ectomorfo dominante","Endomorfo dominante")))</f>
        <v/>
      </c>
    </row>
    <row r="177" customFormat="false" ht="15" hidden="false" customHeight="false" outlineLevel="0" collapsed="false">
      <c r="A177" s="29"/>
      <c r="B177" s="27"/>
      <c r="C177" s="28"/>
      <c r="D177" s="27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3" t="str">
        <f aca="false">IFERROR(DATEDIF(INDEX(Cadastro!$D$8:$D$47,MATCH($B177,Cadastro!$B$8:$B$47,0)),$A177,"Y"),"")</f>
        <v/>
      </c>
      <c r="AH177" s="33" t="str">
        <f aca="false">IF(COUNT($I177,$K177,$J177,$N177)&lt;4,"",$I177+$K177+$J177+$N177)</f>
        <v/>
      </c>
      <c r="AI177" s="33" t="str">
        <f aca="false">IF(COUNT($L177,$M177,$I177,$J177,$P177,$N177,$Q177)&lt;7,"",$L177+$M177+$I177+$J177+$P177+$N177+$Q177)</f>
        <v/>
      </c>
      <c r="AJ177" s="33" t="str">
        <f aca="false">IF(COUNT($I177,$J177,$K177,$O177,$P177,$Q177,$R177,$N177)&lt;8,"",$I177+$J177+$K177+$O177+$P177+$Q177+$R177+$N177)</f>
        <v/>
      </c>
      <c r="AK177" s="34" t="str">
        <f aca="false">IF(OR($AI177="",$AG177=""),"",IF(IFERROR(INDEX(Cadastro!$F$8:$F$47,MATCH($B177,Cadastro!$B$8:$B$47,0)),"")="Feminino",1.097-0.00046971*$AI177+0.00000056*$AI177^2-0.00012828*$AG177,1.112-0.00043499*$AI177+0.00000055*$AI177^2-0.00028826*$AG177))</f>
        <v/>
      </c>
      <c r="AL177" s="30" t="str">
        <f aca="false">IF(OR($AK177="",$AK177=0),"",495/$AK177-450)</f>
        <v/>
      </c>
      <c r="AM177" s="35" t="str">
        <f aca="false">IF(OR($AL177="",$E177=""),"",$E177*$AL177/100)</f>
        <v/>
      </c>
      <c r="AN177" s="30" t="str">
        <f aca="false">IF(OR($AM177="",$E177=""),"",$E177-$AM177)</f>
        <v/>
      </c>
      <c r="AO177" s="35" t="str">
        <f aca="false">IFERROR($E177/($F177/100)^2,"")</f>
        <v/>
      </c>
      <c r="AP177" s="35" t="str">
        <f aca="false">IFERROR($G177/$F177*100,"")</f>
        <v/>
      </c>
      <c r="AQ177" s="36" t="str">
        <f aca="false">IFERROR($W177/$F177,"")</f>
        <v/>
      </c>
      <c r="AR177" s="35" t="str">
        <f aca="false">IF(OR($S177="",$I177=""),"",($S177-PI()*$I177/10)^2/(4*PI())-IF(IFERROR(INDEX(Cadastro!$F$8:$F$47,MATCH($B177,Cadastro!$B$8:$B$47,0)),"")="Feminino",6.5,10))</f>
        <v/>
      </c>
      <c r="AS177" s="35" t="str">
        <f aca="false">IF(OR($I177="",$J177="",$O177="",$F177=""),"",-0.7182+0.1451*(($I177+$J177+$O177)*(170.18/$F177))-0.00068*(($I177+$J177+$O177)*(170.18/$F177))^2+0.0000014*(($I177+$J177+$O177)*(170.18/$F177))^3)</f>
        <v/>
      </c>
      <c r="AT177" s="35" t="str">
        <f aca="false">IF(OR($AE177="",$AF177="",$T177="",$AA177="",$F177=""),"",0.858*$AE177+0.601*$AF177+0.188*($T177-$I177/10)+0.161*($AA177-$R177/10)-0.131*$F177+4.5)</f>
        <v/>
      </c>
      <c r="AU177" s="35" t="str">
        <f aca="false">IF(OR($E177="",$F177=""),"",IF($F177/$E177^(1/3)&gt;=40.75,0.732*($F177/$E177^(1/3))-28.58,IF($F177/$E177^(1/3)&gt;=38.25,0.463*($F177/$E177^(1/3))-17.63,0.1)))</f>
        <v/>
      </c>
      <c r="AV177" s="37" t="str">
        <f aca="false">IF(OR($AS177="",$AT177="",$AU177=""),"",IF(AND($AT177&gt;=$AS177,$AT177&gt;=$AU177),"Mesomorfo dominante",IF(AND($AU177&gt;=$AS177,$AU177&gt;=$AT177),"Ectomorfo dominante","Endomorfo dominante")))</f>
        <v/>
      </c>
    </row>
    <row r="178" customFormat="false" ht="15" hidden="false" customHeight="false" outlineLevel="0" collapsed="false">
      <c r="A178" s="29"/>
      <c r="B178" s="27"/>
      <c r="C178" s="28"/>
      <c r="D178" s="27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3" t="str">
        <f aca="false">IFERROR(DATEDIF(INDEX(Cadastro!$D$8:$D$47,MATCH($B178,Cadastro!$B$8:$B$47,0)),$A178,"Y"),"")</f>
        <v/>
      </c>
      <c r="AH178" s="33" t="str">
        <f aca="false">IF(COUNT($I178,$K178,$J178,$N178)&lt;4,"",$I178+$K178+$J178+$N178)</f>
        <v/>
      </c>
      <c r="AI178" s="33" t="str">
        <f aca="false">IF(COUNT($L178,$M178,$I178,$J178,$P178,$N178,$Q178)&lt;7,"",$L178+$M178+$I178+$J178+$P178+$N178+$Q178)</f>
        <v/>
      </c>
      <c r="AJ178" s="33" t="str">
        <f aca="false">IF(COUNT($I178,$J178,$K178,$O178,$P178,$Q178,$R178,$N178)&lt;8,"",$I178+$J178+$K178+$O178+$P178+$Q178+$R178+$N178)</f>
        <v/>
      </c>
      <c r="AK178" s="34" t="str">
        <f aca="false">IF(OR($AI178="",$AG178=""),"",IF(IFERROR(INDEX(Cadastro!$F$8:$F$47,MATCH($B178,Cadastro!$B$8:$B$47,0)),"")="Feminino",1.097-0.00046971*$AI178+0.00000056*$AI178^2-0.00012828*$AG178,1.112-0.00043499*$AI178+0.00000055*$AI178^2-0.00028826*$AG178))</f>
        <v/>
      </c>
      <c r="AL178" s="30" t="str">
        <f aca="false">IF(OR($AK178="",$AK178=0),"",495/$AK178-450)</f>
        <v/>
      </c>
      <c r="AM178" s="35" t="str">
        <f aca="false">IF(OR($AL178="",$E178=""),"",$E178*$AL178/100)</f>
        <v/>
      </c>
      <c r="AN178" s="30" t="str">
        <f aca="false">IF(OR($AM178="",$E178=""),"",$E178-$AM178)</f>
        <v/>
      </c>
      <c r="AO178" s="35" t="str">
        <f aca="false">IFERROR($E178/($F178/100)^2,"")</f>
        <v/>
      </c>
      <c r="AP178" s="35" t="str">
        <f aca="false">IFERROR($G178/$F178*100,"")</f>
        <v/>
      </c>
      <c r="AQ178" s="36" t="str">
        <f aca="false">IFERROR($W178/$F178,"")</f>
        <v/>
      </c>
      <c r="AR178" s="35" t="str">
        <f aca="false">IF(OR($S178="",$I178=""),"",($S178-PI()*$I178/10)^2/(4*PI())-IF(IFERROR(INDEX(Cadastro!$F$8:$F$47,MATCH($B178,Cadastro!$B$8:$B$47,0)),"")="Feminino",6.5,10))</f>
        <v/>
      </c>
      <c r="AS178" s="35" t="str">
        <f aca="false">IF(OR($I178="",$J178="",$O178="",$F178=""),"",-0.7182+0.1451*(($I178+$J178+$O178)*(170.18/$F178))-0.00068*(($I178+$J178+$O178)*(170.18/$F178))^2+0.0000014*(($I178+$J178+$O178)*(170.18/$F178))^3)</f>
        <v/>
      </c>
      <c r="AT178" s="35" t="str">
        <f aca="false">IF(OR($AE178="",$AF178="",$T178="",$AA178="",$F178=""),"",0.858*$AE178+0.601*$AF178+0.188*($T178-$I178/10)+0.161*($AA178-$R178/10)-0.131*$F178+4.5)</f>
        <v/>
      </c>
      <c r="AU178" s="35" t="str">
        <f aca="false">IF(OR($E178="",$F178=""),"",IF($F178/$E178^(1/3)&gt;=40.75,0.732*($F178/$E178^(1/3))-28.58,IF($F178/$E178^(1/3)&gt;=38.25,0.463*($F178/$E178^(1/3))-17.63,0.1)))</f>
        <v/>
      </c>
      <c r="AV178" s="37" t="str">
        <f aca="false">IF(OR($AS178="",$AT178="",$AU178=""),"",IF(AND($AT178&gt;=$AS178,$AT178&gt;=$AU178),"Mesomorfo dominante",IF(AND($AU178&gt;=$AS178,$AU178&gt;=$AT178),"Ectomorfo dominante","Endomorfo dominante")))</f>
        <v/>
      </c>
    </row>
    <row r="179" customFormat="false" ht="15" hidden="false" customHeight="false" outlineLevel="0" collapsed="false">
      <c r="A179" s="29"/>
      <c r="B179" s="27"/>
      <c r="C179" s="28"/>
      <c r="D179" s="27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3" t="str">
        <f aca="false">IFERROR(DATEDIF(INDEX(Cadastro!$D$8:$D$47,MATCH($B179,Cadastro!$B$8:$B$47,0)),$A179,"Y"),"")</f>
        <v/>
      </c>
      <c r="AH179" s="33" t="str">
        <f aca="false">IF(COUNT($I179,$K179,$J179,$N179)&lt;4,"",$I179+$K179+$J179+$N179)</f>
        <v/>
      </c>
      <c r="AI179" s="33" t="str">
        <f aca="false">IF(COUNT($L179,$M179,$I179,$J179,$P179,$N179,$Q179)&lt;7,"",$L179+$M179+$I179+$J179+$P179+$N179+$Q179)</f>
        <v/>
      </c>
      <c r="AJ179" s="33" t="str">
        <f aca="false">IF(COUNT($I179,$J179,$K179,$O179,$P179,$Q179,$R179,$N179)&lt;8,"",$I179+$J179+$K179+$O179+$P179+$Q179+$R179+$N179)</f>
        <v/>
      </c>
      <c r="AK179" s="34" t="str">
        <f aca="false">IF(OR($AI179="",$AG179=""),"",IF(IFERROR(INDEX(Cadastro!$F$8:$F$47,MATCH($B179,Cadastro!$B$8:$B$47,0)),"")="Feminino",1.097-0.00046971*$AI179+0.00000056*$AI179^2-0.00012828*$AG179,1.112-0.00043499*$AI179+0.00000055*$AI179^2-0.00028826*$AG179))</f>
        <v/>
      </c>
      <c r="AL179" s="30" t="str">
        <f aca="false">IF(OR($AK179="",$AK179=0),"",495/$AK179-450)</f>
        <v/>
      </c>
      <c r="AM179" s="35" t="str">
        <f aca="false">IF(OR($AL179="",$E179=""),"",$E179*$AL179/100)</f>
        <v/>
      </c>
      <c r="AN179" s="30" t="str">
        <f aca="false">IF(OR($AM179="",$E179=""),"",$E179-$AM179)</f>
        <v/>
      </c>
      <c r="AO179" s="35" t="str">
        <f aca="false">IFERROR($E179/($F179/100)^2,"")</f>
        <v/>
      </c>
      <c r="AP179" s="35" t="str">
        <f aca="false">IFERROR($G179/$F179*100,"")</f>
        <v/>
      </c>
      <c r="AQ179" s="36" t="str">
        <f aca="false">IFERROR($W179/$F179,"")</f>
        <v/>
      </c>
      <c r="AR179" s="35" t="str">
        <f aca="false">IF(OR($S179="",$I179=""),"",($S179-PI()*$I179/10)^2/(4*PI())-IF(IFERROR(INDEX(Cadastro!$F$8:$F$47,MATCH($B179,Cadastro!$B$8:$B$47,0)),"")="Feminino",6.5,10))</f>
        <v/>
      </c>
      <c r="AS179" s="35" t="str">
        <f aca="false">IF(OR($I179="",$J179="",$O179="",$F179=""),"",-0.7182+0.1451*(($I179+$J179+$O179)*(170.18/$F179))-0.00068*(($I179+$J179+$O179)*(170.18/$F179))^2+0.0000014*(($I179+$J179+$O179)*(170.18/$F179))^3)</f>
        <v/>
      </c>
      <c r="AT179" s="35" t="str">
        <f aca="false">IF(OR($AE179="",$AF179="",$T179="",$AA179="",$F179=""),"",0.858*$AE179+0.601*$AF179+0.188*($T179-$I179/10)+0.161*($AA179-$R179/10)-0.131*$F179+4.5)</f>
        <v/>
      </c>
      <c r="AU179" s="35" t="str">
        <f aca="false">IF(OR($E179="",$F179=""),"",IF($F179/$E179^(1/3)&gt;=40.75,0.732*($F179/$E179^(1/3))-28.58,IF($F179/$E179^(1/3)&gt;=38.25,0.463*($F179/$E179^(1/3))-17.63,0.1)))</f>
        <v/>
      </c>
      <c r="AV179" s="37" t="str">
        <f aca="false">IF(OR($AS179="",$AT179="",$AU179=""),"",IF(AND($AT179&gt;=$AS179,$AT179&gt;=$AU179),"Mesomorfo dominante",IF(AND($AU179&gt;=$AS179,$AU179&gt;=$AT179),"Ectomorfo dominante","Endomorfo dominante")))</f>
        <v/>
      </c>
    </row>
    <row r="180" customFormat="false" ht="15" hidden="false" customHeight="false" outlineLevel="0" collapsed="false">
      <c r="A180" s="29"/>
      <c r="B180" s="27"/>
      <c r="C180" s="28"/>
      <c r="D180" s="27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3" t="str">
        <f aca="false">IFERROR(DATEDIF(INDEX(Cadastro!$D$8:$D$47,MATCH($B180,Cadastro!$B$8:$B$47,0)),$A180,"Y"),"")</f>
        <v/>
      </c>
      <c r="AH180" s="33" t="str">
        <f aca="false">IF(COUNT($I180,$K180,$J180,$N180)&lt;4,"",$I180+$K180+$J180+$N180)</f>
        <v/>
      </c>
      <c r="AI180" s="33" t="str">
        <f aca="false">IF(COUNT($L180,$M180,$I180,$J180,$P180,$N180,$Q180)&lt;7,"",$L180+$M180+$I180+$J180+$P180+$N180+$Q180)</f>
        <v/>
      </c>
      <c r="AJ180" s="33" t="str">
        <f aca="false">IF(COUNT($I180,$J180,$K180,$O180,$P180,$Q180,$R180,$N180)&lt;8,"",$I180+$J180+$K180+$O180+$P180+$Q180+$R180+$N180)</f>
        <v/>
      </c>
      <c r="AK180" s="34" t="str">
        <f aca="false">IF(OR($AI180="",$AG180=""),"",IF(IFERROR(INDEX(Cadastro!$F$8:$F$47,MATCH($B180,Cadastro!$B$8:$B$47,0)),"")="Feminino",1.097-0.00046971*$AI180+0.00000056*$AI180^2-0.00012828*$AG180,1.112-0.00043499*$AI180+0.00000055*$AI180^2-0.00028826*$AG180))</f>
        <v/>
      </c>
      <c r="AL180" s="30" t="str">
        <f aca="false">IF(OR($AK180="",$AK180=0),"",495/$AK180-450)</f>
        <v/>
      </c>
      <c r="AM180" s="35" t="str">
        <f aca="false">IF(OR($AL180="",$E180=""),"",$E180*$AL180/100)</f>
        <v/>
      </c>
      <c r="AN180" s="30" t="str">
        <f aca="false">IF(OR($AM180="",$E180=""),"",$E180-$AM180)</f>
        <v/>
      </c>
      <c r="AO180" s="35" t="str">
        <f aca="false">IFERROR($E180/($F180/100)^2,"")</f>
        <v/>
      </c>
      <c r="AP180" s="35" t="str">
        <f aca="false">IFERROR($G180/$F180*100,"")</f>
        <v/>
      </c>
      <c r="AQ180" s="36" t="str">
        <f aca="false">IFERROR($W180/$F180,"")</f>
        <v/>
      </c>
      <c r="AR180" s="35" t="str">
        <f aca="false">IF(OR($S180="",$I180=""),"",($S180-PI()*$I180/10)^2/(4*PI())-IF(IFERROR(INDEX(Cadastro!$F$8:$F$47,MATCH($B180,Cadastro!$B$8:$B$47,0)),"")="Feminino",6.5,10))</f>
        <v/>
      </c>
      <c r="AS180" s="35" t="str">
        <f aca="false">IF(OR($I180="",$J180="",$O180="",$F180=""),"",-0.7182+0.1451*(($I180+$J180+$O180)*(170.18/$F180))-0.00068*(($I180+$J180+$O180)*(170.18/$F180))^2+0.0000014*(($I180+$J180+$O180)*(170.18/$F180))^3)</f>
        <v/>
      </c>
      <c r="AT180" s="35" t="str">
        <f aca="false">IF(OR($AE180="",$AF180="",$T180="",$AA180="",$F180=""),"",0.858*$AE180+0.601*$AF180+0.188*($T180-$I180/10)+0.161*($AA180-$R180/10)-0.131*$F180+4.5)</f>
        <v/>
      </c>
      <c r="AU180" s="35" t="str">
        <f aca="false">IF(OR($E180="",$F180=""),"",IF($F180/$E180^(1/3)&gt;=40.75,0.732*($F180/$E180^(1/3))-28.58,IF($F180/$E180^(1/3)&gt;=38.25,0.463*($F180/$E180^(1/3))-17.63,0.1)))</f>
        <v/>
      </c>
      <c r="AV180" s="37" t="str">
        <f aca="false">IF(OR($AS180="",$AT180="",$AU180=""),"",IF(AND($AT180&gt;=$AS180,$AT180&gt;=$AU180),"Mesomorfo dominante",IF(AND($AU180&gt;=$AS180,$AU180&gt;=$AT180),"Ectomorfo dominante","Endomorfo dominante")))</f>
        <v/>
      </c>
    </row>
    <row r="181" customFormat="false" ht="15" hidden="false" customHeight="false" outlineLevel="0" collapsed="false">
      <c r="A181" s="29"/>
      <c r="B181" s="27"/>
      <c r="C181" s="28"/>
      <c r="D181" s="27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3" t="str">
        <f aca="false">IFERROR(DATEDIF(INDEX(Cadastro!$D$8:$D$47,MATCH($B181,Cadastro!$B$8:$B$47,0)),$A181,"Y"),"")</f>
        <v/>
      </c>
      <c r="AH181" s="33" t="str">
        <f aca="false">IF(COUNT($I181,$K181,$J181,$N181)&lt;4,"",$I181+$K181+$J181+$N181)</f>
        <v/>
      </c>
      <c r="AI181" s="33" t="str">
        <f aca="false">IF(COUNT($L181,$M181,$I181,$J181,$P181,$N181,$Q181)&lt;7,"",$L181+$M181+$I181+$J181+$P181+$N181+$Q181)</f>
        <v/>
      </c>
      <c r="AJ181" s="33" t="str">
        <f aca="false">IF(COUNT($I181,$J181,$K181,$O181,$P181,$Q181,$R181,$N181)&lt;8,"",$I181+$J181+$K181+$O181+$P181+$Q181+$R181+$N181)</f>
        <v/>
      </c>
      <c r="AK181" s="34" t="str">
        <f aca="false">IF(OR($AI181="",$AG181=""),"",IF(IFERROR(INDEX(Cadastro!$F$8:$F$47,MATCH($B181,Cadastro!$B$8:$B$47,0)),"")="Feminino",1.097-0.00046971*$AI181+0.00000056*$AI181^2-0.00012828*$AG181,1.112-0.00043499*$AI181+0.00000055*$AI181^2-0.00028826*$AG181))</f>
        <v/>
      </c>
      <c r="AL181" s="30" t="str">
        <f aca="false">IF(OR($AK181="",$AK181=0),"",495/$AK181-450)</f>
        <v/>
      </c>
      <c r="AM181" s="35" t="str">
        <f aca="false">IF(OR($AL181="",$E181=""),"",$E181*$AL181/100)</f>
        <v/>
      </c>
      <c r="AN181" s="30" t="str">
        <f aca="false">IF(OR($AM181="",$E181=""),"",$E181-$AM181)</f>
        <v/>
      </c>
      <c r="AO181" s="35" t="str">
        <f aca="false">IFERROR($E181/($F181/100)^2,"")</f>
        <v/>
      </c>
      <c r="AP181" s="35" t="str">
        <f aca="false">IFERROR($G181/$F181*100,"")</f>
        <v/>
      </c>
      <c r="AQ181" s="36" t="str">
        <f aca="false">IFERROR($W181/$F181,"")</f>
        <v/>
      </c>
      <c r="AR181" s="35" t="str">
        <f aca="false">IF(OR($S181="",$I181=""),"",($S181-PI()*$I181/10)^2/(4*PI())-IF(IFERROR(INDEX(Cadastro!$F$8:$F$47,MATCH($B181,Cadastro!$B$8:$B$47,0)),"")="Feminino",6.5,10))</f>
        <v/>
      </c>
      <c r="AS181" s="35" t="str">
        <f aca="false">IF(OR($I181="",$J181="",$O181="",$F181=""),"",-0.7182+0.1451*(($I181+$J181+$O181)*(170.18/$F181))-0.00068*(($I181+$J181+$O181)*(170.18/$F181))^2+0.0000014*(($I181+$J181+$O181)*(170.18/$F181))^3)</f>
        <v/>
      </c>
      <c r="AT181" s="35" t="str">
        <f aca="false">IF(OR($AE181="",$AF181="",$T181="",$AA181="",$F181=""),"",0.858*$AE181+0.601*$AF181+0.188*($T181-$I181/10)+0.161*($AA181-$R181/10)-0.131*$F181+4.5)</f>
        <v/>
      </c>
      <c r="AU181" s="35" t="str">
        <f aca="false">IF(OR($E181="",$F181=""),"",IF($F181/$E181^(1/3)&gt;=40.75,0.732*($F181/$E181^(1/3))-28.58,IF($F181/$E181^(1/3)&gt;=38.25,0.463*($F181/$E181^(1/3))-17.63,0.1)))</f>
        <v/>
      </c>
      <c r="AV181" s="37" t="str">
        <f aca="false">IF(OR($AS181="",$AT181="",$AU181=""),"",IF(AND($AT181&gt;=$AS181,$AT181&gt;=$AU181),"Mesomorfo dominante",IF(AND($AU181&gt;=$AS181,$AU181&gt;=$AT181),"Ectomorfo dominante","Endomorfo dominante")))</f>
        <v/>
      </c>
    </row>
    <row r="182" customFormat="false" ht="15" hidden="false" customHeight="false" outlineLevel="0" collapsed="false">
      <c r="A182" s="29"/>
      <c r="B182" s="27"/>
      <c r="C182" s="28"/>
      <c r="D182" s="27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3" t="str">
        <f aca="false">IFERROR(DATEDIF(INDEX(Cadastro!$D$8:$D$47,MATCH($B182,Cadastro!$B$8:$B$47,0)),$A182,"Y"),"")</f>
        <v/>
      </c>
      <c r="AH182" s="33" t="str">
        <f aca="false">IF(COUNT($I182,$K182,$J182,$N182)&lt;4,"",$I182+$K182+$J182+$N182)</f>
        <v/>
      </c>
      <c r="AI182" s="33" t="str">
        <f aca="false">IF(COUNT($L182,$M182,$I182,$J182,$P182,$N182,$Q182)&lt;7,"",$L182+$M182+$I182+$J182+$P182+$N182+$Q182)</f>
        <v/>
      </c>
      <c r="AJ182" s="33" t="str">
        <f aca="false">IF(COUNT($I182,$J182,$K182,$O182,$P182,$Q182,$R182,$N182)&lt;8,"",$I182+$J182+$K182+$O182+$P182+$Q182+$R182+$N182)</f>
        <v/>
      </c>
      <c r="AK182" s="34" t="str">
        <f aca="false">IF(OR($AI182="",$AG182=""),"",IF(IFERROR(INDEX(Cadastro!$F$8:$F$47,MATCH($B182,Cadastro!$B$8:$B$47,0)),"")="Feminino",1.097-0.00046971*$AI182+0.00000056*$AI182^2-0.00012828*$AG182,1.112-0.00043499*$AI182+0.00000055*$AI182^2-0.00028826*$AG182))</f>
        <v/>
      </c>
      <c r="AL182" s="30" t="str">
        <f aca="false">IF(OR($AK182="",$AK182=0),"",495/$AK182-450)</f>
        <v/>
      </c>
      <c r="AM182" s="35" t="str">
        <f aca="false">IF(OR($AL182="",$E182=""),"",$E182*$AL182/100)</f>
        <v/>
      </c>
      <c r="AN182" s="30" t="str">
        <f aca="false">IF(OR($AM182="",$E182=""),"",$E182-$AM182)</f>
        <v/>
      </c>
      <c r="AO182" s="35" t="str">
        <f aca="false">IFERROR($E182/($F182/100)^2,"")</f>
        <v/>
      </c>
      <c r="AP182" s="35" t="str">
        <f aca="false">IFERROR($G182/$F182*100,"")</f>
        <v/>
      </c>
      <c r="AQ182" s="36" t="str">
        <f aca="false">IFERROR($W182/$F182,"")</f>
        <v/>
      </c>
      <c r="AR182" s="35" t="str">
        <f aca="false">IF(OR($S182="",$I182=""),"",($S182-PI()*$I182/10)^2/(4*PI())-IF(IFERROR(INDEX(Cadastro!$F$8:$F$47,MATCH($B182,Cadastro!$B$8:$B$47,0)),"")="Feminino",6.5,10))</f>
        <v/>
      </c>
      <c r="AS182" s="35" t="str">
        <f aca="false">IF(OR($I182="",$J182="",$O182="",$F182=""),"",-0.7182+0.1451*(($I182+$J182+$O182)*(170.18/$F182))-0.00068*(($I182+$J182+$O182)*(170.18/$F182))^2+0.0000014*(($I182+$J182+$O182)*(170.18/$F182))^3)</f>
        <v/>
      </c>
      <c r="AT182" s="35" t="str">
        <f aca="false">IF(OR($AE182="",$AF182="",$T182="",$AA182="",$F182=""),"",0.858*$AE182+0.601*$AF182+0.188*($T182-$I182/10)+0.161*($AA182-$R182/10)-0.131*$F182+4.5)</f>
        <v/>
      </c>
      <c r="AU182" s="35" t="str">
        <f aca="false">IF(OR($E182="",$F182=""),"",IF($F182/$E182^(1/3)&gt;=40.75,0.732*($F182/$E182^(1/3))-28.58,IF($F182/$E182^(1/3)&gt;=38.25,0.463*($F182/$E182^(1/3))-17.63,0.1)))</f>
        <v/>
      </c>
      <c r="AV182" s="37" t="str">
        <f aca="false">IF(OR($AS182="",$AT182="",$AU182=""),"",IF(AND($AT182&gt;=$AS182,$AT182&gt;=$AU182),"Mesomorfo dominante",IF(AND($AU182&gt;=$AS182,$AU182&gt;=$AT182),"Ectomorfo dominante","Endomorfo dominante")))</f>
        <v/>
      </c>
    </row>
    <row r="183" customFormat="false" ht="15" hidden="false" customHeight="false" outlineLevel="0" collapsed="false">
      <c r="A183" s="29"/>
      <c r="B183" s="27"/>
      <c r="C183" s="28"/>
      <c r="D183" s="27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3" t="str">
        <f aca="false">IFERROR(DATEDIF(INDEX(Cadastro!$D$8:$D$47,MATCH($B183,Cadastro!$B$8:$B$47,0)),$A183,"Y"),"")</f>
        <v/>
      </c>
      <c r="AH183" s="33" t="str">
        <f aca="false">IF(COUNT($I183,$K183,$J183,$N183)&lt;4,"",$I183+$K183+$J183+$N183)</f>
        <v/>
      </c>
      <c r="AI183" s="33" t="str">
        <f aca="false">IF(COUNT($L183,$M183,$I183,$J183,$P183,$N183,$Q183)&lt;7,"",$L183+$M183+$I183+$J183+$P183+$N183+$Q183)</f>
        <v/>
      </c>
      <c r="AJ183" s="33" t="str">
        <f aca="false">IF(COUNT($I183,$J183,$K183,$O183,$P183,$Q183,$R183,$N183)&lt;8,"",$I183+$J183+$K183+$O183+$P183+$Q183+$R183+$N183)</f>
        <v/>
      </c>
      <c r="AK183" s="34" t="str">
        <f aca="false">IF(OR($AI183="",$AG183=""),"",IF(IFERROR(INDEX(Cadastro!$F$8:$F$47,MATCH($B183,Cadastro!$B$8:$B$47,0)),"")="Feminino",1.097-0.00046971*$AI183+0.00000056*$AI183^2-0.00012828*$AG183,1.112-0.00043499*$AI183+0.00000055*$AI183^2-0.00028826*$AG183))</f>
        <v/>
      </c>
      <c r="AL183" s="30" t="str">
        <f aca="false">IF(OR($AK183="",$AK183=0),"",495/$AK183-450)</f>
        <v/>
      </c>
      <c r="AM183" s="35" t="str">
        <f aca="false">IF(OR($AL183="",$E183=""),"",$E183*$AL183/100)</f>
        <v/>
      </c>
      <c r="AN183" s="30" t="str">
        <f aca="false">IF(OR($AM183="",$E183=""),"",$E183-$AM183)</f>
        <v/>
      </c>
      <c r="AO183" s="35" t="str">
        <f aca="false">IFERROR($E183/($F183/100)^2,"")</f>
        <v/>
      </c>
      <c r="AP183" s="35" t="str">
        <f aca="false">IFERROR($G183/$F183*100,"")</f>
        <v/>
      </c>
      <c r="AQ183" s="36" t="str">
        <f aca="false">IFERROR($W183/$F183,"")</f>
        <v/>
      </c>
      <c r="AR183" s="35" t="str">
        <f aca="false">IF(OR($S183="",$I183=""),"",($S183-PI()*$I183/10)^2/(4*PI())-IF(IFERROR(INDEX(Cadastro!$F$8:$F$47,MATCH($B183,Cadastro!$B$8:$B$47,0)),"")="Feminino",6.5,10))</f>
        <v/>
      </c>
      <c r="AS183" s="35" t="str">
        <f aca="false">IF(OR($I183="",$J183="",$O183="",$F183=""),"",-0.7182+0.1451*(($I183+$J183+$O183)*(170.18/$F183))-0.00068*(($I183+$J183+$O183)*(170.18/$F183))^2+0.0000014*(($I183+$J183+$O183)*(170.18/$F183))^3)</f>
        <v/>
      </c>
      <c r="AT183" s="35" t="str">
        <f aca="false">IF(OR($AE183="",$AF183="",$T183="",$AA183="",$F183=""),"",0.858*$AE183+0.601*$AF183+0.188*($T183-$I183/10)+0.161*($AA183-$R183/10)-0.131*$F183+4.5)</f>
        <v/>
      </c>
      <c r="AU183" s="35" t="str">
        <f aca="false">IF(OR($E183="",$F183=""),"",IF($F183/$E183^(1/3)&gt;=40.75,0.732*($F183/$E183^(1/3))-28.58,IF($F183/$E183^(1/3)&gt;=38.25,0.463*($F183/$E183^(1/3))-17.63,0.1)))</f>
        <v/>
      </c>
      <c r="AV183" s="37" t="str">
        <f aca="false">IF(OR($AS183="",$AT183="",$AU183=""),"",IF(AND($AT183&gt;=$AS183,$AT183&gt;=$AU183),"Mesomorfo dominante",IF(AND($AU183&gt;=$AS183,$AU183&gt;=$AT183),"Ectomorfo dominante","Endomorfo dominante")))</f>
        <v/>
      </c>
    </row>
    <row r="184" customFormat="false" ht="15" hidden="false" customHeight="false" outlineLevel="0" collapsed="false">
      <c r="A184" s="29"/>
      <c r="B184" s="27"/>
      <c r="C184" s="28"/>
      <c r="D184" s="27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3" t="str">
        <f aca="false">IFERROR(DATEDIF(INDEX(Cadastro!$D$8:$D$47,MATCH($B184,Cadastro!$B$8:$B$47,0)),$A184,"Y"),"")</f>
        <v/>
      </c>
      <c r="AH184" s="33" t="str">
        <f aca="false">IF(COUNT($I184,$K184,$J184,$N184)&lt;4,"",$I184+$K184+$J184+$N184)</f>
        <v/>
      </c>
      <c r="AI184" s="33" t="str">
        <f aca="false">IF(COUNT($L184,$M184,$I184,$J184,$P184,$N184,$Q184)&lt;7,"",$L184+$M184+$I184+$J184+$P184+$N184+$Q184)</f>
        <v/>
      </c>
      <c r="AJ184" s="33" t="str">
        <f aca="false">IF(COUNT($I184,$J184,$K184,$O184,$P184,$Q184,$R184,$N184)&lt;8,"",$I184+$J184+$K184+$O184+$P184+$Q184+$R184+$N184)</f>
        <v/>
      </c>
      <c r="AK184" s="34" t="str">
        <f aca="false">IF(OR($AI184="",$AG184=""),"",IF(IFERROR(INDEX(Cadastro!$F$8:$F$47,MATCH($B184,Cadastro!$B$8:$B$47,0)),"")="Feminino",1.097-0.00046971*$AI184+0.00000056*$AI184^2-0.00012828*$AG184,1.112-0.00043499*$AI184+0.00000055*$AI184^2-0.00028826*$AG184))</f>
        <v/>
      </c>
      <c r="AL184" s="30" t="str">
        <f aca="false">IF(OR($AK184="",$AK184=0),"",495/$AK184-450)</f>
        <v/>
      </c>
      <c r="AM184" s="35" t="str">
        <f aca="false">IF(OR($AL184="",$E184=""),"",$E184*$AL184/100)</f>
        <v/>
      </c>
      <c r="AN184" s="30" t="str">
        <f aca="false">IF(OR($AM184="",$E184=""),"",$E184-$AM184)</f>
        <v/>
      </c>
      <c r="AO184" s="35" t="str">
        <f aca="false">IFERROR($E184/($F184/100)^2,"")</f>
        <v/>
      </c>
      <c r="AP184" s="35" t="str">
        <f aca="false">IFERROR($G184/$F184*100,"")</f>
        <v/>
      </c>
      <c r="AQ184" s="36" t="str">
        <f aca="false">IFERROR($W184/$F184,"")</f>
        <v/>
      </c>
      <c r="AR184" s="35" t="str">
        <f aca="false">IF(OR($S184="",$I184=""),"",($S184-PI()*$I184/10)^2/(4*PI())-IF(IFERROR(INDEX(Cadastro!$F$8:$F$47,MATCH($B184,Cadastro!$B$8:$B$47,0)),"")="Feminino",6.5,10))</f>
        <v/>
      </c>
      <c r="AS184" s="35" t="str">
        <f aca="false">IF(OR($I184="",$J184="",$O184="",$F184=""),"",-0.7182+0.1451*(($I184+$J184+$O184)*(170.18/$F184))-0.00068*(($I184+$J184+$O184)*(170.18/$F184))^2+0.0000014*(($I184+$J184+$O184)*(170.18/$F184))^3)</f>
        <v/>
      </c>
      <c r="AT184" s="35" t="str">
        <f aca="false">IF(OR($AE184="",$AF184="",$T184="",$AA184="",$F184=""),"",0.858*$AE184+0.601*$AF184+0.188*($T184-$I184/10)+0.161*($AA184-$R184/10)-0.131*$F184+4.5)</f>
        <v/>
      </c>
      <c r="AU184" s="35" t="str">
        <f aca="false">IF(OR($E184="",$F184=""),"",IF($F184/$E184^(1/3)&gt;=40.75,0.732*($F184/$E184^(1/3))-28.58,IF($F184/$E184^(1/3)&gt;=38.25,0.463*($F184/$E184^(1/3))-17.63,0.1)))</f>
        <v/>
      </c>
      <c r="AV184" s="37" t="str">
        <f aca="false">IF(OR($AS184="",$AT184="",$AU184=""),"",IF(AND($AT184&gt;=$AS184,$AT184&gt;=$AU184),"Mesomorfo dominante",IF(AND($AU184&gt;=$AS184,$AU184&gt;=$AT184),"Ectomorfo dominante","Endomorfo dominante")))</f>
        <v/>
      </c>
    </row>
    <row r="185" customFormat="false" ht="15" hidden="false" customHeight="false" outlineLevel="0" collapsed="false">
      <c r="A185" s="29"/>
      <c r="B185" s="27"/>
      <c r="C185" s="28"/>
      <c r="D185" s="27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3" t="str">
        <f aca="false">IFERROR(DATEDIF(INDEX(Cadastro!$D$8:$D$47,MATCH($B185,Cadastro!$B$8:$B$47,0)),$A185,"Y"),"")</f>
        <v/>
      </c>
      <c r="AH185" s="33" t="str">
        <f aca="false">IF(COUNT($I185,$K185,$J185,$N185)&lt;4,"",$I185+$K185+$J185+$N185)</f>
        <v/>
      </c>
      <c r="AI185" s="33" t="str">
        <f aca="false">IF(COUNT($L185,$M185,$I185,$J185,$P185,$N185,$Q185)&lt;7,"",$L185+$M185+$I185+$J185+$P185+$N185+$Q185)</f>
        <v/>
      </c>
      <c r="AJ185" s="33" t="str">
        <f aca="false">IF(COUNT($I185,$J185,$K185,$O185,$P185,$Q185,$R185,$N185)&lt;8,"",$I185+$J185+$K185+$O185+$P185+$Q185+$R185+$N185)</f>
        <v/>
      </c>
      <c r="AK185" s="34" t="str">
        <f aca="false">IF(OR($AI185="",$AG185=""),"",IF(IFERROR(INDEX(Cadastro!$F$8:$F$47,MATCH($B185,Cadastro!$B$8:$B$47,0)),"")="Feminino",1.097-0.00046971*$AI185+0.00000056*$AI185^2-0.00012828*$AG185,1.112-0.00043499*$AI185+0.00000055*$AI185^2-0.00028826*$AG185))</f>
        <v/>
      </c>
      <c r="AL185" s="30" t="str">
        <f aca="false">IF(OR($AK185="",$AK185=0),"",495/$AK185-450)</f>
        <v/>
      </c>
      <c r="AM185" s="35" t="str">
        <f aca="false">IF(OR($AL185="",$E185=""),"",$E185*$AL185/100)</f>
        <v/>
      </c>
      <c r="AN185" s="30" t="str">
        <f aca="false">IF(OR($AM185="",$E185=""),"",$E185-$AM185)</f>
        <v/>
      </c>
      <c r="AO185" s="35" t="str">
        <f aca="false">IFERROR($E185/($F185/100)^2,"")</f>
        <v/>
      </c>
      <c r="AP185" s="35" t="str">
        <f aca="false">IFERROR($G185/$F185*100,"")</f>
        <v/>
      </c>
      <c r="AQ185" s="36" t="str">
        <f aca="false">IFERROR($W185/$F185,"")</f>
        <v/>
      </c>
      <c r="AR185" s="35" t="str">
        <f aca="false">IF(OR($S185="",$I185=""),"",($S185-PI()*$I185/10)^2/(4*PI())-IF(IFERROR(INDEX(Cadastro!$F$8:$F$47,MATCH($B185,Cadastro!$B$8:$B$47,0)),"")="Feminino",6.5,10))</f>
        <v/>
      </c>
      <c r="AS185" s="35" t="str">
        <f aca="false">IF(OR($I185="",$J185="",$O185="",$F185=""),"",-0.7182+0.1451*(($I185+$J185+$O185)*(170.18/$F185))-0.00068*(($I185+$J185+$O185)*(170.18/$F185))^2+0.0000014*(($I185+$J185+$O185)*(170.18/$F185))^3)</f>
        <v/>
      </c>
      <c r="AT185" s="35" t="str">
        <f aca="false">IF(OR($AE185="",$AF185="",$T185="",$AA185="",$F185=""),"",0.858*$AE185+0.601*$AF185+0.188*($T185-$I185/10)+0.161*($AA185-$R185/10)-0.131*$F185+4.5)</f>
        <v/>
      </c>
      <c r="AU185" s="35" t="str">
        <f aca="false">IF(OR($E185="",$F185=""),"",IF($F185/$E185^(1/3)&gt;=40.75,0.732*($F185/$E185^(1/3))-28.58,IF($F185/$E185^(1/3)&gt;=38.25,0.463*($F185/$E185^(1/3))-17.63,0.1)))</f>
        <v/>
      </c>
      <c r="AV185" s="37" t="str">
        <f aca="false">IF(OR($AS185="",$AT185="",$AU185=""),"",IF(AND($AT185&gt;=$AS185,$AT185&gt;=$AU185),"Mesomorfo dominante",IF(AND($AU185&gt;=$AS185,$AU185&gt;=$AT185),"Ectomorfo dominante","Endomorfo dominante")))</f>
        <v/>
      </c>
    </row>
    <row r="186" customFormat="false" ht="15" hidden="false" customHeight="false" outlineLevel="0" collapsed="false">
      <c r="A186" s="29"/>
      <c r="B186" s="27"/>
      <c r="C186" s="28"/>
      <c r="D186" s="27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3" t="str">
        <f aca="false">IFERROR(DATEDIF(INDEX(Cadastro!$D$8:$D$47,MATCH($B186,Cadastro!$B$8:$B$47,0)),$A186,"Y"),"")</f>
        <v/>
      </c>
      <c r="AH186" s="33" t="str">
        <f aca="false">IF(COUNT($I186,$K186,$J186,$N186)&lt;4,"",$I186+$K186+$J186+$N186)</f>
        <v/>
      </c>
      <c r="AI186" s="33" t="str">
        <f aca="false">IF(COUNT($L186,$M186,$I186,$J186,$P186,$N186,$Q186)&lt;7,"",$L186+$M186+$I186+$J186+$P186+$N186+$Q186)</f>
        <v/>
      </c>
      <c r="AJ186" s="33" t="str">
        <f aca="false">IF(COUNT($I186,$J186,$K186,$O186,$P186,$Q186,$R186,$N186)&lt;8,"",$I186+$J186+$K186+$O186+$P186+$Q186+$R186+$N186)</f>
        <v/>
      </c>
      <c r="AK186" s="34" t="str">
        <f aca="false">IF(OR($AI186="",$AG186=""),"",IF(IFERROR(INDEX(Cadastro!$F$8:$F$47,MATCH($B186,Cadastro!$B$8:$B$47,0)),"")="Feminino",1.097-0.00046971*$AI186+0.00000056*$AI186^2-0.00012828*$AG186,1.112-0.00043499*$AI186+0.00000055*$AI186^2-0.00028826*$AG186))</f>
        <v/>
      </c>
      <c r="AL186" s="30" t="str">
        <f aca="false">IF(OR($AK186="",$AK186=0),"",495/$AK186-450)</f>
        <v/>
      </c>
      <c r="AM186" s="35" t="str">
        <f aca="false">IF(OR($AL186="",$E186=""),"",$E186*$AL186/100)</f>
        <v/>
      </c>
      <c r="AN186" s="30" t="str">
        <f aca="false">IF(OR($AM186="",$E186=""),"",$E186-$AM186)</f>
        <v/>
      </c>
      <c r="AO186" s="35" t="str">
        <f aca="false">IFERROR($E186/($F186/100)^2,"")</f>
        <v/>
      </c>
      <c r="AP186" s="35" t="str">
        <f aca="false">IFERROR($G186/$F186*100,"")</f>
        <v/>
      </c>
      <c r="AQ186" s="36" t="str">
        <f aca="false">IFERROR($W186/$F186,"")</f>
        <v/>
      </c>
      <c r="AR186" s="35" t="str">
        <f aca="false">IF(OR($S186="",$I186=""),"",($S186-PI()*$I186/10)^2/(4*PI())-IF(IFERROR(INDEX(Cadastro!$F$8:$F$47,MATCH($B186,Cadastro!$B$8:$B$47,0)),"")="Feminino",6.5,10))</f>
        <v/>
      </c>
      <c r="AS186" s="35" t="str">
        <f aca="false">IF(OR($I186="",$J186="",$O186="",$F186=""),"",-0.7182+0.1451*(($I186+$J186+$O186)*(170.18/$F186))-0.00068*(($I186+$J186+$O186)*(170.18/$F186))^2+0.0000014*(($I186+$J186+$O186)*(170.18/$F186))^3)</f>
        <v/>
      </c>
      <c r="AT186" s="35" t="str">
        <f aca="false">IF(OR($AE186="",$AF186="",$T186="",$AA186="",$F186=""),"",0.858*$AE186+0.601*$AF186+0.188*($T186-$I186/10)+0.161*($AA186-$R186/10)-0.131*$F186+4.5)</f>
        <v/>
      </c>
      <c r="AU186" s="35" t="str">
        <f aca="false">IF(OR($E186="",$F186=""),"",IF($F186/$E186^(1/3)&gt;=40.75,0.732*($F186/$E186^(1/3))-28.58,IF($F186/$E186^(1/3)&gt;=38.25,0.463*($F186/$E186^(1/3))-17.63,0.1)))</f>
        <v/>
      </c>
      <c r="AV186" s="37" t="str">
        <f aca="false">IF(OR($AS186="",$AT186="",$AU186=""),"",IF(AND($AT186&gt;=$AS186,$AT186&gt;=$AU186),"Mesomorfo dominante",IF(AND($AU186&gt;=$AS186,$AU186&gt;=$AT186),"Ectomorfo dominante","Endomorfo dominante")))</f>
        <v/>
      </c>
    </row>
    <row r="187" customFormat="false" ht="15" hidden="false" customHeight="false" outlineLevel="0" collapsed="false">
      <c r="A187" s="29"/>
      <c r="B187" s="27"/>
      <c r="C187" s="28"/>
      <c r="D187" s="27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3" t="str">
        <f aca="false">IFERROR(DATEDIF(INDEX(Cadastro!$D$8:$D$47,MATCH($B187,Cadastro!$B$8:$B$47,0)),$A187,"Y"),"")</f>
        <v/>
      </c>
      <c r="AH187" s="33" t="str">
        <f aca="false">IF(COUNT($I187,$K187,$J187,$N187)&lt;4,"",$I187+$K187+$J187+$N187)</f>
        <v/>
      </c>
      <c r="AI187" s="33" t="str">
        <f aca="false">IF(COUNT($L187,$M187,$I187,$J187,$P187,$N187,$Q187)&lt;7,"",$L187+$M187+$I187+$J187+$P187+$N187+$Q187)</f>
        <v/>
      </c>
      <c r="AJ187" s="33" t="str">
        <f aca="false">IF(COUNT($I187,$J187,$K187,$O187,$P187,$Q187,$R187,$N187)&lt;8,"",$I187+$J187+$K187+$O187+$P187+$Q187+$R187+$N187)</f>
        <v/>
      </c>
      <c r="AK187" s="34" t="str">
        <f aca="false">IF(OR($AI187="",$AG187=""),"",IF(IFERROR(INDEX(Cadastro!$F$8:$F$47,MATCH($B187,Cadastro!$B$8:$B$47,0)),"")="Feminino",1.097-0.00046971*$AI187+0.00000056*$AI187^2-0.00012828*$AG187,1.112-0.00043499*$AI187+0.00000055*$AI187^2-0.00028826*$AG187))</f>
        <v/>
      </c>
      <c r="AL187" s="30" t="str">
        <f aca="false">IF(OR($AK187="",$AK187=0),"",495/$AK187-450)</f>
        <v/>
      </c>
      <c r="AM187" s="35" t="str">
        <f aca="false">IF(OR($AL187="",$E187=""),"",$E187*$AL187/100)</f>
        <v/>
      </c>
      <c r="AN187" s="30" t="str">
        <f aca="false">IF(OR($AM187="",$E187=""),"",$E187-$AM187)</f>
        <v/>
      </c>
      <c r="AO187" s="35" t="str">
        <f aca="false">IFERROR($E187/($F187/100)^2,"")</f>
        <v/>
      </c>
      <c r="AP187" s="35" t="str">
        <f aca="false">IFERROR($G187/$F187*100,"")</f>
        <v/>
      </c>
      <c r="AQ187" s="36" t="str">
        <f aca="false">IFERROR($W187/$F187,"")</f>
        <v/>
      </c>
      <c r="AR187" s="35" t="str">
        <f aca="false">IF(OR($S187="",$I187=""),"",($S187-PI()*$I187/10)^2/(4*PI())-IF(IFERROR(INDEX(Cadastro!$F$8:$F$47,MATCH($B187,Cadastro!$B$8:$B$47,0)),"")="Feminino",6.5,10))</f>
        <v/>
      </c>
      <c r="AS187" s="35" t="str">
        <f aca="false">IF(OR($I187="",$J187="",$O187="",$F187=""),"",-0.7182+0.1451*(($I187+$J187+$O187)*(170.18/$F187))-0.00068*(($I187+$J187+$O187)*(170.18/$F187))^2+0.0000014*(($I187+$J187+$O187)*(170.18/$F187))^3)</f>
        <v/>
      </c>
      <c r="AT187" s="35" t="str">
        <f aca="false">IF(OR($AE187="",$AF187="",$T187="",$AA187="",$F187=""),"",0.858*$AE187+0.601*$AF187+0.188*($T187-$I187/10)+0.161*($AA187-$R187/10)-0.131*$F187+4.5)</f>
        <v/>
      </c>
      <c r="AU187" s="35" t="str">
        <f aca="false">IF(OR($E187="",$F187=""),"",IF($F187/$E187^(1/3)&gt;=40.75,0.732*($F187/$E187^(1/3))-28.58,IF($F187/$E187^(1/3)&gt;=38.25,0.463*($F187/$E187^(1/3))-17.63,0.1)))</f>
        <v/>
      </c>
      <c r="AV187" s="37" t="str">
        <f aca="false">IF(OR($AS187="",$AT187="",$AU187=""),"",IF(AND($AT187&gt;=$AS187,$AT187&gt;=$AU187),"Mesomorfo dominante",IF(AND($AU187&gt;=$AS187,$AU187&gt;=$AT187),"Ectomorfo dominante","Endomorfo dominante")))</f>
        <v/>
      </c>
    </row>
    <row r="188" customFormat="false" ht="15" hidden="false" customHeight="false" outlineLevel="0" collapsed="false">
      <c r="A188" s="29"/>
      <c r="B188" s="27"/>
      <c r="C188" s="28"/>
      <c r="D188" s="27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3" t="str">
        <f aca="false">IFERROR(DATEDIF(INDEX(Cadastro!$D$8:$D$47,MATCH($B188,Cadastro!$B$8:$B$47,0)),$A188,"Y"),"")</f>
        <v/>
      </c>
      <c r="AH188" s="33" t="str">
        <f aca="false">IF(COUNT($I188,$K188,$J188,$N188)&lt;4,"",$I188+$K188+$J188+$N188)</f>
        <v/>
      </c>
      <c r="AI188" s="33" t="str">
        <f aca="false">IF(COUNT($L188,$M188,$I188,$J188,$P188,$N188,$Q188)&lt;7,"",$L188+$M188+$I188+$J188+$P188+$N188+$Q188)</f>
        <v/>
      </c>
      <c r="AJ188" s="33" t="str">
        <f aca="false">IF(COUNT($I188,$J188,$K188,$O188,$P188,$Q188,$R188,$N188)&lt;8,"",$I188+$J188+$K188+$O188+$P188+$Q188+$R188+$N188)</f>
        <v/>
      </c>
      <c r="AK188" s="34" t="str">
        <f aca="false">IF(OR($AI188="",$AG188=""),"",IF(IFERROR(INDEX(Cadastro!$F$8:$F$47,MATCH($B188,Cadastro!$B$8:$B$47,0)),"")="Feminino",1.097-0.00046971*$AI188+0.00000056*$AI188^2-0.00012828*$AG188,1.112-0.00043499*$AI188+0.00000055*$AI188^2-0.00028826*$AG188))</f>
        <v/>
      </c>
      <c r="AL188" s="30" t="str">
        <f aca="false">IF(OR($AK188="",$AK188=0),"",495/$AK188-450)</f>
        <v/>
      </c>
      <c r="AM188" s="35" t="str">
        <f aca="false">IF(OR($AL188="",$E188=""),"",$E188*$AL188/100)</f>
        <v/>
      </c>
      <c r="AN188" s="30" t="str">
        <f aca="false">IF(OR($AM188="",$E188=""),"",$E188-$AM188)</f>
        <v/>
      </c>
      <c r="AO188" s="35" t="str">
        <f aca="false">IFERROR($E188/($F188/100)^2,"")</f>
        <v/>
      </c>
      <c r="AP188" s="35" t="str">
        <f aca="false">IFERROR($G188/$F188*100,"")</f>
        <v/>
      </c>
      <c r="AQ188" s="36" t="str">
        <f aca="false">IFERROR($W188/$F188,"")</f>
        <v/>
      </c>
      <c r="AR188" s="35" t="str">
        <f aca="false">IF(OR($S188="",$I188=""),"",($S188-PI()*$I188/10)^2/(4*PI())-IF(IFERROR(INDEX(Cadastro!$F$8:$F$47,MATCH($B188,Cadastro!$B$8:$B$47,0)),"")="Feminino",6.5,10))</f>
        <v/>
      </c>
      <c r="AS188" s="35" t="str">
        <f aca="false">IF(OR($I188="",$J188="",$O188="",$F188=""),"",-0.7182+0.1451*(($I188+$J188+$O188)*(170.18/$F188))-0.00068*(($I188+$J188+$O188)*(170.18/$F188))^2+0.0000014*(($I188+$J188+$O188)*(170.18/$F188))^3)</f>
        <v/>
      </c>
      <c r="AT188" s="35" t="str">
        <f aca="false">IF(OR($AE188="",$AF188="",$T188="",$AA188="",$F188=""),"",0.858*$AE188+0.601*$AF188+0.188*($T188-$I188/10)+0.161*($AA188-$R188/10)-0.131*$F188+4.5)</f>
        <v/>
      </c>
      <c r="AU188" s="35" t="str">
        <f aca="false">IF(OR($E188="",$F188=""),"",IF($F188/$E188^(1/3)&gt;=40.75,0.732*($F188/$E188^(1/3))-28.58,IF($F188/$E188^(1/3)&gt;=38.25,0.463*($F188/$E188^(1/3))-17.63,0.1)))</f>
        <v/>
      </c>
      <c r="AV188" s="37" t="str">
        <f aca="false">IF(OR($AS188="",$AT188="",$AU188=""),"",IF(AND($AT188&gt;=$AS188,$AT188&gt;=$AU188),"Mesomorfo dominante",IF(AND($AU188&gt;=$AS188,$AU188&gt;=$AT188),"Ectomorfo dominante","Endomorfo dominante")))</f>
        <v/>
      </c>
    </row>
    <row r="189" customFormat="false" ht="15" hidden="false" customHeight="false" outlineLevel="0" collapsed="false">
      <c r="A189" s="29"/>
      <c r="B189" s="27"/>
      <c r="C189" s="28"/>
      <c r="D189" s="27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3" t="str">
        <f aca="false">IFERROR(DATEDIF(INDEX(Cadastro!$D$8:$D$47,MATCH($B189,Cadastro!$B$8:$B$47,0)),$A189,"Y"),"")</f>
        <v/>
      </c>
      <c r="AH189" s="33" t="str">
        <f aca="false">IF(COUNT($I189,$K189,$J189,$N189)&lt;4,"",$I189+$K189+$J189+$N189)</f>
        <v/>
      </c>
      <c r="AI189" s="33" t="str">
        <f aca="false">IF(COUNT($L189,$M189,$I189,$J189,$P189,$N189,$Q189)&lt;7,"",$L189+$M189+$I189+$J189+$P189+$N189+$Q189)</f>
        <v/>
      </c>
      <c r="AJ189" s="33" t="str">
        <f aca="false">IF(COUNT($I189,$J189,$K189,$O189,$P189,$Q189,$R189,$N189)&lt;8,"",$I189+$J189+$K189+$O189+$P189+$Q189+$R189+$N189)</f>
        <v/>
      </c>
      <c r="AK189" s="34" t="str">
        <f aca="false">IF(OR($AI189="",$AG189=""),"",IF(IFERROR(INDEX(Cadastro!$F$8:$F$47,MATCH($B189,Cadastro!$B$8:$B$47,0)),"")="Feminino",1.097-0.00046971*$AI189+0.00000056*$AI189^2-0.00012828*$AG189,1.112-0.00043499*$AI189+0.00000055*$AI189^2-0.00028826*$AG189))</f>
        <v/>
      </c>
      <c r="AL189" s="30" t="str">
        <f aca="false">IF(OR($AK189="",$AK189=0),"",495/$AK189-450)</f>
        <v/>
      </c>
      <c r="AM189" s="35" t="str">
        <f aca="false">IF(OR($AL189="",$E189=""),"",$E189*$AL189/100)</f>
        <v/>
      </c>
      <c r="AN189" s="30" t="str">
        <f aca="false">IF(OR($AM189="",$E189=""),"",$E189-$AM189)</f>
        <v/>
      </c>
      <c r="AO189" s="35" t="str">
        <f aca="false">IFERROR($E189/($F189/100)^2,"")</f>
        <v/>
      </c>
      <c r="AP189" s="35" t="str">
        <f aca="false">IFERROR($G189/$F189*100,"")</f>
        <v/>
      </c>
      <c r="AQ189" s="36" t="str">
        <f aca="false">IFERROR($W189/$F189,"")</f>
        <v/>
      </c>
      <c r="AR189" s="35" t="str">
        <f aca="false">IF(OR($S189="",$I189=""),"",($S189-PI()*$I189/10)^2/(4*PI())-IF(IFERROR(INDEX(Cadastro!$F$8:$F$47,MATCH($B189,Cadastro!$B$8:$B$47,0)),"")="Feminino",6.5,10))</f>
        <v/>
      </c>
      <c r="AS189" s="35" t="str">
        <f aca="false">IF(OR($I189="",$J189="",$O189="",$F189=""),"",-0.7182+0.1451*(($I189+$J189+$O189)*(170.18/$F189))-0.00068*(($I189+$J189+$O189)*(170.18/$F189))^2+0.0000014*(($I189+$J189+$O189)*(170.18/$F189))^3)</f>
        <v/>
      </c>
      <c r="AT189" s="35" t="str">
        <f aca="false">IF(OR($AE189="",$AF189="",$T189="",$AA189="",$F189=""),"",0.858*$AE189+0.601*$AF189+0.188*($T189-$I189/10)+0.161*($AA189-$R189/10)-0.131*$F189+4.5)</f>
        <v/>
      </c>
      <c r="AU189" s="35" t="str">
        <f aca="false">IF(OR($E189="",$F189=""),"",IF($F189/$E189^(1/3)&gt;=40.75,0.732*($F189/$E189^(1/3))-28.58,IF($F189/$E189^(1/3)&gt;=38.25,0.463*($F189/$E189^(1/3))-17.63,0.1)))</f>
        <v/>
      </c>
      <c r="AV189" s="37" t="str">
        <f aca="false">IF(OR($AS189="",$AT189="",$AU189=""),"",IF(AND($AT189&gt;=$AS189,$AT189&gt;=$AU189),"Mesomorfo dominante",IF(AND($AU189&gt;=$AS189,$AU189&gt;=$AT189),"Ectomorfo dominante","Endomorfo dominante")))</f>
        <v/>
      </c>
    </row>
    <row r="190" customFormat="false" ht="15" hidden="false" customHeight="false" outlineLevel="0" collapsed="false">
      <c r="A190" s="29"/>
      <c r="B190" s="27"/>
      <c r="C190" s="28"/>
      <c r="D190" s="27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3" t="str">
        <f aca="false">IFERROR(DATEDIF(INDEX(Cadastro!$D$8:$D$47,MATCH($B190,Cadastro!$B$8:$B$47,0)),$A190,"Y"),"")</f>
        <v/>
      </c>
      <c r="AH190" s="33" t="str">
        <f aca="false">IF(COUNT($I190,$K190,$J190,$N190)&lt;4,"",$I190+$K190+$J190+$N190)</f>
        <v/>
      </c>
      <c r="AI190" s="33" t="str">
        <f aca="false">IF(COUNT($L190,$M190,$I190,$J190,$P190,$N190,$Q190)&lt;7,"",$L190+$M190+$I190+$J190+$P190+$N190+$Q190)</f>
        <v/>
      </c>
      <c r="AJ190" s="33" t="str">
        <f aca="false">IF(COUNT($I190,$J190,$K190,$O190,$P190,$Q190,$R190,$N190)&lt;8,"",$I190+$J190+$K190+$O190+$P190+$Q190+$R190+$N190)</f>
        <v/>
      </c>
      <c r="AK190" s="34" t="str">
        <f aca="false">IF(OR($AI190="",$AG190=""),"",IF(IFERROR(INDEX(Cadastro!$F$8:$F$47,MATCH($B190,Cadastro!$B$8:$B$47,0)),"")="Feminino",1.097-0.00046971*$AI190+0.00000056*$AI190^2-0.00012828*$AG190,1.112-0.00043499*$AI190+0.00000055*$AI190^2-0.00028826*$AG190))</f>
        <v/>
      </c>
      <c r="AL190" s="30" t="str">
        <f aca="false">IF(OR($AK190="",$AK190=0),"",495/$AK190-450)</f>
        <v/>
      </c>
      <c r="AM190" s="35" t="str">
        <f aca="false">IF(OR($AL190="",$E190=""),"",$E190*$AL190/100)</f>
        <v/>
      </c>
      <c r="AN190" s="30" t="str">
        <f aca="false">IF(OR($AM190="",$E190=""),"",$E190-$AM190)</f>
        <v/>
      </c>
      <c r="AO190" s="35" t="str">
        <f aca="false">IFERROR($E190/($F190/100)^2,"")</f>
        <v/>
      </c>
      <c r="AP190" s="35" t="str">
        <f aca="false">IFERROR($G190/$F190*100,"")</f>
        <v/>
      </c>
      <c r="AQ190" s="36" t="str">
        <f aca="false">IFERROR($W190/$F190,"")</f>
        <v/>
      </c>
      <c r="AR190" s="35" t="str">
        <f aca="false">IF(OR($S190="",$I190=""),"",($S190-PI()*$I190/10)^2/(4*PI())-IF(IFERROR(INDEX(Cadastro!$F$8:$F$47,MATCH($B190,Cadastro!$B$8:$B$47,0)),"")="Feminino",6.5,10))</f>
        <v/>
      </c>
      <c r="AS190" s="35" t="str">
        <f aca="false">IF(OR($I190="",$J190="",$O190="",$F190=""),"",-0.7182+0.1451*(($I190+$J190+$O190)*(170.18/$F190))-0.00068*(($I190+$J190+$O190)*(170.18/$F190))^2+0.0000014*(($I190+$J190+$O190)*(170.18/$F190))^3)</f>
        <v/>
      </c>
      <c r="AT190" s="35" t="str">
        <f aca="false">IF(OR($AE190="",$AF190="",$T190="",$AA190="",$F190=""),"",0.858*$AE190+0.601*$AF190+0.188*($T190-$I190/10)+0.161*($AA190-$R190/10)-0.131*$F190+4.5)</f>
        <v/>
      </c>
      <c r="AU190" s="35" t="str">
        <f aca="false">IF(OR($E190="",$F190=""),"",IF($F190/$E190^(1/3)&gt;=40.75,0.732*($F190/$E190^(1/3))-28.58,IF($F190/$E190^(1/3)&gt;=38.25,0.463*($F190/$E190^(1/3))-17.63,0.1)))</f>
        <v/>
      </c>
      <c r="AV190" s="37" t="str">
        <f aca="false">IF(OR($AS190="",$AT190="",$AU190=""),"",IF(AND($AT190&gt;=$AS190,$AT190&gt;=$AU190),"Mesomorfo dominante",IF(AND($AU190&gt;=$AS190,$AU190&gt;=$AT190),"Ectomorfo dominante","Endomorfo dominante")))</f>
        <v/>
      </c>
    </row>
    <row r="191" customFormat="false" ht="15" hidden="false" customHeight="false" outlineLevel="0" collapsed="false">
      <c r="A191" s="29"/>
      <c r="B191" s="27"/>
      <c r="C191" s="28"/>
      <c r="D191" s="27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3" t="str">
        <f aca="false">IFERROR(DATEDIF(INDEX(Cadastro!$D$8:$D$47,MATCH($B191,Cadastro!$B$8:$B$47,0)),$A191,"Y"),"")</f>
        <v/>
      </c>
      <c r="AH191" s="33" t="str">
        <f aca="false">IF(COUNT($I191,$K191,$J191,$N191)&lt;4,"",$I191+$K191+$J191+$N191)</f>
        <v/>
      </c>
      <c r="AI191" s="33" t="str">
        <f aca="false">IF(COUNT($L191,$M191,$I191,$J191,$P191,$N191,$Q191)&lt;7,"",$L191+$M191+$I191+$J191+$P191+$N191+$Q191)</f>
        <v/>
      </c>
      <c r="AJ191" s="33" t="str">
        <f aca="false">IF(COUNT($I191,$J191,$K191,$O191,$P191,$Q191,$R191,$N191)&lt;8,"",$I191+$J191+$K191+$O191+$P191+$Q191+$R191+$N191)</f>
        <v/>
      </c>
      <c r="AK191" s="34" t="str">
        <f aca="false">IF(OR($AI191="",$AG191=""),"",IF(IFERROR(INDEX(Cadastro!$F$8:$F$47,MATCH($B191,Cadastro!$B$8:$B$47,0)),"")="Feminino",1.097-0.00046971*$AI191+0.00000056*$AI191^2-0.00012828*$AG191,1.112-0.00043499*$AI191+0.00000055*$AI191^2-0.00028826*$AG191))</f>
        <v/>
      </c>
      <c r="AL191" s="30" t="str">
        <f aca="false">IF(OR($AK191="",$AK191=0),"",495/$AK191-450)</f>
        <v/>
      </c>
      <c r="AM191" s="35" t="str">
        <f aca="false">IF(OR($AL191="",$E191=""),"",$E191*$AL191/100)</f>
        <v/>
      </c>
      <c r="AN191" s="30" t="str">
        <f aca="false">IF(OR($AM191="",$E191=""),"",$E191-$AM191)</f>
        <v/>
      </c>
      <c r="AO191" s="35" t="str">
        <f aca="false">IFERROR($E191/($F191/100)^2,"")</f>
        <v/>
      </c>
      <c r="AP191" s="35" t="str">
        <f aca="false">IFERROR($G191/$F191*100,"")</f>
        <v/>
      </c>
      <c r="AQ191" s="36" t="str">
        <f aca="false">IFERROR($W191/$F191,"")</f>
        <v/>
      </c>
      <c r="AR191" s="35" t="str">
        <f aca="false">IF(OR($S191="",$I191=""),"",($S191-PI()*$I191/10)^2/(4*PI())-IF(IFERROR(INDEX(Cadastro!$F$8:$F$47,MATCH($B191,Cadastro!$B$8:$B$47,0)),"")="Feminino",6.5,10))</f>
        <v/>
      </c>
      <c r="AS191" s="35" t="str">
        <f aca="false">IF(OR($I191="",$J191="",$O191="",$F191=""),"",-0.7182+0.1451*(($I191+$J191+$O191)*(170.18/$F191))-0.00068*(($I191+$J191+$O191)*(170.18/$F191))^2+0.0000014*(($I191+$J191+$O191)*(170.18/$F191))^3)</f>
        <v/>
      </c>
      <c r="AT191" s="35" t="str">
        <f aca="false">IF(OR($AE191="",$AF191="",$T191="",$AA191="",$F191=""),"",0.858*$AE191+0.601*$AF191+0.188*($T191-$I191/10)+0.161*($AA191-$R191/10)-0.131*$F191+4.5)</f>
        <v/>
      </c>
      <c r="AU191" s="35" t="str">
        <f aca="false">IF(OR($E191="",$F191=""),"",IF($F191/$E191^(1/3)&gt;=40.75,0.732*($F191/$E191^(1/3))-28.58,IF($F191/$E191^(1/3)&gt;=38.25,0.463*($F191/$E191^(1/3))-17.63,0.1)))</f>
        <v/>
      </c>
      <c r="AV191" s="37" t="str">
        <f aca="false">IF(OR($AS191="",$AT191="",$AU191=""),"",IF(AND($AT191&gt;=$AS191,$AT191&gt;=$AU191),"Mesomorfo dominante",IF(AND($AU191&gt;=$AS191,$AU191&gt;=$AT191),"Ectomorfo dominante","Endomorfo dominante")))</f>
        <v/>
      </c>
    </row>
    <row r="192" customFormat="false" ht="15" hidden="false" customHeight="false" outlineLevel="0" collapsed="false">
      <c r="A192" s="29"/>
      <c r="B192" s="27"/>
      <c r="C192" s="28"/>
      <c r="D192" s="27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3" t="str">
        <f aca="false">IFERROR(DATEDIF(INDEX(Cadastro!$D$8:$D$47,MATCH($B192,Cadastro!$B$8:$B$47,0)),$A192,"Y"),"")</f>
        <v/>
      </c>
      <c r="AH192" s="33" t="str">
        <f aca="false">IF(COUNT($I192,$K192,$J192,$N192)&lt;4,"",$I192+$K192+$J192+$N192)</f>
        <v/>
      </c>
      <c r="AI192" s="33" t="str">
        <f aca="false">IF(COUNT($L192,$M192,$I192,$J192,$P192,$N192,$Q192)&lt;7,"",$L192+$M192+$I192+$J192+$P192+$N192+$Q192)</f>
        <v/>
      </c>
      <c r="AJ192" s="33" t="str">
        <f aca="false">IF(COUNT($I192,$J192,$K192,$O192,$P192,$Q192,$R192,$N192)&lt;8,"",$I192+$J192+$K192+$O192+$P192+$Q192+$R192+$N192)</f>
        <v/>
      </c>
      <c r="AK192" s="34" t="str">
        <f aca="false">IF(OR($AI192="",$AG192=""),"",IF(IFERROR(INDEX(Cadastro!$F$8:$F$47,MATCH($B192,Cadastro!$B$8:$B$47,0)),"")="Feminino",1.097-0.00046971*$AI192+0.00000056*$AI192^2-0.00012828*$AG192,1.112-0.00043499*$AI192+0.00000055*$AI192^2-0.00028826*$AG192))</f>
        <v/>
      </c>
      <c r="AL192" s="30" t="str">
        <f aca="false">IF(OR($AK192="",$AK192=0),"",495/$AK192-450)</f>
        <v/>
      </c>
      <c r="AM192" s="35" t="str">
        <f aca="false">IF(OR($AL192="",$E192=""),"",$E192*$AL192/100)</f>
        <v/>
      </c>
      <c r="AN192" s="30" t="str">
        <f aca="false">IF(OR($AM192="",$E192=""),"",$E192-$AM192)</f>
        <v/>
      </c>
      <c r="AO192" s="35" t="str">
        <f aca="false">IFERROR($E192/($F192/100)^2,"")</f>
        <v/>
      </c>
      <c r="AP192" s="35" t="str">
        <f aca="false">IFERROR($G192/$F192*100,"")</f>
        <v/>
      </c>
      <c r="AQ192" s="36" t="str">
        <f aca="false">IFERROR($W192/$F192,"")</f>
        <v/>
      </c>
      <c r="AR192" s="35" t="str">
        <f aca="false">IF(OR($S192="",$I192=""),"",($S192-PI()*$I192/10)^2/(4*PI())-IF(IFERROR(INDEX(Cadastro!$F$8:$F$47,MATCH($B192,Cadastro!$B$8:$B$47,0)),"")="Feminino",6.5,10))</f>
        <v/>
      </c>
      <c r="AS192" s="35" t="str">
        <f aca="false">IF(OR($I192="",$J192="",$O192="",$F192=""),"",-0.7182+0.1451*(($I192+$J192+$O192)*(170.18/$F192))-0.00068*(($I192+$J192+$O192)*(170.18/$F192))^2+0.0000014*(($I192+$J192+$O192)*(170.18/$F192))^3)</f>
        <v/>
      </c>
      <c r="AT192" s="35" t="str">
        <f aca="false">IF(OR($AE192="",$AF192="",$T192="",$AA192="",$F192=""),"",0.858*$AE192+0.601*$AF192+0.188*($T192-$I192/10)+0.161*($AA192-$R192/10)-0.131*$F192+4.5)</f>
        <v/>
      </c>
      <c r="AU192" s="35" t="str">
        <f aca="false">IF(OR($E192="",$F192=""),"",IF($F192/$E192^(1/3)&gt;=40.75,0.732*($F192/$E192^(1/3))-28.58,IF($F192/$E192^(1/3)&gt;=38.25,0.463*($F192/$E192^(1/3))-17.63,0.1)))</f>
        <v/>
      </c>
      <c r="AV192" s="37" t="str">
        <f aca="false">IF(OR($AS192="",$AT192="",$AU192=""),"",IF(AND($AT192&gt;=$AS192,$AT192&gt;=$AU192),"Mesomorfo dominante",IF(AND($AU192&gt;=$AS192,$AU192&gt;=$AT192),"Ectomorfo dominante","Endomorfo dominante")))</f>
        <v/>
      </c>
    </row>
    <row r="193" customFormat="false" ht="15" hidden="false" customHeight="false" outlineLevel="0" collapsed="false">
      <c r="A193" s="29"/>
      <c r="B193" s="27"/>
      <c r="C193" s="28"/>
      <c r="D193" s="27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3" t="str">
        <f aca="false">IFERROR(DATEDIF(INDEX(Cadastro!$D$8:$D$47,MATCH($B193,Cadastro!$B$8:$B$47,0)),$A193,"Y"),"")</f>
        <v/>
      </c>
      <c r="AH193" s="33" t="str">
        <f aca="false">IF(COUNT($I193,$K193,$J193,$N193)&lt;4,"",$I193+$K193+$J193+$N193)</f>
        <v/>
      </c>
      <c r="AI193" s="33" t="str">
        <f aca="false">IF(COUNT($L193,$M193,$I193,$J193,$P193,$N193,$Q193)&lt;7,"",$L193+$M193+$I193+$J193+$P193+$N193+$Q193)</f>
        <v/>
      </c>
      <c r="AJ193" s="33" t="str">
        <f aca="false">IF(COUNT($I193,$J193,$K193,$O193,$P193,$Q193,$R193,$N193)&lt;8,"",$I193+$J193+$K193+$O193+$P193+$Q193+$R193+$N193)</f>
        <v/>
      </c>
      <c r="AK193" s="34" t="str">
        <f aca="false">IF(OR($AI193="",$AG193=""),"",IF(IFERROR(INDEX(Cadastro!$F$8:$F$47,MATCH($B193,Cadastro!$B$8:$B$47,0)),"")="Feminino",1.097-0.00046971*$AI193+0.00000056*$AI193^2-0.00012828*$AG193,1.112-0.00043499*$AI193+0.00000055*$AI193^2-0.00028826*$AG193))</f>
        <v/>
      </c>
      <c r="AL193" s="30" t="str">
        <f aca="false">IF(OR($AK193="",$AK193=0),"",495/$AK193-450)</f>
        <v/>
      </c>
      <c r="AM193" s="35" t="str">
        <f aca="false">IF(OR($AL193="",$E193=""),"",$E193*$AL193/100)</f>
        <v/>
      </c>
      <c r="AN193" s="30" t="str">
        <f aca="false">IF(OR($AM193="",$E193=""),"",$E193-$AM193)</f>
        <v/>
      </c>
      <c r="AO193" s="35" t="str">
        <f aca="false">IFERROR($E193/($F193/100)^2,"")</f>
        <v/>
      </c>
      <c r="AP193" s="35" t="str">
        <f aca="false">IFERROR($G193/$F193*100,"")</f>
        <v/>
      </c>
      <c r="AQ193" s="36" t="str">
        <f aca="false">IFERROR($W193/$F193,"")</f>
        <v/>
      </c>
      <c r="AR193" s="35" t="str">
        <f aca="false">IF(OR($S193="",$I193=""),"",($S193-PI()*$I193/10)^2/(4*PI())-IF(IFERROR(INDEX(Cadastro!$F$8:$F$47,MATCH($B193,Cadastro!$B$8:$B$47,0)),"")="Feminino",6.5,10))</f>
        <v/>
      </c>
      <c r="AS193" s="35" t="str">
        <f aca="false">IF(OR($I193="",$J193="",$O193="",$F193=""),"",-0.7182+0.1451*(($I193+$J193+$O193)*(170.18/$F193))-0.00068*(($I193+$J193+$O193)*(170.18/$F193))^2+0.0000014*(($I193+$J193+$O193)*(170.18/$F193))^3)</f>
        <v/>
      </c>
      <c r="AT193" s="35" t="str">
        <f aca="false">IF(OR($AE193="",$AF193="",$T193="",$AA193="",$F193=""),"",0.858*$AE193+0.601*$AF193+0.188*($T193-$I193/10)+0.161*($AA193-$R193/10)-0.131*$F193+4.5)</f>
        <v/>
      </c>
      <c r="AU193" s="35" t="str">
        <f aca="false">IF(OR($E193="",$F193=""),"",IF($F193/$E193^(1/3)&gt;=40.75,0.732*($F193/$E193^(1/3))-28.58,IF($F193/$E193^(1/3)&gt;=38.25,0.463*($F193/$E193^(1/3))-17.63,0.1)))</f>
        <v/>
      </c>
      <c r="AV193" s="37" t="str">
        <f aca="false">IF(OR($AS193="",$AT193="",$AU193=""),"",IF(AND($AT193&gt;=$AS193,$AT193&gt;=$AU193),"Mesomorfo dominante",IF(AND($AU193&gt;=$AS193,$AU193&gt;=$AT193),"Ectomorfo dominante","Endomorfo dominante")))</f>
        <v/>
      </c>
    </row>
    <row r="194" customFormat="false" ht="15" hidden="false" customHeight="false" outlineLevel="0" collapsed="false">
      <c r="A194" s="29"/>
      <c r="B194" s="27"/>
      <c r="C194" s="28"/>
      <c r="D194" s="27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3" t="str">
        <f aca="false">IFERROR(DATEDIF(INDEX(Cadastro!$D$8:$D$47,MATCH($B194,Cadastro!$B$8:$B$47,0)),$A194,"Y"),"")</f>
        <v/>
      </c>
      <c r="AH194" s="33" t="str">
        <f aca="false">IF(COUNT($I194,$K194,$J194,$N194)&lt;4,"",$I194+$K194+$J194+$N194)</f>
        <v/>
      </c>
      <c r="AI194" s="33" t="str">
        <f aca="false">IF(COUNT($L194,$M194,$I194,$J194,$P194,$N194,$Q194)&lt;7,"",$L194+$M194+$I194+$J194+$P194+$N194+$Q194)</f>
        <v/>
      </c>
      <c r="AJ194" s="33" t="str">
        <f aca="false">IF(COUNT($I194,$J194,$K194,$O194,$P194,$Q194,$R194,$N194)&lt;8,"",$I194+$J194+$K194+$O194+$P194+$Q194+$R194+$N194)</f>
        <v/>
      </c>
      <c r="AK194" s="34" t="str">
        <f aca="false">IF(OR($AI194="",$AG194=""),"",IF(IFERROR(INDEX(Cadastro!$F$8:$F$47,MATCH($B194,Cadastro!$B$8:$B$47,0)),"")="Feminino",1.097-0.00046971*$AI194+0.00000056*$AI194^2-0.00012828*$AG194,1.112-0.00043499*$AI194+0.00000055*$AI194^2-0.00028826*$AG194))</f>
        <v/>
      </c>
      <c r="AL194" s="30" t="str">
        <f aca="false">IF(OR($AK194="",$AK194=0),"",495/$AK194-450)</f>
        <v/>
      </c>
      <c r="AM194" s="35" t="str">
        <f aca="false">IF(OR($AL194="",$E194=""),"",$E194*$AL194/100)</f>
        <v/>
      </c>
      <c r="AN194" s="30" t="str">
        <f aca="false">IF(OR($AM194="",$E194=""),"",$E194-$AM194)</f>
        <v/>
      </c>
      <c r="AO194" s="35" t="str">
        <f aca="false">IFERROR($E194/($F194/100)^2,"")</f>
        <v/>
      </c>
      <c r="AP194" s="35" t="str">
        <f aca="false">IFERROR($G194/$F194*100,"")</f>
        <v/>
      </c>
      <c r="AQ194" s="36" t="str">
        <f aca="false">IFERROR($W194/$F194,"")</f>
        <v/>
      </c>
      <c r="AR194" s="35" t="str">
        <f aca="false">IF(OR($S194="",$I194=""),"",($S194-PI()*$I194/10)^2/(4*PI())-IF(IFERROR(INDEX(Cadastro!$F$8:$F$47,MATCH($B194,Cadastro!$B$8:$B$47,0)),"")="Feminino",6.5,10))</f>
        <v/>
      </c>
      <c r="AS194" s="35" t="str">
        <f aca="false">IF(OR($I194="",$J194="",$O194="",$F194=""),"",-0.7182+0.1451*(($I194+$J194+$O194)*(170.18/$F194))-0.00068*(($I194+$J194+$O194)*(170.18/$F194))^2+0.0000014*(($I194+$J194+$O194)*(170.18/$F194))^3)</f>
        <v/>
      </c>
      <c r="AT194" s="35" t="str">
        <f aca="false">IF(OR($AE194="",$AF194="",$T194="",$AA194="",$F194=""),"",0.858*$AE194+0.601*$AF194+0.188*($T194-$I194/10)+0.161*($AA194-$R194/10)-0.131*$F194+4.5)</f>
        <v/>
      </c>
      <c r="AU194" s="35" t="str">
        <f aca="false">IF(OR($E194="",$F194=""),"",IF($F194/$E194^(1/3)&gt;=40.75,0.732*($F194/$E194^(1/3))-28.58,IF($F194/$E194^(1/3)&gt;=38.25,0.463*($F194/$E194^(1/3))-17.63,0.1)))</f>
        <v/>
      </c>
      <c r="AV194" s="37" t="str">
        <f aca="false">IF(OR($AS194="",$AT194="",$AU194=""),"",IF(AND($AT194&gt;=$AS194,$AT194&gt;=$AU194),"Mesomorfo dominante",IF(AND($AU194&gt;=$AS194,$AU194&gt;=$AT194),"Ectomorfo dominante","Endomorfo dominante")))</f>
        <v/>
      </c>
    </row>
    <row r="195" customFormat="false" ht="15" hidden="false" customHeight="false" outlineLevel="0" collapsed="false">
      <c r="A195" s="29"/>
      <c r="B195" s="27"/>
      <c r="C195" s="28"/>
      <c r="D195" s="27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3" t="str">
        <f aca="false">IFERROR(DATEDIF(INDEX(Cadastro!$D$8:$D$47,MATCH($B195,Cadastro!$B$8:$B$47,0)),$A195,"Y"),"")</f>
        <v/>
      </c>
      <c r="AH195" s="33" t="str">
        <f aca="false">IF(COUNT($I195,$K195,$J195,$N195)&lt;4,"",$I195+$K195+$J195+$N195)</f>
        <v/>
      </c>
      <c r="AI195" s="33" t="str">
        <f aca="false">IF(COUNT($L195,$M195,$I195,$J195,$P195,$N195,$Q195)&lt;7,"",$L195+$M195+$I195+$J195+$P195+$N195+$Q195)</f>
        <v/>
      </c>
      <c r="AJ195" s="33" t="str">
        <f aca="false">IF(COUNT($I195,$J195,$K195,$O195,$P195,$Q195,$R195,$N195)&lt;8,"",$I195+$J195+$K195+$O195+$P195+$Q195+$R195+$N195)</f>
        <v/>
      </c>
      <c r="AK195" s="34" t="str">
        <f aca="false">IF(OR($AI195="",$AG195=""),"",IF(IFERROR(INDEX(Cadastro!$F$8:$F$47,MATCH($B195,Cadastro!$B$8:$B$47,0)),"")="Feminino",1.097-0.00046971*$AI195+0.00000056*$AI195^2-0.00012828*$AG195,1.112-0.00043499*$AI195+0.00000055*$AI195^2-0.00028826*$AG195))</f>
        <v/>
      </c>
      <c r="AL195" s="30" t="str">
        <f aca="false">IF(OR($AK195="",$AK195=0),"",495/$AK195-450)</f>
        <v/>
      </c>
      <c r="AM195" s="35" t="str">
        <f aca="false">IF(OR($AL195="",$E195=""),"",$E195*$AL195/100)</f>
        <v/>
      </c>
      <c r="AN195" s="30" t="str">
        <f aca="false">IF(OR($AM195="",$E195=""),"",$E195-$AM195)</f>
        <v/>
      </c>
      <c r="AO195" s="35" t="str">
        <f aca="false">IFERROR($E195/($F195/100)^2,"")</f>
        <v/>
      </c>
      <c r="AP195" s="35" t="str">
        <f aca="false">IFERROR($G195/$F195*100,"")</f>
        <v/>
      </c>
      <c r="AQ195" s="36" t="str">
        <f aca="false">IFERROR($W195/$F195,"")</f>
        <v/>
      </c>
      <c r="AR195" s="35" t="str">
        <f aca="false">IF(OR($S195="",$I195=""),"",($S195-PI()*$I195/10)^2/(4*PI())-IF(IFERROR(INDEX(Cadastro!$F$8:$F$47,MATCH($B195,Cadastro!$B$8:$B$47,0)),"")="Feminino",6.5,10))</f>
        <v/>
      </c>
      <c r="AS195" s="35" t="str">
        <f aca="false">IF(OR($I195="",$J195="",$O195="",$F195=""),"",-0.7182+0.1451*(($I195+$J195+$O195)*(170.18/$F195))-0.00068*(($I195+$J195+$O195)*(170.18/$F195))^2+0.0000014*(($I195+$J195+$O195)*(170.18/$F195))^3)</f>
        <v/>
      </c>
      <c r="AT195" s="35" t="str">
        <f aca="false">IF(OR($AE195="",$AF195="",$T195="",$AA195="",$F195=""),"",0.858*$AE195+0.601*$AF195+0.188*($T195-$I195/10)+0.161*($AA195-$R195/10)-0.131*$F195+4.5)</f>
        <v/>
      </c>
      <c r="AU195" s="35" t="str">
        <f aca="false">IF(OR($E195="",$F195=""),"",IF($F195/$E195^(1/3)&gt;=40.75,0.732*($F195/$E195^(1/3))-28.58,IF($F195/$E195^(1/3)&gt;=38.25,0.463*($F195/$E195^(1/3))-17.63,0.1)))</f>
        <v/>
      </c>
      <c r="AV195" s="37" t="str">
        <f aca="false">IF(OR($AS195="",$AT195="",$AU195=""),"",IF(AND($AT195&gt;=$AS195,$AT195&gt;=$AU195),"Mesomorfo dominante",IF(AND($AU195&gt;=$AS195,$AU195&gt;=$AT195),"Ectomorfo dominante","Endomorfo dominante")))</f>
        <v/>
      </c>
    </row>
    <row r="196" customFormat="false" ht="15" hidden="false" customHeight="false" outlineLevel="0" collapsed="false">
      <c r="A196" s="29"/>
      <c r="B196" s="27"/>
      <c r="C196" s="28"/>
      <c r="D196" s="27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3" t="str">
        <f aca="false">IFERROR(DATEDIF(INDEX(Cadastro!$D$8:$D$47,MATCH($B196,Cadastro!$B$8:$B$47,0)),$A196,"Y"),"")</f>
        <v/>
      </c>
      <c r="AH196" s="33" t="str">
        <f aca="false">IF(COUNT($I196,$K196,$J196,$N196)&lt;4,"",$I196+$K196+$J196+$N196)</f>
        <v/>
      </c>
      <c r="AI196" s="33" t="str">
        <f aca="false">IF(COUNT($L196,$M196,$I196,$J196,$P196,$N196,$Q196)&lt;7,"",$L196+$M196+$I196+$J196+$P196+$N196+$Q196)</f>
        <v/>
      </c>
      <c r="AJ196" s="33" t="str">
        <f aca="false">IF(COUNT($I196,$J196,$K196,$O196,$P196,$Q196,$R196,$N196)&lt;8,"",$I196+$J196+$K196+$O196+$P196+$Q196+$R196+$N196)</f>
        <v/>
      </c>
      <c r="AK196" s="34" t="str">
        <f aca="false">IF(OR($AI196="",$AG196=""),"",IF(IFERROR(INDEX(Cadastro!$F$8:$F$47,MATCH($B196,Cadastro!$B$8:$B$47,0)),"")="Feminino",1.097-0.00046971*$AI196+0.00000056*$AI196^2-0.00012828*$AG196,1.112-0.00043499*$AI196+0.00000055*$AI196^2-0.00028826*$AG196))</f>
        <v/>
      </c>
      <c r="AL196" s="30" t="str">
        <f aca="false">IF(OR($AK196="",$AK196=0),"",495/$AK196-450)</f>
        <v/>
      </c>
      <c r="AM196" s="35" t="str">
        <f aca="false">IF(OR($AL196="",$E196=""),"",$E196*$AL196/100)</f>
        <v/>
      </c>
      <c r="AN196" s="30" t="str">
        <f aca="false">IF(OR($AM196="",$E196=""),"",$E196-$AM196)</f>
        <v/>
      </c>
      <c r="AO196" s="35" t="str">
        <f aca="false">IFERROR($E196/($F196/100)^2,"")</f>
        <v/>
      </c>
      <c r="AP196" s="35" t="str">
        <f aca="false">IFERROR($G196/$F196*100,"")</f>
        <v/>
      </c>
      <c r="AQ196" s="36" t="str">
        <f aca="false">IFERROR($W196/$F196,"")</f>
        <v/>
      </c>
      <c r="AR196" s="35" t="str">
        <f aca="false">IF(OR($S196="",$I196=""),"",($S196-PI()*$I196/10)^2/(4*PI())-IF(IFERROR(INDEX(Cadastro!$F$8:$F$47,MATCH($B196,Cadastro!$B$8:$B$47,0)),"")="Feminino",6.5,10))</f>
        <v/>
      </c>
      <c r="AS196" s="35" t="str">
        <f aca="false">IF(OR($I196="",$J196="",$O196="",$F196=""),"",-0.7182+0.1451*(($I196+$J196+$O196)*(170.18/$F196))-0.00068*(($I196+$J196+$O196)*(170.18/$F196))^2+0.0000014*(($I196+$J196+$O196)*(170.18/$F196))^3)</f>
        <v/>
      </c>
      <c r="AT196" s="35" t="str">
        <f aca="false">IF(OR($AE196="",$AF196="",$T196="",$AA196="",$F196=""),"",0.858*$AE196+0.601*$AF196+0.188*($T196-$I196/10)+0.161*($AA196-$R196/10)-0.131*$F196+4.5)</f>
        <v/>
      </c>
      <c r="AU196" s="35" t="str">
        <f aca="false">IF(OR($E196="",$F196=""),"",IF($F196/$E196^(1/3)&gt;=40.75,0.732*($F196/$E196^(1/3))-28.58,IF($F196/$E196^(1/3)&gt;=38.25,0.463*($F196/$E196^(1/3))-17.63,0.1)))</f>
        <v/>
      </c>
      <c r="AV196" s="37" t="str">
        <f aca="false">IF(OR($AS196="",$AT196="",$AU196=""),"",IF(AND($AT196&gt;=$AS196,$AT196&gt;=$AU196),"Mesomorfo dominante",IF(AND($AU196&gt;=$AS196,$AU196&gt;=$AT196),"Ectomorfo dominante","Endomorfo dominante")))</f>
        <v/>
      </c>
    </row>
    <row r="197" customFormat="false" ht="15" hidden="false" customHeight="false" outlineLevel="0" collapsed="false">
      <c r="A197" s="29"/>
      <c r="B197" s="27"/>
      <c r="C197" s="28"/>
      <c r="D197" s="27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3" t="str">
        <f aca="false">IFERROR(DATEDIF(INDEX(Cadastro!$D$8:$D$47,MATCH($B197,Cadastro!$B$8:$B$47,0)),$A197,"Y"),"")</f>
        <v/>
      </c>
      <c r="AH197" s="33" t="str">
        <f aca="false">IF(COUNT($I197,$K197,$J197,$N197)&lt;4,"",$I197+$K197+$J197+$N197)</f>
        <v/>
      </c>
      <c r="AI197" s="33" t="str">
        <f aca="false">IF(COUNT($L197,$M197,$I197,$J197,$P197,$N197,$Q197)&lt;7,"",$L197+$M197+$I197+$J197+$P197+$N197+$Q197)</f>
        <v/>
      </c>
      <c r="AJ197" s="33" t="str">
        <f aca="false">IF(COUNT($I197,$J197,$K197,$O197,$P197,$Q197,$R197,$N197)&lt;8,"",$I197+$J197+$K197+$O197+$P197+$Q197+$R197+$N197)</f>
        <v/>
      </c>
      <c r="AK197" s="34" t="str">
        <f aca="false">IF(OR($AI197="",$AG197=""),"",IF(IFERROR(INDEX(Cadastro!$F$8:$F$47,MATCH($B197,Cadastro!$B$8:$B$47,0)),"")="Feminino",1.097-0.00046971*$AI197+0.00000056*$AI197^2-0.00012828*$AG197,1.112-0.00043499*$AI197+0.00000055*$AI197^2-0.00028826*$AG197))</f>
        <v/>
      </c>
      <c r="AL197" s="30" t="str">
        <f aca="false">IF(OR($AK197="",$AK197=0),"",495/$AK197-450)</f>
        <v/>
      </c>
      <c r="AM197" s="35" t="str">
        <f aca="false">IF(OR($AL197="",$E197=""),"",$E197*$AL197/100)</f>
        <v/>
      </c>
      <c r="AN197" s="30" t="str">
        <f aca="false">IF(OR($AM197="",$E197=""),"",$E197-$AM197)</f>
        <v/>
      </c>
      <c r="AO197" s="35" t="str">
        <f aca="false">IFERROR($E197/($F197/100)^2,"")</f>
        <v/>
      </c>
      <c r="AP197" s="35" t="str">
        <f aca="false">IFERROR($G197/$F197*100,"")</f>
        <v/>
      </c>
      <c r="AQ197" s="36" t="str">
        <f aca="false">IFERROR($W197/$F197,"")</f>
        <v/>
      </c>
      <c r="AR197" s="35" t="str">
        <f aca="false">IF(OR($S197="",$I197=""),"",($S197-PI()*$I197/10)^2/(4*PI())-IF(IFERROR(INDEX(Cadastro!$F$8:$F$47,MATCH($B197,Cadastro!$B$8:$B$47,0)),"")="Feminino",6.5,10))</f>
        <v/>
      </c>
      <c r="AS197" s="35" t="str">
        <f aca="false">IF(OR($I197="",$J197="",$O197="",$F197=""),"",-0.7182+0.1451*(($I197+$J197+$O197)*(170.18/$F197))-0.00068*(($I197+$J197+$O197)*(170.18/$F197))^2+0.0000014*(($I197+$J197+$O197)*(170.18/$F197))^3)</f>
        <v/>
      </c>
      <c r="AT197" s="35" t="str">
        <f aca="false">IF(OR($AE197="",$AF197="",$T197="",$AA197="",$F197=""),"",0.858*$AE197+0.601*$AF197+0.188*($T197-$I197/10)+0.161*($AA197-$R197/10)-0.131*$F197+4.5)</f>
        <v/>
      </c>
      <c r="AU197" s="35" t="str">
        <f aca="false">IF(OR($E197="",$F197=""),"",IF($F197/$E197^(1/3)&gt;=40.75,0.732*($F197/$E197^(1/3))-28.58,IF($F197/$E197^(1/3)&gt;=38.25,0.463*($F197/$E197^(1/3))-17.63,0.1)))</f>
        <v/>
      </c>
      <c r="AV197" s="37" t="str">
        <f aca="false">IF(OR($AS197="",$AT197="",$AU197=""),"",IF(AND($AT197&gt;=$AS197,$AT197&gt;=$AU197),"Mesomorfo dominante",IF(AND($AU197&gt;=$AS197,$AU197&gt;=$AT197),"Ectomorfo dominante","Endomorfo dominante")))</f>
        <v/>
      </c>
    </row>
    <row r="198" customFormat="false" ht="15" hidden="false" customHeight="false" outlineLevel="0" collapsed="false">
      <c r="A198" s="29"/>
      <c r="B198" s="27"/>
      <c r="C198" s="28"/>
      <c r="D198" s="27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3" t="str">
        <f aca="false">IFERROR(DATEDIF(INDEX(Cadastro!$D$8:$D$47,MATCH($B198,Cadastro!$B$8:$B$47,0)),$A198,"Y"),"")</f>
        <v/>
      </c>
      <c r="AH198" s="33" t="str">
        <f aca="false">IF(COUNT($I198,$K198,$J198,$N198)&lt;4,"",$I198+$K198+$J198+$N198)</f>
        <v/>
      </c>
      <c r="AI198" s="33" t="str">
        <f aca="false">IF(COUNT($L198,$M198,$I198,$J198,$P198,$N198,$Q198)&lt;7,"",$L198+$M198+$I198+$J198+$P198+$N198+$Q198)</f>
        <v/>
      </c>
      <c r="AJ198" s="33" t="str">
        <f aca="false">IF(COUNT($I198,$J198,$K198,$O198,$P198,$Q198,$R198,$N198)&lt;8,"",$I198+$J198+$K198+$O198+$P198+$Q198+$R198+$N198)</f>
        <v/>
      </c>
      <c r="AK198" s="34" t="str">
        <f aca="false">IF(OR($AI198="",$AG198=""),"",IF(IFERROR(INDEX(Cadastro!$F$8:$F$47,MATCH($B198,Cadastro!$B$8:$B$47,0)),"")="Feminino",1.097-0.00046971*$AI198+0.00000056*$AI198^2-0.00012828*$AG198,1.112-0.00043499*$AI198+0.00000055*$AI198^2-0.00028826*$AG198))</f>
        <v/>
      </c>
      <c r="AL198" s="30" t="str">
        <f aca="false">IF(OR($AK198="",$AK198=0),"",495/$AK198-450)</f>
        <v/>
      </c>
      <c r="AM198" s="35" t="str">
        <f aca="false">IF(OR($AL198="",$E198=""),"",$E198*$AL198/100)</f>
        <v/>
      </c>
      <c r="AN198" s="30" t="str">
        <f aca="false">IF(OR($AM198="",$E198=""),"",$E198-$AM198)</f>
        <v/>
      </c>
      <c r="AO198" s="35" t="str">
        <f aca="false">IFERROR($E198/($F198/100)^2,"")</f>
        <v/>
      </c>
      <c r="AP198" s="35" t="str">
        <f aca="false">IFERROR($G198/$F198*100,"")</f>
        <v/>
      </c>
      <c r="AQ198" s="36" t="str">
        <f aca="false">IFERROR($W198/$F198,"")</f>
        <v/>
      </c>
      <c r="AR198" s="35" t="str">
        <f aca="false">IF(OR($S198="",$I198=""),"",($S198-PI()*$I198/10)^2/(4*PI())-IF(IFERROR(INDEX(Cadastro!$F$8:$F$47,MATCH($B198,Cadastro!$B$8:$B$47,0)),"")="Feminino",6.5,10))</f>
        <v/>
      </c>
      <c r="AS198" s="35" t="str">
        <f aca="false">IF(OR($I198="",$J198="",$O198="",$F198=""),"",-0.7182+0.1451*(($I198+$J198+$O198)*(170.18/$F198))-0.00068*(($I198+$J198+$O198)*(170.18/$F198))^2+0.0000014*(($I198+$J198+$O198)*(170.18/$F198))^3)</f>
        <v/>
      </c>
      <c r="AT198" s="35" t="str">
        <f aca="false">IF(OR($AE198="",$AF198="",$T198="",$AA198="",$F198=""),"",0.858*$AE198+0.601*$AF198+0.188*($T198-$I198/10)+0.161*($AA198-$R198/10)-0.131*$F198+4.5)</f>
        <v/>
      </c>
      <c r="AU198" s="35" t="str">
        <f aca="false">IF(OR($E198="",$F198=""),"",IF($F198/$E198^(1/3)&gt;=40.75,0.732*($F198/$E198^(1/3))-28.58,IF($F198/$E198^(1/3)&gt;=38.25,0.463*($F198/$E198^(1/3))-17.63,0.1)))</f>
        <v/>
      </c>
      <c r="AV198" s="37" t="str">
        <f aca="false">IF(OR($AS198="",$AT198="",$AU198=""),"",IF(AND($AT198&gt;=$AS198,$AT198&gt;=$AU198),"Mesomorfo dominante",IF(AND($AU198&gt;=$AS198,$AU198&gt;=$AT198),"Ectomorfo dominante","Endomorfo dominante")))</f>
        <v/>
      </c>
    </row>
    <row r="199" customFormat="false" ht="15" hidden="false" customHeight="false" outlineLevel="0" collapsed="false">
      <c r="A199" s="29"/>
      <c r="B199" s="27"/>
      <c r="C199" s="28"/>
      <c r="D199" s="27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3" t="str">
        <f aca="false">IFERROR(DATEDIF(INDEX(Cadastro!$D$8:$D$47,MATCH($B199,Cadastro!$B$8:$B$47,0)),$A199,"Y"),"")</f>
        <v/>
      </c>
      <c r="AH199" s="33" t="str">
        <f aca="false">IF(COUNT($I199,$K199,$J199,$N199)&lt;4,"",$I199+$K199+$J199+$N199)</f>
        <v/>
      </c>
      <c r="AI199" s="33" t="str">
        <f aca="false">IF(COUNT($L199,$M199,$I199,$J199,$P199,$N199,$Q199)&lt;7,"",$L199+$M199+$I199+$J199+$P199+$N199+$Q199)</f>
        <v/>
      </c>
      <c r="AJ199" s="33" t="str">
        <f aca="false">IF(COUNT($I199,$J199,$K199,$O199,$P199,$Q199,$R199,$N199)&lt;8,"",$I199+$J199+$K199+$O199+$P199+$Q199+$R199+$N199)</f>
        <v/>
      </c>
      <c r="AK199" s="34" t="str">
        <f aca="false">IF(OR($AI199="",$AG199=""),"",IF(IFERROR(INDEX(Cadastro!$F$8:$F$47,MATCH($B199,Cadastro!$B$8:$B$47,0)),"")="Feminino",1.097-0.00046971*$AI199+0.00000056*$AI199^2-0.00012828*$AG199,1.112-0.00043499*$AI199+0.00000055*$AI199^2-0.00028826*$AG199))</f>
        <v/>
      </c>
      <c r="AL199" s="30" t="str">
        <f aca="false">IF(OR($AK199="",$AK199=0),"",495/$AK199-450)</f>
        <v/>
      </c>
      <c r="AM199" s="35" t="str">
        <f aca="false">IF(OR($AL199="",$E199=""),"",$E199*$AL199/100)</f>
        <v/>
      </c>
      <c r="AN199" s="30" t="str">
        <f aca="false">IF(OR($AM199="",$E199=""),"",$E199-$AM199)</f>
        <v/>
      </c>
      <c r="AO199" s="35" t="str">
        <f aca="false">IFERROR($E199/($F199/100)^2,"")</f>
        <v/>
      </c>
      <c r="AP199" s="35" t="str">
        <f aca="false">IFERROR($G199/$F199*100,"")</f>
        <v/>
      </c>
      <c r="AQ199" s="36" t="str">
        <f aca="false">IFERROR($W199/$F199,"")</f>
        <v/>
      </c>
      <c r="AR199" s="35" t="str">
        <f aca="false">IF(OR($S199="",$I199=""),"",($S199-PI()*$I199/10)^2/(4*PI())-IF(IFERROR(INDEX(Cadastro!$F$8:$F$47,MATCH($B199,Cadastro!$B$8:$B$47,0)),"")="Feminino",6.5,10))</f>
        <v/>
      </c>
      <c r="AS199" s="35" t="str">
        <f aca="false">IF(OR($I199="",$J199="",$O199="",$F199=""),"",-0.7182+0.1451*(($I199+$J199+$O199)*(170.18/$F199))-0.00068*(($I199+$J199+$O199)*(170.18/$F199))^2+0.0000014*(($I199+$J199+$O199)*(170.18/$F199))^3)</f>
        <v/>
      </c>
      <c r="AT199" s="35" t="str">
        <f aca="false">IF(OR($AE199="",$AF199="",$T199="",$AA199="",$F199=""),"",0.858*$AE199+0.601*$AF199+0.188*($T199-$I199/10)+0.161*($AA199-$R199/10)-0.131*$F199+4.5)</f>
        <v/>
      </c>
      <c r="AU199" s="35" t="str">
        <f aca="false">IF(OR($E199="",$F199=""),"",IF($F199/$E199^(1/3)&gt;=40.75,0.732*($F199/$E199^(1/3))-28.58,IF($F199/$E199^(1/3)&gt;=38.25,0.463*($F199/$E199^(1/3))-17.63,0.1)))</f>
        <v/>
      </c>
      <c r="AV199" s="37" t="str">
        <f aca="false">IF(OR($AS199="",$AT199="",$AU199=""),"",IF(AND($AT199&gt;=$AS199,$AT199&gt;=$AU199),"Mesomorfo dominante",IF(AND($AU199&gt;=$AS199,$AU199&gt;=$AT199),"Ectomorfo dominante","Endomorfo dominante")))</f>
        <v/>
      </c>
    </row>
    <row r="200" customFormat="false" ht="15" hidden="false" customHeight="false" outlineLevel="0" collapsed="false">
      <c r="A200" s="29"/>
      <c r="B200" s="27"/>
      <c r="C200" s="28"/>
      <c r="D200" s="27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3" t="str">
        <f aca="false">IFERROR(DATEDIF(INDEX(Cadastro!$D$8:$D$47,MATCH($B200,Cadastro!$B$8:$B$47,0)),$A200,"Y"),"")</f>
        <v/>
      </c>
      <c r="AH200" s="33" t="str">
        <f aca="false">IF(COUNT($I200,$K200,$J200,$N200)&lt;4,"",$I200+$K200+$J200+$N200)</f>
        <v/>
      </c>
      <c r="AI200" s="33" t="str">
        <f aca="false">IF(COUNT($L200,$M200,$I200,$J200,$P200,$N200,$Q200)&lt;7,"",$L200+$M200+$I200+$J200+$P200+$N200+$Q200)</f>
        <v/>
      </c>
      <c r="AJ200" s="33" t="str">
        <f aca="false">IF(COUNT($I200,$J200,$K200,$O200,$P200,$Q200,$R200,$N200)&lt;8,"",$I200+$J200+$K200+$O200+$P200+$Q200+$R200+$N200)</f>
        <v/>
      </c>
      <c r="AK200" s="34" t="str">
        <f aca="false">IF(OR($AI200="",$AG200=""),"",IF(IFERROR(INDEX(Cadastro!$F$8:$F$47,MATCH($B200,Cadastro!$B$8:$B$47,0)),"")="Feminino",1.097-0.00046971*$AI200+0.00000056*$AI200^2-0.00012828*$AG200,1.112-0.00043499*$AI200+0.00000055*$AI200^2-0.00028826*$AG200))</f>
        <v/>
      </c>
      <c r="AL200" s="30" t="str">
        <f aca="false">IF(OR($AK200="",$AK200=0),"",495/$AK200-450)</f>
        <v/>
      </c>
      <c r="AM200" s="35" t="str">
        <f aca="false">IF(OR($AL200="",$E200=""),"",$E200*$AL200/100)</f>
        <v/>
      </c>
      <c r="AN200" s="30" t="str">
        <f aca="false">IF(OR($AM200="",$E200=""),"",$E200-$AM200)</f>
        <v/>
      </c>
      <c r="AO200" s="35" t="str">
        <f aca="false">IFERROR($E200/($F200/100)^2,"")</f>
        <v/>
      </c>
      <c r="AP200" s="35" t="str">
        <f aca="false">IFERROR($G200/$F200*100,"")</f>
        <v/>
      </c>
      <c r="AQ200" s="36" t="str">
        <f aca="false">IFERROR($W200/$F200,"")</f>
        <v/>
      </c>
      <c r="AR200" s="35" t="str">
        <f aca="false">IF(OR($S200="",$I200=""),"",($S200-PI()*$I200/10)^2/(4*PI())-IF(IFERROR(INDEX(Cadastro!$F$8:$F$47,MATCH($B200,Cadastro!$B$8:$B$47,0)),"")="Feminino",6.5,10))</f>
        <v/>
      </c>
      <c r="AS200" s="35" t="str">
        <f aca="false">IF(OR($I200="",$J200="",$O200="",$F200=""),"",-0.7182+0.1451*(($I200+$J200+$O200)*(170.18/$F200))-0.00068*(($I200+$J200+$O200)*(170.18/$F200))^2+0.0000014*(($I200+$J200+$O200)*(170.18/$F200))^3)</f>
        <v/>
      </c>
      <c r="AT200" s="35" t="str">
        <f aca="false">IF(OR($AE200="",$AF200="",$T200="",$AA200="",$F200=""),"",0.858*$AE200+0.601*$AF200+0.188*($T200-$I200/10)+0.161*($AA200-$R200/10)-0.131*$F200+4.5)</f>
        <v/>
      </c>
      <c r="AU200" s="35" t="str">
        <f aca="false">IF(OR($E200="",$F200=""),"",IF($F200/$E200^(1/3)&gt;=40.75,0.732*($F200/$E200^(1/3))-28.58,IF($F200/$E200^(1/3)&gt;=38.25,0.463*($F200/$E200^(1/3))-17.63,0.1)))</f>
        <v/>
      </c>
      <c r="AV200" s="37" t="str">
        <f aca="false">IF(OR($AS200="",$AT200="",$AU200=""),"",IF(AND($AT200&gt;=$AS200,$AT200&gt;=$AU200),"Mesomorfo dominante",IF(AND($AU200&gt;=$AS200,$AU200&gt;=$AT200),"Ectomorfo dominante","Endomorfo dominante")))</f>
        <v/>
      </c>
    </row>
    <row r="201" customFormat="false" ht="15" hidden="false" customHeight="false" outlineLevel="0" collapsed="false">
      <c r="A201" s="29"/>
      <c r="B201" s="27"/>
      <c r="C201" s="28"/>
      <c r="D201" s="27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3" t="str">
        <f aca="false">IFERROR(DATEDIF(INDEX(Cadastro!$D$8:$D$47,MATCH($B201,Cadastro!$B$8:$B$47,0)),$A201,"Y"),"")</f>
        <v/>
      </c>
      <c r="AH201" s="33" t="str">
        <f aca="false">IF(COUNT($I201,$K201,$J201,$N201)&lt;4,"",$I201+$K201+$J201+$N201)</f>
        <v/>
      </c>
      <c r="AI201" s="33" t="str">
        <f aca="false">IF(COUNT($L201,$M201,$I201,$J201,$P201,$N201,$Q201)&lt;7,"",$L201+$M201+$I201+$J201+$P201+$N201+$Q201)</f>
        <v/>
      </c>
      <c r="AJ201" s="33" t="str">
        <f aca="false">IF(COUNT($I201,$J201,$K201,$O201,$P201,$Q201,$R201,$N201)&lt;8,"",$I201+$J201+$K201+$O201+$P201+$Q201+$R201+$N201)</f>
        <v/>
      </c>
      <c r="AK201" s="34" t="str">
        <f aca="false">IF(OR($AI201="",$AG201=""),"",IF(IFERROR(INDEX(Cadastro!$F$8:$F$47,MATCH($B201,Cadastro!$B$8:$B$47,0)),"")="Feminino",1.097-0.00046971*$AI201+0.00000056*$AI201^2-0.00012828*$AG201,1.112-0.00043499*$AI201+0.00000055*$AI201^2-0.00028826*$AG201))</f>
        <v/>
      </c>
      <c r="AL201" s="30" t="str">
        <f aca="false">IF(OR($AK201="",$AK201=0),"",495/$AK201-450)</f>
        <v/>
      </c>
      <c r="AM201" s="35" t="str">
        <f aca="false">IF(OR($AL201="",$E201=""),"",$E201*$AL201/100)</f>
        <v/>
      </c>
      <c r="AN201" s="30" t="str">
        <f aca="false">IF(OR($AM201="",$E201=""),"",$E201-$AM201)</f>
        <v/>
      </c>
      <c r="AO201" s="35" t="str">
        <f aca="false">IFERROR($E201/($F201/100)^2,"")</f>
        <v/>
      </c>
      <c r="AP201" s="35" t="str">
        <f aca="false">IFERROR($G201/$F201*100,"")</f>
        <v/>
      </c>
      <c r="AQ201" s="36" t="str">
        <f aca="false">IFERROR($W201/$F201,"")</f>
        <v/>
      </c>
      <c r="AR201" s="35" t="str">
        <f aca="false">IF(OR($S201="",$I201=""),"",($S201-PI()*$I201/10)^2/(4*PI())-IF(IFERROR(INDEX(Cadastro!$F$8:$F$47,MATCH($B201,Cadastro!$B$8:$B$47,0)),"")="Feminino",6.5,10))</f>
        <v/>
      </c>
      <c r="AS201" s="35" t="str">
        <f aca="false">IF(OR($I201="",$J201="",$O201="",$F201=""),"",-0.7182+0.1451*(($I201+$J201+$O201)*(170.18/$F201))-0.00068*(($I201+$J201+$O201)*(170.18/$F201))^2+0.0000014*(($I201+$J201+$O201)*(170.18/$F201))^3)</f>
        <v/>
      </c>
      <c r="AT201" s="35" t="str">
        <f aca="false">IF(OR($AE201="",$AF201="",$T201="",$AA201="",$F201=""),"",0.858*$AE201+0.601*$AF201+0.188*($T201-$I201/10)+0.161*($AA201-$R201/10)-0.131*$F201+4.5)</f>
        <v/>
      </c>
      <c r="AU201" s="35" t="str">
        <f aca="false">IF(OR($E201="",$F201=""),"",IF($F201/$E201^(1/3)&gt;=40.75,0.732*($F201/$E201^(1/3))-28.58,IF($F201/$E201^(1/3)&gt;=38.25,0.463*($F201/$E201^(1/3))-17.63,0.1)))</f>
        <v/>
      </c>
      <c r="AV201" s="37" t="str">
        <f aca="false">IF(OR($AS201="",$AT201="",$AU201=""),"",IF(AND($AT201&gt;=$AS201,$AT201&gt;=$AU201),"Mesomorfo dominante",IF(AND($AU201&gt;=$AS201,$AU201&gt;=$AT201),"Ectomorfo dominante","Endomorfo dominante")))</f>
        <v/>
      </c>
    </row>
    <row r="202" customFormat="false" ht="15" hidden="false" customHeight="false" outlineLevel="0" collapsed="false">
      <c r="A202" s="29"/>
      <c r="B202" s="27"/>
      <c r="C202" s="28"/>
      <c r="D202" s="27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3" t="str">
        <f aca="false">IFERROR(DATEDIF(INDEX(Cadastro!$D$8:$D$47,MATCH($B202,Cadastro!$B$8:$B$47,0)),$A202,"Y"),"")</f>
        <v/>
      </c>
      <c r="AH202" s="33" t="str">
        <f aca="false">IF(COUNT($I202,$K202,$J202,$N202)&lt;4,"",$I202+$K202+$J202+$N202)</f>
        <v/>
      </c>
      <c r="AI202" s="33" t="str">
        <f aca="false">IF(COUNT($L202,$M202,$I202,$J202,$P202,$N202,$Q202)&lt;7,"",$L202+$M202+$I202+$J202+$P202+$N202+$Q202)</f>
        <v/>
      </c>
      <c r="AJ202" s="33" t="str">
        <f aca="false">IF(COUNT($I202,$J202,$K202,$O202,$P202,$Q202,$R202,$N202)&lt;8,"",$I202+$J202+$K202+$O202+$P202+$Q202+$R202+$N202)</f>
        <v/>
      </c>
      <c r="AK202" s="34" t="str">
        <f aca="false">IF(OR($AI202="",$AG202=""),"",IF(IFERROR(INDEX(Cadastro!$F$8:$F$47,MATCH($B202,Cadastro!$B$8:$B$47,0)),"")="Feminino",1.097-0.00046971*$AI202+0.00000056*$AI202^2-0.00012828*$AG202,1.112-0.00043499*$AI202+0.00000055*$AI202^2-0.00028826*$AG202))</f>
        <v/>
      </c>
      <c r="AL202" s="30" t="str">
        <f aca="false">IF(OR($AK202="",$AK202=0),"",495/$AK202-450)</f>
        <v/>
      </c>
      <c r="AM202" s="35" t="str">
        <f aca="false">IF(OR($AL202="",$E202=""),"",$E202*$AL202/100)</f>
        <v/>
      </c>
      <c r="AN202" s="30" t="str">
        <f aca="false">IF(OR($AM202="",$E202=""),"",$E202-$AM202)</f>
        <v/>
      </c>
      <c r="AO202" s="35" t="str">
        <f aca="false">IFERROR($E202/($F202/100)^2,"")</f>
        <v/>
      </c>
      <c r="AP202" s="35" t="str">
        <f aca="false">IFERROR($G202/$F202*100,"")</f>
        <v/>
      </c>
      <c r="AQ202" s="36" t="str">
        <f aca="false">IFERROR($W202/$F202,"")</f>
        <v/>
      </c>
      <c r="AR202" s="35" t="str">
        <f aca="false">IF(OR($S202="",$I202=""),"",($S202-PI()*$I202/10)^2/(4*PI())-IF(IFERROR(INDEX(Cadastro!$F$8:$F$47,MATCH($B202,Cadastro!$B$8:$B$47,0)),"")="Feminino",6.5,10))</f>
        <v/>
      </c>
      <c r="AS202" s="35" t="str">
        <f aca="false">IF(OR($I202="",$J202="",$O202="",$F202=""),"",-0.7182+0.1451*(($I202+$J202+$O202)*(170.18/$F202))-0.00068*(($I202+$J202+$O202)*(170.18/$F202))^2+0.0000014*(($I202+$J202+$O202)*(170.18/$F202))^3)</f>
        <v/>
      </c>
      <c r="AT202" s="35" t="str">
        <f aca="false">IF(OR($AE202="",$AF202="",$T202="",$AA202="",$F202=""),"",0.858*$AE202+0.601*$AF202+0.188*($T202-$I202/10)+0.161*($AA202-$R202/10)-0.131*$F202+4.5)</f>
        <v/>
      </c>
      <c r="AU202" s="35" t="str">
        <f aca="false">IF(OR($E202="",$F202=""),"",IF($F202/$E202^(1/3)&gt;=40.75,0.732*($F202/$E202^(1/3))-28.58,IF($F202/$E202^(1/3)&gt;=38.25,0.463*($F202/$E202^(1/3))-17.63,0.1)))</f>
        <v/>
      </c>
      <c r="AV202" s="37" t="str">
        <f aca="false">IF(OR($AS202="",$AT202="",$AU202=""),"",IF(AND($AT202&gt;=$AS202,$AT202&gt;=$AU202),"Mesomorfo dominante",IF(AND($AU202&gt;=$AS202,$AU202&gt;=$AT202),"Ectomorfo dominante","Endomorfo dominante")))</f>
        <v/>
      </c>
    </row>
    <row r="203" customFormat="false" ht="15" hidden="false" customHeight="false" outlineLevel="0" collapsed="false">
      <c r="A203" s="29"/>
      <c r="B203" s="27"/>
      <c r="C203" s="28"/>
      <c r="D203" s="27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3" t="str">
        <f aca="false">IFERROR(DATEDIF(INDEX(Cadastro!$D$8:$D$47,MATCH($B203,Cadastro!$B$8:$B$47,0)),$A203,"Y"),"")</f>
        <v/>
      </c>
      <c r="AH203" s="33" t="str">
        <f aca="false">IF(COUNT($I203,$K203,$J203,$N203)&lt;4,"",$I203+$K203+$J203+$N203)</f>
        <v/>
      </c>
      <c r="AI203" s="33" t="str">
        <f aca="false">IF(COUNT($L203,$M203,$I203,$J203,$P203,$N203,$Q203)&lt;7,"",$L203+$M203+$I203+$J203+$P203+$N203+$Q203)</f>
        <v/>
      </c>
      <c r="AJ203" s="33" t="str">
        <f aca="false">IF(COUNT($I203,$J203,$K203,$O203,$P203,$Q203,$R203,$N203)&lt;8,"",$I203+$J203+$K203+$O203+$P203+$Q203+$R203+$N203)</f>
        <v/>
      </c>
      <c r="AK203" s="34" t="str">
        <f aca="false">IF(OR($AI203="",$AG203=""),"",IF(IFERROR(INDEX(Cadastro!$F$8:$F$47,MATCH($B203,Cadastro!$B$8:$B$47,0)),"")="Feminino",1.097-0.00046971*$AI203+0.00000056*$AI203^2-0.00012828*$AG203,1.112-0.00043499*$AI203+0.00000055*$AI203^2-0.00028826*$AG203))</f>
        <v/>
      </c>
      <c r="AL203" s="30" t="str">
        <f aca="false">IF(OR($AK203="",$AK203=0),"",495/$AK203-450)</f>
        <v/>
      </c>
      <c r="AM203" s="35" t="str">
        <f aca="false">IF(OR($AL203="",$E203=""),"",$E203*$AL203/100)</f>
        <v/>
      </c>
      <c r="AN203" s="30" t="str">
        <f aca="false">IF(OR($AM203="",$E203=""),"",$E203-$AM203)</f>
        <v/>
      </c>
      <c r="AO203" s="35" t="str">
        <f aca="false">IFERROR($E203/($F203/100)^2,"")</f>
        <v/>
      </c>
      <c r="AP203" s="35" t="str">
        <f aca="false">IFERROR($G203/$F203*100,"")</f>
        <v/>
      </c>
      <c r="AQ203" s="36" t="str">
        <f aca="false">IFERROR($W203/$F203,"")</f>
        <v/>
      </c>
      <c r="AR203" s="35" t="str">
        <f aca="false">IF(OR($S203="",$I203=""),"",($S203-PI()*$I203/10)^2/(4*PI())-IF(IFERROR(INDEX(Cadastro!$F$8:$F$47,MATCH($B203,Cadastro!$B$8:$B$47,0)),"")="Feminino",6.5,10))</f>
        <v/>
      </c>
      <c r="AS203" s="35" t="str">
        <f aca="false">IF(OR($I203="",$J203="",$O203="",$F203=""),"",-0.7182+0.1451*(($I203+$J203+$O203)*(170.18/$F203))-0.00068*(($I203+$J203+$O203)*(170.18/$F203))^2+0.0000014*(($I203+$J203+$O203)*(170.18/$F203))^3)</f>
        <v/>
      </c>
      <c r="AT203" s="35" t="str">
        <f aca="false">IF(OR($AE203="",$AF203="",$T203="",$AA203="",$F203=""),"",0.858*$AE203+0.601*$AF203+0.188*($T203-$I203/10)+0.161*($AA203-$R203/10)-0.131*$F203+4.5)</f>
        <v/>
      </c>
      <c r="AU203" s="35" t="str">
        <f aca="false">IF(OR($E203="",$F203=""),"",IF($F203/$E203^(1/3)&gt;=40.75,0.732*($F203/$E203^(1/3))-28.58,IF($F203/$E203^(1/3)&gt;=38.25,0.463*($F203/$E203^(1/3))-17.63,0.1)))</f>
        <v/>
      </c>
      <c r="AV203" s="37" t="str">
        <f aca="false">IF(OR($AS203="",$AT203="",$AU203=""),"",IF(AND($AT203&gt;=$AS203,$AT203&gt;=$AU203),"Mesomorfo dominante",IF(AND($AU203&gt;=$AS203,$AU203&gt;=$AT203),"Ectomorfo dominante","Endomorfo dominante")))</f>
        <v/>
      </c>
    </row>
    <row r="204" customFormat="false" ht="15" hidden="false" customHeight="false" outlineLevel="0" collapsed="false">
      <c r="A204" s="29"/>
      <c r="B204" s="27"/>
      <c r="C204" s="28"/>
      <c r="D204" s="27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3" t="str">
        <f aca="false">IFERROR(DATEDIF(INDEX(Cadastro!$D$8:$D$47,MATCH($B204,Cadastro!$B$8:$B$47,0)),$A204,"Y"),"")</f>
        <v/>
      </c>
      <c r="AH204" s="33" t="str">
        <f aca="false">IF(COUNT($I204,$K204,$J204,$N204)&lt;4,"",$I204+$K204+$J204+$N204)</f>
        <v/>
      </c>
      <c r="AI204" s="33" t="str">
        <f aca="false">IF(COUNT($L204,$M204,$I204,$J204,$P204,$N204,$Q204)&lt;7,"",$L204+$M204+$I204+$J204+$P204+$N204+$Q204)</f>
        <v/>
      </c>
      <c r="AJ204" s="33" t="str">
        <f aca="false">IF(COUNT($I204,$J204,$K204,$O204,$P204,$Q204,$R204,$N204)&lt;8,"",$I204+$J204+$K204+$O204+$P204+$Q204+$R204+$N204)</f>
        <v/>
      </c>
      <c r="AK204" s="34" t="str">
        <f aca="false">IF(OR($AI204="",$AG204=""),"",IF(IFERROR(INDEX(Cadastro!$F$8:$F$47,MATCH($B204,Cadastro!$B$8:$B$47,0)),"")="Feminino",1.097-0.00046971*$AI204+0.00000056*$AI204^2-0.00012828*$AG204,1.112-0.00043499*$AI204+0.00000055*$AI204^2-0.00028826*$AG204))</f>
        <v/>
      </c>
      <c r="AL204" s="30" t="str">
        <f aca="false">IF(OR($AK204="",$AK204=0),"",495/$AK204-450)</f>
        <v/>
      </c>
      <c r="AM204" s="35" t="str">
        <f aca="false">IF(OR($AL204="",$E204=""),"",$E204*$AL204/100)</f>
        <v/>
      </c>
      <c r="AN204" s="30" t="str">
        <f aca="false">IF(OR($AM204="",$E204=""),"",$E204-$AM204)</f>
        <v/>
      </c>
      <c r="AO204" s="35" t="str">
        <f aca="false">IFERROR($E204/($F204/100)^2,"")</f>
        <v/>
      </c>
      <c r="AP204" s="35" t="str">
        <f aca="false">IFERROR($G204/$F204*100,"")</f>
        <v/>
      </c>
      <c r="AQ204" s="36" t="str">
        <f aca="false">IFERROR($W204/$F204,"")</f>
        <v/>
      </c>
      <c r="AR204" s="35" t="str">
        <f aca="false">IF(OR($S204="",$I204=""),"",($S204-PI()*$I204/10)^2/(4*PI())-IF(IFERROR(INDEX(Cadastro!$F$8:$F$47,MATCH($B204,Cadastro!$B$8:$B$47,0)),"")="Feminino",6.5,10))</f>
        <v/>
      </c>
      <c r="AS204" s="35" t="str">
        <f aca="false">IF(OR($I204="",$J204="",$O204="",$F204=""),"",-0.7182+0.1451*(($I204+$J204+$O204)*(170.18/$F204))-0.00068*(($I204+$J204+$O204)*(170.18/$F204))^2+0.0000014*(($I204+$J204+$O204)*(170.18/$F204))^3)</f>
        <v/>
      </c>
      <c r="AT204" s="35" t="str">
        <f aca="false">IF(OR($AE204="",$AF204="",$T204="",$AA204="",$F204=""),"",0.858*$AE204+0.601*$AF204+0.188*($T204-$I204/10)+0.161*($AA204-$R204/10)-0.131*$F204+4.5)</f>
        <v/>
      </c>
      <c r="AU204" s="35" t="str">
        <f aca="false">IF(OR($E204="",$F204=""),"",IF($F204/$E204^(1/3)&gt;=40.75,0.732*($F204/$E204^(1/3))-28.58,IF($F204/$E204^(1/3)&gt;=38.25,0.463*($F204/$E204^(1/3))-17.63,0.1)))</f>
        <v/>
      </c>
      <c r="AV204" s="37" t="str">
        <f aca="false">IF(OR($AS204="",$AT204="",$AU204=""),"",IF(AND($AT204&gt;=$AS204,$AT204&gt;=$AU204),"Mesomorfo dominante",IF(AND($AU204&gt;=$AS204,$AU204&gt;=$AT204),"Ectomorfo dominante","Endomorfo dominante")))</f>
        <v/>
      </c>
    </row>
    <row r="205" customFormat="false" ht="15" hidden="false" customHeight="false" outlineLevel="0" collapsed="false">
      <c r="A205" s="29"/>
      <c r="B205" s="27"/>
      <c r="C205" s="28"/>
      <c r="D205" s="27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3" t="str">
        <f aca="false">IFERROR(DATEDIF(INDEX(Cadastro!$D$8:$D$47,MATCH($B205,Cadastro!$B$8:$B$47,0)),$A205,"Y"),"")</f>
        <v/>
      </c>
      <c r="AH205" s="33" t="str">
        <f aca="false">IF(COUNT($I205,$K205,$J205,$N205)&lt;4,"",$I205+$K205+$J205+$N205)</f>
        <v/>
      </c>
      <c r="AI205" s="33" t="str">
        <f aca="false">IF(COUNT($L205,$M205,$I205,$J205,$P205,$N205,$Q205)&lt;7,"",$L205+$M205+$I205+$J205+$P205+$N205+$Q205)</f>
        <v/>
      </c>
      <c r="AJ205" s="33" t="str">
        <f aca="false">IF(COUNT($I205,$J205,$K205,$O205,$P205,$Q205,$R205,$N205)&lt;8,"",$I205+$J205+$K205+$O205+$P205+$Q205+$R205+$N205)</f>
        <v/>
      </c>
      <c r="AK205" s="34" t="str">
        <f aca="false">IF(OR($AI205="",$AG205=""),"",IF(IFERROR(INDEX(Cadastro!$F$8:$F$47,MATCH($B205,Cadastro!$B$8:$B$47,0)),"")="Feminino",1.097-0.00046971*$AI205+0.00000056*$AI205^2-0.00012828*$AG205,1.112-0.00043499*$AI205+0.00000055*$AI205^2-0.00028826*$AG205))</f>
        <v/>
      </c>
      <c r="AL205" s="30" t="str">
        <f aca="false">IF(OR($AK205="",$AK205=0),"",495/$AK205-450)</f>
        <v/>
      </c>
      <c r="AM205" s="35" t="str">
        <f aca="false">IF(OR($AL205="",$E205=""),"",$E205*$AL205/100)</f>
        <v/>
      </c>
      <c r="AN205" s="30" t="str">
        <f aca="false">IF(OR($AM205="",$E205=""),"",$E205-$AM205)</f>
        <v/>
      </c>
      <c r="AO205" s="35" t="str">
        <f aca="false">IFERROR($E205/($F205/100)^2,"")</f>
        <v/>
      </c>
      <c r="AP205" s="35" t="str">
        <f aca="false">IFERROR($G205/$F205*100,"")</f>
        <v/>
      </c>
      <c r="AQ205" s="36" t="str">
        <f aca="false">IFERROR($W205/$F205,"")</f>
        <v/>
      </c>
      <c r="AR205" s="35" t="str">
        <f aca="false">IF(OR($S205="",$I205=""),"",($S205-PI()*$I205/10)^2/(4*PI())-IF(IFERROR(INDEX(Cadastro!$F$8:$F$47,MATCH($B205,Cadastro!$B$8:$B$47,0)),"")="Feminino",6.5,10))</f>
        <v/>
      </c>
      <c r="AS205" s="35" t="str">
        <f aca="false">IF(OR($I205="",$J205="",$O205="",$F205=""),"",-0.7182+0.1451*(($I205+$J205+$O205)*(170.18/$F205))-0.00068*(($I205+$J205+$O205)*(170.18/$F205))^2+0.0000014*(($I205+$J205+$O205)*(170.18/$F205))^3)</f>
        <v/>
      </c>
      <c r="AT205" s="35" t="str">
        <f aca="false">IF(OR($AE205="",$AF205="",$T205="",$AA205="",$F205=""),"",0.858*$AE205+0.601*$AF205+0.188*($T205-$I205/10)+0.161*($AA205-$R205/10)-0.131*$F205+4.5)</f>
        <v/>
      </c>
      <c r="AU205" s="35" t="str">
        <f aca="false">IF(OR($E205="",$F205=""),"",IF($F205/$E205^(1/3)&gt;=40.75,0.732*($F205/$E205^(1/3))-28.58,IF($F205/$E205^(1/3)&gt;=38.25,0.463*($F205/$E205^(1/3))-17.63,0.1)))</f>
        <v/>
      </c>
      <c r="AV205" s="37" t="str">
        <f aca="false">IF(OR($AS205="",$AT205="",$AU205=""),"",IF(AND($AT205&gt;=$AS205,$AT205&gt;=$AU205),"Mesomorfo dominante",IF(AND($AU205&gt;=$AS205,$AU205&gt;=$AT205),"Ectomorfo dominante","Endomorfo dominante")))</f>
        <v/>
      </c>
    </row>
    <row r="206" customFormat="false" ht="15" hidden="false" customHeight="false" outlineLevel="0" collapsed="false">
      <c r="A206" s="29"/>
      <c r="B206" s="27"/>
      <c r="C206" s="28"/>
      <c r="D206" s="27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3" t="str">
        <f aca="false">IFERROR(DATEDIF(INDEX(Cadastro!$D$8:$D$47,MATCH($B206,Cadastro!$B$8:$B$47,0)),$A206,"Y"),"")</f>
        <v/>
      </c>
      <c r="AH206" s="33" t="str">
        <f aca="false">IF(COUNT($I206,$K206,$J206,$N206)&lt;4,"",$I206+$K206+$J206+$N206)</f>
        <v/>
      </c>
      <c r="AI206" s="33" t="str">
        <f aca="false">IF(COUNT($L206,$M206,$I206,$J206,$P206,$N206,$Q206)&lt;7,"",$L206+$M206+$I206+$J206+$P206+$N206+$Q206)</f>
        <v/>
      </c>
      <c r="AJ206" s="33" t="str">
        <f aca="false">IF(COUNT($I206,$J206,$K206,$O206,$P206,$Q206,$R206,$N206)&lt;8,"",$I206+$J206+$K206+$O206+$P206+$Q206+$R206+$N206)</f>
        <v/>
      </c>
      <c r="AK206" s="34" t="str">
        <f aca="false">IF(OR($AI206="",$AG206=""),"",IF(IFERROR(INDEX(Cadastro!$F$8:$F$47,MATCH($B206,Cadastro!$B$8:$B$47,0)),"")="Feminino",1.097-0.00046971*$AI206+0.00000056*$AI206^2-0.00012828*$AG206,1.112-0.00043499*$AI206+0.00000055*$AI206^2-0.00028826*$AG206))</f>
        <v/>
      </c>
      <c r="AL206" s="30" t="str">
        <f aca="false">IF(OR($AK206="",$AK206=0),"",495/$AK206-450)</f>
        <v/>
      </c>
      <c r="AM206" s="35" t="str">
        <f aca="false">IF(OR($AL206="",$E206=""),"",$E206*$AL206/100)</f>
        <v/>
      </c>
      <c r="AN206" s="30" t="str">
        <f aca="false">IF(OR($AM206="",$E206=""),"",$E206-$AM206)</f>
        <v/>
      </c>
      <c r="AO206" s="35" t="str">
        <f aca="false">IFERROR($E206/($F206/100)^2,"")</f>
        <v/>
      </c>
      <c r="AP206" s="35" t="str">
        <f aca="false">IFERROR($G206/$F206*100,"")</f>
        <v/>
      </c>
      <c r="AQ206" s="36" t="str">
        <f aca="false">IFERROR($W206/$F206,"")</f>
        <v/>
      </c>
      <c r="AR206" s="35" t="str">
        <f aca="false">IF(OR($S206="",$I206=""),"",($S206-PI()*$I206/10)^2/(4*PI())-IF(IFERROR(INDEX(Cadastro!$F$8:$F$47,MATCH($B206,Cadastro!$B$8:$B$47,0)),"")="Feminino",6.5,10))</f>
        <v/>
      </c>
      <c r="AS206" s="35" t="str">
        <f aca="false">IF(OR($I206="",$J206="",$O206="",$F206=""),"",-0.7182+0.1451*(($I206+$J206+$O206)*(170.18/$F206))-0.00068*(($I206+$J206+$O206)*(170.18/$F206))^2+0.0000014*(($I206+$J206+$O206)*(170.18/$F206))^3)</f>
        <v/>
      </c>
      <c r="AT206" s="35" t="str">
        <f aca="false">IF(OR($AE206="",$AF206="",$T206="",$AA206="",$F206=""),"",0.858*$AE206+0.601*$AF206+0.188*($T206-$I206/10)+0.161*($AA206-$R206/10)-0.131*$F206+4.5)</f>
        <v/>
      </c>
      <c r="AU206" s="35" t="str">
        <f aca="false">IF(OR($E206="",$F206=""),"",IF($F206/$E206^(1/3)&gt;=40.75,0.732*($F206/$E206^(1/3))-28.58,IF($F206/$E206^(1/3)&gt;=38.25,0.463*($F206/$E206^(1/3))-17.63,0.1)))</f>
        <v/>
      </c>
      <c r="AV206" s="37" t="str">
        <f aca="false">IF(OR($AS206="",$AT206="",$AU206=""),"",IF(AND($AT206&gt;=$AS206,$AT206&gt;=$AU206),"Mesomorfo dominante",IF(AND($AU206&gt;=$AS206,$AU206&gt;=$AT206),"Ectomorfo dominante","Endomorfo dominante")))</f>
        <v/>
      </c>
    </row>
    <row r="207" customFormat="false" ht="15" hidden="false" customHeight="false" outlineLevel="0" collapsed="false">
      <c r="A207" s="29"/>
      <c r="B207" s="27"/>
      <c r="C207" s="28"/>
      <c r="D207" s="27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3" t="str">
        <f aca="false">IFERROR(DATEDIF(INDEX(Cadastro!$D$8:$D$47,MATCH($B207,Cadastro!$B$8:$B$47,0)),$A207,"Y"),"")</f>
        <v/>
      </c>
      <c r="AH207" s="33" t="str">
        <f aca="false">IF(COUNT($I207,$K207,$J207,$N207)&lt;4,"",$I207+$K207+$J207+$N207)</f>
        <v/>
      </c>
      <c r="AI207" s="33" t="str">
        <f aca="false">IF(COUNT($L207,$M207,$I207,$J207,$P207,$N207,$Q207)&lt;7,"",$L207+$M207+$I207+$J207+$P207+$N207+$Q207)</f>
        <v/>
      </c>
      <c r="AJ207" s="33" t="str">
        <f aca="false">IF(COUNT($I207,$J207,$K207,$O207,$P207,$Q207,$R207,$N207)&lt;8,"",$I207+$J207+$K207+$O207+$P207+$Q207+$R207+$N207)</f>
        <v/>
      </c>
      <c r="AK207" s="34" t="str">
        <f aca="false">IF(OR($AI207="",$AG207=""),"",IF(IFERROR(INDEX(Cadastro!$F$8:$F$47,MATCH($B207,Cadastro!$B$8:$B$47,0)),"")="Feminino",1.097-0.00046971*$AI207+0.00000056*$AI207^2-0.00012828*$AG207,1.112-0.00043499*$AI207+0.00000055*$AI207^2-0.00028826*$AG207))</f>
        <v/>
      </c>
      <c r="AL207" s="30" t="str">
        <f aca="false">IF(OR($AK207="",$AK207=0),"",495/$AK207-450)</f>
        <v/>
      </c>
      <c r="AM207" s="35" t="str">
        <f aca="false">IF(OR($AL207="",$E207=""),"",$E207*$AL207/100)</f>
        <v/>
      </c>
      <c r="AN207" s="30" t="str">
        <f aca="false">IF(OR($AM207="",$E207=""),"",$E207-$AM207)</f>
        <v/>
      </c>
      <c r="AO207" s="35" t="str">
        <f aca="false">IFERROR($E207/($F207/100)^2,"")</f>
        <v/>
      </c>
      <c r="AP207" s="35" t="str">
        <f aca="false">IFERROR($G207/$F207*100,"")</f>
        <v/>
      </c>
      <c r="AQ207" s="36" t="str">
        <f aca="false">IFERROR($W207/$F207,"")</f>
        <v/>
      </c>
      <c r="AR207" s="35" t="str">
        <f aca="false">IF(OR($S207="",$I207=""),"",($S207-PI()*$I207/10)^2/(4*PI())-IF(IFERROR(INDEX(Cadastro!$F$8:$F$47,MATCH($B207,Cadastro!$B$8:$B$47,0)),"")="Feminino",6.5,10))</f>
        <v/>
      </c>
      <c r="AS207" s="35" t="str">
        <f aca="false">IF(OR($I207="",$J207="",$O207="",$F207=""),"",-0.7182+0.1451*(($I207+$J207+$O207)*(170.18/$F207))-0.00068*(($I207+$J207+$O207)*(170.18/$F207))^2+0.0000014*(($I207+$J207+$O207)*(170.18/$F207))^3)</f>
        <v/>
      </c>
      <c r="AT207" s="35" t="str">
        <f aca="false">IF(OR($AE207="",$AF207="",$T207="",$AA207="",$F207=""),"",0.858*$AE207+0.601*$AF207+0.188*($T207-$I207/10)+0.161*($AA207-$R207/10)-0.131*$F207+4.5)</f>
        <v/>
      </c>
      <c r="AU207" s="35" t="str">
        <f aca="false">IF(OR($E207="",$F207=""),"",IF($F207/$E207^(1/3)&gt;=40.75,0.732*($F207/$E207^(1/3))-28.58,IF($F207/$E207^(1/3)&gt;=38.25,0.463*($F207/$E207^(1/3))-17.63,0.1)))</f>
        <v/>
      </c>
      <c r="AV207" s="37" t="str">
        <f aca="false">IF(OR($AS207="",$AT207="",$AU207=""),"",IF(AND($AT207&gt;=$AS207,$AT207&gt;=$AU207),"Mesomorfo dominante",IF(AND($AU207&gt;=$AS207,$AU207&gt;=$AT207),"Ectomorfo dominante","Endomorfo dominante")))</f>
        <v/>
      </c>
    </row>
    <row r="208" customFormat="false" ht="15" hidden="false" customHeight="false" outlineLevel="0" collapsed="false">
      <c r="A208" s="29"/>
      <c r="B208" s="27"/>
      <c r="C208" s="28"/>
      <c r="D208" s="27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3" t="str">
        <f aca="false">IFERROR(DATEDIF(INDEX(Cadastro!$D$8:$D$47,MATCH($B208,Cadastro!$B$8:$B$47,0)),$A208,"Y"),"")</f>
        <v/>
      </c>
      <c r="AH208" s="33" t="str">
        <f aca="false">IF(COUNT($I208,$K208,$J208,$N208)&lt;4,"",$I208+$K208+$J208+$N208)</f>
        <v/>
      </c>
      <c r="AI208" s="33" t="str">
        <f aca="false">IF(COUNT($L208,$M208,$I208,$J208,$P208,$N208,$Q208)&lt;7,"",$L208+$M208+$I208+$J208+$P208+$N208+$Q208)</f>
        <v/>
      </c>
      <c r="AJ208" s="33" t="str">
        <f aca="false">IF(COUNT($I208,$J208,$K208,$O208,$P208,$Q208,$R208,$N208)&lt;8,"",$I208+$J208+$K208+$O208+$P208+$Q208+$R208+$N208)</f>
        <v/>
      </c>
      <c r="AK208" s="34" t="str">
        <f aca="false">IF(OR($AI208="",$AG208=""),"",IF(IFERROR(INDEX(Cadastro!$F$8:$F$47,MATCH($B208,Cadastro!$B$8:$B$47,0)),"")="Feminino",1.097-0.00046971*$AI208+0.00000056*$AI208^2-0.00012828*$AG208,1.112-0.00043499*$AI208+0.00000055*$AI208^2-0.00028826*$AG208))</f>
        <v/>
      </c>
      <c r="AL208" s="30" t="str">
        <f aca="false">IF(OR($AK208="",$AK208=0),"",495/$AK208-450)</f>
        <v/>
      </c>
      <c r="AM208" s="35" t="str">
        <f aca="false">IF(OR($AL208="",$E208=""),"",$E208*$AL208/100)</f>
        <v/>
      </c>
      <c r="AN208" s="30" t="str">
        <f aca="false">IF(OR($AM208="",$E208=""),"",$E208-$AM208)</f>
        <v/>
      </c>
      <c r="AO208" s="35" t="str">
        <f aca="false">IFERROR($E208/($F208/100)^2,"")</f>
        <v/>
      </c>
      <c r="AP208" s="35" t="str">
        <f aca="false">IFERROR($G208/$F208*100,"")</f>
        <v/>
      </c>
      <c r="AQ208" s="36" t="str">
        <f aca="false">IFERROR($W208/$F208,"")</f>
        <v/>
      </c>
      <c r="AR208" s="35" t="str">
        <f aca="false">IF(OR($S208="",$I208=""),"",($S208-PI()*$I208/10)^2/(4*PI())-IF(IFERROR(INDEX(Cadastro!$F$8:$F$47,MATCH($B208,Cadastro!$B$8:$B$47,0)),"")="Feminino",6.5,10))</f>
        <v/>
      </c>
      <c r="AS208" s="35" t="str">
        <f aca="false">IF(OR($I208="",$J208="",$O208="",$F208=""),"",-0.7182+0.1451*(($I208+$J208+$O208)*(170.18/$F208))-0.00068*(($I208+$J208+$O208)*(170.18/$F208))^2+0.0000014*(($I208+$J208+$O208)*(170.18/$F208))^3)</f>
        <v/>
      </c>
      <c r="AT208" s="35" t="str">
        <f aca="false">IF(OR($AE208="",$AF208="",$T208="",$AA208="",$F208=""),"",0.858*$AE208+0.601*$AF208+0.188*($T208-$I208/10)+0.161*($AA208-$R208/10)-0.131*$F208+4.5)</f>
        <v/>
      </c>
      <c r="AU208" s="35" t="str">
        <f aca="false">IF(OR($E208="",$F208=""),"",IF($F208/$E208^(1/3)&gt;=40.75,0.732*($F208/$E208^(1/3))-28.58,IF($F208/$E208^(1/3)&gt;=38.25,0.463*($F208/$E208^(1/3))-17.63,0.1)))</f>
        <v/>
      </c>
      <c r="AV208" s="37" t="str">
        <f aca="false">IF(OR($AS208="",$AT208="",$AU208=""),"",IF(AND($AT208&gt;=$AS208,$AT208&gt;=$AU208),"Mesomorfo dominante",IF(AND($AU208&gt;=$AS208,$AU208&gt;=$AT208),"Ectomorfo dominante","Endomorfo dominante")))</f>
        <v/>
      </c>
    </row>
    <row r="209" customFormat="false" ht="15" hidden="false" customHeight="false" outlineLevel="0" collapsed="false">
      <c r="A209" s="29"/>
      <c r="B209" s="27"/>
      <c r="C209" s="28"/>
      <c r="D209" s="27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3" t="str">
        <f aca="false">IFERROR(DATEDIF(INDEX(Cadastro!$D$8:$D$47,MATCH($B209,Cadastro!$B$8:$B$47,0)),$A209,"Y"),"")</f>
        <v/>
      </c>
      <c r="AH209" s="33" t="str">
        <f aca="false">IF(COUNT($I209,$K209,$J209,$N209)&lt;4,"",$I209+$K209+$J209+$N209)</f>
        <v/>
      </c>
      <c r="AI209" s="33" t="str">
        <f aca="false">IF(COUNT($L209,$M209,$I209,$J209,$P209,$N209,$Q209)&lt;7,"",$L209+$M209+$I209+$J209+$P209+$N209+$Q209)</f>
        <v/>
      </c>
      <c r="AJ209" s="33" t="str">
        <f aca="false">IF(COUNT($I209,$J209,$K209,$O209,$P209,$Q209,$R209,$N209)&lt;8,"",$I209+$J209+$K209+$O209+$P209+$Q209+$R209+$N209)</f>
        <v/>
      </c>
      <c r="AK209" s="34" t="str">
        <f aca="false">IF(OR($AI209="",$AG209=""),"",IF(IFERROR(INDEX(Cadastro!$F$8:$F$47,MATCH($B209,Cadastro!$B$8:$B$47,0)),"")="Feminino",1.097-0.00046971*$AI209+0.00000056*$AI209^2-0.00012828*$AG209,1.112-0.00043499*$AI209+0.00000055*$AI209^2-0.00028826*$AG209))</f>
        <v/>
      </c>
      <c r="AL209" s="30" t="str">
        <f aca="false">IF(OR($AK209="",$AK209=0),"",495/$AK209-450)</f>
        <v/>
      </c>
      <c r="AM209" s="35" t="str">
        <f aca="false">IF(OR($AL209="",$E209=""),"",$E209*$AL209/100)</f>
        <v/>
      </c>
      <c r="AN209" s="30" t="str">
        <f aca="false">IF(OR($AM209="",$E209=""),"",$E209-$AM209)</f>
        <v/>
      </c>
      <c r="AO209" s="35" t="str">
        <f aca="false">IFERROR($E209/($F209/100)^2,"")</f>
        <v/>
      </c>
      <c r="AP209" s="35" t="str">
        <f aca="false">IFERROR($G209/$F209*100,"")</f>
        <v/>
      </c>
      <c r="AQ209" s="36" t="str">
        <f aca="false">IFERROR($W209/$F209,"")</f>
        <v/>
      </c>
      <c r="AR209" s="35" t="str">
        <f aca="false">IF(OR($S209="",$I209=""),"",($S209-PI()*$I209/10)^2/(4*PI())-IF(IFERROR(INDEX(Cadastro!$F$8:$F$47,MATCH($B209,Cadastro!$B$8:$B$47,0)),"")="Feminino",6.5,10))</f>
        <v/>
      </c>
      <c r="AS209" s="35" t="str">
        <f aca="false">IF(OR($I209="",$J209="",$O209="",$F209=""),"",-0.7182+0.1451*(($I209+$J209+$O209)*(170.18/$F209))-0.00068*(($I209+$J209+$O209)*(170.18/$F209))^2+0.0000014*(($I209+$J209+$O209)*(170.18/$F209))^3)</f>
        <v/>
      </c>
      <c r="AT209" s="35" t="str">
        <f aca="false">IF(OR($AE209="",$AF209="",$T209="",$AA209="",$F209=""),"",0.858*$AE209+0.601*$AF209+0.188*($T209-$I209/10)+0.161*($AA209-$R209/10)-0.131*$F209+4.5)</f>
        <v/>
      </c>
      <c r="AU209" s="35" t="str">
        <f aca="false">IF(OR($E209="",$F209=""),"",IF($F209/$E209^(1/3)&gt;=40.75,0.732*($F209/$E209^(1/3))-28.58,IF($F209/$E209^(1/3)&gt;=38.25,0.463*($F209/$E209^(1/3))-17.63,0.1)))</f>
        <v/>
      </c>
      <c r="AV209" s="37" t="str">
        <f aca="false">IF(OR($AS209="",$AT209="",$AU209=""),"",IF(AND($AT209&gt;=$AS209,$AT209&gt;=$AU209),"Mesomorfo dominante",IF(AND($AU209&gt;=$AS209,$AU209&gt;=$AT209),"Ectomorfo dominante","Endomorfo dominante")))</f>
        <v/>
      </c>
    </row>
    <row r="210" customFormat="false" ht="15" hidden="false" customHeight="false" outlineLevel="0" collapsed="false">
      <c r="A210" s="29"/>
      <c r="B210" s="27"/>
      <c r="C210" s="28"/>
      <c r="D210" s="27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3" t="str">
        <f aca="false">IFERROR(DATEDIF(INDEX(Cadastro!$D$8:$D$47,MATCH($B210,Cadastro!$B$8:$B$47,0)),$A210,"Y"),"")</f>
        <v/>
      </c>
      <c r="AH210" s="33" t="str">
        <f aca="false">IF(COUNT($I210,$K210,$J210,$N210)&lt;4,"",$I210+$K210+$J210+$N210)</f>
        <v/>
      </c>
      <c r="AI210" s="33" t="str">
        <f aca="false">IF(COUNT($L210,$M210,$I210,$J210,$P210,$N210,$Q210)&lt;7,"",$L210+$M210+$I210+$J210+$P210+$N210+$Q210)</f>
        <v/>
      </c>
      <c r="AJ210" s="33" t="str">
        <f aca="false">IF(COUNT($I210,$J210,$K210,$O210,$P210,$Q210,$R210,$N210)&lt;8,"",$I210+$J210+$K210+$O210+$P210+$Q210+$R210+$N210)</f>
        <v/>
      </c>
      <c r="AK210" s="34" t="str">
        <f aca="false">IF(OR($AI210="",$AG210=""),"",IF(IFERROR(INDEX(Cadastro!$F$8:$F$47,MATCH($B210,Cadastro!$B$8:$B$47,0)),"")="Feminino",1.097-0.00046971*$AI210+0.00000056*$AI210^2-0.00012828*$AG210,1.112-0.00043499*$AI210+0.00000055*$AI210^2-0.00028826*$AG210))</f>
        <v/>
      </c>
      <c r="AL210" s="30" t="str">
        <f aca="false">IF(OR($AK210="",$AK210=0),"",495/$AK210-450)</f>
        <v/>
      </c>
      <c r="AM210" s="35" t="str">
        <f aca="false">IF(OR($AL210="",$E210=""),"",$E210*$AL210/100)</f>
        <v/>
      </c>
      <c r="AN210" s="30" t="str">
        <f aca="false">IF(OR($AM210="",$E210=""),"",$E210-$AM210)</f>
        <v/>
      </c>
      <c r="AO210" s="35" t="str">
        <f aca="false">IFERROR($E210/($F210/100)^2,"")</f>
        <v/>
      </c>
      <c r="AP210" s="35" t="str">
        <f aca="false">IFERROR($G210/$F210*100,"")</f>
        <v/>
      </c>
      <c r="AQ210" s="36" t="str">
        <f aca="false">IFERROR($W210/$F210,"")</f>
        <v/>
      </c>
      <c r="AR210" s="35" t="str">
        <f aca="false">IF(OR($S210="",$I210=""),"",($S210-PI()*$I210/10)^2/(4*PI())-IF(IFERROR(INDEX(Cadastro!$F$8:$F$47,MATCH($B210,Cadastro!$B$8:$B$47,0)),"")="Feminino",6.5,10))</f>
        <v/>
      </c>
      <c r="AS210" s="35" t="str">
        <f aca="false">IF(OR($I210="",$J210="",$O210="",$F210=""),"",-0.7182+0.1451*(($I210+$J210+$O210)*(170.18/$F210))-0.00068*(($I210+$J210+$O210)*(170.18/$F210))^2+0.0000014*(($I210+$J210+$O210)*(170.18/$F210))^3)</f>
        <v/>
      </c>
      <c r="AT210" s="35" t="str">
        <f aca="false">IF(OR($AE210="",$AF210="",$T210="",$AA210="",$F210=""),"",0.858*$AE210+0.601*$AF210+0.188*($T210-$I210/10)+0.161*($AA210-$R210/10)-0.131*$F210+4.5)</f>
        <v/>
      </c>
      <c r="AU210" s="35" t="str">
        <f aca="false">IF(OR($E210="",$F210=""),"",IF($F210/$E210^(1/3)&gt;=40.75,0.732*($F210/$E210^(1/3))-28.58,IF($F210/$E210^(1/3)&gt;=38.25,0.463*($F210/$E210^(1/3))-17.63,0.1)))</f>
        <v/>
      </c>
      <c r="AV210" s="37" t="str">
        <f aca="false">IF(OR($AS210="",$AT210="",$AU210=""),"",IF(AND($AT210&gt;=$AS210,$AT210&gt;=$AU210),"Mesomorfo dominante",IF(AND($AU210&gt;=$AS210,$AU210&gt;=$AT210),"Ectomorfo dominante","Endomorfo dominante")))</f>
        <v/>
      </c>
    </row>
    <row r="211" customFormat="false" ht="15" hidden="false" customHeight="false" outlineLevel="0" collapsed="false">
      <c r="A211" s="29"/>
      <c r="B211" s="27"/>
      <c r="C211" s="28"/>
      <c r="D211" s="27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3" t="str">
        <f aca="false">IFERROR(DATEDIF(INDEX(Cadastro!$D$8:$D$47,MATCH($B211,Cadastro!$B$8:$B$47,0)),$A211,"Y"),"")</f>
        <v/>
      </c>
      <c r="AH211" s="33" t="str">
        <f aca="false">IF(COUNT($I211,$K211,$J211,$N211)&lt;4,"",$I211+$K211+$J211+$N211)</f>
        <v/>
      </c>
      <c r="AI211" s="33" t="str">
        <f aca="false">IF(COUNT($L211,$M211,$I211,$J211,$P211,$N211,$Q211)&lt;7,"",$L211+$M211+$I211+$J211+$P211+$N211+$Q211)</f>
        <v/>
      </c>
      <c r="AJ211" s="33" t="str">
        <f aca="false">IF(COUNT($I211,$J211,$K211,$O211,$P211,$Q211,$R211,$N211)&lt;8,"",$I211+$J211+$K211+$O211+$P211+$Q211+$R211+$N211)</f>
        <v/>
      </c>
      <c r="AK211" s="34" t="str">
        <f aca="false">IF(OR($AI211="",$AG211=""),"",IF(IFERROR(INDEX(Cadastro!$F$8:$F$47,MATCH($B211,Cadastro!$B$8:$B$47,0)),"")="Feminino",1.097-0.00046971*$AI211+0.00000056*$AI211^2-0.00012828*$AG211,1.112-0.00043499*$AI211+0.00000055*$AI211^2-0.00028826*$AG211))</f>
        <v/>
      </c>
      <c r="AL211" s="30" t="str">
        <f aca="false">IF(OR($AK211="",$AK211=0),"",495/$AK211-450)</f>
        <v/>
      </c>
      <c r="AM211" s="35" t="str">
        <f aca="false">IF(OR($AL211="",$E211=""),"",$E211*$AL211/100)</f>
        <v/>
      </c>
      <c r="AN211" s="30" t="str">
        <f aca="false">IF(OR($AM211="",$E211=""),"",$E211-$AM211)</f>
        <v/>
      </c>
      <c r="AO211" s="35" t="str">
        <f aca="false">IFERROR($E211/($F211/100)^2,"")</f>
        <v/>
      </c>
      <c r="AP211" s="35" t="str">
        <f aca="false">IFERROR($G211/$F211*100,"")</f>
        <v/>
      </c>
      <c r="AQ211" s="36" t="str">
        <f aca="false">IFERROR($W211/$F211,"")</f>
        <v/>
      </c>
      <c r="AR211" s="35" t="str">
        <f aca="false">IF(OR($S211="",$I211=""),"",($S211-PI()*$I211/10)^2/(4*PI())-IF(IFERROR(INDEX(Cadastro!$F$8:$F$47,MATCH($B211,Cadastro!$B$8:$B$47,0)),"")="Feminino",6.5,10))</f>
        <v/>
      </c>
      <c r="AS211" s="35" t="str">
        <f aca="false">IF(OR($I211="",$J211="",$O211="",$F211=""),"",-0.7182+0.1451*(($I211+$J211+$O211)*(170.18/$F211))-0.00068*(($I211+$J211+$O211)*(170.18/$F211))^2+0.0000014*(($I211+$J211+$O211)*(170.18/$F211))^3)</f>
        <v/>
      </c>
      <c r="AT211" s="35" t="str">
        <f aca="false">IF(OR($AE211="",$AF211="",$T211="",$AA211="",$F211=""),"",0.858*$AE211+0.601*$AF211+0.188*($T211-$I211/10)+0.161*($AA211-$R211/10)-0.131*$F211+4.5)</f>
        <v/>
      </c>
      <c r="AU211" s="35" t="str">
        <f aca="false">IF(OR($E211="",$F211=""),"",IF($F211/$E211^(1/3)&gt;=40.75,0.732*($F211/$E211^(1/3))-28.58,IF($F211/$E211^(1/3)&gt;=38.25,0.463*($F211/$E211^(1/3))-17.63,0.1)))</f>
        <v/>
      </c>
      <c r="AV211" s="37" t="str">
        <f aca="false">IF(OR($AS211="",$AT211="",$AU211=""),"",IF(AND($AT211&gt;=$AS211,$AT211&gt;=$AU211),"Mesomorfo dominante",IF(AND($AU211&gt;=$AS211,$AU211&gt;=$AT211),"Ectomorfo dominante","Endomorfo dominante")))</f>
        <v/>
      </c>
    </row>
    <row r="212" customFormat="false" ht="15" hidden="false" customHeight="false" outlineLevel="0" collapsed="false">
      <c r="A212" s="29"/>
      <c r="B212" s="27"/>
      <c r="C212" s="28"/>
      <c r="D212" s="27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3" t="str">
        <f aca="false">IFERROR(DATEDIF(INDEX(Cadastro!$D$8:$D$47,MATCH($B212,Cadastro!$B$8:$B$47,0)),$A212,"Y"),"")</f>
        <v/>
      </c>
      <c r="AH212" s="33" t="str">
        <f aca="false">IF(COUNT($I212,$K212,$J212,$N212)&lt;4,"",$I212+$K212+$J212+$N212)</f>
        <v/>
      </c>
      <c r="AI212" s="33" t="str">
        <f aca="false">IF(COUNT($L212,$M212,$I212,$J212,$P212,$N212,$Q212)&lt;7,"",$L212+$M212+$I212+$J212+$P212+$N212+$Q212)</f>
        <v/>
      </c>
      <c r="AJ212" s="33" t="str">
        <f aca="false">IF(COUNT($I212,$J212,$K212,$O212,$P212,$Q212,$R212,$N212)&lt;8,"",$I212+$J212+$K212+$O212+$P212+$Q212+$R212+$N212)</f>
        <v/>
      </c>
      <c r="AK212" s="34" t="str">
        <f aca="false">IF(OR($AI212="",$AG212=""),"",IF(IFERROR(INDEX(Cadastro!$F$8:$F$47,MATCH($B212,Cadastro!$B$8:$B$47,0)),"")="Feminino",1.097-0.00046971*$AI212+0.00000056*$AI212^2-0.00012828*$AG212,1.112-0.00043499*$AI212+0.00000055*$AI212^2-0.00028826*$AG212))</f>
        <v/>
      </c>
      <c r="AL212" s="30" t="str">
        <f aca="false">IF(OR($AK212="",$AK212=0),"",495/$AK212-450)</f>
        <v/>
      </c>
      <c r="AM212" s="35" t="str">
        <f aca="false">IF(OR($AL212="",$E212=""),"",$E212*$AL212/100)</f>
        <v/>
      </c>
      <c r="AN212" s="30" t="str">
        <f aca="false">IF(OR($AM212="",$E212=""),"",$E212-$AM212)</f>
        <v/>
      </c>
      <c r="AO212" s="35" t="str">
        <f aca="false">IFERROR($E212/($F212/100)^2,"")</f>
        <v/>
      </c>
      <c r="AP212" s="35" t="str">
        <f aca="false">IFERROR($G212/$F212*100,"")</f>
        <v/>
      </c>
      <c r="AQ212" s="36" t="str">
        <f aca="false">IFERROR($W212/$F212,"")</f>
        <v/>
      </c>
      <c r="AR212" s="35" t="str">
        <f aca="false">IF(OR($S212="",$I212=""),"",($S212-PI()*$I212/10)^2/(4*PI())-IF(IFERROR(INDEX(Cadastro!$F$8:$F$47,MATCH($B212,Cadastro!$B$8:$B$47,0)),"")="Feminino",6.5,10))</f>
        <v/>
      </c>
      <c r="AS212" s="35" t="str">
        <f aca="false">IF(OR($I212="",$J212="",$O212="",$F212=""),"",-0.7182+0.1451*(($I212+$J212+$O212)*(170.18/$F212))-0.00068*(($I212+$J212+$O212)*(170.18/$F212))^2+0.0000014*(($I212+$J212+$O212)*(170.18/$F212))^3)</f>
        <v/>
      </c>
      <c r="AT212" s="35" t="str">
        <f aca="false">IF(OR($AE212="",$AF212="",$T212="",$AA212="",$F212=""),"",0.858*$AE212+0.601*$AF212+0.188*($T212-$I212/10)+0.161*($AA212-$R212/10)-0.131*$F212+4.5)</f>
        <v/>
      </c>
      <c r="AU212" s="35" t="str">
        <f aca="false">IF(OR($E212="",$F212=""),"",IF($F212/$E212^(1/3)&gt;=40.75,0.732*($F212/$E212^(1/3))-28.58,IF($F212/$E212^(1/3)&gt;=38.25,0.463*($F212/$E212^(1/3))-17.63,0.1)))</f>
        <v/>
      </c>
      <c r="AV212" s="37" t="str">
        <f aca="false">IF(OR($AS212="",$AT212="",$AU212=""),"",IF(AND($AT212&gt;=$AS212,$AT212&gt;=$AU212),"Mesomorfo dominante",IF(AND($AU212&gt;=$AS212,$AU212&gt;=$AT212),"Ectomorfo dominante","Endomorfo dominante")))</f>
        <v/>
      </c>
    </row>
    <row r="213" customFormat="false" ht="15" hidden="false" customHeight="false" outlineLevel="0" collapsed="false">
      <c r="A213" s="29"/>
      <c r="B213" s="27"/>
      <c r="C213" s="28"/>
      <c r="D213" s="27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3" t="str">
        <f aca="false">IFERROR(DATEDIF(INDEX(Cadastro!$D$8:$D$47,MATCH($B213,Cadastro!$B$8:$B$47,0)),$A213,"Y"),"")</f>
        <v/>
      </c>
      <c r="AH213" s="33" t="str">
        <f aca="false">IF(COUNT($I213,$K213,$J213,$N213)&lt;4,"",$I213+$K213+$J213+$N213)</f>
        <v/>
      </c>
      <c r="AI213" s="33" t="str">
        <f aca="false">IF(COUNT($L213,$M213,$I213,$J213,$P213,$N213,$Q213)&lt;7,"",$L213+$M213+$I213+$J213+$P213+$N213+$Q213)</f>
        <v/>
      </c>
      <c r="AJ213" s="33" t="str">
        <f aca="false">IF(COUNT($I213,$J213,$K213,$O213,$P213,$Q213,$R213,$N213)&lt;8,"",$I213+$J213+$K213+$O213+$P213+$Q213+$R213+$N213)</f>
        <v/>
      </c>
      <c r="AK213" s="34" t="str">
        <f aca="false">IF(OR($AI213="",$AG213=""),"",IF(IFERROR(INDEX(Cadastro!$F$8:$F$47,MATCH($B213,Cadastro!$B$8:$B$47,0)),"")="Feminino",1.097-0.00046971*$AI213+0.00000056*$AI213^2-0.00012828*$AG213,1.112-0.00043499*$AI213+0.00000055*$AI213^2-0.00028826*$AG213))</f>
        <v/>
      </c>
      <c r="AL213" s="30" t="str">
        <f aca="false">IF(OR($AK213="",$AK213=0),"",495/$AK213-450)</f>
        <v/>
      </c>
      <c r="AM213" s="35" t="str">
        <f aca="false">IF(OR($AL213="",$E213=""),"",$E213*$AL213/100)</f>
        <v/>
      </c>
      <c r="AN213" s="30" t="str">
        <f aca="false">IF(OR($AM213="",$E213=""),"",$E213-$AM213)</f>
        <v/>
      </c>
      <c r="AO213" s="35" t="str">
        <f aca="false">IFERROR($E213/($F213/100)^2,"")</f>
        <v/>
      </c>
      <c r="AP213" s="35" t="str">
        <f aca="false">IFERROR($G213/$F213*100,"")</f>
        <v/>
      </c>
      <c r="AQ213" s="36" t="str">
        <f aca="false">IFERROR($W213/$F213,"")</f>
        <v/>
      </c>
      <c r="AR213" s="35" t="str">
        <f aca="false">IF(OR($S213="",$I213=""),"",($S213-PI()*$I213/10)^2/(4*PI())-IF(IFERROR(INDEX(Cadastro!$F$8:$F$47,MATCH($B213,Cadastro!$B$8:$B$47,0)),"")="Feminino",6.5,10))</f>
        <v/>
      </c>
      <c r="AS213" s="35" t="str">
        <f aca="false">IF(OR($I213="",$J213="",$O213="",$F213=""),"",-0.7182+0.1451*(($I213+$J213+$O213)*(170.18/$F213))-0.00068*(($I213+$J213+$O213)*(170.18/$F213))^2+0.0000014*(($I213+$J213+$O213)*(170.18/$F213))^3)</f>
        <v/>
      </c>
      <c r="AT213" s="35" t="str">
        <f aca="false">IF(OR($AE213="",$AF213="",$T213="",$AA213="",$F213=""),"",0.858*$AE213+0.601*$AF213+0.188*($T213-$I213/10)+0.161*($AA213-$R213/10)-0.131*$F213+4.5)</f>
        <v/>
      </c>
      <c r="AU213" s="35" t="str">
        <f aca="false">IF(OR($E213="",$F213=""),"",IF($F213/$E213^(1/3)&gt;=40.75,0.732*($F213/$E213^(1/3))-28.58,IF($F213/$E213^(1/3)&gt;=38.25,0.463*($F213/$E213^(1/3))-17.63,0.1)))</f>
        <v/>
      </c>
      <c r="AV213" s="37" t="str">
        <f aca="false">IF(OR($AS213="",$AT213="",$AU213=""),"",IF(AND($AT213&gt;=$AS213,$AT213&gt;=$AU213),"Mesomorfo dominante",IF(AND($AU213&gt;=$AS213,$AU213&gt;=$AT213),"Ectomorfo dominante","Endomorfo dominante")))</f>
        <v/>
      </c>
    </row>
    <row r="214" customFormat="false" ht="15" hidden="false" customHeight="false" outlineLevel="0" collapsed="false">
      <c r="A214" s="29"/>
      <c r="B214" s="27"/>
      <c r="C214" s="28"/>
      <c r="D214" s="27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3" t="str">
        <f aca="false">IFERROR(DATEDIF(INDEX(Cadastro!$D$8:$D$47,MATCH($B214,Cadastro!$B$8:$B$47,0)),$A214,"Y"),"")</f>
        <v/>
      </c>
      <c r="AH214" s="33" t="str">
        <f aca="false">IF(COUNT($I214,$K214,$J214,$N214)&lt;4,"",$I214+$K214+$J214+$N214)</f>
        <v/>
      </c>
      <c r="AI214" s="33" t="str">
        <f aca="false">IF(COUNT($L214,$M214,$I214,$J214,$P214,$N214,$Q214)&lt;7,"",$L214+$M214+$I214+$J214+$P214+$N214+$Q214)</f>
        <v/>
      </c>
      <c r="AJ214" s="33" t="str">
        <f aca="false">IF(COUNT($I214,$J214,$K214,$O214,$P214,$Q214,$R214,$N214)&lt;8,"",$I214+$J214+$K214+$O214+$P214+$Q214+$R214+$N214)</f>
        <v/>
      </c>
      <c r="AK214" s="34" t="str">
        <f aca="false">IF(OR($AI214="",$AG214=""),"",IF(IFERROR(INDEX(Cadastro!$F$8:$F$47,MATCH($B214,Cadastro!$B$8:$B$47,0)),"")="Feminino",1.097-0.00046971*$AI214+0.00000056*$AI214^2-0.00012828*$AG214,1.112-0.00043499*$AI214+0.00000055*$AI214^2-0.00028826*$AG214))</f>
        <v/>
      </c>
      <c r="AL214" s="30" t="str">
        <f aca="false">IF(OR($AK214="",$AK214=0),"",495/$AK214-450)</f>
        <v/>
      </c>
      <c r="AM214" s="35" t="str">
        <f aca="false">IF(OR($AL214="",$E214=""),"",$E214*$AL214/100)</f>
        <v/>
      </c>
      <c r="AN214" s="30" t="str">
        <f aca="false">IF(OR($AM214="",$E214=""),"",$E214-$AM214)</f>
        <v/>
      </c>
      <c r="AO214" s="35" t="str">
        <f aca="false">IFERROR($E214/($F214/100)^2,"")</f>
        <v/>
      </c>
      <c r="AP214" s="35" t="str">
        <f aca="false">IFERROR($G214/$F214*100,"")</f>
        <v/>
      </c>
      <c r="AQ214" s="36" t="str">
        <f aca="false">IFERROR($W214/$F214,"")</f>
        <v/>
      </c>
      <c r="AR214" s="35" t="str">
        <f aca="false">IF(OR($S214="",$I214=""),"",($S214-PI()*$I214/10)^2/(4*PI())-IF(IFERROR(INDEX(Cadastro!$F$8:$F$47,MATCH($B214,Cadastro!$B$8:$B$47,0)),"")="Feminino",6.5,10))</f>
        <v/>
      </c>
      <c r="AS214" s="35" t="str">
        <f aca="false">IF(OR($I214="",$J214="",$O214="",$F214=""),"",-0.7182+0.1451*(($I214+$J214+$O214)*(170.18/$F214))-0.00068*(($I214+$J214+$O214)*(170.18/$F214))^2+0.0000014*(($I214+$J214+$O214)*(170.18/$F214))^3)</f>
        <v/>
      </c>
      <c r="AT214" s="35" t="str">
        <f aca="false">IF(OR($AE214="",$AF214="",$T214="",$AA214="",$F214=""),"",0.858*$AE214+0.601*$AF214+0.188*($T214-$I214/10)+0.161*($AA214-$R214/10)-0.131*$F214+4.5)</f>
        <v/>
      </c>
      <c r="AU214" s="35" t="str">
        <f aca="false">IF(OR($E214="",$F214=""),"",IF($F214/$E214^(1/3)&gt;=40.75,0.732*($F214/$E214^(1/3))-28.58,IF($F214/$E214^(1/3)&gt;=38.25,0.463*($F214/$E214^(1/3))-17.63,0.1)))</f>
        <v/>
      </c>
      <c r="AV214" s="37" t="str">
        <f aca="false">IF(OR($AS214="",$AT214="",$AU214=""),"",IF(AND($AT214&gt;=$AS214,$AT214&gt;=$AU214),"Mesomorfo dominante",IF(AND($AU214&gt;=$AS214,$AU214&gt;=$AT214),"Ectomorfo dominante","Endomorfo dominante")))</f>
        <v/>
      </c>
    </row>
    <row r="215" customFormat="false" ht="15" hidden="false" customHeight="false" outlineLevel="0" collapsed="false">
      <c r="A215" s="29"/>
      <c r="B215" s="27"/>
      <c r="C215" s="28"/>
      <c r="D215" s="27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3" t="str">
        <f aca="false">IFERROR(DATEDIF(INDEX(Cadastro!$D$8:$D$47,MATCH($B215,Cadastro!$B$8:$B$47,0)),$A215,"Y"),"")</f>
        <v/>
      </c>
      <c r="AH215" s="33" t="str">
        <f aca="false">IF(COUNT($I215,$K215,$J215,$N215)&lt;4,"",$I215+$K215+$J215+$N215)</f>
        <v/>
      </c>
      <c r="AI215" s="33" t="str">
        <f aca="false">IF(COUNT($L215,$M215,$I215,$J215,$P215,$N215,$Q215)&lt;7,"",$L215+$M215+$I215+$J215+$P215+$N215+$Q215)</f>
        <v/>
      </c>
      <c r="AJ215" s="33" t="str">
        <f aca="false">IF(COUNT($I215,$J215,$K215,$O215,$P215,$Q215,$R215,$N215)&lt;8,"",$I215+$J215+$K215+$O215+$P215+$Q215+$R215+$N215)</f>
        <v/>
      </c>
      <c r="AK215" s="34" t="str">
        <f aca="false">IF(OR($AI215="",$AG215=""),"",IF(IFERROR(INDEX(Cadastro!$F$8:$F$47,MATCH($B215,Cadastro!$B$8:$B$47,0)),"")="Feminino",1.097-0.00046971*$AI215+0.00000056*$AI215^2-0.00012828*$AG215,1.112-0.00043499*$AI215+0.00000055*$AI215^2-0.00028826*$AG215))</f>
        <v/>
      </c>
      <c r="AL215" s="30" t="str">
        <f aca="false">IF(OR($AK215="",$AK215=0),"",495/$AK215-450)</f>
        <v/>
      </c>
      <c r="AM215" s="35" t="str">
        <f aca="false">IF(OR($AL215="",$E215=""),"",$E215*$AL215/100)</f>
        <v/>
      </c>
      <c r="AN215" s="30" t="str">
        <f aca="false">IF(OR($AM215="",$E215=""),"",$E215-$AM215)</f>
        <v/>
      </c>
      <c r="AO215" s="35" t="str">
        <f aca="false">IFERROR($E215/($F215/100)^2,"")</f>
        <v/>
      </c>
      <c r="AP215" s="35" t="str">
        <f aca="false">IFERROR($G215/$F215*100,"")</f>
        <v/>
      </c>
      <c r="AQ215" s="36" t="str">
        <f aca="false">IFERROR($W215/$F215,"")</f>
        <v/>
      </c>
      <c r="AR215" s="35" t="str">
        <f aca="false">IF(OR($S215="",$I215=""),"",($S215-PI()*$I215/10)^2/(4*PI())-IF(IFERROR(INDEX(Cadastro!$F$8:$F$47,MATCH($B215,Cadastro!$B$8:$B$47,0)),"")="Feminino",6.5,10))</f>
        <v/>
      </c>
      <c r="AS215" s="35" t="str">
        <f aca="false">IF(OR($I215="",$J215="",$O215="",$F215=""),"",-0.7182+0.1451*(($I215+$J215+$O215)*(170.18/$F215))-0.00068*(($I215+$J215+$O215)*(170.18/$F215))^2+0.0000014*(($I215+$J215+$O215)*(170.18/$F215))^3)</f>
        <v/>
      </c>
      <c r="AT215" s="35" t="str">
        <f aca="false">IF(OR($AE215="",$AF215="",$T215="",$AA215="",$F215=""),"",0.858*$AE215+0.601*$AF215+0.188*($T215-$I215/10)+0.161*($AA215-$R215/10)-0.131*$F215+4.5)</f>
        <v/>
      </c>
      <c r="AU215" s="35" t="str">
        <f aca="false">IF(OR($E215="",$F215=""),"",IF($F215/$E215^(1/3)&gt;=40.75,0.732*($F215/$E215^(1/3))-28.58,IF($F215/$E215^(1/3)&gt;=38.25,0.463*($F215/$E215^(1/3))-17.63,0.1)))</f>
        <v/>
      </c>
      <c r="AV215" s="37" t="str">
        <f aca="false">IF(OR($AS215="",$AT215="",$AU215=""),"",IF(AND($AT215&gt;=$AS215,$AT215&gt;=$AU215),"Mesomorfo dominante",IF(AND($AU215&gt;=$AS215,$AU215&gt;=$AT215),"Ectomorfo dominante","Endomorfo dominante")))</f>
        <v/>
      </c>
    </row>
    <row r="216" customFormat="false" ht="15" hidden="false" customHeight="false" outlineLevel="0" collapsed="false">
      <c r="A216" s="29"/>
      <c r="B216" s="27"/>
      <c r="C216" s="28"/>
      <c r="D216" s="27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3" t="str">
        <f aca="false">IFERROR(DATEDIF(INDEX(Cadastro!$D$8:$D$47,MATCH($B216,Cadastro!$B$8:$B$47,0)),$A216,"Y"),"")</f>
        <v/>
      </c>
      <c r="AH216" s="33" t="str">
        <f aca="false">IF(COUNT($I216,$K216,$J216,$N216)&lt;4,"",$I216+$K216+$J216+$N216)</f>
        <v/>
      </c>
      <c r="AI216" s="33" t="str">
        <f aca="false">IF(COUNT($L216,$M216,$I216,$J216,$P216,$N216,$Q216)&lt;7,"",$L216+$M216+$I216+$J216+$P216+$N216+$Q216)</f>
        <v/>
      </c>
      <c r="AJ216" s="33" t="str">
        <f aca="false">IF(COUNT($I216,$J216,$K216,$O216,$P216,$Q216,$R216,$N216)&lt;8,"",$I216+$J216+$K216+$O216+$P216+$Q216+$R216+$N216)</f>
        <v/>
      </c>
      <c r="AK216" s="34" t="str">
        <f aca="false">IF(OR($AI216="",$AG216=""),"",IF(IFERROR(INDEX(Cadastro!$F$8:$F$47,MATCH($B216,Cadastro!$B$8:$B$47,0)),"")="Feminino",1.097-0.00046971*$AI216+0.00000056*$AI216^2-0.00012828*$AG216,1.112-0.00043499*$AI216+0.00000055*$AI216^2-0.00028826*$AG216))</f>
        <v/>
      </c>
      <c r="AL216" s="30" t="str">
        <f aca="false">IF(OR($AK216="",$AK216=0),"",495/$AK216-450)</f>
        <v/>
      </c>
      <c r="AM216" s="35" t="str">
        <f aca="false">IF(OR($AL216="",$E216=""),"",$E216*$AL216/100)</f>
        <v/>
      </c>
      <c r="AN216" s="30" t="str">
        <f aca="false">IF(OR($AM216="",$E216=""),"",$E216-$AM216)</f>
        <v/>
      </c>
      <c r="AO216" s="35" t="str">
        <f aca="false">IFERROR($E216/($F216/100)^2,"")</f>
        <v/>
      </c>
      <c r="AP216" s="35" t="str">
        <f aca="false">IFERROR($G216/$F216*100,"")</f>
        <v/>
      </c>
      <c r="AQ216" s="36" t="str">
        <f aca="false">IFERROR($W216/$F216,"")</f>
        <v/>
      </c>
      <c r="AR216" s="35" t="str">
        <f aca="false">IF(OR($S216="",$I216=""),"",($S216-PI()*$I216/10)^2/(4*PI())-IF(IFERROR(INDEX(Cadastro!$F$8:$F$47,MATCH($B216,Cadastro!$B$8:$B$47,0)),"")="Feminino",6.5,10))</f>
        <v/>
      </c>
      <c r="AS216" s="35" t="str">
        <f aca="false">IF(OR($I216="",$J216="",$O216="",$F216=""),"",-0.7182+0.1451*(($I216+$J216+$O216)*(170.18/$F216))-0.00068*(($I216+$J216+$O216)*(170.18/$F216))^2+0.0000014*(($I216+$J216+$O216)*(170.18/$F216))^3)</f>
        <v/>
      </c>
      <c r="AT216" s="35" t="str">
        <f aca="false">IF(OR($AE216="",$AF216="",$T216="",$AA216="",$F216=""),"",0.858*$AE216+0.601*$AF216+0.188*($T216-$I216/10)+0.161*($AA216-$R216/10)-0.131*$F216+4.5)</f>
        <v/>
      </c>
      <c r="AU216" s="35" t="str">
        <f aca="false">IF(OR($E216="",$F216=""),"",IF($F216/$E216^(1/3)&gt;=40.75,0.732*($F216/$E216^(1/3))-28.58,IF($F216/$E216^(1/3)&gt;=38.25,0.463*($F216/$E216^(1/3))-17.63,0.1)))</f>
        <v/>
      </c>
      <c r="AV216" s="37" t="str">
        <f aca="false">IF(OR($AS216="",$AT216="",$AU216=""),"",IF(AND($AT216&gt;=$AS216,$AT216&gt;=$AU216),"Mesomorfo dominante",IF(AND($AU216&gt;=$AS216,$AU216&gt;=$AT216),"Ectomorfo dominante","Endomorfo dominante")))</f>
        <v/>
      </c>
    </row>
    <row r="217" customFormat="false" ht="15" hidden="false" customHeight="false" outlineLevel="0" collapsed="false">
      <c r="A217" s="29"/>
      <c r="B217" s="27"/>
      <c r="C217" s="28"/>
      <c r="D217" s="27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3" t="str">
        <f aca="false">IFERROR(DATEDIF(INDEX(Cadastro!$D$8:$D$47,MATCH($B217,Cadastro!$B$8:$B$47,0)),$A217,"Y"),"")</f>
        <v/>
      </c>
      <c r="AH217" s="33" t="str">
        <f aca="false">IF(COUNT($I217,$K217,$J217,$N217)&lt;4,"",$I217+$K217+$J217+$N217)</f>
        <v/>
      </c>
      <c r="AI217" s="33" t="str">
        <f aca="false">IF(COUNT($L217,$M217,$I217,$J217,$P217,$N217,$Q217)&lt;7,"",$L217+$M217+$I217+$J217+$P217+$N217+$Q217)</f>
        <v/>
      </c>
      <c r="AJ217" s="33" t="str">
        <f aca="false">IF(COUNT($I217,$J217,$K217,$O217,$P217,$Q217,$R217,$N217)&lt;8,"",$I217+$J217+$K217+$O217+$P217+$Q217+$R217+$N217)</f>
        <v/>
      </c>
      <c r="AK217" s="34" t="str">
        <f aca="false">IF(OR($AI217="",$AG217=""),"",IF(IFERROR(INDEX(Cadastro!$F$8:$F$47,MATCH($B217,Cadastro!$B$8:$B$47,0)),"")="Feminino",1.097-0.00046971*$AI217+0.00000056*$AI217^2-0.00012828*$AG217,1.112-0.00043499*$AI217+0.00000055*$AI217^2-0.00028826*$AG217))</f>
        <v/>
      </c>
      <c r="AL217" s="30" t="str">
        <f aca="false">IF(OR($AK217="",$AK217=0),"",495/$AK217-450)</f>
        <v/>
      </c>
      <c r="AM217" s="35" t="str">
        <f aca="false">IF(OR($AL217="",$E217=""),"",$E217*$AL217/100)</f>
        <v/>
      </c>
      <c r="AN217" s="30" t="str">
        <f aca="false">IF(OR($AM217="",$E217=""),"",$E217-$AM217)</f>
        <v/>
      </c>
      <c r="AO217" s="35" t="str">
        <f aca="false">IFERROR($E217/($F217/100)^2,"")</f>
        <v/>
      </c>
      <c r="AP217" s="35" t="str">
        <f aca="false">IFERROR($G217/$F217*100,"")</f>
        <v/>
      </c>
      <c r="AQ217" s="36" t="str">
        <f aca="false">IFERROR($W217/$F217,"")</f>
        <v/>
      </c>
      <c r="AR217" s="35" t="str">
        <f aca="false">IF(OR($S217="",$I217=""),"",($S217-PI()*$I217/10)^2/(4*PI())-IF(IFERROR(INDEX(Cadastro!$F$8:$F$47,MATCH($B217,Cadastro!$B$8:$B$47,0)),"")="Feminino",6.5,10))</f>
        <v/>
      </c>
      <c r="AS217" s="35" t="str">
        <f aca="false">IF(OR($I217="",$J217="",$O217="",$F217=""),"",-0.7182+0.1451*(($I217+$J217+$O217)*(170.18/$F217))-0.00068*(($I217+$J217+$O217)*(170.18/$F217))^2+0.0000014*(($I217+$J217+$O217)*(170.18/$F217))^3)</f>
        <v/>
      </c>
      <c r="AT217" s="35" t="str">
        <f aca="false">IF(OR($AE217="",$AF217="",$T217="",$AA217="",$F217=""),"",0.858*$AE217+0.601*$AF217+0.188*($T217-$I217/10)+0.161*($AA217-$R217/10)-0.131*$F217+4.5)</f>
        <v/>
      </c>
      <c r="AU217" s="35" t="str">
        <f aca="false">IF(OR($E217="",$F217=""),"",IF($F217/$E217^(1/3)&gt;=40.75,0.732*($F217/$E217^(1/3))-28.58,IF($F217/$E217^(1/3)&gt;=38.25,0.463*($F217/$E217^(1/3))-17.63,0.1)))</f>
        <v/>
      </c>
      <c r="AV217" s="37" t="str">
        <f aca="false">IF(OR($AS217="",$AT217="",$AU217=""),"",IF(AND($AT217&gt;=$AS217,$AT217&gt;=$AU217),"Mesomorfo dominante",IF(AND($AU217&gt;=$AS217,$AU217&gt;=$AT217),"Ectomorfo dominante","Endomorfo dominante")))</f>
        <v/>
      </c>
    </row>
    <row r="218" customFormat="false" ht="15" hidden="false" customHeight="false" outlineLevel="0" collapsed="false">
      <c r="A218" s="29"/>
      <c r="B218" s="27"/>
      <c r="C218" s="28"/>
      <c r="D218" s="27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3" t="str">
        <f aca="false">IFERROR(DATEDIF(INDEX(Cadastro!$D$8:$D$47,MATCH($B218,Cadastro!$B$8:$B$47,0)),$A218,"Y"),"")</f>
        <v/>
      </c>
      <c r="AH218" s="33" t="str">
        <f aca="false">IF(COUNT($I218,$K218,$J218,$N218)&lt;4,"",$I218+$K218+$J218+$N218)</f>
        <v/>
      </c>
      <c r="AI218" s="33" t="str">
        <f aca="false">IF(COUNT($L218,$M218,$I218,$J218,$P218,$N218,$Q218)&lt;7,"",$L218+$M218+$I218+$J218+$P218+$N218+$Q218)</f>
        <v/>
      </c>
      <c r="AJ218" s="33" t="str">
        <f aca="false">IF(COUNT($I218,$J218,$K218,$O218,$P218,$Q218,$R218,$N218)&lt;8,"",$I218+$J218+$K218+$O218+$P218+$Q218+$R218+$N218)</f>
        <v/>
      </c>
      <c r="AK218" s="34" t="str">
        <f aca="false">IF(OR($AI218="",$AG218=""),"",IF(IFERROR(INDEX(Cadastro!$F$8:$F$47,MATCH($B218,Cadastro!$B$8:$B$47,0)),"")="Feminino",1.097-0.00046971*$AI218+0.00000056*$AI218^2-0.00012828*$AG218,1.112-0.00043499*$AI218+0.00000055*$AI218^2-0.00028826*$AG218))</f>
        <v/>
      </c>
      <c r="AL218" s="30" t="str">
        <f aca="false">IF(OR($AK218="",$AK218=0),"",495/$AK218-450)</f>
        <v/>
      </c>
      <c r="AM218" s="35" t="str">
        <f aca="false">IF(OR($AL218="",$E218=""),"",$E218*$AL218/100)</f>
        <v/>
      </c>
      <c r="AN218" s="30" t="str">
        <f aca="false">IF(OR($AM218="",$E218=""),"",$E218-$AM218)</f>
        <v/>
      </c>
      <c r="AO218" s="35" t="str">
        <f aca="false">IFERROR($E218/($F218/100)^2,"")</f>
        <v/>
      </c>
      <c r="AP218" s="35" t="str">
        <f aca="false">IFERROR($G218/$F218*100,"")</f>
        <v/>
      </c>
      <c r="AQ218" s="36" t="str">
        <f aca="false">IFERROR($W218/$F218,"")</f>
        <v/>
      </c>
      <c r="AR218" s="35" t="str">
        <f aca="false">IF(OR($S218="",$I218=""),"",($S218-PI()*$I218/10)^2/(4*PI())-IF(IFERROR(INDEX(Cadastro!$F$8:$F$47,MATCH($B218,Cadastro!$B$8:$B$47,0)),"")="Feminino",6.5,10))</f>
        <v/>
      </c>
      <c r="AS218" s="35" t="str">
        <f aca="false">IF(OR($I218="",$J218="",$O218="",$F218=""),"",-0.7182+0.1451*(($I218+$J218+$O218)*(170.18/$F218))-0.00068*(($I218+$J218+$O218)*(170.18/$F218))^2+0.0000014*(($I218+$J218+$O218)*(170.18/$F218))^3)</f>
        <v/>
      </c>
      <c r="AT218" s="35" t="str">
        <f aca="false">IF(OR($AE218="",$AF218="",$T218="",$AA218="",$F218=""),"",0.858*$AE218+0.601*$AF218+0.188*($T218-$I218/10)+0.161*($AA218-$R218/10)-0.131*$F218+4.5)</f>
        <v/>
      </c>
      <c r="AU218" s="35" t="str">
        <f aca="false">IF(OR($E218="",$F218=""),"",IF($F218/$E218^(1/3)&gt;=40.75,0.732*($F218/$E218^(1/3))-28.58,IF($F218/$E218^(1/3)&gt;=38.25,0.463*($F218/$E218^(1/3))-17.63,0.1)))</f>
        <v/>
      </c>
      <c r="AV218" s="37" t="str">
        <f aca="false">IF(OR($AS218="",$AT218="",$AU218=""),"",IF(AND($AT218&gt;=$AS218,$AT218&gt;=$AU218),"Mesomorfo dominante",IF(AND($AU218&gt;=$AS218,$AU218&gt;=$AT218),"Ectomorfo dominante","Endomorfo dominante")))</f>
        <v/>
      </c>
    </row>
    <row r="219" customFormat="false" ht="15" hidden="false" customHeight="false" outlineLevel="0" collapsed="false">
      <c r="A219" s="29"/>
      <c r="B219" s="27"/>
      <c r="C219" s="28"/>
      <c r="D219" s="27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3" t="str">
        <f aca="false">IFERROR(DATEDIF(INDEX(Cadastro!$D$8:$D$47,MATCH($B219,Cadastro!$B$8:$B$47,0)),$A219,"Y"),"")</f>
        <v/>
      </c>
      <c r="AH219" s="33" t="str">
        <f aca="false">IF(COUNT($I219,$K219,$J219,$N219)&lt;4,"",$I219+$K219+$J219+$N219)</f>
        <v/>
      </c>
      <c r="AI219" s="33" t="str">
        <f aca="false">IF(COUNT($L219,$M219,$I219,$J219,$P219,$N219,$Q219)&lt;7,"",$L219+$M219+$I219+$J219+$P219+$N219+$Q219)</f>
        <v/>
      </c>
      <c r="AJ219" s="33" t="str">
        <f aca="false">IF(COUNT($I219,$J219,$K219,$O219,$P219,$Q219,$R219,$N219)&lt;8,"",$I219+$J219+$K219+$O219+$P219+$Q219+$R219+$N219)</f>
        <v/>
      </c>
      <c r="AK219" s="34" t="str">
        <f aca="false">IF(OR($AI219="",$AG219=""),"",IF(IFERROR(INDEX(Cadastro!$F$8:$F$47,MATCH($B219,Cadastro!$B$8:$B$47,0)),"")="Feminino",1.097-0.00046971*$AI219+0.00000056*$AI219^2-0.00012828*$AG219,1.112-0.00043499*$AI219+0.00000055*$AI219^2-0.00028826*$AG219))</f>
        <v/>
      </c>
      <c r="AL219" s="30" t="str">
        <f aca="false">IF(OR($AK219="",$AK219=0),"",495/$AK219-450)</f>
        <v/>
      </c>
      <c r="AM219" s="35" t="str">
        <f aca="false">IF(OR($AL219="",$E219=""),"",$E219*$AL219/100)</f>
        <v/>
      </c>
      <c r="AN219" s="30" t="str">
        <f aca="false">IF(OR($AM219="",$E219=""),"",$E219-$AM219)</f>
        <v/>
      </c>
      <c r="AO219" s="35" t="str">
        <f aca="false">IFERROR($E219/($F219/100)^2,"")</f>
        <v/>
      </c>
      <c r="AP219" s="35" t="str">
        <f aca="false">IFERROR($G219/$F219*100,"")</f>
        <v/>
      </c>
      <c r="AQ219" s="36" t="str">
        <f aca="false">IFERROR($W219/$F219,"")</f>
        <v/>
      </c>
      <c r="AR219" s="35" t="str">
        <f aca="false">IF(OR($S219="",$I219=""),"",($S219-PI()*$I219/10)^2/(4*PI())-IF(IFERROR(INDEX(Cadastro!$F$8:$F$47,MATCH($B219,Cadastro!$B$8:$B$47,0)),"")="Feminino",6.5,10))</f>
        <v/>
      </c>
      <c r="AS219" s="35" t="str">
        <f aca="false">IF(OR($I219="",$J219="",$O219="",$F219=""),"",-0.7182+0.1451*(($I219+$J219+$O219)*(170.18/$F219))-0.00068*(($I219+$J219+$O219)*(170.18/$F219))^2+0.0000014*(($I219+$J219+$O219)*(170.18/$F219))^3)</f>
        <v/>
      </c>
      <c r="AT219" s="35" t="str">
        <f aca="false">IF(OR($AE219="",$AF219="",$T219="",$AA219="",$F219=""),"",0.858*$AE219+0.601*$AF219+0.188*($T219-$I219/10)+0.161*($AA219-$R219/10)-0.131*$F219+4.5)</f>
        <v/>
      </c>
      <c r="AU219" s="35" t="str">
        <f aca="false">IF(OR($E219="",$F219=""),"",IF($F219/$E219^(1/3)&gt;=40.75,0.732*($F219/$E219^(1/3))-28.58,IF($F219/$E219^(1/3)&gt;=38.25,0.463*($F219/$E219^(1/3))-17.63,0.1)))</f>
        <v/>
      </c>
      <c r="AV219" s="37" t="str">
        <f aca="false">IF(OR($AS219="",$AT219="",$AU219=""),"",IF(AND($AT219&gt;=$AS219,$AT219&gt;=$AU219),"Mesomorfo dominante",IF(AND($AU219&gt;=$AS219,$AU219&gt;=$AT219),"Ectomorfo dominante","Endomorfo dominante")))</f>
        <v/>
      </c>
    </row>
    <row r="220" customFormat="false" ht="15" hidden="false" customHeight="false" outlineLevel="0" collapsed="false">
      <c r="A220" s="29"/>
      <c r="B220" s="27"/>
      <c r="C220" s="28"/>
      <c r="D220" s="27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3" t="str">
        <f aca="false">IFERROR(DATEDIF(INDEX(Cadastro!$D$8:$D$47,MATCH($B220,Cadastro!$B$8:$B$47,0)),$A220,"Y"),"")</f>
        <v/>
      </c>
      <c r="AH220" s="33" t="str">
        <f aca="false">IF(COUNT($I220,$K220,$J220,$N220)&lt;4,"",$I220+$K220+$J220+$N220)</f>
        <v/>
      </c>
      <c r="AI220" s="33" t="str">
        <f aca="false">IF(COUNT($L220,$M220,$I220,$J220,$P220,$N220,$Q220)&lt;7,"",$L220+$M220+$I220+$J220+$P220+$N220+$Q220)</f>
        <v/>
      </c>
      <c r="AJ220" s="33" t="str">
        <f aca="false">IF(COUNT($I220,$J220,$K220,$O220,$P220,$Q220,$R220,$N220)&lt;8,"",$I220+$J220+$K220+$O220+$P220+$Q220+$R220+$N220)</f>
        <v/>
      </c>
      <c r="AK220" s="34" t="str">
        <f aca="false">IF(OR($AI220="",$AG220=""),"",IF(IFERROR(INDEX(Cadastro!$F$8:$F$47,MATCH($B220,Cadastro!$B$8:$B$47,0)),"")="Feminino",1.097-0.00046971*$AI220+0.00000056*$AI220^2-0.00012828*$AG220,1.112-0.00043499*$AI220+0.00000055*$AI220^2-0.00028826*$AG220))</f>
        <v/>
      </c>
      <c r="AL220" s="30" t="str">
        <f aca="false">IF(OR($AK220="",$AK220=0),"",495/$AK220-450)</f>
        <v/>
      </c>
      <c r="AM220" s="35" t="str">
        <f aca="false">IF(OR($AL220="",$E220=""),"",$E220*$AL220/100)</f>
        <v/>
      </c>
      <c r="AN220" s="30" t="str">
        <f aca="false">IF(OR($AM220="",$E220=""),"",$E220-$AM220)</f>
        <v/>
      </c>
      <c r="AO220" s="35" t="str">
        <f aca="false">IFERROR($E220/($F220/100)^2,"")</f>
        <v/>
      </c>
      <c r="AP220" s="35" t="str">
        <f aca="false">IFERROR($G220/$F220*100,"")</f>
        <v/>
      </c>
      <c r="AQ220" s="36" t="str">
        <f aca="false">IFERROR($W220/$F220,"")</f>
        <v/>
      </c>
      <c r="AR220" s="35" t="str">
        <f aca="false">IF(OR($S220="",$I220=""),"",($S220-PI()*$I220/10)^2/(4*PI())-IF(IFERROR(INDEX(Cadastro!$F$8:$F$47,MATCH($B220,Cadastro!$B$8:$B$47,0)),"")="Feminino",6.5,10))</f>
        <v/>
      </c>
      <c r="AS220" s="35" t="str">
        <f aca="false">IF(OR($I220="",$J220="",$O220="",$F220=""),"",-0.7182+0.1451*(($I220+$J220+$O220)*(170.18/$F220))-0.00068*(($I220+$J220+$O220)*(170.18/$F220))^2+0.0000014*(($I220+$J220+$O220)*(170.18/$F220))^3)</f>
        <v/>
      </c>
      <c r="AT220" s="35" t="str">
        <f aca="false">IF(OR($AE220="",$AF220="",$T220="",$AA220="",$F220=""),"",0.858*$AE220+0.601*$AF220+0.188*($T220-$I220/10)+0.161*($AA220-$R220/10)-0.131*$F220+4.5)</f>
        <v/>
      </c>
      <c r="AU220" s="35" t="str">
        <f aca="false">IF(OR($E220="",$F220=""),"",IF($F220/$E220^(1/3)&gt;=40.75,0.732*($F220/$E220^(1/3))-28.58,IF($F220/$E220^(1/3)&gt;=38.25,0.463*($F220/$E220^(1/3))-17.63,0.1)))</f>
        <v/>
      </c>
      <c r="AV220" s="37" t="str">
        <f aca="false">IF(OR($AS220="",$AT220="",$AU220=""),"",IF(AND($AT220&gt;=$AS220,$AT220&gt;=$AU220),"Mesomorfo dominante",IF(AND($AU220&gt;=$AS220,$AU220&gt;=$AT220),"Ectomorfo dominante","Endomorfo dominante")))</f>
        <v/>
      </c>
    </row>
    <row r="221" customFormat="false" ht="15" hidden="false" customHeight="false" outlineLevel="0" collapsed="false">
      <c r="A221" s="29"/>
      <c r="B221" s="27"/>
      <c r="C221" s="28"/>
      <c r="D221" s="27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3" t="str">
        <f aca="false">IFERROR(DATEDIF(INDEX(Cadastro!$D$8:$D$47,MATCH($B221,Cadastro!$B$8:$B$47,0)),$A221,"Y"),"")</f>
        <v/>
      </c>
      <c r="AH221" s="33" t="str">
        <f aca="false">IF(COUNT($I221,$K221,$J221,$N221)&lt;4,"",$I221+$K221+$J221+$N221)</f>
        <v/>
      </c>
      <c r="AI221" s="33" t="str">
        <f aca="false">IF(COUNT($L221,$M221,$I221,$J221,$P221,$N221,$Q221)&lt;7,"",$L221+$M221+$I221+$J221+$P221+$N221+$Q221)</f>
        <v/>
      </c>
      <c r="AJ221" s="33" t="str">
        <f aca="false">IF(COUNT($I221,$J221,$K221,$O221,$P221,$Q221,$R221,$N221)&lt;8,"",$I221+$J221+$K221+$O221+$P221+$Q221+$R221+$N221)</f>
        <v/>
      </c>
      <c r="AK221" s="34" t="str">
        <f aca="false">IF(OR($AI221="",$AG221=""),"",IF(IFERROR(INDEX(Cadastro!$F$8:$F$47,MATCH($B221,Cadastro!$B$8:$B$47,0)),"")="Feminino",1.097-0.00046971*$AI221+0.00000056*$AI221^2-0.00012828*$AG221,1.112-0.00043499*$AI221+0.00000055*$AI221^2-0.00028826*$AG221))</f>
        <v/>
      </c>
      <c r="AL221" s="30" t="str">
        <f aca="false">IF(OR($AK221="",$AK221=0),"",495/$AK221-450)</f>
        <v/>
      </c>
      <c r="AM221" s="35" t="str">
        <f aca="false">IF(OR($AL221="",$E221=""),"",$E221*$AL221/100)</f>
        <v/>
      </c>
      <c r="AN221" s="30" t="str">
        <f aca="false">IF(OR($AM221="",$E221=""),"",$E221-$AM221)</f>
        <v/>
      </c>
      <c r="AO221" s="35" t="str">
        <f aca="false">IFERROR($E221/($F221/100)^2,"")</f>
        <v/>
      </c>
      <c r="AP221" s="35" t="str">
        <f aca="false">IFERROR($G221/$F221*100,"")</f>
        <v/>
      </c>
      <c r="AQ221" s="36" t="str">
        <f aca="false">IFERROR($W221/$F221,"")</f>
        <v/>
      </c>
      <c r="AR221" s="35" t="str">
        <f aca="false">IF(OR($S221="",$I221=""),"",($S221-PI()*$I221/10)^2/(4*PI())-IF(IFERROR(INDEX(Cadastro!$F$8:$F$47,MATCH($B221,Cadastro!$B$8:$B$47,0)),"")="Feminino",6.5,10))</f>
        <v/>
      </c>
      <c r="AS221" s="35" t="str">
        <f aca="false">IF(OR($I221="",$J221="",$O221="",$F221=""),"",-0.7182+0.1451*(($I221+$J221+$O221)*(170.18/$F221))-0.00068*(($I221+$J221+$O221)*(170.18/$F221))^2+0.0000014*(($I221+$J221+$O221)*(170.18/$F221))^3)</f>
        <v/>
      </c>
      <c r="AT221" s="35" t="str">
        <f aca="false">IF(OR($AE221="",$AF221="",$T221="",$AA221="",$F221=""),"",0.858*$AE221+0.601*$AF221+0.188*($T221-$I221/10)+0.161*($AA221-$R221/10)-0.131*$F221+4.5)</f>
        <v/>
      </c>
      <c r="AU221" s="35" t="str">
        <f aca="false">IF(OR($E221="",$F221=""),"",IF($F221/$E221^(1/3)&gt;=40.75,0.732*($F221/$E221^(1/3))-28.58,IF($F221/$E221^(1/3)&gt;=38.25,0.463*($F221/$E221^(1/3))-17.63,0.1)))</f>
        <v/>
      </c>
      <c r="AV221" s="37" t="str">
        <f aca="false">IF(OR($AS221="",$AT221="",$AU221=""),"",IF(AND($AT221&gt;=$AS221,$AT221&gt;=$AU221),"Mesomorfo dominante",IF(AND($AU221&gt;=$AS221,$AU221&gt;=$AT221),"Ectomorfo dominante","Endomorfo dominante")))</f>
        <v/>
      </c>
    </row>
    <row r="222" customFormat="false" ht="15" hidden="false" customHeight="false" outlineLevel="0" collapsed="false">
      <c r="A222" s="29"/>
      <c r="B222" s="27"/>
      <c r="C222" s="28"/>
      <c r="D222" s="27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3" t="str">
        <f aca="false">IFERROR(DATEDIF(INDEX(Cadastro!$D$8:$D$47,MATCH($B222,Cadastro!$B$8:$B$47,0)),$A222,"Y"),"")</f>
        <v/>
      </c>
      <c r="AH222" s="33" t="str">
        <f aca="false">IF(COUNT($I222,$K222,$J222,$N222)&lt;4,"",$I222+$K222+$J222+$N222)</f>
        <v/>
      </c>
      <c r="AI222" s="33" t="str">
        <f aca="false">IF(COUNT($L222,$M222,$I222,$J222,$P222,$N222,$Q222)&lt;7,"",$L222+$M222+$I222+$J222+$P222+$N222+$Q222)</f>
        <v/>
      </c>
      <c r="AJ222" s="33" t="str">
        <f aca="false">IF(COUNT($I222,$J222,$K222,$O222,$P222,$Q222,$R222,$N222)&lt;8,"",$I222+$J222+$K222+$O222+$P222+$Q222+$R222+$N222)</f>
        <v/>
      </c>
      <c r="AK222" s="34" t="str">
        <f aca="false">IF(OR($AI222="",$AG222=""),"",IF(IFERROR(INDEX(Cadastro!$F$8:$F$47,MATCH($B222,Cadastro!$B$8:$B$47,0)),"")="Feminino",1.097-0.00046971*$AI222+0.00000056*$AI222^2-0.00012828*$AG222,1.112-0.00043499*$AI222+0.00000055*$AI222^2-0.00028826*$AG222))</f>
        <v/>
      </c>
      <c r="AL222" s="30" t="str">
        <f aca="false">IF(OR($AK222="",$AK222=0),"",495/$AK222-450)</f>
        <v/>
      </c>
      <c r="AM222" s="35" t="str">
        <f aca="false">IF(OR($AL222="",$E222=""),"",$E222*$AL222/100)</f>
        <v/>
      </c>
      <c r="AN222" s="30" t="str">
        <f aca="false">IF(OR($AM222="",$E222=""),"",$E222-$AM222)</f>
        <v/>
      </c>
      <c r="AO222" s="35" t="str">
        <f aca="false">IFERROR($E222/($F222/100)^2,"")</f>
        <v/>
      </c>
      <c r="AP222" s="35" t="str">
        <f aca="false">IFERROR($G222/$F222*100,"")</f>
        <v/>
      </c>
      <c r="AQ222" s="36" t="str">
        <f aca="false">IFERROR($W222/$F222,"")</f>
        <v/>
      </c>
      <c r="AR222" s="35" t="str">
        <f aca="false">IF(OR($S222="",$I222=""),"",($S222-PI()*$I222/10)^2/(4*PI())-IF(IFERROR(INDEX(Cadastro!$F$8:$F$47,MATCH($B222,Cadastro!$B$8:$B$47,0)),"")="Feminino",6.5,10))</f>
        <v/>
      </c>
      <c r="AS222" s="35" t="str">
        <f aca="false">IF(OR($I222="",$J222="",$O222="",$F222=""),"",-0.7182+0.1451*(($I222+$J222+$O222)*(170.18/$F222))-0.00068*(($I222+$J222+$O222)*(170.18/$F222))^2+0.0000014*(($I222+$J222+$O222)*(170.18/$F222))^3)</f>
        <v/>
      </c>
      <c r="AT222" s="35" t="str">
        <f aca="false">IF(OR($AE222="",$AF222="",$T222="",$AA222="",$F222=""),"",0.858*$AE222+0.601*$AF222+0.188*($T222-$I222/10)+0.161*($AA222-$R222/10)-0.131*$F222+4.5)</f>
        <v/>
      </c>
      <c r="AU222" s="35" t="str">
        <f aca="false">IF(OR($E222="",$F222=""),"",IF($F222/$E222^(1/3)&gt;=40.75,0.732*($F222/$E222^(1/3))-28.58,IF($F222/$E222^(1/3)&gt;=38.25,0.463*($F222/$E222^(1/3))-17.63,0.1)))</f>
        <v/>
      </c>
      <c r="AV222" s="37" t="str">
        <f aca="false">IF(OR($AS222="",$AT222="",$AU222=""),"",IF(AND($AT222&gt;=$AS222,$AT222&gt;=$AU222),"Mesomorfo dominante",IF(AND($AU222&gt;=$AS222,$AU222&gt;=$AT222),"Ectomorfo dominante","Endomorfo dominante")))</f>
        <v/>
      </c>
    </row>
    <row r="223" customFormat="false" ht="15" hidden="false" customHeight="false" outlineLevel="0" collapsed="false">
      <c r="A223" s="29"/>
      <c r="B223" s="27"/>
      <c r="C223" s="28"/>
      <c r="D223" s="27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3" t="str">
        <f aca="false">IFERROR(DATEDIF(INDEX(Cadastro!$D$8:$D$47,MATCH($B223,Cadastro!$B$8:$B$47,0)),$A223,"Y"),"")</f>
        <v/>
      </c>
      <c r="AH223" s="33" t="str">
        <f aca="false">IF(COUNT($I223,$K223,$J223,$N223)&lt;4,"",$I223+$K223+$J223+$N223)</f>
        <v/>
      </c>
      <c r="AI223" s="33" t="str">
        <f aca="false">IF(COUNT($L223,$M223,$I223,$J223,$P223,$N223,$Q223)&lt;7,"",$L223+$M223+$I223+$J223+$P223+$N223+$Q223)</f>
        <v/>
      </c>
      <c r="AJ223" s="33" t="str">
        <f aca="false">IF(COUNT($I223,$J223,$K223,$O223,$P223,$Q223,$R223,$N223)&lt;8,"",$I223+$J223+$K223+$O223+$P223+$Q223+$R223+$N223)</f>
        <v/>
      </c>
      <c r="AK223" s="34" t="str">
        <f aca="false">IF(OR($AI223="",$AG223=""),"",IF(IFERROR(INDEX(Cadastro!$F$8:$F$47,MATCH($B223,Cadastro!$B$8:$B$47,0)),"")="Feminino",1.097-0.00046971*$AI223+0.00000056*$AI223^2-0.00012828*$AG223,1.112-0.00043499*$AI223+0.00000055*$AI223^2-0.00028826*$AG223))</f>
        <v/>
      </c>
      <c r="AL223" s="30" t="str">
        <f aca="false">IF(OR($AK223="",$AK223=0),"",495/$AK223-450)</f>
        <v/>
      </c>
      <c r="AM223" s="35" t="str">
        <f aca="false">IF(OR($AL223="",$E223=""),"",$E223*$AL223/100)</f>
        <v/>
      </c>
      <c r="AN223" s="30" t="str">
        <f aca="false">IF(OR($AM223="",$E223=""),"",$E223-$AM223)</f>
        <v/>
      </c>
      <c r="AO223" s="35" t="str">
        <f aca="false">IFERROR($E223/($F223/100)^2,"")</f>
        <v/>
      </c>
      <c r="AP223" s="35" t="str">
        <f aca="false">IFERROR($G223/$F223*100,"")</f>
        <v/>
      </c>
      <c r="AQ223" s="36" t="str">
        <f aca="false">IFERROR($W223/$F223,"")</f>
        <v/>
      </c>
      <c r="AR223" s="35" t="str">
        <f aca="false">IF(OR($S223="",$I223=""),"",($S223-PI()*$I223/10)^2/(4*PI())-IF(IFERROR(INDEX(Cadastro!$F$8:$F$47,MATCH($B223,Cadastro!$B$8:$B$47,0)),"")="Feminino",6.5,10))</f>
        <v/>
      </c>
      <c r="AS223" s="35" t="str">
        <f aca="false">IF(OR($I223="",$J223="",$O223="",$F223=""),"",-0.7182+0.1451*(($I223+$J223+$O223)*(170.18/$F223))-0.00068*(($I223+$J223+$O223)*(170.18/$F223))^2+0.0000014*(($I223+$J223+$O223)*(170.18/$F223))^3)</f>
        <v/>
      </c>
      <c r="AT223" s="35" t="str">
        <f aca="false">IF(OR($AE223="",$AF223="",$T223="",$AA223="",$F223=""),"",0.858*$AE223+0.601*$AF223+0.188*($T223-$I223/10)+0.161*($AA223-$R223/10)-0.131*$F223+4.5)</f>
        <v/>
      </c>
      <c r="AU223" s="35" t="str">
        <f aca="false">IF(OR($E223="",$F223=""),"",IF($F223/$E223^(1/3)&gt;=40.75,0.732*($F223/$E223^(1/3))-28.58,IF($F223/$E223^(1/3)&gt;=38.25,0.463*($F223/$E223^(1/3))-17.63,0.1)))</f>
        <v/>
      </c>
      <c r="AV223" s="37" t="str">
        <f aca="false">IF(OR($AS223="",$AT223="",$AU223=""),"",IF(AND($AT223&gt;=$AS223,$AT223&gt;=$AU223),"Mesomorfo dominante",IF(AND($AU223&gt;=$AS223,$AU223&gt;=$AT223),"Ectomorfo dominante","Endomorfo dominante")))</f>
        <v/>
      </c>
    </row>
    <row r="224" customFormat="false" ht="15" hidden="false" customHeight="false" outlineLevel="0" collapsed="false">
      <c r="A224" s="29"/>
      <c r="B224" s="27"/>
      <c r="C224" s="28"/>
      <c r="D224" s="27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3" t="str">
        <f aca="false">IFERROR(DATEDIF(INDEX(Cadastro!$D$8:$D$47,MATCH($B224,Cadastro!$B$8:$B$47,0)),$A224,"Y"),"")</f>
        <v/>
      </c>
      <c r="AH224" s="33" t="str">
        <f aca="false">IF(COUNT($I224,$K224,$J224,$N224)&lt;4,"",$I224+$K224+$J224+$N224)</f>
        <v/>
      </c>
      <c r="AI224" s="33" t="str">
        <f aca="false">IF(COUNT($L224,$M224,$I224,$J224,$P224,$N224,$Q224)&lt;7,"",$L224+$M224+$I224+$J224+$P224+$N224+$Q224)</f>
        <v/>
      </c>
      <c r="AJ224" s="33" t="str">
        <f aca="false">IF(COUNT($I224,$J224,$K224,$O224,$P224,$Q224,$R224,$N224)&lt;8,"",$I224+$J224+$K224+$O224+$P224+$Q224+$R224+$N224)</f>
        <v/>
      </c>
      <c r="AK224" s="34" t="str">
        <f aca="false">IF(OR($AI224="",$AG224=""),"",IF(IFERROR(INDEX(Cadastro!$F$8:$F$47,MATCH($B224,Cadastro!$B$8:$B$47,0)),"")="Feminino",1.097-0.00046971*$AI224+0.00000056*$AI224^2-0.00012828*$AG224,1.112-0.00043499*$AI224+0.00000055*$AI224^2-0.00028826*$AG224))</f>
        <v/>
      </c>
      <c r="AL224" s="30" t="str">
        <f aca="false">IF(OR($AK224="",$AK224=0),"",495/$AK224-450)</f>
        <v/>
      </c>
      <c r="AM224" s="35" t="str">
        <f aca="false">IF(OR($AL224="",$E224=""),"",$E224*$AL224/100)</f>
        <v/>
      </c>
      <c r="AN224" s="30" t="str">
        <f aca="false">IF(OR($AM224="",$E224=""),"",$E224-$AM224)</f>
        <v/>
      </c>
      <c r="AO224" s="35" t="str">
        <f aca="false">IFERROR($E224/($F224/100)^2,"")</f>
        <v/>
      </c>
      <c r="AP224" s="35" t="str">
        <f aca="false">IFERROR($G224/$F224*100,"")</f>
        <v/>
      </c>
      <c r="AQ224" s="36" t="str">
        <f aca="false">IFERROR($W224/$F224,"")</f>
        <v/>
      </c>
      <c r="AR224" s="35" t="str">
        <f aca="false">IF(OR($S224="",$I224=""),"",($S224-PI()*$I224/10)^2/(4*PI())-IF(IFERROR(INDEX(Cadastro!$F$8:$F$47,MATCH($B224,Cadastro!$B$8:$B$47,0)),"")="Feminino",6.5,10))</f>
        <v/>
      </c>
      <c r="AS224" s="35" t="str">
        <f aca="false">IF(OR($I224="",$J224="",$O224="",$F224=""),"",-0.7182+0.1451*(($I224+$J224+$O224)*(170.18/$F224))-0.00068*(($I224+$J224+$O224)*(170.18/$F224))^2+0.0000014*(($I224+$J224+$O224)*(170.18/$F224))^3)</f>
        <v/>
      </c>
      <c r="AT224" s="35" t="str">
        <f aca="false">IF(OR($AE224="",$AF224="",$T224="",$AA224="",$F224=""),"",0.858*$AE224+0.601*$AF224+0.188*($T224-$I224/10)+0.161*($AA224-$R224/10)-0.131*$F224+4.5)</f>
        <v/>
      </c>
      <c r="AU224" s="35" t="str">
        <f aca="false">IF(OR($E224="",$F224=""),"",IF($F224/$E224^(1/3)&gt;=40.75,0.732*($F224/$E224^(1/3))-28.58,IF($F224/$E224^(1/3)&gt;=38.25,0.463*($F224/$E224^(1/3))-17.63,0.1)))</f>
        <v/>
      </c>
      <c r="AV224" s="37" t="str">
        <f aca="false">IF(OR($AS224="",$AT224="",$AU224=""),"",IF(AND($AT224&gt;=$AS224,$AT224&gt;=$AU224),"Mesomorfo dominante",IF(AND($AU224&gt;=$AS224,$AU224&gt;=$AT224),"Ectomorfo dominante","Endomorfo dominante")))</f>
        <v/>
      </c>
    </row>
    <row r="225" customFormat="false" ht="15" hidden="false" customHeight="false" outlineLevel="0" collapsed="false">
      <c r="A225" s="29"/>
      <c r="B225" s="27"/>
      <c r="C225" s="28"/>
      <c r="D225" s="27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3" t="str">
        <f aca="false">IFERROR(DATEDIF(INDEX(Cadastro!$D$8:$D$47,MATCH($B225,Cadastro!$B$8:$B$47,0)),$A225,"Y"),"")</f>
        <v/>
      </c>
      <c r="AH225" s="33" t="str">
        <f aca="false">IF(COUNT($I225,$K225,$J225,$N225)&lt;4,"",$I225+$K225+$J225+$N225)</f>
        <v/>
      </c>
      <c r="AI225" s="33" t="str">
        <f aca="false">IF(COUNT($L225,$M225,$I225,$J225,$P225,$N225,$Q225)&lt;7,"",$L225+$M225+$I225+$J225+$P225+$N225+$Q225)</f>
        <v/>
      </c>
      <c r="AJ225" s="33" t="str">
        <f aca="false">IF(COUNT($I225,$J225,$K225,$O225,$P225,$Q225,$R225,$N225)&lt;8,"",$I225+$J225+$K225+$O225+$P225+$Q225+$R225+$N225)</f>
        <v/>
      </c>
      <c r="AK225" s="34" t="str">
        <f aca="false">IF(OR($AI225="",$AG225=""),"",IF(IFERROR(INDEX(Cadastro!$F$8:$F$47,MATCH($B225,Cadastro!$B$8:$B$47,0)),"")="Feminino",1.097-0.00046971*$AI225+0.00000056*$AI225^2-0.00012828*$AG225,1.112-0.00043499*$AI225+0.00000055*$AI225^2-0.00028826*$AG225))</f>
        <v/>
      </c>
      <c r="AL225" s="30" t="str">
        <f aca="false">IF(OR($AK225="",$AK225=0),"",495/$AK225-450)</f>
        <v/>
      </c>
      <c r="AM225" s="35" t="str">
        <f aca="false">IF(OR($AL225="",$E225=""),"",$E225*$AL225/100)</f>
        <v/>
      </c>
      <c r="AN225" s="30" t="str">
        <f aca="false">IF(OR($AM225="",$E225=""),"",$E225-$AM225)</f>
        <v/>
      </c>
      <c r="AO225" s="35" t="str">
        <f aca="false">IFERROR($E225/($F225/100)^2,"")</f>
        <v/>
      </c>
      <c r="AP225" s="35" t="str">
        <f aca="false">IFERROR($G225/$F225*100,"")</f>
        <v/>
      </c>
      <c r="AQ225" s="36" t="str">
        <f aca="false">IFERROR($W225/$F225,"")</f>
        <v/>
      </c>
      <c r="AR225" s="35" t="str">
        <f aca="false">IF(OR($S225="",$I225=""),"",($S225-PI()*$I225/10)^2/(4*PI())-IF(IFERROR(INDEX(Cadastro!$F$8:$F$47,MATCH($B225,Cadastro!$B$8:$B$47,0)),"")="Feminino",6.5,10))</f>
        <v/>
      </c>
      <c r="AS225" s="35" t="str">
        <f aca="false">IF(OR($I225="",$J225="",$O225="",$F225=""),"",-0.7182+0.1451*(($I225+$J225+$O225)*(170.18/$F225))-0.00068*(($I225+$J225+$O225)*(170.18/$F225))^2+0.0000014*(($I225+$J225+$O225)*(170.18/$F225))^3)</f>
        <v/>
      </c>
      <c r="AT225" s="35" t="str">
        <f aca="false">IF(OR($AE225="",$AF225="",$T225="",$AA225="",$F225=""),"",0.858*$AE225+0.601*$AF225+0.188*($T225-$I225/10)+0.161*($AA225-$R225/10)-0.131*$F225+4.5)</f>
        <v/>
      </c>
      <c r="AU225" s="35" t="str">
        <f aca="false">IF(OR($E225="",$F225=""),"",IF($F225/$E225^(1/3)&gt;=40.75,0.732*($F225/$E225^(1/3))-28.58,IF($F225/$E225^(1/3)&gt;=38.25,0.463*($F225/$E225^(1/3))-17.63,0.1)))</f>
        <v/>
      </c>
      <c r="AV225" s="37" t="str">
        <f aca="false">IF(OR($AS225="",$AT225="",$AU225=""),"",IF(AND($AT225&gt;=$AS225,$AT225&gt;=$AU225),"Mesomorfo dominante",IF(AND($AU225&gt;=$AS225,$AU225&gt;=$AT225),"Ectomorfo dominante","Endomorfo dominante")))</f>
        <v/>
      </c>
    </row>
    <row r="226" customFormat="false" ht="15" hidden="false" customHeight="false" outlineLevel="0" collapsed="false">
      <c r="A226" s="29"/>
      <c r="B226" s="27"/>
      <c r="C226" s="28"/>
      <c r="D226" s="27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3" t="str">
        <f aca="false">IFERROR(DATEDIF(INDEX(Cadastro!$D$8:$D$47,MATCH($B226,Cadastro!$B$8:$B$47,0)),$A226,"Y"),"")</f>
        <v/>
      </c>
      <c r="AH226" s="33" t="str">
        <f aca="false">IF(COUNT($I226,$K226,$J226,$N226)&lt;4,"",$I226+$K226+$J226+$N226)</f>
        <v/>
      </c>
      <c r="AI226" s="33" t="str">
        <f aca="false">IF(COUNT($L226,$M226,$I226,$J226,$P226,$N226,$Q226)&lt;7,"",$L226+$M226+$I226+$J226+$P226+$N226+$Q226)</f>
        <v/>
      </c>
      <c r="AJ226" s="33" t="str">
        <f aca="false">IF(COUNT($I226,$J226,$K226,$O226,$P226,$Q226,$R226,$N226)&lt;8,"",$I226+$J226+$K226+$O226+$P226+$Q226+$R226+$N226)</f>
        <v/>
      </c>
      <c r="AK226" s="34" t="str">
        <f aca="false">IF(OR($AI226="",$AG226=""),"",IF(IFERROR(INDEX(Cadastro!$F$8:$F$47,MATCH($B226,Cadastro!$B$8:$B$47,0)),"")="Feminino",1.097-0.00046971*$AI226+0.00000056*$AI226^2-0.00012828*$AG226,1.112-0.00043499*$AI226+0.00000055*$AI226^2-0.00028826*$AG226))</f>
        <v/>
      </c>
      <c r="AL226" s="30" t="str">
        <f aca="false">IF(OR($AK226="",$AK226=0),"",495/$AK226-450)</f>
        <v/>
      </c>
      <c r="AM226" s="35" t="str">
        <f aca="false">IF(OR($AL226="",$E226=""),"",$E226*$AL226/100)</f>
        <v/>
      </c>
      <c r="AN226" s="30" t="str">
        <f aca="false">IF(OR($AM226="",$E226=""),"",$E226-$AM226)</f>
        <v/>
      </c>
      <c r="AO226" s="35" t="str">
        <f aca="false">IFERROR($E226/($F226/100)^2,"")</f>
        <v/>
      </c>
      <c r="AP226" s="35" t="str">
        <f aca="false">IFERROR($G226/$F226*100,"")</f>
        <v/>
      </c>
      <c r="AQ226" s="36" t="str">
        <f aca="false">IFERROR($W226/$F226,"")</f>
        <v/>
      </c>
      <c r="AR226" s="35" t="str">
        <f aca="false">IF(OR($S226="",$I226=""),"",($S226-PI()*$I226/10)^2/(4*PI())-IF(IFERROR(INDEX(Cadastro!$F$8:$F$47,MATCH($B226,Cadastro!$B$8:$B$47,0)),"")="Feminino",6.5,10))</f>
        <v/>
      </c>
      <c r="AS226" s="35" t="str">
        <f aca="false">IF(OR($I226="",$J226="",$O226="",$F226=""),"",-0.7182+0.1451*(($I226+$J226+$O226)*(170.18/$F226))-0.00068*(($I226+$J226+$O226)*(170.18/$F226))^2+0.0000014*(($I226+$J226+$O226)*(170.18/$F226))^3)</f>
        <v/>
      </c>
      <c r="AT226" s="35" t="str">
        <f aca="false">IF(OR($AE226="",$AF226="",$T226="",$AA226="",$F226=""),"",0.858*$AE226+0.601*$AF226+0.188*($T226-$I226/10)+0.161*($AA226-$R226/10)-0.131*$F226+4.5)</f>
        <v/>
      </c>
      <c r="AU226" s="35" t="str">
        <f aca="false">IF(OR($E226="",$F226=""),"",IF($F226/$E226^(1/3)&gt;=40.75,0.732*($F226/$E226^(1/3))-28.58,IF($F226/$E226^(1/3)&gt;=38.25,0.463*($F226/$E226^(1/3))-17.63,0.1)))</f>
        <v/>
      </c>
      <c r="AV226" s="37" t="str">
        <f aca="false">IF(OR($AS226="",$AT226="",$AU226=""),"",IF(AND($AT226&gt;=$AS226,$AT226&gt;=$AU226),"Mesomorfo dominante",IF(AND($AU226&gt;=$AS226,$AU226&gt;=$AT226),"Ectomorfo dominante","Endomorfo dominante")))</f>
        <v/>
      </c>
    </row>
    <row r="227" customFormat="false" ht="15" hidden="false" customHeight="false" outlineLevel="0" collapsed="false">
      <c r="A227" s="29"/>
      <c r="B227" s="27"/>
      <c r="C227" s="28"/>
      <c r="D227" s="27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3" t="str">
        <f aca="false">IFERROR(DATEDIF(INDEX(Cadastro!$D$8:$D$47,MATCH($B227,Cadastro!$B$8:$B$47,0)),$A227,"Y"),"")</f>
        <v/>
      </c>
      <c r="AH227" s="33" t="str">
        <f aca="false">IF(COUNT($I227,$K227,$J227,$N227)&lt;4,"",$I227+$K227+$J227+$N227)</f>
        <v/>
      </c>
      <c r="AI227" s="33" t="str">
        <f aca="false">IF(COUNT($L227,$M227,$I227,$J227,$P227,$N227,$Q227)&lt;7,"",$L227+$M227+$I227+$J227+$P227+$N227+$Q227)</f>
        <v/>
      </c>
      <c r="AJ227" s="33" t="str">
        <f aca="false">IF(COUNT($I227,$J227,$K227,$O227,$P227,$Q227,$R227,$N227)&lt;8,"",$I227+$J227+$K227+$O227+$P227+$Q227+$R227+$N227)</f>
        <v/>
      </c>
      <c r="AK227" s="34" t="str">
        <f aca="false">IF(OR($AI227="",$AG227=""),"",IF(IFERROR(INDEX(Cadastro!$F$8:$F$47,MATCH($B227,Cadastro!$B$8:$B$47,0)),"")="Feminino",1.097-0.00046971*$AI227+0.00000056*$AI227^2-0.00012828*$AG227,1.112-0.00043499*$AI227+0.00000055*$AI227^2-0.00028826*$AG227))</f>
        <v/>
      </c>
      <c r="AL227" s="30" t="str">
        <f aca="false">IF(OR($AK227="",$AK227=0),"",495/$AK227-450)</f>
        <v/>
      </c>
      <c r="AM227" s="35" t="str">
        <f aca="false">IF(OR($AL227="",$E227=""),"",$E227*$AL227/100)</f>
        <v/>
      </c>
      <c r="AN227" s="30" t="str">
        <f aca="false">IF(OR($AM227="",$E227=""),"",$E227-$AM227)</f>
        <v/>
      </c>
      <c r="AO227" s="35" t="str">
        <f aca="false">IFERROR($E227/($F227/100)^2,"")</f>
        <v/>
      </c>
      <c r="AP227" s="35" t="str">
        <f aca="false">IFERROR($G227/$F227*100,"")</f>
        <v/>
      </c>
      <c r="AQ227" s="36" t="str">
        <f aca="false">IFERROR($W227/$F227,"")</f>
        <v/>
      </c>
      <c r="AR227" s="35" t="str">
        <f aca="false">IF(OR($S227="",$I227=""),"",($S227-PI()*$I227/10)^2/(4*PI())-IF(IFERROR(INDEX(Cadastro!$F$8:$F$47,MATCH($B227,Cadastro!$B$8:$B$47,0)),"")="Feminino",6.5,10))</f>
        <v/>
      </c>
      <c r="AS227" s="35" t="str">
        <f aca="false">IF(OR($I227="",$J227="",$O227="",$F227=""),"",-0.7182+0.1451*(($I227+$J227+$O227)*(170.18/$F227))-0.00068*(($I227+$J227+$O227)*(170.18/$F227))^2+0.0000014*(($I227+$J227+$O227)*(170.18/$F227))^3)</f>
        <v/>
      </c>
      <c r="AT227" s="35" t="str">
        <f aca="false">IF(OR($AE227="",$AF227="",$T227="",$AA227="",$F227=""),"",0.858*$AE227+0.601*$AF227+0.188*($T227-$I227/10)+0.161*($AA227-$R227/10)-0.131*$F227+4.5)</f>
        <v/>
      </c>
      <c r="AU227" s="35" t="str">
        <f aca="false">IF(OR($E227="",$F227=""),"",IF($F227/$E227^(1/3)&gt;=40.75,0.732*($F227/$E227^(1/3))-28.58,IF($F227/$E227^(1/3)&gt;=38.25,0.463*($F227/$E227^(1/3))-17.63,0.1)))</f>
        <v/>
      </c>
      <c r="AV227" s="37" t="str">
        <f aca="false">IF(OR($AS227="",$AT227="",$AU227=""),"",IF(AND($AT227&gt;=$AS227,$AT227&gt;=$AU227),"Mesomorfo dominante",IF(AND($AU227&gt;=$AS227,$AU227&gt;=$AT227),"Ectomorfo dominante","Endomorfo dominante")))</f>
        <v/>
      </c>
    </row>
    <row r="228" customFormat="false" ht="15" hidden="false" customHeight="false" outlineLevel="0" collapsed="false">
      <c r="A228" s="29"/>
      <c r="B228" s="27"/>
      <c r="C228" s="28"/>
      <c r="D228" s="27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3" t="str">
        <f aca="false">IFERROR(DATEDIF(INDEX(Cadastro!$D$8:$D$47,MATCH($B228,Cadastro!$B$8:$B$47,0)),$A228,"Y"),"")</f>
        <v/>
      </c>
      <c r="AH228" s="33" t="str">
        <f aca="false">IF(COUNT($I228,$K228,$J228,$N228)&lt;4,"",$I228+$K228+$J228+$N228)</f>
        <v/>
      </c>
      <c r="AI228" s="33" t="str">
        <f aca="false">IF(COUNT($L228,$M228,$I228,$J228,$P228,$N228,$Q228)&lt;7,"",$L228+$M228+$I228+$J228+$P228+$N228+$Q228)</f>
        <v/>
      </c>
      <c r="AJ228" s="33" t="str">
        <f aca="false">IF(COUNT($I228,$J228,$K228,$O228,$P228,$Q228,$R228,$N228)&lt;8,"",$I228+$J228+$K228+$O228+$P228+$Q228+$R228+$N228)</f>
        <v/>
      </c>
      <c r="AK228" s="34" t="str">
        <f aca="false">IF(OR($AI228="",$AG228=""),"",IF(IFERROR(INDEX(Cadastro!$F$8:$F$47,MATCH($B228,Cadastro!$B$8:$B$47,0)),"")="Feminino",1.097-0.00046971*$AI228+0.00000056*$AI228^2-0.00012828*$AG228,1.112-0.00043499*$AI228+0.00000055*$AI228^2-0.00028826*$AG228))</f>
        <v/>
      </c>
      <c r="AL228" s="30" t="str">
        <f aca="false">IF(OR($AK228="",$AK228=0),"",495/$AK228-450)</f>
        <v/>
      </c>
      <c r="AM228" s="35" t="str">
        <f aca="false">IF(OR($AL228="",$E228=""),"",$E228*$AL228/100)</f>
        <v/>
      </c>
      <c r="AN228" s="30" t="str">
        <f aca="false">IF(OR($AM228="",$E228=""),"",$E228-$AM228)</f>
        <v/>
      </c>
      <c r="AO228" s="35" t="str">
        <f aca="false">IFERROR($E228/($F228/100)^2,"")</f>
        <v/>
      </c>
      <c r="AP228" s="35" t="str">
        <f aca="false">IFERROR($G228/$F228*100,"")</f>
        <v/>
      </c>
      <c r="AQ228" s="36" t="str">
        <f aca="false">IFERROR($W228/$F228,"")</f>
        <v/>
      </c>
      <c r="AR228" s="35" t="str">
        <f aca="false">IF(OR($S228="",$I228=""),"",($S228-PI()*$I228/10)^2/(4*PI())-IF(IFERROR(INDEX(Cadastro!$F$8:$F$47,MATCH($B228,Cadastro!$B$8:$B$47,0)),"")="Feminino",6.5,10))</f>
        <v/>
      </c>
      <c r="AS228" s="35" t="str">
        <f aca="false">IF(OR($I228="",$J228="",$O228="",$F228=""),"",-0.7182+0.1451*(($I228+$J228+$O228)*(170.18/$F228))-0.00068*(($I228+$J228+$O228)*(170.18/$F228))^2+0.0000014*(($I228+$J228+$O228)*(170.18/$F228))^3)</f>
        <v/>
      </c>
      <c r="AT228" s="35" t="str">
        <f aca="false">IF(OR($AE228="",$AF228="",$T228="",$AA228="",$F228=""),"",0.858*$AE228+0.601*$AF228+0.188*($T228-$I228/10)+0.161*($AA228-$R228/10)-0.131*$F228+4.5)</f>
        <v/>
      </c>
      <c r="AU228" s="35" t="str">
        <f aca="false">IF(OR($E228="",$F228=""),"",IF($F228/$E228^(1/3)&gt;=40.75,0.732*($F228/$E228^(1/3))-28.58,IF($F228/$E228^(1/3)&gt;=38.25,0.463*($F228/$E228^(1/3))-17.63,0.1)))</f>
        <v/>
      </c>
      <c r="AV228" s="37" t="str">
        <f aca="false">IF(OR($AS228="",$AT228="",$AU228=""),"",IF(AND($AT228&gt;=$AS228,$AT228&gt;=$AU228),"Mesomorfo dominante",IF(AND($AU228&gt;=$AS228,$AU228&gt;=$AT228),"Ectomorfo dominante","Endomorfo dominante")))</f>
        <v/>
      </c>
    </row>
    <row r="229" customFormat="false" ht="15" hidden="false" customHeight="false" outlineLevel="0" collapsed="false">
      <c r="A229" s="29"/>
      <c r="B229" s="27"/>
      <c r="C229" s="28"/>
      <c r="D229" s="27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3" t="str">
        <f aca="false">IFERROR(DATEDIF(INDEX(Cadastro!$D$8:$D$47,MATCH($B229,Cadastro!$B$8:$B$47,0)),$A229,"Y"),"")</f>
        <v/>
      </c>
      <c r="AH229" s="33" t="str">
        <f aca="false">IF(COUNT($I229,$K229,$J229,$N229)&lt;4,"",$I229+$K229+$J229+$N229)</f>
        <v/>
      </c>
      <c r="AI229" s="33" t="str">
        <f aca="false">IF(COUNT($L229,$M229,$I229,$J229,$P229,$N229,$Q229)&lt;7,"",$L229+$M229+$I229+$J229+$P229+$N229+$Q229)</f>
        <v/>
      </c>
      <c r="AJ229" s="33" t="str">
        <f aca="false">IF(COUNT($I229,$J229,$K229,$O229,$P229,$Q229,$R229,$N229)&lt;8,"",$I229+$J229+$K229+$O229+$P229+$Q229+$R229+$N229)</f>
        <v/>
      </c>
      <c r="AK229" s="34" t="str">
        <f aca="false">IF(OR($AI229="",$AG229=""),"",IF(IFERROR(INDEX(Cadastro!$F$8:$F$47,MATCH($B229,Cadastro!$B$8:$B$47,0)),"")="Feminino",1.097-0.00046971*$AI229+0.00000056*$AI229^2-0.00012828*$AG229,1.112-0.00043499*$AI229+0.00000055*$AI229^2-0.00028826*$AG229))</f>
        <v/>
      </c>
      <c r="AL229" s="30" t="str">
        <f aca="false">IF(OR($AK229="",$AK229=0),"",495/$AK229-450)</f>
        <v/>
      </c>
      <c r="AM229" s="35" t="str">
        <f aca="false">IF(OR($AL229="",$E229=""),"",$E229*$AL229/100)</f>
        <v/>
      </c>
      <c r="AN229" s="30" t="str">
        <f aca="false">IF(OR($AM229="",$E229=""),"",$E229-$AM229)</f>
        <v/>
      </c>
      <c r="AO229" s="35" t="str">
        <f aca="false">IFERROR($E229/($F229/100)^2,"")</f>
        <v/>
      </c>
      <c r="AP229" s="35" t="str">
        <f aca="false">IFERROR($G229/$F229*100,"")</f>
        <v/>
      </c>
      <c r="AQ229" s="36" t="str">
        <f aca="false">IFERROR($W229/$F229,"")</f>
        <v/>
      </c>
      <c r="AR229" s="35" t="str">
        <f aca="false">IF(OR($S229="",$I229=""),"",($S229-PI()*$I229/10)^2/(4*PI())-IF(IFERROR(INDEX(Cadastro!$F$8:$F$47,MATCH($B229,Cadastro!$B$8:$B$47,0)),"")="Feminino",6.5,10))</f>
        <v/>
      </c>
      <c r="AS229" s="35" t="str">
        <f aca="false">IF(OR($I229="",$J229="",$O229="",$F229=""),"",-0.7182+0.1451*(($I229+$J229+$O229)*(170.18/$F229))-0.00068*(($I229+$J229+$O229)*(170.18/$F229))^2+0.0000014*(($I229+$J229+$O229)*(170.18/$F229))^3)</f>
        <v/>
      </c>
      <c r="AT229" s="35" t="str">
        <f aca="false">IF(OR($AE229="",$AF229="",$T229="",$AA229="",$F229=""),"",0.858*$AE229+0.601*$AF229+0.188*($T229-$I229/10)+0.161*($AA229-$R229/10)-0.131*$F229+4.5)</f>
        <v/>
      </c>
      <c r="AU229" s="35" t="str">
        <f aca="false">IF(OR($E229="",$F229=""),"",IF($F229/$E229^(1/3)&gt;=40.75,0.732*($F229/$E229^(1/3))-28.58,IF($F229/$E229^(1/3)&gt;=38.25,0.463*($F229/$E229^(1/3))-17.63,0.1)))</f>
        <v/>
      </c>
      <c r="AV229" s="37" t="str">
        <f aca="false">IF(OR($AS229="",$AT229="",$AU229=""),"",IF(AND($AT229&gt;=$AS229,$AT229&gt;=$AU229),"Mesomorfo dominante",IF(AND($AU229&gt;=$AS229,$AU229&gt;=$AT229),"Ectomorfo dominante","Endomorfo dominante")))</f>
        <v/>
      </c>
    </row>
    <row r="230" customFormat="false" ht="15" hidden="false" customHeight="false" outlineLevel="0" collapsed="false">
      <c r="A230" s="29"/>
      <c r="B230" s="27"/>
      <c r="C230" s="28"/>
      <c r="D230" s="27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3" t="str">
        <f aca="false">IFERROR(DATEDIF(INDEX(Cadastro!$D$8:$D$47,MATCH($B230,Cadastro!$B$8:$B$47,0)),$A230,"Y"),"")</f>
        <v/>
      </c>
      <c r="AH230" s="33" t="str">
        <f aca="false">IF(COUNT($I230,$K230,$J230,$N230)&lt;4,"",$I230+$K230+$J230+$N230)</f>
        <v/>
      </c>
      <c r="AI230" s="33" t="str">
        <f aca="false">IF(COUNT($L230,$M230,$I230,$J230,$P230,$N230,$Q230)&lt;7,"",$L230+$M230+$I230+$J230+$P230+$N230+$Q230)</f>
        <v/>
      </c>
      <c r="AJ230" s="33" t="str">
        <f aca="false">IF(COUNT($I230,$J230,$K230,$O230,$P230,$Q230,$R230,$N230)&lt;8,"",$I230+$J230+$K230+$O230+$P230+$Q230+$R230+$N230)</f>
        <v/>
      </c>
      <c r="AK230" s="34" t="str">
        <f aca="false">IF(OR($AI230="",$AG230=""),"",IF(IFERROR(INDEX(Cadastro!$F$8:$F$47,MATCH($B230,Cadastro!$B$8:$B$47,0)),"")="Feminino",1.097-0.00046971*$AI230+0.00000056*$AI230^2-0.00012828*$AG230,1.112-0.00043499*$AI230+0.00000055*$AI230^2-0.00028826*$AG230))</f>
        <v/>
      </c>
      <c r="AL230" s="30" t="str">
        <f aca="false">IF(OR($AK230="",$AK230=0),"",495/$AK230-450)</f>
        <v/>
      </c>
      <c r="AM230" s="35" t="str">
        <f aca="false">IF(OR($AL230="",$E230=""),"",$E230*$AL230/100)</f>
        <v/>
      </c>
      <c r="AN230" s="30" t="str">
        <f aca="false">IF(OR($AM230="",$E230=""),"",$E230-$AM230)</f>
        <v/>
      </c>
      <c r="AO230" s="35" t="str">
        <f aca="false">IFERROR($E230/($F230/100)^2,"")</f>
        <v/>
      </c>
      <c r="AP230" s="35" t="str">
        <f aca="false">IFERROR($G230/$F230*100,"")</f>
        <v/>
      </c>
      <c r="AQ230" s="36" t="str">
        <f aca="false">IFERROR($W230/$F230,"")</f>
        <v/>
      </c>
      <c r="AR230" s="35" t="str">
        <f aca="false">IF(OR($S230="",$I230=""),"",($S230-PI()*$I230/10)^2/(4*PI())-IF(IFERROR(INDEX(Cadastro!$F$8:$F$47,MATCH($B230,Cadastro!$B$8:$B$47,0)),"")="Feminino",6.5,10))</f>
        <v/>
      </c>
      <c r="AS230" s="35" t="str">
        <f aca="false">IF(OR($I230="",$J230="",$O230="",$F230=""),"",-0.7182+0.1451*(($I230+$J230+$O230)*(170.18/$F230))-0.00068*(($I230+$J230+$O230)*(170.18/$F230))^2+0.0000014*(($I230+$J230+$O230)*(170.18/$F230))^3)</f>
        <v/>
      </c>
      <c r="AT230" s="35" t="str">
        <f aca="false">IF(OR($AE230="",$AF230="",$T230="",$AA230="",$F230=""),"",0.858*$AE230+0.601*$AF230+0.188*($T230-$I230/10)+0.161*($AA230-$R230/10)-0.131*$F230+4.5)</f>
        <v/>
      </c>
      <c r="AU230" s="35" t="str">
        <f aca="false">IF(OR($E230="",$F230=""),"",IF($F230/$E230^(1/3)&gt;=40.75,0.732*($F230/$E230^(1/3))-28.58,IF($F230/$E230^(1/3)&gt;=38.25,0.463*($F230/$E230^(1/3))-17.63,0.1)))</f>
        <v/>
      </c>
      <c r="AV230" s="37" t="str">
        <f aca="false">IF(OR($AS230="",$AT230="",$AU230=""),"",IF(AND($AT230&gt;=$AS230,$AT230&gt;=$AU230),"Mesomorfo dominante",IF(AND($AU230&gt;=$AS230,$AU230&gt;=$AT230),"Ectomorfo dominante","Endomorfo dominante")))</f>
        <v/>
      </c>
    </row>
    <row r="231" customFormat="false" ht="15" hidden="false" customHeight="false" outlineLevel="0" collapsed="false">
      <c r="A231" s="29"/>
      <c r="B231" s="27"/>
      <c r="C231" s="28"/>
      <c r="D231" s="27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3" t="str">
        <f aca="false">IFERROR(DATEDIF(INDEX(Cadastro!$D$8:$D$47,MATCH($B231,Cadastro!$B$8:$B$47,0)),$A231,"Y"),"")</f>
        <v/>
      </c>
      <c r="AH231" s="33" t="str">
        <f aca="false">IF(COUNT($I231,$K231,$J231,$N231)&lt;4,"",$I231+$K231+$J231+$N231)</f>
        <v/>
      </c>
      <c r="AI231" s="33" t="str">
        <f aca="false">IF(COUNT($L231,$M231,$I231,$J231,$P231,$N231,$Q231)&lt;7,"",$L231+$M231+$I231+$J231+$P231+$N231+$Q231)</f>
        <v/>
      </c>
      <c r="AJ231" s="33" t="str">
        <f aca="false">IF(COUNT($I231,$J231,$K231,$O231,$P231,$Q231,$R231,$N231)&lt;8,"",$I231+$J231+$K231+$O231+$P231+$Q231+$R231+$N231)</f>
        <v/>
      </c>
      <c r="AK231" s="34" t="str">
        <f aca="false">IF(OR($AI231="",$AG231=""),"",IF(IFERROR(INDEX(Cadastro!$F$8:$F$47,MATCH($B231,Cadastro!$B$8:$B$47,0)),"")="Feminino",1.097-0.00046971*$AI231+0.00000056*$AI231^2-0.00012828*$AG231,1.112-0.00043499*$AI231+0.00000055*$AI231^2-0.00028826*$AG231))</f>
        <v/>
      </c>
      <c r="AL231" s="30" t="str">
        <f aca="false">IF(OR($AK231="",$AK231=0),"",495/$AK231-450)</f>
        <v/>
      </c>
      <c r="AM231" s="35" t="str">
        <f aca="false">IF(OR($AL231="",$E231=""),"",$E231*$AL231/100)</f>
        <v/>
      </c>
      <c r="AN231" s="30" t="str">
        <f aca="false">IF(OR($AM231="",$E231=""),"",$E231-$AM231)</f>
        <v/>
      </c>
      <c r="AO231" s="35" t="str">
        <f aca="false">IFERROR($E231/($F231/100)^2,"")</f>
        <v/>
      </c>
      <c r="AP231" s="35" t="str">
        <f aca="false">IFERROR($G231/$F231*100,"")</f>
        <v/>
      </c>
      <c r="AQ231" s="36" t="str">
        <f aca="false">IFERROR($W231/$F231,"")</f>
        <v/>
      </c>
      <c r="AR231" s="35" t="str">
        <f aca="false">IF(OR($S231="",$I231=""),"",($S231-PI()*$I231/10)^2/(4*PI())-IF(IFERROR(INDEX(Cadastro!$F$8:$F$47,MATCH($B231,Cadastro!$B$8:$B$47,0)),"")="Feminino",6.5,10))</f>
        <v/>
      </c>
      <c r="AS231" s="35" t="str">
        <f aca="false">IF(OR($I231="",$J231="",$O231="",$F231=""),"",-0.7182+0.1451*(($I231+$J231+$O231)*(170.18/$F231))-0.00068*(($I231+$J231+$O231)*(170.18/$F231))^2+0.0000014*(($I231+$J231+$O231)*(170.18/$F231))^3)</f>
        <v/>
      </c>
      <c r="AT231" s="35" t="str">
        <f aca="false">IF(OR($AE231="",$AF231="",$T231="",$AA231="",$F231=""),"",0.858*$AE231+0.601*$AF231+0.188*($T231-$I231/10)+0.161*($AA231-$R231/10)-0.131*$F231+4.5)</f>
        <v/>
      </c>
      <c r="AU231" s="35" t="str">
        <f aca="false">IF(OR($E231="",$F231=""),"",IF($F231/$E231^(1/3)&gt;=40.75,0.732*($F231/$E231^(1/3))-28.58,IF($F231/$E231^(1/3)&gt;=38.25,0.463*($F231/$E231^(1/3))-17.63,0.1)))</f>
        <v/>
      </c>
      <c r="AV231" s="37" t="str">
        <f aca="false">IF(OR($AS231="",$AT231="",$AU231=""),"",IF(AND($AT231&gt;=$AS231,$AT231&gt;=$AU231),"Mesomorfo dominante",IF(AND($AU231&gt;=$AS231,$AU231&gt;=$AT231),"Ectomorfo dominante","Endomorfo dominante")))</f>
        <v/>
      </c>
    </row>
    <row r="232" customFormat="false" ht="15" hidden="false" customHeight="false" outlineLevel="0" collapsed="false">
      <c r="A232" s="29"/>
      <c r="B232" s="27"/>
      <c r="C232" s="28"/>
      <c r="D232" s="27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3" t="str">
        <f aca="false">IFERROR(DATEDIF(INDEX(Cadastro!$D$8:$D$47,MATCH($B232,Cadastro!$B$8:$B$47,0)),$A232,"Y"),"")</f>
        <v/>
      </c>
      <c r="AH232" s="33" t="str">
        <f aca="false">IF(COUNT($I232,$K232,$J232,$N232)&lt;4,"",$I232+$K232+$J232+$N232)</f>
        <v/>
      </c>
      <c r="AI232" s="33" t="str">
        <f aca="false">IF(COUNT($L232,$M232,$I232,$J232,$P232,$N232,$Q232)&lt;7,"",$L232+$M232+$I232+$J232+$P232+$N232+$Q232)</f>
        <v/>
      </c>
      <c r="AJ232" s="33" t="str">
        <f aca="false">IF(COUNT($I232,$J232,$K232,$O232,$P232,$Q232,$R232,$N232)&lt;8,"",$I232+$J232+$K232+$O232+$P232+$Q232+$R232+$N232)</f>
        <v/>
      </c>
      <c r="AK232" s="34" t="str">
        <f aca="false">IF(OR($AI232="",$AG232=""),"",IF(IFERROR(INDEX(Cadastro!$F$8:$F$47,MATCH($B232,Cadastro!$B$8:$B$47,0)),"")="Feminino",1.097-0.00046971*$AI232+0.00000056*$AI232^2-0.00012828*$AG232,1.112-0.00043499*$AI232+0.00000055*$AI232^2-0.00028826*$AG232))</f>
        <v/>
      </c>
      <c r="AL232" s="30" t="str">
        <f aca="false">IF(OR($AK232="",$AK232=0),"",495/$AK232-450)</f>
        <v/>
      </c>
      <c r="AM232" s="35" t="str">
        <f aca="false">IF(OR($AL232="",$E232=""),"",$E232*$AL232/100)</f>
        <v/>
      </c>
      <c r="AN232" s="30" t="str">
        <f aca="false">IF(OR($AM232="",$E232=""),"",$E232-$AM232)</f>
        <v/>
      </c>
      <c r="AO232" s="35" t="str">
        <f aca="false">IFERROR($E232/($F232/100)^2,"")</f>
        <v/>
      </c>
      <c r="AP232" s="35" t="str">
        <f aca="false">IFERROR($G232/$F232*100,"")</f>
        <v/>
      </c>
      <c r="AQ232" s="36" t="str">
        <f aca="false">IFERROR($W232/$F232,"")</f>
        <v/>
      </c>
      <c r="AR232" s="35" t="str">
        <f aca="false">IF(OR($S232="",$I232=""),"",($S232-PI()*$I232/10)^2/(4*PI())-IF(IFERROR(INDEX(Cadastro!$F$8:$F$47,MATCH($B232,Cadastro!$B$8:$B$47,0)),"")="Feminino",6.5,10))</f>
        <v/>
      </c>
      <c r="AS232" s="35" t="str">
        <f aca="false">IF(OR($I232="",$J232="",$O232="",$F232=""),"",-0.7182+0.1451*(($I232+$J232+$O232)*(170.18/$F232))-0.00068*(($I232+$J232+$O232)*(170.18/$F232))^2+0.0000014*(($I232+$J232+$O232)*(170.18/$F232))^3)</f>
        <v/>
      </c>
      <c r="AT232" s="35" t="str">
        <f aca="false">IF(OR($AE232="",$AF232="",$T232="",$AA232="",$F232=""),"",0.858*$AE232+0.601*$AF232+0.188*($T232-$I232/10)+0.161*($AA232-$R232/10)-0.131*$F232+4.5)</f>
        <v/>
      </c>
      <c r="AU232" s="35" t="str">
        <f aca="false">IF(OR($E232="",$F232=""),"",IF($F232/$E232^(1/3)&gt;=40.75,0.732*($F232/$E232^(1/3))-28.58,IF($F232/$E232^(1/3)&gt;=38.25,0.463*($F232/$E232^(1/3))-17.63,0.1)))</f>
        <v/>
      </c>
      <c r="AV232" s="37" t="str">
        <f aca="false">IF(OR($AS232="",$AT232="",$AU232=""),"",IF(AND($AT232&gt;=$AS232,$AT232&gt;=$AU232),"Mesomorfo dominante",IF(AND($AU232&gt;=$AS232,$AU232&gt;=$AT232),"Ectomorfo dominante","Endomorfo dominante")))</f>
        <v/>
      </c>
    </row>
    <row r="233" customFormat="false" ht="15" hidden="false" customHeight="false" outlineLevel="0" collapsed="false">
      <c r="A233" s="29"/>
      <c r="B233" s="27"/>
      <c r="C233" s="28"/>
      <c r="D233" s="27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3" t="str">
        <f aca="false">IFERROR(DATEDIF(INDEX(Cadastro!$D$8:$D$47,MATCH($B233,Cadastro!$B$8:$B$47,0)),$A233,"Y"),"")</f>
        <v/>
      </c>
      <c r="AH233" s="33" t="str">
        <f aca="false">IF(COUNT($I233,$K233,$J233,$N233)&lt;4,"",$I233+$K233+$J233+$N233)</f>
        <v/>
      </c>
      <c r="AI233" s="33" t="str">
        <f aca="false">IF(COUNT($L233,$M233,$I233,$J233,$P233,$N233,$Q233)&lt;7,"",$L233+$M233+$I233+$J233+$P233+$N233+$Q233)</f>
        <v/>
      </c>
      <c r="AJ233" s="33" t="str">
        <f aca="false">IF(COUNT($I233,$J233,$K233,$O233,$P233,$Q233,$R233,$N233)&lt;8,"",$I233+$J233+$K233+$O233+$P233+$Q233+$R233+$N233)</f>
        <v/>
      </c>
      <c r="AK233" s="34" t="str">
        <f aca="false">IF(OR($AI233="",$AG233=""),"",IF(IFERROR(INDEX(Cadastro!$F$8:$F$47,MATCH($B233,Cadastro!$B$8:$B$47,0)),"")="Feminino",1.097-0.00046971*$AI233+0.00000056*$AI233^2-0.00012828*$AG233,1.112-0.00043499*$AI233+0.00000055*$AI233^2-0.00028826*$AG233))</f>
        <v/>
      </c>
      <c r="AL233" s="30" t="str">
        <f aca="false">IF(OR($AK233="",$AK233=0),"",495/$AK233-450)</f>
        <v/>
      </c>
      <c r="AM233" s="35" t="str">
        <f aca="false">IF(OR($AL233="",$E233=""),"",$E233*$AL233/100)</f>
        <v/>
      </c>
      <c r="AN233" s="30" t="str">
        <f aca="false">IF(OR($AM233="",$E233=""),"",$E233-$AM233)</f>
        <v/>
      </c>
      <c r="AO233" s="35" t="str">
        <f aca="false">IFERROR($E233/($F233/100)^2,"")</f>
        <v/>
      </c>
      <c r="AP233" s="35" t="str">
        <f aca="false">IFERROR($G233/$F233*100,"")</f>
        <v/>
      </c>
      <c r="AQ233" s="36" t="str">
        <f aca="false">IFERROR($W233/$F233,"")</f>
        <v/>
      </c>
      <c r="AR233" s="35" t="str">
        <f aca="false">IF(OR($S233="",$I233=""),"",($S233-PI()*$I233/10)^2/(4*PI())-IF(IFERROR(INDEX(Cadastro!$F$8:$F$47,MATCH($B233,Cadastro!$B$8:$B$47,0)),"")="Feminino",6.5,10))</f>
        <v/>
      </c>
      <c r="AS233" s="35" t="str">
        <f aca="false">IF(OR($I233="",$J233="",$O233="",$F233=""),"",-0.7182+0.1451*(($I233+$J233+$O233)*(170.18/$F233))-0.00068*(($I233+$J233+$O233)*(170.18/$F233))^2+0.0000014*(($I233+$J233+$O233)*(170.18/$F233))^3)</f>
        <v/>
      </c>
      <c r="AT233" s="35" t="str">
        <f aca="false">IF(OR($AE233="",$AF233="",$T233="",$AA233="",$F233=""),"",0.858*$AE233+0.601*$AF233+0.188*($T233-$I233/10)+0.161*($AA233-$R233/10)-0.131*$F233+4.5)</f>
        <v/>
      </c>
      <c r="AU233" s="35" t="str">
        <f aca="false">IF(OR($E233="",$F233=""),"",IF($F233/$E233^(1/3)&gt;=40.75,0.732*($F233/$E233^(1/3))-28.58,IF($F233/$E233^(1/3)&gt;=38.25,0.463*($F233/$E233^(1/3))-17.63,0.1)))</f>
        <v/>
      </c>
      <c r="AV233" s="37" t="str">
        <f aca="false">IF(OR($AS233="",$AT233="",$AU233=""),"",IF(AND($AT233&gt;=$AS233,$AT233&gt;=$AU233),"Mesomorfo dominante",IF(AND($AU233&gt;=$AS233,$AU233&gt;=$AT233),"Ectomorfo dominante","Endomorfo dominante")))</f>
        <v/>
      </c>
    </row>
    <row r="234" customFormat="false" ht="15" hidden="false" customHeight="false" outlineLevel="0" collapsed="false">
      <c r="A234" s="29"/>
      <c r="B234" s="27"/>
      <c r="C234" s="28"/>
      <c r="D234" s="27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3" t="str">
        <f aca="false">IFERROR(DATEDIF(INDEX(Cadastro!$D$8:$D$47,MATCH($B234,Cadastro!$B$8:$B$47,0)),$A234,"Y"),"")</f>
        <v/>
      </c>
      <c r="AH234" s="33" t="str">
        <f aca="false">IF(COUNT($I234,$K234,$J234,$N234)&lt;4,"",$I234+$K234+$J234+$N234)</f>
        <v/>
      </c>
      <c r="AI234" s="33" t="str">
        <f aca="false">IF(COUNT($L234,$M234,$I234,$J234,$P234,$N234,$Q234)&lt;7,"",$L234+$M234+$I234+$J234+$P234+$N234+$Q234)</f>
        <v/>
      </c>
      <c r="AJ234" s="33" t="str">
        <f aca="false">IF(COUNT($I234,$J234,$K234,$O234,$P234,$Q234,$R234,$N234)&lt;8,"",$I234+$J234+$K234+$O234+$P234+$Q234+$R234+$N234)</f>
        <v/>
      </c>
      <c r="AK234" s="34" t="str">
        <f aca="false">IF(OR($AI234="",$AG234=""),"",IF(IFERROR(INDEX(Cadastro!$F$8:$F$47,MATCH($B234,Cadastro!$B$8:$B$47,0)),"")="Feminino",1.097-0.00046971*$AI234+0.00000056*$AI234^2-0.00012828*$AG234,1.112-0.00043499*$AI234+0.00000055*$AI234^2-0.00028826*$AG234))</f>
        <v/>
      </c>
      <c r="AL234" s="30" t="str">
        <f aca="false">IF(OR($AK234="",$AK234=0),"",495/$AK234-450)</f>
        <v/>
      </c>
      <c r="AM234" s="35" t="str">
        <f aca="false">IF(OR($AL234="",$E234=""),"",$E234*$AL234/100)</f>
        <v/>
      </c>
      <c r="AN234" s="30" t="str">
        <f aca="false">IF(OR($AM234="",$E234=""),"",$E234-$AM234)</f>
        <v/>
      </c>
      <c r="AO234" s="35" t="str">
        <f aca="false">IFERROR($E234/($F234/100)^2,"")</f>
        <v/>
      </c>
      <c r="AP234" s="35" t="str">
        <f aca="false">IFERROR($G234/$F234*100,"")</f>
        <v/>
      </c>
      <c r="AQ234" s="36" t="str">
        <f aca="false">IFERROR($W234/$F234,"")</f>
        <v/>
      </c>
      <c r="AR234" s="35" t="str">
        <f aca="false">IF(OR($S234="",$I234=""),"",($S234-PI()*$I234/10)^2/(4*PI())-IF(IFERROR(INDEX(Cadastro!$F$8:$F$47,MATCH($B234,Cadastro!$B$8:$B$47,0)),"")="Feminino",6.5,10))</f>
        <v/>
      </c>
      <c r="AS234" s="35" t="str">
        <f aca="false">IF(OR($I234="",$J234="",$O234="",$F234=""),"",-0.7182+0.1451*(($I234+$J234+$O234)*(170.18/$F234))-0.00068*(($I234+$J234+$O234)*(170.18/$F234))^2+0.0000014*(($I234+$J234+$O234)*(170.18/$F234))^3)</f>
        <v/>
      </c>
      <c r="AT234" s="35" t="str">
        <f aca="false">IF(OR($AE234="",$AF234="",$T234="",$AA234="",$F234=""),"",0.858*$AE234+0.601*$AF234+0.188*($T234-$I234/10)+0.161*($AA234-$R234/10)-0.131*$F234+4.5)</f>
        <v/>
      </c>
      <c r="AU234" s="35" t="str">
        <f aca="false">IF(OR($E234="",$F234=""),"",IF($F234/$E234^(1/3)&gt;=40.75,0.732*($F234/$E234^(1/3))-28.58,IF($F234/$E234^(1/3)&gt;=38.25,0.463*($F234/$E234^(1/3))-17.63,0.1)))</f>
        <v/>
      </c>
      <c r="AV234" s="37" t="str">
        <f aca="false">IF(OR($AS234="",$AT234="",$AU234=""),"",IF(AND($AT234&gt;=$AS234,$AT234&gt;=$AU234),"Mesomorfo dominante",IF(AND($AU234&gt;=$AS234,$AU234&gt;=$AT234),"Ectomorfo dominante","Endomorfo dominante")))</f>
        <v/>
      </c>
    </row>
    <row r="235" customFormat="false" ht="15" hidden="false" customHeight="false" outlineLevel="0" collapsed="false">
      <c r="A235" s="29"/>
      <c r="B235" s="27"/>
      <c r="C235" s="28"/>
      <c r="D235" s="27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3" t="str">
        <f aca="false">IFERROR(DATEDIF(INDEX(Cadastro!$D$8:$D$47,MATCH($B235,Cadastro!$B$8:$B$47,0)),$A235,"Y"),"")</f>
        <v/>
      </c>
      <c r="AH235" s="33" t="str">
        <f aca="false">IF(COUNT($I235,$K235,$J235,$N235)&lt;4,"",$I235+$K235+$J235+$N235)</f>
        <v/>
      </c>
      <c r="AI235" s="33" t="str">
        <f aca="false">IF(COUNT($L235,$M235,$I235,$J235,$P235,$N235,$Q235)&lt;7,"",$L235+$M235+$I235+$J235+$P235+$N235+$Q235)</f>
        <v/>
      </c>
      <c r="AJ235" s="33" t="str">
        <f aca="false">IF(COUNT($I235,$J235,$K235,$O235,$P235,$Q235,$R235,$N235)&lt;8,"",$I235+$J235+$K235+$O235+$P235+$Q235+$R235+$N235)</f>
        <v/>
      </c>
      <c r="AK235" s="34" t="str">
        <f aca="false">IF(OR($AI235="",$AG235=""),"",IF(IFERROR(INDEX(Cadastro!$F$8:$F$47,MATCH($B235,Cadastro!$B$8:$B$47,0)),"")="Feminino",1.097-0.00046971*$AI235+0.00000056*$AI235^2-0.00012828*$AG235,1.112-0.00043499*$AI235+0.00000055*$AI235^2-0.00028826*$AG235))</f>
        <v/>
      </c>
      <c r="AL235" s="30" t="str">
        <f aca="false">IF(OR($AK235="",$AK235=0),"",495/$AK235-450)</f>
        <v/>
      </c>
      <c r="AM235" s="35" t="str">
        <f aca="false">IF(OR($AL235="",$E235=""),"",$E235*$AL235/100)</f>
        <v/>
      </c>
      <c r="AN235" s="30" t="str">
        <f aca="false">IF(OR($AM235="",$E235=""),"",$E235-$AM235)</f>
        <v/>
      </c>
      <c r="AO235" s="35" t="str">
        <f aca="false">IFERROR($E235/($F235/100)^2,"")</f>
        <v/>
      </c>
      <c r="AP235" s="35" t="str">
        <f aca="false">IFERROR($G235/$F235*100,"")</f>
        <v/>
      </c>
      <c r="AQ235" s="36" t="str">
        <f aca="false">IFERROR($W235/$F235,"")</f>
        <v/>
      </c>
      <c r="AR235" s="35" t="str">
        <f aca="false">IF(OR($S235="",$I235=""),"",($S235-PI()*$I235/10)^2/(4*PI())-IF(IFERROR(INDEX(Cadastro!$F$8:$F$47,MATCH($B235,Cadastro!$B$8:$B$47,0)),"")="Feminino",6.5,10))</f>
        <v/>
      </c>
      <c r="AS235" s="35" t="str">
        <f aca="false">IF(OR($I235="",$J235="",$O235="",$F235=""),"",-0.7182+0.1451*(($I235+$J235+$O235)*(170.18/$F235))-0.00068*(($I235+$J235+$O235)*(170.18/$F235))^2+0.0000014*(($I235+$J235+$O235)*(170.18/$F235))^3)</f>
        <v/>
      </c>
      <c r="AT235" s="35" t="str">
        <f aca="false">IF(OR($AE235="",$AF235="",$T235="",$AA235="",$F235=""),"",0.858*$AE235+0.601*$AF235+0.188*($T235-$I235/10)+0.161*($AA235-$R235/10)-0.131*$F235+4.5)</f>
        <v/>
      </c>
      <c r="AU235" s="35" t="str">
        <f aca="false">IF(OR($E235="",$F235=""),"",IF($F235/$E235^(1/3)&gt;=40.75,0.732*($F235/$E235^(1/3))-28.58,IF($F235/$E235^(1/3)&gt;=38.25,0.463*($F235/$E235^(1/3))-17.63,0.1)))</f>
        <v/>
      </c>
      <c r="AV235" s="37" t="str">
        <f aca="false">IF(OR($AS235="",$AT235="",$AU235=""),"",IF(AND($AT235&gt;=$AS235,$AT235&gt;=$AU235),"Mesomorfo dominante",IF(AND($AU235&gt;=$AS235,$AU235&gt;=$AT235),"Ectomorfo dominante","Endomorfo dominante")))</f>
        <v/>
      </c>
    </row>
    <row r="236" customFormat="false" ht="15" hidden="false" customHeight="false" outlineLevel="0" collapsed="false">
      <c r="A236" s="29"/>
      <c r="B236" s="27"/>
      <c r="C236" s="28"/>
      <c r="D236" s="27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3" t="str">
        <f aca="false">IFERROR(DATEDIF(INDEX(Cadastro!$D$8:$D$47,MATCH($B236,Cadastro!$B$8:$B$47,0)),$A236,"Y"),"")</f>
        <v/>
      </c>
      <c r="AH236" s="33" t="str">
        <f aca="false">IF(COUNT($I236,$K236,$J236,$N236)&lt;4,"",$I236+$K236+$J236+$N236)</f>
        <v/>
      </c>
      <c r="AI236" s="33" t="str">
        <f aca="false">IF(COUNT($L236,$M236,$I236,$J236,$P236,$N236,$Q236)&lt;7,"",$L236+$M236+$I236+$J236+$P236+$N236+$Q236)</f>
        <v/>
      </c>
      <c r="AJ236" s="33" t="str">
        <f aca="false">IF(COUNT($I236,$J236,$K236,$O236,$P236,$Q236,$R236,$N236)&lt;8,"",$I236+$J236+$K236+$O236+$P236+$Q236+$R236+$N236)</f>
        <v/>
      </c>
      <c r="AK236" s="34" t="str">
        <f aca="false">IF(OR($AI236="",$AG236=""),"",IF(IFERROR(INDEX(Cadastro!$F$8:$F$47,MATCH($B236,Cadastro!$B$8:$B$47,0)),"")="Feminino",1.097-0.00046971*$AI236+0.00000056*$AI236^2-0.00012828*$AG236,1.112-0.00043499*$AI236+0.00000055*$AI236^2-0.00028826*$AG236))</f>
        <v/>
      </c>
      <c r="AL236" s="30" t="str">
        <f aca="false">IF(OR($AK236="",$AK236=0),"",495/$AK236-450)</f>
        <v/>
      </c>
      <c r="AM236" s="35" t="str">
        <f aca="false">IF(OR($AL236="",$E236=""),"",$E236*$AL236/100)</f>
        <v/>
      </c>
      <c r="AN236" s="30" t="str">
        <f aca="false">IF(OR($AM236="",$E236=""),"",$E236-$AM236)</f>
        <v/>
      </c>
      <c r="AO236" s="35" t="str">
        <f aca="false">IFERROR($E236/($F236/100)^2,"")</f>
        <v/>
      </c>
      <c r="AP236" s="35" t="str">
        <f aca="false">IFERROR($G236/$F236*100,"")</f>
        <v/>
      </c>
      <c r="AQ236" s="36" t="str">
        <f aca="false">IFERROR($W236/$F236,"")</f>
        <v/>
      </c>
      <c r="AR236" s="35" t="str">
        <f aca="false">IF(OR($S236="",$I236=""),"",($S236-PI()*$I236/10)^2/(4*PI())-IF(IFERROR(INDEX(Cadastro!$F$8:$F$47,MATCH($B236,Cadastro!$B$8:$B$47,0)),"")="Feminino",6.5,10))</f>
        <v/>
      </c>
      <c r="AS236" s="35" t="str">
        <f aca="false">IF(OR($I236="",$J236="",$O236="",$F236=""),"",-0.7182+0.1451*(($I236+$J236+$O236)*(170.18/$F236))-0.00068*(($I236+$J236+$O236)*(170.18/$F236))^2+0.0000014*(($I236+$J236+$O236)*(170.18/$F236))^3)</f>
        <v/>
      </c>
      <c r="AT236" s="35" t="str">
        <f aca="false">IF(OR($AE236="",$AF236="",$T236="",$AA236="",$F236=""),"",0.858*$AE236+0.601*$AF236+0.188*($T236-$I236/10)+0.161*($AA236-$R236/10)-0.131*$F236+4.5)</f>
        <v/>
      </c>
      <c r="AU236" s="35" t="str">
        <f aca="false">IF(OR($E236="",$F236=""),"",IF($F236/$E236^(1/3)&gt;=40.75,0.732*($F236/$E236^(1/3))-28.58,IF($F236/$E236^(1/3)&gt;=38.25,0.463*($F236/$E236^(1/3))-17.63,0.1)))</f>
        <v/>
      </c>
      <c r="AV236" s="37" t="str">
        <f aca="false">IF(OR($AS236="",$AT236="",$AU236=""),"",IF(AND($AT236&gt;=$AS236,$AT236&gt;=$AU236),"Mesomorfo dominante",IF(AND($AU236&gt;=$AS236,$AU236&gt;=$AT236),"Ectomorfo dominante","Endomorfo dominante")))</f>
        <v/>
      </c>
    </row>
    <row r="237" customFormat="false" ht="15" hidden="false" customHeight="false" outlineLevel="0" collapsed="false">
      <c r="A237" s="29"/>
      <c r="B237" s="27"/>
      <c r="C237" s="28"/>
      <c r="D237" s="27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3" t="str">
        <f aca="false">IFERROR(DATEDIF(INDEX(Cadastro!$D$8:$D$47,MATCH($B237,Cadastro!$B$8:$B$47,0)),$A237,"Y"),"")</f>
        <v/>
      </c>
      <c r="AH237" s="33" t="str">
        <f aca="false">IF(COUNT($I237,$K237,$J237,$N237)&lt;4,"",$I237+$K237+$J237+$N237)</f>
        <v/>
      </c>
      <c r="AI237" s="33" t="str">
        <f aca="false">IF(COUNT($L237,$M237,$I237,$J237,$P237,$N237,$Q237)&lt;7,"",$L237+$M237+$I237+$J237+$P237+$N237+$Q237)</f>
        <v/>
      </c>
      <c r="AJ237" s="33" t="str">
        <f aca="false">IF(COUNT($I237,$J237,$K237,$O237,$P237,$Q237,$R237,$N237)&lt;8,"",$I237+$J237+$K237+$O237+$P237+$Q237+$R237+$N237)</f>
        <v/>
      </c>
      <c r="AK237" s="34" t="str">
        <f aca="false">IF(OR($AI237="",$AG237=""),"",IF(IFERROR(INDEX(Cadastro!$F$8:$F$47,MATCH($B237,Cadastro!$B$8:$B$47,0)),"")="Feminino",1.097-0.00046971*$AI237+0.00000056*$AI237^2-0.00012828*$AG237,1.112-0.00043499*$AI237+0.00000055*$AI237^2-0.00028826*$AG237))</f>
        <v/>
      </c>
      <c r="AL237" s="30" t="str">
        <f aca="false">IF(OR($AK237="",$AK237=0),"",495/$AK237-450)</f>
        <v/>
      </c>
      <c r="AM237" s="35" t="str">
        <f aca="false">IF(OR($AL237="",$E237=""),"",$E237*$AL237/100)</f>
        <v/>
      </c>
      <c r="AN237" s="30" t="str">
        <f aca="false">IF(OR($AM237="",$E237=""),"",$E237-$AM237)</f>
        <v/>
      </c>
      <c r="AO237" s="35" t="str">
        <f aca="false">IFERROR($E237/($F237/100)^2,"")</f>
        <v/>
      </c>
      <c r="AP237" s="35" t="str">
        <f aca="false">IFERROR($G237/$F237*100,"")</f>
        <v/>
      </c>
      <c r="AQ237" s="36" t="str">
        <f aca="false">IFERROR($W237/$F237,"")</f>
        <v/>
      </c>
      <c r="AR237" s="35" t="str">
        <f aca="false">IF(OR($S237="",$I237=""),"",($S237-PI()*$I237/10)^2/(4*PI())-IF(IFERROR(INDEX(Cadastro!$F$8:$F$47,MATCH($B237,Cadastro!$B$8:$B$47,0)),"")="Feminino",6.5,10))</f>
        <v/>
      </c>
      <c r="AS237" s="35" t="str">
        <f aca="false">IF(OR($I237="",$J237="",$O237="",$F237=""),"",-0.7182+0.1451*(($I237+$J237+$O237)*(170.18/$F237))-0.00068*(($I237+$J237+$O237)*(170.18/$F237))^2+0.0000014*(($I237+$J237+$O237)*(170.18/$F237))^3)</f>
        <v/>
      </c>
      <c r="AT237" s="35" t="str">
        <f aca="false">IF(OR($AE237="",$AF237="",$T237="",$AA237="",$F237=""),"",0.858*$AE237+0.601*$AF237+0.188*($T237-$I237/10)+0.161*($AA237-$R237/10)-0.131*$F237+4.5)</f>
        <v/>
      </c>
      <c r="AU237" s="35" t="str">
        <f aca="false">IF(OR($E237="",$F237=""),"",IF($F237/$E237^(1/3)&gt;=40.75,0.732*($F237/$E237^(1/3))-28.58,IF($F237/$E237^(1/3)&gt;=38.25,0.463*($F237/$E237^(1/3))-17.63,0.1)))</f>
        <v/>
      </c>
      <c r="AV237" s="37" t="str">
        <f aca="false">IF(OR($AS237="",$AT237="",$AU237=""),"",IF(AND($AT237&gt;=$AS237,$AT237&gt;=$AU237),"Mesomorfo dominante",IF(AND($AU237&gt;=$AS237,$AU237&gt;=$AT237),"Ectomorfo dominante","Endomorfo dominante")))</f>
        <v/>
      </c>
    </row>
    <row r="238" customFormat="false" ht="15" hidden="false" customHeight="false" outlineLevel="0" collapsed="false">
      <c r="A238" s="29"/>
      <c r="B238" s="27"/>
      <c r="C238" s="28"/>
      <c r="D238" s="27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3" t="str">
        <f aca="false">IFERROR(DATEDIF(INDEX(Cadastro!$D$8:$D$47,MATCH($B238,Cadastro!$B$8:$B$47,0)),$A238,"Y"),"")</f>
        <v/>
      </c>
      <c r="AH238" s="33" t="str">
        <f aca="false">IF(COUNT($I238,$K238,$J238,$N238)&lt;4,"",$I238+$K238+$J238+$N238)</f>
        <v/>
      </c>
      <c r="AI238" s="33" t="str">
        <f aca="false">IF(COUNT($L238,$M238,$I238,$J238,$P238,$N238,$Q238)&lt;7,"",$L238+$M238+$I238+$J238+$P238+$N238+$Q238)</f>
        <v/>
      </c>
      <c r="AJ238" s="33" t="str">
        <f aca="false">IF(COUNT($I238,$J238,$K238,$O238,$P238,$Q238,$R238,$N238)&lt;8,"",$I238+$J238+$K238+$O238+$P238+$Q238+$R238+$N238)</f>
        <v/>
      </c>
      <c r="AK238" s="34" t="str">
        <f aca="false">IF(OR($AI238="",$AG238=""),"",IF(IFERROR(INDEX(Cadastro!$F$8:$F$47,MATCH($B238,Cadastro!$B$8:$B$47,0)),"")="Feminino",1.097-0.00046971*$AI238+0.00000056*$AI238^2-0.00012828*$AG238,1.112-0.00043499*$AI238+0.00000055*$AI238^2-0.00028826*$AG238))</f>
        <v/>
      </c>
      <c r="AL238" s="30" t="str">
        <f aca="false">IF(OR($AK238="",$AK238=0),"",495/$AK238-450)</f>
        <v/>
      </c>
      <c r="AM238" s="35" t="str">
        <f aca="false">IF(OR($AL238="",$E238=""),"",$E238*$AL238/100)</f>
        <v/>
      </c>
      <c r="AN238" s="30" t="str">
        <f aca="false">IF(OR($AM238="",$E238=""),"",$E238-$AM238)</f>
        <v/>
      </c>
      <c r="AO238" s="35" t="str">
        <f aca="false">IFERROR($E238/($F238/100)^2,"")</f>
        <v/>
      </c>
      <c r="AP238" s="35" t="str">
        <f aca="false">IFERROR($G238/$F238*100,"")</f>
        <v/>
      </c>
      <c r="AQ238" s="36" t="str">
        <f aca="false">IFERROR($W238/$F238,"")</f>
        <v/>
      </c>
      <c r="AR238" s="35" t="str">
        <f aca="false">IF(OR($S238="",$I238=""),"",($S238-PI()*$I238/10)^2/(4*PI())-IF(IFERROR(INDEX(Cadastro!$F$8:$F$47,MATCH($B238,Cadastro!$B$8:$B$47,0)),"")="Feminino",6.5,10))</f>
        <v/>
      </c>
      <c r="AS238" s="35" t="str">
        <f aca="false">IF(OR($I238="",$J238="",$O238="",$F238=""),"",-0.7182+0.1451*(($I238+$J238+$O238)*(170.18/$F238))-0.00068*(($I238+$J238+$O238)*(170.18/$F238))^2+0.0000014*(($I238+$J238+$O238)*(170.18/$F238))^3)</f>
        <v/>
      </c>
      <c r="AT238" s="35" t="str">
        <f aca="false">IF(OR($AE238="",$AF238="",$T238="",$AA238="",$F238=""),"",0.858*$AE238+0.601*$AF238+0.188*($T238-$I238/10)+0.161*($AA238-$R238/10)-0.131*$F238+4.5)</f>
        <v/>
      </c>
      <c r="AU238" s="35" t="str">
        <f aca="false">IF(OR($E238="",$F238=""),"",IF($F238/$E238^(1/3)&gt;=40.75,0.732*($F238/$E238^(1/3))-28.58,IF($F238/$E238^(1/3)&gt;=38.25,0.463*($F238/$E238^(1/3))-17.63,0.1)))</f>
        <v/>
      </c>
      <c r="AV238" s="37" t="str">
        <f aca="false">IF(OR($AS238="",$AT238="",$AU238=""),"",IF(AND($AT238&gt;=$AS238,$AT238&gt;=$AU238),"Mesomorfo dominante",IF(AND($AU238&gt;=$AS238,$AU238&gt;=$AT238),"Ectomorfo dominante","Endomorfo dominante")))</f>
        <v/>
      </c>
    </row>
    <row r="239" customFormat="false" ht="15" hidden="false" customHeight="false" outlineLevel="0" collapsed="false">
      <c r="A239" s="29"/>
      <c r="B239" s="27"/>
      <c r="C239" s="28"/>
      <c r="D239" s="27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3" t="str">
        <f aca="false">IFERROR(DATEDIF(INDEX(Cadastro!$D$8:$D$47,MATCH($B239,Cadastro!$B$8:$B$47,0)),$A239,"Y"),"")</f>
        <v/>
      </c>
      <c r="AH239" s="33" t="str">
        <f aca="false">IF(COUNT($I239,$K239,$J239,$N239)&lt;4,"",$I239+$K239+$J239+$N239)</f>
        <v/>
      </c>
      <c r="AI239" s="33" t="str">
        <f aca="false">IF(COUNT($L239,$M239,$I239,$J239,$P239,$N239,$Q239)&lt;7,"",$L239+$M239+$I239+$J239+$P239+$N239+$Q239)</f>
        <v/>
      </c>
      <c r="AJ239" s="33" t="str">
        <f aca="false">IF(COUNT($I239,$J239,$K239,$O239,$P239,$Q239,$R239,$N239)&lt;8,"",$I239+$J239+$K239+$O239+$P239+$Q239+$R239+$N239)</f>
        <v/>
      </c>
      <c r="AK239" s="34" t="str">
        <f aca="false">IF(OR($AI239="",$AG239=""),"",IF(IFERROR(INDEX(Cadastro!$F$8:$F$47,MATCH($B239,Cadastro!$B$8:$B$47,0)),"")="Feminino",1.097-0.00046971*$AI239+0.00000056*$AI239^2-0.00012828*$AG239,1.112-0.00043499*$AI239+0.00000055*$AI239^2-0.00028826*$AG239))</f>
        <v/>
      </c>
      <c r="AL239" s="30" t="str">
        <f aca="false">IF(OR($AK239="",$AK239=0),"",495/$AK239-450)</f>
        <v/>
      </c>
      <c r="AM239" s="35" t="str">
        <f aca="false">IF(OR($AL239="",$E239=""),"",$E239*$AL239/100)</f>
        <v/>
      </c>
      <c r="AN239" s="30" t="str">
        <f aca="false">IF(OR($AM239="",$E239=""),"",$E239-$AM239)</f>
        <v/>
      </c>
      <c r="AO239" s="35" t="str">
        <f aca="false">IFERROR($E239/($F239/100)^2,"")</f>
        <v/>
      </c>
      <c r="AP239" s="35" t="str">
        <f aca="false">IFERROR($G239/$F239*100,"")</f>
        <v/>
      </c>
      <c r="AQ239" s="36" t="str">
        <f aca="false">IFERROR($W239/$F239,"")</f>
        <v/>
      </c>
      <c r="AR239" s="35" t="str">
        <f aca="false">IF(OR($S239="",$I239=""),"",($S239-PI()*$I239/10)^2/(4*PI())-IF(IFERROR(INDEX(Cadastro!$F$8:$F$47,MATCH($B239,Cadastro!$B$8:$B$47,0)),"")="Feminino",6.5,10))</f>
        <v/>
      </c>
      <c r="AS239" s="35" t="str">
        <f aca="false">IF(OR($I239="",$J239="",$O239="",$F239=""),"",-0.7182+0.1451*(($I239+$J239+$O239)*(170.18/$F239))-0.00068*(($I239+$J239+$O239)*(170.18/$F239))^2+0.0000014*(($I239+$J239+$O239)*(170.18/$F239))^3)</f>
        <v/>
      </c>
      <c r="AT239" s="35" t="str">
        <f aca="false">IF(OR($AE239="",$AF239="",$T239="",$AA239="",$F239=""),"",0.858*$AE239+0.601*$AF239+0.188*($T239-$I239/10)+0.161*($AA239-$R239/10)-0.131*$F239+4.5)</f>
        <v/>
      </c>
      <c r="AU239" s="35" t="str">
        <f aca="false">IF(OR($E239="",$F239=""),"",IF($F239/$E239^(1/3)&gt;=40.75,0.732*($F239/$E239^(1/3))-28.58,IF($F239/$E239^(1/3)&gt;=38.25,0.463*($F239/$E239^(1/3))-17.63,0.1)))</f>
        <v/>
      </c>
      <c r="AV239" s="37" t="str">
        <f aca="false">IF(OR($AS239="",$AT239="",$AU239=""),"",IF(AND($AT239&gt;=$AS239,$AT239&gt;=$AU239),"Mesomorfo dominante",IF(AND($AU239&gt;=$AS239,$AU239&gt;=$AT239),"Ectomorfo dominante","Endomorfo dominante")))</f>
        <v/>
      </c>
    </row>
    <row r="240" customFormat="false" ht="15" hidden="false" customHeight="false" outlineLevel="0" collapsed="false">
      <c r="A240" s="29"/>
      <c r="B240" s="27"/>
      <c r="C240" s="28"/>
      <c r="D240" s="27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3" t="str">
        <f aca="false">IFERROR(DATEDIF(INDEX(Cadastro!$D$8:$D$47,MATCH($B240,Cadastro!$B$8:$B$47,0)),$A240,"Y"),"")</f>
        <v/>
      </c>
      <c r="AH240" s="33" t="str">
        <f aca="false">IF(COUNT($I240,$K240,$J240,$N240)&lt;4,"",$I240+$K240+$J240+$N240)</f>
        <v/>
      </c>
      <c r="AI240" s="33" t="str">
        <f aca="false">IF(COUNT($L240,$M240,$I240,$J240,$P240,$N240,$Q240)&lt;7,"",$L240+$M240+$I240+$J240+$P240+$N240+$Q240)</f>
        <v/>
      </c>
      <c r="AJ240" s="33" t="str">
        <f aca="false">IF(COUNT($I240,$J240,$K240,$O240,$P240,$Q240,$R240,$N240)&lt;8,"",$I240+$J240+$K240+$O240+$P240+$Q240+$R240+$N240)</f>
        <v/>
      </c>
      <c r="AK240" s="34" t="str">
        <f aca="false">IF(OR($AI240="",$AG240=""),"",IF(IFERROR(INDEX(Cadastro!$F$8:$F$47,MATCH($B240,Cadastro!$B$8:$B$47,0)),"")="Feminino",1.097-0.00046971*$AI240+0.00000056*$AI240^2-0.00012828*$AG240,1.112-0.00043499*$AI240+0.00000055*$AI240^2-0.00028826*$AG240))</f>
        <v/>
      </c>
      <c r="AL240" s="30" t="str">
        <f aca="false">IF(OR($AK240="",$AK240=0),"",495/$AK240-450)</f>
        <v/>
      </c>
      <c r="AM240" s="35" t="str">
        <f aca="false">IF(OR($AL240="",$E240=""),"",$E240*$AL240/100)</f>
        <v/>
      </c>
      <c r="AN240" s="30" t="str">
        <f aca="false">IF(OR($AM240="",$E240=""),"",$E240-$AM240)</f>
        <v/>
      </c>
      <c r="AO240" s="35" t="str">
        <f aca="false">IFERROR($E240/($F240/100)^2,"")</f>
        <v/>
      </c>
      <c r="AP240" s="35" t="str">
        <f aca="false">IFERROR($G240/$F240*100,"")</f>
        <v/>
      </c>
      <c r="AQ240" s="36" t="str">
        <f aca="false">IFERROR($W240/$F240,"")</f>
        <v/>
      </c>
      <c r="AR240" s="35" t="str">
        <f aca="false">IF(OR($S240="",$I240=""),"",($S240-PI()*$I240/10)^2/(4*PI())-IF(IFERROR(INDEX(Cadastro!$F$8:$F$47,MATCH($B240,Cadastro!$B$8:$B$47,0)),"")="Feminino",6.5,10))</f>
        <v/>
      </c>
      <c r="AS240" s="35" t="str">
        <f aca="false">IF(OR($I240="",$J240="",$O240="",$F240=""),"",-0.7182+0.1451*(($I240+$J240+$O240)*(170.18/$F240))-0.00068*(($I240+$J240+$O240)*(170.18/$F240))^2+0.0000014*(($I240+$J240+$O240)*(170.18/$F240))^3)</f>
        <v/>
      </c>
      <c r="AT240" s="35" t="str">
        <f aca="false">IF(OR($AE240="",$AF240="",$T240="",$AA240="",$F240=""),"",0.858*$AE240+0.601*$AF240+0.188*($T240-$I240/10)+0.161*($AA240-$R240/10)-0.131*$F240+4.5)</f>
        <v/>
      </c>
      <c r="AU240" s="35" t="str">
        <f aca="false">IF(OR($E240="",$F240=""),"",IF($F240/$E240^(1/3)&gt;=40.75,0.732*($F240/$E240^(1/3))-28.58,IF($F240/$E240^(1/3)&gt;=38.25,0.463*($F240/$E240^(1/3))-17.63,0.1)))</f>
        <v/>
      </c>
      <c r="AV240" s="37" t="str">
        <f aca="false">IF(OR($AS240="",$AT240="",$AU240=""),"",IF(AND($AT240&gt;=$AS240,$AT240&gt;=$AU240),"Mesomorfo dominante",IF(AND($AU240&gt;=$AS240,$AU240&gt;=$AT240),"Ectomorfo dominante","Endomorfo dominante")))</f>
        <v/>
      </c>
    </row>
    <row r="241" customFormat="false" ht="15" hidden="false" customHeight="false" outlineLevel="0" collapsed="false">
      <c r="A241" s="29"/>
      <c r="B241" s="27"/>
      <c r="C241" s="28"/>
      <c r="D241" s="27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3" t="str">
        <f aca="false">IFERROR(DATEDIF(INDEX(Cadastro!$D$8:$D$47,MATCH($B241,Cadastro!$B$8:$B$47,0)),$A241,"Y"),"")</f>
        <v/>
      </c>
      <c r="AH241" s="33" t="str">
        <f aca="false">IF(COUNT($I241,$K241,$J241,$N241)&lt;4,"",$I241+$K241+$J241+$N241)</f>
        <v/>
      </c>
      <c r="AI241" s="33" t="str">
        <f aca="false">IF(COUNT($L241,$M241,$I241,$J241,$P241,$N241,$Q241)&lt;7,"",$L241+$M241+$I241+$J241+$P241+$N241+$Q241)</f>
        <v/>
      </c>
      <c r="AJ241" s="33" t="str">
        <f aca="false">IF(COUNT($I241,$J241,$K241,$O241,$P241,$Q241,$R241,$N241)&lt;8,"",$I241+$J241+$K241+$O241+$P241+$Q241+$R241+$N241)</f>
        <v/>
      </c>
      <c r="AK241" s="34" t="str">
        <f aca="false">IF(OR($AI241="",$AG241=""),"",IF(IFERROR(INDEX(Cadastro!$F$8:$F$47,MATCH($B241,Cadastro!$B$8:$B$47,0)),"")="Feminino",1.097-0.00046971*$AI241+0.00000056*$AI241^2-0.00012828*$AG241,1.112-0.00043499*$AI241+0.00000055*$AI241^2-0.00028826*$AG241))</f>
        <v/>
      </c>
      <c r="AL241" s="30" t="str">
        <f aca="false">IF(OR($AK241="",$AK241=0),"",495/$AK241-450)</f>
        <v/>
      </c>
      <c r="AM241" s="35" t="str">
        <f aca="false">IF(OR($AL241="",$E241=""),"",$E241*$AL241/100)</f>
        <v/>
      </c>
      <c r="AN241" s="30" t="str">
        <f aca="false">IF(OR($AM241="",$E241=""),"",$E241-$AM241)</f>
        <v/>
      </c>
      <c r="AO241" s="35" t="str">
        <f aca="false">IFERROR($E241/($F241/100)^2,"")</f>
        <v/>
      </c>
      <c r="AP241" s="35" t="str">
        <f aca="false">IFERROR($G241/$F241*100,"")</f>
        <v/>
      </c>
      <c r="AQ241" s="36" t="str">
        <f aca="false">IFERROR($W241/$F241,"")</f>
        <v/>
      </c>
      <c r="AR241" s="35" t="str">
        <f aca="false">IF(OR($S241="",$I241=""),"",($S241-PI()*$I241/10)^2/(4*PI())-IF(IFERROR(INDEX(Cadastro!$F$8:$F$47,MATCH($B241,Cadastro!$B$8:$B$47,0)),"")="Feminino",6.5,10))</f>
        <v/>
      </c>
      <c r="AS241" s="35" t="str">
        <f aca="false">IF(OR($I241="",$J241="",$O241="",$F241=""),"",-0.7182+0.1451*(($I241+$J241+$O241)*(170.18/$F241))-0.00068*(($I241+$J241+$O241)*(170.18/$F241))^2+0.0000014*(($I241+$J241+$O241)*(170.18/$F241))^3)</f>
        <v/>
      </c>
      <c r="AT241" s="35" t="str">
        <f aca="false">IF(OR($AE241="",$AF241="",$T241="",$AA241="",$F241=""),"",0.858*$AE241+0.601*$AF241+0.188*($T241-$I241/10)+0.161*($AA241-$R241/10)-0.131*$F241+4.5)</f>
        <v/>
      </c>
      <c r="AU241" s="35" t="str">
        <f aca="false">IF(OR($E241="",$F241=""),"",IF($F241/$E241^(1/3)&gt;=40.75,0.732*($F241/$E241^(1/3))-28.58,IF($F241/$E241^(1/3)&gt;=38.25,0.463*($F241/$E241^(1/3))-17.63,0.1)))</f>
        <v/>
      </c>
      <c r="AV241" s="37" t="str">
        <f aca="false">IF(OR($AS241="",$AT241="",$AU241=""),"",IF(AND($AT241&gt;=$AS241,$AT241&gt;=$AU241),"Mesomorfo dominante",IF(AND($AU241&gt;=$AS241,$AU241&gt;=$AT241),"Ectomorfo dominante","Endomorfo dominante")))</f>
        <v/>
      </c>
    </row>
    <row r="242" customFormat="false" ht="15" hidden="false" customHeight="false" outlineLevel="0" collapsed="false">
      <c r="A242" s="29"/>
      <c r="B242" s="27"/>
      <c r="C242" s="28"/>
      <c r="D242" s="27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3" t="str">
        <f aca="false">IFERROR(DATEDIF(INDEX(Cadastro!$D$8:$D$47,MATCH($B242,Cadastro!$B$8:$B$47,0)),$A242,"Y"),"")</f>
        <v/>
      </c>
      <c r="AH242" s="33" t="str">
        <f aca="false">IF(COUNT($I242,$K242,$J242,$N242)&lt;4,"",$I242+$K242+$J242+$N242)</f>
        <v/>
      </c>
      <c r="AI242" s="33" t="str">
        <f aca="false">IF(COUNT($L242,$M242,$I242,$J242,$P242,$N242,$Q242)&lt;7,"",$L242+$M242+$I242+$J242+$P242+$N242+$Q242)</f>
        <v/>
      </c>
      <c r="AJ242" s="33" t="str">
        <f aca="false">IF(COUNT($I242,$J242,$K242,$O242,$P242,$Q242,$R242,$N242)&lt;8,"",$I242+$J242+$K242+$O242+$P242+$Q242+$R242+$N242)</f>
        <v/>
      </c>
      <c r="AK242" s="34" t="str">
        <f aca="false">IF(OR($AI242="",$AG242=""),"",IF(IFERROR(INDEX(Cadastro!$F$8:$F$47,MATCH($B242,Cadastro!$B$8:$B$47,0)),"")="Feminino",1.097-0.00046971*$AI242+0.00000056*$AI242^2-0.00012828*$AG242,1.112-0.00043499*$AI242+0.00000055*$AI242^2-0.00028826*$AG242))</f>
        <v/>
      </c>
      <c r="AL242" s="30" t="str">
        <f aca="false">IF(OR($AK242="",$AK242=0),"",495/$AK242-450)</f>
        <v/>
      </c>
      <c r="AM242" s="35" t="str">
        <f aca="false">IF(OR($AL242="",$E242=""),"",$E242*$AL242/100)</f>
        <v/>
      </c>
      <c r="AN242" s="30" t="str">
        <f aca="false">IF(OR($AM242="",$E242=""),"",$E242-$AM242)</f>
        <v/>
      </c>
      <c r="AO242" s="35" t="str">
        <f aca="false">IFERROR($E242/($F242/100)^2,"")</f>
        <v/>
      </c>
      <c r="AP242" s="35" t="str">
        <f aca="false">IFERROR($G242/$F242*100,"")</f>
        <v/>
      </c>
      <c r="AQ242" s="36" t="str">
        <f aca="false">IFERROR($W242/$F242,"")</f>
        <v/>
      </c>
      <c r="AR242" s="35" t="str">
        <f aca="false">IF(OR($S242="",$I242=""),"",($S242-PI()*$I242/10)^2/(4*PI())-IF(IFERROR(INDEX(Cadastro!$F$8:$F$47,MATCH($B242,Cadastro!$B$8:$B$47,0)),"")="Feminino",6.5,10))</f>
        <v/>
      </c>
      <c r="AS242" s="35" t="str">
        <f aca="false">IF(OR($I242="",$J242="",$O242="",$F242=""),"",-0.7182+0.1451*(($I242+$J242+$O242)*(170.18/$F242))-0.00068*(($I242+$J242+$O242)*(170.18/$F242))^2+0.0000014*(($I242+$J242+$O242)*(170.18/$F242))^3)</f>
        <v/>
      </c>
      <c r="AT242" s="35" t="str">
        <f aca="false">IF(OR($AE242="",$AF242="",$T242="",$AA242="",$F242=""),"",0.858*$AE242+0.601*$AF242+0.188*($T242-$I242/10)+0.161*($AA242-$R242/10)-0.131*$F242+4.5)</f>
        <v/>
      </c>
      <c r="AU242" s="35" t="str">
        <f aca="false">IF(OR($E242="",$F242=""),"",IF($F242/$E242^(1/3)&gt;=40.75,0.732*($F242/$E242^(1/3))-28.58,IF($F242/$E242^(1/3)&gt;=38.25,0.463*($F242/$E242^(1/3))-17.63,0.1)))</f>
        <v/>
      </c>
      <c r="AV242" s="37" t="str">
        <f aca="false">IF(OR($AS242="",$AT242="",$AU242=""),"",IF(AND($AT242&gt;=$AS242,$AT242&gt;=$AU242),"Mesomorfo dominante",IF(AND($AU242&gt;=$AS242,$AU242&gt;=$AT242),"Ectomorfo dominante","Endomorfo dominante")))</f>
        <v/>
      </c>
    </row>
    <row r="243" customFormat="false" ht="15" hidden="false" customHeight="false" outlineLevel="0" collapsed="false">
      <c r="A243" s="29"/>
      <c r="B243" s="27"/>
      <c r="C243" s="28"/>
      <c r="D243" s="27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3" t="str">
        <f aca="false">IFERROR(DATEDIF(INDEX(Cadastro!$D$8:$D$47,MATCH($B243,Cadastro!$B$8:$B$47,0)),$A243,"Y"),"")</f>
        <v/>
      </c>
      <c r="AH243" s="33" t="str">
        <f aca="false">IF(COUNT($I243,$K243,$J243,$N243)&lt;4,"",$I243+$K243+$J243+$N243)</f>
        <v/>
      </c>
      <c r="AI243" s="33" t="str">
        <f aca="false">IF(COUNT($L243,$M243,$I243,$J243,$P243,$N243,$Q243)&lt;7,"",$L243+$M243+$I243+$J243+$P243+$N243+$Q243)</f>
        <v/>
      </c>
      <c r="AJ243" s="33" t="str">
        <f aca="false">IF(COUNT($I243,$J243,$K243,$O243,$P243,$Q243,$R243,$N243)&lt;8,"",$I243+$J243+$K243+$O243+$P243+$Q243+$R243+$N243)</f>
        <v/>
      </c>
      <c r="AK243" s="34" t="str">
        <f aca="false">IF(OR($AI243="",$AG243=""),"",IF(IFERROR(INDEX(Cadastro!$F$8:$F$47,MATCH($B243,Cadastro!$B$8:$B$47,0)),"")="Feminino",1.097-0.00046971*$AI243+0.00000056*$AI243^2-0.00012828*$AG243,1.112-0.00043499*$AI243+0.00000055*$AI243^2-0.00028826*$AG243))</f>
        <v/>
      </c>
      <c r="AL243" s="30" t="str">
        <f aca="false">IF(OR($AK243="",$AK243=0),"",495/$AK243-450)</f>
        <v/>
      </c>
      <c r="AM243" s="35" t="str">
        <f aca="false">IF(OR($AL243="",$E243=""),"",$E243*$AL243/100)</f>
        <v/>
      </c>
      <c r="AN243" s="30" t="str">
        <f aca="false">IF(OR($AM243="",$E243=""),"",$E243-$AM243)</f>
        <v/>
      </c>
      <c r="AO243" s="35" t="str">
        <f aca="false">IFERROR($E243/($F243/100)^2,"")</f>
        <v/>
      </c>
      <c r="AP243" s="35" t="str">
        <f aca="false">IFERROR($G243/$F243*100,"")</f>
        <v/>
      </c>
      <c r="AQ243" s="36" t="str">
        <f aca="false">IFERROR($W243/$F243,"")</f>
        <v/>
      </c>
      <c r="AR243" s="35" t="str">
        <f aca="false">IF(OR($S243="",$I243=""),"",($S243-PI()*$I243/10)^2/(4*PI())-IF(IFERROR(INDEX(Cadastro!$F$8:$F$47,MATCH($B243,Cadastro!$B$8:$B$47,0)),"")="Feminino",6.5,10))</f>
        <v/>
      </c>
      <c r="AS243" s="35" t="str">
        <f aca="false">IF(OR($I243="",$J243="",$O243="",$F243=""),"",-0.7182+0.1451*(($I243+$J243+$O243)*(170.18/$F243))-0.00068*(($I243+$J243+$O243)*(170.18/$F243))^2+0.0000014*(($I243+$J243+$O243)*(170.18/$F243))^3)</f>
        <v/>
      </c>
      <c r="AT243" s="35" t="str">
        <f aca="false">IF(OR($AE243="",$AF243="",$T243="",$AA243="",$F243=""),"",0.858*$AE243+0.601*$AF243+0.188*($T243-$I243/10)+0.161*($AA243-$R243/10)-0.131*$F243+4.5)</f>
        <v/>
      </c>
      <c r="AU243" s="35" t="str">
        <f aca="false">IF(OR($E243="",$F243=""),"",IF($F243/$E243^(1/3)&gt;=40.75,0.732*($F243/$E243^(1/3))-28.58,IF($F243/$E243^(1/3)&gt;=38.25,0.463*($F243/$E243^(1/3))-17.63,0.1)))</f>
        <v/>
      </c>
      <c r="AV243" s="37" t="str">
        <f aca="false">IF(OR($AS243="",$AT243="",$AU243=""),"",IF(AND($AT243&gt;=$AS243,$AT243&gt;=$AU243),"Mesomorfo dominante",IF(AND($AU243&gt;=$AS243,$AU243&gt;=$AT243),"Ectomorfo dominante","Endomorfo dominante")))</f>
        <v/>
      </c>
    </row>
    <row r="244" customFormat="false" ht="15" hidden="false" customHeight="false" outlineLevel="0" collapsed="false">
      <c r="A244" s="29"/>
      <c r="B244" s="27"/>
      <c r="C244" s="28"/>
      <c r="D244" s="27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3" t="str">
        <f aca="false">IFERROR(DATEDIF(INDEX(Cadastro!$D$8:$D$47,MATCH($B244,Cadastro!$B$8:$B$47,0)),$A244,"Y"),"")</f>
        <v/>
      </c>
      <c r="AH244" s="33" t="str">
        <f aca="false">IF(COUNT($I244,$K244,$J244,$N244)&lt;4,"",$I244+$K244+$J244+$N244)</f>
        <v/>
      </c>
      <c r="AI244" s="33" t="str">
        <f aca="false">IF(COUNT($L244,$M244,$I244,$J244,$P244,$N244,$Q244)&lt;7,"",$L244+$M244+$I244+$J244+$P244+$N244+$Q244)</f>
        <v/>
      </c>
      <c r="AJ244" s="33" t="str">
        <f aca="false">IF(COUNT($I244,$J244,$K244,$O244,$P244,$Q244,$R244,$N244)&lt;8,"",$I244+$J244+$K244+$O244+$P244+$Q244+$R244+$N244)</f>
        <v/>
      </c>
      <c r="AK244" s="34" t="str">
        <f aca="false">IF(OR($AI244="",$AG244=""),"",IF(IFERROR(INDEX(Cadastro!$F$8:$F$47,MATCH($B244,Cadastro!$B$8:$B$47,0)),"")="Feminino",1.097-0.00046971*$AI244+0.00000056*$AI244^2-0.00012828*$AG244,1.112-0.00043499*$AI244+0.00000055*$AI244^2-0.00028826*$AG244))</f>
        <v/>
      </c>
      <c r="AL244" s="30" t="str">
        <f aca="false">IF(OR($AK244="",$AK244=0),"",495/$AK244-450)</f>
        <v/>
      </c>
      <c r="AM244" s="35" t="str">
        <f aca="false">IF(OR($AL244="",$E244=""),"",$E244*$AL244/100)</f>
        <v/>
      </c>
      <c r="AN244" s="30" t="str">
        <f aca="false">IF(OR($AM244="",$E244=""),"",$E244-$AM244)</f>
        <v/>
      </c>
      <c r="AO244" s="35" t="str">
        <f aca="false">IFERROR($E244/($F244/100)^2,"")</f>
        <v/>
      </c>
      <c r="AP244" s="35" t="str">
        <f aca="false">IFERROR($G244/$F244*100,"")</f>
        <v/>
      </c>
      <c r="AQ244" s="36" t="str">
        <f aca="false">IFERROR($W244/$F244,"")</f>
        <v/>
      </c>
      <c r="AR244" s="35" t="str">
        <f aca="false">IF(OR($S244="",$I244=""),"",($S244-PI()*$I244/10)^2/(4*PI())-IF(IFERROR(INDEX(Cadastro!$F$8:$F$47,MATCH($B244,Cadastro!$B$8:$B$47,0)),"")="Feminino",6.5,10))</f>
        <v/>
      </c>
      <c r="AS244" s="35" t="str">
        <f aca="false">IF(OR($I244="",$J244="",$O244="",$F244=""),"",-0.7182+0.1451*(($I244+$J244+$O244)*(170.18/$F244))-0.00068*(($I244+$J244+$O244)*(170.18/$F244))^2+0.0000014*(($I244+$J244+$O244)*(170.18/$F244))^3)</f>
        <v/>
      </c>
      <c r="AT244" s="35" t="str">
        <f aca="false">IF(OR($AE244="",$AF244="",$T244="",$AA244="",$F244=""),"",0.858*$AE244+0.601*$AF244+0.188*($T244-$I244/10)+0.161*($AA244-$R244/10)-0.131*$F244+4.5)</f>
        <v/>
      </c>
      <c r="AU244" s="35" t="str">
        <f aca="false">IF(OR($E244="",$F244=""),"",IF($F244/$E244^(1/3)&gt;=40.75,0.732*($F244/$E244^(1/3))-28.58,IF($F244/$E244^(1/3)&gt;=38.25,0.463*($F244/$E244^(1/3))-17.63,0.1)))</f>
        <v/>
      </c>
      <c r="AV244" s="37" t="str">
        <f aca="false">IF(OR($AS244="",$AT244="",$AU244=""),"",IF(AND($AT244&gt;=$AS244,$AT244&gt;=$AU244),"Mesomorfo dominante",IF(AND($AU244&gt;=$AS244,$AU244&gt;=$AT244),"Ectomorfo dominante","Endomorfo dominante")))</f>
        <v/>
      </c>
    </row>
    <row r="245" customFormat="false" ht="15" hidden="false" customHeight="false" outlineLevel="0" collapsed="false">
      <c r="A245" s="29"/>
      <c r="B245" s="27"/>
      <c r="C245" s="28"/>
      <c r="D245" s="27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3" t="str">
        <f aca="false">IFERROR(DATEDIF(INDEX(Cadastro!$D$8:$D$47,MATCH($B245,Cadastro!$B$8:$B$47,0)),$A245,"Y"),"")</f>
        <v/>
      </c>
      <c r="AH245" s="33" t="str">
        <f aca="false">IF(COUNT($I245,$K245,$J245,$N245)&lt;4,"",$I245+$K245+$J245+$N245)</f>
        <v/>
      </c>
      <c r="AI245" s="33" t="str">
        <f aca="false">IF(COUNT($L245,$M245,$I245,$J245,$P245,$N245,$Q245)&lt;7,"",$L245+$M245+$I245+$J245+$P245+$N245+$Q245)</f>
        <v/>
      </c>
      <c r="AJ245" s="33" t="str">
        <f aca="false">IF(COUNT($I245,$J245,$K245,$O245,$P245,$Q245,$R245,$N245)&lt;8,"",$I245+$J245+$K245+$O245+$P245+$Q245+$R245+$N245)</f>
        <v/>
      </c>
      <c r="AK245" s="34" t="str">
        <f aca="false">IF(OR($AI245="",$AG245=""),"",IF(IFERROR(INDEX(Cadastro!$F$8:$F$47,MATCH($B245,Cadastro!$B$8:$B$47,0)),"")="Feminino",1.097-0.00046971*$AI245+0.00000056*$AI245^2-0.00012828*$AG245,1.112-0.00043499*$AI245+0.00000055*$AI245^2-0.00028826*$AG245))</f>
        <v/>
      </c>
      <c r="AL245" s="30" t="str">
        <f aca="false">IF(OR($AK245="",$AK245=0),"",495/$AK245-450)</f>
        <v/>
      </c>
      <c r="AM245" s="35" t="str">
        <f aca="false">IF(OR($AL245="",$E245=""),"",$E245*$AL245/100)</f>
        <v/>
      </c>
      <c r="AN245" s="30" t="str">
        <f aca="false">IF(OR($AM245="",$E245=""),"",$E245-$AM245)</f>
        <v/>
      </c>
      <c r="AO245" s="35" t="str">
        <f aca="false">IFERROR($E245/($F245/100)^2,"")</f>
        <v/>
      </c>
      <c r="AP245" s="35" t="str">
        <f aca="false">IFERROR($G245/$F245*100,"")</f>
        <v/>
      </c>
      <c r="AQ245" s="36" t="str">
        <f aca="false">IFERROR($W245/$F245,"")</f>
        <v/>
      </c>
      <c r="AR245" s="35" t="str">
        <f aca="false">IF(OR($S245="",$I245=""),"",($S245-PI()*$I245/10)^2/(4*PI())-IF(IFERROR(INDEX(Cadastro!$F$8:$F$47,MATCH($B245,Cadastro!$B$8:$B$47,0)),"")="Feminino",6.5,10))</f>
        <v/>
      </c>
      <c r="AS245" s="35" t="str">
        <f aca="false">IF(OR($I245="",$J245="",$O245="",$F245=""),"",-0.7182+0.1451*(($I245+$J245+$O245)*(170.18/$F245))-0.00068*(($I245+$J245+$O245)*(170.18/$F245))^2+0.0000014*(($I245+$J245+$O245)*(170.18/$F245))^3)</f>
        <v/>
      </c>
      <c r="AT245" s="35" t="str">
        <f aca="false">IF(OR($AE245="",$AF245="",$T245="",$AA245="",$F245=""),"",0.858*$AE245+0.601*$AF245+0.188*($T245-$I245/10)+0.161*($AA245-$R245/10)-0.131*$F245+4.5)</f>
        <v/>
      </c>
      <c r="AU245" s="35" t="str">
        <f aca="false">IF(OR($E245="",$F245=""),"",IF($F245/$E245^(1/3)&gt;=40.75,0.732*($F245/$E245^(1/3))-28.58,IF($F245/$E245^(1/3)&gt;=38.25,0.463*($F245/$E245^(1/3))-17.63,0.1)))</f>
        <v/>
      </c>
      <c r="AV245" s="37" t="str">
        <f aca="false">IF(OR($AS245="",$AT245="",$AU245=""),"",IF(AND($AT245&gt;=$AS245,$AT245&gt;=$AU245),"Mesomorfo dominante",IF(AND($AU245&gt;=$AS245,$AU245&gt;=$AT245),"Ectomorfo dominante","Endomorfo dominante")))</f>
        <v/>
      </c>
    </row>
    <row r="246" customFormat="false" ht="15" hidden="false" customHeight="false" outlineLevel="0" collapsed="false">
      <c r="A246" s="29"/>
      <c r="B246" s="27"/>
      <c r="C246" s="28"/>
      <c r="D246" s="27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3" t="str">
        <f aca="false">IFERROR(DATEDIF(INDEX(Cadastro!$D$8:$D$47,MATCH($B246,Cadastro!$B$8:$B$47,0)),$A246,"Y"),"")</f>
        <v/>
      </c>
      <c r="AH246" s="33" t="str">
        <f aca="false">IF(COUNT($I246,$K246,$J246,$N246)&lt;4,"",$I246+$K246+$J246+$N246)</f>
        <v/>
      </c>
      <c r="AI246" s="33" t="str">
        <f aca="false">IF(COUNT($L246,$M246,$I246,$J246,$P246,$N246,$Q246)&lt;7,"",$L246+$M246+$I246+$J246+$P246+$N246+$Q246)</f>
        <v/>
      </c>
      <c r="AJ246" s="33" t="str">
        <f aca="false">IF(COUNT($I246,$J246,$K246,$O246,$P246,$Q246,$R246,$N246)&lt;8,"",$I246+$J246+$K246+$O246+$P246+$Q246+$R246+$N246)</f>
        <v/>
      </c>
      <c r="AK246" s="34" t="str">
        <f aca="false">IF(OR($AI246="",$AG246=""),"",IF(IFERROR(INDEX(Cadastro!$F$8:$F$47,MATCH($B246,Cadastro!$B$8:$B$47,0)),"")="Feminino",1.097-0.00046971*$AI246+0.00000056*$AI246^2-0.00012828*$AG246,1.112-0.00043499*$AI246+0.00000055*$AI246^2-0.00028826*$AG246))</f>
        <v/>
      </c>
      <c r="AL246" s="30" t="str">
        <f aca="false">IF(OR($AK246="",$AK246=0),"",495/$AK246-450)</f>
        <v/>
      </c>
      <c r="AM246" s="35" t="str">
        <f aca="false">IF(OR($AL246="",$E246=""),"",$E246*$AL246/100)</f>
        <v/>
      </c>
      <c r="AN246" s="30" t="str">
        <f aca="false">IF(OR($AM246="",$E246=""),"",$E246-$AM246)</f>
        <v/>
      </c>
      <c r="AO246" s="35" t="str">
        <f aca="false">IFERROR($E246/($F246/100)^2,"")</f>
        <v/>
      </c>
      <c r="AP246" s="35" t="str">
        <f aca="false">IFERROR($G246/$F246*100,"")</f>
        <v/>
      </c>
      <c r="AQ246" s="36" t="str">
        <f aca="false">IFERROR($W246/$F246,"")</f>
        <v/>
      </c>
      <c r="AR246" s="35" t="str">
        <f aca="false">IF(OR($S246="",$I246=""),"",($S246-PI()*$I246/10)^2/(4*PI())-IF(IFERROR(INDEX(Cadastro!$F$8:$F$47,MATCH($B246,Cadastro!$B$8:$B$47,0)),"")="Feminino",6.5,10))</f>
        <v/>
      </c>
      <c r="AS246" s="35" t="str">
        <f aca="false">IF(OR($I246="",$J246="",$O246="",$F246=""),"",-0.7182+0.1451*(($I246+$J246+$O246)*(170.18/$F246))-0.00068*(($I246+$J246+$O246)*(170.18/$F246))^2+0.0000014*(($I246+$J246+$O246)*(170.18/$F246))^3)</f>
        <v/>
      </c>
      <c r="AT246" s="35" t="str">
        <f aca="false">IF(OR($AE246="",$AF246="",$T246="",$AA246="",$F246=""),"",0.858*$AE246+0.601*$AF246+0.188*($T246-$I246/10)+0.161*($AA246-$R246/10)-0.131*$F246+4.5)</f>
        <v/>
      </c>
      <c r="AU246" s="35" t="str">
        <f aca="false">IF(OR($E246="",$F246=""),"",IF($F246/$E246^(1/3)&gt;=40.75,0.732*($F246/$E246^(1/3))-28.58,IF($F246/$E246^(1/3)&gt;=38.25,0.463*($F246/$E246^(1/3))-17.63,0.1)))</f>
        <v/>
      </c>
      <c r="AV246" s="37" t="str">
        <f aca="false">IF(OR($AS246="",$AT246="",$AU246=""),"",IF(AND($AT246&gt;=$AS246,$AT246&gt;=$AU246),"Mesomorfo dominante",IF(AND($AU246&gt;=$AS246,$AU246&gt;=$AT246),"Ectomorfo dominante","Endomorfo dominante")))</f>
        <v/>
      </c>
    </row>
    <row r="247" customFormat="false" ht="15" hidden="false" customHeight="false" outlineLevel="0" collapsed="false">
      <c r="A247" s="29"/>
      <c r="B247" s="27"/>
      <c r="C247" s="28"/>
      <c r="D247" s="27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3" t="str">
        <f aca="false">IFERROR(DATEDIF(INDEX(Cadastro!$D$8:$D$47,MATCH($B247,Cadastro!$B$8:$B$47,0)),$A247,"Y"),"")</f>
        <v/>
      </c>
      <c r="AH247" s="33" t="str">
        <f aca="false">IF(COUNT($I247,$K247,$J247,$N247)&lt;4,"",$I247+$K247+$J247+$N247)</f>
        <v/>
      </c>
      <c r="AI247" s="33" t="str">
        <f aca="false">IF(COUNT($L247,$M247,$I247,$J247,$P247,$N247,$Q247)&lt;7,"",$L247+$M247+$I247+$J247+$P247+$N247+$Q247)</f>
        <v/>
      </c>
      <c r="AJ247" s="33" t="str">
        <f aca="false">IF(COUNT($I247,$J247,$K247,$O247,$P247,$Q247,$R247,$N247)&lt;8,"",$I247+$J247+$K247+$O247+$P247+$Q247+$R247+$N247)</f>
        <v/>
      </c>
      <c r="AK247" s="34" t="str">
        <f aca="false">IF(OR($AI247="",$AG247=""),"",IF(IFERROR(INDEX(Cadastro!$F$8:$F$47,MATCH($B247,Cadastro!$B$8:$B$47,0)),"")="Feminino",1.097-0.00046971*$AI247+0.00000056*$AI247^2-0.00012828*$AG247,1.112-0.00043499*$AI247+0.00000055*$AI247^2-0.00028826*$AG247))</f>
        <v/>
      </c>
      <c r="AL247" s="30" t="str">
        <f aca="false">IF(OR($AK247="",$AK247=0),"",495/$AK247-450)</f>
        <v/>
      </c>
      <c r="AM247" s="35" t="str">
        <f aca="false">IF(OR($AL247="",$E247=""),"",$E247*$AL247/100)</f>
        <v/>
      </c>
      <c r="AN247" s="30" t="str">
        <f aca="false">IF(OR($AM247="",$E247=""),"",$E247-$AM247)</f>
        <v/>
      </c>
      <c r="AO247" s="35" t="str">
        <f aca="false">IFERROR($E247/($F247/100)^2,"")</f>
        <v/>
      </c>
      <c r="AP247" s="35" t="str">
        <f aca="false">IFERROR($G247/$F247*100,"")</f>
        <v/>
      </c>
      <c r="AQ247" s="36" t="str">
        <f aca="false">IFERROR($W247/$F247,"")</f>
        <v/>
      </c>
      <c r="AR247" s="35" t="str">
        <f aca="false">IF(OR($S247="",$I247=""),"",($S247-PI()*$I247/10)^2/(4*PI())-IF(IFERROR(INDEX(Cadastro!$F$8:$F$47,MATCH($B247,Cadastro!$B$8:$B$47,0)),"")="Feminino",6.5,10))</f>
        <v/>
      </c>
      <c r="AS247" s="35" t="str">
        <f aca="false">IF(OR($I247="",$J247="",$O247="",$F247=""),"",-0.7182+0.1451*(($I247+$J247+$O247)*(170.18/$F247))-0.00068*(($I247+$J247+$O247)*(170.18/$F247))^2+0.0000014*(($I247+$J247+$O247)*(170.18/$F247))^3)</f>
        <v/>
      </c>
      <c r="AT247" s="35" t="str">
        <f aca="false">IF(OR($AE247="",$AF247="",$T247="",$AA247="",$F247=""),"",0.858*$AE247+0.601*$AF247+0.188*($T247-$I247/10)+0.161*($AA247-$R247/10)-0.131*$F247+4.5)</f>
        <v/>
      </c>
      <c r="AU247" s="35" t="str">
        <f aca="false">IF(OR($E247="",$F247=""),"",IF($F247/$E247^(1/3)&gt;=40.75,0.732*($F247/$E247^(1/3))-28.58,IF($F247/$E247^(1/3)&gt;=38.25,0.463*($F247/$E247^(1/3))-17.63,0.1)))</f>
        <v/>
      </c>
      <c r="AV247" s="37" t="str">
        <f aca="false">IF(OR($AS247="",$AT247="",$AU247=""),"",IF(AND($AT247&gt;=$AS247,$AT247&gt;=$AU247),"Mesomorfo dominante",IF(AND($AU247&gt;=$AS247,$AU247&gt;=$AT247),"Ectomorfo dominante","Endomorfo dominante")))</f>
        <v/>
      </c>
    </row>
    <row r="248" customFormat="false" ht="15" hidden="false" customHeight="false" outlineLevel="0" collapsed="false">
      <c r="A248" s="29"/>
      <c r="B248" s="27"/>
      <c r="C248" s="28"/>
      <c r="D248" s="27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3" t="str">
        <f aca="false">IFERROR(DATEDIF(INDEX(Cadastro!$D$8:$D$47,MATCH($B248,Cadastro!$B$8:$B$47,0)),$A248,"Y"),"")</f>
        <v/>
      </c>
      <c r="AH248" s="33" t="str">
        <f aca="false">IF(COUNT($I248,$K248,$J248,$N248)&lt;4,"",$I248+$K248+$J248+$N248)</f>
        <v/>
      </c>
      <c r="AI248" s="33" t="str">
        <f aca="false">IF(COUNT($L248,$M248,$I248,$J248,$P248,$N248,$Q248)&lt;7,"",$L248+$M248+$I248+$J248+$P248+$N248+$Q248)</f>
        <v/>
      </c>
      <c r="AJ248" s="33" t="str">
        <f aca="false">IF(COUNT($I248,$J248,$K248,$O248,$P248,$Q248,$R248,$N248)&lt;8,"",$I248+$J248+$K248+$O248+$P248+$Q248+$R248+$N248)</f>
        <v/>
      </c>
      <c r="AK248" s="34" t="str">
        <f aca="false">IF(OR($AI248="",$AG248=""),"",IF(IFERROR(INDEX(Cadastro!$F$8:$F$47,MATCH($B248,Cadastro!$B$8:$B$47,0)),"")="Feminino",1.097-0.00046971*$AI248+0.00000056*$AI248^2-0.00012828*$AG248,1.112-0.00043499*$AI248+0.00000055*$AI248^2-0.00028826*$AG248))</f>
        <v/>
      </c>
      <c r="AL248" s="30" t="str">
        <f aca="false">IF(OR($AK248="",$AK248=0),"",495/$AK248-450)</f>
        <v/>
      </c>
      <c r="AM248" s="35" t="str">
        <f aca="false">IF(OR($AL248="",$E248=""),"",$E248*$AL248/100)</f>
        <v/>
      </c>
      <c r="AN248" s="30" t="str">
        <f aca="false">IF(OR($AM248="",$E248=""),"",$E248-$AM248)</f>
        <v/>
      </c>
      <c r="AO248" s="35" t="str">
        <f aca="false">IFERROR($E248/($F248/100)^2,"")</f>
        <v/>
      </c>
      <c r="AP248" s="35" t="str">
        <f aca="false">IFERROR($G248/$F248*100,"")</f>
        <v/>
      </c>
      <c r="AQ248" s="36" t="str">
        <f aca="false">IFERROR($W248/$F248,"")</f>
        <v/>
      </c>
      <c r="AR248" s="35" t="str">
        <f aca="false">IF(OR($S248="",$I248=""),"",($S248-PI()*$I248/10)^2/(4*PI())-IF(IFERROR(INDEX(Cadastro!$F$8:$F$47,MATCH($B248,Cadastro!$B$8:$B$47,0)),"")="Feminino",6.5,10))</f>
        <v/>
      </c>
      <c r="AS248" s="35" t="str">
        <f aca="false">IF(OR($I248="",$J248="",$O248="",$F248=""),"",-0.7182+0.1451*(($I248+$J248+$O248)*(170.18/$F248))-0.00068*(($I248+$J248+$O248)*(170.18/$F248))^2+0.0000014*(($I248+$J248+$O248)*(170.18/$F248))^3)</f>
        <v/>
      </c>
      <c r="AT248" s="35" t="str">
        <f aca="false">IF(OR($AE248="",$AF248="",$T248="",$AA248="",$F248=""),"",0.858*$AE248+0.601*$AF248+0.188*($T248-$I248/10)+0.161*($AA248-$R248/10)-0.131*$F248+4.5)</f>
        <v/>
      </c>
      <c r="AU248" s="35" t="str">
        <f aca="false">IF(OR($E248="",$F248=""),"",IF($F248/$E248^(1/3)&gt;=40.75,0.732*($F248/$E248^(1/3))-28.58,IF($F248/$E248^(1/3)&gt;=38.25,0.463*($F248/$E248^(1/3))-17.63,0.1)))</f>
        <v/>
      </c>
      <c r="AV248" s="37" t="str">
        <f aca="false">IF(OR($AS248="",$AT248="",$AU248=""),"",IF(AND($AT248&gt;=$AS248,$AT248&gt;=$AU248),"Mesomorfo dominante",IF(AND($AU248&gt;=$AS248,$AU248&gt;=$AT248),"Ectomorfo dominante","Endomorfo dominante")))</f>
        <v/>
      </c>
    </row>
    <row r="249" customFormat="false" ht="15" hidden="false" customHeight="false" outlineLevel="0" collapsed="false">
      <c r="A249" s="29"/>
      <c r="B249" s="27"/>
      <c r="C249" s="28"/>
      <c r="D249" s="27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3" t="str">
        <f aca="false">IFERROR(DATEDIF(INDEX(Cadastro!$D$8:$D$47,MATCH($B249,Cadastro!$B$8:$B$47,0)),$A249,"Y"),"")</f>
        <v/>
      </c>
      <c r="AH249" s="33" t="str">
        <f aca="false">IF(COUNT($I249,$K249,$J249,$N249)&lt;4,"",$I249+$K249+$J249+$N249)</f>
        <v/>
      </c>
      <c r="AI249" s="33" t="str">
        <f aca="false">IF(COUNT($L249,$M249,$I249,$J249,$P249,$N249,$Q249)&lt;7,"",$L249+$M249+$I249+$J249+$P249+$N249+$Q249)</f>
        <v/>
      </c>
      <c r="AJ249" s="33" t="str">
        <f aca="false">IF(COUNT($I249,$J249,$K249,$O249,$P249,$Q249,$R249,$N249)&lt;8,"",$I249+$J249+$K249+$O249+$P249+$Q249+$R249+$N249)</f>
        <v/>
      </c>
      <c r="AK249" s="34" t="str">
        <f aca="false">IF(OR($AI249="",$AG249=""),"",IF(IFERROR(INDEX(Cadastro!$F$8:$F$47,MATCH($B249,Cadastro!$B$8:$B$47,0)),"")="Feminino",1.097-0.00046971*$AI249+0.00000056*$AI249^2-0.00012828*$AG249,1.112-0.00043499*$AI249+0.00000055*$AI249^2-0.00028826*$AG249))</f>
        <v/>
      </c>
      <c r="AL249" s="30" t="str">
        <f aca="false">IF(OR($AK249="",$AK249=0),"",495/$AK249-450)</f>
        <v/>
      </c>
      <c r="AM249" s="35" t="str">
        <f aca="false">IF(OR($AL249="",$E249=""),"",$E249*$AL249/100)</f>
        <v/>
      </c>
      <c r="AN249" s="30" t="str">
        <f aca="false">IF(OR($AM249="",$E249=""),"",$E249-$AM249)</f>
        <v/>
      </c>
      <c r="AO249" s="35" t="str">
        <f aca="false">IFERROR($E249/($F249/100)^2,"")</f>
        <v/>
      </c>
      <c r="AP249" s="35" t="str">
        <f aca="false">IFERROR($G249/$F249*100,"")</f>
        <v/>
      </c>
      <c r="AQ249" s="36" t="str">
        <f aca="false">IFERROR($W249/$F249,"")</f>
        <v/>
      </c>
      <c r="AR249" s="35" t="str">
        <f aca="false">IF(OR($S249="",$I249=""),"",($S249-PI()*$I249/10)^2/(4*PI())-IF(IFERROR(INDEX(Cadastro!$F$8:$F$47,MATCH($B249,Cadastro!$B$8:$B$47,0)),"")="Feminino",6.5,10))</f>
        <v/>
      </c>
      <c r="AS249" s="35" t="str">
        <f aca="false">IF(OR($I249="",$J249="",$O249="",$F249=""),"",-0.7182+0.1451*(($I249+$J249+$O249)*(170.18/$F249))-0.00068*(($I249+$J249+$O249)*(170.18/$F249))^2+0.0000014*(($I249+$J249+$O249)*(170.18/$F249))^3)</f>
        <v/>
      </c>
      <c r="AT249" s="35" t="str">
        <f aca="false">IF(OR($AE249="",$AF249="",$T249="",$AA249="",$F249=""),"",0.858*$AE249+0.601*$AF249+0.188*($T249-$I249/10)+0.161*($AA249-$R249/10)-0.131*$F249+4.5)</f>
        <v/>
      </c>
      <c r="AU249" s="35" t="str">
        <f aca="false">IF(OR($E249="",$F249=""),"",IF($F249/$E249^(1/3)&gt;=40.75,0.732*($F249/$E249^(1/3))-28.58,IF($F249/$E249^(1/3)&gt;=38.25,0.463*($F249/$E249^(1/3))-17.63,0.1)))</f>
        <v/>
      </c>
      <c r="AV249" s="37" t="str">
        <f aca="false">IF(OR($AS249="",$AT249="",$AU249=""),"",IF(AND($AT249&gt;=$AS249,$AT249&gt;=$AU249),"Mesomorfo dominante",IF(AND($AU249&gt;=$AS249,$AU249&gt;=$AT249),"Ectomorfo dominante","Endomorfo dominante")))</f>
        <v/>
      </c>
    </row>
    <row r="250" customFormat="false" ht="15" hidden="false" customHeight="false" outlineLevel="0" collapsed="false">
      <c r="A250" s="29"/>
      <c r="B250" s="27"/>
      <c r="C250" s="28"/>
      <c r="D250" s="27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3" t="str">
        <f aca="false">IFERROR(DATEDIF(INDEX(Cadastro!$D$8:$D$47,MATCH($B250,Cadastro!$B$8:$B$47,0)),$A250,"Y"),"")</f>
        <v/>
      </c>
      <c r="AH250" s="33" t="str">
        <f aca="false">IF(COUNT($I250,$K250,$J250,$N250)&lt;4,"",$I250+$K250+$J250+$N250)</f>
        <v/>
      </c>
      <c r="AI250" s="33" t="str">
        <f aca="false">IF(COUNT($L250,$M250,$I250,$J250,$P250,$N250,$Q250)&lt;7,"",$L250+$M250+$I250+$J250+$P250+$N250+$Q250)</f>
        <v/>
      </c>
      <c r="AJ250" s="33" t="str">
        <f aca="false">IF(COUNT($I250,$J250,$K250,$O250,$P250,$Q250,$R250,$N250)&lt;8,"",$I250+$J250+$K250+$O250+$P250+$Q250+$R250+$N250)</f>
        <v/>
      </c>
      <c r="AK250" s="34" t="str">
        <f aca="false">IF(OR($AI250="",$AG250=""),"",IF(IFERROR(INDEX(Cadastro!$F$8:$F$47,MATCH($B250,Cadastro!$B$8:$B$47,0)),"")="Feminino",1.097-0.00046971*$AI250+0.00000056*$AI250^2-0.00012828*$AG250,1.112-0.00043499*$AI250+0.00000055*$AI250^2-0.00028826*$AG250))</f>
        <v/>
      </c>
      <c r="AL250" s="30" t="str">
        <f aca="false">IF(OR($AK250="",$AK250=0),"",495/$AK250-450)</f>
        <v/>
      </c>
      <c r="AM250" s="35" t="str">
        <f aca="false">IF(OR($AL250="",$E250=""),"",$E250*$AL250/100)</f>
        <v/>
      </c>
      <c r="AN250" s="30" t="str">
        <f aca="false">IF(OR($AM250="",$E250=""),"",$E250-$AM250)</f>
        <v/>
      </c>
      <c r="AO250" s="35" t="str">
        <f aca="false">IFERROR($E250/($F250/100)^2,"")</f>
        <v/>
      </c>
      <c r="AP250" s="35" t="str">
        <f aca="false">IFERROR($G250/$F250*100,"")</f>
        <v/>
      </c>
      <c r="AQ250" s="36" t="str">
        <f aca="false">IFERROR($W250/$F250,"")</f>
        <v/>
      </c>
      <c r="AR250" s="35" t="str">
        <f aca="false">IF(OR($S250="",$I250=""),"",($S250-PI()*$I250/10)^2/(4*PI())-IF(IFERROR(INDEX(Cadastro!$F$8:$F$47,MATCH($B250,Cadastro!$B$8:$B$47,0)),"")="Feminino",6.5,10))</f>
        <v/>
      </c>
      <c r="AS250" s="35" t="str">
        <f aca="false">IF(OR($I250="",$J250="",$O250="",$F250=""),"",-0.7182+0.1451*(($I250+$J250+$O250)*(170.18/$F250))-0.00068*(($I250+$J250+$O250)*(170.18/$F250))^2+0.0000014*(($I250+$J250+$O250)*(170.18/$F250))^3)</f>
        <v/>
      </c>
      <c r="AT250" s="35" t="str">
        <f aca="false">IF(OR($AE250="",$AF250="",$T250="",$AA250="",$F250=""),"",0.858*$AE250+0.601*$AF250+0.188*($T250-$I250/10)+0.161*($AA250-$R250/10)-0.131*$F250+4.5)</f>
        <v/>
      </c>
      <c r="AU250" s="35" t="str">
        <f aca="false">IF(OR($E250="",$F250=""),"",IF($F250/$E250^(1/3)&gt;=40.75,0.732*($F250/$E250^(1/3))-28.58,IF($F250/$E250^(1/3)&gt;=38.25,0.463*($F250/$E250^(1/3))-17.63,0.1)))</f>
        <v/>
      </c>
      <c r="AV250" s="37" t="str">
        <f aca="false">IF(OR($AS250="",$AT250="",$AU250=""),"",IF(AND($AT250&gt;=$AS250,$AT250&gt;=$AU250),"Mesomorfo dominante",IF(AND($AU250&gt;=$AS250,$AU250&gt;=$AT250),"Ectomorfo dominante","Endomorfo dominante")))</f>
        <v/>
      </c>
    </row>
    <row r="251" customFormat="false" ht="15" hidden="false" customHeight="false" outlineLevel="0" collapsed="false">
      <c r="A251" s="29"/>
      <c r="B251" s="27"/>
      <c r="C251" s="28"/>
      <c r="D251" s="27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3" t="str">
        <f aca="false">IFERROR(DATEDIF(INDEX(Cadastro!$D$8:$D$47,MATCH($B251,Cadastro!$B$8:$B$47,0)),$A251,"Y"),"")</f>
        <v/>
      </c>
      <c r="AH251" s="33" t="str">
        <f aca="false">IF(COUNT($I251,$K251,$J251,$N251)&lt;4,"",$I251+$K251+$J251+$N251)</f>
        <v/>
      </c>
      <c r="AI251" s="33" t="str">
        <f aca="false">IF(COUNT($L251,$M251,$I251,$J251,$P251,$N251,$Q251)&lt;7,"",$L251+$M251+$I251+$J251+$P251+$N251+$Q251)</f>
        <v/>
      </c>
      <c r="AJ251" s="33" t="str">
        <f aca="false">IF(COUNT($I251,$J251,$K251,$O251,$P251,$Q251,$R251,$N251)&lt;8,"",$I251+$J251+$K251+$O251+$P251+$Q251+$R251+$N251)</f>
        <v/>
      </c>
      <c r="AK251" s="34" t="str">
        <f aca="false">IF(OR($AI251="",$AG251=""),"",IF(IFERROR(INDEX(Cadastro!$F$8:$F$47,MATCH($B251,Cadastro!$B$8:$B$47,0)),"")="Feminino",1.097-0.00046971*$AI251+0.00000056*$AI251^2-0.00012828*$AG251,1.112-0.00043499*$AI251+0.00000055*$AI251^2-0.00028826*$AG251))</f>
        <v/>
      </c>
      <c r="AL251" s="30" t="str">
        <f aca="false">IF(OR($AK251="",$AK251=0),"",495/$AK251-450)</f>
        <v/>
      </c>
      <c r="AM251" s="35" t="str">
        <f aca="false">IF(OR($AL251="",$E251=""),"",$E251*$AL251/100)</f>
        <v/>
      </c>
      <c r="AN251" s="30" t="str">
        <f aca="false">IF(OR($AM251="",$E251=""),"",$E251-$AM251)</f>
        <v/>
      </c>
      <c r="AO251" s="35" t="str">
        <f aca="false">IFERROR($E251/($F251/100)^2,"")</f>
        <v/>
      </c>
      <c r="AP251" s="35" t="str">
        <f aca="false">IFERROR($G251/$F251*100,"")</f>
        <v/>
      </c>
      <c r="AQ251" s="36" t="str">
        <f aca="false">IFERROR($W251/$F251,"")</f>
        <v/>
      </c>
      <c r="AR251" s="35" t="str">
        <f aca="false">IF(OR($S251="",$I251=""),"",($S251-PI()*$I251/10)^2/(4*PI())-IF(IFERROR(INDEX(Cadastro!$F$8:$F$47,MATCH($B251,Cadastro!$B$8:$B$47,0)),"")="Feminino",6.5,10))</f>
        <v/>
      </c>
      <c r="AS251" s="35" t="str">
        <f aca="false">IF(OR($I251="",$J251="",$O251="",$F251=""),"",-0.7182+0.1451*(($I251+$J251+$O251)*(170.18/$F251))-0.00068*(($I251+$J251+$O251)*(170.18/$F251))^2+0.0000014*(($I251+$J251+$O251)*(170.18/$F251))^3)</f>
        <v/>
      </c>
      <c r="AT251" s="35" t="str">
        <f aca="false">IF(OR($AE251="",$AF251="",$T251="",$AA251="",$F251=""),"",0.858*$AE251+0.601*$AF251+0.188*($T251-$I251/10)+0.161*($AA251-$R251/10)-0.131*$F251+4.5)</f>
        <v/>
      </c>
      <c r="AU251" s="35" t="str">
        <f aca="false">IF(OR($E251="",$F251=""),"",IF($F251/$E251^(1/3)&gt;=40.75,0.732*($F251/$E251^(1/3))-28.58,IF($F251/$E251^(1/3)&gt;=38.25,0.463*($F251/$E251^(1/3))-17.63,0.1)))</f>
        <v/>
      </c>
      <c r="AV251" s="37" t="str">
        <f aca="false">IF(OR($AS251="",$AT251="",$AU251=""),"",IF(AND($AT251&gt;=$AS251,$AT251&gt;=$AU251),"Mesomorfo dominante",IF(AND($AU251&gt;=$AS251,$AU251&gt;=$AT251),"Ectomorfo dominante","Endomorfo dominante")))</f>
        <v/>
      </c>
    </row>
    <row r="252" customFormat="false" ht="15" hidden="false" customHeight="false" outlineLevel="0" collapsed="false">
      <c r="A252" s="29"/>
      <c r="B252" s="27"/>
      <c r="C252" s="28"/>
      <c r="D252" s="27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3" t="str">
        <f aca="false">IFERROR(DATEDIF(INDEX(Cadastro!$D$8:$D$47,MATCH($B252,Cadastro!$B$8:$B$47,0)),$A252,"Y"),"")</f>
        <v/>
      </c>
      <c r="AH252" s="33" t="str">
        <f aca="false">IF(COUNT($I252,$K252,$J252,$N252)&lt;4,"",$I252+$K252+$J252+$N252)</f>
        <v/>
      </c>
      <c r="AI252" s="33" t="str">
        <f aca="false">IF(COUNT($L252,$M252,$I252,$J252,$P252,$N252,$Q252)&lt;7,"",$L252+$M252+$I252+$J252+$P252+$N252+$Q252)</f>
        <v/>
      </c>
      <c r="AJ252" s="33" t="str">
        <f aca="false">IF(COUNT($I252,$J252,$K252,$O252,$P252,$Q252,$R252,$N252)&lt;8,"",$I252+$J252+$K252+$O252+$P252+$Q252+$R252+$N252)</f>
        <v/>
      </c>
      <c r="AK252" s="34" t="str">
        <f aca="false">IF(OR($AI252="",$AG252=""),"",IF(IFERROR(INDEX(Cadastro!$F$8:$F$47,MATCH($B252,Cadastro!$B$8:$B$47,0)),"")="Feminino",1.097-0.00046971*$AI252+0.00000056*$AI252^2-0.00012828*$AG252,1.112-0.00043499*$AI252+0.00000055*$AI252^2-0.00028826*$AG252))</f>
        <v/>
      </c>
      <c r="AL252" s="30" t="str">
        <f aca="false">IF(OR($AK252="",$AK252=0),"",495/$AK252-450)</f>
        <v/>
      </c>
      <c r="AM252" s="35" t="str">
        <f aca="false">IF(OR($AL252="",$E252=""),"",$E252*$AL252/100)</f>
        <v/>
      </c>
      <c r="AN252" s="30" t="str">
        <f aca="false">IF(OR($AM252="",$E252=""),"",$E252-$AM252)</f>
        <v/>
      </c>
      <c r="AO252" s="35" t="str">
        <f aca="false">IFERROR($E252/($F252/100)^2,"")</f>
        <v/>
      </c>
      <c r="AP252" s="35" t="str">
        <f aca="false">IFERROR($G252/$F252*100,"")</f>
        <v/>
      </c>
      <c r="AQ252" s="36" t="str">
        <f aca="false">IFERROR($W252/$F252,"")</f>
        <v/>
      </c>
      <c r="AR252" s="35" t="str">
        <f aca="false">IF(OR($S252="",$I252=""),"",($S252-PI()*$I252/10)^2/(4*PI())-IF(IFERROR(INDEX(Cadastro!$F$8:$F$47,MATCH($B252,Cadastro!$B$8:$B$47,0)),"")="Feminino",6.5,10))</f>
        <v/>
      </c>
      <c r="AS252" s="35" t="str">
        <f aca="false">IF(OR($I252="",$J252="",$O252="",$F252=""),"",-0.7182+0.1451*(($I252+$J252+$O252)*(170.18/$F252))-0.00068*(($I252+$J252+$O252)*(170.18/$F252))^2+0.0000014*(($I252+$J252+$O252)*(170.18/$F252))^3)</f>
        <v/>
      </c>
      <c r="AT252" s="35" t="str">
        <f aca="false">IF(OR($AE252="",$AF252="",$T252="",$AA252="",$F252=""),"",0.858*$AE252+0.601*$AF252+0.188*($T252-$I252/10)+0.161*($AA252-$R252/10)-0.131*$F252+4.5)</f>
        <v/>
      </c>
      <c r="AU252" s="35" t="str">
        <f aca="false">IF(OR($E252="",$F252=""),"",IF($F252/$E252^(1/3)&gt;=40.75,0.732*($F252/$E252^(1/3))-28.58,IF($F252/$E252^(1/3)&gt;=38.25,0.463*($F252/$E252^(1/3))-17.63,0.1)))</f>
        <v/>
      </c>
      <c r="AV252" s="37" t="str">
        <f aca="false">IF(OR($AS252="",$AT252="",$AU252=""),"",IF(AND($AT252&gt;=$AS252,$AT252&gt;=$AU252),"Mesomorfo dominante",IF(AND($AU252&gt;=$AS252,$AU252&gt;=$AT252),"Ectomorfo dominante","Endomorfo dominante")))</f>
        <v/>
      </c>
    </row>
    <row r="253" customFormat="false" ht="15" hidden="false" customHeight="false" outlineLevel="0" collapsed="false">
      <c r="A253" s="29"/>
      <c r="B253" s="27"/>
      <c r="C253" s="28"/>
      <c r="D253" s="27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3" t="str">
        <f aca="false">IFERROR(DATEDIF(INDEX(Cadastro!$D$8:$D$47,MATCH($B253,Cadastro!$B$8:$B$47,0)),$A253,"Y"),"")</f>
        <v/>
      </c>
      <c r="AH253" s="33" t="str">
        <f aca="false">IF(COUNT($I253,$K253,$J253,$N253)&lt;4,"",$I253+$K253+$J253+$N253)</f>
        <v/>
      </c>
      <c r="AI253" s="33" t="str">
        <f aca="false">IF(COUNT($L253,$M253,$I253,$J253,$P253,$N253,$Q253)&lt;7,"",$L253+$M253+$I253+$J253+$P253+$N253+$Q253)</f>
        <v/>
      </c>
      <c r="AJ253" s="33" t="str">
        <f aca="false">IF(COUNT($I253,$J253,$K253,$O253,$P253,$Q253,$R253,$N253)&lt;8,"",$I253+$J253+$K253+$O253+$P253+$Q253+$R253+$N253)</f>
        <v/>
      </c>
      <c r="AK253" s="34" t="str">
        <f aca="false">IF(OR($AI253="",$AG253=""),"",IF(IFERROR(INDEX(Cadastro!$F$8:$F$47,MATCH($B253,Cadastro!$B$8:$B$47,0)),"")="Feminino",1.097-0.00046971*$AI253+0.00000056*$AI253^2-0.00012828*$AG253,1.112-0.00043499*$AI253+0.00000055*$AI253^2-0.00028826*$AG253))</f>
        <v/>
      </c>
      <c r="AL253" s="30" t="str">
        <f aca="false">IF(OR($AK253="",$AK253=0),"",495/$AK253-450)</f>
        <v/>
      </c>
      <c r="AM253" s="35" t="str">
        <f aca="false">IF(OR($AL253="",$E253=""),"",$E253*$AL253/100)</f>
        <v/>
      </c>
      <c r="AN253" s="30" t="str">
        <f aca="false">IF(OR($AM253="",$E253=""),"",$E253-$AM253)</f>
        <v/>
      </c>
      <c r="AO253" s="35" t="str">
        <f aca="false">IFERROR($E253/($F253/100)^2,"")</f>
        <v/>
      </c>
      <c r="AP253" s="35" t="str">
        <f aca="false">IFERROR($G253/$F253*100,"")</f>
        <v/>
      </c>
      <c r="AQ253" s="36" t="str">
        <f aca="false">IFERROR($W253/$F253,"")</f>
        <v/>
      </c>
      <c r="AR253" s="35" t="str">
        <f aca="false">IF(OR($S253="",$I253=""),"",($S253-PI()*$I253/10)^2/(4*PI())-IF(IFERROR(INDEX(Cadastro!$F$8:$F$47,MATCH($B253,Cadastro!$B$8:$B$47,0)),"")="Feminino",6.5,10))</f>
        <v/>
      </c>
      <c r="AS253" s="35" t="str">
        <f aca="false">IF(OR($I253="",$J253="",$O253="",$F253=""),"",-0.7182+0.1451*(($I253+$J253+$O253)*(170.18/$F253))-0.00068*(($I253+$J253+$O253)*(170.18/$F253))^2+0.0000014*(($I253+$J253+$O253)*(170.18/$F253))^3)</f>
        <v/>
      </c>
      <c r="AT253" s="35" t="str">
        <f aca="false">IF(OR($AE253="",$AF253="",$T253="",$AA253="",$F253=""),"",0.858*$AE253+0.601*$AF253+0.188*($T253-$I253/10)+0.161*($AA253-$R253/10)-0.131*$F253+4.5)</f>
        <v/>
      </c>
      <c r="AU253" s="35" t="str">
        <f aca="false">IF(OR($E253="",$F253=""),"",IF($F253/$E253^(1/3)&gt;=40.75,0.732*($F253/$E253^(1/3))-28.58,IF($F253/$E253^(1/3)&gt;=38.25,0.463*($F253/$E253^(1/3))-17.63,0.1)))</f>
        <v/>
      </c>
      <c r="AV253" s="37" t="str">
        <f aca="false">IF(OR($AS253="",$AT253="",$AU253=""),"",IF(AND($AT253&gt;=$AS253,$AT253&gt;=$AU253),"Mesomorfo dominante",IF(AND($AU253&gt;=$AS253,$AU253&gt;=$AT253),"Ectomorfo dominante","Endomorfo dominante")))</f>
        <v/>
      </c>
    </row>
    <row r="254" customFormat="false" ht="15" hidden="false" customHeight="false" outlineLevel="0" collapsed="false">
      <c r="A254" s="29"/>
      <c r="B254" s="27"/>
      <c r="C254" s="28"/>
      <c r="D254" s="27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3" t="str">
        <f aca="false">IFERROR(DATEDIF(INDEX(Cadastro!$D$8:$D$47,MATCH($B254,Cadastro!$B$8:$B$47,0)),$A254,"Y"),"")</f>
        <v/>
      </c>
      <c r="AH254" s="33" t="str">
        <f aca="false">IF(COUNT($I254,$K254,$J254,$N254)&lt;4,"",$I254+$K254+$J254+$N254)</f>
        <v/>
      </c>
      <c r="AI254" s="33" t="str">
        <f aca="false">IF(COUNT($L254,$M254,$I254,$J254,$P254,$N254,$Q254)&lt;7,"",$L254+$M254+$I254+$J254+$P254+$N254+$Q254)</f>
        <v/>
      </c>
      <c r="AJ254" s="33" t="str">
        <f aca="false">IF(COUNT($I254,$J254,$K254,$O254,$P254,$Q254,$R254,$N254)&lt;8,"",$I254+$J254+$K254+$O254+$P254+$Q254+$R254+$N254)</f>
        <v/>
      </c>
      <c r="AK254" s="34" t="str">
        <f aca="false">IF(OR($AI254="",$AG254=""),"",IF(IFERROR(INDEX(Cadastro!$F$8:$F$47,MATCH($B254,Cadastro!$B$8:$B$47,0)),"")="Feminino",1.097-0.00046971*$AI254+0.00000056*$AI254^2-0.00012828*$AG254,1.112-0.00043499*$AI254+0.00000055*$AI254^2-0.00028826*$AG254))</f>
        <v/>
      </c>
      <c r="AL254" s="30" t="str">
        <f aca="false">IF(OR($AK254="",$AK254=0),"",495/$AK254-450)</f>
        <v/>
      </c>
      <c r="AM254" s="35" t="str">
        <f aca="false">IF(OR($AL254="",$E254=""),"",$E254*$AL254/100)</f>
        <v/>
      </c>
      <c r="AN254" s="30" t="str">
        <f aca="false">IF(OR($AM254="",$E254=""),"",$E254-$AM254)</f>
        <v/>
      </c>
      <c r="AO254" s="35" t="str">
        <f aca="false">IFERROR($E254/($F254/100)^2,"")</f>
        <v/>
      </c>
      <c r="AP254" s="35" t="str">
        <f aca="false">IFERROR($G254/$F254*100,"")</f>
        <v/>
      </c>
      <c r="AQ254" s="36" t="str">
        <f aca="false">IFERROR($W254/$F254,"")</f>
        <v/>
      </c>
      <c r="AR254" s="35" t="str">
        <f aca="false">IF(OR($S254="",$I254=""),"",($S254-PI()*$I254/10)^2/(4*PI())-IF(IFERROR(INDEX(Cadastro!$F$8:$F$47,MATCH($B254,Cadastro!$B$8:$B$47,0)),"")="Feminino",6.5,10))</f>
        <v/>
      </c>
      <c r="AS254" s="35" t="str">
        <f aca="false">IF(OR($I254="",$J254="",$O254="",$F254=""),"",-0.7182+0.1451*(($I254+$J254+$O254)*(170.18/$F254))-0.00068*(($I254+$J254+$O254)*(170.18/$F254))^2+0.0000014*(($I254+$J254+$O254)*(170.18/$F254))^3)</f>
        <v/>
      </c>
      <c r="AT254" s="35" t="str">
        <f aca="false">IF(OR($AE254="",$AF254="",$T254="",$AA254="",$F254=""),"",0.858*$AE254+0.601*$AF254+0.188*($T254-$I254/10)+0.161*($AA254-$R254/10)-0.131*$F254+4.5)</f>
        <v/>
      </c>
      <c r="AU254" s="35" t="str">
        <f aca="false">IF(OR($E254="",$F254=""),"",IF($F254/$E254^(1/3)&gt;=40.75,0.732*($F254/$E254^(1/3))-28.58,IF($F254/$E254^(1/3)&gt;=38.25,0.463*($F254/$E254^(1/3))-17.63,0.1)))</f>
        <v/>
      </c>
      <c r="AV254" s="37" t="str">
        <f aca="false">IF(OR($AS254="",$AT254="",$AU254=""),"",IF(AND($AT254&gt;=$AS254,$AT254&gt;=$AU254),"Mesomorfo dominante",IF(AND($AU254&gt;=$AS254,$AU254&gt;=$AT254),"Ectomorfo dominante","Endomorfo dominante")))</f>
        <v/>
      </c>
    </row>
    <row r="255" customFormat="false" ht="15" hidden="false" customHeight="false" outlineLevel="0" collapsed="false">
      <c r="A255" s="29"/>
      <c r="B255" s="27"/>
      <c r="C255" s="28"/>
      <c r="D255" s="27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3" t="str">
        <f aca="false">IFERROR(DATEDIF(INDEX(Cadastro!$D$8:$D$47,MATCH($B255,Cadastro!$B$8:$B$47,0)),$A255,"Y"),"")</f>
        <v/>
      </c>
      <c r="AH255" s="33" t="str">
        <f aca="false">IF(COUNT($I255,$K255,$J255,$N255)&lt;4,"",$I255+$K255+$J255+$N255)</f>
        <v/>
      </c>
      <c r="AI255" s="33" t="str">
        <f aca="false">IF(COUNT($L255,$M255,$I255,$J255,$P255,$N255,$Q255)&lt;7,"",$L255+$M255+$I255+$J255+$P255+$N255+$Q255)</f>
        <v/>
      </c>
      <c r="AJ255" s="33" t="str">
        <f aca="false">IF(COUNT($I255,$J255,$K255,$O255,$P255,$Q255,$R255,$N255)&lt;8,"",$I255+$J255+$K255+$O255+$P255+$Q255+$R255+$N255)</f>
        <v/>
      </c>
      <c r="AK255" s="34" t="str">
        <f aca="false">IF(OR($AI255="",$AG255=""),"",IF(IFERROR(INDEX(Cadastro!$F$8:$F$47,MATCH($B255,Cadastro!$B$8:$B$47,0)),"")="Feminino",1.097-0.00046971*$AI255+0.00000056*$AI255^2-0.00012828*$AG255,1.112-0.00043499*$AI255+0.00000055*$AI255^2-0.00028826*$AG255))</f>
        <v/>
      </c>
      <c r="AL255" s="30" t="str">
        <f aca="false">IF(OR($AK255="",$AK255=0),"",495/$AK255-450)</f>
        <v/>
      </c>
      <c r="AM255" s="35" t="str">
        <f aca="false">IF(OR($AL255="",$E255=""),"",$E255*$AL255/100)</f>
        <v/>
      </c>
      <c r="AN255" s="30" t="str">
        <f aca="false">IF(OR($AM255="",$E255=""),"",$E255-$AM255)</f>
        <v/>
      </c>
      <c r="AO255" s="35" t="str">
        <f aca="false">IFERROR($E255/($F255/100)^2,"")</f>
        <v/>
      </c>
      <c r="AP255" s="35" t="str">
        <f aca="false">IFERROR($G255/$F255*100,"")</f>
        <v/>
      </c>
      <c r="AQ255" s="36" t="str">
        <f aca="false">IFERROR($W255/$F255,"")</f>
        <v/>
      </c>
      <c r="AR255" s="35" t="str">
        <f aca="false">IF(OR($S255="",$I255=""),"",($S255-PI()*$I255/10)^2/(4*PI())-IF(IFERROR(INDEX(Cadastro!$F$8:$F$47,MATCH($B255,Cadastro!$B$8:$B$47,0)),"")="Feminino",6.5,10))</f>
        <v/>
      </c>
      <c r="AS255" s="35" t="str">
        <f aca="false">IF(OR($I255="",$J255="",$O255="",$F255=""),"",-0.7182+0.1451*(($I255+$J255+$O255)*(170.18/$F255))-0.00068*(($I255+$J255+$O255)*(170.18/$F255))^2+0.0000014*(($I255+$J255+$O255)*(170.18/$F255))^3)</f>
        <v/>
      </c>
      <c r="AT255" s="35" t="str">
        <f aca="false">IF(OR($AE255="",$AF255="",$T255="",$AA255="",$F255=""),"",0.858*$AE255+0.601*$AF255+0.188*($T255-$I255/10)+0.161*($AA255-$R255/10)-0.131*$F255+4.5)</f>
        <v/>
      </c>
      <c r="AU255" s="35" t="str">
        <f aca="false">IF(OR($E255="",$F255=""),"",IF($F255/$E255^(1/3)&gt;=40.75,0.732*($F255/$E255^(1/3))-28.58,IF($F255/$E255^(1/3)&gt;=38.25,0.463*($F255/$E255^(1/3))-17.63,0.1)))</f>
        <v/>
      </c>
      <c r="AV255" s="37" t="str">
        <f aca="false">IF(OR($AS255="",$AT255="",$AU255=""),"",IF(AND($AT255&gt;=$AS255,$AT255&gt;=$AU255),"Mesomorfo dominante",IF(AND($AU255&gt;=$AS255,$AU255&gt;=$AT255),"Ectomorfo dominante","Endomorfo dominante")))</f>
        <v/>
      </c>
    </row>
    <row r="256" customFormat="false" ht="15" hidden="false" customHeight="false" outlineLevel="0" collapsed="false">
      <c r="A256" s="29"/>
      <c r="B256" s="27"/>
      <c r="C256" s="28"/>
      <c r="D256" s="27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3" t="str">
        <f aca="false">IFERROR(DATEDIF(INDEX(Cadastro!$D$8:$D$47,MATCH($B256,Cadastro!$B$8:$B$47,0)),$A256,"Y"),"")</f>
        <v/>
      </c>
      <c r="AH256" s="33" t="str">
        <f aca="false">IF(COUNT($I256,$K256,$J256,$N256)&lt;4,"",$I256+$K256+$J256+$N256)</f>
        <v/>
      </c>
      <c r="AI256" s="33" t="str">
        <f aca="false">IF(COUNT($L256,$M256,$I256,$J256,$P256,$N256,$Q256)&lt;7,"",$L256+$M256+$I256+$J256+$P256+$N256+$Q256)</f>
        <v/>
      </c>
      <c r="AJ256" s="33" t="str">
        <f aca="false">IF(COUNT($I256,$J256,$K256,$O256,$P256,$Q256,$R256,$N256)&lt;8,"",$I256+$J256+$K256+$O256+$P256+$Q256+$R256+$N256)</f>
        <v/>
      </c>
      <c r="AK256" s="34" t="str">
        <f aca="false">IF(OR($AI256="",$AG256=""),"",IF(IFERROR(INDEX(Cadastro!$F$8:$F$47,MATCH($B256,Cadastro!$B$8:$B$47,0)),"")="Feminino",1.097-0.00046971*$AI256+0.00000056*$AI256^2-0.00012828*$AG256,1.112-0.00043499*$AI256+0.00000055*$AI256^2-0.00028826*$AG256))</f>
        <v/>
      </c>
      <c r="AL256" s="30" t="str">
        <f aca="false">IF(OR($AK256="",$AK256=0),"",495/$AK256-450)</f>
        <v/>
      </c>
      <c r="AM256" s="35" t="str">
        <f aca="false">IF(OR($AL256="",$E256=""),"",$E256*$AL256/100)</f>
        <v/>
      </c>
      <c r="AN256" s="30" t="str">
        <f aca="false">IF(OR($AM256="",$E256=""),"",$E256-$AM256)</f>
        <v/>
      </c>
      <c r="AO256" s="35" t="str">
        <f aca="false">IFERROR($E256/($F256/100)^2,"")</f>
        <v/>
      </c>
      <c r="AP256" s="35" t="str">
        <f aca="false">IFERROR($G256/$F256*100,"")</f>
        <v/>
      </c>
      <c r="AQ256" s="36" t="str">
        <f aca="false">IFERROR($W256/$F256,"")</f>
        <v/>
      </c>
      <c r="AR256" s="35" t="str">
        <f aca="false">IF(OR($S256="",$I256=""),"",($S256-PI()*$I256/10)^2/(4*PI())-IF(IFERROR(INDEX(Cadastro!$F$8:$F$47,MATCH($B256,Cadastro!$B$8:$B$47,0)),"")="Feminino",6.5,10))</f>
        <v/>
      </c>
      <c r="AS256" s="35" t="str">
        <f aca="false">IF(OR($I256="",$J256="",$O256="",$F256=""),"",-0.7182+0.1451*(($I256+$J256+$O256)*(170.18/$F256))-0.00068*(($I256+$J256+$O256)*(170.18/$F256))^2+0.0000014*(($I256+$J256+$O256)*(170.18/$F256))^3)</f>
        <v/>
      </c>
      <c r="AT256" s="35" t="str">
        <f aca="false">IF(OR($AE256="",$AF256="",$T256="",$AA256="",$F256=""),"",0.858*$AE256+0.601*$AF256+0.188*($T256-$I256/10)+0.161*($AA256-$R256/10)-0.131*$F256+4.5)</f>
        <v/>
      </c>
      <c r="AU256" s="35" t="str">
        <f aca="false">IF(OR($E256="",$F256=""),"",IF($F256/$E256^(1/3)&gt;=40.75,0.732*($F256/$E256^(1/3))-28.58,IF($F256/$E256^(1/3)&gt;=38.25,0.463*($F256/$E256^(1/3))-17.63,0.1)))</f>
        <v/>
      </c>
      <c r="AV256" s="37" t="str">
        <f aca="false">IF(OR($AS256="",$AT256="",$AU256=""),"",IF(AND($AT256&gt;=$AS256,$AT256&gt;=$AU256),"Mesomorfo dominante",IF(AND($AU256&gt;=$AS256,$AU256&gt;=$AT256),"Ectomorfo dominante","Endomorfo dominante")))</f>
        <v/>
      </c>
    </row>
    <row r="257" customFormat="false" ht="15" hidden="false" customHeight="false" outlineLevel="0" collapsed="false">
      <c r="A257" s="29"/>
      <c r="B257" s="27"/>
      <c r="C257" s="28"/>
      <c r="D257" s="27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3" t="str">
        <f aca="false">IFERROR(DATEDIF(INDEX(Cadastro!$D$8:$D$47,MATCH($B257,Cadastro!$B$8:$B$47,0)),$A257,"Y"),"")</f>
        <v/>
      </c>
      <c r="AH257" s="33" t="str">
        <f aca="false">IF(COUNT($I257,$K257,$J257,$N257)&lt;4,"",$I257+$K257+$J257+$N257)</f>
        <v/>
      </c>
      <c r="AI257" s="33" t="str">
        <f aca="false">IF(COUNT($L257,$M257,$I257,$J257,$P257,$N257,$Q257)&lt;7,"",$L257+$M257+$I257+$J257+$P257+$N257+$Q257)</f>
        <v/>
      </c>
      <c r="AJ257" s="33" t="str">
        <f aca="false">IF(COUNT($I257,$J257,$K257,$O257,$P257,$Q257,$R257,$N257)&lt;8,"",$I257+$J257+$K257+$O257+$P257+$Q257+$R257+$N257)</f>
        <v/>
      </c>
      <c r="AK257" s="34" t="str">
        <f aca="false">IF(OR($AI257="",$AG257=""),"",IF(IFERROR(INDEX(Cadastro!$F$8:$F$47,MATCH($B257,Cadastro!$B$8:$B$47,0)),"")="Feminino",1.097-0.00046971*$AI257+0.00000056*$AI257^2-0.00012828*$AG257,1.112-0.00043499*$AI257+0.00000055*$AI257^2-0.00028826*$AG257))</f>
        <v/>
      </c>
      <c r="AL257" s="30" t="str">
        <f aca="false">IF(OR($AK257="",$AK257=0),"",495/$AK257-450)</f>
        <v/>
      </c>
      <c r="AM257" s="35" t="str">
        <f aca="false">IF(OR($AL257="",$E257=""),"",$E257*$AL257/100)</f>
        <v/>
      </c>
      <c r="AN257" s="30" t="str">
        <f aca="false">IF(OR($AM257="",$E257=""),"",$E257-$AM257)</f>
        <v/>
      </c>
      <c r="AO257" s="35" t="str">
        <f aca="false">IFERROR($E257/($F257/100)^2,"")</f>
        <v/>
      </c>
      <c r="AP257" s="35" t="str">
        <f aca="false">IFERROR($G257/$F257*100,"")</f>
        <v/>
      </c>
      <c r="AQ257" s="36" t="str">
        <f aca="false">IFERROR($W257/$F257,"")</f>
        <v/>
      </c>
      <c r="AR257" s="35" t="str">
        <f aca="false">IF(OR($S257="",$I257=""),"",($S257-PI()*$I257/10)^2/(4*PI())-IF(IFERROR(INDEX(Cadastro!$F$8:$F$47,MATCH($B257,Cadastro!$B$8:$B$47,0)),"")="Feminino",6.5,10))</f>
        <v/>
      </c>
      <c r="AS257" s="35" t="str">
        <f aca="false">IF(OR($I257="",$J257="",$O257="",$F257=""),"",-0.7182+0.1451*(($I257+$J257+$O257)*(170.18/$F257))-0.00068*(($I257+$J257+$O257)*(170.18/$F257))^2+0.0000014*(($I257+$J257+$O257)*(170.18/$F257))^3)</f>
        <v/>
      </c>
      <c r="AT257" s="35" t="str">
        <f aca="false">IF(OR($AE257="",$AF257="",$T257="",$AA257="",$F257=""),"",0.858*$AE257+0.601*$AF257+0.188*($T257-$I257/10)+0.161*($AA257-$R257/10)-0.131*$F257+4.5)</f>
        <v/>
      </c>
      <c r="AU257" s="35" t="str">
        <f aca="false">IF(OR($E257="",$F257=""),"",IF($F257/$E257^(1/3)&gt;=40.75,0.732*($F257/$E257^(1/3))-28.58,IF($F257/$E257^(1/3)&gt;=38.25,0.463*($F257/$E257^(1/3))-17.63,0.1)))</f>
        <v/>
      </c>
      <c r="AV257" s="37" t="str">
        <f aca="false">IF(OR($AS257="",$AT257="",$AU257=""),"",IF(AND($AT257&gt;=$AS257,$AT257&gt;=$AU257),"Mesomorfo dominante",IF(AND($AU257&gt;=$AS257,$AU257&gt;=$AT257),"Ectomorfo dominante","Endomorfo dominante")))</f>
        <v/>
      </c>
    </row>
    <row r="258" customFormat="false" ht="15" hidden="false" customHeight="false" outlineLevel="0" collapsed="false">
      <c r="A258" s="29"/>
      <c r="B258" s="27"/>
      <c r="C258" s="28"/>
      <c r="D258" s="27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3" t="str">
        <f aca="false">IFERROR(DATEDIF(INDEX(Cadastro!$D$8:$D$47,MATCH($B258,Cadastro!$B$8:$B$47,0)),$A258,"Y"),"")</f>
        <v/>
      </c>
      <c r="AH258" s="33" t="str">
        <f aca="false">IF(COUNT($I258,$K258,$J258,$N258)&lt;4,"",$I258+$K258+$J258+$N258)</f>
        <v/>
      </c>
      <c r="AI258" s="33" t="str">
        <f aca="false">IF(COUNT($L258,$M258,$I258,$J258,$P258,$N258,$Q258)&lt;7,"",$L258+$M258+$I258+$J258+$P258+$N258+$Q258)</f>
        <v/>
      </c>
      <c r="AJ258" s="33" t="str">
        <f aca="false">IF(COUNT($I258,$J258,$K258,$O258,$P258,$Q258,$R258,$N258)&lt;8,"",$I258+$J258+$K258+$O258+$P258+$Q258+$R258+$N258)</f>
        <v/>
      </c>
      <c r="AK258" s="34" t="str">
        <f aca="false">IF(OR($AI258="",$AG258=""),"",IF(IFERROR(INDEX(Cadastro!$F$8:$F$47,MATCH($B258,Cadastro!$B$8:$B$47,0)),"")="Feminino",1.097-0.00046971*$AI258+0.00000056*$AI258^2-0.00012828*$AG258,1.112-0.00043499*$AI258+0.00000055*$AI258^2-0.00028826*$AG258))</f>
        <v/>
      </c>
      <c r="AL258" s="30" t="str">
        <f aca="false">IF(OR($AK258="",$AK258=0),"",495/$AK258-450)</f>
        <v/>
      </c>
      <c r="AM258" s="35" t="str">
        <f aca="false">IF(OR($AL258="",$E258=""),"",$E258*$AL258/100)</f>
        <v/>
      </c>
      <c r="AN258" s="30" t="str">
        <f aca="false">IF(OR($AM258="",$E258=""),"",$E258-$AM258)</f>
        <v/>
      </c>
      <c r="AO258" s="35" t="str">
        <f aca="false">IFERROR($E258/($F258/100)^2,"")</f>
        <v/>
      </c>
      <c r="AP258" s="35" t="str">
        <f aca="false">IFERROR($G258/$F258*100,"")</f>
        <v/>
      </c>
      <c r="AQ258" s="36" t="str">
        <f aca="false">IFERROR($W258/$F258,"")</f>
        <v/>
      </c>
      <c r="AR258" s="35" t="str">
        <f aca="false">IF(OR($S258="",$I258=""),"",($S258-PI()*$I258/10)^2/(4*PI())-IF(IFERROR(INDEX(Cadastro!$F$8:$F$47,MATCH($B258,Cadastro!$B$8:$B$47,0)),"")="Feminino",6.5,10))</f>
        <v/>
      </c>
      <c r="AS258" s="35" t="str">
        <f aca="false">IF(OR($I258="",$J258="",$O258="",$F258=""),"",-0.7182+0.1451*(($I258+$J258+$O258)*(170.18/$F258))-0.00068*(($I258+$J258+$O258)*(170.18/$F258))^2+0.0000014*(($I258+$J258+$O258)*(170.18/$F258))^3)</f>
        <v/>
      </c>
      <c r="AT258" s="35" t="str">
        <f aca="false">IF(OR($AE258="",$AF258="",$T258="",$AA258="",$F258=""),"",0.858*$AE258+0.601*$AF258+0.188*($T258-$I258/10)+0.161*($AA258-$R258/10)-0.131*$F258+4.5)</f>
        <v/>
      </c>
      <c r="AU258" s="35" t="str">
        <f aca="false">IF(OR($E258="",$F258=""),"",IF($F258/$E258^(1/3)&gt;=40.75,0.732*($F258/$E258^(1/3))-28.58,IF($F258/$E258^(1/3)&gt;=38.25,0.463*($F258/$E258^(1/3))-17.63,0.1)))</f>
        <v/>
      </c>
      <c r="AV258" s="37" t="str">
        <f aca="false">IF(OR($AS258="",$AT258="",$AU258=""),"",IF(AND($AT258&gt;=$AS258,$AT258&gt;=$AU258),"Mesomorfo dominante",IF(AND($AU258&gt;=$AS258,$AU258&gt;=$AT258),"Ectomorfo dominante","Endomorfo dominante")))</f>
        <v/>
      </c>
    </row>
    <row r="259" customFormat="false" ht="15" hidden="false" customHeight="false" outlineLevel="0" collapsed="false">
      <c r="A259" s="29"/>
      <c r="B259" s="27"/>
      <c r="C259" s="28"/>
      <c r="D259" s="27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3" t="str">
        <f aca="false">IFERROR(DATEDIF(INDEX(Cadastro!$D$8:$D$47,MATCH($B259,Cadastro!$B$8:$B$47,0)),$A259,"Y"),"")</f>
        <v/>
      </c>
      <c r="AH259" s="33" t="str">
        <f aca="false">IF(COUNT($I259,$K259,$J259,$N259)&lt;4,"",$I259+$K259+$J259+$N259)</f>
        <v/>
      </c>
      <c r="AI259" s="33" t="str">
        <f aca="false">IF(COUNT($L259,$M259,$I259,$J259,$P259,$N259,$Q259)&lt;7,"",$L259+$M259+$I259+$J259+$P259+$N259+$Q259)</f>
        <v/>
      </c>
      <c r="AJ259" s="33" t="str">
        <f aca="false">IF(COUNT($I259,$J259,$K259,$O259,$P259,$Q259,$R259,$N259)&lt;8,"",$I259+$J259+$K259+$O259+$P259+$Q259+$R259+$N259)</f>
        <v/>
      </c>
      <c r="AK259" s="34" t="str">
        <f aca="false">IF(OR($AI259="",$AG259=""),"",IF(IFERROR(INDEX(Cadastro!$F$8:$F$47,MATCH($B259,Cadastro!$B$8:$B$47,0)),"")="Feminino",1.097-0.00046971*$AI259+0.00000056*$AI259^2-0.00012828*$AG259,1.112-0.00043499*$AI259+0.00000055*$AI259^2-0.00028826*$AG259))</f>
        <v/>
      </c>
      <c r="AL259" s="30" t="str">
        <f aca="false">IF(OR($AK259="",$AK259=0),"",495/$AK259-450)</f>
        <v/>
      </c>
      <c r="AM259" s="35" t="str">
        <f aca="false">IF(OR($AL259="",$E259=""),"",$E259*$AL259/100)</f>
        <v/>
      </c>
      <c r="AN259" s="30" t="str">
        <f aca="false">IF(OR($AM259="",$E259=""),"",$E259-$AM259)</f>
        <v/>
      </c>
      <c r="AO259" s="35" t="str">
        <f aca="false">IFERROR($E259/($F259/100)^2,"")</f>
        <v/>
      </c>
      <c r="AP259" s="35" t="str">
        <f aca="false">IFERROR($G259/$F259*100,"")</f>
        <v/>
      </c>
      <c r="AQ259" s="36" t="str">
        <f aca="false">IFERROR($W259/$F259,"")</f>
        <v/>
      </c>
      <c r="AR259" s="35" t="str">
        <f aca="false">IF(OR($S259="",$I259=""),"",($S259-PI()*$I259/10)^2/(4*PI())-IF(IFERROR(INDEX(Cadastro!$F$8:$F$47,MATCH($B259,Cadastro!$B$8:$B$47,0)),"")="Feminino",6.5,10))</f>
        <v/>
      </c>
      <c r="AS259" s="35" t="str">
        <f aca="false">IF(OR($I259="",$J259="",$O259="",$F259=""),"",-0.7182+0.1451*(($I259+$J259+$O259)*(170.18/$F259))-0.00068*(($I259+$J259+$O259)*(170.18/$F259))^2+0.0000014*(($I259+$J259+$O259)*(170.18/$F259))^3)</f>
        <v/>
      </c>
      <c r="AT259" s="35" t="str">
        <f aca="false">IF(OR($AE259="",$AF259="",$T259="",$AA259="",$F259=""),"",0.858*$AE259+0.601*$AF259+0.188*($T259-$I259/10)+0.161*($AA259-$R259/10)-0.131*$F259+4.5)</f>
        <v/>
      </c>
      <c r="AU259" s="35" t="str">
        <f aca="false">IF(OR($E259="",$F259=""),"",IF($F259/$E259^(1/3)&gt;=40.75,0.732*($F259/$E259^(1/3))-28.58,IF($F259/$E259^(1/3)&gt;=38.25,0.463*($F259/$E259^(1/3))-17.63,0.1)))</f>
        <v/>
      </c>
      <c r="AV259" s="37" t="str">
        <f aca="false">IF(OR($AS259="",$AT259="",$AU259=""),"",IF(AND($AT259&gt;=$AS259,$AT259&gt;=$AU259),"Mesomorfo dominante",IF(AND($AU259&gt;=$AS259,$AU259&gt;=$AT259),"Ectomorfo dominante","Endomorfo dominante")))</f>
        <v/>
      </c>
    </row>
    <row r="260" customFormat="false" ht="15" hidden="false" customHeight="false" outlineLevel="0" collapsed="false">
      <c r="A260" s="29"/>
      <c r="B260" s="27"/>
      <c r="C260" s="28"/>
      <c r="D260" s="27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3" t="str">
        <f aca="false">IFERROR(DATEDIF(INDEX(Cadastro!$D$8:$D$47,MATCH($B260,Cadastro!$B$8:$B$47,0)),$A260,"Y"),"")</f>
        <v/>
      </c>
      <c r="AH260" s="33" t="str">
        <f aca="false">IF(COUNT($I260,$K260,$J260,$N260)&lt;4,"",$I260+$K260+$J260+$N260)</f>
        <v/>
      </c>
      <c r="AI260" s="33" t="str">
        <f aca="false">IF(COUNT($L260,$M260,$I260,$J260,$P260,$N260,$Q260)&lt;7,"",$L260+$M260+$I260+$J260+$P260+$N260+$Q260)</f>
        <v/>
      </c>
      <c r="AJ260" s="33" t="str">
        <f aca="false">IF(COUNT($I260,$J260,$K260,$O260,$P260,$Q260,$R260,$N260)&lt;8,"",$I260+$J260+$K260+$O260+$P260+$Q260+$R260+$N260)</f>
        <v/>
      </c>
      <c r="AK260" s="34" t="str">
        <f aca="false">IF(OR($AI260="",$AG260=""),"",IF(IFERROR(INDEX(Cadastro!$F$8:$F$47,MATCH($B260,Cadastro!$B$8:$B$47,0)),"")="Feminino",1.097-0.00046971*$AI260+0.00000056*$AI260^2-0.00012828*$AG260,1.112-0.00043499*$AI260+0.00000055*$AI260^2-0.00028826*$AG260))</f>
        <v/>
      </c>
      <c r="AL260" s="30" t="str">
        <f aca="false">IF(OR($AK260="",$AK260=0),"",495/$AK260-450)</f>
        <v/>
      </c>
      <c r="AM260" s="35" t="str">
        <f aca="false">IF(OR($AL260="",$E260=""),"",$E260*$AL260/100)</f>
        <v/>
      </c>
      <c r="AN260" s="30" t="str">
        <f aca="false">IF(OR($AM260="",$E260=""),"",$E260-$AM260)</f>
        <v/>
      </c>
      <c r="AO260" s="35" t="str">
        <f aca="false">IFERROR($E260/($F260/100)^2,"")</f>
        <v/>
      </c>
      <c r="AP260" s="35" t="str">
        <f aca="false">IFERROR($G260/$F260*100,"")</f>
        <v/>
      </c>
      <c r="AQ260" s="36" t="str">
        <f aca="false">IFERROR($W260/$F260,"")</f>
        <v/>
      </c>
      <c r="AR260" s="35" t="str">
        <f aca="false">IF(OR($S260="",$I260=""),"",($S260-PI()*$I260/10)^2/(4*PI())-IF(IFERROR(INDEX(Cadastro!$F$8:$F$47,MATCH($B260,Cadastro!$B$8:$B$47,0)),"")="Feminino",6.5,10))</f>
        <v/>
      </c>
      <c r="AS260" s="35" t="str">
        <f aca="false">IF(OR($I260="",$J260="",$O260="",$F260=""),"",-0.7182+0.1451*(($I260+$J260+$O260)*(170.18/$F260))-0.00068*(($I260+$J260+$O260)*(170.18/$F260))^2+0.0000014*(($I260+$J260+$O260)*(170.18/$F260))^3)</f>
        <v/>
      </c>
      <c r="AT260" s="35" t="str">
        <f aca="false">IF(OR($AE260="",$AF260="",$T260="",$AA260="",$F260=""),"",0.858*$AE260+0.601*$AF260+0.188*($T260-$I260/10)+0.161*($AA260-$R260/10)-0.131*$F260+4.5)</f>
        <v/>
      </c>
      <c r="AU260" s="35" t="str">
        <f aca="false">IF(OR($E260="",$F260=""),"",IF($F260/$E260^(1/3)&gt;=40.75,0.732*($F260/$E260^(1/3))-28.58,IF($F260/$E260^(1/3)&gt;=38.25,0.463*($F260/$E260^(1/3))-17.63,0.1)))</f>
        <v/>
      </c>
      <c r="AV260" s="37" t="str">
        <f aca="false">IF(OR($AS260="",$AT260="",$AU260=""),"",IF(AND($AT260&gt;=$AS260,$AT260&gt;=$AU260),"Mesomorfo dominante",IF(AND($AU260&gt;=$AS260,$AU260&gt;=$AT260),"Ectomorfo dominante","Endomorfo dominante")))</f>
        <v/>
      </c>
    </row>
    <row r="261" customFormat="false" ht="15" hidden="false" customHeight="false" outlineLevel="0" collapsed="false">
      <c r="A261" s="29"/>
      <c r="B261" s="27"/>
      <c r="C261" s="28"/>
      <c r="D261" s="27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3" t="str">
        <f aca="false">IFERROR(DATEDIF(INDEX(Cadastro!$D$8:$D$47,MATCH($B261,Cadastro!$B$8:$B$47,0)),$A261,"Y"),"")</f>
        <v/>
      </c>
      <c r="AH261" s="33" t="str">
        <f aca="false">IF(COUNT($I261,$K261,$J261,$N261)&lt;4,"",$I261+$K261+$J261+$N261)</f>
        <v/>
      </c>
      <c r="AI261" s="33" t="str">
        <f aca="false">IF(COUNT($L261,$M261,$I261,$J261,$P261,$N261,$Q261)&lt;7,"",$L261+$M261+$I261+$J261+$P261+$N261+$Q261)</f>
        <v/>
      </c>
      <c r="AJ261" s="33" t="str">
        <f aca="false">IF(COUNT($I261,$J261,$K261,$O261,$P261,$Q261,$R261,$N261)&lt;8,"",$I261+$J261+$K261+$O261+$P261+$Q261+$R261+$N261)</f>
        <v/>
      </c>
      <c r="AK261" s="34" t="str">
        <f aca="false">IF(OR($AI261="",$AG261=""),"",IF(IFERROR(INDEX(Cadastro!$F$8:$F$47,MATCH($B261,Cadastro!$B$8:$B$47,0)),"")="Feminino",1.097-0.00046971*$AI261+0.00000056*$AI261^2-0.00012828*$AG261,1.112-0.00043499*$AI261+0.00000055*$AI261^2-0.00028826*$AG261))</f>
        <v/>
      </c>
      <c r="AL261" s="30" t="str">
        <f aca="false">IF(OR($AK261="",$AK261=0),"",495/$AK261-450)</f>
        <v/>
      </c>
      <c r="AM261" s="35" t="str">
        <f aca="false">IF(OR($AL261="",$E261=""),"",$E261*$AL261/100)</f>
        <v/>
      </c>
      <c r="AN261" s="30" t="str">
        <f aca="false">IF(OR($AM261="",$E261=""),"",$E261-$AM261)</f>
        <v/>
      </c>
      <c r="AO261" s="35" t="str">
        <f aca="false">IFERROR($E261/($F261/100)^2,"")</f>
        <v/>
      </c>
      <c r="AP261" s="35" t="str">
        <f aca="false">IFERROR($G261/$F261*100,"")</f>
        <v/>
      </c>
      <c r="AQ261" s="36" t="str">
        <f aca="false">IFERROR($W261/$F261,"")</f>
        <v/>
      </c>
      <c r="AR261" s="35" t="str">
        <f aca="false">IF(OR($S261="",$I261=""),"",($S261-PI()*$I261/10)^2/(4*PI())-IF(IFERROR(INDEX(Cadastro!$F$8:$F$47,MATCH($B261,Cadastro!$B$8:$B$47,0)),"")="Feminino",6.5,10))</f>
        <v/>
      </c>
      <c r="AS261" s="35" t="str">
        <f aca="false">IF(OR($I261="",$J261="",$O261="",$F261=""),"",-0.7182+0.1451*(($I261+$J261+$O261)*(170.18/$F261))-0.00068*(($I261+$J261+$O261)*(170.18/$F261))^2+0.0000014*(($I261+$J261+$O261)*(170.18/$F261))^3)</f>
        <v/>
      </c>
      <c r="AT261" s="35" t="str">
        <f aca="false">IF(OR($AE261="",$AF261="",$T261="",$AA261="",$F261=""),"",0.858*$AE261+0.601*$AF261+0.188*($T261-$I261/10)+0.161*($AA261-$R261/10)-0.131*$F261+4.5)</f>
        <v/>
      </c>
      <c r="AU261" s="35" t="str">
        <f aca="false">IF(OR($E261="",$F261=""),"",IF($F261/$E261^(1/3)&gt;=40.75,0.732*($F261/$E261^(1/3))-28.58,IF($F261/$E261^(1/3)&gt;=38.25,0.463*($F261/$E261^(1/3))-17.63,0.1)))</f>
        <v/>
      </c>
      <c r="AV261" s="37" t="str">
        <f aca="false">IF(OR($AS261="",$AT261="",$AU261=""),"",IF(AND($AT261&gt;=$AS261,$AT261&gt;=$AU261),"Mesomorfo dominante",IF(AND($AU261&gt;=$AS261,$AU261&gt;=$AT261),"Ectomorfo dominante","Endomorfo dominante")))</f>
        <v/>
      </c>
    </row>
    <row r="262" customFormat="false" ht="15" hidden="false" customHeight="false" outlineLevel="0" collapsed="false">
      <c r="A262" s="29"/>
      <c r="B262" s="27"/>
      <c r="C262" s="28"/>
      <c r="D262" s="27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3" t="str">
        <f aca="false">IFERROR(DATEDIF(INDEX(Cadastro!$D$8:$D$47,MATCH($B262,Cadastro!$B$8:$B$47,0)),$A262,"Y"),"")</f>
        <v/>
      </c>
      <c r="AH262" s="33" t="str">
        <f aca="false">IF(COUNT($I262,$K262,$J262,$N262)&lt;4,"",$I262+$K262+$J262+$N262)</f>
        <v/>
      </c>
      <c r="AI262" s="33" t="str">
        <f aca="false">IF(COUNT($L262,$M262,$I262,$J262,$P262,$N262,$Q262)&lt;7,"",$L262+$M262+$I262+$J262+$P262+$N262+$Q262)</f>
        <v/>
      </c>
      <c r="AJ262" s="33" t="str">
        <f aca="false">IF(COUNT($I262,$J262,$K262,$O262,$P262,$Q262,$R262,$N262)&lt;8,"",$I262+$J262+$K262+$O262+$P262+$Q262+$R262+$N262)</f>
        <v/>
      </c>
      <c r="AK262" s="34" t="str">
        <f aca="false">IF(OR($AI262="",$AG262=""),"",IF(IFERROR(INDEX(Cadastro!$F$8:$F$47,MATCH($B262,Cadastro!$B$8:$B$47,0)),"")="Feminino",1.097-0.00046971*$AI262+0.00000056*$AI262^2-0.00012828*$AG262,1.112-0.00043499*$AI262+0.00000055*$AI262^2-0.00028826*$AG262))</f>
        <v/>
      </c>
      <c r="AL262" s="30" t="str">
        <f aca="false">IF(OR($AK262="",$AK262=0),"",495/$AK262-450)</f>
        <v/>
      </c>
      <c r="AM262" s="35" t="str">
        <f aca="false">IF(OR($AL262="",$E262=""),"",$E262*$AL262/100)</f>
        <v/>
      </c>
      <c r="AN262" s="30" t="str">
        <f aca="false">IF(OR($AM262="",$E262=""),"",$E262-$AM262)</f>
        <v/>
      </c>
      <c r="AO262" s="35" t="str">
        <f aca="false">IFERROR($E262/($F262/100)^2,"")</f>
        <v/>
      </c>
      <c r="AP262" s="35" t="str">
        <f aca="false">IFERROR($G262/$F262*100,"")</f>
        <v/>
      </c>
      <c r="AQ262" s="36" t="str">
        <f aca="false">IFERROR($W262/$F262,"")</f>
        <v/>
      </c>
      <c r="AR262" s="35" t="str">
        <f aca="false">IF(OR($S262="",$I262=""),"",($S262-PI()*$I262/10)^2/(4*PI())-IF(IFERROR(INDEX(Cadastro!$F$8:$F$47,MATCH($B262,Cadastro!$B$8:$B$47,0)),"")="Feminino",6.5,10))</f>
        <v/>
      </c>
      <c r="AS262" s="35" t="str">
        <f aca="false">IF(OR($I262="",$J262="",$O262="",$F262=""),"",-0.7182+0.1451*(($I262+$J262+$O262)*(170.18/$F262))-0.00068*(($I262+$J262+$O262)*(170.18/$F262))^2+0.0000014*(($I262+$J262+$O262)*(170.18/$F262))^3)</f>
        <v/>
      </c>
      <c r="AT262" s="35" t="str">
        <f aca="false">IF(OR($AE262="",$AF262="",$T262="",$AA262="",$F262=""),"",0.858*$AE262+0.601*$AF262+0.188*($T262-$I262/10)+0.161*($AA262-$R262/10)-0.131*$F262+4.5)</f>
        <v/>
      </c>
      <c r="AU262" s="35" t="str">
        <f aca="false">IF(OR($E262="",$F262=""),"",IF($F262/$E262^(1/3)&gt;=40.75,0.732*($F262/$E262^(1/3))-28.58,IF($F262/$E262^(1/3)&gt;=38.25,0.463*($F262/$E262^(1/3))-17.63,0.1)))</f>
        <v/>
      </c>
      <c r="AV262" s="37" t="str">
        <f aca="false">IF(OR($AS262="",$AT262="",$AU262=""),"",IF(AND($AT262&gt;=$AS262,$AT262&gt;=$AU262),"Mesomorfo dominante",IF(AND($AU262&gt;=$AS262,$AU262&gt;=$AT262),"Ectomorfo dominante","Endomorfo dominante")))</f>
        <v/>
      </c>
    </row>
    <row r="263" customFormat="false" ht="15" hidden="false" customHeight="false" outlineLevel="0" collapsed="false">
      <c r="A263" s="29"/>
      <c r="B263" s="27"/>
      <c r="C263" s="28"/>
      <c r="D263" s="27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3" t="str">
        <f aca="false">IFERROR(DATEDIF(INDEX(Cadastro!$D$8:$D$47,MATCH($B263,Cadastro!$B$8:$B$47,0)),$A263,"Y"),"")</f>
        <v/>
      </c>
      <c r="AH263" s="33" t="str">
        <f aca="false">IF(COUNT($I263,$K263,$J263,$N263)&lt;4,"",$I263+$K263+$J263+$N263)</f>
        <v/>
      </c>
      <c r="AI263" s="33" t="str">
        <f aca="false">IF(COUNT($L263,$M263,$I263,$J263,$P263,$N263,$Q263)&lt;7,"",$L263+$M263+$I263+$J263+$P263+$N263+$Q263)</f>
        <v/>
      </c>
      <c r="AJ263" s="33" t="str">
        <f aca="false">IF(COUNT($I263,$J263,$K263,$O263,$P263,$Q263,$R263,$N263)&lt;8,"",$I263+$J263+$K263+$O263+$P263+$Q263+$R263+$N263)</f>
        <v/>
      </c>
      <c r="AK263" s="34" t="str">
        <f aca="false">IF(OR($AI263="",$AG263=""),"",IF(IFERROR(INDEX(Cadastro!$F$8:$F$47,MATCH($B263,Cadastro!$B$8:$B$47,0)),"")="Feminino",1.097-0.00046971*$AI263+0.00000056*$AI263^2-0.00012828*$AG263,1.112-0.00043499*$AI263+0.00000055*$AI263^2-0.00028826*$AG263))</f>
        <v/>
      </c>
      <c r="AL263" s="30" t="str">
        <f aca="false">IF(OR($AK263="",$AK263=0),"",495/$AK263-450)</f>
        <v/>
      </c>
      <c r="AM263" s="35" t="str">
        <f aca="false">IF(OR($AL263="",$E263=""),"",$E263*$AL263/100)</f>
        <v/>
      </c>
      <c r="AN263" s="30" t="str">
        <f aca="false">IF(OR($AM263="",$E263=""),"",$E263-$AM263)</f>
        <v/>
      </c>
      <c r="AO263" s="35" t="str">
        <f aca="false">IFERROR($E263/($F263/100)^2,"")</f>
        <v/>
      </c>
      <c r="AP263" s="35" t="str">
        <f aca="false">IFERROR($G263/$F263*100,"")</f>
        <v/>
      </c>
      <c r="AQ263" s="36" t="str">
        <f aca="false">IFERROR($W263/$F263,"")</f>
        <v/>
      </c>
      <c r="AR263" s="35" t="str">
        <f aca="false">IF(OR($S263="",$I263=""),"",($S263-PI()*$I263/10)^2/(4*PI())-IF(IFERROR(INDEX(Cadastro!$F$8:$F$47,MATCH($B263,Cadastro!$B$8:$B$47,0)),"")="Feminino",6.5,10))</f>
        <v/>
      </c>
      <c r="AS263" s="35" t="str">
        <f aca="false">IF(OR($I263="",$J263="",$O263="",$F263=""),"",-0.7182+0.1451*(($I263+$J263+$O263)*(170.18/$F263))-0.00068*(($I263+$J263+$O263)*(170.18/$F263))^2+0.0000014*(($I263+$J263+$O263)*(170.18/$F263))^3)</f>
        <v/>
      </c>
      <c r="AT263" s="35" t="str">
        <f aca="false">IF(OR($AE263="",$AF263="",$T263="",$AA263="",$F263=""),"",0.858*$AE263+0.601*$AF263+0.188*($T263-$I263/10)+0.161*($AA263-$R263/10)-0.131*$F263+4.5)</f>
        <v/>
      </c>
      <c r="AU263" s="35" t="str">
        <f aca="false">IF(OR($E263="",$F263=""),"",IF($F263/$E263^(1/3)&gt;=40.75,0.732*($F263/$E263^(1/3))-28.58,IF($F263/$E263^(1/3)&gt;=38.25,0.463*($F263/$E263^(1/3))-17.63,0.1)))</f>
        <v/>
      </c>
      <c r="AV263" s="37" t="str">
        <f aca="false">IF(OR($AS263="",$AT263="",$AU263=""),"",IF(AND($AT263&gt;=$AS263,$AT263&gt;=$AU263),"Mesomorfo dominante",IF(AND($AU263&gt;=$AS263,$AU263&gt;=$AT263),"Ectomorfo dominante","Endomorfo dominante")))</f>
        <v/>
      </c>
    </row>
    <row r="264" customFormat="false" ht="15" hidden="false" customHeight="false" outlineLevel="0" collapsed="false">
      <c r="A264" s="29"/>
      <c r="B264" s="27"/>
      <c r="C264" s="28"/>
      <c r="D264" s="27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3" t="str">
        <f aca="false">IFERROR(DATEDIF(INDEX(Cadastro!$D$8:$D$47,MATCH($B264,Cadastro!$B$8:$B$47,0)),$A264,"Y"),"")</f>
        <v/>
      </c>
      <c r="AH264" s="33" t="str">
        <f aca="false">IF(COUNT($I264,$K264,$J264,$N264)&lt;4,"",$I264+$K264+$J264+$N264)</f>
        <v/>
      </c>
      <c r="AI264" s="33" t="str">
        <f aca="false">IF(COUNT($L264,$M264,$I264,$J264,$P264,$N264,$Q264)&lt;7,"",$L264+$M264+$I264+$J264+$P264+$N264+$Q264)</f>
        <v/>
      </c>
      <c r="AJ264" s="33" t="str">
        <f aca="false">IF(COUNT($I264,$J264,$K264,$O264,$P264,$Q264,$R264,$N264)&lt;8,"",$I264+$J264+$K264+$O264+$P264+$Q264+$R264+$N264)</f>
        <v/>
      </c>
      <c r="AK264" s="34" t="str">
        <f aca="false">IF(OR($AI264="",$AG264=""),"",IF(IFERROR(INDEX(Cadastro!$F$8:$F$47,MATCH($B264,Cadastro!$B$8:$B$47,0)),"")="Feminino",1.097-0.00046971*$AI264+0.00000056*$AI264^2-0.00012828*$AG264,1.112-0.00043499*$AI264+0.00000055*$AI264^2-0.00028826*$AG264))</f>
        <v/>
      </c>
      <c r="AL264" s="30" t="str">
        <f aca="false">IF(OR($AK264="",$AK264=0),"",495/$AK264-450)</f>
        <v/>
      </c>
      <c r="AM264" s="35" t="str">
        <f aca="false">IF(OR($AL264="",$E264=""),"",$E264*$AL264/100)</f>
        <v/>
      </c>
      <c r="AN264" s="30" t="str">
        <f aca="false">IF(OR($AM264="",$E264=""),"",$E264-$AM264)</f>
        <v/>
      </c>
      <c r="AO264" s="35" t="str">
        <f aca="false">IFERROR($E264/($F264/100)^2,"")</f>
        <v/>
      </c>
      <c r="AP264" s="35" t="str">
        <f aca="false">IFERROR($G264/$F264*100,"")</f>
        <v/>
      </c>
      <c r="AQ264" s="36" t="str">
        <f aca="false">IFERROR($W264/$F264,"")</f>
        <v/>
      </c>
      <c r="AR264" s="35" t="str">
        <f aca="false">IF(OR($S264="",$I264=""),"",($S264-PI()*$I264/10)^2/(4*PI())-IF(IFERROR(INDEX(Cadastro!$F$8:$F$47,MATCH($B264,Cadastro!$B$8:$B$47,0)),"")="Feminino",6.5,10))</f>
        <v/>
      </c>
      <c r="AS264" s="35" t="str">
        <f aca="false">IF(OR($I264="",$J264="",$O264="",$F264=""),"",-0.7182+0.1451*(($I264+$J264+$O264)*(170.18/$F264))-0.00068*(($I264+$J264+$O264)*(170.18/$F264))^2+0.0000014*(($I264+$J264+$O264)*(170.18/$F264))^3)</f>
        <v/>
      </c>
      <c r="AT264" s="35" t="str">
        <f aca="false">IF(OR($AE264="",$AF264="",$T264="",$AA264="",$F264=""),"",0.858*$AE264+0.601*$AF264+0.188*($T264-$I264/10)+0.161*($AA264-$R264/10)-0.131*$F264+4.5)</f>
        <v/>
      </c>
      <c r="AU264" s="35" t="str">
        <f aca="false">IF(OR($E264="",$F264=""),"",IF($F264/$E264^(1/3)&gt;=40.75,0.732*($F264/$E264^(1/3))-28.58,IF($F264/$E264^(1/3)&gt;=38.25,0.463*($F264/$E264^(1/3))-17.63,0.1)))</f>
        <v/>
      </c>
      <c r="AV264" s="37" t="str">
        <f aca="false">IF(OR($AS264="",$AT264="",$AU264=""),"",IF(AND($AT264&gt;=$AS264,$AT264&gt;=$AU264),"Mesomorfo dominante",IF(AND($AU264&gt;=$AS264,$AU264&gt;=$AT264),"Ectomorfo dominante","Endomorfo dominante")))</f>
        <v/>
      </c>
    </row>
    <row r="265" customFormat="false" ht="15" hidden="false" customHeight="false" outlineLevel="0" collapsed="false">
      <c r="A265" s="29"/>
      <c r="B265" s="27"/>
      <c r="C265" s="28"/>
      <c r="D265" s="27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3" t="str">
        <f aca="false">IFERROR(DATEDIF(INDEX(Cadastro!$D$8:$D$47,MATCH($B265,Cadastro!$B$8:$B$47,0)),$A265,"Y"),"")</f>
        <v/>
      </c>
      <c r="AH265" s="33" t="str">
        <f aca="false">IF(COUNT($I265,$K265,$J265,$N265)&lt;4,"",$I265+$K265+$J265+$N265)</f>
        <v/>
      </c>
      <c r="AI265" s="33" t="str">
        <f aca="false">IF(COUNT($L265,$M265,$I265,$J265,$P265,$N265,$Q265)&lt;7,"",$L265+$M265+$I265+$J265+$P265+$N265+$Q265)</f>
        <v/>
      </c>
      <c r="AJ265" s="33" t="str">
        <f aca="false">IF(COUNT($I265,$J265,$K265,$O265,$P265,$Q265,$R265,$N265)&lt;8,"",$I265+$J265+$K265+$O265+$P265+$Q265+$R265+$N265)</f>
        <v/>
      </c>
      <c r="AK265" s="34" t="str">
        <f aca="false">IF(OR($AI265="",$AG265=""),"",IF(IFERROR(INDEX(Cadastro!$F$8:$F$47,MATCH($B265,Cadastro!$B$8:$B$47,0)),"")="Feminino",1.097-0.00046971*$AI265+0.00000056*$AI265^2-0.00012828*$AG265,1.112-0.00043499*$AI265+0.00000055*$AI265^2-0.00028826*$AG265))</f>
        <v/>
      </c>
      <c r="AL265" s="30" t="str">
        <f aca="false">IF(OR($AK265="",$AK265=0),"",495/$AK265-450)</f>
        <v/>
      </c>
      <c r="AM265" s="35" t="str">
        <f aca="false">IF(OR($AL265="",$E265=""),"",$E265*$AL265/100)</f>
        <v/>
      </c>
      <c r="AN265" s="30" t="str">
        <f aca="false">IF(OR($AM265="",$E265=""),"",$E265-$AM265)</f>
        <v/>
      </c>
      <c r="AO265" s="35" t="str">
        <f aca="false">IFERROR($E265/($F265/100)^2,"")</f>
        <v/>
      </c>
      <c r="AP265" s="35" t="str">
        <f aca="false">IFERROR($G265/$F265*100,"")</f>
        <v/>
      </c>
      <c r="AQ265" s="36" t="str">
        <f aca="false">IFERROR($W265/$F265,"")</f>
        <v/>
      </c>
      <c r="AR265" s="35" t="str">
        <f aca="false">IF(OR($S265="",$I265=""),"",($S265-PI()*$I265/10)^2/(4*PI())-IF(IFERROR(INDEX(Cadastro!$F$8:$F$47,MATCH($B265,Cadastro!$B$8:$B$47,0)),"")="Feminino",6.5,10))</f>
        <v/>
      </c>
      <c r="AS265" s="35" t="str">
        <f aca="false">IF(OR($I265="",$J265="",$O265="",$F265=""),"",-0.7182+0.1451*(($I265+$J265+$O265)*(170.18/$F265))-0.00068*(($I265+$J265+$O265)*(170.18/$F265))^2+0.0000014*(($I265+$J265+$O265)*(170.18/$F265))^3)</f>
        <v/>
      </c>
      <c r="AT265" s="35" t="str">
        <f aca="false">IF(OR($AE265="",$AF265="",$T265="",$AA265="",$F265=""),"",0.858*$AE265+0.601*$AF265+0.188*($T265-$I265/10)+0.161*($AA265-$R265/10)-0.131*$F265+4.5)</f>
        <v/>
      </c>
      <c r="AU265" s="35" t="str">
        <f aca="false">IF(OR($E265="",$F265=""),"",IF($F265/$E265^(1/3)&gt;=40.75,0.732*($F265/$E265^(1/3))-28.58,IF($F265/$E265^(1/3)&gt;=38.25,0.463*($F265/$E265^(1/3))-17.63,0.1)))</f>
        <v/>
      </c>
      <c r="AV265" s="37" t="str">
        <f aca="false">IF(OR($AS265="",$AT265="",$AU265=""),"",IF(AND($AT265&gt;=$AS265,$AT265&gt;=$AU265),"Mesomorfo dominante",IF(AND($AU265&gt;=$AS265,$AU265&gt;=$AT265),"Ectomorfo dominante","Endomorfo dominante")))</f>
        <v/>
      </c>
    </row>
    <row r="266" customFormat="false" ht="15" hidden="false" customHeight="false" outlineLevel="0" collapsed="false">
      <c r="A266" s="29"/>
      <c r="B266" s="27"/>
      <c r="C266" s="28"/>
      <c r="D266" s="27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3" t="str">
        <f aca="false">IFERROR(DATEDIF(INDEX(Cadastro!$D$8:$D$47,MATCH($B266,Cadastro!$B$8:$B$47,0)),$A266,"Y"),"")</f>
        <v/>
      </c>
      <c r="AH266" s="33" t="str">
        <f aca="false">IF(COUNT($I266,$K266,$J266,$N266)&lt;4,"",$I266+$K266+$J266+$N266)</f>
        <v/>
      </c>
      <c r="AI266" s="33" t="str">
        <f aca="false">IF(COUNT($L266,$M266,$I266,$J266,$P266,$N266,$Q266)&lt;7,"",$L266+$M266+$I266+$J266+$P266+$N266+$Q266)</f>
        <v/>
      </c>
      <c r="AJ266" s="33" t="str">
        <f aca="false">IF(COUNT($I266,$J266,$K266,$O266,$P266,$Q266,$R266,$N266)&lt;8,"",$I266+$J266+$K266+$O266+$P266+$Q266+$R266+$N266)</f>
        <v/>
      </c>
      <c r="AK266" s="34" t="str">
        <f aca="false">IF(OR($AI266="",$AG266=""),"",IF(IFERROR(INDEX(Cadastro!$F$8:$F$47,MATCH($B266,Cadastro!$B$8:$B$47,0)),"")="Feminino",1.097-0.00046971*$AI266+0.00000056*$AI266^2-0.00012828*$AG266,1.112-0.00043499*$AI266+0.00000055*$AI266^2-0.00028826*$AG266))</f>
        <v/>
      </c>
      <c r="AL266" s="30" t="str">
        <f aca="false">IF(OR($AK266="",$AK266=0),"",495/$AK266-450)</f>
        <v/>
      </c>
      <c r="AM266" s="35" t="str">
        <f aca="false">IF(OR($AL266="",$E266=""),"",$E266*$AL266/100)</f>
        <v/>
      </c>
      <c r="AN266" s="30" t="str">
        <f aca="false">IF(OR($AM266="",$E266=""),"",$E266-$AM266)</f>
        <v/>
      </c>
      <c r="AO266" s="35" t="str">
        <f aca="false">IFERROR($E266/($F266/100)^2,"")</f>
        <v/>
      </c>
      <c r="AP266" s="35" t="str">
        <f aca="false">IFERROR($G266/$F266*100,"")</f>
        <v/>
      </c>
      <c r="AQ266" s="36" t="str">
        <f aca="false">IFERROR($W266/$F266,"")</f>
        <v/>
      </c>
      <c r="AR266" s="35" t="str">
        <f aca="false">IF(OR($S266="",$I266=""),"",($S266-PI()*$I266/10)^2/(4*PI())-IF(IFERROR(INDEX(Cadastro!$F$8:$F$47,MATCH($B266,Cadastro!$B$8:$B$47,0)),"")="Feminino",6.5,10))</f>
        <v/>
      </c>
      <c r="AS266" s="35" t="str">
        <f aca="false">IF(OR($I266="",$J266="",$O266="",$F266=""),"",-0.7182+0.1451*(($I266+$J266+$O266)*(170.18/$F266))-0.00068*(($I266+$J266+$O266)*(170.18/$F266))^2+0.0000014*(($I266+$J266+$O266)*(170.18/$F266))^3)</f>
        <v/>
      </c>
      <c r="AT266" s="35" t="str">
        <f aca="false">IF(OR($AE266="",$AF266="",$T266="",$AA266="",$F266=""),"",0.858*$AE266+0.601*$AF266+0.188*($T266-$I266/10)+0.161*($AA266-$R266/10)-0.131*$F266+4.5)</f>
        <v/>
      </c>
      <c r="AU266" s="35" t="str">
        <f aca="false">IF(OR($E266="",$F266=""),"",IF($F266/$E266^(1/3)&gt;=40.75,0.732*($F266/$E266^(1/3))-28.58,IF($F266/$E266^(1/3)&gt;=38.25,0.463*($F266/$E266^(1/3))-17.63,0.1)))</f>
        <v/>
      </c>
      <c r="AV266" s="37" t="str">
        <f aca="false">IF(OR($AS266="",$AT266="",$AU266=""),"",IF(AND($AT266&gt;=$AS266,$AT266&gt;=$AU266),"Mesomorfo dominante",IF(AND($AU266&gt;=$AS266,$AU266&gt;=$AT266),"Ectomorfo dominante","Endomorfo dominante")))</f>
        <v/>
      </c>
    </row>
    <row r="267" customFormat="false" ht="15" hidden="false" customHeight="false" outlineLevel="0" collapsed="false">
      <c r="A267" s="29"/>
      <c r="B267" s="27"/>
      <c r="C267" s="28"/>
      <c r="D267" s="27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3" t="str">
        <f aca="false">IFERROR(DATEDIF(INDEX(Cadastro!$D$8:$D$47,MATCH($B267,Cadastro!$B$8:$B$47,0)),$A267,"Y"),"")</f>
        <v/>
      </c>
      <c r="AH267" s="33" t="str">
        <f aca="false">IF(COUNT($I267,$K267,$J267,$N267)&lt;4,"",$I267+$K267+$J267+$N267)</f>
        <v/>
      </c>
      <c r="AI267" s="33" t="str">
        <f aca="false">IF(COUNT($L267,$M267,$I267,$J267,$P267,$N267,$Q267)&lt;7,"",$L267+$M267+$I267+$J267+$P267+$N267+$Q267)</f>
        <v/>
      </c>
      <c r="AJ267" s="33" t="str">
        <f aca="false">IF(COUNT($I267,$J267,$K267,$O267,$P267,$Q267,$R267,$N267)&lt;8,"",$I267+$J267+$K267+$O267+$P267+$Q267+$R267+$N267)</f>
        <v/>
      </c>
      <c r="AK267" s="34" t="str">
        <f aca="false">IF(OR($AI267="",$AG267=""),"",IF(IFERROR(INDEX(Cadastro!$F$8:$F$47,MATCH($B267,Cadastro!$B$8:$B$47,0)),"")="Feminino",1.097-0.00046971*$AI267+0.00000056*$AI267^2-0.00012828*$AG267,1.112-0.00043499*$AI267+0.00000055*$AI267^2-0.00028826*$AG267))</f>
        <v/>
      </c>
      <c r="AL267" s="30" t="str">
        <f aca="false">IF(OR($AK267="",$AK267=0),"",495/$AK267-450)</f>
        <v/>
      </c>
      <c r="AM267" s="35" t="str">
        <f aca="false">IF(OR($AL267="",$E267=""),"",$E267*$AL267/100)</f>
        <v/>
      </c>
      <c r="AN267" s="30" t="str">
        <f aca="false">IF(OR($AM267="",$E267=""),"",$E267-$AM267)</f>
        <v/>
      </c>
      <c r="AO267" s="35" t="str">
        <f aca="false">IFERROR($E267/($F267/100)^2,"")</f>
        <v/>
      </c>
      <c r="AP267" s="35" t="str">
        <f aca="false">IFERROR($G267/$F267*100,"")</f>
        <v/>
      </c>
      <c r="AQ267" s="36" t="str">
        <f aca="false">IFERROR($W267/$F267,"")</f>
        <v/>
      </c>
      <c r="AR267" s="35" t="str">
        <f aca="false">IF(OR($S267="",$I267=""),"",($S267-PI()*$I267/10)^2/(4*PI())-IF(IFERROR(INDEX(Cadastro!$F$8:$F$47,MATCH($B267,Cadastro!$B$8:$B$47,0)),"")="Feminino",6.5,10))</f>
        <v/>
      </c>
      <c r="AS267" s="35" t="str">
        <f aca="false">IF(OR($I267="",$J267="",$O267="",$F267=""),"",-0.7182+0.1451*(($I267+$J267+$O267)*(170.18/$F267))-0.00068*(($I267+$J267+$O267)*(170.18/$F267))^2+0.0000014*(($I267+$J267+$O267)*(170.18/$F267))^3)</f>
        <v/>
      </c>
      <c r="AT267" s="35" t="str">
        <f aca="false">IF(OR($AE267="",$AF267="",$T267="",$AA267="",$F267=""),"",0.858*$AE267+0.601*$AF267+0.188*($T267-$I267/10)+0.161*($AA267-$R267/10)-0.131*$F267+4.5)</f>
        <v/>
      </c>
      <c r="AU267" s="35" t="str">
        <f aca="false">IF(OR($E267="",$F267=""),"",IF($F267/$E267^(1/3)&gt;=40.75,0.732*($F267/$E267^(1/3))-28.58,IF($F267/$E267^(1/3)&gt;=38.25,0.463*($F267/$E267^(1/3))-17.63,0.1)))</f>
        <v/>
      </c>
      <c r="AV267" s="37" t="str">
        <f aca="false">IF(OR($AS267="",$AT267="",$AU267=""),"",IF(AND($AT267&gt;=$AS267,$AT267&gt;=$AU267),"Mesomorfo dominante",IF(AND($AU267&gt;=$AS267,$AU267&gt;=$AT267),"Ectomorfo dominante","Endomorfo dominante")))</f>
        <v/>
      </c>
    </row>
    <row r="268" customFormat="false" ht="15" hidden="false" customHeight="false" outlineLevel="0" collapsed="false">
      <c r="A268" s="29"/>
      <c r="B268" s="27"/>
      <c r="C268" s="28"/>
      <c r="D268" s="27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3" t="str">
        <f aca="false">IFERROR(DATEDIF(INDEX(Cadastro!$D$8:$D$47,MATCH($B268,Cadastro!$B$8:$B$47,0)),$A268,"Y"),"")</f>
        <v/>
      </c>
      <c r="AH268" s="33" t="str">
        <f aca="false">IF(COUNT($I268,$K268,$J268,$N268)&lt;4,"",$I268+$K268+$J268+$N268)</f>
        <v/>
      </c>
      <c r="AI268" s="33" t="str">
        <f aca="false">IF(COUNT($L268,$M268,$I268,$J268,$P268,$N268,$Q268)&lt;7,"",$L268+$M268+$I268+$J268+$P268+$N268+$Q268)</f>
        <v/>
      </c>
      <c r="AJ268" s="33" t="str">
        <f aca="false">IF(COUNT($I268,$J268,$K268,$O268,$P268,$Q268,$R268,$N268)&lt;8,"",$I268+$J268+$K268+$O268+$P268+$Q268+$R268+$N268)</f>
        <v/>
      </c>
      <c r="AK268" s="34" t="str">
        <f aca="false">IF(OR($AI268="",$AG268=""),"",IF(IFERROR(INDEX(Cadastro!$F$8:$F$47,MATCH($B268,Cadastro!$B$8:$B$47,0)),"")="Feminino",1.097-0.00046971*$AI268+0.00000056*$AI268^2-0.00012828*$AG268,1.112-0.00043499*$AI268+0.00000055*$AI268^2-0.00028826*$AG268))</f>
        <v/>
      </c>
      <c r="AL268" s="30" t="str">
        <f aca="false">IF(OR($AK268="",$AK268=0),"",495/$AK268-450)</f>
        <v/>
      </c>
      <c r="AM268" s="35" t="str">
        <f aca="false">IF(OR($AL268="",$E268=""),"",$E268*$AL268/100)</f>
        <v/>
      </c>
      <c r="AN268" s="30" t="str">
        <f aca="false">IF(OR($AM268="",$E268=""),"",$E268-$AM268)</f>
        <v/>
      </c>
      <c r="AO268" s="35" t="str">
        <f aca="false">IFERROR($E268/($F268/100)^2,"")</f>
        <v/>
      </c>
      <c r="AP268" s="35" t="str">
        <f aca="false">IFERROR($G268/$F268*100,"")</f>
        <v/>
      </c>
      <c r="AQ268" s="36" t="str">
        <f aca="false">IFERROR($W268/$F268,"")</f>
        <v/>
      </c>
      <c r="AR268" s="35" t="str">
        <f aca="false">IF(OR($S268="",$I268=""),"",($S268-PI()*$I268/10)^2/(4*PI())-IF(IFERROR(INDEX(Cadastro!$F$8:$F$47,MATCH($B268,Cadastro!$B$8:$B$47,0)),"")="Feminino",6.5,10))</f>
        <v/>
      </c>
      <c r="AS268" s="35" t="str">
        <f aca="false">IF(OR($I268="",$J268="",$O268="",$F268=""),"",-0.7182+0.1451*(($I268+$J268+$O268)*(170.18/$F268))-0.00068*(($I268+$J268+$O268)*(170.18/$F268))^2+0.0000014*(($I268+$J268+$O268)*(170.18/$F268))^3)</f>
        <v/>
      </c>
      <c r="AT268" s="35" t="str">
        <f aca="false">IF(OR($AE268="",$AF268="",$T268="",$AA268="",$F268=""),"",0.858*$AE268+0.601*$AF268+0.188*($T268-$I268/10)+0.161*($AA268-$R268/10)-0.131*$F268+4.5)</f>
        <v/>
      </c>
      <c r="AU268" s="35" t="str">
        <f aca="false">IF(OR($E268="",$F268=""),"",IF($F268/$E268^(1/3)&gt;=40.75,0.732*($F268/$E268^(1/3))-28.58,IF($F268/$E268^(1/3)&gt;=38.25,0.463*($F268/$E268^(1/3))-17.63,0.1)))</f>
        <v/>
      </c>
      <c r="AV268" s="37" t="str">
        <f aca="false">IF(OR($AS268="",$AT268="",$AU268=""),"",IF(AND($AT268&gt;=$AS268,$AT268&gt;=$AU268),"Mesomorfo dominante",IF(AND($AU268&gt;=$AS268,$AU268&gt;=$AT268),"Ectomorfo dominante","Endomorfo dominante")))</f>
        <v/>
      </c>
    </row>
    <row r="269" customFormat="false" ht="15" hidden="false" customHeight="false" outlineLevel="0" collapsed="false">
      <c r="A269" s="29"/>
      <c r="B269" s="27"/>
      <c r="C269" s="28"/>
      <c r="D269" s="27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3" t="str">
        <f aca="false">IFERROR(DATEDIF(INDEX(Cadastro!$D$8:$D$47,MATCH($B269,Cadastro!$B$8:$B$47,0)),$A269,"Y"),"")</f>
        <v/>
      </c>
      <c r="AH269" s="33" t="str">
        <f aca="false">IF(COUNT($I269,$K269,$J269,$N269)&lt;4,"",$I269+$K269+$J269+$N269)</f>
        <v/>
      </c>
      <c r="AI269" s="33" t="str">
        <f aca="false">IF(COUNT($L269,$M269,$I269,$J269,$P269,$N269,$Q269)&lt;7,"",$L269+$M269+$I269+$J269+$P269+$N269+$Q269)</f>
        <v/>
      </c>
      <c r="AJ269" s="33" t="str">
        <f aca="false">IF(COUNT($I269,$J269,$K269,$O269,$P269,$Q269,$R269,$N269)&lt;8,"",$I269+$J269+$K269+$O269+$P269+$Q269+$R269+$N269)</f>
        <v/>
      </c>
      <c r="AK269" s="34" t="str">
        <f aca="false">IF(OR($AI269="",$AG269=""),"",IF(IFERROR(INDEX(Cadastro!$F$8:$F$47,MATCH($B269,Cadastro!$B$8:$B$47,0)),"")="Feminino",1.097-0.00046971*$AI269+0.00000056*$AI269^2-0.00012828*$AG269,1.112-0.00043499*$AI269+0.00000055*$AI269^2-0.00028826*$AG269))</f>
        <v/>
      </c>
      <c r="AL269" s="30" t="str">
        <f aca="false">IF(OR($AK269="",$AK269=0),"",495/$AK269-450)</f>
        <v/>
      </c>
      <c r="AM269" s="35" t="str">
        <f aca="false">IF(OR($AL269="",$E269=""),"",$E269*$AL269/100)</f>
        <v/>
      </c>
      <c r="AN269" s="30" t="str">
        <f aca="false">IF(OR($AM269="",$E269=""),"",$E269-$AM269)</f>
        <v/>
      </c>
      <c r="AO269" s="35" t="str">
        <f aca="false">IFERROR($E269/($F269/100)^2,"")</f>
        <v/>
      </c>
      <c r="AP269" s="35" t="str">
        <f aca="false">IFERROR($G269/$F269*100,"")</f>
        <v/>
      </c>
      <c r="AQ269" s="36" t="str">
        <f aca="false">IFERROR($W269/$F269,"")</f>
        <v/>
      </c>
      <c r="AR269" s="35" t="str">
        <f aca="false">IF(OR($S269="",$I269=""),"",($S269-PI()*$I269/10)^2/(4*PI())-IF(IFERROR(INDEX(Cadastro!$F$8:$F$47,MATCH($B269,Cadastro!$B$8:$B$47,0)),"")="Feminino",6.5,10))</f>
        <v/>
      </c>
      <c r="AS269" s="35" t="str">
        <f aca="false">IF(OR($I269="",$J269="",$O269="",$F269=""),"",-0.7182+0.1451*(($I269+$J269+$O269)*(170.18/$F269))-0.00068*(($I269+$J269+$O269)*(170.18/$F269))^2+0.0000014*(($I269+$J269+$O269)*(170.18/$F269))^3)</f>
        <v/>
      </c>
      <c r="AT269" s="35" t="str">
        <f aca="false">IF(OR($AE269="",$AF269="",$T269="",$AA269="",$F269=""),"",0.858*$AE269+0.601*$AF269+0.188*($T269-$I269/10)+0.161*($AA269-$R269/10)-0.131*$F269+4.5)</f>
        <v/>
      </c>
      <c r="AU269" s="35" t="str">
        <f aca="false">IF(OR($E269="",$F269=""),"",IF($F269/$E269^(1/3)&gt;=40.75,0.732*($F269/$E269^(1/3))-28.58,IF($F269/$E269^(1/3)&gt;=38.25,0.463*($F269/$E269^(1/3))-17.63,0.1)))</f>
        <v/>
      </c>
      <c r="AV269" s="37" t="str">
        <f aca="false">IF(OR($AS269="",$AT269="",$AU269=""),"",IF(AND($AT269&gt;=$AS269,$AT269&gt;=$AU269),"Mesomorfo dominante",IF(AND($AU269&gt;=$AS269,$AU269&gt;=$AT269),"Ectomorfo dominante","Endomorfo dominante")))</f>
        <v/>
      </c>
    </row>
    <row r="270" customFormat="false" ht="15" hidden="false" customHeight="false" outlineLevel="0" collapsed="false">
      <c r="A270" s="29"/>
      <c r="B270" s="27"/>
      <c r="C270" s="28"/>
      <c r="D270" s="27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3" t="str">
        <f aca="false">IFERROR(DATEDIF(INDEX(Cadastro!$D$8:$D$47,MATCH($B270,Cadastro!$B$8:$B$47,0)),$A270,"Y"),"")</f>
        <v/>
      </c>
      <c r="AH270" s="33" t="str">
        <f aca="false">IF(COUNT($I270,$K270,$J270,$N270)&lt;4,"",$I270+$K270+$J270+$N270)</f>
        <v/>
      </c>
      <c r="AI270" s="33" t="str">
        <f aca="false">IF(COUNT($L270,$M270,$I270,$J270,$P270,$N270,$Q270)&lt;7,"",$L270+$M270+$I270+$J270+$P270+$N270+$Q270)</f>
        <v/>
      </c>
      <c r="AJ270" s="33" t="str">
        <f aca="false">IF(COUNT($I270,$J270,$K270,$O270,$P270,$Q270,$R270,$N270)&lt;8,"",$I270+$J270+$K270+$O270+$P270+$Q270+$R270+$N270)</f>
        <v/>
      </c>
      <c r="AK270" s="34" t="str">
        <f aca="false">IF(OR($AI270="",$AG270=""),"",IF(IFERROR(INDEX(Cadastro!$F$8:$F$47,MATCH($B270,Cadastro!$B$8:$B$47,0)),"")="Feminino",1.097-0.00046971*$AI270+0.00000056*$AI270^2-0.00012828*$AG270,1.112-0.00043499*$AI270+0.00000055*$AI270^2-0.00028826*$AG270))</f>
        <v/>
      </c>
      <c r="AL270" s="30" t="str">
        <f aca="false">IF(OR($AK270="",$AK270=0),"",495/$AK270-450)</f>
        <v/>
      </c>
      <c r="AM270" s="35" t="str">
        <f aca="false">IF(OR($AL270="",$E270=""),"",$E270*$AL270/100)</f>
        <v/>
      </c>
      <c r="AN270" s="30" t="str">
        <f aca="false">IF(OR($AM270="",$E270=""),"",$E270-$AM270)</f>
        <v/>
      </c>
      <c r="AO270" s="35" t="str">
        <f aca="false">IFERROR($E270/($F270/100)^2,"")</f>
        <v/>
      </c>
      <c r="AP270" s="35" t="str">
        <f aca="false">IFERROR($G270/$F270*100,"")</f>
        <v/>
      </c>
      <c r="AQ270" s="36" t="str">
        <f aca="false">IFERROR($W270/$F270,"")</f>
        <v/>
      </c>
      <c r="AR270" s="35" t="str">
        <f aca="false">IF(OR($S270="",$I270=""),"",($S270-PI()*$I270/10)^2/(4*PI())-IF(IFERROR(INDEX(Cadastro!$F$8:$F$47,MATCH($B270,Cadastro!$B$8:$B$47,0)),"")="Feminino",6.5,10))</f>
        <v/>
      </c>
      <c r="AS270" s="35" t="str">
        <f aca="false">IF(OR($I270="",$J270="",$O270="",$F270=""),"",-0.7182+0.1451*(($I270+$J270+$O270)*(170.18/$F270))-0.00068*(($I270+$J270+$O270)*(170.18/$F270))^2+0.0000014*(($I270+$J270+$O270)*(170.18/$F270))^3)</f>
        <v/>
      </c>
      <c r="AT270" s="35" t="str">
        <f aca="false">IF(OR($AE270="",$AF270="",$T270="",$AA270="",$F270=""),"",0.858*$AE270+0.601*$AF270+0.188*($T270-$I270/10)+0.161*($AA270-$R270/10)-0.131*$F270+4.5)</f>
        <v/>
      </c>
      <c r="AU270" s="35" t="str">
        <f aca="false">IF(OR($E270="",$F270=""),"",IF($F270/$E270^(1/3)&gt;=40.75,0.732*($F270/$E270^(1/3))-28.58,IF($F270/$E270^(1/3)&gt;=38.25,0.463*($F270/$E270^(1/3))-17.63,0.1)))</f>
        <v/>
      </c>
      <c r="AV270" s="37" t="str">
        <f aca="false">IF(OR($AS270="",$AT270="",$AU270=""),"",IF(AND($AT270&gt;=$AS270,$AT270&gt;=$AU270),"Mesomorfo dominante",IF(AND($AU270&gt;=$AS270,$AU270&gt;=$AT270),"Ectomorfo dominante","Endomorfo dominante")))</f>
        <v/>
      </c>
    </row>
    <row r="271" customFormat="false" ht="15" hidden="false" customHeight="false" outlineLevel="0" collapsed="false">
      <c r="A271" s="29"/>
      <c r="B271" s="27"/>
      <c r="C271" s="28"/>
      <c r="D271" s="27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3" t="str">
        <f aca="false">IFERROR(DATEDIF(INDEX(Cadastro!$D$8:$D$47,MATCH($B271,Cadastro!$B$8:$B$47,0)),$A271,"Y"),"")</f>
        <v/>
      </c>
      <c r="AH271" s="33" t="str">
        <f aca="false">IF(COUNT($I271,$K271,$J271,$N271)&lt;4,"",$I271+$K271+$J271+$N271)</f>
        <v/>
      </c>
      <c r="AI271" s="33" t="str">
        <f aca="false">IF(COUNT($L271,$M271,$I271,$J271,$P271,$N271,$Q271)&lt;7,"",$L271+$M271+$I271+$J271+$P271+$N271+$Q271)</f>
        <v/>
      </c>
      <c r="AJ271" s="33" t="str">
        <f aca="false">IF(COUNT($I271,$J271,$K271,$O271,$P271,$Q271,$R271,$N271)&lt;8,"",$I271+$J271+$K271+$O271+$P271+$Q271+$R271+$N271)</f>
        <v/>
      </c>
      <c r="AK271" s="34" t="str">
        <f aca="false">IF(OR($AI271="",$AG271=""),"",IF(IFERROR(INDEX(Cadastro!$F$8:$F$47,MATCH($B271,Cadastro!$B$8:$B$47,0)),"")="Feminino",1.097-0.00046971*$AI271+0.00000056*$AI271^2-0.00012828*$AG271,1.112-0.00043499*$AI271+0.00000055*$AI271^2-0.00028826*$AG271))</f>
        <v/>
      </c>
      <c r="AL271" s="30" t="str">
        <f aca="false">IF(OR($AK271="",$AK271=0),"",495/$AK271-450)</f>
        <v/>
      </c>
      <c r="AM271" s="35" t="str">
        <f aca="false">IF(OR($AL271="",$E271=""),"",$E271*$AL271/100)</f>
        <v/>
      </c>
      <c r="AN271" s="30" t="str">
        <f aca="false">IF(OR($AM271="",$E271=""),"",$E271-$AM271)</f>
        <v/>
      </c>
      <c r="AO271" s="35" t="str">
        <f aca="false">IFERROR($E271/($F271/100)^2,"")</f>
        <v/>
      </c>
      <c r="AP271" s="35" t="str">
        <f aca="false">IFERROR($G271/$F271*100,"")</f>
        <v/>
      </c>
      <c r="AQ271" s="36" t="str">
        <f aca="false">IFERROR($W271/$F271,"")</f>
        <v/>
      </c>
      <c r="AR271" s="35" t="str">
        <f aca="false">IF(OR($S271="",$I271=""),"",($S271-PI()*$I271/10)^2/(4*PI())-IF(IFERROR(INDEX(Cadastro!$F$8:$F$47,MATCH($B271,Cadastro!$B$8:$B$47,0)),"")="Feminino",6.5,10))</f>
        <v/>
      </c>
      <c r="AS271" s="35" t="str">
        <f aca="false">IF(OR($I271="",$J271="",$O271="",$F271=""),"",-0.7182+0.1451*(($I271+$J271+$O271)*(170.18/$F271))-0.00068*(($I271+$J271+$O271)*(170.18/$F271))^2+0.0000014*(($I271+$J271+$O271)*(170.18/$F271))^3)</f>
        <v/>
      </c>
      <c r="AT271" s="35" t="str">
        <f aca="false">IF(OR($AE271="",$AF271="",$T271="",$AA271="",$F271=""),"",0.858*$AE271+0.601*$AF271+0.188*($T271-$I271/10)+0.161*($AA271-$R271/10)-0.131*$F271+4.5)</f>
        <v/>
      </c>
      <c r="AU271" s="35" t="str">
        <f aca="false">IF(OR($E271="",$F271=""),"",IF($F271/$E271^(1/3)&gt;=40.75,0.732*($F271/$E271^(1/3))-28.58,IF($F271/$E271^(1/3)&gt;=38.25,0.463*($F271/$E271^(1/3))-17.63,0.1)))</f>
        <v/>
      </c>
      <c r="AV271" s="37" t="str">
        <f aca="false">IF(OR($AS271="",$AT271="",$AU271=""),"",IF(AND($AT271&gt;=$AS271,$AT271&gt;=$AU271),"Mesomorfo dominante",IF(AND($AU271&gt;=$AS271,$AU271&gt;=$AT271),"Ectomorfo dominante","Endomorfo dominante")))</f>
        <v/>
      </c>
    </row>
    <row r="272" customFormat="false" ht="15" hidden="false" customHeight="false" outlineLevel="0" collapsed="false">
      <c r="A272" s="29"/>
      <c r="B272" s="27"/>
      <c r="C272" s="28"/>
      <c r="D272" s="27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3" t="str">
        <f aca="false">IFERROR(DATEDIF(INDEX(Cadastro!$D$8:$D$47,MATCH($B272,Cadastro!$B$8:$B$47,0)),$A272,"Y"),"")</f>
        <v/>
      </c>
      <c r="AH272" s="33" t="str">
        <f aca="false">IF(COUNT($I272,$K272,$J272,$N272)&lt;4,"",$I272+$K272+$J272+$N272)</f>
        <v/>
      </c>
      <c r="AI272" s="33" t="str">
        <f aca="false">IF(COUNT($L272,$M272,$I272,$J272,$P272,$N272,$Q272)&lt;7,"",$L272+$M272+$I272+$J272+$P272+$N272+$Q272)</f>
        <v/>
      </c>
      <c r="AJ272" s="33" t="str">
        <f aca="false">IF(COUNT($I272,$J272,$K272,$O272,$P272,$Q272,$R272,$N272)&lt;8,"",$I272+$J272+$K272+$O272+$P272+$Q272+$R272+$N272)</f>
        <v/>
      </c>
      <c r="AK272" s="34" t="str">
        <f aca="false">IF(OR($AI272="",$AG272=""),"",IF(IFERROR(INDEX(Cadastro!$F$8:$F$47,MATCH($B272,Cadastro!$B$8:$B$47,0)),"")="Feminino",1.097-0.00046971*$AI272+0.00000056*$AI272^2-0.00012828*$AG272,1.112-0.00043499*$AI272+0.00000055*$AI272^2-0.00028826*$AG272))</f>
        <v/>
      </c>
      <c r="AL272" s="30" t="str">
        <f aca="false">IF(OR($AK272="",$AK272=0),"",495/$AK272-450)</f>
        <v/>
      </c>
      <c r="AM272" s="35" t="str">
        <f aca="false">IF(OR($AL272="",$E272=""),"",$E272*$AL272/100)</f>
        <v/>
      </c>
      <c r="AN272" s="30" t="str">
        <f aca="false">IF(OR($AM272="",$E272=""),"",$E272-$AM272)</f>
        <v/>
      </c>
      <c r="AO272" s="35" t="str">
        <f aca="false">IFERROR($E272/($F272/100)^2,"")</f>
        <v/>
      </c>
      <c r="AP272" s="35" t="str">
        <f aca="false">IFERROR($G272/$F272*100,"")</f>
        <v/>
      </c>
      <c r="AQ272" s="36" t="str">
        <f aca="false">IFERROR($W272/$F272,"")</f>
        <v/>
      </c>
      <c r="AR272" s="35" t="str">
        <f aca="false">IF(OR($S272="",$I272=""),"",($S272-PI()*$I272/10)^2/(4*PI())-IF(IFERROR(INDEX(Cadastro!$F$8:$F$47,MATCH($B272,Cadastro!$B$8:$B$47,0)),"")="Feminino",6.5,10))</f>
        <v/>
      </c>
      <c r="AS272" s="35" t="str">
        <f aca="false">IF(OR($I272="",$J272="",$O272="",$F272=""),"",-0.7182+0.1451*(($I272+$J272+$O272)*(170.18/$F272))-0.00068*(($I272+$J272+$O272)*(170.18/$F272))^2+0.0000014*(($I272+$J272+$O272)*(170.18/$F272))^3)</f>
        <v/>
      </c>
      <c r="AT272" s="35" t="str">
        <f aca="false">IF(OR($AE272="",$AF272="",$T272="",$AA272="",$F272=""),"",0.858*$AE272+0.601*$AF272+0.188*($T272-$I272/10)+0.161*($AA272-$R272/10)-0.131*$F272+4.5)</f>
        <v/>
      </c>
      <c r="AU272" s="35" t="str">
        <f aca="false">IF(OR($E272="",$F272=""),"",IF($F272/$E272^(1/3)&gt;=40.75,0.732*($F272/$E272^(1/3))-28.58,IF($F272/$E272^(1/3)&gt;=38.25,0.463*($F272/$E272^(1/3))-17.63,0.1)))</f>
        <v/>
      </c>
      <c r="AV272" s="37" t="str">
        <f aca="false">IF(OR($AS272="",$AT272="",$AU272=""),"",IF(AND($AT272&gt;=$AS272,$AT272&gt;=$AU272),"Mesomorfo dominante",IF(AND($AU272&gt;=$AS272,$AU272&gt;=$AT272),"Ectomorfo dominante","Endomorfo dominante")))</f>
        <v/>
      </c>
    </row>
    <row r="273" customFormat="false" ht="15" hidden="false" customHeight="false" outlineLevel="0" collapsed="false">
      <c r="A273" s="29"/>
      <c r="B273" s="27"/>
      <c r="C273" s="28"/>
      <c r="D273" s="27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3" t="str">
        <f aca="false">IFERROR(DATEDIF(INDEX(Cadastro!$D$8:$D$47,MATCH($B273,Cadastro!$B$8:$B$47,0)),$A273,"Y"),"")</f>
        <v/>
      </c>
      <c r="AH273" s="33" t="str">
        <f aca="false">IF(COUNT($I273,$K273,$J273,$N273)&lt;4,"",$I273+$K273+$J273+$N273)</f>
        <v/>
      </c>
      <c r="AI273" s="33" t="str">
        <f aca="false">IF(COUNT($L273,$M273,$I273,$J273,$P273,$N273,$Q273)&lt;7,"",$L273+$M273+$I273+$J273+$P273+$N273+$Q273)</f>
        <v/>
      </c>
      <c r="AJ273" s="33" t="str">
        <f aca="false">IF(COUNT($I273,$J273,$K273,$O273,$P273,$Q273,$R273,$N273)&lt;8,"",$I273+$J273+$K273+$O273+$P273+$Q273+$R273+$N273)</f>
        <v/>
      </c>
      <c r="AK273" s="34" t="str">
        <f aca="false">IF(OR($AI273="",$AG273=""),"",IF(IFERROR(INDEX(Cadastro!$F$8:$F$47,MATCH($B273,Cadastro!$B$8:$B$47,0)),"")="Feminino",1.097-0.00046971*$AI273+0.00000056*$AI273^2-0.00012828*$AG273,1.112-0.00043499*$AI273+0.00000055*$AI273^2-0.00028826*$AG273))</f>
        <v/>
      </c>
      <c r="AL273" s="30" t="str">
        <f aca="false">IF(OR($AK273="",$AK273=0),"",495/$AK273-450)</f>
        <v/>
      </c>
      <c r="AM273" s="35" t="str">
        <f aca="false">IF(OR($AL273="",$E273=""),"",$E273*$AL273/100)</f>
        <v/>
      </c>
      <c r="AN273" s="30" t="str">
        <f aca="false">IF(OR($AM273="",$E273=""),"",$E273-$AM273)</f>
        <v/>
      </c>
      <c r="AO273" s="35" t="str">
        <f aca="false">IFERROR($E273/($F273/100)^2,"")</f>
        <v/>
      </c>
      <c r="AP273" s="35" t="str">
        <f aca="false">IFERROR($G273/$F273*100,"")</f>
        <v/>
      </c>
      <c r="AQ273" s="36" t="str">
        <f aca="false">IFERROR($W273/$F273,"")</f>
        <v/>
      </c>
      <c r="AR273" s="35" t="str">
        <f aca="false">IF(OR($S273="",$I273=""),"",($S273-PI()*$I273/10)^2/(4*PI())-IF(IFERROR(INDEX(Cadastro!$F$8:$F$47,MATCH($B273,Cadastro!$B$8:$B$47,0)),"")="Feminino",6.5,10))</f>
        <v/>
      </c>
      <c r="AS273" s="35" t="str">
        <f aca="false">IF(OR($I273="",$J273="",$O273="",$F273=""),"",-0.7182+0.1451*(($I273+$J273+$O273)*(170.18/$F273))-0.00068*(($I273+$J273+$O273)*(170.18/$F273))^2+0.0000014*(($I273+$J273+$O273)*(170.18/$F273))^3)</f>
        <v/>
      </c>
      <c r="AT273" s="35" t="str">
        <f aca="false">IF(OR($AE273="",$AF273="",$T273="",$AA273="",$F273=""),"",0.858*$AE273+0.601*$AF273+0.188*($T273-$I273/10)+0.161*($AA273-$R273/10)-0.131*$F273+4.5)</f>
        <v/>
      </c>
      <c r="AU273" s="35" t="str">
        <f aca="false">IF(OR($E273="",$F273=""),"",IF($F273/$E273^(1/3)&gt;=40.75,0.732*($F273/$E273^(1/3))-28.58,IF($F273/$E273^(1/3)&gt;=38.25,0.463*($F273/$E273^(1/3))-17.63,0.1)))</f>
        <v/>
      </c>
      <c r="AV273" s="37" t="str">
        <f aca="false">IF(OR($AS273="",$AT273="",$AU273=""),"",IF(AND($AT273&gt;=$AS273,$AT273&gt;=$AU273),"Mesomorfo dominante",IF(AND($AU273&gt;=$AS273,$AU273&gt;=$AT273),"Ectomorfo dominante","Endomorfo dominante")))</f>
        <v/>
      </c>
    </row>
    <row r="274" customFormat="false" ht="15" hidden="false" customHeight="false" outlineLevel="0" collapsed="false">
      <c r="A274" s="29"/>
      <c r="B274" s="27"/>
      <c r="C274" s="28"/>
      <c r="D274" s="27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3" t="str">
        <f aca="false">IFERROR(DATEDIF(INDEX(Cadastro!$D$8:$D$47,MATCH($B274,Cadastro!$B$8:$B$47,0)),$A274,"Y"),"")</f>
        <v/>
      </c>
      <c r="AH274" s="33" t="str">
        <f aca="false">IF(COUNT($I274,$K274,$J274,$N274)&lt;4,"",$I274+$K274+$J274+$N274)</f>
        <v/>
      </c>
      <c r="AI274" s="33" t="str">
        <f aca="false">IF(COUNT($L274,$M274,$I274,$J274,$P274,$N274,$Q274)&lt;7,"",$L274+$M274+$I274+$J274+$P274+$N274+$Q274)</f>
        <v/>
      </c>
      <c r="AJ274" s="33" t="str">
        <f aca="false">IF(COUNT($I274,$J274,$K274,$O274,$P274,$Q274,$R274,$N274)&lt;8,"",$I274+$J274+$K274+$O274+$P274+$Q274+$R274+$N274)</f>
        <v/>
      </c>
      <c r="AK274" s="34" t="str">
        <f aca="false">IF(OR($AI274="",$AG274=""),"",IF(IFERROR(INDEX(Cadastro!$F$8:$F$47,MATCH($B274,Cadastro!$B$8:$B$47,0)),"")="Feminino",1.097-0.00046971*$AI274+0.00000056*$AI274^2-0.00012828*$AG274,1.112-0.00043499*$AI274+0.00000055*$AI274^2-0.00028826*$AG274))</f>
        <v/>
      </c>
      <c r="AL274" s="30" t="str">
        <f aca="false">IF(OR($AK274="",$AK274=0),"",495/$AK274-450)</f>
        <v/>
      </c>
      <c r="AM274" s="35" t="str">
        <f aca="false">IF(OR($AL274="",$E274=""),"",$E274*$AL274/100)</f>
        <v/>
      </c>
      <c r="AN274" s="30" t="str">
        <f aca="false">IF(OR($AM274="",$E274=""),"",$E274-$AM274)</f>
        <v/>
      </c>
      <c r="AO274" s="35" t="str">
        <f aca="false">IFERROR($E274/($F274/100)^2,"")</f>
        <v/>
      </c>
      <c r="AP274" s="35" t="str">
        <f aca="false">IFERROR($G274/$F274*100,"")</f>
        <v/>
      </c>
      <c r="AQ274" s="36" t="str">
        <f aca="false">IFERROR($W274/$F274,"")</f>
        <v/>
      </c>
      <c r="AR274" s="35" t="str">
        <f aca="false">IF(OR($S274="",$I274=""),"",($S274-PI()*$I274/10)^2/(4*PI())-IF(IFERROR(INDEX(Cadastro!$F$8:$F$47,MATCH($B274,Cadastro!$B$8:$B$47,0)),"")="Feminino",6.5,10))</f>
        <v/>
      </c>
      <c r="AS274" s="35" t="str">
        <f aca="false">IF(OR($I274="",$J274="",$O274="",$F274=""),"",-0.7182+0.1451*(($I274+$J274+$O274)*(170.18/$F274))-0.00068*(($I274+$J274+$O274)*(170.18/$F274))^2+0.0000014*(($I274+$J274+$O274)*(170.18/$F274))^3)</f>
        <v/>
      </c>
      <c r="AT274" s="35" t="str">
        <f aca="false">IF(OR($AE274="",$AF274="",$T274="",$AA274="",$F274=""),"",0.858*$AE274+0.601*$AF274+0.188*($T274-$I274/10)+0.161*($AA274-$R274/10)-0.131*$F274+4.5)</f>
        <v/>
      </c>
      <c r="AU274" s="35" t="str">
        <f aca="false">IF(OR($E274="",$F274=""),"",IF($F274/$E274^(1/3)&gt;=40.75,0.732*($F274/$E274^(1/3))-28.58,IF($F274/$E274^(1/3)&gt;=38.25,0.463*($F274/$E274^(1/3))-17.63,0.1)))</f>
        <v/>
      </c>
      <c r="AV274" s="37" t="str">
        <f aca="false">IF(OR($AS274="",$AT274="",$AU274=""),"",IF(AND($AT274&gt;=$AS274,$AT274&gt;=$AU274),"Mesomorfo dominante",IF(AND($AU274&gt;=$AS274,$AU274&gt;=$AT274),"Ectomorfo dominante","Endomorfo dominante")))</f>
        <v/>
      </c>
    </row>
    <row r="275" customFormat="false" ht="15" hidden="false" customHeight="false" outlineLevel="0" collapsed="false">
      <c r="A275" s="29"/>
      <c r="B275" s="27"/>
      <c r="C275" s="28"/>
      <c r="D275" s="27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3" t="str">
        <f aca="false">IFERROR(DATEDIF(INDEX(Cadastro!$D$8:$D$47,MATCH($B275,Cadastro!$B$8:$B$47,0)),$A275,"Y"),"")</f>
        <v/>
      </c>
      <c r="AH275" s="33" t="str">
        <f aca="false">IF(COUNT($I275,$K275,$J275,$N275)&lt;4,"",$I275+$K275+$J275+$N275)</f>
        <v/>
      </c>
      <c r="AI275" s="33" t="str">
        <f aca="false">IF(COUNT($L275,$M275,$I275,$J275,$P275,$N275,$Q275)&lt;7,"",$L275+$M275+$I275+$J275+$P275+$N275+$Q275)</f>
        <v/>
      </c>
      <c r="AJ275" s="33" t="str">
        <f aca="false">IF(COUNT($I275,$J275,$K275,$O275,$P275,$Q275,$R275,$N275)&lt;8,"",$I275+$J275+$K275+$O275+$P275+$Q275+$R275+$N275)</f>
        <v/>
      </c>
      <c r="AK275" s="34" t="str">
        <f aca="false">IF(OR($AI275="",$AG275=""),"",IF(IFERROR(INDEX(Cadastro!$F$8:$F$47,MATCH($B275,Cadastro!$B$8:$B$47,0)),"")="Feminino",1.097-0.00046971*$AI275+0.00000056*$AI275^2-0.00012828*$AG275,1.112-0.00043499*$AI275+0.00000055*$AI275^2-0.00028826*$AG275))</f>
        <v/>
      </c>
      <c r="AL275" s="30" t="str">
        <f aca="false">IF(OR($AK275="",$AK275=0),"",495/$AK275-450)</f>
        <v/>
      </c>
      <c r="AM275" s="35" t="str">
        <f aca="false">IF(OR($AL275="",$E275=""),"",$E275*$AL275/100)</f>
        <v/>
      </c>
      <c r="AN275" s="30" t="str">
        <f aca="false">IF(OR($AM275="",$E275=""),"",$E275-$AM275)</f>
        <v/>
      </c>
      <c r="AO275" s="35" t="str">
        <f aca="false">IFERROR($E275/($F275/100)^2,"")</f>
        <v/>
      </c>
      <c r="AP275" s="35" t="str">
        <f aca="false">IFERROR($G275/$F275*100,"")</f>
        <v/>
      </c>
      <c r="AQ275" s="36" t="str">
        <f aca="false">IFERROR($W275/$F275,"")</f>
        <v/>
      </c>
      <c r="AR275" s="35" t="str">
        <f aca="false">IF(OR($S275="",$I275=""),"",($S275-PI()*$I275/10)^2/(4*PI())-IF(IFERROR(INDEX(Cadastro!$F$8:$F$47,MATCH($B275,Cadastro!$B$8:$B$47,0)),"")="Feminino",6.5,10))</f>
        <v/>
      </c>
      <c r="AS275" s="35" t="str">
        <f aca="false">IF(OR($I275="",$J275="",$O275="",$F275=""),"",-0.7182+0.1451*(($I275+$J275+$O275)*(170.18/$F275))-0.00068*(($I275+$J275+$O275)*(170.18/$F275))^2+0.0000014*(($I275+$J275+$O275)*(170.18/$F275))^3)</f>
        <v/>
      </c>
      <c r="AT275" s="35" t="str">
        <f aca="false">IF(OR($AE275="",$AF275="",$T275="",$AA275="",$F275=""),"",0.858*$AE275+0.601*$AF275+0.188*($T275-$I275/10)+0.161*($AA275-$R275/10)-0.131*$F275+4.5)</f>
        <v/>
      </c>
      <c r="AU275" s="35" t="str">
        <f aca="false">IF(OR($E275="",$F275=""),"",IF($F275/$E275^(1/3)&gt;=40.75,0.732*($F275/$E275^(1/3))-28.58,IF($F275/$E275^(1/3)&gt;=38.25,0.463*($F275/$E275^(1/3))-17.63,0.1)))</f>
        <v/>
      </c>
      <c r="AV275" s="37" t="str">
        <f aca="false">IF(OR($AS275="",$AT275="",$AU275=""),"",IF(AND($AT275&gt;=$AS275,$AT275&gt;=$AU275),"Mesomorfo dominante",IF(AND($AU275&gt;=$AS275,$AU275&gt;=$AT275),"Ectomorfo dominante","Endomorfo dominante")))</f>
        <v/>
      </c>
    </row>
    <row r="276" customFormat="false" ht="15" hidden="false" customHeight="false" outlineLevel="0" collapsed="false">
      <c r="A276" s="29"/>
      <c r="B276" s="27"/>
      <c r="C276" s="28"/>
      <c r="D276" s="27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3" t="str">
        <f aca="false">IFERROR(DATEDIF(INDEX(Cadastro!$D$8:$D$47,MATCH($B276,Cadastro!$B$8:$B$47,0)),$A276,"Y"),"")</f>
        <v/>
      </c>
      <c r="AH276" s="33" t="str">
        <f aca="false">IF(COUNT($I276,$K276,$J276,$N276)&lt;4,"",$I276+$K276+$J276+$N276)</f>
        <v/>
      </c>
      <c r="AI276" s="33" t="str">
        <f aca="false">IF(COUNT($L276,$M276,$I276,$J276,$P276,$N276,$Q276)&lt;7,"",$L276+$M276+$I276+$J276+$P276+$N276+$Q276)</f>
        <v/>
      </c>
      <c r="AJ276" s="33" t="str">
        <f aca="false">IF(COUNT($I276,$J276,$K276,$O276,$P276,$Q276,$R276,$N276)&lt;8,"",$I276+$J276+$K276+$O276+$P276+$Q276+$R276+$N276)</f>
        <v/>
      </c>
      <c r="AK276" s="34" t="str">
        <f aca="false">IF(OR($AI276="",$AG276=""),"",IF(IFERROR(INDEX(Cadastro!$F$8:$F$47,MATCH($B276,Cadastro!$B$8:$B$47,0)),"")="Feminino",1.097-0.00046971*$AI276+0.00000056*$AI276^2-0.00012828*$AG276,1.112-0.00043499*$AI276+0.00000055*$AI276^2-0.00028826*$AG276))</f>
        <v/>
      </c>
      <c r="AL276" s="30" t="str">
        <f aca="false">IF(OR($AK276="",$AK276=0),"",495/$AK276-450)</f>
        <v/>
      </c>
      <c r="AM276" s="35" t="str">
        <f aca="false">IF(OR($AL276="",$E276=""),"",$E276*$AL276/100)</f>
        <v/>
      </c>
      <c r="AN276" s="30" t="str">
        <f aca="false">IF(OR($AM276="",$E276=""),"",$E276-$AM276)</f>
        <v/>
      </c>
      <c r="AO276" s="35" t="str">
        <f aca="false">IFERROR($E276/($F276/100)^2,"")</f>
        <v/>
      </c>
      <c r="AP276" s="35" t="str">
        <f aca="false">IFERROR($G276/$F276*100,"")</f>
        <v/>
      </c>
      <c r="AQ276" s="36" t="str">
        <f aca="false">IFERROR($W276/$F276,"")</f>
        <v/>
      </c>
      <c r="AR276" s="35" t="str">
        <f aca="false">IF(OR($S276="",$I276=""),"",($S276-PI()*$I276/10)^2/(4*PI())-IF(IFERROR(INDEX(Cadastro!$F$8:$F$47,MATCH($B276,Cadastro!$B$8:$B$47,0)),"")="Feminino",6.5,10))</f>
        <v/>
      </c>
      <c r="AS276" s="35" t="str">
        <f aca="false">IF(OR($I276="",$J276="",$O276="",$F276=""),"",-0.7182+0.1451*(($I276+$J276+$O276)*(170.18/$F276))-0.00068*(($I276+$J276+$O276)*(170.18/$F276))^2+0.0000014*(($I276+$J276+$O276)*(170.18/$F276))^3)</f>
        <v/>
      </c>
      <c r="AT276" s="35" t="str">
        <f aca="false">IF(OR($AE276="",$AF276="",$T276="",$AA276="",$F276=""),"",0.858*$AE276+0.601*$AF276+0.188*($T276-$I276/10)+0.161*($AA276-$R276/10)-0.131*$F276+4.5)</f>
        <v/>
      </c>
      <c r="AU276" s="35" t="str">
        <f aca="false">IF(OR($E276="",$F276=""),"",IF($F276/$E276^(1/3)&gt;=40.75,0.732*($F276/$E276^(1/3))-28.58,IF($F276/$E276^(1/3)&gt;=38.25,0.463*($F276/$E276^(1/3))-17.63,0.1)))</f>
        <v/>
      </c>
      <c r="AV276" s="37" t="str">
        <f aca="false">IF(OR($AS276="",$AT276="",$AU276=""),"",IF(AND($AT276&gt;=$AS276,$AT276&gt;=$AU276),"Mesomorfo dominante",IF(AND($AU276&gt;=$AS276,$AU276&gt;=$AT276),"Ectomorfo dominante","Endomorfo dominante")))</f>
        <v/>
      </c>
    </row>
    <row r="277" customFormat="false" ht="15" hidden="false" customHeight="false" outlineLevel="0" collapsed="false">
      <c r="A277" s="29"/>
      <c r="B277" s="27"/>
      <c r="C277" s="28"/>
      <c r="D277" s="27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3" t="str">
        <f aca="false">IFERROR(DATEDIF(INDEX(Cadastro!$D$8:$D$47,MATCH($B277,Cadastro!$B$8:$B$47,0)),$A277,"Y"),"")</f>
        <v/>
      </c>
      <c r="AH277" s="33" t="str">
        <f aca="false">IF(COUNT($I277,$K277,$J277,$N277)&lt;4,"",$I277+$K277+$J277+$N277)</f>
        <v/>
      </c>
      <c r="AI277" s="33" t="str">
        <f aca="false">IF(COUNT($L277,$M277,$I277,$J277,$P277,$N277,$Q277)&lt;7,"",$L277+$M277+$I277+$J277+$P277+$N277+$Q277)</f>
        <v/>
      </c>
      <c r="AJ277" s="33" t="str">
        <f aca="false">IF(COUNT($I277,$J277,$K277,$O277,$P277,$Q277,$R277,$N277)&lt;8,"",$I277+$J277+$K277+$O277+$P277+$Q277+$R277+$N277)</f>
        <v/>
      </c>
      <c r="AK277" s="34" t="str">
        <f aca="false">IF(OR($AI277="",$AG277=""),"",IF(IFERROR(INDEX(Cadastro!$F$8:$F$47,MATCH($B277,Cadastro!$B$8:$B$47,0)),"")="Feminino",1.097-0.00046971*$AI277+0.00000056*$AI277^2-0.00012828*$AG277,1.112-0.00043499*$AI277+0.00000055*$AI277^2-0.00028826*$AG277))</f>
        <v/>
      </c>
      <c r="AL277" s="30" t="str">
        <f aca="false">IF(OR($AK277="",$AK277=0),"",495/$AK277-450)</f>
        <v/>
      </c>
      <c r="AM277" s="35" t="str">
        <f aca="false">IF(OR($AL277="",$E277=""),"",$E277*$AL277/100)</f>
        <v/>
      </c>
      <c r="AN277" s="30" t="str">
        <f aca="false">IF(OR($AM277="",$E277=""),"",$E277-$AM277)</f>
        <v/>
      </c>
      <c r="AO277" s="35" t="str">
        <f aca="false">IFERROR($E277/($F277/100)^2,"")</f>
        <v/>
      </c>
      <c r="AP277" s="35" t="str">
        <f aca="false">IFERROR($G277/$F277*100,"")</f>
        <v/>
      </c>
      <c r="AQ277" s="36" t="str">
        <f aca="false">IFERROR($W277/$F277,"")</f>
        <v/>
      </c>
      <c r="AR277" s="35" t="str">
        <f aca="false">IF(OR($S277="",$I277=""),"",($S277-PI()*$I277/10)^2/(4*PI())-IF(IFERROR(INDEX(Cadastro!$F$8:$F$47,MATCH($B277,Cadastro!$B$8:$B$47,0)),"")="Feminino",6.5,10))</f>
        <v/>
      </c>
      <c r="AS277" s="35" t="str">
        <f aca="false">IF(OR($I277="",$J277="",$O277="",$F277=""),"",-0.7182+0.1451*(($I277+$J277+$O277)*(170.18/$F277))-0.00068*(($I277+$J277+$O277)*(170.18/$F277))^2+0.0000014*(($I277+$J277+$O277)*(170.18/$F277))^3)</f>
        <v/>
      </c>
      <c r="AT277" s="35" t="str">
        <f aca="false">IF(OR($AE277="",$AF277="",$T277="",$AA277="",$F277=""),"",0.858*$AE277+0.601*$AF277+0.188*($T277-$I277/10)+0.161*($AA277-$R277/10)-0.131*$F277+4.5)</f>
        <v/>
      </c>
      <c r="AU277" s="35" t="str">
        <f aca="false">IF(OR($E277="",$F277=""),"",IF($F277/$E277^(1/3)&gt;=40.75,0.732*($F277/$E277^(1/3))-28.58,IF($F277/$E277^(1/3)&gt;=38.25,0.463*($F277/$E277^(1/3))-17.63,0.1)))</f>
        <v/>
      </c>
      <c r="AV277" s="37" t="str">
        <f aca="false">IF(OR($AS277="",$AT277="",$AU277=""),"",IF(AND($AT277&gt;=$AS277,$AT277&gt;=$AU277),"Mesomorfo dominante",IF(AND($AU277&gt;=$AS277,$AU277&gt;=$AT277),"Ectomorfo dominante","Endomorfo dominante")))</f>
        <v/>
      </c>
    </row>
    <row r="278" customFormat="false" ht="15" hidden="false" customHeight="false" outlineLevel="0" collapsed="false">
      <c r="A278" s="29"/>
      <c r="B278" s="27"/>
      <c r="C278" s="28"/>
      <c r="D278" s="27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3" t="str">
        <f aca="false">IFERROR(DATEDIF(INDEX(Cadastro!$D$8:$D$47,MATCH($B278,Cadastro!$B$8:$B$47,0)),$A278,"Y"),"")</f>
        <v/>
      </c>
      <c r="AH278" s="33" t="str">
        <f aca="false">IF(COUNT($I278,$K278,$J278,$N278)&lt;4,"",$I278+$K278+$J278+$N278)</f>
        <v/>
      </c>
      <c r="AI278" s="33" t="str">
        <f aca="false">IF(COUNT($L278,$M278,$I278,$J278,$P278,$N278,$Q278)&lt;7,"",$L278+$M278+$I278+$J278+$P278+$N278+$Q278)</f>
        <v/>
      </c>
      <c r="AJ278" s="33" t="str">
        <f aca="false">IF(COUNT($I278,$J278,$K278,$O278,$P278,$Q278,$R278,$N278)&lt;8,"",$I278+$J278+$K278+$O278+$P278+$Q278+$R278+$N278)</f>
        <v/>
      </c>
      <c r="AK278" s="34" t="str">
        <f aca="false">IF(OR($AI278="",$AG278=""),"",IF(IFERROR(INDEX(Cadastro!$F$8:$F$47,MATCH($B278,Cadastro!$B$8:$B$47,0)),"")="Feminino",1.097-0.00046971*$AI278+0.00000056*$AI278^2-0.00012828*$AG278,1.112-0.00043499*$AI278+0.00000055*$AI278^2-0.00028826*$AG278))</f>
        <v/>
      </c>
      <c r="AL278" s="30" t="str">
        <f aca="false">IF(OR($AK278="",$AK278=0),"",495/$AK278-450)</f>
        <v/>
      </c>
      <c r="AM278" s="35" t="str">
        <f aca="false">IF(OR($AL278="",$E278=""),"",$E278*$AL278/100)</f>
        <v/>
      </c>
      <c r="AN278" s="30" t="str">
        <f aca="false">IF(OR($AM278="",$E278=""),"",$E278-$AM278)</f>
        <v/>
      </c>
      <c r="AO278" s="35" t="str">
        <f aca="false">IFERROR($E278/($F278/100)^2,"")</f>
        <v/>
      </c>
      <c r="AP278" s="35" t="str">
        <f aca="false">IFERROR($G278/$F278*100,"")</f>
        <v/>
      </c>
      <c r="AQ278" s="36" t="str">
        <f aca="false">IFERROR($W278/$F278,"")</f>
        <v/>
      </c>
      <c r="AR278" s="35" t="str">
        <f aca="false">IF(OR($S278="",$I278=""),"",($S278-PI()*$I278/10)^2/(4*PI())-IF(IFERROR(INDEX(Cadastro!$F$8:$F$47,MATCH($B278,Cadastro!$B$8:$B$47,0)),"")="Feminino",6.5,10))</f>
        <v/>
      </c>
      <c r="AS278" s="35" t="str">
        <f aca="false">IF(OR($I278="",$J278="",$O278="",$F278=""),"",-0.7182+0.1451*(($I278+$J278+$O278)*(170.18/$F278))-0.00068*(($I278+$J278+$O278)*(170.18/$F278))^2+0.0000014*(($I278+$J278+$O278)*(170.18/$F278))^3)</f>
        <v/>
      </c>
      <c r="AT278" s="35" t="str">
        <f aca="false">IF(OR($AE278="",$AF278="",$T278="",$AA278="",$F278=""),"",0.858*$AE278+0.601*$AF278+0.188*($T278-$I278/10)+0.161*($AA278-$R278/10)-0.131*$F278+4.5)</f>
        <v/>
      </c>
      <c r="AU278" s="35" t="str">
        <f aca="false">IF(OR($E278="",$F278=""),"",IF($F278/$E278^(1/3)&gt;=40.75,0.732*($F278/$E278^(1/3))-28.58,IF($F278/$E278^(1/3)&gt;=38.25,0.463*($F278/$E278^(1/3))-17.63,0.1)))</f>
        <v/>
      </c>
      <c r="AV278" s="37" t="str">
        <f aca="false">IF(OR($AS278="",$AT278="",$AU278=""),"",IF(AND($AT278&gt;=$AS278,$AT278&gt;=$AU278),"Mesomorfo dominante",IF(AND($AU278&gt;=$AS278,$AU278&gt;=$AT278),"Ectomorfo dominante","Endomorfo dominante")))</f>
        <v/>
      </c>
    </row>
    <row r="279" customFormat="false" ht="15" hidden="false" customHeight="false" outlineLevel="0" collapsed="false">
      <c r="A279" s="29"/>
      <c r="B279" s="27"/>
      <c r="C279" s="28"/>
      <c r="D279" s="27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3" t="str">
        <f aca="false">IFERROR(DATEDIF(INDEX(Cadastro!$D$8:$D$47,MATCH($B279,Cadastro!$B$8:$B$47,0)),$A279,"Y"),"")</f>
        <v/>
      </c>
      <c r="AH279" s="33" t="str">
        <f aca="false">IF(COUNT($I279,$K279,$J279,$N279)&lt;4,"",$I279+$K279+$J279+$N279)</f>
        <v/>
      </c>
      <c r="AI279" s="33" t="str">
        <f aca="false">IF(COUNT($L279,$M279,$I279,$J279,$P279,$N279,$Q279)&lt;7,"",$L279+$M279+$I279+$J279+$P279+$N279+$Q279)</f>
        <v/>
      </c>
      <c r="AJ279" s="33" t="str">
        <f aca="false">IF(COUNT($I279,$J279,$K279,$O279,$P279,$Q279,$R279,$N279)&lt;8,"",$I279+$J279+$K279+$O279+$P279+$Q279+$R279+$N279)</f>
        <v/>
      </c>
      <c r="AK279" s="34" t="str">
        <f aca="false">IF(OR($AI279="",$AG279=""),"",IF(IFERROR(INDEX(Cadastro!$F$8:$F$47,MATCH($B279,Cadastro!$B$8:$B$47,0)),"")="Feminino",1.097-0.00046971*$AI279+0.00000056*$AI279^2-0.00012828*$AG279,1.112-0.00043499*$AI279+0.00000055*$AI279^2-0.00028826*$AG279))</f>
        <v/>
      </c>
      <c r="AL279" s="30" t="str">
        <f aca="false">IF(OR($AK279="",$AK279=0),"",495/$AK279-450)</f>
        <v/>
      </c>
      <c r="AM279" s="35" t="str">
        <f aca="false">IF(OR($AL279="",$E279=""),"",$E279*$AL279/100)</f>
        <v/>
      </c>
      <c r="AN279" s="30" t="str">
        <f aca="false">IF(OR($AM279="",$E279=""),"",$E279-$AM279)</f>
        <v/>
      </c>
      <c r="AO279" s="35" t="str">
        <f aca="false">IFERROR($E279/($F279/100)^2,"")</f>
        <v/>
      </c>
      <c r="AP279" s="35" t="str">
        <f aca="false">IFERROR($G279/$F279*100,"")</f>
        <v/>
      </c>
      <c r="AQ279" s="36" t="str">
        <f aca="false">IFERROR($W279/$F279,"")</f>
        <v/>
      </c>
      <c r="AR279" s="35" t="str">
        <f aca="false">IF(OR($S279="",$I279=""),"",($S279-PI()*$I279/10)^2/(4*PI())-IF(IFERROR(INDEX(Cadastro!$F$8:$F$47,MATCH($B279,Cadastro!$B$8:$B$47,0)),"")="Feminino",6.5,10))</f>
        <v/>
      </c>
      <c r="AS279" s="35" t="str">
        <f aca="false">IF(OR($I279="",$J279="",$O279="",$F279=""),"",-0.7182+0.1451*(($I279+$J279+$O279)*(170.18/$F279))-0.00068*(($I279+$J279+$O279)*(170.18/$F279))^2+0.0000014*(($I279+$J279+$O279)*(170.18/$F279))^3)</f>
        <v/>
      </c>
      <c r="AT279" s="35" t="str">
        <f aca="false">IF(OR($AE279="",$AF279="",$T279="",$AA279="",$F279=""),"",0.858*$AE279+0.601*$AF279+0.188*($T279-$I279/10)+0.161*($AA279-$R279/10)-0.131*$F279+4.5)</f>
        <v/>
      </c>
      <c r="AU279" s="35" t="str">
        <f aca="false">IF(OR($E279="",$F279=""),"",IF($F279/$E279^(1/3)&gt;=40.75,0.732*($F279/$E279^(1/3))-28.58,IF($F279/$E279^(1/3)&gt;=38.25,0.463*($F279/$E279^(1/3))-17.63,0.1)))</f>
        <v/>
      </c>
      <c r="AV279" s="37" t="str">
        <f aca="false">IF(OR($AS279="",$AT279="",$AU279=""),"",IF(AND($AT279&gt;=$AS279,$AT279&gt;=$AU279),"Mesomorfo dominante",IF(AND($AU279&gt;=$AS279,$AU279&gt;=$AT279),"Ectomorfo dominante","Endomorfo dominante")))</f>
        <v/>
      </c>
    </row>
    <row r="280" customFormat="false" ht="15" hidden="false" customHeight="false" outlineLevel="0" collapsed="false">
      <c r="A280" s="29"/>
      <c r="B280" s="27"/>
      <c r="C280" s="28"/>
      <c r="D280" s="27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3" t="str">
        <f aca="false">IFERROR(DATEDIF(INDEX(Cadastro!$D$8:$D$47,MATCH($B280,Cadastro!$B$8:$B$47,0)),$A280,"Y"),"")</f>
        <v/>
      </c>
      <c r="AH280" s="33" t="str">
        <f aca="false">IF(COUNT($I280,$K280,$J280,$N280)&lt;4,"",$I280+$K280+$J280+$N280)</f>
        <v/>
      </c>
      <c r="AI280" s="33" t="str">
        <f aca="false">IF(COUNT($L280,$M280,$I280,$J280,$P280,$N280,$Q280)&lt;7,"",$L280+$M280+$I280+$J280+$P280+$N280+$Q280)</f>
        <v/>
      </c>
      <c r="AJ280" s="33" t="str">
        <f aca="false">IF(COUNT($I280,$J280,$K280,$O280,$P280,$Q280,$R280,$N280)&lt;8,"",$I280+$J280+$K280+$O280+$P280+$Q280+$R280+$N280)</f>
        <v/>
      </c>
      <c r="AK280" s="34" t="str">
        <f aca="false">IF(OR($AI280="",$AG280=""),"",IF(IFERROR(INDEX(Cadastro!$F$8:$F$47,MATCH($B280,Cadastro!$B$8:$B$47,0)),"")="Feminino",1.097-0.00046971*$AI280+0.00000056*$AI280^2-0.00012828*$AG280,1.112-0.00043499*$AI280+0.00000055*$AI280^2-0.00028826*$AG280))</f>
        <v/>
      </c>
      <c r="AL280" s="30" t="str">
        <f aca="false">IF(OR($AK280="",$AK280=0),"",495/$AK280-450)</f>
        <v/>
      </c>
      <c r="AM280" s="35" t="str">
        <f aca="false">IF(OR($AL280="",$E280=""),"",$E280*$AL280/100)</f>
        <v/>
      </c>
      <c r="AN280" s="30" t="str">
        <f aca="false">IF(OR($AM280="",$E280=""),"",$E280-$AM280)</f>
        <v/>
      </c>
      <c r="AO280" s="35" t="str">
        <f aca="false">IFERROR($E280/($F280/100)^2,"")</f>
        <v/>
      </c>
      <c r="AP280" s="35" t="str">
        <f aca="false">IFERROR($G280/$F280*100,"")</f>
        <v/>
      </c>
      <c r="AQ280" s="36" t="str">
        <f aca="false">IFERROR($W280/$F280,"")</f>
        <v/>
      </c>
      <c r="AR280" s="35" t="str">
        <f aca="false">IF(OR($S280="",$I280=""),"",($S280-PI()*$I280/10)^2/(4*PI())-IF(IFERROR(INDEX(Cadastro!$F$8:$F$47,MATCH($B280,Cadastro!$B$8:$B$47,0)),"")="Feminino",6.5,10))</f>
        <v/>
      </c>
      <c r="AS280" s="35" t="str">
        <f aca="false">IF(OR($I280="",$J280="",$O280="",$F280=""),"",-0.7182+0.1451*(($I280+$J280+$O280)*(170.18/$F280))-0.00068*(($I280+$J280+$O280)*(170.18/$F280))^2+0.0000014*(($I280+$J280+$O280)*(170.18/$F280))^3)</f>
        <v/>
      </c>
      <c r="AT280" s="35" t="str">
        <f aca="false">IF(OR($AE280="",$AF280="",$T280="",$AA280="",$F280=""),"",0.858*$AE280+0.601*$AF280+0.188*($T280-$I280/10)+0.161*($AA280-$R280/10)-0.131*$F280+4.5)</f>
        <v/>
      </c>
      <c r="AU280" s="35" t="str">
        <f aca="false">IF(OR($E280="",$F280=""),"",IF($F280/$E280^(1/3)&gt;=40.75,0.732*($F280/$E280^(1/3))-28.58,IF($F280/$E280^(1/3)&gt;=38.25,0.463*($F280/$E280^(1/3))-17.63,0.1)))</f>
        <v/>
      </c>
      <c r="AV280" s="37" t="str">
        <f aca="false">IF(OR($AS280="",$AT280="",$AU280=""),"",IF(AND($AT280&gt;=$AS280,$AT280&gt;=$AU280),"Mesomorfo dominante",IF(AND($AU280&gt;=$AS280,$AU280&gt;=$AT280),"Ectomorfo dominante","Endomorfo dominante")))</f>
        <v/>
      </c>
    </row>
    <row r="281" customFormat="false" ht="15" hidden="false" customHeight="false" outlineLevel="0" collapsed="false">
      <c r="A281" s="29"/>
      <c r="B281" s="27"/>
      <c r="C281" s="28"/>
      <c r="D281" s="27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3" t="str">
        <f aca="false">IFERROR(DATEDIF(INDEX(Cadastro!$D$8:$D$47,MATCH($B281,Cadastro!$B$8:$B$47,0)),$A281,"Y"),"")</f>
        <v/>
      </c>
      <c r="AH281" s="33" t="str">
        <f aca="false">IF(COUNT($I281,$K281,$J281,$N281)&lt;4,"",$I281+$K281+$J281+$N281)</f>
        <v/>
      </c>
      <c r="AI281" s="33" t="str">
        <f aca="false">IF(COUNT($L281,$M281,$I281,$J281,$P281,$N281,$Q281)&lt;7,"",$L281+$M281+$I281+$J281+$P281+$N281+$Q281)</f>
        <v/>
      </c>
      <c r="AJ281" s="33" t="str">
        <f aca="false">IF(COUNT($I281,$J281,$K281,$O281,$P281,$Q281,$R281,$N281)&lt;8,"",$I281+$J281+$K281+$O281+$P281+$Q281+$R281+$N281)</f>
        <v/>
      </c>
      <c r="AK281" s="34" t="str">
        <f aca="false">IF(OR($AI281="",$AG281=""),"",IF(IFERROR(INDEX(Cadastro!$F$8:$F$47,MATCH($B281,Cadastro!$B$8:$B$47,0)),"")="Feminino",1.097-0.00046971*$AI281+0.00000056*$AI281^2-0.00012828*$AG281,1.112-0.00043499*$AI281+0.00000055*$AI281^2-0.00028826*$AG281))</f>
        <v/>
      </c>
      <c r="AL281" s="30" t="str">
        <f aca="false">IF(OR($AK281="",$AK281=0),"",495/$AK281-450)</f>
        <v/>
      </c>
      <c r="AM281" s="35" t="str">
        <f aca="false">IF(OR($AL281="",$E281=""),"",$E281*$AL281/100)</f>
        <v/>
      </c>
      <c r="AN281" s="30" t="str">
        <f aca="false">IF(OR($AM281="",$E281=""),"",$E281-$AM281)</f>
        <v/>
      </c>
      <c r="AO281" s="35" t="str">
        <f aca="false">IFERROR($E281/($F281/100)^2,"")</f>
        <v/>
      </c>
      <c r="AP281" s="35" t="str">
        <f aca="false">IFERROR($G281/$F281*100,"")</f>
        <v/>
      </c>
      <c r="AQ281" s="36" t="str">
        <f aca="false">IFERROR($W281/$F281,"")</f>
        <v/>
      </c>
      <c r="AR281" s="35" t="str">
        <f aca="false">IF(OR($S281="",$I281=""),"",($S281-PI()*$I281/10)^2/(4*PI())-IF(IFERROR(INDEX(Cadastro!$F$8:$F$47,MATCH($B281,Cadastro!$B$8:$B$47,0)),"")="Feminino",6.5,10))</f>
        <v/>
      </c>
      <c r="AS281" s="35" t="str">
        <f aca="false">IF(OR($I281="",$J281="",$O281="",$F281=""),"",-0.7182+0.1451*(($I281+$J281+$O281)*(170.18/$F281))-0.00068*(($I281+$J281+$O281)*(170.18/$F281))^2+0.0000014*(($I281+$J281+$O281)*(170.18/$F281))^3)</f>
        <v/>
      </c>
      <c r="AT281" s="35" t="str">
        <f aca="false">IF(OR($AE281="",$AF281="",$T281="",$AA281="",$F281=""),"",0.858*$AE281+0.601*$AF281+0.188*($T281-$I281/10)+0.161*($AA281-$R281/10)-0.131*$F281+4.5)</f>
        <v/>
      </c>
      <c r="AU281" s="35" t="str">
        <f aca="false">IF(OR($E281="",$F281=""),"",IF($F281/$E281^(1/3)&gt;=40.75,0.732*($F281/$E281^(1/3))-28.58,IF($F281/$E281^(1/3)&gt;=38.25,0.463*($F281/$E281^(1/3))-17.63,0.1)))</f>
        <v/>
      </c>
      <c r="AV281" s="37" t="str">
        <f aca="false">IF(OR($AS281="",$AT281="",$AU281=""),"",IF(AND($AT281&gt;=$AS281,$AT281&gt;=$AU281),"Mesomorfo dominante",IF(AND($AU281&gt;=$AS281,$AU281&gt;=$AT281),"Ectomorfo dominante","Endomorfo dominante")))</f>
        <v/>
      </c>
    </row>
    <row r="282" customFormat="false" ht="15" hidden="false" customHeight="false" outlineLevel="0" collapsed="false">
      <c r="A282" s="29"/>
      <c r="B282" s="27"/>
      <c r="C282" s="28"/>
      <c r="D282" s="27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3" t="str">
        <f aca="false">IFERROR(DATEDIF(INDEX(Cadastro!$D$8:$D$47,MATCH($B282,Cadastro!$B$8:$B$47,0)),$A282,"Y"),"")</f>
        <v/>
      </c>
      <c r="AH282" s="33" t="str">
        <f aca="false">IF(COUNT($I282,$K282,$J282,$N282)&lt;4,"",$I282+$K282+$J282+$N282)</f>
        <v/>
      </c>
      <c r="AI282" s="33" t="str">
        <f aca="false">IF(COUNT($L282,$M282,$I282,$J282,$P282,$N282,$Q282)&lt;7,"",$L282+$M282+$I282+$J282+$P282+$N282+$Q282)</f>
        <v/>
      </c>
      <c r="AJ282" s="33" t="str">
        <f aca="false">IF(COUNT($I282,$J282,$K282,$O282,$P282,$Q282,$R282,$N282)&lt;8,"",$I282+$J282+$K282+$O282+$P282+$Q282+$R282+$N282)</f>
        <v/>
      </c>
      <c r="AK282" s="34" t="str">
        <f aca="false">IF(OR($AI282="",$AG282=""),"",IF(IFERROR(INDEX(Cadastro!$F$8:$F$47,MATCH($B282,Cadastro!$B$8:$B$47,0)),"")="Feminino",1.097-0.00046971*$AI282+0.00000056*$AI282^2-0.00012828*$AG282,1.112-0.00043499*$AI282+0.00000055*$AI282^2-0.00028826*$AG282))</f>
        <v/>
      </c>
      <c r="AL282" s="30" t="str">
        <f aca="false">IF(OR($AK282="",$AK282=0),"",495/$AK282-450)</f>
        <v/>
      </c>
      <c r="AM282" s="35" t="str">
        <f aca="false">IF(OR($AL282="",$E282=""),"",$E282*$AL282/100)</f>
        <v/>
      </c>
      <c r="AN282" s="30" t="str">
        <f aca="false">IF(OR($AM282="",$E282=""),"",$E282-$AM282)</f>
        <v/>
      </c>
      <c r="AO282" s="35" t="str">
        <f aca="false">IFERROR($E282/($F282/100)^2,"")</f>
        <v/>
      </c>
      <c r="AP282" s="35" t="str">
        <f aca="false">IFERROR($G282/$F282*100,"")</f>
        <v/>
      </c>
      <c r="AQ282" s="36" t="str">
        <f aca="false">IFERROR($W282/$F282,"")</f>
        <v/>
      </c>
      <c r="AR282" s="35" t="str">
        <f aca="false">IF(OR($S282="",$I282=""),"",($S282-PI()*$I282/10)^2/(4*PI())-IF(IFERROR(INDEX(Cadastro!$F$8:$F$47,MATCH($B282,Cadastro!$B$8:$B$47,0)),"")="Feminino",6.5,10))</f>
        <v/>
      </c>
      <c r="AS282" s="35" t="str">
        <f aca="false">IF(OR($I282="",$J282="",$O282="",$F282=""),"",-0.7182+0.1451*(($I282+$J282+$O282)*(170.18/$F282))-0.00068*(($I282+$J282+$O282)*(170.18/$F282))^2+0.0000014*(($I282+$J282+$O282)*(170.18/$F282))^3)</f>
        <v/>
      </c>
      <c r="AT282" s="35" t="str">
        <f aca="false">IF(OR($AE282="",$AF282="",$T282="",$AA282="",$F282=""),"",0.858*$AE282+0.601*$AF282+0.188*($T282-$I282/10)+0.161*($AA282-$R282/10)-0.131*$F282+4.5)</f>
        <v/>
      </c>
      <c r="AU282" s="35" t="str">
        <f aca="false">IF(OR($E282="",$F282=""),"",IF($F282/$E282^(1/3)&gt;=40.75,0.732*($F282/$E282^(1/3))-28.58,IF($F282/$E282^(1/3)&gt;=38.25,0.463*($F282/$E282^(1/3))-17.63,0.1)))</f>
        <v/>
      </c>
      <c r="AV282" s="37" t="str">
        <f aca="false">IF(OR($AS282="",$AT282="",$AU282=""),"",IF(AND($AT282&gt;=$AS282,$AT282&gt;=$AU282),"Mesomorfo dominante",IF(AND($AU282&gt;=$AS282,$AU282&gt;=$AT282),"Ectomorfo dominante","Endomorfo dominante")))</f>
        <v/>
      </c>
    </row>
    <row r="283" customFormat="false" ht="15" hidden="false" customHeight="false" outlineLevel="0" collapsed="false">
      <c r="A283" s="29"/>
      <c r="B283" s="27"/>
      <c r="C283" s="28"/>
      <c r="D283" s="27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3" t="str">
        <f aca="false">IFERROR(DATEDIF(INDEX(Cadastro!$D$8:$D$47,MATCH($B283,Cadastro!$B$8:$B$47,0)),$A283,"Y"),"")</f>
        <v/>
      </c>
      <c r="AH283" s="33" t="str">
        <f aca="false">IF(COUNT($I283,$K283,$J283,$N283)&lt;4,"",$I283+$K283+$J283+$N283)</f>
        <v/>
      </c>
      <c r="AI283" s="33" t="str">
        <f aca="false">IF(COUNT($L283,$M283,$I283,$J283,$P283,$N283,$Q283)&lt;7,"",$L283+$M283+$I283+$J283+$P283+$N283+$Q283)</f>
        <v/>
      </c>
      <c r="AJ283" s="33" t="str">
        <f aca="false">IF(COUNT($I283,$J283,$K283,$O283,$P283,$Q283,$R283,$N283)&lt;8,"",$I283+$J283+$K283+$O283+$P283+$Q283+$R283+$N283)</f>
        <v/>
      </c>
      <c r="AK283" s="34" t="str">
        <f aca="false">IF(OR($AI283="",$AG283=""),"",IF(IFERROR(INDEX(Cadastro!$F$8:$F$47,MATCH($B283,Cadastro!$B$8:$B$47,0)),"")="Feminino",1.097-0.00046971*$AI283+0.00000056*$AI283^2-0.00012828*$AG283,1.112-0.00043499*$AI283+0.00000055*$AI283^2-0.00028826*$AG283))</f>
        <v/>
      </c>
      <c r="AL283" s="30" t="str">
        <f aca="false">IF(OR($AK283="",$AK283=0),"",495/$AK283-450)</f>
        <v/>
      </c>
      <c r="AM283" s="35" t="str">
        <f aca="false">IF(OR($AL283="",$E283=""),"",$E283*$AL283/100)</f>
        <v/>
      </c>
      <c r="AN283" s="30" t="str">
        <f aca="false">IF(OR($AM283="",$E283=""),"",$E283-$AM283)</f>
        <v/>
      </c>
      <c r="AO283" s="35" t="str">
        <f aca="false">IFERROR($E283/($F283/100)^2,"")</f>
        <v/>
      </c>
      <c r="AP283" s="35" t="str">
        <f aca="false">IFERROR($G283/$F283*100,"")</f>
        <v/>
      </c>
      <c r="AQ283" s="36" t="str">
        <f aca="false">IFERROR($W283/$F283,"")</f>
        <v/>
      </c>
      <c r="AR283" s="35" t="str">
        <f aca="false">IF(OR($S283="",$I283=""),"",($S283-PI()*$I283/10)^2/(4*PI())-IF(IFERROR(INDEX(Cadastro!$F$8:$F$47,MATCH($B283,Cadastro!$B$8:$B$47,0)),"")="Feminino",6.5,10))</f>
        <v/>
      </c>
      <c r="AS283" s="35" t="str">
        <f aca="false">IF(OR($I283="",$J283="",$O283="",$F283=""),"",-0.7182+0.1451*(($I283+$J283+$O283)*(170.18/$F283))-0.00068*(($I283+$J283+$O283)*(170.18/$F283))^2+0.0000014*(($I283+$J283+$O283)*(170.18/$F283))^3)</f>
        <v/>
      </c>
      <c r="AT283" s="35" t="str">
        <f aca="false">IF(OR($AE283="",$AF283="",$T283="",$AA283="",$F283=""),"",0.858*$AE283+0.601*$AF283+0.188*($T283-$I283/10)+0.161*($AA283-$R283/10)-0.131*$F283+4.5)</f>
        <v/>
      </c>
      <c r="AU283" s="35" t="str">
        <f aca="false">IF(OR($E283="",$F283=""),"",IF($F283/$E283^(1/3)&gt;=40.75,0.732*($F283/$E283^(1/3))-28.58,IF($F283/$E283^(1/3)&gt;=38.25,0.463*($F283/$E283^(1/3))-17.63,0.1)))</f>
        <v/>
      </c>
      <c r="AV283" s="37" t="str">
        <f aca="false">IF(OR($AS283="",$AT283="",$AU283=""),"",IF(AND($AT283&gt;=$AS283,$AT283&gt;=$AU283),"Mesomorfo dominante",IF(AND($AU283&gt;=$AS283,$AU283&gt;=$AT283),"Ectomorfo dominante","Endomorfo dominante")))</f>
        <v/>
      </c>
    </row>
    <row r="284" customFormat="false" ht="15" hidden="false" customHeight="false" outlineLevel="0" collapsed="false">
      <c r="A284" s="29"/>
      <c r="B284" s="27"/>
      <c r="C284" s="28"/>
      <c r="D284" s="27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3" t="str">
        <f aca="false">IFERROR(DATEDIF(INDEX(Cadastro!$D$8:$D$47,MATCH($B284,Cadastro!$B$8:$B$47,0)),$A284,"Y"),"")</f>
        <v/>
      </c>
      <c r="AH284" s="33" t="str">
        <f aca="false">IF(COUNT($I284,$K284,$J284,$N284)&lt;4,"",$I284+$K284+$J284+$N284)</f>
        <v/>
      </c>
      <c r="AI284" s="33" t="str">
        <f aca="false">IF(COUNT($L284,$M284,$I284,$J284,$P284,$N284,$Q284)&lt;7,"",$L284+$M284+$I284+$J284+$P284+$N284+$Q284)</f>
        <v/>
      </c>
      <c r="AJ284" s="33" t="str">
        <f aca="false">IF(COUNT($I284,$J284,$K284,$O284,$P284,$Q284,$R284,$N284)&lt;8,"",$I284+$J284+$K284+$O284+$P284+$Q284+$R284+$N284)</f>
        <v/>
      </c>
      <c r="AK284" s="34" t="str">
        <f aca="false">IF(OR($AI284="",$AG284=""),"",IF(IFERROR(INDEX(Cadastro!$F$8:$F$47,MATCH($B284,Cadastro!$B$8:$B$47,0)),"")="Feminino",1.097-0.00046971*$AI284+0.00000056*$AI284^2-0.00012828*$AG284,1.112-0.00043499*$AI284+0.00000055*$AI284^2-0.00028826*$AG284))</f>
        <v/>
      </c>
      <c r="AL284" s="30" t="str">
        <f aca="false">IF(OR($AK284="",$AK284=0),"",495/$AK284-450)</f>
        <v/>
      </c>
      <c r="AM284" s="35" t="str">
        <f aca="false">IF(OR($AL284="",$E284=""),"",$E284*$AL284/100)</f>
        <v/>
      </c>
      <c r="AN284" s="30" t="str">
        <f aca="false">IF(OR($AM284="",$E284=""),"",$E284-$AM284)</f>
        <v/>
      </c>
      <c r="AO284" s="35" t="str">
        <f aca="false">IFERROR($E284/($F284/100)^2,"")</f>
        <v/>
      </c>
      <c r="AP284" s="35" t="str">
        <f aca="false">IFERROR($G284/$F284*100,"")</f>
        <v/>
      </c>
      <c r="AQ284" s="36" t="str">
        <f aca="false">IFERROR($W284/$F284,"")</f>
        <v/>
      </c>
      <c r="AR284" s="35" t="str">
        <f aca="false">IF(OR($S284="",$I284=""),"",($S284-PI()*$I284/10)^2/(4*PI())-IF(IFERROR(INDEX(Cadastro!$F$8:$F$47,MATCH($B284,Cadastro!$B$8:$B$47,0)),"")="Feminino",6.5,10))</f>
        <v/>
      </c>
      <c r="AS284" s="35" t="str">
        <f aca="false">IF(OR($I284="",$J284="",$O284="",$F284=""),"",-0.7182+0.1451*(($I284+$J284+$O284)*(170.18/$F284))-0.00068*(($I284+$J284+$O284)*(170.18/$F284))^2+0.0000014*(($I284+$J284+$O284)*(170.18/$F284))^3)</f>
        <v/>
      </c>
      <c r="AT284" s="35" t="str">
        <f aca="false">IF(OR($AE284="",$AF284="",$T284="",$AA284="",$F284=""),"",0.858*$AE284+0.601*$AF284+0.188*($T284-$I284/10)+0.161*($AA284-$R284/10)-0.131*$F284+4.5)</f>
        <v/>
      </c>
      <c r="AU284" s="35" t="str">
        <f aca="false">IF(OR($E284="",$F284=""),"",IF($F284/$E284^(1/3)&gt;=40.75,0.732*($F284/$E284^(1/3))-28.58,IF($F284/$E284^(1/3)&gt;=38.25,0.463*($F284/$E284^(1/3))-17.63,0.1)))</f>
        <v/>
      </c>
      <c r="AV284" s="37" t="str">
        <f aca="false">IF(OR($AS284="",$AT284="",$AU284=""),"",IF(AND($AT284&gt;=$AS284,$AT284&gt;=$AU284),"Mesomorfo dominante",IF(AND($AU284&gt;=$AS284,$AU284&gt;=$AT284),"Ectomorfo dominante","Endomorfo dominante")))</f>
        <v/>
      </c>
    </row>
    <row r="285" customFormat="false" ht="15" hidden="false" customHeight="false" outlineLevel="0" collapsed="false">
      <c r="A285" s="29"/>
      <c r="B285" s="27"/>
      <c r="C285" s="28"/>
      <c r="D285" s="27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3" t="str">
        <f aca="false">IFERROR(DATEDIF(INDEX(Cadastro!$D$8:$D$47,MATCH($B285,Cadastro!$B$8:$B$47,0)),$A285,"Y"),"")</f>
        <v/>
      </c>
      <c r="AH285" s="33" t="str">
        <f aca="false">IF(COUNT($I285,$K285,$J285,$N285)&lt;4,"",$I285+$K285+$J285+$N285)</f>
        <v/>
      </c>
      <c r="AI285" s="33" t="str">
        <f aca="false">IF(COUNT($L285,$M285,$I285,$J285,$P285,$N285,$Q285)&lt;7,"",$L285+$M285+$I285+$J285+$P285+$N285+$Q285)</f>
        <v/>
      </c>
      <c r="AJ285" s="33" t="str">
        <f aca="false">IF(COUNT($I285,$J285,$K285,$O285,$P285,$Q285,$R285,$N285)&lt;8,"",$I285+$J285+$K285+$O285+$P285+$Q285+$R285+$N285)</f>
        <v/>
      </c>
      <c r="AK285" s="34" t="str">
        <f aca="false">IF(OR($AI285="",$AG285=""),"",IF(IFERROR(INDEX(Cadastro!$F$8:$F$47,MATCH($B285,Cadastro!$B$8:$B$47,0)),"")="Feminino",1.097-0.00046971*$AI285+0.00000056*$AI285^2-0.00012828*$AG285,1.112-0.00043499*$AI285+0.00000055*$AI285^2-0.00028826*$AG285))</f>
        <v/>
      </c>
      <c r="AL285" s="30" t="str">
        <f aca="false">IF(OR($AK285="",$AK285=0),"",495/$AK285-450)</f>
        <v/>
      </c>
      <c r="AM285" s="35" t="str">
        <f aca="false">IF(OR($AL285="",$E285=""),"",$E285*$AL285/100)</f>
        <v/>
      </c>
      <c r="AN285" s="30" t="str">
        <f aca="false">IF(OR($AM285="",$E285=""),"",$E285-$AM285)</f>
        <v/>
      </c>
      <c r="AO285" s="35" t="str">
        <f aca="false">IFERROR($E285/($F285/100)^2,"")</f>
        <v/>
      </c>
      <c r="AP285" s="35" t="str">
        <f aca="false">IFERROR($G285/$F285*100,"")</f>
        <v/>
      </c>
      <c r="AQ285" s="36" t="str">
        <f aca="false">IFERROR($W285/$F285,"")</f>
        <v/>
      </c>
      <c r="AR285" s="35" t="str">
        <f aca="false">IF(OR($S285="",$I285=""),"",($S285-PI()*$I285/10)^2/(4*PI())-IF(IFERROR(INDEX(Cadastro!$F$8:$F$47,MATCH($B285,Cadastro!$B$8:$B$47,0)),"")="Feminino",6.5,10))</f>
        <v/>
      </c>
      <c r="AS285" s="35" t="str">
        <f aca="false">IF(OR($I285="",$J285="",$O285="",$F285=""),"",-0.7182+0.1451*(($I285+$J285+$O285)*(170.18/$F285))-0.00068*(($I285+$J285+$O285)*(170.18/$F285))^2+0.0000014*(($I285+$J285+$O285)*(170.18/$F285))^3)</f>
        <v/>
      </c>
      <c r="AT285" s="35" t="str">
        <f aca="false">IF(OR($AE285="",$AF285="",$T285="",$AA285="",$F285=""),"",0.858*$AE285+0.601*$AF285+0.188*($T285-$I285/10)+0.161*($AA285-$R285/10)-0.131*$F285+4.5)</f>
        <v/>
      </c>
      <c r="AU285" s="35" t="str">
        <f aca="false">IF(OR($E285="",$F285=""),"",IF($F285/$E285^(1/3)&gt;=40.75,0.732*($F285/$E285^(1/3))-28.58,IF($F285/$E285^(1/3)&gt;=38.25,0.463*($F285/$E285^(1/3))-17.63,0.1)))</f>
        <v/>
      </c>
      <c r="AV285" s="37" t="str">
        <f aca="false">IF(OR($AS285="",$AT285="",$AU285=""),"",IF(AND($AT285&gt;=$AS285,$AT285&gt;=$AU285),"Mesomorfo dominante",IF(AND($AU285&gt;=$AS285,$AU285&gt;=$AT285),"Ectomorfo dominante","Endomorfo dominante")))</f>
        <v/>
      </c>
    </row>
    <row r="286" customFormat="false" ht="15" hidden="false" customHeight="false" outlineLevel="0" collapsed="false">
      <c r="A286" s="29"/>
      <c r="B286" s="27"/>
      <c r="C286" s="28"/>
      <c r="D286" s="27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3" t="str">
        <f aca="false">IFERROR(DATEDIF(INDEX(Cadastro!$D$8:$D$47,MATCH($B286,Cadastro!$B$8:$B$47,0)),$A286,"Y"),"")</f>
        <v/>
      </c>
      <c r="AH286" s="33" t="str">
        <f aca="false">IF(COUNT($I286,$K286,$J286,$N286)&lt;4,"",$I286+$K286+$J286+$N286)</f>
        <v/>
      </c>
      <c r="AI286" s="33" t="str">
        <f aca="false">IF(COUNT($L286,$M286,$I286,$J286,$P286,$N286,$Q286)&lt;7,"",$L286+$M286+$I286+$J286+$P286+$N286+$Q286)</f>
        <v/>
      </c>
      <c r="AJ286" s="33" t="str">
        <f aca="false">IF(COUNT($I286,$J286,$K286,$O286,$P286,$Q286,$R286,$N286)&lt;8,"",$I286+$J286+$K286+$O286+$P286+$Q286+$R286+$N286)</f>
        <v/>
      </c>
      <c r="AK286" s="34" t="str">
        <f aca="false">IF(OR($AI286="",$AG286=""),"",IF(IFERROR(INDEX(Cadastro!$F$8:$F$47,MATCH($B286,Cadastro!$B$8:$B$47,0)),"")="Feminino",1.097-0.00046971*$AI286+0.00000056*$AI286^2-0.00012828*$AG286,1.112-0.00043499*$AI286+0.00000055*$AI286^2-0.00028826*$AG286))</f>
        <v/>
      </c>
      <c r="AL286" s="30" t="str">
        <f aca="false">IF(OR($AK286="",$AK286=0),"",495/$AK286-450)</f>
        <v/>
      </c>
      <c r="AM286" s="35" t="str">
        <f aca="false">IF(OR($AL286="",$E286=""),"",$E286*$AL286/100)</f>
        <v/>
      </c>
      <c r="AN286" s="30" t="str">
        <f aca="false">IF(OR($AM286="",$E286=""),"",$E286-$AM286)</f>
        <v/>
      </c>
      <c r="AO286" s="35" t="str">
        <f aca="false">IFERROR($E286/($F286/100)^2,"")</f>
        <v/>
      </c>
      <c r="AP286" s="35" t="str">
        <f aca="false">IFERROR($G286/$F286*100,"")</f>
        <v/>
      </c>
      <c r="AQ286" s="36" t="str">
        <f aca="false">IFERROR($W286/$F286,"")</f>
        <v/>
      </c>
      <c r="AR286" s="35" t="str">
        <f aca="false">IF(OR($S286="",$I286=""),"",($S286-PI()*$I286/10)^2/(4*PI())-IF(IFERROR(INDEX(Cadastro!$F$8:$F$47,MATCH($B286,Cadastro!$B$8:$B$47,0)),"")="Feminino",6.5,10))</f>
        <v/>
      </c>
      <c r="AS286" s="35" t="str">
        <f aca="false">IF(OR($I286="",$J286="",$O286="",$F286=""),"",-0.7182+0.1451*(($I286+$J286+$O286)*(170.18/$F286))-0.00068*(($I286+$J286+$O286)*(170.18/$F286))^2+0.0000014*(($I286+$J286+$O286)*(170.18/$F286))^3)</f>
        <v/>
      </c>
      <c r="AT286" s="35" t="str">
        <f aca="false">IF(OR($AE286="",$AF286="",$T286="",$AA286="",$F286=""),"",0.858*$AE286+0.601*$AF286+0.188*($T286-$I286/10)+0.161*($AA286-$R286/10)-0.131*$F286+4.5)</f>
        <v/>
      </c>
      <c r="AU286" s="35" t="str">
        <f aca="false">IF(OR($E286="",$F286=""),"",IF($F286/$E286^(1/3)&gt;=40.75,0.732*($F286/$E286^(1/3))-28.58,IF($F286/$E286^(1/3)&gt;=38.25,0.463*($F286/$E286^(1/3))-17.63,0.1)))</f>
        <v/>
      </c>
      <c r="AV286" s="37" t="str">
        <f aca="false">IF(OR($AS286="",$AT286="",$AU286=""),"",IF(AND($AT286&gt;=$AS286,$AT286&gt;=$AU286),"Mesomorfo dominante",IF(AND($AU286&gt;=$AS286,$AU286&gt;=$AT286),"Ectomorfo dominante","Endomorfo dominante")))</f>
        <v/>
      </c>
    </row>
    <row r="287" customFormat="false" ht="15" hidden="false" customHeight="false" outlineLevel="0" collapsed="false">
      <c r="A287" s="29"/>
      <c r="B287" s="27"/>
      <c r="C287" s="28"/>
      <c r="D287" s="27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3" t="str">
        <f aca="false">IFERROR(DATEDIF(INDEX(Cadastro!$D$8:$D$47,MATCH($B287,Cadastro!$B$8:$B$47,0)),$A287,"Y"),"")</f>
        <v/>
      </c>
      <c r="AH287" s="33" t="str">
        <f aca="false">IF(COUNT($I287,$K287,$J287,$N287)&lt;4,"",$I287+$K287+$J287+$N287)</f>
        <v/>
      </c>
      <c r="AI287" s="33" t="str">
        <f aca="false">IF(COUNT($L287,$M287,$I287,$J287,$P287,$N287,$Q287)&lt;7,"",$L287+$M287+$I287+$J287+$P287+$N287+$Q287)</f>
        <v/>
      </c>
      <c r="AJ287" s="33" t="str">
        <f aca="false">IF(COUNT($I287,$J287,$K287,$O287,$P287,$Q287,$R287,$N287)&lt;8,"",$I287+$J287+$K287+$O287+$P287+$Q287+$R287+$N287)</f>
        <v/>
      </c>
      <c r="AK287" s="34" t="str">
        <f aca="false">IF(OR($AI287="",$AG287=""),"",IF(IFERROR(INDEX(Cadastro!$F$8:$F$47,MATCH($B287,Cadastro!$B$8:$B$47,0)),"")="Feminino",1.097-0.00046971*$AI287+0.00000056*$AI287^2-0.00012828*$AG287,1.112-0.00043499*$AI287+0.00000055*$AI287^2-0.00028826*$AG287))</f>
        <v/>
      </c>
      <c r="AL287" s="30" t="str">
        <f aca="false">IF(OR($AK287="",$AK287=0),"",495/$AK287-450)</f>
        <v/>
      </c>
      <c r="AM287" s="35" t="str">
        <f aca="false">IF(OR($AL287="",$E287=""),"",$E287*$AL287/100)</f>
        <v/>
      </c>
      <c r="AN287" s="30" t="str">
        <f aca="false">IF(OR($AM287="",$E287=""),"",$E287-$AM287)</f>
        <v/>
      </c>
      <c r="AO287" s="35" t="str">
        <f aca="false">IFERROR($E287/($F287/100)^2,"")</f>
        <v/>
      </c>
      <c r="AP287" s="35" t="str">
        <f aca="false">IFERROR($G287/$F287*100,"")</f>
        <v/>
      </c>
      <c r="AQ287" s="36" t="str">
        <f aca="false">IFERROR($W287/$F287,"")</f>
        <v/>
      </c>
      <c r="AR287" s="35" t="str">
        <f aca="false">IF(OR($S287="",$I287=""),"",($S287-PI()*$I287/10)^2/(4*PI())-IF(IFERROR(INDEX(Cadastro!$F$8:$F$47,MATCH($B287,Cadastro!$B$8:$B$47,0)),"")="Feminino",6.5,10))</f>
        <v/>
      </c>
      <c r="AS287" s="35" t="str">
        <f aca="false">IF(OR($I287="",$J287="",$O287="",$F287=""),"",-0.7182+0.1451*(($I287+$J287+$O287)*(170.18/$F287))-0.00068*(($I287+$J287+$O287)*(170.18/$F287))^2+0.0000014*(($I287+$J287+$O287)*(170.18/$F287))^3)</f>
        <v/>
      </c>
      <c r="AT287" s="35" t="str">
        <f aca="false">IF(OR($AE287="",$AF287="",$T287="",$AA287="",$F287=""),"",0.858*$AE287+0.601*$AF287+0.188*($T287-$I287/10)+0.161*($AA287-$R287/10)-0.131*$F287+4.5)</f>
        <v/>
      </c>
      <c r="AU287" s="35" t="str">
        <f aca="false">IF(OR($E287="",$F287=""),"",IF($F287/$E287^(1/3)&gt;=40.75,0.732*($F287/$E287^(1/3))-28.58,IF($F287/$E287^(1/3)&gt;=38.25,0.463*($F287/$E287^(1/3))-17.63,0.1)))</f>
        <v/>
      </c>
      <c r="AV287" s="37" t="str">
        <f aca="false">IF(OR($AS287="",$AT287="",$AU287=""),"",IF(AND($AT287&gt;=$AS287,$AT287&gt;=$AU287),"Mesomorfo dominante",IF(AND($AU287&gt;=$AS287,$AU287&gt;=$AT287),"Ectomorfo dominante","Endomorfo dominante")))</f>
        <v/>
      </c>
    </row>
    <row r="288" customFormat="false" ht="15" hidden="false" customHeight="false" outlineLevel="0" collapsed="false">
      <c r="A288" s="29"/>
      <c r="B288" s="27"/>
      <c r="C288" s="28"/>
      <c r="D288" s="27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3" t="str">
        <f aca="false">IFERROR(DATEDIF(INDEX(Cadastro!$D$8:$D$47,MATCH($B288,Cadastro!$B$8:$B$47,0)),$A288,"Y"),"")</f>
        <v/>
      </c>
      <c r="AH288" s="33" t="str">
        <f aca="false">IF(COUNT($I288,$K288,$J288,$N288)&lt;4,"",$I288+$K288+$J288+$N288)</f>
        <v/>
      </c>
      <c r="AI288" s="33" t="str">
        <f aca="false">IF(COUNT($L288,$M288,$I288,$J288,$P288,$N288,$Q288)&lt;7,"",$L288+$M288+$I288+$J288+$P288+$N288+$Q288)</f>
        <v/>
      </c>
      <c r="AJ288" s="33" t="str">
        <f aca="false">IF(COUNT($I288,$J288,$K288,$O288,$P288,$Q288,$R288,$N288)&lt;8,"",$I288+$J288+$K288+$O288+$P288+$Q288+$R288+$N288)</f>
        <v/>
      </c>
      <c r="AK288" s="34" t="str">
        <f aca="false">IF(OR($AI288="",$AG288=""),"",IF(IFERROR(INDEX(Cadastro!$F$8:$F$47,MATCH($B288,Cadastro!$B$8:$B$47,0)),"")="Feminino",1.097-0.00046971*$AI288+0.00000056*$AI288^2-0.00012828*$AG288,1.112-0.00043499*$AI288+0.00000055*$AI288^2-0.00028826*$AG288))</f>
        <v/>
      </c>
      <c r="AL288" s="30" t="str">
        <f aca="false">IF(OR($AK288="",$AK288=0),"",495/$AK288-450)</f>
        <v/>
      </c>
      <c r="AM288" s="35" t="str">
        <f aca="false">IF(OR($AL288="",$E288=""),"",$E288*$AL288/100)</f>
        <v/>
      </c>
      <c r="AN288" s="30" t="str">
        <f aca="false">IF(OR($AM288="",$E288=""),"",$E288-$AM288)</f>
        <v/>
      </c>
      <c r="AO288" s="35" t="str">
        <f aca="false">IFERROR($E288/($F288/100)^2,"")</f>
        <v/>
      </c>
      <c r="AP288" s="35" t="str">
        <f aca="false">IFERROR($G288/$F288*100,"")</f>
        <v/>
      </c>
      <c r="AQ288" s="36" t="str">
        <f aca="false">IFERROR($W288/$F288,"")</f>
        <v/>
      </c>
      <c r="AR288" s="35" t="str">
        <f aca="false">IF(OR($S288="",$I288=""),"",($S288-PI()*$I288/10)^2/(4*PI())-IF(IFERROR(INDEX(Cadastro!$F$8:$F$47,MATCH($B288,Cadastro!$B$8:$B$47,0)),"")="Feminino",6.5,10))</f>
        <v/>
      </c>
      <c r="AS288" s="35" t="str">
        <f aca="false">IF(OR($I288="",$J288="",$O288="",$F288=""),"",-0.7182+0.1451*(($I288+$J288+$O288)*(170.18/$F288))-0.00068*(($I288+$J288+$O288)*(170.18/$F288))^2+0.0000014*(($I288+$J288+$O288)*(170.18/$F288))^3)</f>
        <v/>
      </c>
      <c r="AT288" s="35" t="str">
        <f aca="false">IF(OR($AE288="",$AF288="",$T288="",$AA288="",$F288=""),"",0.858*$AE288+0.601*$AF288+0.188*($T288-$I288/10)+0.161*($AA288-$R288/10)-0.131*$F288+4.5)</f>
        <v/>
      </c>
      <c r="AU288" s="35" t="str">
        <f aca="false">IF(OR($E288="",$F288=""),"",IF($F288/$E288^(1/3)&gt;=40.75,0.732*($F288/$E288^(1/3))-28.58,IF($F288/$E288^(1/3)&gt;=38.25,0.463*($F288/$E288^(1/3))-17.63,0.1)))</f>
        <v/>
      </c>
      <c r="AV288" s="37" t="str">
        <f aca="false">IF(OR($AS288="",$AT288="",$AU288=""),"",IF(AND($AT288&gt;=$AS288,$AT288&gt;=$AU288),"Mesomorfo dominante",IF(AND($AU288&gt;=$AS288,$AU288&gt;=$AT288),"Ectomorfo dominante","Endomorfo dominante")))</f>
        <v/>
      </c>
    </row>
    <row r="289" customFormat="false" ht="15" hidden="false" customHeight="false" outlineLevel="0" collapsed="false">
      <c r="A289" s="29"/>
      <c r="B289" s="27"/>
      <c r="C289" s="28"/>
      <c r="D289" s="27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3" t="str">
        <f aca="false">IFERROR(DATEDIF(INDEX(Cadastro!$D$8:$D$47,MATCH($B289,Cadastro!$B$8:$B$47,0)),$A289,"Y"),"")</f>
        <v/>
      </c>
      <c r="AH289" s="33" t="str">
        <f aca="false">IF(COUNT($I289,$K289,$J289,$N289)&lt;4,"",$I289+$K289+$J289+$N289)</f>
        <v/>
      </c>
      <c r="AI289" s="33" t="str">
        <f aca="false">IF(COUNT($L289,$M289,$I289,$J289,$P289,$N289,$Q289)&lt;7,"",$L289+$M289+$I289+$J289+$P289+$N289+$Q289)</f>
        <v/>
      </c>
      <c r="AJ289" s="33" t="str">
        <f aca="false">IF(COUNT($I289,$J289,$K289,$O289,$P289,$Q289,$R289,$N289)&lt;8,"",$I289+$J289+$K289+$O289+$P289+$Q289+$R289+$N289)</f>
        <v/>
      </c>
      <c r="AK289" s="34" t="str">
        <f aca="false">IF(OR($AI289="",$AG289=""),"",IF(IFERROR(INDEX(Cadastro!$F$8:$F$47,MATCH($B289,Cadastro!$B$8:$B$47,0)),"")="Feminino",1.097-0.00046971*$AI289+0.00000056*$AI289^2-0.00012828*$AG289,1.112-0.00043499*$AI289+0.00000055*$AI289^2-0.00028826*$AG289))</f>
        <v/>
      </c>
      <c r="AL289" s="30" t="str">
        <f aca="false">IF(OR($AK289="",$AK289=0),"",495/$AK289-450)</f>
        <v/>
      </c>
      <c r="AM289" s="35" t="str">
        <f aca="false">IF(OR($AL289="",$E289=""),"",$E289*$AL289/100)</f>
        <v/>
      </c>
      <c r="AN289" s="30" t="str">
        <f aca="false">IF(OR($AM289="",$E289=""),"",$E289-$AM289)</f>
        <v/>
      </c>
      <c r="AO289" s="35" t="str">
        <f aca="false">IFERROR($E289/($F289/100)^2,"")</f>
        <v/>
      </c>
      <c r="AP289" s="35" t="str">
        <f aca="false">IFERROR($G289/$F289*100,"")</f>
        <v/>
      </c>
      <c r="AQ289" s="36" t="str">
        <f aca="false">IFERROR($W289/$F289,"")</f>
        <v/>
      </c>
      <c r="AR289" s="35" t="str">
        <f aca="false">IF(OR($S289="",$I289=""),"",($S289-PI()*$I289/10)^2/(4*PI())-IF(IFERROR(INDEX(Cadastro!$F$8:$F$47,MATCH($B289,Cadastro!$B$8:$B$47,0)),"")="Feminino",6.5,10))</f>
        <v/>
      </c>
      <c r="AS289" s="35" t="str">
        <f aca="false">IF(OR($I289="",$J289="",$O289="",$F289=""),"",-0.7182+0.1451*(($I289+$J289+$O289)*(170.18/$F289))-0.00068*(($I289+$J289+$O289)*(170.18/$F289))^2+0.0000014*(($I289+$J289+$O289)*(170.18/$F289))^3)</f>
        <v/>
      </c>
      <c r="AT289" s="35" t="str">
        <f aca="false">IF(OR($AE289="",$AF289="",$T289="",$AA289="",$F289=""),"",0.858*$AE289+0.601*$AF289+0.188*($T289-$I289/10)+0.161*($AA289-$R289/10)-0.131*$F289+4.5)</f>
        <v/>
      </c>
      <c r="AU289" s="35" t="str">
        <f aca="false">IF(OR($E289="",$F289=""),"",IF($F289/$E289^(1/3)&gt;=40.75,0.732*($F289/$E289^(1/3))-28.58,IF($F289/$E289^(1/3)&gt;=38.25,0.463*($F289/$E289^(1/3))-17.63,0.1)))</f>
        <v/>
      </c>
      <c r="AV289" s="37" t="str">
        <f aca="false">IF(OR($AS289="",$AT289="",$AU289=""),"",IF(AND($AT289&gt;=$AS289,$AT289&gt;=$AU289),"Mesomorfo dominante",IF(AND($AU289&gt;=$AS289,$AU289&gt;=$AT289),"Ectomorfo dominante","Endomorfo dominante")))</f>
        <v/>
      </c>
    </row>
    <row r="290" customFormat="false" ht="15" hidden="false" customHeight="false" outlineLevel="0" collapsed="false">
      <c r="A290" s="29"/>
      <c r="B290" s="27"/>
      <c r="C290" s="28"/>
      <c r="D290" s="27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3" t="str">
        <f aca="false">IFERROR(DATEDIF(INDEX(Cadastro!$D$8:$D$47,MATCH($B290,Cadastro!$B$8:$B$47,0)),$A290,"Y"),"")</f>
        <v/>
      </c>
      <c r="AH290" s="33" t="str">
        <f aca="false">IF(COUNT($I290,$K290,$J290,$N290)&lt;4,"",$I290+$K290+$J290+$N290)</f>
        <v/>
      </c>
      <c r="AI290" s="33" t="str">
        <f aca="false">IF(COUNT($L290,$M290,$I290,$J290,$P290,$N290,$Q290)&lt;7,"",$L290+$M290+$I290+$J290+$P290+$N290+$Q290)</f>
        <v/>
      </c>
      <c r="AJ290" s="33" t="str">
        <f aca="false">IF(COUNT($I290,$J290,$K290,$O290,$P290,$Q290,$R290,$N290)&lt;8,"",$I290+$J290+$K290+$O290+$P290+$Q290+$R290+$N290)</f>
        <v/>
      </c>
      <c r="AK290" s="34" t="str">
        <f aca="false">IF(OR($AI290="",$AG290=""),"",IF(IFERROR(INDEX(Cadastro!$F$8:$F$47,MATCH($B290,Cadastro!$B$8:$B$47,0)),"")="Feminino",1.097-0.00046971*$AI290+0.00000056*$AI290^2-0.00012828*$AG290,1.112-0.00043499*$AI290+0.00000055*$AI290^2-0.00028826*$AG290))</f>
        <v/>
      </c>
      <c r="AL290" s="30" t="str">
        <f aca="false">IF(OR($AK290="",$AK290=0),"",495/$AK290-450)</f>
        <v/>
      </c>
      <c r="AM290" s="35" t="str">
        <f aca="false">IF(OR($AL290="",$E290=""),"",$E290*$AL290/100)</f>
        <v/>
      </c>
      <c r="AN290" s="30" t="str">
        <f aca="false">IF(OR($AM290="",$E290=""),"",$E290-$AM290)</f>
        <v/>
      </c>
      <c r="AO290" s="35" t="str">
        <f aca="false">IFERROR($E290/($F290/100)^2,"")</f>
        <v/>
      </c>
      <c r="AP290" s="35" t="str">
        <f aca="false">IFERROR($G290/$F290*100,"")</f>
        <v/>
      </c>
      <c r="AQ290" s="36" t="str">
        <f aca="false">IFERROR($W290/$F290,"")</f>
        <v/>
      </c>
      <c r="AR290" s="35" t="str">
        <f aca="false">IF(OR($S290="",$I290=""),"",($S290-PI()*$I290/10)^2/(4*PI())-IF(IFERROR(INDEX(Cadastro!$F$8:$F$47,MATCH($B290,Cadastro!$B$8:$B$47,0)),"")="Feminino",6.5,10))</f>
        <v/>
      </c>
      <c r="AS290" s="35" t="str">
        <f aca="false">IF(OR($I290="",$J290="",$O290="",$F290=""),"",-0.7182+0.1451*(($I290+$J290+$O290)*(170.18/$F290))-0.00068*(($I290+$J290+$O290)*(170.18/$F290))^2+0.0000014*(($I290+$J290+$O290)*(170.18/$F290))^3)</f>
        <v/>
      </c>
      <c r="AT290" s="35" t="str">
        <f aca="false">IF(OR($AE290="",$AF290="",$T290="",$AA290="",$F290=""),"",0.858*$AE290+0.601*$AF290+0.188*($T290-$I290/10)+0.161*($AA290-$R290/10)-0.131*$F290+4.5)</f>
        <v/>
      </c>
      <c r="AU290" s="35" t="str">
        <f aca="false">IF(OR($E290="",$F290=""),"",IF($F290/$E290^(1/3)&gt;=40.75,0.732*($F290/$E290^(1/3))-28.58,IF($F290/$E290^(1/3)&gt;=38.25,0.463*($F290/$E290^(1/3))-17.63,0.1)))</f>
        <v/>
      </c>
      <c r="AV290" s="37" t="str">
        <f aca="false">IF(OR($AS290="",$AT290="",$AU290=""),"",IF(AND($AT290&gt;=$AS290,$AT290&gt;=$AU290),"Mesomorfo dominante",IF(AND($AU290&gt;=$AS290,$AU290&gt;=$AT290),"Ectomorfo dominante","Endomorfo dominante")))</f>
        <v/>
      </c>
    </row>
    <row r="291" customFormat="false" ht="15" hidden="false" customHeight="false" outlineLevel="0" collapsed="false">
      <c r="A291" s="29"/>
      <c r="B291" s="27"/>
      <c r="C291" s="28"/>
      <c r="D291" s="27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3" t="str">
        <f aca="false">IFERROR(DATEDIF(INDEX(Cadastro!$D$8:$D$47,MATCH($B291,Cadastro!$B$8:$B$47,0)),$A291,"Y"),"")</f>
        <v/>
      </c>
      <c r="AH291" s="33" t="str">
        <f aca="false">IF(COUNT($I291,$K291,$J291,$N291)&lt;4,"",$I291+$K291+$J291+$N291)</f>
        <v/>
      </c>
      <c r="AI291" s="33" t="str">
        <f aca="false">IF(COUNT($L291,$M291,$I291,$J291,$P291,$N291,$Q291)&lt;7,"",$L291+$M291+$I291+$J291+$P291+$N291+$Q291)</f>
        <v/>
      </c>
      <c r="AJ291" s="33" t="str">
        <f aca="false">IF(COUNT($I291,$J291,$K291,$O291,$P291,$Q291,$R291,$N291)&lt;8,"",$I291+$J291+$K291+$O291+$P291+$Q291+$R291+$N291)</f>
        <v/>
      </c>
      <c r="AK291" s="34" t="str">
        <f aca="false">IF(OR($AI291="",$AG291=""),"",IF(IFERROR(INDEX(Cadastro!$F$8:$F$47,MATCH($B291,Cadastro!$B$8:$B$47,0)),"")="Feminino",1.097-0.00046971*$AI291+0.00000056*$AI291^2-0.00012828*$AG291,1.112-0.00043499*$AI291+0.00000055*$AI291^2-0.00028826*$AG291))</f>
        <v/>
      </c>
      <c r="AL291" s="30" t="str">
        <f aca="false">IF(OR($AK291="",$AK291=0),"",495/$AK291-450)</f>
        <v/>
      </c>
      <c r="AM291" s="35" t="str">
        <f aca="false">IF(OR($AL291="",$E291=""),"",$E291*$AL291/100)</f>
        <v/>
      </c>
      <c r="AN291" s="30" t="str">
        <f aca="false">IF(OR($AM291="",$E291=""),"",$E291-$AM291)</f>
        <v/>
      </c>
      <c r="AO291" s="35" t="str">
        <f aca="false">IFERROR($E291/($F291/100)^2,"")</f>
        <v/>
      </c>
      <c r="AP291" s="35" t="str">
        <f aca="false">IFERROR($G291/$F291*100,"")</f>
        <v/>
      </c>
      <c r="AQ291" s="36" t="str">
        <f aca="false">IFERROR($W291/$F291,"")</f>
        <v/>
      </c>
      <c r="AR291" s="35" t="str">
        <f aca="false">IF(OR($S291="",$I291=""),"",($S291-PI()*$I291/10)^2/(4*PI())-IF(IFERROR(INDEX(Cadastro!$F$8:$F$47,MATCH($B291,Cadastro!$B$8:$B$47,0)),"")="Feminino",6.5,10))</f>
        <v/>
      </c>
      <c r="AS291" s="35" t="str">
        <f aca="false">IF(OR($I291="",$J291="",$O291="",$F291=""),"",-0.7182+0.1451*(($I291+$J291+$O291)*(170.18/$F291))-0.00068*(($I291+$J291+$O291)*(170.18/$F291))^2+0.0000014*(($I291+$J291+$O291)*(170.18/$F291))^3)</f>
        <v/>
      </c>
      <c r="AT291" s="35" t="str">
        <f aca="false">IF(OR($AE291="",$AF291="",$T291="",$AA291="",$F291=""),"",0.858*$AE291+0.601*$AF291+0.188*($T291-$I291/10)+0.161*($AA291-$R291/10)-0.131*$F291+4.5)</f>
        <v/>
      </c>
      <c r="AU291" s="35" t="str">
        <f aca="false">IF(OR($E291="",$F291=""),"",IF($F291/$E291^(1/3)&gt;=40.75,0.732*($F291/$E291^(1/3))-28.58,IF($F291/$E291^(1/3)&gt;=38.25,0.463*($F291/$E291^(1/3))-17.63,0.1)))</f>
        <v/>
      </c>
      <c r="AV291" s="37" t="str">
        <f aca="false">IF(OR($AS291="",$AT291="",$AU291=""),"",IF(AND($AT291&gt;=$AS291,$AT291&gt;=$AU291),"Mesomorfo dominante",IF(AND($AU291&gt;=$AS291,$AU291&gt;=$AT291),"Ectomorfo dominante","Endomorfo dominante")))</f>
        <v/>
      </c>
    </row>
    <row r="292" customFormat="false" ht="15" hidden="false" customHeight="false" outlineLevel="0" collapsed="false">
      <c r="A292" s="29"/>
      <c r="B292" s="27"/>
      <c r="C292" s="28"/>
      <c r="D292" s="27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3" t="str">
        <f aca="false">IFERROR(DATEDIF(INDEX(Cadastro!$D$8:$D$47,MATCH($B292,Cadastro!$B$8:$B$47,0)),$A292,"Y"),"")</f>
        <v/>
      </c>
      <c r="AH292" s="33" t="str">
        <f aca="false">IF(COUNT($I292,$K292,$J292,$N292)&lt;4,"",$I292+$K292+$J292+$N292)</f>
        <v/>
      </c>
      <c r="AI292" s="33" t="str">
        <f aca="false">IF(COUNT($L292,$M292,$I292,$J292,$P292,$N292,$Q292)&lt;7,"",$L292+$M292+$I292+$J292+$P292+$N292+$Q292)</f>
        <v/>
      </c>
      <c r="AJ292" s="33" t="str">
        <f aca="false">IF(COUNT($I292,$J292,$K292,$O292,$P292,$Q292,$R292,$N292)&lt;8,"",$I292+$J292+$K292+$O292+$P292+$Q292+$R292+$N292)</f>
        <v/>
      </c>
      <c r="AK292" s="34" t="str">
        <f aca="false">IF(OR($AI292="",$AG292=""),"",IF(IFERROR(INDEX(Cadastro!$F$8:$F$47,MATCH($B292,Cadastro!$B$8:$B$47,0)),"")="Feminino",1.097-0.00046971*$AI292+0.00000056*$AI292^2-0.00012828*$AG292,1.112-0.00043499*$AI292+0.00000055*$AI292^2-0.00028826*$AG292))</f>
        <v/>
      </c>
      <c r="AL292" s="30" t="str">
        <f aca="false">IF(OR($AK292="",$AK292=0),"",495/$AK292-450)</f>
        <v/>
      </c>
      <c r="AM292" s="35" t="str">
        <f aca="false">IF(OR($AL292="",$E292=""),"",$E292*$AL292/100)</f>
        <v/>
      </c>
      <c r="AN292" s="30" t="str">
        <f aca="false">IF(OR($AM292="",$E292=""),"",$E292-$AM292)</f>
        <v/>
      </c>
      <c r="AO292" s="35" t="str">
        <f aca="false">IFERROR($E292/($F292/100)^2,"")</f>
        <v/>
      </c>
      <c r="AP292" s="35" t="str">
        <f aca="false">IFERROR($G292/$F292*100,"")</f>
        <v/>
      </c>
      <c r="AQ292" s="36" t="str">
        <f aca="false">IFERROR($W292/$F292,"")</f>
        <v/>
      </c>
      <c r="AR292" s="35" t="str">
        <f aca="false">IF(OR($S292="",$I292=""),"",($S292-PI()*$I292/10)^2/(4*PI())-IF(IFERROR(INDEX(Cadastro!$F$8:$F$47,MATCH($B292,Cadastro!$B$8:$B$47,0)),"")="Feminino",6.5,10))</f>
        <v/>
      </c>
      <c r="AS292" s="35" t="str">
        <f aca="false">IF(OR($I292="",$J292="",$O292="",$F292=""),"",-0.7182+0.1451*(($I292+$J292+$O292)*(170.18/$F292))-0.00068*(($I292+$J292+$O292)*(170.18/$F292))^2+0.0000014*(($I292+$J292+$O292)*(170.18/$F292))^3)</f>
        <v/>
      </c>
      <c r="AT292" s="35" t="str">
        <f aca="false">IF(OR($AE292="",$AF292="",$T292="",$AA292="",$F292=""),"",0.858*$AE292+0.601*$AF292+0.188*($T292-$I292/10)+0.161*($AA292-$R292/10)-0.131*$F292+4.5)</f>
        <v/>
      </c>
      <c r="AU292" s="35" t="str">
        <f aca="false">IF(OR($E292="",$F292=""),"",IF($F292/$E292^(1/3)&gt;=40.75,0.732*($F292/$E292^(1/3))-28.58,IF($F292/$E292^(1/3)&gt;=38.25,0.463*($F292/$E292^(1/3))-17.63,0.1)))</f>
        <v/>
      </c>
      <c r="AV292" s="37" t="str">
        <f aca="false">IF(OR($AS292="",$AT292="",$AU292=""),"",IF(AND($AT292&gt;=$AS292,$AT292&gt;=$AU292),"Mesomorfo dominante",IF(AND($AU292&gt;=$AS292,$AU292&gt;=$AT292),"Ectomorfo dominante","Endomorfo dominante")))</f>
        <v/>
      </c>
    </row>
    <row r="293" customFormat="false" ht="15" hidden="false" customHeight="false" outlineLevel="0" collapsed="false">
      <c r="A293" s="29"/>
      <c r="B293" s="27"/>
      <c r="C293" s="28"/>
      <c r="D293" s="27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3" t="str">
        <f aca="false">IFERROR(DATEDIF(INDEX(Cadastro!$D$8:$D$47,MATCH($B293,Cadastro!$B$8:$B$47,0)),$A293,"Y"),"")</f>
        <v/>
      </c>
      <c r="AH293" s="33" t="str">
        <f aca="false">IF(COUNT($I293,$K293,$J293,$N293)&lt;4,"",$I293+$K293+$J293+$N293)</f>
        <v/>
      </c>
      <c r="AI293" s="33" t="str">
        <f aca="false">IF(COUNT($L293,$M293,$I293,$J293,$P293,$N293,$Q293)&lt;7,"",$L293+$M293+$I293+$J293+$P293+$N293+$Q293)</f>
        <v/>
      </c>
      <c r="AJ293" s="33" t="str">
        <f aca="false">IF(COUNT($I293,$J293,$K293,$O293,$P293,$Q293,$R293,$N293)&lt;8,"",$I293+$J293+$K293+$O293+$P293+$Q293+$R293+$N293)</f>
        <v/>
      </c>
      <c r="AK293" s="34" t="str">
        <f aca="false">IF(OR($AI293="",$AG293=""),"",IF(IFERROR(INDEX(Cadastro!$F$8:$F$47,MATCH($B293,Cadastro!$B$8:$B$47,0)),"")="Feminino",1.097-0.00046971*$AI293+0.00000056*$AI293^2-0.00012828*$AG293,1.112-0.00043499*$AI293+0.00000055*$AI293^2-0.00028826*$AG293))</f>
        <v/>
      </c>
      <c r="AL293" s="30" t="str">
        <f aca="false">IF(OR($AK293="",$AK293=0),"",495/$AK293-450)</f>
        <v/>
      </c>
      <c r="AM293" s="35" t="str">
        <f aca="false">IF(OR($AL293="",$E293=""),"",$E293*$AL293/100)</f>
        <v/>
      </c>
      <c r="AN293" s="30" t="str">
        <f aca="false">IF(OR($AM293="",$E293=""),"",$E293-$AM293)</f>
        <v/>
      </c>
      <c r="AO293" s="35" t="str">
        <f aca="false">IFERROR($E293/($F293/100)^2,"")</f>
        <v/>
      </c>
      <c r="AP293" s="35" t="str">
        <f aca="false">IFERROR($G293/$F293*100,"")</f>
        <v/>
      </c>
      <c r="AQ293" s="36" t="str">
        <f aca="false">IFERROR($W293/$F293,"")</f>
        <v/>
      </c>
      <c r="AR293" s="35" t="str">
        <f aca="false">IF(OR($S293="",$I293=""),"",($S293-PI()*$I293/10)^2/(4*PI())-IF(IFERROR(INDEX(Cadastro!$F$8:$F$47,MATCH($B293,Cadastro!$B$8:$B$47,0)),"")="Feminino",6.5,10))</f>
        <v/>
      </c>
      <c r="AS293" s="35" t="str">
        <f aca="false">IF(OR($I293="",$J293="",$O293="",$F293=""),"",-0.7182+0.1451*(($I293+$J293+$O293)*(170.18/$F293))-0.00068*(($I293+$J293+$O293)*(170.18/$F293))^2+0.0000014*(($I293+$J293+$O293)*(170.18/$F293))^3)</f>
        <v/>
      </c>
      <c r="AT293" s="35" t="str">
        <f aca="false">IF(OR($AE293="",$AF293="",$T293="",$AA293="",$F293=""),"",0.858*$AE293+0.601*$AF293+0.188*($T293-$I293/10)+0.161*($AA293-$R293/10)-0.131*$F293+4.5)</f>
        <v/>
      </c>
      <c r="AU293" s="35" t="str">
        <f aca="false">IF(OR($E293="",$F293=""),"",IF($F293/$E293^(1/3)&gt;=40.75,0.732*($F293/$E293^(1/3))-28.58,IF($F293/$E293^(1/3)&gt;=38.25,0.463*($F293/$E293^(1/3))-17.63,0.1)))</f>
        <v/>
      </c>
      <c r="AV293" s="37" t="str">
        <f aca="false">IF(OR($AS293="",$AT293="",$AU293=""),"",IF(AND($AT293&gt;=$AS293,$AT293&gt;=$AU293),"Mesomorfo dominante",IF(AND($AU293&gt;=$AS293,$AU293&gt;=$AT293),"Ectomorfo dominante","Endomorfo dominante")))</f>
        <v/>
      </c>
    </row>
    <row r="294" customFormat="false" ht="15" hidden="false" customHeight="false" outlineLevel="0" collapsed="false">
      <c r="A294" s="29"/>
      <c r="B294" s="27"/>
      <c r="C294" s="28"/>
      <c r="D294" s="27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3" t="str">
        <f aca="false">IFERROR(DATEDIF(INDEX(Cadastro!$D$8:$D$47,MATCH($B294,Cadastro!$B$8:$B$47,0)),$A294,"Y"),"")</f>
        <v/>
      </c>
      <c r="AH294" s="33" t="str">
        <f aca="false">IF(COUNT($I294,$K294,$J294,$N294)&lt;4,"",$I294+$K294+$J294+$N294)</f>
        <v/>
      </c>
      <c r="AI294" s="33" t="str">
        <f aca="false">IF(COUNT($L294,$M294,$I294,$J294,$P294,$N294,$Q294)&lt;7,"",$L294+$M294+$I294+$J294+$P294+$N294+$Q294)</f>
        <v/>
      </c>
      <c r="AJ294" s="33" t="str">
        <f aca="false">IF(COUNT($I294,$J294,$K294,$O294,$P294,$Q294,$R294,$N294)&lt;8,"",$I294+$J294+$K294+$O294+$P294+$Q294+$R294+$N294)</f>
        <v/>
      </c>
      <c r="AK294" s="34" t="str">
        <f aca="false">IF(OR($AI294="",$AG294=""),"",IF(IFERROR(INDEX(Cadastro!$F$8:$F$47,MATCH($B294,Cadastro!$B$8:$B$47,0)),"")="Feminino",1.097-0.00046971*$AI294+0.00000056*$AI294^2-0.00012828*$AG294,1.112-0.00043499*$AI294+0.00000055*$AI294^2-0.00028826*$AG294))</f>
        <v/>
      </c>
      <c r="AL294" s="30" t="str">
        <f aca="false">IF(OR($AK294="",$AK294=0),"",495/$AK294-450)</f>
        <v/>
      </c>
      <c r="AM294" s="35" t="str">
        <f aca="false">IF(OR($AL294="",$E294=""),"",$E294*$AL294/100)</f>
        <v/>
      </c>
      <c r="AN294" s="30" t="str">
        <f aca="false">IF(OR($AM294="",$E294=""),"",$E294-$AM294)</f>
        <v/>
      </c>
      <c r="AO294" s="35" t="str">
        <f aca="false">IFERROR($E294/($F294/100)^2,"")</f>
        <v/>
      </c>
      <c r="AP294" s="35" t="str">
        <f aca="false">IFERROR($G294/$F294*100,"")</f>
        <v/>
      </c>
      <c r="AQ294" s="36" t="str">
        <f aca="false">IFERROR($W294/$F294,"")</f>
        <v/>
      </c>
      <c r="AR294" s="35" t="str">
        <f aca="false">IF(OR($S294="",$I294=""),"",($S294-PI()*$I294/10)^2/(4*PI())-IF(IFERROR(INDEX(Cadastro!$F$8:$F$47,MATCH($B294,Cadastro!$B$8:$B$47,0)),"")="Feminino",6.5,10))</f>
        <v/>
      </c>
      <c r="AS294" s="35" t="str">
        <f aca="false">IF(OR($I294="",$J294="",$O294="",$F294=""),"",-0.7182+0.1451*(($I294+$J294+$O294)*(170.18/$F294))-0.00068*(($I294+$J294+$O294)*(170.18/$F294))^2+0.0000014*(($I294+$J294+$O294)*(170.18/$F294))^3)</f>
        <v/>
      </c>
      <c r="AT294" s="35" t="str">
        <f aca="false">IF(OR($AE294="",$AF294="",$T294="",$AA294="",$F294=""),"",0.858*$AE294+0.601*$AF294+0.188*($T294-$I294/10)+0.161*($AA294-$R294/10)-0.131*$F294+4.5)</f>
        <v/>
      </c>
      <c r="AU294" s="35" t="str">
        <f aca="false">IF(OR($E294="",$F294=""),"",IF($F294/$E294^(1/3)&gt;=40.75,0.732*($F294/$E294^(1/3))-28.58,IF($F294/$E294^(1/3)&gt;=38.25,0.463*($F294/$E294^(1/3))-17.63,0.1)))</f>
        <v/>
      </c>
      <c r="AV294" s="37" t="str">
        <f aca="false">IF(OR($AS294="",$AT294="",$AU294=""),"",IF(AND($AT294&gt;=$AS294,$AT294&gt;=$AU294),"Mesomorfo dominante",IF(AND($AU294&gt;=$AS294,$AU294&gt;=$AT294),"Ectomorfo dominante","Endomorfo dominante")))</f>
        <v/>
      </c>
    </row>
    <row r="295" customFormat="false" ht="15" hidden="false" customHeight="false" outlineLevel="0" collapsed="false">
      <c r="A295" s="29"/>
      <c r="B295" s="27"/>
      <c r="C295" s="28"/>
      <c r="D295" s="27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3" t="str">
        <f aca="false">IFERROR(DATEDIF(INDEX(Cadastro!$D$8:$D$47,MATCH($B295,Cadastro!$B$8:$B$47,0)),$A295,"Y"),"")</f>
        <v/>
      </c>
      <c r="AH295" s="33" t="str">
        <f aca="false">IF(COUNT($I295,$K295,$J295,$N295)&lt;4,"",$I295+$K295+$J295+$N295)</f>
        <v/>
      </c>
      <c r="AI295" s="33" t="str">
        <f aca="false">IF(COUNT($L295,$M295,$I295,$J295,$P295,$N295,$Q295)&lt;7,"",$L295+$M295+$I295+$J295+$P295+$N295+$Q295)</f>
        <v/>
      </c>
      <c r="AJ295" s="33" t="str">
        <f aca="false">IF(COUNT($I295,$J295,$K295,$O295,$P295,$Q295,$R295,$N295)&lt;8,"",$I295+$J295+$K295+$O295+$P295+$Q295+$R295+$N295)</f>
        <v/>
      </c>
      <c r="AK295" s="34" t="str">
        <f aca="false">IF(OR($AI295="",$AG295=""),"",IF(IFERROR(INDEX(Cadastro!$F$8:$F$47,MATCH($B295,Cadastro!$B$8:$B$47,0)),"")="Feminino",1.097-0.00046971*$AI295+0.00000056*$AI295^2-0.00012828*$AG295,1.112-0.00043499*$AI295+0.00000055*$AI295^2-0.00028826*$AG295))</f>
        <v/>
      </c>
      <c r="AL295" s="30" t="str">
        <f aca="false">IF(OR($AK295="",$AK295=0),"",495/$AK295-450)</f>
        <v/>
      </c>
      <c r="AM295" s="35" t="str">
        <f aca="false">IF(OR($AL295="",$E295=""),"",$E295*$AL295/100)</f>
        <v/>
      </c>
      <c r="AN295" s="30" t="str">
        <f aca="false">IF(OR($AM295="",$E295=""),"",$E295-$AM295)</f>
        <v/>
      </c>
      <c r="AO295" s="35" t="str">
        <f aca="false">IFERROR($E295/($F295/100)^2,"")</f>
        <v/>
      </c>
      <c r="AP295" s="35" t="str">
        <f aca="false">IFERROR($G295/$F295*100,"")</f>
        <v/>
      </c>
      <c r="AQ295" s="36" t="str">
        <f aca="false">IFERROR($W295/$F295,"")</f>
        <v/>
      </c>
      <c r="AR295" s="35" t="str">
        <f aca="false">IF(OR($S295="",$I295=""),"",($S295-PI()*$I295/10)^2/(4*PI())-IF(IFERROR(INDEX(Cadastro!$F$8:$F$47,MATCH($B295,Cadastro!$B$8:$B$47,0)),"")="Feminino",6.5,10))</f>
        <v/>
      </c>
      <c r="AS295" s="35" t="str">
        <f aca="false">IF(OR($I295="",$J295="",$O295="",$F295=""),"",-0.7182+0.1451*(($I295+$J295+$O295)*(170.18/$F295))-0.00068*(($I295+$J295+$O295)*(170.18/$F295))^2+0.0000014*(($I295+$J295+$O295)*(170.18/$F295))^3)</f>
        <v/>
      </c>
      <c r="AT295" s="35" t="str">
        <f aca="false">IF(OR($AE295="",$AF295="",$T295="",$AA295="",$F295=""),"",0.858*$AE295+0.601*$AF295+0.188*($T295-$I295/10)+0.161*($AA295-$R295/10)-0.131*$F295+4.5)</f>
        <v/>
      </c>
      <c r="AU295" s="35" t="str">
        <f aca="false">IF(OR($E295="",$F295=""),"",IF($F295/$E295^(1/3)&gt;=40.75,0.732*($F295/$E295^(1/3))-28.58,IF($F295/$E295^(1/3)&gt;=38.25,0.463*($F295/$E295^(1/3))-17.63,0.1)))</f>
        <v/>
      </c>
      <c r="AV295" s="37" t="str">
        <f aca="false">IF(OR($AS295="",$AT295="",$AU295=""),"",IF(AND($AT295&gt;=$AS295,$AT295&gt;=$AU295),"Mesomorfo dominante",IF(AND($AU295&gt;=$AS295,$AU295&gt;=$AT295),"Ectomorfo dominante","Endomorfo dominante")))</f>
        <v/>
      </c>
    </row>
    <row r="296" customFormat="false" ht="15" hidden="false" customHeight="false" outlineLevel="0" collapsed="false">
      <c r="A296" s="29"/>
      <c r="B296" s="27"/>
      <c r="C296" s="28"/>
      <c r="D296" s="27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3" t="str">
        <f aca="false">IFERROR(DATEDIF(INDEX(Cadastro!$D$8:$D$47,MATCH($B296,Cadastro!$B$8:$B$47,0)),$A296,"Y"),"")</f>
        <v/>
      </c>
      <c r="AH296" s="33" t="str">
        <f aca="false">IF(COUNT($I296,$K296,$J296,$N296)&lt;4,"",$I296+$K296+$J296+$N296)</f>
        <v/>
      </c>
      <c r="AI296" s="33" t="str">
        <f aca="false">IF(COUNT($L296,$M296,$I296,$J296,$P296,$N296,$Q296)&lt;7,"",$L296+$M296+$I296+$J296+$P296+$N296+$Q296)</f>
        <v/>
      </c>
      <c r="AJ296" s="33" t="str">
        <f aca="false">IF(COUNT($I296,$J296,$K296,$O296,$P296,$Q296,$R296,$N296)&lt;8,"",$I296+$J296+$K296+$O296+$P296+$Q296+$R296+$N296)</f>
        <v/>
      </c>
      <c r="AK296" s="34" t="str">
        <f aca="false">IF(OR($AI296="",$AG296=""),"",IF(IFERROR(INDEX(Cadastro!$F$8:$F$47,MATCH($B296,Cadastro!$B$8:$B$47,0)),"")="Feminino",1.097-0.00046971*$AI296+0.00000056*$AI296^2-0.00012828*$AG296,1.112-0.00043499*$AI296+0.00000055*$AI296^2-0.00028826*$AG296))</f>
        <v/>
      </c>
      <c r="AL296" s="30" t="str">
        <f aca="false">IF(OR($AK296="",$AK296=0),"",495/$AK296-450)</f>
        <v/>
      </c>
      <c r="AM296" s="35" t="str">
        <f aca="false">IF(OR($AL296="",$E296=""),"",$E296*$AL296/100)</f>
        <v/>
      </c>
      <c r="AN296" s="30" t="str">
        <f aca="false">IF(OR($AM296="",$E296=""),"",$E296-$AM296)</f>
        <v/>
      </c>
      <c r="AO296" s="35" t="str">
        <f aca="false">IFERROR($E296/($F296/100)^2,"")</f>
        <v/>
      </c>
      <c r="AP296" s="35" t="str">
        <f aca="false">IFERROR($G296/$F296*100,"")</f>
        <v/>
      </c>
      <c r="AQ296" s="36" t="str">
        <f aca="false">IFERROR($W296/$F296,"")</f>
        <v/>
      </c>
      <c r="AR296" s="35" t="str">
        <f aca="false">IF(OR($S296="",$I296=""),"",($S296-PI()*$I296/10)^2/(4*PI())-IF(IFERROR(INDEX(Cadastro!$F$8:$F$47,MATCH($B296,Cadastro!$B$8:$B$47,0)),"")="Feminino",6.5,10))</f>
        <v/>
      </c>
      <c r="AS296" s="35" t="str">
        <f aca="false">IF(OR($I296="",$J296="",$O296="",$F296=""),"",-0.7182+0.1451*(($I296+$J296+$O296)*(170.18/$F296))-0.00068*(($I296+$J296+$O296)*(170.18/$F296))^2+0.0000014*(($I296+$J296+$O296)*(170.18/$F296))^3)</f>
        <v/>
      </c>
      <c r="AT296" s="35" t="str">
        <f aca="false">IF(OR($AE296="",$AF296="",$T296="",$AA296="",$F296=""),"",0.858*$AE296+0.601*$AF296+0.188*($T296-$I296/10)+0.161*($AA296-$R296/10)-0.131*$F296+4.5)</f>
        <v/>
      </c>
      <c r="AU296" s="35" t="str">
        <f aca="false">IF(OR($E296="",$F296=""),"",IF($F296/$E296^(1/3)&gt;=40.75,0.732*($F296/$E296^(1/3))-28.58,IF($F296/$E296^(1/3)&gt;=38.25,0.463*($F296/$E296^(1/3))-17.63,0.1)))</f>
        <v/>
      </c>
      <c r="AV296" s="37" t="str">
        <f aca="false">IF(OR($AS296="",$AT296="",$AU296=""),"",IF(AND($AT296&gt;=$AS296,$AT296&gt;=$AU296),"Mesomorfo dominante",IF(AND($AU296&gt;=$AS296,$AU296&gt;=$AT296),"Ectomorfo dominante","Endomorfo dominante")))</f>
        <v/>
      </c>
    </row>
    <row r="297" customFormat="false" ht="15" hidden="false" customHeight="false" outlineLevel="0" collapsed="false">
      <c r="A297" s="29"/>
      <c r="B297" s="27"/>
      <c r="C297" s="28"/>
      <c r="D297" s="27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3" t="str">
        <f aca="false">IFERROR(DATEDIF(INDEX(Cadastro!$D$8:$D$47,MATCH($B297,Cadastro!$B$8:$B$47,0)),$A297,"Y"),"")</f>
        <v/>
      </c>
      <c r="AH297" s="33" t="str">
        <f aca="false">IF(COUNT($I297,$K297,$J297,$N297)&lt;4,"",$I297+$K297+$J297+$N297)</f>
        <v/>
      </c>
      <c r="AI297" s="33" t="str">
        <f aca="false">IF(COUNT($L297,$M297,$I297,$J297,$P297,$N297,$Q297)&lt;7,"",$L297+$M297+$I297+$J297+$P297+$N297+$Q297)</f>
        <v/>
      </c>
      <c r="AJ297" s="33" t="str">
        <f aca="false">IF(COUNT($I297,$J297,$K297,$O297,$P297,$Q297,$R297,$N297)&lt;8,"",$I297+$J297+$K297+$O297+$P297+$Q297+$R297+$N297)</f>
        <v/>
      </c>
      <c r="AK297" s="34" t="str">
        <f aca="false">IF(OR($AI297="",$AG297=""),"",IF(IFERROR(INDEX(Cadastro!$F$8:$F$47,MATCH($B297,Cadastro!$B$8:$B$47,0)),"")="Feminino",1.097-0.00046971*$AI297+0.00000056*$AI297^2-0.00012828*$AG297,1.112-0.00043499*$AI297+0.00000055*$AI297^2-0.00028826*$AG297))</f>
        <v/>
      </c>
      <c r="AL297" s="30" t="str">
        <f aca="false">IF(OR($AK297="",$AK297=0),"",495/$AK297-450)</f>
        <v/>
      </c>
      <c r="AM297" s="35" t="str">
        <f aca="false">IF(OR($AL297="",$E297=""),"",$E297*$AL297/100)</f>
        <v/>
      </c>
      <c r="AN297" s="30" t="str">
        <f aca="false">IF(OR($AM297="",$E297=""),"",$E297-$AM297)</f>
        <v/>
      </c>
      <c r="AO297" s="35" t="str">
        <f aca="false">IFERROR($E297/($F297/100)^2,"")</f>
        <v/>
      </c>
      <c r="AP297" s="35" t="str">
        <f aca="false">IFERROR($G297/$F297*100,"")</f>
        <v/>
      </c>
      <c r="AQ297" s="36" t="str">
        <f aca="false">IFERROR($W297/$F297,"")</f>
        <v/>
      </c>
      <c r="AR297" s="35" t="str">
        <f aca="false">IF(OR($S297="",$I297=""),"",($S297-PI()*$I297/10)^2/(4*PI())-IF(IFERROR(INDEX(Cadastro!$F$8:$F$47,MATCH($B297,Cadastro!$B$8:$B$47,0)),"")="Feminino",6.5,10))</f>
        <v/>
      </c>
      <c r="AS297" s="35" t="str">
        <f aca="false">IF(OR($I297="",$J297="",$O297="",$F297=""),"",-0.7182+0.1451*(($I297+$J297+$O297)*(170.18/$F297))-0.00068*(($I297+$J297+$O297)*(170.18/$F297))^2+0.0000014*(($I297+$J297+$O297)*(170.18/$F297))^3)</f>
        <v/>
      </c>
      <c r="AT297" s="35" t="str">
        <f aca="false">IF(OR($AE297="",$AF297="",$T297="",$AA297="",$F297=""),"",0.858*$AE297+0.601*$AF297+0.188*($T297-$I297/10)+0.161*($AA297-$R297/10)-0.131*$F297+4.5)</f>
        <v/>
      </c>
      <c r="AU297" s="35" t="str">
        <f aca="false">IF(OR($E297="",$F297=""),"",IF($F297/$E297^(1/3)&gt;=40.75,0.732*($F297/$E297^(1/3))-28.58,IF($F297/$E297^(1/3)&gt;=38.25,0.463*($F297/$E297^(1/3))-17.63,0.1)))</f>
        <v/>
      </c>
      <c r="AV297" s="37" t="str">
        <f aca="false">IF(OR($AS297="",$AT297="",$AU297=""),"",IF(AND($AT297&gt;=$AS297,$AT297&gt;=$AU297),"Mesomorfo dominante",IF(AND($AU297&gt;=$AS297,$AU297&gt;=$AT297),"Ectomorfo dominante","Endomorfo dominante")))</f>
        <v/>
      </c>
    </row>
    <row r="298" customFormat="false" ht="15" hidden="false" customHeight="false" outlineLevel="0" collapsed="false">
      <c r="A298" s="29"/>
      <c r="B298" s="27"/>
      <c r="C298" s="28"/>
      <c r="D298" s="27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3" t="str">
        <f aca="false">IFERROR(DATEDIF(INDEX(Cadastro!$D$8:$D$47,MATCH($B298,Cadastro!$B$8:$B$47,0)),$A298,"Y"),"")</f>
        <v/>
      </c>
      <c r="AH298" s="33" t="str">
        <f aca="false">IF(COUNT($I298,$K298,$J298,$N298)&lt;4,"",$I298+$K298+$J298+$N298)</f>
        <v/>
      </c>
      <c r="AI298" s="33" t="str">
        <f aca="false">IF(COUNT($L298,$M298,$I298,$J298,$P298,$N298,$Q298)&lt;7,"",$L298+$M298+$I298+$J298+$P298+$N298+$Q298)</f>
        <v/>
      </c>
      <c r="AJ298" s="33" t="str">
        <f aca="false">IF(COUNT($I298,$J298,$K298,$O298,$P298,$Q298,$R298,$N298)&lt;8,"",$I298+$J298+$K298+$O298+$P298+$Q298+$R298+$N298)</f>
        <v/>
      </c>
      <c r="AK298" s="34" t="str">
        <f aca="false">IF(OR($AI298="",$AG298=""),"",IF(IFERROR(INDEX(Cadastro!$F$8:$F$47,MATCH($B298,Cadastro!$B$8:$B$47,0)),"")="Feminino",1.097-0.00046971*$AI298+0.00000056*$AI298^2-0.00012828*$AG298,1.112-0.00043499*$AI298+0.00000055*$AI298^2-0.00028826*$AG298))</f>
        <v/>
      </c>
      <c r="AL298" s="30" t="str">
        <f aca="false">IF(OR($AK298="",$AK298=0),"",495/$AK298-450)</f>
        <v/>
      </c>
      <c r="AM298" s="35" t="str">
        <f aca="false">IF(OR($AL298="",$E298=""),"",$E298*$AL298/100)</f>
        <v/>
      </c>
      <c r="AN298" s="30" t="str">
        <f aca="false">IF(OR($AM298="",$E298=""),"",$E298-$AM298)</f>
        <v/>
      </c>
      <c r="AO298" s="35" t="str">
        <f aca="false">IFERROR($E298/($F298/100)^2,"")</f>
        <v/>
      </c>
      <c r="AP298" s="35" t="str">
        <f aca="false">IFERROR($G298/$F298*100,"")</f>
        <v/>
      </c>
      <c r="AQ298" s="36" t="str">
        <f aca="false">IFERROR($W298/$F298,"")</f>
        <v/>
      </c>
      <c r="AR298" s="35" t="str">
        <f aca="false">IF(OR($S298="",$I298=""),"",($S298-PI()*$I298/10)^2/(4*PI())-IF(IFERROR(INDEX(Cadastro!$F$8:$F$47,MATCH($B298,Cadastro!$B$8:$B$47,0)),"")="Feminino",6.5,10))</f>
        <v/>
      </c>
      <c r="AS298" s="35" t="str">
        <f aca="false">IF(OR($I298="",$J298="",$O298="",$F298=""),"",-0.7182+0.1451*(($I298+$J298+$O298)*(170.18/$F298))-0.00068*(($I298+$J298+$O298)*(170.18/$F298))^2+0.0000014*(($I298+$J298+$O298)*(170.18/$F298))^3)</f>
        <v/>
      </c>
      <c r="AT298" s="35" t="str">
        <f aca="false">IF(OR($AE298="",$AF298="",$T298="",$AA298="",$F298=""),"",0.858*$AE298+0.601*$AF298+0.188*($T298-$I298/10)+0.161*($AA298-$R298/10)-0.131*$F298+4.5)</f>
        <v/>
      </c>
      <c r="AU298" s="35" t="str">
        <f aca="false">IF(OR($E298="",$F298=""),"",IF($F298/$E298^(1/3)&gt;=40.75,0.732*($F298/$E298^(1/3))-28.58,IF($F298/$E298^(1/3)&gt;=38.25,0.463*($F298/$E298^(1/3))-17.63,0.1)))</f>
        <v/>
      </c>
      <c r="AV298" s="37" t="str">
        <f aca="false">IF(OR($AS298="",$AT298="",$AU298=""),"",IF(AND($AT298&gt;=$AS298,$AT298&gt;=$AU298),"Mesomorfo dominante",IF(AND($AU298&gt;=$AS298,$AU298&gt;=$AT298),"Ectomorfo dominante","Endomorfo dominante")))</f>
        <v/>
      </c>
    </row>
    <row r="299" customFormat="false" ht="15" hidden="false" customHeight="false" outlineLevel="0" collapsed="false">
      <c r="A299" s="29"/>
      <c r="B299" s="27"/>
      <c r="C299" s="28"/>
      <c r="D299" s="27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3" t="str">
        <f aca="false">IFERROR(DATEDIF(INDEX(Cadastro!$D$8:$D$47,MATCH($B299,Cadastro!$B$8:$B$47,0)),$A299,"Y"),"")</f>
        <v/>
      </c>
      <c r="AH299" s="33" t="str">
        <f aca="false">IF(COUNT($I299,$K299,$J299,$N299)&lt;4,"",$I299+$K299+$J299+$N299)</f>
        <v/>
      </c>
      <c r="AI299" s="33" t="str">
        <f aca="false">IF(COUNT($L299,$M299,$I299,$J299,$P299,$N299,$Q299)&lt;7,"",$L299+$M299+$I299+$J299+$P299+$N299+$Q299)</f>
        <v/>
      </c>
      <c r="AJ299" s="33" t="str">
        <f aca="false">IF(COUNT($I299,$J299,$K299,$O299,$P299,$Q299,$R299,$N299)&lt;8,"",$I299+$J299+$K299+$O299+$P299+$Q299+$R299+$N299)</f>
        <v/>
      </c>
      <c r="AK299" s="34" t="str">
        <f aca="false">IF(OR($AI299="",$AG299=""),"",IF(IFERROR(INDEX(Cadastro!$F$8:$F$47,MATCH($B299,Cadastro!$B$8:$B$47,0)),"")="Feminino",1.097-0.00046971*$AI299+0.00000056*$AI299^2-0.00012828*$AG299,1.112-0.00043499*$AI299+0.00000055*$AI299^2-0.00028826*$AG299))</f>
        <v/>
      </c>
      <c r="AL299" s="30" t="str">
        <f aca="false">IF(OR($AK299="",$AK299=0),"",495/$AK299-450)</f>
        <v/>
      </c>
      <c r="AM299" s="35" t="str">
        <f aca="false">IF(OR($AL299="",$E299=""),"",$E299*$AL299/100)</f>
        <v/>
      </c>
      <c r="AN299" s="30" t="str">
        <f aca="false">IF(OR($AM299="",$E299=""),"",$E299-$AM299)</f>
        <v/>
      </c>
      <c r="AO299" s="35" t="str">
        <f aca="false">IFERROR($E299/($F299/100)^2,"")</f>
        <v/>
      </c>
      <c r="AP299" s="35" t="str">
        <f aca="false">IFERROR($G299/$F299*100,"")</f>
        <v/>
      </c>
      <c r="AQ299" s="36" t="str">
        <f aca="false">IFERROR($W299/$F299,"")</f>
        <v/>
      </c>
      <c r="AR299" s="35" t="str">
        <f aca="false">IF(OR($S299="",$I299=""),"",($S299-PI()*$I299/10)^2/(4*PI())-IF(IFERROR(INDEX(Cadastro!$F$8:$F$47,MATCH($B299,Cadastro!$B$8:$B$47,0)),"")="Feminino",6.5,10))</f>
        <v/>
      </c>
      <c r="AS299" s="35" t="str">
        <f aca="false">IF(OR($I299="",$J299="",$O299="",$F299=""),"",-0.7182+0.1451*(($I299+$J299+$O299)*(170.18/$F299))-0.00068*(($I299+$J299+$O299)*(170.18/$F299))^2+0.0000014*(($I299+$J299+$O299)*(170.18/$F299))^3)</f>
        <v/>
      </c>
      <c r="AT299" s="35" t="str">
        <f aca="false">IF(OR($AE299="",$AF299="",$T299="",$AA299="",$F299=""),"",0.858*$AE299+0.601*$AF299+0.188*($T299-$I299/10)+0.161*($AA299-$R299/10)-0.131*$F299+4.5)</f>
        <v/>
      </c>
      <c r="AU299" s="35" t="str">
        <f aca="false">IF(OR($E299="",$F299=""),"",IF($F299/$E299^(1/3)&gt;=40.75,0.732*($F299/$E299^(1/3))-28.58,IF($F299/$E299^(1/3)&gt;=38.25,0.463*($F299/$E299^(1/3))-17.63,0.1)))</f>
        <v/>
      </c>
      <c r="AV299" s="37" t="str">
        <f aca="false">IF(OR($AS299="",$AT299="",$AU299=""),"",IF(AND($AT299&gt;=$AS299,$AT299&gt;=$AU299),"Mesomorfo dominante",IF(AND($AU299&gt;=$AS299,$AU299&gt;=$AT299),"Ectomorfo dominante","Endomorfo dominante")))</f>
        <v/>
      </c>
    </row>
    <row r="300" customFormat="false" ht="15" hidden="false" customHeight="false" outlineLevel="0" collapsed="false">
      <c r="A300" s="29"/>
      <c r="B300" s="27"/>
      <c r="C300" s="28"/>
      <c r="D300" s="27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3" t="str">
        <f aca="false">IFERROR(DATEDIF(INDEX(Cadastro!$D$8:$D$47,MATCH($B300,Cadastro!$B$8:$B$47,0)),$A300,"Y"),"")</f>
        <v/>
      </c>
      <c r="AH300" s="33" t="str">
        <f aca="false">IF(COUNT($I300,$K300,$J300,$N300)&lt;4,"",$I300+$K300+$J300+$N300)</f>
        <v/>
      </c>
      <c r="AI300" s="33" t="str">
        <f aca="false">IF(COUNT($L300,$M300,$I300,$J300,$P300,$N300,$Q300)&lt;7,"",$L300+$M300+$I300+$J300+$P300+$N300+$Q300)</f>
        <v/>
      </c>
      <c r="AJ300" s="33" t="str">
        <f aca="false">IF(COUNT($I300,$J300,$K300,$O300,$P300,$Q300,$R300,$N300)&lt;8,"",$I300+$J300+$K300+$O300+$P300+$Q300+$R300+$N300)</f>
        <v/>
      </c>
      <c r="AK300" s="34" t="str">
        <f aca="false">IF(OR($AI300="",$AG300=""),"",IF(IFERROR(INDEX(Cadastro!$F$8:$F$47,MATCH($B300,Cadastro!$B$8:$B$47,0)),"")="Feminino",1.097-0.00046971*$AI300+0.00000056*$AI300^2-0.00012828*$AG300,1.112-0.00043499*$AI300+0.00000055*$AI300^2-0.00028826*$AG300))</f>
        <v/>
      </c>
      <c r="AL300" s="30" t="str">
        <f aca="false">IF(OR($AK300="",$AK300=0),"",495/$AK300-450)</f>
        <v/>
      </c>
      <c r="AM300" s="35" t="str">
        <f aca="false">IF(OR($AL300="",$E300=""),"",$E300*$AL300/100)</f>
        <v/>
      </c>
      <c r="AN300" s="30" t="str">
        <f aca="false">IF(OR($AM300="",$E300=""),"",$E300-$AM300)</f>
        <v/>
      </c>
      <c r="AO300" s="35" t="str">
        <f aca="false">IFERROR($E300/($F300/100)^2,"")</f>
        <v/>
      </c>
      <c r="AP300" s="35" t="str">
        <f aca="false">IFERROR($G300/$F300*100,"")</f>
        <v/>
      </c>
      <c r="AQ300" s="36" t="str">
        <f aca="false">IFERROR($W300/$F300,"")</f>
        <v/>
      </c>
      <c r="AR300" s="35" t="str">
        <f aca="false">IF(OR($S300="",$I300=""),"",($S300-PI()*$I300/10)^2/(4*PI())-IF(IFERROR(INDEX(Cadastro!$F$8:$F$47,MATCH($B300,Cadastro!$B$8:$B$47,0)),"")="Feminino",6.5,10))</f>
        <v/>
      </c>
      <c r="AS300" s="35" t="str">
        <f aca="false">IF(OR($I300="",$J300="",$O300="",$F300=""),"",-0.7182+0.1451*(($I300+$J300+$O300)*(170.18/$F300))-0.00068*(($I300+$J300+$O300)*(170.18/$F300))^2+0.0000014*(($I300+$J300+$O300)*(170.18/$F300))^3)</f>
        <v/>
      </c>
      <c r="AT300" s="35" t="str">
        <f aca="false">IF(OR($AE300="",$AF300="",$T300="",$AA300="",$F300=""),"",0.858*$AE300+0.601*$AF300+0.188*($T300-$I300/10)+0.161*($AA300-$R300/10)-0.131*$F300+4.5)</f>
        <v/>
      </c>
      <c r="AU300" s="35" t="str">
        <f aca="false">IF(OR($E300="",$F300=""),"",IF($F300/$E300^(1/3)&gt;=40.75,0.732*($F300/$E300^(1/3))-28.58,IF($F300/$E300^(1/3)&gt;=38.25,0.463*($F300/$E300^(1/3))-17.63,0.1)))</f>
        <v/>
      </c>
      <c r="AV300" s="37" t="str">
        <f aca="false">IF(OR($AS300="",$AT300="",$AU300=""),"",IF(AND($AT300&gt;=$AS300,$AT300&gt;=$AU300),"Mesomorfo dominante",IF(AND($AU300&gt;=$AS300,$AU300&gt;=$AT300),"Ectomorfo dominante","Endomorfo dominante")))</f>
        <v/>
      </c>
    </row>
    <row r="301" customFormat="false" ht="15" hidden="false" customHeight="false" outlineLevel="0" collapsed="false">
      <c r="A301" s="29"/>
      <c r="B301" s="27"/>
      <c r="C301" s="28"/>
      <c r="D301" s="27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3" t="str">
        <f aca="false">IFERROR(DATEDIF(INDEX(Cadastro!$D$8:$D$47,MATCH($B301,Cadastro!$B$8:$B$47,0)),$A301,"Y"),"")</f>
        <v/>
      </c>
      <c r="AH301" s="33" t="str">
        <f aca="false">IF(COUNT($I301,$K301,$J301,$N301)&lt;4,"",$I301+$K301+$J301+$N301)</f>
        <v/>
      </c>
      <c r="AI301" s="33" t="str">
        <f aca="false">IF(COUNT($L301,$M301,$I301,$J301,$P301,$N301,$Q301)&lt;7,"",$L301+$M301+$I301+$J301+$P301+$N301+$Q301)</f>
        <v/>
      </c>
      <c r="AJ301" s="33" t="str">
        <f aca="false">IF(COUNT($I301,$J301,$K301,$O301,$P301,$Q301,$R301,$N301)&lt;8,"",$I301+$J301+$K301+$O301+$P301+$Q301+$R301+$N301)</f>
        <v/>
      </c>
      <c r="AK301" s="34" t="str">
        <f aca="false">IF(OR($AI301="",$AG301=""),"",IF(IFERROR(INDEX(Cadastro!$F$8:$F$47,MATCH($B301,Cadastro!$B$8:$B$47,0)),"")="Feminino",1.097-0.00046971*$AI301+0.00000056*$AI301^2-0.00012828*$AG301,1.112-0.00043499*$AI301+0.00000055*$AI301^2-0.00028826*$AG301))</f>
        <v/>
      </c>
      <c r="AL301" s="30" t="str">
        <f aca="false">IF(OR($AK301="",$AK301=0),"",495/$AK301-450)</f>
        <v/>
      </c>
      <c r="AM301" s="35" t="str">
        <f aca="false">IF(OR($AL301="",$E301=""),"",$E301*$AL301/100)</f>
        <v/>
      </c>
      <c r="AN301" s="30" t="str">
        <f aca="false">IF(OR($AM301="",$E301=""),"",$E301-$AM301)</f>
        <v/>
      </c>
      <c r="AO301" s="35" t="str">
        <f aca="false">IFERROR($E301/($F301/100)^2,"")</f>
        <v/>
      </c>
      <c r="AP301" s="35" t="str">
        <f aca="false">IFERROR($G301/$F301*100,"")</f>
        <v/>
      </c>
      <c r="AQ301" s="36" t="str">
        <f aca="false">IFERROR($W301/$F301,"")</f>
        <v/>
      </c>
      <c r="AR301" s="35" t="str">
        <f aca="false">IF(OR($S301="",$I301=""),"",($S301-PI()*$I301/10)^2/(4*PI())-IF(IFERROR(INDEX(Cadastro!$F$8:$F$47,MATCH($B301,Cadastro!$B$8:$B$47,0)),"")="Feminino",6.5,10))</f>
        <v/>
      </c>
      <c r="AS301" s="35" t="str">
        <f aca="false">IF(OR($I301="",$J301="",$O301="",$F301=""),"",-0.7182+0.1451*(($I301+$J301+$O301)*(170.18/$F301))-0.00068*(($I301+$J301+$O301)*(170.18/$F301))^2+0.0000014*(($I301+$J301+$O301)*(170.18/$F301))^3)</f>
        <v/>
      </c>
      <c r="AT301" s="35" t="str">
        <f aca="false">IF(OR($AE301="",$AF301="",$T301="",$AA301="",$F301=""),"",0.858*$AE301+0.601*$AF301+0.188*($T301-$I301/10)+0.161*($AA301-$R301/10)-0.131*$F301+4.5)</f>
        <v/>
      </c>
      <c r="AU301" s="35" t="str">
        <f aca="false">IF(OR($E301="",$F301=""),"",IF($F301/$E301^(1/3)&gt;=40.75,0.732*($F301/$E301^(1/3))-28.58,IF($F301/$E301^(1/3)&gt;=38.25,0.463*($F301/$E301^(1/3))-17.63,0.1)))</f>
        <v/>
      </c>
      <c r="AV301" s="37" t="str">
        <f aca="false">IF(OR($AS301="",$AT301="",$AU301=""),"",IF(AND($AT301&gt;=$AS301,$AT301&gt;=$AU301),"Mesomorfo dominante",IF(AND($AU301&gt;=$AS301,$AU301&gt;=$AT301),"Ectomorfo dominante","Endomorfo dominante")))</f>
        <v/>
      </c>
    </row>
    <row r="302" customFormat="false" ht="15" hidden="false" customHeight="false" outlineLevel="0" collapsed="false">
      <c r="A302" s="29"/>
      <c r="B302" s="27"/>
      <c r="C302" s="28"/>
      <c r="D302" s="27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3" t="str">
        <f aca="false">IFERROR(DATEDIF(INDEX(Cadastro!$D$8:$D$47,MATCH($B302,Cadastro!$B$8:$B$47,0)),$A302,"Y"),"")</f>
        <v/>
      </c>
      <c r="AH302" s="33" t="str">
        <f aca="false">IF(COUNT($I302,$K302,$J302,$N302)&lt;4,"",$I302+$K302+$J302+$N302)</f>
        <v/>
      </c>
      <c r="AI302" s="33" t="str">
        <f aca="false">IF(COUNT($L302,$M302,$I302,$J302,$P302,$N302,$Q302)&lt;7,"",$L302+$M302+$I302+$J302+$P302+$N302+$Q302)</f>
        <v/>
      </c>
      <c r="AJ302" s="33" t="str">
        <f aca="false">IF(COUNT($I302,$J302,$K302,$O302,$P302,$Q302,$R302,$N302)&lt;8,"",$I302+$J302+$K302+$O302+$P302+$Q302+$R302+$N302)</f>
        <v/>
      </c>
      <c r="AK302" s="34" t="str">
        <f aca="false">IF(OR($AI302="",$AG302=""),"",IF(IFERROR(INDEX(Cadastro!$F$8:$F$47,MATCH($B302,Cadastro!$B$8:$B$47,0)),"")="Feminino",1.097-0.00046971*$AI302+0.00000056*$AI302^2-0.00012828*$AG302,1.112-0.00043499*$AI302+0.00000055*$AI302^2-0.00028826*$AG302))</f>
        <v/>
      </c>
      <c r="AL302" s="30" t="str">
        <f aca="false">IF(OR($AK302="",$AK302=0),"",495/$AK302-450)</f>
        <v/>
      </c>
      <c r="AM302" s="35" t="str">
        <f aca="false">IF(OR($AL302="",$E302=""),"",$E302*$AL302/100)</f>
        <v/>
      </c>
      <c r="AN302" s="30" t="str">
        <f aca="false">IF(OR($AM302="",$E302=""),"",$E302-$AM302)</f>
        <v/>
      </c>
      <c r="AO302" s="35" t="str">
        <f aca="false">IFERROR($E302/($F302/100)^2,"")</f>
        <v/>
      </c>
      <c r="AP302" s="35" t="str">
        <f aca="false">IFERROR($G302/$F302*100,"")</f>
        <v/>
      </c>
      <c r="AQ302" s="36" t="str">
        <f aca="false">IFERROR($W302/$F302,"")</f>
        <v/>
      </c>
      <c r="AR302" s="35" t="str">
        <f aca="false">IF(OR($S302="",$I302=""),"",($S302-PI()*$I302/10)^2/(4*PI())-IF(IFERROR(INDEX(Cadastro!$F$8:$F$47,MATCH($B302,Cadastro!$B$8:$B$47,0)),"")="Feminino",6.5,10))</f>
        <v/>
      </c>
      <c r="AS302" s="35" t="str">
        <f aca="false">IF(OR($I302="",$J302="",$O302="",$F302=""),"",-0.7182+0.1451*(($I302+$J302+$O302)*(170.18/$F302))-0.00068*(($I302+$J302+$O302)*(170.18/$F302))^2+0.0000014*(($I302+$J302+$O302)*(170.18/$F302))^3)</f>
        <v/>
      </c>
      <c r="AT302" s="35" t="str">
        <f aca="false">IF(OR($AE302="",$AF302="",$T302="",$AA302="",$F302=""),"",0.858*$AE302+0.601*$AF302+0.188*($T302-$I302/10)+0.161*($AA302-$R302/10)-0.131*$F302+4.5)</f>
        <v/>
      </c>
      <c r="AU302" s="35" t="str">
        <f aca="false">IF(OR($E302="",$F302=""),"",IF($F302/$E302^(1/3)&gt;=40.75,0.732*($F302/$E302^(1/3))-28.58,IF($F302/$E302^(1/3)&gt;=38.25,0.463*($F302/$E302^(1/3))-17.63,0.1)))</f>
        <v/>
      </c>
      <c r="AV302" s="37" t="str">
        <f aca="false">IF(OR($AS302="",$AT302="",$AU302=""),"",IF(AND($AT302&gt;=$AS302,$AT302&gt;=$AU302),"Mesomorfo dominante",IF(AND($AU302&gt;=$AS302,$AU302&gt;=$AT302),"Ectomorfo dominante","Endomorfo dominante")))</f>
        <v/>
      </c>
    </row>
    <row r="303" customFormat="false" ht="15" hidden="false" customHeight="false" outlineLevel="0" collapsed="false">
      <c r="A303" s="29"/>
      <c r="B303" s="27"/>
      <c r="C303" s="28"/>
      <c r="D303" s="27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3" t="str">
        <f aca="false">IFERROR(DATEDIF(INDEX(Cadastro!$D$8:$D$47,MATCH($B303,Cadastro!$B$8:$B$47,0)),$A303,"Y"),"")</f>
        <v/>
      </c>
      <c r="AH303" s="33" t="str">
        <f aca="false">IF(COUNT($I303,$K303,$J303,$N303)&lt;4,"",$I303+$K303+$J303+$N303)</f>
        <v/>
      </c>
      <c r="AI303" s="33" t="str">
        <f aca="false">IF(COUNT($L303,$M303,$I303,$J303,$P303,$N303,$Q303)&lt;7,"",$L303+$M303+$I303+$J303+$P303+$N303+$Q303)</f>
        <v/>
      </c>
      <c r="AJ303" s="33" t="str">
        <f aca="false">IF(COUNT($I303,$J303,$K303,$O303,$P303,$Q303,$R303,$N303)&lt;8,"",$I303+$J303+$K303+$O303+$P303+$Q303+$R303+$N303)</f>
        <v/>
      </c>
      <c r="AK303" s="34" t="str">
        <f aca="false">IF(OR($AI303="",$AG303=""),"",IF(IFERROR(INDEX(Cadastro!$F$8:$F$47,MATCH($B303,Cadastro!$B$8:$B$47,0)),"")="Feminino",1.097-0.00046971*$AI303+0.00000056*$AI303^2-0.00012828*$AG303,1.112-0.00043499*$AI303+0.00000055*$AI303^2-0.00028826*$AG303))</f>
        <v/>
      </c>
      <c r="AL303" s="30" t="str">
        <f aca="false">IF(OR($AK303="",$AK303=0),"",495/$AK303-450)</f>
        <v/>
      </c>
      <c r="AM303" s="35" t="str">
        <f aca="false">IF(OR($AL303="",$E303=""),"",$E303*$AL303/100)</f>
        <v/>
      </c>
      <c r="AN303" s="30" t="str">
        <f aca="false">IF(OR($AM303="",$E303=""),"",$E303-$AM303)</f>
        <v/>
      </c>
      <c r="AO303" s="35" t="str">
        <f aca="false">IFERROR($E303/($F303/100)^2,"")</f>
        <v/>
      </c>
      <c r="AP303" s="35" t="str">
        <f aca="false">IFERROR($G303/$F303*100,"")</f>
        <v/>
      </c>
      <c r="AQ303" s="36" t="str">
        <f aca="false">IFERROR($W303/$F303,"")</f>
        <v/>
      </c>
      <c r="AR303" s="35" t="str">
        <f aca="false">IF(OR($S303="",$I303=""),"",($S303-PI()*$I303/10)^2/(4*PI())-IF(IFERROR(INDEX(Cadastro!$F$8:$F$47,MATCH($B303,Cadastro!$B$8:$B$47,0)),"")="Feminino",6.5,10))</f>
        <v/>
      </c>
      <c r="AS303" s="35" t="str">
        <f aca="false">IF(OR($I303="",$J303="",$O303="",$F303=""),"",-0.7182+0.1451*(($I303+$J303+$O303)*(170.18/$F303))-0.00068*(($I303+$J303+$O303)*(170.18/$F303))^2+0.0000014*(($I303+$J303+$O303)*(170.18/$F303))^3)</f>
        <v/>
      </c>
      <c r="AT303" s="35" t="str">
        <f aca="false">IF(OR($AE303="",$AF303="",$T303="",$AA303="",$F303=""),"",0.858*$AE303+0.601*$AF303+0.188*($T303-$I303/10)+0.161*($AA303-$R303/10)-0.131*$F303+4.5)</f>
        <v/>
      </c>
      <c r="AU303" s="35" t="str">
        <f aca="false">IF(OR($E303="",$F303=""),"",IF($F303/$E303^(1/3)&gt;=40.75,0.732*($F303/$E303^(1/3))-28.58,IF($F303/$E303^(1/3)&gt;=38.25,0.463*($F303/$E303^(1/3))-17.63,0.1)))</f>
        <v/>
      </c>
      <c r="AV303" s="37" t="str">
        <f aca="false">IF(OR($AS303="",$AT303="",$AU303=""),"",IF(AND($AT303&gt;=$AS303,$AT303&gt;=$AU303),"Mesomorfo dominante",IF(AND($AU303&gt;=$AS303,$AU303&gt;=$AT303),"Ectomorfo dominante","Endomorfo dominante")))</f>
        <v/>
      </c>
    </row>
    <row r="304" customFormat="false" ht="15" hidden="false" customHeight="false" outlineLevel="0" collapsed="false">
      <c r="A304" s="29"/>
      <c r="B304" s="27"/>
      <c r="C304" s="28"/>
      <c r="D304" s="27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3" t="str">
        <f aca="false">IFERROR(DATEDIF(INDEX(Cadastro!$D$8:$D$47,MATCH($B304,Cadastro!$B$8:$B$47,0)),$A304,"Y"),"")</f>
        <v/>
      </c>
      <c r="AH304" s="33" t="str">
        <f aca="false">IF(COUNT($I304,$K304,$J304,$N304)&lt;4,"",$I304+$K304+$J304+$N304)</f>
        <v/>
      </c>
      <c r="AI304" s="33" t="str">
        <f aca="false">IF(COUNT($L304,$M304,$I304,$J304,$P304,$N304,$Q304)&lt;7,"",$L304+$M304+$I304+$J304+$P304+$N304+$Q304)</f>
        <v/>
      </c>
      <c r="AJ304" s="33" t="str">
        <f aca="false">IF(COUNT($I304,$J304,$K304,$O304,$P304,$Q304,$R304,$N304)&lt;8,"",$I304+$J304+$K304+$O304+$P304+$Q304+$R304+$N304)</f>
        <v/>
      </c>
      <c r="AK304" s="34" t="str">
        <f aca="false">IF(OR($AI304="",$AG304=""),"",IF(IFERROR(INDEX(Cadastro!$F$8:$F$47,MATCH($B304,Cadastro!$B$8:$B$47,0)),"")="Feminino",1.097-0.00046971*$AI304+0.00000056*$AI304^2-0.00012828*$AG304,1.112-0.00043499*$AI304+0.00000055*$AI304^2-0.00028826*$AG304))</f>
        <v/>
      </c>
      <c r="AL304" s="30" t="str">
        <f aca="false">IF(OR($AK304="",$AK304=0),"",495/$AK304-450)</f>
        <v/>
      </c>
      <c r="AM304" s="35" t="str">
        <f aca="false">IF(OR($AL304="",$E304=""),"",$E304*$AL304/100)</f>
        <v/>
      </c>
      <c r="AN304" s="30" t="str">
        <f aca="false">IF(OR($AM304="",$E304=""),"",$E304-$AM304)</f>
        <v/>
      </c>
      <c r="AO304" s="35" t="str">
        <f aca="false">IFERROR($E304/($F304/100)^2,"")</f>
        <v/>
      </c>
      <c r="AP304" s="35" t="str">
        <f aca="false">IFERROR($G304/$F304*100,"")</f>
        <v/>
      </c>
      <c r="AQ304" s="36" t="str">
        <f aca="false">IFERROR($W304/$F304,"")</f>
        <v/>
      </c>
      <c r="AR304" s="35" t="str">
        <f aca="false">IF(OR($S304="",$I304=""),"",($S304-PI()*$I304/10)^2/(4*PI())-IF(IFERROR(INDEX(Cadastro!$F$8:$F$47,MATCH($B304,Cadastro!$B$8:$B$47,0)),"")="Feminino",6.5,10))</f>
        <v/>
      </c>
      <c r="AS304" s="35" t="str">
        <f aca="false">IF(OR($I304="",$J304="",$O304="",$F304=""),"",-0.7182+0.1451*(($I304+$J304+$O304)*(170.18/$F304))-0.00068*(($I304+$J304+$O304)*(170.18/$F304))^2+0.0000014*(($I304+$J304+$O304)*(170.18/$F304))^3)</f>
        <v/>
      </c>
      <c r="AT304" s="35" t="str">
        <f aca="false">IF(OR($AE304="",$AF304="",$T304="",$AA304="",$F304=""),"",0.858*$AE304+0.601*$AF304+0.188*($T304-$I304/10)+0.161*($AA304-$R304/10)-0.131*$F304+4.5)</f>
        <v/>
      </c>
      <c r="AU304" s="35" t="str">
        <f aca="false">IF(OR($E304="",$F304=""),"",IF($F304/$E304^(1/3)&gt;=40.75,0.732*($F304/$E304^(1/3))-28.58,IF($F304/$E304^(1/3)&gt;=38.25,0.463*($F304/$E304^(1/3))-17.63,0.1)))</f>
        <v/>
      </c>
      <c r="AV304" s="37" t="str">
        <f aca="false">IF(OR($AS304="",$AT304="",$AU304=""),"",IF(AND($AT304&gt;=$AS304,$AT304&gt;=$AU304),"Mesomorfo dominante",IF(AND($AU304&gt;=$AS304,$AU304&gt;=$AT304),"Ectomorfo dominante","Endomorfo dominante")))</f>
        <v/>
      </c>
    </row>
    <row r="305" customFormat="false" ht="15" hidden="false" customHeight="false" outlineLevel="0" collapsed="false">
      <c r="A305" s="29"/>
      <c r="B305" s="27"/>
      <c r="C305" s="28"/>
      <c r="D305" s="27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3" t="str">
        <f aca="false">IFERROR(DATEDIF(INDEX(Cadastro!$D$8:$D$47,MATCH($B305,Cadastro!$B$8:$B$47,0)),$A305,"Y"),"")</f>
        <v/>
      </c>
      <c r="AH305" s="33" t="str">
        <f aca="false">IF(COUNT($I305,$K305,$J305,$N305)&lt;4,"",$I305+$K305+$J305+$N305)</f>
        <v/>
      </c>
      <c r="AI305" s="33" t="str">
        <f aca="false">IF(COUNT($L305,$M305,$I305,$J305,$P305,$N305,$Q305)&lt;7,"",$L305+$M305+$I305+$J305+$P305+$N305+$Q305)</f>
        <v/>
      </c>
      <c r="AJ305" s="33" t="str">
        <f aca="false">IF(COUNT($I305,$J305,$K305,$O305,$P305,$Q305,$R305,$N305)&lt;8,"",$I305+$J305+$K305+$O305+$P305+$Q305+$R305+$N305)</f>
        <v/>
      </c>
      <c r="AK305" s="34" t="str">
        <f aca="false">IF(OR($AI305="",$AG305=""),"",IF(IFERROR(INDEX(Cadastro!$F$8:$F$47,MATCH($B305,Cadastro!$B$8:$B$47,0)),"")="Feminino",1.097-0.00046971*$AI305+0.00000056*$AI305^2-0.00012828*$AG305,1.112-0.00043499*$AI305+0.00000055*$AI305^2-0.00028826*$AG305))</f>
        <v/>
      </c>
      <c r="AL305" s="30" t="str">
        <f aca="false">IF(OR($AK305="",$AK305=0),"",495/$AK305-450)</f>
        <v/>
      </c>
      <c r="AM305" s="35" t="str">
        <f aca="false">IF(OR($AL305="",$E305=""),"",$E305*$AL305/100)</f>
        <v/>
      </c>
      <c r="AN305" s="30" t="str">
        <f aca="false">IF(OR($AM305="",$E305=""),"",$E305-$AM305)</f>
        <v/>
      </c>
      <c r="AO305" s="35" t="str">
        <f aca="false">IFERROR($E305/($F305/100)^2,"")</f>
        <v/>
      </c>
      <c r="AP305" s="35" t="str">
        <f aca="false">IFERROR($G305/$F305*100,"")</f>
        <v/>
      </c>
      <c r="AQ305" s="36" t="str">
        <f aca="false">IFERROR($W305/$F305,"")</f>
        <v/>
      </c>
      <c r="AR305" s="35" t="str">
        <f aca="false">IF(OR($S305="",$I305=""),"",($S305-PI()*$I305/10)^2/(4*PI())-IF(IFERROR(INDEX(Cadastro!$F$8:$F$47,MATCH($B305,Cadastro!$B$8:$B$47,0)),"")="Feminino",6.5,10))</f>
        <v/>
      </c>
      <c r="AS305" s="35" t="str">
        <f aca="false">IF(OR($I305="",$J305="",$O305="",$F305=""),"",-0.7182+0.1451*(($I305+$J305+$O305)*(170.18/$F305))-0.00068*(($I305+$J305+$O305)*(170.18/$F305))^2+0.0000014*(($I305+$J305+$O305)*(170.18/$F305))^3)</f>
        <v/>
      </c>
      <c r="AT305" s="35" t="str">
        <f aca="false">IF(OR($AE305="",$AF305="",$T305="",$AA305="",$F305=""),"",0.858*$AE305+0.601*$AF305+0.188*($T305-$I305/10)+0.161*($AA305-$R305/10)-0.131*$F305+4.5)</f>
        <v/>
      </c>
      <c r="AU305" s="35" t="str">
        <f aca="false">IF(OR($E305="",$F305=""),"",IF($F305/$E305^(1/3)&gt;=40.75,0.732*($F305/$E305^(1/3))-28.58,IF($F305/$E305^(1/3)&gt;=38.25,0.463*($F305/$E305^(1/3))-17.63,0.1)))</f>
        <v/>
      </c>
      <c r="AV305" s="37" t="str">
        <f aca="false">IF(OR($AS305="",$AT305="",$AU305=""),"",IF(AND($AT305&gt;=$AS305,$AT305&gt;=$AU305),"Mesomorfo dominante",IF(AND($AU305&gt;=$AS305,$AU305&gt;=$AT305),"Ectomorfo dominante","Endomorfo dominante")))</f>
        <v/>
      </c>
    </row>
    <row r="306" customFormat="false" ht="15" hidden="false" customHeight="false" outlineLevel="0" collapsed="false">
      <c r="A306" s="29"/>
      <c r="B306" s="27"/>
      <c r="C306" s="28"/>
      <c r="D306" s="27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3" t="str">
        <f aca="false">IFERROR(DATEDIF(INDEX(Cadastro!$D$8:$D$47,MATCH($B306,Cadastro!$B$8:$B$47,0)),$A306,"Y"),"")</f>
        <v/>
      </c>
      <c r="AH306" s="33" t="str">
        <f aca="false">IF(COUNT($I306,$K306,$J306,$N306)&lt;4,"",$I306+$K306+$J306+$N306)</f>
        <v/>
      </c>
      <c r="AI306" s="33" t="str">
        <f aca="false">IF(COUNT($L306,$M306,$I306,$J306,$P306,$N306,$Q306)&lt;7,"",$L306+$M306+$I306+$J306+$P306+$N306+$Q306)</f>
        <v/>
      </c>
      <c r="AJ306" s="33" t="str">
        <f aca="false">IF(COUNT($I306,$J306,$K306,$O306,$P306,$Q306,$R306,$N306)&lt;8,"",$I306+$J306+$K306+$O306+$P306+$Q306+$R306+$N306)</f>
        <v/>
      </c>
      <c r="AK306" s="34" t="str">
        <f aca="false">IF(OR($AI306="",$AG306=""),"",IF(IFERROR(INDEX(Cadastro!$F$8:$F$47,MATCH($B306,Cadastro!$B$8:$B$47,0)),"")="Feminino",1.097-0.00046971*$AI306+0.00000056*$AI306^2-0.00012828*$AG306,1.112-0.00043499*$AI306+0.00000055*$AI306^2-0.00028826*$AG306))</f>
        <v/>
      </c>
      <c r="AL306" s="30" t="str">
        <f aca="false">IF(OR($AK306="",$AK306=0),"",495/$AK306-450)</f>
        <v/>
      </c>
      <c r="AM306" s="35" t="str">
        <f aca="false">IF(OR($AL306="",$E306=""),"",$E306*$AL306/100)</f>
        <v/>
      </c>
      <c r="AN306" s="30" t="str">
        <f aca="false">IF(OR($AM306="",$E306=""),"",$E306-$AM306)</f>
        <v/>
      </c>
      <c r="AO306" s="35" t="str">
        <f aca="false">IFERROR($E306/($F306/100)^2,"")</f>
        <v/>
      </c>
      <c r="AP306" s="35" t="str">
        <f aca="false">IFERROR($G306/$F306*100,"")</f>
        <v/>
      </c>
      <c r="AQ306" s="36" t="str">
        <f aca="false">IFERROR($W306/$F306,"")</f>
        <v/>
      </c>
      <c r="AR306" s="35" t="str">
        <f aca="false">IF(OR($S306="",$I306=""),"",($S306-PI()*$I306/10)^2/(4*PI())-IF(IFERROR(INDEX(Cadastro!$F$8:$F$47,MATCH($B306,Cadastro!$B$8:$B$47,0)),"")="Feminino",6.5,10))</f>
        <v/>
      </c>
      <c r="AS306" s="35" t="str">
        <f aca="false">IF(OR($I306="",$J306="",$O306="",$F306=""),"",-0.7182+0.1451*(($I306+$J306+$O306)*(170.18/$F306))-0.00068*(($I306+$J306+$O306)*(170.18/$F306))^2+0.0000014*(($I306+$J306+$O306)*(170.18/$F306))^3)</f>
        <v/>
      </c>
      <c r="AT306" s="35" t="str">
        <f aca="false">IF(OR($AE306="",$AF306="",$T306="",$AA306="",$F306=""),"",0.858*$AE306+0.601*$AF306+0.188*($T306-$I306/10)+0.161*($AA306-$R306/10)-0.131*$F306+4.5)</f>
        <v/>
      </c>
      <c r="AU306" s="35" t="str">
        <f aca="false">IF(OR($E306="",$F306=""),"",IF($F306/$E306^(1/3)&gt;=40.75,0.732*($F306/$E306^(1/3))-28.58,IF($F306/$E306^(1/3)&gt;=38.25,0.463*($F306/$E306^(1/3))-17.63,0.1)))</f>
        <v/>
      </c>
      <c r="AV306" s="37" t="str">
        <f aca="false">IF(OR($AS306="",$AT306="",$AU306=""),"",IF(AND($AT306&gt;=$AS306,$AT306&gt;=$AU306),"Mesomorfo dominante",IF(AND($AU306&gt;=$AS306,$AU306&gt;=$AT306),"Ectomorfo dominante","Endomorfo dominante")))</f>
        <v/>
      </c>
    </row>
    <row r="307" customFormat="false" ht="15" hidden="false" customHeight="false" outlineLevel="0" collapsed="false">
      <c r="A307" s="29"/>
      <c r="B307" s="27"/>
      <c r="C307" s="28"/>
      <c r="D307" s="27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3" t="str">
        <f aca="false">IFERROR(DATEDIF(INDEX(Cadastro!$D$8:$D$47,MATCH($B307,Cadastro!$B$8:$B$47,0)),$A307,"Y"),"")</f>
        <v/>
      </c>
      <c r="AH307" s="33" t="str">
        <f aca="false">IF(COUNT($I307,$K307,$J307,$N307)&lt;4,"",$I307+$K307+$J307+$N307)</f>
        <v/>
      </c>
      <c r="AI307" s="33" t="str">
        <f aca="false">IF(COUNT($L307,$M307,$I307,$J307,$P307,$N307,$Q307)&lt;7,"",$L307+$M307+$I307+$J307+$P307+$N307+$Q307)</f>
        <v/>
      </c>
      <c r="AJ307" s="33" t="str">
        <f aca="false">IF(COUNT($I307,$J307,$K307,$O307,$P307,$Q307,$R307,$N307)&lt;8,"",$I307+$J307+$K307+$O307+$P307+$Q307+$R307+$N307)</f>
        <v/>
      </c>
      <c r="AK307" s="34" t="str">
        <f aca="false">IF(OR($AI307="",$AG307=""),"",IF(IFERROR(INDEX(Cadastro!$F$8:$F$47,MATCH($B307,Cadastro!$B$8:$B$47,0)),"")="Feminino",1.097-0.00046971*$AI307+0.00000056*$AI307^2-0.00012828*$AG307,1.112-0.00043499*$AI307+0.00000055*$AI307^2-0.00028826*$AG307))</f>
        <v/>
      </c>
      <c r="AL307" s="30" t="str">
        <f aca="false">IF(OR($AK307="",$AK307=0),"",495/$AK307-450)</f>
        <v/>
      </c>
      <c r="AM307" s="35" t="str">
        <f aca="false">IF(OR($AL307="",$E307=""),"",$E307*$AL307/100)</f>
        <v/>
      </c>
      <c r="AN307" s="30" t="str">
        <f aca="false">IF(OR($AM307="",$E307=""),"",$E307-$AM307)</f>
        <v/>
      </c>
      <c r="AO307" s="35" t="str">
        <f aca="false">IFERROR($E307/($F307/100)^2,"")</f>
        <v/>
      </c>
      <c r="AP307" s="35" t="str">
        <f aca="false">IFERROR($G307/$F307*100,"")</f>
        <v/>
      </c>
      <c r="AQ307" s="36" t="str">
        <f aca="false">IFERROR($W307/$F307,"")</f>
        <v/>
      </c>
      <c r="AR307" s="35" t="str">
        <f aca="false">IF(OR($S307="",$I307=""),"",($S307-PI()*$I307/10)^2/(4*PI())-IF(IFERROR(INDEX(Cadastro!$F$8:$F$47,MATCH($B307,Cadastro!$B$8:$B$47,0)),"")="Feminino",6.5,10))</f>
        <v/>
      </c>
      <c r="AS307" s="35" t="str">
        <f aca="false">IF(OR($I307="",$J307="",$O307="",$F307=""),"",-0.7182+0.1451*(($I307+$J307+$O307)*(170.18/$F307))-0.00068*(($I307+$J307+$O307)*(170.18/$F307))^2+0.0000014*(($I307+$J307+$O307)*(170.18/$F307))^3)</f>
        <v/>
      </c>
      <c r="AT307" s="35" t="str">
        <f aca="false">IF(OR($AE307="",$AF307="",$T307="",$AA307="",$F307=""),"",0.858*$AE307+0.601*$AF307+0.188*($T307-$I307/10)+0.161*($AA307-$R307/10)-0.131*$F307+4.5)</f>
        <v/>
      </c>
      <c r="AU307" s="35" t="str">
        <f aca="false">IF(OR($E307="",$F307=""),"",IF($F307/$E307^(1/3)&gt;=40.75,0.732*($F307/$E307^(1/3))-28.58,IF($F307/$E307^(1/3)&gt;=38.25,0.463*($F307/$E307^(1/3))-17.63,0.1)))</f>
        <v/>
      </c>
      <c r="AV307" s="37" t="str">
        <f aca="false">IF(OR($AS307="",$AT307="",$AU307=""),"",IF(AND($AT307&gt;=$AS307,$AT307&gt;=$AU307),"Mesomorfo dominante",IF(AND($AU307&gt;=$AS307,$AU307&gt;=$AT307),"Ectomorfo dominante","Endomorfo dominante")))</f>
        <v/>
      </c>
    </row>
    <row r="308" customFormat="false" ht="15" hidden="false" customHeight="false" outlineLevel="0" collapsed="false">
      <c r="A308" s="29"/>
      <c r="B308" s="27"/>
      <c r="C308" s="28"/>
      <c r="D308" s="27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3" t="str">
        <f aca="false">IFERROR(DATEDIF(INDEX(Cadastro!$D$8:$D$47,MATCH($B308,Cadastro!$B$8:$B$47,0)),$A308,"Y"),"")</f>
        <v/>
      </c>
      <c r="AH308" s="33" t="str">
        <f aca="false">IF(COUNT($I308,$K308,$J308,$N308)&lt;4,"",$I308+$K308+$J308+$N308)</f>
        <v/>
      </c>
      <c r="AI308" s="33" t="str">
        <f aca="false">IF(COUNT($L308,$M308,$I308,$J308,$P308,$N308,$Q308)&lt;7,"",$L308+$M308+$I308+$J308+$P308+$N308+$Q308)</f>
        <v/>
      </c>
      <c r="AJ308" s="33" t="str">
        <f aca="false">IF(COUNT($I308,$J308,$K308,$O308,$P308,$Q308,$R308,$N308)&lt;8,"",$I308+$J308+$K308+$O308+$P308+$Q308+$R308+$N308)</f>
        <v/>
      </c>
      <c r="AK308" s="34" t="str">
        <f aca="false">IF(OR($AI308="",$AG308=""),"",IF(IFERROR(INDEX(Cadastro!$F$8:$F$47,MATCH($B308,Cadastro!$B$8:$B$47,0)),"")="Feminino",1.097-0.00046971*$AI308+0.00000056*$AI308^2-0.00012828*$AG308,1.112-0.00043499*$AI308+0.00000055*$AI308^2-0.00028826*$AG308))</f>
        <v/>
      </c>
      <c r="AL308" s="30" t="str">
        <f aca="false">IF(OR($AK308="",$AK308=0),"",495/$AK308-450)</f>
        <v/>
      </c>
      <c r="AM308" s="35" t="str">
        <f aca="false">IF(OR($AL308="",$E308=""),"",$E308*$AL308/100)</f>
        <v/>
      </c>
      <c r="AN308" s="30" t="str">
        <f aca="false">IF(OR($AM308="",$E308=""),"",$E308-$AM308)</f>
        <v/>
      </c>
      <c r="AO308" s="35" t="str">
        <f aca="false">IFERROR($E308/($F308/100)^2,"")</f>
        <v/>
      </c>
      <c r="AP308" s="35" t="str">
        <f aca="false">IFERROR($G308/$F308*100,"")</f>
        <v/>
      </c>
      <c r="AQ308" s="36" t="str">
        <f aca="false">IFERROR($W308/$F308,"")</f>
        <v/>
      </c>
      <c r="AR308" s="35" t="str">
        <f aca="false">IF(OR($S308="",$I308=""),"",($S308-PI()*$I308/10)^2/(4*PI())-IF(IFERROR(INDEX(Cadastro!$F$8:$F$47,MATCH($B308,Cadastro!$B$8:$B$47,0)),"")="Feminino",6.5,10))</f>
        <v/>
      </c>
      <c r="AS308" s="35" t="str">
        <f aca="false">IF(OR($I308="",$J308="",$O308="",$F308=""),"",-0.7182+0.1451*(($I308+$J308+$O308)*(170.18/$F308))-0.00068*(($I308+$J308+$O308)*(170.18/$F308))^2+0.0000014*(($I308+$J308+$O308)*(170.18/$F308))^3)</f>
        <v/>
      </c>
      <c r="AT308" s="35" t="str">
        <f aca="false">IF(OR($AE308="",$AF308="",$T308="",$AA308="",$F308=""),"",0.858*$AE308+0.601*$AF308+0.188*($T308-$I308/10)+0.161*($AA308-$R308/10)-0.131*$F308+4.5)</f>
        <v/>
      </c>
      <c r="AU308" s="35" t="str">
        <f aca="false">IF(OR($E308="",$F308=""),"",IF($F308/$E308^(1/3)&gt;=40.75,0.732*($F308/$E308^(1/3))-28.58,IF($F308/$E308^(1/3)&gt;=38.25,0.463*($F308/$E308^(1/3))-17.63,0.1)))</f>
        <v/>
      </c>
      <c r="AV308" s="37" t="str">
        <f aca="false">IF(OR($AS308="",$AT308="",$AU308=""),"",IF(AND($AT308&gt;=$AS308,$AT308&gt;=$AU308),"Mesomorfo dominante",IF(AND($AU308&gt;=$AS308,$AU308&gt;=$AT308),"Ectomorfo dominante","Endomorfo dominante")))</f>
        <v/>
      </c>
    </row>
    <row r="309" customFormat="false" ht="15" hidden="false" customHeight="false" outlineLevel="0" collapsed="false">
      <c r="A309" s="29"/>
      <c r="B309" s="27"/>
      <c r="C309" s="28"/>
      <c r="D309" s="27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3" t="str">
        <f aca="false">IFERROR(DATEDIF(INDEX(Cadastro!$D$8:$D$47,MATCH($B309,Cadastro!$B$8:$B$47,0)),$A309,"Y"),"")</f>
        <v/>
      </c>
      <c r="AH309" s="33" t="str">
        <f aca="false">IF(COUNT($I309,$K309,$J309,$N309)&lt;4,"",$I309+$K309+$J309+$N309)</f>
        <v/>
      </c>
      <c r="AI309" s="33" t="str">
        <f aca="false">IF(COUNT($L309,$M309,$I309,$J309,$P309,$N309,$Q309)&lt;7,"",$L309+$M309+$I309+$J309+$P309+$N309+$Q309)</f>
        <v/>
      </c>
      <c r="AJ309" s="33" t="str">
        <f aca="false">IF(COUNT($I309,$J309,$K309,$O309,$P309,$Q309,$R309,$N309)&lt;8,"",$I309+$J309+$K309+$O309+$P309+$Q309+$R309+$N309)</f>
        <v/>
      </c>
      <c r="AK309" s="34" t="str">
        <f aca="false">IF(OR($AI309="",$AG309=""),"",IF(IFERROR(INDEX(Cadastro!$F$8:$F$47,MATCH($B309,Cadastro!$B$8:$B$47,0)),"")="Feminino",1.097-0.00046971*$AI309+0.00000056*$AI309^2-0.00012828*$AG309,1.112-0.00043499*$AI309+0.00000055*$AI309^2-0.00028826*$AG309))</f>
        <v/>
      </c>
      <c r="AL309" s="30" t="str">
        <f aca="false">IF(OR($AK309="",$AK309=0),"",495/$AK309-450)</f>
        <v/>
      </c>
      <c r="AM309" s="35" t="str">
        <f aca="false">IF(OR($AL309="",$E309=""),"",$E309*$AL309/100)</f>
        <v/>
      </c>
      <c r="AN309" s="30" t="str">
        <f aca="false">IF(OR($AM309="",$E309=""),"",$E309-$AM309)</f>
        <v/>
      </c>
      <c r="AO309" s="35" t="str">
        <f aca="false">IFERROR($E309/($F309/100)^2,"")</f>
        <v/>
      </c>
      <c r="AP309" s="35" t="str">
        <f aca="false">IFERROR($G309/$F309*100,"")</f>
        <v/>
      </c>
      <c r="AQ309" s="36" t="str">
        <f aca="false">IFERROR($W309/$F309,"")</f>
        <v/>
      </c>
      <c r="AR309" s="35" t="str">
        <f aca="false">IF(OR($S309="",$I309=""),"",($S309-PI()*$I309/10)^2/(4*PI())-IF(IFERROR(INDEX(Cadastro!$F$8:$F$47,MATCH($B309,Cadastro!$B$8:$B$47,0)),"")="Feminino",6.5,10))</f>
        <v/>
      </c>
      <c r="AS309" s="35" t="str">
        <f aca="false">IF(OR($I309="",$J309="",$O309="",$F309=""),"",-0.7182+0.1451*(($I309+$J309+$O309)*(170.18/$F309))-0.00068*(($I309+$J309+$O309)*(170.18/$F309))^2+0.0000014*(($I309+$J309+$O309)*(170.18/$F309))^3)</f>
        <v/>
      </c>
      <c r="AT309" s="35" t="str">
        <f aca="false">IF(OR($AE309="",$AF309="",$T309="",$AA309="",$F309=""),"",0.858*$AE309+0.601*$AF309+0.188*($T309-$I309/10)+0.161*($AA309-$R309/10)-0.131*$F309+4.5)</f>
        <v/>
      </c>
      <c r="AU309" s="35" t="str">
        <f aca="false">IF(OR($E309="",$F309=""),"",IF($F309/$E309^(1/3)&gt;=40.75,0.732*($F309/$E309^(1/3))-28.58,IF($F309/$E309^(1/3)&gt;=38.25,0.463*($F309/$E309^(1/3))-17.63,0.1)))</f>
        <v/>
      </c>
      <c r="AV309" s="37" t="str">
        <f aca="false">IF(OR($AS309="",$AT309="",$AU309=""),"",IF(AND($AT309&gt;=$AS309,$AT309&gt;=$AU309),"Mesomorfo dominante",IF(AND($AU309&gt;=$AS309,$AU309&gt;=$AT309),"Ectomorfo dominante","Endomorfo dominante")))</f>
        <v/>
      </c>
    </row>
    <row r="310" customFormat="false" ht="15" hidden="false" customHeight="false" outlineLevel="0" collapsed="false">
      <c r="A310" s="29"/>
      <c r="B310" s="27"/>
      <c r="C310" s="28"/>
      <c r="D310" s="27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3" t="str">
        <f aca="false">IFERROR(DATEDIF(INDEX(Cadastro!$D$8:$D$47,MATCH($B310,Cadastro!$B$8:$B$47,0)),$A310,"Y"),"")</f>
        <v/>
      </c>
      <c r="AH310" s="33" t="str">
        <f aca="false">IF(COUNT($I310,$K310,$J310,$N310)&lt;4,"",$I310+$K310+$J310+$N310)</f>
        <v/>
      </c>
      <c r="AI310" s="33" t="str">
        <f aca="false">IF(COUNT($L310,$M310,$I310,$J310,$P310,$N310,$Q310)&lt;7,"",$L310+$M310+$I310+$J310+$P310+$N310+$Q310)</f>
        <v/>
      </c>
      <c r="AJ310" s="33" t="str">
        <f aca="false">IF(COUNT($I310,$J310,$K310,$O310,$P310,$Q310,$R310,$N310)&lt;8,"",$I310+$J310+$K310+$O310+$P310+$Q310+$R310+$N310)</f>
        <v/>
      </c>
      <c r="AK310" s="34" t="str">
        <f aca="false">IF(OR($AI310="",$AG310=""),"",IF(IFERROR(INDEX(Cadastro!$F$8:$F$47,MATCH($B310,Cadastro!$B$8:$B$47,0)),"")="Feminino",1.097-0.00046971*$AI310+0.00000056*$AI310^2-0.00012828*$AG310,1.112-0.00043499*$AI310+0.00000055*$AI310^2-0.00028826*$AG310))</f>
        <v/>
      </c>
      <c r="AL310" s="30" t="str">
        <f aca="false">IF(OR($AK310="",$AK310=0),"",495/$AK310-450)</f>
        <v/>
      </c>
      <c r="AM310" s="35" t="str">
        <f aca="false">IF(OR($AL310="",$E310=""),"",$E310*$AL310/100)</f>
        <v/>
      </c>
      <c r="AN310" s="30" t="str">
        <f aca="false">IF(OR($AM310="",$E310=""),"",$E310-$AM310)</f>
        <v/>
      </c>
      <c r="AO310" s="35" t="str">
        <f aca="false">IFERROR($E310/($F310/100)^2,"")</f>
        <v/>
      </c>
      <c r="AP310" s="35" t="str">
        <f aca="false">IFERROR($G310/$F310*100,"")</f>
        <v/>
      </c>
      <c r="AQ310" s="36" t="str">
        <f aca="false">IFERROR($W310/$F310,"")</f>
        <v/>
      </c>
      <c r="AR310" s="35" t="str">
        <f aca="false">IF(OR($S310="",$I310=""),"",($S310-PI()*$I310/10)^2/(4*PI())-IF(IFERROR(INDEX(Cadastro!$F$8:$F$47,MATCH($B310,Cadastro!$B$8:$B$47,0)),"")="Feminino",6.5,10))</f>
        <v/>
      </c>
      <c r="AS310" s="35" t="str">
        <f aca="false">IF(OR($I310="",$J310="",$O310="",$F310=""),"",-0.7182+0.1451*(($I310+$J310+$O310)*(170.18/$F310))-0.00068*(($I310+$J310+$O310)*(170.18/$F310))^2+0.0000014*(($I310+$J310+$O310)*(170.18/$F310))^3)</f>
        <v/>
      </c>
      <c r="AT310" s="35" t="str">
        <f aca="false">IF(OR($AE310="",$AF310="",$T310="",$AA310="",$F310=""),"",0.858*$AE310+0.601*$AF310+0.188*($T310-$I310/10)+0.161*($AA310-$R310/10)-0.131*$F310+4.5)</f>
        <v/>
      </c>
      <c r="AU310" s="35" t="str">
        <f aca="false">IF(OR($E310="",$F310=""),"",IF($F310/$E310^(1/3)&gt;=40.75,0.732*($F310/$E310^(1/3))-28.58,IF($F310/$E310^(1/3)&gt;=38.25,0.463*($F310/$E310^(1/3))-17.63,0.1)))</f>
        <v/>
      </c>
      <c r="AV310" s="37" t="str">
        <f aca="false">IF(OR($AS310="",$AT310="",$AU310=""),"",IF(AND($AT310&gt;=$AS310,$AT310&gt;=$AU310),"Mesomorfo dominante",IF(AND($AU310&gt;=$AS310,$AU310&gt;=$AT310),"Ectomorfo dominante","Endomorfo dominante")))</f>
        <v/>
      </c>
    </row>
    <row r="311" customFormat="false" ht="15" hidden="false" customHeight="false" outlineLevel="0" collapsed="false">
      <c r="A311" s="29"/>
      <c r="B311" s="27"/>
      <c r="C311" s="28"/>
      <c r="D311" s="27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3" t="str">
        <f aca="false">IFERROR(DATEDIF(INDEX(Cadastro!$D$8:$D$47,MATCH($B311,Cadastro!$B$8:$B$47,0)),$A311,"Y"),"")</f>
        <v/>
      </c>
      <c r="AH311" s="33" t="str">
        <f aca="false">IF(COUNT($I311,$K311,$J311,$N311)&lt;4,"",$I311+$K311+$J311+$N311)</f>
        <v/>
      </c>
      <c r="AI311" s="33" t="str">
        <f aca="false">IF(COUNT($L311,$M311,$I311,$J311,$P311,$N311,$Q311)&lt;7,"",$L311+$M311+$I311+$J311+$P311+$N311+$Q311)</f>
        <v/>
      </c>
      <c r="AJ311" s="33" t="str">
        <f aca="false">IF(COUNT($I311,$J311,$K311,$O311,$P311,$Q311,$R311,$N311)&lt;8,"",$I311+$J311+$K311+$O311+$P311+$Q311+$R311+$N311)</f>
        <v/>
      </c>
      <c r="AK311" s="34" t="str">
        <f aca="false">IF(OR($AI311="",$AG311=""),"",IF(IFERROR(INDEX(Cadastro!$F$8:$F$47,MATCH($B311,Cadastro!$B$8:$B$47,0)),"")="Feminino",1.097-0.00046971*$AI311+0.00000056*$AI311^2-0.00012828*$AG311,1.112-0.00043499*$AI311+0.00000055*$AI311^2-0.00028826*$AG311))</f>
        <v/>
      </c>
      <c r="AL311" s="30" t="str">
        <f aca="false">IF(OR($AK311="",$AK311=0),"",495/$AK311-450)</f>
        <v/>
      </c>
      <c r="AM311" s="35" t="str">
        <f aca="false">IF(OR($AL311="",$E311=""),"",$E311*$AL311/100)</f>
        <v/>
      </c>
      <c r="AN311" s="30" t="str">
        <f aca="false">IF(OR($AM311="",$E311=""),"",$E311-$AM311)</f>
        <v/>
      </c>
      <c r="AO311" s="35" t="str">
        <f aca="false">IFERROR($E311/($F311/100)^2,"")</f>
        <v/>
      </c>
      <c r="AP311" s="35" t="str">
        <f aca="false">IFERROR($G311/$F311*100,"")</f>
        <v/>
      </c>
      <c r="AQ311" s="36" t="str">
        <f aca="false">IFERROR($W311/$F311,"")</f>
        <v/>
      </c>
      <c r="AR311" s="35" t="str">
        <f aca="false">IF(OR($S311="",$I311=""),"",($S311-PI()*$I311/10)^2/(4*PI())-IF(IFERROR(INDEX(Cadastro!$F$8:$F$47,MATCH($B311,Cadastro!$B$8:$B$47,0)),"")="Feminino",6.5,10))</f>
        <v/>
      </c>
      <c r="AS311" s="35" t="str">
        <f aca="false">IF(OR($I311="",$J311="",$O311="",$F311=""),"",-0.7182+0.1451*(($I311+$J311+$O311)*(170.18/$F311))-0.00068*(($I311+$J311+$O311)*(170.18/$F311))^2+0.0000014*(($I311+$J311+$O311)*(170.18/$F311))^3)</f>
        <v/>
      </c>
      <c r="AT311" s="35" t="str">
        <f aca="false">IF(OR($AE311="",$AF311="",$T311="",$AA311="",$F311=""),"",0.858*$AE311+0.601*$AF311+0.188*($T311-$I311/10)+0.161*($AA311-$R311/10)-0.131*$F311+4.5)</f>
        <v/>
      </c>
      <c r="AU311" s="35" t="str">
        <f aca="false">IF(OR($E311="",$F311=""),"",IF($F311/$E311^(1/3)&gt;=40.75,0.732*($F311/$E311^(1/3))-28.58,IF($F311/$E311^(1/3)&gt;=38.25,0.463*($F311/$E311^(1/3))-17.63,0.1)))</f>
        <v/>
      </c>
      <c r="AV311" s="37" t="str">
        <f aca="false">IF(OR($AS311="",$AT311="",$AU311=""),"",IF(AND($AT311&gt;=$AS311,$AT311&gt;=$AU311),"Mesomorfo dominante",IF(AND($AU311&gt;=$AS311,$AU311&gt;=$AT311),"Ectomorfo dominante","Endomorfo dominante")))</f>
        <v/>
      </c>
    </row>
    <row r="312" customFormat="false" ht="15" hidden="false" customHeight="false" outlineLevel="0" collapsed="false">
      <c r="A312" s="29"/>
      <c r="B312" s="27"/>
      <c r="C312" s="28"/>
      <c r="D312" s="27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3" t="str">
        <f aca="false">IFERROR(DATEDIF(INDEX(Cadastro!$D$8:$D$47,MATCH($B312,Cadastro!$B$8:$B$47,0)),$A312,"Y"),"")</f>
        <v/>
      </c>
      <c r="AH312" s="33" t="str">
        <f aca="false">IF(COUNT($I312,$K312,$J312,$N312)&lt;4,"",$I312+$K312+$J312+$N312)</f>
        <v/>
      </c>
      <c r="AI312" s="33" t="str">
        <f aca="false">IF(COUNT($L312,$M312,$I312,$J312,$P312,$N312,$Q312)&lt;7,"",$L312+$M312+$I312+$J312+$P312+$N312+$Q312)</f>
        <v/>
      </c>
      <c r="AJ312" s="33" t="str">
        <f aca="false">IF(COUNT($I312,$J312,$K312,$O312,$P312,$Q312,$R312,$N312)&lt;8,"",$I312+$J312+$K312+$O312+$P312+$Q312+$R312+$N312)</f>
        <v/>
      </c>
      <c r="AK312" s="34" t="str">
        <f aca="false">IF(OR($AI312="",$AG312=""),"",IF(IFERROR(INDEX(Cadastro!$F$8:$F$47,MATCH($B312,Cadastro!$B$8:$B$47,0)),"")="Feminino",1.097-0.00046971*$AI312+0.00000056*$AI312^2-0.00012828*$AG312,1.112-0.00043499*$AI312+0.00000055*$AI312^2-0.00028826*$AG312))</f>
        <v/>
      </c>
      <c r="AL312" s="30" t="str">
        <f aca="false">IF(OR($AK312="",$AK312=0),"",495/$AK312-450)</f>
        <v/>
      </c>
      <c r="AM312" s="35" t="str">
        <f aca="false">IF(OR($AL312="",$E312=""),"",$E312*$AL312/100)</f>
        <v/>
      </c>
      <c r="AN312" s="30" t="str">
        <f aca="false">IF(OR($AM312="",$E312=""),"",$E312-$AM312)</f>
        <v/>
      </c>
      <c r="AO312" s="35" t="str">
        <f aca="false">IFERROR($E312/($F312/100)^2,"")</f>
        <v/>
      </c>
      <c r="AP312" s="35" t="str">
        <f aca="false">IFERROR($G312/$F312*100,"")</f>
        <v/>
      </c>
      <c r="AQ312" s="36" t="str">
        <f aca="false">IFERROR($W312/$F312,"")</f>
        <v/>
      </c>
      <c r="AR312" s="35" t="str">
        <f aca="false">IF(OR($S312="",$I312=""),"",($S312-PI()*$I312/10)^2/(4*PI())-IF(IFERROR(INDEX(Cadastro!$F$8:$F$47,MATCH($B312,Cadastro!$B$8:$B$47,0)),"")="Feminino",6.5,10))</f>
        <v/>
      </c>
      <c r="AS312" s="35" t="str">
        <f aca="false">IF(OR($I312="",$J312="",$O312="",$F312=""),"",-0.7182+0.1451*(($I312+$J312+$O312)*(170.18/$F312))-0.00068*(($I312+$J312+$O312)*(170.18/$F312))^2+0.0000014*(($I312+$J312+$O312)*(170.18/$F312))^3)</f>
        <v/>
      </c>
      <c r="AT312" s="35" t="str">
        <f aca="false">IF(OR($AE312="",$AF312="",$T312="",$AA312="",$F312=""),"",0.858*$AE312+0.601*$AF312+0.188*($T312-$I312/10)+0.161*($AA312-$R312/10)-0.131*$F312+4.5)</f>
        <v/>
      </c>
      <c r="AU312" s="35" t="str">
        <f aca="false">IF(OR($E312="",$F312=""),"",IF($F312/$E312^(1/3)&gt;=40.75,0.732*($F312/$E312^(1/3))-28.58,IF($F312/$E312^(1/3)&gt;=38.25,0.463*($F312/$E312^(1/3))-17.63,0.1)))</f>
        <v/>
      </c>
      <c r="AV312" s="37" t="str">
        <f aca="false">IF(OR($AS312="",$AT312="",$AU312=""),"",IF(AND($AT312&gt;=$AS312,$AT312&gt;=$AU312),"Mesomorfo dominante",IF(AND($AU312&gt;=$AS312,$AU312&gt;=$AT312),"Ectomorfo dominante","Endomorfo dominante")))</f>
        <v/>
      </c>
    </row>
    <row r="313" customFormat="false" ht="15" hidden="false" customHeight="false" outlineLevel="0" collapsed="false">
      <c r="A313" s="29"/>
      <c r="B313" s="27"/>
      <c r="C313" s="28"/>
      <c r="D313" s="27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3" t="str">
        <f aca="false">IFERROR(DATEDIF(INDEX(Cadastro!$D$8:$D$47,MATCH($B313,Cadastro!$B$8:$B$47,0)),$A313,"Y"),"")</f>
        <v/>
      </c>
      <c r="AH313" s="33" t="str">
        <f aca="false">IF(COUNT($I313,$K313,$J313,$N313)&lt;4,"",$I313+$K313+$J313+$N313)</f>
        <v/>
      </c>
      <c r="AI313" s="33" t="str">
        <f aca="false">IF(COUNT($L313,$M313,$I313,$J313,$P313,$N313,$Q313)&lt;7,"",$L313+$M313+$I313+$J313+$P313+$N313+$Q313)</f>
        <v/>
      </c>
      <c r="AJ313" s="33" t="str">
        <f aca="false">IF(COUNT($I313,$J313,$K313,$O313,$P313,$Q313,$R313,$N313)&lt;8,"",$I313+$J313+$K313+$O313+$P313+$Q313+$R313+$N313)</f>
        <v/>
      </c>
      <c r="AK313" s="34" t="str">
        <f aca="false">IF(OR($AI313="",$AG313=""),"",IF(IFERROR(INDEX(Cadastro!$F$8:$F$47,MATCH($B313,Cadastro!$B$8:$B$47,0)),"")="Feminino",1.097-0.00046971*$AI313+0.00000056*$AI313^2-0.00012828*$AG313,1.112-0.00043499*$AI313+0.00000055*$AI313^2-0.00028826*$AG313))</f>
        <v/>
      </c>
      <c r="AL313" s="30" t="str">
        <f aca="false">IF(OR($AK313="",$AK313=0),"",495/$AK313-450)</f>
        <v/>
      </c>
      <c r="AM313" s="35" t="str">
        <f aca="false">IF(OR($AL313="",$E313=""),"",$E313*$AL313/100)</f>
        <v/>
      </c>
      <c r="AN313" s="30" t="str">
        <f aca="false">IF(OR($AM313="",$E313=""),"",$E313-$AM313)</f>
        <v/>
      </c>
      <c r="AO313" s="35" t="str">
        <f aca="false">IFERROR($E313/($F313/100)^2,"")</f>
        <v/>
      </c>
      <c r="AP313" s="35" t="str">
        <f aca="false">IFERROR($G313/$F313*100,"")</f>
        <v/>
      </c>
      <c r="AQ313" s="36" t="str">
        <f aca="false">IFERROR($W313/$F313,"")</f>
        <v/>
      </c>
      <c r="AR313" s="35" t="str">
        <f aca="false">IF(OR($S313="",$I313=""),"",($S313-PI()*$I313/10)^2/(4*PI())-IF(IFERROR(INDEX(Cadastro!$F$8:$F$47,MATCH($B313,Cadastro!$B$8:$B$47,0)),"")="Feminino",6.5,10))</f>
        <v/>
      </c>
      <c r="AS313" s="35" t="str">
        <f aca="false">IF(OR($I313="",$J313="",$O313="",$F313=""),"",-0.7182+0.1451*(($I313+$J313+$O313)*(170.18/$F313))-0.00068*(($I313+$J313+$O313)*(170.18/$F313))^2+0.0000014*(($I313+$J313+$O313)*(170.18/$F313))^3)</f>
        <v/>
      </c>
      <c r="AT313" s="35" t="str">
        <f aca="false">IF(OR($AE313="",$AF313="",$T313="",$AA313="",$F313=""),"",0.858*$AE313+0.601*$AF313+0.188*($T313-$I313/10)+0.161*($AA313-$R313/10)-0.131*$F313+4.5)</f>
        <v/>
      </c>
      <c r="AU313" s="35" t="str">
        <f aca="false">IF(OR($E313="",$F313=""),"",IF($F313/$E313^(1/3)&gt;=40.75,0.732*($F313/$E313^(1/3))-28.58,IF($F313/$E313^(1/3)&gt;=38.25,0.463*($F313/$E313^(1/3))-17.63,0.1)))</f>
        <v/>
      </c>
      <c r="AV313" s="37" t="str">
        <f aca="false">IF(OR($AS313="",$AT313="",$AU313=""),"",IF(AND($AT313&gt;=$AS313,$AT313&gt;=$AU313),"Mesomorfo dominante",IF(AND($AU313&gt;=$AS313,$AU313&gt;=$AT313),"Ectomorfo dominante","Endomorfo dominante")))</f>
        <v/>
      </c>
    </row>
    <row r="314" customFormat="false" ht="15" hidden="false" customHeight="false" outlineLevel="0" collapsed="false">
      <c r="A314" s="29"/>
      <c r="B314" s="27"/>
      <c r="C314" s="28"/>
      <c r="D314" s="27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3" t="str">
        <f aca="false">IFERROR(DATEDIF(INDEX(Cadastro!$D$8:$D$47,MATCH($B314,Cadastro!$B$8:$B$47,0)),$A314,"Y"),"")</f>
        <v/>
      </c>
      <c r="AH314" s="33" t="str">
        <f aca="false">IF(COUNT($I314,$K314,$J314,$N314)&lt;4,"",$I314+$K314+$J314+$N314)</f>
        <v/>
      </c>
      <c r="AI314" s="33" t="str">
        <f aca="false">IF(COUNT($L314,$M314,$I314,$J314,$P314,$N314,$Q314)&lt;7,"",$L314+$M314+$I314+$J314+$P314+$N314+$Q314)</f>
        <v/>
      </c>
      <c r="AJ314" s="33" t="str">
        <f aca="false">IF(COUNT($I314,$J314,$K314,$O314,$P314,$Q314,$R314,$N314)&lt;8,"",$I314+$J314+$K314+$O314+$P314+$Q314+$R314+$N314)</f>
        <v/>
      </c>
      <c r="AK314" s="34" t="str">
        <f aca="false">IF(OR($AI314="",$AG314=""),"",IF(IFERROR(INDEX(Cadastro!$F$8:$F$47,MATCH($B314,Cadastro!$B$8:$B$47,0)),"")="Feminino",1.097-0.00046971*$AI314+0.00000056*$AI314^2-0.00012828*$AG314,1.112-0.00043499*$AI314+0.00000055*$AI314^2-0.00028826*$AG314))</f>
        <v/>
      </c>
      <c r="AL314" s="30" t="str">
        <f aca="false">IF(OR($AK314="",$AK314=0),"",495/$AK314-450)</f>
        <v/>
      </c>
      <c r="AM314" s="35" t="str">
        <f aca="false">IF(OR($AL314="",$E314=""),"",$E314*$AL314/100)</f>
        <v/>
      </c>
      <c r="AN314" s="30" t="str">
        <f aca="false">IF(OR($AM314="",$E314=""),"",$E314-$AM314)</f>
        <v/>
      </c>
      <c r="AO314" s="35" t="str">
        <f aca="false">IFERROR($E314/($F314/100)^2,"")</f>
        <v/>
      </c>
      <c r="AP314" s="35" t="str">
        <f aca="false">IFERROR($G314/$F314*100,"")</f>
        <v/>
      </c>
      <c r="AQ314" s="36" t="str">
        <f aca="false">IFERROR($W314/$F314,"")</f>
        <v/>
      </c>
      <c r="AR314" s="35" t="str">
        <f aca="false">IF(OR($S314="",$I314=""),"",($S314-PI()*$I314/10)^2/(4*PI())-IF(IFERROR(INDEX(Cadastro!$F$8:$F$47,MATCH($B314,Cadastro!$B$8:$B$47,0)),"")="Feminino",6.5,10))</f>
        <v/>
      </c>
      <c r="AS314" s="35" t="str">
        <f aca="false">IF(OR($I314="",$J314="",$O314="",$F314=""),"",-0.7182+0.1451*(($I314+$J314+$O314)*(170.18/$F314))-0.00068*(($I314+$J314+$O314)*(170.18/$F314))^2+0.0000014*(($I314+$J314+$O314)*(170.18/$F314))^3)</f>
        <v/>
      </c>
      <c r="AT314" s="35" t="str">
        <f aca="false">IF(OR($AE314="",$AF314="",$T314="",$AA314="",$F314=""),"",0.858*$AE314+0.601*$AF314+0.188*($T314-$I314/10)+0.161*($AA314-$R314/10)-0.131*$F314+4.5)</f>
        <v/>
      </c>
      <c r="AU314" s="35" t="str">
        <f aca="false">IF(OR($E314="",$F314=""),"",IF($F314/$E314^(1/3)&gt;=40.75,0.732*($F314/$E314^(1/3))-28.58,IF($F314/$E314^(1/3)&gt;=38.25,0.463*($F314/$E314^(1/3))-17.63,0.1)))</f>
        <v/>
      </c>
      <c r="AV314" s="37" t="str">
        <f aca="false">IF(OR($AS314="",$AT314="",$AU314=""),"",IF(AND($AT314&gt;=$AS314,$AT314&gt;=$AU314),"Mesomorfo dominante",IF(AND($AU314&gt;=$AS314,$AU314&gt;=$AT314),"Ectomorfo dominante","Endomorfo dominante")))</f>
        <v/>
      </c>
    </row>
    <row r="315" customFormat="false" ht="15" hidden="false" customHeight="false" outlineLevel="0" collapsed="false">
      <c r="A315" s="29"/>
      <c r="B315" s="27"/>
      <c r="C315" s="28"/>
      <c r="D315" s="27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3" t="str">
        <f aca="false">IFERROR(DATEDIF(INDEX(Cadastro!$D$8:$D$47,MATCH($B315,Cadastro!$B$8:$B$47,0)),$A315,"Y"),"")</f>
        <v/>
      </c>
      <c r="AH315" s="33" t="str">
        <f aca="false">IF(COUNT($I315,$K315,$J315,$N315)&lt;4,"",$I315+$K315+$J315+$N315)</f>
        <v/>
      </c>
      <c r="AI315" s="33" t="str">
        <f aca="false">IF(COUNT($L315,$M315,$I315,$J315,$P315,$N315,$Q315)&lt;7,"",$L315+$M315+$I315+$J315+$P315+$N315+$Q315)</f>
        <v/>
      </c>
      <c r="AJ315" s="33" t="str">
        <f aca="false">IF(COUNT($I315,$J315,$K315,$O315,$P315,$Q315,$R315,$N315)&lt;8,"",$I315+$J315+$K315+$O315+$P315+$Q315+$R315+$N315)</f>
        <v/>
      </c>
      <c r="AK315" s="34" t="str">
        <f aca="false">IF(OR($AI315="",$AG315=""),"",IF(IFERROR(INDEX(Cadastro!$F$8:$F$47,MATCH($B315,Cadastro!$B$8:$B$47,0)),"")="Feminino",1.097-0.00046971*$AI315+0.00000056*$AI315^2-0.00012828*$AG315,1.112-0.00043499*$AI315+0.00000055*$AI315^2-0.00028826*$AG315))</f>
        <v/>
      </c>
      <c r="AL315" s="30" t="str">
        <f aca="false">IF(OR($AK315="",$AK315=0),"",495/$AK315-450)</f>
        <v/>
      </c>
      <c r="AM315" s="35" t="str">
        <f aca="false">IF(OR($AL315="",$E315=""),"",$E315*$AL315/100)</f>
        <v/>
      </c>
      <c r="AN315" s="30" t="str">
        <f aca="false">IF(OR($AM315="",$E315=""),"",$E315-$AM315)</f>
        <v/>
      </c>
      <c r="AO315" s="35" t="str">
        <f aca="false">IFERROR($E315/($F315/100)^2,"")</f>
        <v/>
      </c>
      <c r="AP315" s="35" t="str">
        <f aca="false">IFERROR($G315/$F315*100,"")</f>
        <v/>
      </c>
      <c r="AQ315" s="36" t="str">
        <f aca="false">IFERROR($W315/$F315,"")</f>
        <v/>
      </c>
      <c r="AR315" s="35" t="str">
        <f aca="false">IF(OR($S315="",$I315=""),"",($S315-PI()*$I315/10)^2/(4*PI())-IF(IFERROR(INDEX(Cadastro!$F$8:$F$47,MATCH($B315,Cadastro!$B$8:$B$47,0)),"")="Feminino",6.5,10))</f>
        <v/>
      </c>
      <c r="AS315" s="35" t="str">
        <f aca="false">IF(OR($I315="",$J315="",$O315="",$F315=""),"",-0.7182+0.1451*(($I315+$J315+$O315)*(170.18/$F315))-0.00068*(($I315+$J315+$O315)*(170.18/$F315))^2+0.0000014*(($I315+$J315+$O315)*(170.18/$F315))^3)</f>
        <v/>
      </c>
      <c r="AT315" s="35" t="str">
        <f aca="false">IF(OR($AE315="",$AF315="",$T315="",$AA315="",$F315=""),"",0.858*$AE315+0.601*$AF315+0.188*($T315-$I315/10)+0.161*($AA315-$R315/10)-0.131*$F315+4.5)</f>
        <v/>
      </c>
      <c r="AU315" s="35" t="str">
        <f aca="false">IF(OR($E315="",$F315=""),"",IF($F315/$E315^(1/3)&gt;=40.75,0.732*($F315/$E315^(1/3))-28.58,IF($F315/$E315^(1/3)&gt;=38.25,0.463*($F315/$E315^(1/3))-17.63,0.1)))</f>
        <v/>
      </c>
      <c r="AV315" s="37" t="str">
        <f aca="false">IF(OR($AS315="",$AT315="",$AU315=""),"",IF(AND($AT315&gt;=$AS315,$AT315&gt;=$AU315),"Mesomorfo dominante",IF(AND($AU315&gt;=$AS315,$AU315&gt;=$AT315),"Ectomorfo dominante","Endomorfo dominante")))</f>
        <v/>
      </c>
    </row>
    <row r="316" customFormat="false" ht="15" hidden="false" customHeight="false" outlineLevel="0" collapsed="false">
      <c r="A316" s="29"/>
      <c r="B316" s="27"/>
      <c r="C316" s="28"/>
      <c r="D316" s="27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3" t="str">
        <f aca="false">IFERROR(DATEDIF(INDEX(Cadastro!$D$8:$D$47,MATCH($B316,Cadastro!$B$8:$B$47,0)),$A316,"Y"),"")</f>
        <v/>
      </c>
      <c r="AH316" s="33" t="str">
        <f aca="false">IF(COUNT($I316,$K316,$J316,$N316)&lt;4,"",$I316+$K316+$J316+$N316)</f>
        <v/>
      </c>
      <c r="AI316" s="33" t="str">
        <f aca="false">IF(COUNT($L316,$M316,$I316,$J316,$P316,$N316,$Q316)&lt;7,"",$L316+$M316+$I316+$J316+$P316+$N316+$Q316)</f>
        <v/>
      </c>
      <c r="AJ316" s="33" t="str">
        <f aca="false">IF(COUNT($I316,$J316,$K316,$O316,$P316,$Q316,$R316,$N316)&lt;8,"",$I316+$J316+$K316+$O316+$P316+$Q316+$R316+$N316)</f>
        <v/>
      </c>
      <c r="AK316" s="34" t="str">
        <f aca="false">IF(OR($AI316="",$AG316=""),"",IF(IFERROR(INDEX(Cadastro!$F$8:$F$47,MATCH($B316,Cadastro!$B$8:$B$47,0)),"")="Feminino",1.097-0.00046971*$AI316+0.00000056*$AI316^2-0.00012828*$AG316,1.112-0.00043499*$AI316+0.00000055*$AI316^2-0.00028826*$AG316))</f>
        <v/>
      </c>
      <c r="AL316" s="30" t="str">
        <f aca="false">IF(OR($AK316="",$AK316=0),"",495/$AK316-450)</f>
        <v/>
      </c>
      <c r="AM316" s="35" t="str">
        <f aca="false">IF(OR($AL316="",$E316=""),"",$E316*$AL316/100)</f>
        <v/>
      </c>
      <c r="AN316" s="30" t="str">
        <f aca="false">IF(OR($AM316="",$E316=""),"",$E316-$AM316)</f>
        <v/>
      </c>
      <c r="AO316" s="35" t="str">
        <f aca="false">IFERROR($E316/($F316/100)^2,"")</f>
        <v/>
      </c>
      <c r="AP316" s="35" t="str">
        <f aca="false">IFERROR($G316/$F316*100,"")</f>
        <v/>
      </c>
      <c r="AQ316" s="36" t="str">
        <f aca="false">IFERROR($W316/$F316,"")</f>
        <v/>
      </c>
      <c r="AR316" s="35" t="str">
        <f aca="false">IF(OR($S316="",$I316=""),"",($S316-PI()*$I316/10)^2/(4*PI())-IF(IFERROR(INDEX(Cadastro!$F$8:$F$47,MATCH($B316,Cadastro!$B$8:$B$47,0)),"")="Feminino",6.5,10))</f>
        <v/>
      </c>
      <c r="AS316" s="35" t="str">
        <f aca="false">IF(OR($I316="",$J316="",$O316="",$F316=""),"",-0.7182+0.1451*(($I316+$J316+$O316)*(170.18/$F316))-0.00068*(($I316+$J316+$O316)*(170.18/$F316))^2+0.0000014*(($I316+$J316+$O316)*(170.18/$F316))^3)</f>
        <v/>
      </c>
      <c r="AT316" s="35" t="str">
        <f aca="false">IF(OR($AE316="",$AF316="",$T316="",$AA316="",$F316=""),"",0.858*$AE316+0.601*$AF316+0.188*($T316-$I316/10)+0.161*($AA316-$R316/10)-0.131*$F316+4.5)</f>
        <v/>
      </c>
      <c r="AU316" s="35" t="str">
        <f aca="false">IF(OR($E316="",$F316=""),"",IF($F316/$E316^(1/3)&gt;=40.75,0.732*($F316/$E316^(1/3))-28.58,IF($F316/$E316^(1/3)&gt;=38.25,0.463*($F316/$E316^(1/3))-17.63,0.1)))</f>
        <v/>
      </c>
      <c r="AV316" s="37" t="str">
        <f aca="false">IF(OR($AS316="",$AT316="",$AU316=""),"",IF(AND($AT316&gt;=$AS316,$AT316&gt;=$AU316),"Mesomorfo dominante",IF(AND($AU316&gt;=$AS316,$AU316&gt;=$AT316),"Ectomorfo dominante","Endomorfo dominante")))</f>
        <v/>
      </c>
    </row>
    <row r="317" customFormat="false" ht="15" hidden="false" customHeight="false" outlineLevel="0" collapsed="false">
      <c r="A317" s="29"/>
      <c r="B317" s="27"/>
      <c r="C317" s="28"/>
      <c r="D317" s="27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3" t="str">
        <f aca="false">IFERROR(DATEDIF(INDEX(Cadastro!$D$8:$D$47,MATCH($B317,Cadastro!$B$8:$B$47,0)),$A317,"Y"),"")</f>
        <v/>
      </c>
      <c r="AH317" s="33" t="str">
        <f aca="false">IF(COUNT($I317,$K317,$J317,$N317)&lt;4,"",$I317+$K317+$J317+$N317)</f>
        <v/>
      </c>
      <c r="AI317" s="33" t="str">
        <f aca="false">IF(COUNT($L317,$M317,$I317,$J317,$P317,$N317,$Q317)&lt;7,"",$L317+$M317+$I317+$J317+$P317+$N317+$Q317)</f>
        <v/>
      </c>
      <c r="AJ317" s="33" t="str">
        <f aca="false">IF(COUNT($I317,$J317,$K317,$O317,$P317,$Q317,$R317,$N317)&lt;8,"",$I317+$J317+$K317+$O317+$P317+$Q317+$R317+$N317)</f>
        <v/>
      </c>
      <c r="AK317" s="34" t="str">
        <f aca="false">IF(OR($AI317="",$AG317=""),"",IF(IFERROR(INDEX(Cadastro!$F$8:$F$47,MATCH($B317,Cadastro!$B$8:$B$47,0)),"")="Feminino",1.097-0.00046971*$AI317+0.00000056*$AI317^2-0.00012828*$AG317,1.112-0.00043499*$AI317+0.00000055*$AI317^2-0.00028826*$AG317))</f>
        <v/>
      </c>
      <c r="AL317" s="30" t="str">
        <f aca="false">IF(OR($AK317="",$AK317=0),"",495/$AK317-450)</f>
        <v/>
      </c>
      <c r="AM317" s="35" t="str">
        <f aca="false">IF(OR($AL317="",$E317=""),"",$E317*$AL317/100)</f>
        <v/>
      </c>
      <c r="AN317" s="30" t="str">
        <f aca="false">IF(OR($AM317="",$E317=""),"",$E317-$AM317)</f>
        <v/>
      </c>
      <c r="AO317" s="35" t="str">
        <f aca="false">IFERROR($E317/($F317/100)^2,"")</f>
        <v/>
      </c>
      <c r="AP317" s="35" t="str">
        <f aca="false">IFERROR($G317/$F317*100,"")</f>
        <v/>
      </c>
      <c r="AQ317" s="36" t="str">
        <f aca="false">IFERROR($W317/$F317,"")</f>
        <v/>
      </c>
      <c r="AR317" s="35" t="str">
        <f aca="false">IF(OR($S317="",$I317=""),"",($S317-PI()*$I317/10)^2/(4*PI())-IF(IFERROR(INDEX(Cadastro!$F$8:$F$47,MATCH($B317,Cadastro!$B$8:$B$47,0)),"")="Feminino",6.5,10))</f>
        <v/>
      </c>
      <c r="AS317" s="35" t="str">
        <f aca="false">IF(OR($I317="",$J317="",$O317="",$F317=""),"",-0.7182+0.1451*(($I317+$J317+$O317)*(170.18/$F317))-0.00068*(($I317+$J317+$O317)*(170.18/$F317))^2+0.0000014*(($I317+$J317+$O317)*(170.18/$F317))^3)</f>
        <v/>
      </c>
      <c r="AT317" s="35" t="str">
        <f aca="false">IF(OR($AE317="",$AF317="",$T317="",$AA317="",$F317=""),"",0.858*$AE317+0.601*$AF317+0.188*($T317-$I317/10)+0.161*($AA317-$R317/10)-0.131*$F317+4.5)</f>
        <v/>
      </c>
      <c r="AU317" s="35" t="str">
        <f aca="false">IF(OR($E317="",$F317=""),"",IF($F317/$E317^(1/3)&gt;=40.75,0.732*($F317/$E317^(1/3))-28.58,IF($F317/$E317^(1/3)&gt;=38.25,0.463*($F317/$E317^(1/3))-17.63,0.1)))</f>
        <v/>
      </c>
      <c r="AV317" s="37" t="str">
        <f aca="false">IF(OR($AS317="",$AT317="",$AU317=""),"",IF(AND($AT317&gt;=$AS317,$AT317&gt;=$AU317),"Mesomorfo dominante",IF(AND($AU317&gt;=$AS317,$AU317&gt;=$AT317),"Ectomorfo dominante","Endomorfo dominante")))</f>
        <v/>
      </c>
    </row>
    <row r="318" customFormat="false" ht="15" hidden="false" customHeight="false" outlineLevel="0" collapsed="false">
      <c r="A318" s="29"/>
      <c r="B318" s="27"/>
      <c r="C318" s="28"/>
      <c r="D318" s="27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3" t="str">
        <f aca="false">IFERROR(DATEDIF(INDEX(Cadastro!$D$8:$D$47,MATCH($B318,Cadastro!$B$8:$B$47,0)),$A318,"Y"),"")</f>
        <v/>
      </c>
      <c r="AH318" s="33" t="str">
        <f aca="false">IF(COUNT($I318,$K318,$J318,$N318)&lt;4,"",$I318+$K318+$J318+$N318)</f>
        <v/>
      </c>
      <c r="AI318" s="33" t="str">
        <f aca="false">IF(COUNT($L318,$M318,$I318,$J318,$P318,$N318,$Q318)&lt;7,"",$L318+$M318+$I318+$J318+$P318+$N318+$Q318)</f>
        <v/>
      </c>
      <c r="AJ318" s="33" t="str">
        <f aca="false">IF(COUNT($I318,$J318,$K318,$O318,$P318,$Q318,$R318,$N318)&lt;8,"",$I318+$J318+$K318+$O318+$P318+$Q318+$R318+$N318)</f>
        <v/>
      </c>
      <c r="AK318" s="34" t="str">
        <f aca="false">IF(OR($AI318="",$AG318=""),"",IF(IFERROR(INDEX(Cadastro!$F$8:$F$47,MATCH($B318,Cadastro!$B$8:$B$47,0)),"")="Feminino",1.097-0.00046971*$AI318+0.00000056*$AI318^2-0.00012828*$AG318,1.112-0.00043499*$AI318+0.00000055*$AI318^2-0.00028826*$AG318))</f>
        <v/>
      </c>
      <c r="AL318" s="30" t="str">
        <f aca="false">IF(OR($AK318="",$AK318=0),"",495/$AK318-450)</f>
        <v/>
      </c>
      <c r="AM318" s="35" t="str">
        <f aca="false">IF(OR($AL318="",$E318=""),"",$E318*$AL318/100)</f>
        <v/>
      </c>
      <c r="AN318" s="30" t="str">
        <f aca="false">IF(OR($AM318="",$E318=""),"",$E318-$AM318)</f>
        <v/>
      </c>
      <c r="AO318" s="35" t="str">
        <f aca="false">IFERROR($E318/($F318/100)^2,"")</f>
        <v/>
      </c>
      <c r="AP318" s="35" t="str">
        <f aca="false">IFERROR($G318/$F318*100,"")</f>
        <v/>
      </c>
      <c r="AQ318" s="36" t="str">
        <f aca="false">IFERROR($W318/$F318,"")</f>
        <v/>
      </c>
      <c r="AR318" s="35" t="str">
        <f aca="false">IF(OR($S318="",$I318=""),"",($S318-PI()*$I318/10)^2/(4*PI())-IF(IFERROR(INDEX(Cadastro!$F$8:$F$47,MATCH($B318,Cadastro!$B$8:$B$47,0)),"")="Feminino",6.5,10))</f>
        <v/>
      </c>
      <c r="AS318" s="35" t="str">
        <f aca="false">IF(OR($I318="",$J318="",$O318="",$F318=""),"",-0.7182+0.1451*(($I318+$J318+$O318)*(170.18/$F318))-0.00068*(($I318+$J318+$O318)*(170.18/$F318))^2+0.0000014*(($I318+$J318+$O318)*(170.18/$F318))^3)</f>
        <v/>
      </c>
      <c r="AT318" s="35" t="str">
        <f aca="false">IF(OR($AE318="",$AF318="",$T318="",$AA318="",$F318=""),"",0.858*$AE318+0.601*$AF318+0.188*($T318-$I318/10)+0.161*($AA318-$R318/10)-0.131*$F318+4.5)</f>
        <v/>
      </c>
      <c r="AU318" s="35" t="str">
        <f aca="false">IF(OR($E318="",$F318=""),"",IF($F318/$E318^(1/3)&gt;=40.75,0.732*($F318/$E318^(1/3))-28.58,IF($F318/$E318^(1/3)&gt;=38.25,0.463*($F318/$E318^(1/3))-17.63,0.1)))</f>
        <v/>
      </c>
      <c r="AV318" s="37" t="str">
        <f aca="false">IF(OR($AS318="",$AT318="",$AU318=""),"",IF(AND($AT318&gt;=$AS318,$AT318&gt;=$AU318),"Mesomorfo dominante",IF(AND($AU318&gt;=$AS318,$AU318&gt;=$AT318),"Ectomorfo dominante","Endomorfo dominante")))</f>
        <v/>
      </c>
    </row>
    <row r="319" customFormat="false" ht="15" hidden="false" customHeight="false" outlineLevel="0" collapsed="false">
      <c r="A319" s="29"/>
      <c r="B319" s="27"/>
      <c r="C319" s="28"/>
      <c r="D319" s="27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3" t="str">
        <f aca="false">IFERROR(DATEDIF(INDEX(Cadastro!$D$8:$D$47,MATCH($B319,Cadastro!$B$8:$B$47,0)),$A319,"Y"),"")</f>
        <v/>
      </c>
      <c r="AH319" s="33" t="str">
        <f aca="false">IF(COUNT($I319,$K319,$J319,$N319)&lt;4,"",$I319+$K319+$J319+$N319)</f>
        <v/>
      </c>
      <c r="AI319" s="33" t="str">
        <f aca="false">IF(COUNT($L319,$M319,$I319,$J319,$P319,$N319,$Q319)&lt;7,"",$L319+$M319+$I319+$J319+$P319+$N319+$Q319)</f>
        <v/>
      </c>
      <c r="AJ319" s="33" t="str">
        <f aca="false">IF(COUNT($I319,$J319,$K319,$O319,$P319,$Q319,$R319,$N319)&lt;8,"",$I319+$J319+$K319+$O319+$P319+$Q319+$R319+$N319)</f>
        <v/>
      </c>
      <c r="AK319" s="34" t="str">
        <f aca="false">IF(OR($AI319="",$AG319=""),"",IF(IFERROR(INDEX(Cadastro!$F$8:$F$47,MATCH($B319,Cadastro!$B$8:$B$47,0)),"")="Feminino",1.097-0.00046971*$AI319+0.00000056*$AI319^2-0.00012828*$AG319,1.112-0.00043499*$AI319+0.00000055*$AI319^2-0.00028826*$AG319))</f>
        <v/>
      </c>
      <c r="AL319" s="30" t="str">
        <f aca="false">IF(OR($AK319="",$AK319=0),"",495/$AK319-450)</f>
        <v/>
      </c>
      <c r="AM319" s="35" t="str">
        <f aca="false">IF(OR($AL319="",$E319=""),"",$E319*$AL319/100)</f>
        <v/>
      </c>
      <c r="AN319" s="30" t="str">
        <f aca="false">IF(OR($AM319="",$E319=""),"",$E319-$AM319)</f>
        <v/>
      </c>
      <c r="AO319" s="35" t="str">
        <f aca="false">IFERROR($E319/($F319/100)^2,"")</f>
        <v/>
      </c>
      <c r="AP319" s="35" t="str">
        <f aca="false">IFERROR($G319/$F319*100,"")</f>
        <v/>
      </c>
      <c r="AQ319" s="36" t="str">
        <f aca="false">IFERROR($W319/$F319,"")</f>
        <v/>
      </c>
      <c r="AR319" s="35" t="str">
        <f aca="false">IF(OR($S319="",$I319=""),"",($S319-PI()*$I319/10)^2/(4*PI())-IF(IFERROR(INDEX(Cadastro!$F$8:$F$47,MATCH($B319,Cadastro!$B$8:$B$47,0)),"")="Feminino",6.5,10))</f>
        <v/>
      </c>
      <c r="AS319" s="35" t="str">
        <f aca="false">IF(OR($I319="",$J319="",$O319="",$F319=""),"",-0.7182+0.1451*(($I319+$J319+$O319)*(170.18/$F319))-0.00068*(($I319+$J319+$O319)*(170.18/$F319))^2+0.0000014*(($I319+$J319+$O319)*(170.18/$F319))^3)</f>
        <v/>
      </c>
      <c r="AT319" s="35" t="str">
        <f aca="false">IF(OR($AE319="",$AF319="",$T319="",$AA319="",$F319=""),"",0.858*$AE319+0.601*$AF319+0.188*($T319-$I319/10)+0.161*($AA319-$R319/10)-0.131*$F319+4.5)</f>
        <v/>
      </c>
      <c r="AU319" s="35" t="str">
        <f aca="false">IF(OR($E319="",$F319=""),"",IF($F319/$E319^(1/3)&gt;=40.75,0.732*($F319/$E319^(1/3))-28.58,IF($F319/$E319^(1/3)&gt;=38.25,0.463*($F319/$E319^(1/3))-17.63,0.1)))</f>
        <v/>
      </c>
      <c r="AV319" s="37" t="str">
        <f aca="false">IF(OR($AS319="",$AT319="",$AU319=""),"",IF(AND($AT319&gt;=$AS319,$AT319&gt;=$AU319),"Mesomorfo dominante",IF(AND($AU319&gt;=$AS319,$AU319&gt;=$AT319),"Ectomorfo dominante","Endomorfo dominante")))</f>
        <v/>
      </c>
    </row>
    <row r="320" customFormat="false" ht="15" hidden="false" customHeight="false" outlineLevel="0" collapsed="false">
      <c r="A320" s="29"/>
      <c r="B320" s="27"/>
      <c r="C320" s="28"/>
      <c r="D320" s="27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3" t="str">
        <f aca="false">IFERROR(DATEDIF(INDEX(Cadastro!$D$8:$D$47,MATCH($B320,Cadastro!$B$8:$B$47,0)),$A320,"Y"),"")</f>
        <v/>
      </c>
      <c r="AH320" s="33" t="str">
        <f aca="false">IF(COUNT($I320,$K320,$J320,$N320)&lt;4,"",$I320+$K320+$J320+$N320)</f>
        <v/>
      </c>
      <c r="AI320" s="33" t="str">
        <f aca="false">IF(COUNT($L320,$M320,$I320,$J320,$P320,$N320,$Q320)&lt;7,"",$L320+$M320+$I320+$J320+$P320+$N320+$Q320)</f>
        <v/>
      </c>
      <c r="AJ320" s="33" t="str">
        <f aca="false">IF(COUNT($I320,$J320,$K320,$O320,$P320,$Q320,$R320,$N320)&lt;8,"",$I320+$J320+$K320+$O320+$P320+$Q320+$R320+$N320)</f>
        <v/>
      </c>
      <c r="AK320" s="34" t="str">
        <f aca="false">IF(OR($AI320="",$AG320=""),"",IF(IFERROR(INDEX(Cadastro!$F$8:$F$47,MATCH($B320,Cadastro!$B$8:$B$47,0)),"")="Feminino",1.097-0.00046971*$AI320+0.00000056*$AI320^2-0.00012828*$AG320,1.112-0.00043499*$AI320+0.00000055*$AI320^2-0.00028826*$AG320))</f>
        <v/>
      </c>
      <c r="AL320" s="30" t="str">
        <f aca="false">IF(OR($AK320="",$AK320=0),"",495/$AK320-450)</f>
        <v/>
      </c>
      <c r="AM320" s="35" t="str">
        <f aca="false">IF(OR($AL320="",$E320=""),"",$E320*$AL320/100)</f>
        <v/>
      </c>
      <c r="AN320" s="30" t="str">
        <f aca="false">IF(OR($AM320="",$E320=""),"",$E320-$AM320)</f>
        <v/>
      </c>
      <c r="AO320" s="35" t="str">
        <f aca="false">IFERROR($E320/($F320/100)^2,"")</f>
        <v/>
      </c>
      <c r="AP320" s="35" t="str">
        <f aca="false">IFERROR($G320/$F320*100,"")</f>
        <v/>
      </c>
      <c r="AQ320" s="36" t="str">
        <f aca="false">IFERROR($W320/$F320,"")</f>
        <v/>
      </c>
      <c r="AR320" s="35" t="str">
        <f aca="false">IF(OR($S320="",$I320=""),"",($S320-PI()*$I320/10)^2/(4*PI())-IF(IFERROR(INDEX(Cadastro!$F$8:$F$47,MATCH($B320,Cadastro!$B$8:$B$47,0)),"")="Feminino",6.5,10))</f>
        <v/>
      </c>
      <c r="AS320" s="35" t="str">
        <f aca="false">IF(OR($I320="",$J320="",$O320="",$F320=""),"",-0.7182+0.1451*(($I320+$J320+$O320)*(170.18/$F320))-0.00068*(($I320+$J320+$O320)*(170.18/$F320))^2+0.0000014*(($I320+$J320+$O320)*(170.18/$F320))^3)</f>
        <v/>
      </c>
      <c r="AT320" s="35" t="str">
        <f aca="false">IF(OR($AE320="",$AF320="",$T320="",$AA320="",$F320=""),"",0.858*$AE320+0.601*$AF320+0.188*($T320-$I320/10)+0.161*($AA320-$R320/10)-0.131*$F320+4.5)</f>
        <v/>
      </c>
      <c r="AU320" s="35" t="str">
        <f aca="false">IF(OR($E320="",$F320=""),"",IF($F320/$E320^(1/3)&gt;=40.75,0.732*($F320/$E320^(1/3))-28.58,IF($F320/$E320^(1/3)&gt;=38.25,0.463*($F320/$E320^(1/3))-17.63,0.1)))</f>
        <v/>
      </c>
      <c r="AV320" s="37" t="str">
        <f aca="false">IF(OR($AS320="",$AT320="",$AU320=""),"",IF(AND($AT320&gt;=$AS320,$AT320&gt;=$AU320),"Mesomorfo dominante",IF(AND($AU320&gt;=$AS320,$AU320&gt;=$AT320),"Ectomorfo dominante","Endomorfo dominante")))</f>
        <v/>
      </c>
    </row>
    <row r="321" customFormat="false" ht="15" hidden="false" customHeight="false" outlineLevel="0" collapsed="false">
      <c r="A321" s="29"/>
      <c r="B321" s="27"/>
      <c r="C321" s="28"/>
      <c r="D321" s="27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3" t="str">
        <f aca="false">IFERROR(DATEDIF(INDEX(Cadastro!$D$8:$D$47,MATCH($B321,Cadastro!$B$8:$B$47,0)),$A321,"Y"),"")</f>
        <v/>
      </c>
      <c r="AH321" s="33" t="str">
        <f aca="false">IF(COUNT($I321,$K321,$J321,$N321)&lt;4,"",$I321+$K321+$J321+$N321)</f>
        <v/>
      </c>
      <c r="AI321" s="33" t="str">
        <f aca="false">IF(COUNT($L321,$M321,$I321,$J321,$P321,$N321,$Q321)&lt;7,"",$L321+$M321+$I321+$J321+$P321+$N321+$Q321)</f>
        <v/>
      </c>
      <c r="AJ321" s="33" t="str">
        <f aca="false">IF(COUNT($I321,$J321,$K321,$O321,$P321,$Q321,$R321,$N321)&lt;8,"",$I321+$J321+$K321+$O321+$P321+$Q321+$R321+$N321)</f>
        <v/>
      </c>
      <c r="AK321" s="34" t="str">
        <f aca="false">IF(OR($AI321="",$AG321=""),"",IF(IFERROR(INDEX(Cadastro!$F$8:$F$47,MATCH($B321,Cadastro!$B$8:$B$47,0)),"")="Feminino",1.097-0.00046971*$AI321+0.00000056*$AI321^2-0.00012828*$AG321,1.112-0.00043499*$AI321+0.00000055*$AI321^2-0.00028826*$AG321))</f>
        <v/>
      </c>
      <c r="AL321" s="30" t="str">
        <f aca="false">IF(OR($AK321="",$AK321=0),"",495/$AK321-450)</f>
        <v/>
      </c>
      <c r="AM321" s="35" t="str">
        <f aca="false">IF(OR($AL321="",$E321=""),"",$E321*$AL321/100)</f>
        <v/>
      </c>
      <c r="AN321" s="30" t="str">
        <f aca="false">IF(OR($AM321="",$E321=""),"",$E321-$AM321)</f>
        <v/>
      </c>
      <c r="AO321" s="35" t="str">
        <f aca="false">IFERROR($E321/($F321/100)^2,"")</f>
        <v/>
      </c>
      <c r="AP321" s="35" t="str">
        <f aca="false">IFERROR($G321/$F321*100,"")</f>
        <v/>
      </c>
      <c r="AQ321" s="36" t="str">
        <f aca="false">IFERROR($W321/$F321,"")</f>
        <v/>
      </c>
      <c r="AR321" s="35" t="str">
        <f aca="false">IF(OR($S321="",$I321=""),"",($S321-PI()*$I321/10)^2/(4*PI())-IF(IFERROR(INDEX(Cadastro!$F$8:$F$47,MATCH($B321,Cadastro!$B$8:$B$47,0)),"")="Feminino",6.5,10))</f>
        <v/>
      </c>
      <c r="AS321" s="35" t="str">
        <f aca="false">IF(OR($I321="",$J321="",$O321="",$F321=""),"",-0.7182+0.1451*(($I321+$J321+$O321)*(170.18/$F321))-0.00068*(($I321+$J321+$O321)*(170.18/$F321))^2+0.0000014*(($I321+$J321+$O321)*(170.18/$F321))^3)</f>
        <v/>
      </c>
      <c r="AT321" s="35" t="str">
        <f aca="false">IF(OR($AE321="",$AF321="",$T321="",$AA321="",$F321=""),"",0.858*$AE321+0.601*$AF321+0.188*($T321-$I321/10)+0.161*($AA321-$R321/10)-0.131*$F321+4.5)</f>
        <v/>
      </c>
      <c r="AU321" s="35" t="str">
        <f aca="false">IF(OR($E321="",$F321=""),"",IF($F321/$E321^(1/3)&gt;=40.75,0.732*($F321/$E321^(1/3))-28.58,IF($F321/$E321^(1/3)&gt;=38.25,0.463*($F321/$E321^(1/3))-17.63,0.1)))</f>
        <v/>
      </c>
      <c r="AV321" s="37" t="str">
        <f aca="false">IF(OR($AS321="",$AT321="",$AU321=""),"",IF(AND($AT321&gt;=$AS321,$AT321&gt;=$AU321),"Mesomorfo dominante",IF(AND($AU321&gt;=$AS321,$AU321&gt;=$AT321),"Ectomorfo dominante","Endomorfo dominante")))</f>
        <v/>
      </c>
    </row>
    <row r="322" customFormat="false" ht="15" hidden="false" customHeight="false" outlineLevel="0" collapsed="false">
      <c r="A322" s="29"/>
      <c r="B322" s="27"/>
      <c r="C322" s="28"/>
      <c r="D322" s="27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3" t="str">
        <f aca="false">IFERROR(DATEDIF(INDEX(Cadastro!$D$8:$D$47,MATCH($B322,Cadastro!$B$8:$B$47,0)),$A322,"Y"),"")</f>
        <v/>
      </c>
      <c r="AH322" s="33" t="str">
        <f aca="false">IF(COUNT($I322,$K322,$J322,$N322)&lt;4,"",$I322+$K322+$J322+$N322)</f>
        <v/>
      </c>
      <c r="AI322" s="33" t="str">
        <f aca="false">IF(COUNT($L322,$M322,$I322,$J322,$P322,$N322,$Q322)&lt;7,"",$L322+$M322+$I322+$J322+$P322+$N322+$Q322)</f>
        <v/>
      </c>
      <c r="AJ322" s="33" t="str">
        <f aca="false">IF(COUNT($I322,$J322,$K322,$O322,$P322,$Q322,$R322,$N322)&lt;8,"",$I322+$J322+$K322+$O322+$P322+$Q322+$R322+$N322)</f>
        <v/>
      </c>
      <c r="AK322" s="34" t="str">
        <f aca="false">IF(OR($AI322="",$AG322=""),"",IF(IFERROR(INDEX(Cadastro!$F$8:$F$47,MATCH($B322,Cadastro!$B$8:$B$47,0)),"")="Feminino",1.097-0.00046971*$AI322+0.00000056*$AI322^2-0.00012828*$AG322,1.112-0.00043499*$AI322+0.00000055*$AI322^2-0.00028826*$AG322))</f>
        <v/>
      </c>
      <c r="AL322" s="30" t="str">
        <f aca="false">IF(OR($AK322="",$AK322=0),"",495/$AK322-450)</f>
        <v/>
      </c>
      <c r="AM322" s="35" t="str">
        <f aca="false">IF(OR($AL322="",$E322=""),"",$E322*$AL322/100)</f>
        <v/>
      </c>
      <c r="AN322" s="30" t="str">
        <f aca="false">IF(OR($AM322="",$E322=""),"",$E322-$AM322)</f>
        <v/>
      </c>
      <c r="AO322" s="35" t="str">
        <f aca="false">IFERROR($E322/($F322/100)^2,"")</f>
        <v/>
      </c>
      <c r="AP322" s="35" t="str">
        <f aca="false">IFERROR($G322/$F322*100,"")</f>
        <v/>
      </c>
      <c r="AQ322" s="36" t="str">
        <f aca="false">IFERROR($W322/$F322,"")</f>
        <v/>
      </c>
      <c r="AR322" s="35" t="str">
        <f aca="false">IF(OR($S322="",$I322=""),"",($S322-PI()*$I322/10)^2/(4*PI())-IF(IFERROR(INDEX(Cadastro!$F$8:$F$47,MATCH($B322,Cadastro!$B$8:$B$47,0)),"")="Feminino",6.5,10))</f>
        <v/>
      </c>
      <c r="AS322" s="35" t="str">
        <f aca="false">IF(OR($I322="",$J322="",$O322="",$F322=""),"",-0.7182+0.1451*(($I322+$J322+$O322)*(170.18/$F322))-0.00068*(($I322+$J322+$O322)*(170.18/$F322))^2+0.0000014*(($I322+$J322+$O322)*(170.18/$F322))^3)</f>
        <v/>
      </c>
      <c r="AT322" s="35" t="str">
        <f aca="false">IF(OR($AE322="",$AF322="",$T322="",$AA322="",$F322=""),"",0.858*$AE322+0.601*$AF322+0.188*($T322-$I322/10)+0.161*($AA322-$R322/10)-0.131*$F322+4.5)</f>
        <v/>
      </c>
      <c r="AU322" s="35" t="str">
        <f aca="false">IF(OR($E322="",$F322=""),"",IF($F322/$E322^(1/3)&gt;=40.75,0.732*($F322/$E322^(1/3))-28.58,IF($F322/$E322^(1/3)&gt;=38.25,0.463*($F322/$E322^(1/3))-17.63,0.1)))</f>
        <v/>
      </c>
      <c r="AV322" s="37" t="str">
        <f aca="false">IF(OR($AS322="",$AT322="",$AU322=""),"",IF(AND($AT322&gt;=$AS322,$AT322&gt;=$AU322),"Mesomorfo dominante",IF(AND($AU322&gt;=$AS322,$AU322&gt;=$AT322),"Ectomorfo dominante","Endomorfo dominante")))</f>
        <v/>
      </c>
    </row>
    <row r="323" customFormat="false" ht="15" hidden="false" customHeight="false" outlineLevel="0" collapsed="false">
      <c r="A323" s="29"/>
      <c r="B323" s="27"/>
      <c r="C323" s="28"/>
      <c r="D323" s="27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3" t="str">
        <f aca="false">IFERROR(DATEDIF(INDEX(Cadastro!$D$8:$D$47,MATCH($B323,Cadastro!$B$8:$B$47,0)),$A323,"Y"),"")</f>
        <v/>
      </c>
      <c r="AH323" s="33" t="str">
        <f aca="false">IF(COUNT($I323,$K323,$J323,$N323)&lt;4,"",$I323+$K323+$J323+$N323)</f>
        <v/>
      </c>
      <c r="AI323" s="33" t="str">
        <f aca="false">IF(COUNT($L323,$M323,$I323,$J323,$P323,$N323,$Q323)&lt;7,"",$L323+$M323+$I323+$J323+$P323+$N323+$Q323)</f>
        <v/>
      </c>
      <c r="AJ323" s="33" t="str">
        <f aca="false">IF(COUNT($I323,$J323,$K323,$O323,$P323,$Q323,$R323,$N323)&lt;8,"",$I323+$J323+$K323+$O323+$P323+$Q323+$R323+$N323)</f>
        <v/>
      </c>
      <c r="AK323" s="34" t="str">
        <f aca="false">IF(OR($AI323="",$AG323=""),"",IF(IFERROR(INDEX(Cadastro!$F$8:$F$47,MATCH($B323,Cadastro!$B$8:$B$47,0)),"")="Feminino",1.097-0.00046971*$AI323+0.00000056*$AI323^2-0.00012828*$AG323,1.112-0.00043499*$AI323+0.00000055*$AI323^2-0.00028826*$AG323))</f>
        <v/>
      </c>
      <c r="AL323" s="30" t="str">
        <f aca="false">IF(OR($AK323="",$AK323=0),"",495/$AK323-450)</f>
        <v/>
      </c>
      <c r="AM323" s="35" t="str">
        <f aca="false">IF(OR($AL323="",$E323=""),"",$E323*$AL323/100)</f>
        <v/>
      </c>
      <c r="AN323" s="30" t="str">
        <f aca="false">IF(OR($AM323="",$E323=""),"",$E323-$AM323)</f>
        <v/>
      </c>
      <c r="AO323" s="35" t="str">
        <f aca="false">IFERROR($E323/($F323/100)^2,"")</f>
        <v/>
      </c>
      <c r="AP323" s="35" t="str">
        <f aca="false">IFERROR($G323/$F323*100,"")</f>
        <v/>
      </c>
      <c r="AQ323" s="36" t="str">
        <f aca="false">IFERROR($W323/$F323,"")</f>
        <v/>
      </c>
      <c r="AR323" s="35" t="str">
        <f aca="false">IF(OR($S323="",$I323=""),"",($S323-PI()*$I323/10)^2/(4*PI())-IF(IFERROR(INDEX(Cadastro!$F$8:$F$47,MATCH($B323,Cadastro!$B$8:$B$47,0)),"")="Feminino",6.5,10))</f>
        <v/>
      </c>
      <c r="AS323" s="35" t="str">
        <f aca="false">IF(OR($I323="",$J323="",$O323="",$F323=""),"",-0.7182+0.1451*(($I323+$J323+$O323)*(170.18/$F323))-0.00068*(($I323+$J323+$O323)*(170.18/$F323))^2+0.0000014*(($I323+$J323+$O323)*(170.18/$F323))^3)</f>
        <v/>
      </c>
      <c r="AT323" s="35" t="str">
        <f aca="false">IF(OR($AE323="",$AF323="",$T323="",$AA323="",$F323=""),"",0.858*$AE323+0.601*$AF323+0.188*($T323-$I323/10)+0.161*($AA323-$R323/10)-0.131*$F323+4.5)</f>
        <v/>
      </c>
      <c r="AU323" s="35" t="str">
        <f aca="false">IF(OR($E323="",$F323=""),"",IF($F323/$E323^(1/3)&gt;=40.75,0.732*($F323/$E323^(1/3))-28.58,IF($F323/$E323^(1/3)&gt;=38.25,0.463*($F323/$E323^(1/3))-17.63,0.1)))</f>
        <v/>
      </c>
      <c r="AV323" s="37" t="str">
        <f aca="false">IF(OR($AS323="",$AT323="",$AU323=""),"",IF(AND($AT323&gt;=$AS323,$AT323&gt;=$AU323),"Mesomorfo dominante",IF(AND($AU323&gt;=$AS323,$AU323&gt;=$AT323),"Ectomorfo dominante","Endomorfo dominante")))</f>
        <v/>
      </c>
    </row>
    <row r="324" customFormat="false" ht="15" hidden="false" customHeight="false" outlineLevel="0" collapsed="false">
      <c r="A324" s="29"/>
      <c r="B324" s="27"/>
      <c r="C324" s="28"/>
      <c r="D324" s="27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3" t="str">
        <f aca="false">IFERROR(DATEDIF(INDEX(Cadastro!$D$8:$D$47,MATCH($B324,Cadastro!$B$8:$B$47,0)),$A324,"Y"),"")</f>
        <v/>
      </c>
      <c r="AH324" s="33" t="str">
        <f aca="false">IF(COUNT($I324,$K324,$J324,$N324)&lt;4,"",$I324+$K324+$J324+$N324)</f>
        <v/>
      </c>
      <c r="AI324" s="33" t="str">
        <f aca="false">IF(COUNT($L324,$M324,$I324,$J324,$P324,$N324,$Q324)&lt;7,"",$L324+$M324+$I324+$J324+$P324+$N324+$Q324)</f>
        <v/>
      </c>
      <c r="AJ324" s="33" t="str">
        <f aca="false">IF(COUNT($I324,$J324,$K324,$O324,$P324,$Q324,$R324,$N324)&lt;8,"",$I324+$J324+$K324+$O324+$P324+$Q324+$R324+$N324)</f>
        <v/>
      </c>
      <c r="AK324" s="34" t="str">
        <f aca="false">IF(OR($AI324="",$AG324=""),"",IF(IFERROR(INDEX(Cadastro!$F$8:$F$47,MATCH($B324,Cadastro!$B$8:$B$47,0)),"")="Feminino",1.097-0.00046971*$AI324+0.00000056*$AI324^2-0.00012828*$AG324,1.112-0.00043499*$AI324+0.00000055*$AI324^2-0.00028826*$AG324))</f>
        <v/>
      </c>
      <c r="AL324" s="30" t="str">
        <f aca="false">IF(OR($AK324="",$AK324=0),"",495/$AK324-450)</f>
        <v/>
      </c>
      <c r="AM324" s="35" t="str">
        <f aca="false">IF(OR($AL324="",$E324=""),"",$E324*$AL324/100)</f>
        <v/>
      </c>
      <c r="AN324" s="30" t="str">
        <f aca="false">IF(OR($AM324="",$E324=""),"",$E324-$AM324)</f>
        <v/>
      </c>
      <c r="AO324" s="35" t="str">
        <f aca="false">IFERROR($E324/($F324/100)^2,"")</f>
        <v/>
      </c>
      <c r="AP324" s="35" t="str">
        <f aca="false">IFERROR($G324/$F324*100,"")</f>
        <v/>
      </c>
      <c r="AQ324" s="36" t="str">
        <f aca="false">IFERROR($W324/$F324,"")</f>
        <v/>
      </c>
      <c r="AR324" s="35" t="str">
        <f aca="false">IF(OR($S324="",$I324=""),"",($S324-PI()*$I324/10)^2/(4*PI())-IF(IFERROR(INDEX(Cadastro!$F$8:$F$47,MATCH($B324,Cadastro!$B$8:$B$47,0)),"")="Feminino",6.5,10))</f>
        <v/>
      </c>
      <c r="AS324" s="35" t="str">
        <f aca="false">IF(OR($I324="",$J324="",$O324="",$F324=""),"",-0.7182+0.1451*(($I324+$J324+$O324)*(170.18/$F324))-0.00068*(($I324+$J324+$O324)*(170.18/$F324))^2+0.0000014*(($I324+$J324+$O324)*(170.18/$F324))^3)</f>
        <v/>
      </c>
      <c r="AT324" s="35" t="str">
        <f aca="false">IF(OR($AE324="",$AF324="",$T324="",$AA324="",$F324=""),"",0.858*$AE324+0.601*$AF324+0.188*($T324-$I324/10)+0.161*($AA324-$R324/10)-0.131*$F324+4.5)</f>
        <v/>
      </c>
      <c r="AU324" s="35" t="str">
        <f aca="false">IF(OR($E324="",$F324=""),"",IF($F324/$E324^(1/3)&gt;=40.75,0.732*($F324/$E324^(1/3))-28.58,IF($F324/$E324^(1/3)&gt;=38.25,0.463*($F324/$E324^(1/3))-17.63,0.1)))</f>
        <v/>
      </c>
      <c r="AV324" s="37" t="str">
        <f aca="false">IF(OR($AS324="",$AT324="",$AU324=""),"",IF(AND($AT324&gt;=$AS324,$AT324&gt;=$AU324),"Mesomorfo dominante",IF(AND($AU324&gt;=$AS324,$AU324&gt;=$AT324),"Ectomorfo dominante","Endomorfo dominante")))</f>
        <v/>
      </c>
    </row>
    <row r="325" customFormat="false" ht="15" hidden="false" customHeight="false" outlineLevel="0" collapsed="false">
      <c r="A325" s="29"/>
      <c r="B325" s="27"/>
      <c r="C325" s="28"/>
      <c r="D325" s="27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3" t="str">
        <f aca="false">IFERROR(DATEDIF(INDEX(Cadastro!$D$8:$D$47,MATCH($B325,Cadastro!$B$8:$B$47,0)),$A325,"Y"),"")</f>
        <v/>
      </c>
      <c r="AH325" s="33" t="str">
        <f aca="false">IF(COUNT($I325,$K325,$J325,$N325)&lt;4,"",$I325+$K325+$J325+$N325)</f>
        <v/>
      </c>
      <c r="AI325" s="33" t="str">
        <f aca="false">IF(COUNT($L325,$M325,$I325,$J325,$P325,$N325,$Q325)&lt;7,"",$L325+$M325+$I325+$J325+$P325+$N325+$Q325)</f>
        <v/>
      </c>
      <c r="AJ325" s="33" t="str">
        <f aca="false">IF(COUNT($I325,$J325,$K325,$O325,$P325,$Q325,$R325,$N325)&lt;8,"",$I325+$J325+$K325+$O325+$P325+$Q325+$R325+$N325)</f>
        <v/>
      </c>
      <c r="AK325" s="34" t="str">
        <f aca="false">IF(OR($AI325="",$AG325=""),"",IF(IFERROR(INDEX(Cadastro!$F$8:$F$47,MATCH($B325,Cadastro!$B$8:$B$47,0)),"")="Feminino",1.097-0.00046971*$AI325+0.00000056*$AI325^2-0.00012828*$AG325,1.112-0.00043499*$AI325+0.00000055*$AI325^2-0.00028826*$AG325))</f>
        <v/>
      </c>
      <c r="AL325" s="30" t="str">
        <f aca="false">IF(OR($AK325="",$AK325=0),"",495/$AK325-450)</f>
        <v/>
      </c>
      <c r="AM325" s="35" t="str">
        <f aca="false">IF(OR($AL325="",$E325=""),"",$E325*$AL325/100)</f>
        <v/>
      </c>
      <c r="AN325" s="30" t="str">
        <f aca="false">IF(OR($AM325="",$E325=""),"",$E325-$AM325)</f>
        <v/>
      </c>
      <c r="AO325" s="35" t="str">
        <f aca="false">IFERROR($E325/($F325/100)^2,"")</f>
        <v/>
      </c>
      <c r="AP325" s="35" t="str">
        <f aca="false">IFERROR($G325/$F325*100,"")</f>
        <v/>
      </c>
      <c r="AQ325" s="36" t="str">
        <f aca="false">IFERROR($W325/$F325,"")</f>
        <v/>
      </c>
      <c r="AR325" s="35" t="str">
        <f aca="false">IF(OR($S325="",$I325=""),"",($S325-PI()*$I325/10)^2/(4*PI())-IF(IFERROR(INDEX(Cadastro!$F$8:$F$47,MATCH($B325,Cadastro!$B$8:$B$47,0)),"")="Feminino",6.5,10))</f>
        <v/>
      </c>
      <c r="AS325" s="35" t="str">
        <f aca="false">IF(OR($I325="",$J325="",$O325="",$F325=""),"",-0.7182+0.1451*(($I325+$J325+$O325)*(170.18/$F325))-0.00068*(($I325+$J325+$O325)*(170.18/$F325))^2+0.0000014*(($I325+$J325+$O325)*(170.18/$F325))^3)</f>
        <v/>
      </c>
      <c r="AT325" s="35" t="str">
        <f aca="false">IF(OR($AE325="",$AF325="",$T325="",$AA325="",$F325=""),"",0.858*$AE325+0.601*$AF325+0.188*($T325-$I325/10)+0.161*($AA325-$R325/10)-0.131*$F325+4.5)</f>
        <v/>
      </c>
      <c r="AU325" s="35" t="str">
        <f aca="false">IF(OR($E325="",$F325=""),"",IF($F325/$E325^(1/3)&gt;=40.75,0.732*($F325/$E325^(1/3))-28.58,IF($F325/$E325^(1/3)&gt;=38.25,0.463*($F325/$E325^(1/3))-17.63,0.1)))</f>
        <v/>
      </c>
      <c r="AV325" s="37" t="str">
        <f aca="false">IF(OR($AS325="",$AT325="",$AU325=""),"",IF(AND($AT325&gt;=$AS325,$AT325&gt;=$AU325),"Mesomorfo dominante",IF(AND($AU325&gt;=$AS325,$AU325&gt;=$AT325),"Ectomorfo dominante","Endomorfo dominante")))</f>
        <v/>
      </c>
    </row>
    <row r="326" customFormat="false" ht="15" hidden="false" customHeight="false" outlineLevel="0" collapsed="false">
      <c r="A326" s="29"/>
      <c r="B326" s="27"/>
      <c r="C326" s="28"/>
      <c r="D326" s="27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3" t="str">
        <f aca="false">IFERROR(DATEDIF(INDEX(Cadastro!$D$8:$D$47,MATCH($B326,Cadastro!$B$8:$B$47,0)),$A326,"Y"),"")</f>
        <v/>
      </c>
      <c r="AH326" s="33" t="str">
        <f aca="false">IF(COUNT($I326,$K326,$J326,$N326)&lt;4,"",$I326+$K326+$J326+$N326)</f>
        <v/>
      </c>
      <c r="AI326" s="33" t="str">
        <f aca="false">IF(COUNT($L326,$M326,$I326,$J326,$P326,$N326,$Q326)&lt;7,"",$L326+$M326+$I326+$J326+$P326+$N326+$Q326)</f>
        <v/>
      </c>
      <c r="AJ326" s="33" t="str">
        <f aca="false">IF(COUNT($I326,$J326,$K326,$O326,$P326,$Q326,$R326,$N326)&lt;8,"",$I326+$J326+$K326+$O326+$P326+$Q326+$R326+$N326)</f>
        <v/>
      </c>
      <c r="AK326" s="34" t="str">
        <f aca="false">IF(OR($AI326="",$AG326=""),"",IF(IFERROR(INDEX(Cadastro!$F$8:$F$47,MATCH($B326,Cadastro!$B$8:$B$47,0)),"")="Feminino",1.097-0.00046971*$AI326+0.00000056*$AI326^2-0.00012828*$AG326,1.112-0.00043499*$AI326+0.00000055*$AI326^2-0.00028826*$AG326))</f>
        <v/>
      </c>
      <c r="AL326" s="30" t="str">
        <f aca="false">IF(OR($AK326="",$AK326=0),"",495/$AK326-450)</f>
        <v/>
      </c>
      <c r="AM326" s="35" t="str">
        <f aca="false">IF(OR($AL326="",$E326=""),"",$E326*$AL326/100)</f>
        <v/>
      </c>
      <c r="AN326" s="30" t="str">
        <f aca="false">IF(OR($AM326="",$E326=""),"",$E326-$AM326)</f>
        <v/>
      </c>
      <c r="AO326" s="35" t="str">
        <f aca="false">IFERROR($E326/($F326/100)^2,"")</f>
        <v/>
      </c>
      <c r="AP326" s="35" t="str">
        <f aca="false">IFERROR($G326/$F326*100,"")</f>
        <v/>
      </c>
      <c r="AQ326" s="36" t="str">
        <f aca="false">IFERROR($W326/$F326,"")</f>
        <v/>
      </c>
      <c r="AR326" s="35" t="str">
        <f aca="false">IF(OR($S326="",$I326=""),"",($S326-PI()*$I326/10)^2/(4*PI())-IF(IFERROR(INDEX(Cadastro!$F$8:$F$47,MATCH($B326,Cadastro!$B$8:$B$47,0)),"")="Feminino",6.5,10))</f>
        <v/>
      </c>
      <c r="AS326" s="35" t="str">
        <f aca="false">IF(OR($I326="",$J326="",$O326="",$F326=""),"",-0.7182+0.1451*(($I326+$J326+$O326)*(170.18/$F326))-0.00068*(($I326+$J326+$O326)*(170.18/$F326))^2+0.0000014*(($I326+$J326+$O326)*(170.18/$F326))^3)</f>
        <v/>
      </c>
      <c r="AT326" s="35" t="str">
        <f aca="false">IF(OR($AE326="",$AF326="",$T326="",$AA326="",$F326=""),"",0.858*$AE326+0.601*$AF326+0.188*($T326-$I326/10)+0.161*($AA326-$R326/10)-0.131*$F326+4.5)</f>
        <v/>
      </c>
      <c r="AU326" s="35" t="str">
        <f aca="false">IF(OR($E326="",$F326=""),"",IF($F326/$E326^(1/3)&gt;=40.75,0.732*($F326/$E326^(1/3))-28.58,IF($F326/$E326^(1/3)&gt;=38.25,0.463*($F326/$E326^(1/3))-17.63,0.1)))</f>
        <v/>
      </c>
      <c r="AV326" s="37" t="str">
        <f aca="false">IF(OR($AS326="",$AT326="",$AU326=""),"",IF(AND($AT326&gt;=$AS326,$AT326&gt;=$AU326),"Mesomorfo dominante",IF(AND($AU326&gt;=$AS326,$AU326&gt;=$AT326),"Ectomorfo dominante","Endomorfo dominante")))</f>
        <v/>
      </c>
    </row>
    <row r="327" customFormat="false" ht="15" hidden="false" customHeight="false" outlineLevel="0" collapsed="false">
      <c r="A327" s="29"/>
      <c r="B327" s="27"/>
      <c r="C327" s="28"/>
      <c r="D327" s="27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3" t="str">
        <f aca="false">IFERROR(DATEDIF(INDEX(Cadastro!$D$8:$D$47,MATCH($B327,Cadastro!$B$8:$B$47,0)),$A327,"Y"),"")</f>
        <v/>
      </c>
      <c r="AH327" s="33" t="str">
        <f aca="false">IF(COUNT($I327,$K327,$J327,$N327)&lt;4,"",$I327+$K327+$J327+$N327)</f>
        <v/>
      </c>
      <c r="AI327" s="33" t="str">
        <f aca="false">IF(COUNT($L327,$M327,$I327,$J327,$P327,$N327,$Q327)&lt;7,"",$L327+$M327+$I327+$J327+$P327+$N327+$Q327)</f>
        <v/>
      </c>
      <c r="AJ327" s="33" t="str">
        <f aca="false">IF(COUNT($I327,$J327,$K327,$O327,$P327,$Q327,$R327,$N327)&lt;8,"",$I327+$J327+$K327+$O327+$P327+$Q327+$R327+$N327)</f>
        <v/>
      </c>
      <c r="AK327" s="34" t="str">
        <f aca="false">IF(OR($AI327="",$AG327=""),"",IF(IFERROR(INDEX(Cadastro!$F$8:$F$47,MATCH($B327,Cadastro!$B$8:$B$47,0)),"")="Feminino",1.097-0.00046971*$AI327+0.00000056*$AI327^2-0.00012828*$AG327,1.112-0.00043499*$AI327+0.00000055*$AI327^2-0.00028826*$AG327))</f>
        <v/>
      </c>
      <c r="AL327" s="30" t="str">
        <f aca="false">IF(OR($AK327="",$AK327=0),"",495/$AK327-450)</f>
        <v/>
      </c>
      <c r="AM327" s="35" t="str">
        <f aca="false">IF(OR($AL327="",$E327=""),"",$E327*$AL327/100)</f>
        <v/>
      </c>
      <c r="AN327" s="30" t="str">
        <f aca="false">IF(OR($AM327="",$E327=""),"",$E327-$AM327)</f>
        <v/>
      </c>
      <c r="AO327" s="35" t="str">
        <f aca="false">IFERROR($E327/($F327/100)^2,"")</f>
        <v/>
      </c>
      <c r="AP327" s="35" t="str">
        <f aca="false">IFERROR($G327/$F327*100,"")</f>
        <v/>
      </c>
      <c r="AQ327" s="36" t="str">
        <f aca="false">IFERROR($W327/$F327,"")</f>
        <v/>
      </c>
      <c r="AR327" s="35" t="str">
        <f aca="false">IF(OR($S327="",$I327=""),"",($S327-PI()*$I327/10)^2/(4*PI())-IF(IFERROR(INDEX(Cadastro!$F$8:$F$47,MATCH($B327,Cadastro!$B$8:$B$47,0)),"")="Feminino",6.5,10))</f>
        <v/>
      </c>
      <c r="AS327" s="35" t="str">
        <f aca="false">IF(OR($I327="",$J327="",$O327="",$F327=""),"",-0.7182+0.1451*(($I327+$J327+$O327)*(170.18/$F327))-0.00068*(($I327+$J327+$O327)*(170.18/$F327))^2+0.0000014*(($I327+$J327+$O327)*(170.18/$F327))^3)</f>
        <v/>
      </c>
      <c r="AT327" s="35" t="str">
        <f aca="false">IF(OR($AE327="",$AF327="",$T327="",$AA327="",$F327=""),"",0.858*$AE327+0.601*$AF327+0.188*($T327-$I327/10)+0.161*($AA327-$R327/10)-0.131*$F327+4.5)</f>
        <v/>
      </c>
      <c r="AU327" s="35" t="str">
        <f aca="false">IF(OR($E327="",$F327=""),"",IF($F327/$E327^(1/3)&gt;=40.75,0.732*($F327/$E327^(1/3))-28.58,IF($F327/$E327^(1/3)&gt;=38.25,0.463*($F327/$E327^(1/3))-17.63,0.1)))</f>
        <v/>
      </c>
      <c r="AV327" s="37" t="str">
        <f aca="false">IF(OR($AS327="",$AT327="",$AU327=""),"",IF(AND($AT327&gt;=$AS327,$AT327&gt;=$AU327),"Mesomorfo dominante",IF(AND($AU327&gt;=$AS327,$AU327&gt;=$AT327),"Ectomorfo dominante","Endomorfo dominante")))</f>
        <v/>
      </c>
    </row>
    <row r="328" customFormat="false" ht="15" hidden="false" customHeight="false" outlineLevel="0" collapsed="false">
      <c r="A328" s="29"/>
      <c r="B328" s="27"/>
      <c r="C328" s="28"/>
      <c r="D328" s="27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3" t="str">
        <f aca="false">IFERROR(DATEDIF(INDEX(Cadastro!$D$8:$D$47,MATCH($B328,Cadastro!$B$8:$B$47,0)),$A328,"Y"),"")</f>
        <v/>
      </c>
      <c r="AH328" s="33" t="str">
        <f aca="false">IF(COUNT($I328,$K328,$J328,$N328)&lt;4,"",$I328+$K328+$J328+$N328)</f>
        <v/>
      </c>
      <c r="AI328" s="33" t="str">
        <f aca="false">IF(COUNT($L328,$M328,$I328,$J328,$P328,$N328,$Q328)&lt;7,"",$L328+$M328+$I328+$J328+$P328+$N328+$Q328)</f>
        <v/>
      </c>
      <c r="AJ328" s="33" t="str">
        <f aca="false">IF(COUNT($I328,$J328,$K328,$O328,$P328,$Q328,$R328,$N328)&lt;8,"",$I328+$J328+$K328+$O328+$P328+$Q328+$R328+$N328)</f>
        <v/>
      </c>
      <c r="AK328" s="34" t="str">
        <f aca="false">IF(OR($AI328="",$AG328=""),"",IF(IFERROR(INDEX(Cadastro!$F$8:$F$47,MATCH($B328,Cadastro!$B$8:$B$47,0)),"")="Feminino",1.097-0.00046971*$AI328+0.00000056*$AI328^2-0.00012828*$AG328,1.112-0.00043499*$AI328+0.00000055*$AI328^2-0.00028826*$AG328))</f>
        <v/>
      </c>
      <c r="AL328" s="30" t="str">
        <f aca="false">IF(OR($AK328="",$AK328=0),"",495/$AK328-450)</f>
        <v/>
      </c>
      <c r="AM328" s="35" t="str">
        <f aca="false">IF(OR($AL328="",$E328=""),"",$E328*$AL328/100)</f>
        <v/>
      </c>
      <c r="AN328" s="30" t="str">
        <f aca="false">IF(OR($AM328="",$E328=""),"",$E328-$AM328)</f>
        <v/>
      </c>
      <c r="AO328" s="35" t="str">
        <f aca="false">IFERROR($E328/($F328/100)^2,"")</f>
        <v/>
      </c>
      <c r="AP328" s="35" t="str">
        <f aca="false">IFERROR($G328/$F328*100,"")</f>
        <v/>
      </c>
      <c r="AQ328" s="36" t="str">
        <f aca="false">IFERROR($W328/$F328,"")</f>
        <v/>
      </c>
      <c r="AR328" s="35" t="str">
        <f aca="false">IF(OR($S328="",$I328=""),"",($S328-PI()*$I328/10)^2/(4*PI())-IF(IFERROR(INDEX(Cadastro!$F$8:$F$47,MATCH($B328,Cadastro!$B$8:$B$47,0)),"")="Feminino",6.5,10))</f>
        <v/>
      </c>
      <c r="AS328" s="35" t="str">
        <f aca="false">IF(OR($I328="",$J328="",$O328="",$F328=""),"",-0.7182+0.1451*(($I328+$J328+$O328)*(170.18/$F328))-0.00068*(($I328+$J328+$O328)*(170.18/$F328))^2+0.0000014*(($I328+$J328+$O328)*(170.18/$F328))^3)</f>
        <v/>
      </c>
      <c r="AT328" s="35" t="str">
        <f aca="false">IF(OR($AE328="",$AF328="",$T328="",$AA328="",$F328=""),"",0.858*$AE328+0.601*$AF328+0.188*($T328-$I328/10)+0.161*($AA328-$R328/10)-0.131*$F328+4.5)</f>
        <v/>
      </c>
      <c r="AU328" s="35" t="str">
        <f aca="false">IF(OR($E328="",$F328=""),"",IF($F328/$E328^(1/3)&gt;=40.75,0.732*($F328/$E328^(1/3))-28.58,IF($F328/$E328^(1/3)&gt;=38.25,0.463*($F328/$E328^(1/3))-17.63,0.1)))</f>
        <v/>
      </c>
      <c r="AV328" s="37" t="str">
        <f aca="false">IF(OR($AS328="",$AT328="",$AU328=""),"",IF(AND($AT328&gt;=$AS328,$AT328&gt;=$AU328),"Mesomorfo dominante",IF(AND($AU328&gt;=$AS328,$AU328&gt;=$AT328),"Ectomorfo dominante","Endomorfo dominante")))</f>
        <v/>
      </c>
    </row>
    <row r="329" customFormat="false" ht="15" hidden="false" customHeight="false" outlineLevel="0" collapsed="false">
      <c r="A329" s="29"/>
      <c r="B329" s="27"/>
      <c r="C329" s="28"/>
      <c r="D329" s="27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3" t="str">
        <f aca="false">IFERROR(DATEDIF(INDEX(Cadastro!$D$8:$D$47,MATCH($B329,Cadastro!$B$8:$B$47,0)),$A329,"Y"),"")</f>
        <v/>
      </c>
      <c r="AH329" s="33" t="str">
        <f aca="false">IF(COUNT($I329,$K329,$J329,$N329)&lt;4,"",$I329+$K329+$J329+$N329)</f>
        <v/>
      </c>
      <c r="AI329" s="33" t="str">
        <f aca="false">IF(COUNT($L329,$M329,$I329,$J329,$P329,$N329,$Q329)&lt;7,"",$L329+$M329+$I329+$J329+$P329+$N329+$Q329)</f>
        <v/>
      </c>
      <c r="AJ329" s="33" t="str">
        <f aca="false">IF(COUNT($I329,$J329,$K329,$O329,$P329,$Q329,$R329,$N329)&lt;8,"",$I329+$J329+$K329+$O329+$P329+$Q329+$R329+$N329)</f>
        <v/>
      </c>
      <c r="AK329" s="34" t="str">
        <f aca="false">IF(OR($AI329="",$AG329=""),"",IF(IFERROR(INDEX(Cadastro!$F$8:$F$47,MATCH($B329,Cadastro!$B$8:$B$47,0)),"")="Feminino",1.097-0.00046971*$AI329+0.00000056*$AI329^2-0.00012828*$AG329,1.112-0.00043499*$AI329+0.00000055*$AI329^2-0.00028826*$AG329))</f>
        <v/>
      </c>
      <c r="AL329" s="30" t="str">
        <f aca="false">IF(OR($AK329="",$AK329=0),"",495/$AK329-450)</f>
        <v/>
      </c>
      <c r="AM329" s="35" t="str">
        <f aca="false">IF(OR($AL329="",$E329=""),"",$E329*$AL329/100)</f>
        <v/>
      </c>
      <c r="AN329" s="30" t="str">
        <f aca="false">IF(OR($AM329="",$E329=""),"",$E329-$AM329)</f>
        <v/>
      </c>
      <c r="AO329" s="35" t="str">
        <f aca="false">IFERROR($E329/($F329/100)^2,"")</f>
        <v/>
      </c>
      <c r="AP329" s="35" t="str">
        <f aca="false">IFERROR($G329/$F329*100,"")</f>
        <v/>
      </c>
      <c r="AQ329" s="36" t="str">
        <f aca="false">IFERROR($W329/$F329,"")</f>
        <v/>
      </c>
      <c r="AR329" s="35" t="str">
        <f aca="false">IF(OR($S329="",$I329=""),"",($S329-PI()*$I329/10)^2/(4*PI())-IF(IFERROR(INDEX(Cadastro!$F$8:$F$47,MATCH($B329,Cadastro!$B$8:$B$47,0)),"")="Feminino",6.5,10))</f>
        <v/>
      </c>
      <c r="AS329" s="35" t="str">
        <f aca="false">IF(OR($I329="",$J329="",$O329="",$F329=""),"",-0.7182+0.1451*(($I329+$J329+$O329)*(170.18/$F329))-0.00068*(($I329+$J329+$O329)*(170.18/$F329))^2+0.0000014*(($I329+$J329+$O329)*(170.18/$F329))^3)</f>
        <v/>
      </c>
      <c r="AT329" s="35" t="str">
        <f aca="false">IF(OR($AE329="",$AF329="",$T329="",$AA329="",$F329=""),"",0.858*$AE329+0.601*$AF329+0.188*($T329-$I329/10)+0.161*($AA329-$R329/10)-0.131*$F329+4.5)</f>
        <v/>
      </c>
      <c r="AU329" s="35" t="str">
        <f aca="false">IF(OR($E329="",$F329=""),"",IF($F329/$E329^(1/3)&gt;=40.75,0.732*($F329/$E329^(1/3))-28.58,IF($F329/$E329^(1/3)&gt;=38.25,0.463*($F329/$E329^(1/3))-17.63,0.1)))</f>
        <v/>
      </c>
      <c r="AV329" s="37" t="str">
        <f aca="false">IF(OR($AS329="",$AT329="",$AU329=""),"",IF(AND($AT329&gt;=$AS329,$AT329&gt;=$AU329),"Mesomorfo dominante",IF(AND($AU329&gt;=$AS329,$AU329&gt;=$AT329),"Ectomorfo dominante","Endomorfo dominante")))</f>
        <v/>
      </c>
    </row>
    <row r="330" customFormat="false" ht="15" hidden="false" customHeight="false" outlineLevel="0" collapsed="false">
      <c r="A330" s="29"/>
      <c r="B330" s="27"/>
      <c r="C330" s="28"/>
      <c r="D330" s="27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3" t="str">
        <f aca="false">IFERROR(DATEDIF(INDEX(Cadastro!$D$8:$D$47,MATCH($B330,Cadastro!$B$8:$B$47,0)),$A330,"Y"),"")</f>
        <v/>
      </c>
      <c r="AH330" s="33" t="str">
        <f aca="false">IF(COUNT($I330,$K330,$J330,$N330)&lt;4,"",$I330+$K330+$J330+$N330)</f>
        <v/>
      </c>
      <c r="AI330" s="33" t="str">
        <f aca="false">IF(COUNT($L330,$M330,$I330,$J330,$P330,$N330,$Q330)&lt;7,"",$L330+$M330+$I330+$J330+$P330+$N330+$Q330)</f>
        <v/>
      </c>
      <c r="AJ330" s="33" t="str">
        <f aca="false">IF(COUNT($I330,$J330,$K330,$O330,$P330,$Q330,$R330,$N330)&lt;8,"",$I330+$J330+$K330+$O330+$P330+$Q330+$R330+$N330)</f>
        <v/>
      </c>
      <c r="AK330" s="34" t="str">
        <f aca="false">IF(OR($AI330="",$AG330=""),"",IF(IFERROR(INDEX(Cadastro!$F$8:$F$47,MATCH($B330,Cadastro!$B$8:$B$47,0)),"")="Feminino",1.097-0.00046971*$AI330+0.00000056*$AI330^2-0.00012828*$AG330,1.112-0.00043499*$AI330+0.00000055*$AI330^2-0.00028826*$AG330))</f>
        <v/>
      </c>
      <c r="AL330" s="30" t="str">
        <f aca="false">IF(OR($AK330="",$AK330=0),"",495/$AK330-450)</f>
        <v/>
      </c>
      <c r="AM330" s="35" t="str">
        <f aca="false">IF(OR($AL330="",$E330=""),"",$E330*$AL330/100)</f>
        <v/>
      </c>
      <c r="AN330" s="30" t="str">
        <f aca="false">IF(OR($AM330="",$E330=""),"",$E330-$AM330)</f>
        <v/>
      </c>
      <c r="AO330" s="35" t="str">
        <f aca="false">IFERROR($E330/($F330/100)^2,"")</f>
        <v/>
      </c>
      <c r="AP330" s="35" t="str">
        <f aca="false">IFERROR($G330/$F330*100,"")</f>
        <v/>
      </c>
      <c r="AQ330" s="36" t="str">
        <f aca="false">IFERROR($W330/$F330,"")</f>
        <v/>
      </c>
      <c r="AR330" s="35" t="str">
        <f aca="false">IF(OR($S330="",$I330=""),"",($S330-PI()*$I330/10)^2/(4*PI())-IF(IFERROR(INDEX(Cadastro!$F$8:$F$47,MATCH($B330,Cadastro!$B$8:$B$47,0)),"")="Feminino",6.5,10))</f>
        <v/>
      </c>
      <c r="AS330" s="35" t="str">
        <f aca="false">IF(OR($I330="",$J330="",$O330="",$F330=""),"",-0.7182+0.1451*(($I330+$J330+$O330)*(170.18/$F330))-0.00068*(($I330+$J330+$O330)*(170.18/$F330))^2+0.0000014*(($I330+$J330+$O330)*(170.18/$F330))^3)</f>
        <v/>
      </c>
      <c r="AT330" s="35" t="str">
        <f aca="false">IF(OR($AE330="",$AF330="",$T330="",$AA330="",$F330=""),"",0.858*$AE330+0.601*$AF330+0.188*($T330-$I330/10)+0.161*($AA330-$R330/10)-0.131*$F330+4.5)</f>
        <v/>
      </c>
      <c r="AU330" s="35" t="str">
        <f aca="false">IF(OR($E330="",$F330=""),"",IF($F330/$E330^(1/3)&gt;=40.75,0.732*($F330/$E330^(1/3))-28.58,IF($F330/$E330^(1/3)&gt;=38.25,0.463*($F330/$E330^(1/3))-17.63,0.1)))</f>
        <v/>
      </c>
      <c r="AV330" s="37" t="str">
        <f aca="false">IF(OR($AS330="",$AT330="",$AU330=""),"",IF(AND($AT330&gt;=$AS330,$AT330&gt;=$AU330),"Mesomorfo dominante",IF(AND($AU330&gt;=$AS330,$AU330&gt;=$AT330),"Ectomorfo dominante","Endomorfo dominante")))</f>
        <v/>
      </c>
    </row>
    <row r="331" customFormat="false" ht="15" hidden="false" customHeight="false" outlineLevel="0" collapsed="false">
      <c r="A331" s="29"/>
      <c r="B331" s="27"/>
      <c r="C331" s="28"/>
      <c r="D331" s="27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3" t="str">
        <f aca="false">IFERROR(DATEDIF(INDEX(Cadastro!$D$8:$D$47,MATCH($B331,Cadastro!$B$8:$B$47,0)),$A331,"Y"),"")</f>
        <v/>
      </c>
      <c r="AH331" s="33" t="str">
        <f aca="false">IF(COUNT($I331,$K331,$J331,$N331)&lt;4,"",$I331+$K331+$J331+$N331)</f>
        <v/>
      </c>
      <c r="AI331" s="33" t="str">
        <f aca="false">IF(COUNT($L331,$M331,$I331,$J331,$P331,$N331,$Q331)&lt;7,"",$L331+$M331+$I331+$J331+$P331+$N331+$Q331)</f>
        <v/>
      </c>
      <c r="AJ331" s="33" t="str">
        <f aca="false">IF(COUNT($I331,$J331,$K331,$O331,$P331,$Q331,$R331,$N331)&lt;8,"",$I331+$J331+$K331+$O331+$P331+$Q331+$R331+$N331)</f>
        <v/>
      </c>
      <c r="AK331" s="34" t="str">
        <f aca="false">IF(OR($AI331="",$AG331=""),"",IF(IFERROR(INDEX(Cadastro!$F$8:$F$47,MATCH($B331,Cadastro!$B$8:$B$47,0)),"")="Feminino",1.097-0.00046971*$AI331+0.00000056*$AI331^2-0.00012828*$AG331,1.112-0.00043499*$AI331+0.00000055*$AI331^2-0.00028826*$AG331))</f>
        <v/>
      </c>
      <c r="AL331" s="30" t="str">
        <f aca="false">IF(OR($AK331="",$AK331=0),"",495/$AK331-450)</f>
        <v/>
      </c>
      <c r="AM331" s="35" t="str">
        <f aca="false">IF(OR($AL331="",$E331=""),"",$E331*$AL331/100)</f>
        <v/>
      </c>
      <c r="AN331" s="30" t="str">
        <f aca="false">IF(OR($AM331="",$E331=""),"",$E331-$AM331)</f>
        <v/>
      </c>
      <c r="AO331" s="35" t="str">
        <f aca="false">IFERROR($E331/($F331/100)^2,"")</f>
        <v/>
      </c>
      <c r="AP331" s="35" t="str">
        <f aca="false">IFERROR($G331/$F331*100,"")</f>
        <v/>
      </c>
      <c r="AQ331" s="36" t="str">
        <f aca="false">IFERROR($W331/$F331,"")</f>
        <v/>
      </c>
      <c r="AR331" s="35" t="str">
        <f aca="false">IF(OR($S331="",$I331=""),"",($S331-PI()*$I331/10)^2/(4*PI())-IF(IFERROR(INDEX(Cadastro!$F$8:$F$47,MATCH($B331,Cadastro!$B$8:$B$47,0)),"")="Feminino",6.5,10))</f>
        <v/>
      </c>
      <c r="AS331" s="35" t="str">
        <f aca="false">IF(OR($I331="",$J331="",$O331="",$F331=""),"",-0.7182+0.1451*(($I331+$J331+$O331)*(170.18/$F331))-0.00068*(($I331+$J331+$O331)*(170.18/$F331))^2+0.0000014*(($I331+$J331+$O331)*(170.18/$F331))^3)</f>
        <v/>
      </c>
      <c r="AT331" s="35" t="str">
        <f aca="false">IF(OR($AE331="",$AF331="",$T331="",$AA331="",$F331=""),"",0.858*$AE331+0.601*$AF331+0.188*($T331-$I331/10)+0.161*($AA331-$R331/10)-0.131*$F331+4.5)</f>
        <v/>
      </c>
      <c r="AU331" s="35" t="str">
        <f aca="false">IF(OR($E331="",$F331=""),"",IF($F331/$E331^(1/3)&gt;=40.75,0.732*($F331/$E331^(1/3))-28.58,IF($F331/$E331^(1/3)&gt;=38.25,0.463*($F331/$E331^(1/3))-17.63,0.1)))</f>
        <v/>
      </c>
      <c r="AV331" s="37" t="str">
        <f aca="false">IF(OR($AS331="",$AT331="",$AU331=""),"",IF(AND($AT331&gt;=$AS331,$AT331&gt;=$AU331),"Mesomorfo dominante",IF(AND($AU331&gt;=$AS331,$AU331&gt;=$AT331),"Ectomorfo dominante","Endomorfo dominante")))</f>
        <v/>
      </c>
    </row>
    <row r="332" customFormat="false" ht="15" hidden="false" customHeight="false" outlineLevel="0" collapsed="false">
      <c r="A332" s="29"/>
      <c r="B332" s="27"/>
      <c r="C332" s="28"/>
      <c r="D332" s="27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3" t="str">
        <f aca="false">IFERROR(DATEDIF(INDEX(Cadastro!$D$8:$D$47,MATCH($B332,Cadastro!$B$8:$B$47,0)),$A332,"Y"),"")</f>
        <v/>
      </c>
      <c r="AH332" s="33" t="str">
        <f aca="false">IF(COUNT($I332,$K332,$J332,$N332)&lt;4,"",$I332+$K332+$J332+$N332)</f>
        <v/>
      </c>
      <c r="AI332" s="33" t="str">
        <f aca="false">IF(COUNT($L332,$M332,$I332,$J332,$P332,$N332,$Q332)&lt;7,"",$L332+$M332+$I332+$J332+$P332+$N332+$Q332)</f>
        <v/>
      </c>
      <c r="AJ332" s="33" t="str">
        <f aca="false">IF(COUNT($I332,$J332,$K332,$O332,$P332,$Q332,$R332,$N332)&lt;8,"",$I332+$J332+$K332+$O332+$P332+$Q332+$R332+$N332)</f>
        <v/>
      </c>
      <c r="AK332" s="34" t="str">
        <f aca="false">IF(OR($AI332="",$AG332=""),"",IF(IFERROR(INDEX(Cadastro!$F$8:$F$47,MATCH($B332,Cadastro!$B$8:$B$47,0)),"")="Feminino",1.097-0.00046971*$AI332+0.00000056*$AI332^2-0.00012828*$AG332,1.112-0.00043499*$AI332+0.00000055*$AI332^2-0.00028826*$AG332))</f>
        <v/>
      </c>
      <c r="AL332" s="30" t="str">
        <f aca="false">IF(OR($AK332="",$AK332=0),"",495/$AK332-450)</f>
        <v/>
      </c>
      <c r="AM332" s="35" t="str">
        <f aca="false">IF(OR($AL332="",$E332=""),"",$E332*$AL332/100)</f>
        <v/>
      </c>
      <c r="AN332" s="30" t="str">
        <f aca="false">IF(OR($AM332="",$E332=""),"",$E332-$AM332)</f>
        <v/>
      </c>
      <c r="AO332" s="35" t="str">
        <f aca="false">IFERROR($E332/($F332/100)^2,"")</f>
        <v/>
      </c>
      <c r="AP332" s="35" t="str">
        <f aca="false">IFERROR($G332/$F332*100,"")</f>
        <v/>
      </c>
      <c r="AQ332" s="36" t="str">
        <f aca="false">IFERROR($W332/$F332,"")</f>
        <v/>
      </c>
      <c r="AR332" s="35" t="str">
        <f aca="false">IF(OR($S332="",$I332=""),"",($S332-PI()*$I332/10)^2/(4*PI())-IF(IFERROR(INDEX(Cadastro!$F$8:$F$47,MATCH($B332,Cadastro!$B$8:$B$47,0)),"")="Feminino",6.5,10))</f>
        <v/>
      </c>
      <c r="AS332" s="35" t="str">
        <f aca="false">IF(OR($I332="",$J332="",$O332="",$F332=""),"",-0.7182+0.1451*(($I332+$J332+$O332)*(170.18/$F332))-0.00068*(($I332+$J332+$O332)*(170.18/$F332))^2+0.0000014*(($I332+$J332+$O332)*(170.18/$F332))^3)</f>
        <v/>
      </c>
      <c r="AT332" s="35" t="str">
        <f aca="false">IF(OR($AE332="",$AF332="",$T332="",$AA332="",$F332=""),"",0.858*$AE332+0.601*$AF332+0.188*($T332-$I332/10)+0.161*($AA332-$R332/10)-0.131*$F332+4.5)</f>
        <v/>
      </c>
      <c r="AU332" s="35" t="str">
        <f aca="false">IF(OR($E332="",$F332=""),"",IF($F332/$E332^(1/3)&gt;=40.75,0.732*($F332/$E332^(1/3))-28.58,IF($F332/$E332^(1/3)&gt;=38.25,0.463*($F332/$E332^(1/3))-17.63,0.1)))</f>
        <v/>
      </c>
      <c r="AV332" s="37" t="str">
        <f aca="false">IF(OR($AS332="",$AT332="",$AU332=""),"",IF(AND($AT332&gt;=$AS332,$AT332&gt;=$AU332),"Mesomorfo dominante",IF(AND($AU332&gt;=$AS332,$AU332&gt;=$AT332),"Ectomorfo dominante","Endomorfo dominante")))</f>
        <v/>
      </c>
    </row>
    <row r="333" customFormat="false" ht="15" hidden="false" customHeight="false" outlineLevel="0" collapsed="false">
      <c r="A333" s="29"/>
      <c r="B333" s="27"/>
      <c r="C333" s="28"/>
      <c r="D333" s="27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3" t="str">
        <f aca="false">IFERROR(DATEDIF(INDEX(Cadastro!$D$8:$D$47,MATCH($B333,Cadastro!$B$8:$B$47,0)),$A333,"Y"),"")</f>
        <v/>
      </c>
      <c r="AH333" s="33" t="str">
        <f aca="false">IF(COUNT($I333,$K333,$J333,$N333)&lt;4,"",$I333+$K333+$J333+$N333)</f>
        <v/>
      </c>
      <c r="AI333" s="33" t="str">
        <f aca="false">IF(COUNT($L333,$M333,$I333,$J333,$P333,$N333,$Q333)&lt;7,"",$L333+$M333+$I333+$J333+$P333+$N333+$Q333)</f>
        <v/>
      </c>
      <c r="AJ333" s="33" t="str">
        <f aca="false">IF(COUNT($I333,$J333,$K333,$O333,$P333,$Q333,$R333,$N333)&lt;8,"",$I333+$J333+$K333+$O333+$P333+$Q333+$R333+$N333)</f>
        <v/>
      </c>
      <c r="AK333" s="34" t="str">
        <f aca="false">IF(OR($AI333="",$AG333=""),"",IF(IFERROR(INDEX(Cadastro!$F$8:$F$47,MATCH($B333,Cadastro!$B$8:$B$47,0)),"")="Feminino",1.097-0.00046971*$AI333+0.00000056*$AI333^2-0.00012828*$AG333,1.112-0.00043499*$AI333+0.00000055*$AI333^2-0.00028826*$AG333))</f>
        <v/>
      </c>
      <c r="AL333" s="30" t="str">
        <f aca="false">IF(OR($AK333="",$AK333=0),"",495/$AK333-450)</f>
        <v/>
      </c>
      <c r="AM333" s="35" t="str">
        <f aca="false">IF(OR($AL333="",$E333=""),"",$E333*$AL333/100)</f>
        <v/>
      </c>
      <c r="AN333" s="30" t="str">
        <f aca="false">IF(OR($AM333="",$E333=""),"",$E333-$AM333)</f>
        <v/>
      </c>
      <c r="AO333" s="35" t="str">
        <f aca="false">IFERROR($E333/($F333/100)^2,"")</f>
        <v/>
      </c>
      <c r="AP333" s="35" t="str">
        <f aca="false">IFERROR($G333/$F333*100,"")</f>
        <v/>
      </c>
      <c r="AQ333" s="36" t="str">
        <f aca="false">IFERROR($W333/$F333,"")</f>
        <v/>
      </c>
      <c r="AR333" s="35" t="str">
        <f aca="false">IF(OR($S333="",$I333=""),"",($S333-PI()*$I333/10)^2/(4*PI())-IF(IFERROR(INDEX(Cadastro!$F$8:$F$47,MATCH($B333,Cadastro!$B$8:$B$47,0)),"")="Feminino",6.5,10))</f>
        <v/>
      </c>
      <c r="AS333" s="35" t="str">
        <f aca="false">IF(OR($I333="",$J333="",$O333="",$F333=""),"",-0.7182+0.1451*(($I333+$J333+$O333)*(170.18/$F333))-0.00068*(($I333+$J333+$O333)*(170.18/$F333))^2+0.0000014*(($I333+$J333+$O333)*(170.18/$F333))^3)</f>
        <v/>
      </c>
      <c r="AT333" s="35" t="str">
        <f aca="false">IF(OR($AE333="",$AF333="",$T333="",$AA333="",$F333=""),"",0.858*$AE333+0.601*$AF333+0.188*($T333-$I333/10)+0.161*($AA333-$R333/10)-0.131*$F333+4.5)</f>
        <v/>
      </c>
      <c r="AU333" s="35" t="str">
        <f aca="false">IF(OR($E333="",$F333=""),"",IF($F333/$E333^(1/3)&gt;=40.75,0.732*($F333/$E333^(1/3))-28.58,IF($F333/$E333^(1/3)&gt;=38.25,0.463*($F333/$E333^(1/3))-17.63,0.1)))</f>
        <v/>
      </c>
      <c r="AV333" s="37" t="str">
        <f aca="false">IF(OR($AS333="",$AT333="",$AU333=""),"",IF(AND($AT333&gt;=$AS333,$AT333&gt;=$AU333),"Mesomorfo dominante",IF(AND($AU333&gt;=$AS333,$AU333&gt;=$AT333),"Ectomorfo dominante","Endomorfo dominante")))</f>
        <v/>
      </c>
    </row>
    <row r="334" customFormat="false" ht="15" hidden="false" customHeight="false" outlineLevel="0" collapsed="false">
      <c r="A334" s="29"/>
      <c r="B334" s="27"/>
      <c r="C334" s="28"/>
      <c r="D334" s="27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3" t="str">
        <f aca="false">IFERROR(DATEDIF(INDEX(Cadastro!$D$8:$D$47,MATCH($B334,Cadastro!$B$8:$B$47,0)),$A334,"Y"),"")</f>
        <v/>
      </c>
      <c r="AH334" s="33" t="str">
        <f aca="false">IF(COUNT($I334,$K334,$J334,$N334)&lt;4,"",$I334+$K334+$J334+$N334)</f>
        <v/>
      </c>
      <c r="AI334" s="33" t="str">
        <f aca="false">IF(COUNT($L334,$M334,$I334,$J334,$P334,$N334,$Q334)&lt;7,"",$L334+$M334+$I334+$J334+$P334+$N334+$Q334)</f>
        <v/>
      </c>
      <c r="AJ334" s="33" t="str">
        <f aca="false">IF(COUNT($I334,$J334,$K334,$O334,$P334,$Q334,$R334,$N334)&lt;8,"",$I334+$J334+$K334+$O334+$P334+$Q334+$R334+$N334)</f>
        <v/>
      </c>
      <c r="AK334" s="34" t="str">
        <f aca="false">IF(OR($AI334="",$AG334=""),"",IF(IFERROR(INDEX(Cadastro!$F$8:$F$47,MATCH($B334,Cadastro!$B$8:$B$47,0)),"")="Feminino",1.097-0.00046971*$AI334+0.00000056*$AI334^2-0.00012828*$AG334,1.112-0.00043499*$AI334+0.00000055*$AI334^2-0.00028826*$AG334))</f>
        <v/>
      </c>
      <c r="AL334" s="30" t="str">
        <f aca="false">IF(OR($AK334="",$AK334=0),"",495/$AK334-450)</f>
        <v/>
      </c>
      <c r="AM334" s="35" t="str">
        <f aca="false">IF(OR($AL334="",$E334=""),"",$E334*$AL334/100)</f>
        <v/>
      </c>
      <c r="AN334" s="30" t="str">
        <f aca="false">IF(OR($AM334="",$E334=""),"",$E334-$AM334)</f>
        <v/>
      </c>
      <c r="AO334" s="35" t="str">
        <f aca="false">IFERROR($E334/($F334/100)^2,"")</f>
        <v/>
      </c>
      <c r="AP334" s="35" t="str">
        <f aca="false">IFERROR($G334/$F334*100,"")</f>
        <v/>
      </c>
      <c r="AQ334" s="36" t="str">
        <f aca="false">IFERROR($W334/$F334,"")</f>
        <v/>
      </c>
      <c r="AR334" s="35" t="str">
        <f aca="false">IF(OR($S334="",$I334=""),"",($S334-PI()*$I334/10)^2/(4*PI())-IF(IFERROR(INDEX(Cadastro!$F$8:$F$47,MATCH($B334,Cadastro!$B$8:$B$47,0)),"")="Feminino",6.5,10))</f>
        <v/>
      </c>
      <c r="AS334" s="35" t="str">
        <f aca="false">IF(OR($I334="",$J334="",$O334="",$F334=""),"",-0.7182+0.1451*(($I334+$J334+$O334)*(170.18/$F334))-0.00068*(($I334+$J334+$O334)*(170.18/$F334))^2+0.0000014*(($I334+$J334+$O334)*(170.18/$F334))^3)</f>
        <v/>
      </c>
      <c r="AT334" s="35" t="str">
        <f aca="false">IF(OR($AE334="",$AF334="",$T334="",$AA334="",$F334=""),"",0.858*$AE334+0.601*$AF334+0.188*($T334-$I334/10)+0.161*($AA334-$R334/10)-0.131*$F334+4.5)</f>
        <v/>
      </c>
      <c r="AU334" s="35" t="str">
        <f aca="false">IF(OR($E334="",$F334=""),"",IF($F334/$E334^(1/3)&gt;=40.75,0.732*($F334/$E334^(1/3))-28.58,IF($F334/$E334^(1/3)&gt;=38.25,0.463*($F334/$E334^(1/3))-17.63,0.1)))</f>
        <v/>
      </c>
      <c r="AV334" s="37" t="str">
        <f aca="false">IF(OR($AS334="",$AT334="",$AU334=""),"",IF(AND($AT334&gt;=$AS334,$AT334&gt;=$AU334),"Mesomorfo dominante",IF(AND($AU334&gt;=$AS334,$AU334&gt;=$AT334),"Ectomorfo dominante","Endomorfo dominante")))</f>
        <v/>
      </c>
    </row>
    <row r="335" customFormat="false" ht="15" hidden="false" customHeight="false" outlineLevel="0" collapsed="false">
      <c r="A335" s="29"/>
      <c r="B335" s="27"/>
      <c r="C335" s="28"/>
      <c r="D335" s="27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3" t="str">
        <f aca="false">IFERROR(DATEDIF(INDEX(Cadastro!$D$8:$D$47,MATCH($B335,Cadastro!$B$8:$B$47,0)),$A335,"Y"),"")</f>
        <v/>
      </c>
      <c r="AH335" s="33" t="str">
        <f aca="false">IF(COUNT($I335,$K335,$J335,$N335)&lt;4,"",$I335+$K335+$J335+$N335)</f>
        <v/>
      </c>
      <c r="AI335" s="33" t="str">
        <f aca="false">IF(COUNT($L335,$M335,$I335,$J335,$P335,$N335,$Q335)&lt;7,"",$L335+$M335+$I335+$J335+$P335+$N335+$Q335)</f>
        <v/>
      </c>
      <c r="AJ335" s="33" t="str">
        <f aca="false">IF(COUNT($I335,$J335,$K335,$O335,$P335,$Q335,$R335,$N335)&lt;8,"",$I335+$J335+$K335+$O335+$P335+$Q335+$R335+$N335)</f>
        <v/>
      </c>
      <c r="AK335" s="34" t="str">
        <f aca="false">IF(OR($AI335="",$AG335=""),"",IF(IFERROR(INDEX(Cadastro!$F$8:$F$47,MATCH($B335,Cadastro!$B$8:$B$47,0)),"")="Feminino",1.097-0.00046971*$AI335+0.00000056*$AI335^2-0.00012828*$AG335,1.112-0.00043499*$AI335+0.00000055*$AI335^2-0.00028826*$AG335))</f>
        <v/>
      </c>
      <c r="AL335" s="30" t="str">
        <f aca="false">IF(OR($AK335="",$AK335=0),"",495/$AK335-450)</f>
        <v/>
      </c>
      <c r="AM335" s="35" t="str">
        <f aca="false">IF(OR($AL335="",$E335=""),"",$E335*$AL335/100)</f>
        <v/>
      </c>
      <c r="AN335" s="30" t="str">
        <f aca="false">IF(OR($AM335="",$E335=""),"",$E335-$AM335)</f>
        <v/>
      </c>
      <c r="AO335" s="35" t="str">
        <f aca="false">IFERROR($E335/($F335/100)^2,"")</f>
        <v/>
      </c>
      <c r="AP335" s="35" t="str">
        <f aca="false">IFERROR($G335/$F335*100,"")</f>
        <v/>
      </c>
      <c r="AQ335" s="36" t="str">
        <f aca="false">IFERROR($W335/$F335,"")</f>
        <v/>
      </c>
      <c r="AR335" s="35" t="str">
        <f aca="false">IF(OR($S335="",$I335=""),"",($S335-PI()*$I335/10)^2/(4*PI())-IF(IFERROR(INDEX(Cadastro!$F$8:$F$47,MATCH($B335,Cadastro!$B$8:$B$47,0)),"")="Feminino",6.5,10))</f>
        <v/>
      </c>
      <c r="AS335" s="35" t="str">
        <f aca="false">IF(OR($I335="",$J335="",$O335="",$F335=""),"",-0.7182+0.1451*(($I335+$J335+$O335)*(170.18/$F335))-0.00068*(($I335+$J335+$O335)*(170.18/$F335))^2+0.0000014*(($I335+$J335+$O335)*(170.18/$F335))^3)</f>
        <v/>
      </c>
      <c r="AT335" s="35" t="str">
        <f aca="false">IF(OR($AE335="",$AF335="",$T335="",$AA335="",$F335=""),"",0.858*$AE335+0.601*$AF335+0.188*($T335-$I335/10)+0.161*($AA335-$R335/10)-0.131*$F335+4.5)</f>
        <v/>
      </c>
      <c r="AU335" s="35" t="str">
        <f aca="false">IF(OR($E335="",$F335=""),"",IF($F335/$E335^(1/3)&gt;=40.75,0.732*($F335/$E335^(1/3))-28.58,IF($F335/$E335^(1/3)&gt;=38.25,0.463*($F335/$E335^(1/3))-17.63,0.1)))</f>
        <v/>
      </c>
      <c r="AV335" s="37" t="str">
        <f aca="false">IF(OR($AS335="",$AT335="",$AU335=""),"",IF(AND($AT335&gt;=$AS335,$AT335&gt;=$AU335),"Mesomorfo dominante",IF(AND($AU335&gt;=$AS335,$AU335&gt;=$AT335),"Ectomorfo dominante","Endomorfo dominante")))</f>
        <v/>
      </c>
    </row>
    <row r="336" customFormat="false" ht="15" hidden="false" customHeight="false" outlineLevel="0" collapsed="false">
      <c r="A336" s="29"/>
      <c r="B336" s="27"/>
      <c r="C336" s="28"/>
      <c r="D336" s="27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3" t="str">
        <f aca="false">IFERROR(DATEDIF(INDEX(Cadastro!$D$8:$D$47,MATCH($B336,Cadastro!$B$8:$B$47,0)),$A336,"Y"),"")</f>
        <v/>
      </c>
      <c r="AH336" s="33" t="str">
        <f aca="false">IF(COUNT($I336,$K336,$J336,$N336)&lt;4,"",$I336+$K336+$J336+$N336)</f>
        <v/>
      </c>
      <c r="AI336" s="33" t="str">
        <f aca="false">IF(COUNT($L336,$M336,$I336,$J336,$P336,$N336,$Q336)&lt;7,"",$L336+$M336+$I336+$J336+$P336+$N336+$Q336)</f>
        <v/>
      </c>
      <c r="AJ336" s="33" t="str">
        <f aca="false">IF(COUNT($I336,$J336,$K336,$O336,$P336,$Q336,$R336,$N336)&lt;8,"",$I336+$J336+$K336+$O336+$P336+$Q336+$R336+$N336)</f>
        <v/>
      </c>
      <c r="AK336" s="34" t="str">
        <f aca="false">IF(OR($AI336="",$AG336=""),"",IF(IFERROR(INDEX(Cadastro!$F$8:$F$47,MATCH($B336,Cadastro!$B$8:$B$47,0)),"")="Feminino",1.097-0.00046971*$AI336+0.00000056*$AI336^2-0.00012828*$AG336,1.112-0.00043499*$AI336+0.00000055*$AI336^2-0.00028826*$AG336))</f>
        <v/>
      </c>
      <c r="AL336" s="30" t="str">
        <f aca="false">IF(OR($AK336="",$AK336=0),"",495/$AK336-450)</f>
        <v/>
      </c>
      <c r="AM336" s="35" t="str">
        <f aca="false">IF(OR($AL336="",$E336=""),"",$E336*$AL336/100)</f>
        <v/>
      </c>
      <c r="AN336" s="30" t="str">
        <f aca="false">IF(OR($AM336="",$E336=""),"",$E336-$AM336)</f>
        <v/>
      </c>
      <c r="AO336" s="35" t="str">
        <f aca="false">IFERROR($E336/($F336/100)^2,"")</f>
        <v/>
      </c>
      <c r="AP336" s="35" t="str">
        <f aca="false">IFERROR($G336/$F336*100,"")</f>
        <v/>
      </c>
      <c r="AQ336" s="36" t="str">
        <f aca="false">IFERROR($W336/$F336,"")</f>
        <v/>
      </c>
      <c r="AR336" s="35" t="str">
        <f aca="false">IF(OR($S336="",$I336=""),"",($S336-PI()*$I336/10)^2/(4*PI())-IF(IFERROR(INDEX(Cadastro!$F$8:$F$47,MATCH($B336,Cadastro!$B$8:$B$47,0)),"")="Feminino",6.5,10))</f>
        <v/>
      </c>
      <c r="AS336" s="35" t="str">
        <f aca="false">IF(OR($I336="",$J336="",$O336="",$F336=""),"",-0.7182+0.1451*(($I336+$J336+$O336)*(170.18/$F336))-0.00068*(($I336+$J336+$O336)*(170.18/$F336))^2+0.0000014*(($I336+$J336+$O336)*(170.18/$F336))^3)</f>
        <v/>
      </c>
      <c r="AT336" s="35" t="str">
        <f aca="false">IF(OR($AE336="",$AF336="",$T336="",$AA336="",$F336=""),"",0.858*$AE336+0.601*$AF336+0.188*($T336-$I336/10)+0.161*($AA336-$R336/10)-0.131*$F336+4.5)</f>
        <v/>
      </c>
      <c r="AU336" s="35" t="str">
        <f aca="false">IF(OR($E336="",$F336=""),"",IF($F336/$E336^(1/3)&gt;=40.75,0.732*($F336/$E336^(1/3))-28.58,IF($F336/$E336^(1/3)&gt;=38.25,0.463*($F336/$E336^(1/3))-17.63,0.1)))</f>
        <v/>
      </c>
      <c r="AV336" s="37" t="str">
        <f aca="false">IF(OR($AS336="",$AT336="",$AU336=""),"",IF(AND($AT336&gt;=$AS336,$AT336&gt;=$AU336),"Mesomorfo dominante",IF(AND($AU336&gt;=$AS336,$AU336&gt;=$AT336),"Ectomorfo dominante","Endomorfo dominante")))</f>
        <v/>
      </c>
    </row>
    <row r="337" customFormat="false" ht="15" hidden="false" customHeight="false" outlineLevel="0" collapsed="false">
      <c r="A337" s="29"/>
      <c r="B337" s="27"/>
      <c r="C337" s="28"/>
      <c r="D337" s="27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3" t="str">
        <f aca="false">IFERROR(DATEDIF(INDEX(Cadastro!$D$8:$D$47,MATCH($B337,Cadastro!$B$8:$B$47,0)),$A337,"Y"),"")</f>
        <v/>
      </c>
      <c r="AH337" s="33" t="str">
        <f aca="false">IF(COUNT($I337,$K337,$J337,$N337)&lt;4,"",$I337+$K337+$J337+$N337)</f>
        <v/>
      </c>
      <c r="AI337" s="33" t="str">
        <f aca="false">IF(COUNT($L337,$M337,$I337,$J337,$P337,$N337,$Q337)&lt;7,"",$L337+$M337+$I337+$J337+$P337+$N337+$Q337)</f>
        <v/>
      </c>
      <c r="AJ337" s="33" t="str">
        <f aca="false">IF(COUNT($I337,$J337,$K337,$O337,$P337,$Q337,$R337,$N337)&lt;8,"",$I337+$J337+$K337+$O337+$P337+$Q337+$R337+$N337)</f>
        <v/>
      </c>
      <c r="AK337" s="34" t="str">
        <f aca="false">IF(OR($AI337="",$AG337=""),"",IF(IFERROR(INDEX(Cadastro!$F$8:$F$47,MATCH($B337,Cadastro!$B$8:$B$47,0)),"")="Feminino",1.097-0.00046971*$AI337+0.00000056*$AI337^2-0.00012828*$AG337,1.112-0.00043499*$AI337+0.00000055*$AI337^2-0.00028826*$AG337))</f>
        <v/>
      </c>
      <c r="AL337" s="30" t="str">
        <f aca="false">IF(OR($AK337="",$AK337=0),"",495/$AK337-450)</f>
        <v/>
      </c>
      <c r="AM337" s="35" t="str">
        <f aca="false">IF(OR($AL337="",$E337=""),"",$E337*$AL337/100)</f>
        <v/>
      </c>
      <c r="AN337" s="30" t="str">
        <f aca="false">IF(OR($AM337="",$E337=""),"",$E337-$AM337)</f>
        <v/>
      </c>
      <c r="AO337" s="35" t="str">
        <f aca="false">IFERROR($E337/($F337/100)^2,"")</f>
        <v/>
      </c>
      <c r="AP337" s="35" t="str">
        <f aca="false">IFERROR($G337/$F337*100,"")</f>
        <v/>
      </c>
      <c r="AQ337" s="36" t="str">
        <f aca="false">IFERROR($W337/$F337,"")</f>
        <v/>
      </c>
      <c r="AR337" s="35" t="str">
        <f aca="false">IF(OR($S337="",$I337=""),"",($S337-PI()*$I337/10)^2/(4*PI())-IF(IFERROR(INDEX(Cadastro!$F$8:$F$47,MATCH($B337,Cadastro!$B$8:$B$47,0)),"")="Feminino",6.5,10))</f>
        <v/>
      </c>
      <c r="AS337" s="35" t="str">
        <f aca="false">IF(OR($I337="",$J337="",$O337="",$F337=""),"",-0.7182+0.1451*(($I337+$J337+$O337)*(170.18/$F337))-0.00068*(($I337+$J337+$O337)*(170.18/$F337))^2+0.0000014*(($I337+$J337+$O337)*(170.18/$F337))^3)</f>
        <v/>
      </c>
      <c r="AT337" s="35" t="str">
        <f aca="false">IF(OR($AE337="",$AF337="",$T337="",$AA337="",$F337=""),"",0.858*$AE337+0.601*$AF337+0.188*($T337-$I337/10)+0.161*($AA337-$R337/10)-0.131*$F337+4.5)</f>
        <v/>
      </c>
      <c r="AU337" s="35" t="str">
        <f aca="false">IF(OR($E337="",$F337=""),"",IF($F337/$E337^(1/3)&gt;=40.75,0.732*($F337/$E337^(1/3))-28.58,IF($F337/$E337^(1/3)&gt;=38.25,0.463*($F337/$E337^(1/3))-17.63,0.1)))</f>
        <v/>
      </c>
      <c r="AV337" s="37" t="str">
        <f aca="false">IF(OR($AS337="",$AT337="",$AU337=""),"",IF(AND($AT337&gt;=$AS337,$AT337&gt;=$AU337),"Mesomorfo dominante",IF(AND($AU337&gt;=$AS337,$AU337&gt;=$AT337),"Ectomorfo dominante","Endomorfo dominante")))</f>
        <v/>
      </c>
    </row>
    <row r="338" customFormat="false" ht="15" hidden="false" customHeight="false" outlineLevel="0" collapsed="false">
      <c r="A338" s="29"/>
      <c r="B338" s="27"/>
      <c r="C338" s="28"/>
      <c r="D338" s="27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3" t="str">
        <f aca="false">IFERROR(DATEDIF(INDEX(Cadastro!$D$8:$D$47,MATCH($B338,Cadastro!$B$8:$B$47,0)),$A338,"Y"),"")</f>
        <v/>
      </c>
      <c r="AH338" s="33" t="str">
        <f aca="false">IF(COUNT($I338,$K338,$J338,$N338)&lt;4,"",$I338+$K338+$J338+$N338)</f>
        <v/>
      </c>
      <c r="AI338" s="33" t="str">
        <f aca="false">IF(COUNT($L338,$M338,$I338,$J338,$P338,$N338,$Q338)&lt;7,"",$L338+$M338+$I338+$J338+$P338+$N338+$Q338)</f>
        <v/>
      </c>
      <c r="AJ338" s="33" t="str">
        <f aca="false">IF(COUNT($I338,$J338,$K338,$O338,$P338,$Q338,$R338,$N338)&lt;8,"",$I338+$J338+$K338+$O338+$P338+$Q338+$R338+$N338)</f>
        <v/>
      </c>
      <c r="AK338" s="34" t="str">
        <f aca="false">IF(OR($AI338="",$AG338=""),"",IF(IFERROR(INDEX(Cadastro!$F$8:$F$47,MATCH($B338,Cadastro!$B$8:$B$47,0)),"")="Feminino",1.097-0.00046971*$AI338+0.00000056*$AI338^2-0.00012828*$AG338,1.112-0.00043499*$AI338+0.00000055*$AI338^2-0.00028826*$AG338))</f>
        <v/>
      </c>
      <c r="AL338" s="30" t="str">
        <f aca="false">IF(OR($AK338="",$AK338=0),"",495/$AK338-450)</f>
        <v/>
      </c>
      <c r="AM338" s="35" t="str">
        <f aca="false">IF(OR($AL338="",$E338=""),"",$E338*$AL338/100)</f>
        <v/>
      </c>
      <c r="AN338" s="30" t="str">
        <f aca="false">IF(OR($AM338="",$E338=""),"",$E338-$AM338)</f>
        <v/>
      </c>
      <c r="AO338" s="35" t="str">
        <f aca="false">IFERROR($E338/($F338/100)^2,"")</f>
        <v/>
      </c>
      <c r="AP338" s="35" t="str">
        <f aca="false">IFERROR($G338/$F338*100,"")</f>
        <v/>
      </c>
      <c r="AQ338" s="36" t="str">
        <f aca="false">IFERROR($W338/$F338,"")</f>
        <v/>
      </c>
      <c r="AR338" s="35" t="str">
        <f aca="false">IF(OR($S338="",$I338=""),"",($S338-PI()*$I338/10)^2/(4*PI())-IF(IFERROR(INDEX(Cadastro!$F$8:$F$47,MATCH($B338,Cadastro!$B$8:$B$47,0)),"")="Feminino",6.5,10))</f>
        <v/>
      </c>
      <c r="AS338" s="35" t="str">
        <f aca="false">IF(OR($I338="",$J338="",$O338="",$F338=""),"",-0.7182+0.1451*(($I338+$J338+$O338)*(170.18/$F338))-0.00068*(($I338+$J338+$O338)*(170.18/$F338))^2+0.0000014*(($I338+$J338+$O338)*(170.18/$F338))^3)</f>
        <v/>
      </c>
      <c r="AT338" s="35" t="str">
        <f aca="false">IF(OR($AE338="",$AF338="",$T338="",$AA338="",$F338=""),"",0.858*$AE338+0.601*$AF338+0.188*($T338-$I338/10)+0.161*($AA338-$R338/10)-0.131*$F338+4.5)</f>
        <v/>
      </c>
      <c r="AU338" s="35" t="str">
        <f aca="false">IF(OR($E338="",$F338=""),"",IF($F338/$E338^(1/3)&gt;=40.75,0.732*($F338/$E338^(1/3))-28.58,IF($F338/$E338^(1/3)&gt;=38.25,0.463*($F338/$E338^(1/3))-17.63,0.1)))</f>
        <v/>
      </c>
      <c r="AV338" s="37" t="str">
        <f aca="false">IF(OR($AS338="",$AT338="",$AU338=""),"",IF(AND($AT338&gt;=$AS338,$AT338&gt;=$AU338),"Mesomorfo dominante",IF(AND($AU338&gt;=$AS338,$AU338&gt;=$AT338),"Ectomorfo dominante","Endomorfo dominante")))</f>
        <v/>
      </c>
    </row>
    <row r="339" customFormat="false" ht="15" hidden="false" customHeight="false" outlineLevel="0" collapsed="false">
      <c r="A339" s="29"/>
      <c r="B339" s="27"/>
      <c r="C339" s="28"/>
      <c r="D339" s="27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3" t="str">
        <f aca="false">IFERROR(DATEDIF(INDEX(Cadastro!$D$8:$D$47,MATCH($B339,Cadastro!$B$8:$B$47,0)),$A339,"Y"),"")</f>
        <v/>
      </c>
      <c r="AH339" s="33" t="str">
        <f aca="false">IF(COUNT($I339,$K339,$J339,$N339)&lt;4,"",$I339+$K339+$J339+$N339)</f>
        <v/>
      </c>
      <c r="AI339" s="33" t="str">
        <f aca="false">IF(COUNT($L339,$M339,$I339,$J339,$P339,$N339,$Q339)&lt;7,"",$L339+$M339+$I339+$J339+$P339+$N339+$Q339)</f>
        <v/>
      </c>
      <c r="AJ339" s="33" t="str">
        <f aca="false">IF(COUNT($I339,$J339,$K339,$O339,$P339,$Q339,$R339,$N339)&lt;8,"",$I339+$J339+$K339+$O339+$P339+$Q339+$R339+$N339)</f>
        <v/>
      </c>
      <c r="AK339" s="34" t="str">
        <f aca="false">IF(OR($AI339="",$AG339=""),"",IF(IFERROR(INDEX(Cadastro!$F$8:$F$47,MATCH($B339,Cadastro!$B$8:$B$47,0)),"")="Feminino",1.097-0.00046971*$AI339+0.00000056*$AI339^2-0.00012828*$AG339,1.112-0.00043499*$AI339+0.00000055*$AI339^2-0.00028826*$AG339))</f>
        <v/>
      </c>
      <c r="AL339" s="30" t="str">
        <f aca="false">IF(OR($AK339="",$AK339=0),"",495/$AK339-450)</f>
        <v/>
      </c>
      <c r="AM339" s="35" t="str">
        <f aca="false">IF(OR($AL339="",$E339=""),"",$E339*$AL339/100)</f>
        <v/>
      </c>
      <c r="AN339" s="30" t="str">
        <f aca="false">IF(OR($AM339="",$E339=""),"",$E339-$AM339)</f>
        <v/>
      </c>
      <c r="AO339" s="35" t="str">
        <f aca="false">IFERROR($E339/($F339/100)^2,"")</f>
        <v/>
      </c>
      <c r="AP339" s="35" t="str">
        <f aca="false">IFERROR($G339/$F339*100,"")</f>
        <v/>
      </c>
      <c r="AQ339" s="36" t="str">
        <f aca="false">IFERROR($W339/$F339,"")</f>
        <v/>
      </c>
      <c r="AR339" s="35" t="str">
        <f aca="false">IF(OR($S339="",$I339=""),"",($S339-PI()*$I339/10)^2/(4*PI())-IF(IFERROR(INDEX(Cadastro!$F$8:$F$47,MATCH($B339,Cadastro!$B$8:$B$47,0)),"")="Feminino",6.5,10))</f>
        <v/>
      </c>
      <c r="AS339" s="35" t="str">
        <f aca="false">IF(OR($I339="",$J339="",$O339="",$F339=""),"",-0.7182+0.1451*(($I339+$J339+$O339)*(170.18/$F339))-0.00068*(($I339+$J339+$O339)*(170.18/$F339))^2+0.0000014*(($I339+$J339+$O339)*(170.18/$F339))^3)</f>
        <v/>
      </c>
      <c r="AT339" s="35" t="str">
        <f aca="false">IF(OR($AE339="",$AF339="",$T339="",$AA339="",$F339=""),"",0.858*$AE339+0.601*$AF339+0.188*($T339-$I339/10)+0.161*($AA339-$R339/10)-0.131*$F339+4.5)</f>
        <v/>
      </c>
      <c r="AU339" s="35" t="str">
        <f aca="false">IF(OR($E339="",$F339=""),"",IF($F339/$E339^(1/3)&gt;=40.75,0.732*($F339/$E339^(1/3))-28.58,IF($F339/$E339^(1/3)&gt;=38.25,0.463*($F339/$E339^(1/3))-17.63,0.1)))</f>
        <v/>
      </c>
      <c r="AV339" s="37" t="str">
        <f aca="false">IF(OR($AS339="",$AT339="",$AU339=""),"",IF(AND($AT339&gt;=$AS339,$AT339&gt;=$AU339),"Mesomorfo dominante",IF(AND($AU339&gt;=$AS339,$AU339&gt;=$AT339),"Ectomorfo dominante","Endomorfo dominante")))</f>
        <v/>
      </c>
    </row>
    <row r="340" customFormat="false" ht="15" hidden="false" customHeight="false" outlineLevel="0" collapsed="false">
      <c r="A340" s="29"/>
      <c r="B340" s="27"/>
      <c r="C340" s="28"/>
      <c r="D340" s="27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3" t="str">
        <f aca="false">IFERROR(DATEDIF(INDEX(Cadastro!$D$8:$D$47,MATCH($B340,Cadastro!$B$8:$B$47,0)),$A340,"Y"),"")</f>
        <v/>
      </c>
      <c r="AH340" s="33" t="str">
        <f aca="false">IF(COUNT($I340,$K340,$J340,$N340)&lt;4,"",$I340+$K340+$J340+$N340)</f>
        <v/>
      </c>
      <c r="AI340" s="33" t="str">
        <f aca="false">IF(COUNT($L340,$M340,$I340,$J340,$P340,$N340,$Q340)&lt;7,"",$L340+$M340+$I340+$J340+$P340+$N340+$Q340)</f>
        <v/>
      </c>
      <c r="AJ340" s="33" t="str">
        <f aca="false">IF(COUNT($I340,$J340,$K340,$O340,$P340,$Q340,$R340,$N340)&lt;8,"",$I340+$J340+$K340+$O340+$P340+$Q340+$R340+$N340)</f>
        <v/>
      </c>
      <c r="AK340" s="34" t="str">
        <f aca="false">IF(OR($AI340="",$AG340=""),"",IF(IFERROR(INDEX(Cadastro!$F$8:$F$47,MATCH($B340,Cadastro!$B$8:$B$47,0)),"")="Feminino",1.097-0.00046971*$AI340+0.00000056*$AI340^2-0.00012828*$AG340,1.112-0.00043499*$AI340+0.00000055*$AI340^2-0.00028826*$AG340))</f>
        <v/>
      </c>
      <c r="AL340" s="30" t="str">
        <f aca="false">IF(OR($AK340="",$AK340=0),"",495/$AK340-450)</f>
        <v/>
      </c>
      <c r="AM340" s="35" t="str">
        <f aca="false">IF(OR($AL340="",$E340=""),"",$E340*$AL340/100)</f>
        <v/>
      </c>
      <c r="AN340" s="30" t="str">
        <f aca="false">IF(OR($AM340="",$E340=""),"",$E340-$AM340)</f>
        <v/>
      </c>
      <c r="AO340" s="35" t="str">
        <f aca="false">IFERROR($E340/($F340/100)^2,"")</f>
        <v/>
      </c>
      <c r="AP340" s="35" t="str">
        <f aca="false">IFERROR($G340/$F340*100,"")</f>
        <v/>
      </c>
      <c r="AQ340" s="36" t="str">
        <f aca="false">IFERROR($W340/$F340,"")</f>
        <v/>
      </c>
      <c r="AR340" s="35" t="str">
        <f aca="false">IF(OR($S340="",$I340=""),"",($S340-PI()*$I340/10)^2/(4*PI())-IF(IFERROR(INDEX(Cadastro!$F$8:$F$47,MATCH($B340,Cadastro!$B$8:$B$47,0)),"")="Feminino",6.5,10))</f>
        <v/>
      </c>
      <c r="AS340" s="35" t="str">
        <f aca="false">IF(OR($I340="",$J340="",$O340="",$F340=""),"",-0.7182+0.1451*(($I340+$J340+$O340)*(170.18/$F340))-0.00068*(($I340+$J340+$O340)*(170.18/$F340))^2+0.0000014*(($I340+$J340+$O340)*(170.18/$F340))^3)</f>
        <v/>
      </c>
      <c r="AT340" s="35" t="str">
        <f aca="false">IF(OR($AE340="",$AF340="",$T340="",$AA340="",$F340=""),"",0.858*$AE340+0.601*$AF340+0.188*($T340-$I340/10)+0.161*($AA340-$R340/10)-0.131*$F340+4.5)</f>
        <v/>
      </c>
      <c r="AU340" s="35" t="str">
        <f aca="false">IF(OR($E340="",$F340=""),"",IF($F340/$E340^(1/3)&gt;=40.75,0.732*($F340/$E340^(1/3))-28.58,IF($F340/$E340^(1/3)&gt;=38.25,0.463*($F340/$E340^(1/3))-17.63,0.1)))</f>
        <v/>
      </c>
      <c r="AV340" s="37" t="str">
        <f aca="false">IF(OR($AS340="",$AT340="",$AU340=""),"",IF(AND($AT340&gt;=$AS340,$AT340&gt;=$AU340),"Mesomorfo dominante",IF(AND($AU340&gt;=$AS340,$AU340&gt;=$AT340),"Ectomorfo dominante","Endomorfo dominante")))</f>
        <v/>
      </c>
    </row>
    <row r="341" customFormat="false" ht="15" hidden="false" customHeight="false" outlineLevel="0" collapsed="false">
      <c r="A341" s="29"/>
      <c r="B341" s="27"/>
      <c r="C341" s="28"/>
      <c r="D341" s="27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3" t="str">
        <f aca="false">IFERROR(DATEDIF(INDEX(Cadastro!$D$8:$D$47,MATCH($B341,Cadastro!$B$8:$B$47,0)),$A341,"Y"),"")</f>
        <v/>
      </c>
      <c r="AH341" s="33" t="str">
        <f aca="false">IF(COUNT($I341,$K341,$J341,$N341)&lt;4,"",$I341+$K341+$J341+$N341)</f>
        <v/>
      </c>
      <c r="AI341" s="33" t="str">
        <f aca="false">IF(COUNT($L341,$M341,$I341,$J341,$P341,$N341,$Q341)&lt;7,"",$L341+$M341+$I341+$J341+$P341+$N341+$Q341)</f>
        <v/>
      </c>
      <c r="AJ341" s="33" t="str">
        <f aca="false">IF(COUNT($I341,$J341,$K341,$O341,$P341,$Q341,$R341,$N341)&lt;8,"",$I341+$J341+$K341+$O341+$P341+$Q341+$R341+$N341)</f>
        <v/>
      </c>
      <c r="AK341" s="34" t="str">
        <f aca="false">IF(OR($AI341="",$AG341=""),"",IF(IFERROR(INDEX(Cadastro!$F$8:$F$47,MATCH($B341,Cadastro!$B$8:$B$47,0)),"")="Feminino",1.097-0.00046971*$AI341+0.00000056*$AI341^2-0.00012828*$AG341,1.112-0.00043499*$AI341+0.00000055*$AI341^2-0.00028826*$AG341))</f>
        <v/>
      </c>
      <c r="AL341" s="30" t="str">
        <f aca="false">IF(OR($AK341="",$AK341=0),"",495/$AK341-450)</f>
        <v/>
      </c>
      <c r="AM341" s="35" t="str">
        <f aca="false">IF(OR($AL341="",$E341=""),"",$E341*$AL341/100)</f>
        <v/>
      </c>
      <c r="AN341" s="30" t="str">
        <f aca="false">IF(OR($AM341="",$E341=""),"",$E341-$AM341)</f>
        <v/>
      </c>
      <c r="AO341" s="35" t="str">
        <f aca="false">IFERROR($E341/($F341/100)^2,"")</f>
        <v/>
      </c>
      <c r="AP341" s="35" t="str">
        <f aca="false">IFERROR($G341/$F341*100,"")</f>
        <v/>
      </c>
      <c r="AQ341" s="36" t="str">
        <f aca="false">IFERROR($W341/$F341,"")</f>
        <v/>
      </c>
      <c r="AR341" s="35" t="str">
        <f aca="false">IF(OR($S341="",$I341=""),"",($S341-PI()*$I341/10)^2/(4*PI())-IF(IFERROR(INDEX(Cadastro!$F$8:$F$47,MATCH($B341,Cadastro!$B$8:$B$47,0)),"")="Feminino",6.5,10))</f>
        <v/>
      </c>
      <c r="AS341" s="35" t="str">
        <f aca="false">IF(OR($I341="",$J341="",$O341="",$F341=""),"",-0.7182+0.1451*(($I341+$J341+$O341)*(170.18/$F341))-0.00068*(($I341+$J341+$O341)*(170.18/$F341))^2+0.0000014*(($I341+$J341+$O341)*(170.18/$F341))^3)</f>
        <v/>
      </c>
      <c r="AT341" s="35" t="str">
        <f aca="false">IF(OR($AE341="",$AF341="",$T341="",$AA341="",$F341=""),"",0.858*$AE341+0.601*$AF341+0.188*($T341-$I341/10)+0.161*($AA341-$R341/10)-0.131*$F341+4.5)</f>
        <v/>
      </c>
      <c r="AU341" s="35" t="str">
        <f aca="false">IF(OR($E341="",$F341=""),"",IF($F341/$E341^(1/3)&gt;=40.75,0.732*($F341/$E341^(1/3))-28.58,IF($F341/$E341^(1/3)&gt;=38.25,0.463*($F341/$E341^(1/3))-17.63,0.1)))</f>
        <v/>
      </c>
      <c r="AV341" s="37" t="str">
        <f aca="false">IF(OR($AS341="",$AT341="",$AU341=""),"",IF(AND($AT341&gt;=$AS341,$AT341&gt;=$AU341),"Mesomorfo dominante",IF(AND($AU341&gt;=$AS341,$AU341&gt;=$AT341),"Ectomorfo dominante","Endomorfo dominante")))</f>
        <v/>
      </c>
    </row>
    <row r="342" customFormat="false" ht="15" hidden="false" customHeight="false" outlineLevel="0" collapsed="false">
      <c r="A342" s="29"/>
      <c r="B342" s="27"/>
      <c r="C342" s="28"/>
      <c r="D342" s="27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3" t="str">
        <f aca="false">IFERROR(DATEDIF(INDEX(Cadastro!$D$8:$D$47,MATCH($B342,Cadastro!$B$8:$B$47,0)),$A342,"Y"),"")</f>
        <v/>
      </c>
      <c r="AH342" s="33" t="str">
        <f aca="false">IF(COUNT($I342,$K342,$J342,$N342)&lt;4,"",$I342+$K342+$J342+$N342)</f>
        <v/>
      </c>
      <c r="AI342" s="33" t="str">
        <f aca="false">IF(COUNT($L342,$M342,$I342,$J342,$P342,$N342,$Q342)&lt;7,"",$L342+$M342+$I342+$J342+$P342+$N342+$Q342)</f>
        <v/>
      </c>
      <c r="AJ342" s="33" t="str">
        <f aca="false">IF(COUNT($I342,$J342,$K342,$O342,$P342,$Q342,$R342,$N342)&lt;8,"",$I342+$J342+$K342+$O342+$P342+$Q342+$R342+$N342)</f>
        <v/>
      </c>
      <c r="AK342" s="34" t="str">
        <f aca="false">IF(OR($AI342="",$AG342=""),"",IF(IFERROR(INDEX(Cadastro!$F$8:$F$47,MATCH($B342,Cadastro!$B$8:$B$47,0)),"")="Feminino",1.097-0.00046971*$AI342+0.00000056*$AI342^2-0.00012828*$AG342,1.112-0.00043499*$AI342+0.00000055*$AI342^2-0.00028826*$AG342))</f>
        <v/>
      </c>
      <c r="AL342" s="30" t="str">
        <f aca="false">IF(OR($AK342="",$AK342=0),"",495/$AK342-450)</f>
        <v/>
      </c>
      <c r="AM342" s="35" t="str">
        <f aca="false">IF(OR($AL342="",$E342=""),"",$E342*$AL342/100)</f>
        <v/>
      </c>
      <c r="AN342" s="30" t="str">
        <f aca="false">IF(OR($AM342="",$E342=""),"",$E342-$AM342)</f>
        <v/>
      </c>
      <c r="AO342" s="35" t="str">
        <f aca="false">IFERROR($E342/($F342/100)^2,"")</f>
        <v/>
      </c>
      <c r="AP342" s="35" t="str">
        <f aca="false">IFERROR($G342/$F342*100,"")</f>
        <v/>
      </c>
      <c r="AQ342" s="36" t="str">
        <f aca="false">IFERROR($W342/$F342,"")</f>
        <v/>
      </c>
      <c r="AR342" s="35" t="str">
        <f aca="false">IF(OR($S342="",$I342=""),"",($S342-PI()*$I342/10)^2/(4*PI())-IF(IFERROR(INDEX(Cadastro!$F$8:$F$47,MATCH($B342,Cadastro!$B$8:$B$47,0)),"")="Feminino",6.5,10))</f>
        <v/>
      </c>
      <c r="AS342" s="35" t="str">
        <f aca="false">IF(OR($I342="",$J342="",$O342="",$F342=""),"",-0.7182+0.1451*(($I342+$J342+$O342)*(170.18/$F342))-0.00068*(($I342+$J342+$O342)*(170.18/$F342))^2+0.0000014*(($I342+$J342+$O342)*(170.18/$F342))^3)</f>
        <v/>
      </c>
      <c r="AT342" s="35" t="str">
        <f aca="false">IF(OR($AE342="",$AF342="",$T342="",$AA342="",$F342=""),"",0.858*$AE342+0.601*$AF342+0.188*($T342-$I342/10)+0.161*($AA342-$R342/10)-0.131*$F342+4.5)</f>
        <v/>
      </c>
      <c r="AU342" s="35" t="str">
        <f aca="false">IF(OR($E342="",$F342=""),"",IF($F342/$E342^(1/3)&gt;=40.75,0.732*($F342/$E342^(1/3))-28.58,IF($F342/$E342^(1/3)&gt;=38.25,0.463*($F342/$E342^(1/3))-17.63,0.1)))</f>
        <v/>
      </c>
      <c r="AV342" s="37" t="str">
        <f aca="false">IF(OR($AS342="",$AT342="",$AU342=""),"",IF(AND($AT342&gt;=$AS342,$AT342&gt;=$AU342),"Mesomorfo dominante",IF(AND($AU342&gt;=$AS342,$AU342&gt;=$AT342),"Ectomorfo dominante","Endomorfo dominante")))</f>
        <v/>
      </c>
    </row>
    <row r="343" customFormat="false" ht="15" hidden="false" customHeight="false" outlineLevel="0" collapsed="false">
      <c r="A343" s="29"/>
      <c r="B343" s="27"/>
      <c r="C343" s="28"/>
      <c r="D343" s="27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3" t="str">
        <f aca="false">IFERROR(DATEDIF(INDEX(Cadastro!$D$8:$D$47,MATCH($B343,Cadastro!$B$8:$B$47,0)),$A343,"Y"),"")</f>
        <v/>
      </c>
      <c r="AH343" s="33" t="str">
        <f aca="false">IF(COUNT($I343,$K343,$J343,$N343)&lt;4,"",$I343+$K343+$J343+$N343)</f>
        <v/>
      </c>
      <c r="AI343" s="33" t="str">
        <f aca="false">IF(COUNT($L343,$M343,$I343,$J343,$P343,$N343,$Q343)&lt;7,"",$L343+$M343+$I343+$J343+$P343+$N343+$Q343)</f>
        <v/>
      </c>
      <c r="AJ343" s="33" t="str">
        <f aca="false">IF(COUNT($I343,$J343,$K343,$O343,$P343,$Q343,$R343,$N343)&lt;8,"",$I343+$J343+$K343+$O343+$P343+$Q343+$R343+$N343)</f>
        <v/>
      </c>
      <c r="AK343" s="34" t="str">
        <f aca="false">IF(OR($AI343="",$AG343=""),"",IF(IFERROR(INDEX(Cadastro!$F$8:$F$47,MATCH($B343,Cadastro!$B$8:$B$47,0)),"")="Feminino",1.097-0.00046971*$AI343+0.00000056*$AI343^2-0.00012828*$AG343,1.112-0.00043499*$AI343+0.00000055*$AI343^2-0.00028826*$AG343))</f>
        <v/>
      </c>
      <c r="AL343" s="30" t="str">
        <f aca="false">IF(OR($AK343="",$AK343=0),"",495/$AK343-450)</f>
        <v/>
      </c>
      <c r="AM343" s="35" t="str">
        <f aca="false">IF(OR($AL343="",$E343=""),"",$E343*$AL343/100)</f>
        <v/>
      </c>
      <c r="AN343" s="30" t="str">
        <f aca="false">IF(OR($AM343="",$E343=""),"",$E343-$AM343)</f>
        <v/>
      </c>
      <c r="AO343" s="35" t="str">
        <f aca="false">IFERROR($E343/($F343/100)^2,"")</f>
        <v/>
      </c>
      <c r="AP343" s="35" t="str">
        <f aca="false">IFERROR($G343/$F343*100,"")</f>
        <v/>
      </c>
      <c r="AQ343" s="36" t="str">
        <f aca="false">IFERROR($W343/$F343,"")</f>
        <v/>
      </c>
      <c r="AR343" s="35" t="str">
        <f aca="false">IF(OR($S343="",$I343=""),"",($S343-PI()*$I343/10)^2/(4*PI())-IF(IFERROR(INDEX(Cadastro!$F$8:$F$47,MATCH($B343,Cadastro!$B$8:$B$47,0)),"")="Feminino",6.5,10))</f>
        <v/>
      </c>
      <c r="AS343" s="35" t="str">
        <f aca="false">IF(OR($I343="",$J343="",$O343="",$F343=""),"",-0.7182+0.1451*(($I343+$J343+$O343)*(170.18/$F343))-0.00068*(($I343+$J343+$O343)*(170.18/$F343))^2+0.0000014*(($I343+$J343+$O343)*(170.18/$F343))^3)</f>
        <v/>
      </c>
      <c r="AT343" s="35" t="str">
        <f aca="false">IF(OR($AE343="",$AF343="",$T343="",$AA343="",$F343=""),"",0.858*$AE343+0.601*$AF343+0.188*($T343-$I343/10)+0.161*($AA343-$R343/10)-0.131*$F343+4.5)</f>
        <v/>
      </c>
      <c r="AU343" s="35" t="str">
        <f aca="false">IF(OR($E343="",$F343=""),"",IF($F343/$E343^(1/3)&gt;=40.75,0.732*($F343/$E343^(1/3))-28.58,IF($F343/$E343^(1/3)&gt;=38.25,0.463*($F343/$E343^(1/3))-17.63,0.1)))</f>
        <v/>
      </c>
      <c r="AV343" s="37" t="str">
        <f aca="false">IF(OR($AS343="",$AT343="",$AU343=""),"",IF(AND($AT343&gt;=$AS343,$AT343&gt;=$AU343),"Mesomorfo dominante",IF(AND($AU343&gt;=$AS343,$AU343&gt;=$AT343),"Ectomorfo dominante","Endomorfo dominante")))</f>
        <v/>
      </c>
    </row>
    <row r="344" customFormat="false" ht="15" hidden="false" customHeight="false" outlineLevel="0" collapsed="false">
      <c r="A344" s="29"/>
      <c r="B344" s="27"/>
      <c r="C344" s="28"/>
      <c r="D344" s="27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3" t="str">
        <f aca="false">IFERROR(DATEDIF(INDEX(Cadastro!$D$8:$D$47,MATCH($B344,Cadastro!$B$8:$B$47,0)),$A344,"Y"),"")</f>
        <v/>
      </c>
      <c r="AH344" s="33" t="str">
        <f aca="false">IF(COUNT($I344,$K344,$J344,$N344)&lt;4,"",$I344+$K344+$J344+$N344)</f>
        <v/>
      </c>
      <c r="AI344" s="33" t="str">
        <f aca="false">IF(COUNT($L344,$M344,$I344,$J344,$P344,$N344,$Q344)&lt;7,"",$L344+$M344+$I344+$J344+$P344+$N344+$Q344)</f>
        <v/>
      </c>
      <c r="AJ344" s="33" t="str">
        <f aca="false">IF(COUNT($I344,$J344,$K344,$O344,$P344,$Q344,$R344,$N344)&lt;8,"",$I344+$J344+$K344+$O344+$P344+$Q344+$R344+$N344)</f>
        <v/>
      </c>
      <c r="AK344" s="34" t="str">
        <f aca="false">IF(OR($AI344="",$AG344=""),"",IF(IFERROR(INDEX(Cadastro!$F$8:$F$47,MATCH($B344,Cadastro!$B$8:$B$47,0)),"")="Feminino",1.097-0.00046971*$AI344+0.00000056*$AI344^2-0.00012828*$AG344,1.112-0.00043499*$AI344+0.00000055*$AI344^2-0.00028826*$AG344))</f>
        <v/>
      </c>
      <c r="AL344" s="30" t="str">
        <f aca="false">IF(OR($AK344="",$AK344=0),"",495/$AK344-450)</f>
        <v/>
      </c>
      <c r="AM344" s="35" t="str">
        <f aca="false">IF(OR($AL344="",$E344=""),"",$E344*$AL344/100)</f>
        <v/>
      </c>
      <c r="AN344" s="30" t="str">
        <f aca="false">IF(OR($AM344="",$E344=""),"",$E344-$AM344)</f>
        <v/>
      </c>
      <c r="AO344" s="35" t="str">
        <f aca="false">IFERROR($E344/($F344/100)^2,"")</f>
        <v/>
      </c>
      <c r="AP344" s="35" t="str">
        <f aca="false">IFERROR($G344/$F344*100,"")</f>
        <v/>
      </c>
      <c r="AQ344" s="36" t="str">
        <f aca="false">IFERROR($W344/$F344,"")</f>
        <v/>
      </c>
      <c r="AR344" s="35" t="str">
        <f aca="false">IF(OR($S344="",$I344=""),"",($S344-PI()*$I344/10)^2/(4*PI())-IF(IFERROR(INDEX(Cadastro!$F$8:$F$47,MATCH($B344,Cadastro!$B$8:$B$47,0)),"")="Feminino",6.5,10))</f>
        <v/>
      </c>
      <c r="AS344" s="35" t="str">
        <f aca="false">IF(OR($I344="",$J344="",$O344="",$F344=""),"",-0.7182+0.1451*(($I344+$J344+$O344)*(170.18/$F344))-0.00068*(($I344+$J344+$O344)*(170.18/$F344))^2+0.0000014*(($I344+$J344+$O344)*(170.18/$F344))^3)</f>
        <v/>
      </c>
      <c r="AT344" s="35" t="str">
        <f aca="false">IF(OR($AE344="",$AF344="",$T344="",$AA344="",$F344=""),"",0.858*$AE344+0.601*$AF344+0.188*($T344-$I344/10)+0.161*($AA344-$R344/10)-0.131*$F344+4.5)</f>
        <v/>
      </c>
      <c r="AU344" s="35" t="str">
        <f aca="false">IF(OR($E344="",$F344=""),"",IF($F344/$E344^(1/3)&gt;=40.75,0.732*($F344/$E344^(1/3))-28.58,IF($F344/$E344^(1/3)&gt;=38.25,0.463*($F344/$E344^(1/3))-17.63,0.1)))</f>
        <v/>
      </c>
      <c r="AV344" s="37" t="str">
        <f aca="false">IF(OR($AS344="",$AT344="",$AU344=""),"",IF(AND($AT344&gt;=$AS344,$AT344&gt;=$AU344),"Mesomorfo dominante",IF(AND($AU344&gt;=$AS344,$AU344&gt;=$AT344),"Ectomorfo dominante","Endomorfo dominante")))</f>
        <v/>
      </c>
    </row>
    <row r="345" customFormat="false" ht="15" hidden="false" customHeight="false" outlineLevel="0" collapsed="false">
      <c r="A345" s="29"/>
      <c r="B345" s="27"/>
      <c r="C345" s="28"/>
      <c r="D345" s="27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3" t="str">
        <f aca="false">IFERROR(DATEDIF(INDEX(Cadastro!$D$8:$D$47,MATCH($B345,Cadastro!$B$8:$B$47,0)),$A345,"Y"),"")</f>
        <v/>
      </c>
      <c r="AH345" s="33" t="str">
        <f aca="false">IF(COUNT($I345,$K345,$J345,$N345)&lt;4,"",$I345+$K345+$J345+$N345)</f>
        <v/>
      </c>
      <c r="AI345" s="33" t="str">
        <f aca="false">IF(COUNT($L345,$M345,$I345,$J345,$P345,$N345,$Q345)&lt;7,"",$L345+$M345+$I345+$J345+$P345+$N345+$Q345)</f>
        <v/>
      </c>
      <c r="AJ345" s="33" t="str">
        <f aca="false">IF(COUNT($I345,$J345,$K345,$O345,$P345,$Q345,$R345,$N345)&lt;8,"",$I345+$J345+$K345+$O345+$P345+$Q345+$R345+$N345)</f>
        <v/>
      </c>
      <c r="AK345" s="34" t="str">
        <f aca="false">IF(OR($AI345="",$AG345=""),"",IF(IFERROR(INDEX(Cadastro!$F$8:$F$47,MATCH($B345,Cadastro!$B$8:$B$47,0)),"")="Feminino",1.097-0.00046971*$AI345+0.00000056*$AI345^2-0.00012828*$AG345,1.112-0.00043499*$AI345+0.00000055*$AI345^2-0.00028826*$AG345))</f>
        <v/>
      </c>
      <c r="AL345" s="30" t="str">
        <f aca="false">IF(OR($AK345="",$AK345=0),"",495/$AK345-450)</f>
        <v/>
      </c>
      <c r="AM345" s="35" t="str">
        <f aca="false">IF(OR($AL345="",$E345=""),"",$E345*$AL345/100)</f>
        <v/>
      </c>
      <c r="AN345" s="30" t="str">
        <f aca="false">IF(OR($AM345="",$E345=""),"",$E345-$AM345)</f>
        <v/>
      </c>
      <c r="AO345" s="35" t="str">
        <f aca="false">IFERROR($E345/($F345/100)^2,"")</f>
        <v/>
      </c>
      <c r="AP345" s="35" t="str">
        <f aca="false">IFERROR($G345/$F345*100,"")</f>
        <v/>
      </c>
      <c r="AQ345" s="36" t="str">
        <f aca="false">IFERROR($W345/$F345,"")</f>
        <v/>
      </c>
      <c r="AR345" s="35" t="str">
        <f aca="false">IF(OR($S345="",$I345=""),"",($S345-PI()*$I345/10)^2/(4*PI())-IF(IFERROR(INDEX(Cadastro!$F$8:$F$47,MATCH($B345,Cadastro!$B$8:$B$47,0)),"")="Feminino",6.5,10))</f>
        <v/>
      </c>
      <c r="AS345" s="35" t="str">
        <f aca="false">IF(OR($I345="",$J345="",$O345="",$F345=""),"",-0.7182+0.1451*(($I345+$J345+$O345)*(170.18/$F345))-0.00068*(($I345+$J345+$O345)*(170.18/$F345))^2+0.0000014*(($I345+$J345+$O345)*(170.18/$F345))^3)</f>
        <v/>
      </c>
      <c r="AT345" s="35" t="str">
        <f aca="false">IF(OR($AE345="",$AF345="",$T345="",$AA345="",$F345=""),"",0.858*$AE345+0.601*$AF345+0.188*($T345-$I345/10)+0.161*($AA345-$R345/10)-0.131*$F345+4.5)</f>
        <v/>
      </c>
      <c r="AU345" s="35" t="str">
        <f aca="false">IF(OR($E345="",$F345=""),"",IF($F345/$E345^(1/3)&gt;=40.75,0.732*($F345/$E345^(1/3))-28.58,IF($F345/$E345^(1/3)&gt;=38.25,0.463*($F345/$E345^(1/3))-17.63,0.1)))</f>
        <v/>
      </c>
      <c r="AV345" s="37" t="str">
        <f aca="false">IF(OR($AS345="",$AT345="",$AU345=""),"",IF(AND($AT345&gt;=$AS345,$AT345&gt;=$AU345),"Mesomorfo dominante",IF(AND($AU345&gt;=$AS345,$AU345&gt;=$AT345),"Ectomorfo dominante","Endomorfo dominante")))</f>
        <v/>
      </c>
    </row>
    <row r="346" customFormat="false" ht="15" hidden="false" customHeight="false" outlineLevel="0" collapsed="false">
      <c r="A346" s="29"/>
      <c r="B346" s="27"/>
      <c r="C346" s="28"/>
      <c r="D346" s="27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3" t="str">
        <f aca="false">IFERROR(DATEDIF(INDEX(Cadastro!$D$8:$D$47,MATCH($B346,Cadastro!$B$8:$B$47,0)),$A346,"Y"),"")</f>
        <v/>
      </c>
      <c r="AH346" s="33" t="str">
        <f aca="false">IF(COUNT($I346,$K346,$J346,$N346)&lt;4,"",$I346+$K346+$J346+$N346)</f>
        <v/>
      </c>
      <c r="AI346" s="33" t="str">
        <f aca="false">IF(COUNT($L346,$M346,$I346,$J346,$P346,$N346,$Q346)&lt;7,"",$L346+$M346+$I346+$J346+$P346+$N346+$Q346)</f>
        <v/>
      </c>
      <c r="AJ346" s="33" t="str">
        <f aca="false">IF(COUNT($I346,$J346,$K346,$O346,$P346,$Q346,$R346,$N346)&lt;8,"",$I346+$J346+$K346+$O346+$P346+$Q346+$R346+$N346)</f>
        <v/>
      </c>
      <c r="AK346" s="34" t="str">
        <f aca="false">IF(OR($AI346="",$AG346=""),"",IF(IFERROR(INDEX(Cadastro!$F$8:$F$47,MATCH($B346,Cadastro!$B$8:$B$47,0)),"")="Feminino",1.097-0.00046971*$AI346+0.00000056*$AI346^2-0.00012828*$AG346,1.112-0.00043499*$AI346+0.00000055*$AI346^2-0.00028826*$AG346))</f>
        <v/>
      </c>
      <c r="AL346" s="30" t="str">
        <f aca="false">IF(OR($AK346="",$AK346=0),"",495/$AK346-450)</f>
        <v/>
      </c>
      <c r="AM346" s="35" t="str">
        <f aca="false">IF(OR($AL346="",$E346=""),"",$E346*$AL346/100)</f>
        <v/>
      </c>
      <c r="AN346" s="30" t="str">
        <f aca="false">IF(OR($AM346="",$E346=""),"",$E346-$AM346)</f>
        <v/>
      </c>
      <c r="AO346" s="35" t="str">
        <f aca="false">IFERROR($E346/($F346/100)^2,"")</f>
        <v/>
      </c>
      <c r="AP346" s="35" t="str">
        <f aca="false">IFERROR($G346/$F346*100,"")</f>
        <v/>
      </c>
      <c r="AQ346" s="36" t="str">
        <f aca="false">IFERROR($W346/$F346,"")</f>
        <v/>
      </c>
      <c r="AR346" s="35" t="str">
        <f aca="false">IF(OR($S346="",$I346=""),"",($S346-PI()*$I346/10)^2/(4*PI())-IF(IFERROR(INDEX(Cadastro!$F$8:$F$47,MATCH($B346,Cadastro!$B$8:$B$47,0)),"")="Feminino",6.5,10))</f>
        <v/>
      </c>
      <c r="AS346" s="35" t="str">
        <f aca="false">IF(OR($I346="",$J346="",$O346="",$F346=""),"",-0.7182+0.1451*(($I346+$J346+$O346)*(170.18/$F346))-0.00068*(($I346+$J346+$O346)*(170.18/$F346))^2+0.0000014*(($I346+$J346+$O346)*(170.18/$F346))^3)</f>
        <v/>
      </c>
      <c r="AT346" s="35" t="str">
        <f aca="false">IF(OR($AE346="",$AF346="",$T346="",$AA346="",$F346=""),"",0.858*$AE346+0.601*$AF346+0.188*($T346-$I346/10)+0.161*($AA346-$R346/10)-0.131*$F346+4.5)</f>
        <v/>
      </c>
      <c r="AU346" s="35" t="str">
        <f aca="false">IF(OR($E346="",$F346=""),"",IF($F346/$E346^(1/3)&gt;=40.75,0.732*($F346/$E346^(1/3))-28.58,IF($F346/$E346^(1/3)&gt;=38.25,0.463*($F346/$E346^(1/3))-17.63,0.1)))</f>
        <v/>
      </c>
      <c r="AV346" s="37" t="str">
        <f aca="false">IF(OR($AS346="",$AT346="",$AU346=""),"",IF(AND($AT346&gt;=$AS346,$AT346&gt;=$AU346),"Mesomorfo dominante",IF(AND($AU346&gt;=$AS346,$AU346&gt;=$AT346),"Ectomorfo dominante","Endomorfo dominante")))</f>
        <v/>
      </c>
    </row>
    <row r="347" customFormat="false" ht="15" hidden="false" customHeight="false" outlineLevel="0" collapsed="false">
      <c r="A347" s="29"/>
      <c r="B347" s="27"/>
      <c r="C347" s="28"/>
      <c r="D347" s="27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3" t="str">
        <f aca="false">IFERROR(DATEDIF(INDEX(Cadastro!$D$8:$D$47,MATCH($B347,Cadastro!$B$8:$B$47,0)),$A347,"Y"),"")</f>
        <v/>
      </c>
      <c r="AH347" s="33" t="str">
        <f aca="false">IF(COUNT($I347,$K347,$J347,$N347)&lt;4,"",$I347+$K347+$J347+$N347)</f>
        <v/>
      </c>
      <c r="AI347" s="33" t="str">
        <f aca="false">IF(COUNT($L347,$M347,$I347,$J347,$P347,$N347,$Q347)&lt;7,"",$L347+$M347+$I347+$J347+$P347+$N347+$Q347)</f>
        <v/>
      </c>
      <c r="AJ347" s="33" t="str">
        <f aca="false">IF(COUNT($I347,$J347,$K347,$O347,$P347,$Q347,$R347,$N347)&lt;8,"",$I347+$J347+$K347+$O347+$P347+$Q347+$R347+$N347)</f>
        <v/>
      </c>
      <c r="AK347" s="34" t="str">
        <f aca="false">IF(OR($AI347="",$AG347=""),"",IF(IFERROR(INDEX(Cadastro!$F$8:$F$47,MATCH($B347,Cadastro!$B$8:$B$47,0)),"")="Feminino",1.097-0.00046971*$AI347+0.00000056*$AI347^2-0.00012828*$AG347,1.112-0.00043499*$AI347+0.00000055*$AI347^2-0.00028826*$AG347))</f>
        <v/>
      </c>
      <c r="AL347" s="30" t="str">
        <f aca="false">IF(OR($AK347="",$AK347=0),"",495/$AK347-450)</f>
        <v/>
      </c>
      <c r="AM347" s="35" t="str">
        <f aca="false">IF(OR($AL347="",$E347=""),"",$E347*$AL347/100)</f>
        <v/>
      </c>
      <c r="AN347" s="30" t="str">
        <f aca="false">IF(OR($AM347="",$E347=""),"",$E347-$AM347)</f>
        <v/>
      </c>
      <c r="AO347" s="35" t="str">
        <f aca="false">IFERROR($E347/($F347/100)^2,"")</f>
        <v/>
      </c>
      <c r="AP347" s="35" t="str">
        <f aca="false">IFERROR($G347/$F347*100,"")</f>
        <v/>
      </c>
      <c r="AQ347" s="36" t="str">
        <f aca="false">IFERROR($W347/$F347,"")</f>
        <v/>
      </c>
      <c r="AR347" s="35" t="str">
        <f aca="false">IF(OR($S347="",$I347=""),"",($S347-PI()*$I347/10)^2/(4*PI())-IF(IFERROR(INDEX(Cadastro!$F$8:$F$47,MATCH($B347,Cadastro!$B$8:$B$47,0)),"")="Feminino",6.5,10))</f>
        <v/>
      </c>
      <c r="AS347" s="35" t="str">
        <f aca="false">IF(OR($I347="",$J347="",$O347="",$F347=""),"",-0.7182+0.1451*(($I347+$J347+$O347)*(170.18/$F347))-0.00068*(($I347+$J347+$O347)*(170.18/$F347))^2+0.0000014*(($I347+$J347+$O347)*(170.18/$F347))^3)</f>
        <v/>
      </c>
      <c r="AT347" s="35" t="str">
        <f aca="false">IF(OR($AE347="",$AF347="",$T347="",$AA347="",$F347=""),"",0.858*$AE347+0.601*$AF347+0.188*($T347-$I347/10)+0.161*($AA347-$R347/10)-0.131*$F347+4.5)</f>
        <v/>
      </c>
      <c r="AU347" s="35" t="str">
        <f aca="false">IF(OR($E347="",$F347=""),"",IF($F347/$E347^(1/3)&gt;=40.75,0.732*($F347/$E347^(1/3))-28.58,IF($F347/$E347^(1/3)&gt;=38.25,0.463*($F347/$E347^(1/3))-17.63,0.1)))</f>
        <v/>
      </c>
      <c r="AV347" s="37" t="str">
        <f aca="false">IF(OR($AS347="",$AT347="",$AU347=""),"",IF(AND($AT347&gt;=$AS347,$AT347&gt;=$AU347),"Mesomorfo dominante",IF(AND($AU347&gt;=$AS347,$AU347&gt;=$AT347),"Ectomorfo dominante","Endomorfo dominante")))</f>
        <v/>
      </c>
    </row>
    <row r="348" customFormat="false" ht="15" hidden="false" customHeight="false" outlineLevel="0" collapsed="false">
      <c r="A348" s="29"/>
      <c r="B348" s="27"/>
      <c r="C348" s="28"/>
      <c r="D348" s="27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3" t="str">
        <f aca="false">IFERROR(DATEDIF(INDEX(Cadastro!$D$8:$D$47,MATCH($B348,Cadastro!$B$8:$B$47,0)),$A348,"Y"),"")</f>
        <v/>
      </c>
      <c r="AH348" s="33" t="str">
        <f aca="false">IF(COUNT($I348,$K348,$J348,$N348)&lt;4,"",$I348+$K348+$J348+$N348)</f>
        <v/>
      </c>
      <c r="AI348" s="33" t="str">
        <f aca="false">IF(COUNT($L348,$M348,$I348,$J348,$P348,$N348,$Q348)&lt;7,"",$L348+$M348+$I348+$J348+$P348+$N348+$Q348)</f>
        <v/>
      </c>
      <c r="AJ348" s="33" t="str">
        <f aca="false">IF(COUNT($I348,$J348,$K348,$O348,$P348,$Q348,$R348,$N348)&lt;8,"",$I348+$J348+$K348+$O348+$P348+$Q348+$R348+$N348)</f>
        <v/>
      </c>
      <c r="AK348" s="34" t="str">
        <f aca="false">IF(OR($AI348="",$AG348=""),"",IF(IFERROR(INDEX(Cadastro!$F$8:$F$47,MATCH($B348,Cadastro!$B$8:$B$47,0)),"")="Feminino",1.097-0.00046971*$AI348+0.00000056*$AI348^2-0.00012828*$AG348,1.112-0.00043499*$AI348+0.00000055*$AI348^2-0.00028826*$AG348))</f>
        <v/>
      </c>
      <c r="AL348" s="30" t="str">
        <f aca="false">IF(OR($AK348="",$AK348=0),"",495/$AK348-450)</f>
        <v/>
      </c>
      <c r="AM348" s="35" t="str">
        <f aca="false">IF(OR($AL348="",$E348=""),"",$E348*$AL348/100)</f>
        <v/>
      </c>
      <c r="AN348" s="30" t="str">
        <f aca="false">IF(OR($AM348="",$E348=""),"",$E348-$AM348)</f>
        <v/>
      </c>
      <c r="AO348" s="35" t="str">
        <f aca="false">IFERROR($E348/($F348/100)^2,"")</f>
        <v/>
      </c>
      <c r="AP348" s="35" t="str">
        <f aca="false">IFERROR($G348/$F348*100,"")</f>
        <v/>
      </c>
      <c r="AQ348" s="36" t="str">
        <f aca="false">IFERROR($W348/$F348,"")</f>
        <v/>
      </c>
      <c r="AR348" s="35" t="str">
        <f aca="false">IF(OR($S348="",$I348=""),"",($S348-PI()*$I348/10)^2/(4*PI())-IF(IFERROR(INDEX(Cadastro!$F$8:$F$47,MATCH($B348,Cadastro!$B$8:$B$47,0)),"")="Feminino",6.5,10))</f>
        <v/>
      </c>
      <c r="AS348" s="35" t="str">
        <f aca="false">IF(OR($I348="",$J348="",$O348="",$F348=""),"",-0.7182+0.1451*(($I348+$J348+$O348)*(170.18/$F348))-0.00068*(($I348+$J348+$O348)*(170.18/$F348))^2+0.0000014*(($I348+$J348+$O348)*(170.18/$F348))^3)</f>
        <v/>
      </c>
      <c r="AT348" s="35" t="str">
        <f aca="false">IF(OR($AE348="",$AF348="",$T348="",$AA348="",$F348=""),"",0.858*$AE348+0.601*$AF348+0.188*($T348-$I348/10)+0.161*($AA348-$R348/10)-0.131*$F348+4.5)</f>
        <v/>
      </c>
      <c r="AU348" s="35" t="str">
        <f aca="false">IF(OR($E348="",$F348=""),"",IF($F348/$E348^(1/3)&gt;=40.75,0.732*($F348/$E348^(1/3))-28.58,IF($F348/$E348^(1/3)&gt;=38.25,0.463*($F348/$E348^(1/3))-17.63,0.1)))</f>
        <v/>
      </c>
      <c r="AV348" s="37" t="str">
        <f aca="false">IF(OR($AS348="",$AT348="",$AU348=""),"",IF(AND($AT348&gt;=$AS348,$AT348&gt;=$AU348),"Mesomorfo dominante",IF(AND($AU348&gt;=$AS348,$AU348&gt;=$AT348),"Ectomorfo dominante","Endomorfo dominante")))</f>
        <v/>
      </c>
    </row>
    <row r="349" customFormat="false" ht="15" hidden="false" customHeight="false" outlineLevel="0" collapsed="false">
      <c r="A349" s="29"/>
      <c r="B349" s="27"/>
      <c r="C349" s="28"/>
      <c r="D349" s="27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3" t="str">
        <f aca="false">IFERROR(DATEDIF(INDEX(Cadastro!$D$8:$D$47,MATCH($B349,Cadastro!$B$8:$B$47,0)),$A349,"Y"),"")</f>
        <v/>
      </c>
      <c r="AH349" s="33" t="str">
        <f aca="false">IF(COUNT($I349,$K349,$J349,$N349)&lt;4,"",$I349+$K349+$J349+$N349)</f>
        <v/>
      </c>
      <c r="AI349" s="33" t="str">
        <f aca="false">IF(COUNT($L349,$M349,$I349,$J349,$P349,$N349,$Q349)&lt;7,"",$L349+$M349+$I349+$J349+$P349+$N349+$Q349)</f>
        <v/>
      </c>
      <c r="AJ349" s="33" t="str">
        <f aca="false">IF(COUNT($I349,$J349,$K349,$O349,$P349,$Q349,$R349,$N349)&lt;8,"",$I349+$J349+$K349+$O349+$P349+$Q349+$R349+$N349)</f>
        <v/>
      </c>
      <c r="AK349" s="34" t="str">
        <f aca="false">IF(OR($AI349="",$AG349=""),"",IF(IFERROR(INDEX(Cadastro!$F$8:$F$47,MATCH($B349,Cadastro!$B$8:$B$47,0)),"")="Feminino",1.097-0.00046971*$AI349+0.00000056*$AI349^2-0.00012828*$AG349,1.112-0.00043499*$AI349+0.00000055*$AI349^2-0.00028826*$AG349))</f>
        <v/>
      </c>
      <c r="AL349" s="30" t="str">
        <f aca="false">IF(OR($AK349="",$AK349=0),"",495/$AK349-450)</f>
        <v/>
      </c>
      <c r="AM349" s="35" t="str">
        <f aca="false">IF(OR($AL349="",$E349=""),"",$E349*$AL349/100)</f>
        <v/>
      </c>
      <c r="AN349" s="30" t="str">
        <f aca="false">IF(OR($AM349="",$E349=""),"",$E349-$AM349)</f>
        <v/>
      </c>
      <c r="AO349" s="35" t="str">
        <f aca="false">IFERROR($E349/($F349/100)^2,"")</f>
        <v/>
      </c>
      <c r="AP349" s="35" t="str">
        <f aca="false">IFERROR($G349/$F349*100,"")</f>
        <v/>
      </c>
      <c r="AQ349" s="36" t="str">
        <f aca="false">IFERROR($W349/$F349,"")</f>
        <v/>
      </c>
      <c r="AR349" s="35" t="str">
        <f aca="false">IF(OR($S349="",$I349=""),"",($S349-PI()*$I349/10)^2/(4*PI())-IF(IFERROR(INDEX(Cadastro!$F$8:$F$47,MATCH($B349,Cadastro!$B$8:$B$47,0)),"")="Feminino",6.5,10))</f>
        <v/>
      </c>
      <c r="AS349" s="35" t="str">
        <f aca="false">IF(OR($I349="",$J349="",$O349="",$F349=""),"",-0.7182+0.1451*(($I349+$J349+$O349)*(170.18/$F349))-0.00068*(($I349+$J349+$O349)*(170.18/$F349))^2+0.0000014*(($I349+$J349+$O349)*(170.18/$F349))^3)</f>
        <v/>
      </c>
      <c r="AT349" s="35" t="str">
        <f aca="false">IF(OR($AE349="",$AF349="",$T349="",$AA349="",$F349=""),"",0.858*$AE349+0.601*$AF349+0.188*($T349-$I349/10)+0.161*($AA349-$R349/10)-0.131*$F349+4.5)</f>
        <v/>
      </c>
      <c r="AU349" s="35" t="str">
        <f aca="false">IF(OR($E349="",$F349=""),"",IF($F349/$E349^(1/3)&gt;=40.75,0.732*($F349/$E349^(1/3))-28.58,IF($F349/$E349^(1/3)&gt;=38.25,0.463*($F349/$E349^(1/3))-17.63,0.1)))</f>
        <v/>
      </c>
      <c r="AV349" s="37" t="str">
        <f aca="false">IF(OR($AS349="",$AT349="",$AU349=""),"",IF(AND($AT349&gt;=$AS349,$AT349&gt;=$AU349),"Mesomorfo dominante",IF(AND($AU349&gt;=$AS349,$AU349&gt;=$AT349),"Ectomorfo dominante","Endomorfo dominante")))</f>
        <v/>
      </c>
    </row>
    <row r="350" customFormat="false" ht="15" hidden="false" customHeight="false" outlineLevel="0" collapsed="false">
      <c r="A350" s="29"/>
      <c r="B350" s="27"/>
      <c r="C350" s="28"/>
      <c r="D350" s="27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3" t="str">
        <f aca="false">IFERROR(DATEDIF(INDEX(Cadastro!$D$8:$D$47,MATCH($B350,Cadastro!$B$8:$B$47,0)),$A350,"Y"),"")</f>
        <v/>
      </c>
      <c r="AH350" s="33" t="str">
        <f aca="false">IF(COUNT($I350,$K350,$J350,$N350)&lt;4,"",$I350+$K350+$J350+$N350)</f>
        <v/>
      </c>
      <c r="AI350" s="33" t="str">
        <f aca="false">IF(COUNT($L350,$M350,$I350,$J350,$P350,$N350,$Q350)&lt;7,"",$L350+$M350+$I350+$J350+$P350+$N350+$Q350)</f>
        <v/>
      </c>
      <c r="AJ350" s="33" t="str">
        <f aca="false">IF(COUNT($I350,$J350,$K350,$O350,$P350,$Q350,$R350,$N350)&lt;8,"",$I350+$J350+$K350+$O350+$P350+$Q350+$R350+$N350)</f>
        <v/>
      </c>
      <c r="AK350" s="34" t="str">
        <f aca="false">IF(OR($AI350="",$AG350=""),"",IF(IFERROR(INDEX(Cadastro!$F$8:$F$47,MATCH($B350,Cadastro!$B$8:$B$47,0)),"")="Feminino",1.097-0.00046971*$AI350+0.00000056*$AI350^2-0.00012828*$AG350,1.112-0.00043499*$AI350+0.00000055*$AI350^2-0.00028826*$AG350))</f>
        <v/>
      </c>
      <c r="AL350" s="30" t="str">
        <f aca="false">IF(OR($AK350="",$AK350=0),"",495/$AK350-450)</f>
        <v/>
      </c>
      <c r="AM350" s="35" t="str">
        <f aca="false">IF(OR($AL350="",$E350=""),"",$E350*$AL350/100)</f>
        <v/>
      </c>
      <c r="AN350" s="30" t="str">
        <f aca="false">IF(OR($AM350="",$E350=""),"",$E350-$AM350)</f>
        <v/>
      </c>
      <c r="AO350" s="35" t="str">
        <f aca="false">IFERROR($E350/($F350/100)^2,"")</f>
        <v/>
      </c>
      <c r="AP350" s="35" t="str">
        <f aca="false">IFERROR($G350/$F350*100,"")</f>
        <v/>
      </c>
      <c r="AQ350" s="36" t="str">
        <f aca="false">IFERROR($W350/$F350,"")</f>
        <v/>
      </c>
      <c r="AR350" s="35" t="str">
        <f aca="false">IF(OR($S350="",$I350=""),"",($S350-PI()*$I350/10)^2/(4*PI())-IF(IFERROR(INDEX(Cadastro!$F$8:$F$47,MATCH($B350,Cadastro!$B$8:$B$47,0)),"")="Feminino",6.5,10))</f>
        <v/>
      </c>
      <c r="AS350" s="35" t="str">
        <f aca="false">IF(OR($I350="",$J350="",$O350="",$F350=""),"",-0.7182+0.1451*(($I350+$J350+$O350)*(170.18/$F350))-0.00068*(($I350+$J350+$O350)*(170.18/$F350))^2+0.0000014*(($I350+$J350+$O350)*(170.18/$F350))^3)</f>
        <v/>
      </c>
      <c r="AT350" s="35" t="str">
        <f aca="false">IF(OR($AE350="",$AF350="",$T350="",$AA350="",$F350=""),"",0.858*$AE350+0.601*$AF350+0.188*($T350-$I350/10)+0.161*($AA350-$R350/10)-0.131*$F350+4.5)</f>
        <v/>
      </c>
      <c r="AU350" s="35" t="str">
        <f aca="false">IF(OR($E350="",$F350=""),"",IF($F350/$E350^(1/3)&gt;=40.75,0.732*($F350/$E350^(1/3))-28.58,IF($F350/$E350^(1/3)&gt;=38.25,0.463*($F350/$E350^(1/3))-17.63,0.1)))</f>
        <v/>
      </c>
      <c r="AV350" s="37" t="str">
        <f aca="false">IF(OR($AS350="",$AT350="",$AU350=""),"",IF(AND($AT350&gt;=$AS350,$AT350&gt;=$AU350),"Mesomorfo dominante",IF(AND($AU350&gt;=$AS350,$AU350&gt;=$AT350),"Ectomorfo dominante","Endomorfo dominante")))</f>
        <v/>
      </c>
    </row>
    <row r="351" customFormat="false" ht="15" hidden="false" customHeight="false" outlineLevel="0" collapsed="false">
      <c r="A351" s="29"/>
      <c r="B351" s="27"/>
      <c r="C351" s="28"/>
      <c r="D351" s="27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3" t="str">
        <f aca="false">IFERROR(DATEDIF(INDEX(Cadastro!$D$8:$D$47,MATCH($B351,Cadastro!$B$8:$B$47,0)),$A351,"Y"),"")</f>
        <v/>
      </c>
      <c r="AH351" s="33" t="str">
        <f aca="false">IF(COUNT($I351,$K351,$J351,$N351)&lt;4,"",$I351+$K351+$J351+$N351)</f>
        <v/>
      </c>
      <c r="AI351" s="33" t="str">
        <f aca="false">IF(COUNT($L351,$M351,$I351,$J351,$P351,$N351,$Q351)&lt;7,"",$L351+$M351+$I351+$J351+$P351+$N351+$Q351)</f>
        <v/>
      </c>
      <c r="AJ351" s="33" t="str">
        <f aca="false">IF(COUNT($I351,$J351,$K351,$O351,$P351,$Q351,$R351,$N351)&lt;8,"",$I351+$J351+$K351+$O351+$P351+$Q351+$R351+$N351)</f>
        <v/>
      </c>
      <c r="AK351" s="34" t="str">
        <f aca="false">IF(OR($AI351="",$AG351=""),"",IF(IFERROR(INDEX(Cadastro!$F$8:$F$47,MATCH($B351,Cadastro!$B$8:$B$47,0)),"")="Feminino",1.097-0.00046971*$AI351+0.00000056*$AI351^2-0.00012828*$AG351,1.112-0.00043499*$AI351+0.00000055*$AI351^2-0.00028826*$AG351))</f>
        <v/>
      </c>
      <c r="AL351" s="30" t="str">
        <f aca="false">IF(OR($AK351="",$AK351=0),"",495/$AK351-450)</f>
        <v/>
      </c>
      <c r="AM351" s="35" t="str">
        <f aca="false">IF(OR($AL351="",$E351=""),"",$E351*$AL351/100)</f>
        <v/>
      </c>
      <c r="AN351" s="30" t="str">
        <f aca="false">IF(OR($AM351="",$E351=""),"",$E351-$AM351)</f>
        <v/>
      </c>
      <c r="AO351" s="35" t="str">
        <f aca="false">IFERROR($E351/($F351/100)^2,"")</f>
        <v/>
      </c>
      <c r="AP351" s="35" t="str">
        <f aca="false">IFERROR($G351/$F351*100,"")</f>
        <v/>
      </c>
      <c r="AQ351" s="36" t="str">
        <f aca="false">IFERROR($W351/$F351,"")</f>
        <v/>
      </c>
      <c r="AR351" s="35" t="str">
        <f aca="false">IF(OR($S351="",$I351=""),"",($S351-PI()*$I351/10)^2/(4*PI())-IF(IFERROR(INDEX(Cadastro!$F$8:$F$47,MATCH($B351,Cadastro!$B$8:$B$47,0)),"")="Feminino",6.5,10))</f>
        <v/>
      </c>
      <c r="AS351" s="35" t="str">
        <f aca="false">IF(OR($I351="",$J351="",$O351="",$F351=""),"",-0.7182+0.1451*(($I351+$J351+$O351)*(170.18/$F351))-0.00068*(($I351+$J351+$O351)*(170.18/$F351))^2+0.0000014*(($I351+$J351+$O351)*(170.18/$F351))^3)</f>
        <v/>
      </c>
      <c r="AT351" s="35" t="str">
        <f aca="false">IF(OR($AE351="",$AF351="",$T351="",$AA351="",$F351=""),"",0.858*$AE351+0.601*$AF351+0.188*($T351-$I351/10)+0.161*($AA351-$R351/10)-0.131*$F351+4.5)</f>
        <v/>
      </c>
      <c r="AU351" s="35" t="str">
        <f aca="false">IF(OR($E351="",$F351=""),"",IF($F351/$E351^(1/3)&gt;=40.75,0.732*($F351/$E351^(1/3))-28.58,IF($F351/$E351^(1/3)&gt;=38.25,0.463*($F351/$E351^(1/3))-17.63,0.1)))</f>
        <v/>
      </c>
      <c r="AV351" s="37" t="str">
        <f aca="false">IF(OR($AS351="",$AT351="",$AU351=""),"",IF(AND($AT351&gt;=$AS351,$AT351&gt;=$AU351),"Mesomorfo dominante",IF(AND($AU351&gt;=$AS351,$AU351&gt;=$AT351),"Ectomorfo dominante","Endomorfo dominante")))</f>
        <v/>
      </c>
    </row>
    <row r="352" customFormat="false" ht="15" hidden="false" customHeight="false" outlineLevel="0" collapsed="false">
      <c r="A352" s="29"/>
      <c r="B352" s="27"/>
      <c r="C352" s="28"/>
      <c r="D352" s="27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3" t="str">
        <f aca="false">IFERROR(DATEDIF(INDEX(Cadastro!$D$8:$D$47,MATCH($B352,Cadastro!$B$8:$B$47,0)),$A352,"Y"),"")</f>
        <v/>
      </c>
      <c r="AH352" s="33" t="str">
        <f aca="false">IF(COUNT($I352,$K352,$J352,$N352)&lt;4,"",$I352+$K352+$J352+$N352)</f>
        <v/>
      </c>
      <c r="AI352" s="33" t="str">
        <f aca="false">IF(COUNT($L352,$M352,$I352,$J352,$P352,$N352,$Q352)&lt;7,"",$L352+$M352+$I352+$J352+$P352+$N352+$Q352)</f>
        <v/>
      </c>
      <c r="AJ352" s="33" t="str">
        <f aca="false">IF(COUNT($I352,$J352,$K352,$O352,$P352,$Q352,$R352,$N352)&lt;8,"",$I352+$J352+$K352+$O352+$P352+$Q352+$R352+$N352)</f>
        <v/>
      </c>
      <c r="AK352" s="34" t="str">
        <f aca="false">IF(OR($AI352="",$AG352=""),"",IF(IFERROR(INDEX(Cadastro!$F$8:$F$47,MATCH($B352,Cadastro!$B$8:$B$47,0)),"")="Feminino",1.097-0.00046971*$AI352+0.00000056*$AI352^2-0.00012828*$AG352,1.112-0.00043499*$AI352+0.00000055*$AI352^2-0.00028826*$AG352))</f>
        <v/>
      </c>
      <c r="AL352" s="30" t="str">
        <f aca="false">IF(OR($AK352="",$AK352=0),"",495/$AK352-450)</f>
        <v/>
      </c>
      <c r="AM352" s="35" t="str">
        <f aca="false">IF(OR($AL352="",$E352=""),"",$E352*$AL352/100)</f>
        <v/>
      </c>
      <c r="AN352" s="30" t="str">
        <f aca="false">IF(OR($AM352="",$E352=""),"",$E352-$AM352)</f>
        <v/>
      </c>
      <c r="AO352" s="35" t="str">
        <f aca="false">IFERROR($E352/($F352/100)^2,"")</f>
        <v/>
      </c>
      <c r="AP352" s="35" t="str">
        <f aca="false">IFERROR($G352/$F352*100,"")</f>
        <v/>
      </c>
      <c r="AQ352" s="36" t="str">
        <f aca="false">IFERROR($W352/$F352,"")</f>
        <v/>
      </c>
      <c r="AR352" s="35" t="str">
        <f aca="false">IF(OR($S352="",$I352=""),"",($S352-PI()*$I352/10)^2/(4*PI())-IF(IFERROR(INDEX(Cadastro!$F$8:$F$47,MATCH($B352,Cadastro!$B$8:$B$47,0)),"")="Feminino",6.5,10))</f>
        <v/>
      </c>
      <c r="AS352" s="35" t="str">
        <f aca="false">IF(OR($I352="",$J352="",$O352="",$F352=""),"",-0.7182+0.1451*(($I352+$J352+$O352)*(170.18/$F352))-0.00068*(($I352+$J352+$O352)*(170.18/$F352))^2+0.0000014*(($I352+$J352+$O352)*(170.18/$F352))^3)</f>
        <v/>
      </c>
      <c r="AT352" s="35" t="str">
        <f aca="false">IF(OR($AE352="",$AF352="",$T352="",$AA352="",$F352=""),"",0.858*$AE352+0.601*$AF352+0.188*($T352-$I352/10)+0.161*($AA352-$R352/10)-0.131*$F352+4.5)</f>
        <v/>
      </c>
      <c r="AU352" s="35" t="str">
        <f aca="false">IF(OR($E352="",$F352=""),"",IF($F352/$E352^(1/3)&gt;=40.75,0.732*($F352/$E352^(1/3))-28.58,IF($F352/$E352^(1/3)&gt;=38.25,0.463*($F352/$E352^(1/3))-17.63,0.1)))</f>
        <v/>
      </c>
      <c r="AV352" s="37" t="str">
        <f aca="false">IF(OR($AS352="",$AT352="",$AU352=""),"",IF(AND($AT352&gt;=$AS352,$AT352&gt;=$AU352),"Mesomorfo dominante",IF(AND($AU352&gt;=$AS352,$AU352&gt;=$AT352),"Ectomorfo dominante","Endomorfo dominante")))</f>
        <v/>
      </c>
    </row>
    <row r="353" customFormat="false" ht="15" hidden="false" customHeight="false" outlineLevel="0" collapsed="false">
      <c r="A353" s="29"/>
      <c r="B353" s="27"/>
      <c r="C353" s="28"/>
      <c r="D353" s="27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3" t="str">
        <f aca="false">IFERROR(DATEDIF(INDEX(Cadastro!$D$8:$D$47,MATCH($B353,Cadastro!$B$8:$B$47,0)),$A353,"Y"),"")</f>
        <v/>
      </c>
      <c r="AH353" s="33" t="str">
        <f aca="false">IF(COUNT($I353,$K353,$J353,$N353)&lt;4,"",$I353+$K353+$J353+$N353)</f>
        <v/>
      </c>
      <c r="AI353" s="33" t="str">
        <f aca="false">IF(COUNT($L353,$M353,$I353,$J353,$P353,$N353,$Q353)&lt;7,"",$L353+$M353+$I353+$J353+$P353+$N353+$Q353)</f>
        <v/>
      </c>
      <c r="AJ353" s="33" t="str">
        <f aca="false">IF(COUNT($I353,$J353,$K353,$O353,$P353,$Q353,$R353,$N353)&lt;8,"",$I353+$J353+$K353+$O353+$P353+$Q353+$R353+$N353)</f>
        <v/>
      </c>
      <c r="AK353" s="34" t="str">
        <f aca="false">IF(OR($AI353="",$AG353=""),"",IF(IFERROR(INDEX(Cadastro!$F$8:$F$47,MATCH($B353,Cadastro!$B$8:$B$47,0)),"")="Feminino",1.097-0.00046971*$AI353+0.00000056*$AI353^2-0.00012828*$AG353,1.112-0.00043499*$AI353+0.00000055*$AI353^2-0.00028826*$AG353))</f>
        <v/>
      </c>
      <c r="AL353" s="30" t="str">
        <f aca="false">IF(OR($AK353="",$AK353=0),"",495/$AK353-450)</f>
        <v/>
      </c>
      <c r="AM353" s="35" t="str">
        <f aca="false">IF(OR($AL353="",$E353=""),"",$E353*$AL353/100)</f>
        <v/>
      </c>
      <c r="AN353" s="30" t="str">
        <f aca="false">IF(OR($AM353="",$E353=""),"",$E353-$AM353)</f>
        <v/>
      </c>
      <c r="AO353" s="35" t="str">
        <f aca="false">IFERROR($E353/($F353/100)^2,"")</f>
        <v/>
      </c>
      <c r="AP353" s="35" t="str">
        <f aca="false">IFERROR($G353/$F353*100,"")</f>
        <v/>
      </c>
      <c r="AQ353" s="36" t="str">
        <f aca="false">IFERROR($W353/$F353,"")</f>
        <v/>
      </c>
      <c r="AR353" s="35" t="str">
        <f aca="false">IF(OR($S353="",$I353=""),"",($S353-PI()*$I353/10)^2/(4*PI())-IF(IFERROR(INDEX(Cadastro!$F$8:$F$47,MATCH($B353,Cadastro!$B$8:$B$47,0)),"")="Feminino",6.5,10))</f>
        <v/>
      </c>
      <c r="AS353" s="35" t="str">
        <f aca="false">IF(OR($I353="",$J353="",$O353="",$F353=""),"",-0.7182+0.1451*(($I353+$J353+$O353)*(170.18/$F353))-0.00068*(($I353+$J353+$O353)*(170.18/$F353))^2+0.0000014*(($I353+$J353+$O353)*(170.18/$F353))^3)</f>
        <v/>
      </c>
      <c r="AT353" s="35" t="str">
        <f aca="false">IF(OR($AE353="",$AF353="",$T353="",$AA353="",$F353=""),"",0.858*$AE353+0.601*$AF353+0.188*($T353-$I353/10)+0.161*($AA353-$R353/10)-0.131*$F353+4.5)</f>
        <v/>
      </c>
      <c r="AU353" s="35" t="str">
        <f aca="false">IF(OR($E353="",$F353=""),"",IF($F353/$E353^(1/3)&gt;=40.75,0.732*($F353/$E353^(1/3))-28.58,IF($F353/$E353^(1/3)&gt;=38.25,0.463*($F353/$E353^(1/3))-17.63,0.1)))</f>
        <v/>
      </c>
      <c r="AV353" s="37" t="str">
        <f aca="false">IF(OR($AS353="",$AT353="",$AU353=""),"",IF(AND($AT353&gt;=$AS353,$AT353&gt;=$AU353),"Mesomorfo dominante",IF(AND($AU353&gt;=$AS353,$AU353&gt;=$AT353),"Ectomorfo dominante","Endomorfo dominante")))</f>
        <v/>
      </c>
    </row>
    <row r="354" customFormat="false" ht="15" hidden="false" customHeight="false" outlineLevel="0" collapsed="false">
      <c r="A354" s="29"/>
      <c r="B354" s="27"/>
      <c r="C354" s="28"/>
      <c r="D354" s="27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3" t="str">
        <f aca="false">IFERROR(DATEDIF(INDEX(Cadastro!$D$8:$D$47,MATCH($B354,Cadastro!$B$8:$B$47,0)),$A354,"Y"),"")</f>
        <v/>
      </c>
      <c r="AH354" s="33" t="str">
        <f aca="false">IF(COUNT($I354,$K354,$J354,$N354)&lt;4,"",$I354+$K354+$J354+$N354)</f>
        <v/>
      </c>
      <c r="AI354" s="33" t="str">
        <f aca="false">IF(COUNT($L354,$M354,$I354,$J354,$P354,$N354,$Q354)&lt;7,"",$L354+$M354+$I354+$J354+$P354+$N354+$Q354)</f>
        <v/>
      </c>
      <c r="AJ354" s="33" t="str">
        <f aca="false">IF(COUNT($I354,$J354,$K354,$O354,$P354,$Q354,$R354,$N354)&lt;8,"",$I354+$J354+$K354+$O354+$P354+$Q354+$R354+$N354)</f>
        <v/>
      </c>
      <c r="AK354" s="34" t="str">
        <f aca="false">IF(OR($AI354="",$AG354=""),"",IF(IFERROR(INDEX(Cadastro!$F$8:$F$47,MATCH($B354,Cadastro!$B$8:$B$47,0)),"")="Feminino",1.097-0.00046971*$AI354+0.00000056*$AI354^2-0.00012828*$AG354,1.112-0.00043499*$AI354+0.00000055*$AI354^2-0.00028826*$AG354))</f>
        <v/>
      </c>
      <c r="AL354" s="30" t="str">
        <f aca="false">IF(OR($AK354="",$AK354=0),"",495/$AK354-450)</f>
        <v/>
      </c>
      <c r="AM354" s="35" t="str">
        <f aca="false">IF(OR($AL354="",$E354=""),"",$E354*$AL354/100)</f>
        <v/>
      </c>
      <c r="AN354" s="30" t="str">
        <f aca="false">IF(OR($AM354="",$E354=""),"",$E354-$AM354)</f>
        <v/>
      </c>
      <c r="AO354" s="35" t="str">
        <f aca="false">IFERROR($E354/($F354/100)^2,"")</f>
        <v/>
      </c>
      <c r="AP354" s="35" t="str">
        <f aca="false">IFERROR($G354/$F354*100,"")</f>
        <v/>
      </c>
      <c r="AQ354" s="36" t="str">
        <f aca="false">IFERROR($W354/$F354,"")</f>
        <v/>
      </c>
      <c r="AR354" s="35" t="str">
        <f aca="false">IF(OR($S354="",$I354=""),"",($S354-PI()*$I354/10)^2/(4*PI())-IF(IFERROR(INDEX(Cadastro!$F$8:$F$47,MATCH($B354,Cadastro!$B$8:$B$47,0)),"")="Feminino",6.5,10))</f>
        <v/>
      </c>
      <c r="AS354" s="35" t="str">
        <f aca="false">IF(OR($I354="",$J354="",$O354="",$F354=""),"",-0.7182+0.1451*(($I354+$J354+$O354)*(170.18/$F354))-0.00068*(($I354+$J354+$O354)*(170.18/$F354))^2+0.0000014*(($I354+$J354+$O354)*(170.18/$F354))^3)</f>
        <v/>
      </c>
      <c r="AT354" s="35" t="str">
        <f aca="false">IF(OR($AE354="",$AF354="",$T354="",$AA354="",$F354=""),"",0.858*$AE354+0.601*$AF354+0.188*($T354-$I354/10)+0.161*($AA354-$R354/10)-0.131*$F354+4.5)</f>
        <v/>
      </c>
      <c r="AU354" s="35" t="str">
        <f aca="false">IF(OR($E354="",$F354=""),"",IF($F354/$E354^(1/3)&gt;=40.75,0.732*($F354/$E354^(1/3))-28.58,IF($F354/$E354^(1/3)&gt;=38.25,0.463*($F354/$E354^(1/3))-17.63,0.1)))</f>
        <v/>
      </c>
      <c r="AV354" s="37" t="str">
        <f aca="false">IF(OR($AS354="",$AT354="",$AU354=""),"",IF(AND($AT354&gt;=$AS354,$AT354&gt;=$AU354),"Mesomorfo dominante",IF(AND($AU354&gt;=$AS354,$AU354&gt;=$AT354),"Ectomorfo dominante","Endomorfo dominante")))</f>
        <v/>
      </c>
    </row>
    <row r="355" customFormat="false" ht="15" hidden="false" customHeight="false" outlineLevel="0" collapsed="false">
      <c r="A355" s="29"/>
      <c r="B355" s="27"/>
      <c r="C355" s="28"/>
      <c r="D355" s="27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3" t="str">
        <f aca="false">IFERROR(DATEDIF(INDEX(Cadastro!$D$8:$D$47,MATCH($B355,Cadastro!$B$8:$B$47,0)),$A355,"Y"),"")</f>
        <v/>
      </c>
      <c r="AH355" s="33" t="str">
        <f aca="false">IF(COUNT($I355,$K355,$J355,$N355)&lt;4,"",$I355+$K355+$J355+$N355)</f>
        <v/>
      </c>
      <c r="AI355" s="33" t="str">
        <f aca="false">IF(COUNT($L355,$M355,$I355,$J355,$P355,$N355,$Q355)&lt;7,"",$L355+$M355+$I355+$J355+$P355+$N355+$Q355)</f>
        <v/>
      </c>
      <c r="AJ355" s="33" t="str">
        <f aca="false">IF(COUNT($I355,$J355,$K355,$O355,$P355,$Q355,$R355,$N355)&lt;8,"",$I355+$J355+$K355+$O355+$P355+$Q355+$R355+$N355)</f>
        <v/>
      </c>
      <c r="AK355" s="34" t="str">
        <f aca="false">IF(OR($AI355="",$AG355=""),"",IF(IFERROR(INDEX(Cadastro!$F$8:$F$47,MATCH($B355,Cadastro!$B$8:$B$47,0)),"")="Feminino",1.097-0.00046971*$AI355+0.00000056*$AI355^2-0.00012828*$AG355,1.112-0.00043499*$AI355+0.00000055*$AI355^2-0.00028826*$AG355))</f>
        <v/>
      </c>
      <c r="AL355" s="30" t="str">
        <f aca="false">IF(OR($AK355="",$AK355=0),"",495/$AK355-450)</f>
        <v/>
      </c>
      <c r="AM355" s="35" t="str">
        <f aca="false">IF(OR($AL355="",$E355=""),"",$E355*$AL355/100)</f>
        <v/>
      </c>
      <c r="AN355" s="30" t="str">
        <f aca="false">IF(OR($AM355="",$E355=""),"",$E355-$AM355)</f>
        <v/>
      </c>
      <c r="AO355" s="35" t="str">
        <f aca="false">IFERROR($E355/($F355/100)^2,"")</f>
        <v/>
      </c>
      <c r="AP355" s="35" t="str">
        <f aca="false">IFERROR($G355/$F355*100,"")</f>
        <v/>
      </c>
      <c r="AQ355" s="36" t="str">
        <f aca="false">IFERROR($W355/$F355,"")</f>
        <v/>
      </c>
      <c r="AR355" s="35" t="str">
        <f aca="false">IF(OR($S355="",$I355=""),"",($S355-PI()*$I355/10)^2/(4*PI())-IF(IFERROR(INDEX(Cadastro!$F$8:$F$47,MATCH($B355,Cadastro!$B$8:$B$47,0)),"")="Feminino",6.5,10))</f>
        <v/>
      </c>
      <c r="AS355" s="35" t="str">
        <f aca="false">IF(OR($I355="",$J355="",$O355="",$F355=""),"",-0.7182+0.1451*(($I355+$J355+$O355)*(170.18/$F355))-0.00068*(($I355+$J355+$O355)*(170.18/$F355))^2+0.0000014*(($I355+$J355+$O355)*(170.18/$F355))^3)</f>
        <v/>
      </c>
      <c r="AT355" s="35" t="str">
        <f aca="false">IF(OR($AE355="",$AF355="",$T355="",$AA355="",$F355=""),"",0.858*$AE355+0.601*$AF355+0.188*($T355-$I355/10)+0.161*($AA355-$R355/10)-0.131*$F355+4.5)</f>
        <v/>
      </c>
      <c r="AU355" s="35" t="str">
        <f aca="false">IF(OR($E355="",$F355=""),"",IF($F355/$E355^(1/3)&gt;=40.75,0.732*($F355/$E355^(1/3))-28.58,IF($F355/$E355^(1/3)&gt;=38.25,0.463*($F355/$E355^(1/3))-17.63,0.1)))</f>
        <v/>
      </c>
      <c r="AV355" s="37" t="str">
        <f aca="false">IF(OR($AS355="",$AT355="",$AU355=""),"",IF(AND($AT355&gt;=$AS355,$AT355&gt;=$AU355),"Mesomorfo dominante",IF(AND($AU355&gt;=$AS355,$AU355&gt;=$AT355),"Ectomorfo dominante","Endomorfo dominante")))</f>
        <v/>
      </c>
    </row>
    <row r="356" customFormat="false" ht="15" hidden="false" customHeight="false" outlineLevel="0" collapsed="false">
      <c r="A356" s="29"/>
      <c r="B356" s="27"/>
      <c r="C356" s="28"/>
      <c r="D356" s="27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3" t="str">
        <f aca="false">IFERROR(DATEDIF(INDEX(Cadastro!$D$8:$D$47,MATCH($B356,Cadastro!$B$8:$B$47,0)),$A356,"Y"),"")</f>
        <v/>
      </c>
      <c r="AH356" s="33" t="str">
        <f aca="false">IF(COUNT($I356,$K356,$J356,$N356)&lt;4,"",$I356+$K356+$J356+$N356)</f>
        <v/>
      </c>
      <c r="AI356" s="33" t="str">
        <f aca="false">IF(COUNT($L356,$M356,$I356,$J356,$P356,$N356,$Q356)&lt;7,"",$L356+$M356+$I356+$J356+$P356+$N356+$Q356)</f>
        <v/>
      </c>
      <c r="AJ356" s="33" t="str">
        <f aca="false">IF(COUNT($I356,$J356,$K356,$O356,$P356,$Q356,$R356,$N356)&lt;8,"",$I356+$J356+$K356+$O356+$P356+$Q356+$R356+$N356)</f>
        <v/>
      </c>
      <c r="AK356" s="34" t="str">
        <f aca="false">IF(OR($AI356="",$AG356=""),"",IF(IFERROR(INDEX(Cadastro!$F$8:$F$47,MATCH($B356,Cadastro!$B$8:$B$47,0)),"")="Feminino",1.097-0.00046971*$AI356+0.00000056*$AI356^2-0.00012828*$AG356,1.112-0.00043499*$AI356+0.00000055*$AI356^2-0.00028826*$AG356))</f>
        <v/>
      </c>
      <c r="AL356" s="30" t="str">
        <f aca="false">IF(OR($AK356="",$AK356=0),"",495/$AK356-450)</f>
        <v/>
      </c>
      <c r="AM356" s="35" t="str">
        <f aca="false">IF(OR($AL356="",$E356=""),"",$E356*$AL356/100)</f>
        <v/>
      </c>
      <c r="AN356" s="30" t="str">
        <f aca="false">IF(OR($AM356="",$E356=""),"",$E356-$AM356)</f>
        <v/>
      </c>
      <c r="AO356" s="35" t="str">
        <f aca="false">IFERROR($E356/($F356/100)^2,"")</f>
        <v/>
      </c>
      <c r="AP356" s="35" t="str">
        <f aca="false">IFERROR($G356/$F356*100,"")</f>
        <v/>
      </c>
      <c r="AQ356" s="36" t="str">
        <f aca="false">IFERROR($W356/$F356,"")</f>
        <v/>
      </c>
      <c r="AR356" s="35" t="str">
        <f aca="false">IF(OR($S356="",$I356=""),"",($S356-PI()*$I356/10)^2/(4*PI())-IF(IFERROR(INDEX(Cadastro!$F$8:$F$47,MATCH($B356,Cadastro!$B$8:$B$47,0)),"")="Feminino",6.5,10))</f>
        <v/>
      </c>
      <c r="AS356" s="35" t="str">
        <f aca="false">IF(OR($I356="",$J356="",$O356="",$F356=""),"",-0.7182+0.1451*(($I356+$J356+$O356)*(170.18/$F356))-0.00068*(($I356+$J356+$O356)*(170.18/$F356))^2+0.0000014*(($I356+$J356+$O356)*(170.18/$F356))^3)</f>
        <v/>
      </c>
      <c r="AT356" s="35" t="str">
        <f aca="false">IF(OR($AE356="",$AF356="",$T356="",$AA356="",$F356=""),"",0.858*$AE356+0.601*$AF356+0.188*($T356-$I356/10)+0.161*($AA356-$R356/10)-0.131*$F356+4.5)</f>
        <v/>
      </c>
      <c r="AU356" s="35" t="str">
        <f aca="false">IF(OR($E356="",$F356=""),"",IF($F356/$E356^(1/3)&gt;=40.75,0.732*($F356/$E356^(1/3))-28.58,IF($F356/$E356^(1/3)&gt;=38.25,0.463*($F356/$E356^(1/3))-17.63,0.1)))</f>
        <v/>
      </c>
      <c r="AV356" s="37" t="str">
        <f aca="false">IF(OR($AS356="",$AT356="",$AU356=""),"",IF(AND($AT356&gt;=$AS356,$AT356&gt;=$AU356),"Mesomorfo dominante",IF(AND($AU356&gt;=$AS356,$AU356&gt;=$AT356),"Ectomorfo dominante","Endomorfo dominante")))</f>
        <v/>
      </c>
    </row>
    <row r="357" customFormat="false" ht="15" hidden="false" customHeight="false" outlineLevel="0" collapsed="false">
      <c r="A357" s="29"/>
      <c r="B357" s="27"/>
      <c r="C357" s="28"/>
      <c r="D357" s="27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3" t="str">
        <f aca="false">IFERROR(DATEDIF(INDEX(Cadastro!$D$8:$D$47,MATCH($B357,Cadastro!$B$8:$B$47,0)),$A357,"Y"),"")</f>
        <v/>
      </c>
      <c r="AH357" s="33" t="str">
        <f aca="false">IF(COUNT($I357,$K357,$J357,$N357)&lt;4,"",$I357+$K357+$J357+$N357)</f>
        <v/>
      </c>
      <c r="AI357" s="33" t="str">
        <f aca="false">IF(COUNT($L357,$M357,$I357,$J357,$P357,$N357,$Q357)&lt;7,"",$L357+$M357+$I357+$J357+$P357+$N357+$Q357)</f>
        <v/>
      </c>
      <c r="AJ357" s="33" t="str">
        <f aca="false">IF(COUNT($I357,$J357,$K357,$O357,$P357,$Q357,$R357,$N357)&lt;8,"",$I357+$J357+$K357+$O357+$P357+$Q357+$R357+$N357)</f>
        <v/>
      </c>
      <c r="AK357" s="34" t="str">
        <f aca="false">IF(OR($AI357="",$AG357=""),"",IF(IFERROR(INDEX(Cadastro!$F$8:$F$47,MATCH($B357,Cadastro!$B$8:$B$47,0)),"")="Feminino",1.097-0.00046971*$AI357+0.00000056*$AI357^2-0.00012828*$AG357,1.112-0.00043499*$AI357+0.00000055*$AI357^2-0.00028826*$AG357))</f>
        <v/>
      </c>
      <c r="AL357" s="30" t="str">
        <f aca="false">IF(OR($AK357="",$AK357=0),"",495/$AK357-450)</f>
        <v/>
      </c>
      <c r="AM357" s="35" t="str">
        <f aca="false">IF(OR($AL357="",$E357=""),"",$E357*$AL357/100)</f>
        <v/>
      </c>
      <c r="AN357" s="30" t="str">
        <f aca="false">IF(OR($AM357="",$E357=""),"",$E357-$AM357)</f>
        <v/>
      </c>
      <c r="AO357" s="35" t="str">
        <f aca="false">IFERROR($E357/($F357/100)^2,"")</f>
        <v/>
      </c>
      <c r="AP357" s="35" t="str">
        <f aca="false">IFERROR($G357/$F357*100,"")</f>
        <v/>
      </c>
      <c r="AQ357" s="36" t="str">
        <f aca="false">IFERROR($W357/$F357,"")</f>
        <v/>
      </c>
      <c r="AR357" s="35" t="str">
        <f aca="false">IF(OR($S357="",$I357=""),"",($S357-PI()*$I357/10)^2/(4*PI())-IF(IFERROR(INDEX(Cadastro!$F$8:$F$47,MATCH($B357,Cadastro!$B$8:$B$47,0)),"")="Feminino",6.5,10))</f>
        <v/>
      </c>
      <c r="AS357" s="35" t="str">
        <f aca="false">IF(OR($I357="",$J357="",$O357="",$F357=""),"",-0.7182+0.1451*(($I357+$J357+$O357)*(170.18/$F357))-0.00068*(($I357+$J357+$O357)*(170.18/$F357))^2+0.0000014*(($I357+$J357+$O357)*(170.18/$F357))^3)</f>
        <v/>
      </c>
      <c r="AT357" s="35" t="str">
        <f aca="false">IF(OR($AE357="",$AF357="",$T357="",$AA357="",$F357=""),"",0.858*$AE357+0.601*$AF357+0.188*($T357-$I357/10)+0.161*($AA357-$R357/10)-0.131*$F357+4.5)</f>
        <v/>
      </c>
      <c r="AU357" s="35" t="str">
        <f aca="false">IF(OR($E357="",$F357=""),"",IF($F357/$E357^(1/3)&gt;=40.75,0.732*($F357/$E357^(1/3))-28.58,IF($F357/$E357^(1/3)&gt;=38.25,0.463*($F357/$E357^(1/3))-17.63,0.1)))</f>
        <v/>
      </c>
      <c r="AV357" s="37" t="str">
        <f aca="false">IF(OR($AS357="",$AT357="",$AU357=""),"",IF(AND($AT357&gt;=$AS357,$AT357&gt;=$AU357),"Mesomorfo dominante",IF(AND($AU357&gt;=$AS357,$AU357&gt;=$AT357),"Ectomorfo dominante","Endomorfo dominante")))</f>
        <v/>
      </c>
    </row>
    <row r="358" customFormat="false" ht="15" hidden="false" customHeight="false" outlineLevel="0" collapsed="false">
      <c r="A358" s="29"/>
      <c r="B358" s="27"/>
      <c r="C358" s="28"/>
      <c r="D358" s="27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3" t="str">
        <f aca="false">IFERROR(DATEDIF(INDEX(Cadastro!$D$8:$D$47,MATCH($B358,Cadastro!$B$8:$B$47,0)),$A358,"Y"),"")</f>
        <v/>
      </c>
      <c r="AH358" s="33" t="str">
        <f aca="false">IF(COUNT($I358,$K358,$J358,$N358)&lt;4,"",$I358+$K358+$J358+$N358)</f>
        <v/>
      </c>
      <c r="AI358" s="33" t="str">
        <f aca="false">IF(COUNT($L358,$M358,$I358,$J358,$P358,$N358,$Q358)&lt;7,"",$L358+$M358+$I358+$J358+$P358+$N358+$Q358)</f>
        <v/>
      </c>
      <c r="AJ358" s="33" t="str">
        <f aca="false">IF(COUNT($I358,$J358,$K358,$O358,$P358,$Q358,$R358,$N358)&lt;8,"",$I358+$J358+$K358+$O358+$P358+$Q358+$R358+$N358)</f>
        <v/>
      </c>
      <c r="AK358" s="34" t="str">
        <f aca="false">IF(OR($AI358="",$AG358=""),"",IF(IFERROR(INDEX(Cadastro!$F$8:$F$47,MATCH($B358,Cadastro!$B$8:$B$47,0)),"")="Feminino",1.097-0.00046971*$AI358+0.00000056*$AI358^2-0.00012828*$AG358,1.112-0.00043499*$AI358+0.00000055*$AI358^2-0.00028826*$AG358))</f>
        <v/>
      </c>
      <c r="AL358" s="30" t="str">
        <f aca="false">IF(OR($AK358="",$AK358=0),"",495/$AK358-450)</f>
        <v/>
      </c>
      <c r="AM358" s="35" t="str">
        <f aca="false">IF(OR($AL358="",$E358=""),"",$E358*$AL358/100)</f>
        <v/>
      </c>
      <c r="AN358" s="30" t="str">
        <f aca="false">IF(OR($AM358="",$E358=""),"",$E358-$AM358)</f>
        <v/>
      </c>
      <c r="AO358" s="35" t="str">
        <f aca="false">IFERROR($E358/($F358/100)^2,"")</f>
        <v/>
      </c>
      <c r="AP358" s="35" t="str">
        <f aca="false">IFERROR($G358/$F358*100,"")</f>
        <v/>
      </c>
      <c r="AQ358" s="36" t="str">
        <f aca="false">IFERROR($W358/$F358,"")</f>
        <v/>
      </c>
      <c r="AR358" s="35" t="str">
        <f aca="false">IF(OR($S358="",$I358=""),"",($S358-PI()*$I358/10)^2/(4*PI())-IF(IFERROR(INDEX(Cadastro!$F$8:$F$47,MATCH($B358,Cadastro!$B$8:$B$47,0)),"")="Feminino",6.5,10))</f>
        <v/>
      </c>
      <c r="AS358" s="35" t="str">
        <f aca="false">IF(OR($I358="",$J358="",$O358="",$F358=""),"",-0.7182+0.1451*(($I358+$J358+$O358)*(170.18/$F358))-0.00068*(($I358+$J358+$O358)*(170.18/$F358))^2+0.0000014*(($I358+$J358+$O358)*(170.18/$F358))^3)</f>
        <v/>
      </c>
      <c r="AT358" s="35" t="str">
        <f aca="false">IF(OR($AE358="",$AF358="",$T358="",$AA358="",$F358=""),"",0.858*$AE358+0.601*$AF358+0.188*($T358-$I358/10)+0.161*($AA358-$R358/10)-0.131*$F358+4.5)</f>
        <v/>
      </c>
      <c r="AU358" s="35" t="str">
        <f aca="false">IF(OR($E358="",$F358=""),"",IF($F358/$E358^(1/3)&gt;=40.75,0.732*($F358/$E358^(1/3))-28.58,IF($F358/$E358^(1/3)&gt;=38.25,0.463*($F358/$E358^(1/3))-17.63,0.1)))</f>
        <v/>
      </c>
      <c r="AV358" s="37" t="str">
        <f aca="false">IF(OR($AS358="",$AT358="",$AU358=""),"",IF(AND($AT358&gt;=$AS358,$AT358&gt;=$AU358),"Mesomorfo dominante",IF(AND($AU358&gt;=$AS358,$AU358&gt;=$AT358),"Ectomorfo dominante","Endomorfo dominante")))</f>
        <v/>
      </c>
    </row>
    <row r="359" customFormat="false" ht="15" hidden="false" customHeight="false" outlineLevel="0" collapsed="false">
      <c r="A359" s="29"/>
      <c r="B359" s="27"/>
      <c r="C359" s="28"/>
      <c r="D359" s="27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3" t="str">
        <f aca="false">IFERROR(DATEDIF(INDEX(Cadastro!$D$8:$D$47,MATCH($B359,Cadastro!$B$8:$B$47,0)),$A359,"Y"),"")</f>
        <v/>
      </c>
      <c r="AH359" s="33" t="str">
        <f aca="false">IF(COUNT($I359,$K359,$J359,$N359)&lt;4,"",$I359+$K359+$J359+$N359)</f>
        <v/>
      </c>
      <c r="AI359" s="33" t="str">
        <f aca="false">IF(COUNT($L359,$M359,$I359,$J359,$P359,$N359,$Q359)&lt;7,"",$L359+$M359+$I359+$J359+$P359+$N359+$Q359)</f>
        <v/>
      </c>
      <c r="AJ359" s="33" t="str">
        <f aca="false">IF(COUNT($I359,$J359,$K359,$O359,$P359,$Q359,$R359,$N359)&lt;8,"",$I359+$J359+$K359+$O359+$P359+$Q359+$R359+$N359)</f>
        <v/>
      </c>
      <c r="AK359" s="34" t="str">
        <f aca="false">IF(OR($AI359="",$AG359=""),"",IF(IFERROR(INDEX(Cadastro!$F$8:$F$47,MATCH($B359,Cadastro!$B$8:$B$47,0)),"")="Feminino",1.097-0.00046971*$AI359+0.00000056*$AI359^2-0.00012828*$AG359,1.112-0.00043499*$AI359+0.00000055*$AI359^2-0.00028826*$AG359))</f>
        <v/>
      </c>
      <c r="AL359" s="30" t="str">
        <f aca="false">IF(OR($AK359="",$AK359=0),"",495/$AK359-450)</f>
        <v/>
      </c>
      <c r="AM359" s="35" t="str">
        <f aca="false">IF(OR($AL359="",$E359=""),"",$E359*$AL359/100)</f>
        <v/>
      </c>
      <c r="AN359" s="30" t="str">
        <f aca="false">IF(OR($AM359="",$E359=""),"",$E359-$AM359)</f>
        <v/>
      </c>
      <c r="AO359" s="35" t="str">
        <f aca="false">IFERROR($E359/($F359/100)^2,"")</f>
        <v/>
      </c>
      <c r="AP359" s="35" t="str">
        <f aca="false">IFERROR($G359/$F359*100,"")</f>
        <v/>
      </c>
      <c r="AQ359" s="36" t="str">
        <f aca="false">IFERROR($W359/$F359,"")</f>
        <v/>
      </c>
      <c r="AR359" s="35" t="str">
        <f aca="false">IF(OR($S359="",$I359=""),"",($S359-PI()*$I359/10)^2/(4*PI())-IF(IFERROR(INDEX(Cadastro!$F$8:$F$47,MATCH($B359,Cadastro!$B$8:$B$47,0)),"")="Feminino",6.5,10))</f>
        <v/>
      </c>
      <c r="AS359" s="35" t="str">
        <f aca="false">IF(OR($I359="",$J359="",$O359="",$F359=""),"",-0.7182+0.1451*(($I359+$J359+$O359)*(170.18/$F359))-0.00068*(($I359+$J359+$O359)*(170.18/$F359))^2+0.0000014*(($I359+$J359+$O359)*(170.18/$F359))^3)</f>
        <v/>
      </c>
      <c r="AT359" s="35" t="str">
        <f aca="false">IF(OR($AE359="",$AF359="",$T359="",$AA359="",$F359=""),"",0.858*$AE359+0.601*$AF359+0.188*($T359-$I359/10)+0.161*($AA359-$R359/10)-0.131*$F359+4.5)</f>
        <v/>
      </c>
      <c r="AU359" s="35" t="str">
        <f aca="false">IF(OR($E359="",$F359=""),"",IF($F359/$E359^(1/3)&gt;=40.75,0.732*($F359/$E359^(1/3))-28.58,IF($F359/$E359^(1/3)&gt;=38.25,0.463*($F359/$E359^(1/3))-17.63,0.1)))</f>
        <v/>
      </c>
      <c r="AV359" s="37" t="str">
        <f aca="false">IF(OR($AS359="",$AT359="",$AU359=""),"",IF(AND($AT359&gt;=$AS359,$AT359&gt;=$AU359),"Mesomorfo dominante",IF(AND($AU359&gt;=$AS359,$AU359&gt;=$AT359),"Ectomorfo dominante","Endomorfo dominante")))</f>
        <v/>
      </c>
    </row>
    <row r="360" customFormat="false" ht="15" hidden="false" customHeight="false" outlineLevel="0" collapsed="false">
      <c r="A360" s="29"/>
      <c r="B360" s="27"/>
      <c r="C360" s="28"/>
      <c r="D360" s="27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3" t="str">
        <f aca="false">IFERROR(DATEDIF(INDEX(Cadastro!$D$8:$D$47,MATCH($B360,Cadastro!$B$8:$B$47,0)),$A360,"Y"),"")</f>
        <v/>
      </c>
      <c r="AH360" s="33" t="str">
        <f aca="false">IF(COUNT($I360,$K360,$J360,$N360)&lt;4,"",$I360+$K360+$J360+$N360)</f>
        <v/>
      </c>
      <c r="AI360" s="33" t="str">
        <f aca="false">IF(COUNT($L360,$M360,$I360,$J360,$P360,$N360,$Q360)&lt;7,"",$L360+$M360+$I360+$J360+$P360+$N360+$Q360)</f>
        <v/>
      </c>
      <c r="AJ360" s="33" t="str">
        <f aca="false">IF(COUNT($I360,$J360,$K360,$O360,$P360,$Q360,$R360,$N360)&lt;8,"",$I360+$J360+$K360+$O360+$P360+$Q360+$R360+$N360)</f>
        <v/>
      </c>
      <c r="AK360" s="34" t="str">
        <f aca="false">IF(OR($AI360="",$AG360=""),"",IF(IFERROR(INDEX(Cadastro!$F$8:$F$47,MATCH($B360,Cadastro!$B$8:$B$47,0)),"")="Feminino",1.097-0.00046971*$AI360+0.00000056*$AI360^2-0.00012828*$AG360,1.112-0.00043499*$AI360+0.00000055*$AI360^2-0.00028826*$AG360))</f>
        <v/>
      </c>
      <c r="AL360" s="30" t="str">
        <f aca="false">IF(OR($AK360="",$AK360=0),"",495/$AK360-450)</f>
        <v/>
      </c>
      <c r="AM360" s="35" t="str">
        <f aca="false">IF(OR($AL360="",$E360=""),"",$E360*$AL360/100)</f>
        <v/>
      </c>
      <c r="AN360" s="30" t="str">
        <f aca="false">IF(OR($AM360="",$E360=""),"",$E360-$AM360)</f>
        <v/>
      </c>
      <c r="AO360" s="35" t="str">
        <f aca="false">IFERROR($E360/($F360/100)^2,"")</f>
        <v/>
      </c>
      <c r="AP360" s="35" t="str">
        <f aca="false">IFERROR($G360/$F360*100,"")</f>
        <v/>
      </c>
      <c r="AQ360" s="36" t="str">
        <f aca="false">IFERROR($W360/$F360,"")</f>
        <v/>
      </c>
      <c r="AR360" s="35" t="str">
        <f aca="false">IF(OR($S360="",$I360=""),"",($S360-PI()*$I360/10)^2/(4*PI())-IF(IFERROR(INDEX(Cadastro!$F$8:$F$47,MATCH($B360,Cadastro!$B$8:$B$47,0)),"")="Feminino",6.5,10))</f>
        <v/>
      </c>
      <c r="AS360" s="35" t="str">
        <f aca="false">IF(OR($I360="",$J360="",$O360="",$F360=""),"",-0.7182+0.1451*(($I360+$J360+$O360)*(170.18/$F360))-0.00068*(($I360+$J360+$O360)*(170.18/$F360))^2+0.0000014*(($I360+$J360+$O360)*(170.18/$F360))^3)</f>
        <v/>
      </c>
      <c r="AT360" s="35" t="str">
        <f aca="false">IF(OR($AE360="",$AF360="",$T360="",$AA360="",$F360=""),"",0.858*$AE360+0.601*$AF360+0.188*($T360-$I360/10)+0.161*($AA360-$R360/10)-0.131*$F360+4.5)</f>
        <v/>
      </c>
      <c r="AU360" s="35" t="str">
        <f aca="false">IF(OR($E360="",$F360=""),"",IF($F360/$E360^(1/3)&gt;=40.75,0.732*($F360/$E360^(1/3))-28.58,IF($F360/$E360^(1/3)&gt;=38.25,0.463*($F360/$E360^(1/3))-17.63,0.1)))</f>
        <v/>
      </c>
      <c r="AV360" s="37" t="str">
        <f aca="false">IF(OR($AS360="",$AT360="",$AU360=""),"",IF(AND($AT360&gt;=$AS360,$AT360&gt;=$AU360),"Mesomorfo dominante",IF(AND($AU360&gt;=$AS360,$AU360&gt;=$AT360),"Ectomorfo dominante","Endomorfo dominante")))</f>
        <v/>
      </c>
    </row>
    <row r="361" customFormat="false" ht="15" hidden="false" customHeight="false" outlineLevel="0" collapsed="false">
      <c r="A361" s="29"/>
      <c r="B361" s="27"/>
      <c r="C361" s="28"/>
      <c r="D361" s="27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3" t="str">
        <f aca="false">IFERROR(DATEDIF(INDEX(Cadastro!$D$8:$D$47,MATCH($B361,Cadastro!$B$8:$B$47,0)),$A361,"Y"),"")</f>
        <v/>
      </c>
      <c r="AH361" s="33" t="str">
        <f aca="false">IF(COUNT($I361,$K361,$J361,$N361)&lt;4,"",$I361+$K361+$J361+$N361)</f>
        <v/>
      </c>
      <c r="AI361" s="33" t="str">
        <f aca="false">IF(COUNT($L361,$M361,$I361,$J361,$P361,$N361,$Q361)&lt;7,"",$L361+$M361+$I361+$J361+$P361+$N361+$Q361)</f>
        <v/>
      </c>
      <c r="AJ361" s="33" t="str">
        <f aca="false">IF(COUNT($I361,$J361,$K361,$O361,$P361,$Q361,$R361,$N361)&lt;8,"",$I361+$J361+$K361+$O361+$P361+$Q361+$R361+$N361)</f>
        <v/>
      </c>
      <c r="AK361" s="34" t="str">
        <f aca="false">IF(OR($AI361="",$AG361=""),"",IF(IFERROR(INDEX(Cadastro!$F$8:$F$47,MATCH($B361,Cadastro!$B$8:$B$47,0)),"")="Feminino",1.097-0.00046971*$AI361+0.00000056*$AI361^2-0.00012828*$AG361,1.112-0.00043499*$AI361+0.00000055*$AI361^2-0.00028826*$AG361))</f>
        <v/>
      </c>
      <c r="AL361" s="30" t="str">
        <f aca="false">IF(OR($AK361="",$AK361=0),"",495/$AK361-450)</f>
        <v/>
      </c>
      <c r="AM361" s="35" t="str">
        <f aca="false">IF(OR($AL361="",$E361=""),"",$E361*$AL361/100)</f>
        <v/>
      </c>
      <c r="AN361" s="30" t="str">
        <f aca="false">IF(OR($AM361="",$E361=""),"",$E361-$AM361)</f>
        <v/>
      </c>
      <c r="AO361" s="35" t="str">
        <f aca="false">IFERROR($E361/($F361/100)^2,"")</f>
        <v/>
      </c>
      <c r="AP361" s="35" t="str">
        <f aca="false">IFERROR($G361/$F361*100,"")</f>
        <v/>
      </c>
      <c r="AQ361" s="36" t="str">
        <f aca="false">IFERROR($W361/$F361,"")</f>
        <v/>
      </c>
      <c r="AR361" s="35" t="str">
        <f aca="false">IF(OR($S361="",$I361=""),"",($S361-PI()*$I361/10)^2/(4*PI())-IF(IFERROR(INDEX(Cadastro!$F$8:$F$47,MATCH($B361,Cadastro!$B$8:$B$47,0)),"")="Feminino",6.5,10))</f>
        <v/>
      </c>
      <c r="AS361" s="35" t="str">
        <f aca="false">IF(OR($I361="",$J361="",$O361="",$F361=""),"",-0.7182+0.1451*(($I361+$J361+$O361)*(170.18/$F361))-0.00068*(($I361+$J361+$O361)*(170.18/$F361))^2+0.0000014*(($I361+$J361+$O361)*(170.18/$F361))^3)</f>
        <v/>
      </c>
      <c r="AT361" s="35" t="str">
        <f aca="false">IF(OR($AE361="",$AF361="",$T361="",$AA361="",$F361=""),"",0.858*$AE361+0.601*$AF361+0.188*($T361-$I361/10)+0.161*($AA361-$R361/10)-0.131*$F361+4.5)</f>
        <v/>
      </c>
      <c r="AU361" s="35" t="str">
        <f aca="false">IF(OR($E361="",$F361=""),"",IF($F361/$E361^(1/3)&gt;=40.75,0.732*($F361/$E361^(1/3))-28.58,IF($F361/$E361^(1/3)&gt;=38.25,0.463*($F361/$E361^(1/3))-17.63,0.1)))</f>
        <v/>
      </c>
      <c r="AV361" s="37" t="str">
        <f aca="false">IF(OR($AS361="",$AT361="",$AU361=""),"",IF(AND($AT361&gt;=$AS361,$AT361&gt;=$AU361),"Mesomorfo dominante",IF(AND($AU361&gt;=$AS361,$AU361&gt;=$AT361),"Ectomorfo dominante","Endomorfo dominante")))</f>
        <v/>
      </c>
    </row>
    <row r="362" customFormat="false" ht="15" hidden="false" customHeight="false" outlineLevel="0" collapsed="false">
      <c r="A362" s="29"/>
      <c r="B362" s="27"/>
      <c r="C362" s="28"/>
      <c r="D362" s="27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3" t="str">
        <f aca="false">IFERROR(DATEDIF(INDEX(Cadastro!$D$8:$D$47,MATCH($B362,Cadastro!$B$8:$B$47,0)),$A362,"Y"),"")</f>
        <v/>
      </c>
      <c r="AH362" s="33" t="str">
        <f aca="false">IF(COUNT($I362,$K362,$J362,$N362)&lt;4,"",$I362+$K362+$J362+$N362)</f>
        <v/>
      </c>
      <c r="AI362" s="33" t="str">
        <f aca="false">IF(COUNT($L362,$M362,$I362,$J362,$P362,$N362,$Q362)&lt;7,"",$L362+$M362+$I362+$J362+$P362+$N362+$Q362)</f>
        <v/>
      </c>
      <c r="AJ362" s="33" t="str">
        <f aca="false">IF(COUNT($I362,$J362,$K362,$O362,$P362,$Q362,$R362,$N362)&lt;8,"",$I362+$J362+$K362+$O362+$P362+$Q362+$R362+$N362)</f>
        <v/>
      </c>
      <c r="AK362" s="34" t="str">
        <f aca="false">IF(OR($AI362="",$AG362=""),"",IF(IFERROR(INDEX(Cadastro!$F$8:$F$47,MATCH($B362,Cadastro!$B$8:$B$47,0)),"")="Feminino",1.097-0.00046971*$AI362+0.00000056*$AI362^2-0.00012828*$AG362,1.112-0.00043499*$AI362+0.00000055*$AI362^2-0.00028826*$AG362))</f>
        <v/>
      </c>
      <c r="AL362" s="30" t="str">
        <f aca="false">IF(OR($AK362="",$AK362=0),"",495/$AK362-450)</f>
        <v/>
      </c>
      <c r="AM362" s="35" t="str">
        <f aca="false">IF(OR($AL362="",$E362=""),"",$E362*$AL362/100)</f>
        <v/>
      </c>
      <c r="AN362" s="30" t="str">
        <f aca="false">IF(OR($AM362="",$E362=""),"",$E362-$AM362)</f>
        <v/>
      </c>
      <c r="AO362" s="35" t="str">
        <f aca="false">IFERROR($E362/($F362/100)^2,"")</f>
        <v/>
      </c>
      <c r="AP362" s="35" t="str">
        <f aca="false">IFERROR($G362/$F362*100,"")</f>
        <v/>
      </c>
      <c r="AQ362" s="36" t="str">
        <f aca="false">IFERROR($W362/$F362,"")</f>
        <v/>
      </c>
      <c r="AR362" s="35" t="str">
        <f aca="false">IF(OR($S362="",$I362=""),"",($S362-PI()*$I362/10)^2/(4*PI())-IF(IFERROR(INDEX(Cadastro!$F$8:$F$47,MATCH($B362,Cadastro!$B$8:$B$47,0)),"")="Feminino",6.5,10))</f>
        <v/>
      </c>
      <c r="AS362" s="35" t="str">
        <f aca="false">IF(OR($I362="",$J362="",$O362="",$F362=""),"",-0.7182+0.1451*(($I362+$J362+$O362)*(170.18/$F362))-0.00068*(($I362+$J362+$O362)*(170.18/$F362))^2+0.0000014*(($I362+$J362+$O362)*(170.18/$F362))^3)</f>
        <v/>
      </c>
      <c r="AT362" s="35" t="str">
        <f aca="false">IF(OR($AE362="",$AF362="",$T362="",$AA362="",$F362=""),"",0.858*$AE362+0.601*$AF362+0.188*($T362-$I362/10)+0.161*($AA362-$R362/10)-0.131*$F362+4.5)</f>
        <v/>
      </c>
      <c r="AU362" s="35" t="str">
        <f aca="false">IF(OR($E362="",$F362=""),"",IF($F362/$E362^(1/3)&gt;=40.75,0.732*($F362/$E362^(1/3))-28.58,IF($F362/$E362^(1/3)&gt;=38.25,0.463*($F362/$E362^(1/3))-17.63,0.1)))</f>
        <v/>
      </c>
      <c r="AV362" s="37" t="str">
        <f aca="false">IF(OR($AS362="",$AT362="",$AU362=""),"",IF(AND($AT362&gt;=$AS362,$AT362&gt;=$AU362),"Mesomorfo dominante",IF(AND($AU362&gt;=$AS362,$AU362&gt;=$AT362),"Ectomorfo dominante","Endomorfo dominante")))</f>
        <v/>
      </c>
    </row>
    <row r="363" customFormat="false" ht="15" hidden="false" customHeight="false" outlineLevel="0" collapsed="false">
      <c r="A363" s="29"/>
      <c r="B363" s="27"/>
      <c r="C363" s="28"/>
      <c r="D363" s="27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3" t="str">
        <f aca="false">IFERROR(DATEDIF(INDEX(Cadastro!$D$8:$D$47,MATCH($B363,Cadastro!$B$8:$B$47,0)),$A363,"Y"),"")</f>
        <v/>
      </c>
      <c r="AH363" s="33" t="str">
        <f aca="false">IF(COUNT($I363,$K363,$J363,$N363)&lt;4,"",$I363+$K363+$J363+$N363)</f>
        <v/>
      </c>
      <c r="AI363" s="33" t="str">
        <f aca="false">IF(COUNT($L363,$M363,$I363,$J363,$P363,$N363,$Q363)&lt;7,"",$L363+$M363+$I363+$J363+$P363+$N363+$Q363)</f>
        <v/>
      </c>
      <c r="AJ363" s="33" t="str">
        <f aca="false">IF(COUNT($I363,$J363,$K363,$O363,$P363,$Q363,$R363,$N363)&lt;8,"",$I363+$J363+$K363+$O363+$P363+$Q363+$R363+$N363)</f>
        <v/>
      </c>
      <c r="AK363" s="34" t="str">
        <f aca="false">IF(OR($AI363="",$AG363=""),"",IF(IFERROR(INDEX(Cadastro!$F$8:$F$47,MATCH($B363,Cadastro!$B$8:$B$47,0)),"")="Feminino",1.097-0.00046971*$AI363+0.00000056*$AI363^2-0.00012828*$AG363,1.112-0.00043499*$AI363+0.00000055*$AI363^2-0.00028826*$AG363))</f>
        <v/>
      </c>
      <c r="AL363" s="30" t="str">
        <f aca="false">IF(OR($AK363="",$AK363=0),"",495/$AK363-450)</f>
        <v/>
      </c>
      <c r="AM363" s="35" t="str">
        <f aca="false">IF(OR($AL363="",$E363=""),"",$E363*$AL363/100)</f>
        <v/>
      </c>
      <c r="AN363" s="30" t="str">
        <f aca="false">IF(OR($AM363="",$E363=""),"",$E363-$AM363)</f>
        <v/>
      </c>
      <c r="AO363" s="35" t="str">
        <f aca="false">IFERROR($E363/($F363/100)^2,"")</f>
        <v/>
      </c>
      <c r="AP363" s="35" t="str">
        <f aca="false">IFERROR($G363/$F363*100,"")</f>
        <v/>
      </c>
      <c r="AQ363" s="36" t="str">
        <f aca="false">IFERROR($W363/$F363,"")</f>
        <v/>
      </c>
      <c r="AR363" s="35" t="str">
        <f aca="false">IF(OR($S363="",$I363=""),"",($S363-PI()*$I363/10)^2/(4*PI())-IF(IFERROR(INDEX(Cadastro!$F$8:$F$47,MATCH($B363,Cadastro!$B$8:$B$47,0)),"")="Feminino",6.5,10))</f>
        <v/>
      </c>
      <c r="AS363" s="35" t="str">
        <f aca="false">IF(OR($I363="",$J363="",$O363="",$F363=""),"",-0.7182+0.1451*(($I363+$J363+$O363)*(170.18/$F363))-0.00068*(($I363+$J363+$O363)*(170.18/$F363))^2+0.0000014*(($I363+$J363+$O363)*(170.18/$F363))^3)</f>
        <v/>
      </c>
      <c r="AT363" s="35" t="str">
        <f aca="false">IF(OR($AE363="",$AF363="",$T363="",$AA363="",$F363=""),"",0.858*$AE363+0.601*$AF363+0.188*($T363-$I363/10)+0.161*($AA363-$R363/10)-0.131*$F363+4.5)</f>
        <v/>
      </c>
      <c r="AU363" s="35" t="str">
        <f aca="false">IF(OR($E363="",$F363=""),"",IF($F363/$E363^(1/3)&gt;=40.75,0.732*($F363/$E363^(1/3))-28.58,IF($F363/$E363^(1/3)&gt;=38.25,0.463*($F363/$E363^(1/3))-17.63,0.1)))</f>
        <v/>
      </c>
      <c r="AV363" s="37" t="str">
        <f aca="false">IF(OR($AS363="",$AT363="",$AU363=""),"",IF(AND($AT363&gt;=$AS363,$AT363&gt;=$AU363),"Mesomorfo dominante",IF(AND($AU363&gt;=$AS363,$AU363&gt;=$AT363),"Ectomorfo dominante","Endomorfo dominante")))</f>
        <v/>
      </c>
    </row>
    <row r="364" customFormat="false" ht="15" hidden="false" customHeight="false" outlineLevel="0" collapsed="false">
      <c r="A364" s="29"/>
      <c r="B364" s="27"/>
      <c r="C364" s="28"/>
      <c r="D364" s="27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3" t="str">
        <f aca="false">IFERROR(DATEDIF(INDEX(Cadastro!$D$8:$D$47,MATCH($B364,Cadastro!$B$8:$B$47,0)),$A364,"Y"),"")</f>
        <v/>
      </c>
      <c r="AH364" s="33" t="str">
        <f aca="false">IF(COUNT($I364,$K364,$J364,$N364)&lt;4,"",$I364+$K364+$J364+$N364)</f>
        <v/>
      </c>
      <c r="AI364" s="33" t="str">
        <f aca="false">IF(COUNT($L364,$M364,$I364,$J364,$P364,$N364,$Q364)&lt;7,"",$L364+$M364+$I364+$J364+$P364+$N364+$Q364)</f>
        <v/>
      </c>
      <c r="AJ364" s="33" t="str">
        <f aca="false">IF(COUNT($I364,$J364,$K364,$O364,$P364,$Q364,$R364,$N364)&lt;8,"",$I364+$J364+$K364+$O364+$P364+$Q364+$R364+$N364)</f>
        <v/>
      </c>
      <c r="AK364" s="34" t="str">
        <f aca="false">IF(OR($AI364="",$AG364=""),"",IF(IFERROR(INDEX(Cadastro!$F$8:$F$47,MATCH($B364,Cadastro!$B$8:$B$47,0)),"")="Feminino",1.097-0.00046971*$AI364+0.00000056*$AI364^2-0.00012828*$AG364,1.112-0.00043499*$AI364+0.00000055*$AI364^2-0.00028826*$AG364))</f>
        <v/>
      </c>
      <c r="AL364" s="30" t="str">
        <f aca="false">IF(OR($AK364="",$AK364=0),"",495/$AK364-450)</f>
        <v/>
      </c>
      <c r="AM364" s="35" t="str">
        <f aca="false">IF(OR($AL364="",$E364=""),"",$E364*$AL364/100)</f>
        <v/>
      </c>
      <c r="AN364" s="30" t="str">
        <f aca="false">IF(OR($AM364="",$E364=""),"",$E364-$AM364)</f>
        <v/>
      </c>
      <c r="AO364" s="35" t="str">
        <f aca="false">IFERROR($E364/($F364/100)^2,"")</f>
        <v/>
      </c>
      <c r="AP364" s="35" t="str">
        <f aca="false">IFERROR($G364/$F364*100,"")</f>
        <v/>
      </c>
      <c r="AQ364" s="36" t="str">
        <f aca="false">IFERROR($W364/$F364,"")</f>
        <v/>
      </c>
      <c r="AR364" s="35" t="str">
        <f aca="false">IF(OR($S364="",$I364=""),"",($S364-PI()*$I364/10)^2/(4*PI())-IF(IFERROR(INDEX(Cadastro!$F$8:$F$47,MATCH($B364,Cadastro!$B$8:$B$47,0)),"")="Feminino",6.5,10))</f>
        <v/>
      </c>
      <c r="AS364" s="35" t="str">
        <f aca="false">IF(OR($I364="",$J364="",$O364="",$F364=""),"",-0.7182+0.1451*(($I364+$J364+$O364)*(170.18/$F364))-0.00068*(($I364+$J364+$O364)*(170.18/$F364))^2+0.0000014*(($I364+$J364+$O364)*(170.18/$F364))^3)</f>
        <v/>
      </c>
      <c r="AT364" s="35" t="str">
        <f aca="false">IF(OR($AE364="",$AF364="",$T364="",$AA364="",$F364=""),"",0.858*$AE364+0.601*$AF364+0.188*($T364-$I364/10)+0.161*($AA364-$R364/10)-0.131*$F364+4.5)</f>
        <v/>
      </c>
      <c r="AU364" s="35" t="str">
        <f aca="false">IF(OR($E364="",$F364=""),"",IF($F364/$E364^(1/3)&gt;=40.75,0.732*($F364/$E364^(1/3))-28.58,IF($F364/$E364^(1/3)&gt;=38.25,0.463*($F364/$E364^(1/3))-17.63,0.1)))</f>
        <v/>
      </c>
      <c r="AV364" s="37" t="str">
        <f aca="false">IF(OR($AS364="",$AT364="",$AU364=""),"",IF(AND($AT364&gt;=$AS364,$AT364&gt;=$AU364),"Mesomorfo dominante",IF(AND($AU364&gt;=$AS364,$AU364&gt;=$AT364),"Ectomorfo dominante","Endomorfo dominante")))</f>
        <v/>
      </c>
    </row>
    <row r="365" customFormat="false" ht="15" hidden="false" customHeight="false" outlineLevel="0" collapsed="false">
      <c r="A365" s="29"/>
      <c r="B365" s="27"/>
      <c r="C365" s="28"/>
      <c r="D365" s="27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3" t="str">
        <f aca="false">IFERROR(DATEDIF(INDEX(Cadastro!$D$8:$D$47,MATCH($B365,Cadastro!$B$8:$B$47,0)),$A365,"Y"),"")</f>
        <v/>
      </c>
      <c r="AH365" s="33" t="str">
        <f aca="false">IF(COUNT($I365,$K365,$J365,$N365)&lt;4,"",$I365+$K365+$J365+$N365)</f>
        <v/>
      </c>
      <c r="AI365" s="33" t="str">
        <f aca="false">IF(COUNT($L365,$M365,$I365,$J365,$P365,$N365,$Q365)&lt;7,"",$L365+$M365+$I365+$J365+$P365+$N365+$Q365)</f>
        <v/>
      </c>
      <c r="AJ365" s="33" t="str">
        <f aca="false">IF(COUNT($I365,$J365,$K365,$O365,$P365,$Q365,$R365,$N365)&lt;8,"",$I365+$J365+$K365+$O365+$P365+$Q365+$R365+$N365)</f>
        <v/>
      </c>
      <c r="AK365" s="34" t="str">
        <f aca="false">IF(OR($AI365="",$AG365=""),"",IF(IFERROR(INDEX(Cadastro!$F$8:$F$47,MATCH($B365,Cadastro!$B$8:$B$47,0)),"")="Feminino",1.097-0.00046971*$AI365+0.00000056*$AI365^2-0.00012828*$AG365,1.112-0.00043499*$AI365+0.00000055*$AI365^2-0.00028826*$AG365))</f>
        <v/>
      </c>
      <c r="AL365" s="30" t="str">
        <f aca="false">IF(OR($AK365="",$AK365=0),"",495/$AK365-450)</f>
        <v/>
      </c>
      <c r="AM365" s="35" t="str">
        <f aca="false">IF(OR($AL365="",$E365=""),"",$E365*$AL365/100)</f>
        <v/>
      </c>
      <c r="AN365" s="30" t="str">
        <f aca="false">IF(OR($AM365="",$E365=""),"",$E365-$AM365)</f>
        <v/>
      </c>
      <c r="AO365" s="35" t="str">
        <f aca="false">IFERROR($E365/($F365/100)^2,"")</f>
        <v/>
      </c>
      <c r="AP365" s="35" t="str">
        <f aca="false">IFERROR($G365/$F365*100,"")</f>
        <v/>
      </c>
      <c r="AQ365" s="36" t="str">
        <f aca="false">IFERROR($W365/$F365,"")</f>
        <v/>
      </c>
      <c r="AR365" s="35" t="str">
        <f aca="false">IF(OR($S365="",$I365=""),"",($S365-PI()*$I365/10)^2/(4*PI())-IF(IFERROR(INDEX(Cadastro!$F$8:$F$47,MATCH($B365,Cadastro!$B$8:$B$47,0)),"")="Feminino",6.5,10))</f>
        <v/>
      </c>
      <c r="AS365" s="35" t="str">
        <f aca="false">IF(OR($I365="",$J365="",$O365="",$F365=""),"",-0.7182+0.1451*(($I365+$J365+$O365)*(170.18/$F365))-0.00068*(($I365+$J365+$O365)*(170.18/$F365))^2+0.0000014*(($I365+$J365+$O365)*(170.18/$F365))^3)</f>
        <v/>
      </c>
      <c r="AT365" s="35" t="str">
        <f aca="false">IF(OR($AE365="",$AF365="",$T365="",$AA365="",$F365=""),"",0.858*$AE365+0.601*$AF365+0.188*($T365-$I365/10)+0.161*($AA365-$R365/10)-0.131*$F365+4.5)</f>
        <v/>
      </c>
      <c r="AU365" s="35" t="str">
        <f aca="false">IF(OR($E365="",$F365=""),"",IF($F365/$E365^(1/3)&gt;=40.75,0.732*($F365/$E365^(1/3))-28.58,IF($F365/$E365^(1/3)&gt;=38.25,0.463*($F365/$E365^(1/3))-17.63,0.1)))</f>
        <v/>
      </c>
      <c r="AV365" s="37" t="str">
        <f aca="false">IF(OR($AS365="",$AT365="",$AU365=""),"",IF(AND($AT365&gt;=$AS365,$AT365&gt;=$AU365),"Mesomorfo dominante",IF(AND($AU365&gt;=$AS365,$AU365&gt;=$AT365),"Ectomorfo dominante","Endomorfo dominante")))</f>
        <v/>
      </c>
    </row>
    <row r="366" customFormat="false" ht="15" hidden="false" customHeight="false" outlineLevel="0" collapsed="false">
      <c r="A366" s="29"/>
      <c r="B366" s="27"/>
      <c r="C366" s="28"/>
      <c r="D366" s="27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3" t="str">
        <f aca="false">IFERROR(DATEDIF(INDEX(Cadastro!$D$8:$D$47,MATCH($B366,Cadastro!$B$8:$B$47,0)),$A366,"Y"),"")</f>
        <v/>
      </c>
      <c r="AH366" s="33" t="str">
        <f aca="false">IF(COUNT($I366,$K366,$J366,$N366)&lt;4,"",$I366+$K366+$J366+$N366)</f>
        <v/>
      </c>
      <c r="AI366" s="33" t="str">
        <f aca="false">IF(COUNT($L366,$M366,$I366,$J366,$P366,$N366,$Q366)&lt;7,"",$L366+$M366+$I366+$J366+$P366+$N366+$Q366)</f>
        <v/>
      </c>
      <c r="AJ366" s="33" t="str">
        <f aca="false">IF(COUNT($I366,$J366,$K366,$O366,$P366,$Q366,$R366,$N366)&lt;8,"",$I366+$J366+$K366+$O366+$P366+$Q366+$R366+$N366)</f>
        <v/>
      </c>
      <c r="AK366" s="34" t="str">
        <f aca="false">IF(OR($AI366="",$AG366=""),"",IF(IFERROR(INDEX(Cadastro!$F$8:$F$47,MATCH($B366,Cadastro!$B$8:$B$47,0)),"")="Feminino",1.097-0.00046971*$AI366+0.00000056*$AI366^2-0.00012828*$AG366,1.112-0.00043499*$AI366+0.00000055*$AI366^2-0.00028826*$AG366))</f>
        <v/>
      </c>
      <c r="AL366" s="30" t="str">
        <f aca="false">IF(OR($AK366="",$AK366=0),"",495/$AK366-450)</f>
        <v/>
      </c>
      <c r="AM366" s="35" t="str">
        <f aca="false">IF(OR($AL366="",$E366=""),"",$E366*$AL366/100)</f>
        <v/>
      </c>
      <c r="AN366" s="30" t="str">
        <f aca="false">IF(OR($AM366="",$E366=""),"",$E366-$AM366)</f>
        <v/>
      </c>
      <c r="AO366" s="35" t="str">
        <f aca="false">IFERROR($E366/($F366/100)^2,"")</f>
        <v/>
      </c>
      <c r="AP366" s="35" t="str">
        <f aca="false">IFERROR($G366/$F366*100,"")</f>
        <v/>
      </c>
      <c r="AQ366" s="36" t="str">
        <f aca="false">IFERROR($W366/$F366,"")</f>
        <v/>
      </c>
      <c r="AR366" s="35" t="str">
        <f aca="false">IF(OR($S366="",$I366=""),"",($S366-PI()*$I366/10)^2/(4*PI())-IF(IFERROR(INDEX(Cadastro!$F$8:$F$47,MATCH($B366,Cadastro!$B$8:$B$47,0)),"")="Feminino",6.5,10))</f>
        <v/>
      </c>
      <c r="AS366" s="35" t="str">
        <f aca="false">IF(OR($I366="",$J366="",$O366="",$F366=""),"",-0.7182+0.1451*(($I366+$J366+$O366)*(170.18/$F366))-0.00068*(($I366+$J366+$O366)*(170.18/$F366))^2+0.0000014*(($I366+$J366+$O366)*(170.18/$F366))^3)</f>
        <v/>
      </c>
      <c r="AT366" s="35" t="str">
        <f aca="false">IF(OR($AE366="",$AF366="",$T366="",$AA366="",$F366=""),"",0.858*$AE366+0.601*$AF366+0.188*($T366-$I366/10)+0.161*($AA366-$R366/10)-0.131*$F366+4.5)</f>
        <v/>
      </c>
      <c r="AU366" s="35" t="str">
        <f aca="false">IF(OR($E366="",$F366=""),"",IF($F366/$E366^(1/3)&gt;=40.75,0.732*($F366/$E366^(1/3))-28.58,IF($F366/$E366^(1/3)&gt;=38.25,0.463*($F366/$E366^(1/3))-17.63,0.1)))</f>
        <v/>
      </c>
      <c r="AV366" s="37" t="str">
        <f aca="false">IF(OR($AS366="",$AT366="",$AU366=""),"",IF(AND($AT366&gt;=$AS366,$AT366&gt;=$AU366),"Mesomorfo dominante",IF(AND($AU366&gt;=$AS366,$AU366&gt;=$AT366),"Ectomorfo dominante","Endomorfo dominante")))</f>
        <v/>
      </c>
    </row>
    <row r="367" customFormat="false" ht="15" hidden="false" customHeight="false" outlineLevel="0" collapsed="false">
      <c r="A367" s="29"/>
      <c r="B367" s="27"/>
      <c r="C367" s="28"/>
      <c r="D367" s="27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3" t="str">
        <f aca="false">IFERROR(DATEDIF(INDEX(Cadastro!$D$8:$D$47,MATCH($B367,Cadastro!$B$8:$B$47,0)),$A367,"Y"),"")</f>
        <v/>
      </c>
      <c r="AH367" s="33" t="str">
        <f aca="false">IF(COUNT($I367,$K367,$J367,$N367)&lt;4,"",$I367+$K367+$J367+$N367)</f>
        <v/>
      </c>
      <c r="AI367" s="33" t="str">
        <f aca="false">IF(COUNT($L367,$M367,$I367,$J367,$P367,$N367,$Q367)&lt;7,"",$L367+$M367+$I367+$J367+$P367+$N367+$Q367)</f>
        <v/>
      </c>
      <c r="AJ367" s="33" t="str">
        <f aca="false">IF(COUNT($I367,$J367,$K367,$O367,$P367,$Q367,$R367,$N367)&lt;8,"",$I367+$J367+$K367+$O367+$P367+$Q367+$R367+$N367)</f>
        <v/>
      </c>
      <c r="AK367" s="34" t="str">
        <f aca="false">IF(OR($AI367="",$AG367=""),"",IF(IFERROR(INDEX(Cadastro!$F$8:$F$47,MATCH($B367,Cadastro!$B$8:$B$47,0)),"")="Feminino",1.097-0.00046971*$AI367+0.00000056*$AI367^2-0.00012828*$AG367,1.112-0.00043499*$AI367+0.00000055*$AI367^2-0.00028826*$AG367))</f>
        <v/>
      </c>
      <c r="AL367" s="30" t="str">
        <f aca="false">IF(OR($AK367="",$AK367=0),"",495/$AK367-450)</f>
        <v/>
      </c>
      <c r="AM367" s="35" t="str">
        <f aca="false">IF(OR($AL367="",$E367=""),"",$E367*$AL367/100)</f>
        <v/>
      </c>
      <c r="AN367" s="30" t="str">
        <f aca="false">IF(OR($AM367="",$E367=""),"",$E367-$AM367)</f>
        <v/>
      </c>
      <c r="AO367" s="35" t="str">
        <f aca="false">IFERROR($E367/($F367/100)^2,"")</f>
        <v/>
      </c>
      <c r="AP367" s="35" t="str">
        <f aca="false">IFERROR($G367/$F367*100,"")</f>
        <v/>
      </c>
      <c r="AQ367" s="36" t="str">
        <f aca="false">IFERROR($W367/$F367,"")</f>
        <v/>
      </c>
      <c r="AR367" s="35" t="str">
        <f aca="false">IF(OR($S367="",$I367=""),"",($S367-PI()*$I367/10)^2/(4*PI())-IF(IFERROR(INDEX(Cadastro!$F$8:$F$47,MATCH($B367,Cadastro!$B$8:$B$47,0)),"")="Feminino",6.5,10))</f>
        <v/>
      </c>
      <c r="AS367" s="35" t="str">
        <f aca="false">IF(OR($I367="",$J367="",$O367="",$F367=""),"",-0.7182+0.1451*(($I367+$J367+$O367)*(170.18/$F367))-0.00068*(($I367+$J367+$O367)*(170.18/$F367))^2+0.0000014*(($I367+$J367+$O367)*(170.18/$F367))^3)</f>
        <v/>
      </c>
      <c r="AT367" s="35" t="str">
        <f aca="false">IF(OR($AE367="",$AF367="",$T367="",$AA367="",$F367=""),"",0.858*$AE367+0.601*$AF367+0.188*($T367-$I367/10)+0.161*($AA367-$R367/10)-0.131*$F367+4.5)</f>
        <v/>
      </c>
      <c r="AU367" s="35" t="str">
        <f aca="false">IF(OR($E367="",$F367=""),"",IF($F367/$E367^(1/3)&gt;=40.75,0.732*($F367/$E367^(1/3))-28.58,IF($F367/$E367^(1/3)&gt;=38.25,0.463*($F367/$E367^(1/3))-17.63,0.1)))</f>
        <v/>
      </c>
      <c r="AV367" s="37" t="str">
        <f aca="false">IF(OR($AS367="",$AT367="",$AU367=""),"",IF(AND($AT367&gt;=$AS367,$AT367&gt;=$AU367),"Mesomorfo dominante",IF(AND($AU367&gt;=$AS367,$AU367&gt;=$AT367),"Ectomorfo dominante","Endomorfo dominante")))</f>
        <v/>
      </c>
    </row>
    <row r="368" customFormat="false" ht="15" hidden="false" customHeight="false" outlineLevel="0" collapsed="false">
      <c r="A368" s="29"/>
      <c r="B368" s="27"/>
      <c r="C368" s="28"/>
      <c r="D368" s="27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3" t="str">
        <f aca="false">IFERROR(DATEDIF(INDEX(Cadastro!$D$8:$D$47,MATCH($B368,Cadastro!$B$8:$B$47,0)),$A368,"Y"),"")</f>
        <v/>
      </c>
      <c r="AH368" s="33" t="str">
        <f aca="false">IF(COUNT($I368,$K368,$J368,$N368)&lt;4,"",$I368+$K368+$J368+$N368)</f>
        <v/>
      </c>
      <c r="AI368" s="33" t="str">
        <f aca="false">IF(COUNT($L368,$M368,$I368,$J368,$P368,$N368,$Q368)&lt;7,"",$L368+$M368+$I368+$J368+$P368+$N368+$Q368)</f>
        <v/>
      </c>
      <c r="AJ368" s="33" t="str">
        <f aca="false">IF(COUNT($I368,$J368,$K368,$O368,$P368,$Q368,$R368,$N368)&lt;8,"",$I368+$J368+$K368+$O368+$P368+$Q368+$R368+$N368)</f>
        <v/>
      </c>
      <c r="AK368" s="34" t="str">
        <f aca="false">IF(OR($AI368="",$AG368=""),"",IF(IFERROR(INDEX(Cadastro!$F$8:$F$47,MATCH($B368,Cadastro!$B$8:$B$47,0)),"")="Feminino",1.097-0.00046971*$AI368+0.00000056*$AI368^2-0.00012828*$AG368,1.112-0.00043499*$AI368+0.00000055*$AI368^2-0.00028826*$AG368))</f>
        <v/>
      </c>
      <c r="AL368" s="30" t="str">
        <f aca="false">IF(OR($AK368="",$AK368=0),"",495/$AK368-450)</f>
        <v/>
      </c>
      <c r="AM368" s="35" t="str">
        <f aca="false">IF(OR($AL368="",$E368=""),"",$E368*$AL368/100)</f>
        <v/>
      </c>
      <c r="AN368" s="30" t="str">
        <f aca="false">IF(OR($AM368="",$E368=""),"",$E368-$AM368)</f>
        <v/>
      </c>
      <c r="AO368" s="35" t="str">
        <f aca="false">IFERROR($E368/($F368/100)^2,"")</f>
        <v/>
      </c>
      <c r="AP368" s="35" t="str">
        <f aca="false">IFERROR($G368/$F368*100,"")</f>
        <v/>
      </c>
      <c r="AQ368" s="36" t="str">
        <f aca="false">IFERROR($W368/$F368,"")</f>
        <v/>
      </c>
      <c r="AR368" s="35" t="str">
        <f aca="false">IF(OR($S368="",$I368=""),"",($S368-PI()*$I368/10)^2/(4*PI())-IF(IFERROR(INDEX(Cadastro!$F$8:$F$47,MATCH($B368,Cadastro!$B$8:$B$47,0)),"")="Feminino",6.5,10))</f>
        <v/>
      </c>
      <c r="AS368" s="35" t="str">
        <f aca="false">IF(OR($I368="",$J368="",$O368="",$F368=""),"",-0.7182+0.1451*(($I368+$J368+$O368)*(170.18/$F368))-0.00068*(($I368+$J368+$O368)*(170.18/$F368))^2+0.0000014*(($I368+$J368+$O368)*(170.18/$F368))^3)</f>
        <v/>
      </c>
      <c r="AT368" s="35" t="str">
        <f aca="false">IF(OR($AE368="",$AF368="",$T368="",$AA368="",$F368=""),"",0.858*$AE368+0.601*$AF368+0.188*($T368-$I368/10)+0.161*($AA368-$R368/10)-0.131*$F368+4.5)</f>
        <v/>
      </c>
      <c r="AU368" s="35" t="str">
        <f aca="false">IF(OR($E368="",$F368=""),"",IF($F368/$E368^(1/3)&gt;=40.75,0.732*($F368/$E368^(1/3))-28.58,IF($F368/$E368^(1/3)&gt;=38.25,0.463*($F368/$E368^(1/3))-17.63,0.1)))</f>
        <v/>
      </c>
      <c r="AV368" s="37" t="str">
        <f aca="false">IF(OR($AS368="",$AT368="",$AU368=""),"",IF(AND($AT368&gt;=$AS368,$AT368&gt;=$AU368),"Mesomorfo dominante",IF(AND($AU368&gt;=$AS368,$AU368&gt;=$AT368),"Ectomorfo dominante","Endomorfo dominante")))</f>
        <v/>
      </c>
    </row>
    <row r="369" customFormat="false" ht="15" hidden="false" customHeight="false" outlineLevel="0" collapsed="false">
      <c r="A369" s="29"/>
      <c r="B369" s="27"/>
      <c r="C369" s="28"/>
      <c r="D369" s="27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3" t="str">
        <f aca="false">IFERROR(DATEDIF(INDEX(Cadastro!$D$8:$D$47,MATCH($B369,Cadastro!$B$8:$B$47,0)),$A369,"Y"),"")</f>
        <v/>
      </c>
      <c r="AH369" s="33" t="str">
        <f aca="false">IF(COUNT($I369,$K369,$J369,$N369)&lt;4,"",$I369+$K369+$J369+$N369)</f>
        <v/>
      </c>
      <c r="AI369" s="33" t="str">
        <f aca="false">IF(COUNT($L369,$M369,$I369,$J369,$P369,$N369,$Q369)&lt;7,"",$L369+$M369+$I369+$J369+$P369+$N369+$Q369)</f>
        <v/>
      </c>
      <c r="AJ369" s="33" t="str">
        <f aca="false">IF(COUNT($I369,$J369,$K369,$O369,$P369,$Q369,$R369,$N369)&lt;8,"",$I369+$J369+$K369+$O369+$P369+$Q369+$R369+$N369)</f>
        <v/>
      </c>
      <c r="AK369" s="34" t="str">
        <f aca="false">IF(OR($AI369="",$AG369=""),"",IF(IFERROR(INDEX(Cadastro!$F$8:$F$47,MATCH($B369,Cadastro!$B$8:$B$47,0)),"")="Feminino",1.097-0.00046971*$AI369+0.00000056*$AI369^2-0.00012828*$AG369,1.112-0.00043499*$AI369+0.00000055*$AI369^2-0.00028826*$AG369))</f>
        <v/>
      </c>
      <c r="AL369" s="30" t="str">
        <f aca="false">IF(OR($AK369="",$AK369=0),"",495/$AK369-450)</f>
        <v/>
      </c>
      <c r="AM369" s="35" t="str">
        <f aca="false">IF(OR($AL369="",$E369=""),"",$E369*$AL369/100)</f>
        <v/>
      </c>
      <c r="AN369" s="30" t="str">
        <f aca="false">IF(OR($AM369="",$E369=""),"",$E369-$AM369)</f>
        <v/>
      </c>
      <c r="AO369" s="35" t="str">
        <f aca="false">IFERROR($E369/($F369/100)^2,"")</f>
        <v/>
      </c>
      <c r="AP369" s="35" t="str">
        <f aca="false">IFERROR($G369/$F369*100,"")</f>
        <v/>
      </c>
      <c r="AQ369" s="36" t="str">
        <f aca="false">IFERROR($W369/$F369,"")</f>
        <v/>
      </c>
      <c r="AR369" s="35" t="str">
        <f aca="false">IF(OR($S369="",$I369=""),"",($S369-PI()*$I369/10)^2/(4*PI())-IF(IFERROR(INDEX(Cadastro!$F$8:$F$47,MATCH($B369,Cadastro!$B$8:$B$47,0)),"")="Feminino",6.5,10))</f>
        <v/>
      </c>
      <c r="AS369" s="35" t="str">
        <f aca="false">IF(OR($I369="",$J369="",$O369="",$F369=""),"",-0.7182+0.1451*(($I369+$J369+$O369)*(170.18/$F369))-0.00068*(($I369+$J369+$O369)*(170.18/$F369))^2+0.0000014*(($I369+$J369+$O369)*(170.18/$F369))^3)</f>
        <v/>
      </c>
      <c r="AT369" s="35" t="str">
        <f aca="false">IF(OR($AE369="",$AF369="",$T369="",$AA369="",$F369=""),"",0.858*$AE369+0.601*$AF369+0.188*($T369-$I369/10)+0.161*($AA369-$R369/10)-0.131*$F369+4.5)</f>
        <v/>
      </c>
      <c r="AU369" s="35" t="str">
        <f aca="false">IF(OR($E369="",$F369=""),"",IF($F369/$E369^(1/3)&gt;=40.75,0.732*($F369/$E369^(1/3))-28.58,IF($F369/$E369^(1/3)&gt;=38.25,0.463*($F369/$E369^(1/3))-17.63,0.1)))</f>
        <v/>
      </c>
      <c r="AV369" s="37" t="str">
        <f aca="false">IF(OR($AS369="",$AT369="",$AU369=""),"",IF(AND($AT369&gt;=$AS369,$AT369&gt;=$AU369),"Mesomorfo dominante",IF(AND($AU369&gt;=$AS369,$AU369&gt;=$AT369),"Ectomorfo dominante","Endomorfo dominante")))</f>
        <v/>
      </c>
    </row>
    <row r="370" customFormat="false" ht="15" hidden="false" customHeight="false" outlineLevel="0" collapsed="false">
      <c r="A370" s="29"/>
      <c r="B370" s="27"/>
      <c r="C370" s="28"/>
      <c r="D370" s="27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3" t="str">
        <f aca="false">IFERROR(DATEDIF(INDEX(Cadastro!$D$8:$D$47,MATCH($B370,Cadastro!$B$8:$B$47,0)),$A370,"Y"),"")</f>
        <v/>
      </c>
      <c r="AH370" s="33" t="str">
        <f aca="false">IF(COUNT($I370,$K370,$J370,$N370)&lt;4,"",$I370+$K370+$J370+$N370)</f>
        <v/>
      </c>
      <c r="AI370" s="33" t="str">
        <f aca="false">IF(COUNT($L370,$M370,$I370,$J370,$P370,$N370,$Q370)&lt;7,"",$L370+$M370+$I370+$J370+$P370+$N370+$Q370)</f>
        <v/>
      </c>
      <c r="AJ370" s="33" t="str">
        <f aca="false">IF(COUNT($I370,$J370,$K370,$O370,$P370,$Q370,$R370,$N370)&lt;8,"",$I370+$J370+$K370+$O370+$P370+$Q370+$R370+$N370)</f>
        <v/>
      </c>
      <c r="AK370" s="34" t="str">
        <f aca="false">IF(OR($AI370="",$AG370=""),"",IF(IFERROR(INDEX(Cadastro!$F$8:$F$47,MATCH($B370,Cadastro!$B$8:$B$47,0)),"")="Feminino",1.097-0.00046971*$AI370+0.00000056*$AI370^2-0.00012828*$AG370,1.112-0.00043499*$AI370+0.00000055*$AI370^2-0.00028826*$AG370))</f>
        <v/>
      </c>
      <c r="AL370" s="30" t="str">
        <f aca="false">IF(OR($AK370="",$AK370=0),"",495/$AK370-450)</f>
        <v/>
      </c>
      <c r="AM370" s="35" t="str">
        <f aca="false">IF(OR($AL370="",$E370=""),"",$E370*$AL370/100)</f>
        <v/>
      </c>
      <c r="AN370" s="30" t="str">
        <f aca="false">IF(OR($AM370="",$E370=""),"",$E370-$AM370)</f>
        <v/>
      </c>
      <c r="AO370" s="35" t="str">
        <f aca="false">IFERROR($E370/($F370/100)^2,"")</f>
        <v/>
      </c>
      <c r="AP370" s="35" t="str">
        <f aca="false">IFERROR($G370/$F370*100,"")</f>
        <v/>
      </c>
      <c r="AQ370" s="36" t="str">
        <f aca="false">IFERROR($W370/$F370,"")</f>
        <v/>
      </c>
      <c r="AR370" s="35" t="str">
        <f aca="false">IF(OR($S370="",$I370=""),"",($S370-PI()*$I370/10)^2/(4*PI())-IF(IFERROR(INDEX(Cadastro!$F$8:$F$47,MATCH($B370,Cadastro!$B$8:$B$47,0)),"")="Feminino",6.5,10))</f>
        <v/>
      </c>
      <c r="AS370" s="35" t="str">
        <f aca="false">IF(OR($I370="",$J370="",$O370="",$F370=""),"",-0.7182+0.1451*(($I370+$J370+$O370)*(170.18/$F370))-0.00068*(($I370+$J370+$O370)*(170.18/$F370))^2+0.0000014*(($I370+$J370+$O370)*(170.18/$F370))^3)</f>
        <v/>
      </c>
      <c r="AT370" s="35" t="str">
        <f aca="false">IF(OR($AE370="",$AF370="",$T370="",$AA370="",$F370=""),"",0.858*$AE370+0.601*$AF370+0.188*($T370-$I370/10)+0.161*($AA370-$R370/10)-0.131*$F370+4.5)</f>
        <v/>
      </c>
      <c r="AU370" s="35" t="str">
        <f aca="false">IF(OR($E370="",$F370=""),"",IF($F370/$E370^(1/3)&gt;=40.75,0.732*($F370/$E370^(1/3))-28.58,IF($F370/$E370^(1/3)&gt;=38.25,0.463*($F370/$E370^(1/3))-17.63,0.1)))</f>
        <v/>
      </c>
      <c r="AV370" s="37" t="str">
        <f aca="false">IF(OR($AS370="",$AT370="",$AU370=""),"",IF(AND($AT370&gt;=$AS370,$AT370&gt;=$AU370),"Mesomorfo dominante",IF(AND($AU370&gt;=$AS370,$AU370&gt;=$AT370),"Ectomorfo dominante","Endomorfo dominante")))</f>
        <v/>
      </c>
    </row>
    <row r="371" customFormat="false" ht="15" hidden="false" customHeight="false" outlineLevel="0" collapsed="false">
      <c r="A371" s="29"/>
      <c r="B371" s="27"/>
      <c r="C371" s="28"/>
      <c r="D371" s="27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3" t="str">
        <f aca="false">IFERROR(DATEDIF(INDEX(Cadastro!$D$8:$D$47,MATCH($B371,Cadastro!$B$8:$B$47,0)),$A371,"Y"),"")</f>
        <v/>
      </c>
      <c r="AH371" s="33" t="str">
        <f aca="false">IF(COUNT($I371,$K371,$J371,$N371)&lt;4,"",$I371+$K371+$J371+$N371)</f>
        <v/>
      </c>
      <c r="AI371" s="33" t="str">
        <f aca="false">IF(COUNT($L371,$M371,$I371,$J371,$P371,$N371,$Q371)&lt;7,"",$L371+$M371+$I371+$J371+$P371+$N371+$Q371)</f>
        <v/>
      </c>
      <c r="AJ371" s="33" t="str">
        <f aca="false">IF(COUNT($I371,$J371,$K371,$O371,$P371,$Q371,$R371,$N371)&lt;8,"",$I371+$J371+$K371+$O371+$P371+$Q371+$R371+$N371)</f>
        <v/>
      </c>
      <c r="AK371" s="34" t="str">
        <f aca="false">IF(OR($AI371="",$AG371=""),"",IF(IFERROR(INDEX(Cadastro!$F$8:$F$47,MATCH($B371,Cadastro!$B$8:$B$47,0)),"")="Feminino",1.097-0.00046971*$AI371+0.00000056*$AI371^2-0.00012828*$AG371,1.112-0.00043499*$AI371+0.00000055*$AI371^2-0.00028826*$AG371))</f>
        <v/>
      </c>
      <c r="AL371" s="30" t="str">
        <f aca="false">IF(OR($AK371="",$AK371=0),"",495/$AK371-450)</f>
        <v/>
      </c>
      <c r="AM371" s="35" t="str">
        <f aca="false">IF(OR($AL371="",$E371=""),"",$E371*$AL371/100)</f>
        <v/>
      </c>
      <c r="AN371" s="30" t="str">
        <f aca="false">IF(OR($AM371="",$E371=""),"",$E371-$AM371)</f>
        <v/>
      </c>
      <c r="AO371" s="35" t="str">
        <f aca="false">IFERROR($E371/($F371/100)^2,"")</f>
        <v/>
      </c>
      <c r="AP371" s="35" t="str">
        <f aca="false">IFERROR($G371/$F371*100,"")</f>
        <v/>
      </c>
      <c r="AQ371" s="36" t="str">
        <f aca="false">IFERROR($W371/$F371,"")</f>
        <v/>
      </c>
      <c r="AR371" s="35" t="str">
        <f aca="false">IF(OR($S371="",$I371=""),"",($S371-PI()*$I371/10)^2/(4*PI())-IF(IFERROR(INDEX(Cadastro!$F$8:$F$47,MATCH($B371,Cadastro!$B$8:$B$47,0)),"")="Feminino",6.5,10))</f>
        <v/>
      </c>
      <c r="AS371" s="35" t="str">
        <f aca="false">IF(OR($I371="",$J371="",$O371="",$F371=""),"",-0.7182+0.1451*(($I371+$J371+$O371)*(170.18/$F371))-0.00068*(($I371+$J371+$O371)*(170.18/$F371))^2+0.0000014*(($I371+$J371+$O371)*(170.18/$F371))^3)</f>
        <v/>
      </c>
      <c r="AT371" s="35" t="str">
        <f aca="false">IF(OR($AE371="",$AF371="",$T371="",$AA371="",$F371=""),"",0.858*$AE371+0.601*$AF371+0.188*($T371-$I371/10)+0.161*($AA371-$R371/10)-0.131*$F371+4.5)</f>
        <v/>
      </c>
      <c r="AU371" s="35" t="str">
        <f aca="false">IF(OR($E371="",$F371=""),"",IF($F371/$E371^(1/3)&gt;=40.75,0.732*($F371/$E371^(1/3))-28.58,IF($F371/$E371^(1/3)&gt;=38.25,0.463*($F371/$E371^(1/3))-17.63,0.1)))</f>
        <v/>
      </c>
      <c r="AV371" s="37" t="str">
        <f aca="false">IF(OR($AS371="",$AT371="",$AU371=""),"",IF(AND($AT371&gt;=$AS371,$AT371&gt;=$AU371),"Mesomorfo dominante",IF(AND($AU371&gt;=$AS371,$AU371&gt;=$AT371),"Ectomorfo dominante","Endomorfo dominante")))</f>
        <v/>
      </c>
    </row>
    <row r="372" customFormat="false" ht="15" hidden="false" customHeight="false" outlineLevel="0" collapsed="false">
      <c r="A372" s="29"/>
      <c r="B372" s="27"/>
      <c r="C372" s="28"/>
      <c r="D372" s="27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3" t="str">
        <f aca="false">IFERROR(DATEDIF(INDEX(Cadastro!$D$8:$D$47,MATCH($B372,Cadastro!$B$8:$B$47,0)),$A372,"Y"),"")</f>
        <v/>
      </c>
      <c r="AH372" s="33" t="str">
        <f aca="false">IF(COUNT($I372,$K372,$J372,$N372)&lt;4,"",$I372+$K372+$J372+$N372)</f>
        <v/>
      </c>
      <c r="AI372" s="33" t="str">
        <f aca="false">IF(COUNT($L372,$M372,$I372,$J372,$P372,$N372,$Q372)&lt;7,"",$L372+$M372+$I372+$J372+$P372+$N372+$Q372)</f>
        <v/>
      </c>
      <c r="AJ372" s="33" t="str">
        <f aca="false">IF(COUNT($I372,$J372,$K372,$O372,$P372,$Q372,$R372,$N372)&lt;8,"",$I372+$J372+$K372+$O372+$P372+$Q372+$R372+$N372)</f>
        <v/>
      </c>
      <c r="AK372" s="34" t="str">
        <f aca="false">IF(OR($AI372="",$AG372=""),"",IF(IFERROR(INDEX(Cadastro!$F$8:$F$47,MATCH($B372,Cadastro!$B$8:$B$47,0)),"")="Feminino",1.097-0.00046971*$AI372+0.00000056*$AI372^2-0.00012828*$AG372,1.112-0.00043499*$AI372+0.00000055*$AI372^2-0.00028826*$AG372))</f>
        <v/>
      </c>
      <c r="AL372" s="30" t="str">
        <f aca="false">IF(OR($AK372="",$AK372=0),"",495/$AK372-450)</f>
        <v/>
      </c>
      <c r="AM372" s="35" t="str">
        <f aca="false">IF(OR($AL372="",$E372=""),"",$E372*$AL372/100)</f>
        <v/>
      </c>
      <c r="AN372" s="30" t="str">
        <f aca="false">IF(OR($AM372="",$E372=""),"",$E372-$AM372)</f>
        <v/>
      </c>
      <c r="AO372" s="35" t="str">
        <f aca="false">IFERROR($E372/($F372/100)^2,"")</f>
        <v/>
      </c>
      <c r="AP372" s="35" t="str">
        <f aca="false">IFERROR($G372/$F372*100,"")</f>
        <v/>
      </c>
      <c r="AQ372" s="36" t="str">
        <f aca="false">IFERROR($W372/$F372,"")</f>
        <v/>
      </c>
      <c r="AR372" s="35" t="str">
        <f aca="false">IF(OR($S372="",$I372=""),"",($S372-PI()*$I372/10)^2/(4*PI())-IF(IFERROR(INDEX(Cadastro!$F$8:$F$47,MATCH($B372,Cadastro!$B$8:$B$47,0)),"")="Feminino",6.5,10))</f>
        <v/>
      </c>
      <c r="AS372" s="35" t="str">
        <f aca="false">IF(OR($I372="",$J372="",$O372="",$F372=""),"",-0.7182+0.1451*(($I372+$J372+$O372)*(170.18/$F372))-0.00068*(($I372+$J372+$O372)*(170.18/$F372))^2+0.0000014*(($I372+$J372+$O372)*(170.18/$F372))^3)</f>
        <v/>
      </c>
      <c r="AT372" s="35" t="str">
        <f aca="false">IF(OR($AE372="",$AF372="",$T372="",$AA372="",$F372=""),"",0.858*$AE372+0.601*$AF372+0.188*($T372-$I372/10)+0.161*($AA372-$R372/10)-0.131*$F372+4.5)</f>
        <v/>
      </c>
      <c r="AU372" s="35" t="str">
        <f aca="false">IF(OR($E372="",$F372=""),"",IF($F372/$E372^(1/3)&gt;=40.75,0.732*($F372/$E372^(1/3))-28.58,IF($F372/$E372^(1/3)&gt;=38.25,0.463*($F372/$E372^(1/3))-17.63,0.1)))</f>
        <v/>
      </c>
      <c r="AV372" s="37" t="str">
        <f aca="false">IF(OR($AS372="",$AT372="",$AU372=""),"",IF(AND($AT372&gt;=$AS372,$AT372&gt;=$AU372),"Mesomorfo dominante",IF(AND($AU372&gt;=$AS372,$AU372&gt;=$AT372),"Ectomorfo dominante","Endomorfo dominante")))</f>
        <v/>
      </c>
    </row>
    <row r="373" customFormat="false" ht="15" hidden="false" customHeight="false" outlineLevel="0" collapsed="false">
      <c r="A373" s="29"/>
      <c r="B373" s="27"/>
      <c r="C373" s="28"/>
      <c r="D373" s="27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3" t="str">
        <f aca="false">IFERROR(DATEDIF(INDEX(Cadastro!$D$8:$D$47,MATCH($B373,Cadastro!$B$8:$B$47,0)),$A373,"Y"),"")</f>
        <v/>
      </c>
      <c r="AH373" s="33" t="str">
        <f aca="false">IF(COUNT($I373,$K373,$J373,$N373)&lt;4,"",$I373+$K373+$J373+$N373)</f>
        <v/>
      </c>
      <c r="AI373" s="33" t="str">
        <f aca="false">IF(COUNT($L373,$M373,$I373,$J373,$P373,$N373,$Q373)&lt;7,"",$L373+$M373+$I373+$J373+$P373+$N373+$Q373)</f>
        <v/>
      </c>
      <c r="AJ373" s="33" t="str">
        <f aca="false">IF(COUNT($I373,$J373,$K373,$O373,$P373,$Q373,$R373,$N373)&lt;8,"",$I373+$J373+$K373+$O373+$P373+$Q373+$R373+$N373)</f>
        <v/>
      </c>
      <c r="AK373" s="34" t="str">
        <f aca="false">IF(OR($AI373="",$AG373=""),"",IF(IFERROR(INDEX(Cadastro!$F$8:$F$47,MATCH($B373,Cadastro!$B$8:$B$47,0)),"")="Feminino",1.097-0.00046971*$AI373+0.00000056*$AI373^2-0.00012828*$AG373,1.112-0.00043499*$AI373+0.00000055*$AI373^2-0.00028826*$AG373))</f>
        <v/>
      </c>
      <c r="AL373" s="30" t="str">
        <f aca="false">IF(OR($AK373="",$AK373=0),"",495/$AK373-450)</f>
        <v/>
      </c>
      <c r="AM373" s="35" t="str">
        <f aca="false">IF(OR($AL373="",$E373=""),"",$E373*$AL373/100)</f>
        <v/>
      </c>
      <c r="AN373" s="30" t="str">
        <f aca="false">IF(OR($AM373="",$E373=""),"",$E373-$AM373)</f>
        <v/>
      </c>
      <c r="AO373" s="35" t="str">
        <f aca="false">IFERROR($E373/($F373/100)^2,"")</f>
        <v/>
      </c>
      <c r="AP373" s="35" t="str">
        <f aca="false">IFERROR($G373/$F373*100,"")</f>
        <v/>
      </c>
      <c r="AQ373" s="36" t="str">
        <f aca="false">IFERROR($W373/$F373,"")</f>
        <v/>
      </c>
      <c r="AR373" s="35" t="str">
        <f aca="false">IF(OR($S373="",$I373=""),"",($S373-PI()*$I373/10)^2/(4*PI())-IF(IFERROR(INDEX(Cadastro!$F$8:$F$47,MATCH($B373,Cadastro!$B$8:$B$47,0)),"")="Feminino",6.5,10))</f>
        <v/>
      </c>
      <c r="AS373" s="35" t="str">
        <f aca="false">IF(OR($I373="",$J373="",$O373="",$F373=""),"",-0.7182+0.1451*(($I373+$J373+$O373)*(170.18/$F373))-0.00068*(($I373+$J373+$O373)*(170.18/$F373))^2+0.0000014*(($I373+$J373+$O373)*(170.18/$F373))^3)</f>
        <v/>
      </c>
      <c r="AT373" s="35" t="str">
        <f aca="false">IF(OR($AE373="",$AF373="",$T373="",$AA373="",$F373=""),"",0.858*$AE373+0.601*$AF373+0.188*($T373-$I373/10)+0.161*($AA373-$R373/10)-0.131*$F373+4.5)</f>
        <v/>
      </c>
      <c r="AU373" s="35" t="str">
        <f aca="false">IF(OR($E373="",$F373=""),"",IF($F373/$E373^(1/3)&gt;=40.75,0.732*($F373/$E373^(1/3))-28.58,IF($F373/$E373^(1/3)&gt;=38.25,0.463*($F373/$E373^(1/3))-17.63,0.1)))</f>
        <v/>
      </c>
      <c r="AV373" s="37" t="str">
        <f aca="false">IF(OR($AS373="",$AT373="",$AU373=""),"",IF(AND($AT373&gt;=$AS373,$AT373&gt;=$AU373),"Mesomorfo dominante",IF(AND($AU373&gt;=$AS373,$AU373&gt;=$AT373),"Ectomorfo dominante","Endomorfo dominante")))</f>
        <v/>
      </c>
    </row>
    <row r="374" customFormat="false" ht="15" hidden="false" customHeight="false" outlineLevel="0" collapsed="false">
      <c r="A374" s="29"/>
      <c r="B374" s="27"/>
      <c r="C374" s="28"/>
      <c r="D374" s="27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3" t="str">
        <f aca="false">IFERROR(DATEDIF(INDEX(Cadastro!$D$8:$D$47,MATCH($B374,Cadastro!$B$8:$B$47,0)),$A374,"Y"),"")</f>
        <v/>
      </c>
      <c r="AH374" s="33" t="str">
        <f aca="false">IF(COUNT($I374,$K374,$J374,$N374)&lt;4,"",$I374+$K374+$J374+$N374)</f>
        <v/>
      </c>
      <c r="AI374" s="33" t="str">
        <f aca="false">IF(COUNT($L374,$M374,$I374,$J374,$P374,$N374,$Q374)&lt;7,"",$L374+$M374+$I374+$J374+$P374+$N374+$Q374)</f>
        <v/>
      </c>
      <c r="AJ374" s="33" t="str">
        <f aca="false">IF(COUNT($I374,$J374,$K374,$O374,$P374,$Q374,$R374,$N374)&lt;8,"",$I374+$J374+$K374+$O374+$P374+$Q374+$R374+$N374)</f>
        <v/>
      </c>
      <c r="AK374" s="34" t="str">
        <f aca="false">IF(OR($AI374="",$AG374=""),"",IF(IFERROR(INDEX(Cadastro!$F$8:$F$47,MATCH($B374,Cadastro!$B$8:$B$47,0)),"")="Feminino",1.097-0.00046971*$AI374+0.00000056*$AI374^2-0.00012828*$AG374,1.112-0.00043499*$AI374+0.00000055*$AI374^2-0.00028826*$AG374))</f>
        <v/>
      </c>
      <c r="AL374" s="30" t="str">
        <f aca="false">IF(OR($AK374="",$AK374=0),"",495/$AK374-450)</f>
        <v/>
      </c>
      <c r="AM374" s="35" t="str">
        <f aca="false">IF(OR($AL374="",$E374=""),"",$E374*$AL374/100)</f>
        <v/>
      </c>
      <c r="AN374" s="30" t="str">
        <f aca="false">IF(OR($AM374="",$E374=""),"",$E374-$AM374)</f>
        <v/>
      </c>
      <c r="AO374" s="35" t="str">
        <f aca="false">IFERROR($E374/($F374/100)^2,"")</f>
        <v/>
      </c>
      <c r="AP374" s="35" t="str">
        <f aca="false">IFERROR($G374/$F374*100,"")</f>
        <v/>
      </c>
      <c r="AQ374" s="36" t="str">
        <f aca="false">IFERROR($W374/$F374,"")</f>
        <v/>
      </c>
      <c r="AR374" s="35" t="str">
        <f aca="false">IF(OR($S374="",$I374=""),"",($S374-PI()*$I374/10)^2/(4*PI())-IF(IFERROR(INDEX(Cadastro!$F$8:$F$47,MATCH($B374,Cadastro!$B$8:$B$47,0)),"")="Feminino",6.5,10))</f>
        <v/>
      </c>
      <c r="AS374" s="35" t="str">
        <f aca="false">IF(OR($I374="",$J374="",$O374="",$F374=""),"",-0.7182+0.1451*(($I374+$J374+$O374)*(170.18/$F374))-0.00068*(($I374+$J374+$O374)*(170.18/$F374))^2+0.0000014*(($I374+$J374+$O374)*(170.18/$F374))^3)</f>
        <v/>
      </c>
      <c r="AT374" s="35" t="str">
        <f aca="false">IF(OR($AE374="",$AF374="",$T374="",$AA374="",$F374=""),"",0.858*$AE374+0.601*$AF374+0.188*($T374-$I374/10)+0.161*($AA374-$R374/10)-0.131*$F374+4.5)</f>
        <v/>
      </c>
      <c r="AU374" s="35" t="str">
        <f aca="false">IF(OR($E374="",$F374=""),"",IF($F374/$E374^(1/3)&gt;=40.75,0.732*($F374/$E374^(1/3))-28.58,IF($F374/$E374^(1/3)&gt;=38.25,0.463*($F374/$E374^(1/3))-17.63,0.1)))</f>
        <v/>
      </c>
      <c r="AV374" s="37" t="str">
        <f aca="false">IF(OR($AS374="",$AT374="",$AU374=""),"",IF(AND($AT374&gt;=$AS374,$AT374&gt;=$AU374),"Mesomorfo dominante",IF(AND($AU374&gt;=$AS374,$AU374&gt;=$AT374),"Ectomorfo dominante","Endomorfo dominante")))</f>
        <v/>
      </c>
    </row>
    <row r="375" customFormat="false" ht="15" hidden="false" customHeight="false" outlineLevel="0" collapsed="false">
      <c r="A375" s="29"/>
      <c r="B375" s="27"/>
      <c r="C375" s="28"/>
      <c r="D375" s="27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3" t="str">
        <f aca="false">IFERROR(DATEDIF(INDEX(Cadastro!$D$8:$D$47,MATCH($B375,Cadastro!$B$8:$B$47,0)),$A375,"Y"),"")</f>
        <v/>
      </c>
      <c r="AH375" s="33" t="str">
        <f aca="false">IF(COUNT($I375,$K375,$J375,$N375)&lt;4,"",$I375+$K375+$J375+$N375)</f>
        <v/>
      </c>
      <c r="AI375" s="33" t="str">
        <f aca="false">IF(COUNT($L375,$M375,$I375,$J375,$P375,$N375,$Q375)&lt;7,"",$L375+$M375+$I375+$J375+$P375+$N375+$Q375)</f>
        <v/>
      </c>
      <c r="AJ375" s="33" t="str">
        <f aca="false">IF(COUNT($I375,$J375,$K375,$O375,$P375,$Q375,$R375,$N375)&lt;8,"",$I375+$J375+$K375+$O375+$P375+$Q375+$R375+$N375)</f>
        <v/>
      </c>
      <c r="AK375" s="34" t="str">
        <f aca="false">IF(OR($AI375="",$AG375=""),"",IF(IFERROR(INDEX(Cadastro!$F$8:$F$47,MATCH($B375,Cadastro!$B$8:$B$47,0)),"")="Feminino",1.097-0.00046971*$AI375+0.00000056*$AI375^2-0.00012828*$AG375,1.112-0.00043499*$AI375+0.00000055*$AI375^2-0.00028826*$AG375))</f>
        <v/>
      </c>
      <c r="AL375" s="30" t="str">
        <f aca="false">IF(OR($AK375="",$AK375=0),"",495/$AK375-450)</f>
        <v/>
      </c>
      <c r="AM375" s="35" t="str">
        <f aca="false">IF(OR($AL375="",$E375=""),"",$E375*$AL375/100)</f>
        <v/>
      </c>
      <c r="AN375" s="30" t="str">
        <f aca="false">IF(OR($AM375="",$E375=""),"",$E375-$AM375)</f>
        <v/>
      </c>
      <c r="AO375" s="35" t="str">
        <f aca="false">IFERROR($E375/($F375/100)^2,"")</f>
        <v/>
      </c>
      <c r="AP375" s="35" t="str">
        <f aca="false">IFERROR($G375/$F375*100,"")</f>
        <v/>
      </c>
      <c r="AQ375" s="36" t="str">
        <f aca="false">IFERROR($W375/$F375,"")</f>
        <v/>
      </c>
      <c r="AR375" s="35" t="str">
        <f aca="false">IF(OR($S375="",$I375=""),"",($S375-PI()*$I375/10)^2/(4*PI())-IF(IFERROR(INDEX(Cadastro!$F$8:$F$47,MATCH($B375,Cadastro!$B$8:$B$47,0)),"")="Feminino",6.5,10))</f>
        <v/>
      </c>
      <c r="AS375" s="35" t="str">
        <f aca="false">IF(OR($I375="",$J375="",$O375="",$F375=""),"",-0.7182+0.1451*(($I375+$J375+$O375)*(170.18/$F375))-0.00068*(($I375+$J375+$O375)*(170.18/$F375))^2+0.0000014*(($I375+$J375+$O375)*(170.18/$F375))^3)</f>
        <v/>
      </c>
      <c r="AT375" s="35" t="str">
        <f aca="false">IF(OR($AE375="",$AF375="",$T375="",$AA375="",$F375=""),"",0.858*$AE375+0.601*$AF375+0.188*($T375-$I375/10)+0.161*($AA375-$R375/10)-0.131*$F375+4.5)</f>
        <v/>
      </c>
      <c r="AU375" s="35" t="str">
        <f aca="false">IF(OR($E375="",$F375=""),"",IF($F375/$E375^(1/3)&gt;=40.75,0.732*($F375/$E375^(1/3))-28.58,IF($F375/$E375^(1/3)&gt;=38.25,0.463*($F375/$E375^(1/3))-17.63,0.1)))</f>
        <v/>
      </c>
      <c r="AV375" s="37" t="str">
        <f aca="false">IF(OR($AS375="",$AT375="",$AU375=""),"",IF(AND($AT375&gt;=$AS375,$AT375&gt;=$AU375),"Mesomorfo dominante",IF(AND($AU375&gt;=$AS375,$AU375&gt;=$AT375),"Ectomorfo dominante","Endomorfo dominante")))</f>
        <v/>
      </c>
    </row>
    <row r="376" customFormat="false" ht="15" hidden="false" customHeight="false" outlineLevel="0" collapsed="false">
      <c r="A376" s="29"/>
      <c r="B376" s="27"/>
      <c r="C376" s="28"/>
      <c r="D376" s="27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3" t="str">
        <f aca="false">IFERROR(DATEDIF(INDEX(Cadastro!$D$8:$D$47,MATCH($B376,Cadastro!$B$8:$B$47,0)),$A376,"Y"),"")</f>
        <v/>
      </c>
      <c r="AH376" s="33" t="str">
        <f aca="false">IF(COUNT($I376,$K376,$J376,$N376)&lt;4,"",$I376+$K376+$J376+$N376)</f>
        <v/>
      </c>
      <c r="AI376" s="33" t="str">
        <f aca="false">IF(COUNT($L376,$M376,$I376,$J376,$P376,$N376,$Q376)&lt;7,"",$L376+$M376+$I376+$J376+$P376+$N376+$Q376)</f>
        <v/>
      </c>
      <c r="AJ376" s="33" t="str">
        <f aca="false">IF(COUNT($I376,$J376,$K376,$O376,$P376,$Q376,$R376,$N376)&lt;8,"",$I376+$J376+$K376+$O376+$P376+$Q376+$R376+$N376)</f>
        <v/>
      </c>
      <c r="AK376" s="34" t="str">
        <f aca="false">IF(OR($AI376="",$AG376=""),"",IF(IFERROR(INDEX(Cadastro!$F$8:$F$47,MATCH($B376,Cadastro!$B$8:$B$47,0)),"")="Feminino",1.097-0.00046971*$AI376+0.00000056*$AI376^2-0.00012828*$AG376,1.112-0.00043499*$AI376+0.00000055*$AI376^2-0.00028826*$AG376))</f>
        <v/>
      </c>
      <c r="AL376" s="30" t="str">
        <f aca="false">IF(OR($AK376="",$AK376=0),"",495/$AK376-450)</f>
        <v/>
      </c>
      <c r="AM376" s="35" t="str">
        <f aca="false">IF(OR($AL376="",$E376=""),"",$E376*$AL376/100)</f>
        <v/>
      </c>
      <c r="AN376" s="30" t="str">
        <f aca="false">IF(OR($AM376="",$E376=""),"",$E376-$AM376)</f>
        <v/>
      </c>
      <c r="AO376" s="35" t="str">
        <f aca="false">IFERROR($E376/($F376/100)^2,"")</f>
        <v/>
      </c>
      <c r="AP376" s="35" t="str">
        <f aca="false">IFERROR($G376/$F376*100,"")</f>
        <v/>
      </c>
      <c r="AQ376" s="36" t="str">
        <f aca="false">IFERROR($W376/$F376,"")</f>
        <v/>
      </c>
      <c r="AR376" s="35" t="str">
        <f aca="false">IF(OR($S376="",$I376=""),"",($S376-PI()*$I376/10)^2/(4*PI())-IF(IFERROR(INDEX(Cadastro!$F$8:$F$47,MATCH($B376,Cadastro!$B$8:$B$47,0)),"")="Feminino",6.5,10))</f>
        <v/>
      </c>
      <c r="AS376" s="35" t="str">
        <f aca="false">IF(OR($I376="",$J376="",$O376="",$F376=""),"",-0.7182+0.1451*(($I376+$J376+$O376)*(170.18/$F376))-0.00068*(($I376+$J376+$O376)*(170.18/$F376))^2+0.0000014*(($I376+$J376+$O376)*(170.18/$F376))^3)</f>
        <v/>
      </c>
      <c r="AT376" s="35" t="str">
        <f aca="false">IF(OR($AE376="",$AF376="",$T376="",$AA376="",$F376=""),"",0.858*$AE376+0.601*$AF376+0.188*($T376-$I376/10)+0.161*($AA376-$R376/10)-0.131*$F376+4.5)</f>
        <v/>
      </c>
      <c r="AU376" s="35" t="str">
        <f aca="false">IF(OR($E376="",$F376=""),"",IF($F376/$E376^(1/3)&gt;=40.75,0.732*($F376/$E376^(1/3))-28.58,IF($F376/$E376^(1/3)&gt;=38.25,0.463*($F376/$E376^(1/3))-17.63,0.1)))</f>
        <v/>
      </c>
      <c r="AV376" s="37" t="str">
        <f aca="false">IF(OR($AS376="",$AT376="",$AU376=""),"",IF(AND($AT376&gt;=$AS376,$AT376&gt;=$AU376),"Mesomorfo dominante",IF(AND($AU376&gt;=$AS376,$AU376&gt;=$AT376),"Ectomorfo dominante","Endomorfo dominante")))</f>
        <v/>
      </c>
    </row>
    <row r="377" customFormat="false" ht="15" hidden="false" customHeight="false" outlineLevel="0" collapsed="false">
      <c r="A377" s="29"/>
      <c r="B377" s="27"/>
      <c r="C377" s="28"/>
      <c r="D377" s="27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3" t="str">
        <f aca="false">IFERROR(DATEDIF(INDEX(Cadastro!$D$8:$D$47,MATCH($B377,Cadastro!$B$8:$B$47,0)),$A377,"Y"),"")</f>
        <v/>
      </c>
      <c r="AH377" s="33" t="str">
        <f aca="false">IF(COUNT($I377,$K377,$J377,$N377)&lt;4,"",$I377+$K377+$J377+$N377)</f>
        <v/>
      </c>
      <c r="AI377" s="33" t="str">
        <f aca="false">IF(COUNT($L377,$M377,$I377,$J377,$P377,$N377,$Q377)&lt;7,"",$L377+$M377+$I377+$J377+$P377+$N377+$Q377)</f>
        <v/>
      </c>
      <c r="AJ377" s="33" t="str">
        <f aca="false">IF(COUNT($I377,$J377,$K377,$O377,$P377,$Q377,$R377,$N377)&lt;8,"",$I377+$J377+$K377+$O377+$P377+$Q377+$R377+$N377)</f>
        <v/>
      </c>
      <c r="AK377" s="34" t="str">
        <f aca="false">IF(OR($AI377="",$AG377=""),"",IF(IFERROR(INDEX(Cadastro!$F$8:$F$47,MATCH($B377,Cadastro!$B$8:$B$47,0)),"")="Feminino",1.097-0.00046971*$AI377+0.00000056*$AI377^2-0.00012828*$AG377,1.112-0.00043499*$AI377+0.00000055*$AI377^2-0.00028826*$AG377))</f>
        <v/>
      </c>
      <c r="AL377" s="30" t="str">
        <f aca="false">IF(OR($AK377="",$AK377=0),"",495/$AK377-450)</f>
        <v/>
      </c>
      <c r="AM377" s="35" t="str">
        <f aca="false">IF(OR($AL377="",$E377=""),"",$E377*$AL377/100)</f>
        <v/>
      </c>
      <c r="AN377" s="30" t="str">
        <f aca="false">IF(OR($AM377="",$E377=""),"",$E377-$AM377)</f>
        <v/>
      </c>
      <c r="AO377" s="35" t="str">
        <f aca="false">IFERROR($E377/($F377/100)^2,"")</f>
        <v/>
      </c>
      <c r="AP377" s="35" t="str">
        <f aca="false">IFERROR($G377/$F377*100,"")</f>
        <v/>
      </c>
      <c r="AQ377" s="36" t="str">
        <f aca="false">IFERROR($W377/$F377,"")</f>
        <v/>
      </c>
      <c r="AR377" s="35" t="str">
        <f aca="false">IF(OR($S377="",$I377=""),"",($S377-PI()*$I377/10)^2/(4*PI())-IF(IFERROR(INDEX(Cadastro!$F$8:$F$47,MATCH($B377,Cadastro!$B$8:$B$47,0)),"")="Feminino",6.5,10))</f>
        <v/>
      </c>
      <c r="AS377" s="35" t="str">
        <f aca="false">IF(OR($I377="",$J377="",$O377="",$F377=""),"",-0.7182+0.1451*(($I377+$J377+$O377)*(170.18/$F377))-0.00068*(($I377+$J377+$O377)*(170.18/$F377))^2+0.0000014*(($I377+$J377+$O377)*(170.18/$F377))^3)</f>
        <v/>
      </c>
      <c r="AT377" s="35" t="str">
        <f aca="false">IF(OR($AE377="",$AF377="",$T377="",$AA377="",$F377=""),"",0.858*$AE377+0.601*$AF377+0.188*($T377-$I377/10)+0.161*($AA377-$R377/10)-0.131*$F377+4.5)</f>
        <v/>
      </c>
      <c r="AU377" s="35" t="str">
        <f aca="false">IF(OR($E377="",$F377=""),"",IF($F377/$E377^(1/3)&gt;=40.75,0.732*($F377/$E377^(1/3))-28.58,IF($F377/$E377^(1/3)&gt;=38.25,0.463*($F377/$E377^(1/3))-17.63,0.1)))</f>
        <v/>
      </c>
      <c r="AV377" s="37" t="str">
        <f aca="false">IF(OR($AS377="",$AT377="",$AU377=""),"",IF(AND($AT377&gt;=$AS377,$AT377&gt;=$AU377),"Mesomorfo dominante",IF(AND($AU377&gt;=$AS377,$AU377&gt;=$AT377),"Ectomorfo dominante","Endomorfo dominante")))</f>
        <v/>
      </c>
    </row>
    <row r="378" customFormat="false" ht="15" hidden="false" customHeight="false" outlineLevel="0" collapsed="false">
      <c r="A378" s="29"/>
      <c r="B378" s="27"/>
      <c r="C378" s="28"/>
      <c r="D378" s="27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3" t="str">
        <f aca="false">IFERROR(DATEDIF(INDEX(Cadastro!$D$8:$D$47,MATCH($B378,Cadastro!$B$8:$B$47,0)),$A378,"Y"),"")</f>
        <v/>
      </c>
      <c r="AH378" s="33" t="str">
        <f aca="false">IF(COUNT($I378,$K378,$J378,$N378)&lt;4,"",$I378+$K378+$J378+$N378)</f>
        <v/>
      </c>
      <c r="AI378" s="33" t="str">
        <f aca="false">IF(COUNT($L378,$M378,$I378,$J378,$P378,$N378,$Q378)&lt;7,"",$L378+$M378+$I378+$J378+$P378+$N378+$Q378)</f>
        <v/>
      </c>
      <c r="AJ378" s="33" t="str">
        <f aca="false">IF(COUNT($I378,$J378,$K378,$O378,$P378,$Q378,$R378,$N378)&lt;8,"",$I378+$J378+$K378+$O378+$P378+$Q378+$R378+$N378)</f>
        <v/>
      </c>
      <c r="AK378" s="34" t="str">
        <f aca="false">IF(OR($AI378="",$AG378=""),"",IF(IFERROR(INDEX(Cadastro!$F$8:$F$47,MATCH($B378,Cadastro!$B$8:$B$47,0)),"")="Feminino",1.097-0.00046971*$AI378+0.00000056*$AI378^2-0.00012828*$AG378,1.112-0.00043499*$AI378+0.00000055*$AI378^2-0.00028826*$AG378))</f>
        <v/>
      </c>
      <c r="AL378" s="30" t="str">
        <f aca="false">IF(OR($AK378="",$AK378=0),"",495/$AK378-450)</f>
        <v/>
      </c>
      <c r="AM378" s="35" t="str">
        <f aca="false">IF(OR($AL378="",$E378=""),"",$E378*$AL378/100)</f>
        <v/>
      </c>
      <c r="AN378" s="30" t="str">
        <f aca="false">IF(OR($AM378="",$E378=""),"",$E378-$AM378)</f>
        <v/>
      </c>
      <c r="AO378" s="35" t="str">
        <f aca="false">IFERROR($E378/($F378/100)^2,"")</f>
        <v/>
      </c>
      <c r="AP378" s="35" t="str">
        <f aca="false">IFERROR($G378/$F378*100,"")</f>
        <v/>
      </c>
      <c r="AQ378" s="36" t="str">
        <f aca="false">IFERROR($W378/$F378,"")</f>
        <v/>
      </c>
      <c r="AR378" s="35" t="str">
        <f aca="false">IF(OR($S378="",$I378=""),"",($S378-PI()*$I378/10)^2/(4*PI())-IF(IFERROR(INDEX(Cadastro!$F$8:$F$47,MATCH($B378,Cadastro!$B$8:$B$47,0)),"")="Feminino",6.5,10))</f>
        <v/>
      </c>
      <c r="AS378" s="35" t="str">
        <f aca="false">IF(OR($I378="",$J378="",$O378="",$F378=""),"",-0.7182+0.1451*(($I378+$J378+$O378)*(170.18/$F378))-0.00068*(($I378+$J378+$O378)*(170.18/$F378))^2+0.0000014*(($I378+$J378+$O378)*(170.18/$F378))^3)</f>
        <v/>
      </c>
      <c r="AT378" s="35" t="str">
        <f aca="false">IF(OR($AE378="",$AF378="",$T378="",$AA378="",$F378=""),"",0.858*$AE378+0.601*$AF378+0.188*($T378-$I378/10)+0.161*($AA378-$R378/10)-0.131*$F378+4.5)</f>
        <v/>
      </c>
      <c r="AU378" s="35" t="str">
        <f aca="false">IF(OR($E378="",$F378=""),"",IF($F378/$E378^(1/3)&gt;=40.75,0.732*($F378/$E378^(1/3))-28.58,IF($F378/$E378^(1/3)&gt;=38.25,0.463*($F378/$E378^(1/3))-17.63,0.1)))</f>
        <v/>
      </c>
      <c r="AV378" s="37" t="str">
        <f aca="false">IF(OR($AS378="",$AT378="",$AU378=""),"",IF(AND($AT378&gt;=$AS378,$AT378&gt;=$AU378),"Mesomorfo dominante",IF(AND($AU378&gt;=$AS378,$AU378&gt;=$AT378),"Ectomorfo dominante","Endomorfo dominante")))</f>
        <v/>
      </c>
    </row>
    <row r="379" customFormat="false" ht="15" hidden="false" customHeight="false" outlineLevel="0" collapsed="false">
      <c r="A379" s="29"/>
      <c r="B379" s="27"/>
      <c r="C379" s="28"/>
      <c r="D379" s="27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3" t="str">
        <f aca="false">IFERROR(DATEDIF(INDEX(Cadastro!$D$8:$D$47,MATCH($B379,Cadastro!$B$8:$B$47,0)),$A379,"Y"),"")</f>
        <v/>
      </c>
      <c r="AH379" s="33" t="str">
        <f aca="false">IF(COUNT($I379,$K379,$J379,$N379)&lt;4,"",$I379+$K379+$J379+$N379)</f>
        <v/>
      </c>
      <c r="AI379" s="33" t="str">
        <f aca="false">IF(COUNT($L379,$M379,$I379,$J379,$P379,$N379,$Q379)&lt;7,"",$L379+$M379+$I379+$J379+$P379+$N379+$Q379)</f>
        <v/>
      </c>
      <c r="AJ379" s="33" t="str">
        <f aca="false">IF(COUNT($I379,$J379,$K379,$O379,$P379,$Q379,$R379,$N379)&lt;8,"",$I379+$J379+$K379+$O379+$P379+$Q379+$R379+$N379)</f>
        <v/>
      </c>
      <c r="AK379" s="34" t="str">
        <f aca="false">IF(OR($AI379="",$AG379=""),"",IF(IFERROR(INDEX(Cadastro!$F$8:$F$47,MATCH($B379,Cadastro!$B$8:$B$47,0)),"")="Feminino",1.097-0.00046971*$AI379+0.00000056*$AI379^2-0.00012828*$AG379,1.112-0.00043499*$AI379+0.00000055*$AI379^2-0.00028826*$AG379))</f>
        <v/>
      </c>
      <c r="AL379" s="30" t="str">
        <f aca="false">IF(OR($AK379="",$AK379=0),"",495/$AK379-450)</f>
        <v/>
      </c>
      <c r="AM379" s="35" t="str">
        <f aca="false">IF(OR($AL379="",$E379=""),"",$E379*$AL379/100)</f>
        <v/>
      </c>
      <c r="AN379" s="30" t="str">
        <f aca="false">IF(OR($AM379="",$E379=""),"",$E379-$AM379)</f>
        <v/>
      </c>
      <c r="AO379" s="35" t="str">
        <f aca="false">IFERROR($E379/($F379/100)^2,"")</f>
        <v/>
      </c>
      <c r="AP379" s="35" t="str">
        <f aca="false">IFERROR($G379/$F379*100,"")</f>
        <v/>
      </c>
      <c r="AQ379" s="36" t="str">
        <f aca="false">IFERROR($W379/$F379,"")</f>
        <v/>
      </c>
      <c r="AR379" s="35" t="str">
        <f aca="false">IF(OR($S379="",$I379=""),"",($S379-PI()*$I379/10)^2/(4*PI())-IF(IFERROR(INDEX(Cadastro!$F$8:$F$47,MATCH($B379,Cadastro!$B$8:$B$47,0)),"")="Feminino",6.5,10))</f>
        <v/>
      </c>
      <c r="AS379" s="35" t="str">
        <f aca="false">IF(OR($I379="",$J379="",$O379="",$F379=""),"",-0.7182+0.1451*(($I379+$J379+$O379)*(170.18/$F379))-0.00068*(($I379+$J379+$O379)*(170.18/$F379))^2+0.0000014*(($I379+$J379+$O379)*(170.18/$F379))^3)</f>
        <v/>
      </c>
      <c r="AT379" s="35" t="str">
        <f aca="false">IF(OR($AE379="",$AF379="",$T379="",$AA379="",$F379=""),"",0.858*$AE379+0.601*$AF379+0.188*($T379-$I379/10)+0.161*($AA379-$R379/10)-0.131*$F379+4.5)</f>
        <v/>
      </c>
      <c r="AU379" s="35" t="str">
        <f aca="false">IF(OR($E379="",$F379=""),"",IF($F379/$E379^(1/3)&gt;=40.75,0.732*($F379/$E379^(1/3))-28.58,IF($F379/$E379^(1/3)&gt;=38.25,0.463*($F379/$E379^(1/3))-17.63,0.1)))</f>
        <v/>
      </c>
      <c r="AV379" s="37" t="str">
        <f aca="false">IF(OR($AS379="",$AT379="",$AU379=""),"",IF(AND($AT379&gt;=$AS379,$AT379&gt;=$AU379),"Mesomorfo dominante",IF(AND($AU379&gt;=$AS379,$AU379&gt;=$AT379),"Ectomorfo dominante","Endomorfo dominante")))</f>
        <v/>
      </c>
    </row>
    <row r="380" customFormat="false" ht="15" hidden="false" customHeight="false" outlineLevel="0" collapsed="false">
      <c r="A380" s="29"/>
      <c r="B380" s="27"/>
      <c r="C380" s="28"/>
      <c r="D380" s="27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3" t="str">
        <f aca="false">IFERROR(DATEDIF(INDEX(Cadastro!$D$8:$D$47,MATCH($B380,Cadastro!$B$8:$B$47,0)),$A380,"Y"),"")</f>
        <v/>
      </c>
      <c r="AH380" s="33" t="str">
        <f aca="false">IF(COUNT($I380,$K380,$J380,$N380)&lt;4,"",$I380+$K380+$J380+$N380)</f>
        <v/>
      </c>
      <c r="AI380" s="33" t="str">
        <f aca="false">IF(COUNT($L380,$M380,$I380,$J380,$P380,$N380,$Q380)&lt;7,"",$L380+$M380+$I380+$J380+$P380+$N380+$Q380)</f>
        <v/>
      </c>
      <c r="AJ380" s="33" t="str">
        <f aca="false">IF(COUNT($I380,$J380,$K380,$O380,$P380,$Q380,$R380,$N380)&lt;8,"",$I380+$J380+$K380+$O380+$P380+$Q380+$R380+$N380)</f>
        <v/>
      </c>
      <c r="AK380" s="34" t="str">
        <f aca="false">IF(OR($AI380="",$AG380=""),"",IF(IFERROR(INDEX(Cadastro!$F$8:$F$47,MATCH($B380,Cadastro!$B$8:$B$47,0)),"")="Feminino",1.097-0.00046971*$AI380+0.00000056*$AI380^2-0.00012828*$AG380,1.112-0.00043499*$AI380+0.00000055*$AI380^2-0.00028826*$AG380))</f>
        <v/>
      </c>
      <c r="AL380" s="30" t="str">
        <f aca="false">IF(OR($AK380="",$AK380=0),"",495/$AK380-450)</f>
        <v/>
      </c>
      <c r="AM380" s="35" t="str">
        <f aca="false">IF(OR($AL380="",$E380=""),"",$E380*$AL380/100)</f>
        <v/>
      </c>
      <c r="AN380" s="30" t="str">
        <f aca="false">IF(OR($AM380="",$E380=""),"",$E380-$AM380)</f>
        <v/>
      </c>
      <c r="AO380" s="35" t="str">
        <f aca="false">IFERROR($E380/($F380/100)^2,"")</f>
        <v/>
      </c>
      <c r="AP380" s="35" t="str">
        <f aca="false">IFERROR($G380/$F380*100,"")</f>
        <v/>
      </c>
      <c r="AQ380" s="36" t="str">
        <f aca="false">IFERROR($W380/$F380,"")</f>
        <v/>
      </c>
      <c r="AR380" s="35" t="str">
        <f aca="false">IF(OR($S380="",$I380=""),"",($S380-PI()*$I380/10)^2/(4*PI())-IF(IFERROR(INDEX(Cadastro!$F$8:$F$47,MATCH($B380,Cadastro!$B$8:$B$47,0)),"")="Feminino",6.5,10))</f>
        <v/>
      </c>
      <c r="AS380" s="35" t="str">
        <f aca="false">IF(OR($I380="",$J380="",$O380="",$F380=""),"",-0.7182+0.1451*(($I380+$J380+$O380)*(170.18/$F380))-0.00068*(($I380+$J380+$O380)*(170.18/$F380))^2+0.0000014*(($I380+$J380+$O380)*(170.18/$F380))^3)</f>
        <v/>
      </c>
      <c r="AT380" s="35" t="str">
        <f aca="false">IF(OR($AE380="",$AF380="",$T380="",$AA380="",$F380=""),"",0.858*$AE380+0.601*$AF380+0.188*($T380-$I380/10)+0.161*($AA380-$R380/10)-0.131*$F380+4.5)</f>
        <v/>
      </c>
      <c r="AU380" s="35" t="str">
        <f aca="false">IF(OR($E380="",$F380=""),"",IF($F380/$E380^(1/3)&gt;=40.75,0.732*($F380/$E380^(1/3))-28.58,IF($F380/$E380^(1/3)&gt;=38.25,0.463*($F380/$E380^(1/3))-17.63,0.1)))</f>
        <v/>
      </c>
      <c r="AV380" s="37" t="str">
        <f aca="false">IF(OR($AS380="",$AT380="",$AU380=""),"",IF(AND($AT380&gt;=$AS380,$AT380&gt;=$AU380),"Mesomorfo dominante",IF(AND($AU380&gt;=$AS380,$AU380&gt;=$AT380),"Ectomorfo dominante","Endomorfo dominante")))</f>
        <v/>
      </c>
    </row>
    <row r="381" customFormat="false" ht="15" hidden="false" customHeight="false" outlineLevel="0" collapsed="false">
      <c r="A381" s="29"/>
      <c r="B381" s="27"/>
      <c r="C381" s="28"/>
      <c r="D381" s="27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3" t="str">
        <f aca="false">IFERROR(DATEDIF(INDEX(Cadastro!$D$8:$D$47,MATCH($B381,Cadastro!$B$8:$B$47,0)),$A381,"Y"),"")</f>
        <v/>
      </c>
      <c r="AH381" s="33" t="str">
        <f aca="false">IF(COUNT($I381,$K381,$J381,$N381)&lt;4,"",$I381+$K381+$J381+$N381)</f>
        <v/>
      </c>
      <c r="AI381" s="33" t="str">
        <f aca="false">IF(COUNT($L381,$M381,$I381,$J381,$P381,$N381,$Q381)&lt;7,"",$L381+$M381+$I381+$J381+$P381+$N381+$Q381)</f>
        <v/>
      </c>
      <c r="AJ381" s="33" t="str">
        <f aca="false">IF(COUNT($I381,$J381,$K381,$O381,$P381,$Q381,$R381,$N381)&lt;8,"",$I381+$J381+$K381+$O381+$P381+$Q381+$R381+$N381)</f>
        <v/>
      </c>
      <c r="AK381" s="34" t="str">
        <f aca="false">IF(OR($AI381="",$AG381=""),"",IF(IFERROR(INDEX(Cadastro!$F$8:$F$47,MATCH($B381,Cadastro!$B$8:$B$47,0)),"")="Feminino",1.097-0.00046971*$AI381+0.00000056*$AI381^2-0.00012828*$AG381,1.112-0.00043499*$AI381+0.00000055*$AI381^2-0.00028826*$AG381))</f>
        <v/>
      </c>
      <c r="AL381" s="30" t="str">
        <f aca="false">IF(OR($AK381="",$AK381=0),"",495/$AK381-450)</f>
        <v/>
      </c>
      <c r="AM381" s="35" t="str">
        <f aca="false">IF(OR($AL381="",$E381=""),"",$E381*$AL381/100)</f>
        <v/>
      </c>
      <c r="AN381" s="30" t="str">
        <f aca="false">IF(OR($AM381="",$E381=""),"",$E381-$AM381)</f>
        <v/>
      </c>
      <c r="AO381" s="35" t="str">
        <f aca="false">IFERROR($E381/($F381/100)^2,"")</f>
        <v/>
      </c>
      <c r="AP381" s="35" t="str">
        <f aca="false">IFERROR($G381/$F381*100,"")</f>
        <v/>
      </c>
      <c r="AQ381" s="36" t="str">
        <f aca="false">IFERROR($W381/$F381,"")</f>
        <v/>
      </c>
      <c r="AR381" s="35" t="str">
        <f aca="false">IF(OR($S381="",$I381=""),"",($S381-PI()*$I381/10)^2/(4*PI())-IF(IFERROR(INDEX(Cadastro!$F$8:$F$47,MATCH($B381,Cadastro!$B$8:$B$47,0)),"")="Feminino",6.5,10))</f>
        <v/>
      </c>
      <c r="AS381" s="35" t="str">
        <f aca="false">IF(OR($I381="",$J381="",$O381="",$F381=""),"",-0.7182+0.1451*(($I381+$J381+$O381)*(170.18/$F381))-0.00068*(($I381+$J381+$O381)*(170.18/$F381))^2+0.0000014*(($I381+$J381+$O381)*(170.18/$F381))^3)</f>
        <v/>
      </c>
      <c r="AT381" s="35" t="str">
        <f aca="false">IF(OR($AE381="",$AF381="",$T381="",$AA381="",$F381=""),"",0.858*$AE381+0.601*$AF381+0.188*($T381-$I381/10)+0.161*($AA381-$R381/10)-0.131*$F381+4.5)</f>
        <v/>
      </c>
      <c r="AU381" s="35" t="str">
        <f aca="false">IF(OR($E381="",$F381=""),"",IF($F381/$E381^(1/3)&gt;=40.75,0.732*($F381/$E381^(1/3))-28.58,IF($F381/$E381^(1/3)&gt;=38.25,0.463*($F381/$E381^(1/3))-17.63,0.1)))</f>
        <v/>
      </c>
      <c r="AV381" s="37" t="str">
        <f aca="false">IF(OR($AS381="",$AT381="",$AU381=""),"",IF(AND($AT381&gt;=$AS381,$AT381&gt;=$AU381),"Mesomorfo dominante",IF(AND($AU381&gt;=$AS381,$AU381&gt;=$AT381),"Ectomorfo dominante","Endomorfo dominante")))</f>
        <v/>
      </c>
    </row>
    <row r="382" customFormat="false" ht="15" hidden="false" customHeight="false" outlineLevel="0" collapsed="false">
      <c r="A382" s="29"/>
      <c r="B382" s="27"/>
      <c r="C382" s="28"/>
      <c r="D382" s="27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3" t="str">
        <f aca="false">IFERROR(DATEDIF(INDEX(Cadastro!$D$8:$D$47,MATCH($B382,Cadastro!$B$8:$B$47,0)),$A382,"Y"),"")</f>
        <v/>
      </c>
      <c r="AH382" s="33" t="str">
        <f aca="false">IF(COUNT($I382,$K382,$J382,$N382)&lt;4,"",$I382+$K382+$J382+$N382)</f>
        <v/>
      </c>
      <c r="AI382" s="33" t="str">
        <f aca="false">IF(COUNT($L382,$M382,$I382,$J382,$P382,$N382,$Q382)&lt;7,"",$L382+$M382+$I382+$J382+$P382+$N382+$Q382)</f>
        <v/>
      </c>
      <c r="AJ382" s="33" t="str">
        <f aca="false">IF(COUNT($I382,$J382,$K382,$O382,$P382,$Q382,$R382,$N382)&lt;8,"",$I382+$J382+$K382+$O382+$P382+$Q382+$R382+$N382)</f>
        <v/>
      </c>
      <c r="AK382" s="34" t="str">
        <f aca="false">IF(OR($AI382="",$AG382=""),"",IF(IFERROR(INDEX(Cadastro!$F$8:$F$47,MATCH($B382,Cadastro!$B$8:$B$47,0)),"")="Feminino",1.097-0.00046971*$AI382+0.00000056*$AI382^2-0.00012828*$AG382,1.112-0.00043499*$AI382+0.00000055*$AI382^2-0.00028826*$AG382))</f>
        <v/>
      </c>
      <c r="AL382" s="30" t="str">
        <f aca="false">IF(OR($AK382="",$AK382=0),"",495/$AK382-450)</f>
        <v/>
      </c>
      <c r="AM382" s="35" t="str">
        <f aca="false">IF(OR($AL382="",$E382=""),"",$E382*$AL382/100)</f>
        <v/>
      </c>
      <c r="AN382" s="30" t="str">
        <f aca="false">IF(OR($AM382="",$E382=""),"",$E382-$AM382)</f>
        <v/>
      </c>
      <c r="AO382" s="35" t="str">
        <f aca="false">IFERROR($E382/($F382/100)^2,"")</f>
        <v/>
      </c>
      <c r="AP382" s="35" t="str">
        <f aca="false">IFERROR($G382/$F382*100,"")</f>
        <v/>
      </c>
      <c r="AQ382" s="36" t="str">
        <f aca="false">IFERROR($W382/$F382,"")</f>
        <v/>
      </c>
      <c r="AR382" s="35" t="str">
        <f aca="false">IF(OR($S382="",$I382=""),"",($S382-PI()*$I382/10)^2/(4*PI())-IF(IFERROR(INDEX(Cadastro!$F$8:$F$47,MATCH($B382,Cadastro!$B$8:$B$47,0)),"")="Feminino",6.5,10))</f>
        <v/>
      </c>
      <c r="AS382" s="35" t="str">
        <f aca="false">IF(OR($I382="",$J382="",$O382="",$F382=""),"",-0.7182+0.1451*(($I382+$J382+$O382)*(170.18/$F382))-0.00068*(($I382+$J382+$O382)*(170.18/$F382))^2+0.0000014*(($I382+$J382+$O382)*(170.18/$F382))^3)</f>
        <v/>
      </c>
      <c r="AT382" s="35" t="str">
        <f aca="false">IF(OR($AE382="",$AF382="",$T382="",$AA382="",$F382=""),"",0.858*$AE382+0.601*$AF382+0.188*($T382-$I382/10)+0.161*($AA382-$R382/10)-0.131*$F382+4.5)</f>
        <v/>
      </c>
      <c r="AU382" s="35" t="str">
        <f aca="false">IF(OR($E382="",$F382=""),"",IF($F382/$E382^(1/3)&gt;=40.75,0.732*($F382/$E382^(1/3))-28.58,IF($F382/$E382^(1/3)&gt;=38.25,0.463*($F382/$E382^(1/3))-17.63,0.1)))</f>
        <v/>
      </c>
      <c r="AV382" s="37" t="str">
        <f aca="false">IF(OR($AS382="",$AT382="",$AU382=""),"",IF(AND($AT382&gt;=$AS382,$AT382&gt;=$AU382),"Mesomorfo dominante",IF(AND($AU382&gt;=$AS382,$AU382&gt;=$AT382),"Ectomorfo dominante","Endomorfo dominante")))</f>
        <v/>
      </c>
    </row>
    <row r="383" customFormat="false" ht="15" hidden="false" customHeight="false" outlineLevel="0" collapsed="false">
      <c r="A383" s="29"/>
      <c r="B383" s="27"/>
      <c r="C383" s="28"/>
      <c r="D383" s="27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3" t="str">
        <f aca="false">IFERROR(DATEDIF(INDEX(Cadastro!$D$8:$D$47,MATCH($B383,Cadastro!$B$8:$B$47,0)),$A383,"Y"),"")</f>
        <v/>
      </c>
      <c r="AH383" s="33" t="str">
        <f aca="false">IF(COUNT($I383,$K383,$J383,$N383)&lt;4,"",$I383+$K383+$J383+$N383)</f>
        <v/>
      </c>
      <c r="AI383" s="33" t="str">
        <f aca="false">IF(COUNT($L383,$M383,$I383,$J383,$P383,$N383,$Q383)&lt;7,"",$L383+$M383+$I383+$J383+$P383+$N383+$Q383)</f>
        <v/>
      </c>
      <c r="AJ383" s="33" t="str">
        <f aca="false">IF(COUNT($I383,$J383,$K383,$O383,$P383,$Q383,$R383,$N383)&lt;8,"",$I383+$J383+$K383+$O383+$P383+$Q383+$R383+$N383)</f>
        <v/>
      </c>
      <c r="AK383" s="34" t="str">
        <f aca="false">IF(OR($AI383="",$AG383=""),"",IF(IFERROR(INDEX(Cadastro!$F$8:$F$47,MATCH($B383,Cadastro!$B$8:$B$47,0)),"")="Feminino",1.097-0.00046971*$AI383+0.00000056*$AI383^2-0.00012828*$AG383,1.112-0.00043499*$AI383+0.00000055*$AI383^2-0.00028826*$AG383))</f>
        <v/>
      </c>
      <c r="AL383" s="30" t="str">
        <f aca="false">IF(OR($AK383="",$AK383=0),"",495/$AK383-450)</f>
        <v/>
      </c>
      <c r="AM383" s="35" t="str">
        <f aca="false">IF(OR($AL383="",$E383=""),"",$E383*$AL383/100)</f>
        <v/>
      </c>
      <c r="AN383" s="30" t="str">
        <f aca="false">IF(OR($AM383="",$E383=""),"",$E383-$AM383)</f>
        <v/>
      </c>
      <c r="AO383" s="35" t="str">
        <f aca="false">IFERROR($E383/($F383/100)^2,"")</f>
        <v/>
      </c>
      <c r="AP383" s="35" t="str">
        <f aca="false">IFERROR($G383/$F383*100,"")</f>
        <v/>
      </c>
      <c r="AQ383" s="36" t="str">
        <f aca="false">IFERROR($W383/$F383,"")</f>
        <v/>
      </c>
      <c r="AR383" s="35" t="str">
        <f aca="false">IF(OR($S383="",$I383=""),"",($S383-PI()*$I383/10)^2/(4*PI())-IF(IFERROR(INDEX(Cadastro!$F$8:$F$47,MATCH($B383,Cadastro!$B$8:$B$47,0)),"")="Feminino",6.5,10))</f>
        <v/>
      </c>
      <c r="AS383" s="35" t="str">
        <f aca="false">IF(OR($I383="",$J383="",$O383="",$F383=""),"",-0.7182+0.1451*(($I383+$J383+$O383)*(170.18/$F383))-0.00068*(($I383+$J383+$O383)*(170.18/$F383))^2+0.0000014*(($I383+$J383+$O383)*(170.18/$F383))^3)</f>
        <v/>
      </c>
      <c r="AT383" s="35" t="str">
        <f aca="false">IF(OR($AE383="",$AF383="",$T383="",$AA383="",$F383=""),"",0.858*$AE383+0.601*$AF383+0.188*($T383-$I383/10)+0.161*($AA383-$R383/10)-0.131*$F383+4.5)</f>
        <v/>
      </c>
      <c r="AU383" s="35" t="str">
        <f aca="false">IF(OR($E383="",$F383=""),"",IF($F383/$E383^(1/3)&gt;=40.75,0.732*($F383/$E383^(1/3))-28.58,IF($F383/$E383^(1/3)&gt;=38.25,0.463*($F383/$E383^(1/3))-17.63,0.1)))</f>
        <v/>
      </c>
      <c r="AV383" s="37" t="str">
        <f aca="false">IF(OR($AS383="",$AT383="",$AU383=""),"",IF(AND($AT383&gt;=$AS383,$AT383&gt;=$AU383),"Mesomorfo dominante",IF(AND($AU383&gt;=$AS383,$AU383&gt;=$AT383),"Ectomorfo dominante","Endomorfo dominante")))</f>
        <v/>
      </c>
    </row>
    <row r="384" customFormat="false" ht="15" hidden="false" customHeight="false" outlineLevel="0" collapsed="false">
      <c r="A384" s="29"/>
      <c r="B384" s="27"/>
      <c r="C384" s="28"/>
      <c r="D384" s="27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3" t="str">
        <f aca="false">IFERROR(DATEDIF(INDEX(Cadastro!$D$8:$D$47,MATCH($B384,Cadastro!$B$8:$B$47,0)),$A384,"Y"),"")</f>
        <v/>
      </c>
      <c r="AH384" s="33" t="str">
        <f aca="false">IF(COUNT($I384,$K384,$J384,$N384)&lt;4,"",$I384+$K384+$J384+$N384)</f>
        <v/>
      </c>
      <c r="AI384" s="33" t="str">
        <f aca="false">IF(COUNT($L384,$M384,$I384,$J384,$P384,$N384,$Q384)&lt;7,"",$L384+$M384+$I384+$J384+$P384+$N384+$Q384)</f>
        <v/>
      </c>
      <c r="AJ384" s="33" t="str">
        <f aca="false">IF(COUNT($I384,$J384,$K384,$O384,$P384,$Q384,$R384,$N384)&lt;8,"",$I384+$J384+$K384+$O384+$P384+$Q384+$R384+$N384)</f>
        <v/>
      </c>
      <c r="AK384" s="34" t="str">
        <f aca="false">IF(OR($AI384="",$AG384=""),"",IF(IFERROR(INDEX(Cadastro!$F$8:$F$47,MATCH($B384,Cadastro!$B$8:$B$47,0)),"")="Feminino",1.097-0.00046971*$AI384+0.00000056*$AI384^2-0.00012828*$AG384,1.112-0.00043499*$AI384+0.00000055*$AI384^2-0.00028826*$AG384))</f>
        <v/>
      </c>
      <c r="AL384" s="30" t="str">
        <f aca="false">IF(OR($AK384="",$AK384=0),"",495/$AK384-450)</f>
        <v/>
      </c>
      <c r="AM384" s="35" t="str">
        <f aca="false">IF(OR($AL384="",$E384=""),"",$E384*$AL384/100)</f>
        <v/>
      </c>
      <c r="AN384" s="30" t="str">
        <f aca="false">IF(OR($AM384="",$E384=""),"",$E384-$AM384)</f>
        <v/>
      </c>
      <c r="AO384" s="35" t="str">
        <f aca="false">IFERROR($E384/($F384/100)^2,"")</f>
        <v/>
      </c>
      <c r="AP384" s="35" t="str">
        <f aca="false">IFERROR($G384/$F384*100,"")</f>
        <v/>
      </c>
      <c r="AQ384" s="36" t="str">
        <f aca="false">IFERROR($W384/$F384,"")</f>
        <v/>
      </c>
      <c r="AR384" s="35" t="str">
        <f aca="false">IF(OR($S384="",$I384=""),"",($S384-PI()*$I384/10)^2/(4*PI())-IF(IFERROR(INDEX(Cadastro!$F$8:$F$47,MATCH($B384,Cadastro!$B$8:$B$47,0)),"")="Feminino",6.5,10))</f>
        <v/>
      </c>
      <c r="AS384" s="35" t="str">
        <f aca="false">IF(OR($I384="",$J384="",$O384="",$F384=""),"",-0.7182+0.1451*(($I384+$J384+$O384)*(170.18/$F384))-0.00068*(($I384+$J384+$O384)*(170.18/$F384))^2+0.0000014*(($I384+$J384+$O384)*(170.18/$F384))^3)</f>
        <v/>
      </c>
      <c r="AT384" s="35" t="str">
        <f aca="false">IF(OR($AE384="",$AF384="",$T384="",$AA384="",$F384=""),"",0.858*$AE384+0.601*$AF384+0.188*($T384-$I384/10)+0.161*($AA384-$R384/10)-0.131*$F384+4.5)</f>
        <v/>
      </c>
      <c r="AU384" s="35" t="str">
        <f aca="false">IF(OR($E384="",$F384=""),"",IF($F384/$E384^(1/3)&gt;=40.75,0.732*($F384/$E384^(1/3))-28.58,IF($F384/$E384^(1/3)&gt;=38.25,0.463*($F384/$E384^(1/3))-17.63,0.1)))</f>
        <v/>
      </c>
      <c r="AV384" s="37" t="str">
        <f aca="false">IF(OR($AS384="",$AT384="",$AU384=""),"",IF(AND($AT384&gt;=$AS384,$AT384&gt;=$AU384),"Mesomorfo dominante",IF(AND($AU384&gt;=$AS384,$AU384&gt;=$AT384),"Ectomorfo dominante","Endomorfo dominante")))</f>
        <v/>
      </c>
    </row>
    <row r="385" customFormat="false" ht="15" hidden="false" customHeight="false" outlineLevel="0" collapsed="false">
      <c r="A385" s="29"/>
      <c r="B385" s="27"/>
      <c r="C385" s="28"/>
      <c r="D385" s="27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3" t="str">
        <f aca="false">IFERROR(DATEDIF(INDEX(Cadastro!$D$8:$D$47,MATCH($B385,Cadastro!$B$8:$B$47,0)),$A385,"Y"),"")</f>
        <v/>
      </c>
      <c r="AH385" s="33" t="str">
        <f aca="false">IF(COUNT($I385,$K385,$J385,$N385)&lt;4,"",$I385+$K385+$J385+$N385)</f>
        <v/>
      </c>
      <c r="AI385" s="33" t="str">
        <f aca="false">IF(COUNT($L385,$M385,$I385,$J385,$P385,$N385,$Q385)&lt;7,"",$L385+$M385+$I385+$J385+$P385+$N385+$Q385)</f>
        <v/>
      </c>
      <c r="AJ385" s="33" t="str">
        <f aca="false">IF(COUNT($I385,$J385,$K385,$O385,$P385,$Q385,$R385,$N385)&lt;8,"",$I385+$J385+$K385+$O385+$P385+$Q385+$R385+$N385)</f>
        <v/>
      </c>
      <c r="AK385" s="34" t="str">
        <f aca="false">IF(OR($AI385="",$AG385=""),"",IF(IFERROR(INDEX(Cadastro!$F$8:$F$47,MATCH($B385,Cadastro!$B$8:$B$47,0)),"")="Feminino",1.097-0.00046971*$AI385+0.00000056*$AI385^2-0.00012828*$AG385,1.112-0.00043499*$AI385+0.00000055*$AI385^2-0.00028826*$AG385))</f>
        <v/>
      </c>
      <c r="AL385" s="30" t="str">
        <f aca="false">IF(OR($AK385="",$AK385=0),"",495/$AK385-450)</f>
        <v/>
      </c>
      <c r="AM385" s="35" t="str">
        <f aca="false">IF(OR($AL385="",$E385=""),"",$E385*$AL385/100)</f>
        <v/>
      </c>
      <c r="AN385" s="30" t="str">
        <f aca="false">IF(OR($AM385="",$E385=""),"",$E385-$AM385)</f>
        <v/>
      </c>
      <c r="AO385" s="35" t="str">
        <f aca="false">IFERROR($E385/($F385/100)^2,"")</f>
        <v/>
      </c>
      <c r="AP385" s="35" t="str">
        <f aca="false">IFERROR($G385/$F385*100,"")</f>
        <v/>
      </c>
      <c r="AQ385" s="36" t="str">
        <f aca="false">IFERROR($W385/$F385,"")</f>
        <v/>
      </c>
      <c r="AR385" s="35" t="str">
        <f aca="false">IF(OR($S385="",$I385=""),"",($S385-PI()*$I385/10)^2/(4*PI())-IF(IFERROR(INDEX(Cadastro!$F$8:$F$47,MATCH($B385,Cadastro!$B$8:$B$47,0)),"")="Feminino",6.5,10))</f>
        <v/>
      </c>
      <c r="AS385" s="35" t="str">
        <f aca="false">IF(OR($I385="",$J385="",$O385="",$F385=""),"",-0.7182+0.1451*(($I385+$J385+$O385)*(170.18/$F385))-0.00068*(($I385+$J385+$O385)*(170.18/$F385))^2+0.0000014*(($I385+$J385+$O385)*(170.18/$F385))^3)</f>
        <v/>
      </c>
      <c r="AT385" s="35" t="str">
        <f aca="false">IF(OR($AE385="",$AF385="",$T385="",$AA385="",$F385=""),"",0.858*$AE385+0.601*$AF385+0.188*($T385-$I385/10)+0.161*($AA385-$R385/10)-0.131*$F385+4.5)</f>
        <v/>
      </c>
      <c r="AU385" s="35" t="str">
        <f aca="false">IF(OR($E385="",$F385=""),"",IF($F385/$E385^(1/3)&gt;=40.75,0.732*($F385/$E385^(1/3))-28.58,IF($F385/$E385^(1/3)&gt;=38.25,0.463*($F385/$E385^(1/3))-17.63,0.1)))</f>
        <v/>
      </c>
      <c r="AV385" s="37" t="str">
        <f aca="false">IF(OR($AS385="",$AT385="",$AU385=""),"",IF(AND($AT385&gt;=$AS385,$AT385&gt;=$AU385),"Mesomorfo dominante",IF(AND($AU385&gt;=$AS385,$AU385&gt;=$AT385),"Ectomorfo dominante","Endomorfo dominante")))</f>
        <v/>
      </c>
    </row>
    <row r="386" customFormat="false" ht="15" hidden="false" customHeight="false" outlineLevel="0" collapsed="false">
      <c r="A386" s="29"/>
      <c r="B386" s="27"/>
      <c r="C386" s="28"/>
      <c r="D386" s="27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3" t="str">
        <f aca="false">IFERROR(DATEDIF(INDEX(Cadastro!$D$8:$D$47,MATCH($B386,Cadastro!$B$8:$B$47,0)),$A386,"Y"),"")</f>
        <v/>
      </c>
      <c r="AH386" s="33" t="str">
        <f aca="false">IF(COUNT($I386,$K386,$J386,$N386)&lt;4,"",$I386+$K386+$J386+$N386)</f>
        <v/>
      </c>
      <c r="AI386" s="33" t="str">
        <f aca="false">IF(COUNT($L386,$M386,$I386,$J386,$P386,$N386,$Q386)&lt;7,"",$L386+$M386+$I386+$J386+$P386+$N386+$Q386)</f>
        <v/>
      </c>
      <c r="AJ386" s="33" t="str">
        <f aca="false">IF(COUNT($I386,$J386,$K386,$O386,$P386,$Q386,$R386,$N386)&lt;8,"",$I386+$J386+$K386+$O386+$P386+$Q386+$R386+$N386)</f>
        <v/>
      </c>
      <c r="AK386" s="34" t="str">
        <f aca="false">IF(OR($AI386="",$AG386=""),"",IF(IFERROR(INDEX(Cadastro!$F$8:$F$47,MATCH($B386,Cadastro!$B$8:$B$47,0)),"")="Feminino",1.097-0.00046971*$AI386+0.00000056*$AI386^2-0.00012828*$AG386,1.112-0.00043499*$AI386+0.00000055*$AI386^2-0.00028826*$AG386))</f>
        <v/>
      </c>
      <c r="AL386" s="30" t="str">
        <f aca="false">IF(OR($AK386="",$AK386=0),"",495/$AK386-450)</f>
        <v/>
      </c>
      <c r="AM386" s="35" t="str">
        <f aca="false">IF(OR($AL386="",$E386=""),"",$E386*$AL386/100)</f>
        <v/>
      </c>
      <c r="AN386" s="30" t="str">
        <f aca="false">IF(OR($AM386="",$E386=""),"",$E386-$AM386)</f>
        <v/>
      </c>
      <c r="AO386" s="35" t="str">
        <f aca="false">IFERROR($E386/($F386/100)^2,"")</f>
        <v/>
      </c>
      <c r="AP386" s="35" t="str">
        <f aca="false">IFERROR($G386/$F386*100,"")</f>
        <v/>
      </c>
      <c r="AQ386" s="36" t="str">
        <f aca="false">IFERROR($W386/$F386,"")</f>
        <v/>
      </c>
      <c r="AR386" s="35" t="str">
        <f aca="false">IF(OR($S386="",$I386=""),"",($S386-PI()*$I386/10)^2/(4*PI())-IF(IFERROR(INDEX(Cadastro!$F$8:$F$47,MATCH($B386,Cadastro!$B$8:$B$47,0)),"")="Feminino",6.5,10))</f>
        <v/>
      </c>
      <c r="AS386" s="35" t="str">
        <f aca="false">IF(OR($I386="",$J386="",$O386="",$F386=""),"",-0.7182+0.1451*(($I386+$J386+$O386)*(170.18/$F386))-0.00068*(($I386+$J386+$O386)*(170.18/$F386))^2+0.0000014*(($I386+$J386+$O386)*(170.18/$F386))^3)</f>
        <v/>
      </c>
      <c r="AT386" s="35" t="str">
        <f aca="false">IF(OR($AE386="",$AF386="",$T386="",$AA386="",$F386=""),"",0.858*$AE386+0.601*$AF386+0.188*($T386-$I386/10)+0.161*($AA386-$R386/10)-0.131*$F386+4.5)</f>
        <v/>
      </c>
      <c r="AU386" s="35" t="str">
        <f aca="false">IF(OR($E386="",$F386=""),"",IF($F386/$E386^(1/3)&gt;=40.75,0.732*($F386/$E386^(1/3))-28.58,IF($F386/$E386^(1/3)&gt;=38.25,0.463*($F386/$E386^(1/3))-17.63,0.1)))</f>
        <v/>
      </c>
      <c r="AV386" s="37" t="str">
        <f aca="false">IF(OR($AS386="",$AT386="",$AU386=""),"",IF(AND($AT386&gt;=$AS386,$AT386&gt;=$AU386),"Mesomorfo dominante",IF(AND($AU386&gt;=$AS386,$AU386&gt;=$AT386),"Ectomorfo dominante","Endomorfo dominante")))</f>
        <v/>
      </c>
    </row>
    <row r="387" customFormat="false" ht="15" hidden="false" customHeight="false" outlineLevel="0" collapsed="false">
      <c r="A387" s="29"/>
      <c r="B387" s="27"/>
      <c r="C387" s="28"/>
      <c r="D387" s="27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3" t="str">
        <f aca="false">IFERROR(DATEDIF(INDEX(Cadastro!$D$8:$D$47,MATCH($B387,Cadastro!$B$8:$B$47,0)),$A387,"Y"),"")</f>
        <v/>
      </c>
      <c r="AH387" s="33" t="str">
        <f aca="false">IF(COUNT($I387,$K387,$J387,$N387)&lt;4,"",$I387+$K387+$J387+$N387)</f>
        <v/>
      </c>
      <c r="AI387" s="33" t="str">
        <f aca="false">IF(COUNT($L387,$M387,$I387,$J387,$P387,$N387,$Q387)&lt;7,"",$L387+$M387+$I387+$J387+$P387+$N387+$Q387)</f>
        <v/>
      </c>
      <c r="AJ387" s="33" t="str">
        <f aca="false">IF(COUNT($I387,$J387,$K387,$O387,$P387,$Q387,$R387,$N387)&lt;8,"",$I387+$J387+$K387+$O387+$P387+$Q387+$R387+$N387)</f>
        <v/>
      </c>
      <c r="AK387" s="34" t="str">
        <f aca="false">IF(OR($AI387="",$AG387=""),"",IF(IFERROR(INDEX(Cadastro!$F$8:$F$47,MATCH($B387,Cadastro!$B$8:$B$47,0)),"")="Feminino",1.097-0.00046971*$AI387+0.00000056*$AI387^2-0.00012828*$AG387,1.112-0.00043499*$AI387+0.00000055*$AI387^2-0.00028826*$AG387))</f>
        <v/>
      </c>
      <c r="AL387" s="30" t="str">
        <f aca="false">IF(OR($AK387="",$AK387=0),"",495/$AK387-450)</f>
        <v/>
      </c>
      <c r="AM387" s="35" t="str">
        <f aca="false">IF(OR($AL387="",$E387=""),"",$E387*$AL387/100)</f>
        <v/>
      </c>
      <c r="AN387" s="30" t="str">
        <f aca="false">IF(OR($AM387="",$E387=""),"",$E387-$AM387)</f>
        <v/>
      </c>
      <c r="AO387" s="35" t="str">
        <f aca="false">IFERROR($E387/($F387/100)^2,"")</f>
        <v/>
      </c>
      <c r="AP387" s="35" t="str">
        <f aca="false">IFERROR($G387/$F387*100,"")</f>
        <v/>
      </c>
      <c r="AQ387" s="36" t="str">
        <f aca="false">IFERROR($W387/$F387,"")</f>
        <v/>
      </c>
      <c r="AR387" s="35" t="str">
        <f aca="false">IF(OR($S387="",$I387=""),"",($S387-PI()*$I387/10)^2/(4*PI())-IF(IFERROR(INDEX(Cadastro!$F$8:$F$47,MATCH($B387,Cadastro!$B$8:$B$47,0)),"")="Feminino",6.5,10))</f>
        <v/>
      </c>
      <c r="AS387" s="35" t="str">
        <f aca="false">IF(OR($I387="",$J387="",$O387="",$F387=""),"",-0.7182+0.1451*(($I387+$J387+$O387)*(170.18/$F387))-0.00068*(($I387+$J387+$O387)*(170.18/$F387))^2+0.0000014*(($I387+$J387+$O387)*(170.18/$F387))^3)</f>
        <v/>
      </c>
      <c r="AT387" s="35" t="str">
        <f aca="false">IF(OR($AE387="",$AF387="",$T387="",$AA387="",$F387=""),"",0.858*$AE387+0.601*$AF387+0.188*($T387-$I387/10)+0.161*($AA387-$R387/10)-0.131*$F387+4.5)</f>
        <v/>
      </c>
      <c r="AU387" s="35" t="str">
        <f aca="false">IF(OR($E387="",$F387=""),"",IF($F387/$E387^(1/3)&gt;=40.75,0.732*($F387/$E387^(1/3))-28.58,IF($F387/$E387^(1/3)&gt;=38.25,0.463*($F387/$E387^(1/3))-17.63,0.1)))</f>
        <v/>
      </c>
      <c r="AV387" s="37" t="str">
        <f aca="false">IF(OR($AS387="",$AT387="",$AU387=""),"",IF(AND($AT387&gt;=$AS387,$AT387&gt;=$AU387),"Mesomorfo dominante",IF(AND($AU387&gt;=$AS387,$AU387&gt;=$AT387),"Ectomorfo dominante","Endomorfo dominante")))</f>
        <v/>
      </c>
    </row>
    <row r="388" customFormat="false" ht="15" hidden="false" customHeight="false" outlineLevel="0" collapsed="false">
      <c r="A388" s="29"/>
      <c r="B388" s="27"/>
      <c r="C388" s="28"/>
      <c r="D388" s="27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3" t="str">
        <f aca="false">IFERROR(DATEDIF(INDEX(Cadastro!$D$8:$D$47,MATCH($B388,Cadastro!$B$8:$B$47,0)),$A388,"Y"),"")</f>
        <v/>
      </c>
      <c r="AH388" s="33" t="str">
        <f aca="false">IF(COUNT($I388,$K388,$J388,$N388)&lt;4,"",$I388+$K388+$J388+$N388)</f>
        <v/>
      </c>
      <c r="AI388" s="33" t="str">
        <f aca="false">IF(COUNT($L388,$M388,$I388,$J388,$P388,$N388,$Q388)&lt;7,"",$L388+$M388+$I388+$J388+$P388+$N388+$Q388)</f>
        <v/>
      </c>
      <c r="AJ388" s="33" t="str">
        <f aca="false">IF(COUNT($I388,$J388,$K388,$O388,$P388,$Q388,$R388,$N388)&lt;8,"",$I388+$J388+$K388+$O388+$P388+$Q388+$R388+$N388)</f>
        <v/>
      </c>
      <c r="AK388" s="34" t="str">
        <f aca="false">IF(OR($AI388="",$AG388=""),"",IF(IFERROR(INDEX(Cadastro!$F$8:$F$47,MATCH($B388,Cadastro!$B$8:$B$47,0)),"")="Feminino",1.097-0.00046971*$AI388+0.00000056*$AI388^2-0.00012828*$AG388,1.112-0.00043499*$AI388+0.00000055*$AI388^2-0.00028826*$AG388))</f>
        <v/>
      </c>
      <c r="AL388" s="30" t="str">
        <f aca="false">IF(OR($AK388="",$AK388=0),"",495/$AK388-450)</f>
        <v/>
      </c>
      <c r="AM388" s="35" t="str">
        <f aca="false">IF(OR($AL388="",$E388=""),"",$E388*$AL388/100)</f>
        <v/>
      </c>
      <c r="AN388" s="30" t="str">
        <f aca="false">IF(OR($AM388="",$E388=""),"",$E388-$AM388)</f>
        <v/>
      </c>
      <c r="AO388" s="35" t="str">
        <f aca="false">IFERROR($E388/($F388/100)^2,"")</f>
        <v/>
      </c>
      <c r="AP388" s="35" t="str">
        <f aca="false">IFERROR($G388/$F388*100,"")</f>
        <v/>
      </c>
      <c r="AQ388" s="36" t="str">
        <f aca="false">IFERROR($W388/$F388,"")</f>
        <v/>
      </c>
      <c r="AR388" s="35" t="str">
        <f aca="false">IF(OR($S388="",$I388=""),"",($S388-PI()*$I388/10)^2/(4*PI())-IF(IFERROR(INDEX(Cadastro!$F$8:$F$47,MATCH($B388,Cadastro!$B$8:$B$47,0)),"")="Feminino",6.5,10))</f>
        <v/>
      </c>
      <c r="AS388" s="35" t="str">
        <f aca="false">IF(OR($I388="",$J388="",$O388="",$F388=""),"",-0.7182+0.1451*(($I388+$J388+$O388)*(170.18/$F388))-0.00068*(($I388+$J388+$O388)*(170.18/$F388))^2+0.0000014*(($I388+$J388+$O388)*(170.18/$F388))^3)</f>
        <v/>
      </c>
      <c r="AT388" s="35" t="str">
        <f aca="false">IF(OR($AE388="",$AF388="",$T388="",$AA388="",$F388=""),"",0.858*$AE388+0.601*$AF388+0.188*($T388-$I388/10)+0.161*($AA388-$R388/10)-0.131*$F388+4.5)</f>
        <v/>
      </c>
      <c r="AU388" s="35" t="str">
        <f aca="false">IF(OR($E388="",$F388=""),"",IF($F388/$E388^(1/3)&gt;=40.75,0.732*($F388/$E388^(1/3))-28.58,IF($F388/$E388^(1/3)&gt;=38.25,0.463*($F388/$E388^(1/3))-17.63,0.1)))</f>
        <v/>
      </c>
      <c r="AV388" s="37" t="str">
        <f aca="false">IF(OR($AS388="",$AT388="",$AU388=""),"",IF(AND($AT388&gt;=$AS388,$AT388&gt;=$AU388),"Mesomorfo dominante",IF(AND($AU388&gt;=$AS388,$AU388&gt;=$AT388),"Ectomorfo dominante","Endomorfo dominante")))</f>
        <v/>
      </c>
    </row>
    <row r="389" customFormat="false" ht="15" hidden="false" customHeight="false" outlineLevel="0" collapsed="false">
      <c r="A389" s="29"/>
      <c r="B389" s="27"/>
      <c r="C389" s="28"/>
      <c r="D389" s="27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3" t="str">
        <f aca="false">IFERROR(DATEDIF(INDEX(Cadastro!$D$8:$D$47,MATCH($B389,Cadastro!$B$8:$B$47,0)),$A389,"Y"),"")</f>
        <v/>
      </c>
      <c r="AH389" s="33" t="str">
        <f aca="false">IF(COUNT($I389,$K389,$J389,$N389)&lt;4,"",$I389+$K389+$J389+$N389)</f>
        <v/>
      </c>
      <c r="AI389" s="33" t="str">
        <f aca="false">IF(COUNT($L389,$M389,$I389,$J389,$P389,$N389,$Q389)&lt;7,"",$L389+$M389+$I389+$J389+$P389+$N389+$Q389)</f>
        <v/>
      </c>
      <c r="AJ389" s="33" t="str">
        <f aca="false">IF(COUNT($I389,$J389,$K389,$O389,$P389,$Q389,$R389,$N389)&lt;8,"",$I389+$J389+$K389+$O389+$P389+$Q389+$R389+$N389)</f>
        <v/>
      </c>
      <c r="AK389" s="34" t="str">
        <f aca="false">IF(OR($AI389="",$AG389=""),"",IF(IFERROR(INDEX(Cadastro!$F$8:$F$47,MATCH($B389,Cadastro!$B$8:$B$47,0)),"")="Feminino",1.097-0.00046971*$AI389+0.00000056*$AI389^2-0.00012828*$AG389,1.112-0.00043499*$AI389+0.00000055*$AI389^2-0.00028826*$AG389))</f>
        <v/>
      </c>
      <c r="AL389" s="30" t="str">
        <f aca="false">IF(OR($AK389="",$AK389=0),"",495/$AK389-450)</f>
        <v/>
      </c>
      <c r="AM389" s="35" t="str">
        <f aca="false">IF(OR($AL389="",$E389=""),"",$E389*$AL389/100)</f>
        <v/>
      </c>
      <c r="AN389" s="30" t="str">
        <f aca="false">IF(OR($AM389="",$E389=""),"",$E389-$AM389)</f>
        <v/>
      </c>
      <c r="AO389" s="35" t="str">
        <f aca="false">IFERROR($E389/($F389/100)^2,"")</f>
        <v/>
      </c>
      <c r="AP389" s="35" t="str">
        <f aca="false">IFERROR($G389/$F389*100,"")</f>
        <v/>
      </c>
      <c r="AQ389" s="36" t="str">
        <f aca="false">IFERROR($W389/$F389,"")</f>
        <v/>
      </c>
      <c r="AR389" s="35" t="str">
        <f aca="false">IF(OR($S389="",$I389=""),"",($S389-PI()*$I389/10)^2/(4*PI())-IF(IFERROR(INDEX(Cadastro!$F$8:$F$47,MATCH($B389,Cadastro!$B$8:$B$47,0)),"")="Feminino",6.5,10))</f>
        <v/>
      </c>
      <c r="AS389" s="35" t="str">
        <f aca="false">IF(OR($I389="",$J389="",$O389="",$F389=""),"",-0.7182+0.1451*(($I389+$J389+$O389)*(170.18/$F389))-0.00068*(($I389+$J389+$O389)*(170.18/$F389))^2+0.0000014*(($I389+$J389+$O389)*(170.18/$F389))^3)</f>
        <v/>
      </c>
      <c r="AT389" s="35" t="str">
        <f aca="false">IF(OR($AE389="",$AF389="",$T389="",$AA389="",$F389=""),"",0.858*$AE389+0.601*$AF389+0.188*($T389-$I389/10)+0.161*($AA389-$R389/10)-0.131*$F389+4.5)</f>
        <v/>
      </c>
      <c r="AU389" s="35" t="str">
        <f aca="false">IF(OR($E389="",$F389=""),"",IF($F389/$E389^(1/3)&gt;=40.75,0.732*($F389/$E389^(1/3))-28.58,IF($F389/$E389^(1/3)&gt;=38.25,0.463*($F389/$E389^(1/3))-17.63,0.1)))</f>
        <v/>
      </c>
      <c r="AV389" s="37" t="str">
        <f aca="false">IF(OR($AS389="",$AT389="",$AU389=""),"",IF(AND($AT389&gt;=$AS389,$AT389&gt;=$AU389),"Mesomorfo dominante",IF(AND($AU389&gt;=$AS389,$AU389&gt;=$AT389),"Ectomorfo dominante","Endomorfo dominante")))</f>
        <v/>
      </c>
    </row>
    <row r="390" customFormat="false" ht="15" hidden="false" customHeight="false" outlineLevel="0" collapsed="false">
      <c r="A390" s="29"/>
      <c r="B390" s="27"/>
      <c r="C390" s="28"/>
      <c r="D390" s="27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3" t="str">
        <f aca="false">IFERROR(DATEDIF(INDEX(Cadastro!$D$8:$D$47,MATCH($B390,Cadastro!$B$8:$B$47,0)),$A390,"Y"),"")</f>
        <v/>
      </c>
      <c r="AH390" s="33" t="str">
        <f aca="false">IF(COUNT($I390,$K390,$J390,$N390)&lt;4,"",$I390+$K390+$J390+$N390)</f>
        <v/>
      </c>
      <c r="AI390" s="33" t="str">
        <f aca="false">IF(COUNT($L390,$M390,$I390,$J390,$P390,$N390,$Q390)&lt;7,"",$L390+$M390+$I390+$J390+$P390+$N390+$Q390)</f>
        <v/>
      </c>
      <c r="AJ390" s="33" t="str">
        <f aca="false">IF(COUNT($I390,$J390,$K390,$O390,$P390,$Q390,$R390,$N390)&lt;8,"",$I390+$J390+$K390+$O390+$P390+$Q390+$R390+$N390)</f>
        <v/>
      </c>
      <c r="AK390" s="34" t="str">
        <f aca="false">IF(OR($AI390="",$AG390=""),"",IF(IFERROR(INDEX(Cadastro!$F$8:$F$47,MATCH($B390,Cadastro!$B$8:$B$47,0)),"")="Feminino",1.097-0.00046971*$AI390+0.00000056*$AI390^2-0.00012828*$AG390,1.112-0.00043499*$AI390+0.00000055*$AI390^2-0.00028826*$AG390))</f>
        <v/>
      </c>
      <c r="AL390" s="30" t="str">
        <f aca="false">IF(OR($AK390="",$AK390=0),"",495/$AK390-450)</f>
        <v/>
      </c>
      <c r="AM390" s="35" t="str">
        <f aca="false">IF(OR($AL390="",$E390=""),"",$E390*$AL390/100)</f>
        <v/>
      </c>
      <c r="AN390" s="30" t="str">
        <f aca="false">IF(OR($AM390="",$E390=""),"",$E390-$AM390)</f>
        <v/>
      </c>
      <c r="AO390" s="35" t="str">
        <f aca="false">IFERROR($E390/($F390/100)^2,"")</f>
        <v/>
      </c>
      <c r="AP390" s="35" t="str">
        <f aca="false">IFERROR($G390/$F390*100,"")</f>
        <v/>
      </c>
      <c r="AQ390" s="36" t="str">
        <f aca="false">IFERROR($W390/$F390,"")</f>
        <v/>
      </c>
      <c r="AR390" s="35" t="str">
        <f aca="false">IF(OR($S390="",$I390=""),"",($S390-PI()*$I390/10)^2/(4*PI())-IF(IFERROR(INDEX(Cadastro!$F$8:$F$47,MATCH($B390,Cadastro!$B$8:$B$47,0)),"")="Feminino",6.5,10))</f>
        <v/>
      </c>
      <c r="AS390" s="35" t="str">
        <f aca="false">IF(OR($I390="",$J390="",$O390="",$F390=""),"",-0.7182+0.1451*(($I390+$J390+$O390)*(170.18/$F390))-0.00068*(($I390+$J390+$O390)*(170.18/$F390))^2+0.0000014*(($I390+$J390+$O390)*(170.18/$F390))^3)</f>
        <v/>
      </c>
      <c r="AT390" s="35" t="str">
        <f aca="false">IF(OR($AE390="",$AF390="",$T390="",$AA390="",$F390=""),"",0.858*$AE390+0.601*$AF390+0.188*($T390-$I390/10)+0.161*($AA390-$R390/10)-0.131*$F390+4.5)</f>
        <v/>
      </c>
      <c r="AU390" s="35" t="str">
        <f aca="false">IF(OR($E390="",$F390=""),"",IF($F390/$E390^(1/3)&gt;=40.75,0.732*($F390/$E390^(1/3))-28.58,IF($F390/$E390^(1/3)&gt;=38.25,0.463*($F390/$E390^(1/3))-17.63,0.1)))</f>
        <v/>
      </c>
      <c r="AV390" s="37" t="str">
        <f aca="false">IF(OR($AS390="",$AT390="",$AU390=""),"",IF(AND($AT390&gt;=$AS390,$AT390&gt;=$AU390),"Mesomorfo dominante",IF(AND($AU390&gt;=$AS390,$AU390&gt;=$AT390),"Ectomorfo dominante","Endomorfo dominante")))</f>
        <v/>
      </c>
    </row>
    <row r="391" customFormat="false" ht="15" hidden="false" customHeight="false" outlineLevel="0" collapsed="false">
      <c r="A391" s="29"/>
      <c r="B391" s="27"/>
      <c r="C391" s="28"/>
      <c r="D391" s="27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3" t="str">
        <f aca="false">IFERROR(DATEDIF(INDEX(Cadastro!$D$8:$D$47,MATCH($B391,Cadastro!$B$8:$B$47,0)),$A391,"Y"),"")</f>
        <v/>
      </c>
      <c r="AH391" s="33" t="str">
        <f aca="false">IF(COUNT($I391,$K391,$J391,$N391)&lt;4,"",$I391+$K391+$J391+$N391)</f>
        <v/>
      </c>
      <c r="AI391" s="33" t="str">
        <f aca="false">IF(COUNT($L391,$M391,$I391,$J391,$P391,$N391,$Q391)&lt;7,"",$L391+$M391+$I391+$J391+$P391+$N391+$Q391)</f>
        <v/>
      </c>
      <c r="AJ391" s="33" t="str">
        <f aca="false">IF(COUNT($I391,$J391,$K391,$O391,$P391,$Q391,$R391,$N391)&lt;8,"",$I391+$J391+$K391+$O391+$P391+$Q391+$R391+$N391)</f>
        <v/>
      </c>
      <c r="AK391" s="34" t="str">
        <f aca="false">IF(OR($AI391="",$AG391=""),"",IF(IFERROR(INDEX(Cadastro!$F$8:$F$47,MATCH($B391,Cadastro!$B$8:$B$47,0)),"")="Feminino",1.097-0.00046971*$AI391+0.00000056*$AI391^2-0.00012828*$AG391,1.112-0.00043499*$AI391+0.00000055*$AI391^2-0.00028826*$AG391))</f>
        <v/>
      </c>
      <c r="AL391" s="30" t="str">
        <f aca="false">IF(OR($AK391="",$AK391=0),"",495/$AK391-450)</f>
        <v/>
      </c>
      <c r="AM391" s="35" t="str">
        <f aca="false">IF(OR($AL391="",$E391=""),"",$E391*$AL391/100)</f>
        <v/>
      </c>
      <c r="AN391" s="30" t="str">
        <f aca="false">IF(OR($AM391="",$E391=""),"",$E391-$AM391)</f>
        <v/>
      </c>
      <c r="AO391" s="35" t="str">
        <f aca="false">IFERROR($E391/($F391/100)^2,"")</f>
        <v/>
      </c>
      <c r="AP391" s="35" t="str">
        <f aca="false">IFERROR($G391/$F391*100,"")</f>
        <v/>
      </c>
      <c r="AQ391" s="36" t="str">
        <f aca="false">IFERROR($W391/$F391,"")</f>
        <v/>
      </c>
      <c r="AR391" s="35" t="str">
        <f aca="false">IF(OR($S391="",$I391=""),"",($S391-PI()*$I391/10)^2/(4*PI())-IF(IFERROR(INDEX(Cadastro!$F$8:$F$47,MATCH($B391,Cadastro!$B$8:$B$47,0)),"")="Feminino",6.5,10))</f>
        <v/>
      </c>
      <c r="AS391" s="35" t="str">
        <f aca="false">IF(OR($I391="",$J391="",$O391="",$F391=""),"",-0.7182+0.1451*(($I391+$J391+$O391)*(170.18/$F391))-0.00068*(($I391+$J391+$O391)*(170.18/$F391))^2+0.0000014*(($I391+$J391+$O391)*(170.18/$F391))^3)</f>
        <v/>
      </c>
      <c r="AT391" s="35" t="str">
        <f aca="false">IF(OR($AE391="",$AF391="",$T391="",$AA391="",$F391=""),"",0.858*$AE391+0.601*$AF391+0.188*($T391-$I391/10)+0.161*($AA391-$R391/10)-0.131*$F391+4.5)</f>
        <v/>
      </c>
      <c r="AU391" s="35" t="str">
        <f aca="false">IF(OR($E391="",$F391=""),"",IF($F391/$E391^(1/3)&gt;=40.75,0.732*($F391/$E391^(1/3))-28.58,IF($F391/$E391^(1/3)&gt;=38.25,0.463*($F391/$E391^(1/3))-17.63,0.1)))</f>
        <v/>
      </c>
      <c r="AV391" s="37" t="str">
        <f aca="false">IF(OR($AS391="",$AT391="",$AU391=""),"",IF(AND($AT391&gt;=$AS391,$AT391&gt;=$AU391),"Mesomorfo dominante",IF(AND($AU391&gt;=$AS391,$AU391&gt;=$AT391),"Ectomorfo dominante","Endomorfo dominante")))</f>
        <v/>
      </c>
    </row>
    <row r="392" customFormat="false" ht="15" hidden="false" customHeight="false" outlineLevel="0" collapsed="false">
      <c r="A392" s="29"/>
      <c r="B392" s="27"/>
      <c r="C392" s="28"/>
      <c r="D392" s="27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3" t="str">
        <f aca="false">IFERROR(DATEDIF(INDEX(Cadastro!$D$8:$D$47,MATCH($B392,Cadastro!$B$8:$B$47,0)),$A392,"Y"),"")</f>
        <v/>
      </c>
      <c r="AH392" s="33" t="str">
        <f aca="false">IF(COUNT($I392,$K392,$J392,$N392)&lt;4,"",$I392+$K392+$J392+$N392)</f>
        <v/>
      </c>
      <c r="AI392" s="33" t="str">
        <f aca="false">IF(COUNT($L392,$M392,$I392,$J392,$P392,$N392,$Q392)&lt;7,"",$L392+$M392+$I392+$J392+$P392+$N392+$Q392)</f>
        <v/>
      </c>
      <c r="AJ392" s="33" t="str">
        <f aca="false">IF(COUNT($I392,$J392,$K392,$O392,$P392,$Q392,$R392,$N392)&lt;8,"",$I392+$J392+$K392+$O392+$P392+$Q392+$R392+$N392)</f>
        <v/>
      </c>
      <c r="AK392" s="34" t="str">
        <f aca="false">IF(OR($AI392="",$AG392=""),"",IF(IFERROR(INDEX(Cadastro!$F$8:$F$47,MATCH($B392,Cadastro!$B$8:$B$47,0)),"")="Feminino",1.097-0.00046971*$AI392+0.00000056*$AI392^2-0.00012828*$AG392,1.112-0.00043499*$AI392+0.00000055*$AI392^2-0.00028826*$AG392))</f>
        <v/>
      </c>
      <c r="AL392" s="30" t="str">
        <f aca="false">IF(OR($AK392="",$AK392=0),"",495/$AK392-450)</f>
        <v/>
      </c>
      <c r="AM392" s="35" t="str">
        <f aca="false">IF(OR($AL392="",$E392=""),"",$E392*$AL392/100)</f>
        <v/>
      </c>
      <c r="AN392" s="30" t="str">
        <f aca="false">IF(OR($AM392="",$E392=""),"",$E392-$AM392)</f>
        <v/>
      </c>
      <c r="AO392" s="35" t="str">
        <f aca="false">IFERROR($E392/($F392/100)^2,"")</f>
        <v/>
      </c>
      <c r="AP392" s="35" t="str">
        <f aca="false">IFERROR($G392/$F392*100,"")</f>
        <v/>
      </c>
      <c r="AQ392" s="36" t="str">
        <f aca="false">IFERROR($W392/$F392,"")</f>
        <v/>
      </c>
      <c r="AR392" s="35" t="str">
        <f aca="false">IF(OR($S392="",$I392=""),"",($S392-PI()*$I392/10)^2/(4*PI())-IF(IFERROR(INDEX(Cadastro!$F$8:$F$47,MATCH($B392,Cadastro!$B$8:$B$47,0)),"")="Feminino",6.5,10))</f>
        <v/>
      </c>
      <c r="AS392" s="35" t="str">
        <f aca="false">IF(OR($I392="",$J392="",$O392="",$F392=""),"",-0.7182+0.1451*(($I392+$J392+$O392)*(170.18/$F392))-0.00068*(($I392+$J392+$O392)*(170.18/$F392))^2+0.0000014*(($I392+$J392+$O392)*(170.18/$F392))^3)</f>
        <v/>
      </c>
      <c r="AT392" s="35" t="str">
        <f aca="false">IF(OR($AE392="",$AF392="",$T392="",$AA392="",$F392=""),"",0.858*$AE392+0.601*$AF392+0.188*($T392-$I392/10)+0.161*($AA392-$R392/10)-0.131*$F392+4.5)</f>
        <v/>
      </c>
      <c r="AU392" s="35" t="str">
        <f aca="false">IF(OR($E392="",$F392=""),"",IF($F392/$E392^(1/3)&gt;=40.75,0.732*($F392/$E392^(1/3))-28.58,IF($F392/$E392^(1/3)&gt;=38.25,0.463*($F392/$E392^(1/3))-17.63,0.1)))</f>
        <v/>
      </c>
      <c r="AV392" s="37" t="str">
        <f aca="false">IF(OR($AS392="",$AT392="",$AU392=""),"",IF(AND($AT392&gt;=$AS392,$AT392&gt;=$AU392),"Mesomorfo dominante",IF(AND($AU392&gt;=$AS392,$AU392&gt;=$AT392),"Ectomorfo dominante","Endomorfo dominante")))</f>
        <v/>
      </c>
    </row>
    <row r="393" customFormat="false" ht="15" hidden="false" customHeight="false" outlineLevel="0" collapsed="false">
      <c r="A393" s="29"/>
      <c r="B393" s="27"/>
      <c r="C393" s="28"/>
      <c r="D393" s="27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3" t="str">
        <f aca="false">IFERROR(DATEDIF(INDEX(Cadastro!$D$8:$D$47,MATCH($B393,Cadastro!$B$8:$B$47,0)),$A393,"Y"),"")</f>
        <v/>
      </c>
      <c r="AH393" s="33" t="str">
        <f aca="false">IF(COUNT($I393,$K393,$J393,$N393)&lt;4,"",$I393+$K393+$J393+$N393)</f>
        <v/>
      </c>
      <c r="AI393" s="33" t="str">
        <f aca="false">IF(COUNT($L393,$M393,$I393,$J393,$P393,$N393,$Q393)&lt;7,"",$L393+$M393+$I393+$J393+$P393+$N393+$Q393)</f>
        <v/>
      </c>
      <c r="AJ393" s="33" t="str">
        <f aca="false">IF(COUNT($I393,$J393,$K393,$O393,$P393,$Q393,$R393,$N393)&lt;8,"",$I393+$J393+$K393+$O393+$P393+$Q393+$R393+$N393)</f>
        <v/>
      </c>
      <c r="AK393" s="34" t="str">
        <f aca="false">IF(OR($AI393="",$AG393=""),"",IF(IFERROR(INDEX(Cadastro!$F$8:$F$47,MATCH($B393,Cadastro!$B$8:$B$47,0)),"")="Feminino",1.097-0.00046971*$AI393+0.00000056*$AI393^2-0.00012828*$AG393,1.112-0.00043499*$AI393+0.00000055*$AI393^2-0.00028826*$AG393))</f>
        <v/>
      </c>
      <c r="AL393" s="30" t="str">
        <f aca="false">IF(OR($AK393="",$AK393=0),"",495/$AK393-450)</f>
        <v/>
      </c>
      <c r="AM393" s="35" t="str">
        <f aca="false">IF(OR($AL393="",$E393=""),"",$E393*$AL393/100)</f>
        <v/>
      </c>
      <c r="AN393" s="30" t="str">
        <f aca="false">IF(OR($AM393="",$E393=""),"",$E393-$AM393)</f>
        <v/>
      </c>
      <c r="AO393" s="35" t="str">
        <f aca="false">IFERROR($E393/($F393/100)^2,"")</f>
        <v/>
      </c>
      <c r="AP393" s="35" t="str">
        <f aca="false">IFERROR($G393/$F393*100,"")</f>
        <v/>
      </c>
      <c r="AQ393" s="36" t="str">
        <f aca="false">IFERROR($W393/$F393,"")</f>
        <v/>
      </c>
      <c r="AR393" s="35" t="str">
        <f aca="false">IF(OR($S393="",$I393=""),"",($S393-PI()*$I393/10)^2/(4*PI())-IF(IFERROR(INDEX(Cadastro!$F$8:$F$47,MATCH($B393,Cadastro!$B$8:$B$47,0)),"")="Feminino",6.5,10))</f>
        <v/>
      </c>
      <c r="AS393" s="35" t="str">
        <f aca="false">IF(OR($I393="",$J393="",$O393="",$F393=""),"",-0.7182+0.1451*(($I393+$J393+$O393)*(170.18/$F393))-0.00068*(($I393+$J393+$O393)*(170.18/$F393))^2+0.0000014*(($I393+$J393+$O393)*(170.18/$F393))^3)</f>
        <v/>
      </c>
      <c r="AT393" s="35" t="str">
        <f aca="false">IF(OR($AE393="",$AF393="",$T393="",$AA393="",$F393=""),"",0.858*$AE393+0.601*$AF393+0.188*($T393-$I393/10)+0.161*($AA393-$R393/10)-0.131*$F393+4.5)</f>
        <v/>
      </c>
      <c r="AU393" s="35" t="str">
        <f aca="false">IF(OR($E393="",$F393=""),"",IF($F393/$E393^(1/3)&gt;=40.75,0.732*($F393/$E393^(1/3))-28.58,IF($F393/$E393^(1/3)&gt;=38.25,0.463*($F393/$E393^(1/3))-17.63,0.1)))</f>
        <v/>
      </c>
      <c r="AV393" s="37" t="str">
        <f aca="false">IF(OR($AS393="",$AT393="",$AU393=""),"",IF(AND($AT393&gt;=$AS393,$AT393&gt;=$AU393),"Mesomorfo dominante",IF(AND($AU393&gt;=$AS393,$AU393&gt;=$AT393),"Ectomorfo dominante","Endomorfo dominante")))</f>
        <v/>
      </c>
    </row>
    <row r="394" customFormat="false" ht="15" hidden="false" customHeight="false" outlineLevel="0" collapsed="false">
      <c r="A394" s="29"/>
      <c r="B394" s="27"/>
      <c r="C394" s="28"/>
      <c r="D394" s="27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3" t="str">
        <f aca="false">IFERROR(DATEDIF(INDEX(Cadastro!$D$8:$D$47,MATCH($B394,Cadastro!$B$8:$B$47,0)),$A394,"Y"),"")</f>
        <v/>
      </c>
      <c r="AH394" s="33" t="str">
        <f aca="false">IF(COUNT($I394,$K394,$J394,$N394)&lt;4,"",$I394+$K394+$J394+$N394)</f>
        <v/>
      </c>
      <c r="AI394" s="33" t="str">
        <f aca="false">IF(COUNT($L394,$M394,$I394,$J394,$P394,$N394,$Q394)&lt;7,"",$L394+$M394+$I394+$J394+$P394+$N394+$Q394)</f>
        <v/>
      </c>
      <c r="AJ394" s="33" t="str">
        <f aca="false">IF(COUNT($I394,$J394,$K394,$O394,$P394,$Q394,$R394,$N394)&lt;8,"",$I394+$J394+$K394+$O394+$P394+$Q394+$R394+$N394)</f>
        <v/>
      </c>
      <c r="AK394" s="34" t="str">
        <f aca="false">IF(OR($AI394="",$AG394=""),"",IF(IFERROR(INDEX(Cadastro!$F$8:$F$47,MATCH($B394,Cadastro!$B$8:$B$47,0)),"")="Feminino",1.097-0.00046971*$AI394+0.00000056*$AI394^2-0.00012828*$AG394,1.112-0.00043499*$AI394+0.00000055*$AI394^2-0.00028826*$AG394))</f>
        <v/>
      </c>
      <c r="AL394" s="30" t="str">
        <f aca="false">IF(OR($AK394="",$AK394=0),"",495/$AK394-450)</f>
        <v/>
      </c>
      <c r="AM394" s="35" t="str">
        <f aca="false">IF(OR($AL394="",$E394=""),"",$E394*$AL394/100)</f>
        <v/>
      </c>
      <c r="AN394" s="30" t="str">
        <f aca="false">IF(OR($AM394="",$E394=""),"",$E394-$AM394)</f>
        <v/>
      </c>
      <c r="AO394" s="35" t="str">
        <f aca="false">IFERROR($E394/($F394/100)^2,"")</f>
        <v/>
      </c>
      <c r="AP394" s="35" t="str">
        <f aca="false">IFERROR($G394/$F394*100,"")</f>
        <v/>
      </c>
      <c r="AQ394" s="36" t="str">
        <f aca="false">IFERROR($W394/$F394,"")</f>
        <v/>
      </c>
      <c r="AR394" s="35" t="str">
        <f aca="false">IF(OR($S394="",$I394=""),"",($S394-PI()*$I394/10)^2/(4*PI())-IF(IFERROR(INDEX(Cadastro!$F$8:$F$47,MATCH($B394,Cadastro!$B$8:$B$47,0)),"")="Feminino",6.5,10))</f>
        <v/>
      </c>
      <c r="AS394" s="35" t="str">
        <f aca="false">IF(OR($I394="",$J394="",$O394="",$F394=""),"",-0.7182+0.1451*(($I394+$J394+$O394)*(170.18/$F394))-0.00068*(($I394+$J394+$O394)*(170.18/$F394))^2+0.0000014*(($I394+$J394+$O394)*(170.18/$F394))^3)</f>
        <v/>
      </c>
      <c r="AT394" s="35" t="str">
        <f aca="false">IF(OR($AE394="",$AF394="",$T394="",$AA394="",$F394=""),"",0.858*$AE394+0.601*$AF394+0.188*($T394-$I394/10)+0.161*($AA394-$R394/10)-0.131*$F394+4.5)</f>
        <v/>
      </c>
      <c r="AU394" s="35" t="str">
        <f aca="false">IF(OR($E394="",$F394=""),"",IF($F394/$E394^(1/3)&gt;=40.75,0.732*($F394/$E394^(1/3))-28.58,IF($F394/$E394^(1/3)&gt;=38.25,0.463*($F394/$E394^(1/3))-17.63,0.1)))</f>
        <v/>
      </c>
      <c r="AV394" s="37" t="str">
        <f aca="false">IF(OR($AS394="",$AT394="",$AU394=""),"",IF(AND($AT394&gt;=$AS394,$AT394&gt;=$AU394),"Mesomorfo dominante",IF(AND($AU394&gt;=$AS394,$AU394&gt;=$AT394),"Ectomorfo dominante","Endomorfo dominante")))</f>
        <v/>
      </c>
    </row>
    <row r="395" customFormat="false" ht="15" hidden="false" customHeight="false" outlineLevel="0" collapsed="false">
      <c r="A395" s="29"/>
      <c r="B395" s="27"/>
      <c r="C395" s="28"/>
      <c r="D395" s="27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3" t="str">
        <f aca="false">IFERROR(DATEDIF(INDEX(Cadastro!$D$8:$D$47,MATCH($B395,Cadastro!$B$8:$B$47,0)),$A395,"Y"),"")</f>
        <v/>
      </c>
      <c r="AH395" s="33" t="str">
        <f aca="false">IF(COUNT($I395,$K395,$J395,$N395)&lt;4,"",$I395+$K395+$J395+$N395)</f>
        <v/>
      </c>
      <c r="AI395" s="33" t="str">
        <f aca="false">IF(COUNT($L395,$M395,$I395,$J395,$P395,$N395,$Q395)&lt;7,"",$L395+$M395+$I395+$J395+$P395+$N395+$Q395)</f>
        <v/>
      </c>
      <c r="AJ395" s="33" t="str">
        <f aca="false">IF(COUNT($I395,$J395,$K395,$O395,$P395,$Q395,$R395,$N395)&lt;8,"",$I395+$J395+$K395+$O395+$P395+$Q395+$R395+$N395)</f>
        <v/>
      </c>
      <c r="AK395" s="34" t="str">
        <f aca="false">IF(OR($AI395="",$AG395=""),"",IF(IFERROR(INDEX(Cadastro!$F$8:$F$47,MATCH($B395,Cadastro!$B$8:$B$47,0)),"")="Feminino",1.097-0.00046971*$AI395+0.00000056*$AI395^2-0.00012828*$AG395,1.112-0.00043499*$AI395+0.00000055*$AI395^2-0.00028826*$AG395))</f>
        <v/>
      </c>
      <c r="AL395" s="30" t="str">
        <f aca="false">IF(OR($AK395="",$AK395=0),"",495/$AK395-450)</f>
        <v/>
      </c>
      <c r="AM395" s="35" t="str">
        <f aca="false">IF(OR($AL395="",$E395=""),"",$E395*$AL395/100)</f>
        <v/>
      </c>
      <c r="AN395" s="30" t="str">
        <f aca="false">IF(OR($AM395="",$E395=""),"",$E395-$AM395)</f>
        <v/>
      </c>
      <c r="AO395" s="35" t="str">
        <f aca="false">IFERROR($E395/($F395/100)^2,"")</f>
        <v/>
      </c>
      <c r="AP395" s="35" t="str">
        <f aca="false">IFERROR($G395/$F395*100,"")</f>
        <v/>
      </c>
      <c r="AQ395" s="36" t="str">
        <f aca="false">IFERROR($W395/$F395,"")</f>
        <v/>
      </c>
      <c r="AR395" s="35" t="str">
        <f aca="false">IF(OR($S395="",$I395=""),"",($S395-PI()*$I395/10)^2/(4*PI())-IF(IFERROR(INDEX(Cadastro!$F$8:$F$47,MATCH($B395,Cadastro!$B$8:$B$47,0)),"")="Feminino",6.5,10))</f>
        <v/>
      </c>
      <c r="AS395" s="35" t="str">
        <f aca="false">IF(OR($I395="",$J395="",$O395="",$F395=""),"",-0.7182+0.1451*(($I395+$J395+$O395)*(170.18/$F395))-0.00068*(($I395+$J395+$O395)*(170.18/$F395))^2+0.0000014*(($I395+$J395+$O395)*(170.18/$F395))^3)</f>
        <v/>
      </c>
      <c r="AT395" s="35" t="str">
        <f aca="false">IF(OR($AE395="",$AF395="",$T395="",$AA395="",$F395=""),"",0.858*$AE395+0.601*$AF395+0.188*($T395-$I395/10)+0.161*($AA395-$R395/10)-0.131*$F395+4.5)</f>
        <v/>
      </c>
      <c r="AU395" s="35" t="str">
        <f aca="false">IF(OR($E395="",$F395=""),"",IF($F395/$E395^(1/3)&gt;=40.75,0.732*($F395/$E395^(1/3))-28.58,IF($F395/$E395^(1/3)&gt;=38.25,0.463*($F395/$E395^(1/3))-17.63,0.1)))</f>
        <v/>
      </c>
      <c r="AV395" s="37" t="str">
        <f aca="false">IF(OR($AS395="",$AT395="",$AU395=""),"",IF(AND($AT395&gt;=$AS395,$AT395&gt;=$AU395),"Mesomorfo dominante",IF(AND($AU395&gt;=$AS395,$AU395&gt;=$AT395),"Ectomorfo dominante","Endomorfo dominante")))</f>
        <v/>
      </c>
    </row>
    <row r="396" customFormat="false" ht="15" hidden="false" customHeight="false" outlineLevel="0" collapsed="false">
      <c r="A396" s="29"/>
      <c r="B396" s="27"/>
      <c r="C396" s="28"/>
      <c r="D396" s="27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3" t="str">
        <f aca="false">IFERROR(DATEDIF(INDEX(Cadastro!$D$8:$D$47,MATCH($B396,Cadastro!$B$8:$B$47,0)),$A396,"Y"),"")</f>
        <v/>
      </c>
      <c r="AH396" s="33" t="str">
        <f aca="false">IF(COUNT($I396,$K396,$J396,$N396)&lt;4,"",$I396+$K396+$J396+$N396)</f>
        <v/>
      </c>
      <c r="AI396" s="33" t="str">
        <f aca="false">IF(COUNT($L396,$M396,$I396,$J396,$P396,$N396,$Q396)&lt;7,"",$L396+$M396+$I396+$J396+$P396+$N396+$Q396)</f>
        <v/>
      </c>
      <c r="AJ396" s="33" t="str">
        <f aca="false">IF(COUNT($I396,$J396,$K396,$O396,$P396,$Q396,$R396,$N396)&lt;8,"",$I396+$J396+$K396+$O396+$P396+$Q396+$R396+$N396)</f>
        <v/>
      </c>
      <c r="AK396" s="34" t="str">
        <f aca="false">IF(OR($AI396="",$AG396=""),"",IF(IFERROR(INDEX(Cadastro!$F$8:$F$47,MATCH($B396,Cadastro!$B$8:$B$47,0)),"")="Feminino",1.097-0.00046971*$AI396+0.00000056*$AI396^2-0.00012828*$AG396,1.112-0.00043499*$AI396+0.00000055*$AI396^2-0.00028826*$AG396))</f>
        <v/>
      </c>
      <c r="AL396" s="30" t="str">
        <f aca="false">IF(OR($AK396="",$AK396=0),"",495/$AK396-450)</f>
        <v/>
      </c>
      <c r="AM396" s="35" t="str">
        <f aca="false">IF(OR($AL396="",$E396=""),"",$E396*$AL396/100)</f>
        <v/>
      </c>
      <c r="AN396" s="30" t="str">
        <f aca="false">IF(OR($AM396="",$E396=""),"",$E396-$AM396)</f>
        <v/>
      </c>
      <c r="AO396" s="35" t="str">
        <f aca="false">IFERROR($E396/($F396/100)^2,"")</f>
        <v/>
      </c>
      <c r="AP396" s="35" t="str">
        <f aca="false">IFERROR($G396/$F396*100,"")</f>
        <v/>
      </c>
      <c r="AQ396" s="36" t="str">
        <f aca="false">IFERROR($W396/$F396,"")</f>
        <v/>
      </c>
      <c r="AR396" s="35" t="str">
        <f aca="false">IF(OR($S396="",$I396=""),"",($S396-PI()*$I396/10)^2/(4*PI())-IF(IFERROR(INDEX(Cadastro!$F$8:$F$47,MATCH($B396,Cadastro!$B$8:$B$47,0)),"")="Feminino",6.5,10))</f>
        <v/>
      </c>
      <c r="AS396" s="35" t="str">
        <f aca="false">IF(OR($I396="",$J396="",$O396="",$F396=""),"",-0.7182+0.1451*(($I396+$J396+$O396)*(170.18/$F396))-0.00068*(($I396+$J396+$O396)*(170.18/$F396))^2+0.0000014*(($I396+$J396+$O396)*(170.18/$F396))^3)</f>
        <v/>
      </c>
      <c r="AT396" s="35" t="str">
        <f aca="false">IF(OR($AE396="",$AF396="",$T396="",$AA396="",$F396=""),"",0.858*$AE396+0.601*$AF396+0.188*($T396-$I396/10)+0.161*($AA396-$R396/10)-0.131*$F396+4.5)</f>
        <v/>
      </c>
      <c r="AU396" s="35" t="str">
        <f aca="false">IF(OR($E396="",$F396=""),"",IF($F396/$E396^(1/3)&gt;=40.75,0.732*($F396/$E396^(1/3))-28.58,IF($F396/$E396^(1/3)&gt;=38.25,0.463*($F396/$E396^(1/3))-17.63,0.1)))</f>
        <v/>
      </c>
      <c r="AV396" s="37" t="str">
        <f aca="false">IF(OR($AS396="",$AT396="",$AU396=""),"",IF(AND($AT396&gt;=$AS396,$AT396&gt;=$AU396),"Mesomorfo dominante",IF(AND($AU396&gt;=$AS396,$AU396&gt;=$AT396),"Ectomorfo dominante","Endomorfo dominante")))</f>
        <v/>
      </c>
    </row>
    <row r="397" customFormat="false" ht="15" hidden="false" customHeight="false" outlineLevel="0" collapsed="false">
      <c r="A397" s="29"/>
      <c r="B397" s="27"/>
      <c r="C397" s="28"/>
      <c r="D397" s="27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3" t="str">
        <f aca="false">IFERROR(DATEDIF(INDEX(Cadastro!$D$8:$D$47,MATCH($B397,Cadastro!$B$8:$B$47,0)),$A397,"Y"),"")</f>
        <v/>
      </c>
      <c r="AH397" s="33" t="str">
        <f aca="false">IF(COUNT($I397,$K397,$J397,$N397)&lt;4,"",$I397+$K397+$J397+$N397)</f>
        <v/>
      </c>
      <c r="AI397" s="33" t="str">
        <f aca="false">IF(COUNT($L397,$M397,$I397,$J397,$P397,$N397,$Q397)&lt;7,"",$L397+$M397+$I397+$J397+$P397+$N397+$Q397)</f>
        <v/>
      </c>
      <c r="AJ397" s="33" t="str">
        <f aca="false">IF(COUNT($I397,$J397,$K397,$O397,$P397,$Q397,$R397,$N397)&lt;8,"",$I397+$J397+$K397+$O397+$P397+$Q397+$R397+$N397)</f>
        <v/>
      </c>
      <c r="AK397" s="34" t="str">
        <f aca="false">IF(OR($AI397="",$AG397=""),"",IF(IFERROR(INDEX(Cadastro!$F$8:$F$47,MATCH($B397,Cadastro!$B$8:$B$47,0)),"")="Feminino",1.097-0.00046971*$AI397+0.00000056*$AI397^2-0.00012828*$AG397,1.112-0.00043499*$AI397+0.00000055*$AI397^2-0.00028826*$AG397))</f>
        <v/>
      </c>
      <c r="AL397" s="30" t="str">
        <f aca="false">IF(OR($AK397="",$AK397=0),"",495/$AK397-450)</f>
        <v/>
      </c>
      <c r="AM397" s="35" t="str">
        <f aca="false">IF(OR($AL397="",$E397=""),"",$E397*$AL397/100)</f>
        <v/>
      </c>
      <c r="AN397" s="30" t="str">
        <f aca="false">IF(OR($AM397="",$E397=""),"",$E397-$AM397)</f>
        <v/>
      </c>
      <c r="AO397" s="35" t="str">
        <f aca="false">IFERROR($E397/($F397/100)^2,"")</f>
        <v/>
      </c>
      <c r="AP397" s="35" t="str">
        <f aca="false">IFERROR($G397/$F397*100,"")</f>
        <v/>
      </c>
      <c r="AQ397" s="36" t="str">
        <f aca="false">IFERROR($W397/$F397,"")</f>
        <v/>
      </c>
      <c r="AR397" s="35" t="str">
        <f aca="false">IF(OR($S397="",$I397=""),"",($S397-PI()*$I397/10)^2/(4*PI())-IF(IFERROR(INDEX(Cadastro!$F$8:$F$47,MATCH($B397,Cadastro!$B$8:$B$47,0)),"")="Feminino",6.5,10))</f>
        <v/>
      </c>
      <c r="AS397" s="35" t="str">
        <f aca="false">IF(OR($I397="",$J397="",$O397="",$F397=""),"",-0.7182+0.1451*(($I397+$J397+$O397)*(170.18/$F397))-0.00068*(($I397+$J397+$O397)*(170.18/$F397))^2+0.0000014*(($I397+$J397+$O397)*(170.18/$F397))^3)</f>
        <v/>
      </c>
      <c r="AT397" s="35" t="str">
        <f aca="false">IF(OR($AE397="",$AF397="",$T397="",$AA397="",$F397=""),"",0.858*$AE397+0.601*$AF397+0.188*($T397-$I397/10)+0.161*($AA397-$R397/10)-0.131*$F397+4.5)</f>
        <v/>
      </c>
      <c r="AU397" s="35" t="str">
        <f aca="false">IF(OR($E397="",$F397=""),"",IF($F397/$E397^(1/3)&gt;=40.75,0.732*($F397/$E397^(1/3))-28.58,IF($F397/$E397^(1/3)&gt;=38.25,0.463*($F397/$E397^(1/3))-17.63,0.1)))</f>
        <v/>
      </c>
      <c r="AV397" s="37" t="str">
        <f aca="false">IF(OR($AS397="",$AT397="",$AU397=""),"",IF(AND($AT397&gt;=$AS397,$AT397&gt;=$AU397),"Mesomorfo dominante",IF(AND($AU397&gt;=$AS397,$AU397&gt;=$AT397),"Ectomorfo dominante","Endomorfo dominante")))</f>
        <v/>
      </c>
    </row>
    <row r="398" customFormat="false" ht="15" hidden="false" customHeight="false" outlineLevel="0" collapsed="false">
      <c r="A398" s="29"/>
      <c r="B398" s="27"/>
      <c r="C398" s="28"/>
      <c r="D398" s="27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3" t="str">
        <f aca="false">IFERROR(DATEDIF(INDEX(Cadastro!$D$8:$D$47,MATCH($B398,Cadastro!$B$8:$B$47,0)),$A398,"Y"),"")</f>
        <v/>
      </c>
      <c r="AH398" s="33" t="str">
        <f aca="false">IF(COUNT($I398,$K398,$J398,$N398)&lt;4,"",$I398+$K398+$J398+$N398)</f>
        <v/>
      </c>
      <c r="AI398" s="33" t="str">
        <f aca="false">IF(COUNT($L398,$M398,$I398,$J398,$P398,$N398,$Q398)&lt;7,"",$L398+$M398+$I398+$J398+$P398+$N398+$Q398)</f>
        <v/>
      </c>
      <c r="AJ398" s="33" t="str">
        <f aca="false">IF(COUNT($I398,$J398,$K398,$O398,$P398,$Q398,$R398,$N398)&lt;8,"",$I398+$J398+$K398+$O398+$P398+$Q398+$R398+$N398)</f>
        <v/>
      </c>
      <c r="AK398" s="34" t="str">
        <f aca="false">IF(OR($AI398="",$AG398=""),"",IF(IFERROR(INDEX(Cadastro!$F$8:$F$47,MATCH($B398,Cadastro!$B$8:$B$47,0)),"")="Feminino",1.097-0.00046971*$AI398+0.00000056*$AI398^2-0.00012828*$AG398,1.112-0.00043499*$AI398+0.00000055*$AI398^2-0.00028826*$AG398))</f>
        <v/>
      </c>
      <c r="AL398" s="30" t="str">
        <f aca="false">IF(OR($AK398="",$AK398=0),"",495/$AK398-450)</f>
        <v/>
      </c>
      <c r="AM398" s="35" t="str">
        <f aca="false">IF(OR($AL398="",$E398=""),"",$E398*$AL398/100)</f>
        <v/>
      </c>
      <c r="AN398" s="30" t="str">
        <f aca="false">IF(OR($AM398="",$E398=""),"",$E398-$AM398)</f>
        <v/>
      </c>
      <c r="AO398" s="35" t="str">
        <f aca="false">IFERROR($E398/($F398/100)^2,"")</f>
        <v/>
      </c>
      <c r="AP398" s="35" t="str">
        <f aca="false">IFERROR($G398/$F398*100,"")</f>
        <v/>
      </c>
      <c r="AQ398" s="36" t="str">
        <f aca="false">IFERROR($W398/$F398,"")</f>
        <v/>
      </c>
      <c r="AR398" s="35" t="str">
        <f aca="false">IF(OR($S398="",$I398=""),"",($S398-PI()*$I398/10)^2/(4*PI())-IF(IFERROR(INDEX(Cadastro!$F$8:$F$47,MATCH($B398,Cadastro!$B$8:$B$47,0)),"")="Feminino",6.5,10))</f>
        <v/>
      </c>
      <c r="AS398" s="35" t="str">
        <f aca="false">IF(OR($I398="",$J398="",$O398="",$F398=""),"",-0.7182+0.1451*(($I398+$J398+$O398)*(170.18/$F398))-0.00068*(($I398+$J398+$O398)*(170.18/$F398))^2+0.0000014*(($I398+$J398+$O398)*(170.18/$F398))^3)</f>
        <v/>
      </c>
      <c r="AT398" s="35" t="str">
        <f aca="false">IF(OR($AE398="",$AF398="",$T398="",$AA398="",$F398=""),"",0.858*$AE398+0.601*$AF398+0.188*($T398-$I398/10)+0.161*($AA398-$R398/10)-0.131*$F398+4.5)</f>
        <v/>
      </c>
      <c r="AU398" s="35" t="str">
        <f aca="false">IF(OR($E398="",$F398=""),"",IF($F398/$E398^(1/3)&gt;=40.75,0.732*($F398/$E398^(1/3))-28.58,IF($F398/$E398^(1/3)&gt;=38.25,0.463*($F398/$E398^(1/3))-17.63,0.1)))</f>
        <v/>
      </c>
      <c r="AV398" s="37" t="str">
        <f aca="false">IF(OR($AS398="",$AT398="",$AU398=""),"",IF(AND($AT398&gt;=$AS398,$AT398&gt;=$AU398),"Mesomorfo dominante",IF(AND($AU398&gt;=$AS398,$AU398&gt;=$AT398),"Ectomorfo dominante","Endomorfo dominante")))</f>
        <v/>
      </c>
    </row>
    <row r="399" customFormat="false" ht="15" hidden="false" customHeight="false" outlineLevel="0" collapsed="false">
      <c r="A399" s="29"/>
      <c r="B399" s="27"/>
      <c r="C399" s="28"/>
      <c r="D399" s="27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3" t="str">
        <f aca="false">IFERROR(DATEDIF(INDEX(Cadastro!$D$8:$D$47,MATCH($B399,Cadastro!$B$8:$B$47,0)),$A399,"Y"),"")</f>
        <v/>
      </c>
      <c r="AH399" s="33" t="str">
        <f aca="false">IF(COUNT($I399,$K399,$J399,$N399)&lt;4,"",$I399+$K399+$J399+$N399)</f>
        <v/>
      </c>
      <c r="AI399" s="33" t="str">
        <f aca="false">IF(COUNT($L399,$M399,$I399,$J399,$P399,$N399,$Q399)&lt;7,"",$L399+$M399+$I399+$J399+$P399+$N399+$Q399)</f>
        <v/>
      </c>
      <c r="AJ399" s="33" t="str">
        <f aca="false">IF(COUNT($I399,$J399,$K399,$O399,$P399,$Q399,$R399,$N399)&lt;8,"",$I399+$J399+$K399+$O399+$P399+$Q399+$R399+$N399)</f>
        <v/>
      </c>
      <c r="AK399" s="34" t="str">
        <f aca="false">IF(OR($AI399="",$AG399=""),"",IF(IFERROR(INDEX(Cadastro!$F$8:$F$47,MATCH($B399,Cadastro!$B$8:$B$47,0)),"")="Feminino",1.097-0.00046971*$AI399+0.00000056*$AI399^2-0.00012828*$AG399,1.112-0.00043499*$AI399+0.00000055*$AI399^2-0.00028826*$AG399))</f>
        <v/>
      </c>
      <c r="AL399" s="30" t="str">
        <f aca="false">IF(OR($AK399="",$AK399=0),"",495/$AK399-450)</f>
        <v/>
      </c>
      <c r="AM399" s="35" t="str">
        <f aca="false">IF(OR($AL399="",$E399=""),"",$E399*$AL399/100)</f>
        <v/>
      </c>
      <c r="AN399" s="30" t="str">
        <f aca="false">IF(OR($AM399="",$E399=""),"",$E399-$AM399)</f>
        <v/>
      </c>
      <c r="AO399" s="35" t="str">
        <f aca="false">IFERROR($E399/($F399/100)^2,"")</f>
        <v/>
      </c>
      <c r="AP399" s="35" t="str">
        <f aca="false">IFERROR($G399/$F399*100,"")</f>
        <v/>
      </c>
      <c r="AQ399" s="36" t="str">
        <f aca="false">IFERROR($W399/$F399,"")</f>
        <v/>
      </c>
      <c r="AR399" s="35" t="str">
        <f aca="false">IF(OR($S399="",$I399=""),"",($S399-PI()*$I399/10)^2/(4*PI())-IF(IFERROR(INDEX(Cadastro!$F$8:$F$47,MATCH($B399,Cadastro!$B$8:$B$47,0)),"")="Feminino",6.5,10))</f>
        <v/>
      </c>
      <c r="AS399" s="35" t="str">
        <f aca="false">IF(OR($I399="",$J399="",$O399="",$F399=""),"",-0.7182+0.1451*(($I399+$J399+$O399)*(170.18/$F399))-0.00068*(($I399+$J399+$O399)*(170.18/$F399))^2+0.0000014*(($I399+$J399+$O399)*(170.18/$F399))^3)</f>
        <v/>
      </c>
      <c r="AT399" s="35" t="str">
        <f aca="false">IF(OR($AE399="",$AF399="",$T399="",$AA399="",$F399=""),"",0.858*$AE399+0.601*$AF399+0.188*($T399-$I399/10)+0.161*($AA399-$R399/10)-0.131*$F399+4.5)</f>
        <v/>
      </c>
      <c r="AU399" s="35" t="str">
        <f aca="false">IF(OR($E399="",$F399=""),"",IF($F399/$E399^(1/3)&gt;=40.75,0.732*($F399/$E399^(1/3))-28.58,IF($F399/$E399^(1/3)&gt;=38.25,0.463*($F399/$E399^(1/3))-17.63,0.1)))</f>
        <v/>
      </c>
      <c r="AV399" s="37" t="str">
        <f aca="false">IF(OR($AS399="",$AT399="",$AU399=""),"",IF(AND($AT399&gt;=$AS399,$AT399&gt;=$AU399),"Mesomorfo dominante",IF(AND($AU399&gt;=$AS399,$AU399&gt;=$AT399),"Ectomorfo dominante","Endomorfo dominante")))</f>
        <v/>
      </c>
    </row>
    <row r="400" customFormat="false" ht="15" hidden="false" customHeight="false" outlineLevel="0" collapsed="false">
      <c r="A400" s="29"/>
      <c r="B400" s="27"/>
      <c r="C400" s="28"/>
      <c r="D400" s="27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3" t="str">
        <f aca="false">IFERROR(DATEDIF(INDEX(Cadastro!$D$8:$D$47,MATCH($B400,Cadastro!$B$8:$B$47,0)),$A400,"Y"),"")</f>
        <v/>
      </c>
      <c r="AH400" s="33" t="str">
        <f aca="false">IF(COUNT($I400,$K400,$J400,$N400)&lt;4,"",$I400+$K400+$J400+$N400)</f>
        <v/>
      </c>
      <c r="AI400" s="33" t="str">
        <f aca="false">IF(COUNT($L400,$M400,$I400,$J400,$P400,$N400,$Q400)&lt;7,"",$L400+$M400+$I400+$J400+$P400+$N400+$Q400)</f>
        <v/>
      </c>
      <c r="AJ400" s="33" t="str">
        <f aca="false">IF(COUNT($I400,$J400,$K400,$O400,$P400,$Q400,$R400,$N400)&lt;8,"",$I400+$J400+$K400+$O400+$P400+$Q400+$R400+$N400)</f>
        <v/>
      </c>
      <c r="AK400" s="34" t="str">
        <f aca="false">IF(OR($AI400="",$AG400=""),"",IF(IFERROR(INDEX(Cadastro!$F$8:$F$47,MATCH($B400,Cadastro!$B$8:$B$47,0)),"")="Feminino",1.097-0.00046971*$AI400+0.00000056*$AI400^2-0.00012828*$AG400,1.112-0.00043499*$AI400+0.00000055*$AI400^2-0.00028826*$AG400))</f>
        <v/>
      </c>
      <c r="AL400" s="30" t="str">
        <f aca="false">IF(OR($AK400="",$AK400=0),"",495/$AK400-450)</f>
        <v/>
      </c>
      <c r="AM400" s="35" t="str">
        <f aca="false">IF(OR($AL400="",$E400=""),"",$E400*$AL400/100)</f>
        <v/>
      </c>
      <c r="AN400" s="30" t="str">
        <f aca="false">IF(OR($AM400="",$E400=""),"",$E400-$AM400)</f>
        <v/>
      </c>
      <c r="AO400" s="35" t="str">
        <f aca="false">IFERROR($E400/($F400/100)^2,"")</f>
        <v/>
      </c>
      <c r="AP400" s="35" t="str">
        <f aca="false">IFERROR($G400/$F400*100,"")</f>
        <v/>
      </c>
      <c r="AQ400" s="36" t="str">
        <f aca="false">IFERROR($W400/$F400,"")</f>
        <v/>
      </c>
      <c r="AR400" s="35" t="str">
        <f aca="false">IF(OR($S400="",$I400=""),"",($S400-PI()*$I400/10)^2/(4*PI())-IF(IFERROR(INDEX(Cadastro!$F$8:$F$47,MATCH($B400,Cadastro!$B$8:$B$47,0)),"")="Feminino",6.5,10))</f>
        <v/>
      </c>
      <c r="AS400" s="35" t="str">
        <f aca="false">IF(OR($I400="",$J400="",$O400="",$F400=""),"",-0.7182+0.1451*(($I400+$J400+$O400)*(170.18/$F400))-0.00068*(($I400+$J400+$O400)*(170.18/$F400))^2+0.0000014*(($I400+$J400+$O400)*(170.18/$F400))^3)</f>
        <v/>
      </c>
      <c r="AT400" s="35" t="str">
        <f aca="false">IF(OR($AE400="",$AF400="",$T400="",$AA400="",$F400=""),"",0.858*$AE400+0.601*$AF400+0.188*($T400-$I400/10)+0.161*($AA400-$R400/10)-0.131*$F400+4.5)</f>
        <v/>
      </c>
      <c r="AU400" s="35" t="str">
        <f aca="false">IF(OR($E400="",$F400=""),"",IF($F400/$E400^(1/3)&gt;=40.75,0.732*($F400/$E400^(1/3))-28.58,IF($F400/$E400^(1/3)&gt;=38.25,0.463*($F400/$E400^(1/3))-17.63,0.1)))</f>
        <v/>
      </c>
      <c r="AV400" s="37" t="str">
        <f aca="false">IF(OR($AS400="",$AT400="",$AU400=""),"",IF(AND($AT400&gt;=$AS400,$AT400&gt;=$AU400),"Mesomorfo dominante",IF(AND($AU400&gt;=$AS400,$AU400&gt;=$AT400),"Ectomorfo dominante","Endomorfo dominante")))</f>
        <v/>
      </c>
    </row>
    <row r="401" customFormat="false" ht="15" hidden="false" customHeight="false" outlineLevel="0" collapsed="false">
      <c r="A401" s="29"/>
      <c r="B401" s="27"/>
      <c r="C401" s="28"/>
      <c r="D401" s="27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3" t="str">
        <f aca="false">IFERROR(DATEDIF(INDEX(Cadastro!$D$8:$D$47,MATCH($B401,Cadastro!$B$8:$B$47,0)),$A401,"Y"),"")</f>
        <v/>
      </c>
      <c r="AH401" s="33" t="str">
        <f aca="false">IF(COUNT($I401,$K401,$J401,$N401)&lt;4,"",$I401+$K401+$J401+$N401)</f>
        <v/>
      </c>
      <c r="AI401" s="33" t="str">
        <f aca="false">IF(COUNT($L401,$M401,$I401,$J401,$P401,$N401,$Q401)&lt;7,"",$L401+$M401+$I401+$J401+$P401+$N401+$Q401)</f>
        <v/>
      </c>
      <c r="AJ401" s="33" t="str">
        <f aca="false">IF(COUNT($I401,$J401,$K401,$O401,$P401,$Q401,$R401,$N401)&lt;8,"",$I401+$J401+$K401+$O401+$P401+$Q401+$R401+$N401)</f>
        <v/>
      </c>
      <c r="AK401" s="34" t="str">
        <f aca="false">IF(OR($AI401="",$AG401=""),"",IF(IFERROR(INDEX(Cadastro!$F$8:$F$47,MATCH($B401,Cadastro!$B$8:$B$47,0)),"")="Feminino",1.097-0.00046971*$AI401+0.00000056*$AI401^2-0.00012828*$AG401,1.112-0.00043499*$AI401+0.00000055*$AI401^2-0.00028826*$AG401))</f>
        <v/>
      </c>
      <c r="AL401" s="30" t="str">
        <f aca="false">IF(OR($AK401="",$AK401=0),"",495/$AK401-450)</f>
        <v/>
      </c>
      <c r="AM401" s="35" t="str">
        <f aca="false">IF(OR($AL401="",$E401=""),"",$E401*$AL401/100)</f>
        <v/>
      </c>
      <c r="AN401" s="30" t="str">
        <f aca="false">IF(OR($AM401="",$E401=""),"",$E401-$AM401)</f>
        <v/>
      </c>
      <c r="AO401" s="35" t="str">
        <f aca="false">IFERROR($E401/($F401/100)^2,"")</f>
        <v/>
      </c>
      <c r="AP401" s="35" t="str">
        <f aca="false">IFERROR($G401/$F401*100,"")</f>
        <v/>
      </c>
      <c r="AQ401" s="36" t="str">
        <f aca="false">IFERROR($W401/$F401,"")</f>
        <v/>
      </c>
      <c r="AR401" s="35" t="str">
        <f aca="false">IF(OR($S401="",$I401=""),"",($S401-PI()*$I401/10)^2/(4*PI())-IF(IFERROR(INDEX(Cadastro!$F$8:$F$47,MATCH($B401,Cadastro!$B$8:$B$47,0)),"")="Feminino",6.5,10))</f>
        <v/>
      </c>
      <c r="AS401" s="35" t="str">
        <f aca="false">IF(OR($I401="",$J401="",$O401="",$F401=""),"",-0.7182+0.1451*(($I401+$J401+$O401)*(170.18/$F401))-0.00068*(($I401+$J401+$O401)*(170.18/$F401))^2+0.0000014*(($I401+$J401+$O401)*(170.18/$F401))^3)</f>
        <v/>
      </c>
      <c r="AT401" s="35" t="str">
        <f aca="false">IF(OR($AE401="",$AF401="",$T401="",$AA401="",$F401=""),"",0.858*$AE401+0.601*$AF401+0.188*($T401-$I401/10)+0.161*($AA401-$R401/10)-0.131*$F401+4.5)</f>
        <v/>
      </c>
      <c r="AU401" s="35" t="str">
        <f aca="false">IF(OR($E401="",$F401=""),"",IF($F401/$E401^(1/3)&gt;=40.75,0.732*($F401/$E401^(1/3))-28.58,IF($F401/$E401^(1/3)&gt;=38.25,0.463*($F401/$E401^(1/3))-17.63,0.1)))</f>
        <v/>
      </c>
      <c r="AV401" s="37" t="str">
        <f aca="false">IF(OR($AS401="",$AT401="",$AU401=""),"",IF(AND($AT401&gt;=$AS401,$AT401&gt;=$AU401),"Mesomorfo dominante",IF(AND($AU401&gt;=$AS401,$AU401&gt;=$AT401),"Ectomorfo dominante","Endomorfo dominante")))</f>
        <v/>
      </c>
    </row>
    <row r="402" customFormat="false" ht="15" hidden="false" customHeight="false" outlineLevel="0" collapsed="false">
      <c r="A402" s="29"/>
      <c r="B402" s="27"/>
      <c r="C402" s="28"/>
      <c r="D402" s="27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3" t="str">
        <f aca="false">IFERROR(DATEDIF(INDEX(Cadastro!$D$8:$D$47,MATCH($B402,Cadastro!$B$8:$B$47,0)),$A402,"Y"),"")</f>
        <v/>
      </c>
      <c r="AH402" s="33" t="str">
        <f aca="false">IF(COUNT($I402,$K402,$J402,$N402)&lt;4,"",$I402+$K402+$J402+$N402)</f>
        <v/>
      </c>
      <c r="AI402" s="33" t="str">
        <f aca="false">IF(COUNT($L402,$M402,$I402,$J402,$P402,$N402,$Q402)&lt;7,"",$L402+$M402+$I402+$J402+$P402+$N402+$Q402)</f>
        <v/>
      </c>
      <c r="AJ402" s="33" t="str">
        <f aca="false">IF(COUNT($I402,$J402,$K402,$O402,$P402,$Q402,$R402,$N402)&lt;8,"",$I402+$J402+$K402+$O402+$P402+$Q402+$R402+$N402)</f>
        <v/>
      </c>
      <c r="AK402" s="34" t="str">
        <f aca="false">IF(OR($AI402="",$AG402=""),"",IF(IFERROR(INDEX(Cadastro!$F$8:$F$47,MATCH($B402,Cadastro!$B$8:$B$47,0)),"")="Feminino",1.097-0.00046971*$AI402+0.00000056*$AI402^2-0.00012828*$AG402,1.112-0.00043499*$AI402+0.00000055*$AI402^2-0.00028826*$AG402))</f>
        <v/>
      </c>
      <c r="AL402" s="30" t="str">
        <f aca="false">IF(OR($AK402="",$AK402=0),"",495/$AK402-450)</f>
        <v/>
      </c>
      <c r="AM402" s="35" t="str">
        <f aca="false">IF(OR($AL402="",$E402=""),"",$E402*$AL402/100)</f>
        <v/>
      </c>
      <c r="AN402" s="30" t="str">
        <f aca="false">IF(OR($AM402="",$E402=""),"",$E402-$AM402)</f>
        <v/>
      </c>
      <c r="AO402" s="35" t="str">
        <f aca="false">IFERROR($E402/($F402/100)^2,"")</f>
        <v/>
      </c>
      <c r="AP402" s="35" t="str">
        <f aca="false">IFERROR($G402/$F402*100,"")</f>
        <v/>
      </c>
      <c r="AQ402" s="36" t="str">
        <f aca="false">IFERROR($W402/$F402,"")</f>
        <v/>
      </c>
      <c r="AR402" s="35" t="str">
        <f aca="false">IF(OR($S402="",$I402=""),"",($S402-PI()*$I402/10)^2/(4*PI())-IF(IFERROR(INDEX(Cadastro!$F$8:$F$47,MATCH($B402,Cadastro!$B$8:$B$47,0)),"")="Feminino",6.5,10))</f>
        <v/>
      </c>
      <c r="AS402" s="35" t="str">
        <f aca="false">IF(OR($I402="",$J402="",$O402="",$F402=""),"",-0.7182+0.1451*(($I402+$J402+$O402)*(170.18/$F402))-0.00068*(($I402+$J402+$O402)*(170.18/$F402))^2+0.0000014*(($I402+$J402+$O402)*(170.18/$F402))^3)</f>
        <v/>
      </c>
      <c r="AT402" s="35" t="str">
        <f aca="false">IF(OR($AE402="",$AF402="",$T402="",$AA402="",$F402=""),"",0.858*$AE402+0.601*$AF402+0.188*($T402-$I402/10)+0.161*($AA402-$R402/10)-0.131*$F402+4.5)</f>
        <v/>
      </c>
      <c r="AU402" s="35" t="str">
        <f aca="false">IF(OR($E402="",$F402=""),"",IF($F402/$E402^(1/3)&gt;=40.75,0.732*($F402/$E402^(1/3))-28.58,IF($F402/$E402^(1/3)&gt;=38.25,0.463*($F402/$E402^(1/3))-17.63,0.1)))</f>
        <v/>
      </c>
      <c r="AV402" s="37" t="str">
        <f aca="false">IF(OR($AS402="",$AT402="",$AU402=""),"",IF(AND($AT402&gt;=$AS402,$AT402&gt;=$AU402),"Mesomorfo dominante",IF(AND($AU402&gt;=$AS402,$AU402&gt;=$AT402),"Ectomorfo dominante","Endomorfo dominante")))</f>
        <v/>
      </c>
    </row>
    <row r="403" customFormat="false" ht="15" hidden="false" customHeight="false" outlineLevel="0" collapsed="false">
      <c r="A403" s="29"/>
      <c r="B403" s="27"/>
      <c r="C403" s="28"/>
      <c r="D403" s="27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3" t="str">
        <f aca="false">IFERROR(DATEDIF(INDEX(Cadastro!$D$8:$D$47,MATCH($B403,Cadastro!$B$8:$B$47,0)),$A403,"Y"),"")</f>
        <v/>
      </c>
      <c r="AH403" s="33" t="str">
        <f aca="false">IF(COUNT($I403,$K403,$J403,$N403)&lt;4,"",$I403+$K403+$J403+$N403)</f>
        <v/>
      </c>
      <c r="AI403" s="33" t="str">
        <f aca="false">IF(COUNT($L403,$M403,$I403,$J403,$P403,$N403,$Q403)&lt;7,"",$L403+$M403+$I403+$J403+$P403+$N403+$Q403)</f>
        <v/>
      </c>
      <c r="AJ403" s="33" t="str">
        <f aca="false">IF(COUNT($I403,$J403,$K403,$O403,$P403,$Q403,$R403,$N403)&lt;8,"",$I403+$J403+$K403+$O403+$P403+$Q403+$R403+$N403)</f>
        <v/>
      </c>
      <c r="AK403" s="34" t="str">
        <f aca="false">IF(OR($AI403="",$AG403=""),"",IF(IFERROR(INDEX(Cadastro!$F$8:$F$47,MATCH($B403,Cadastro!$B$8:$B$47,0)),"")="Feminino",1.097-0.00046971*$AI403+0.00000056*$AI403^2-0.00012828*$AG403,1.112-0.00043499*$AI403+0.00000055*$AI403^2-0.00028826*$AG403))</f>
        <v/>
      </c>
      <c r="AL403" s="30" t="str">
        <f aca="false">IF(OR($AK403="",$AK403=0),"",495/$AK403-450)</f>
        <v/>
      </c>
      <c r="AM403" s="35" t="str">
        <f aca="false">IF(OR($AL403="",$E403=""),"",$E403*$AL403/100)</f>
        <v/>
      </c>
      <c r="AN403" s="30" t="str">
        <f aca="false">IF(OR($AM403="",$E403=""),"",$E403-$AM403)</f>
        <v/>
      </c>
      <c r="AO403" s="35" t="str">
        <f aca="false">IFERROR($E403/($F403/100)^2,"")</f>
        <v/>
      </c>
      <c r="AP403" s="35" t="str">
        <f aca="false">IFERROR($G403/$F403*100,"")</f>
        <v/>
      </c>
      <c r="AQ403" s="36" t="str">
        <f aca="false">IFERROR($W403/$F403,"")</f>
        <v/>
      </c>
      <c r="AR403" s="35" t="str">
        <f aca="false">IF(OR($S403="",$I403=""),"",($S403-PI()*$I403/10)^2/(4*PI())-IF(IFERROR(INDEX(Cadastro!$F$8:$F$47,MATCH($B403,Cadastro!$B$8:$B$47,0)),"")="Feminino",6.5,10))</f>
        <v/>
      </c>
      <c r="AS403" s="35" t="str">
        <f aca="false">IF(OR($I403="",$J403="",$O403="",$F403=""),"",-0.7182+0.1451*(($I403+$J403+$O403)*(170.18/$F403))-0.00068*(($I403+$J403+$O403)*(170.18/$F403))^2+0.0000014*(($I403+$J403+$O403)*(170.18/$F403))^3)</f>
        <v/>
      </c>
      <c r="AT403" s="35" t="str">
        <f aca="false">IF(OR($AE403="",$AF403="",$T403="",$AA403="",$F403=""),"",0.858*$AE403+0.601*$AF403+0.188*($T403-$I403/10)+0.161*($AA403-$R403/10)-0.131*$F403+4.5)</f>
        <v/>
      </c>
      <c r="AU403" s="35" t="str">
        <f aca="false">IF(OR($E403="",$F403=""),"",IF($F403/$E403^(1/3)&gt;=40.75,0.732*($F403/$E403^(1/3))-28.58,IF($F403/$E403^(1/3)&gt;=38.25,0.463*($F403/$E403^(1/3))-17.63,0.1)))</f>
        <v/>
      </c>
      <c r="AV403" s="37" t="str">
        <f aca="false">IF(OR($AS403="",$AT403="",$AU403=""),"",IF(AND($AT403&gt;=$AS403,$AT403&gt;=$AU403),"Mesomorfo dominante",IF(AND($AU403&gt;=$AS403,$AU403&gt;=$AT403),"Ectomorfo dominante","Endomorfo dominante")))</f>
        <v/>
      </c>
    </row>
    <row r="404" customFormat="false" ht="15" hidden="false" customHeight="false" outlineLevel="0" collapsed="false">
      <c r="A404" s="29"/>
      <c r="B404" s="27"/>
      <c r="C404" s="28"/>
      <c r="D404" s="27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3" t="str">
        <f aca="false">IFERROR(DATEDIF(INDEX(Cadastro!$D$8:$D$47,MATCH($B404,Cadastro!$B$8:$B$47,0)),$A404,"Y"),"")</f>
        <v/>
      </c>
      <c r="AH404" s="33" t="str">
        <f aca="false">IF(COUNT($I404,$K404,$J404,$N404)&lt;4,"",$I404+$K404+$J404+$N404)</f>
        <v/>
      </c>
      <c r="AI404" s="33" t="str">
        <f aca="false">IF(COUNT($L404,$M404,$I404,$J404,$P404,$N404,$Q404)&lt;7,"",$L404+$M404+$I404+$J404+$P404+$N404+$Q404)</f>
        <v/>
      </c>
      <c r="AJ404" s="33" t="str">
        <f aca="false">IF(COUNT($I404,$J404,$K404,$O404,$P404,$Q404,$R404,$N404)&lt;8,"",$I404+$J404+$K404+$O404+$P404+$Q404+$R404+$N404)</f>
        <v/>
      </c>
      <c r="AK404" s="34" t="str">
        <f aca="false">IF(OR($AI404="",$AG404=""),"",IF(IFERROR(INDEX(Cadastro!$F$8:$F$47,MATCH($B404,Cadastro!$B$8:$B$47,0)),"")="Feminino",1.097-0.00046971*$AI404+0.00000056*$AI404^2-0.00012828*$AG404,1.112-0.00043499*$AI404+0.00000055*$AI404^2-0.00028826*$AG404))</f>
        <v/>
      </c>
      <c r="AL404" s="30" t="str">
        <f aca="false">IF(OR($AK404="",$AK404=0),"",495/$AK404-450)</f>
        <v/>
      </c>
      <c r="AM404" s="35" t="str">
        <f aca="false">IF(OR($AL404="",$E404=""),"",$E404*$AL404/100)</f>
        <v/>
      </c>
      <c r="AN404" s="30" t="str">
        <f aca="false">IF(OR($AM404="",$E404=""),"",$E404-$AM404)</f>
        <v/>
      </c>
      <c r="AO404" s="35" t="str">
        <f aca="false">IFERROR($E404/($F404/100)^2,"")</f>
        <v/>
      </c>
      <c r="AP404" s="35" t="str">
        <f aca="false">IFERROR($G404/$F404*100,"")</f>
        <v/>
      </c>
      <c r="AQ404" s="36" t="str">
        <f aca="false">IFERROR($W404/$F404,"")</f>
        <v/>
      </c>
      <c r="AR404" s="35" t="str">
        <f aca="false">IF(OR($S404="",$I404=""),"",($S404-PI()*$I404/10)^2/(4*PI())-IF(IFERROR(INDEX(Cadastro!$F$8:$F$47,MATCH($B404,Cadastro!$B$8:$B$47,0)),"")="Feminino",6.5,10))</f>
        <v/>
      </c>
      <c r="AS404" s="35" t="str">
        <f aca="false">IF(OR($I404="",$J404="",$O404="",$F404=""),"",-0.7182+0.1451*(($I404+$J404+$O404)*(170.18/$F404))-0.00068*(($I404+$J404+$O404)*(170.18/$F404))^2+0.0000014*(($I404+$J404+$O404)*(170.18/$F404))^3)</f>
        <v/>
      </c>
      <c r="AT404" s="35" t="str">
        <f aca="false">IF(OR($AE404="",$AF404="",$T404="",$AA404="",$F404=""),"",0.858*$AE404+0.601*$AF404+0.188*($T404-$I404/10)+0.161*($AA404-$R404/10)-0.131*$F404+4.5)</f>
        <v/>
      </c>
      <c r="AU404" s="35" t="str">
        <f aca="false">IF(OR($E404="",$F404=""),"",IF($F404/$E404^(1/3)&gt;=40.75,0.732*($F404/$E404^(1/3))-28.58,IF($F404/$E404^(1/3)&gt;=38.25,0.463*($F404/$E404^(1/3))-17.63,0.1)))</f>
        <v/>
      </c>
      <c r="AV404" s="37" t="str">
        <f aca="false">IF(OR($AS404="",$AT404="",$AU404=""),"",IF(AND($AT404&gt;=$AS404,$AT404&gt;=$AU404),"Mesomorfo dominante",IF(AND($AU404&gt;=$AS404,$AU404&gt;=$AT404),"Ectomorfo dominante","Endomorfo dominante")))</f>
        <v/>
      </c>
    </row>
    <row r="405" customFormat="false" ht="15" hidden="false" customHeight="false" outlineLevel="0" collapsed="false">
      <c r="A405" s="29"/>
      <c r="B405" s="27"/>
      <c r="C405" s="28"/>
      <c r="D405" s="27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3" t="str">
        <f aca="false">IFERROR(DATEDIF(INDEX(Cadastro!$D$8:$D$47,MATCH($B405,Cadastro!$B$8:$B$47,0)),$A405,"Y"),"")</f>
        <v/>
      </c>
      <c r="AH405" s="33" t="str">
        <f aca="false">IF(COUNT($I405,$K405,$J405,$N405)&lt;4,"",$I405+$K405+$J405+$N405)</f>
        <v/>
      </c>
      <c r="AI405" s="33" t="str">
        <f aca="false">IF(COUNT($L405,$M405,$I405,$J405,$P405,$N405,$Q405)&lt;7,"",$L405+$M405+$I405+$J405+$P405+$N405+$Q405)</f>
        <v/>
      </c>
      <c r="AJ405" s="33" t="str">
        <f aca="false">IF(COUNT($I405,$J405,$K405,$O405,$P405,$Q405,$R405,$N405)&lt;8,"",$I405+$J405+$K405+$O405+$P405+$Q405+$R405+$N405)</f>
        <v/>
      </c>
      <c r="AK405" s="34" t="str">
        <f aca="false">IF(OR($AI405="",$AG405=""),"",IF(IFERROR(INDEX(Cadastro!$F$8:$F$47,MATCH($B405,Cadastro!$B$8:$B$47,0)),"")="Feminino",1.097-0.00046971*$AI405+0.00000056*$AI405^2-0.00012828*$AG405,1.112-0.00043499*$AI405+0.00000055*$AI405^2-0.00028826*$AG405))</f>
        <v/>
      </c>
      <c r="AL405" s="30" t="str">
        <f aca="false">IF(OR($AK405="",$AK405=0),"",495/$AK405-450)</f>
        <v/>
      </c>
      <c r="AM405" s="35" t="str">
        <f aca="false">IF(OR($AL405="",$E405=""),"",$E405*$AL405/100)</f>
        <v/>
      </c>
      <c r="AN405" s="30" t="str">
        <f aca="false">IF(OR($AM405="",$E405=""),"",$E405-$AM405)</f>
        <v/>
      </c>
      <c r="AO405" s="35" t="str">
        <f aca="false">IFERROR($E405/($F405/100)^2,"")</f>
        <v/>
      </c>
      <c r="AP405" s="35" t="str">
        <f aca="false">IFERROR($G405/$F405*100,"")</f>
        <v/>
      </c>
      <c r="AQ405" s="36" t="str">
        <f aca="false">IFERROR($W405/$F405,"")</f>
        <v/>
      </c>
      <c r="AR405" s="35" t="str">
        <f aca="false">IF(OR($S405="",$I405=""),"",($S405-PI()*$I405/10)^2/(4*PI())-IF(IFERROR(INDEX(Cadastro!$F$8:$F$47,MATCH($B405,Cadastro!$B$8:$B$47,0)),"")="Feminino",6.5,10))</f>
        <v/>
      </c>
      <c r="AS405" s="35" t="str">
        <f aca="false">IF(OR($I405="",$J405="",$O405="",$F405=""),"",-0.7182+0.1451*(($I405+$J405+$O405)*(170.18/$F405))-0.00068*(($I405+$J405+$O405)*(170.18/$F405))^2+0.0000014*(($I405+$J405+$O405)*(170.18/$F405))^3)</f>
        <v/>
      </c>
      <c r="AT405" s="35" t="str">
        <f aca="false">IF(OR($AE405="",$AF405="",$T405="",$AA405="",$F405=""),"",0.858*$AE405+0.601*$AF405+0.188*($T405-$I405/10)+0.161*($AA405-$R405/10)-0.131*$F405+4.5)</f>
        <v/>
      </c>
      <c r="AU405" s="35" t="str">
        <f aca="false">IF(OR($E405="",$F405=""),"",IF($F405/$E405^(1/3)&gt;=40.75,0.732*($F405/$E405^(1/3))-28.58,IF($F405/$E405^(1/3)&gt;=38.25,0.463*($F405/$E405^(1/3))-17.63,0.1)))</f>
        <v/>
      </c>
      <c r="AV405" s="37" t="str">
        <f aca="false">IF(OR($AS405="",$AT405="",$AU405=""),"",IF(AND($AT405&gt;=$AS405,$AT405&gt;=$AU405),"Mesomorfo dominante",IF(AND($AU405&gt;=$AS405,$AU405&gt;=$AT405),"Ectomorfo dominante","Endomorfo dominante")))</f>
        <v/>
      </c>
    </row>
    <row r="406" customFormat="false" ht="15" hidden="false" customHeight="false" outlineLevel="0" collapsed="false">
      <c r="A406" s="29"/>
      <c r="B406" s="27"/>
      <c r="C406" s="28"/>
      <c r="D406" s="27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3" t="str">
        <f aca="false">IFERROR(DATEDIF(INDEX(Cadastro!$D$8:$D$47,MATCH($B406,Cadastro!$B$8:$B$47,0)),$A406,"Y"),"")</f>
        <v/>
      </c>
      <c r="AH406" s="33" t="str">
        <f aca="false">IF(COUNT($I406,$K406,$J406,$N406)&lt;4,"",$I406+$K406+$J406+$N406)</f>
        <v/>
      </c>
      <c r="AI406" s="33" t="str">
        <f aca="false">IF(COUNT($L406,$M406,$I406,$J406,$P406,$N406,$Q406)&lt;7,"",$L406+$M406+$I406+$J406+$P406+$N406+$Q406)</f>
        <v/>
      </c>
      <c r="AJ406" s="33" t="str">
        <f aca="false">IF(COUNT($I406,$J406,$K406,$O406,$P406,$Q406,$R406,$N406)&lt;8,"",$I406+$J406+$K406+$O406+$P406+$Q406+$R406+$N406)</f>
        <v/>
      </c>
      <c r="AK406" s="34" t="str">
        <f aca="false">IF(OR($AI406="",$AG406=""),"",IF(IFERROR(INDEX(Cadastro!$F$8:$F$47,MATCH($B406,Cadastro!$B$8:$B$47,0)),"")="Feminino",1.097-0.00046971*$AI406+0.00000056*$AI406^2-0.00012828*$AG406,1.112-0.00043499*$AI406+0.00000055*$AI406^2-0.00028826*$AG406))</f>
        <v/>
      </c>
      <c r="AL406" s="30" t="str">
        <f aca="false">IF(OR($AK406="",$AK406=0),"",495/$AK406-450)</f>
        <v/>
      </c>
      <c r="AM406" s="35" t="str">
        <f aca="false">IF(OR($AL406="",$E406=""),"",$E406*$AL406/100)</f>
        <v/>
      </c>
      <c r="AN406" s="30" t="str">
        <f aca="false">IF(OR($AM406="",$E406=""),"",$E406-$AM406)</f>
        <v/>
      </c>
      <c r="AO406" s="35" t="str">
        <f aca="false">IFERROR($E406/($F406/100)^2,"")</f>
        <v/>
      </c>
      <c r="AP406" s="35" t="str">
        <f aca="false">IFERROR($G406/$F406*100,"")</f>
        <v/>
      </c>
      <c r="AQ406" s="36" t="str">
        <f aca="false">IFERROR($W406/$F406,"")</f>
        <v/>
      </c>
      <c r="AR406" s="35" t="str">
        <f aca="false">IF(OR($S406="",$I406=""),"",($S406-PI()*$I406/10)^2/(4*PI())-IF(IFERROR(INDEX(Cadastro!$F$8:$F$47,MATCH($B406,Cadastro!$B$8:$B$47,0)),"")="Feminino",6.5,10))</f>
        <v/>
      </c>
      <c r="AS406" s="35" t="str">
        <f aca="false">IF(OR($I406="",$J406="",$O406="",$F406=""),"",-0.7182+0.1451*(($I406+$J406+$O406)*(170.18/$F406))-0.00068*(($I406+$J406+$O406)*(170.18/$F406))^2+0.0000014*(($I406+$J406+$O406)*(170.18/$F406))^3)</f>
        <v/>
      </c>
      <c r="AT406" s="35" t="str">
        <f aca="false">IF(OR($AE406="",$AF406="",$T406="",$AA406="",$F406=""),"",0.858*$AE406+0.601*$AF406+0.188*($T406-$I406/10)+0.161*($AA406-$R406/10)-0.131*$F406+4.5)</f>
        <v/>
      </c>
      <c r="AU406" s="35" t="str">
        <f aca="false">IF(OR($E406="",$F406=""),"",IF($F406/$E406^(1/3)&gt;=40.75,0.732*($F406/$E406^(1/3))-28.58,IF($F406/$E406^(1/3)&gt;=38.25,0.463*($F406/$E406^(1/3))-17.63,0.1)))</f>
        <v/>
      </c>
      <c r="AV406" s="37" t="str">
        <f aca="false">IF(OR($AS406="",$AT406="",$AU406=""),"",IF(AND($AT406&gt;=$AS406,$AT406&gt;=$AU406),"Mesomorfo dominante",IF(AND($AU406&gt;=$AS406,$AU406&gt;=$AT406),"Ectomorfo dominante","Endomorfo dominante")))</f>
        <v/>
      </c>
    </row>
    <row r="407" customFormat="false" ht="15" hidden="false" customHeight="false" outlineLevel="0" collapsed="false">
      <c r="A407" s="29"/>
      <c r="B407" s="27"/>
      <c r="C407" s="28"/>
      <c r="D407" s="27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3" t="str">
        <f aca="false">IFERROR(DATEDIF(INDEX(Cadastro!$D$8:$D$47,MATCH($B407,Cadastro!$B$8:$B$47,0)),$A407,"Y"),"")</f>
        <v/>
      </c>
      <c r="AH407" s="33" t="str">
        <f aca="false">IF(COUNT($I407,$K407,$J407,$N407)&lt;4,"",$I407+$K407+$J407+$N407)</f>
        <v/>
      </c>
      <c r="AI407" s="33" t="str">
        <f aca="false">IF(COUNT($L407,$M407,$I407,$J407,$P407,$N407,$Q407)&lt;7,"",$L407+$M407+$I407+$J407+$P407+$N407+$Q407)</f>
        <v/>
      </c>
      <c r="AJ407" s="33" t="str">
        <f aca="false">IF(COUNT($I407,$J407,$K407,$O407,$P407,$Q407,$R407,$N407)&lt;8,"",$I407+$J407+$K407+$O407+$P407+$Q407+$R407+$N407)</f>
        <v/>
      </c>
      <c r="AK407" s="34" t="str">
        <f aca="false">IF(OR($AI407="",$AG407=""),"",IF(IFERROR(INDEX(Cadastro!$F$8:$F$47,MATCH($B407,Cadastro!$B$8:$B$47,0)),"")="Feminino",1.097-0.00046971*$AI407+0.00000056*$AI407^2-0.00012828*$AG407,1.112-0.00043499*$AI407+0.00000055*$AI407^2-0.00028826*$AG407))</f>
        <v/>
      </c>
      <c r="AL407" s="30" t="str">
        <f aca="false">IF(OR($AK407="",$AK407=0),"",495/$AK407-450)</f>
        <v/>
      </c>
      <c r="AM407" s="35" t="str">
        <f aca="false">IF(OR($AL407="",$E407=""),"",$E407*$AL407/100)</f>
        <v/>
      </c>
      <c r="AN407" s="30" t="str">
        <f aca="false">IF(OR($AM407="",$E407=""),"",$E407-$AM407)</f>
        <v/>
      </c>
      <c r="AO407" s="35" t="str">
        <f aca="false">IFERROR($E407/($F407/100)^2,"")</f>
        <v/>
      </c>
      <c r="AP407" s="35" t="str">
        <f aca="false">IFERROR($G407/$F407*100,"")</f>
        <v/>
      </c>
      <c r="AQ407" s="36" t="str">
        <f aca="false">IFERROR($W407/$F407,"")</f>
        <v/>
      </c>
      <c r="AR407" s="35" t="str">
        <f aca="false">IF(OR($S407="",$I407=""),"",($S407-PI()*$I407/10)^2/(4*PI())-IF(IFERROR(INDEX(Cadastro!$F$8:$F$47,MATCH($B407,Cadastro!$B$8:$B$47,0)),"")="Feminino",6.5,10))</f>
        <v/>
      </c>
      <c r="AS407" s="35" t="str">
        <f aca="false">IF(OR($I407="",$J407="",$O407="",$F407=""),"",-0.7182+0.1451*(($I407+$J407+$O407)*(170.18/$F407))-0.00068*(($I407+$J407+$O407)*(170.18/$F407))^2+0.0000014*(($I407+$J407+$O407)*(170.18/$F407))^3)</f>
        <v/>
      </c>
      <c r="AT407" s="35" t="str">
        <f aca="false">IF(OR($AE407="",$AF407="",$T407="",$AA407="",$F407=""),"",0.858*$AE407+0.601*$AF407+0.188*($T407-$I407/10)+0.161*($AA407-$R407/10)-0.131*$F407+4.5)</f>
        <v/>
      </c>
      <c r="AU407" s="35" t="str">
        <f aca="false">IF(OR($E407="",$F407=""),"",IF($F407/$E407^(1/3)&gt;=40.75,0.732*($F407/$E407^(1/3))-28.58,IF($F407/$E407^(1/3)&gt;=38.25,0.463*($F407/$E407^(1/3))-17.63,0.1)))</f>
        <v/>
      </c>
      <c r="AV407" s="37" t="str">
        <f aca="false">IF(OR($AS407="",$AT407="",$AU407=""),"",IF(AND($AT407&gt;=$AS407,$AT407&gt;=$AU407),"Mesomorfo dominante",IF(AND($AU407&gt;=$AS407,$AU407&gt;=$AT407),"Ectomorfo dominante","Endomorfo dominante")))</f>
        <v/>
      </c>
    </row>
  </sheetData>
  <autoFilter ref="A7:AV407"/>
  <mergeCells count="8">
    <mergeCell ref="A1:AV1"/>
    <mergeCell ref="A2:AV2"/>
    <mergeCell ref="A4:AV4"/>
    <mergeCell ref="A6:H6"/>
    <mergeCell ref="I6:R6"/>
    <mergeCell ref="S6:AB6"/>
    <mergeCell ref="AC6:AF6"/>
    <mergeCell ref="AG6:AV6"/>
  </mergeCells>
  <conditionalFormatting sqref="AL8:AL407">
    <cfRule type="colorScale" priority="2">
      <colorScale>
        <cfvo type="num" val="6"/>
        <cfvo type="num" val="14"/>
        <cfvo type="num" val="22"/>
        <color rgb="FFC6EFCE"/>
        <color rgb="FFFFEB9C"/>
        <color rgb="FFFFC7CE"/>
      </colorScale>
    </cfRule>
  </conditionalFormatting>
  <dataValidations count="2">
    <dataValidation allowBlank="true" errorStyle="stop" operator="between" showDropDown="false" showErrorMessage="false" showInputMessage="false" sqref="B8:B407" type="list">
      <formula1>Cadastro!$B$8:$B$47</formula1>
      <formula2>0</formula2>
    </dataValidation>
    <dataValidation allowBlank="true" errorStyle="stop" operator="between" showDropDown="false" showErrorMessage="false" showInputMessage="false" sqref="C8:C407" type="list">
      <formula1>Listas!$T$5:$T$16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A00"/>
    <pageSetUpPr fitToPage="true"/>
  </sheetPr>
  <dimension ref="A1:AC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10" min="9" style="0" width="15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6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3" min="23" style="0" width="16"/>
    <col collapsed="false" customWidth="true" hidden="false" outlineLevel="0" max="24" min="24" style="0" width="18"/>
    <col collapsed="false" customWidth="true" hidden="false" outlineLevel="0" max="25" min="25" style="0" width="15"/>
    <col collapsed="false" customWidth="true" hidden="false" outlineLevel="0" max="26" min="26" style="0" width="13"/>
    <col collapsed="false" customWidth="true" hidden="false" outlineLevel="0" max="27" min="27" style="0" width="15"/>
    <col collapsed="false" customWidth="true" hidden="false" outlineLevel="0" max="28" min="28" style="0" width="16"/>
    <col collapsed="false" customWidth="true" hidden="false" outlineLevel="0" max="29" min="29" style="0" width="28"/>
  </cols>
  <sheetData>
    <row r="1" customFormat="false" ht="30" hidden="false" customHeight="true" outlineLevel="0" collapsed="false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5.75" hidden="false" customHeight="true" outlineLevel="0" collapsed="false">
      <c r="A2" s="2" t="s">
        <v>343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 customFormat="false" ht="25.5" hidden="false" customHeight="true" outlineLevel="0" collapsed="false">
      <c r="A4" s="17" t="s">
        <v>344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6" customFormat="false" ht="18" hidden="false" customHeight="true" outlineLevel="0" collapsed="false">
      <c r="A6" s="18" t="s">
        <v>91</v>
      </c>
      <c r="B6" s="18"/>
      <c r="C6" s="18"/>
      <c r="D6" s="18"/>
      <c r="E6" s="18"/>
      <c r="F6" s="19" t="s">
        <v>345</v>
      </c>
      <c r="G6" s="19"/>
      <c r="H6" s="19"/>
      <c r="I6" s="19"/>
      <c r="J6" s="19"/>
      <c r="K6" s="21" t="s">
        <v>346</v>
      </c>
      <c r="L6" s="21"/>
      <c r="M6" s="21"/>
      <c r="N6" s="21"/>
      <c r="O6" s="21"/>
      <c r="P6" s="21"/>
      <c r="Q6" s="21"/>
      <c r="R6" s="21"/>
      <c r="S6" s="21"/>
      <c r="T6" s="20" t="s">
        <v>347</v>
      </c>
      <c r="U6" s="20"/>
      <c r="V6" s="20"/>
      <c r="W6" s="20"/>
      <c r="X6" s="20"/>
      <c r="Y6" s="20"/>
      <c r="Z6" s="20"/>
      <c r="AA6" s="23" t="s">
        <v>348</v>
      </c>
      <c r="AB6" s="23"/>
      <c r="AC6" s="38"/>
    </row>
    <row r="7" customFormat="false" ht="31.5" hidden="false" customHeight="true" outlineLevel="0" collapsed="false">
      <c r="A7" s="25" t="s">
        <v>294</v>
      </c>
      <c r="B7" s="25" t="s">
        <v>295</v>
      </c>
      <c r="C7" s="25" t="s">
        <v>296</v>
      </c>
      <c r="D7" s="25" t="s">
        <v>297</v>
      </c>
      <c r="E7" s="25" t="s">
        <v>113</v>
      </c>
      <c r="F7" s="25" t="s">
        <v>349</v>
      </c>
      <c r="G7" s="25" t="s">
        <v>350</v>
      </c>
      <c r="H7" s="25" t="s">
        <v>351</v>
      </c>
      <c r="I7" s="25" t="s">
        <v>352</v>
      </c>
      <c r="J7" s="25" t="s">
        <v>353</v>
      </c>
      <c r="K7" s="25" t="s">
        <v>354</v>
      </c>
      <c r="L7" s="25" t="s">
        <v>355</v>
      </c>
      <c r="M7" s="25" t="s">
        <v>356</v>
      </c>
      <c r="N7" s="25" t="s">
        <v>357</v>
      </c>
      <c r="O7" s="25" t="s">
        <v>358</v>
      </c>
      <c r="P7" s="25" t="s">
        <v>359</v>
      </c>
      <c r="Q7" s="25" t="s">
        <v>360</v>
      </c>
      <c r="R7" s="25" t="s">
        <v>361</v>
      </c>
      <c r="S7" s="25" t="s">
        <v>362</v>
      </c>
      <c r="T7" s="25" t="s">
        <v>363</v>
      </c>
      <c r="U7" s="25" t="s">
        <v>364</v>
      </c>
      <c r="V7" s="25" t="s">
        <v>365</v>
      </c>
      <c r="W7" s="25" t="s">
        <v>366</v>
      </c>
      <c r="X7" s="25" t="s">
        <v>367</v>
      </c>
      <c r="Y7" s="25" t="s">
        <v>368</v>
      </c>
      <c r="Z7" s="25" t="s">
        <v>369</v>
      </c>
      <c r="AA7" s="25" t="s">
        <v>370</v>
      </c>
      <c r="AB7" s="25" t="s">
        <v>371</v>
      </c>
      <c r="AC7" s="25" t="s">
        <v>162</v>
      </c>
    </row>
    <row r="8" customFormat="false" ht="15" hidden="false" customHeight="false" outlineLevel="0" collapsed="false">
      <c r="A8" s="29" t="n">
        <v>46036</v>
      </c>
      <c r="B8" s="27" t="s">
        <v>164</v>
      </c>
      <c r="C8" s="28" t="s">
        <v>339</v>
      </c>
      <c r="D8" s="27" t="s">
        <v>372</v>
      </c>
      <c r="E8" s="32" t="n">
        <v>88</v>
      </c>
      <c r="F8" s="39" t="n">
        <v>253</v>
      </c>
      <c r="G8" s="39" t="n">
        <v>330</v>
      </c>
      <c r="H8" s="39" t="n">
        <v>309</v>
      </c>
      <c r="I8" s="40" t="n">
        <f aca="false">IF(OR($G8="",$F8=""),"",$G8-$F8)</f>
        <v>77</v>
      </c>
      <c r="J8" s="40" t="n">
        <f aca="false">IF(OR($H8="",$F8=""),"",$H8-$F8)</f>
        <v>56</v>
      </c>
      <c r="K8" s="32" t="n">
        <v>44.3</v>
      </c>
      <c r="L8" s="32" t="n">
        <v>49.1</v>
      </c>
      <c r="M8" s="32" t="n">
        <v>57</v>
      </c>
      <c r="N8" s="32" t="n">
        <v>47.5</v>
      </c>
      <c r="O8" s="41" t="n">
        <v>0.239</v>
      </c>
      <c r="P8" s="42" t="n">
        <f aca="false">IF(OR($N8="",$O8="",$O8=0),"",($N8/100)/$O8)</f>
        <v>1.98744769874477</v>
      </c>
      <c r="Q8" s="43" t="n">
        <f aca="false">IF(OR($K8="",$L8="",$K8=0),"",($L8-$K8)/$K8)</f>
        <v>0.108352144469526</v>
      </c>
      <c r="R8" s="32" t="n">
        <v>67.7</v>
      </c>
      <c r="S8" s="44" t="n">
        <f aca="false">IF(OR($L8="",$E8=""),"",60.7*$L8+45.3*$E8-2055)</f>
        <v>4911.77</v>
      </c>
      <c r="T8" s="45" t="n">
        <v>1.1</v>
      </c>
      <c r="U8" s="45" t="n">
        <v>1.79</v>
      </c>
      <c r="V8" s="45" t="n">
        <v>9.69</v>
      </c>
      <c r="W8" s="45" t="n">
        <v>5.96</v>
      </c>
      <c r="X8" s="32" t="n">
        <v>15.4</v>
      </c>
      <c r="Y8" s="32" t="n">
        <v>24.1</v>
      </c>
      <c r="Z8" s="39" t="n">
        <v>1590</v>
      </c>
      <c r="AA8" s="46" t="n">
        <v>4086</v>
      </c>
      <c r="AB8" s="42" t="n">
        <f aca="false">IF(OR($AA8="",$E8="",$E8=0),"",$AA8/$E8)</f>
        <v>46.4318181818182</v>
      </c>
      <c r="AC8" s="27" t="s">
        <v>373</v>
      </c>
    </row>
    <row r="9" customFormat="false" ht="15" hidden="false" customHeight="false" outlineLevel="0" collapsed="false">
      <c r="A9" s="29" t="n">
        <v>46036</v>
      </c>
      <c r="B9" s="27" t="s">
        <v>192</v>
      </c>
      <c r="C9" s="28" t="s">
        <v>339</v>
      </c>
      <c r="D9" s="27" t="s">
        <v>372</v>
      </c>
      <c r="E9" s="32" t="n">
        <v>95</v>
      </c>
      <c r="F9" s="39" t="n">
        <v>261</v>
      </c>
      <c r="G9" s="39" t="n">
        <v>339</v>
      </c>
      <c r="H9" s="39" t="n">
        <v>331</v>
      </c>
      <c r="I9" s="40" t="n">
        <f aca="false">IF(OR($G9="",$F9=""),"",$G9-$F9)</f>
        <v>78</v>
      </c>
      <c r="J9" s="40" t="n">
        <f aca="false">IF(OR($H9="",$F9=""),"",$H9-$F9)</f>
        <v>70</v>
      </c>
      <c r="K9" s="32" t="n">
        <v>51.9</v>
      </c>
      <c r="L9" s="32" t="n">
        <v>55.3</v>
      </c>
      <c r="M9" s="32" t="n">
        <v>62.8</v>
      </c>
      <c r="N9" s="32" t="n">
        <v>53</v>
      </c>
      <c r="O9" s="41" t="n">
        <v>0.215</v>
      </c>
      <c r="P9" s="42" t="n">
        <f aca="false">IF(OR($N9="",$O9="",$O9=0),"",($N9/100)/$O9)</f>
        <v>2.46511627906977</v>
      </c>
      <c r="Q9" s="43" t="n">
        <f aca="false">IF(OR($K9="",$L9="",$K9=0),"",($L9-$K9)/$K9)</f>
        <v>0.0655105973025048</v>
      </c>
      <c r="R9" s="32" t="n">
        <v>71.3</v>
      </c>
      <c r="S9" s="44" t="n">
        <f aca="false">IF(OR($L9="",$E9=""),"",60.7*$L9+45.3*$E9-2055)</f>
        <v>5605.21</v>
      </c>
      <c r="T9" s="45" t="n">
        <v>1.09</v>
      </c>
      <c r="U9" s="45" t="n">
        <v>1.89</v>
      </c>
      <c r="V9" s="45" t="n">
        <v>9.32</v>
      </c>
      <c r="W9" s="45" t="n">
        <v>5.93</v>
      </c>
      <c r="X9" s="32" t="n">
        <v>15.7</v>
      </c>
      <c r="Y9" s="32" t="n">
        <v>24.5</v>
      </c>
      <c r="Z9" s="39" t="n">
        <v>1229</v>
      </c>
      <c r="AA9" s="46" t="n">
        <v>3937</v>
      </c>
      <c r="AB9" s="42" t="n">
        <f aca="false">IF(OR($AA9="",$E9="",$E9=0),"",$AA9/$E9)</f>
        <v>41.4421052631579</v>
      </c>
      <c r="AC9" s="27" t="s">
        <v>373</v>
      </c>
    </row>
    <row r="10" customFormat="false" ht="15" hidden="false" customHeight="false" outlineLevel="0" collapsed="false">
      <c r="A10" s="29" t="n">
        <v>46036</v>
      </c>
      <c r="B10" s="27" t="s">
        <v>206</v>
      </c>
      <c r="C10" s="28" t="s">
        <v>339</v>
      </c>
      <c r="D10" s="27" t="s">
        <v>372</v>
      </c>
      <c r="E10" s="32" t="n">
        <v>89</v>
      </c>
      <c r="F10" s="39" t="n">
        <v>255</v>
      </c>
      <c r="G10" s="39" t="n">
        <v>335</v>
      </c>
      <c r="H10" s="39" t="n">
        <v>319</v>
      </c>
      <c r="I10" s="40" t="n">
        <f aca="false">IF(OR($G10="",$F10=""),"",$G10-$F10)</f>
        <v>80</v>
      </c>
      <c r="J10" s="40" t="n">
        <f aca="false">IF(OR($H10="",$F10=""),"",$H10-$F10)</f>
        <v>64</v>
      </c>
      <c r="K10" s="32" t="n">
        <v>46</v>
      </c>
      <c r="L10" s="32" t="n">
        <v>50</v>
      </c>
      <c r="M10" s="32" t="n">
        <v>56.3</v>
      </c>
      <c r="N10" s="32" t="n">
        <v>47.3</v>
      </c>
      <c r="O10" s="41" t="n">
        <v>0.212</v>
      </c>
      <c r="P10" s="42" t="n">
        <f aca="false">IF(OR($N10="",$O10="",$O10=0),"",($N10/100)/$O10)</f>
        <v>2.2311320754717</v>
      </c>
      <c r="Q10" s="43" t="n">
        <f aca="false">IF(OR($K10="",$L10="",$K10=0),"",($L10-$K10)/$K10)</f>
        <v>0.0869565217391304</v>
      </c>
      <c r="R10" s="32" t="n">
        <v>67.8</v>
      </c>
      <c r="S10" s="44" t="n">
        <f aca="false">IF(OR($L10="",$E10=""),"",60.7*$L10+45.3*$E10-2055)</f>
        <v>5011.7</v>
      </c>
      <c r="T10" s="45" t="n">
        <v>1.07</v>
      </c>
      <c r="U10" s="45" t="n">
        <v>1.76</v>
      </c>
      <c r="V10" s="45" t="n">
        <v>10.13</v>
      </c>
      <c r="W10" s="45" t="n">
        <v>5.54</v>
      </c>
      <c r="X10" s="32" t="n">
        <v>14.5</v>
      </c>
      <c r="Y10" s="32" t="n">
        <v>32.9</v>
      </c>
      <c r="Z10" s="39" t="n">
        <v>1919</v>
      </c>
      <c r="AA10" s="46" t="n">
        <v>3957</v>
      </c>
      <c r="AB10" s="42" t="n">
        <f aca="false">IF(OR($AA10="",$E10="",$E10=0),"",$AA10/$E10)</f>
        <v>44.4606741573034</v>
      </c>
      <c r="AC10" s="27" t="s">
        <v>373</v>
      </c>
    </row>
    <row r="11" customFormat="false" ht="15" hidden="false" customHeight="false" outlineLevel="0" collapsed="false">
      <c r="A11" s="29" t="n">
        <v>46036</v>
      </c>
      <c r="B11" s="27" t="s">
        <v>215</v>
      </c>
      <c r="C11" s="28" t="s">
        <v>339</v>
      </c>
      <c r="D11" s="27" t="s">
        <v>372</v>
      </c>
      <c r="E11" s="32" t="n">
        <v>87</v>
      </c>
      <c r="F11" s="39" t="n">
        <v>254</v>
      </c>
      <c r="G11" s="39" t="n">
        <v>323</v>
      </c>
      <c r="H11" s="39" t="n">
        <v>315</v>
      </c>
      <c r="I11" s="40" t="n">
        <f aca="false">IF(OR($G11="",$F11=""),"",$G11-$F11)</f>
        <v>69</v>
      </c>
      <c r="J11" s="40" t="n">
        <f aca="false">IF(OR($H11="",$F11=""),"",$H11-$F11)</f>
        <v>61</v>
      </c>
      <c r="K11" s="32" t="n">
        <v>42.6</v>
      </c>
      <c r="L11" s="32" t="n">
        <v>46.4</v>
      </c>
      <c r="M11" s="32" t="n">
        <v>52.7</v>
      </c>
      <c r="N11" s="32" t="n">
        <v>44.7</v>
      </c>
      <c r="O11" s="41" t="n">
        <v>0.226</v>
      </c>
      <c r="P11" s="42" t="n">
        <f aca="false">IF(OR($N11="",$O11="",$O11=0),"",($N11/100)/$O11)</f>
        <v>1.97787610619469</v>
      </c>
      <c r="Q11" s="43" t="n">
        <f aca="false">IF(OR($K11="",$L11="",$K11=0),"",($L11-$K11)/$K11)</f>
        <v>0.0892018779342722</v>
      </c>
      <c r="R11" s="32" t="n">
        <v>64.3</v>
      </c>
      <c r="S11" s="44" t="n">
        <f aca="false">IF(OR($L11="",$E11=""),"",60.7*$L11+45.3*$E11-2055)</f>
        <v>4702.58</v>
      </c>
      <c r="T11" s="45" t="n">
        <v>1.08</v>
      </c>
      <c r="U11" s="45" t="n">
        <v>1.88</v>
      </c>
      <c r="V11" s="45" t="n">
        <v>9.21</v>
      </c>
      <c r="W11" s="45" t="n">
        <v>5.64</v>
      </c>
      <c r="X11" s="32" t="n">
        <v>13.2</v>
      </c>
      <c r="Y11" s="32" t="n">
        <v>23</v>
      </c>
      <c r="Z11" s="39" t="n">
        <v>1498</v>
      </c>
      <c r="AA11" s="46" t="n">
        <v>4069</v>
      </c>
      <c r="AB11" s="42" t="n">
        <f aca="false">IF(OR($AA11="",$E11="",$E11=0),"",$AA11/$E11)</f>
        <v>46.7701149425287</v>
      </c>
      <c r="AC11" s="27" t="s">
        <v>373</v>
      </c>
    </row>
    <row r="12" customFormat="false" ht="15" hidden="false" customHeight="false" outlineLevel="0" collapsed="false">
      <c r="A12" s="29" t="n">
        <v>46036</v>
      </c>
      <c r="B12" s="27" t="s">
        <v>226</v>
      </c>
      <c r="C12" s="28" t="s">
        <v>339</v>
      </c>
      <c r="D12" s="27" t="s">
        <v>372</v>
      </c>
      <c r="E12" s="32" t="n">
        <v>99</v>
      </c>
      <c r="F12" s="39" t="n">
        <v>264</v>
      </c>
      <c r="G12" s="39" t="n">
        <v>333</v>
      </c>
      <c r="H12" s="39" t="n">
        <v>324</v>
      </c>
      <c r="I12" s="40" t="n">
        <f aca="false">IF(OR($G12="",$F12=""),"",$G12-$F12)</f>
        <v>69</v>
      </c>
      <c r="J12" s="40" t="n">
        <f aca="false">IF(OR($H12="",$F12=""),"",$H12-$F12)</f>
        <v>60</v>
      </c>
      <c r="K12" s="32" t="n">
        <v>46.7</v>
      </c>
      <c r="L12" s="32" t="n">
        <v>50.3</v>
      </c>
      <c r="M12" s="32" t="n">
        <v>58.1</v>
      </c>
      <c r="N12" s="32" t="n">
        <v>47.5</v>
      </c>
      <c r="O12" s="41" t="n">
        <v>0.225</v>
      </c>
      <c r="P12" s="42" t="n">
        <f aca="false">IF(OR($N12="",$O12="",$O12=0),"",($N12/100)/$O12)</f>
        <v>2.11111111111111</v>
      </c>
      <c r="Q12" s="43" t="n">
        <f aca="false">IF(OR($K12="",$L12="",$K12=0),"",($L12-$K12)/$K12)</f>
        <v>0.0770877944325481</v>
      </c>
      <c r="R12" s="32" t="n">
        <v>70.3</v>
      </c>
      <c r="S12" s="44" t="n">
        <f aca="false">IF(OR($L12="",$E12=""),"",60.7*$L12+45.3*$E12-2055)</f>
        <v>5482.91</v>
      </c>
      <c r="T12" s="45" t="n">
        <v>1.15</v>
      </c>
      <c r="U12" s="45" t="n">
        <v>1.77</v>
      </c>
      <c r="V12" s="45" t="n">
        <v>9.34</v>
      </c>
      <c r="W12" s="45" t="n">
        <v>6.03</v>
      </c>
      <c r="X12" s="32" t="n">
        <v>15.1</v>
      </c>
      <c r="Y12" s="32" t="n">
        <v>23.5</v>
      </c>
      <c r="Z12" s="39" t="n">
        <v>1376</v>
      </c>
      <c r="AA12" s="46" t="n">
        <v>3417</v>
      </c>
      <c r="AB12" s="42" t="n">
        <f aca="false">IF(OR($AA12="",$E12="",$E12=0),"",$AA12/$E12)</f>
        <v>34.5151515151515</v>
      </c>
      <c r="AC12" s="27" t="s">
        <v>373</v>
      </c>
    </row>
    <row r="13" customFormat="false" ht="15" hidden="false" customHeight="false" outlineLevel="0" collapsed="false">
      <c r="A13" s="29" t="n">
        <v>46036</v>
      </c>
      <c r="B13" s="27" t="s">
        <v>236</v>
      </c>
      <c r="C13" s="28" t="s">
        <v>339</v>
      </c>
      <c r="D13" s="27" t="s">
        <v>372</v>
      </c>
      <c r="E13" s="32" t="n">
        <v>95</v>
      </c>
      <c r="F13" s="39" t="n">
        <v>262</v>
      </c>
      <c r="G13" s="39" t="n">
        <v>334</v>
      </c>
      <c r="H13" s="39" t="n">
        <v>320</v>
      </c>
      <c r="I13" s="40" t="n">
        <f aca="false">IF(OR($G13="",$F13=""),"",$G13-$F13)</f>
        <v>72</v>
      </c>
      <c r="J13" s="40" t="n">
        <f aca="false">IF(OR($H13="",$F13=""),"",$H13-$F13)</f>
        <v>58</v>
      </c>
      <c r="K13" s="32" t="n">
        <v>42.8</v>
      </c>
      <c r="L13" s="32" t="n">
        <v>46.5</v>
      </c>
      <c r="M13" s="32" t="n">
        <v>54</v>
      </c>
      <c r="N13" s="32" t="n">
        <v>43.8</v>
      </c>
      <c r="O13" s="41" t="n">
        <v>0.24</v>
      </c>
      <c r="P13" s="42" t="n">
        <f aca="false">IF(OR($N13="",$O13="",$O13=0),"",($N13/100)/$O13)</f>
        <v>1.825</v>
      </c>
      <c r="Q13" s="43" t="n">
        <f aca="false">IF(OR($K13="",$L13="",$K13=0),"",($L13-$K13)/$K13)</f>
        <v>0.0864485981308412</v>
      </c>
      <c r="R13" s="32" t="n">
        <v>63.7</v>
      </c>
      <c r="S13" s="44" t="n">
        <f aca="false">IF(OR($L13="",$E13=""),"",60.7*$L13+45.3*$E13-2055)</f>
        <v>5071.05</v>
      </c>
      <c r="T13" s="45" t="n">
        <v>1.15</v>
      </c>
      <c r="U13" s="45" t="n">
        <v>1.72</v>
      </c>
      <c r="V13" s="45" t="n">
        <v>9.26</v>
      </c>
      <c r="W13" s="45" t="n">
        <v>5.94</v>
      </c>
      <c r="X13" s="32" t="n">
        <v>14.9</v>
      </c>
      <c r="Y13" s="32" t="n">
        <v>32.6</v>
      </c>
      <c r="Z13" s="39" t="n">
        <v>1323</v>
      </c>
      <c r="AA13" s="46" t="n">
        <v>3949</v>
      </c>
      <c r="AB13" s="42" t="n">
        <f aca="false">IF(OR($AA13="",$E13="",$E13=0),"",$AA13/$E13)</f>
        <v>41.5684210526316</v>
      </c>
      <c r="AC13" s="27" t="s">
        <v>373</v>
      </c>
    </row>
    <row r="14" customFormat="false" ht="15" hidden="false" customHeight="false" outlineLevel="0" collapsed="false">
      <c r="A14" s="29" t="n">
        <v>46036</v>
      </c>
      <c r="B14" s="27" t="s">
        <v>244</v>
      </c>
      <c r="C14" s="28" t="s">
        <v>339</v>
      </c>
      <c r="D14" s="27" t="s">
        <v>372</v>
      </c>
      <c r="E14" s="32" t="n">
        <v>78</v>
      </c>
      <c r="F14" s="39" t="n">
        <v>237</v>
      </c>
      <c r="G14" s="39" t="n">
        <v>318</v>
      </c>
      <c r="H14" s="39" t="n">
        <v>292</v>
      </c>
      <c r="I14" s="40" t="n">
        <f aca="false">IF(OR($G14="",$F14=""),"",$G14-$F14)</f>
        <v>81</v>
      </c>
      <c r="J14" s="40" t="n">
        <f aca="false">IF(OR($H14="",$F14=""),"",$H14-$F14)</f>
        <v>55</v>
      </c>
      <c r="K14" s="32" t="n">
        <v>48.6</v>
      </c>
      <c r="L14" s="32" t="n">
        <v>53.1</v>
      </c>
      <c r="M14" s="32" t="n">
        <v>60.6</v>
      </c>
      <c r="N14" s="32" t="n">
        <v>51.7</v>
      </c>
      <c r="O14" s="41" t="n">
        <v>0.243</v>
      </c>
      <c r="P14" s="42" t="n">
        <f aca="false">IF(OR($N14="",$O14="",$O14=0),"",($N14/100)/$O14)</f>
        <v>2.12757201646091</v>
      </c>
      <c r="Q14" s="43" t="n">
        <f aca="false">IF(OR($K14="",$L14="",$K14=0),"",($L14-$K14)/$K14)</f>
        <v>0.0925925925925926</v>
      </c>
      <c r="R14" s="32" t="n">
        <v>69</v>
      </c>
      <c r="S14" s="44" t="n">
        <f aca="false">IF(OR($L14="",$E14=""),"",60.7*$L14+45.3*$E14-2055)</f>
        <v>4701.57</v>
      </c>
      <c r="T14" s="45" t="n">
        <v>1.12</v>
      </c>
      <c r="U14" s="45" t="n">
        <v>1.78</v>
      </c>
      <c r="V14" s="45" t="n">
        <v>9.76</v>
      </c>
      <c r="W14" s="45" t="n">
        <v>6.12</v>
      </c>
      <c r="X14" s="32" t="n">
        <v>14.4</v>
      </c>
      <c r="Y14" s="32" t="n">
        <v>23.6</v>
      </c>
      <c r="Z14" s="39" t="n">
        <v>1253</v>
      </c>
      <c r="AA14" s="46" t="n">
        <v>2805</v>
      </c>
      <c r="AB14" s="42" t="n">
        <f aca="false">IF(OR($AA14="",$E14="",$E14=0),"",$AA14/$E14)</f>
        <v>35.9615384615385</v>
      </c>
      <c r="AC14" s="27" t="s">
        <v>373</v>
      </c>
    </row>
    <row r="15" customFormat="false" ht="15" hidden="false" customHeight="false" outlineLevel="0" collapsed="false">
      <c r="A15" s="29" t="n">
        <v>46036</v>
      </c>
      <c r="B15" s="27" t="s">
        <v>253</v>
      </c>
      <c r="C15" s="28" t="s">
        <v>339</v>
      </c>
      <c r="D15" s="27" t="s">
        <v>372</v>
      </c>
      <c r="E15" s="32" t="n">
        <v>91</v>
      </c>
      <c r="F15" s="39" t="n">
        <v>257</v>
      </c>
      <c r="G15" s="39" t="n">
        <v>335</v>
      </c>
      <c r="H15" s="39" t="n">
        <v>321</v>
      </c>
      <c r="I15" s="40" t="n">
        <f aca="false">IF(OR($G15="",$F15=""),"",$G15-$F15)</f>
        <v>78</v>
      </c>
      <c r="J15" s="40" t="n">
        <f aca="false">IF(OR($H15="",$F15=""),"",$H15-$F15)</f>
        <v>64</v>
      </c>
      <c r="K15" s="32" t="n">
        <v>47.9</v>
      </c>
      <c r="L15" s="32" t="n">
        <v>51</v>
      </c>
      <c r="M15" s="32" t="n">
        <v>57.2</v>
      </c>
      <c r="N15" s="32" t="n">
        <v>48.4</v>
      </c>
      <c r="O15" s="41" t="n">
        <v>0.235</v>
      </c>
      <c r="P15" s="42" t="n">
        <f aca="false">IF(OR($N15="",$O15="",$O15=0),"",($N15/100)/$O15)</f>
        <v>2.05957446808511</v>
      </c>
      <c r="Q15" s="43" t="n">
        <f aca="false">IF(OR($K15="",$L15="",$K15=0),"",($L15-$K15)/$K15)</f>
        <v>0.0647181628392485</v>
      </c>
      <c r="R15" s="32" t="n">
        <v>67.5</v>
      </c>
      <c r="S15" s="44" t="n">
        <f aca="false">IF(OR($L15="",$E15=""),"",60.7*$L15+45.3*$E15-2055)</f>
        <v>5163</v>
      </c>
      <c r="T15" s="45" t="n">
        <v>1.17</v>
      </c>
      <c r="U15" s="45" t="n">
        <v>1.87</v>
      </c>
      <c r="V15" s="45" t="n">
        <v>9.6</v>
      </c>
      <c r="W15" s="45" t="n">
        <v>5.9</v>
      </c>
      <c r="X15" s="32" t="n">
        <v>12.8</v>
      </c>
      <c r="Y15" s="32" t="n">
        <v>27.9</v>
      </c>
      <c r="Z15" s="39" t="n">
        <v>1365</v>
      </c>
      <c r="AA15" s="46" t="n">
        <v>3051</v>
      </c>
      <c r="AB15" s="42" t="n">
        <f aca="false">IF(OR($AA15="",$E15="",$E15=0),"",$AA15/$E15)</f>
        <v>33.5274725274725</v>
      </c>
      <c r="AC15" s="27" t="s">
        <v>373</v>
      </c>
    </row>
    <row r="16" customFormat="false" ht="15" hidden="false" customHeight="false" outlineLevel="0" collapsed="false">
      <c r="A16" s="29" t="n">
        <v>46036</v>
      </c>
      <c r="B16" s="27" t="s">
        <v>259</v>
      </c>
      <c r="C16" s="28" t="s">
        <v>339</v>
      </c>
      <c r="D16" s="27" t="s">
        <v>372</v>
      </c>
      <c r="E16" s="32" t="n">
        <v>84</v>
      </c>
      <c r="F16" s="39" t="n">
        <v>248</v>
      </c>
      <c r="G16" s="39" t="n">
        <v>326</v>
      </c>
      <c r="H16" s="39" t="n">
        <v>309</v>
      </c>
      <c r="I16" s="40" t="n">
        <f aca="false">IF(OR($G16="",$F16=""),"",$G16-$F16)</f>
        <v>78</v>
      </c>
      <c r="J16" s="40" t="n">
        <f aca="false">IF(OR($H16="",$F16=""),"",$H16-$F16)</f>
        <v>61</v>
      </c>
      <c r="K16" s="32" t="n">
        <v>44.6</v>
      </c>
      <c r="L16" s="32" t="n">
        <v>48.2</v>
      </c>
      <c r="M16" s="32" t="n">
        <v>54.2</v>
      </c>
      <c r="N16" s="32" t="n">
        <v>46.8</v>
      </c>
      <c r="O16" s="41" t="n">
        <v>0.209</v>
      </c>
      <c r="P16" s="42" t="n">
        <f aca="false">IF(OR($N16="",$O16="",$O16=0),"",($N16/100)/$O16)</f>
        <v>2.23923444976077</v>
      </c>
      <c r="Q16" s="43" t="n">
        <f aca="false">IF(OR($K16="",$L16="",$K16=0),"",($L16-$K16)/$K16)</f>
        <v>0.0807174887892377</v>
      </c>
      <c r="R16" s="32" t="n">
        <v>66.5</v>
      </c>
      <c r="S16" s="44" t="n">
        <f aca="false">IF(OR($L16="",$E16=""),"",60.7*$L16+45.3*$E16-2055)</f>
        <v>4675.94</v>
      </c>
      <c r="T16" s="45" t="n">
        <v>1.12</v>
      </c>
      <c r="U16" s="45" t="n">
        <v>1.88</v>
      </c>
      <c r="V16" s="45" t="n">
        <v>9.31</v>
      </c>
      <c r="W16" s="45" t="n">
        <v>5.85</v>
      </c>
      <c r="X16" s="32" t="n">
        <v>15.2</v>
      </c>
      <c r="Y16" s="32" t="n">
        <v>31.5</v>
      </c>
      <c r="Z16" s="39" t="n">
        <v>1634</v>
      </c>
      <c r="AA16" s="46" t="n">
        <v>3505</v>
      </c>
      <c r="AB16" s="42" t="n">
        <f aca="false">IF(OR($AA16="",$E16="",$E16=0),"",$AA16/$E16)</f>
        <v>41.7261904761905</v>
      </c>
      <c r="AC16" s="27" t="s">
        <v>373</v>
      </c>
    </row>
    <row r="17" customFormat="false" ht="15" hidden="false" customHeight="false" outlineLevel="0" collapsed="false">
      <c r="A17" s="29" t="n">
        <v>46036</v>
      </c>
      <c r="B17" s="27" t="s">
        <v>264</v>
      </c>
      <c r="C17" s="28" t="s">
        <v>339</v>
      </c>
      <c r="D17" s="27" t="s">
        <v>372</v>
      </c>
      <c r="E17" s="32" t="n">
        <v>97</v>
      </c>
      <c r="F17" s="39" t="n">
        <v>259</v>
      </c>
      <c r="G17" s="39" t="n">
        <v>332</v>
      </c>
      <c r="H17" s="39" t="n">
        <v>315</v>
      </c>
      <c r="I17" s="40" t="n">
        <f aca="false">IF(OR($G17="",$F17=""),"",$G17-$F17)</f>
        <v>73</v>
      </c>
      <c r="J17" s="40" t="n">
        <f aca="false">IF(OR($H17="",$F17=""),"",$H17-$F17)</f>
        <v>56</v>
      </c>
      <c r="K17" s="32" t="n">
        <v>54</v>
      </c>
      <c r="L17" s="32" t="n">
        <v>57</v>
      </c>
      <c r="M17" s="32" t="n">
        <v>64.9</v>
      </c>
      <c r="N17" s="32" t="n">
        <v>55.8</v>
      </c>
      <c r="O17" s="41" t="n">
        <v>0.221</v>
      </c>
      <c r="P17" s="42" t="n">
        <f aca="false">IF(OR($N17="",$O17="",$O17=0),"",($N17/100)/$O17)</f>
        <v>2.52488687782805</v>
      </c>
      <c r="Q17" s="43" t="n">
        <f aca="false">IF(OR($K17="",$L17="",$K17=0),"",($L17-$K17)/$K17)</f>
        <v>0.0555555555555556</v>
      </c>
      <c r="R17" s="32" t="n">
        <v>72.5</v>
      </c>
      <c r="S17" s="44" t="n">
        <f aca="false">IF(OR($L17="",$E17=""),"",60.7*$L17+45.3*$E17-2055)</f>
        <v>5799</v>
      </c>
      <c r="T17" s="45" t="n">
        <v>1.13</v>
      </c>
      <c r="U17" s="45" t="n">
        <v>1.86</v>
      </c>
      <c r="V17" s="45" t="n">
        <v>9.3</v>
      </c>
      <c r="W17" s="45" t="n">
        <v>5.77</v>
      </c>
      <c r="X17" s="32" t="n">
        <v>14.5</v>
      </c>
      <c r="Y17" s="32" t="n">
        <v>26</v>
      </c>
      <c r="Z17" s="39" t="n">
        <v>1542</v>
      </c>
      <c r="AA17" s="46" t="n">
        <v>3345</v>
      </c>
      <c r="AB17" s="42" t="n">
        <f aca="false">IF(OR($AA17="",$E17="",$E17=0),"",$AA17/$E17)</f>
        <v>34.4845360824742</v>
      </c>
      <c r="AC17" s="27" t="s">
        <v>373</v>
      </c>
    </row>
    <row r="18" customFormat="false" ht="15" hidden="false" customHeight="false" outlineLevel="0" collapsed="false">
      <c r="A18" s="29" t="n">
        <v>46036</v>
      </c>
      <c r="B18" s="27" t="s">
        <v>270</v>
      </c>
      <c r="C18" s="28" t="s">
        <v>339</v>
      </c>
      <c r="D18" s="27" t="s">
        <v>372</v>
      </c>
      <c r="E18" s="32" t="n">
        <v>93</v>
      </c>
      <c r="F18" s="39" t="n">
        <v>263</v>
      </c>
      <c r="G18" s="39" t="n">
        <v>333</v>
      </c>
      <c r="H18" s="39" t="n">
        <v>327</v>
      </c>
      <c r="I18" s="40" t="n">
        <f aca="false">IF(OR($G18="",$F18=""),"",$G18-$F18)</f>
        <v>70</v>
      </c>
      <c r="J18" s="40" t="n">
        <f aca="false">IF(OR($H18="",$F18=""),"",$H18-$F18)</f>
        <v>64</v>
      </c>
      <c r="K18" s="32" t="n">
        <v>43.9</v>
      </c>
      <c r="L18" s="32" t="n">
        <v>48.3</v>
      </c>
      <c r="M18" s="32" t="n">
        <v>57.2</v>
      </c>
      <c r="N18" s="32" t="n">
        <v>46.3</v>
      </c>
      <c r="O18" s="41" t="n">
        <v>0.243</v>
      </c>
      <c r="P18" s="42" t="n">
        <f aca="false">IF(OR($N18="",$O18="",$O18=0),"",($N18/100)/$O18)</f>
        <v>1.90534979423868</v>
      </c>
      <c r="Q18" s="43" t="n">
        <f aca="false">IF(OR($K18="",$L18="",$K18=0),"",($L18-$K18)/$K18)</f>
        <v>0.100227790432802</v>
      </c>
      <c r="R18" s="32" t="n">
        <v>64.8</v>
      </c>
      <c r="S18" s="44" t="n">
        <f aca="false">IF(OR($L18="",$E18=""),"",60.7*$L18+45.3*$E18-2055)</f>
        <v>5089.71</v>
      </c>
      <c r="T18" s="45" t="n">
        <v>1.17</v>
      </c>
      <c r="U18" s="45" t="n">
        <v>1.79</v>
      </c>
      <c r="V18" s="45" t="n">
        <v>9.37</v>
      </c>
      <c r="W18" s="45" t="n">
        <v>5.9</v>
      </c>
      <c r="X18" s="32" t="n">
        <v>15.1</v>
      </c>
      <c r="Y18" s="32" t="n">
        <v>31.8</v>
      </c>
      <c r="Z18" s="39" t="n">
        <v>1485</v>
      </c>
      <c r="AA18" s="46" t="n">
        <v>3305</v>
      </c>
      <c r="AB18" s="42" t="n">
        <f aca="false">IF(OR($AA18="",$E18="",$E18=0),"",$AA18/$E18)</f>
        <v>35.5376344086022</v>
      </c>
      <c r="AC18" s="27" t="s">
        <v>373</v>
      </c>
    </row>
    <row r="19" customFormat="false" ht="15" hidden="false" customHeight="false" outlineLevel="0" collapsed="false">
      <c r="A19" s="29" t="n">
        <v>46036</v>
      </c>
      <c r="B19" s="27" t="s">
        <v>279</v>
      </c>
      <c r="C19" s="28" t="s">
        <v>339</v>
      </c>
      <c r="D19" s="27" t="s">
        <v>372</v>
      </c>
      <c r="E19" s="32" t="n">
        <v>79</v>
      </c>
      <c r="F19" s="39" t="n">
        <v>240</v>
      </c>
      <c r="G19" s="39" t="n">
        <v>310</v>
      </c>
      <c r="H19" s="39" t="n">
        <v>306</v>
      </c>
      <c r="I19" s="40" t="n">
        <f aca="false">IF(OR($G19="",$F19=""),"",$G19-$F19)</f>
        <v>70</v>
      </c>
      <c r="J19" s="40" t="n">
        <f aca="false">IF(OR($H19="",$F19=""),"",$H19-$F19)</f>
        <v>66</v>
      </c>
      <c r="K19" s="32" t="n">
        <v>46.9</v>
      </c>
      <c r="L19" s="32" t="n">
        <v>51.9</v>
      </c>
      <c r="M19" s="32" t="n">
        <v>57.9</v>
      </c>
      <c r="N19" s="32" t="n">
        <v>49.7</v>
      </c>
      <c r="O19" s="41" t="n">
        <v>0.223</v>
      </c>
      <c r="P19" s="42" t="n">
        <f aca="false">IF(OR($N19="",$O19="",$O19=0),"",($N19/100)/$O19)</f>
        <v>2.22869955156951</v>
      </c>
      <c r="Q19" s="43" t="n">
        <f aca="false">IF(OR($K19="",$L19="",$K19=0),"",($L19-$K19)/$K19)</f>
        <v>0.106609808102345</v>
      </c>
      <c r="R19" s="32" t="n">
        <v>68.7</v>
      </c>
      <c r="S19" s="44" t="n">
        <f aca="false">IF(OR($L19="",$E19=""),"",60.7*$L19+45.3*$E19-2055)</f>
        <v>4674.03</v>
      </c>
      <c r="T19" s="45" t="n">
        <v>1.14</v>
      </c>
      <c r="U19" s="45" t="n">
        <v>1.87</v>
      </c>
      <c r="V19" s="45" t="n">
        <v>9.91</v>
      </c>
      <c r="W19" s="45" t="n">
        <v>6.08</v>
      </c>
      <c r="X19" s="32" t="n">
        <v>13.1</v>
      </c>
      <c r="Y19" s="32" t="n">
        <v>29.5</v>
      </c>
      <c r="Z19" s="39" t="n">
        <v>1937</v>
      </c>
      <c r="AA19" s="46" t="n">
        <v>3678</v>
      </c>
      <c r="AB19" s="42" t="n">
        <f aca="false">IF(OR($AA19="",$E19="",$E19=0),"",$AA19/$E19)</f>
        <v>46.5569620253165</v>
      </c>
      <c r="AC19" s="27" t="s">
        <v>373</v>
      </c>
    </row>
    <row r="20" customFormat="false" ht="15" hidden="false" customHeight="false" outlineLevel="0" collapsed="false">
      <c r="A20" s="29" t="n">
        <v>46227</v>
      </c>
      <c r="B20" s="27" t="s">
        <v>164</v>
      </c>
      <c r="C20" s="28" t="s">
        <v>341</v>
      </c>
      <c r="D20" s="27" t="s">
        <v>372</v>
      </c>
      <c r="E20" s="32" t="n">
        <v>87.9</v>
      </c>
      <c r="F20" s="39" t="n">
        <v>253</v>
      </c>
      <c r="G20" s="39" t="n">
        <v>325</v>
      </c>
      <c r="H20" s="39" t="n">
        <v>318</v>
      </c>
      <c r="I20" s="40" t="n">
        <f aca="false">IF(OR($G20="",$F20=""),"",$G20-$F20)</f>
        <v>72</v>
      </c>
      <c r="J20" s="40" t="n">
        <f aca="false">IF(OR($H20="",$F20=""),"",$H20-$F20)</f>
        <v>65</v>
      </c>
      <c r="K20" s="32" t="n">
        <v>47.9</v>
      </c>
      <c r="L20" s="32" t="n">
        <v>52.1</v>
      </c>
      <c r="M20" s="32" t="n">
        <v>58.4</v>
      </c>
      <c r="N20" s="32" t="n">
        <v>50.2</v>
      </c>
      <c r="O20" s="41" t="n">
        <v>0.257</v>
      </c>
      <c r="P20" s="42" t="n">
        <f aca="false">IF(OR($N20="",$O20="",$O20=0),"",($N20/100)/$O20)</f>
        <v>1.95330739299611</v>
      </c>
      <c r="Q20" s="43" t="n">
        <f aca="false">IF(OR($K20="",$L20="",$K20=0),"",($L20-$K20)/$K20)</f>
        <v>0.0876826722338205</v>
      </c>
      <c r="R20" s="32" t="n">
        <v>68.3</v>
      </c>
      <c r="S20" s="44" t="n">
        <f aca="false">IF(OR($L20="",$E20=""),"",60.7*$L20+45.3*$E20-2055)</f>
        <v>5089.34</v>
      </c>
      <c r="T20" s="45" t="n">
        <v>1.1</v>
      </c>
      <c r="U20" s="45" t="n">
        <v>1.75</v>
      </c>
      <c r="V20" s="45" t="n">
        <v>9.27</v>
      </c>
      <c r="W20" s="45" t="n">
        <v>5.43</v>
      </c>
      <c r="X20" s="32" t="n">
        <v>15.7</v>
      </c>
      <c r="Y20" s="32" t="n">
        <v>28.7</v>
      </c>
      <c r="Z20" s="39" t="n">
        <v>1521</v>
      </c>
      <c r="AA20" s="46" t="n">
        <v>4090</v>
      </c>
      <c r="AB20" s="42" t="n">
        <f aca="false">IF(OR($AA20="",$E20="",$E20=0),"",$AA20/$E20)</f>
        <v>46.5301478953356</v>
      </c>
      <c r="AC20" s="27" t="s">
        <v>373</v>
      </c>
    </row>
    <row r="21" customFormat="false" ht="15" hidden="false" customHeight="false" outlineLevel="0" collapsed="false">
      <c r="A21" s="29" t="n">
        <v>46227</v>
      </c>
      <c r="B21" s="27" t="s">
        <v>192</v>
      </c>
      <c r="C21" s="28" t="s">
        <v>341</v>
      </c>
      <c r="D21" s="27" t="s">
        <v>372</v>
      </c>
      <c r="E21" s="32" t="n">
        <v>94.1</v>
      </c>
      <c r="F21" s="39" t="n">
        <v>261</v>
      </c>
      <c r="G21" s="39" t="n">
        <v>342</v>
      </c>
      <c r="H21" s="39" t="n">
        <v>332</v>
      </c>
      <c r="I21" s="40" t="n">
        <f aca="false">IF(OR($G21="",$F21=""),"",$G21-$F21)</f>
        <v>81</v>
      </c>
      <c r="J21" s="40" t="n">
        <f aca="false">IF(OR($H21="",$F21=""),"",$H21-$F21)</f>
        <v>71</v>
      </c>
      <c r="K21" s="32" t="n">
        <v>53.4</v>
      </c>
      <c r="L21" s="32" t="n">
        <v>57.4</v>
      </c>
      <c r="M21" s="32" t="n">
        <v>64.6</v>
      </c>
      <c r="N21" s="32" t="n">
        <v>54.7</v>
      </c>
      <c r="O21" s="41" t="n">
        <v>0.22</v>
      </c>
      <c r="P21" s="42" t="n">
        <f aca="false">IF(OR($N21="",$O21="",$O21=0),"",($N21/100)/$O21)</f>
        <v>2.48636363636364</v>
      </c>
      <c r="Q21" s="43" t="n">
        <f aca="false">IF(OR($K21="",$L21="",$K21=0),"",($L21-$K21)/$K21)</f>
        <v>0.0749063670411985</v>
      </c>
      <c r="R21" s="32" t="n">
        <v>72.9</v>
      </c>
      <c r="S21" s="44" t="n">
        <f aca="false">IF(OR($L21="",$E21=""),"",60.7*$L21+45.3*$E21-2055)</f>
        <v>5691.91</v>
      </c>
      <c r="T21" s="45" t="n">
        <v>1.11</v>
      </c>
      <c r="U21" s="45" t="n">
        <v>1.74</v>
      </c>
      <c r="V21" s="45" t="n">
        <v>9.18</v>
      </c>
      <c r="W21" s="45" t="n">
        <v>5.69</v>
      </c>
      <c r="X21" s="32" t="n">
        <v>14.4</v>
      </c>
      <c r="Y21" s="32" t="n">
        <v>24.7</v>
      </c>
      <c r="Z21" s="39" t="n">
        <v>1630</v>
      </c>
      <c r="AA21" s="46" t="n">
        <v>3992</v>
      </c>
      <c r="AB21" s="42" t="n">
        <f aca="false">IF(OR($AA21="",$E21="",$E21=0),"",$AA21/$E21)</f>
        <v>42.422954303932</v>
      </c>
      <c r="AC21" s="27" t="s">
        <v>373</v>
      </c>
    </row>
    <row r="22" customFormat="false" ht="15" hidden="false" customHeight="false" outlineLevel="0" collapsed="false">
      <c r="A22" s="29" t="n">
        <v>46227</v>
      </c>
      <c r="B22" s="27" t="s">
        <v>206</v>
      </c>
      <c r="C22" s="28" t="s">
        <v>341</v>
      </c>
      <c r="D22" s="27" t="s">
        <v>372</v>
      </c>
      <c r="E22" s="32" t="n">
        <v>89.5</v>
      </c>
      <c r="F22" s="39" t="n">
        <v>255</v>
      </c>
      <c r="G22" s="39" t="n">
        <v>329</v>
      </c>
      <c r="H22" s="39" t="n">
        <v>325</v>
      </c>
      <c r="I22" s="40" t="n">
        <f aca="false">IF(OR($G22="",$F22=""),"",$G22-$F22)</f>
        <v>74</v>
      </c>
      <c r="J22" s="40" t="n">
        <f aca="false">IF(OR($H22="",$F22=""),"",$H22-$F22)</f>
        <v>70</v>
      </c>
      <c r="K22" s="32" t="n">
        <v>49.2</v>
      </c>
      <c r="L22" s="32" t="n">
        <v>52.3</v>
      </c>
      <c r="M22" s="32" t="n">
        <v>58.6</v>
      </c>
      <c r="N22" s="32" t="n">
        <v>51.1</v>
      </c>
      <c r="O22" s="41" t="n">
        <v>0.249</v>
      </c>
      <c r="P22" s="42" t="n">
        <f aca="false">IF(OR($N22="",$O22="",$O22=0),"",($N22/100)/$O22)</f>
        <v>2.05220883534137</v>
      </c>
      <c r="Q22" s="43" t="n">
        <f aca="false">IF(OR($K22="",$L22="",$K22=0),"",($L22-$K22)/$K22)</f>
        <v>0.0630081300813007</v>
      </c>
      <c r="R22" s="32" t="n">
        <v>70.2</v>
      </c>
      <c r="S22" s="44" t="n">
        <f aca="false">IF(OR($L22="",$E22=""),"",60.7*$L22+45.3*$E22-2055)</f>
        <v>5173.96</v>
      </c>
      <c r="T22" s="45" t="n">
        <v>1.04</v>
      </c>
      <c r="U22" s="45" t="n">
        <v>1.71</v>
      </c>
      <c r="V22" s="45" t="n">
        <v>9.28</v>
      </c>
      <c r="W22" s="45" t="n">
        <v>6</v>
      </c>
      <c r="X22" s="32" t="n">
        <v>12.5</v>
      </c>
      <c r="Y22" s="32" t="n">
        <v>23.5</v>
      </c>
      <c r="Z22" s="39" t="n">
        <v>1921</v>
      </c>
      <c r="AA22" s="46" t="n">
        <v>4006</v>
      </c>
      <c r="AB22" s="42" t="n">
        <f aca="false">IF(OR($AA22="",$E22="",$E22=0),"",$AA22/$E22)</f>
        <v>44.7597765363129</v>
      </c>
      <c r="AC22" s="27" t="s">
        <v>373</v>
      </c>
    </row>
    <row r="23" customFormat="false" ht="15" hidden="false" customHeight="false" outlineLevel="0" collapsed="false">
      <c r="A23" s="29" t="n">
        <v>46227</v>
      </c>
      <c r="B23" s="27" t="s">
        <v>215</v>
      </c>
      <c r="C23" s="28" t="s">
        <v>341</v>
      </c>
      <c r="D23" s="27" t="s">
        <v>372</v>
      </c>
      <c r="E23" s="32" t="n">
        <v>87.4</v>
      </c>
      <c r="F23" s="39" t="n">
        <v>254</v>
      </c>
      <c r="G23" s="39" t="n">
        <v>335</v>
      </c>
      <c r="H23" s="39" t="n">
        <v>325</v>
      </c>
      <c r="I23" s="40" t="n">
        <f aca="false">IF(OR($G23="",$F23=""),"",$G23-$F23)</f>
        <v>81</v>
      </c>
      <c r="J23" s="40" t="n">
        <f aca="false">IF(OR($H23="",$F23=""),"",$H23-$F23)</f>
        <v>71</v>
      </c>
      <c r="K23" s="32" t="n">
        <v>44.8</v>
      </c>
      <c r="L23" s="32" t="n">
        <v>48.1</v>
      </c>
      <c r="M23" s="32" t="n">
        <v>54.1</v>
      </c>
      <c r="N23" s="32" t="n">
        <v>45.3</v>
      </c>
      <c r="O23" s="41" t="n">
        <v>0.233</v>
      </c>
      <c r="P23" s="42" t="n">
        <f aca="false">IF(OR($N23="",$O23="",$O23=0),"",($N23/100)/$O23)</f>
        <v>1.94420600858369</v>
      </c>
      <c r="Q23" s="43" t="n">
        <f aca="false">IF(OR($K23="",$L23="",$K23=0),"",($L23-$K23)/$K23)</f>
        <v>0.0736607142857144</v>
      </c>
      <c r="R23" s="32" t="n">
        <v>66.4</v>
      </c>
      <c r="S23" s="44" t="n">
        <f aca="false">IF(OR($L23="",$E23=""),"",60.7*$L23+45.3*$E23-2055)</f>
        <v>4823.89</v>
      </c>
      <c r="T23" s="45" t="n">
        <v>1.15</v>
      </c>
      <c r="U23" s="45" t="n">
        <v>1.7</v>
      </c>
      <c r="V23" s="45" t="n">
        <v>9.36</v>
      </c>
      <c r="W23" s="45" t="n">
        <v>5.72</v>
      </c>
      <c r="X23" s="32" t="n">
        <v>15.4</v>
      </c>
      <c r="Y23" s="32" t="n">
        <v>24.6</v>
      </c>
      <c r="Z23" s="39" t="n">
        <v>2042</v>
      </c>
      <c r="AA23" s="46" t="n">
        <v>3742</v>
      </c>
      <c r="AB23" s="42" t="n">
        <f aca="false">IF(OR($AA23="",$E23="",$E23=0),"",$AA23/$E23)</f>
        <v>42.8146453089245</v>
      </c>
      <c r="AC23" s="27" t="s">
        <v>373</v>
      </c>
    </row>
    <row r="24" customFormat="false" ht="15" hidden="false" customHeight="false" outlineLevel="0" collapsed="false">
      <c r="A24" s="29" t="n">
        <v>46227</v>
      </c>
      <c r="B24" s="27" t="s">
        <v>226</v>
      </c>
      <c r="C24" s="28" t="s">
        <v>341</v>
      </c>
      <c r="D24" s="27" t="s">
        <v>372</v>
      </c>
      <c r="E24" s="32" t="n">
        <v>99.8</v>
      </c>
      <c r="F24" s="39" t="n">
        <v>264</v>
      </c>
      <c r="G24" s="39" t="n">
        <v>340</v>
      </c>
      <c r="H24" s="39" t="n">
        <v>327</v>
      </c>
      <c r="I24" s="40" t="n">
        <f aca="false">IF(OR($G24="",$F24=""),"",$G24-$F24)</f>
        <v>76</v>
      </c>
      <c r="J24" s="40" t="n">
        <f aca="false">IF(OR($H24="",$F24=""),"",$H24-$F24)</f>
        <v>63</v>
      </c>
      <c r="K24" s="32" t="n">
        <v>48.5</v>
      </c>
      <c r="L24" s="32" t="n">
        <v>53</v>
      </c>
      <c r="M24" s="32" t="n">
        <v>59.3</v>
      </c>
      <c r="N24" s="32" t="n">
        <v>50.3</v>
      </c>
      <c r="O24" s="41" t="n">
        <v>0.257</v>
      </c>
      <c r="P24" s="42" t="n">
        <f aca="false">IF(OR($N24="",$O24="",$O24=0),"",($N24/100)/$O24)</f>
        <v>1.95719844357977</v>
      </c>
      <c r="Q24" s="43" t="n">
        <f aca="false">IF(OR($K24="",$L24="",$K24=0),"",($L24-$K24)/$K24)</f>
        <v>0.0927835051546392</v>
      </c>
      <c r="R24" s="32" t="n">
        <v>67.6</v>
      </c>
      <c r="S24" s="44" t="n">
        <f aca="false">IF(OR($L24="",$E24=""),"",60.7*$L24+45.3*$E24-2055)</f>
        <v>5683.04</v>
      </c>
      <c r="T24" s="45" t="n">
        <v>1.12</v>
      </c>
      <c r="U24" s="45" t="n">
        <v>1.73</v>
      </c>
      <c r="V24" s="45" t="n">
        <v>9.58</v>
      </c>
      <c r="W24" s="45" t="n">
        <v>6.11</v>
      </c>
      <c r="X24" s="32" t="n">
        <v>15.4</v>
      </c>
      <c r="Y24" s="32" t="n">
        <v>26.3</v>
      </c>
      <c r="Z24" s="39" t="n">
        <v>1408</v>
      </c>
      <c r="AA24" s="46" t="n">
        <v>3114</v>
      </c>
      <c r="AB24" s="42" t="n">
        <f aca="false">IF(OR($AA24="",$E24="",$E24=0),"",$AA24/$E24)</f>
        <v>31.2024048096192</v>
      </c>
      <c r="AC24" s="27" t="s">
        <v>373</v>
      </c>
    </row>
    <row r="25" customFormat="false" ht="15" hidden="false" customHeight="false" outlineLevel="0" collapsed="false">
      <c r="A25" s="29" t="n">
        <v>46227</v>
      </c>
      <c r="B25" s="27" t="s">
        <v>236</v>
      </c>
      <c r="C25" s="28" t="s">
        <v>341</v>
      </c>
      <c r="D25" s="27" t="s">
        <v>372</v>
      </c>
      <c r="E25" s="32" t="n">
        <v>94.4</v>
      </c>
      <c r="F25" s="39" t="n">
        <v>262</v>
      </c>
      <c r="G25" s="39" t="n">
        <v>345</v>
      </c>
      <c r="H25" s="39" t="n">
        <v>325</v>
      </c>
      <c r="I25" s="40" t="n">
        <f aca="false">IF(OR($G25="",$F25=""),"",$G25-$F25)</f>
        <v>83</v>
      </c>
      <c r="J25" s="40" t="n">
        <f aca="false">IF(OR($H25="",$F25=""),"",$H25-$F25)</f>
        <v>63</v>
      </c>
      <c r="K25" s="32" t="n">
        <v>46.4</v>
      </c>
      <c r="L25" s="32" t="n">
        <v>49.8</v>
      </c>
      <c r="M25" s="32" t="n">
        <v>57.6</v>
      </c>
      <c r="N25" s="32" t="n">
        <v>48</v>
      </c>
      <c r="O25" s="41" t="n">
        <v>0.222</v>
      </c>
      <c r="P25" s="42" t="n">
        <f aca="false">IF(OR($N25="",$O25="",$O25=0),"",($N25/100)/$O25)</f>
        <v>2.16216216216216</v>
      </c>
      <c r="Q25" s="43" t="n">
        <f aca="false">IF(OR($K25="",$L25="",$K25=0),"",($L25-$K25)/$K25)</f>
        <v>0.0732758620689655</v>
      </c>
      <c r="R25" s="32" t="n">
        <v>65.5</v>
      </c>
      <c r="S25" s="44" t="n">
        <f aca="false">IF(OR($L25="",$E25=""),"",60.7*$L25+45.3*$E25-2055)</f>
        <v>5244.18</v>
      </c>
      <c r="T25" s="45" t="n">
        <v>1.12</v>
      </c>
      <c r="U25" s="45" t="n">
        <v>1.72</v>
      </c>
      <c r="V25" s="45" t="n">
        <v>9.82</v>
      </c>
      <c r="W25" s="45" t="n">
        <v>5.56</v>
      </c>
      <c r="X25" s="32" t="n">
        <v>16.3</v>
      </c>
      <c r="Y25" s="32" t="n">
        <v>27.9</v>
      </c>
      <c r="Z25" s="39" t="n">
        <v>1595</v>
      </c>
      <c r="AA25" s="46" t="n">
        <v>4255</v>
      </c>
      <c r="AB25" s="42" t="n">
        <f aca="false">IF(OR($AA25="",$E25="",$E25=0),"",$AA25/$E25)</f>
        <v>45.0741525423729</v>
      </c>
      <c r="AC25" s="27" t="s">
        <v>373</v>
      </c>
    </row>
    <row r="26" customFormat="false" ht="15" hidden="false" customHeight="false" outlineLevel="0" collapsed="false">
      <c r="A26" s="29" t="n">
        <v>46227</v>
      </c>
      <c r="B26" s="27" t="s">
        <v>244</v>
      </c>
      <c r="C26" s="28" t="s">
        <v>341</v>
      </c>
      <c r="D26" s="27" t="s">
        <v>372</v>
      </c>
      <c r="E26" s="32" t="n">
        <v>78.5</v>
      </c>
      <c r="F26" s="39" t="n">
        <v>237</v>
      </c>
      <c r="G26" s="39" t="n">
        <v>314</v>
      </c>
      <c r="H26" s="39" t="n">
        <v>302</v>
      </c>
      <c r="I26" s="40" t="n">
        <f aca="false">IF(OR($G26="",$F26=""),"",$G26-$F26)</f>
        <v>77</v>
      </c>
      <c r="J26" s="40" t="n">
        <f aca="false">IF(OR($H26="",$F26=""),"",$H26-$F26)</f>
        <v>65</v>
      </c>
      <c r="K26" s="32" t="n">
        <v>51.8</v>
      </c>
      <c r="L26" s="32" t="n">
        <v>55</v>
      </c>
      <c r="M26" s="32" t="n">
        <v>61.1</v>
      </c>
      <c r="N26" s="32" t="n">
        <v>52.6</v>
      </c>
      <c r="O26" s="41" t="n">
        <v>0.23</v>
      </c>
      <c r="P26" s="42" t="n">
        <f aca="false">IF(OR($N26="",$O26="",$O26=0),"",($N26/100)/$O26)</f>
        <v>2.28695652173913</v>
      </c>
      <c r="Q26" s="43" t="n">
        <f aca="false">IF(OR($K26="",$L26="",$K26=0),"",($L26-$K26)/$K26)</f>
        <v>0.0617760617760618</v>
      </c>
      <c r="R26" s="32" t="n">
        <v>73.9</v>
      </c>
      <c r="S26" s="44" t="n">
        <f aca="false">IF(OR($L26="",$E26=""),"",60.7*$L26+45.3*$E26-2055)</f>
        <v>4839.55</v>
      </c>
      <c r="T26" s="45" t="n">
        <v>1.04</v>
      </c>
      <c r="U26" s="45" t="n">
        <v>1.82</v>
      </c>
      <c r="V26" s="45" t="n">
        <v>9.53</v>
      </c>
      <c r="W26" s="45" t="n">
        <v>5.98</v>
      </c>
      <c r="X26" s="32" t="n">
        <v>14.1</v>
      </c>
      <c r="Y26" s="32" t="n">
        <v>28.3</v>
      </c>
      <c r="Z26" s="39" t="n">
        <v>1640</v>
      </c>
      <c r="AA26" s="46" t="n">
        <v>4303</v>
      </c>
      <c r="AB26" s="42" t="n">
        <f aca="false">IF(OR($AA26="",$E26="",$E26=0),"",$AA26/$E26)</f>
        <v>54.8152866242038</v>
      </c>
      <c r="AC26" s="27" t="s">
        <v>373</v>
      </c>
    </row>
    <row r="27" customFormat="false" ht="15" hidden="false" customHeight="false" outlineLevel="0" collapsed="false">
      <c r="A27" s="29" t="n">
        <v>46227</v>
      </c>
      <c r="B27" s="27" t="s">
        <v>253</v>
      </c>
      <c r="C27" s="28" t="s">
        <v>341</v>
      </c>
      <c r="D27" s="27" t="s">
        <v>372</v>
      </c>
      <c r="E27" s="32" t="n">
        <v>90.9</v>
      </c>
      <c r="F27" s="39" t="n">
        <v>257</v>
      </c>
      <c r="G27" s="39" t="n">
        <v>329</v>
      </c>
      <c r="H27" s="39" t="n">
        <v>325</v>
      </c>
      <c r="I27" s="40" t="n">
        <f aca="false">IF(OR($G27="",$F27=""),"",$G27-$F27)</f>
        <v>72</v>
      </c>
      <c r="J27" s="40" t="n">
        <f aca="false">IF(OR($H27="",$F27=""),"",$H27-$F27)</f>
        <v>68</v>
      </c>
      <c r="K27" s="32" t="n">
        <v>50</v>
      </c>
      <c r="L27" s="32" t="n">
        <v>54.3</v>
      </c>
      <c r="M27" s="32" t="n">
        <v>60.8</v>
      </c>
      <c r="N27" s="32" t="n">
        <v>51.4</v>
      </c>
      <c r="O27" s="41" t="n">
        <v>0.251</v>
      </c>
      <c r="P27" s="42" t="n">
        <f aca="false">IF(OR($N27="",$O27="",$O27=0),"",($N27/100)/$O27)</f>
        <v>2.04780876494024</v>
      </c>
      <c r="Q27" s="43" t="n">
        <f aca="false">IF(OR($K27="",$L27="",$K27=0),"",($L27-$K27)/$K27)</f>
        <v>0.0859999999999999</v>
      </c>
      <c r="R27" s="32" t="n">
        <v>73.3</v>
      </c>
      <c r="S27" s="44" t="n">
        <f aca="false">IF(OR($L27="",$E27=""),"",60.7*$L27+45.3*$E27-2055)</f>
        <v>5358.78</v>
      </c>
      <c r="T27" s="45" t="n">
        <v>1.08</v>
      </c>
      <c r="U27" s="45" t="n">
        <v>1.86</v>
      </c>
      <c r="V27" s="45" t="n">
        <v>9.11</v>
      </c>
      <c r="W27" s="45" t="n">
        <v>5.8</v>
      </c>
      <c r="X27" s="32" t="n">
        <v>13.7</v>
      </c>
      <c r="Y27" s="32" t="n">
        <v>33.4</v>
      </c>
      <c r="Z27" s="39" t="n">
        <v>1679</v>
      </c>
      <c r="AA27" s="46" t="n">
        <v>3310</v>
      </c>
      <c r="AB27" s="42" t="n">
        <f aca="false">IF(OR($AA27="",$E27="",$E27=0),"",$AA27/$E27)</f>
        <v>36.4136413641364</v>
      </c>
      <c r="AC27" s="27" t="s">
        <v>373</v>
      </c>
    </row>
    <row r="28" customFormat="false" ht="15" hidden="false" customHeight="false" outlineLevel="0" collapsed="false">
      <c r="A28" s="29" t="n">
        <v>46227</v>
      </c>
      <c r="B28" s="27" t="s">
        <v>259</v>
      </c>
      <c r="C28" s="28" t="s">
        <v>341</v>
      </c>
      <c r="D28" s="27" t="s">
        <v>372</v>
      </c>
      <c r="E28" s="32" t="n">
        <v>82.6</v>
      </c>
      <c r="F28" s="39" t="n">
        <v>248</v>
      </c>
      <c r="G28" s="39" t="n">
        <v>324</v>
      </c>
      <c r="H28" s="39" t="n">
        <v>306</v>
      </c>
      <c r="I28" s="40" t="n">
        <f aca="false">IF(OR($G28="",$F28=""),"",$G28-$F28)</f>
        <v>76</v>
      </c>
      <c r="J28" s="40" t="n">
        <f aca="false">IF(OR($H28="",$F28=""),"",$H28-$F28)</f>
        <v>58</v>
      </c>
      <c r="K28" s="32" t="n">
        <v>47.2</v>
      </c>
      <c r="L28" s="32" t="n">
        <v>50.5</v>
      </c>
      <c r="M28" s="32" t="n">
        <v>57</v>
      </c>
      <c r="N28" s="32" t="n">
        <v>49.3</v>
      </c>
      <c r="O28" s="41" t="n">
        <v>0.257</v>
      </c>
      <c r="P28" s="42" t="n">
        <f aca="false">IF(OR($N28="",$O28="",$O28=0),"",($N28/100)/$O28)</f>
        <v>1.91828793774319</v>
      </c>
      <c r="Q28" s="43" t="n">
        <f aca="false">IF(OR($K28="",$L28="",$K28=0),"",($L28-$K28)/$K28)</f>
        <v>0.0699152542372881</v>
      </c>
      <c r="R28" s="32" t="n">
        <v>66.9</v>
      </c>
      <c r="S28" s="44" t="n">
        <f aca="false">IF(OR($L28="",$E28=""),"",60.7*$L28+45.3*$E28-2055)</f>
        <v>4752.13</v>
      </c>
      <c r="T28" s="45" t="n">
        <v>1.05</v>
      </c>
      <c r="U28" s="45" t="n">
        <v>1.72</v>
      </c>
      <c r="V28" s="45" t="n">
        <v>9.75</v>
      </c>
      <c r="W28" s="45" t="n">
        <v>5.68</v>
      </c>
      <c r="X28" s="32" t="n">
        <v>16</v>
      </c>
      <c r="Y28" s="32" t="n">
        <v>27</v>
      </c>
      <c r="Z28" s="39" t="n">
        <v>1790</v>
      </c>
      <c r="AA28" s="46" t="n">
        <v>3057</v>
      </c>
      <c r="AB28" s="42" t="n">
        <f aca="false">IF(OR($AA28="",$E28="",$E28=0),"",$AA28/$E28)</f>
        <v>37.0096852300242</v>
      </c>
      <c r="AC28" s="27" t="s">
        <v>373</v>
      </c>
    </row>
    <row r="29" customFormat="false" ht="15" hidden="false" customHeight="false" outlineLevel="0" collapsed="false">
      <c r="A29" s="29" t="n">
        <v>46227</v>
      </c>
      <c r="B29" s="27" t="s">
        <v>264</v>
      </c>
      <c r="C29" s="28" t="s">
        <v>341</v>
      </c>
      <c r="D29" s="27" t="s">
        <v>372</v>
      </c>
      <c r="E29" s="32" t="n">
        <v>95.7</v>
      </c>
      <c r="F29" s="39" t="n">
        <v>259</v>
      </c>
      <c r="G29" s="39" t="n">
        <v>338</v>
      </c>
      <c r="H29" s="39" t="n">
        <v>322</v>
      </c>
      <c r="I29" s="40" t="n">
        <f aca="false">IF(OR($G29="",$F29=""),"",$G29-$F29)</f>
        <v>79</v>
      </c>
      <c r="J29" s="40" t="n">
        <f aca="false">IF(OR($H29="",$F29=""),"",$H29-$F29)</f>
        <v>63</v>
      </c>
      <c r="K29" s="32" t="n">
        <v>54</v>
      </c>
      <c r="L29" s="32" t="n">
        <v>58.8</v>
      </c>
      <c r="M29" s="32" t="n">
        <v>67.3</v>
      </c>
      <c r="N29" s="32" t="n">
        <v>57.6</v>
      </c>
      <c r="O29" s="41" t="n">
        <v>0.2</v>
      </c>
      <c r="P29" s="42" t="n">
        <f aca="false">IF(OR($N29="",$O29="",$O29=0),"",($N29/100)/$O29)</f>
        <v>2.88</v>
      </c>
      <c r="Q29" s="43" t="n">
        <f aca="false">IF(OR($K29="",$L29="",$K29=0),"",($L29-$K29)/$K29)</f>
        <v>0.0888888888888888</v>
      </c>
      <c r="R29" s="32" t="n">
        <v>76.6</v>
      </c>
      <c r="S29" s="44" t="n">
        <f aca="false">IF(OR($L29="",$E29=""),"",60.7*$L29+45.3*$E29-2055)</f>
        <v>5849.37</v>
      </c>
      <c r="T29" s="45" t="n">
        <v>1.17</v>
      </c>
      <c r="U29" s="45" t="n">
        <v>1.84</v>
      </c>
      <c r="V29" s="45" t="n">
        <v>9.51</v>
      </c>
      <c r="W29" s="45" t="n">
        <v>5.97</v>
      </c>
      <c r="X29" s="32" t="n">
        <v>12.7</v>
      </c>
      <c r="Y29" s="32" t="n">
        <v>31</v>
      </c>
      <c r="Z29" s="39" t="n">
        <v>1662</v>
      </c>
      <c r="AA29" s="46" t="n">
        <v>3573</v>
      </c>
      <c r="AB29" s="42" t="n">
        <f aca="false">IF(OR($AA29="",$E29="",$E29=0),"",$AA29/$E29)</f>
        <v>37.3354231974922</v>
      </c>
      <c r="AC29" s="27" t="s">
        <v>373</v>
      </c>
    </row>
    <row r="30" customFormat="false" ht="15" hidden="false" customHeight="false" outlineLevel="0" collapsed="false">
      <c r="A30" s="29" t="n">
        <v>46227</v>
      </c>
      <c r="B30" s="27" t="s">
        <v>270</v>
      </c>
      <c r="C30" s="28" t="s">
        <v>341</v>
      </c>
      <c r="D30" s="27" t="s">
        <v>372</v>
      </c>
      <c r="E30" s="32" t="n">
        <v>92</v>
      </c>
      <c r="F30" s="39" t="n">
        <v>263</v>
      </c>
      <c r="G30" s="39" t="n">
        <v>334</v>
      </c>
      <c r="H30" s="39" t="n">
        <v>332</v>
      </c>
      <c r="I30" s="40" t="n">
        <f aca="false">IF(OR($G30="",$F30=""),"",$G30-$F30)</f>
        <v>71</v>
      </c>
      <c r="J30" s="40" t="n">
        <f aca="false">IF(OR($H30="",$F30=""),"",$H30-$F30)</f>
        <v>69</v>
      </c>
      <c r="K30" s="32" t="n">
        <v>46.4</v>
      </c>
      <c r="L30" s="32" t="n">
        <v>51.2</v>
      </c>
      <c r="M30" s="32" t="n">
        <v>57.9</v>
      </c>
      <c r="N30" s="32" t="n">
        <v>50.2</v>
      </c>
      <c r="O30" s="41" t="n">
        <v>0.246</v>
      </c>
      <c r="P30" s="42" t="n">
        <f aca="false">IF(OR($N30="",$O30="",$O30=0),"",($N30/100)/$O30)</f>
        <v>2.04065040650407</v>
      </c>
      <c r="Q30" s="43" t="n">
        <f aca="false">IF(OR($K30="",$L30="",$K30=0),"",($L30-$K30)/$K30)</f>
        <v>0.103448275862069</v>
      </c>
      <c r="R30" s="32" t="n">
        <v>66.1</v>
      </c>
      <c r="S30" s="44" t="n">
        <f aca="false">IF(OR($L30="",$E30=""),"",60.7*$L30+45.3*$E30-2055)</f>
        <v>5220.44</v>
      </c>
      <c r="T30" s="45" t="n">
        <v>1.13</v>
      </c>
      <c r="U30" s="45" t="n">
        <v>1.85</v>
      </c>
      <c r="V30" s="45" t="n">
        <v>9.96</v>
      </c>
      <c r="W30" s="45" t="n">
        <v>5.94</v>
      </c>
      <c r="X30" s="32" t="n">
        <v>16.1</v>
      </c>
      <c r="Y30" s="32" t="n">
        <v>25.9</v>
      </c>
      <c r="Z30" s="39" t="n">
        <v>1843</v>
      </c>
      <c r="AA30" s="46" t="n">
        <v>4066</v>
      </c>
      <c r="AB30" s="42" t="n">
        <f aca="false">IF(OR($AA30="",$E30="",$E30=0),"",$AA30/$E30)</f>
        <v>44.1956521739131</v>
      </c>
      <c r="AC30" s="27" t="s">
        <v>373</v>
      </c>
    </row>
    <row r="31" customFormat="false" ht="15" hidden="false" customHeight="false" outlineLevel="0" collapsed="false">
      <c r="A31" s="29" t="n">
        <v>46227</v>
      </c>
      <c r="B31" s="27" t="s">
        <v>279</v>
      </c>
      <c r="C31" s="28" t="s">
        <v>341</v>
      </c>
      <c r="D31" s="27" t="s">
        <v>372</v>
      </c>
      <c r="E31" s="32" t="n">
        <v>78.4</v>
      </c>
      <c r="F31" s="39" t="n">
        <v>240</v>
      </c>
      <c r="G31" s="39" t="n">
        <v>318</v>
      </c>
      <c r="H31" s="39" t="n">
        <v>310</v>
      </c>
      <c r="I31" s="40" t="n">
        <f aca="false">IF(OR($G31="",$F31=""),"",$G31-$F31)</f>
        <v>78</v>
      </c>
      <c r="J31" s="40" t="n">
        <f aca="false">IF(OR($H31="",$F31=""),"",$H31-$F31)</f>
        <v>70</v>
      </c>
      <c r="K31" s="32" t="n">
        <v>49.1</v>
      </c>
      <c r="L31" s="32" t="n">
        <v>53.3</v>
      </c>
      <c r="M31" s="32" t="n">
        <v>59.9</v>
      </c>
      <c r="N31" s="32" t="n">
        <v>52.1</v>
      </c>
      <c r="O31" s="41" t="n">
        <v>0.232</v>
      </c>
      <c r="P31" s="42" t="n">
        <f aca="false">IF(OR($N31="",$O31="",$O31=0),"",($N31/100)/$O31)</f>
        <v>2.24568965517241</v>
      </c>
      <c r="Q31" s="43" t="n">
        <f aca="false">IF(OR($K31="",$L31="",$K31=0),"",($L31-$K31)/$K31)</f>
        <v>0.085539714867617</v>
      </c>
      <c r="R31" s="32" t="n">
        <v>72.7</v>
      </c>
      <c r="S31" s="44" t="n">
        <f aca="false">IF(OR($L31="",$E31=""),"",60.7*$L31+45.3*$E31-2055)</f>
        <v>4731.83</v>
      </c>
      <c r="T31" s="45" t="n">
        <v>1.07</v>
      </c>
      <c r="U31" s="45" t="n">
        <v>1.8</v>
      </c>
      <c r="V31" s="45" t="n">
        <v>9.95</v>
      </c>
      <c r="W31" s="45" t="n">
        <v>5.55</v>
      </c>
      <c r="X31" s="32" t="n">
        <v>14.3</v>
      </c>
      <c r="Y31" s="32" t="n">
        <v>23.9</v>
      </c>
      <c r="Z31" s="39" t="n">
        <v>1764</v>
      </c>
      <c r="AA31" s="46" t="n">
        <v>3538</v>
      </c>
      <c r="AB31" s="42" t="n">
        <f aca="false">IF(OR($AA31="",$E31="",$E31=0),"",$AA31/$E31)</f>
        <v>45.1275510204082</v>
      </c>
      <c r="AC31" s="27" t="s">
        <v>373</v>
      </c>
    </row>
    <row r="32" customFormat="false" ht="15" hidden="false" customHeight="false" outlineLevel="0" collapsed="false">
      <c r="A32" s="29"/>
      <c r="B32" s="27"/>
      <c r="C32" s="28"/>
      <c r="D32" s="27"/>
      <c r="E32" s="32"/>
      <c r="F32" s="39"/>
      <c r="G32" s="39"/>
      <c r="H32" s="39"/>
      <c r="I32" s="40" t="str">
        <f aca="false">IF(OR($G32="",$F32=""),"",$G32-$F32)</f>
        <v/>
      </c>
      <c r="J32" s="40" t="str">
        <f aca="false">IF(OR($H32="",$F32=""),"",$H32-$F32)</f>
        <v/>
      </c>
      <c r="K32" s="32"/>
      <c r="L32" s="32"/>
      <c r="M32" s="32"/>
      <c r="N32" s="32"/>
      <c r="O32" s="41"/>
      <c r="P32" s="42" t="str">
        <f aca="false">IF(OR($N32="",$O32="",$O32=0),"",($N32/100)/$O32)</f>
        <v/>
      </c>
      <c r="Q32" s="43" t="str">
        <f aca="false">IF(OR($K32="",$L32="",$K32=0),"",($L32-$K32)/$K32)</f>
        <v/>
      </c>
      <c r="R32" s="32"/>
      <c r="S32" s="44" t="str">
        <f aca="false">IF(OR($L32="",$E32=""),"",60.7*$L32+45.3*$E32-2055)</f>
        <v/>
      </c>
      <c r="T32" s="45"/>
      <c r="U32" s="45"/>
      <c r="V32" s="45"/>
      <c r="W32" s="45"/>
      <c r="X32" s="32"/>
      <c r="Y32" s="32"/>
      <c r="Z32" s="39"/>
      <c r="AA32" s="46"/>
      <c r="AB32" s="42" t="str">
        <f aca="false">IF(OR($AA32="",$E32="",$E32=0),"",$AA32/$E32)</f>
        <v/>
      </c>
      <c r="AC32" s="27"/>
    </row>
    <row r="33" customFormat="false" ht="15" hidden="false" customHeight="false" outlineLevel="0" collapsed="false">
      <c r="A33" s="29"/>
      <c r="B33" s="27"/>
      <c r="C33" s="28"/>
      <c r="D33" s="27"/>
      <c r="E33" s="32"/>
      <c r="F33" s="39"/>
      <c r="G33" s="39"/>
      <c r="H33" s="39"/>
      <c r="I33" s="40" t="str">
        <f aca="false">IF(OR($G33="",$F33=""),"",$G33-$F33)</f>
        <v/>
      </c>
      <c r="J33" s="40" t="str">
        <f aca="false">IF(OR($H33="",$F33=""),"",$H33-$F33)</f>
        <v/>
      </c>
      <c r="K33" s="32"/>
      <c r="L33" s="32"/>
      <c r="M33" s="32"/>
      <c r="N33" s="32"/>
      <c r="O33" s="41"/>
      <c r="P33" s="42" t="str">
        <f aca="false">IF(OR($N33="",$O33="",$O33=0),"",($N33/100)/$O33)</f>
        <v/>
      </c>
      <c r="Q33" s="43" t="str">
        <f aca="false">IF(OR($K33="",$L33="",$K33=0),"",($L33-$K33)/$K33)</f>
        <v/>
      </c>
      <c r="R33" s="32"/>
      <c r="S33" s="44" t="str">
        <f aca="false">IF(OR($L33="",$E33=""),"",60.7*$L33+45.3*$E33-2055)</f>
        <v/>
      </c>
      <c r="T33" s="45"/>
      <c r="U33" s="45"/>
      <c r="V33" s="45"/>
      <c r="W33" s="45"/>
      <c r="X33" s="32"/>
      <c r="Y33" s="32"/>
      <c r="Z33" s="39"/>
      <c r="AA33" s="46"/>
      <c r="AB33" s="42" t="str">
        <f aca="false">IF(OR($AA33="",$E33="",$E33=0),"",$AA33/$E33)</f>
        <v/>
      </c>
      <c r="AC33" s="27"/>
    </row>
    <row r="34" customFormat="false" ht="15" hidden="false" customHeight="false" outlineLevel="0" collapsed="false">
      <c r="A34" s="29"/>
      <c r="B34" s="27"/>
      <c r="C34" s="28"/>
      <c r="D34" s="27"/>
      <c r="E34" s="32"/>
      <c r="F34" s="39"/>
      <c r="G34" s="39"/>
      <c r="H34" s="39"/>
      <c r="I34" s="40" t="str">
        <f aca="false">IF(OR($G34="",$F34=""),"",$G34-$F34)</f>
        <v/>
      </c>
      <c r="J34" s="40" t="str">
        <f aca="false">IF(OR($H34="",$F34=""),"",$H34-$F34)</f>
        <v/>
      </c>
      <c r="K34" s="32"/>
      <c r="L34" s="32"/>
      <c r="M34" s="32"/>
      <c r="N34" s="32"/>
      <c r="O34" s="41"/>
      <c r="P34" s="42" t="str">
        <f aca="false">IF(OR($N34="",$O34="",$O34=0),"",($N34/100)/$O34)</f>
        <v/>
      </c>
      <c r="Q34" s="43" t="str">
        <f aca="false">IF(OR($K34="",$L34="",$K34=0),"",($L34-$K34)/$K34)</f>
        <v/>
      </c>
      <c r="R34" s="32"/>
      <c r="S34" s="44" t="str">
        <f aca="false">IF(OR($L34="",$E34=""),"",60.7*$L34+45.3*$E34-2055)</f>
        <v/>
      </c>
      <c r="T34" s="45"/>
      <c r="U34" s="45"/>
      <c r="V34" s="45"/>
      <c r="W34" s="45"/>
      <c r="X34" s="32"/>
      <c r="Y34" s="32"/>
      <c r="Z34" s="39"/>
      <c r="AA34" s="46"/>
      <c r="AB34" s="42" t="str">
        <f aca="false">IF(OR($AA34="",$E34="",$E34=0),"",$AA34/$E34)</f>
        <v/>
      </c>
      <c r="AC34" s="27"/>
    </row>
    <row r="35" customFormat="false" ht="15" hidden="false" customHeight="false" outlineLevel="0" collapsed="false">
      <c r="A35" s="29"/>
      <c r="B35" s="27"/>
      <c r="C35" s="28"/>
      <c r="D35" s="27"/>
      <c r="E35" s="32"/>
      <c r="F35" s="39"/>
      <c r="G35" s="39"/>
      <c r="H35" s="39"/>
      <c r="I35" s="40" t="str">
        <f aca="false">IF(OR($G35="",$F35=""),"",$G35-$F35)</f>
        <v/>
      </c>
      <c r="J35" s="40" t="str">
        <f aca="false">IF(OR($H35="",$F35=""),"",$H35-$F35)</f>
        <v/>
      </c>
      <c r="K35" s="32"/>
      <c r="L35" s="32"/>
      <c r="M35" s="32"/>
      <c r="N35" s="32"/>
      <c r="O35" s="41"/>
      <c r="P35" s="42" t="str">
        <f aca="false">IF(OR($N35="",$O35="",$O35=0),"",($N35/100)/$O35)</f>
        <v/>
      </c>
      <c r="Q35" s="43" t="str">
        <f aca="false">IF(OR($K35="",$L35="",$K35=0),"",($L35-$K35)/$K35)</f>
        <v/>
      </c>
      <c r="R35" s="32"/>
      <c r="S35" s="44" t="str">
        <f aca="false">IF(OR($L35="",$E35=""),"",60.7*$L35+45.3*$E35-2055)</f>
        <v/>
      </c>
      <c r="T35" s="45"/>
      <c r="U35" s="45"/>
      <c r="V35" s="45"/>
      <c r="W35" s="45"/>
      <c r="X35" s="32"/>
      <c r="Y35" s="32"/>
      <c r="Z35" s="39"/>
      <c r="AA35" s="46"/>
      <c r="AB35" s="42" t="str">
        <f aca="false">IF(OR($AA35="",$E35="",$E35=0),"",$AA35/$E35)</f>
        <v/>
      </c>
      <c r="AC35" s="27"/>
    </row>
    <row r="36" customFormat="false" ht="15" hidden="false" customHeight="false" outlineLevel="0" collapsed="false">
      <c r="A36" s="29"/>
      <c r="B36" s="27"/>
      <c r="C36" s="28"/>
      <c r="D36" s="27"/>
      <c r="E36" s="32"/>
      <c r="F36" s="39"/>
      <c r="G36" s="39"/>
      <c r="H36" s="39"/>
      <c r="I36" s="40" t="str">
        <f aca="false">IF(OR($G36="",$F36=""),"",$G36-$F36)</f>
        <v/>
      </c>
      <c r="J36" s="40" t="str">
        <f aca="false">IF(OR($H36="",$F36=""),"",$H36-$F36)</f>
        <v/>
      </c>
      <c r="K36" s="32"/>
      <c r="L36" s="32"/>
      <c r="M36" s="32"/>
      <c r="N36" s="32"/>
      <c r="O36" s="41"/>
      <c r="P36" s="42" t="str">
        <f aca="false">IF(OR($N36="",$O36="",$O36=0),"",($N36/100)/$O36)</f>
        <v/>
      </c>
      <c r="Q36" s="43" t="str">
        <f aca="false">IF(OR($K36="",$L36="",$K36=0),"",($L36-$K36)/$K36)</f>
        <v/>
      </c>
      <c r="R36" s="32"/>
      <c r="S36" s="44" t="str">
        <f aca="false">IF(OR($L36="",$E36=""),"",60.7*$L36+45.3*$E36-2055)</f>
        <v/>
      </c>
      <c r="T36" s="45"/>
      <c r="U36" s="45"/>
      <c r="V36" s="45"/>
      <c r="W36" s="45"/>
      <c r="X36" s="32"/>
      <c r="Y36" s="32"/>
      <c r="Z36" s="39"/>
      <c r="AA36" s="46"/>
      <c r="AB36" s="42" t="str">
        <f aca="false">IF(OR($AA36="",$E36="",$E36=0),"",$AA36/$E36)</f>
        <v/>
      </c>
      <c r="AC36" s="27"/>
    </row>
    <row r="37" customFormat="false" ht="15" hidden="false" customHeight="false" outlineLevel="0" collapsed="false">
      <c r="A37" s="29"/>
      <c r="B37" s="27"/>
      <c r="C37" s="28"/>
      <c r="D37" s="27"/>
      <c r="E37" s="32"/>
      <c r="F37" s="39"/>
      <c r="G37" s="39"/>
      <c r="H37" s="39"/>
      <c r="I37" s="40" t="str">
        <f aca="false">IF(OR($G37="",$F37=""),"",$G37-$F37)</f>
        <v/>
      </c>
      <c r="J37" s="40" t="str">
        <f aca="false">IF(OR($H37="",$F37=""),"",$H37-$F37)</f>
        <v/>
      </c>
      <c r="K37" s="32"/>
      <c r="L37" s="32"/>
      <c r="M37" s="32"/>
      <c r="N37" s="32"/>
      <c r="O37" s="41"/>
      <c r="P37" s="42" t="str">
        <f aca="false">IF(OR($N37="",$O37="",$O37=0),"",($N37/100)/$O37)</f>
        <v/>
      </c>
      <c r="Q37" s="43" t="str">
        <f aca="false">IF(OR($K37="",$L37="",$K37=0),"",($L37-$K37)/$K37)</f>
        <v/>
      </c>
      <c r="R37" s="32"/>
      <c r="S37" s="44" t="str">
        <f aca="false">IF(OR($L37="",$E37=""),"",60.7*$L37+45.3*$E37-2055)</f>
        <v/>
      </c>
      <c r="T37" s="45"/>
      <c r="U37" s="45"/>
      <c r="V37" s="45"/>
      <c r="W37" s="45"/>
      <c r="X37" s="32"/>
      <c r="Y37" s="32"/>
      <c r="Z37" s="39"/>
      <c r="AA37" s="46"/>
      <c r="AB37" s="42" t="str">
        <f aca="false">IF(OR($AA37="",$E37="",$E37=0),"",$AA37/$E37)</f>
        <v/>
      </c>
      <c r="AC37" s="27"/>
    </row>
    <row r="38" customFormat="false" ht="15" hidden="false" customHeight="false" outlineLevel="0" collapsed="false">
      <c r="A38" s="29"/>
      <c r="B38" s="27"/>
      <c r="C38" s="28"/>
      <c r="D38" s="27"/>
      <c r="E38" s="32"/>
      <c r="F38" s="39"/>
      <c r="G38" s="39"/>
      <c r="H38" s="39"/>
      <c r="I38" s="40" t="str">
        <f aca="false">IF(OR($G38="",$F38=""),"",$G38-$F38)</f>
        <v/>
      </c>
      <c r="J38" s="40" t="str">
        <f aca="false">IF(OR($H38="",$F38=""),"",$H38-$F38)</f>
        <v/>
      </c>
      <c r="K38" s="32"/>
      <c r="L38" s="32"/>
      <c r="M38" s="32"/>
      <c r="N38" s="32"/>
      <c r="O38" s="41"/>
      <c r="P38" s="42" t="str">
        <f aca="false">IF(OR($N38="",$O38="",$O38=0),"",($N38/100)/$O38)</f>
        <v/>
      </c>
      <c r="Q38" s="43" t="str">
        <f aca="false">IF(OR($K38="",$L38="",$K38=0),"",($L38-$K38)/$K38)</f>
        <v/>
      </c>
      <c r="R38" s="32"/>
      <c r="S38" s="44" t="str">
        <f aca="false">IF(OR($L38="",$E38=""),"",60.7*$L38+45.3*$E38-2055)</f>
        <v/>
      </c>
      <c r="T38" s="45"/>
      <c r="U38" s="45"/>
      <c r="V38" s="45"/>
      <c r="W38" s="45"/>
      <c r="X38" s="32"/>
      <c r="Y38" s="32"/>
      <c r="Z38" s="39"/>
      <c r="AA38" s="46"/>
      <c r="AB38" s="42" t="str">
        <f aca="false">IF(OR($AA38="",$E38="",$E38=0),"",$AA38/$E38)</f>
        <v/>
      </c>
      <c r="AC38" s="27"/>
    </row>
    <row r="39" customFormat="false" ht="15" hidden="false" customHeight="false" outlineLevel="0" collapsed="false">
      <c r="A39" s="29"/>
      <c r="B39" s="27"/>
      <c r="C39" s="28"/>
      <c r="D39" s="27"/>
      <c r="E39" s="32"/>
      <c r="F39" s="39"/>
      <c r="G39" s="39"/>
      <c r="H39" s="39"/>
      <c r="I39" s="40" t="str">
        <f aca="false">IF(OR($G39="",$F39=""),"",$G39-$F39)</f>
        <v/>
      </c>
      <c r="J39" s="40" t="str">
        <f aca="false">IF(OR($H39="",$F39=""),"",$H39-$F39)</f>
        <v/>
      </c>
      <c r="K39" s="32"/>
      <c r="L39" s="32"/>
      <c r="M39" s="32"/>
      <c r="N39" s="32"/>
      <c r="O39" s="41"/>
      <c r="P39" s="42" t="str">
        <f aca="false">IF(OR($N39="",$O39="",$O39=0),"",($N39/100)/$O39)</f>
        <v/>
      </c>
      <c r="Q39" s="43" t="str">
        <f aca="false">IF(OR($K39="",$L39="",$K39=0),"",($L39-$K39)/$K39)</f>
        <v/>
      </c>
      <c r="R39" s="32"/>
      <c r="S39" s="44" t="str">
        <f aca="false">IF(OR($L39="",$E39=""),"",60.7*$L39+45.3*$E39-2055)</f>
        <v/>
      </c>
      <c r="T39" s="45"/>
      <c r="U39" s="45"/>
      <c r="V39" s="45"/>
      <c r="W39" s="45"/>
      <c r="X39" s="32"/>
      <c r="Y39" s="32"/>
      <c r="Z39" s="39"/>
      <c r="AA39" s="46"/>
      <c r="AB39" s="42" t="str">
        <f aca="false">IF(OR($AA39="",$E39="",$E39=0),"",$AA39/$E39)</f>
        <v/>
      </c>
      <c r="AC39" s="27"/>
    </row>
    <row r="40" customFormat="false" ht="15" hidden="false" customHeight="false" outlineLevel="0" collapsed="false">
      <c r="A40" s="29"/>
      <c r="B40" s="27"/>
      <c r="C40" s="28"/>
      <c r="D40" s="27"/>
      <c r="E40" s="32"/>
      <c r="F40" s="39"/>
      <c r="G40" s="39"/>
      <c r="H40" s="39"/>
      <c r="I40" s="40" t="str">
        <f aca="false">IF(OR($G40="",$F40=""),"",$G40-$F40)</f>
        <v/>
      </c>
      <c r="J40" s="40" t="str">
        <f aca="false">IF(OR($H40="",$F40=""),"",$H40-$F40)</f>
        <v/>
      </c>
      <c r="K40" s="32"/>
      <c r="L40" s="32"/>
      <c r="M40" s="32"/>
      <c r="N40" s="32"/>
      <c r="O40" s="41"/>
      <c r="P40" s="42" t="str">
        <f aca="false">IF(OR($N40="",$O40="",$O40=0),"",($N40/100)/$O40)</f>
        <v/>
      </c>
      <c r="Q40" s="43" t="str">
        <f aca="false">IF(OR($K40="",$L40="",$K40=0),"",($L40-$K40)/$K40)</f>
        <v/>
      </c>
      <c r="R40" s="32"/>
      <c r="S40" s="44" t="str">
        <f aca="false">IF(OR($L40="",$E40=""),"",60.7*$L40+45.3*$E40-2055)</f>
        <v/>
      </c>
      <c r="T40" s="45"/>
      <c r="U40" s="45"/>
      <c r="V40" s="45"/>
      <c r="W40" s="45"/>
      <c r="X40" s="32"/>
      <c r="Y40" s="32"/>
      <c r="Z40" s="39"/>
      <c r="AA40" s="46"/>
      <c r="AB40" s="42" t="str">
        <f aca="false">IF(OR($AA40="",$E40="",$E40=0),"",$AA40/$E40)</f>
        <v/>
      </c>
      <c r="AC40" s="27"/>
    </row>
    <row r="41" customFormat="false" ht="15" hidden="false" customHeight="false" outlineLevel="0" collapsed="false">
      <c r="A41" s="29"/>
      <c r="B41" s="27"/>
      <c r="C41" s="28"/>
      <c r="D41" s="27"/>
      <c r="E41" s="32"/>
      <c r="F41" s="39"/>
      <c r="G41" s="39"/>
      <c r="H41" s="39"/>
      <c r="I41" s="40" t="str">
        <f aca="false">IF(OR($G41="",$F41=""),"",$G41-$F41)</f>
        <v/>
      </c>
      <c r="J41" s="40" t="str">
        <f aca="false">IF(OR($H41="",$F41=""),"",$H41-$F41)</f>
        <v/>
      </c>
      <c r="K41" s="32"/>
      <c r="L41" s="32"/>
      <c r="M41" s="32"/>
      <c r="N41" s="32"/>
      <c r="O41" s="41"/>
      <c r="P41" s="42" t="str">
        <f aca="false">IF(OR($N41="",$O41="",$O41=0),"",($N41/100)/$O41)</f>
        <v/>
      </c>
      <c r="Q41" s="43" t="str">
        <f aca="false">IF(OR($K41="",$L41="",$K41=0),"",($L41-$K41)/$K41)</f>
        <v/>
      </c>
      <c r="R41" s="32"/>
      <c r="S41" s="44" t="str">
        <f aca="false">IF(OR($L41="",$E41=""),"",60.7*$L41+45.3*$E41-2055)</f>
        <v/>
      </c>
      <c r="T41" s="45"/>
      <c r="U41" s="45"/>
      <c r="V41" s="45"/>
      <c r="W41" s="45"/>
      <c r="X41" s="32"/>
      <c r="Y41" s="32"/>
      <c r="Z41" s="39"/>
      <c r="AA41" s="46"/>
      <c r="AB41" s="42" t="str">
        <f aca="false">IF(OR($AA41="",$E41="",$E41=0),"",$AA41/$E41)</f>
        <v/>
      </c>
      <c r="AC41" s="27"/>
    </row>
    <row r="42" customFormat="false" ht="15" hidden="false" customHeight="false" outlineLevel="0" collapsed="false">
      <c r="A42" s="29"/>
      <c r="B42" s="27"/>
      <c r="C42" s="28"/>
      <c r="D42" s="27"/>
      <c r="E42" s="32"/>
      <c r="F42" s="39"/>
      <c r="G42" s="39"/>
      <c r="H42" s="39"/>
      <c r="I42" s="40" t="str">
        <f aca="false">IF(OR($G42="",$F42=""),"",$G42-$F42)</f>
        <v/>
      </c>
      <c r="J42" s="40" t="str">
        <f aca="false">IF(OR($H42="",$F42=""),"",$H42-$F42)</f>
        <v/>
      </c>
      <c r="K42" s="32"/>
      <c r="L42" s="32"/>
      <c r="M42" s="32"/>
      <c r="N42" s="32"/>
      <c r="O42" s="41"/>
      <c r="P42" s="42" t="str">
        <f aca="false">IF(OR($N42="",$O42="",$O42=0),"",($N42/100)/$O42)</f>
        <v/>
      </c>
      <c r="Q42" s="43" t="str">
        <f aca="false">IF(OR($K42="",$L42="",$K42=0),"",($L42-$K42)/$K42)</f>
        <v/>
      </c>
      <c r="R42" s="32"/>
      <c r="S42" s="44" t="str">
        <f aca="false">IF(OR($L42="",$E42=""),"",60.7*$L42+45.3*$E42-2055)</f>
        <v/>
      </c>
      <c r="T42" s="45"/>
      <c r="U42" s="45"/>
      <c r="V42" s="45"/>
      <c r="W42" s="45"/>
      <c r="X42" s="32"/>
      <c r="Y42" s="32"/>
      <c r="Z42" s="39"/>
      <c r="AA42" s="46"/>
      <c r="AB42" s="42" t="str">
        <f aca="false">IF(OR($AA42="",$E42="",$E42=0),"",$AA42/$E42)</f>
        <v/>
      </c>
      <c r="AC42" s="27"/>
    </row>
    <row r="43" customFormat="false" ht="15" hidden="false" customHeight="false" outlineLevel="0" collapsed="false">
      <c r="A43" s="29"/>
      <c r="B43" s="27"/>
      <c r="C43" s="28"/>
      <c r="D43" s="27"/>
      <c r="E43" s="32"/>
      <c r="F43" s="39"/>
      <c r="G43" s="39"/>
      <c r="H43" s="39"/>
      <c r="I43" s="40" t="str">
        <f aca="false">IF(OR($G43="",$F43=""),"",$G43-$F43)</f>
        <v/>
      </c>
      <c r="J43" s="40" t="str">
        <f aca="false">IF(OR($H43="",$F43=""),"",$H43-$F43)</f>
        <v/>
      </c>
      <c r="K43" s="32"/>
      <c r="L43" s="32"/>
      <c r="M43" s="32"/>
      <c r="N43" s="32"/>
      <c r="O43" s="41"/>
      <c r="P43" s="42" t="str">
        <f aca="false">IF(OR($N43="",$O43="",$O43=0),"",($N43/100)/$O43)</f>
        <v/>
      </c>
      <c r="Q43" s="43" t="str">
        <f aca="false">IF(OR($K43="",$L43="",$K43=0),"",($L43-$K43)/$K43)</f>
        <v/>
      </c>
      <c r="R43" s="32"/>
      <c r="S43" s="44" t="str">
        <f aca="false">IF(OR($L43="",$E43=""),"",60.7*$L43+45.3*$E43-2055)</f>
        <v/>
      </c>
      <c r="T43" s="45"/>
      <c r="U43" s="45"/>
      <c r="V43" s="45"/>
      <c r="W43" s="45"/>
      <c r="X43" s="32"/>
      <c r="Y43" s="32"/>
      <c r="Z43" s="39"/>
      <c r="AA43" s="46"/>
      <c r="AB43" s="42" t="str">
        <f aca="false">IF(OR($AA43="",$E43="",$E43=0),"",$AA43/$E43)</f>
        <v/>
      </c>
      <c r="AC43" s="27"/>
    </row>
    <row r="44" customFormat="false" ht="15" hidden="false" customHeight="false" outlineLevel="0" collapsed="false">
      <c r="A44" s="29"/>
      <c r="B44" s="27"/>
      <c r="C44" s="28"/>
      <c r="D44" s="27"/>
      <c r="E44" s="32"/>
      <c r="F44" s="39"/>
      <c r="G44" s="39"/>
      <c r="H44" s="39"/>
      <c r="I44" s="40" t="str">
        <f aca="false">IF(OR($G44="",$F44=""),"",$G44-$F44)</f>
        <v/>
      </c>
      <c r="J44" s="40" t="str">
        <f aca="false">IF(OR($H44="",$F44=""),"",$H44-$F44)</f>
        <v/>
      </c>
      <c r="K44" s="32"/>
      <c r="L44" s="32"/>
      <c r="M44" s="32"/>
      <c r="N44" s="32"/>
      <c r="O44" s="41"/>
      <c r="P44" s="42" t="str">
        <f aca="false">IF(OR($N44="",$O44="",$O44=0),"",($N44/100)/$O44)</f>
        <v/>
      </c>
      <c r="Q44" s="43" t="str">
        <f aca="false">IF(OR($K44="",$L44="",$K44=0),"",($L44-$K44)/$K44)</f>
        <v/>
      </c>
      <c r="R44" s="32"/>
      <c r="S44" s="44" t="str">
        <f aca="false">IF(OR($L44="",$E44=""),"",60.7*$L44+45.3*$E44-2055)</f>
        <v/>
      </c>
      <c r="T44" s="45"/>
      <c r="U44" s="45"/>
      <c r="V44" s="45"/>
      <c r="W44" s="45"/>
      <c r="X44" s="32"/>
      <c r="Y44" s="32"/>
      <c r="Z44" s="39"/>
      <c r="AA44" s="46"/>
      <c r="AB44" s="42" t="str">
        <f aca="false">IF(OR($AA44="",$E44="",$E44=0),"",$AA44/$E44)</f>
        <v/>
      </c>
      <c r="AC44" s="27"/>
    </row>
    <row r="45" customFormat="false" ht="15" hidden="false" customHeight="false" outlineLevel="0" collapsed="false">
      <c r="A45" s="29"/>
      <c r="B45" s="27"/>
      <c r="C45" s="28"/>
      <c r="D45" s="27"/>
      <c r="E45" s="32"/>
      <c r="F45" s="39"/>
      <c r="G45" s="39"/>
      <c r="H45" s="39"/>
      <c r="I45" s="40" t="str">
        <f aca="false">IF(OR($G45="",$F45=""),"",$G45-$F45)</f>
        <v/>
      </c>
      <c r="J45" s="40" t="str">
        <f aca="false">IF(OR($H45="",$F45=""),"",$H45-$F45)</f>
        <v/>
      </c>
      <c r="K45" s="32"/>
      <c r="L45" s="32"/>
      <c r="M45" s="32"/>
      <c r="N45" s="32"/>
      <c r="O45" s="41"/>
      <c r="P45" s="42" t="str">
        <f aca="false">IF(OR($N45="",$O45="",$O45=0),"",($N45/100)/$O45)</f>
        <v/>
      </c>
      <c r="Q45" s="43" t="str">
        <f aca="false">IF(OR($K45="",$L45="",$K45=0),"",($L45-$K45)/$K45)</f>
        <v/>
      </c>
      <c r="R45" s="32"/>
      <c r="S45" s="44" t="str">
        <f aca="false">IF(OR($L45="",$E45=""),"",60.7*$L45+45.3*$E45-2055)</f>
        <v/>
      </c>
      <c r="T45" s="45"/>
      <c r="U45" s="45"/>
      <c r="V45" s="45"/>
      <c r="W45" s="45"/>
      <c r="X45" s="32"/>
      <c r="Y45" s="32"/>
      <c r="Z45" s="39"/>
      <c r="AA45" s="46"/>
      <c r="AB45" s="42" t="str">
        <f aca="false">IF(OR($AA45="",$E45="",$E45=0),"",$AA45/$E45)</f>
        <v/>
      </c>
      <c r="AC45" s="27"/>
    </row>
    <row r="46" customFormat="false" ht="15" hidden="false" customHeight="false" outlineLevel="0" collapsed="false">
      <c r="A46" s="29"/>
      <c r="B46" s="27"/>
      <c r="C46" s="28"/>
      <c r="D46" s="27"/>
      <c r="E46" s="32"/>
      <c r="F46" s="39"/>
      <c r="G46" s="39"/>
      <c r="H46" s="39"/>
      <c r="I46" s="40" t="str">
        <f aca="false">IF(OR($G46="",$F46=""),"",$G46-$F46)</f>
        <v/>
      </c>
      <c r="J46" s="40" t="str">
        <f aca="false">IF(OR($H46="",$F46=""),"",$H46-$F46)</f>
        <v/>
      </c>
      <c r="K46" s="32"/>
      <c r="L46" s="32"/>
      <c r="M46" s="32"/>
      <c r="N46" s="32"/>
      <c r="O46" s="41"/>
      <c r="P46" s="42" t="str">
        <f aca="false">IF(OR($N46="",$O46="",$O46=0),"",($N46/100)/$O46)</f>
        <v/>
      </c>
      <c r="Q46" s="43" t="str">
        <f aca="false">IF(OR($K46="",$L46="",$K46=0),"",($L46-$K46)/$K46)</f>
        <v/>
      </c>
      <c r="R46" s="32"/>
      <c r="S46" s="44" t="str">
        <f aca="false">IF(OR($L46="",$E46=""),"",60.7*$L46+45.3*$E46-2055)</f>
        <v/>
      </c>
      <c r="T46" s="45"/>
      <c r="U46" s="45"/>
      <c r="V46" s="45"/>
      <c r="W46" s="45"/>
      <c r="X46" s="32"/>
      <c r="Y46" s="32"/>
      <c r="Z46" s="39"/>
      <c r="AA46" s="46"/>
      <c r="AB46" s="42" t="str">
        <f aca="false">IF(OR($AA46="",$E46="",$E46=0),"",$AA46/$E46)</f>
        <v/>
      </c>
      <c r="AC46" s="27"/>
    </row>
    <row r="47" customFormat="false" ht="15" hidden="false" customHeight="false" outlineLevel="0" collapsed="false">
      <c r="A47" s="29"/>
      <c r="B47" s="27"/>
      <c r="C47" s="28"/>
      <c r="D47" s="27"/>
      <c r="E47" s="32"/>
      <c r="F47" s="39"/>
      <c r="G47" s="39"/>
      <c r="H47" s="39"/>
      <c r="I47" s="40" t="str">
        <f aca="false">IF(OR($G47="",$F47=""),"",$G47-$F47)</f>
        <v/>
      </c>
      <c r="J47" s="40" t="str">
        <f aca="false">IF(OR($H47="",$F47=""),"",$H47-$F47)</f>
        <v/>
      </c>
      <c r="K47" s="32"/>
      <c r="L47" s="32"/>
      <c r="M47" s="32"/>
      <c r="N47" s="32"/>
      <c r="O47" s="41"/>
      <c r="P47" s="42" t="str">
        <f aca="false">IF(OR($N47="",$O47="",$O47=0),"",($N47/100)/$O47)</f>
        <v/>
      </c>
      <c r="Q47" s="43" t="str">
        <f aca="false">IF(OR($K47="",$L47="",$K47=0),"",($L47-$K47)/$K47)</f>
        <v/>
      </c>
      <c r="R47" s="32"/>
      <c r="S47" s="44" t="str">
        <f aca="false">IF(OR($L47="",$E47=""),"",60.7*$L47+45.3*$E47-2055)</f>
        <v/>
      </c>
      <c r="T47" s="45"/>
      <c r="U47" s="45"/>
      <c r="V47" s="45"/>
      <c r="W47" s="45"/>
      <c r="X47" s="32"/>
      <c r="Y47" s="32"/>
      <c r="Z47" s="39"/>
      <c r="AA47" s="46"/>
      <c r="AB47" s="42" t="str">
        <f aca="false">IF(OR($AA47="",$E47="",$E47=0),"",$AA47/$E47)</f>
        <v/>
      </c>
      <c r="AC47" s="27"/>
    </row>
    <row r="48" customFormat="false" ht="15" hidden="false" customHeight="false" outlineLevel="0" collapsed="false">
      <c r="A48" s="29"/>
      <c r="B48" s="27"/>
      <c r="C48" s="28"/>
      <c r="D48" s="27"/>
      <c r="E48" s="32"/>
      <c r="F48" s="39"/>
      <c r="G48" s="39"/>
      <c r="H48" s="39"/>
      <c r="I48" s="40" t="str">
        <f aca="false">IF(OR($G48="",$F48=""),"",$G48-$F48)</f>
        <v/>
      </c>
      <c r="J48" s="40" t="str">
        <f aca="false">IF(OR($H48="",$F48=""),"",$H48-$F48)</f>
        <v/>
      </c>
      <c r="K48" s="32"/>
      <c r="L48" s="32"/>
      <c r="M48" s="32"/>
      <c r="N48" s="32"/>
      <c r="O48" s="41"/>
      <c r="P48" s="42" t="str">
        <f aca="false">IF(OR($N48="",$O48="",$O48=0),"",($N48/100)/$O48)</f>
        <v/>
      </c>
      <c r="Q48" s="43" t="str">
        <f aca="false">IF(OR($K48="",$L48="",$K48=0),"",($L48-$K48)/$K48)</f>
        <v/>
      </c>
      <c r="R48" s="32"/>
      <c r="S48" s="44" t="str">
        <f aca="false">IF(OR($L48="",$E48=""),"",60.7*$L48+45.3*$E48-2055)</f>
        <v/>
      </c>
      <c r="T48" s="45"/>
      <c r="U48" s="45"/>
      <c r="V48" s="45"/>
      <c r="W48" s="45"/>
      <c r="X48" s="32"/>
      <c r="Y48" s="32"/>
      <c r="Z48" s="39"/>
      <c r="AA48" s="46"/>
      <c r="AB48" s="42" t="str">
        <f aca="false">IF(OR($AA48="",$E48="",$E48=0),"",$AA48/$E48)</f>
        <v/>
      </c>
      <c r="AC48" s="27"/>
    </row>
    <row r="49" customFormat="false" ht="15" hidden="false" customHeight="false" outlineLevel="0" collapsed="false">
      <c r="A49" s="29"/>
      <c r="B49" s="27"/>
      <c r="C49" s="28"/>
      <c r="D49" s="27"/>
      <c r="E49" s="32"/>
      <c r="F49" s="39"/>
      <c r="G49" s="39"/>
      <c r="H49" s="39"/>
      <c r="I49" s="40" t="str">
        <f aca="false">IF(OR($G49="",$F49=""),"",$G49-$F49)</f>
        <v/>
      </c>
      <c r="J49" s="40" t="str">
        <f aca="false">IF(OR($H49="",$F49=""),"",$H49-$F49)</f>
        <v/>
      </c>
      <c r="K49" s="32"/>
      <c r="L49" s="32"/>
      <c r="M49" s="32"/>
      <c r="N49" s="32"/>
      <c r="O49" s="41"/>
      <c r="P49" s="42" t="str">
        <f aca="false">IF(OR($N49="",$O49="",$O49=0),"",($N49/100)/$O49)</f>
        <v/>
      </c>
      <c r="Q49" s="43" t="str">
        <f aca="false">IF(OR($K49="",$L49="",$K49=0),"",($L49-$K49)/$K49)</f>
        <v/>
      </c>
      <c r="R49" s="32"/>
      <c r="S49" s="44" t="str">
        <f aca="false">IF(OR($L49="",$E49=""),"",60.7*$L49+45.3*$E49-2055)</f>
        <v/>
      </c>
      <c r="T49" s="45"/>
      <c r="U49" s="45"/>
      <c r="V49" s="45"/>
      <c r="W49" s="45"/>
      <c r="X49" s="32"/>
      <c r="Y49" s="32"/>
      <c r="Z49" s="39"/>
      <c r="AA49" s="46"/>
      <c r="AB49" s="42" t="str">
        <f aca="false">IF(OR($AA49="",$E49="",$E49=0),"",$AA49/$E49)</f>
        <v/>
      </c>
      <c r="AC49" s="27"/>
    </row>
    <row r="50" customFormat="false" ht="15" hidden="false" customHeight="false" outlineLevel="0" collapsed="false">
      <c r="A50" s="29"/>
      <c r="B50" s="27"/>
      <c r="C50" s="28"/>
      <c r="D50" s="27"/>
      <c r="E50" s="32"/>
      <c r="F50" s="39"/>
      <c r="G50" s="39"/>
      <c r="H50" s="39"/>
      <c r="I50" s="40" t="str">
        <f aca="false">IF(OR($G50="",$F50=""),"",$G50-$F50)</f>
        <v/>
      </c>
      <c r="J50" s="40" t="str">
        <f aca="false">IF(OR($H50="",$F50=""),"",$H50-$F50)</f>
        <v/>
      </c>
      <c r="K50" s="32"/>
      <c r="L50" s="32"/>
      <c r="M50" s="32"/>
      <c r="N50" s="32"/>
      <c r="O50" s="41"/>
      <c r="P50" s="42" t="str">
        <f aca="false">IF(OR($N50="",$O50="",$O50=0),"",($N50/100)/$O50)</f>
        <v/>
      </c>
      <c r="Q50" s="43" t="str">
        <f aca="false">IF(OR($K50="",$L50="",$K50=0),"",($L50-$K50)/$K50)</f>
        <v/>
      </c>
      <c r="R50" s="32"/>
      <c r="S50" s="44" t="str">
        <f aca="false">IF(OR($L50="",$E50=""),"",60.7*$L50+45.3*$E50-2055)</f>
        <v/>
      </c>
      <c r="T50" s="45"/>
      <c r="U50" s="45"/>
      <c r="V50" s="45"/>
      <c r="W50" s="45"/>
      <c r="X50" s="32"/>
      <c r="Y50" s="32"/>
      <c r="Z50" s="39"/>
      <c r="AA50" s="46"/>
      <c r="AB50" s="42" t="str">
        <f aca="false">IF(OR($AA50="",$E50="",$E50=0),"",$AA50/$E50)</f>
        <v/>
      </c>
      <c r="AC50" s="27"/>
    </row>
    <row r="51" customFormat="false" ht="15" hidden="false" customHeight="false" outlineLevel="0" collapsed="false">
      <c r="A51" s="29"/>
      <c r="B51" s="27"/>
      <c r="C51" s="28"/>
      <c r="D51" s="27"/>
      <c r="E51" s="32"/>
      <c r="F51" s="39"/>
      <c r="G51" s="39"/>
      <c r="H51" s="39"/>
      <c r="I51" s="40" t="str">
        <f aca="false">IF(OR($G51="",$F51=""),"",$G51-$F51)</f>
        <v/>
      </c>
      <c r="J51" s="40" t="str">
        <f aca="false">IF(OR($H51="",$F51=""),"",$H51-$F51)</f>
        <v/>
      </c>
      <c r="K51" s="32"/>
      <c r="L51" s="32"/>
      <c r="M51" s="32"/>
      <c r="N51" s="32"/>
      <c r="O51" s="41"/>
      <c r="P51" s="42" t="str">
        <f aca="false">IF(OR($N51="",$O51="",$O51=0),"",($N51/100)/$O51)</f>
        <v/>
      </c>
      <c r="Q51" s="43" t="str">
        <f aca="false">IF(OR($K51="",$L51="",$K51=0),"",($L51-$K51)/$K51)</f>
        <v/>
      </c>
      <c r="R51" s="32"/>
      <c r="S51" s="44" t="str">
        <f aca="false">IF(OR($L51="",$E51=""),"",60.7*$L51+45.3*$E51-2055)</f>
        <v/>
      </c>
      <c r="T51" s="45"/>
      <c r="U51" s="45"/>
      <c r="V51" s="45"/>
      <c r="W51" s="45"/>
      <c r="X51" s="32"/>
      <c r="Y51" s="32"/>
      <c r="Z51" s="39"/>
      <c r="AA51" s="46"/>
      <c r="AB51" s="42" t="str">
        <f aca="false">IF(OR($AA51="",$E51="",$E51=0),"",$AA51/$E51)</f>
        <v/>
      </c>
      <c r="AC51" s="27"/>
    </row>
    <row r="52" customFormat="false" ht="15" hidden="false" customHeight="false" outlineLevel="0" collapsed="false">
      <c r="A52" s="29"/>
      <c r="B52" s="27"/>
      <c r="C52" s="28"/>
      <c r="D52" s="27"/>
      <c r="E52" s="32"/>
      <c r="F52" s="39"/>
      <c r="G52" s="39"/>
      <c r="H52" s="39"/>
      <c r="I52" s="40" t="str">
        <f aca="false">IF(OR($G52="",$F52=""),"",$G52-$F52)</f>
        <v/>
      </c>
      <c r="J52" s="40" t="str">
        <f aca="false">IF(OR($H52="",$F52=""),"",$H52-$F52)</f>
        <v/>
      </c>
      <c r="K52" s="32"/>
      <c r="L52" s="32"/>
      <c r="M52" s="32"/>
      <c r="N52" s="32"/>
      <c r="O52" s="41"/>
      <c r="P52" s="42" t="str">
        <f aca="false">IF(OR($N52="",$O52="",$O52=0),"",($N52/100)/$O52)</f>
        <v/>
      </c>
      <c r="Q52" s="43" t="str">
        <f aca="false">IF(OR($K52="",$L52="",$K52=0),"",($L52-$K52)/$K52)</f>
        <v/>
      </c>
      <c r="R52" s="32"/>
      <c r="S52" s="44" t="str">
        <f aca="false">IF(OR($L52="",$E52=""),"",60.7*$L52+45.3*$E52-2055)</f>
        <v/>
      </c>
      <c r="T52" s="45"/>
      <c r="U52" s="45"/>
      <c r="V52" s="45"/>
      <c r="W52" s="45"/>
      <c r="X52" s="32"/>
      <c r="Y52" s="32"/>
      <c r="Z52" s="39"/>
      <c r="AA52" s="46"/>
      <c r="AB52" s="42" t="str">
        <f aca="false">IF(OR($AA52="",$E52="",$E52=0),"",$AA52/$E52)</f>
        <v/>
      </c>
      <c r="AC52" s="27"/>
    </row>
    <row r="53" customFormat="false" ht="15" hidden="false" customHeight="false" outlineLevel="0" collapsed="false">
      <c r="A53" s="29"/>
      <c r="B53" s="27"/>
      <c r="C53" s="28"/>
      <c r="D53" s="27"/>
      <c r="E53" s="32"/>
      <c r="F53" s="39"/>
      <c r="G53" s="39"/>
      <c r="H53" s="39"/>
      <c r="I53" s="40" t="str">
        <f aca="false">IF(OR($G53="",$F53=""),"",$G53-$F53)</f>
        <v/>
      </c>
      <c r="J53" s="40" t="str">
        <f aca="false">IF(OR($H53="",$F53=""),"",$H53-$F53)</f>
        <v/>
      </c>
      <c r="K53" s="32"/>
      <c r="L53" s="32"/>
      <c r="M53" s="32"/>
      <c r="N53" s="32"/>
      <c r="O53" s="41"/>
      <c r="P53" s="42" t="str">
        <f aca="false">IF(OR($N53="",$O53="",$O53=0),"",($N53/100)/$O53)</f>
        <v/>
      </c>
      <c r="Q53" s="43" t="str">
        <f aca="false">IF(OR($K53="",$L53="",$K53=0),"",($L53-$K53)/$K53)</f>
        <v/>
      </c>
      <c r="R53" s="32"/>
      <c r="S53" s="44" t="str">
        <f aca="false">IF(OR($L53="",$E53=""),"",60.7*$L53+45.3*$E53-2055)</f>
        <v/>
      </c>
      <c r="T53" s="45"/>
      <c r="U53" s="45"/>
      <c r="V53" s="45"/>
      <c r="W53" s="45"/>
      <c r="X53" s="32"/>
      <c r="Y53" s="32"/>
      <c r="Z53" s="39"/>
      <c r="AA53" s="46"/>
      <c r="AB53" s="42" t="str">
        <f aca="false">IF(OR($AA53="",$E53="",$E53=0),"",$AA53/$E53)</f>
        <v/>
      </c>
      <c r="AC53" s="27"/>
    </row>
    <row r="54" customFormat="false" ht="15" hidden="false" customHeight="false" outlineLevel="0" collapsed="false">
      <c r="A54" s="29"/>
      <c r="B54" s="27"/>
      <c r="C54" s="28"/>
      <c r="D54" s="27"/>
      <c r="E54" s="32"/>
      <c r="F54" s="39"/>
      <c r="G54" s="39"/>
      <c r="H54" s="39"/>
      <c r="I54" s="40" t="str">
        <f aca="false">IF(OR($G54="",$F54=""),"",$G54-$F54)</f>
        <v/>
      </c>
      <c r="J54" s="40" t="str">
        <f aca="false">IF(OR($H54="",$F54=""),"",$H54-$F54)</f>
        <v/>
      </c>
      <c r="K54" s="32"/>
      <c r="L54" s="32"/>
      <c r="M54" s="32"/>
      <c r="N54" s="32"/>
      <c r="O54" s="41"/>
      <c r="P54" s="42" t="str">
        <f aca="false">IF(OR($N54="",$O54="",$O54=0),"",($N54/100)/$O54)</f>
        <v/>
      </c>
      <c r="Q54" s="43" t="str">
        <f aca="false">IF(OR($K54="",$L54="",$K54=0),"",($L54-$K54)/$K54)</f>
        <v/>
      </c>
      <c r="R54" s="32"/>
      <c r="S54" s="44" t="str">
        <f aca="false">IF(OR($L54="",$E54=""),"",60.7*$L54+45.3*$E54-2055)</f>
        <v/>
      </c>
      <c r="T54" s="45"/>
      <c r="U54" s="45"/>
      <c r="V54" s="45"/>
      <c r="W54" s="45"/>
      <c r="X54" s="32"/>
      <c r="Y54" s="32"/>
      <c r="Z54" s="39"/>
      <c r="AA54" s="46"/>
      <c r="AB54" s="42" t="str">
        <f aca="false">IF(OR($AA54="",$E54="",$E54=0),"",$AA54/$E54)</f>
        <v/>
      </c>
      <c r="AC54" s="27"/>
    </row>
    <row r="55" customFormat="false" ht="15" hidden="false" customHeight="false" outlineLevel="0" collapsed="false">
      <c r="A55" s="29"/>
      <c r="B55" s="27"/>
      <c r="C55" s="28"/>
      <c r="D55" s="27"/>
      <c r="E55" s="32"/>
      <c r="F55" s="39"/>
      <c r="G55" s="39"/>
      <c r="H55" s="39"/>
      <c r="I55" s="40" t="str">
        <f aca="false">IF(OR($G55="",$F55=""),"",$G55-$F55)</f>
        <v/>
      </c>
      <c r="J55" s="40" t="str">
        <f aca="false">IF(OR($H55="",$F55=""),"",$H55-$F55)</f>
        <v/>
      </c>
      <c r="K55" s="32"/>
      <c r="L55" s="32"/>
      <c r="M55" s="32"/>
      <c r="N55" s="32"/>
      <c r="O55" s="41"/>
      <c r="P55" s="42" t="str">
        <f aca="false">IF(OR($N55="",$O55="",$O55=0),"",($N55/100)/$O55)</f>
        <v/>
      </c>
      <c r="Q55" s="43" t="str">
        <f aca="false">IF(OR($K55="",$L55="",$K55=0),"",($L55-$K55)/$K55)</f>
        <v/>
      </c>
      <c r="R55" s="32"/>
      <c r="S55" s="44" t="str">
        <f aca="false">IF(OR($L55="",$E55=""),"",60.7*$L55+45.3*$E55-2055)</f>
        <v/>
      </c>
      <c r="T55" s="45"/>
      <c r="U55" s="45"/>
      <c r="V55" s="45"/>
      <c r="W55" s="45"/>
      <c r="X55" s="32"/>
      <c r="Y55" s="32"/>
      <c r="Z55" s="39"/>
      <c r="AA55" s="46"/>
      <c r="AB55" s="42" t="str">
        <f aca="false">IF(OR($AA55="",$E55="",$E55=0),"",$AA55/$E55)</f>
        <v/>
      </c>
      <c r="AC55" s="27"/>
    </row>
    <row r="56" customFormat="false" ht="15" hidden="false" customHeight="false" outlineLevel="0" collapsed="false">
      <c r="A56" s="29"/>
      <c r="B56" s="27"/>
      <c r="C56" s="28"/>
      <c r="D56" s="27"/>
      <c r="E56" s="32"/>
      <c r="F56" s="39"/>
      <c r="G56" s="39"/>
      <c r="H56" s="39"/>
      <c r="I56" s="40" t="str">
        <f aca="false">IF(OR($G56="",$F56=""),"",$G56-$F56)</f>
        <v/>
      </c>
      <c r="J56" s="40" t="str">
        <f aca="false">IF(OR($H56="",$F56=""),"",$H56-$F56)</f>
        <v/>
      </c>
      <c r="K56" s="32"/>
      <c r="L56" s="32"/>
      <c r="M56" s="32"/>
      <c r="N56" s="32"/>
      <c r="O56" s="41"/>
      <c r="P56" s="42" t="str">
        <f aca="false">IF(OR($N56="",$O56="",$O56=0),"",($N56/100)/$O56)</f>
        <v/>
      </c>
      <c r="Q56" s="43" t="str">
        <f aca="false">IF(OR($K56="",$L56="",$K56=0),"",($L56-$K56)/$K56)</f>
        <v/>
      </c>
      <c r="R56" s="32"/>
      <c r="S56" s="44" t="str">
        <f aca="false">IF(OR($L56="",$E56=""),"",60.7*$L56+45.3*$E56-2055)</f>
        <v/>
      </c>
      <c r="T56" s="45"/>
      <c r="U56" s="45"/>
      <c r="V56" s="45"/>
      <c r="W56" s="45"/>
      <c r="X56" s="32"/>
      <c r="Y56" s="32"/>
      <c r="Z56" s="39"/>
      <c r="AA56" s="46"/>
      <c r="AB56" s="42" t="str">
        <f aca="false">IF(OR($AA56="",$E56="",$E56=0),"",$AA56/$E56)</f>
        <v/>
      </c>
      <c r="AC56" s="27"/>
    </row>
    <row r="57" customFormat="false" ht="15" hidden="false" customHeight="false" outlineLevel="0" collapsed="false">
      <c r="A57" s="29"/>
      <c r="B57" s="27"/>
      <c r="C57" s="28"/>
      <c r="D57" s="27"/>
      <c r="E57" s="32"/>
      <c r="F57" s="39"/>
      <c r="G57" s="39"/>
      <c r="H57" s="39"/>
      <c r="I57" s="40" t="str">
        <f aca="false">IF(OR($G57="",$F57=""),"",$G57-$F57)</f>
        <v/>
      </c>
      <c r="J57" s="40" t="str">
        <f aca="false">IF(OR($H57="",$F57=""),"",$H57-$F57)</f>
        <v/>
      </c>
      <c r="K57" s="32"/>
      <c r="L57" s="32"/>
      <c r="M57" s="32"/>
      <c r="N57" s="32"/>
      <c r="O57" s="41"/>
      <c r="P57" s="42" t="str">
        <f aca="false">IF(OR($N57="",$O57="",$O57=0),"",($N57/100)/$O57)</f>
        <v/>
      </c>
      <c r="Q57" s="43" t="str">
        <f aca="false">IF(OR($K57="",$L57="",$K57=0),"",($L57-$K57)/$K57)</f>
        <v/>
      </c>
      <c r="R57" s="32"/>
      <c r="S57" s="44" t="str">
        <f aca="false">IF(OR($L57="",$E57=""),"",60.7*$L57+45.3*$E57-2055)</f>
        <v/>
      </c>
      <c r="T57" s="45"/>
      <c r="U57" s="45"/>
      <c r="V57" s="45"/>
      <c r="W57" s="45"/>
      <c r="X57" s="32"/>
      <c r="Y57" s="32"/>
      <c r="Z57" s="39"/>
      <c r="AA57" s="46"/>
      <c r="AB57" s="42" t="str">
        <f aca="false">IF(OR($AA57="",$E57="",$E57=0),"",$AA57/$E57)</f>
        <v/>
      </c>
      <c r="AC57" s="27"/>
    </row>
    <row r="58" customFormat="false" ht="15" hidden="false" customHeight="false" outlineLevel="0" collapsed="false">
      <c r="A58" s="29"/>
      <c r="B58" s="27"/>
      <c r="C58" s="28"/>
      <c r="D58" s="27"/>
      <c r="E58" s="32"/>
      <c r="F58" s="39"/>
      <c r="G58" s="39"/>
      <c r="H58" s="39"/>
      <c r="I58" s="40" t="str">
        <f aca="false">IF(OR($G58="",$F58=""),"",$G58-$F58)</f>
        <v/>
      </c>
      <c r="J58" s="40" t="str">
        <f aca="false">IF(OR($H58="",$F58=""),"",$H58-$F58)</f>
        <v/>
      </c>
      <c r="K58" s="32"/>
      <c r="L58" s="32"/>
      <c r="M58" s="32"/>
      <c r="N58" s="32"/>
      <c r="O58" s="41"/>
      <c r="P58" s="42" t="str">
        <f aca="false">IF(OR($N58="",$O58="",$O58=0),"",($N58/100)/$O58)</f>
        <v/>
      </c>
      <c r="Q58" s="43" t="str">
        <f aca="false">IF(OR($K58="",$L58="",$K58=0),"",($L58-$K58)/$K58)</f>
        <v/>
      </c>
      <c r="R58" s="32"/>
      <c r="S58" s="44" t="str">
        <f aca="false">IF(OR($L58="",$E58=""),"",60.7*$L58+45.3*$E58-2055)</f>
        <v/>
      </c>
      <c r="T58" s="45"/>
      <c r="U58" s="45"/>
      <c r="V58" s="45"/>
      <c r="W58" s="45"/>
      <c r="X58" s="32"/>
      <c r="Y58" s="32"/>
      <c r="Z58" s="39"/>
      <c r="AA58" s="46"/>
      <c r="AB58" s="42" t="str">
        <f aca="false">IF(OR($AA58="",$E58="",$E58=0),"",$AA58/$E58)</f>
        <v/>
      </c>
      <c r="AC58" s="27"/>
    </row>
    <row r="59" customFormat="false" ht="15" hidden="false" customHeight="false" outlineLevel="0" collapsed="false">
      <c r="A59" s="29"/>
      <c r="B59" s="27"/>
      <c r="C59" s="28"/>
      <c r="D59" s="27"/>
      <c r="E59" s="32"/>
      <c r="F59" s="39"/>
      <c r="G59" s="39"/>
      <c r="H59" s="39"/>
      <c r="I59" s="40" t="str">
        <f aca="false">IF(OR($G59="",$F59=""),"",$G59-$F59)</f>
        <v/>
      </c>
      <c r="J59" s="40" t="str">
        <f aca="false">IF(OR($H59="",$F59=""),"",$H59-$F59)</f>
        <v/>
      </c>
      <c r="K59" s="32"/>
      <c r="L59" s="32"/>
      <c r="M59" s="32"/>
      <c r="N59" s="32"/>
      <c r="O59" s="41"/>
      <c r="P59" s="42" t="str">
        <f aca="false">IF(OR($N59="",$O59="",$O59=0),"",($N59/100)/$O59)</f>
        <v/>
      </c>
      <c r="Q59" s="43" t="str">
        <f aca="false">IF(OR($K59="",$L59="",$K59=0),"",($L59-$K59)/$K59)</f>
        <v/>
      </c>
      <c r="R59" s="32"/>
      <c r="S59" s="44" t="str">
        <f aca="false">IF(OR($L59="",$E59=""),"",60.7*$L59+45.3*$E59-2055)</f>
        <v/>
      </c>
      <c r="T59" s="45"/>
      <c r="U59" s="45"/>
      <c r="V59" s="45"/>
      <c r="W59" s="45"/>
      <c r="X59" s="32"/>
      <c r="Y59" s="32"/>
      <c r="Z59" s="39"/>
      <c r="AA59" s="46"/>
      <c r="AB59" s="42" t="str">
        <f aca="false">IF(OR($AA59="",$E59="",$E59=0),"",$AA59/$E59)</f>
        <v/>
      </c>
      <c r="AC59" s="27"/>
    </row>
    <row r="60" customFormat="false" ht="15" hidden="false" customHeight="false" outlineLevel="0" collapsed="false">
      <c r="A60" s="29"/>
      <c r="B60" s="27"/>
      <c r="C60" s="28"/>
      <c r="D60" s="27"/>
      <c r="E60" s="32"/>
      <c r="F60" s="39"/>
      <c r="G60" s="39"/>
      <c r="H60" s="39"/>
      <c r="I60" s="40" t="str">
        <f aca="false">IF(OR($G60="",$F60=""),"",$G60-$F60)</f>
        <v/>
      </c>
      <c r="J60" s="40" t="str">
        <f aca="false">IF(OR($H60="",$F60=""),"",$H60-$F60)</f>
        <v/>
      </c>
      <c r="K60" s="32"/>
      <c r="L60" s="32"/>
      <c r="M60" s="32"/>
      <c r="N60" s="32"/>
      <c r="O60" s="41"/>
      <c r="P60" s="42" t="str">
        <f aca="false">IF(OR($N60="",$O60="",$O60=0),"",($N60/100)/$O60)</f>
        <v/>
      </c>
      <c r="Q60" s="43" t="str">
        <f aca="false">IF(OR($K60="",$L60="",$K60=0),"",($L60-$K60)/$K60)</f>
        <v/>
      </c>
      <c r="R60" s="32"/>
      <c r="S60" s="44" t="str">
        <f aca="false">IF(OR($L60="",$E60=""),"",60.7*$L60+45.3*$E60-2055)</f>
        <v/>
      </c>
      <c r="T60" s="45"/>
      <c r="U60" s="45"/>
      <c r="V60" s="45"/>
      <c r="W60" s="45"/>
      <c r="X60" s="32"/>
      <c r="Y60" s="32"/>
      <c r="Z60" s="39"/>
      <c r="AA60" s="46"/>
      <c r="AB60" s="42" t="str">
        <f aca="false">IF(OR($AA60="",$E60="",$E60=0),"",$AA60/$E60)</f>
        <v/>
      </c>
      <c r="AC60" s="27"/>
    </row>
    <row r="61" customFormat="false" ht="15" hidden="false" customHeight="false" outlineLevel="0" collapsed="false">
      <c r="A61" s="29"/>
      <c r="B61" s="27"/>
      <c r="C61" s="28"/>
      <c r="D61" s="27"/>
      <c r="E61" s="32"/>
      <c r="F61" s="39"/>
      <c r="G61" s="39"/>
      <c r="H61" s="39"/>
      <c r="I61" s="40" t="str">
        <f aca="false">IF(OR($G61="",$F61=""),"",$G61-$F61)</f>
        <v/>
      </c>
      <c r="J61" s="40" t="str">
        <f aca="false">IF(OR($H61="",$F61=""),"",$H61-$F61)</f>
        <v/>
      </c>
      <c r="K61" s="32"/>
      <c r="L61" s="32"/>
      <c r="M61" s="32"/>
      <c r="N61" s="32"/>
      <c r="O61" s="41"/>
      <c r="P61" s="42" t="str">
        <f aca="false">IF(OR($N61="",$O61="",$O61=0),"",($N61/100)/$O61)</f>
        <v/>
      </c>
      <c r="Q61" s="43" t="str">
        <f aca="false">IF(OR($K61="",$L61="",$K61=0),"",($L61-$K61)/$K61)</f>
        <v/>
      </c>
      <c r="R61" s="32"/>
      <c r="S61" s="44" t="str">
        <f aca="false">IF(OR($L61="",$E61=""),"",60.7*$L61+45.3*$E61-2055)</f>
        <v/>
      </c>
      <c r="T61" s="45"/>
      <c r="U61" s="45"/>
      <c r="V61" s="45"/>
      <c r="W61" s="45"/>
      <c r="X61" s="32"/>
      <c r="Y61" s="32"/>
      <c r="Z61" s="39"/>
      <c r="AA61" s="46"/>
      <c r="AB61" s="42" t="str">
        <f aca="false">IF(OR($AA61="",$E61="",$E61=0),"",$AA61/$E61)</f>
        <v/>
      </c>
      <c r="AC61" s="27"/>
    </row>
    <row r="62" customFormat="false" ht="15" hidden="false" customHeight="false" outlineLevel="0" collapsed="false">
      <c r="A62" s="29"/>
      <c r="B62" s="27"/>
      <c r="C62" s="28"/>
      <c r="D62" s="27"/>
      <c r="E62" s="32"/>
      <c r="F62" s="39"/>
      <c r="G62" s="39"/>
      <c r="H62" s="39"/>
      <c r="I62" s="40" t="str">
        <f aca="false">IF(OR($G62="",$F62=""),"",$G62-$F62)</f>
        <v/>
      </c>
      <c r="J62" s="40" t="str">
        <f aca="false">IF(OR($H62="",$F62=""),"",$H62-$F62)</f>
        <v/>
      </c>
      <c r="K62" s="32"/>
      <c r="L62" s="32"/>
      <c r="M62" s="32"/>
      <c r="N62" s="32"/>
      <c r="O62" s="41"/>
      <c r="P62" s="42" t="str">
        <f aca="false">IF(OR($N62="",$O62="",$O62=0),"",($N62/100)/$O62)</f>
        <v/>
      </c>
      <c r="Q62" s="43" t="str">
        <f aca="false">IF(OR($K62="",$L62="",$K62=0),"",($L62-$K62)/$K62)</f>
        <v/>
      </c>
      <c r="R62" s="32"/>
      <c r="S62" s="44" t="str">
        <f aca="false">IF(OR($L62="",$E62=""),"",60.7*$L62+45.3*$E62-2055)</f>
        <v/>
      </c>
      <c r="T62" s="45"/>
      <c r="U62" s="45"/>
      <c r="V62" s="45"/>
      <c r="W62" s="45"/>
      <c r="X62" s="32"/>
      <c r="Y62" s="32"/>
      <c r="Z62" s="39"/>
      <c r="AA62" s="46"/>
      <c r="AB62" s="42" t="str">
        <f aca="false">IF(OR($AA62="",$E62="",$E62=0),"",$AA62/$E62)</f>
        <v/>
      </c>
      <c r="AC62" s="27"/>
    </row>
    <row r="63" customFormat="false" ht="15" hidden="false" customHeight="false" outlineLevel="0" collapsed="false">
      <c r="A63" s="29"/>
      <c r="B63" s="27"/>
      <c r="C63" s="28"/>
      <c r="D63" s="27"/>
      <c r="E63" s="32"/>
      <c r="F63" s="39"/>
      <c r="G63" s="39"/>
      <c r="H63" s="39"/>
      <c r="I63" s="40" t="str">
        <f aca="false">IF(OR($G63="",$F63=""),"",$G63-$F63)</f>
        <v/>
      </c>
      <c r="J63" s="40" t="str">
        <f aca="false">IF(OR($H63="",$F63=""),"",$H63-$F63)</f>
        <v/>
      </c>
      <c r="K63" s="32"/>
      <c r="L63" s="32"/>
      <c r="M63" s="32"/>
      <c r="N63" s="32"/>
      <c r="O63" s="41"/>
      <c r="P63" s="42" t="str">
        <f aca="false">IF(OR($N63="",$O63="",$O63=0),"",($N63/100)/$O63)</f>
        <v/>
      </c>
      <c r="Q63" s="43" t="str">
        <f aca="false">IF(OR($K63="",$L63="",$K63=0),"",($L63-$K63)/$K63)</f>
        <v/>
      </c>
      <c r="R63" s="32"/>
      <c r="S63" s="44" t="str">
        <f aca="false">IF(OR($L63="",$E63=""),"",60.7*$L63+45.3*$E63-2055)</f>
        <v/>
      </c>
      <c r="T63" s="45"/>
      <c r="U63" s="45"/>
      <c r="V63" s="45"/>
      <c r="W63" s="45"/>
      <c r="X63" s="32"/>
      <c r="Y63" s="32"/>
      <c r="Z63" s="39"/>
      <c r="AA63" s="46"/>
      <c r="AB63" s="42" t="str">
        <f aca="false">IF(OR($AA63="",$E63="",$E63=0),"",$AA63/$E63)</f>
        <v/>
      </c>
      <c r="AC63" s="27"/>
    </row>
    <row r="64" customFormat="false" ht="15" hidden="false" customHeight="false" outlineLevel="0" collapsed="false">
      <c r="A64" s="29"/>
      <c r="B64" s="27"/>
      <c r="C64" s="28"/>
      <c r="D64" s="27"/>
      <c r="E64" s="32"/>
      <c r="F64" s="39"/>
      <c r="G64" s="39"/>
      <c r="H64" s="39"/>
      <c r="I64" s="40" t="str">
        <f aca="false">IF(OR($G64="",$F64=""),"",$G64-$F64)</f>
        <v/>
      </c>
      <c r="J64" s="40" t="str">
        <f aca="false">IF(OR($H64="",$F64=""),"",$H64-$F64)</f>
        <v/>
      </c>
      <c r="K64" s="32"/>
      <c r="L64" s="32"/>
      <c r="M64" s="32"/>
      <c r="N64" s="32"/>
      <c r="O64" s="41"/>
      <c r="P64" s="42" t="str">
        <f aca="false">IF(OR($N64="",$O64="",$O64=0),"",($N64/100)/$O64)</f>
        <v/>
      </c>
      <c r="Q64" s="43" t="str">
        <f aca="false">IF(OR($K64="",$L64="",$K64=0),"",($L64-$K64)/$K64)</f>
        <v/>
      </c>
      <c r="R64" s="32"/>
      <c r="S64" s="44" t="str">
        <f aca="false">IF(OR($L64="",$E64=""),"",60.7*$L64+45.3*$E64-2055)</f>
        <v/>
      </c>
      <c r="T64" s="45"/>
      <c r="U64" s="45"/>
      <c r="V64" s="45"/>
      <c r="W64" s="45"/>
      <c r="X64" s="32"/>
      <c r="Y64" s="32"/>
      <c r="Z64" s="39"/>
      <c r="AA64" s="46"/>
      <c r="AB64" s="42" t="str">
        <f aca="false">IF(OR($AA64="",$E64="",$E64=0),"",$AA64/$E64)</f>
        <v/>
      </c>
      <c r="AC64" s="27"/>
    </row>
    <row r="65" customFormat="false" ht="15" hidden="false" customHeight="false" outlineLevel="0" collapsed="false">
      <c r="A65" s="29"/>
      <c r="B65" s="27"/>
      <c r="C65" s="28"/>
      <c r="D65" s="27"/>
      <c r="E65" s="32"/>
      <c r="F65" s="39"/>
      <c r="G65" s="39"/>
      <c r="H65" s="39"/>
      <c r="I65" s="40" t="str">
        <f aca="false">IF(OR($G65="",$F65=""),"",$G65-$F65)</f>
        <v/>
      </c>
      <c r="J65" s="40" t="str">
        <f aca="false">IF(OR($H65="",$F65=""),"",$H65-$F65)</f>
        <v/>
      </c>
      <c r="K65" s="32"/>
      <c r="L65" s="32"/>
      <c r="M65" s="32"/>
      <c r="N65" s="32"/>
      <c r="O65" s="41"/>
      <c r="P65" s="42" t="str">
        <f aca="false">IF(OR($N65="",$O65="",$O65=0),"",($N65/100)/$O65)</f>
        <v/>
      </c>
      <c r="Q65" s="43" t="str">
        <f aca="false">IF(OR($K65="",$L65="",$K65=0),"",($L65-$K65)/$K65)</f>
        <v/>
      </c>
      <c r="R65" s="32"/>
      <c r="S65" s="44" t="str">
        <f aca="false">IF(OR($L65="",$E65=""),"",60.7*$L65+45.3*$E65-2055)</f>
        <v/>
      </c>
      <c r="T65" s="45"/>
      <c r="U65" s="45"/>
      <c r="V65" s="45"/>
      <c r="W65" s="45"/>
      <c r="X65" s="32"/>
      <c r="Y65" s="32"/>
      <c r="Z65" s="39"/>
      <c r="AA65" s="46"/>
      <c r="AB65" s="42" t="str">
        <f aca="false">IF(OR($AA65="",$E65="",$E65=0),"",$AA65/$E65)</f>
        <v/>
      </c>
      <c r="AC65" s="27"/>
    </row>
    <row r="66" customFormat="false" ht="15" hidden="false" customHeight="false" outlineLevel="0" collapsed="false">
      <c r="A66" s="29"/>
      <c r="B66" s="27"/>
      <c r="C66" s="28"/>
      <c r="D66" s="27"/>
      <c r="E66" s="32"/>
      <c r="F66" s="39"/>
      <c r="G66" s="39"/>
      <c r="H66" s="39"/>
      <c r="I66" s="40" t="str">
        <f aca="false">IF(OR($G66="",$F66=""),"",$G66-$F66)</f>
        <v/>
      </c>
      <c r="J66" s="40" t="str">
        <f aca="false">IF(OR($H66="",$F66=""),"",$H66-$F66)</f>
        <v/>
      </c>
      <c r="K66" s="32"/>
      <c r="L66" s="32"/>
      <c r="M66" s="32"/>
      <c r="N66" s="32"/>
      <c r="O66" s="41"/>
      <c r="P66" s="42" t="str">
        <f aca="false">IF(OR($N66="",$O66="",$O66=0),"",($N66/100)/$O66)</f>
        <v/>
      </c>
      <c r="Q66" s="43" t="str">
        <f aca="false">IF(OR($K66="",$L66="",$K66=0),"",($L66-$K66)/$K66)</f>
        <v/>
      </c>
      <c r="R66" s="32"/>
      <c r="S66" s="44" t="str">
        <f aca="false">IF(OR($L66="",$E66=""),"",60.7*$L66+45.3*$E66-2055)</f>
        <v/>
      </c>
      <c r="T66" s="45"/>
      <c r="U66" s="45"/>
      <c r="V66" s="45"/>
      <c r="W66" s="45"/>
      <c r="X66" s="32"/>
      <c r="Y66" s="32"/>
      <c r="Z66" s="39"/>
      <c r="AA66" s="46"/>
      <c r="AB66" s="42" t="str">
        <f aca="false">IF(OR($AA66="",$E66="",$E66=0),"",$AA66/$E66)</f>
        <v/>
      </c>
      <c r="AC66" s="27"/>
    </row>
    <row r="67" customFormat="false" ht="15" hidden="false" customHeight="false" outlineLevel="0" collapsed="false">
      <c r="A67" s="29"/>
      <c r="B67" s="27"/>
      <c r="C67" s="28"/>
      <c r="D67" s="27"/>
      <c r="E67" s="32"/>
      <c r="F67" s="39"/>
      <c r="G67" s="39"/>
      <c r="H67" s="39"/>
      <c r="I67" s="40" t="str">
        <f aca="false">IF(OR($G67="",$F67=""),"",$G67-$F67)</f>
        <v/>
      </c>
      <c r="J67" s="40" t="str">
        <f aca="false">IF(OR($H67="",$F67=""),"",$H67-$F67)</f>
        <v/>
      </c>
      <c r="K67" s="32"/>
      <c r="L67" s="32"/>
      <c r="M67" s="32"/>
      <c r="N67" s="32"/>
      <c r="O67" s="41"/>
      <c r="P67" s="42" t="str">
        <f aca="false">IF(OR($N67="",$O67="",$O67=0),"",($N67/100)/$O67)</f>
        <v/>
      </c>
      <c r="Q67" s="43" t="str">
        <f aca="false">IF(OR($K67="",$L67="",$K67=0),"",($L67-$K67)/$K67)</f>
        <v/>
      </c>
      <c r="R67" s="32"/>
      <c r="S67" s="44" t="str">
        <f aca="false">IF(OR($L67="",$E67=""),"",60.7*$L67+45.3*$E67-2055)</f>
        <v/>
      </c>
      <c r="T67" s="45"/>
      <c r="U67" s="45"/>
      <c r="V67" s="45"/>
      <c r="W67" s="45"/>
      <c r="X67" s="32"/>
      <c r="Y67" s="32"/>
      <c r="Z67" s="39"/>
      <c r="AA67" s="46"/>
      <c r="AB67" s="42" t="str">
        <f aca="false">IF(OR($AA67="",$E67="",$E67=0),"",$AA67/$E67)</f>
        <v/>
      </c>
      <c r="AC67" s="27"/>
    </row>
    <row r="68" customFormat="false" ht="15" hidden="false" customHeight="false" outlineLevel="0" collapsed="false">
      <c r="A68" s="29"/>
      <c r="B68" s="27"/>
      <c r="C68" s="28"/>
      <c r="D68" s="27"/>
      <c r="E68" s="32"/>
      <c r="F68" s="39"/>
      <c r="G68" s="39"/>
      <c r="H68" s="39"/>
      <c r="I68" s="40" t="str">
        <f aca="false">IF(OR($G68="",$F68=""),"",$G68-$F68)</f>
        <v/>
      </c>
      <c r="J68" s="40" t="str">
        <f aca="false">IF(OR($H68="",$F68=""),"",$H68-$F68)</f>
        <v/>
      </c>
      <c r="K68" s="32"/>
      <c r="L68" s="32"/>
      <c r="M68" s="32"/>
      <c r="N68" s="32"/>
      <c r="O68" s="41"/>
      <c r="P68" s="42" t="str">
        <f aca="false">IF(OR($N68="",$O68="",$O68=0),"",($N68/100)/$O68)</f>
        <v/>
      </c>
      <c r="Q68" s="43" t="str">
        <f aca="false">IF(OR($K68="",$L68="",$K68=0),"",($L68-$K68)/$K68)</f>
        <v/>
      </c>
      <c r="R68" s="32"/>
      <c r="S68" s="44" t="str">
        <f aca="false">IF(OR($L68="",$E68=""),"",60.7*$L68+45.3*$E68-2055)</f>
        <v/>
      </c>
      <c r="T68" s="45"/>
      <c r="U68" s="45"/>
      <c r="V68" s="45"/>
      <c r="W68" s="45"/>
      <c r="X68" s="32"/>
      <c r="Y68" s="32"/>
      <c r="Z68" s="39"/>
      <c r="AA68" s="46"/>
      <c r="AB68" s="42" t="str">
        <f aca="false">IF(OR($AA68="",$E68="",$E68=0),"",$AA68/$E68)</f>
        <v/>
      </c>
      <c r="AC68" s="27"/>
    </row>
    <row r="69" customFormat="false" ht="15" hidden="false" customHeight="false" outlineLevel="0" collapsed="false">
      <c r="A69" s="29"/>
      <c r="B69" s="27"/>
      <c r="C69" s="28"/>
      <c r="D69" s="27"/>
      <c r="E69" s="32"/>
      <c r="F69" s="39"/>
      <c r="G69" s="39"/>
      <c r="H69" s="39"/>
      <c r="I69" s="40" t="str">
        <f aca="false">IF(OR($G69="",$F69=""),"",$G69-$F69)</f>
        <v/>
      </c>
      <c r="J69" s="40" t="str">
        <f aca="false">IF(OR($H69="",$F69=""),"",$H69-$F69)</f>
        <v/>
      </c>
      <c r="K69" s="32"/>
      <c r="L69" s="32"/>
      <c r="M69" s="32"/>
      <c r="N69" s="32"/>
      <c r="O69" s="41"/>
      <c r="P69" s="42" t="str">
        <f aca="false">IF(OR($N69="",$O69="",$O69=0),"",($N69/100)/$O69)</f>
        <v/>
      </c>
      <c r="Q69" s="43" t="str">
        <f aca="false">IF(OR($K69="",$L69="",$K69=0),"",($L69-$K69)/$K69)</f>
        <v/>
      </c>
      <c r="R69" s="32"/>
      <c r="S69" s="44" t="str">
        <f aca="false">IF(OR($L69="",$E69=""),"",60.7*$L69+45.3*$E69-2055)</f>
        <v/>
      </c>
      <c r="T69" s="45"/>
      <c r="U69" s="45"/>
      <c r="V69" s="45"/>
      <c r="W69" s="45"/>
      <c r="X69" s="32"/>
      <c r="Y69" s="32"/>
      <c r="Z69" s="39"/>
      <c r="AA69" s="46"/>
      <c r="AB69" s="42" t="str">
        <f aca="false">IF(OR($AA69="",$E69="",$E69=0),"",$AA69/$E69)</f>
        <v/>
      </c>
      <c r="AC69" s="27"/>
    </row>
    <row r="70" customFormat="false" ht="15" hidden="false" customHeight="false" outlineLevel="0" collapsed="false">
      <c r="A70" s="29"/>
      <c r="B70" s="27"/>
      <c r="C70" s="28"/>
      <c r="D70" s="27"/>
      <c r="E70" s="32"/>
      <c r="F70" s="39"/>
      <c r="G70" s="39"/>
      <c r="H70" s="39"/>
      <c r="I70" s="40" t="str">
        <f aca="false">IF(OR($G70="",$F70=""),"",$G70-$F70)</f>
        <v/>
      </c>
      <c r="J70" s="40" t="str">
        <f aca="false">IF(OR($H70="",$F70=""),"",$H70-$F70)</f>
        <v/>
      </c>
      <c r="K70" s="32"/>
      <c r="L70" s="32"/>
      <c r="M70" s="32"/>
      <c r="N70" s="32"/>
      <c r="O70" s="41"/>
      <c r="P70" s="42" t="str">
        <f aca="false">IF(OR($N70="",$O70="",$O70=0),"",($N70/100)/$O70)</f>
        <v/>
      </c>
      <c r="Q70" s="43" t="str">
        <f aca="false">IF(OR($K70="",$L70="",$K70=0),"",($L70-$K70)/$K70)</f>
        <v/>
      </c>
      <c r="R70" s="32"/>
      <c r="S70" s="44" t="str">
        <f aca="false">IF(OR($L70="",$E70=""),"",60.7*$L70+45.3*$E70-2055)</f>
        <v/>
      </c>
      <c r="T70" s="45"/>
      <c r="U70" s="45"/>
      <c r="V70" s="45"/>
      <c r="W70" s="45"/>
      <c r="X70" s="32"/>
      <c r="Y70" s="32"/>
      <c r="Z70" s="39"/>
      <c r="AA70" s="46"/>
      <c r="AB70" s="42" t="str">
        <f aca="false">IF(OR($AA70="",$E70="",$E70=0),"",$AA70/$E70)</f>
        <v/>
      </c>
      <c r="AC70" s="27"/>
    </row>
    <row r="71" customFormat="false" ht="15" hidden="false" customHeight="false" outlineLevel="0" collapsed="false">
      <c r="A71" s="29"/>
      <c r="B71" s="27"/>
      <c r="C71" s="28"/>
      <c r="D71" s="27"/>
      <c r="E71" s="32"/>
      <c r="F71" s="39"/>
      <c r="G71" s="39"/>
      <c r="H71" s="39"/>
      <c r="I71" s="40" t="str">
        <f aca="false">IF(OR($G71="",$F71=""),"",$G71-$F71)</f>
        <v/>
      </c>
      <c r="J71" s="40" t="str">
        <f aca="false">IF(OR($H71="",$F71=""),"",$H71-$F71)</f>
        <v/>
      </c>
      <c r="K71" s="32"/>
      <c r="L71" s="32"/>
      <c r="M71" s="32"/>
      <c r="N71" s="32"/>
      <c r="O71" s="41"/>
      <c r="P71" s="42" t="str">
        <f aca="false">IF(OR($N71="",$O71="",$O71=0),"",($N71/100)/$O71)</f>
        <v/>
      </c>
      <c r="Q71" s="43" t="str">
        <f aca="false">IF(OR($K71="",$L71="",$K71=0),"",($L71-$K71)/$K71)</f>
        <v/>
      </c>
      <c r="R71" s="32"/>
      <c r="S71" s="44" t="str">
        <f aca="false">IF(OR($L71="",$E71=""),"",60.7*$L71+45.3*$E71-2055)</f>
        <v/>
      </c>
      <c r="T71" s="45"/>
      <c r="U71" s="45"/>
      <c r="V71" s="45"/>
      <c r="W71" s="45"/>
      <c r="X71" s="32"/>
      <c r="Y71" s="32"/>
      <c r="Z71" s="39"/>
      <c r="AA71" s="46"/>
      <c r="AB71" s="42" t="str">
        <f aca="false">IF(OR($AA71="",$E71="",$E71=0),"",$AA71/$E71)</f>
        <v/>
      </c>
      <c r="AC71" s="27"/>
    </row>
    <row r="72" customFormat="false" ht="15" hidden="false" customHeight="false" outlineLevel="0" collapsed="false">
      <c r="A72" s="29"/>
      <c r="B72" s="27"/>
      <c r="C72" s="28"/>
      <c r="D72" s="27"/>
      <c r="E72" s="32"/>
      <c r="F72" s="39"/>
      <c r="G72" s="39"/>
      <c r="H72" s="39"/>
      <c r="I72" s="40" t="str">
        <f aca="false">IF(OR($G72="",$F72=""),"",$G72-$F72)</f>
        <v/>
      </c>
      <c r="J72" s="40" t="str">
        <f aca="false">IF(OR($H72="",$F72=""),"",$H72-$F72)</f>
        <v/>
      </c>
      <c r="K72" s="32"/>
      <c r="L72" s="32"/>
      <c r="M72" s="32"/>
      <c r="N72" s="32"/>
      <c r="O72" s="41"/>
      <c r="P72" s="42" t="str">
        <f aca="false">IF(OR($N72="",$O72="",$O72=0),"",($N72/100)/$O72)</f>
        <v/>
      </c>
      <c r="Q72" s="43" t="str">
        <f aca="false">IF(OR($K72="",$L72="",$K72=0),"",($L72-$K72)/$K72)</f>
        <v/>
      </c>
      <c r="R72" s="32"/>
      <c r="S72" s="44" t="str">
        <f aca="false">IF(OR($L72="",$E72=""),"",60.7*$L72+45.3*$E72-2055)</f>
        <v/>
      </c>
      <c r="T72" s="45"/>
      <c r="U72" s="45"/>
      <c r="V72" s="45"/>
      <c r="W72" s="45"/>
      <c r="X72" s="32"/>
      <c r="Y72" s="32"/>
      <c r="Z72" s="39"/>
      <c r="AA72" s="46"/>
      <c r="AB72" s="42" t="str">
        <f aca="false">IF(OR($AA72="",$E72="",$E72=0),"",$AA72/$E72)</f>
        <v/>
      </c>
      <c r="AC72" s="27"/>
    </row>
    <row r="73" customFormat="false" ht="15" hidden="false" customHeight="false" outlineLevel="0" collapsed="false">
      <c r="A73" s="29"/>
      <c r="B73" s="27"/>
      <c r="C73" s="28"/>
      <c r="D73" s="27"/>
      <c r="E73" s="32"/>
      <c r="F73" s="39"/>
      <c r="G73" s="39"/>
      <c r="H73" s="39"/>
      <c r="I73" s="40" t="str">
        <f aca="false">IF(OR($G73="",$F73=""),"",$G73-$F73)</f>
        <v/>
      </c>
      <c r="J73" s="40" t="str">
        <f aca="false">IF(OR($H73="",$F73=""),"",$H73-$F73)</f>
        <v/>
      </c>
      <c r="K73" s="32"/>
      <c r="L73" s="32"/>
      <c r="M73" s="32"/>
      <c r="N73" s="32"/>
      <c r="O73" s="41"/>
      <c r="P73" s="42" t="str">
        <f aca="false">IF(OR($N73="",$O73="",$O73=0),"",($N73/100)/$O73)</f>
        <v/>
      </c>
      <c r="Q73" s="43" t="str">
        <f aca="false">IF(OR($K73="",$L73="",$K73=0),"",($L73-$K73)/$K73)</f>
        <v/>
      </c>
      <c r="R73" s="32"/>
      <c r="S73" s="44" t="str">
        <f aca="false">IF(OR($L73="",$E73=""),"",60.7*$L73+45.3*$E73-2055)</f>
        <v/>
      </c>
      <c r="T73" s="45"/>
      <c r="U73" s="45"/>
      <c r="V73" s="45"/>
      <c r="W73" s="45"/>
      <c r="X73" s="32"/>
      <c r="Y73" s="32"/>
      <c r="Z73" s="39"/>
      <c r="AA73" s="46"/>
      <c r="AB73" s="42" t="str">
        <f aca="false">IF(OR($AA73="",$E73="",$E73=0),"",$AA73/$E73)</f>
        <v/>
      </c>
      <c r="AC73" s="27"/>
    </row>
    <row r="74" customFormat="false" ht="15" hidden="false" customHeight="false" outlineLevel="0" collapsed="false">
      <c r="A74" s="29"/>
      <c r="B74" s="27"/>
      <c r="C74" s="28"/>
      <c r="D74" s="27"/>
      <c r="E74" s="32"/>
      <c r="F74" s="39"/>
      <c r="G74" s="39"/>
      <c r="H74" s="39"/>
      <c r="I74" s="40" t="str">
        <f aca="false">IF(OR($G74="",$F74=""),"",$G74-$F74)</f>
        <v/>
      </c>
      <c r="J74" s="40" t="str">
        <f aca="false">IF(OR($H74="",$F74=""),"",$H74-$F74)</f>
        <v/>
      </c>
      <c r="K74" s="32"/>
      <c r="L74" s="32"/>
      <c r="M74" s="32"/>
      <c r="N74" s="32"/>
      <c r="O74" s="41"/>
      <c r="P74" s="42" t="str">
        <f aca="false">IF(OR($N74="",$O74="",$O74=0),"",($N74/100)/$O74)</f>
        <v/>
      </c>
      <c r="Q74" s="43" t="str">
        <f aca="false">IF(OR($K74="",$L74="",$K74=0),"",($L74-$K74)/$K74)</f>
        <v/>
      </c>
      <c r="R74" s="32"/>
      <c r="S74" s="44" t="str">
        <f aca="false">IF(OR($L74="",$E74=""),"",60.7*$L74+45.3*$E74-2055)</f>
        <v/>
      </c>
      <c r="T74" s="45"/>
      <c r="U74" s="45"/>
      <c r="V74" s="45"/>
      <c r="W74" s="45"/>
      <c r="X74" s="32"/>
      <c r="Y74" s="32"/>
      <c r="Z74" s="39"/>
      <c r="AA74" s="46"/>
      <c r="AB74" s="42" t="str">
        <f aca="false">IF(OR($AA74="",$E74="",$E74=0),"",$AA74/$E74)</f>
        <v/>
      </c>
      <c r="AC74" s="27"/>
    </row>
    <row r="75" customFormat="false" ht="15" hidden="false" customHeight="false" outlineLevel="0" collapsed="false">
      <c r="A75" s="29"/>
      <c r="B75" s="27"/>
      <c r="C75" s="28"/>
      <c r="D75" s="27"/>
      <c r="E75" s="32"/>
      <c r="F75" s="39"/>
      <c r="G75" s="39"/>
      <c r="H75" s="39"/>
      <c r="I75" s="40" t="str">
        <f aca="false">IF(OR($G75="",$F75=""),"",$G75-$F75)</f>
        <v/>
      </c>
      <c r="J75" s="40" t="str">
        <f aca="false">IF(OR($H75="",$F75=""),"",$H75-$F75)</f>
        <v/>
      </c>
      <c r="K75" s="32"/>
      <c r="L75" s="32"/>
      <c r="M75" s="32"/>
      <c r="N75" s="32"/>
      <c r="O75" s="41"/>
      <c r="P75" s="42" t="str">
        <f aca="false">IF(OR($N75="",$O75="",$O75=0),"",($N75/100)/$O75)</f>
        <v/>
      </c>
      <c r="Q75" s="43" t="str">
        <f aca="false">IF(OR($K75="",$L75="",$K75=0),"",($L75-$K75)/$K75)</f>
        <v/>
      </c>
      <c r="R75" s="32"/>
      <c r="S75" s="44" t="str">
        <f aca="false">IF(OR($L75="",$E75=""),"",60.7*$L75+45.3*$E75-2055)</f>
        <v/>
      </c>
      <c r="T75" s="45"/>
      <c r="U75" s="45"/>
      <c r="V75" s="45"/>
      <c r="W75" s="45"/>
      <c r="X75" s="32"/>
      <c r="Y75" s="32"/>
      <c r="Z75" s="39"/>
      <c r="AA75" s="46"/>
      <c r="AB75" s="42" t="str">
        <f aca="false">IF(OR($AA75="",$E75="",$E75=0),"",$AA75/$E75)</f>
        <v/>
      </c>
      <c r="AC75" s="27"/>
    </row>
    <row r="76" customFormat="false" ht="15" hidden="false" customHeight="false" outlineLevel="0" collapsed="false">
      <c r="A76" s="29"/>
      <c r="B76" s="27"/>
      <c r="C76" s="28"/>
      <c r="D76" s="27"/>
      <c r="E76" s="32"/>
      <c r="F76" s="39"/>
      <c r="G76" s="39"/>
      <c r="H76" s="39"/>
      <c r="I76" s="40" t="str">
        <f aca="false">IF(OR($G76="",$F76=""),"",$G76-$F76)</f>
        <v/>
      </c>
      <c r="J76" s="40" t="str">
        <f aca="false">IF(OR($H76="",$F76=""),"",$H76-$F76)</f>
        <v/>
      </c>
      <c r="K76" s="32"/>
      <c r="L76" s="32"/>
      <c r="M76" s="32"/>
      <c r="N76" s="32"/>
      <c r="O76" s="41"/>
      <c r="P76" s="42" t="str">
        <f aca="false">IF(OR($N76="",$O76="",$O76=0),"",($N76/100)/$O76)</f>
        <v/>
      </c>
      <c r="Q76" s="43" t="str">
        <f aca="false">IF(OR($K76="",$L76="",$K76=0),"",($L76-$K76)/$K76)</f>
        <v/>
      </c>
      <c r="R76" s="32"/>
      <c r="S76" s="44" t="str">
        <f aca="false">IF(OR($L76="",$E76=""),"",60.7*$L76+45.3*$E76-2055)</f>
        <v/>
      </c>
      <c r="T76" s="45"/>
      <c r="U76" s="45"/>
      <c r="V76" s="45"/>
      <c r="W76" s="45"/>
      <c r="X76" s="32"/>
      <c r="Y76" s="32"/>
      <c r="Z76" s="39"/>
      <c r="AA76" s="46"/>
      <c r="AB76" s="42" t="str">
        <f aca="false">IF(OR($AA76="",$E76="",$E76=0),"",$AA76/$E76)</f>
        <v/>
      </c>
      <c r="AC76" s="27"/>
    </row>
    <row r="77" customFormat="false" ht="15" hidden="false" customHeight="false" outlineLevel="0" collapsed="false">
      <c r="A77" s="29"/>
      <c r="B77" s="27"/>
      <c r="C77" s="28"/>
      <c r="D77" s="27"/>
      <c r="E77" s="32"/>
      <c r="F77" s="39"/>
      <c r="G77" s="39"/>
      <c r="H77" s="39"/>
      <c r="I77" s="40" t="str">
        <f aca="false">IF(OR($G77="",$F77=""),"",$G77-$F77)</f>
        <v/>
      </c>
      <c r="J77" s="40" t="str">
        <f aca="false">IF(OR($H77="",$F77=""),"",$H77-$F77)</f>
        <v/>
      </c>
      <c r="K77" s="32"/>
      <c r="L77" s="32"/>
      <c r="M77" s="32"/>
      <c r="N77" s="32"/>
      <c r="O77" s="41"/>
      <c r="P77" s="42" t="str">
        <f aca="false">IF(OR($N77="",$O77="",$O77=0),"",($N77/100)/$O77)</f>
        <v/>
      </c>
      <c r="Q77" s="43" t="str">
        <f aca="false">IF(OR($K77="",$L77="",$K77=0),"",($L77-$K77)/$K77)</f>
        <v/>
      </c>
      <c r="R77" s="32"/>
      <c r="S77" s="44" t="str">
        <f aca="false">IF(OR($L77="",$E77=""),"",60.7*$L77+45.3*$E77-2055)</f>
        <v/>
      </c>
      <c r="T77" s="45"/>
      <c r="U77" s="45"/>
      <c r="V77" s="45"/>
      <c r="W77" s="45"/>
      <c r="X77" s="32"/>
      <c r="Y77" s="32"/>
      <c r="Z77" s="39"/>
      <c r="AA77" s="46"/>
      <c r="AB77" s="42" t="str">
        <f aca="false">IF(OR($AA77="",$E77="",$E77=0),"",$AA77/$E77)</f>
        <v/>
      </c>
      <c r="AC77" s="27"/>
    </row>
    <row r="78" customFormat="false" ht="15" hidden="false" customHeight="false" outlineLevel="0" collapsed="false">
      <c r="A78" s="29"/>
      <c r="B78" s="27"/>
      <c r="C78" s="28"/>
      <c r="D78" s="27"/>
      <c r="E78" s="32"/>
      <c r="F78" s="39"/>
      <c r="G78" s="39"/>
      <c r="H78" s="39"/>
      <c r="I78" s="40" t="str">
        <f aca="false">IF(OR($G78="",$F78=""),"",$G78-$F78)</f>
        <v/>
      </c>
      <c r="J78" s="40" t="str">
        <f aca="false">IF(OR($H78="",$F78=""),"",$H78-$F78)</f>
        <v/>
      </c>
      <c r="K78" s="32"/>
      <c r="L78" s="32"/>
      <c r="M78" s="32"/>
      <c r="N78" s="32"/>
      <c r="O78" s="41"/>
      <c r="P78" s="42" t="str">
        <f aca="false">IF(OR($N78="",$O78="",$O78=0),"",($N78/100)/$O78)</f>
        <v/>
      </c>
      <c r="Q78" s="43" t="str">
        <f aca="false">IF(OR($K78="",$L78="",$K78=0),"",($L78-$K78)/$K78)</f>
        <v/>
      </c>
      <c r="R78" s="32"/>
      <c r="S78" s="44" t="str">
        <f aca="false">IF(OR($L78="",$E78=""),"",60.7*$L78+45.3*$E78-2055)</f>
        <v/>
      </c>
      <c r="T78" s="45"/>
      <c r="U78" s="45"/>
      <c r="V78" s="45"/>
      <c r="W78" s="45"/>
      <c r="X78" s="32"/>
      <c r="Y78" s="32"/>
      <c r="Z78" s="39"/>
      <c r="AA78" s="46"/>
      <c r="AB78" s="42" t="str">
        <f aca="false">IF(OR($AA78="",$E78="",$E78=0),"",$AA78/$E78)</f>
        <v/>
      </c>
      <c r="AC78" s="27"/>
    </row>
    <row r="79" customFormat="false" ht="15" hidden="false" customHeight="false" outlineLevel="0" collapsed="false">
      <c r="A79" s="29"/>
      <c r="B79" s="27"/>
      <c r="C79" s="28"/>
      <c r="D79" s="27"/>
      <c r="E79" s="32"/>
      <c r="F79" s="39"/>
      <c r="G79" s="39"/>
      <c r="H79" s="39"/>
      <c r="I79" s="40" t="str">
        <f aca="false">IF(OR($G79="",$F79=""),"",$G79-$F79)</f>
        <v/>
      </c>
      <c r="J79" s="40" t="str">
        <f aca="false">IF(OR($H79="",$F79=""),"",$H79-$F79)</f>
        <v/>
      </c>
      <c r="K79" s="32"/>
      <c r="L79" s="32"/>
      <c r="M79" s="32"/>
      <c r="N79" s="32"/>
      <c r="O79" s="41"/>
      <c r="P79" s="42" t="str">
        <f aca="false">IF(OR($N79="",$O79="",$O79=0),"",($N79/100)/$O79)</f>
        <v/>
      </c>
      <c r="Q79" s="43" t="str">
        <f aca="false">IF(OR($K79="",$L79="",$K79=0),"",($L79-$K79)/$K79)</f>
        <v/>
      </c>
      <c r="R79" s="32"/>
      <c r="S79" s="44" t="str">
        <f aca="false">IF(OR($L79="",$E79=""),"",60.7*$L79+45.3*$E79-2055)</f>
        <v/>
      </c>
      <c r="T79" s="45"/>
      <c r="U79" s="45"/>
      <c r="V79" s="45"/>
      <c r="W79" s="45"/>
      <c r="X79" s="32"/>
      <c r="Y79" s="32"/>
      <c r="Z79" s="39"/>
      <c r="AA79" s="46"/>
      <c r="AB79" s="42" t="str">
        <f aca="false">IF(OR($AA79="",$E79="",$E79=0),"",$AA79/$E79)</f>
        <v/>
      </c>
      <c r="AC79" s="27"/>
    </row>
    <row r="80" customFormat="false" ht="15" hidden="false" customHeight="false" outlineLevel="0" collapsed="false">
      <c r="A80" s="29"/>
      <c r="B80" s="27"/>
      <c r="C80" s="28"/>
      <c r="D80" s="27"/>
      <c r="E80" s="32"/>
      <c r="F80" s="39"/>
      <c r="G80" s="39"/>
      <c r="H80" s="39"/>
      <c r="I80" s="40" t="str">
        <f aca="false">IF(OR($G80="",$F80=""),"",$G80-$F80)</f>
        <v/>
      </c>
      <c r="J80" s="40" t="str">
        <f aca="false">IF(OR($H80="",$F80=""),"",$H80-$F80)</f>
        <v/>
      </c>
      <c r="K80" s="32"/>
      <c r="L80" s="32"/>
      <c r="M80" s="32"/>
      <c r="N80" s="32"/>
      <c r="O80" s="41"/>
      <c r="P80" s="42" t="str">
        <f aca="false">IF(OR($N80="",$O80="",$O80=0),"",($N80/100)/$O80)</f>
        <v/>
      </c>
      <c r="Q80" s="43" t="str">
        <f aca="false">IF(OR($K80="",$L80="",$K80=0),"",($L80-$K80)/$K80)</f>
        <v/>
      </c>
      <c r="R80" s="32"/>
      <c r="S80" s="44" t="str">
        <f aca="false">IF(OR($L80="",$E80=""),"",60.7*$L80+45.3*$E80-2055)</f>
        <v/>
      </c>
      <c r="T80" s="45"/>
      <c r="U80" s="45"/>
      <c r="V80" s="45"/>
      <c r="W80" s="45"/>
      <c r="X80" s="32"/>
      <c r="Y80" s="32"/>
      <c r="Z80" s="39"/>
      <c r="AA80" s="46"/>
      <c r="AB80" s="42" t="str">
        <f aca="false">IF(OR($AA80="",$E80="",$E80=0),"",$AA80/$E80)</f>
        <v/>
      </c>
      <c r="AC80" s="27"/>
    </row>
    <row r="81" customFormat="false" ht="15" hidden="false" customHeight="false" outlineLevel="0" collapsed="false">
      <c r="A81" s="29"/>
      <c r="B81" s="27"/>
      <c r="C81" s="28"/>
      <c r="D81" s="27"/>
      <c r="E81" s="32"/>
      <c r="F81" s="39"/>
      <c r="G81" s="39"/>
      <c r="H81" s="39"/>
      <c r="I81" s="40" t="str">
        <f aca="false">IF(OR($G81="",$F81=""),"",$G81-$F81)</f>
        <v/>
      </c>
      <c r="J81" s="40" t="str">
        <f aca="false">IF(OR($H81="",$F81=""),"",$H81-$F81)</f>
        <v/>
      </c>
      <c r="K81" s="32"/>
      <c r="L81" s="32"/>
      <c r="M81" s="32"/>
      <c r="N81" s="32"/>
      <c r="O81" s="41"/>
      <c r="P81" s="42" t="str">
        <f aca="false">IF(OR($N81="",$O81="",$O81=0),"",($N81/100)/$O81)</f>
        <v/>
      </c>
      <c r="Q81" s="43" t="str">
        <f aca="false">IF(OR($K81="",$L81="",$K81=0),"",($L81-$K81)/$K81)</f>
        <v/>
      </c>
      <c r="R81" s="32"/>
      <c r="S81" s="44" t="str">
        <f aca="false">IF(OR($L81="",$E81=""),"",60.7*$L81+45.3*$E81-2055)</f>
        <v/>
      </c>
      <c r="T81" s="45"/>
      <c r="U81" s="45"/>
      <c r="V81" s="45"/>
      <c r="W81" s="45"/>
      <c r="X81" s="32"/>
      <c r="Y81" s="32"/>
      <c r="Z81" s="39"/>
      <c r="AA81" s="46"/>
      <c r="AB81" s="42" t="str">
        <f aca="false">IF(OR($AA81="",$E81="",$E81=0),"",$AA81/$E81)</f>
        <v/>
      </c>
      <c r="AC81" s="27"/>
    </row>
    <row r="82" customFormat="false" ht="15" hidden="false" customHeight="false" outlineLevel="0" collapsed="false">
      <c r="A82" s="29"/>
      <c r="B82" s="27"/>
      <c r="C82" s="28"/>
      <c r="D82" s="27"/>
      <c r="E82" s="32"/>
      <c r="F82" s="39"/>
      <c r="G82" s="39"/>
      <c r="H82" s="39"/>
      <c r="I82" s="40" t="str">
        <f aca="false">IF(OR($G82="",$F82=""),"",$G82-$F82)</f>
        <v/>
      </c>
      <c r="J82" s="40" t="str">
        <f aca="false">IF(OR($H82="",$F82=""),"",$H82-$F82)</f>
        <v/>
      </c>
      <c r="K82" s="32"/>
      <c r="L82" s="32"/>
      <c r="M82" s="32"/>
      <c r="N82" s="32"/>
      <c r="O82" s="41"/>
      <c r="P82" s="42" t="str">
        <f aca="false">IF(OR($N82="",$O82="",$O82=0),"",($N82/100)/$O82)</f>
        <v/>
      </c>
      <c r="Q82" s="43" t="str">
        <f aca="false">IF(OR($K82="",$L82="",$K82=0),"",($L82-$K82)/$K82)</f>
        <v/>
      </c>
      <c r="R82" s="32"/>
      <c r="S82" s="44" t="str">
        <f aca="false">IF(OR($L82="",$E82=""),"",60.7*$L82+45.3*$E82-2055)</f>
        <v/>
      </c>
      <c r="T82" s="45"/>
      <c r="U82" s="45"/>
      <c r="V82" s="45"/>
      <c r="W82" s="45"/>
      <c r="X82" s="32"/>
      <c r="Y82" s="32"/>
      <c r="Z82" s="39"/>
      <c r="AA82" s="46"/>
      <c r="AB82" s="42" t="str">
        <f aca="false">IF(OR($AA82="",$E82="",$E82=0),"",$AA82/$E82)</f>
        <v/>
      </c>
      <c r="AC82" s="27"/>
    </row>
    <row r="83" customFormat="false" ht="15" hidden="false" customHeight="false" outlineLevel="0" collapsed="false">
      <c r="A83" s="29"/>
      <c r="B83" s="27"/>
      <c r="C83" s="28"/>
      <c r="D83" s="27"/>
      <c r="E83" s="32"/>
      <c r="F83" s="39"/>
      <c r="G83" s="39"/>
      <c r="H83" s="39"/>
      <c r="I83" s="40" t="str">
        <f aca="false">IF(OR($G83="",$F83=""),"",$G83-$F83)</f>
        <v/>
      </c>
      <c r="J83" s="40" t="str">
        <f aca="false">IF(OR($H83="",$F83=""),"",$H83-$F83)</f>
        <v/>
      </c>
      <c r="K83" s="32"/>
      <c r="L83" s="32"/>
      <c r="M83" s="32"/>
      <c r="N83" s="32"/>
      <c r="O83" s="41"/>
      <c r="P83" s="42" t="str">
        <f aca="false">IF(OR($N83="",$O83="",$O83=0),"",($N83/100)/$O83)</f>
        <v/>
      </c>
      <c r="Q83" s="43" t="str">
        <f aca="false">IF(OR($K83="",$L83="",$K83=0),"",($L83-$K83)/$K83)</f>
        <v/>
      </c>
      <c r="R83" s="32"/>
      <c r="S83" s="44" t="str">
        <f aca="false">IF(OR($L83="",$E83=""),"",60.7*$L83+45.3*$E83-2055)</f>
        <v/>
      </c>
      <c r="T83" s="45"/>
      <c r="U83" s="45"/>
      <c r="V83" s="45"/>
      <c r="W83" s="45"/>
      <c r="X83" s="32"/>
      <c r="Y83" s="32"/>
      <c r="Z83" s="39"/>
      <c r="AA83" s="46"/>
      <c r="AB83" s="42" t="str">
        <f aca="false">IF(OR($AA83="",$E83="",$E83=0),"",$AA83/$E83)</f>
        <v/>
      </c>
      <c r="AC83" s="27"/>
    </row>
    <row r="84" customFormat="false" ht="15" hidden="false" customHeight="false" outlineLevel="0" collapsed="false">
      <c r="A84" s="29"/>
      <c r="B84" s="27"/>
      <c r="C84" s="28"/>
      <c r="D84" s="27"/>
      <c r="E84" s="32"/>
      <c r="F84" s="39"/>
      <c r="G84" s="39"/>
      <c r="H84" s="39"/>
      <c r="I84" s="40" t="str">
        <f aca="false">IF(OR($G84="",$F84=""),"",$G84-$F84)</f>
        <v/>
      </c>
      <c r="J84" s="40" t="str">
        <f aca="false">IF(OR($H84="",$F84=""),"",$H84-$F84)</f>
        <v/>
      </c>
      <c r="K84" s="32"/>
      <c r="L84" s="32"/>
      <c r="M84" s="32"/>
      <c r="N84" s="32"/>
      <c r="O84" s="41"/>
      <c r="P84" s="42" t="str">
        <f aca="false">IF(OR($N84="",$O84="",$O84=0),"",($N84/100)/$O84)</f>
        <v/>
      </c>
      <c r="Q84" s="43" t="str">
        <f aca="false">IF(OR($K84="",$L84="",$K84=0),"",($L84-$K84)/$K84)</f>
        <v/>
      </c>
      <c r="R84" s="32"/>
      <c r="S84" s="44" t="str">
        <f aca="false">IF(OR($L84="",$E84=""),"",60.7*$L84+45.3*$E84-2055)</f>
        <v/>
      </c>
      <c r="T84" s="45"/>
      <c r="U84" s="45"/>
      <c r="V84" s="45"/>
      <c r="W84" s="45"/>
      <c r="X84" s="32"/>
      <c r="Y84" s="32"/>
      <c r="Z84" s="39"/>
      <c r="AA84" s="46"/>
      <c r="AB84" s="42" t="str">
        <f aca="false">IF(OR($AA84="",$E84="",$E84=0),"",$AA84/$E84)</f>
        <v/>
      </c>
      <c r="AC84" s="27"/>
    </row>
    <row r="85" customFormat="false" ht="15" hidden="false" customHeight="false" outlineLevel="0" collapsed="false">
      <c r="A85" s="29"/>
      <c r="B85" s="27"/>
      <c r="C85" s="28"/>
      <c r="D85" s="27"/>
      <c r="E85" s="32"/>
      <c r="F85" s="39"/>
      <c r="G85" s="39"/>
      <c r="H85" s="39"/>
      <c r="I85" s="40" t="str">
        <f aca="false">IF(OR($G85="",$F85=""),"",$G85-$F85)</f>
        <v/>
      </c>
      <c r="J85" s="40" t="str">
        <f aca="false">IF(OR($H85="",$F85=""),"",$H85-$F85)</f>
        <v/>
      </c>
      <c r="K85" s="32"/>
      <c r="L85" s="32"/>
      <c r="M85" s="32"/>
      <c r="N85" s="32"/>
      <c r="O85" s="41"/>
      <c r="P85" s="42" t="str">
        <f aca="false">IF(OR($N85="",$O85="",$O85=0),"",($N85/100)/$O85)</f>
        <v/>
      </c>
      <c r="Q85" s="43" t="str">
        <f aca="false">IF(OR($K85="",$L85="",$K85=0),"",($L85-$K85)/$K85)</f>
        <v/>
      </c>
      <c r="R85" s="32"/>
      <c r="S85" s="44" t="str">
        <f aca="false">IF(OR($L85="",$E85=""),"",60.7*$L85+45.3*$E85-2055)</f>
        <v/>
      </c>
      <c r="T85" s="45"/>
      <c r="U85" s="45"/>
      <c r="V85" s="45"/>
      <c r="W85" s="45"/>
      <c r="X85" s="32"/>
      <c r="Y85" s="32"/>
      <c r="Z85" s="39"/>
      <c r="AA85" s="46"/>
      <c r="AB85" s="42" t="str">
        <f aca="false">IF(OR($AA85="",$E85="",$E85=0),"",$AA85/$E85)</f>
        <v/>
      </c>
      <c r="AC85" s="27"/>
    </row>
    <row r="86" customFormat="false" ht="15" hidden="false" customHeight="false" outlineLevel="0" collapsed="false">
      <c r="A86" s="29"/>
      <c r="B86" s="27"/>
      <c r="C86" s="28"/>
      <c r="D86" s="27"/>
      <c r="E86" s="32"/>
      <c r="F86" s="39"/>
      <c r="G86" s="39"/>
      <c r="H86" s="39"/>
      <c r="I86" s="40" t="str">
        <f aca="false">IF(OR($G86="",$F86=""),"",$G86-$F86)</f>
        <v/>
      </c>
      <c r="J86" s="40" t="str">
        <f aca="false">IF(OR($H86="",$F86=""),"",$H86-$F86)</f>
        <v/>
      </c>
      <c r="K86" s="32"/>
      <c r="L86" s="32"/>
      <c r="M86" s="32"/>
      <c r="N86" s="32"/>
      <c r="O86" s="41"/>
      <c r="P86" s="42" t="str">
        <f aca="false">IF(OR($N86="",$O86="",$O86=0),"",($N86/100)/$O86)</f>
        <v/>
      </c>
      <c r="Q86" s="43" t="str">
        <f aca="false">IF(OR($K86="",$L86="",$K86=0),"",($L86-$K86)/$K86)</f>
        <v/>
      </c>
      <c r="R86" s="32"/>
      <c r="S86" s="44" t="str">
        <f aca="false">IF(OR($L86="",$E86=""),"",60.7*$L86+45.3*$E86-2055)</f>
        <v/>
      </c>
      <c r="T86" s="45"/>
      <c r="U86" s="45"/>
      <c r="V86" s="45"/>
      <c r="W86" s="45"/>
      <c r="X86" s="32"/>
      <c r="Y86" s="32"/>
      <c r="Z86" s="39"/>
      <c r="AA86" s="46"/>
      <c r="AB86" s="42" t="str">
        <f aca="false">IF(OR($AA86="",$E86="",$E86=0),"",$AA86/$E86)</f>
        <v/>
      </c>
      <c r="AC86" s="27"/>
    </row>
    <row r="87" customFormat="false" ht="15" hidden="false" customHeight="false" outlineLevel="0" collapsed="false">
      <c r="A87" s="29"/>
      <c r="B87" s="27"/>
      <c r="C87" s="28"/>
      <c r="D87" s="27"/>
      <c r="E87" s="32"/>
      <c r="F87" s="39"/>
      <c r="G87" s="39"/>
      <c r="H87" s="39"/>
      <c r="I87" s="40" t="str">
        <f aca="false">IF(OR($G87="",$F87=""),"",$G87-$F87)</f>
        <v/>
      </c>
      <c r="J87" s="40" t="str">
        <f aca="false">IF(OR($H87="",$F87=""),"",$H87-$F87)</f>
        <v/>
      </c>
      <c r="K87" s="32"/>
      <c r="L87" s="32"/>
      <c r="M87" s="32"/>
      <c r="N87" s="32"/>
      <c r="O87" s="41"/>
      <c r="P87" s="42" t="str">
        <f aca="false">IF(OR($N87="",$O87="",$O87=0),"",($N87/100)/$O87)</f>
        <v/>
      </c>
      <c r="Q87" s="43" t="str">
        <f aca="false">IF(OR($K87="",$L87="",$K87=0),"",($L87-$K87)/$K87)</f>
        <v/>
      </c>
      <c r="R87" s="32"/>
      <c r="S87" s="44" t="str">
        <f aca="false">IF(OR($L87="",$E87=""),"",60.7*$L87+45.3*$E87-2055)</f>
        <v/>
      </c>
      <c r="T87" s="45"/>
      <c r="U87" s="45"/>
      <c r="V87" s="45"/>
      <c r="W87" s="45"/>
      <c r="X87" s="32"/>
      <c r="Y87" s="32"/>
      <c r="Z87" s="39"/>
      <c r="AA87" s="46"/>
      <c r="AB87" s="42" t="str">
        <f aca="false">IF(OR($AA87="",$E87="",$E87=0),"",$AA87/$E87)</f>
        <v/>
      </c>
      <c r="AC87" s="27"/>
    </row>
    <row r="88" customFormat="false" ht="15" hidden="false" customHeight="false" outlineLevel="0" collapsed="false">
      <c r="A88" s="29"/>
      <c r="B88" s="27"/>
      <c r="C88" s="28"/>
      <c r="D88" s="27"/>
      <c r="E88" s="32"/>
      <c r="F88" s="39"/>
      <c r="G88" s="39"/>
      <c r="H88" s="39"/>
      <c r="I88" s="40" t="str">
        <f aca="false">IF(OR($G88="",$F88=""),"",$G88-$F88)</f>
        <v/>
      </c>
      <c r="J88" s="40" t="str">
        <f aca="false">IF(OR($H88="",$F88=""),"",$H88-$F88)</f>
        <v/>
      </c>
      <c r="K88" s="32"/>
      <c r="L88" s="32"/>
      <c r="M88" s="32"/>
      <c r="N88" s="32"/>
      <c r="O88" s="41"/>
      <c r="P88" s="42" t="str">
        <f aca="false">IF(OR($N88="",$O88="",$O88=0),"",($N88/100)/$O88)</f>
        <v/>
      </c>
      <c r="Q88" s="43" t="str">
        <f aca="false">IF(OR($K88="",$L88="",$K88=0),"",($L88-$K88)/$K88)</f>
        <v/>
      </c>
      <c r="R88" s="32"/>
      <c r="S88" s="44" t="str">
        <f aca="false">IF(OR($L88="",$E88=""),"",60.7*$L88+45.3*$E88-2055)</f>
        <v/>
      </c>
      <c r="T88" s="45"/>
      <c r="U88" s="45"/>
      <c r="V88" s="45"/>
      <c r="W88" s="45"/>
      <c r="X88" s="32"/>
      <c r="Y88" s="32"/>
      <c r="Z88" s="39"/>
      <c r="AA88" s="46"/>
      <c r="AB88" s="42" t="str">
        <f aca="false">IF(OR($AA88="",$E88="",$E88=0),"",$AA88/$E88)</f>
        <v/>
      </c>
      <c r="AC88" s="27"/>
    </row>
    <row r="89" customFormat="false" ht="15" hidden="false" customHeight="false" outlineLevel="0" collapsed="false">
      <c r="A89" s="29"/>
      <c r="B89" s="27"/>
      <c r="C89" s="28"/>
      <c r="D89" s="27"/>
      <c r="E89" s="32"/>
      <c r="F89" s="39"/>
      <c r="G89" s="39"/>
      <c r="H89" s="39"/>
      <c r="I89" s="40" t="str">
        <f aca="false">IF(OR($G89="",$F89=""),"",$G89-$F89)</f>
        <v/>
      </c>
      <c r="J89" s="40" t="str">
        <f aca="false">IF(OR($H89="",$F89=""),"",$H89-$F89)</f>
        <v/>
      </c>
      <c r="K89" s="32"/>
      <c r="L89" s="32"/>
      <c r="M89" s="32"/>
      <c r="N89" s="32"/>
      <c r="O89" s="41"/>
      <c r="P89" s="42" t="str">
        <f aca="false">IF(OR($N89="",$O89="",$O89=0),"",($N89/100)/$O89)</f>
        <v/>
      </c>
      <c r="Q89" s="43" t="str">
        <f aca="false">IF(OR($K89="",$L89="",$K89=0),"",($L89-$K89)/$K89)</f>
        <v/>
      </c>
      <c r="R89" s="32"/>
      <c r="S89" s="44" t="str">
        <f aca="false">IF(OR($L89="",$E89=""),"",60.7*$L89+45.3*$E89-2055)</f>
        <v/>
      </c>
      <c r="T89" s="45"/>
      <c r="U89" s="45"/>
      <c r="V89" s="45"/>
      <c r="W89" s="45"/>
      <c r="X89" s="32"/>
      <c r="Y89" s="32"/>
      <c r="Z89" s="39"/>
      <c r="AA89" s="46"/>
      <c r="AB89" s="42" t="str">
        <f aca="false">IF(OR($AA89="",$E89="",$E89=0),"",$AA89/$E89)</f>
        <v/>
      </c>
      <c r="AC89" s="27"/>
    </row>
    <row r="90" customFormat="false" ht="15" hidden="false" customHeight="false" outlineLevel="0" collapsed="false">
      <c r="A90" s="29"/>
      <c r="B90" s="27"/>
      <c r="C90" s="28"/>
      <c r="D90" s="27"/>
      <c r="E90" s="32"/>
      <c r="F90" s="39"/>
      <c r="G90" s="39"/>
      <c r="H90" s="39"/>
      <c r="I90" s="40" t="str">
        <f aca="false">IF(OR($G90="",$F90=""),"",$G90-$F90)</f>
        <v/>
      </c>
      <c r="J90" s="40" t="str">
        <f aca="false">IF(OR($H90="",$F90=""),"",$H90-$F90)</f>
        <v/>
      </c>
      <c r="K90" s="32"/>
      <c r="L90" s="32"/>
      <c r="M90" s="32"/>
      <c r="N90" s="32"/>
      <c r="O90" s="41"/>
      <c r="P90" s="42" t="str">
        <f aca="false">IF(OR($N90="",$O90="",$O90=0),"",($N90/100)/$O90)</f>
        <v/>
      </c>
      <c r="Q90" s="43" t="str">
        <f aca="false">IF(OR($K90="",$L90="",$K90=0),"",($L90-$K90)/$K90)</f>
        <v/>
      </c>
      <c r="R90" s="32"/>
      <c r="S90" s="44" t="str">
        <f aca="false">IF(OR($L90="",$E90=""),"",60.7*$L90+45.3*$E90-2055)</f>
        <v/>
      </c>
      <c r="T90" s="45"/>
      <c r="U90" s="45"/>
      <c r="V90" s="45"/>
      <c r="W90" s="45"/>
      <c r="X90" s="32"/>
      <c r="Y90" s="32"/>
      <c r="Z90" s="39"/>
      <c r="AA90" s="46"/>
      <c r="AB90" s="42" t="str">
        <f aca="false">IF(OR($AA90="",$E90="",$E90=0),"",$AA90/$E90)</f>
        <v/>
      </c>
      <c r="AC90" s="27"/>
    </row>
    <row r="91" customFormat="false" ht="15" hidden="false" customHeight="false" outlineLevel="0" collapsed="false">
      <c r="A91" s="29"/>
      <c r="B91" s="27"/>
      <c r="C91" s="28"/>
      <c r="D91" s="27"/>
      <c r="E91" s="32"/>
      <c r="F91" s="39"/>
      <c r="G91" s="39"/>
      <c r="H91" s="39"/>
      <c r="I91" s="40" t="str">
        <f aca="false">IF(OR($G91="",$F91=""),"",$G91-$F91)</f>
        <v/>
      </c>
      <c r="J91" s="40" t="str">
        <f aca="false">IF(OR($H91="",$F91=""),"",$H91-$F91)</f>
        <v/>
      </c>
      <c r="K91" s="32"/>
      <c r="L91" s="32"/>
      <c r="M91" s="32"/>
      <c r="N91" s="32"/>
      <c r="O91" s="41"/>
      <c r="P91" s="42" t="str">
        <f aca="false">IF(OR($N91="",$O91="",$O91=0),"",($N91/100)/$O91)</f>
        <v/>
      </c>
      <c r="Q91" s="43" t="str">
        <f aca="false">IF(OR($K91="",$L91="",$K91=0),"",($L91-$K91)/$K91)</f>
        <v/>
      </c>
      <c r="R91" s="32"/>
      <c r="S91" s="44" t="str">
        <f aca="false">IF(OR($L91="",$E91=""),"",60.7*$L91+45.3*$E91-2055)</f>
        <v/>
      </c>
      <c r="T91" s="45"/>
      <c r="U91" s="45"/>
      <c r="V91" s="45"/>
      <c r="W91" s="45"/>
      <c r="X91" s="32"/>
      <c r="Y91" s="32"/>
      <c r="Z91" s="39"/>
      <c r="AA91" s="46"/>
      <c r="AB91" s="42" t="str">
        <f aca="false">IF(OR($AA91="",$E91="",$E91=0),"",$AA91/$E91)</f>
        <v/>
      </c>
      <c r="AC91" s="27"/>
    </row>
    <row r="92" customFormat="false" ht="15" hidden="false" customHeight="false" outlineLevel="0" collapsed="false">
      <c r="A92" s="29"/>
      <c r="B92" s="27"/>
      <c r="C92" s="28"/>
      <c r="D92" s="27"/>
      <c r="E92" s="32"/>
      <c r="F92" s="39"/>
      <c r="G92" s="39"/>
      <c r="H92" s="39"/>
      <c r="I92" s="40" t="str">
        <f aca="false">IF(OR($G92="",$F92=""),"",$G92-$F92)</f>
        <v/>
      </c>
      <c r="J92" s="40" t="str">
        <f aca="false">IF(OR($H92="",$F92=""),"",$H92-$F92)</f>
        <v/>
      </c>
      <c r="K92" s="32"/>
      <c r="L92" s="32"/>
      <c r="M92" s="32"/>
      <c r="N92" s="32"/>
      <c r="O92" s="41"/>
      <c r="P92" s="42" t="str">
        <f aca="false">IF(OR($N92="",$O92="",$O92=0),"",($N92/100)/$O92)</f>
        <v/>
      </c>
      <c r="Q92" s="43" t="str">
        <f aca="false">IF(OR($K92="",$L92="",$K92=0),"",($L92-$K92)/$K92)</f>
        <v/>
      </c>
      <c r="R92" s="32"/>
      <c r="S92" s="44" t="str">
        <f aca="false">IF(OR($L92="",$E92=""),"",60.7*$L92+45.3*$E92-2055)</f>
        <v/>
      </c>
      <c r="T92" s="45"/>
      <c r="U92" s="45"/>
      <c r="V92" s="45"/>
      <c r="W92" s="45"/>
      <c r="X92" s="32"/>
      <c r="Y92" s="32"/>
      <c r="Z92" s="39"/>
      <c r="AA92" s="46"/>
      <c r="AB92" s="42" t="str">
        <f aca="false">IF(OR($AA92="",$E92="",$E92=0),"",$AA92/$E92)</f>
        <v/>
      </c>
      <c r="AC92" s="27"/>
    </row>
    <row r="93" customFormat="false" ht="15" hidden="false" customHeight="false" outlineLevel="0" collapsed="false">
      <c r="A93" s="29"/>
      <c r="B93" s="27"/>
      <c r="C93" s="28"/>
      <c r="D93" s="27"/>
      <c r="E93" s="32"/>
      <c r="F93" s="39"/>
      <c r="G93" s="39"/>
      <c r="H93" s="39"/>
      <c r="I93" s="40" t="str">
        <f aca="false">IF(OR($G93="",$F93=""),"",$G93-$F93)</f>
        <v/>
      </c>
      <c r="J93" s="40" t="str">
        <f aca="false">IF(OR($H93="",$F93=""),"",$H93-$F93)</f>
        <v/>
      </c>
      <c r="K93" s="32"/>
      <c r="L93" s="32"/>
      <c r="M93" s="32"/>
      <c r="N93" s="32"/>
      <c r="O93" s="41"/>
      <c r="P93" s="42" t="str">
        <f aca="false">IF(OR($N93="",$O93="",$O93=0),"",($N93/100)/$O93)</f>
        <v/>
      </c>
      <c r="Q93" s="43" t="str">
        <f aca="false">IF(OR($K93="",$L93="",$K93=0),"",($L93-$K93)/$K93)</f>
        <v/>
      </c>
      <c r="R93" s="32"/>
      <c r="S93" s="44" t="str">
        <f aca="false">IF(OR($L93="",$E93=""),"",60.7*$L93+45.3*$E93-2055)</f>
        <v/>
      </c>
      <c r="T93" s="45"/>
      <c r="U93" s="45"/>
      <c r="V93" s="45"/>
      <c r="W93" s="45"/>
      <c r="X93" s="32"/>
      <c r="Y93" s="32"/>
      <c r="Z93" s="39"/>
      <c r="AA93" s="46"/>
      <c r="AB93" s="42" t="str">
        <f aca="false">IF(OR($AA93="",$E93="",$E93=0),"",$AA93/$E93)</f>
        <v/>
      </c>
      <c r="AC93" s="27"/>
    </row>
    <row r="94" customFormat="false" ht="15" hidden="false" customHeight="false" outlineLevel="0" collapsed="false">
      <c r="A94" s="29"/>
      <c r="B94" s="27"/>
      <c r="C94" s="28"/>
      <c r="D94" s="27"/>
      <c r="E94" s="32"/>
      <c r="F94" s="39"/>
      <c r="G94" s="39"/>
      <c r="H94" s="39"/>
      <c r="I94" s="40" t="str">
        <f aca="false">IF(OR($G94="",$F94=""),"",$G94-$F94)</f>
        <v/>
      </c>
      <c r="J94" s="40" t="str">
        <f aca="false">IF(OR($H94="",$F94=""),"",$H94-$F94)</f>
        <v/>
      </c>
      <c r="K94" s="32"/>
      <c r="L94" s="32"/>
      <c r="M94" s="32"/>
      <c r="N94" s="32"/>
      <c r="O94" s="41"/>
      <c r="P94" s="42" t="str">
        <f aca="false">IF(OR($N94="",$O94="",$O94=0),"",($N94/100)/$O94)</f>
        <v/>
      </c>
      <c r="Q94" s="43" t="str">
        <f aca="false">IF(OR($K94="",$L94="",$K94=0),"",($L94-$K94)/$K94)</f>
        <v/>
      </c>
      <c r="R94" s="32"/>
      <c r="S94" s="44" t="str">
        <f aca="false">IF(OR($L94="",$E94=""),"",60.7*$L94+45.3*$E94-2055)</f>
        <v/>
      </c>
      <c r="T94" s="45"/>
      <c r="U94" s="45"/>
      <c r="V94" s="45"/>
      <c r="W94" s="45"/>
      <c r="X94" s="32"/>
      <c r="Y94" s="32"/>
      <c r="Z94" s="39"/>
      <c r="AA94" s="46"/>
      <c r="AB94" s="42" t="str">
        <f aca="false">IF(OR($AA94="",$E94="",$E94=0),"",$AA94/$E94)</f>
        <v/>
      </c>
      <c r="AC94" s="27"/>
    </row>
    <row r="95" customFormat="false" ht="15" hidden="false" customHeight="false" outlineLevel="0" collapsed="false">
      <c r="A95" s="29"/>
      <c r="B95" s="27"/>
      <c r="C95" s="28"/>
      <c r="D95" s="27"/>
      <c r="E95" s="32"/>
      <c r="F95" s="39"/>
      <c r="G95" s="39"/>
      <c r="H95" s="39"/>
      <c r="I95" s="40" t="str">
        <f aca="false">IF(OR($G95="",$F95=""),"",$G95-$F95)</f>
        <v/>
      </c>
      <c r="J95" s="40" t="str">
        <f aca="false">IF(OR($H95="",$F95=""),"",$H95-$F95)</f>
        <v/>
      </c>
      <c r="K95" s="32"/>
      <c r="L95" s="32"/>
      <c r="M95" s="32"/>
      <c r="N95" s="32"/>
      <c r="O95" s="41"/>
      <c r="P95" s="42" t="str">
        <f aca="false">IF(OR($N95="",$O95="",$O95=0),"",($N95/100)/$O95)</f>
        <v/>
      </c>
      <c r="Q95" s="43" t="str">
        <f aca="false">IF(OR($K95="",$L95="",$K95=0),"",($L95-$K95)/$K95)</f>
        <v/>
      </c>
      <c r="R95" s="32"/>
      <c r="S95" s="44" t="str">
        <f aca="false">IF(OR($L95="",$E95=""),"",60.7*$L95+45.3*$E95-2055)</f>
        <v/>
      </c>
      <c r="T95" s="45"/>
      <c r="U95" s="45"/>
      <c r="V95" s="45"/>
      <c r="W95" s="45"/>
      <c r="X95" s="32"/>
      <c r="Y95" s="32"/>
      <c r="Z95" s="39"/>
      <c r="AA95" s="46"/>
      <c r="AB95" s="42" t="str">
        <f aca="false">IF(OR($AA95="",$E95="",$E95=0),"",$AA95/$E95)</f>
        <v/>
      </c>
      <c r="AC95" s="27"/>
    </row>
    <row r="96" customFormat="false" ht="15" hidden="false" customHeight="false" outlineLevel="0" collapsed="false">
      <c r="A96" s="29"/>
      <c r="B96" s="27"/>
      <c r="C96" s="28"/>
      <c r="D96" s="27"/>
      <c r="E96" s="32"/>
      <c r="F96" s="39"/>
      <c r="G96" s="39"/>
      <c r="H96" s="39"/>
      <c r="I96" s="40" t="str">
        <f aca="false">IF(OR($G96="",$F96=""),"",$G96-$F96)</f>
        <v/>
      </c>
      <c r="J96" s="40" t="str">
        <f aca="false">IF(OR($H96="",$F96=""),"",$H96-$F96)</f>
        <v/>
      </c>
      <c r="K96" s="32"/>
      <c r="L96" s="32"/>
      <c r="M96" s="32"/>
      <c r="N96" s="32"/>
      <c r="O96" s="41"/>
      <c r="P96" s="42" t="str">
        <f aca="false">IF(OR($N96="",$O96="",$O96=0),"",($N96/100)/$O96)</f>
        <v/>
      </c>
      <c r="Q96" s="43" t="str">
        <f aca="false">IF(OR($K96="",$L96="",$K96=0),"",($L96-$K96)/$K96)</f>
        <v/>
      </c>
      <c r="R96" s="32"/>
      <c r="S96" s="44" t="str">
        <f aca="false">IF(OR($L96="",$E96=""),"",60.7*$L96+45.3*$E96-2055)</f>
        <v/>
      </c>
      <c r="T96" s="45"/>
      <c r="U96" s="45"/>
      <c r="V96" s="45"/>
      <c r="W96" s="45"/>
      <c r="X96" s="32"/>
      <c r="Y96" s="32"/>
      <c r="Z96" s="39"/>
      <c r="AA96" s="46"/>
      <c r="AB96" s="42" t="str">
        <f aca="false">IF(OR($AA96="",$E96="",$E96=0),"",$AA96/$E96)</f>
        <v/>
      </c>
      <c r="AC96" s="27"/>
    </row>
    <row r="97" customFormat="false" ht="15" hidden="false" customHeight="false" outlineLevel="0" collapsed="false">
      <c r="A97" s="29"/>
      <c r="B97" s="27"/>
      <c r="C97" s="28"/>
      <c r="D97" s="27"/>
      <c r="E97" s="32"/>
      <c r="F97" s="39"/>
      <c r="G97" s="39"/>
      <c r="H97" s="39"/>
      <c r="I97" s="40" t="str">
        <f aca="false">IF(OR($G97="",$F97=""),"",$G97-$F97)</f>
        <v/>
      </c>
      <c r="J97" s="40" t="str">
        <f aca="false">IF(OR($H97="",$F97=""),"",$H97-$F97)</f>
        <v/>
      </c>
      <c r="K97" s="32"/>
      <c r="L97" s="32"/>
      <c r="M97" s="32"/>
      <c r="N97" s="32"/>
      <c r="O97" s="41"/>
      <c r="P97" s="42" t="str">
        <f aca="false">IF(OR($N97="",$O97="",$O97=0),"",($N97/100)/$O97)</f>
        <v/>
      </c>
      <c r="Q97" s="43" t="str">
        <f aca="false">IF(OR($K97="",$L97="",$K97=0),"",($L97-$K97)/$K97)</f>
        <v/>
      </c>
      <c r="R97" s="32"/>
      <c r="S97" s="44" t="str">
        <f aca="false">IF(OR($L97="",$E97=""),"",60.7*$L97+45.3*$E97-2055)</f>
        <v/>
      </c>
      <c r="T97" s="45"/>
      <c r="U97" s="45"/>
      <c r="V97" s="45"/>
      <c r="W97" s="45"/>
      <c r="X97" s="32"/>
      <c r="Y97" s="32"/>
      <c r="Z97" s="39"/>
      <c r="AA97" s="46"/>
      <c r="AB97" s="42" t="str">
        <f aca="false">IF(OR($AA97="",$E97="",$E97=0),"",$AA97/$E97)</f>
        <v/>
      </c>
      <c r="AC97" s="27"/>
    </row>
    <row r="98" customFormat="false" ht="15" hidden="false" customHeight="false" outlineLevel="0" collapsed="false">
      <c r="A98" s="29"/>
      <c r="B98" s="27"/>
      <c r="C98" s="28"/>
      <c r="D98" s="27"/>
      <c r="E98" s="32"/>
      <c r="F98" s="39"/>
      <c r="G98" s="39"/>
      <c r="H98" s="39"/>
      <c r="I98" s="40" t="str">
        <f aca="false">IF(OR($G98="",$F98=""),"",$G98-$F98)</f>
        <v/>
      </c>
      <c r="J98" s="40" t="str">
        <f aca="false">IF(OR($H98="",$F98=""),"",$H98-$F98)</f>
        <v/>
      </c>
      <c r="K98" s="32"/>
      <c r="L98" s="32"/>
      <c r="M98" s="32"/>
      <c r="N98" s="32"/>
      <c r="O98" s="41"/>
      <c r="P98" s="42" t="str">
        <f aca="false">IF(OR($N98="",$O98="",$O98=0),"",($N98/100)/$O98)</f>
        <v/>
      </c>
      <c r="Q98" s="43" t="str">
        <f aca="false">IF(OR($K98="",$L98="",$K98=0),"",($L98-$K98)/$K98)</f>
        <v/>
      </c>
      <c r="R98" s="32"/>
      <c r="S98" s="44" t="str">
        <f aca="false">IF(OR($L98="",$E98=""),"",60.7*$L98+45.3*$E98-2055)</f>
        <v/>
      </c>
      <c r="T98" s="45"/>
      <c r="U98" s="45"/>
      <c r="V98" s="45"/>
      <c r="W98" s="45"/>
      <c r="X98" s="32"/>
      <c r="Y98" s="32"/>
      <c r="Z98" s="39"/>
      <c r="AA98" s="46"/>
      <c r="AB98" s="42" t="str">
        <f aca="false">IF(OR($AA98="",$E98="",$E98=0),"",$AA98/$E98)</f>
        <v/>
      </c>
      <c r="AC98" s="27"/>
    </row>
    <row r="99" customFormat="false" ht="15" hidden="false" customHeight="false" outlineLevel="0" collapsed="false">
      <c r="A99" s="29"/>
      <c r="B99" s="27"/>
      <c r="C99" s="28"/>
      <c r="D99" s="27"/>
      <c r="E99" s="32"/>
      <c r="F99" s="39"/>
      <c r="G99" s="39"/>
      <c r="H99" s="39"/>
      <c r="I99" s="40" t="str">
        <f aca="false">IF(OR($G99="",$F99=""),"",$G99-$F99)</f>
        <v/>
      </c>
      <c r="J99" s="40" t="str">
        <f aca="false">IF(OR($H99="",$F99=""),"",$H99-$F99)</f>
        <v/>
      </c>
      <c r="K99" s="32"/>
      <c r="L99" s="32"/>
      <c r="M99" s="32"/>
      <c r="N99" s="32"/>
      <c r="O99" s="41"/>
      <c r="P99" s="42" t="str">
        <f aca="false">IF(OR($N99="",$O99="",$O99=0),"",($N99/100)/$O99)</f>
        <v/>
      </c>
      <c r="Q99" s="43" t="str">
        <f aca="false">IF(OR($K99="",$L99="",$K99=0),"",($L99-$K99)/$K99)</f>
        <v/>
      </c>
      <c r="R99" s="32"/>
      <c r="S99" s="44" t="str">
        <f aca="false">IF(OR($L99="",$E99=""),"",60.7*$L99+45.3*$E99-2055)</f>
        <v/>
      </c>
      <c r="T99" s="45"/>
      <c r="U99" s="45"/>
      <c r="V99" s="45"/>
      <c r="W99" s="45"/>
      <c r="X99" s="32"/>
      <c r="Y99" s="32"/>
      <c r="Z99" s="39"/>
      <c r="AA99" s="46"/>
      <c r="AB99" s="42" t="str">
        <f aca="false">IF(OR($AA99="",$E99="",$E99=0),"",$AA99/$E99)</f>
        <v/>
      </c>
      <c r="AC99" s="27"/>
    </row>
    <row r="100" customFormat="false" ht="15" hidden="false" customHeight="false" outlineLevel="0" collapsed="false">
      <c r="A100" s="29"/>
      <c r="B100" s="27"/>
      <c r="C100" s="28"/>
      <c r="D100" s="27"/>
      <c r="E100" s="32"/>
      <c r="F100" s="39"/>
      <c r="G100" s="39"/>
      <c r="H100" s="39"/>
      <c r="I100" s="40" t="str">
        <f aca="false">IF(OR($G100="",$F100=""),"",$G100-$F100)</f>
        <v/>
      </c>
      <c r="J100" s="40" t="str">
        <f aca="false">IF(OR($H100="",$F100=""),"",$H100-$F100)</f>
        <v/>
      </c>
      <c r="K100" s="32"/>
      <c r="L100" s="32"/>
      <c r="M100" s="32"/>
      <c r="N100" s="32"/>
      <c r="O100" s="41"/>
      <c r="P100" s="42" t="str">
        <f aca="false">IF(OR($N100="",$O100="",$O100=0),"",($N100/100)/$O100)</f>
        <v/>
      </c>
      <c r="Q100" s="43" t="str">
        <f aca="false">IF(OR($K100="",$L100="",$K100=0),"",($L100-$K100)/$K100)</f>
        <v/>
      </c>
      <c r="R100" s="32"/>
      <c r="S100" s="44" t="str">
        <f aca="false">IF(OR($L100="",$E100=""),"",60.7*$L100+45.3*$E100-2055)</f>
        <v/>
      </c>
      <c r="T100" s="45"/>
      <c r="U100" s="45"/>
      <c r="V100" s="45"/>
      <c r="W100" s="45"/>
      <c r="X100" s="32"/>
      <c r="Y100" s="32"/>
      <c r="Z100" s="39"/>
      <c r="AA100" s="46"/>
      <c r="AB100" s="42" t="str">
        <f aca="false">IF(OR($AA100="",$E100="",$E100=0),"",$AA100/$E100)</f>
        <v/>
      </c>
      <c r="AC100" s="27"/>
    </row>
    <row r="101" customFormat="false" ht="15" hidden="false" customHeight="false" outlineLevel="0" collapsed="false">
      <c r="A101" s="29"/>
      <c r="B101" s="27"/>
      <c r="C101" s="28"/>
      <c r="D101" s="27"/>
      <c r="E101" s="32"/>
      <c r="F101" s="39"/>
      <c r="G101" s="39"/>
      <c r="H101" s="39"/>
      <c r="I101" s="40" t="str">
        <f aca="false">IF(OR($G101="",$F101=""),"",$G101-$F101)</f>
        <v/>
      </c>
      <c r="J101" s="40" t="str">
        <f aca="false">IF(OR($H101="",$F101=""),"",$H101-$F101)</f>
        <v/>
      </c>
      <c r="K101" s="32"/>
      <c r="L101" s="32"/>
      <c r="M101" s="32"/>
      <c r="N101" s="32"/>
      <c r="O101" s="41"/>
      <c r="P101" s="42" t="str">
        <f aca="false">IF(OR($N101="",$O101="",$O101=0),"",($N101/100)/$O101)</f>
        <v/>
      </c>
      <c r="Q101" s="43" t="str">
        <f aca="false">IF(OR($K101="",$L101="",$K101=0),"",($L101-$K101)/$K101)</f>
        <v/>
      </c>
      <c r="R101" s="32"/>
      <c r="S101" s="44" t="str">
        <f aca="false">IF(OR($L101="",$E101=""),"",60.7*$L101+45.3*$E101-2055)</f>
        <v/>
      </c>
      <c r="T101" s="45"/>
      <c r="U101" s="45"/>
      <c r="V101" s="45"/>
      <c r="W101" s="45"/>
      <c r="X101" s="32"/>
      <c r="Y101" s="32"/>
      <c r="Z101" s="39"/>
      <c r="AA101" s="46"/>
      <c r="AB101" s="42" t="str">
        <f aca="false">IF(OR($AA101="",$E101="",$E101=0),"",$AA101/$E101)</f>
        <v/>
      </c>
      <c r="AC101" s="27"/>
    </row>
    <row r="102" customFormat="false" ht="15" hidden="false" customHeight="false" outlineLevel="0" collapsed="false">
      <c r="A102" s="29"/>
      <c r="B102" s="27"/>
      <c r="C102" s="28"/>
      <c r="D102" s="27"/>
      <c r="E102" s="32"/>
      <c r="F102" s="39"/>
      <c r="G102" s="39"/>
      <c r="H102" s="39"/>
      <c r="I102" s="40" t="str">
        <f aca="false">IF(OR($G102="",$F102=""),"",$G102-$F102)</f>
        <v/>
      </c>
      <c r="J102" s="40" t="str">
        <f aca="false">IF(OR($H102="",$F102=""),"",$H102-$F102)</f>
        <v/>
      </c>
      <c r="K102" s="32"/>
      <c r="L102" s="32"/>
      <c r="M102" s="32"/>
      <c r="N102" s="32"/>
      <c r="O102" s="41"/>
      <c r="P102" s="42" t="str">
        <f aca="false">IF(OR($N102="",$O102="",$O102=0),"",($N102/100)/$O102)</f>
        <v/>
      </c>
      <c r="Q102" s="43" t="str">
        <f aca="false">IF(OR($K102="",$L102="",$K102=0),"",($L102-$K102)/$K102)</f>
        <v/>
      </c>
      <c r="R102" s="32"/>
      <c r="S102" s="44" t="str">
        <f aca="false">IF(OR($L102="",$E102=""),"",60.7*$L102+45.3*$E102-2055)</f>
        <v/>
      </c>
      <c r="T102" s="45"/>
      <c r="U102" s="45"/>
      <c r="V102" s="45"/>
      <c r="W102" s="45"/>
      <c r="X102" s="32"/>
      <c r="Y102" s="32"/>
      <c r="Z102" s="39"/>
      <c r="AA102" s="46"/>
      <c r="AB102" s="42" t="str">
        <f aca="false">IF(OR($AA102="",$E102="",$E102=0),"",$AA102/$E102)</f>
        <v/>
      </c>
      <c r="AC102" s="27"/>
    </row>
    <row r="103" customFormat="false" ht="15" hidden="false" customHeight="false" outlineLevel="0" collapsed="false">
      <c r="A103" s="29"/>
      <c r="B103" s="27"/>
      <c r="C103" s="28"/>
      <c r="D103" s="27"/>
      <c r="E103" s="32"/>
      <c r="F103" s="39"/>
      <c r="G103" s="39"/>
      <c r="H103" s="39"/>
      <c r="I103" s="40" t="str">
        <f aca="false">IF(OR($G103="",$F103=""),"",$G103-$F103)</f>
        <v/>
      </c>
      <c r="J103" s="40" t="str">
        <f aca="false">IF(OR($H103="",$F103=""),"",$H103-$F103)</f>
        <v/>
      </c>
      <c r="K103" s="32"/>
      <c r="L103" s="32"/>
      <c r="M103" s="32"/>
      <c r="N103" s="32"/>
      <c r="O103" s="41"/>
      <c r="P103" s="42" t="str">
        <f aca="false">IF(OR($N103="",$O103="",$O103=0),"",($N103/100)/$O103)</f>
        <v/>
      </c>
      <c r="Q103" s="43" t="str">
        <f aca="false">IF(OR($K103="",$L103="",$K103=0),"",($L103-$K103)/$K103)</f>
        <v/>
      </c>
      <c r="R103" s="32"/>
      <c r="S103" s="44" t="str">
        <f aca="false">IF(OR($L103="",$E103=""),"",60.7*$L103+45.3*$E103-2055)</f>
        <v/>
      </c>
      <c r="T103" s="45"/>
      <c r="U103" s="45"/>
      <c r="V103" s="45"/>
      <c r="W103" s="45"/>
      <c r="X103" s="32"/>
      <c r="Y103" s="32"/>
      <c r="Z103" s="39"/>
      <c r="AA103" s="46"/>
      <c r="AB103" s="42" t="str">
        <f aca="false">IF(OR($AA103="",$E103="",$E103=0),"",$AA103/$E103)</f>
        <v/>
      </c>
      <c r="AC103" s="27"/>
    </row>
    <row r="104" customFormat="false" ht="15" hidden="false" customHeight="false" outlineLevel="0" collapsed="false">
      <c r="A104" s="29"/>
      <c r="B104" s="27"/>
      <c r="C104" s="28"/>
      <c r="D104" s="27"/>
      <c r="E104" s="32"/>
      <c r="F104" s="39"/>
      <c r="G104" s="39"/>
      <c r="H104" s="39"/>
      <c r="I104" s="40" t="str">
        <f aca="false">IF(OR($G104="",$F104=""),"",$G104-$F104)</f>
        <v/>
      </c>
      <c r="J104" s="40" t="str">
        <f aca="false">IF(OR($H104="",$F104=""),"",$H104-$F104)</f>
        <v/>
      </c>
      <c r="K104" s="32"/>
      <c r="L104" s="32"/>
      <c r="M104" s="32"/>
      <c r="N104" s="32"/>
      <c r="O104" s="41"/>
      <c r="P104" s="42" t="str">
        <f aca="false">IF(OR($N104="",$O104="",$O104=0),"",($N104/100)/$O104)</f>
        <v/>
      </c>
      <c r="Q104" s="43" t="str">
        <f aca="false">IF(OR($K104="",$L104="",$K104=0),"",($L104-$K104)/$K104)</f>
        <v/>
      </c>
      <c r="R104" s="32"/>
      <c r="S104" s="44" t="str">
        <f aca="false">IF(OR($L104="",$E104=""),"",60.7*$L104+45.3*$E104-2055)</f>
        <v/>
      </c>
      <c r="T104" s="45"/>
      <c r="U104" s="45"/>
      <c r="V104" s="45"/>
      <c r="W104" s="45"/>
      <c r="X104" s="32"/>
      <c r="Y104" s="32"/>
      <c r="Z104" s="39"/>
      <c r="AA104" s="46"/>
      <c r="AB104" s="42" t="str">
        <f aca="false">IF(OR($AA104="",$E104="",$E104=0),"",$AA104/$E104)</f>
        <v/>
      </c>
      <c r="AC104" s="27"/>
    </row>
    <row r="105" customFormat="false" ht="15" hidden="false" customHeight="false" outlineLevel="0" collapsed="false">
      <c r="A105" s="29"/>
      <c r="B105" s="27"/>
      <c r="C105" s="28"/>
      <c r="D105" s="27"/>
      <c r="E105" s="32"/>
      <c r="F105" s="39"/>
      <c r="G105" s="39"/>
      <c r="H105" s="39"/>
      <c r="I105" s="40" t="str">
        <f aca="false">IF(OR($G105="",$F105=""),"",$G105-$F105)</f>
        <v/>
      </c>
      <c r="J105" s="40" t="str">
        <f aca="false">IF(OR($H105="",$F105=""),"",$H105-$F105)</f>
        <v/>
      </c>
      <c r="K105" s="32"/>
      <c r="L105" s="32"/>
      <c r="M105" s="32"/>
      <c r="N105" s="32"/>
      <c r="O105" s="41"/>
      <c r="P105" s="42" t="str">
        <f aca="false">IF(OR($N105="",$O105="",$O105=0),"",($N105/100)/$O105)</f>
        <v/>
      </c>
      <c r="Q105" s="43" t="str">
        <f aca="false">IF(OR($K105="",$L105="",$K105=0),"",($L105-$K105)/$K105)</f>
        <v/>
      </c>
      <c r="R105" s="32"/>
      <c r="S105" s="44" t="str">
        <f aca="false">IF(OR($L105="",$E105=""),"",60.7*$L105+45.3*$E105-2055)</f>
        <v/>
      </c>
      <c r="T105" s="45"/>
      <c r="U105" s="45"/>
      <c r="V105" s="45"/>
      <c r="W105" s="45"/>
      <c r="X105" s="32"/>
      <c r="Y105" s="32"/>
      <c r="Z105" s="39"/>
      <c r="AA105" s="46"/>
      <c r="AB105" s="42" t="str">
        <f aca="false">IF(OR($AA105="",$E105="",$E105=0),"",$AA105/$E105)</f>
        <v/>
      </c>
      <c r="AC105" s="27"/>
    </row>
    <row r="106" customFormat="false" ht="15" hidden="false" customHeight="false" outlineLevel="0" collapsed="false">
      <c r="A106" s="29"/>
      <c r="B106" s="27"/>
      <c r="C106" s="28"/>
      <c r="D106" s="27"/>
      <c r="E106" s="32"/>
      <c r="F106" s="39"/>
      <c r="G106" s="39"/>
      <c r="H106" s="39"/>
      <c r="I106" s="40" t="str">
        <f aca="false">IF(OR($G106="",$F106=""),"",$G106-$F106)</f>
        <v/>
      </c>
      <c r="J106" s="40" t="str">
        <f aca="false">IF(OR($H106="",$F106=""),"",$H106-$F106)</f>
        <v/>
      </c>
      <c r="K106" s="32"/>
      <c r="L106" s="32"/>
      <c r="M106" s="32"/>
      <c r="N106" s="32"/>
      <c r="O106" s="41"/>
      <c r="P106" s="42" t="str">
        <f aca="false">IF(OR($N106="",$O106="",$O106=0),"",($N106/100)/$O106)</f>
        <v/>
      </c>
      <c r="Q106" s="43" t="str">
        <f aca="false">IF(OR($K106="",$L106="",$K106=0),"",($L106-$K106)/$K106)</f>
        <v/>
      </c>
      <c r="R106" s="32"/>
      <c r="S106" s="44" t="str">
        <f aca="false">IF(OR($L106="",$E106=""),"",60.7*$L106+45.3*$E106-2055)</f>
        <v/>
      </c>
      <c r="T106" s="45"/>
      <c r="U106" s="45"/>
      <c r="V106" s="45"/>
      <c r="W106" s="45"/>
      <c r="X106" s="32"/>
      <c r="Y106" s="32"/>
      <c r="Z106" s="39"/>
      <c r="AA106" s="46"/>
      <c r="AB106" s="42" t="str">
        <f aca="false">IF(OR($AA106="",$E106="",$E106=0),"",$AA106/$E106)</f>
        <v/>
      </c>
      <c r="AC106" s="27"/>
    </row>
    <row r="107" customFormat="false" ht="15" hidden="false" customHeight="false" outlineLevel="0" collapsed="false">
      <c r="A107" s="29"/>
      <c r="B107" s="27"/>
      <c r="C107" s="28"/>
      <c r="D107" s="27"/>
      <c r="E107" s="32"/>
      <c r="F107" s="39"/>
      <c r="G107" s="39"/>
      <c r="H107" s="39"/>
      <c r="I107" s="40" t="str">
        <f aca="false">IF(OR($G107="",$F107=""),"",$G107-$F107)</f>
        <v/>
      </c>
      <c r="J107" s="40" t="str">
        <f aca="false">IF(OR($H107="",$F107=""),"",$H107-$F107)</f>
        <v/>
      </c>
      <c r="K107" s="32"/>
      <c r="L107" s="32"/>
      <c r="M107" s="32"/>
      <c r="N107" s="32"/>
      <c r="O107" s="41"/>
      <c r="P107" s="42" t="str">
        <f aca="false">IF(OR($N107="",$O107="",$O107=0),"",($N107/100)/$O107)</f>
        <v/>
      </c>
      <c r="Q107" s="43" t="str">
        <f aca="false">IF(OR($K107="",$L107="",$K107=0),"",($L107-$K107)/$K107)</f>
        <v/>
      </c>
      <c r="R107" s="32"/>
      <c r="S107" s="44" t="str">
        <f aca="false">IF(OR($L107="",$E107=""),"",60.7*$L107+45.3*$E107-2055)</f>
        <v/>
      </c>
      <c r="T107" s="45"/>
      <c r="U107" s="45"/>
      <c r="V107" s="45"/>
      <c r="W107" s="45"/>
      <c r="X107" s="32"/>
      <c r="Y107" s="32"/>
      <c r="Z107" s="39"/>
      <c r="AA107" s="46"/>
      <c r="AB107" s="42" t="str">
        <f aca="false">IF(OR($AA107="",$E107="",$E107=0),"",$AA107/$E107)</f>
        <v/>
      </c>
      <c r="AC107" s="27"/>
    </row>
    <row r="108" customFormat="false" ht="15" hidden="false" customHeight="false" outlineLevel="0" collapsed="false">
      <c r="A108" s="29"/>
      <c r="B108" s="27"/>
      <c r="C108" s="28"/>
      <c r="D108" s="27"/>
      <c r="E108" s="32"/>
      <c r="F108" s="39"/>
      <c r="G108" s="39"/>
      <c r="H108" s="39"/>
      <c r="I108" s="40" t="str">
        <f aca="false">IF(OR($G108="",$F108=""),"",$G108-$F108)</f>
        <v/>
      </c>
      <c r="J108" s="40" t="str">
        <f aca="false">IF(OR($H108="",$F108=""),"",$H108-$F108)</f>
        <v/>
      </c>
      <c r="K108" s="32"/>
      <c r="L108" s="32"/>
      <c r="M108" s="32"/>
      <c r="N108" s="32"/>
      <c r="O108" s="41"/>
      <c r="P108" s="42" t="str">
        <f aca="false">IF(OR($N108="",$O108="",$O108=0),"",($N108/100)/$O108)</f>
        <v/>
      </c>
      <c r="Q108" s="43" t="str">
        <f aca="false">IF(OR($K108="",$L108="",$K108=0),"",($L108-$K108)/$K108)</f>
        <v/>
      </c>
      <c r="R108" s="32"/>
      <c r="S108" s="44" t="str">
        <f aca="false">IF(OR($L108="",$E108=""),"",60.7*$L108+45.3*$E108-2055)</f>
        <v/>
      </c>
      <c r="T108" s="45"/>
      <c r="U108" s="45"/>
      <c r="V108" s="45"/>
      <c r="W108" s="45"/>
      <c r="X108" s="32"/>
      <c r="Y108" s="32"/>
      <c r="Z108" s="39"/>
      <c r="AA108" s="46"/>
      <c r="AB108" s="42" t="str">
        <f aca="false">IF(OR($AA108="",$E108="",$E108=0),"",$AA108/$E108)</f>
        <v/>
      </c>
      <c r="AC108" s="27"/>
    </row>
    <row r="109" customFormat="false" ht="15" hidden="false" customHeight="false" outlineLevel="0" collapsed="false">
      <c r="A109" s="29"/>
      <c r="B109" s="27"/>
      <c r="C109" s="28"/>
      <c r="D109" s="27"/>
      <c r="E109" s="32"/>
      <c r="F109" s="39"/>
      <c r="G109" s="39"/>
      <c r="H109" s="39"/>
      <c r="I109" s="40" t="str">
        <f aca="false">IF(OR($G109="",$F109=""),"",$G109-$F109)</f>
        <v/>
      </c>
      <c r="J109" s="40" t="str">
        <f aca="false">IF(OR($H109="",$F109=""),"",$H109-$F109)</f>
        <v/>
      </c>
      <c r="K109" s="32"/>
      <c r="L109" s="32"/>
      <c r="M109" s="32"/>
      <c r="N109" s="32"/>
      <c r="O109" s="41"/>
      <c r="P109" s="42" t="str">
        <f aca="false">IF(OR($N109="",$O109="",$O109=0),"",($N109/100)/$O109)</f>
        <v/>
      </c>
      <c r="Q109" s="43" t="str">
        <f aca="false">IF(OR($K109="",$L109="",$K109=0),"",($L109-$K109)/$K109)</f>
        <v/>
      </c>
      <c r="R109" s="32"/>
      <c r="S109" s="44" t="str">
        <f aca="false">IF(OR($L109="",$E109=""),"",60.7*$L109+45.3*$E109-2055)</f>
        <v/>
      </c>
      <c r="T109" s="45"/>
      <c r="U109" s="45"/>
      <c r="V109" s="45"/>
      <c r="W109" s="45"/>
      <c r="X109" s="32"/>
      <c r="Y109" s="32"/>
      <c r="Z109" s="39"/>
      <c r="AA109" s="46"/>
      <c r="AB109" s="42" t="str">
        <f aca="false">IF(OR($AA109="",$E109="",$E109=0),"",$AA109/$E109)</f>
        <v/>
      </c>
      <c r="AC109" s="27"/>
    </row>
    <row r="110" customFormat="false" ht="15" hidden="false" customHeight="false" outlineLevel="0" collapsed="false">
      <c r="A110" s="29"/>
      <c r="B110" s="27"/>
      <c r="C110" s="28"/>
      <c r="D110" s="27"/>
      <c r="E110" s="32"/>
      <c r="F110" s="39"/>
      <c r="G110" s="39"/>
      <c r="H110" s="39"/>
      <c r="I110" s="40" t="str">
        <f aca="false">IF(OR($G110="",$F110=""),"",$G110-$F110)</f>
        <v/>
      </c>
      <c r="J110" s="40" t="str">
        <f aca="false">IF(OR($H110="",$F110=""),"",$H110-$F110)</f>
        <v/>
      </c>
      <c r="K110" s="32"/>
      <c r="L110" s="32"/>
      <c r="M110" s="32"/>
      <c r="N110" s="32"/>
      <c r="O110" s="41"/>
      <c r="P110" s="42" t="str">
        <f aca="false">IF(OR($N110="",$O110="",$O110=0),"",($N110/100)/$O110)</f>
        <v/>
      </c>
      <c r="Q110" s="43" t="str">
        <f aca="false">IF(OR($K110="",$L110="",$K110=0),"",($L110-$K110)/$K110)</f>
        <v/>
      </c>
      <c r="R110" s="32"/>
      <c r="S110" s="44" t="str">
        <f aca="false">IF(OR($L110="",$E110=""),"",60.7*$L110+45.3*$E110-2055)</f>
        <v/>
      </c>
      <c r="T110" s="45"/>
      <c r="U110" s="45"/>
      <c r="V110" s="45"/>
      <c r="W110" s="45"/>
      <c r="X110" s="32"/>
      <c r="Y110" s="32"/>
      <c r="Z110" s="39"/>
      <c r="AA110" s="46"/>
      <c r="AB110" s="42" t="str">
        <f aca="false">IF(OR($AA110="",$E110="",$E110=0),"",$AA110/$E110)</f>
        <v/>
      </c>
      <c r="AC110" s="27"/>
    </row>
    <row r="111" customFormat="false" ht="15" hidden="false" customHeight="false" outlineLevel="0" collapsed="false">
      <c r="A111" s="29"/>
      <c r="B111" s="27"/>
      <c r="C111" s="28"/>
      <c r="D111" s="27"/>
      <c r="E111" s="32"/>
      <c r="F111" s="39"/>
      <c r="G111" s="39"/>
      <c r="H111" s="39"/>
      <c r="I111" s="40" t="str">
        <f aca="false">IF(OR($G111="",$F111=""),"",$G111-$F111)</f>
        <v/>
      </c>
      <c r="J111" s="40" t="str">
        <f aca="false">IF(OR($H111="",$F111=""),"",$H111-$F111)</f>
        <v/>
      </c>
      <c r="K111" s="32"/>
      <c r="L111" s="32"/>
      <c r="M111" s="32"/>
      <c r="N111" s="32"/>
      <c r="O111" s="41"/>
      <c r="P111" s="42" t="str">
        <f aca="false">IF(OR($N111="",$O111="",$O111=0),"",($N111/100)/$O111)</f>
        <v/>
      </c>
      <c r="Q111" s="43" t="str">
        <f aca="false">IF(OR($K111="",$L111="",$K111=0),"",($L111-$K111)/$K111)</f>
        <v/>
      </c>
      <c r="R111" s="32"/>
      <c r="S111" s="44" t="str">
        <f aca="false">IF(OR($L111="",$E111=""),"",60.7*$L111+45.3*$E111-2055)</f>
        <v/>
      </c>
      <c r="T111" s="45"/>
      <c r="U111" s="45"/>
      <c r="V111" s="45"/>
      <c r="W111" s="45"/>
      <c r="X111" s="32"/>
      <c r="Y111" s="32"/>
      <c r="Z111" s="39"/>
      <c r="AA111" s="46"/>
      <c r="AB111" s="42" t="str">
        <f aca="false">IF(OR($AA111="",$E111="",$E111=0),"",$AA111/$E111)</f>
        <v/>
      </c>
      <c r="AC111" s="27"/>
    </row>
    <row r="112" customFormat="false" ht="15" hidden="false" customHeight="false" outlineLevel="0" collapsed="false">
      <c r="A112" s="29"/>
      <c r="B112" s="27"/>
      <c r="C112" s="28"/>
      <c r="D112" s="27"/>
      <c r="E112" s="32"/>
      <c r="F112" s="39"/>
      <c r="G112" s="39"/>
      <c r="H112" s="39"/>
      <c r="I112" s="40" t="str">
        <f aca="false">IF(OR($G112="",$F112=""),"",$G112-$F112)</f>
        <v/>
      </c>
      <c r="J112" s="40" t="str">
        <f aca="false">IF(OR($H112="",$F112=""),"",$H112-$F112)</f>
        <v/>
      </c>
      <c r="K112" s="32"/>
      <c r="L112" s="32"/>
      <c r="M112" s="32"/>
      <c r="N112" s="32"/>
      <c r="O112" s="41"/>
      <c r="P112" s="42" t="str">
        <f aca="false">IF(OR($N112="",$O112="",$O112=0),"",($N112/100)/$O112)</f>
        <v/>
      </c>
      <c r="Q112" s="43" t="str">
        <f aca="false">IF(OR($K112="",$L112="",$K112=0),"",($L112-$K112)/$K112)</f>
        <v/>
      </c>
      <c r="R112" s="32"/>
      <c r="S112" s="44" t="str">
        <f aca="false">IF(OR($L112="",$E112=""),"",60.7*$L112+45.3*$E112-2055)</f>
        <v/>
      </c>
      <c r="T112" s="45"/>
      <c r="U112" s="45"/>
      <c r="V112" s="45"/>
      <c r="W112" s="45"/>
      <c r="X112" s="32"/>
      <c r="Y112" s="32"/>
      <c r="Z112" s="39"/>
      <c r="AA112" s="46"/>
      <c r="AB112" s="42" t="str">
        <f aca="false">IF(OR($AA112="",$E112="",$E112=0),"",$AA112/$E112)</f>
        <v/>
      </c>
      <c r="AC112" s="27"/>
    </row>
    <row r="113" customFormat="false" ht="15" hidden="false" customHeight="false" outlineLevel="0" collapsed="false">
      <c r="A113" s="29"/>
      <c r="B113" s="27"/>
      <c r="C113" s="28"/>
      <c r="D113" s="27"/>
      <c r="E113" s="32"/>
      <c r="F113" s="39"/>
      <c r="G113" s="39"/>
      <c r="H113" s="39"/>
      <c r="I113" s="40" t="str">
        <f aca="false">IF(OR($G113="",$F113=""),"",$G113-$F113)</f>
        <v/>
      </c>
      <c r="J113" s="40" t="str">
        <f aca="false">IF(OR($H113="",$F113=""),"",$H113-$F113)</f>
        <v/>
      </c>
      <c r="K113" s="32"/>
      <c r="L113" s="32"/>
      <c r="M113" s="32"/>
      <c r="N113" s="32"/>
      <c r="O113" s="41"/>
      <c r="P113" s="42" t="str">
        <f aca="false">IF(OR($N113="",$O113="",$O113=0),"",($N113/100)/$O113)</f>
        <v/>
      </c>
      <c r="Q113" s="43" t="str">
        <f aca="false">IF(OR($K113="",$L113="",$K113=0),"",($L113-$K113)/$K113)</f>
        <v/>
      </c>
      <c r="R113" s="32"/>
      <c r="S113" s="44" t="str">
        <f aca="false">IF(OR($L113="",$E113=""),"",60.7*$L113+45.3*$E113-2055)</f>
        <v/>
      </c>
      <c r="T113" s="45"/>
      <c r="U113" s="45"/>
      <c r="V113" s="45"/>
      <c r="W113" s="45"/>
      <c r="X113" s="32"/>
      <c r="Y113" s="32"/>
      <c r="Z113" s="39"/>
      <c r="AA113" s="46"/>
      <c r="AB113" s="42" t="str">
        <f aca="false">IF(OR($AA113="",$E113="",$E113=0),"",$AA113/$E113)</f>
        <v/>
      </c>
      <c r="AC113" s="27"/>
    </row>
    <row r="114" customFormat="false" ht="15" hidden="false" customHeight="false" outlineLevel="0" collapsed="false">
      <c r="A114" s="29"/>
      <c r="B114" s="27"/>
      <c r="C114" s="28"/>
      <c r="D114" s="27"/>
      <c r="E114" s="32"/>
      <c r="F114" s="39"/>
      <c r="G114" s="39"/>
      <c r="H114" s="39"/>
      <c r="I114" s="40" t="str">
        <f aca="false">IF(OR($G114="",$F114=""),"",$G114-$F114)</f>
        <v/>
      </c>
      <c r="J114" s="40" t="str">
        <f aca="false">IF(OR($H114="",$F114=""),"",$H114-$F114)</f>
        <v/>
      </c>
      <c r="K114" s="32"/>
      <c r="L114" s="32"/>
      <c r="M114" s="32"/>
      <c r="N114" s="32"/>
      <c r="O114" s="41"/>
      <c r="P114" s="42" t="str">
        <f aca="false">IF(OR($N114="",$O114="",$O114=0),"",($N114/100)/$O114)</f>
        <v/>
      </c>
      <c r="Q114" s="43" t="str">
        <f aca="false">IF(OR($K114="",$L114="",$K114=0),"",($L114-$K114)/$K114)</f>
        <v/>
      </c>
      <c r="R114" s="32"/>
      <c r="S114" s="44" t="str">
        <f aca="false">IF(OR($L114="",$E114=""),"",60.7*$L114+45.3*$E114-2055)</f>
        <v/>
      </c>
      <c r="T114" s="45"/>
      <c r="U114" s="45"/>
      <c r="V114" s="45"/>
      <c r="W114" s="45"/>
      <c r="X114" s="32"/>
      <c r="Y114" s="32"/>
      <c r="Z114" s="39"/>
      <c r="AA114" s="46"/>
      <c r="AB114" s="42" t="str">
        <f aca="false">IF(OR($AA114="",$E114="",$E114=0),"",$AA114/$E114)</f>
        <v/>
      </c>
      <c r="AC114" s="27"/>
    </row>
    <row r="115" customFormat="false" ht="15" hidden="false" customHeight="false" outlineLevel="0" collapsed="false">
      <c r="A115" s="29"/>
      <c r="B115" s="27"/>
      <c r="C115" s="28"/>
      <c r="D115" s="27"/>
      <c r="E115" s="32"/>
      <c r="F115" s="39"/>
      <c r="G115" s="39"/>
      <c r="H115" s="39"/>
      <c r="I115" s="40" t="str">
        <f aca="false">IF(OR($G115="",$F115=""),"",$G115-$F115)</f>
        <v/>
      </c>
      <c r="J115" s="40" t="str">
        <f aca="false">IF(OR($H115="",$F115=""),"",$H115-$F115)</f>
        <v/>
      </c>
      <c r="K115" s="32"/>
      <c r="L115" s="32"/>
      <c r="M115" s="32"/>
      <c r="N115" s="32"/>
      <c r="O115" s="41"/>
      <c r="P115" s="42" t="str">
        <f aca="false">IF(OR($N115="",$O115="",$O115=0),"",($N115/100)/$O115)</f>
        <v/>
      </c>
      <c r="Q115" s="43" t="str">
        <f aca="false">IF(OR($K115="",$L115="",$K115=0),"",($L115-$K115)/$K115)</f>
        <v/>
      </c>
      <c r="R115" s="32"/>
      <c r="S115" s="44" t="str">
        <f aca="false">IF(OR($L115="",$E115=""),"",60.7*$L115+45.3*$E115-2055)</f>
        <v/>
      </c>
      <c r="T115" s="45"/>
      <c r="U115" s="45"/>
      <c r="V115" s="45"/>
      <c r="W115" s="45"/>
      <c r="X115" s="32"/>
      <c r="Y115" s="32"/>
      <c r="Z115" s="39"/>
      <c r="AA115" s="46"/>
      <c r="AB115" s="42" t="str">
        <f aca="false">IF(OR($AA115="",$E115="",$E115=0),"",$AA115/$E115)</f>
        <v/>
      </c>
      <c r="AC115" s="27"/>
    </row>
    <row r="116" customFormat="false" ht="15" hidden="false" customHeight="false" outlineLevel="0" collapsed="false">
      <c r="A116" s="29"/>
      <c r="B116" s="27"/>
      <c r="C116" s="28"/>
      <c r="D116" s="27"/>
      <c r="E116" s="32"/>
      <c r="F116" s="39"/>
      <c r="G116" s="39"/>
      <c r="H116" s="39"/>
      <c r="I116" s="40" t="str">
        <f aca="false">IF(OR($G116="",$F116=""),"",$G116-$F116)</f>
        <v/>
      </c>
      <c r="J116" s="40" t="str">
        <f aca="false">IF(OR($H116="",$F116=""),"",$H116-$F116)</f>
        <v/>
      </c>
      <c r="K116" s="32"/>
      <c r="L116" s="32"/>
      <c r="M116" s="32"/>
      <c r="N116" s="32"/>
      <c r="O116" s="41"/>
      <c r="P116" s="42" t="str">
        <f aca="false">IF(OR($N116="",$O116="",$O116=0),"",($N116/100)/$O116)</f>
        <v/>
      </c>
      <c r="Q116" s="43" t="str">
        <f aca="false">IF(OR($K116="",$L116="",$K116=0),"",($L116-$K116)/$K116)</f>
        <v/>
      </c>
      <c r="R116" s="32"/>
      <c r="S116" s="44" t="str">
        <f aca="false">IF(OR($L116="",$E116=""),"",60.7*$L116+45.3*$E116-2055)</f>
        <v/>
      </c>
      <c r="T116" s="45"/>
      <c r="U116" s="45"/>
      <c r="V116" s="45"/>
      <c r="W116" s="45"/>
      <c r="X116" s="32"/>
      <c r="Y116" s="32"/>
      <c r="Z116" s="39"/>
      <c r="AA116" s="46"/>
      <c r="AB116" s="42" t="str">
        <f aca="false">IF(OR($AA116="",$E116="",$E116=0),"",$AA116/$E116)</f>
        <v/>
      </c>
      <c r="AC116" s="27"/>
    </row>
    <row r="117" customFormat="false" ht="15" hidden="false" customHeight="false" outlineLevel="0" collapsed="false">
      <c r="A117" s="29"/>
      <c r="B117" s="27"/>
      <c r="C117" s="28"/>
      <c r="D117" s="27"/>
      <c r="E117" s="32"/>
      <c r="F117" s="39"/>
      <c r="G117" s="39"/>
      <c r="H117" s="39"/>
      <c r="I117" s="40" t="str">
        <f aca="false">IF(OR($G117="",$F117=""),"",$G117-$F117)</f>
        <v/>
      </c>
      <c r="J117" s="40" t="str">
        <f aca="false">IF(OR($H117="",$F117=""),"",$H117-$F117)</f>
        <v/>
      </c>
      <c r="K117" s="32"/>
      <c r="L117" s="32"/>
      <c r="M117" s="32"/>
      <c r="N117" s="32"/>
      <c r="O117" s="41"/>
      <c r="P117" s="42" t="str">
        <f aca="false">IF(OR($N117="",$O117="",$O117=0),"",($N117/100)/$O117)</f>
        <v/>
      </c>
      <c r="Q117" s="43" t="str">
        <f aca="false">IF(OR($K117="",$L117="",$K117=0),"",($L117-$K117)/$K117)</f>
        <v/>
      </c>
      <c r="R117" s="32"/>
      <c r="S117" s="44" t="str">
        <f aca="false">IF(OR($L117="",$E117=""),"",60.7*$L117+45.3*$E117-2055)</f>
        <v/>
      </c>
      <c r="T117" s="45"/>
      <c r="U117" s="45"/>
      <c r="V117" s="45"/>
      <c r="W117" s="45"/>
      <c r="X117" s="32"/>
      <c r="Y117" s="32"/>
      <c r="Z117" s="39"/>
      <c r="AA117" s="46"/>
      <c r="AB117" s="42" t="str">
        <f aca="false">IF(OR($AA117="",$E117="",$E117=0),"",$AA117/$E117)</f>
        <v/>
      </c>
      <c r="AC117" s="27"/>
    </row>
    <row r="118" customFormat="false" ht="15" hidden="false" customHeight="false" outlineLevel="0" collapsed="false">
      <c r="A118" s="29"/>
      <c r="B118" s="27"/>
      <c r="C118" s="28"/>
      <c r="D118" s="27"/>
      <c r="E118" s="32"/>
      <c r="F118" s="39"/>
      <c r="G118" s="39"/>
      <c r="H118" s="39"/>
      <c r="I118" s="40" t="str">
        <f aca="false">IF(OR($G118="",$F118=""),"",$G118-$F118)</f>
        <v/>
      </c>
      <c r="J118" s="40" t="str">
        <f aca="false">IF(OR($H118="",$F118=""),"",$H118-$F118)</f>
        <v/>
      </c>
      <c r="K118" s="32"/>
      <c r="L118" s="32"/>
      <c r="M118" s="32"/>
      <c r="N118" s="32"/>
      <c r="O118" s="41"/>
      <c r="P118" s="42" t="str">
        <f aca="false">IF(OR($N118="",$O118="",$O118=0),"",($N118/100)/$O118)</f>
        <v/>
      </c>
      <c r="Q118" s="43" t="str">
        <f aca="false">IF(OR($K118="",$L118="",$K118=0),"",($L118-$K118)/$K118)</f>
        <v/>
      </c>
      <c r="R118" s="32"/>
      <c r="S118" s="44" t="str">
        <f aca="false">IF(OR($L118="",$E118=""),"",60.7*$L118+45.3*$E118-2055)</f>
        <v/>
      </c>
      <c r="T118" s="45"/>
      <c r="U118" s="45"/>
      <c r="V118" s="45"/>
      <c r="W118" s="45"/>
      <c r="X118" s="32"/>
      <c r="Y118" s="32"/>
      <c r="Z118" s="39"/>
      <c r="AA118" s="46"/>
      <c r="AB118" s="42" t="str">
        <f aca="false">IF(OR($AA118="",$E118="",$E118=0),"",$AA118/$E118)</f>
        <v/>
      </c>
      <c r="AC118" s="27"/>
    </row>
    <row r="119" customFormat="false" ht="15" hidden="false" customHeight="false" outlineLevel="0" collapsed="false">
      <c r="A119" s="29"/>
      <c r="B119" s="27"/>
      <c r="C119" s="28"/>
      <c r="D119" s="27"/>
      <c r="E119" s="32"/>
      <c r="F119" s="39"/>
      <c r="G119" s="39"/>
      <c r="H119" s="39"/>
      <c r="I119" s="40" t="str">
        <f aca="false">IF(OR($G119="",$F119=""),"",$G119-$F119)</f>
        <v/>
      </c>
      <c r="J119" s="40" t="str">
        <f aca="false">IF(OR($H119="",$F119=""),"",$H119-$F119)</f>
        <v/>
      </c>
      <c r="K119" s="32"/>
      <c r="L119" s="32"/>
      <c r="M119" s="32"/>
      <c r="N119" s="32"/>
      <c r="O119" s="41"/>
      <c r="P119" s="42" t="str">
        <f aca="false">IF(OR($N119="",$O119="",$O119=0),"",($N119/100)/$O119)</f>
        <v/>
      </c>
      <c r="Q119" s="43" t="str">
        <f aca="false">IF(OR($K119="",$L119="",$K119=0),"",($L119-$K119)/$K119)</f>
        <v/>
      </c>
      <c r="R119" s="32"/>
      <c r="S119" s="44" t="str">
        <f aca="false">IF(OR($L119="",$E119=""),"",60.7*$L119+45.3*$E119-2055)</f>
        <v/>
      </c>
      <c r="T119" s="45"/>
      <c r="U119" s="45"/>
      <c r="V119" s="45"/>
      <c r="W119" s="45"/>
      <c r="X119" s="32"/>
      <c r="Y119" s="32"/>
      <c r="Z119" s="39"/>
      <c r="AA119" s="46"/>
      <c r="AB119" s="42" t="str">
        <f aca="false">IF(OR($AA119="",$E119="",$E119=0),"",$AA119/$E119)</f>
        <v/>
      </c>
      <c r="AC119" s="27"/>
    </row>
    <row r="120" customFormat="false" ht="15" hidden="false" customHeight="false" outlineLevel="0" collapsed="false">
      <c r="A120" s="29"/>
      <c r="B120" s="27"/>
      <c r="C120" s="28"/>
      <c r="D120" s="27"/>
      <c r="E120" s="32"/>
      <c r="F120" s="39"/>
      <c r="G120" s="39"/>
      <c r="H120" s="39"/>
      <c r="I120" s="40" t="str">
        <f aca="false">IF(OR($G120="",$F120=""),"",$G120-$F120)</f>
        <v/>
      </c>
      <c r="J120" s="40" t="str">
        <f aca="false">IF(OR($H120="",$F120=""),"",$H120-$F120)</f>
        <v/>
      </c>
      <c r="K120" s="32"/>
      <c r="L120" s="32"/>
      <c r="M120" s="32"/>
      <c r="N120" s="32"/>
      <c r="O120" s="41"/>
      <c r="P120" s="42" t="str">
        <f aca="false">IF(OR($N120="",$O120="",$O120=0),"",($N120/100)/$O120)</f>
        <v/>
      </c>
      <c r="Q120" s="43" t="str">
        <f aca="false">IF(OR($K120="",$L120="",$K120=0),"",($L120-$K120)/$K120)</f>
        <v/>
      </c>
      <c r="R120" s="32"/>
      <c r="S120" s="44" t="str">
        <f aca="false">IF(OR($L120="",$E120=""),"",60.7*$L120+45.3*$E120-2055)</f>
        <v/>
      </c>
      <c r="T120" s="45"/>
      <c r="U120" s="45"/>
      <c r="V120" s="45"/>
      <c r="W120" s="45"/>
      <c r="X120" s="32"/>
      <c r="Y120" s="32"/>
      <c r="Z120" s="39"/>
      <c r="AA120" s="46"/>
      <c r="AB120" s="42" t="str">
        <f aca="false">IF(OR($AA120="",$E120="",$E120=0),"",$AA120/$E120)</f>
        <v/>
      </c>
      <c r="AC120" s="27"/>
    </row>
    <row r="121" customFormat="false" ht="15" hidden="false" customHeight="false" outlineLevel="0" collapsed="false">
      <c r="A121" s="29"/>
      <c r="B121" s="27"/>
      <c r="C121" s="28"/>
      <c r="D121" s="27"/>
      <c r="E121" s="32"/>
      <c r="F121" s="39"/>
      <c r="G121" s="39"/>
      <c r="H121" s="39"/>
      <c r="I121" s="40" t="str">
        <f aca="false">IF(OR($G121="",$F121=""),"",$G121-$F121)</f>
        <v/>
      </c>
      <c r="J121" s="40" t="str">
        <f aca="false">IF(OR($H121="",$F121=""),"",$H121-$F121)</f>
        <v/>
      </c>
      <c r="K121" s="32"/>
      <c r="L121" s="32"/>
      <c r="M121" s="32"/>
      <c r="N121" s="32"/>
      <c r="O121" s="41"/>
      <c r="P121" s="42" t="str">
        <f aca="false">IF(OR($N121="",$O121="",$O121=0),"",($N121/100)/$O121)</f>
        <v/>
      </c>
      <c r="Q121" s="43" t="str">
        <f aca="false">IF(OR($K121="",$L121="",$K121=0),"",($L121-$K121)/$K121)</f>
        <v/>
      </c>
      <c r="R121" s="32"/>
      <c r="S121" s="44" t="str">
        <f aca="false">IF(OR($L121="",$E121=""),"",60.7*$L121+45.3*$E121-2055)</f>
        <v/>
      </c>
      <c r="T121" s="45"/>
      <c r="U121" s="45"/>
      <c r="V121" s="45"/>
      <c r="W121" s="45"/>
      <c r="X121" s="32"/>
      <c r="Y121" s="32"/>
      <c r="Z121" s="39"/>
      <c r="AA121" s="46"/>
      <c r="AB121" s="42" t="str">
        <f aca="false">IF(OR($AA121="",$E121="",$E121=0),"",$AA121/$E121)</f>
        <v/>
      </c>
      <c r="AC121" s="27"/>
    </row>
    <row r="122" customFormat="false" ht="15" hidden="false" customHeight="false" outlineLevel="0" collapsed="false">
      <c r="A122" s="29"/>
      <c r="B122" s="27"/>
      <c r="C122" s="28"/>
      <c r="D122" s="27"/>
      <c r="E122" s="32"/>
      <c r="F122" s="39"/>
      <c r="G122" s="39"/>
      <c r="H122" s="39"/>
      <c r="I122" s="40" t="str">
        <f aca="false">IF(OR($G122="",$F122=""),"",$G122-$F122)</f>
        <v/>
      </c>
      <c r="J122" s="40" t="str">
        <f aca="false">IF(OR($H122="",$F122=""),"",$H122-$F122)</f>
        <v/>
      </c>
      <c r="K122" s="32"/>
      <c r="L122" s="32"/>
      <c r="M122" s="32"/>
      <c r="N122" s="32"/>
      <c r="O122" s="41"/>
      <c r="P122" s="42" t="str">
        <f aca="false">IF(OR($N122="",$O122="",$O122=0),"",($N122/100)/$O122)</f>
        <v/>
      </c>
      <c r="Q122" s="43" t="str">
        <f aca="false">IF(OR($K122="",$L122="",$K122=0),"",($L122-$K122)/$K122)</f>
        <v/>
      </c>
      <c r="R122" s="32"/>
      <c r="S122" s="44" t="str">
        <f aca="false">IF(OR($L122="",$E122=""),"",60.7*$L122+45.3*$E122-2055)</f>
        <v/>
      </c>
      <c r="T122" s="45"/>
      <c r="U122" s="45"/>
      <c r="V122" s="45"/>
      <c r="W122" s="45"/>
      <c r="X122" s="32"/>
      <c r="Y122" s="32"/>
      <c r="Z122" s="39"/>
      <c r="AA122" s="46"/>
      <c r="AB122" s="42" t="str">
        <f aca="false">IF(OR($AA122="",$E122="",$E122=0),"",$AA122/$E122)</f>
        <v/>
      </c>
      <c r="AC122" s="27"/>
    </row>
    <row r="123" customFormat="false" ht="15" hidden="false" customHeight="false" outlineLevel="0" collapsed="false">
      <c r="A123" s="29"/>
      <c r="B123" s="27"/>
      <c r="C123" s="28"/>
      <c r="D123" s="27"/>
      <c r="E123" s="32"/>
      <c r="F123" s="39"/>
      <c r="G123" s="39"/>
      <c r="H123" s="39"/>
      <c r="I123" s="40" t="str">
        <f aca="false">IF(OR($G123="",$F123=""),"",$G123-$F123)</f>
        <v/>
      </c>
      <c r="J123" s="40" t="str">
        <f aca="false">IF(OR($H123="",$F123=""),"",$H123-$F123)</f>
        <v/>
      </c>
      <c r="K123" s="32"/>
      <c r="L123" s="32"/>
      <c r="M123" s="32"/>
      <c r="N123" s="32"/>
      <c r="O123" s="41"/>
      <c r="P123" s="42" t="str">
        <f aca="false">IF(OR($N123="",$O123="",$O123=0),"",($N123/100)/$O123)</f>
        <v/>
      </c>
      <c r="Q123" s="43" t="str">
        <f aca="false">IF(OR($K123="",$L123="",$K123=0),"",($L123-$K123)/$K123)</f>
        <v/>
      </c>
      <c r="R123" s="32"/>
      <c r="S123" s="44" t="str">
        <f aca="false">IF(OR($L123="",$E123=""),"",60.7*$L123+45.3*$E123-2055)</f>
        <v/>
      </c>
      <c r="T123" s="45"/>
      <c r="U123" s="45"/>
      <c r="V123" s="45"/>
      <c r="W123" s="45"/>
      <c r="X123" s="32"/>
      <c r="Y123" s="32"/>
      <c r="Z123" s="39"/>
      <c r="AA123" s="46"/>
      <c r="AB123" s="42" t="str">
        <f aca="false">IF(OR($AA123="",$E123="",$E123=0),"",$AA123/$E123)</f>
        <v/>
      </c>
      <c r="AC123" s="27"/>
    </row>
    <row r="124" customFormat="false" ht="15" hidden="false" customHeight="false" outlineLevel="0" collapsed="false">
      <c r="A124" s="29"/>
      <c r="B124" s="27"/>
      <c r="C124" s="28"/>
      <c r="D124" s="27"/>
      <c r="E124" s="32"/>
      <c r="F124" s="39"/>
      <c r="G124" s="39"/>
      <c r="H124" s="39"/>
      <c r="I124" s="40" t="str">
        <f aca="false">IF(OR($G124="",$F124=""),"",$G124-$F124)</f>
        <v/>
      </c>
      <c r="J124" s="40" t="str">
        <f aca="false">IF(OR($H124="",$F124=""),"",$H124-$F124)</f>
        <v/>
      </c>
      <c r="K124" s="32"/>
      <c r="L124" s="32"/>
      <c r="M124" s="32"/>
      <c r="N124" s="32"/>
      <c r="O124" s="41"/>
      <c r="P124" s="42" t="str">
        <f aca="false">IF(OR($N124="",$O124="",$O124=0),"",($N124/100)/$O124)</f>
        <v/>
      </c>
      <c r="Q124" s="43" t="str">
        <f aca="false">IF(OR($K124="",$L124="",$K124=0),"",($L124-$K124)/$K124)</f>
        <v/>
      </c>
      <c r="R124" s="32"/>
      <c r="S124" s="44" t="str">
        <f aca="false">IF(OR($L124="",$E124=""),"",60.7*$L124+45.3*$E124-2055)</f>
        <v/>
      </c>
      <c r="T124" s="45"/>
      <c r="U124" s="45"/>
      <c r="V124" s="45"/>
      <c r="W124" s="45"/>
      <c r="X124" s="32"/>
      <c r="Y124" s="32"/>
      <c r="Z124" s="39"/>
      <c r="AA124" s="46"/>
      <c r="AB124" s="42" t="str">
        <f aca="false">IF(OR($AA124="",$E124="",$E124=0),"",$AA124/$E124)</f>
        <v/>
      </c>
      <c r="AC124" s="27"/>
    </row>
    <row r="125" customFormat="false" ht="15" hidden="false" customHeight="false" outlineLevel="0" collapsed="false">
      <c r="A125" s="29"/>
      <c r="B125" s="27"/>
      <c r="C125" s="28"/>
      <c r="D125" s="27"/>
      <c r="E125" s="32"/>
      <c r="F125" s="39"/>
      <c r="G125" s="39"/>
      <c r="H125" s="39"/>
      <c r="I125" s="40" t="str">
        <f aca="false">IF(OR($G125="",$F125=""),"",$G125-$F125)</f>
        <v/>
      </c>
      <c r="J125" s="40" t="str">
        <f aca="false">IF(OR($H125="",$F125=""),"",$H125-$F125)</f>
        <v/>
      </c>
      <c r="K125" s="32"/>
      <c r="L125" s="32"/>
      <c r="M125" s="32"/>
      <c r="N125" s="32"/>
      <c r="O125" s="41"/>
      <c r="P125" s="42" t="str">
        <f aca="false">IF(OR($N125="",$O125="",$O125=0),"",($N125/100)/$O125)</f>
        <v/>
      </c>
      <c r="Q125" s="43" t="str">
        <f aca="false">IF(OR($K125="",$L125="",$K125=0),"",($L125-$K125)/$K125)</f>
        <v/>
      </c>
      <c r="R125" s="32"/>
      <c r="S125" s="44" t="str">
        <f aca="false">IF(OR($L125="",$E125=""),"",60.7*$L125+45.3*$E125-2055)</f>
        <v/>
      </c>
      <c r="T125" s="45"/>
      <c r="U125" s="45"/>
      <c r="V125" s="45"/>
      <c r="W125" s="45"/>
      <c r="X125" s="32"/>
      <c r="Y125" s="32"/>
      <c r="Z125" s="39"/>
      <c r="AA125" s="46"/>
      <c r="AB125" s="42" t="str">
        <f aca="false">IF(OR($AA125="",$E125="",$E125=0),"",$AA125/$E125)</f>
        <v/>
      </c>
      <c r="AC125" s="27"/>
    </row>
    <row r="126" customFormat="false" ht="15" hidden="false" customHeight="false" outlineLevel="0" collapsed="false">
      <c r="A126" s="29"/>
      <c r="B126" s="27"/>
      <c r="C126" s="28"/>
      <c r="D126" s="27"/>
      <c r="E126" s="32"/>
      <c r="F126" s="39"/>
      <c r="G126" s="39"/>
      <c r="H126" s="39"/>
      <c r="I126" s="40" t="str">
        <f aca="false">IF(OR($G126="",$F126=""),"",$G126-$F126)</f>
        <v/>
      </c>
      <c r="J126" s="40" t="str">
        <f aca="false">IF(OR($H126="",$F126=""),"",$H126-$F126)</f>
        <v/>
      </c>
      <c r="K126" s="32"/>
      <c r="L126" s="32"/>
      <c r="M126" s="32"/>
      <c r="N126" s="32"/>
      <c r="O126" s="41"/>
      <c r="P126" s="42" t="str">
        <f aca="false">IF(OR($N126="",$O126="",$O126=0),"",($N126/100)/$O126)</f>
        <v/>
      </c>
      <c r="Q126" s="43" t="str">
        <f aca="false">IF(OR($K126="",$L126="",$K126=0),"",($L126-$K126)/$K126)</f>
        <v/>
      </c>
      <c r="R126" s="32"/>
      <c r="S126" s="44" t="str">
        <f aca="false">IF(OR($L126="",$E126=""),"",60.7*$L126+45.3*$E126-2055)</f>
        <v/>
      </c>
      <c r="T126" s="45"/>
      <c r="U126" s="45"/>
      <c r="V126" s="45"/>
      <c r="W126" s="45"/>
      <c r="X126" s="32"/>
      <c r="Y126" s="32"/>
      <c r="Z126" s="39"/>
      <c r="AA126" s="46"/>
      <c r="AB126" s="42" t="str">
        <f aca="false">IF(OR($AA126="",$E126="",$E126=0),"",$AA126/$E126)</f>
        <v/>
      </c>
      <c r="AC126" s="27"/>
    </row>
    <row r="127" customFormat="false" ht="15" hidden="false" customHeight="false" outlineLevel="0" collapsed="false">
      <c r="A127" s="29"/>
      <c r="B127" s="27"/>
      <c r="C127" s="28"/>
      <c r="D127" s="27"/>
      <c r="E127" s="32"/>
      <c r="F127" s="39"/>
      <c r="G127" s="39"/>
      <c r="H127" s="39"/>
      <c r="I127" s="40" t="str">
        <f aca="false">IF(OR($G127="",$F127=""),"",$G127-$F127)</f>
        <v/>
      </c>
      <c r="J127" s="40" t="str">
        <f aca="false">IF(OR($H127="",$F127=""),"",$H127-$F127)</f>
        <v/>
      </c>
      <c r="K127" s="32"/>
      <c r="L127" s="32"/>
      <c r="M127" s="32"/>
      <c r="N127" s="32"/>
      <c r="O127" s="41"/>
      <c r="P127" s="42" t="str">
        <f aca="false">IF(OR($N127="",$O127="",$O127=0),"",($N127/100)/$O127)</f>
        <v/>
      </c>
      <c r="Q127" s="43" t="str">
        <f aca="false">IF(OR($K127="",$L127="",$K127=0),"",($L127-$K127)/$K127)</f>
        <v/>
      </c>
      <c r="R127" s="32"/>
      <c r="S127" s="44" t="str">
        <f aca="false">IF(OR($L127="",$E127=""),"",60.7*$L127+45.3*$E127-2055)</f>
        <v/>
      </c>
      <c r="T127" s="45"/>
      <c r="U127" s="45"/>
      <c r="V127" s="45"/>
      <c r="W127" s="45"/>
      <c r="X127" s="32"/>
      <c r="Y127" s="32"/>
      <c r="Z127" s="39"/>
      <c r="AA127" s="46"/>
      <c r="AB127" s="42" t="str">
        <f aca="false">IF(OR($AA127="",$E127="",$E127=0),"",$AA127/$E127)</f>
        <v/>
      </c>
      <c r="AC127" s="27"/>
    </row>
    <row r="128" customFormat="false" ht="15" hidden="false" customHeight="false" outlineLevel="0" collapsed="false">
      <c r="A128" s="29"/>
      <c r="B128" s="27"/>
      <c r="C128" s="28"/>
      <c r="D128" s="27"/>
      <c r="E128" s="32"/>
      <c r="F128" s="39"/>
      <c r="G128" s="39"/>
      <c r="H128" s="39"/>
      <c r="I128" s="40" t="str">
        <f aca="false">IF(OR($G128="",$F128=""),"",$G128-$F128)</f>
        <v/>
      </c>
      <c r="J128" s="40" t="str">
        <f aca="false">IF(OR($H128="",$F128=""),"",$H128-$F128)</f>
        <v/>
      </c>
      <c r="K128" s="32"/>
      <c r="L128" s="32"/>
      <c r="M128" s="32"/>
      <c r="N128" s="32"/>
      <c r="O128" s="41"/>
      <c r="P128" s="42" t="str">
        <f aca="false">IF(OR($N128="",$O128="",$O128=0),"",($N128/100)/$O128)</f>
        <v/>
      </c>
      <c r="Q128" s="43" t="str">
        <f aca="false">IF(OR($K128="",$L128="",$K128=0),"",($L128-$K128)/$K128)</f>
        <v/>
      </c>
      <c r="R128" s="32"/>
      <c r="S128" s="44" t="str">
        <f aca="false">IF(OR($L128="",$E128=""),"",60.7*$L128+45.3*$E128-2055)</f>
        <v/>
      </c>
      <c r="T128" s="45"/>
      <c r="U128" s="45"/>
      <c r="V128" s="45"/>
      <c r="W128" s="45"/>
      <c r="X128" s="32"/>
      <c r="Y128" s="32"/>
      <c r="Z128" s="39"/>
      <c r="AA128" s="46"/>
      <c r="AB128" s="42" t="str">
        <f aca="false">IF(OR($AA128="",$E128="",$E128=0),"",$AA128/$E128)</f>
        <v/>
      </c>
      <c r="AC128" s="27"/>
    </row>
    <row r="129" customFormat="false" ht="15" hidden="false" customHeight="false" outlineLevel="0" collapsed="false">
      <c r="A129" s="29"/>
      <c r="B129" s="27"/>
      <c r="C129" s="28"/>
      <c r="D129" s="27"/>
      <c r="E129" s="32"/>
      <c r="F129" s="39"/>
      <c r="G129" s="39"/>
      <c r="H129" s="39"/>
      <c r="I129" s="40" t="str">
        <f aca="false">IF(OR($G129="",$F129=""),"",$G129-$F129)</f>
        <v/>
      </c>
      <c r="J129" s="40" t="str">
        <f aca="false">IF(OR($H129="",$F129=""),"",$H129-$F129)</f>
        <v/>
      </c>
      <c r="K129" s="32"/>
      <c r="L129" s="32"/>
      <c r="M129" s="32"/>
      <c r="N129" s="32"/>
      <c r="O129" s="41"/>
      <c r="P129" s="42" t="str">
        <f aca="false">IF(OR($N129="",$O129="",$O129=0),"",($N129/100)/$O129)</f>
        <v/>
      </c>
      <c r="Q129" s="43" t="str">
        <f aca="false">IF(OR($K129="",$L129="",$K129=0),"",($L129-$K129)/$K129)</f>
        <v/>
      </c>
      <c r="R129" s="32"/>
      <c r="S129" s="44" t="str">
        <f aca="false">IF(OR($L129="",$E129=""),"",60.7*$L129+45.3*$E129-2055)</f>
        <v/>
      </c>
      <c r="T129" s="45"/>
      <c r="U129" s="45"/>
      <c r="V129" s="45"/>
      <c r="W129" s="45"/>
      <c r="X129" s="32"/>
      <c r="Y129" s="32"/>
      <c r="Z129" s="39"/>
      <c r="AA129" s="46"/>
      <c r="AB129" s="42" t="str">
        <f aca="false">IF(OR($AA129="",$E129="",$E129=0),"",$AA129/$E129)</f>
        <v/>
      </c>
      <c r="AC129" s="27"/>
    </row>
    <row r="130" customFormat="false" ht="15" hidden="false" customHeight="false" outlineLevel="0" collapsed="false">
      <c r="A130" s="29"/>
      <c r="B130" s="27"/>
      <c r="C130" s="28"/>
      <c r="D130" s="27"/>
      <c r="E130" s="32"/>
      <c r="F130" s="39"/>
      <c r="G130" s="39"/>
      <c r="H130" s="39"/>
      <c r="I130" s="40" t="str">
        <f aca="false">IF(OR($G130="",$F130=""),"",$G130-$F130)</f>
        <v/>
      </c>
      <c r="J130" s="40" t="str">
        <f aca="false">IF(OR($H130="",$F130=""),"",$H130-$F130)</f>
        <v/>
      </c>
      <c r="K130" s="32"/>
      <c r="L130" s="32"/>
      <c r="M130" s="32"/>
      <c r="N130" s="32"/>
      <c r="O130" s="41"/>
      <c r="P130" s="42" t="str">
        <f aca="false">IF(OR($N130="",$O130="",$O130=0),"",($N130/100)/$O130)</f>
        <v/>
      </c>
      <c r="Q130" s="43" t="str">
        <f aca="false">IF(OR($K130="",$L130="",$K130=0),"",($L130-$K130)/$K130)</f>
        <v/>
      </c>
      <c r="R130" s="32"/>
      <c r="S130" s="44" t="str">
        <f aca="false">IF(OR($L130="",$E130=""),"",60.7*$L130+45.3*$E130-2055)</f>
        <v/>
      </c>
      <c r="T130" s="45"/>
      <c r="U130" s="45"/>
      <c r="V130" s="45"/>
      <c r="W130" s="45"/>
      <c r="X130" s="32"/>
      <c r="Y130" s="32"/>
      <c r="Z130" s="39"/>
      <c r="AA130" s="46"/>
      <c r="AB130" s="42" t="str">
        <f aca="false">IF(OR($AA130="",$E130="",$E130=0),"",$AA130/$E130)</f>
        <v/>
      </c>
      <c r="AC130" s="27"/>
    </row>
    <row r="131" customFormat="false" ht="15" hidden="false" customHeight="false" outlineLevel="0" collapsed="false">
      <c r="A131" s="29"/>
      <c r="B131" s="27"/>
      <c r="C131" s="28"/>
      <c r="D131" s="27"/>
      <c r="E131" s="32"/>
      <c r="F131" s="39"/>
      <c r="G131" s="39"/>
      <c r="H131" s="39"/>
      <c r="I131" s="40" t="str">
        <f aca="false">IF(OR($G131="",$F131=""),"",$G131-$F131)</f>
        <v/>
      </c>
      <c r="J131" s="40" t="str">
        <f aca="false">IF(OR($H131="",$F131=""),"",$H131-$F131)</f>
        <v/>
      </c>
      <c r="K131" s="32"/>
      <c r="L131" s="32"/>
      <c r="M131" s="32"/>
      <c r="N131" s="32"/>
      <c r="O131" s="41"/>
      <c r="P131" s="42" t="str">
        <f aca="false">IF(OR($N131="",$O131="",$O131=0),"",($N131/100)/$O131)</f>
        <v/>
      </c>
      <c r="Q131" s="43" t="str">
        <f aca="false">IF(OR($K131="",$L131="",$K131=0),"",($L131-$K131)/$K131)</f>
        <v/>
      </c>
      <c r="R131" s="32"/>
      <c r="S131" s="44" t="str">
        <f aca="false">IF(OR($L131="",$E131=""),"",60.7*$L131+45.3*$E131-2055)</f>
        <v/>
      </c>
      <c r="T131" s="45"/>
      <c r="U131" s="45"/>
      <c r="V131" s="45"/>
      <c r="W131" s="45"/>
      <c r="X131" s="32"/>
      <c r="Y131" s="32"/>
      <c r="Z131" s="39"/>
      <c r="AA131" s="46"/>
      <c r="AB131" s="42" t="str">
        <f aca="false">IF(OR($AA131="",$E131="",$E131=0),"",$AA131/$E131)</f>
        <v/>
      </c>
      <c r="AC131" s="27"/>
    </row>
    <row r="132" customFormat="false" ht="15" hidden="false" customHeight="false" outlineLevel="0" collapsed="false">
      <c r="A132" s="29"/>
      <c r="B132" s="27"/>
      <c r="C132" s="28"/>
      <c r="D132" s="27"/>
      <c r="E132" s="32"/>
      <c r="F132" s="39"/>
      <c r="G132" s="39"/>
      <c r="H132" s="39"/>
      <c r="I132" s="40" t="str">
        <f aca="false">IF(OR($G132="",$F132=""),"",$G132-$F132)</f>
        <v/>
      </c>
      <c r="J132" s="40" t="str">
        <f aca="false">IF(OR($H132="",$F132=""),"",$H132-$F132)</f>
        <v/>
      </c>
      <c r="K132" s="32"/>
      <c r="L132" s="32"/>
      <c r="M132" s="32"/>
      <c r="N132" s="32"/>
      <c r="O132" s="41"/>
      <c r="P132" s="42" t="str">
        <f aca="false">IF(OR($N132="",$O132="",$O132=0),"",($N132/100)/$O132)</f>
        <v/>
      </c>
      <c r="Q132" s="43" t="str">
        <f aca="false">IF(OR($K132="",$L132="",$K132=0),"",($L132-$K132)/$K132)</f>
        <v/>
      </c>
      <c r="R132" s="32"/>
      <c r="S132" s="44" t="str">
        <f aca="false">IF(OR($L132="",$E132=""),"",60.7*$L132+45.3*$E132-2055)</f>
        <v/>
      </c>
      <c r="T132" s="45"/>
      <c r="U132" s="45"/>
      <c r="V132" s="45"/>
      <c r="W132" s="45"/>
      <c r="X132" s="32"/>
      <c r="Y132" s="32"/>
      <c r="Z132" s="39"/>
      <c r="AA132" s="46"/>
      <c r="AB132" s="42" t="str">
        <f aca="false">IF(OR($AA132="",$E132="",$E132=0),"",$AA132/$E132)</f>
        <v/>
      </c>
      <c r="AC132" s="27"/>
    </row>
    <row r="133" customFormat="false" ht="15" hidden="false" customHeight="false" outlineLevel="0" collapsed="false">
      <c r="A133" s="29"/>
      <c r="B133" s="27"/>
      <c r="C133" s="28"/>
      <c r="D133" s="27"/>
      <c r="E133" s="32"/>
      <c r="F133" s="39"/>
      <c r="G133" s="39"/>
      <c r="H133" s="39"/>
      <c r="I133" s="40" t="str">
        <f aca="false">IF(OR($G133="",$F133=""),"",$G133-$F133)</f>
        <v/>
      </c>
      <c r="J133" s="40" t="str">
        <f aca="false">IF(OR($H133="",$F133=""),"",$H133-$F133)</f>
        <v/>
      </c>
      <c r="K133" s="32"/>
      <c r="L133" s="32"/>
      <c r="M133" s="32"/>
      <c r="N133" s="32"/>
      <c r="O133" s="41"/>
      <c r="P133" s="42" t="str">
        <f aca="false">IF(OR($N133="",$O133="",$O133=0),"",($N133/100)/$O133)</f>
        <v/>
      </c>
      <c r="Q133" s="43" t="str">
        <f aca="false">IF(OR($K133="",$L133="",$K133=0),"",($L133-$K133)/$K133)</f>
        <v/>
      </c>
      <c r="R133" s="32"/>
      <c r="S133" s="44" t="str">
        <f aca="false">IF(OR($L133="",$E133=""),"",60.7*$L133+45.3*$E133-2055)</f>
        <v/>
      </c>
      <c r="T133" s="45"/>
      <c r="U133" s="45"/>
      <c r="V133" s="45"/>
      <c r="W133" s="45"/>
      <c r="X133" s="32"/>
      <c r="Y133" s="32"/>
      <c r="Z133" s="39"/>
      <c r="AA133" s="46"/>
      <c r="AB133" s="42" t="str">
        <f aca="false">IF(OR($AA133="",$E133="",$E133=0),"",$AA133/$E133)</f>
        <v/>
      </c>
      <c r="AC133" s="27"/>
    </row>
    <row r="134" customFormat="false" ht="15" hidden="false" customHeight="false" outlineLevel="0" collapsed="false">
      <c r="A134" s="29"/>
      <c r="B134" s="27"/>
      <c r="C134" s="28"/>
      <c r="D134" s="27"/>
      <c r="E134" s="32"/>
      <c r="F134" s="39"/>
      <c r="G134" s="39"/>
      <c r="H134" s="39"/>
      <c r="I134" s="40" t="str">
        <f aca="false">IF(OR($G134="",$F134=""),"",$G134-$F134)</f>
        <v/>
      </c>
      <c r="J134" s="40" t="str">
        <f aca="false">IF(OR($H134="",$F134=""),"",$H134-$F134)</f>
        <v/>
      </c>
      <c r="K134" s="32"/>
      <c r="L134" s="32"/>
      <c r="M134" s="32"/>
      <c r="N134" s="32"/>
      <c r="O134" s="41"/>
      <c r="P134" s="42" t="str">
        <f aca="false">IF(OR($N134="",$O134="",$O134=0),"",($N134/100)/$O134)</f>
        <v/>
      </c>
      <c r="Q134" s="43" t="str">
        <f aca="false">IF(OR($K134="",$L134="",$K134=0),"",($L134-$K134)/$K134)</f>
        <v/>
      </c>
      <c r="R134" s="32"/>
      <c r="S134" s="44" t="str">
        <f aca="false">IF(OR($L134="",$E134=""),"",60.7*$L134+45.3*$E134-2055)</f>
        <v/>
      </c>
      <c r="T134" s="45"/>
      <c r="U134" s="45"/>
      <c r="V134" s="45"/>
      <c r="W134" s="45"/>
      <c r="X134" s="32"/>
      <c r="Y134" s="32"/>
      <c r="Z134" s="39"/>
      <c r="AA134" s="46"/>
      <c r="AB134" s="42" t="str">
        <f aca="false">IF(OR($AA134="",$E134="",$E134=0),"",$AA134/$E134)</f>
        <v/>
      </c>
      <c r="AC134" s="27"/>
    </row>
    <row r="135" customFormat="false" ht="15" hidden="false" customHeight="false" outlineLevel="0" collapsed="false">
      <c r="A135" s="29"/>
      <c r="B135" s="27"/>
      <c r="C135" s="28"/>
      <c r="D135" s="27"/>
      <c r="E135" s="32"/>
      <c r="F135" s="39"/>
      <c r="G135" s="39"/>
      <c r="H135" s="39"/>
      <c r="I135" s="40" t="str">
        <f aca="false">IF(OR($G135="",$F135=""),"",$G135-$F135)</f>
        <v/>
      </c>
      <c r="J135" s="40" t="str">
        <f aca="false">IF(OR($H135="",$F135=""),"",$H135-$F135)</f>
        <v/>
      </c>
      <c r="K135" s="32"/>
      <c r="L135" s="32"/>
      <c r="M135" s="32"/>
      <c r="N135" s="32"/>
      <c r="O135" s="41"/>
      <c r="P135" s="42" t="str">
        <f aca="false">IF(OR($N135="",$O135="",$O135=0),"",($N135/100)/$O135)</f>
        <v/>
      </c>
      <c r="Q135" s="43" t="str">
        <f aca="false">IF(OR($K135="",$L135="",$K135=0),"",($L135-$K135)/$K135)</f>
        <v/>
      </c>
      <c r="R135" s="32"/>
      <c r="S135" s="44" t="str">
        <f aca="false">IF(OR($L135="",$E135=""),"",60.7*$L135+45.3*$E135-2055)</f>
        <v/>
      </c>
      <c r="T135" s="45"/>
      <c r="U135" s="45"/>
      <c r="V135" s="45"/>
      <c r="W135" s="45"/>
      <c r="X135" s="32"/>
      <c r="Y135" s="32"/>
      <c r="Z135" s="39"/>
      <c r="AA135" s="46"/>
      <c r="AB135" s="42" t="str">
        <f aca="false">IF(OR($AA135="",$E135="",$E135=0),"",$AA135/$E135)</f>
        <v/>
      </c>
      <c r="AC135" s="27"/>
    </row>
    <row r="136" customFormat="false" ht="15" hidden="false" customHeight="false" outlineLevel="0" collapsed="false">
      <c r="A136" s="29"/>
      <c r="B136" s="27"/>
      <c r="C136" s="28"/>
      <c r="D136" s="27"/>
      <c r="E136" s="32"/>
      <c r="F136" s="39"/>
      <c r="G136" s="39"/>
      <c r="H136" s="39"/>
      <c r="I136" s="40" t="str">
        <f aca="false">IF(OR($G136="",$F136=""),"",$G136-$F136)</f>
        <v/>
      </c>
      <c r="J136" s="40" t="str">
        <f aca="false">IF(OR($H136="",$F136=""),"",$H136-$F136)</f>
        <v/>
      </c>
      <c r="K136" s="32"/>
      <c r="L136" s="32"/>
      <c r="M136" s="32"/>
      <c r="N136" s="32"/>
      <c r="O136" s="41"/>
      <c r="P136" s="42" t="str">
        <f aca="false">IF(OR($N136="",$O136="",$O136=0),"",($N136/100)/$O136)</f>
        <v/>
      </c>
      <c r="Q136" s="43" t="str">
        <f aca="false">IF(OR($K136="",$L136="",$K136=0),"",($L136-$K136)/$K136)</f>
        <v/>
      </c>
      <c r="R136" s="32"/>
      <c r="S136" s="44" t="str">
        <f aca="false">IF(OR($L136="",$E136=""),"",60.7*$L136+45.3*$E136-2055)</f>
        <v/>
      </c>
      <c r="T136" s="45"/>
      <c r="U136" s="45"/>
      <c r="V136" s="45"/>
      <c r="W136" s="45"/>
      <c r="X136" s="32"/>
      <c r="Y136" s="32"/>
      <c r="Z136" s="39"/>
      <c r="AA136" s="46"/>
      <c r="AB136" s="42" t="str">
        <f aca="false">IF(OR($AA136="",$E136="",$E136=0),"",$AA136/$E136)</f>
        <v/>
      </c>
      <c r="AC136" s="27"/>
    </row>
    <row r="137" customFormat="false" ht="15" hidden="false" customHeight="false" outlineLevel="0" collapsed="false">
      <c r="A137" s="29"/>
      <c r="B137" s="27"/>
      <c r="C137" s="28"/>
      <c r="D137" s="27"/>
      <c r="E137" s="32"/>
      <c r="F137" s="39"/>
      <c r="G137" s="39"/>
      <c r="H137" s="39"/>
      <c r="I137" s="40" t="str">
        <f aca="false">IF(OR($G137="",$F137=""),"",$G137-$F137)</f>
        <v/>
      </c>
      <c r="J137" s="40" t="str">
        <f aca="false">IF(OR($H137="",$F137=""),"",$H137-$F137)</f>
        <v/>
      </c>
      <c r="K137" s="32"/>
      <c r="L137" s="32"/>
      <c r="M137" s="32"/>
      <c r="N137" s="32"/>
      <c r="O137" s="41"/>
      <c r="P137" s="42" t="str">
        <f aca="false">IF(OR($N137="",$O137="",$O137=0),"",($N137/100)/$O137)</f>
        <v/>
      </c>
      <c r="Q137" s="43" t="str">
        <f aca="false">IF(OR($K137="",$L137="",$K137=0),"",($L137-$K137)/$K137)</f>
        <v/>
      </c>
      <c r="R137" s="32"/>
      <c r="S137" s="44" t="str">
        <f aca="false">IF(OR($L137="",$E137=""),"",60.7*$L137+45.3*$E137-2055)</f>
        <v/>
      </c>
      <c r="T137" s="45"/>
      <c r="U137" s="45"/>
      <c r="V137" s="45"/>
      <c r="W137" s="45"/>
      <c r="X137" s="32"/>
      <c r="Y137" s="32"/>
      <c r="Z137" s="39"/>
      <c r="AA137" s="46"/>
      <c r="AB137" s="42" t="str">
        <f aca="false">IF(OR($AA137="",$E137="",$E137=0),"",$AA137/$E137)</f>
        <v/>
      </c>
      <c r="AC137" s="27"/>
    </row>
    <row r="138" customFormat="false" ht="15" hidden="false" customHeight="false" outlineLevel="0" collapsed="false">
      <c r="A138" s="29"/>
      <c r="B138" s="27"/>
      <c r="C138" s="28"/>
      <c r="D138" s="27"/>
      <c r="E138" s="32"/>
      <c r="F138" s="39"/>
      <c r="G138" s="39"/>
      <c r="H138" s="39"/>
      <c r="I138" s="40" t="str">
        <f aca="false">IF(OR($G138="",$F138=""),"",$G138-$F138)</f>
        <v/>
      </c>
      <c r="J138" s="40" t="str">
        <f aca="false">IF(OR($H138="",$F138=""),"",$H138-$F138)</f>
        <v/>
      </c>
      <c r="K138" s="32"/>
      <c r="L138" s="32"/>
      <c r="M138" s="32"/>
      <c r="N138" s="32"/>
      <c r="O138" s="41"/>
      <c r="P138" s="42" t="str">
        <f aca="false">IF(OR($N138="",$O138="",$O138=0),"",($N138/100)/$O138)</f>
        <v/>
      </c>
      <c r="Q138" s="43" t="str">
        <f aca="false">IF(OR($K138="",$L138="",$K138=0),"",($L138-$K138)/$K138)</f>
        <v/>
      </c>
      <c r="R138" s="32"/>
      <c r="S138" s="44" t="str">
        <f aca="false">IF(OR($L138="",$E138=""),"",60.7*$L138+45.3*$E138-2055)</f>
        <v/>
      </c>
      <c r="T138" s="45"/>
      <c r="U138" s="45"/>
      <c r="V138" s="45"/>
      <c r="W138" s="45"/>
      <c r="X138" s="32"/>
      <c r="Y138" s="32"/>
      <c r="Z138" s="39"/>
      <c r="AA138" s="46"/>
      <c r="AB138" s="42" t="str">
        <f aca="false">IF(OR($AA138="",$E138="",$E138=0),"",$AA138/$E138)</f>
        <v/>
      </c>
      <c r="AC138" s="27"/>
    </row>
    <row r="139" customFormat="false" ht="15" hidden="false" customHeight="false" outlineLevel="0" collapsed="false">
      <c r="A139" s="29"/>
      <c r="B139" s="27"/>
      <c r="C139" s="28"/>
      <c r="D139" s="27"/>
      <c r="E139" s="32"/>
      <c r="F139" s="39"/>
      <c r="G139" s="39"/>
      <c r="H139" s="39"/>
      <c r="I139" s="40" t="str">
        <f aca="false">IF(OR($G139="",$F139=""),"",$G139-$F139)</f>
        <v/>
      </c>
      <c r="J139" s="40" t="str">
        <f aca="false">IF(OR($H139="",$F139=""),"",$H139-$F139)</f>
        <v/>
      </c>
      <c r="K139" s="32"/>
      <c r="L139" s="32"/>
      <c r="M139" s="32"/>
      <c r="N139" s="32"/>
      <c r="O139" s="41"/>
      <c r="P139" s="42" t="str">
        <f aca="false">IF(OR($N139="",$O139="",$O139=0),"",($N139/100)/$O139)</f>
        <v/>
      </c>
      <c r="Q139" s="43" t="str">
        <f aca="false">IF(OR($K139="",$L139="",$K139=0),"",($L139-$K139)/$K139)</f>
        <v/>
      </c>
      <c r="R139" s="32"/>
      <c r="S139" s="44" t="str">
        <f aca="false">IF(OR($L139="",$E139=""),"",60.7*$L139+45.3*$E139-2055)</f>
        <v/>
      </c>
      <c r="T139" s="45"/>
      <c r="U139" s="45"/>
      <c r="V139" s="45"/>
      <c r="W139" s="45"/>
      <c r="X139" s="32"/>
      <c r="Y139" s="32"/>
      <c r="Z139" s="39"/>
      <c r="AA139" s="46"/>
      <c r="AB139" s="42" t="str">
        <f aca="false">IF(OR($AA139="",$E139="",$E139=0),"",$AA139/$E139)</f>
        <v/>
      </c>
      <c r="AC139" s="27"/>
    </row>
    <row r="140" customFormat="false" ht="15" hidden="false" customHeight="false" outlineLevel="0" collapsed="false">
      <c r="A140" s="29"/>
      <c r="B140" s="27"/>
      <c r="C140" s="28"/>
      <c r="D140" s="27"/>
      <c r="E140" s="32"/>
      <c r="F140" s="39"/>
      <c r="G140" s="39"/>
      <c r="H140" s="39"/>
      <c r="I140" s="40" t="str">
        <f aca="false">IF(OR($G140="",$F140=""),"",$G140-$F140)</f>
        <v/>
      </c>
      <c r="J140" s="40" t="str">
        <f aca="false">IF(OR($H140="",$F140=""),"",$H140-$F140)</f>
        <v/>
      </c>
      <c r="K140" s="32"/>
      <c r="L140" s="32"/>
      <c r="M140" s="32"/>
      <c r="N140" s="32"/>
      <c r="O140" s="41"/>
      <c r="P140" s="42" t="str">
        <f aca="false">IF(OR($N140="",$O140="",$O140=0),"",($N140/100)/$O140)</f>
        <v/>
      </c>
      <c r="Q140" s="43" t="str">
        <f aca="false">IF(OR($K140="",$L140="",$K140=0),"",($L140-$K140)/$K140)</f>
        <v/>
      </c>
      <c r="R140" s="32"/>
      <c r="S140" s="44" t="str">
        <f aca="false">IF(OR($L140="",$E140=""),"",60.7*$L140+45.3*$E140-2055)</f>
        <v/>
      </c>
      <c r="T140" s="45"/>
      <c r="U140" s="45"/>
      <c r="V140" s="45"/>
      <c r="W140" s="45"/>
      <c r="X140" s="32"/>
      <c r="Y140" s="32"/>
      <c r="Z140" s="39"/>
      <c r="AA140" s="46"/>
      <c r="AB140" s="42" t="str">
        <f aca="false">IF(OR($AA140="",$E140="",$E140=0),"",$AA140/$E140)</f>
        <v/>
      </c>
      <c r="AC140" s="27"/>
    </row>
    <row r="141" customFormat="false" ht="15" hidden="false" customHeight="false" outlineLevel="0" collapsed="false">
      <c r="A141" s="29"/>
      <c r="B141" s="27"/>
      <c r="C141" s="28"/>
      <c r="D141" s="27"/>
      <c r="E141" s="32"/>
      <c r="F141" s="39"/>
      <c r="G141" s="39"/>
      <c r="H141" s="39"/>
      <c r="I141" s="40" t="str">
        <f aca="false">IF(OR($G141="",$F141=""),"",$G141-$F141)</f>
        <v/>
      </c>
      <c r="J141" s="40" t="str">
        <f aca="false">IF(OR($H141="",$F141=""),"",$H141-$F141)</f>
        <v/>
      </c>
      <c r="K141" s="32"/>
      <c r="L141" s="32"/>
      <c r="M141" s="32"/>
      <c r="N141" s="32"/>
      <c r="O141" s="41"/>
      <c r="P141" s="42" t="str">
        <f aca="false">IF(OR($N141="",$O141="",$O141=0),"",($N141/100)/$O141)</f>
        <v/>
      </c>
      <c r="Q141" s="43" t="str">
        <f aca="false">IF(OR($K141="",$L141="",$K141=0),"",($L141-$K141)/$K141)</f>
        <v/>
      </c>
      <c r="R141" s="32"/>
      <c r="S141" s="44" t="str">
        <f aca="false">IF(OR($L141="",$E141=""),"",60.7*$L141+45.3*$E141-2055)</f>
        <v/>
      </c>
      <c r="T141" s="45"/>
      <c r="U141" s="45"/>
      <c r="V141" s="45"/>
      <c r="W141" s="45"/>
      <c r="X141" s="32"/>
      <c r="Y141" s="32"/>
      <c r="Z141" s="39"/>
      <c r="AA141" s="46"/>
      <c r="AB141" s="42" t="str">
        <f aca="false">IF(OR($AA141="",$E141="",$E141=0),"",$AA141/$E141)</f>
        <v/>
      </c>
      <c r="AC141" s="27"/>
    </row>
    <row r="142" customFormat="false" ht="15" hidden="false" customHeight="false" outlineLevel="0" collapsed="false">
      <c r="A142" s="29"/>
      <c r="B142" s="27"/>
      <c r="C142" s="28"/>
      <c r="D142" s="27"/>
      <c r="E142" s="32"/>
      <c r="F142" s="39"/>
      <c r="G142" s="39"/>
      <c r="H142" s="39"/>
      <c r="I142" s="40" t="str">
        <f aca="false">IF(OR($G142="",$F142=""),"",$G142-$F142)</f>
        <v/>
      </c>
      <c r="J142" s="40" t="str">
        <f aca="false">IF(OR($H142="",$F142=""),"",$H142-$F142)</f>
        <v/>
      </c>
      <c r="K142" s="32"/>
      <c r="L142" s="32"/>
      <c r="M142" s="32"/>
      <c r="N142" s="32"/>
      <c r="O142" s="41"/>
      <c r="P142" s="42" t="str">
        <f aca="false">IF(OR($N142="",$O142="",$O142=0),"",($N142/100)/$O142)</f>
        <v/>
      </c>
      <c r="Q142" s="43" t="str">
        <f aca="false">IF(OR($K142="",$L142="",$K142=0),"",($L142-$K142)/$K142)</f>
        <v/>
      </c>
      <c r="R142" s="32"/>
      <c r="S142" s="44" t="str">
        <f aca="false">IF(OR($L142="",$E142=""),"",60.7*$L142+45.3*$E142-2055)</f>
        <v/>
      </c>
      <c r="T142" s="45"/>
      <c r="U142" s="45"/>
      <c r="V142" s="45"/>
      <c r="W142" s="45"/>
      <c r="X142" s="32"/>
      <c r="Y142" s="32"/>
      <c r="Z142" s="39"/>
      <c r="AA142" s="46"/>
      <c r="AB142" s="42" t="str">
        <f aca="false">IF(OR($AA142="",$E142="",$E142=0),"",$AA142/$E142)</f>
        <v/>
      </c>
      <c r="AC142" s="27"/>
    </row>
    <row r="143" customFormat="false" ht="15" hidden="false" customHeight="false" outlineLevel="0" collapsed="false">
      <c r="A143" s="29"/>
      <c r="B143" s="27"/>
      <c r="C143" s="28"/>
      <c r="D143" s="27"/>
      <c r="E143" s="32"/>
      <c r="F143" s="39"/>
      <c r="G143" s="39"/>
      <c r="H143" s="39"/>
      <c r="I143" s="40" t="str">
        <f aca="false">IF(OR($G143="",$F143=""),"",$G143-$F143)</f>
        <v/>
      </c>
      <c r="J143" s="40" t="str">
        <f aca="false">IF(OR($H143="",$F143=""),"",$H143-$F143)</f>
        <v/>
      </c>
      <c r="K143" s="32"/>
      <c r="L143" s="32"/>
      <c r="M143" s="32"/>
      <c r="N143" s="32"/>
      <c r="O143" s="41"/>
      <c r="P143" s="42" t="str">
        <f aca="false">IF(OR($N143="",$O143="",$O143=0),"",($N143/100)/$O143)</f>
        <v/>
      </c>
      <c r="Q143" s="43" t="str">
        <f aca="false">IF(OR($K143="",$L143="",$K143=0),"",($L143-$K143)/$K143)</f>
        <v/>
      </c>
      <c r="R143" s="32"/>
      <c r="S143" s="44" t="str">
        <f aca="false">IF(OR($L143="",$E143=""),"",60.7*$L143+45.3*$E143-2055)</f>
        <v/>
      </c>
      <c r="T143" s="45"/>
      <c r="U143" s="45"/>
      <c r="V143" s="45"/>
      <c r="W143" s="45"/>
      <c r="X143" s="32"/>
      <c r="Y143" s="32"/>
      <c r="Z143" s="39"/>
      <c r="AA143" s="46"/>
      <c r="AB143" s="42" t="str">
        <f aca="false">IF(OR($AA143="",$E143="",$E143=0),"",$AA143/$E143)</f>
        <v/>
      </c>
      <c r="AC143" s="27"/>
    </row>
    <row r="144" customFormat="false" ht="15" hidden="false" customHeight="false" outlineLevel="0" collapsed="false">
      <c r="A144" s="29"/>
      <c r="B144" s="27"/>
      <c r="C144" s="28"/>
      <c r="D144" s="27"/>
      <c r="E144" s="32"/>
      <c r="F144" s="39"/>
      <c r="G144" s="39"/>
      <c r="H144" s="39"/>
      <c r="I144" s="40" t="str">
        <f aca="false">IF(OR($G144="",$F144=""),"",$G144-$F144)</f>
        <v/>
      </c>
      <c r="J144" s="40" t="str">
        <f aca="false">IF(OR($H144="",$F144=""),"",$H144-$F144)</f>
        <v/>
      </c>
      <c r="K144" s="32"/>
      <c r="L144" s="32"/>
      <c r="M144" s="32"/>
      <c r="N144" s="32"/>
      <c r="O144" s="41"/>
      <c r="P144" s="42" t="str">
        <f aca="false">IF(OR($N144="",$O144="",$O144=0),"",($N144/100)/$O144)</f>
        <v/>
      </c>
      <c r="Q144" s="43" t="str">
        <f aca="false">IF(OR($K144="",$L144="",$K144=0),"",($L144-$K144)/$K144)</f>
        <v/>
      </c>
      <c r="R144" s="32"/>
      <c r="S144" s="44" t="str">
        <f aca="false">IF(OR($L144="",$E144=""),"",60.7*$L144+45.3*$E144-2055)</f>
        <v/>
      </c>
      <c r="T144" s="45"/>
      <c r="U144" s="45"/>
      <c r="V144" s="45"/>
      <c r="W144" s="45"/>
      <c r="X144" s="32"/>
      <c r="Y144" s="32"/>
      <c r="Z144" s="39"/>
      <c r="AA144" s="46"/>
      <c r="AB144" s="42" t="str">
        <f aca="false">IF(OR($AA144="",$E144="",$E144=0),"",$AA144/$E144)</f>
        <v/>
      </c>
      <c r="AC144" s="27"/>
    </row>
    <row r="145" customFormat="false" ht="15" hidden="false" customHeight="false" outlineLevel="0" collapsed="false">
      <c r="A145" s="29"/>
      <c r="B145" s="27"/>
      <c r="C145" s="28"/>
      <c r="D145" s="27"/>
      <c r="E145" s="32"/>
      <c r="F145" s="39"/>
      <c r="G145" s="39"/>
      <c r="H145" s="39"/>
      <c r="I145" s="40" t="str">
        <f aca="false">IF(OR($G145="",$F145=""),"",$G145-$F145)</f>
        <v/>
      </c>
      <c r="J145" s="40" t="str">
        <f aca="false">IF(OR($H145="",$F145=""),"",$H145-$F145)</f>
        <v/>
      </c>
      <c r="K145" s="32"/>
      <c r="L145" s="32"/>
      <c r="M145" s="32"/>
      <c r="N145" s="32"/>
      <c r="O145" s="41"/>
      <c r="P145" s="42" t="str">
        <f aca="false">IF(OR($N145="",$O145="",$O145=0),"",($N145/100)/$O145)</f>
        <v/>
      </c>
      <c r="Q145" s="43" t="str">
        <f aca="false">IF(OR($K145="",$L145="",$K145=0),"",($L145-$K145)/$K145)</f>
        <v/>
      </c>
      <c r="R145" s="32"/>
      <c r="S145" s="44" t="str">
        <f aca="false">IF(OR($L145="",$E145=""),"",60.7*$L145+45.3*$E145-2055)</f>
        <v/>
      </c>
      <c r="T145" s="45"/>
      <c r="U145" s="45"/>
      <c r="V145" s="45"/>
      <c r="W145" s="45"/>
      <c r="X145" s="32"/>
      <c r="Y145" s="32"/>
      <c r="Z145" s="39"/>
      <c r="AA145" s="46"/>
      <c r="AB145" s="42" t="str">
        <f aca="false">IF(OR($AA145="",$E145="",$E145=0),"",$AA145/$E145)</f>
        <v/>
      </c>
      <c r="AC145" s="27"/>
    </row>
    <row r="146" customFormat="false" ht="15" hidden="false" customHeight="false" outlineLevel="0" collapsed="false">
      <c r="A146" s="29"/>
      <c r="B146" s="27"/>
      <c r="C146" s="28"/>
      <c r="D146" s="27"/>
      <c r="E146" s="32"/>
      <c r="F146" s="39"/>
      <c r="G146" s="39"/>
      <c r="H146" s="39"/>
      <c r="I146" s="40" t="str">
        <f aca="false">IF(OR($G146="",$F146=""),"",$G146-$F146)</f>
        <v/>
      </c>
      <c r="J146" s="40" t="str">
        <f aca="false">IF(OR($H146="",$F146=""),"",$H146-$F146)</f>
        <v/>
      </c>
      <c r="K146" s="32"/>
      <c r="L146" s="32"/>
      <c r="M146" s="32"/>
      <c r="N146" s="32"/>
      <c r="O146" s="41"/>
      <c r="P146" s="42" t="str">
        <f aca="false">IF(OR($N146="",$O146="",$O146=0),"",($N146/100)/$O146)</f>
        <v/>
      </c>
      <c r="Q146" s="43" t="str">
        <f aca="false">IF(OR($K146="",$L146="",$K146=0),"",($L146-$K146)/$K146)</f>
        <v/>
      </c>
      <c r="R146" s="32"/>
      <c r="S146" s="44" t="str">
        <f aca="false">IF(OR($L146="",$E146=""),"",60.7*$L146+45.3*$E146-2055)</f>
        <v/>
      </c>
      <c r="T146" s="45"/>
      <c r="U146" s="45"/>
      <c r="V146" s="45"/>
      <c r="W146" s="45"/>
      <c r="X146" s="32"/>
      <c r="Y146" s="32"/>
      <c r="Z146" s="39"/>
      <c r="AA146" s="46"/>
      <c r="AB146" s="42" t="str">
        <f aca="false">IF(OR($AA146="",$E146="",$E146=0),"",$AA146/$E146)</f>
        <v/>
      </c>
      <c r="AC146" s="27"/>
    </row>
    <row r="147" customFormat="false" ht="15" hidden="false" customHeight="false" outlineLevel="0" collapsed="false">
      <c r="A147" s="29"/>
      <c r="B147" s="27"/>
      <c r="C147" s="28"/>
      <c r="D147" s="27"/>
      <c r="E147" s="32"/>
      <c r="F147" s="39"/>
      <c r="G147" s="39"/>
      <c r="H147" s="39"/>
      <c r="I147" s="40" t="str">
        <f aca="false">IF(OR($G147="",$F147=""),"",$G147-$F147)</f>
        <v/>
      </c>
      <c r="J147" s="40" t="str">
        <f aca="false">IF(OR($H147="",$F147=""),"",$H147-$F147)</f>
        <v/>
      </c>
      <c r="K147" s="32"/>
      <c r="L147" s="32"/>
      <c r="M147" s="32"/>
      <c r="N147" s="32"/>
      <c r="O147" s="41"/>
      <c r="P147" s="42" t="str">
        <f aca="false">IF(OR($N147="",$O147="",$O147=0),"",($N147/100)/$O147)</f>
        <v/>
      </c>
      <c r="Q147" s="43" t="str">
        <f aca="false">IF(OR($K147="",$L147="",$K147=0),"",($L147-$K147)/$K147)</f>
        <v/>
      </c>
      <c r="R147" s="32"/>
      <c r="S147" s="44" t="str">
        <f aca="false">IF(OR($L147="",$E147=""),"",60.7*$L147+45.3*$E147-2055)</f>
        <v/>
      </c>
      <c r="T147" s="45"/>
      <c r="U147" s="45"/>
      <c r="V147" s="45"/>
      <c r="W147" s="45"/>
      <c r="X147" s="32"/>
      <c r="Y147" s="32"/>
      <c r="Z147" s="39"/>
      <c r="AA147" s="46"/>
      <c r="AB147" s="42" t="str">
        <f aca="false">IF(OR($AA147="",$E147="",$E147=0),"",$AA147/$E147)</f>
        <v/>
      </c>
      <c r="AC147" s="27"/>
    </row>
    <row r="148" customFormat="false" ht="15" hidden="false" customHeight="false" outlineLevel="0" collapsed="false">
      <c r="A148" s="29"/>
      <c r="B148" s="27"/>
      <c r="C148" s="28"/>
      <c r="D148" s="27"/>
      <c r="E148" s="32"/>
      <c r="F148" s="39"/>
      <c r="G148" s="39"/>
      <c r="H148" s="39"/>
      <c r="I148" s="40" t="str">
        <f aca="false">IF(OR($G148="",$F148=""),"",$G148-$F148)</f>
        <v/>
      </c>
      <c r="J148" s="40" t="str">
        <f aca="false">IF(OR($H148="",$F148=""),"",$H148-$F148)</f>
        <v/>
      </c>
      <c r="K148" s="32"/>
      <c r="L148" s="32"/>
      <c r="M148" s="32"/>
      <c r="N148" s="32"/>
      <c r="O148" s="41"/>
      <c r="P148" s="42" t="str">
        <f aca="false">IF(OR($N148="",$O148="",$O148=0),"",($N148/100)/$O148)</f>
        <v/>
      </c>
      <c r="Q148" s="43" t="str">
        <f aca="false">IF(OR($K148="",$L148="",$K148=0),"",($L148-$K148)/$K148)</f>
        <v/>
      </c>
      <c r="R148" s="32"/>
      <c r="S148" s="44" t="str">
        <f aca="false">IF(OR($L148="",$E148=""),"",60.7*$L148+45.3*$E148-2055)</f>
        <v/>
      </c>
      <c r="T148" s="45"/>
      <c r="U148" s="45"/>
      <c r="V148" s="45"/>
      <c r="W148" s="45"/>
      <c r="X148" s="32"/>
      <c r="Y148" s="32"/>
      <c r="Z148" s="39"/>
      <c r="AA148" s="46"/>
      <c r="AB148" s="42" t="str">
        <f aca="false">IF(OR($AA148="",$E148="",$E148=0),"",$AA148/$E148)</f>
        <v/>
      </c>
      <c r="AC148" s="27"/>
    </row>
    <row r="149" customFormat="false" ht="15" hidden="false" customHeight="false" outlineLevel="0" collapsed="false">
      <c r="A149" s="29"/>
      <c r="B149" s="27"/>
      <c r="C149" s="28"/>
      <c r="D149" s="27"/>
      <c r="E149" s="32"/>
      <c r="F149" s="39"/>
      <c r="G149" s="39"/>
      <c r="H149" s="39"/>
      <c r="I149" s="40" t="str">
        <f aca="false">IF(OR($G149="",$F149=""),"",$G149-$F149)</f>
        <v/>
      </c>
      <c r="J149" s="40" t="str">
        <f aca="false">IF(OR($H149="",$F149=""),"",$H149-$F149)</f>
        <v/>
      </c>
      <c r="K149" s="32"/>
      <c r="L149" s="32"/>
      <c r="M149" s="32"/>
      <c r="N149" s="32"/>
      <c r="O149" s="41"/>
      <c r="P149" s="42" t="str">
        <f aca="false">IF(OR($N149="",$O149="",$O149=0),"",($N149/100)/$O149)</f>
        <v/>
      </c>
      <c r="Q149" s="43" t="str">
        <f aca="false">IF(OR($K149="",$L149="",$K149=0),"",($L149-$K149)/$K149)</f>
        <v/>
      </c>
      <c r="R149" s="32"/>
      <c r="S149" s="44" t="str">
        <f aca="false">IF(OR($L149="",$E149=""),"",60.7*$L149+45.3*$E149-2055)</f>
        <v/>
      </c>
      <c r="T149" s="45"/>
      <c r="U149" s="45"/>
      <c r="V149" s="45"/>
      <c r="W149" s="45"/>
      <c r="X149" s="32"/>
      <c r="Y149" s="32"/>
      <c r="Z149" s="39"/>
      <c r="AA149" s="46"/>
      <c r="AB149" s="42" t="str">
        <f aca="false">IF(OR($AA149="",$E149="",$E149=0),"",$AA149/$E149)</f>
        <v/>
      </c>
      <c r="AC149" s="27"/>
    </row>
    <row r="150" customFormat="false" ht="15" hidden="false" customHeight="false" outlineLevel="0" collapsed="false">
      <c r="A150" s="29"/>
      <c r="B150" s="27"/>
      <c r="C150" s="28"/>
      <c r="D150" s="27"/>
      <c r="E150" s="32"/>
      <c r="F150" s="39"/>
      <c r="G150" s="39"/>
      <c r="H150" s="39"/>
      <c r="I150" s="40" t="str">
        <f aca="false">IF(OR($G150="",$F150=""),"",$G150-$F150)</f>
        <v/>
      </c>
      <c r="J150" s="40" t="str">
        <f aca="false">IF(OR($H150="",$F150=""),"",$H150-$F150)</f>
        <v/>
      </c>
      <c r="K150" s="32"/>
      <c r="L150" s="32"/>
      <c r="M150" s="32"/>
      <c r="N150" s="32"/>
      <c r="O150" s="41"/>
      <c r="P150" s="42" t="str">
        <f aca="false">IF(OR($N150="",$O150="",$O150=0),"",($N150/100)/$O150)</f>
        <v/>
      </c>
      <c r="Q150" s="43" t="str">
        <f aca="false">IF(OR($K150="",$L150="",$K150=0),"",($L150-$K150)/$K150)</f>
        <v/>
      </c>
      <c r="R150" s="32"/>
      <c r="S150" s="44" t="str">
        <f aca="false">IF(OR($L150="",$E150=""),"",60.7*$L150+45.3*$E150-2055)</f>
        <v/>
      </c>
      <c r="T150" s="45"/>
      <c r="U150" s="45"/>
      <c r="V150" s="45"/>
      <c r="W150" s="45"/>
      <c r="X150" s="32"/>
      <c r="Y150" s="32"/>
      <c r="Z150" s="39"/>
      <c r="AA150" s="46"/>
      <c r="AB150" s="42" t="str">
        <f aca="false">IF(OR($AA150="",$E150="",$E150=0),"",$AA150/$E150)</f>
        <v/>
      </c>
      <c r="AC150" s="27"/>
    </row>
    <row r="151" customFormat="false" ht="15" hidden="false" customHeight="false" outlineLevel="0" collapsed="false">
      <c r="A151" s="29"/>
      <c r="B151" s="27"/>
      <c r="C151" s="28"/>
      <c r="D151" s="27"/>
      <c r="E151" s="32"/>
      <c r="F151" s="39"/>
      <c r="G151" s="39"/>
      <c r="H151" s="39"/>
      <c r="I151" s="40" t="str">
        <f aca="false">IF(OR($G151="",$F151=""),"",$G151-$F151)</f>
        <v/>
      </c>
      <c r="J151" s="40" t="str">
        <f aca="false">IF(OR($H151="",$F151=""),"",$H151-$F151)</f>
        <v/>
      </c>
      <c r="K151" s="32"/>
      <c r="L151" s="32"/>
      <c r="M151" s="32"/>
      <c r="N151" s="32"/>
      <c r="O151" s="41"/>
      <c r="P151" s="42" t="str">
        <f aca="false">IF(OR($N151="",$O151="",$O151=0),"",($N151/100)/$O151)</f>
        <v/>
      </c>
      <c r="Q151" s="43" t="str">
        <f aca="false">IF(OR($K151="",$L151="",$K151=0),"",($L151-$K151)/$K151)</f>
        <v/>
      </c>
      <c r="R151" s="32"/>
      <c r="S151" s="44" t="str">
        <f aca="false">IF(OR($L151="",$E151=""),"",60.7*$L151+45.3*$E151-2055)</f>
        <v/>
      </c>
      <c r="T151" s="45"/>
      <c r="U151" s="45"/>
      <c r="V151" s="45"/>
      <c r="W151" s="45"/>
      <c r="X151" s="32"/>
      <c r="Y151" s="32"/>
      <c r="Z151" s="39"/>
      <c r="AA151" s="46"/>
      <c r="AB151" s="42" t="str">
        <f aca="false">IF(OR($AA151="",$E151="",$E151=0),"",$AA151/$E151)</f>
        <v/>
      </c>
      <c r="AC151" s="27"/>
    </row>
    <row r="152" customFormat="false" ht="15" hidden="false" customHeight="false" outlineLevel="0" collapsed="false">
      <c r="A152" s="29"/>
      <c r="B152" s="27"/>
      <c r="C152" s="28"/>
      <c r="D152" s="27"/>
      <c r="E152" s="32"/>
      <c r="F152" s="39"/>
      <c r="G152" s="39"/>
      <c r="H152" s="39"/>
      <c r="I152" s="40" t="str">
        <f aca="false">IF(OR($G152="",$F152=""),"",$G152-$F152)</f>
        <v/>
      </c>
      <c r="J152" s="40" t="str">
        <f aca="false">IF(OR($H152="",$F152=""),"",$H152-$F152)</f>
        <v/>
      </c>
      <c r="K152" s="32"/>
      <c r="L152" s="32"/>
      <c r="M152" s="32"/>
      <c r="N152" s="32"/>
      <c r="O152" s="41"/>
      <c r="P152" s="42" t="str">
        <f aca="false">IF(OR($N152="",$O152="",$O152=0),"",($N152/100)/$O152)</f>
        <v/>
      </c>
      <c r="Q152" s="43" t="str">
        <f aca="false">IF(OR($K152="",$L152="",$K152=0),"",($L152-$K152)/$K152)</f>
        <v/>
      </c>
      <c r="R152" s="32"/>
      <c r="S152" s="44" t="str">
        <f aca="false">IF(OR($L152="",$E152=""),"",60.7*$L152+45.3*$E152-2055)</f>
        <v/>
      </c>
      <c r="T152" s="45"/>
      <c r="U152" s="45"/>
      <c r="V152" s="45"/>
      <c r="W152" s="45"/>
      <c r="X152" s="32"/>
      <c r="Y152" s="32"/>
      <c r="Z152" s="39"/>
      <c r="AA152" s="46"/>
      <c r="AB152" s="42" t="str">
        <f aca="false">IF(OR($AA152="",$E152="",$E152=0),"",$AA152/$E152)</f>
        <v/>
      </c>
      <c r="AC152" s="27"/>
    </row>
    <row r="153" customFormat="false" ht="15" hidden="false" customHeight="false" outlineLevel="0" collapsed="false">
      <c r="A153" s="29"/>
      <c r="B153" s="27"/>
      <c r="C153" s="28"/>
      <c r="D153" s="27"/>
      <c r="E153" s="32"/>
      <c r="F153" s="39"/>
      <c r="G153" s="39"/>
      <c r="H153" s="39"/>
      <c r="I153" s="40" t="str">
        <f aca="false">IF(OR($G153="",$F153=""),"",$G153-$F153)</f>
        <v/>
      </c>
      <c r="J153" s="40" t="str">
        <f aca="false">IF(OR($H153="",$F153=""),"",$H153-$F153)</f>
        <v/>
      </c>
      <c r="K153" s="32"/>
      <c r="L153" s="32"/>
      <c r="M153" s="32"/>
      <c r="N153" s="32"/>
      <c r="O153" s="41"/>
      <c r="P153" s="42" t="str">
        <f aca="false">IF(OR($N153="",$O153="",$O153=0),"",($N153/100)/$O153)</f>
        <v/>
      </c>
      <c r="Q153" s="43" t="str">
        <f aca="false">IF(OR($K153="",$L153="",$K153=0),"",($L153-$K153)/$K153)</f>
        <v/>
      </c>
      <c r="R153" s="32"/>
      <c r="S153" s="44" t="str">
        <f aca="false">IF(OR($L153="",$E153=""),"",60.7*$L153+45.3*$E153-2055)</f>
        <v/>
      </c>
      <c r="T153" s="45"/>
      <c r="U153" s="45"/>
      <c r="V153" s="45"/>
      <c r="W153" s="45"/>
      <c r="X153" s="32"/>
      <c r="Y153" s="32"/>
      <c r="Z153" s="39"/>
      <c r="AA153" s="46"/>
      <c r="AB153" s="42" t="str">
        <f aca="false">IF(OR($AA153="",$E153="",$E153=0),"",$AA153/$E153)</f>
        <v/>
      </c>
      <c r="AC153" s="27"/>
    </row>
    <row r="154" customFormat="false" ht="15" hidden="false" customHeight="false" outlineLevel="0" collapsed="false">
      <c r="A154" s="29"/>
      <c r="B154" s="27"/>
      <c r="C154" s="28"/>
      <c r="D154" s="27"/>
      <c r="E154" s="32"/>
      <c r="F154" s="39"/>
      <c r="G154" s="39"/>
      <c r="H154" s="39"/>
      <c r="I154" s="40" t="str">
        <f aca="false">IF(OR($G154="",$F154=""),"",$G154-$F154)</f>
        <v/>
      </c>
      <c r="J154" s="40" t="str">
        <f aca="false">IF(OR($H154="",$F154=""),"",$H154-$F154)</f>
        <v/>
      </c>
      <c r="K154" s="32"/>
      <c r="L154" s="32"/>
      <c r="M154" s="32"/>
      <c r="N154" s="32"/>
      <c r="O154" s="41"/>
      <c r="P154" s="42" t="str">
        <f aca="false">IF(OR($N154="",$O154="",$O154=0),"",($N154/100)/$O154)</f>
        <v/>
      </c>
      <c r="Q154" s="43" t="str">
        <f aca="false">IF(OR($K154="",$L154="",$K154=0),"",($L154-$K154)/$K154)</f>
        <v/>
      </c>
      <c r="R154" s="32"/>
      <c r="S154" s="44" t="str">
        <f aca="false">IF(OR($L154="",$E154=""),"",60.7*$L154+45.3*$E154-2055)</f>
        <v/>
      </c>
      <c r="T154" s="45"/>
      <c r="U154" s="45"/>
      <c r="V154" s="45"/>
      <c r="W154" s="45"/>
      <c r="X154" s="32"/>
      <c r="Y154" s="32"/>
      <c r="Z154" s="39"/>
      <c r="AA154" s="46"/>
      <c r="AB154" s="42" t="str">
        <f aca="false">IF(OR($AA154="",$E154="",$E154=0),"",$AA154/$E154)</f>
        <v/>
      </c>
      <c r="AC154" s="27"/>
    </row>
    <row r="155" customFormat="false" ht="15" hidden="false" customHeight="false" outlineLevel="0" collapsed="false">
      <c r="A155" s="29"/>
      <c r="B155" s="27"/>
      <c r="C155" s="28"/>
      <c r="D155" s="27"/>
      <c r="E155" s="32"/>
      <c r="F155" s="39"/>
      <c r="G155" s="39"/>
      <c r="H155" s="39"/>
      <c r="I155" s="40" t="str">
        <f aca="false">IF(OR($G155="",$F155=""),"",$G155-$F155)</f>
        <v/>
      </c>
      <c r="J155" s="40" t="str">
        <f aca="false">IF(OR($H155="",$F155=""),"",$H155-$F155)</f>
        <v/>
      </c>
      <c r="K155" s="32"/>
      <c r="L155" s="32"/>
      <c r="M155" s="32"/>
      <c r="N155" s="32"/>
      <c r="O155" s="41"/>
      <c r="P155" s="42" t="str">
        <f aca="false">IF(OR($N155="",$O155="",$O155=0),"",($N155/100)/$O155)</f>
        <v/>
      </c>
      <c r="Q155" s="43" t="str">
        <f aca="false">IF(OR($K155="",$L155="",$K155=0),"",($L155-$K155)/$K155)</f>
        <v/>
      </c>
      <c r="R155" s="32"/>
      <c r="S155" s="44" t="str">
        <f aca="false">IF(OR($L155="",$E155=""),"",60.7*$L155+45.3*$E155-2055)</f>
        <v/>
      </c>
      <c r="T155" s="45"/>
      <c r="U155" s="45"/>
      <c r="V155" s="45"/>
      <c r="W155" s="45"/>
      <c r="X155" s="32"/>
      <c r="Y155" s="32"/>
      <c r="Z155" s="39"/>
      <c r="AA155" s="46"/>
      <c r="AB155" s="42" t="str">
        <f aca="false">IF(OR($AA155="",$E155="",$E155=0),"",$AA155/$E155)</f>
        <v/>
      </c>
      <c r="AC155" s="27"/>
    </row>
    <row r="156" customFormat="false" ht="15" hidden="false" customHeight="false" outlineLevel="0" collapsed="false">
      <c r="A156" s="29"/>
      <c r="B156" s="27"/>
      <c r="C156" s="28"/>
      <c r="D156" s="27"/>
      <c r="E156" s="32"/>
      <c r="F156" s="39"/>
      <c r="G156" s="39"/>
      <c r="H156" s="39"/>
      <c r="I156" s="40" t="str">
        <f aca="false">IF(OR($G156="",$F156=""),"",$G156-$F156)</f>
        <v/>
      </c>
      <c r="J156" s="40" t="str">
        <f aca="false">IF(OR($H156="",$F156=""),"",$H156-$F156)</f>
        <v/>
      </c>
      <c r="K156" s="32"/>
      <c r="L156" s="32"/>
      <c r="M156" s="32"/>
      <c r="N156" s="32"/>
      <c r="O156" s="41"/>
      <c r="P156" s="42" t="str">
        <f aca="false">IF(OR($N156="",$O156="",$O156=0),"",($N156/100)/$O156)</f>
        <v/>
      </c>
      <c r="Q156" s="43" t="str">
        <f aca="false">IF(OR($K156="",$L156="",$K156=0),"",($L156-$K156)/$K156)</f>
        <v/>
      </c>
      <c r="R156" s="32"/>
      <c r="S156" s="44" t="str">
        <f aca="false">IF(OR($L156="",$E156=""),"",60.7*$L156+45.3*$E156-2055)</f>
        <v/>
      </c>
      <c r="T156" s="45"/>
      <c r="U156" s="45"/>
      <c r="V156" s="45"/>
      <c r="W156" s="45"/>
      <c r="X156" s="32"/>
      <c r="Y156" s="32"/>
      <c r="Z156" s="39"/>
      <c r="AA156" s="46"/>
      <c r="AB156" s="42" t="str">
        <f aca="false">IF(OR($AA156="",$E156="",$E156=0),"",$AA156/$E156)</f>
        <v/>
      </c>
      <c r="AC156" s="27"/>
    </row>
    <row r="157" customFormat="false" ht="15" hidden="false" customHeight="false" outlineLevel="0" collapsed="false">
      <c r="A157" s="29"/>
      <c r="B157" s="27"/>
      <c r="C157" s="28"/>
      <c r="D157" s="27"/>
      <c r="E157" s="32"/>
      <c r="F157" s="39"/>
      <c r="G157" s="39"/>
      <c r="H157" s="39"/>
      <c r="I157" s="40" t="str">
        <f aca="false">IF(OR($G157="",$F157=""),"",$G157-$F157)</f>
        <v/>
      </c>
      <c r="J157" s="40" t="str">
        <f aca="false">IF(OR($H157="",$F157=""),"",$H157-$F157)</f>
        <v/>
      </c>
      <c r="K157" s="32"/>
      <c r="L157" s="32"/>
      <c r="M157" s="32"/>
      <c r="N157" s="32"/>
      <c r="O157" s="41"/>
      <c r="P157" s="42" t="str">
        <f aca="false">IF(OR($N157="",$O157="",$O157=0),"",($N157/100)/$O157)</f>
        <v/>
      </c>
      <c r="Q157" s="43" t="str">
        <f aca="false">IF(OR($K157="",$L157="",$K157=0),"",($L157-$K157)/$K157)</f>
        <v/>
      </c>
      <c r="R157" s="32"/>
      <c r="S157" s="44" t="str">
        <f aca="false">IF(OR($L157="",$E157=""),"",60.7*$L157+45.3*$E157-2055)</f>
        <v/>
      </c>
      <c r="T157" s="45"/>
      <c r="U157" s="45"/>
      <c r="V157" s="45"/>
      <c r="W157" s="45"/>
      <c r="X157" s="32"/>
      <c r="Y157" s="32"/>
      <c r="Z157" s="39"/>
      <c r="AA157" s="46"/>
      <c r="AB157" s="42" t="str">
        <f aca="false">IF(OR($AA157="",$E157="",$E157=0),"",$AA157/$E157)</f>
        <v/>
      </c>
      <c r="AC157" s="27"/>
    </row>
    <row r="158" customFormat="false" ht="15" hidden="false" customHeight="false" outlineLevel="0" collapsed="false">
      <c r="A158" s="29"/>
      <c r="B158" s="27"/>
      <c r="C158" s="28"/>
      <c r="D158" s="27"/>
      <c r="E158" s="32"/>
      <c r="F158" s="39"/>
      <c r="G158" s="39"/>
      <c r="H158" s="39"/>
      <c r="I158" s="40" t="str">
        <f aca="false">IF(OR($G158="",$F158=""),"",$G158-$F158)</f>
        <v/>
      </c>
      <c r="J158" s="40" t="str">
        <f aca="false">IF(OR($H158="",$F158=""),"",$H158-$F158)</f>
        <v/>
      </c>
      <c r="K158" s="32"/>
      <c r="L158" s="32"/>
      <c r="M158" s="32"/>
      <c r="N158" s="32"/>
      <c r="O158" s="41"/>
      <c r="P158" s="42" t="str">
        <f aca="false">IF(OR($N158="",$O158="",$O158=0),"",($N158/100)/$O158)</f>
        <v/>
      </c>
      <c r="Q158" s="43" t="str">
        <f aca="false">IF(OR($K158="",$L158="",$K158=0),"",($L158-$K158)/$K158)</f>
        <v/>
      </c>
      <c r="R158" s="32"/>
      <c r="S158" s="44" t="str">
        <f aca="false">IF(OR($L158="",$E158=""),"",60.7*$L158+45.3*$E158-2055)</f>
        <v/>
      </c>
      <c r="T158" s="45"/>
      <c r="U158" s="45"/>
      <c r="V158" s="45"/>
      <c r="W158" s="45"/>
      <c r="X158" s="32"/>
      <c r="Y158" s="32"/>
      <c r="Z158" s="39"/>
      <c r="AA158" s="46"/>
      <c r="AB158" s="42" t="str">
        <f aca="false">IF(OR($AA158="",$E158="",$E158=0),"",$AA158/$E158)</f>
        <v/>
      </c>
      <c r="AC158" s="27"/>
    </row>
    <row r="159" customFormat="false" ht="15" hidden="false" customHeight="false" outlineLevel="0" collapsed="false">
      <c r="A159" s="29"/>
      <c r="B159" s="27"/>
      <c r="C159" s="28"/>
      <c r="D159" s="27"/>
      <c r="E159" s="32"/>
      <c r="F159" s="39"/>
      <c r="G159" s="39"/>
      <c r="H159" s="39"/>
      <c r="I159" s="40" t="str">
        <f aca="false">IF(OR($G159="",$F159=""),"",$G159-$F159)</f>
        <v/>
      </c>
      <c r="J159" s="40" t="str">
        <f aca="false">IF(OR($H159="",$F159=""),"",$H159-$F159)</f>
        <v/>
      </c>
      <c r="K159" s="32"/>
      <c r="L159" s="32"/>
      <c r="M159" s="32"/>
      <c r="N159" s="32"/>
      <c r="O159" s="41"/>
      <c r="P159" s="42" t="str">
        <f aca="false">IF(OR($N159="",$O159="",$O159=0),"",($N159/100)/$O159)</f>
        <v/>
      </c>
      <c r="Q159" s="43" t="str">
        <f aca="false">IF(OR($K159="",$L159="",$K159=0),"",($L159-$K159)/$K159)</f>
        <v/>
      </c>
      <c r="R159" s="32"/>
      <c r="S159" s="44" t="str">
        <f aca="false">IF(OR($L159="",$E159=""),"",60.7*$L159+45.3*$E159-2055)</f>
        <v/>
      </c>
      <c r="T159" s="45"/>
      <c r="U159" s="45"/>
      <c r="V159" s="45"/>
      <c r="W159" s="45"/>
      <c r="X159" s="32"/>
      <c r="Y159" s="32"/>
      <c r="Z159" s="39"/>
      <c r="AA159" s="46"/>
      <c r="AB159" s="42" t="str">
        <f aca="false">IF(OR($AA159="",$E159="",$E159=0),"",$AA159/$E159)</f>
        <v/>
      </c>
      <c r="AC159" s="27"/>
    </row>
    <row r="160" customFormat="false" ht="15" hidden="false" customHeight="false" outlineLevel="0" collapsed="false">
      <c r="A160" s="29"/>
      <c r="B160" s="27"/>
      <c r="C160" s="28"/>
      <c r="D160" s="27"/>
      <c r="E160" s="32"/>
      <c r="F160" s="39"/>
      <c r="G160" s="39"/>
      <c r="H160" s="39"/>
      <c r="I160" s="40" t="str">
        <f aca="false">IF(OR($G160="",$F160=""),"",$G160-$F160)</f>
        <v/>
      </c>
      <c r="J160" s="40" t="str">
        <f aca="false">IF(OR($H160="",$F160=""),"",$H160-$F160)</f>
        <v/>
      </c>
      <c r="K160" s="32"/>
      <c r="L160" s="32"/>
      <c r="M160" s="32"/>
      <c r="N160" s="32"/>
      <c r="O160" s="41"/>
      <c r="P160" s="42" t="str">
        <f aca="false">IF(OR($N160="",$O160="",$O160=0),"",($N160/100)/$O160)</f>
        <v/>
      </c>
      <c r="Q160" s="43" t="str">
        <f aca="false">IF(OR($K160="",$L160="",$K160=0),"",($L160-$K160)/$K160)</f>
        <v/>
      </c>
      <c r="R160" s="32"/>
      <c r="S160" s="44" t="str">
        <f aca="false">IF(OR($L160="",$E160=""),"",60.7*$L160+45.3*$E160-2055)</f>
        <v/>
      </c>
      <c r="T160" s="45"/>
      <c r="U160" s="45"/>
      <c r="V160" s="45"/>
      <c r="W160" s="45"/>
      <c r="X160" s="32"/>
      <c r="Y160" s="32"/>
      <c r="Z160" s="39"/>
      <c r="AA160" s="46"/>
      <c r="AB160" s="42" t="str">
        <f aca="false">IF(OR($AA160="",$E160="",$E160=0),"",$AA160/$E160)</f>
        <v/>
      </c>
      <c r="AC160" s="27"/>
    </row>
    <row r="161" customFormat="false" ht="15" hidden="false" customHeight="false" outlineLevel="0" collapsed="false">
      <c r="A161" s="29"/>
      <c r="B161" s="27"/>
      <c r="C161" s="28"/>
      <c r="D161" s="27"/>
      <c r="E161" s="32"/>
      <c r="F161" s="39"/>
      <c r="G161" s="39"/>
      <c r="H161" s="39"/>
      <c r="I161" s="40" t="str">
        <f aca="false">IF(OR($G161="",$F161=""),"",$G161-$F161)</f>
        <v/>
      </c>
      <c r="J161" s="40" t="str">
        <f aca="false">IF(OR($H161="",$F161=""),"",$H161-$F161)</f>
        <v/>
      </c>
      <c r="K161" s="32"/>
      <c r="L161" s="32"/>
      <c r="M161" s="32"/>
      <c r="N161" s="32"/>
      <c r="O161" s="41"/>
      <c r="P161" s="42" t="str">
        <f aca="false">IF(OR($N161="",$O161="",$O161=0),"",($N161/100)/$O161)</f>
        <v/>
      </c>
      <c r="Q161" s="43" t="str">
        <f aca="false">IF(OR($K161="",$L161="",$K161=0),"",($L161-$K161)/$K161)</f>
        <v/>
      </c>
      <c r="R161" s="32"/>
      <c r="S161" s="44" t="str">
        <f aca="false">IF(OR($L161="",$E161=""),"",60.7*$L161+45.3*$E161-2055)</f>
        <v/>
      </c>
      <c r="T161" s="45"/>
      <c r="U161" s="45"/>
      <c r="V161" s="45"/>
      <c r="W161" s="45"/>
      <c r="X161" s="32"/>
      <c r="Y161" s="32"/>
      <c r="Z161" s="39"/>
      <c r="AA161" s="46"/>
      <c r="AB161" s="42" t="str">
        <f aca="false">IF(OR($AA161="",$E161="",$E161=0),"",$AA161/$E161)</f>
        <v/>
      </c>
      <c r="AC161" s="27"/>
    </row>
    <row r="162" customFormat="false" ht="15" hidden="false" customHeight="false" outlineLevel="0" collapsed="false">
      <c r="A162" s="29"/>
      <c r="B162" s="27"/>
      <c r="C162" s="28"/>
      <c r="D162" s="27"/>
      <c r="E162" s="32"/>
      <c r="F162" s="39"/>
      <c r="G162" s="39"/>
      <c r="H162" s="39"/>
      <c r="I162" s="40" t="str">
        <f aca="false">IF(OR($G162="",$F162=""),"",$G162-$F162)</f>
        <v/>
      </c>
      <c r="J162" s="40" t="str">
        <f aca="false">IF(OR($H162="",$F162=""),"",$H162-$F162)</f>
        <v/>
      </c>
      <c r="K162" s="32"/>
      <c r="L162" s="32"/>
      <c r="M162" s="32"/>
      <c r="N162" s="32"/>
      <c r="O162" s="41"/>
      <c r="P162" s="42" t="str">
        <f aca="false">IF(OR($N162="",$O162="",$O162=0),"",($N162/100)/$O162)</f>
        <v/>
      </c>
      <c r="Q162" s="43" t="str">
        <f aca="false">IF(OR($K162="",$L162="",$K162=0),"",($L162-$K162)/$K162)</f>
        <v/>
      </c>
      <c r="R162" s="32"/>
      <c r="S162" s="44" t="str">
        <f aca="false">IF(OR($L162="",$E162=""),"",60.7*$L162+45.3*$E162-2055)</f>
        <v/>
      </c>
      <c r="T162" s="45"/>
      <c r="U162" s="45"/>
      <c r="V162" s="45"/>
      <c r="W162" s="45"/>
      <c r="X162" s="32"/>
      <c r="Y162" s="32"/>
      <c r="Z162" s="39"/>
      <c r="AA162" s="46"/>
      <c r="AB162" s="42" t="str">
        <f aca="false">IF(OR($AA162="",$E162="",$E162=0),"",$AA162/$E162)</f>
        <v/>
      </c>
      <c r="AC162" s="27"/>
    </row>
    <row r="163" customFormat="false" ht="15" hidden="false" customHeight="false" outlineLevel="0" collapsed="false">
      <c r="A163" s="29"/>
      <c r="B163" s="27"/>
      <c r="C163" s="28"/>
      <c r="D163" s="27"/>
      <c r="E163" s="32"/>
      <c r="F163" s="39"/>
      <c r="G163" s="39"/>
      <c r="H163" s="39"/>
      <c r="I163" s="40" t="str">
        <f aca="false">IF(OR($G163="",$F163=""),"",$G163-$F163)</f>
        <v/>
      </c>
      <c r="J163" s="40" t="str">
        <f aca="false">IF(OR($H163="",$F163=""),"",$H163-$F163)</f>
        <v/>
      </c>
      <c r="K163" s="32"/>
      <c r="L163" s="32"/>
      <c r="M163" s="32"/>
      <c r="N163" s="32"/>
      <c r="O163" s="41"/>
      <c r="P163" s="42" t="str">
        <f aca="false">IF(OR($N163="",$O163="",$O163=0),"",($N163/100)/$O163)</f>
        <v/>
      </c>
      <c r="Q163" s="43" t="str">
        <f aca="false">IF(OR($K163="",$L163="",$K163=0),"",($L163-$K163)/$K163)</f>
        <v/>
      </c>
      <c r="R163" s="32"/>
      <c r="S163" s="44" t="str">
        <f aca="false">IF(OR($L163="",$E163=""),"",60.7*$L163+45.3*$E163-2055)</f>
        <v/>
      </c>
      <c r="T163" s="45"/>
      <c r="U163" s="45"/>
      <c r="V163" s="45"/>
      <c r="W163" s="45"/>
      <c r="X163" s="32"/>
      <c r="Y163" s="32"/>
      <c r="Z163" s="39"/>
      <c r="AA163" s="46"/>
      <c r="AB163" s="42" t="str">
        <f aca="false">IF(OR($AA163="",$E163="",$E163=0),"",$AA163/$E163)</f>
        <v/>
      </c>
      <c r="AC163" s="27"/>
    </row>
    <row r="164" customFormat="false" ht="15" hidden="false" customHeight="false" outlineLevel="0" collapsed="false">
      <c r="A164" s="29"/>
      <c r="B164" s="27"/>
      <c r="C164" s="28"/>
      <c r="D164" s="27"/>
      <c r="E164" s="32"/>
      <c r="F164" s="39"/>
      <c r="G164" s="39"/>
      <c r="H164" s="39"/>
      <c r="I164" s="40" t="str">
        <f aca="false">IF(OR($G164="",$F164=""),"",$G164-$F164)</f>
        <v/>
      </c>
      <c r="J164" s="40" t="str">
        <f aca="false">IF(OR($H164="",$F164=""),"",$H164-$F164)</f>
        <v/>
      </c>
      <c r="K164" s="32"/>
      <c r="L164" s="32"/>
      <c r="M164" s="32"/>
      <c r="N164" s="32"/>
      <c r="O164" s="41"/>
      <c r="P164" s="42" t="str">
        <f aca="false">IF(OR($N164="",$O164="",$O164=0),"",($N164/100)/$O164)</f>
        <v/>
      </c>
      <c r="Q164" s="43" t="str">
        <f aca="false">IF(OR($K164="",$L164="",$K164=0),"",($L164-$K164)/$K164)</f>
        <v/>
      </c>
      <c r="R164" s="32"/>
      <c r="S164" s="44" t="str">
        <f aca="false">IF(OR($L164="",$E164=""),"",60.7*$L164+45.3*$E164-2055)</f>
        <v/>
      </c>
      <c r="T164" s="45"/>
      <c r="U164" s="45"/>
      <c r="V164" s="45"/>
      <c r="W164" s="45"/>
      <c r="X164" s="32"/>
      <c r="Y164" s="32"/>
      <c r="Z164" s="39"/>
      <c r="AA164" s="46"/>
      <c r="AB164" s="42" t="str">
        <f aca="false">IF(OR($AA164="",$E164="",$E164=0),"",$AA164/$E164)</f>
        <v/>
      </c>
      <c r="AC164" s="27"/>
    </row>
    <row r="165" customFormat="false" ht="15" hidden="false" customHeight="false" outlineLevel="0" collapsed="false">
      <c r="A165" s="29"/>
      <c r="B165" s="27"/>
      <c r="C165" s="28"/>
      <c r="D165" s="27"/>
      <c r="E165" s="32"/>
      <c r="F165" s="39"/>
      <c r="G165" s="39"/>
      <c r="H165" s="39"/>
      <c r="I165" s="40" t="str">
        <f aca="false">IF(OR($G165="",$F165=""),"",$G165-$F165)</f>
        <v/>
      </c>
      <c r="J165" s="40" t="str">
        <f aca="false">IF(OR($H165="",$F165=""),"",$H165-$F165)</f>
        <v/>
      </c>
      <c r="K165" s="32"/>
      <c r="L165" s="32"/>
      <c r="M165" s="32"/>
      <c r="N165" s="32"/>
      <c r="O165" s="41"/>
      <c r="P165" s="42" t="str">
        <f aca="false">IF(OR($N165="",$O165="",$O165=0),"",($N165/100)/$O165)</f>
        <v/>
      </c>
      <c r="Q165" s="43" t="str">
        <f aca="false">IF(OR($K165="",$L165="",$K165=0),"",($L165-$K165)/$K165)</f>
        <v/>
      </c>
      <c r="R165" s="32"/>
      <c r="S165" s="44" t="str">
        <f aca="false">IF(OR($L165="",$E165=""),"",60.7*$L165+45.3*$E165-2055)</f>
        <v/>
      </c>
      <c r="T165" s="45"/>
      <c r="U165" s="45"/>
      <c r="V165" s="45"/>
      <c r="W165" s="45"/>
      <c r="X165" s="32"/>
      <c r="Y165" s="32"/>
      <c r="Z165" s="39"/>
      <c r="AA165" s="46"/>
      <c r="AB165" s="42" t="str">
        <f aca="false">IF(OR($AA165="",$E165="",$E165=0),"",$AA165/$E165)</f>
        <v/>
      </c>
      <c r="AC165" s="27"/>
    </row>
    <row r="166" customFormat="false" ht="15" hidden="false" customHeight="false" outlineLevel="0" collapsed="false">
      <c r="A166" s="29"/>
      <c r="B166" s="27"/>
      <c r="C166" s="28"/>
      <c r="D166" s="27"/>
      <c r="E166" s="32"/>
      <c r="F166" s="39"/>
      <c r="G166" s="39"/>
      <c r="H166" s="39"/>
      <c r="I166" s="40" t="str">
        <f aca="false">IF(OR($G166="",$F166=""),"",$G166-$F166)</f>
        <v/>
      </c>
      <c r="J166" s="40" t="str">
        <f aca="false">IF(OR($H166="",$F166=""),"",$H166-$F166)</f>
        <v/>
      </c>
      <c r="K166" s="32"/>
      <c r="L166" s="32"/>
      <c r="M166" s="32"/>
      <c r="N166" s="32"/>
      <c r="O166" s="41"/>
      <c r="P166" s="42" t="str">
        <f aca="false">IF(OR($N166="",$O166="",$O166=0),"",($N166/100)/$O166)</f>
        <v/>
      </c>
      <c r="Q166" s="43" t="str">
        <f aca="false">IF(OR($K166="",$L166="",$K166=0),"",($L166-$K166)/$K166)</f>
        <v/>
      </c>
      <c r="R166" s="32"/>
      <c r="S166" s="44" t="str">
        <f aca="false">IF(OR($L166="",$E166=""),"",60.7*$L166+45.3*$E166-2055)</f>
        <v/>
      </c>
      <c r="T166" s="45"/>
      <c r="U166" s="45"/>
      <c r="V166" s="45"/>
      <c r="W166" s="45"/>
      <c r="X166" s="32"/>
      <c r="Y166" s="32"/>
      <c r="Z166" s="39"/>
      <c r="AA166" s="46"/>
      <c r="AB166" s="42" t="str">
        <f aca="false">IF(OR($AA166="",$E166="",$E166=0),"",$AA166/$E166)</f>
        <v/>
      </c>
      <c r="AC166" s="27"/>
    </row>
    <row r="167" customFormat="false" ht="15" hidden="false" customHeight="false" outlineLevel="0" collapsed="false">
      <c r="A167" s="29"/>
      <c r="B167" s="27"/>
      <c r="C167" s="28"/>
      <c r="D167" s="27"/>
      <c r="E167" s="32"/>
      <c r="F167" s="39"/>
      <c r="G167" s="39"/>
      <c r="H167" s="39"/>
      <c r="I167" s="40" t="str">
        <f aca="false">IF(OR($G167="",$F167=""),"",$G167-$F167)</f>
        <v/>
      </c>
      <c r="J167" s="40" t="str">
        <f aca="false">IF(OR($H167="",$F167=""),"",$H167-$F167)</f>
        <v/>
      </c>
      <c r="K167" s="32"/>
      <c r="L167" s="32"/>
      <c r="M167" s="32"/>
      <c r="N167" s="32"/>
      <c r="O167" s="41"/>
      <c r="P167" s="42" t="str">
        <f aca="false">IF(OR($N167="",$O167="",$O167=0),"",($N167/100)/$O167)</f>
        <v/>
      </c>
      <c r="Q167" s="43" t="str">
        <f aca="false">IF(OR($K167="",$L167="",$K167=0),"",($L167-$K167)/$K167)</f>
        <v/>
      </c>
      <c r="R167" s="32"/>
      <c r="S167" s="44" t="str">
        <f aca="false">IF(OR($L167="",$E167=""),"",60.7*$L167+45.3*$E167-2055)</f>
        <v/>
      </c>
      <c r="T167" s="45"/>
      <c r="U167" s="45"/>
      <c r="V167" s="45"/>
      <c r="W167" s="45"/>
      <c r="X167" s="32"/>
      <c r="Y167" s="32"/>
      <c r="Z167" s="39"/>
      <c r="AA167" s="46"/>
      <c r="AB167" s="42" t="str">
        <f aca="false">IF(OR($AA167="",$E167="",$E167=0),"",$AA167/$E167)</f>
        <v/>
      </c>
      <c r="AC167" s="27"/>
    </row>
    <row r="168" customFormat="false" ht="15" hidden="false" customHeight="false" outlineLevel="0" collapsed="false">
      <c r="A168" s="29"/>
      <c r="B168" s="27"/>
      <c r="C168" s="28"/>
      <c r="D168" s="27"/>
      <c r="E168" s="32"/>
      <c r="F168" s="39"/>
      <c r="G168" s="39"/>
      <c r="H168" s="39"/>
      <c r="I168" s="40" t="str">
        <f aca="false">IF(OR($G168="",$F168=""),"",$G168-$F168)</f>
        <v/>
      </c>
      <c r="J168" s="40" t="str">
        <f aca="false">IF(OR($H168="",$F168=""),"",$H168-$F168)</f>
        <v/>
      </c>
      <c r="K168" s="32"/>
      <c r="L168" s="32"/>
      <c r="M168" s="32"/>
      <c r="N168" s="32"/>
      <c r="O168" s="41"/>
      <c r="P168" s="42" t="str">
        <f aca="false">IF(OR($N168="",$O168="",$O168=0),"",($N168/100)/$O168)</f>
        <v/>
      </c>
      <c r="Q168" s="43" t="str">
        <f aca="false">IF(OR($K168="",$L168="",$K168=0),"",($L168-$K168)/$K168)</f>
        <v/>
      </c>
      <c r="R168" s="32"/>
      <c r="S168" s="44" t="str">
        <f aca="false">IF(OR($L168="",$E168=""),"",60.7*$L168+45.3*$E168-2055)</f>
        <v/>
      </c>
      <c r="T168" s="45"/>
      <c r="U168" s="45"/>
      <c r="V168" s="45"/>
      <c r="W168" s="45"/>
      <c r="X168" s="32"/>
      <c r="Y168" s="32"/>
      <c r="Z168" s="39"/>
      <c r="AA168" s="46"/>
      <c r="AB168" s="42" t="str">
        <f aca="false">IF(OR($AA168="",$E168="",$E168=0),"",$AA168/$E168)</f>
        <v/>
      </c>
      <c r="AC168" s="27"/>
    </row>
    <row r="169" customFormat="false" ht="15" hidden="false" customHeight="false" outlineLevel="0" collapsed="false">
      <c r="A169" s="29"/>
      <c r="B169" s="27"/>
      <c r="C169" s="28"/>
      <c r="D169" s="27"/>
      <c r="E169" s="32"/>
      <c r="F169" s="39"/>
      <c r="G169" s="39"/>
      <c r="H169" s="39"/>
      <c r="I169" s="40" t="str">
        <f aca="false">IF(OR($G169="",$F169=""),"",$G169-$F169)</f>
        <v/>
      </c>
      <c r="J169" s="40" t="str">
        <f aca="false">IF(OR($H169="",$F169=""),"",$H169-$F169)</f>
        <v/>
      </c>
      <c r="K169" s="32"/>
      <c r="L169" s="32"/>
      <c r="M169" s="32"/>
      <c r="N169" s="32"/>
      <c r="O169" s="41"/>
      <c r="P169" s="42" t="str">
        <f aca="false">IF(OR($N169="",$O169="",$O169=0),"",($N169/100)/$O169)</f>
        <v/>
      </c>
      <c r="Q169" s="43" t="str">
        <f aca="false">IF(OR($K169="",$L169="",$K169=0),"",($L169-$K169)/$K169)</f>
        <v/>
      </c>
      <c r="R169" s="32"/>
      <c r="S169" s="44" t="str">
        <f aca="false">IF(OR($L169="",$E169=""),"",60.7*$L169+45.3*$E169-2055)</f>
        <v/>
      </c>
      <c r="T169" s="45"/>
      <c r="U169" s="45"/>
      <c r="V169" s="45"/>
      <c r="W169" s="45"/>
      <c r="X169" s="32"/>
      <c r="Y169" s="32"/>
      <c r="Z169" s="39"/>
      <c r="AA169" s="46"/>
      <c r="AB169" s="42" t="str">
        <f aca="false">IF(OR($AA169="",$E169="",$E169=0),"",$AA169/$E169)</f>
        <v/>
      </c>
      <c r="AC169" s="27"/>
    </row>
    <row r="170" customFormat="false" ht="15" hidden="false" customHeight="false" outlineLevel="0" collapsed="false">
      <c r="A170" s="29"/>
      <c r="B170" s="27"/>
      <c r="C170" s="28"/>
      <c r="D170" s="27"/>
      <c r="E170" s="32"/>
      <c r="F170" s="39"/>
      <c r="G170" s="39"/>
      <c r="H170" s="39"/>
      <c r="I170" s="40" t="str">
        <f aca="false">IF(OR($G170="",$F170=""),"",$G170-$F170)</f>
        <v/>
      </c>
      <c r="J170" s="40" t="str">
        <f aca="false">IF(OR($H170="",$F170=""),"",$H170-$F170)</f>
        <v/>
      </c>
      <c r="K170" s="32"/>
      <c r="L170" s="32"/>
      <c r="M170" s="32"/>
      <c r="N170" s="32"/>
      <c r="O170" s="41"/>
      <c r="P170" s="42" t="str">
        <f aca="false">IF(OR($N170="",$O170="",$O170=0),"",($N170/100)/$O170)</f>
        <v/>
      </c>
      <c r="Q170" s="43" t="str">
        <f aca="false">IF(OR($K170="",$L170="",$K170=0),"",($L170-$K170)/$K170)</f>
        <v/>
      </c>
      <c r="R170" s="32"/>
      <c r="S170" s="44" t="str">
        <f aca="false">IF(OR($L170="",$E170=""),"",60.7*$L170+45.3*$E170-2055)</f>
        <v/>
      </c>
      <c r="T170" s="45"/>
      <c r="U170" s="45"/>
      <c r="V170" s="45"/>
      <c r="W170" s="45"/>
      <c r="X170" s="32"/>
      <c r="Y170" s="32"/>
      <c r="Z170" s="39"/>
      <c r="AA170" s="46"/>
      <c r="AB170" s="42" t="str">
        <f aca="false">IF(OR($AA170="",$E170="",$E170=0),"",$AA170/$E170)</f>
        <v/>
      </c>
      <c r="AC170" s="27"/>
    </row>
    <row r="171" customFormat="false" ht="15" hidden="false" customHeight="false" outlineLevel="0" collapsed="false">
      <c r="A171" s="29"/>
      <c r="B171" s="27"/>
      <c r="C171" s="28"/>
      <c r="D171" s="27"/>
      <c r="E171" s="32"/>
      <c r="F171" s="39"/>
      <c r="G171" s="39"/>
      <c r="H171" s="39"/>
      <c r="I171" s="40" t="str">
        <f aca="false">IF(OR($G171="",$F171=""),"",$G171-$F171)</f>
        <v/>
      </c>
      <c r="J171" s="40" t="str">
        <f aca="false">IF(OR($H171="",$F171=""),"",$H171-$F171)</f>
        <v/>
      </c>
      <c r="K171" s="32"/>
      <c r="L171" s="32"/>
      <c r="M171" s="32"/>
      <c r="N171" s="32"/>
      <c r="O171" s="41"/>
      <c r="P171" s="42" t="str">
        <f aca="false">IF(OR($N171="",$O171="",$O171=0),"",($N171/100)/$O171)</f>
        <v/>
      </c>
      <c r="Q171" s="43" t="str">
        <f aca="false">IF(OR($K171="",$L171="",$K171=0),"",($L171-$K171)/$K171)</f>
        <v/>
      </c>
      <c r="R171" s="32"/>
      <c r="S171" s="44" t="str">
        <f aca="false">IF(OR($L171="",$E171=""),"",60.7*$L171+45.3*$E171-2055)</f>
        <v/>
      </c>
      <c r="T171" s="45"/>
      <c r="U171" s="45"/>
      <c r="V171" s="45"/>
      <c r="W171" s="45"/>
      <c r="X171" s="32"/>
      <c r="Y171" s="32"/>
      <c r="Z171" s="39"/>
      <c r="AA171" s="46"/>
      <c r="AB171" s="42" t="str">
        <f aca="false">IF(OR($AA171="",$E171="",$E171=0),"",$AA171/$E171)</f>
        <v/>
      </c>
      <c r="AC171" s="27"/>
    </row>
    <row r="172" customFormat="false" ht="15" hidden="false" customHeight="false" outlineLevel="0" collapsed="false">
      <c r="A172" s="29"/>
      <c r="B172" s="27"/>
      <c r="C172" s="28"/>
      <c r="D172" s="27"/>
      <c r="E172" s="32"/>
      <c r="F172" s="39"/>
      <c r="G172" s="39"/>
      <c r="H172" s="39"/>
      <c r="I172" s="40" t="str">
        <f aca="false">IF(OR($G172="",$F172=""),"",$G172-$F172)</f>
        <v/>
      </c>
      <c r="J172" s="40" t="str">
        <f aca="false">IF(OR($H172="",$F172=""),"",$H172-$F172)</f>
        <v/>
      </c>
      <c r="K172" s="32"/>
      <c r="L172" s="32"/>
      <c r="M172" s="32"/>
      <c r="N172" s="32"/>
      <c r="O172" s="41"/>
      <c r="P172" s="42" t="str">
        <f aca="false">IF(OR($N172="",$O172="",$O172=0),"",($N172/100)/$O172)</f>
        <v/>
      </c>
      <c r="Q172" s="43" t="str">
        <f aca="false">IF(OR($K172="",$L172="",$K172=0),"",($L172-$K172)/$K172)</f>
        <v/>
      </c>
      <c r="R172" s="32"/>
      <c r="S172" s="44" t="str">
        <f aca="false">IF(OR($L172="",$E172=""),"",60.7*$L172+45.3*$E172-2055)</f>
        <v/>
      </c>
      <c r="T172" s="45"/>
      <c r="U172" s="45"/>
      <c r="V172" s="45"/>
      <c r="W172" s="45"/>
      <c r="X172" s="32"/>
      <c r="Y172" s="32"/>
      <c r="Z172" s="39"/>
      <c r="AA172" s="46"/>
      <c r="AB172" s="42" t="str">
        <f aca="false">IF(OR($AA172="",$E172="",$E172=0),"",$AA172/$E172)</f>
        <v/>
      </c>
      <c r="AC172" s="27"/>
    </row>
    <row r="173" customFormat="false" ht="15" hidden="false" customHeight="false" outlineLevel="0" collapsed="false">
      <c r="A173" s="29"/>
      <c r="B173" s="27"/>
      <c r="C173" s="28"/>
      <c r="D173" s="27"/>
      <c r="E173" s="32"/>
      <c r="F173" s="39"/>
      <c r="G173" s="39"/>
      <c r="H173" s="39"/>
      <c r="I173" s="40" t="str">
        <f aca="false">IF(OR($G173="",$F173=""),"",$G173-$F173)</f>
        <v/>
      </c>
      <c r="J173" s="40" t="str">
        <f aca="false">IF(OR($H173="",$F173=""),"",$H173-$F173)</f>
        <v/>
      </c>
      <c r="K173" s="32"/>
      <c r="L173" s="32"/>
      <c r="M173" s="32"/>
      <c r="N173" s="32"/>
      <c r="O173" s="41"/>
      <c r="P173" s="42" t="str">
        <f aca="false">IF(OR($N173="",$O173="",$O173=0),"",($N173/100)/$O173)</f>
        <v/>
      </c>
      <c r="Q173" s="43" t="str">
        <f aca="false">IF(OR($K173="",$L173="",$K173=0),"",($L173-$K173)/$K173)</f>
        <v/>
      </c>
      <c r="R173" s="32"/>
      <c r="S173" s="44" t="str">
        <f aca="false">IF(OR($L173="",$E173=""),"",60.7*$L173+45.3*$E173-2055)</f>
        <v/>
      </c>
      <c r="T173" s="45"/>
      <c r="U173" s="45"/>
      <c r="V173" s="45"/>
      <c r="W173" s="45"/>
      <c r="X173" s="32"/>
      <c r="Y173" s="32"/>
      <c r="Z173" s="39"/>
      <c r="AA173" s="46"/>
      <c r="AB173" s="42" t="str">
        <f aca="false">IF(OR($AA173="",$E173="",$E173=0),"",$AA173/$E173)</f>
        <v/>
      </c>
      <c r="AC173" s="27"/>
    </row>
    <row r="174" customFormat="false" ht="15" hidden="false" customHeight="false" outlineLevel="0" collapsed="false">
      <c r="A174" s="29"/>
      <c r="B174" s="27"/>
      <c r="C174" s="28"/>
      <c r="D174" s="27"/>
      <c r="E174" s="32"/>
      <c r="F174" s="39"/>
      <c r="G174" s="39"/>
      <c r="H174" s="39"/>
      <c r="I174" s="40" t="str">
        <f aca="false">IF(OR($G174="",$F174=""),"",$G174-$F174)</f>
        <v/>
      </c>
      <c r="J174" s="40" t="str">
        <f aca="false">IF(OR($H174="",$F174=""),"",$H174-$F174)</f>
        <v/>
      </c>
      <c r="K174" s="32"/>
      <c r="L174" s="32"/>
      <c r="M174" s="32"/>
      <c r="N174" s="32"/>
      <c r="O174" s="41"/>
      <c r="P174" s="42" t="str">
        <f aca="false">IF(OR($N174="",$O174="",$O174=0),"",($N174/100)/$O174)</f>
        <v/>
      </c>
      <c r="Q174" s="43" t="str">
        <f aca="false">IF(OR($K174="",$L174="",$K174=0),"",($L174-$K174)/$K174)</f>
        <v/>
      </c>
      <c r="R174" s="32"/>
      <c r="S174" s="44" t="str">
        <f aca="false">IF(OR($L174="",$E174=""),"",60.7*$L174+45.3*$E174-2055)</f>
        <v/>
      </c>
      <c r="T174" s="45"/>
      <c r="U174" s="45"/>
      <c r="V174" s="45"/>
      <c r="W174" s="45"/>
      <c r="X174" s="32"/>
      <c r="Y174" s="32"/>
      <c r="Z174" s="39"/>
      <c r="AA174" s="46"/>
      <c r="AB174" s="42" t="str">
        <f aca="false">IF(OR($AA174="",$E174="",$E174=0),"",$AA174/$E174)</f>
        <v/>
      </c>
      <c r="AC174" s="27"/>
    </row>
    <row r="175" customFormat="false" ht="15" hidden="false" customHeight="false" outlineLevel="0" collapsed="false">
      <c r="A175" s="29"/>
      <c r="B175" s="27"/>
      <c r="C175" s="28"/>
      <c r="D175" s="27"/>
      <c r="E175" s="32"/>
      <c r="F175" s="39"/>
      <c r="G175" s="39"/>
      <c r="H175" s="39"/>
      <c r="I175" s="40" t="str">
        <f aca="false">IF(OR($G175="",$F175=""),"",$G175-$F175)</f>
        <v/>
      </c>
      <c r="J175" s="40" t="str">
        <f aca="false">IF(OR($H175="",$F175=""),"",$H175-$F175)</f>
        <v/>
      </c>
      <c r="K175" s="32"/>
      <c r="L175" s="32"/>
      <c r="M175" s="32"/>
      <c r="N175" s="32"/>
      <c r="O175" s="41"/>
      <c r="P175" s="42" t="str">
        <f aca="false">IF(OR($N175="",$O175="",$O175=0),"",($N175/100)/$O175)</f>
        <v/>
      </c>
      <c r="Q175" s="43" t="str">
        <f aca="false">IF(OR($K175="",$L175="",$K175=0),"",($L175-$K175)/$K175)</f>
        <v/>
      </c>
      <c r="R175" s="32"/>
      <c r="S175" s="44" t="str">
        <f aca="false">IF(OR($L175="",$E175=""),"",60.7*$L175+45.3*$E175-2055)</f>
        <v/>
      </c>
      <c r="T175" s="45"/>
      <c r="U175" s="45"/>
      <c r="V175" s="45"/>
      <c r="W175" s="45"/>
      <c r="X175" s="32"/>
      <c r="Y175" s="32"/>
      <c r="Z175" s="39"/>
      <c r="AA175" s="46"/>
      <c r="AB175" s="42" t="str">
        <f aca="false">IF(OR($AA175="",$E175="",$E175=0),"",$AA175/$E175)</f>
        <v/>
      </c>
      <c r="AC175" s="27"/>
    </row>
    <row r="176" customFormat="false" ht="15" hidden="false" customHeight="false" outlineLevel="0" collapsed="false">
      <c r="A176" s="29"/>
      <c r="B176" s="27"/>
      <c r="C176" s="28"/>
      <c r="D176" s="27"/>
      <c r="E176" s="32"/>
      <c r="F176" s="39"/>
      <c r="G176" s="39"/>
      <c r="H176" s="39"/>
      <c r="I176" s="40" t="str">
        <f aca="false">IF(OR($G176="",$F176=""),"",$G176-$F176)</f>
        <v/>
      </c>
      <c r="J176" s="40" t="str">
        <f aca="false">IF(OR($H176="",$F176=""),"",$H176-$F176)</f>
        <v/>
      </c>
      <c r="K176" s="32"/>
      <c r="L176" s="32"/>
      <c r="M176" s="32"/>
      <c r="N176" s="32"/>
      <c r="O176" s="41"/>
      <c r="P176" s="42" t="str">
        <f aca="false">IF(OR($N176="",$O176="",$O176=0),"",($N176/100)/$O176)</f>
        <v/>
      </c>
      <c r="Q176" s="43" t="str">
        <f aca="false">IF(OR($K176="",$L176="",$K176=0),"",($L176-$K176)/$K176)</f>
        <v/>
      </c>
      <c r="R176" s="32"/>
      <c r="S176" s="44" t="str">
        <f aca="false">IF(OR($L176="",$E176=""),"",60.7*$L176+45.3*$E176-2055)</f>
        <v/>
      </c>
      <c r="T176" s="45"/>
      <c r="U176" s="45"/>
      <c r="V176" s="45"/>
      <c r="W176" s="45"/>
      <c r="X176" s="32"/>
      <c r="Y176" s="32"/>
      <c r="Z176" s="39"/>
      <c r="AA176" s="46"/>
      <c r="AB176" s="42" t="str">
        <f aca="false">IF(OR($AA176="",$E176="",$E176=0),"",$AA176/$E176)</f>
        <v/>
      </c>
      <c r="AC176" s="27"/>
    </row>
    <row r="177" customFormat="false" ht="15" hidden="false" customHeight="false" outlineLevel="0" collapsed="false">
      <c r="A177" s="29"/>
      <c r="B177" s="27"/>
      <c r="C177" s="28"/>
      <c r="D177" s="27"/>
      <c r="E177" s="32"/>
      <c r="F177" s="39"/>
      <c r="G177" s="39"/>
      <c r="H177" s="39"/>
      <c r="I177" s="40" t="str">
        <f aca="false">IF(OR($G177="",$F177=""),"",$G177-$F177)</f>
        <v/>
      </c>
      <c r="J177" s="40" t="str">
        <f aca="false">IF(OR($H177="",$F177=""),"",$H177-$F177)</f>
        <v/>
      </c>
      <c r="K177" s="32"/>
      <c r="L177" s="32"/>
      <c r="M177" s="32"/>
      <c r="N177" s="32"/>
      <c r="O177" s="41"/>
      <c r="P177" s="42" t="str">
        <f aca="false">IF(OR($N177="",$O177="",$O177=0),"",($N177/100)/$O177)</f>
        <v/>
      </c>
      <c r="Q177" s="43" t="str">
        <f aca="false">IF(OR($K177="",$L177="",$K177=0),"",($L177-$K177)/$K177)</f>
        <v/>
      </c>
      <c r="R177" s="32"/>
      <c r="S177" s="44" t="str">
        <f aca="false">IF(OR($L177="",$E177=""),"",60.7*$L177+45.3*$E177-2055)</f>
        <v/>
      </c>
      <c r="T177" s="45"/>
      <c r="U177" s="45"/>
      <c r="V177" s="45"/>
      <c r="W177" s="45"/>
      <c r="X177" s="32"/>
      <c r="Y177" s="32"/>
      <c r="Z177" s="39"/>
      <c r="AA177" s="46"/>
      <c r="AB177" s="42" t="str">
        <f aca="false">IF(OR($AA177="",$E177="",$E177=0),"",$AA177/$E177)</f>
        <v/>
      </c>
      <c r="AC177" s="27"/>
    </row>
    <row r="178" customFormat="false" ht="15" hidden="false" customHeight="false" outlineLevel="0" collapsed="false">
      <c r="A178" s="29"/>
      <c r="B178" s="27"/>
      <c r="C178" s="28"/>
      <c r="D178" s="27"/>
      <c r="E178" s="32"/>
      <c r="F178" s="39"/>
      <c r="G178" s="39"/>
      <c r="H178" s="39"/>
      <c r="I178" s="40" t="str">
        <f aca="false">IF(OR($G178="",$F178=""),"",$G178-$F178)</f>
        <v/>
      </c>
      <c r="J178" s="40" t="str">
        <f aca="false">IF(OR($H178="",$F178=""),"",$H178-$F178)</f>
        <v/>
      </c>
      <c r="K178" s="32"/>
      <c r="L178" s="32"/>
      <c r="M178" s="32"/>
      <c r="N178" s="32"/>
      <c r="O178" s="41"/>
      <c r="P178" s="42" t="str">
        <f aca="false">IF(OR($N178="",$O178="",$O178=0),"",($N178/100)/$O178)</f>
        <v/>
      </c>
      <c r="Q178" s="43" t="str">
        <f aca="false">IF(OR($K178="",$L178="",$K178=0),"",($L178-$K178)/$K178)</f>
        <v/>
      </c>
      <c r="R178" s="32"/>
      <c r="S178" s="44" t="str">
        <f aca="false">IF(OR($L178="",$E178=""),"",60.7*$L178+45.3*$E178-2055)</f>
        <v/>
      </c>
      <c r="T178" s="45"/>
      <c r="U178" s="45"/>
      <c r="V178" s="45"/>
      <c r="W178" s="45"/>
      <c r="X178" s="32"/>
      <c r="Y178" s="32"/>
      <c r="Z178" s="39"/>
      <c r="AA178" s="46"/>
      <c r="AB178" s="42" t="str">
        <f aca="false">IF(OR($AA178="",$E178="",$E178=0),"",$AA178/$E178)</f>
        <v/>
      </c>
      <c r="AC178" s="27"/>
    </row>
    <row r="179" customFormat="false" ht="15" hidden="false" customHeight="false" outlineLevel="0" collapsed="false">
      <c r="A179" s="29"/>
      <c r="B179" s="27"/>
      <c r="C179" s="28"/>
      <c r="D179" s="27"/>
      <c r="E179" s="32"/>
      <c r="F179" s="39"/>
      <c r="G179" s="39"/>
      <c r="H179" s="39"/>
      <c r="I179" s="40" t="str">
        <f aca="false">IF(OR($G179="",$F179=""),"",$G179-$F179)</f>
        <v/>
      </c>
      <c r="J179" s="40" t="str">
        <f aca="false">IF(OR($H179="",$F179=""),"",$H179-$F179)</f>
        <v/>
      </c>
      <c r="K179" s="32"/>
      <c r="L179" s="32"/>
      <c r="M179" s="32"/>
      <c r="N179" s="32"/>
      <c r="O179" s="41"/>
      <c r="P179" s="42" t="str">
        <f aca="false">IF(OR($N179="",$O179="",$O179=0),"",($N179/100)/$O179)</f>
        <v/>
      </c>
      <c r="Q179" s="43" t="str">
        <f aca="false">IF(OR($K179="",$L179="",$K179=0),"",($L179-$K179)/$K179)</f>
        <v/>
      </c>
      <c r="R179" s="32"/>
      <c r="S179" s="44" t="str">
        <f aca="false">IF(OR($L179="",$E179=""),"",60.7*$L179+45.3*$E179-2055)</f>
        <v/>
      </c>
      <c r="T179" s="45"/>
      <c r="U179" s="45"/>
      <c r="V179" s="45"/>
      <c r="W179" s="45"/>
      <c r="X179" s="32"/>
      <c r="Y179" s="32"/>
      <c r="Z179" s="39"/>
      <c r="AA179" s="46"/>
      <c r="AB179" s="42" t="str">
        <f aca="false">IF(OR($AA179="",$E179="",$E179=0),"",$AA179/$E179)</f>
        <v/>
      </c>
      <c r="AC179" s="27"/>
    </row>
    <row r="180" customFormat="false" ht="15" hidden="false" customHeight="false" outlineLevel="0" collapsed="false">
      <c r="A180" s="29"/>
      <c r="B180" s="27"/>
      <c r="C180" s="28"/>
      <c r="D180" s="27"/>
      <c r="E180" s="32"/>
      <c r="F180" s="39"/>
      <c r="G180" s="39"/>
      <c r="H180" s="39"/>
      <c r="I180" s="40" t="str">
        <f aca="false">IF(OR($G180="",$F180=""),"",$G180-$F180)</f>
        <v/>
      </c>
      <c r="J180" s="40" t="str">
        <f aca="false">IF(OR($H180="",$F180=""),"",$H180-$F180)</f>
        <v/>
      </c>
      <c r="K180" s="32"/>
      <c r="L180" s="32"/>
      <c r="M180" s="32"/>
      <c r="N180" s="32"/>
      <c r="O180" s="41"/>
      <c r="P180" s="42" t="str">
        <f aca="false">IF(OR($N180="",$O180="",$O180=0),"",($N180/100)/$O180)</f>
        <v/>
      </c>
      <c r="Q180" s="43" t="str">
        <f aca="false">IF(OR($K180="",$L180="",$K180=0),"",($L180-$K180)/$K180)</f>
        <v/>
      </c>
      <c r="R180" s="32"/>
      <c r="S180" s="44" t="str">
        <f aca="false">IF(OR($L180="",$E180=""),"",60.7*$L180+45.3*$E180-2055)</f>
        <v/>
      </c>
      <c r="T180" s="45"/>
      <c r="U180" s="45"/>
      <c r="V180" s="45"/>
      <c r="W180" s="45"/>
      <c r="X180" s="32"/>
      <c r="Y180" s="32"/>
      <c r="Z180" s="39"/>
      <c r="AA180" s="46"/>
      <c r="AB180" s="42" t="str">
        <f aca="false">IF(OR($AA180="",$E180="",$E180=0),"",$AA180/$E180)</f>
        <v/>
      </c>
      <c r="AC180" s="27"/>
    </row>
    <row r="181" customFormat="false" ht="15" hidden="false" customHeight="false" outlineLevel="0" collapsed="false">
      <c r="A181" s="29"/>
      <c r="B181" s="27"/>
      <c r="C181" s="28"/>
      <c r="D181" s="27"/>
      <c r="E181" s="32"/>
      <c r="F181" s="39"/>
      <c r="G181" s="39"/>
      <c r="H181" s="39"/>
      <c r="I181" s="40" t="str">
        <f aca="false">IF(OR($G181="",$F181=""),"",$G181-$F181)</f>
        <v/>
      </c>
      <c r="J181" s="40" t="str">
        <f aca="false">IF(OR($H181="",$F181=""),"",$H181-$F181)</f>
        <v/>
      </c>
      <c r="K181" s="32"/>
      <c r="L181" s="32"/>
      <c r="M181" s="32"/>
      <c r="N181" s="32"/>
      <c r="O181" s="41"/>
      <c r="P181" s="42" t="str">
        <f aca="false">IF(OR($N181="",$O181="",$O181=0),"",($N181/100)/$O181)</f>
        <v/>
      </c>
      <c r="Q181" s="43" t="str">
        <f aca="false">IF(OR($K181="",$L181="",$K181=0),"",($L181-$K181)/$K181)</f>
        <v/>
      </c>
      <c r="R181" s="32"/>
      <c r="S181" s="44" t="str">
        <f aca="false">IF(OR($L181="",$E181=""),"",60.7*$L181+45.3*$E181-2055)</f>
        <v/>
      </c>
      <c r="T181" s="45"/>
      <c r="U181" s="45"/>
      <c r="V181" s="45"/>
      <c r="W181" s="45"/>
      <c r="X181" s="32"/>
      <c r="Y181" s="32"/>
      <c r="Z181" s="39"/>
      <c r="AA181" s="46"/>
      <c r="AB181" s="42" t="str">
        <f aca="false">IF(OR($AA181="",$E181="",$E181=0),"",$AA181/$E181)</f>
        <v/>
      </c>
      <c r="AC181" s="27"/>
    </row>
    <row r="182" customFormat="false" ht="15" hidden="false" customHeight="false" outlineLevel="0" collapsed="false">
      <c r="A182" s="29"/>
      <c r="B182" s="27"/>
      <c r="C182" s="28"/>
      <c r="D182" s="27"/>
      <c r="E182" s="32"/>
      <c r="F182" s="39"/>
      <c r="G182" s="39"/>
      <c r="H182" s="39"/>
      <c r="I182" s="40" t="str">
        <f aca="false">IF(OR($G182="",$F182=""),"",$G182-$F182)</f>
        <v/>
      </c>
      <c r="J182" s="40" t="str">
        <f aca="false">IF(OR($H182="",$F182=""),"",$H182-$F182)</f>
        <v/>
      </c>
      <c r="K182" s="32"/>
      <c r="L182" s="32"/>
      <c r="M182" s="32"/>
      <c r="N182" s="32"/>
      <c r="O182" s="41"/>
      <c r="P182" s="42" t="str">
        <f aca="false">IF(OR($N182="",$O182="",$O182=0),"",($N182/100)/$O182)</f>
        <v/>
      </c>
      <c r="Q182" s="43" t="str">
        <f aca="false">IF(OR($K182="",$L182="",$K182=0),"",($L182-$K182)/$K182)</f>
        <v/>
      </c>
      <c r="R182" s="32"/>
      <c r="S182" s="44" t="str">
        <f aca="false">IF(OR($L182="",$E182=""),"",60.7*$L182+45.3*$E182-2055)</f>
        <v/>
      </c>
      <c r="T182" s="45"/>
      <c r="U182" s="45"/>
      <c r="V182" s="45"/>
      <c r="W182" s="45"/>
      <c r="X182" s="32"/>
      <c r="Y182" s="32"/>
      <c r="Z182" s="39"/>
      <c r="AA182" s="46"/>
      <c r="AB182" s="42" t="str">
        <f aca="false">IF(OR($AA182="",$E182="",$E182=0),"",$AA182/$E182)</f>
        <v/>
      </c>
      <c r="AC182" s="27"/>
    </row>
    <row r="183" customFormat="false" ht="15" hidden="false" customHeight="false" outlineLevel="0" collapsed="false">
      <c r="A183" s="29"/>
      <c r="B183" s="27"/>
      <c r="C183" s="28"/>
      <c r="D183" s="27"/>
      <c r="E183" s="32"/>
      <c r="F183" s="39"/>
      <c r="G183" s="39"/>
      <c r="H183" s="39"/>
      <c r="I183" s="40" t="str">
        <f aca="false">IF(OR($G183="",$F183=""),"",$G183-$F183)</f>
        <v/>
      </c>
      <c r="J183" s="40" t="str">
        <f aca="false">IF(OR($H183="",$F183=""),"",$H183-$F183)</f>
        <v/>
      </c>
      <c r="K183" s="32"/>
      <c r="L183" s="32"/>
      <c r="M183" s="32"/>
      <c r="N183" s="32"/>
      <c r="O183" s="41"/>
      <c r="P183" s="42" t="str">
        <f aca="false">IF(OR($N183="",$O183="",$O183=0),"",($N183/100)/$O183)</f>
        <v/>
      </c>
      <c r="Q183" s="43" t="str">
        <f aca="false">IF(OR($K183="",$L183="",$K183=0),"",($L183-$K183)/$K183)</f>
        <v/>
      </c>
      <c r="R183" s="32"/>
      <c r="S183" s="44" t="str">
        <f aca="false">IF(OR($L183="",$E183=""),"",60.7*$L183+45.3*$E183-2055)</f>
        <v/>
      </c>
      <c r="T183" s="45"/>
      <c r="U183" s="45"/>
      <c r="V183" s="45"/>
      <c r="W183" s="45"/>
      <c r="X183" s="32"/>
      <c r="Y183" s="32"/>
      <c r="Z183" s="39"/>
      <c r="AA183" s="46"/>
      <c r="AB183" s="42" t="str">
        <f aca="false">IF(OR($AA183="",$E183="",$E183=0),"",$AA183/$E183)</f>
        <v/>
      </c>
      <c r="AC183" s="27"/>
    </row>
    <row r="184" customFormat="false" ht="15" hidden="false" customHeight="false" outlineLevel="0" collapsed="false">
      <c r="A184" s="29"/>
      <c r="B184" s="27"/>
      <c r="C184" s="28"/>
      <c r="D184" s="27"/>
      <c r="E184" s="32"/>
      <c r="F184" s="39"/>
      <c r="G184" s="39"/>
      <c r="H184" s="39"/>
      <c r="I184" s="40" t="str">
        <f aca="false">IF(OR($G184="",$F184=""),"",$G184-$F184)</f>
        <v/>
      </c>
      <c r="J184" s="40" t="str">
        <f aca="false">IF(OR($H184="",$F184=""),"",$H184-$F184)</f>
        <v/>
      </c>
      <c r="K184" s="32"/>
      <c r="L184" s="32"/>
      <c r="M184" s="32"/>
      <c r="N184" s="32"/>
      <c r="O184" s="41"/>
      <c r="P184" s="42" t="str">
        <f aca="false">IF(OR($N184="",$O184="",$O184=0),"",($N184/100)/$O184)</f>
        <v/>
      </c>
      <c r="Q184" s="43" t="str">
        <f aca="false">IF(OR($K184="",$L184="",$K184=0),"",($L184-$K184)/$K184)</f>
        <v/>
      </c>
      <c r="R184" s="32"/>
      <c r="S184" s="44" t="str">
        <f aca="false">IF(OR($L184="",$E184=""),"",60.7*$L184+45.3*$E184-2055)</f>
        <v/>
      </c>
      <c r="T184" s="45"/>
      <c r="U184" s="45"/>
      <c r="V184" s="45"/>
      <c r="W184" s="45"/>
      <c r="X184" s="32"/>
      <c r="Y184" s="32"/>
      <c r="Z184" s="39"/>
      <c r="AA184" s="46"/>
      <c r="AB184" s="42" t="str">
        <f aca="false">IF(OR($AA184="",$E184="",$E184=0),"",$AA184/$E184)</f>
        <v/>
      </c>
      <c r="AC184" s="27"/>
    </row>
    <row r="185" customFormat="false" ht="15" hidden="false" customHeight="false" outlineLevel="0" collapsed="false">
      <c r="A185" s="29"/>
      <c r="B185" s="27"/>
      <c r="C185" s="28"/>
      <c r="D185" s="27"/>
      <c r="E185" s="32"/>
      <c r="F185" s="39"/>
      <c r="G185" s="39"/>
      <c r="H185" s="39"/>
      <c r="I185" s="40" t="str">
        <f aca="false">IF(OR($G185="",$F185=""),"",$G185-$F185)</f>
        <v/>
      </c>
      <c r="J185" s="40" t="str">
        <f aca="false">IF(OR($H185="",$F185=""),"",$H185-$F185)</f>
        <v/>
      </c>
      <c r="K185" s="32"/>
      <c r="L185" s="32"/>
      <c r="M185" s="32"/>
      <c r="N185" s="32"/>
      <c r="O185" s="41"/>
      <c r="P185" s="42" t="str">
        <f aca="false">IF(OR($N185="",$O185="",$O185=0),"",($N185/100)/$O185)</f>
        <v/>
      </c>
      <c r="Q185" s="43" t="str">
        <f aca="false">IF(OR($K185="",$L185="",$K185=0),"",($L185-$K185)/$K185)</f>
        <v/>
      </c>
      <c r="R185" s="32"/>
      <c r="S185" s="44" t="str">
        <f aca="false">IF(OR($L185="",$E185=""),"",60.7*$L185+45.3*$E185-2055)</f>
        <v/>
      </c>
      <c r="T185" s="45"/>
      <c r="U185" s="45"/>
      <c r="V185" s="45"/>
      <c r="W185" s="45"/>
      <c r="X185" s="32"/>
      <c r="Y185" s="32"/>
      <c r="Z185" s="39"/>
      <c r="AA185" s="46"/>
      <c r="AB185" s="42" t="str">
        <f aca="false">IF(OR($AA185="",$E185="",$E185=0),"",$AA185/$E185)</f>
        <v/>
      </c>
      <c r="AC185" s="27"/>
    </row>
    <row r="186" customFormat="false" ht="15" hidden="false" customHeight="false" outlineLevel="0" collapsed="false">
      <c r="A186" s="29"/>
      <c r="B186" s="27"/>
      <c r="C186" s="28"/>
      <c r="D186" s="27"/>
      <c r="E186" s="32"/>
      <c r="F186" s="39"/>
      <c r="G186" s="39"/>
      <c r="H186" s="39"/>
      <c r="I186" s="40" t="str">
        <f aca="false">IF(OR($G186="",$F186=""),"",$G186-$F186)</f>
        <v/>
      </c>
      <c r="J186" s="40" t="str">
        <f aca="false">IF(OR($H186="",$F186=""),"",$H186-$F186)</f>
        <v/>
      </c>
      <c r="K186" s="32"/>
      <c r="L186" s="32"/>
      <c r="M186" s="32"/>
      <c r="N186" s="32"/>
      <c r="O186" s="41"/>
      <c r="P186" s="42" t="str">
        <f aca="false">IF(OR($N186="",$O186="",$O186=0),"",($N186/100)/$O186)</f>
        <v/>
      </c>
      <c r="Q186" s="43" t="str">
        <f aca="false">IF(OR($K186="",$L186="",$K186=0),"",($L186-$K186)/$K186)</f>
        <v/>
      </c>
      <c r="R186" s="32"/>
      <c r="S186" s="44" t="str">
        <f aca="false">IF(OR($L186="",$E186=""),"",60.7*$L186+45.3*$E186-2055)</f>
        <v/>
      </c>
      <c r="T186" s="45"/>
      <c r="U186" s="45"/>
      <c r="V186" s="45"/>
      <c r="W186" s="45"/>
      <c r="X186" s="32"/>
      <c r="Y186" s="32"/>
      <c r="Z186" s="39"/>
      <c r="AA186" s="46"/>
      <c r="AB186" s="42" t="str">
        <f aca="false">IF(OR($AA186="",$E186="",$E186=0),"",$AA186/$E186)</f>
        <v/>
      </c>
      <c r="AC186" s="27"/>
    </row>
    <row r="187" customFormat="false" ht="15" hidden="false" customHeight="false" outlineLevel="0" collapsed="false">
      <c r="A187" s="29"/>
      <c r="B187" s="27"/>
      <c r="C187" s="28"/>
      <c r="D187" s="27"/>
      <c r="E187" s="32"/>
      <c r="F187" s="39"/>
      <c r="G187" s="39"/>
      <c r="H187" s="39"/>
      <c r="I187" s="40" t="str">
        <f aca="false">IF(OR($G187="",$F187=""),"",$G187-$F187)</f>
        <v/>
      </c>
      <c r="J187" s="40" t="str">
        <f aca="false">IF(OR($H187="",$F187=""),"",$H187-$F187)</f>
        <v/>
      </c>
      <c r="K187" s="32"/>
      <c r="L187" s="32"/>
      <c r="M187" s="32"/>
      <c r="N187" s="32"/>
      <c r="O187" s="41"/>
      <c r="P187" s="42" t="str">
        <f aca="false">IF(OR($N187="",$O187="",$O187=0),"",($N187/100)/$O187)</f>
        <v/>
      </c>
      <c r="Q187" s="43" t="str">
        <f aca="false">IF(OR($K187="",$L187="",$K187=0),"",($L187-$K187)/$K187)</f>
        <v/>
      </c>
      <c r="R187" s="32"/>
      <c r="S187" s="44" t="str">
        <f aca="false">IF(OR($L187="",$E187=""),"",60.7*$L187+45.3*$E187-2055)</f>
        <v/>
      </c>
      <c r="T187" s="45"/>
      <c r="U187" s="45"/>
      <c r="V187" s="45"/>
      <c r="W187" s="45"/>
      <c r="X187" s="32"/>
      <c r="Y187" s="32"/>
      <c r="Z187" s="39"/>
      <c r="AA187" s="46"/>
      <c r="AB187" s="42" t="str">
        <f aca="false">IF(OR($AA187="",$E187="",$E187=0),"",$AA187/$E187)</f>
        <v/>
      </c>
      <c r="AC187" s="27"/>
    </row>
    <row r="188" customFormat="false" ht="15" hidden="false" customHeight="false" outlineLevel="0" collapsed="false">
      <c r="A188" s="29"/>
      <c r="B188" s="27"/>
      <c r="C188" s="28"/>
      <c r="D188" s="27"/>
      <c r="E188" s="32"/>
      <c r="F188" s="39"/>
      <c r="G188" s="39"/>
      <c r="H188" s="39"/>
      <c r="I188" s="40" t="str">
        <f aca="false">IF(OR($G188="",$F188=""),"",$G188-$F188)</f>
        <v/>
      </c>
      <c r="J188" s="40" t="str">
        <f aca="false">IF(OR($H188="",$F188=""),"",$H188-$F188)</f>
        <v/>
      </c>
      <c r="K188" s="32"/>
      <c r="L188" s="32"/>
      <c r="M188" s="32"/>
      <c r="N188" s="32"/>
      <c r="O188" s="41"/>
      <c r="P188" s="42" t="str">
        <f aca="false">IF(OR($N188="",$O188="",$O188=0),"",($N188/100)/$O188)</f>
        <v/>
      </c>
      <c r="Q188" s="43" t="str">
        <f aca="false">IF(OR($K188="",$L188="",$K188=0),"",($L188-$K188)/$K188)</f>
        <v/>
      </c>
      <c r="R188" s="32"/>
      <c r="S188" s="44" t="str">
        <f aca="false">IF(OR($L188="",$E188=""),"",60.7*$L188+45.3*$E188-2055)</f>
        <v/>
      </c>
      <c r="T188" s="45"/>
      <c r="U188" s="45"/>
      <c r="V188" s="45"/>
      <c r="W188" s="45"/>
      <c r="X188" s="32"/>
      <c r="Y188" s="32"/>
      <c r="Z188" s="39"/>
      <c r="AA188" s="46"/>
      <c r="AB188" s="42" t="str">
        <f aca="false">IF(OR($AA188="",$E188="",$E188=0),"",$AA188/$E188)</f>
        <v/>
      </c>
      <c r="AC188" s="27"/>
    </row>
    <row r="189" customFormat="false" ht="15" hidden="false" customHeight="false" outlineLevel="0" collapsed="false">
      <c r="A189" s="29"/>
      <c r="B189" s="27"/>
      <c r="C189" s="28"/>
      <c r="D189" s="27"/>
      <c r="E189" s="32"/>
      <c r="F189" s="39"/>
      <c r="G189" s="39"/>
      <c r="H189" s="39"/>
      <c r="I189" s="40" t="str">
        <f aca="false">IF(OR($G189="",$F189=""),"",$G189-$F189)</f>
        <v/>
      </c>
      <c r="J189" s="40" t="str">
        <f aca="false">IF(OR($H189="",$F189=""),"",$H189-$F189)</f>
        <v/>
      </c>
      <c r="K189" s="32"/>
      <c r="L189" s="32"/>
      <c r="M189" s="32"/>
      <c r="N189" s="32"/>
      <c r="O189" s="41"/>
      <c r="P189" s="42" t="str">
        <f aca="false">IF(OR($N189="",$O189="",$O189=0),"",($N189/100)/$O189)</f>
        <v/>
      </c>
      <c r="Q189" s="43" t="str">
        <f aca="false">IF(OR($K189="",$L189="",$K189=0),"",($L189-$K189)/$K189)</f>
        <v/>
      </c>
      <c r="R189" s="32"/>
      <c r="S189" s="44" t="str">
        <f aca="false">IF(OR($L189="",$E189=""),"",60.7*$L189+45.3*$E189-2055)</f>
        <v/>
      </c>
      <c r="T189" s="45"/>
      <c r="U189" s="45"/>
      <c r="V189" s="45"/>
      <c r="W189" s="45"/>
      <c r="X189" s="32"/>
      <c r="Y189" s="32"/>
      <c r="Z189" s="39"/>
      <c r="AA189" s="46"/>
      <c r="AB189" s="42" t="str">
        <f aca="false">IF(OR($AA189="",$E189="",$E189=0),"",$AA189/$E189)</f>
        <v/>
      </c>
      <c r="AC189" s="27"/>
    </row>
    <row r="190" customFormat="false" ht="15" hidden="false" customHeight="false" outlineLevel="0" collapsed="false">
      <c r="A190" s="29"/>
      <c r="B190" s="27"/>
      <c r="C190" s="28"/>
      <c r="D190" s="27"/>
      <c r="E190" s="32"/>
      <c r="F190" s="39"/>
      <c r="G190" s="39"/>
      <c r="H190" s="39"/>
      <c r="I190" s="40" t="str">
        <f aca="false">IF(OR($G190="",$F190=""),"",$G190-$F190)</f>
        <v/>
      </c>
      <c r="J190" s="40" t="str">
        <f aca="false">IF(OR($H190="",$F190=""),"",$H190-$F190)</f>
        <v/>
      </c>
      <c r="K190" s="32"/>
      <c r="L190" s="32"/>
      <c r="M190" s="32"/>
      <c r="N190" s="32"/>
      <c r="O190" s="41"/>
      <c r="P190" s="42" t="str">
        <f aca="false">IF(OR($N190="",$O190="",$O190=0),"",($N190/100)/$O190)</f>
        <v/>
      </c>
      <c r="Q190" s="43" t="str">
        <f aca="false">IF(OR($K190="",$L190="",$K190=0),"",($L190-$K190)/$K190)</f>
        <v/>
      </c>
      <c r="R190" s="32"/>
      <c r="S190" s="44" t="str">
        <f aca="false">IF(OR($L190="",$E190=""),"",60.7*$L190+45.3*$E190-2055)</f>
        <v/>
      </c>
      <c r="T190" s="45"/>
      <c r="U190" s="45"/>
      <c r="V190" s="45"/>
      <c r="W190" s="45"/>
      <c r="X190" s="32"/>
      <c r="Y190" s="32"/>
      <c r="Z190" s="39"/>
      <c r="AA190" s="46"/>
      <c r="AB190" s="42" t="str">
        <f aca="false">IF(OR($AA190="",$E190="",$E190=0),"",$AA190/$E190)</f>
        <v/>
      </c>
      <c r="AC190" s="27"/>
    </row>
    <row r="191" customFormat="false" ht="15" hidden="false" customHeight="false" outlineLevel="0" collapsed="false">
      <c r="A191" s="29"/>
      <c r="B191" s="27"/>
      <c r="C191" s="28"/>
      <c r="D191" s="27"/>
      <c r="E191" s="32"/>
      <c r="F191" s="39"/>
      <c r="G191" s="39"/>
      <c r="H191" s="39"/>
      <c r="I191" s="40" t="str">
        <f aca="false">IF(OR($G191="",$F191=""),"",$G191-$F191)</f>
        <v/>
      </c>
      <c r="J191" s="40" t="str">
        <f aca="false">IF(OR($H191="",$F191=""),"",$H191-$F191)</f>
        <v/>
      </c>
      <c r="K191" s="32"/>
      <c r="L191" s="32"/>
      <c r="M191" s="32"/>
      <c r="N191" s="32"/>
      <c r="O191" s="41"/>
      <c r="P191" s="42" t="str">
        <f aca="false">IF(OR($N191="",$O191="",$O191=0),"",($N191/100)/$O191)</f>
        <v/>
      </c>
      <c r="Q191" s="43" t="str">
        <f aca="false">IF(OR($K191="",$L191="",$K191=0),"",($L191-$K191)/$K191)</f>
        <v/>
      </c>
      <c r="R191" s="32"/>
      <c r="S191" s="44" t="str">
        <f aca="false">IF(OR($L191="",$E191=""),"",60.7*$L191+45.3*$E191-2055)</f>
        <v/>
      </c>
      <c r="T191" s="45"/>
      <c r="U191" s="45"/>
      <c r="V191" s="45"/>
      <c r="W191" s="45"/>
      <c r="X191" s="32"/>
      <c r="Y191" s="32"/>
      <c r="Z191" s="39"/>
      <c r="AA191" s="46"/>
      <c r="AB191" s="42" t="str">
        <f aca="false">IF(OR($AA191="",$E191="",$E191=0),"",$AA191/$E191)</f>
        <v/>
      </c>
      <c r="AC191" s="27"/>
    </row>
    <row r="192" customFormat="false" ht="15" hidden="false" customHeight="false" outlineLevel="0" collapsed="false">
      <c r="A192" s="29"/>
      <c r="B192" s="27"/>
      <c r="C192" s="28"/>
      <c r="D192" s="27"/>
      <c r="E192" s="32"/>
      <c r="F192" s="39"/>
      <c r="G192" s="39"/>
      <c r="H192" s="39"/>
      <c r="I192" s="40" t="str">
        <f aca="false">IF(OR($G192="",$F192=""),"",$G192-$F192)</f>
        <v/>
      </c>
      <c r="J192" s="40" t="str">
        <f aca="false">IF(OR($H192="",$F192=""),"",$H192-$F192)</f>
        <v/>
      </c>
      <c r="K192" s="32"/>
      <c r="L192" s="32"/>
      <c r="M192" s="32"/>
      <c r="N192" s="32"/>
      <c r="O192" s="41"/>
      <c r="P192" s="42" t="str">
        <f aca="false">IF(OR($N192="",$O192="",$O192=0),"",($N192/100)/$O192)</f>
        <v/>
      </c>
      <c r="Q192" s="43" t="str">
        <f aca="false">IF(OR($K192="",$L192="",$K192=0),"",($L192-$K192)/$K192)</f>
        <v/>
      </c>
      <c r="R192" s="32"/>
      <c r="S192" s="44" t="str">
        <f aca="false">IF(OR($L192="",$E192=""),"",60.7*$L192+45.3*$E192-2055)</f>
        <v/>
      </c>
      <c r="T192" s="45"/>
      <c r="U192" s="45"/>
      <c r="V192" s="45"/>
      <c r="W192" s="45"/>
      <c r="X192" s="32"/>
      <c r="Y192" s="32"/>
      <c r="Z192" s="39"/>
      <c r="AA192" s="46"/>
      <c r="AB192" s="42" t="str">
        <f aca="false">IF(OR($AA192="",$E192="",$E192=0),"",$AA192/$E192)</f>
        <v/>
      </c>
      <c r="AC192" s="27"/>
    </row>
    <row r="193" customFormat="false" ht="15" hidden="false" customHeight="false" outlineLevel="0" collapsed="false">
      <c r="A193" s="29"/>
      <c r="B193" s="27"/>
      <c r="C193" s="28"/>
      <c r="D193" s="27"/>
      <c r="E193" s="32"/>
      <c r="F193" s="39"/>
      <c r="G193" s="39"/>
      <c r="H193" s="39"/>
      <c r="I193" s="40" t="str">
        <f aca="false">IF(OR($G193="",$F193=""),"",$G193-$F193)</f>
        <v/>
      </c>
      <c r="J193" s="40" t="str">
        <f aca="false">IF(OR($H193="",$F193=""),"",$H193-$F193)</f>
        <v/>
      </c>
      <c r="K193" s="32"/>
      <c r="L193" s="32"/>
      <c r="M193" s="32"/>
      <c r="N193" s="32"/>
      <c r="O193" s="41"/>
      <c r="P193" s="42" t="str">
        <f aca="false">IF(OR($N193="",$O193="",$O193=0),"",($N193/100)/$O193)</f>
        <v/>
      </c>
      <c r="Q193" s="43" t="str">
        <f aca="false">IF(OR($K193="",$L193="",$K193=0),"",($L193-$K193)/$K193)</f>
        <v/>
      </c>
      <c r="R193" s="32"/>
      <c r="S193" s="44" t="str">
        <f aca="false">IF(OR($L193="",$E193=""),"",60.7*$L193+45.3*$E193-2055)</f>
        <v/>
      </c>
      <c r="T193" s="45"/>
      <c r="U193" s="45"/>
      <c r="V193" s="45"/>
      <c r="W193" s="45"/>
      <c r="X193" s="32"/>
      <c r="Y193" s="32"/>
      <c r="Z193" s="39"/>
      <c r="AA193" s="46"/>
      <c r="AB193" s="42" t="str">
        <f aca="false">IF(OR($AA193="",$E193="",$E193=0),"",$AA193/$E193)</f>
        <v/>
      </c>
      <c r="AC193" s="27"/>
    </row>
    <row r="194" customFormat="false" ht="15" hidden="false" customHeight="false" outlineLevel="0" collapsed="false">
      <c r="A194" s="29"/>
      <c r="B194" s="27"/>
      <c r="C194" s="28"/>
      <c r="D194" s="27"/>
      <c r="E194" s="32"/>
      <c r="F194" s="39"/>
      <c r="G194" s="39"/>
      <c r="H194" s="39"/>
      <c r="I194" s="40" t="str">
        <f aca="false">IF(OR($G194="",$F194=""),"",$G194-$F194)</f>
        <v/>
      </c>
      <c r="J194" s="40" t="str">
        <f aca="false">IF(OR($H194="",$F194=""),"",$H194-$F194)</f>
        <v/>
      </c>
      <c r="K194" s="32"/>
      <c r="L194" s="32"/>
      <c r="M194" s="32"/>
      <c r="N194" s="32"/>
      <c r="O194" s="41"/>
      <c r="P194" s="42" t="str">
        <f aca="false">IF(OR($N194="",$O194="",$O194=0),"",($N194/100)/$O194)</f>
        <v/>
      </c>
      <c r="Q194" s="43" t="str">
        <f aca="false">IF(OR($K194="",$L194="",$K194=0),"",($L194-$K194)/$K194)</f>
        <v/>
      </c>
      <c r="R194" s="32"/>
      <c r="S194" s="44" t="str">
        <f aca="false">IF(OR($L194="",$E194=""),"",60.7*$L194+45.3*$E194-2055)</f>
        <v/>
      </c>
      <c r="T194" s="45"/>
      <c r="U194" s="45"/>
      <c r="V194" s="45"/>
      <c r="W194" s="45"/>
      <c r="X194" s="32"/>
      <c r="Y194" s="32"/>
      <c r="Z194" s="39"/>
      <c r="AA194" s="46"/>
      <c r="AB194" s="42" t="str">
        <f aca="false">IF(OR($AA194="",$E194="",$E194=0),"",$AA194/$E194)</f>
        <v/>
      </c>
      <c r="AC194" s="27"/>
    </row>
    <row r="195" customFormat="false" ht="15" hidden="false" customHeight="false" outlineLevel="0" collapsed="false">
      <c r="A195" s="29"/>
      <c r="B195" s="27"/>
      <c r="C195" s="28"/>
      <c r="D195" s="27"/>
      <c r="E195" s="32"/>
      <c r="F195" s="39"/>
      <c r="G195" s="39"/>
      <c r="H195" s="39"/>
      <c r="I195" s="40" t="str">
        <f aca="false">IF(OR($G195="",$F195=""),"",$G195-$F195)</f>
        <v/>
      </c>
      <c r="J195" s="40" t="str">
        <f aca="false">IF(OR($H195="",$F195=""),"",$H195-$F195)</f>
        <v/>
      </c>
      <c r="K195" s="32"/>
      <c r="L195" s="32"/>
      <c r="M195" s="32"/>
      <c r="N195" s="32"/>
      <c r="O195" s="41"/>
      <c r="P195" s="42" t="str">
        <f aca="false">IF(OR($N195="",$O195="",$O195=0),"",($N195/100)/$O195)</f>
        <v/>
      </c>
      <c r="Q195" s="43" t="str">
        <f aca="false">IF(OR($K195="",$L195="",$K195=0),"",($L195-$K195)/$K195)</f>
        <v/>
      </c>
      <c r="R195" s="32"/>
      <c r="S195" s="44" t="str">
        <f aca="false">IF(OR($L195="",$E195=""),"",60.7*$L195+45.3*$E195-2055)</f>
        <v/>
      </c>
      <c r="T195" s="45"/>
      <c r="U195" s="45"/>
      <c r="V195" s="45"/>
      <c r="W195" s="45"/>
      <c r="X195" s="32"/>
      <c r="Y195" s="32"/>
      <c r="Z195" s="39"/>
      <c r="AA195" s="46"/>
      <c r="AB195" s="42" t="str">
        <f aca="false">IF(OR($AA195="",$E195="",$E195=0),"",$AA195/$E195)</f>
        <v/>
      </c>
      <c r="AC195" s="27"/>
    </row>
    <row r="196" customFormat="false" ht="15" hidden="false" customHeight="false" outlineLevel="0" collapsed="false">
      <c r="A196" s="29"/>
      <c r="B196" s="27"/>
      <c r="C196" s="28"/>
      <c r="D196" s="27"/>
      <c r="E196" s="32"/>
      <c r="F196" s="39"/>
      <c r="G196" s="39"/>
      <c r="H196" s="39"/>
      <c r="I196" s="40" t="str">
        <f aca="false">IF(OR($G196="",$F196=""),"",$G196-$F196)</f>
        <v/>
      </c>
      <c r="J196" s="40" t="str">
        <f aca="false">IF(OR($H196="",$F196=""),"",$H196-$F196)</f>
        <v/>
      </c>
      <c r="K196" s="32"/>
      <c r="L196" s="32"/>
      <c r="M196" s="32"/>
      <c r="N196" s="32"/>
      <c r="O196" s="41"/>
      <c r="P196" s="42" t="str">
        <f aca="false">IF(OR($N196="",$O196="",$O196=0),"",($N196/100)/$O196)</f>
        <v/>
      </c>
      <c r="Q196" s="43" t="str">
        <f aca="false">IF(OR($K196="",$L196="",$K196=0),"",($L196-$K196)/$K196)</f>
        <v/>
      </c>
      <c r="R196" s="32"/>
      <c r="S196" s="44" t="str">
        <f aca="false">IF(OR($L196="",$E196=""),"",60.7*$L196+45.3*$E196-2055)</f>
        <v/>
      </c>
      <c r="T196" s="45"/>
      <c r="U196" s="45"/>
      <c r="V196" s="45"/>
      <c r="W196" s="45"/>
      <c r="X196" s="32"/>
      <c r="Y196" s="32"/>
      <c r="Z196" s="39"/>
      <c r="AA196" s="46"/>
      <c r="AB196" s="42" t="str">
        <f aca="false">IF(OR($AA196="",$E196="",$E196=0),"",$AA196/$E196)</f>
        <v/>
      </c>
      <c r="AC196" s="27"/>
    </row>
    <row r="197" customFormat="false" ht="15" hidden="false" customHeight="false" outlineLevel="0" collapsed="false">
      <c r="A197" s="29"/>
      <c r="B197" s="27"/>
      <c r="C197" s="28"/>
      <c r="D197" s="27"/>
      <c r="E197" s="32"/>
      <c r="F197" s="39"/>
      <c r="G197" s="39"/>
      <c r="H197" s="39"/>
      <c r="I197" s="40" t="str">
        <f aca="false">IF(OR($G197="",$F197=""),"",$G197-$F197)</f>
        <v/>
      </c>
      <c r="J197" s="40" t="str">
        <f aca="false">IF(OR($H197="",$F197=""),"",$H197-$F197)</f>
        <v/>
      </c>
      <c r="K197" s="32"/>
      <c r="L197" s="32"/>
      <c r="M197" s="32"/>
      <c r="N197" s="32"/>
      <c r="O197" s="41"/>
      <c r="P197" s="42" t="str">
        <f aca="false">IF(OR($N197="",$O197="",$O197=0),"",($N197/100)/$O197)</f>
        <v/>
      </c>
      <c r="Q197" s="43" t="str">
        <f aca="false">IF(OR($K197="",$L197="",$K197=0),"",($L197-$K197)/$K197)</f>
        <v/>
      </c>
      <c r="R197" s="32"/>
      <c r="S197" s="44" t="str">
        <f aca="false">IF(OR($L197="",$E197=""),"",60.7*$L197+45.3*$E197-2055)</f>
        <v/>
      </c>
      <c r="T197" s="45"/>
      <c r="U197" s="45"/>
      <c r="V197" s="45"/>
      <c r="W197" s="45"/>
      <c r="X197" s="32"/>
      <c r="Y197" s="32"/>
      <c r="Z197" s="39"/>
      <c r="AA197" s="46"/>
      <c r="AB197" s="42" t="str">
        <f aca="false">IF(OR($AA197="",$E197="",$E197=0),"",$AA197/$E197)</f>
        <v/>
      </c>
      <c r="AC197" s="27"/>
    </row>
    <row r="198" customFormat="false" ht="15" hidden="false" customHeight="false" outlineLevel="0" collapsed="false">
      <c r="A198" s="29"/>
      <c r="B198" s="27"/>
      <c r="C198" s="28"/>
      <c r="D198" s="27"/>
      <c r="E198" s="32"/>
      <c r="F198" s="39"/>
      <c r="G198" s="39"/>
      <c r="H198" s="39"/>
      <c r="I198" s="40" t="str">
        <f aca="false">IF(OR($G198="",$F198=""),"",$G198-$F198)</f>
        <v/>
      </c>
      <c r="J198" s="40" t="str">
        <f aca="false">IF(OR($H198="",$F198=""),"",$H198-$F198)</f>
        <v/>
      </c>
      <c r="K198" s="32"/>
      <c r="L198" s="32"/>
      <c r="M198" s="32"/>
      <c r="N198" s="32"/>
      <c r="O198" s="41"/>
      <c r="P198" s="42" t="str">
        <f aca="false">IF(OR($N198="",$O198="",$O198=0),"",($N198/100)/$O198)</f>
        <v/>
      </c>
      <c r="Q198" s="43" t="str">
        <f aca="false">IF(OR($K198="",$L198="",$K198=0),"",($L198-$K198)/$K198)</f>
        <v/>
      </c>
      <c r="R198" s="32"/>
      <c r="S198" s="44" t="str">
        <f aca="false">IF(OR($L198="",$E198=""),"",60.7*$L198+45.3*$E198-2055)</f>
        <v/>
      </c>
      <c r="T198" s="45"/>
      <c r="U198" s="45"/>
      <c r="V198" s="45"/>
      <c r="W198" s="45"/>
      <c r="X198" s="32"/>
      <c r="Y198" s="32"/>
      <c r="Z198" s="39"/>
      <c r="AA198" s="46"/>
      <c r="AB198" s="42" t="str">
        <f aca="false">IF(OR($AA198="",$E198="",$E198=0),"",$AA198/$E198)</f>
        <v/>
      </c>
      <c r="AC198" s="27"/>
    </row>
    <row r="199" customFormat="false" ht="15" hidden="false" customHeight="false" outlineLevel="0" collapsed="false">
      <c r="A199" s="29"/>
      <c r="B199" s="27"/>
      <c r="C199" s="28"/>
      <c r="D199" s="27"/>
      <c r="E199" s="32"/>
      <c r="F199" s="39"/>
      <c r="G199" s="39"/>
      <c r="H199" s="39"/>
      <c r="I199" s="40" t="str">
        <f aca="false">IF(OR($G199="",$F199=""),"",$G199-$F199)</f>
        <v/>
      </c>
      <c r="J199" s="40" t="str">
        <f aca="false">IF(OR($H199="",$F199=""),"",$H199-$F199)</f>
        <v/>
      </c>
      <c r="K199" s="32"/>
      <c r="L199" s="32"/>
      <c r="M199" s="32"/>
      <c r="N199" s="32"/>
      <c r="O199" s="41"/>
      <c r="P199" s="42" t="str">
        <f aca="false">IF(OR($N199="",$O199="",$O199=0),"",($N199/100)/$O199)</f>
        <v/>
      </c>
      <c r="Q199" s="43" t="str">
        <f aca="false">IF(OR($K199="",$L199="",$K199=0),"",($L199-$K199)/$K199)</f>
        <v/>
      </c>
      <c r="R199" s="32"/>
      <c r="S199" s="44" t="str">
        <f aca="false">IF(OR($L199="",$E199=""),"",60.7*$L199+45.3*$E199-2055)</f>
        <v/>
      </c>
      <c r="T199" s="45"/>
      <c r="U199" s="45"/>
      <c r="V199" s="45"/>
      <c r="W199" s="45"/>
      <c r="X199" s="32"/>
      <c r="Y199" s="32"/>
      <c r="Z199" s="39"/>
      <c r="AA199" s="46"/>
      <c r="AB199" s="42" t="str">
        <f aca="false">IF(OR($AA199="",$E199="",$E199=0),"",$AA199/$E199)</f>
        <v/>
      </c>
      <c r="AC199" s="27"/>
    </row>
    <row r="200" customFormat="false" ht="15" hidden="false" customHeight="false" outlineLevel="0" collapsed="false">
      <c r="A200" s="29"/>
      <c r="B200" s="27"/>
      <c r="C200" s="28"/>
      <c r="D200" s="27"/>
      <c r="E200" s="32"/>
      <c r="F200" s="39"/>
      <c r="G200" s="39"/>
      <c r="H200" s="39"/>
      <c r="I200" s="40" t="str">
        <f aca="false">IF(OR($G200="",$F200=""),"",$G200-$F200)</f>
        <v/>
      </c>
      <c r="J200" s="40" t="str">
        <f aca="false">IF(OR($H200="",$F200=""),"",$H200-$F200)</f>
        <v/>
      </c>
      <c r="K200" s="32"/>
      <c r="L200" s="32"/>
      <c r="M200" s="32"/>
      <c r="N200" s="32"/>
      <c r="O200" s="41"/>
      <c r="P200" s="42" t="str">
        <f aca="false">IF(OR($N200="",$O200="",$O200=0),"",($N200/100)/$O200)</f>
        <v/>
      </c>
      <c r="Q200" s="43" t="str">
        <f aca="false">IF(OR($K200="",$L200="",$K200=0),"",($L200-$K200)/$K200)</f>
        <v/>
      </c>
      <c r="R200" s="32"/>
      <c r="S200" s="44" t="str">
        <f aca="false">IF(OR($L200="",$E200=""),"",60.7*$L200+45.3*$E200-2055)</f>
        <v/>
      </c>
      <c r="T200" s="45"/>
      <c r="U200" s="45"/>
      <c r="V200" s="45"/>
      <c r="W200" s="45"/>
      <c r="X200" s="32"/>
      <c r="Y200" s="32"/>
      <c r="Z200" s="39"/>
      <c r="AA200" s="46"/>
      <c r="AB200" s="42" t="str">
        <f aca="false">IF(OR($AA200="",$E200="",$E200=0),"",$AA200/$E200)</f>
        <v/>
      </c>
      <c r="AC200" s="27"/>
    </row>
    <row r="201" customFormat="false" ht="15" hidden="false" customHeight="false" outlineLevel="0" collapsed="false">
      <c r="A201" s="29"/>
      <c r="B201" s="27"/>
      <c r="C201" s="28"/>
      <c r="D201" s="27"/>
      <c r="E201" s="32"/>
      <c r="F201" s="39"/>
      <c r="G201" s="39"/>
      <c r="H201" s="39"/>
      <c r="I201" s="40" t="str">
        <f aca="false">IF(OR($G201="",$F201=""),"",$G201-$F201)</f>
        <v/>
      </c>
      <c r="J201" s="40" t="str">
        <f aca="false">IF(OR($H201="",$F201=""),"",$H201-$F201)</f>
        <v/>
      </c>
      <c r="K201" s="32"/>
      <c r="L201" s="32"/>
      <c r="M201" s="32"/>
      <c r="N201" s="32"/>
      <c r="O201" s="41"/>
      <c r="P201" s="42" t="str">
        <f aca="false">IF(OR($N201="",$O201="",$O201=0),"",($N201/100)/$O201)</f>
        <v/>
      </c>
      <c r="Q201" s="43" t="str">
        <f aca="false">IF(OR($K201="",$L201="",$K201=0),"",($L201-$K201)/$K201)</f>
        <v/>
      </c>
      <c r="R201" s="32"/>
      <c r="S201" s="44" t="str">
        <f aca="false">IF(OR($L201="",$E201=""),"",60.7*$L201+45.3*$E201-2055)</f>
        <v/>
      </c>
      <c r="T201" s="45"/>
      <c r="U201" s="45"/>
      <c r="V201" s="45"/>
      <c r="W201" s="45"/>
      <c r="X201" s="32"/>
      <c r="Y201" s="32"/>
      <c r="Z201" s="39"/>
      <c r="AA201" s="46"/>
      <c r="AB201" s="42" t="str">
        <f aca="false">IF(OR($AA201="",$E201="",$E201=0),"",$AA201/$E201)</f>
        <v/>
      </c>
      <c r="AC201" s="27"/>
    </row>
    <row r="202" customFormat="false" ht="15" hidden="false" customHeight="false" outlineLevel="0" collapsed="false">
      <c r="A202" s="29"/>
      <c r="B202" s="27"/>
      <c r="C202" s="28"/>
      <c r="D202" s="27"/>
      <c r="E202" s="32"/>
      <c r="F202" s="39"/>
      <c r="G202" s="39"/>
      <c r="H202" s="39"/>
      <c r="I202" s="40" t="str">
        <f aca="false">IF(OR($G202="",$F202=""),"",$G202-$F202)</f>
        <v/>
      </c>
      <c r="J202" s="40" t="str">
        <f aca="false">IF(OR($H202="",$F202=""),"",$H202-$F202)</f>
        <v/>
      </c>
      <c r="K202" s="32"/>
      <c r="L202" s="32"/>
      <c r="M202" s="32"/>
      <c r="N202" s="32"/>
      <c r="O202" s="41"/>
      <c r="P202" s="42" t="str">
        <f aca="false">IF(OR($N202="",$O202="",$O202=0),"",($N202/100)/$O202)</f>
        <v/>
      </c>
      <c r="Q202" s="43" t="str">
        <f aca="false">IF(OR($K202="",$L202="",$K202=0),"",($L202-$K202)/$K202)</f>
        <v/>
      </c>
      <c r="R202" s="32"/>
      <c r="S202" s="44" t="str">
        <f aca="false">IF(OR($L202="",$E202=""),"",60.7*$L202+45.3*$E202-2055)</f>
        <v/>
      </c>
      <c r="T202" s="45"/>
      <c r="U202" s="45"/>
      <c r="V202" s="45"/>
      <c r="W202" s="45"/>
      <c r="X202" s="32"/>
      <c r="Y202" s="32"/>
      <c r="Z202" s="39"/>
      <c r="AA202" s="46"/>
      <c r="AB202" s="42" t="str">
        <f aca="false">IF(OR($AA202="",$E202="",$E202=0),"",$AA202/$E202)</f>
        <v/>
      </c>
      <c r="AC202" s="27"/>
    </row>
    <row r="203" customFormat="false" ht="15" hidden="false" customHeight="false" outlineLevel="0" collapsed="false">
      <c r="A203" s="29"/>
      <c r="B203" s="27"/>
      <c r="C203" s="28"/>
      <c r="D203" s="27"/>
      <c r="E203" s="32"/>
      <c r="F203" s="39"/>
      <c r="G203" s="39"/>
      <c r="H203" s="39"/>
      <c r="I203" s="40" t="str">
        <f aca="false">IF(OR($G203="",$F203=""),"",$G203-$F203)</f>
        <v/>
      </c>
      <c r="J203" s="40" t="str">
        <f aca="false">IF(OR($H203="",$F203=""),"",$H203-$F203)</f>
        <v/>
      </c>
      <c r="K203" s="32"/>
      <c r="L203" s="32"/>
      <c r="M203" s="32"/>
      <c r="N203" s="32"/>
      <c r="O203" s="41"/>
      <c r="P203" s="42" t="str">
        <f aca="false">IF(OR($N203="",$O203="",$O203=0),"",($N203/100)/$O203)</f>
        <v/>
      </c>
      <c r="Q203" s="43" t="str">
        <f aca="false">IF(OR($K203="",$L203="",$K203=0),"",($L203-$K203)/$K203)</f>
        <v/>
      </c>
      <c r="R203" s="32"/>
      <c r="S203" s="44" t="str">
        <f aca="false">IF(OR($L203="",$E203=""),"",60.7*$L203+45.3*$E203-2055)</f>
        <v/>
      </c>
      <c r="T203" s="45"/>
      <c r="U203" s="45"/>
      <c r="V203" s="45"/>
      <c r="W203" s="45"/>
      <c r="X203" s="32"/>
      <c r="Y203" s="32"/>
      <c r="Z203" s="39"/>
      <c r="AA203" s="46"/>
      <c r="AB203" s="42" t="str">
        <f aca="false">IF(OR($AA203="",$E203="",$E203=0),"",$AA203/$E203)</f>
        <v/>
      </c>
      <c r="AC203" s="27"/>
    </row>
    <row r="204" customFormat="false" ht="15" hidden="false" customHeight="false" outlineLevel="0" collapsed="false">
      <c r="A204" s="29"/>
      <c r="B204" s="27"/>
      <c r="C204" s="28"/>
      <c r="D204" s="27"/>
      <c r="E204" s="32"/>
      <c r="F204" s="39"/>
      <c r="G204" s="39"/>
      <c r="H204" s="39"/>
      <c r="I204" s="40" t="str">
        <f aca="false">IF(OR($G204="",$F204=""),"",$G204-$F204)</f>
        <v/>
      </c>
      <c r="J204" s="40" t="str">
        <f aca="false">IF(OR($H204="",$F204=""),"",$H204-$F204)</f>
        <v/>
      </c>
      <c r="K204" s="32"/>
      <c r="L204" s="32"/>
      <c r="M204" s="32"/>
      <c r="N204" s="32"/>
      <c r="O204" s="41"/>
      <c r="P204" s="42" t="str">
        <f aca="false">IF(OR($N204="",$O204="",$O204=0),"",($N204/100)/$O204)</f>
        <v/>
      </c>
      <c r="Q204" s="43" t="str">
        <f aca="false">IF(OR($K204="",$L204="",$K204=0),"",($L204-$K204)/$K204)</f>
        <v/>
      </c>
      <c r="R204" s="32"/>
      <c r="S204" s="44" t="str">
        <f aca="false">IF(OR($L204="",$E204=""),"",60.7*$L204+45.3*$E204-2055)</f>
        <v/>
      </c>
      <c r="T204" s="45"/>
      <c r="U204" s="45"/>
      <c r="V204" s="45"/>
      <c r="W204" s="45"/>
      <c r="X204" s="32"/>
      <c r="Y204" s="32"/>
      <c r="Z204" s="39"/>
      <c r="AA204" s="46"/>
      <c r="AB204" s="42" t="str">
        <f aca="false">IF(OR($AA204="",$E204="",$E204=0),"",$AA204/$E204)</f>
        <v/>
      </c>
      <c r="AC204" s="27"/>
    </row>
    <row r="205" customFormat="false" ht="15" hidden="false" customHeight="false" outlineLevel="0" collapsed="false">
      <c r="A205" s="29"/>
      <c r="B205" s="27"/>
      <c r="C205" s="28"/>
      <c r="D205" s="27"/>
      <c r="E205" s="32"/>
      <c r="F205" s="39"/>
      <c r="G205" s="39"/>
      <c r="H205" s="39"/>
      <c r="I205" s="40" t="str">
        <f aca="false">IF(OR($G205="",$F205=""),"",$G205-$F205)</f>
        <v/>
      </c>
      <c r="J205" s="40" t="str">
        <f aca="false">IF(OR($H205="",$F205=""),"",$H205-$F205)</f>
        <v/>
      </c>
      <c r="K205" s="32"/>
      <c r="L205" s="32"/>
      <c r="M205" s="32"/>
      <c r="N205" s="32"/>
      <c r="O205" s="41"/>
      <c r="P205" s="42" t="str">
        <f aca="false">IF(OR($N205="",$O205="",$O205=0),"",($N205/100)/$O205)</f>
        <v/>
      </c>
      <c r="Q205" s="43" t="str">
        <f aca="false">IF(OR($K205="",$L205="",$K205=0),"",($L205-$K205)/$K205)</f>
        <v/>
      </c>
      <c r="R205" s="32"/>
      <c r="S205" s="44" t="str">
        <f aca="false">IF(OR($L205="",$E205=""),"",60.7*$L205+45.3*$E205-2055)</f>
        <v/>
      </c>
      <c r="T205" s="45"/>
      <c r="U205" s="45"/>
      <c r="V205" s="45"/>
      <c r="W205" s="45"/>
      <c r="X205" s="32"/>
      <c r="Y205" s="32"/>
      <c r="Z205" s="39"/>
      <c r="AA205" s="46"/>
      <c r="AB205" s="42" t="str">
        <f aca="false">IF(OR($AA205="",$E205="",$E205=0),"",$AA205/$E205)</f>
        <v/>
      </c>
      <c r="AC205" s="27"/>
    </row>
    <row r="206" customFormat="false" ht="15" hidden="false" customHeight="false" outlineLevel="0" collapsed="false">
      <c r="A206" s="29"/>
      <c r="B206" s="27"/>
      <c r="C206" s="28"/>
      <c r="D206" s="27"/>
      <c r="E206" s="32"/>
      <c r="F206" s="39"/>
      <c r="G206" s="39"/>
      <c r="H206" s="39"/>
      <c r="I206" s="40" t="str">
        <f aca="false">IF(OR($G206="",$F206=""),"",$G206-$F206)</f>
        <v/>
      </c>
      <c r="J206" s="40" t="str">
        <f aca="false">IF(OR($H206="",$F206=""),"",$H206-$F206)</f>
        <v/>
      </c>
      <c r="K206" s="32"/>
      <c r="L206" s="32"/>
      <c r="M206" s="32"/>
      <c r="N206" s="32"/>
      <c r="O206" s="41"/>
      <c r="P206" s="42" t="str">
        <f aca="false">IF(OR($N206="",$O206="",$O206=0),"",($N206/100)/$O206)</f>
        <v/>
      </c>
      <c r="Q206" s="43" t="str">
        <f aca="false">IF(OR($K206="",$L206="",$K206=0),"",($L206-$K206)/$K206)</f>
        <v/>
      </c>
      <c r="R206" s="32"/>
      <c r="S206" s="44" t="str">
        <f aca="false">IF(OR($L206="",$E206=""),"",60.7*$L206+45.3*$E206-2055)</f>
        <v/>
      </c>
      <c r="T206" s="45"/>
      <c r="U206" s="45"/>
      <c r="V206" s="45"/>
      <c r="W206" s="45"/>
      <c r="X206" s="32"/>
      <c r="Y206" s="32"/>
      <c r="Z206" s="39"/>
      <c r="AA206" s="46"/>
      <c r="AB206" s="42" t="str">
        <f aca="false">IF(OR($AA206="",$E206="",$E206=0),"",$AA206/$E206)</f>
        <v/>
      </c>
      <c r="AC206" s="27"/>
    </row>
    <row r="207" customFormat="false" ht="15" hidden="false" customHeight="false" outlineLevel="0" collapsed="false">
      <c r="A207" s="29"/>
      <c r="B207" s="27"/>
      <c r="C207" s="28"/>
      <c r="D207" s="27"/>
      <c r="E207" s="32"/>
      <c r="F207" s="39"/>
      <c r="G207" s="39"/>
      <c r="H207" s="39"/>
      <c r="I207" s="40" t="str">
        <f aca="false">IF(OR($G207="",$F207=""),"",$G207-$F207)</f>
        <v/>
      </c>
      <c r="J207" s="40" t="str">
        <f aca="false">IF(OR($H207="",$F207=""),"",$H207-$F207)</f>
        <v/>
      </c>
      <c r="K207" s="32"/>
      <c r="L207" s="32"/>
      <c r="M207" s="32"/>
      <c r="N207" s="32"/>
      <c r="O207" s="41"/>
      <c r="P207" s="42" t="str">
        <f aca="false">IF(OR($N207="",$O207="",$O207=0),"",($N207/100)/$O207)</f>
        <v/>
      </c>
      <c r="Q207" s="43" t="str">
        <f aca="false">IF(OR($K207="",$L207="",$K207=0),"",($L207-$K207)/$K207)</f>
        <v/>
      </c>
      <c r="R207" s="32"/>
      <c r="S207" s="44" t="str">
        <f aca="false">IF(OR($L207="",$E207=""),"",60.7*$L207+45.3*$E207-2055)</f>
        <v/>
      </c>
      <c r="T207" s="45"/>
      <c r="U207" s="45"/>
      <c r="V207" s="45"/>
      <c r="W207" s="45"/>
      <c r="X207" s="32"/>
      <c r="Y207" s="32"/>
      <c r="Z207" s="39"/>
      <c r="AA207" s="46"/>
      <c r="AB207" s="42" t="str">
        <f aca="false">IF(OR($AA207="",$E207="",$E207=0),"",$AA207/$E207)</f>
        <v/>
      </c>
      <c r="AC207" s="27"/>
    </row>
    <row r="208" customFormat="false" ht="15" hidden="false" customHeight="false" outlineLevel="0" collapsed="false">
      <c r="A208" s="29"/>
      <c r="B208" s="27"/>
      <c r="C208" s="28"/>
      <c r="D208" s="27"/>
      <c r="E208" s="32"/>
      <c r="F208" s="39"/>
      <c r="G208" s="39"/>
      <c r="H208" s="39"/>
      <c r="I208" s="40" t="str">
        <f aca="false">IF(OR($G208="",$F208=""),"",$G208-$F208)</f>
        <v/>
      </c>
      <c r="J208" s="40" t="str">
        <f aca="false">IF(OR($H208="",$F208=""),"",$H208-$F208)</f>
        <v/>
      </c>
      <c r="K208" s="32"/>
      <c r="L208" s="32"/>
      <c r="M208" s="32"/>
      <c r="N208" s="32"/>
      <c r="O208" s="41"/>
      <c r="P208" s="42" t="str">
        <f aca="false">IF(OR($N208="",$O208="",$O208=0),"",($N208/100)/$O208)</f>
        <v/>
      </c>
      <c r="Q208" s="43" t="str">
        <f aca="false">IF(OR($K208="",$L208="",$K208=0),"",($L208-$K208)/$K208)</f>
        <v/>
      </c>
      <c r="R208" s="32"/>
      <c r="S208" s="44" t="str">
        <f aca="false">IF(OR($L208="",$E208=""),"",60.7*$L208+45.3*$E208-2055)</f>
        <v/>
      </c>
      <c r="T208" s="45"/>
      <c r="U208" s="45"/>
      <c r="V208" s="45"/>
      <c r="W208" s="45"/>
      <c r="X208" s="32"/>
      <c r="Y208" s="32"/>
      <c r="Z208" s="39"/>
      <c r="AA208" s="46"/>
      <c r="AB208" s="42" t="str">
        <f aca="false">IF(OR($AA208="",$E208="",$E208=0),"",$AA208/$E208)</f>
        <v/>
      </c>
      <c r="AC208" s="27"/>
    </row>
    <row r="209" customFormat="false" ht="15" hidden="false" customHeight="false" outlineLevel="0" collapsed="false">
      <c r="A209" s="29"/>
      <c r="B209" s="27"/>
      <c r="C209" s="28"/>
      <c r="D209" s="27"/>
      <c r="E209" s="32"/>
      <c r="F209" s="39"/>
      <c r="G209" s="39"/>
      <c r="H209" s="39"/>
      <c r="I209" s="40" t="str">
        <f aca="false">IF(OR($G209="",$F209=""),"",$G209-$F209)</f>
        <v/>
      </c>
      <c r="J209" s="40" t="str">
        <f aca="false">IF(OR($H209="",$F209=""),"",$H209-$F209)</f>
        <v/>
      </c>
      <c r="K209" s="32"/>
      <c r="L209" s="32"/>
      <c r="M209" s="32"/>
      <c r="N209" s="32"/>
      <c r="O209" s="41"/>
      <c r="P209" s="42" t="str">
        <f aca="false">IF(OR($N209="",$O209="",$O209=0),"",($N209/100)/$O209)</f>
        <v/>
      </c>
      <c r="Q209" s="43" t="str">
        <f aca="false">IF(OR($K209="",$L209="",$K209=0),"",($L209-$K209)/$K209)</f>
        <v/>
      </c>
      <c r="R209" s="32"/>
      <c r="S209" s="44" t="str">
        <f aca="false">IF(OR($L209="",$E209=""),"",60.7*$L209+45.3*$E209-2055)</f>
        <v/>
      </c>
      <c r="T209" s="45"/>
      <c r="U209" s="45"/>
      <c r="V209" s="45"/>
      <c r="W209" s="45"/>
      <c r="X209" s="32"/>
      <c r="Y209" s="32"/>
      <c r="Z209" s="39"/>
      <c r="AA209" s="46"/>
      <c r="AB209" s="42" t="str">
        <f aca="false">IF(OR($AA209="",$E209="",$E209=0),"",$AA209/$E209)</f>
        <v/>
      </c>
      <c r="AC209" s="27"/>
    </row>
    <row r="210" customFormat="false" ht="15" hidden="false" customHeight="false" outlineLevel="0" collapsed="false">
      <c r="A210" s="29"/>
      <c r="B210" s="27"/>
      <c r="C210" s="28"/>
      <c r="D210" s="27"/>
      <c r="E210" s="32"/>
      <c r="F210" s="39"/>
      <c r="G210" s="39"/>
      <c r="H210" s="39"/>
      <c r="I210" s="40" t="str">
        <f aca="false">IF(OR($G210="",$F210=""),"",$G210-$F210)</f>
        <v/>
      </c>
      <c r="J210" s="40" t="str">
        <f aca="false">IF(OR($H210="",$F210=""),"",$H210-$F210)</f>
        <v/>
      </c>
      <c r="K210" s="32"/>
      <c r="L210" s="32"/>
      <c r="M210" s="32"/>
      <c r="N210" s="32"/>
      <c r="O210" s="41"/>
      <c r="P210" s="42" t="str">
        <f aca="false">IF(OR($N210="",$O210="",$O210=0),"",($N210/100)/$O210)</f>
        <v/>
      </c>
      <c r="Q210" s="43" t="str">
        <f aca="false">IF(OR($K210="",$L210="",$K210=0),"",($L210-$K210)/$K210)</f>
        <v/>
      </c>
      <c r="R210" s="32"/>
      <c r="S210" s="44" t="str">
        <f aca="false">IF(OR($L210="",$E210=""),"",60.7*$L210+45.3*$E210-2055)</f>
        <v/>
      </c>
      <c r="T210" s="45"/>
      <c r="U210" s="45"/>
      <c r="V210" s="45"/>
      <c r="W210" s="45"/>
      <c r="X210" s="32"/>
      <c r="Y210" s="32"/>
      <c r="Z210" s="39"/>
      <c r="AA210" s="46"/>
      <c r="AB210" s="42" t="str">
        <f aca="false">IF(OR($AA210="",$E210="",$E210=0),"",$AA210/$E210)</f>
        <v/>
      </c>
      <c r="AC210" s="27"/>
    </row>
    <row r="211" customFormat="false" ht="15" hidden="false" customHeight="false" outlineLevel="0" collapsed="false">
      <c r="A211" s="29"/>
      <c r="B211" s="27"/>
      <c r="C211" s="28"/>
      <c r="D211" s="27"/>
      <c r="E211" s="32"/>
      <c r="F211" s="39"/>
      <c r="G211" s="39"/>
      <c r="H211" s="39"/>
      <c r="I211" s="40" t="str">
        <f aca="false">IF(OR($G211="",$F211=""),"",$G211-$F211)</f>
        <v/>
      </c>
      <c r="J211" s="40" t="str">
        <f aca="false">IF(OR($H211="",$F211=""),"",$H211-$F211)</f>
        <v/>
      </c>
      <c r="K211" s="32"/>
      <c r="L211" s="32"/>
      <c r="M211" s="32"/>
      <c r="N211" s="32"/>
      <c r="O211" s="41"/>
      <c r="P211" s="42" t="str">
        <f aca="false">IF(OR($N211="",$O211="",$O211=0),"",($N211/100)/$O211)</f>
        <v/>
      </c>
      <c r="Q211" s="43" t="str">
        <f aca="false">IF(OR($K211="",$L211="",$K211=0),"",($L211-$K211)/$K211)</f>
        <v/>
      </c>
      <c r="R211" s="32"/>
      <c r="S211" s="44" t="str">
        <f aca="false">IF(OR($L211="",$E211=""),"",60.7*$L211+45.3*$E211-2055)</f>
        <v/>
      </c>
      <c r="T211" s="45"/>
      <c r="U211" s="45"/>
      <c r="V211" s="45"/>
      <c r="W211" s="45"/>
      <c r="X211" s="32"/>
      <c r="Y211" s="32"/>
      <c r="Z211" s="39"/>
      <c r="AA211" s="46"/>
      <c r="AB211" s="42" t="str">
        <f aca="false">IF(OR($AA211="",$E211="",$E211=0),"",$AA211/$E211)</f>
        <v/>
      </c>
      <c r="AC211" s="27"/>
    </row>
    <row r="212" customFormat="false" ht="15" hidden="false" customHeight="false" outlineLevel="0" collapsed="false">
      <c r="A212" s="29"/>
      <c r="B212" s="27"/>
      <c r="C212" s="28"/>
      <c r="D212" s="27"/>
      <c r="E212" s="32"/>
      <c r="F212" s="39"/>
      <c r="G212" s="39"/>
      <c r="H212" s="39"/>
      <c r="I212" s="40" t="str">
        <f aca="false">IF(OR($G212="",$F212=""),"",$G212-$F212)</f>
        <v/>
      </c>
      <c r="J212" s="40" t="str">
        <f aca="false">IF(OR($H212="",$F212=""),"",$H212-$F212)</f>
        <v/>
      </c>
      <c r="K212" s="32"/>
      <c r="L212" s="32"/>
      <c r="M212" s="32"/>
      <c r="N212" s="32"/>
      <c r="O212" s="41"/>
      <c r="P212" s="42" t="str">
        <f aca="false">IF(OR($N212="",$O212="",$O212=0),"",($N212/100)/$O212)</f>
        <v/>
      </c>
      <c r="Q212" s="43" t="str">
        <f aca="false">IF(OR($K212="",$L212="",$K212=0),"",($L212-$K212)/$K212)</f>
        <v/>
      </c>
      <c r="R212" s="32"/>
      <c r="S212" s="44" t="str">
        <f aca="false">IF(OR($L212="",$E212=""),"",60.7*$L212+45.3*$E212-2055)</f>
        <v/>
      </c>
      <c r="T212" s="45"/>
      <c r="U212" s="45"/>
      <c r="V212" s="45"/>
      <c r="W212" s="45"/>
      <c r="X212" s="32"/>
      <c r="Y212" s="32"/>
      <c r="Z212" s="39"/>
      <c r="AA212" s="46"/>
      <c r="AB212" s="42" t="str">
        <f aca="false">IF(OR($AA212="",$E212="",$E212=0),"",$AA212/$E212)</f>
        <v/>
      </c>
      <c r="AC212" s="27"/>
    </row>
    <row r="213" customFormat="false" ht="15" hidden="false" customHeight="false" outlineLevel="0" collapsed="false">
      <c r="A213" s="29"/>
      <c r="B213" s="27"/>
      <c r="C213" s="28"/>
      <c r="D213" s="27"/>
      <c r="E213" s="32"/>
      <c r="F213" s="39"/>
      <c r="G213" s="39"/>
      <c r="H213" s="39"/>
      <c r="I213" s="40" t="str">
        <f aca="false">IF(OR($G213="",$F213=""),"",$G213-$F213)</f>
        <v/>
      </c>
      <c r="J213" s="40" t="str">
        <f aca="false">IF(OR($H213="",$F213=""),"",$H213-$F213)</f>
        <v/>
      </c>
      <c r="K213" s="32"/>
      <c r="L213" s="32"/>
      <c r="M213" s="32"/>
      <c r="N213" s="32"/>
      <c r="O213" s="41"/>
      <c r="P213" s="42" t="str">
        <f aca="false">IF(OR($N213="",$O213="",$O213=0),"",($N213/100)/$O213)</f>
        <v/>
      </c>
      <c r="Q213" s="43" t="str">
        <f aca="false">IF(OR($K213="",$L213="",$K213=0),"",($L213-$K213)/$K213)</f>
        <v/>
      </c>
      <c r="R213" s="32"/>
      <c r="S213" s="44" t="str">
        <f aca="false">IF(OR($L213="",$E213=""),"",60.7*$L213+45.3*$E213-2055)</f>
        <v/>
      </c>
      <c r="T213" s="45"/>
      <c r="U213" s="45"/>
      <c r="V213" s="45"/>
      <c r="W213" s="45"/>
      <c r="X213" s="32"/>
      <c r="Y213" s="32"/>
      <c r="Z213" s="39"/>
      <c r="AA213" s="46"/>
      <c r="AB213" s="42" t="str">
        <f aca="false">IF(OR($AA213="",$E213="",$E213=0),"",$AA213/$E213)</f>
        <v/>
      </c>
      <c r="AC213" s="27"/>
    </row>
    <row r="214" customFormat="false" ht="15" hidden="false" customHeight="false" outlineLevel="0" collapsed="false">
      <c r="A214" s="29"/>
      <c r="B214" s="27"/>
      <c r="C214" s="28"/>
      <c r="D214" s="27"/>
      <c r="E214" s="32"/>
      <c r="F214" s="39"/>
      <c r="G214" s="39"/>
      <c r="H214" s="39"/>
      <c r="I214" s="40" t="str">
        <f aca="false">IF(OR($G214="",$F214=""),"",$G214-$F214)</f>
        <v/>
      </c>
      <c r="J214" s="40" t="str">
        <f aca="false">IF(OR($H214="",$F214=""),"",$H214-$F214)</f>
        <v/>
      </c>
      <c r="K214" s="32"/>
      <c r="L214" s="32"/>
      <c r="M214" s="32"/>
      <c r="N214" s="32"/>
      <c r="O214" s="41"/>
      <c r="P214" s="42" t="str">
        <f aca="false">IF(OR($N214="",$O214="",$O214=0),"",($N214/100)/$O214)</f>
        <v/>
      </c>
      <c r="Q214" s="43" t="str">
        <f aca="false">IF(OR($K214="",$L214="",$K214=0),"",($L214-$K214)/$K214)</f>
        <v/>
      </c>
      <c r="R214" s="32"/>
      <c r="S214" s="44" t="str">
        <f aca="false">IF(OR($L214="",$E214=""),"",60.7*$L214+45.3*$E214-2055)</f>
        <v/>
      </c>
      <c r="T214" s="45"/>
      <c r="U214" s="45"/>
      <c r="V214" s="45"/>
      <c r="W214" s="45"/>
      <c r="X214" s="32"/>
      <c r="Y214" s="32"/>
      <c r="Z214" s="39"/>
      <c r="AA214" s="46"/>
      <c r="AB214" s="42" t="str">
        <f aca="false">IF(OR($AA214="",$E214="",$E214=0),"",$AA214/$E214)</f>
        <v/>
      </c>
      <c r="AC214" s="27"/>
    </row>
    <row r="215" customFormat="false" ht="15" hidden="false" customHeight="false" outlineLevel="0" collapsed="false">
      <c r="A215" s="29"/>
      <c r="B215" s="27"/>
      <c r="C215" s="28"/>
      <c r="D215" s="27"/>
      <c r="E215" s="32"/>
      <c r="F215" s="39"/>
      <c r="G215" s="39"/>
      <c r="H215" s="39"/>
      <c r="I215" s="40" t="str">
        <f aca="false">IF(OR($G215="",$F215=""),"",$G215-$F215)</f>
        <v/>
      </c>
      <c r="J215" s="40" t="str">
        <f aca="false">IF(OR($H215="",$F215=""),"",$H215-$F215)</f>
        <v/>
      </c>
      <c r="K215" s="32"/>
      <c r="L215" s="32"/>
      <c r="M215" s="32"/>
      <c r="N215" s="32"/>
      <c r="O215" s="41"/>
      <c r="P215" s="42" t="str">
        <f aca="false">IF(OR($N215="",$O215="",$O215=0),"",($N215/100)/$O215)</f>
        <v/>
      </c>
      <c r="Q215" s="43" t="str">
        <f aca="false">IF(OR($K215="",$L215="",$K215=0),"",($L215-$K215)/$K215)</f>
        <v/>
      </c>
      <c r="R215" s="32"/>
      <c r="S215" s="44" t="str">
        <f aca="false">IF(OR($L215="",$E215=""),"",60.7*$L215+45.3*$E215-2055)</f>
        <v/>
      </c>
      <c r="T215" s="45"/>
      <c r="U215" s="45"/>
      <c r="V215" s="45"/>
      <c r="W215" s="45"/>
      <c r="X215" s="32"/>
      <c r="Y215" s="32"/>
      <c r="Z215" s="39"/>
      <c r="AA215" s="46"/>
      <c r="AB215" s="42" t="str">
        <f aca="false">IF(OR($AA215="",$E215="",$E215=0),"",$AA215/$E215)</f>
        <v/>
      </c>
      <c r="AC215" s="27"/>
    </row>
    <row r="216" customFormat="false" ht="15" hidden="false" customHeight="false" outlineLevel="0" collapsed="false">
      <c r="A216" s="29"/>
      <c r="B216" s="27"/>
      <c r="C216" s="28"/>
      <c r="D216" s="27"/>
      <c r="E216" s="32"/>
      <c r="F216" s="39"/>
      <c r="G216" s="39"/>
      <c r="H216" s="39"/>
      <c r="I216" s="40" t="str">
        <f aca="false">IF(OR($G216="",$F216=""),"",$G216-$F216)</f>
        <v/>
      </c>
      <c r="J216" s="40" t="str">
        <f aca="false">IF(OR($H216="",$F216=""),"",$H216-$F216)</f>
        <v/>
      </c>
      <c r="K216" s="32"/>
      <c r="L216" s="32"/>
      <c r="M216" s="32"/>
      <c r="N216" s="32"/>
      <c r="O216" s="41"/>
      <c r="P216" s="42" t="str">
        <f aca="false">IF(OR($N216="",$O216="",$O216=0),"",($N216/100)/$O216)</f>
        <v/>
      </c>
      <c r="Q216" s="43" t="str">
        <f aca="false">IF(OR($K216="",$L216="",$K216=0),"",($L216-$K216)/$K216)</f>
        <v/>
      </c>
      <c r="R216" s="32"/>
      <c r="S216" s="44" t="str">
        <f aca="false">IF(OR($L216="",$E216=""),"",60.7*$L216+45.3*$E216-2055)</f>
        <v/>
      </c>
      <c r="T216" s="45"/>
      <c r="U216" s="45"/>
      <c r="V216" s="45"/>
      <c r="W216" s="45"/>
      <c r="X216" s="32"/>
      <c r="Y216" s="32"/>
      <c r="Z216" s="39"/>
      <c r="AA216" s="46"/>
      <c r="AB216" s="42" t="str">
        <f aca="false">IF(OR($AA216="",$E216="",$E216=0),"",$AA216/$E216)</f>
        <v/>
      </c>
      <c r="AC216" s="27"/>
    </row>
    <row r="217" customFormat="false" ht="15" hidden="false" customHeight="false" outlineLevel="0" collapsed="false">
      <c r="A217" s="29"/>
      <c r="B217" s="27"/>
      <c r="C217" s="28"/>
      <c r="D217" s="27"/>
      <c r="E217" s="32"/>
      <c r="F217" s="39"/>
      <c r="G217" s="39"/>
      <c r="H217" s="39"/>
      <c r="I217" s="40" t="str">
        <f aca="false">IF(OR($G217="",$F217=""),"",$G217-$F217)</f>
        <v/>
      </c>
      <c r="J217" s="40" t="str">
        <f aca="false">IF(OR($H217="",$F217=""),"",$H217-$F217)</f>
        <v/>
      </c>
      <c r="K217" s="32"/>
      <c r="L217" s="32"/>
      <c r="M217" s="32"/>
      <c r="N217" s="32"/>
      <c r="O217" s="41"/>
      <c r="P217" s="42" t="str">
        <f aca="false">IF(OR($N217="",$O217="",$O217=0),"",($N217/100)/$O217)</f>
        <v/>
      </c>
      <c r="Q217" s="43" t="str">
        <f aca="false">IF(OR($K217="",$L217="",$K217=0),"",($L217-$K217)/$K217)</f>
        <v/>
      </c>
      <c r="R217" s="32"/>
      <c r="S217" s="44" t="str">
        <f aca="false">IF(OR($L217="",$E217=""),"",60.7*$L217+45.3*$E217-2055)</f>
        <v/>
      </c>
      <c r="T217" s="45"/>
      <c r="U217" s="45"/>
      <c r="V217" s="45"/>
      <c r="W217" s="45"/>
      <c r="X217" s="32"/>
      <c r="Y217" s="32"/>
      <c r="Z217" s="39"/>
      <c r="AA217" s="46"/>
      <c r="AB217" s="42" t="str">
        <f aca="false">IF(OR($AA217="",$E217="",$E217=0),"",$AA217/$E217)</f>
        <v/>
      </c>
      <c r="AC217" s="27"/>
    </row>
    <row r="218" customFormat="false" ht="15" hidden="false" customHeight="false" outlineLevel="0" collapsed="false">
      <c r="A218" s="29"/>
      <c r="B218" s="27"/>
      <c r="C218" s="28"/>
      <c r="D218" s="27"/>
      <c r="E218" s="32"/>
      <c r="F218" s="39"/>
      <c r="G218" s="39"/>
      <c r="H218" s="39"/>
      <c r="I218" s="40" t="str">
        <f aca="false">IF(OR($G218="",$F218=""),"",$G218-$F218)</f>
        <v/>
      </c>
      <c r="J218" s="40" t="str">
        <f aca="false">IF(OR($H218="",$F218=""),"",$H218-$F218)</f>
        <v/>
      </c>
      <c r="K218" s="32"/>
      <c r="L218" s="32"/>
      <c r="M218" s="32"/>
      <c r="N218" s="32"/>
      <c r="O218" s="41"/>
      <c r="P218" s="42" t="str">
        <f aca="false">IF(OR($N218="",$O218="",$O218=0),"",($N218/100)/$O218)</f>
        <v/>
      </c>
      <c r="Q218" s="43" t="str">
        <f aca="false">IF(OR($K218="",$L218="",$K218=0),"",($L218-$K218)/$K218)</f>
        <v/>
      </c>
      <c r="R218" s="32"/>
      <c r="S218" s="44" t="str">
        <f aca="false">IF(OR($L218="",$E218=""),"",60.7*$L218+45.3*$E218-2055)</f>
        <v/>
      </c>
      <c r="T218" s="45"/>
      <c r="U218" s="45"/>
      <c r="V218" s="45"/>
      <c r="W218" s="45"/>
      <c r="X218" s="32"/>
      <c r="Y218" s="32"/>
      <c r="Z218" s="39"/>
      <c r="AA218" s="46"/>
      <c r="AB218" s="42" t="str">
        <f aca="false">IF(OR($AA218="",$E218="",$E218=0),"",$AA218/$E218)</f>
        <v/>
      </c>
      <c r="AC218" s="27"/>
    </row>
    <row r="219" customFormat="false" ht="15" hidden="false" customHeight="false" outlineLevel="0" collapsed="false">
      <c r="A219" s="29"/>
      <c r="B219" s="27"/>
      <c r="C219" s="28"/>
      <c r="D219" s="27"/>
      <c r="E219" s="32"/>
      <c r="F219" s="39"/>
      <c r="G219" s="39"/>
      <c r="H219" s="39"/>
      <c r="I219" s="40" t="str">
        <f aca="false">IF(OR($G219="",$F219=""),"",$G219-$F219)</f>
        <v/>
      </c>
      <c r="J219" s="40" t="str">
        <f aca="false">IF(OR($H219="",$F219=""),"",$H219-$F219)</f>
        <v/>
      </c>
      <c r="K219" s="32"/>
      <c r="L219" s="32"/>
      <c r="M219" s="32"/>
      <c r="N219" s="32"/>
      <c r="O219" s="41"/>
      <c r="P219" s="42" t="str">
        <f aca="false">IF(OR($N219="",$O219="",$O219=0),"",($N219/100)/$O219)</f>
        <v/>
      </c>
      <c r="Q219" s="43" t="str">
        <f aca="false">IF(OR($K219="",$L219="",$K219=0),"",($L219-$K219)/$K219)</f>
        <v/>
      </c>
      <c r="R219" s="32"/>
      <c r="S219" s="44" t="str">
        <f aca="false">IF(OR($L219="",$E219=""),"",60.7*$L219+45.3*$E219-2055)</f>
        <v/>
      </c>
      <c r="T219" s="45"/>
      <c r="U219" s="45"/>
      <c r="V219" s="45"/>
      <c r="W219" s="45"/>
      <c r="X219" s="32"/>
      <c r="Y219" s="32"/>
      <c r="Z219" s="39"/>
      <c r="AA219" s="46"/>
      <c r="AB219" s="42" t="str">
        <f aca="false">IF(OR($AA219="",$E219="",$E219=0),"",$AA219/$E219)</f>
        <v/>
      </c>
      <c r="AC219" s="27"/>
    </row>
    <row r="220" customFormat="false" ht="15" hidden="false" customHeight="false" outlineLevel="0" collapsed="false">
      <c r="A220" s="29"/>
      <c r="B220" s="27"/>
      <c r="C220" s="28"/>
      <c r="D220" s="27"/>
      <c r="E220" s="32"/>
      <c r="F220" s="39"/>
      <c r="G220" s="39"/>
      <c r="H220" s="39"/>
      <c r="I220" s="40" t="str">
        <f aca="false">IF(OR($G220="",$F220=""),"",$G220-$F220)</f>
        <v/>
      </c>
      <c r="J220" s="40" t="str">
        <f aca="false">IF(OR($H220="",$F220=""),"",$H220-$F220)</f>
        <v/>
      </c>
      <c r="K220" s="32"/>
      <c r="L220" s="32"/>
      <c r="M220" s="32"/>
      <c r="N220" s="32"/>
      <c r="O220" s="41"/>
      <c r="P220" s="42" t="str">
        <f aca="false">IF(OR($N220="",$O220="",$O220=0),"",($N220/100)/$O220)</f>
        <v/>
      </c>
      <c r="Q220" s="43" t="str">
        <f aca="false">IF(OR($K220="",$L220="",$K220=0),"",($L220-$K220)/$K220)</f>
        <v/>
      </c>
      <c r="R220" s="32"/>
      <c r="S220" s="44" t="str">
        <f aca="false">IF(OR($L220="",$E220=""),"",60.7*$L220+45.3*$E220-2055)</f>
        <v/>
      </c>
      <c r="T220" s="45"/>
      <c r="U220" s="45"/>
      <c r="V220" s="45"/>
      <c r="W220" s="45"/>
      <c r="X220" s="32"/>
      <c r="Y220" s="32"/>
      <c r="Z220" s="39"/>
      <c r="AA220" s="46"/>
      <c r="AB220" s="42" t="str">
        <f aca="false">IF(OR($AA220="",$E220="",$E220=0),"",$AA220/$E220)</f>
        <v/>
      </c>
      <c r="AC220" s="27"/>
    </row>
    <row r="221" customFormat="false" ht="15" hidden="false" customHeight="false" outlineLevel="0" collapsed="false">
      <c r="A221" s="29"/>
      <c r="B221" s="27"/>
      <c r="C221" s="28"/>
      <c r="D221" s="27"/>
      <c r="E221" s="32"/>
      <c r="F221" s="39"/>
      <c r="G221" s="39"/>
      <c r="H221" s="39"/>
      <c r="I221" s="40" t="str">
        <f aca="false">IF(OR($G221="",$F221=""),"",$G221-$F221)</f>
        <v/>
      </c>
      <c r="J221" s="40" t="str">
        <f aca="false">IF(OR($H221="",$F221=""),"",$H221-$F221)</f>
        <v/>
      </c>
      <c r="K221" s="32"/>
      <c r="L221" s="32"/>
      <c r="M221" s="32"/>
      <c r="N221" s="32"/>
      <c r="O221" s="41"/>
      <c r="P221" s="42" t="str">
        <f aca="false">IF(OR($N221="",$O221="",$O221=0),"",($N221/100)/$O221)</f>
        <v/>
      </c>
      <c r="Q221" s="43" t="str">
        <f aca="false">IF(OR($K221="",$L221="",$K221=0),"",($L221-$K221)/$K221)</f>
        <v/>
      </c>
      <c r="R221" s="32"/>
      <c r="S221" s="44" t="str">
        <f aca="false">IF(OR($L221="",$E221=""),"",60.7*$L221+45.3*$E221-2055)</f>
        <v/>
      </c>
      <c r="T221" s="45"/>
      <c r="U221" s="45"/>
      <c r="V221" s="45"/>
      <c r="W221" s="45"/>
      <c r="X221" s="32"/>
      <c r="Y221" s="32"/>
      <c r="Z221" s="39"/>
      <c r="AA221" s="46"/>
      <c r="AB221" s="42" t="str">
        <f aca="false">IF(OR($AA221="",$E221="",$E221=0),"",$AA221/$E221)</f>
        <v/>
      </c>
      <c r="AC221" s="27"/>
    </row>
    <row r="222" customFormat="false" ht="15" hidden="false" customHeight="false" outlineLevel="0" collapsed="false">
      <c r="A222" s="29"/>
      <c r="B222" s="27"/>
      <c r="C222" s="28"/>
      <c r="D222" s="27"/>
      <c r="E222" s="32"/>
      <c r="F222" s="39"/>
      <c r="G222" s="39"/>
      <c r="H222" s="39"/>
      <c r="I222" s="40" t="str">
        <f aca="false">IF(OR($G222="",$F222=""),"",$G222-$F222)</f>
        <v/>
      </c>
      <c r="J222" s="40" t="str">
        <f aca="false">IF(OR($H222="",$F222=""),"",$H222-$F222)</f>
        <v/>
      </c>
      <c r="K222" s="32"/>
      <c r="L222" s="32"/>
      <c r="M222" s="32"/>
      <c r="N222" s="32"/>
      <c r="O222" s="41"/>
      <c r="P222" s="42" t="str">
        <f aca="false">IF(OR($N222="",$O222="",$O222=0),"",($N222/100)/$O222)</f>
        <v/>
      </c>
      <c r="Q222" s="43" t="str">
        <f aca="false">IF(OR($K222="",$L222="",$K222=0),"",($L222-$K222)/$K222)</f>
        <v/>
      </c>
      <c r="R222" s="32"/>
      <c r="S222" s="44" t="str">
        <f aca="false">IF(OR($L222="",$E222=""),"",60.7*$L222+45.3*$E222-2055)</f>
        <v/>
      </c>
      <c r="T222" s="45"/>
      <c r="U222" s="45"/>
      <c r="V222" s="45"/>
      <c r="W222" s="45"/>
      <c r="X222" s="32"/>
      <c r="Y222" s="32"/>
      <c r="Z222" s="39"/>
      <c r="AA222" s="46"/>
      <c r="AB222" s="42" t="str">
        <f aca="false">IF(OR($AA222="",$E222="",$E222=0),"",$AA222/$E222)</f>
        <v/>
      </c>
      <c r="AC222" s="27"/>
    </row>
    <row r="223" customFormat="false" ht="15" hidden="false" customHeight="false" outlineLevel="0" collapsed="false">
      <c r="A223" s="29"/>
      <c r="B223" s="27"/>
      <c r="C223" s="28"/>
      <c r="D223" s="27"/>
      <c r="E223" s="32"/>
      <c r="F223" s="39"/>
      <c r="G223" s="39"/>
      <c r="H223" s="39"/>
      <c r="I223" s="40" t="str">
        <f aca="false">IF(OR($G223="",$F223=""),"",$G223-$F223)</f>
        <v/>
      </c>
      <c r="J223" s="40" t="str">
        <f aca="false">IF(OR($H223="",$F223=""),"",$H223-$F223)</f>
        <v/>
      </c>
      <c r="K223" s="32"/>
      <c r="L223" s="32"/>
      <c r="M223" s="32"/>
      <c r="N223" s="32"/>
      <c r="O223" s="41"/>
      <c r="P223" s="42" t="str">
        <f aca="false">IF(OR($N223="",$O223="",$O223=0),"",($N223/100)/$O223)</f>
        <v/>
      </c>
      <c r="Q223" s="43" t="str">
        <f aca="false">IF(OR($K223="",$L223="",$K223=0),"",($L223-$K223)/$K223)</f>
        <v/>
      </c>
      <c r="R223" s="32"/>
      <c r="S223" s="44" t="str">
        <f aca="false">IF(OR($L223="",$E223=""),"",60.7*$L223+45.3*$E223-2055)</f>
        <v/>
      </c>
      <c r="T223" s="45"/>
      <c r="U223" s="45"/>
      <c r="V223" s="45"/>
      <c r="W223" s="45"/>
      <c r="X223" s="32"/>
      <c r="Y223" s="32"/>
      <c r="Z223" s="39"/>
      <c r="AA223" s="46"/>
      <c r="AB223" s="42" t="str">
        <f aca="false">IF(OR($AA223="",$E223="",$E223=0),"",$AA223/$E223)</f>
        <v/>
      </c>
      <c r="AC223" s="27"/>
    </row>
    <row r="224" customFormat="false" ht="15" hidden="false" customHeight="false" outlineLevel="0" collapsed="false">
      <c r="A224" s="29"/>
      <c r="B224" s="27"/>
      <c r="C224" s="28"/>
      <c r="D224" s="27"/>
      <c r="E224" s="32"/>
      <c r="F224" s="39"/>
      <c r="G224" s="39"/>
      <c r="H224" s="39"/>
      <c r="I224" s="40" t="str">
        <f aca="false">IF(OR($G224="",$F224=""),"",$G224-$F224)</f>
        <v/>
      </c>
      <c r="J224" s="40" t="str">
        <f aca="false">IF(OR($H224="",$F224=""),"",$H224-$F224)</f>
        <v/>
      </c>
      <c r="K224" s="32"/>
      <c r="L224" s="32"/>
      <c r="M224" s="32"/>
      <c r="N224" s="32"/>
      <c r="O224" s="41"/>
      <c r="P224" s="42" t="str">
        <f aca="false">IF(OR($N224="",$O224="",$O224=0),"",($N224/100)/$O224)</f>
        <v/>
      </c>
      <c r="Q224" s="43" t="str">
        <f aca="false">IF(OR($K224="",$L224="",$K224=0),"",($L224-$K224)/$K224)</f>
        <v/>
      </c>
      <c r="R224" s="32"/>
      <c r="S224" s="44" t="str">
        <f aca="false">IF(OR($L224="",$E224=""),"",60.7*$L224+45.3*$E224-2055)</f>
        <v/>
      </c>
      <c r="T224" s="45"/>
      <c r="U224" s="45"/>
      <c r="V224" s="45"/>
      <c r="W224" s="45"/>
      <c r="X224" s="32"/>
      <c r="Y224" s="32"/>
      <c r="Z224" s="39"/>
      <c r="AA224" s="46"/>
      <c r="AB224" s="42" t="str">
        <f aca="false">IF(OR($AA224="",$E224="",$E224=0),"",$AA224/$E224)</f>
        <v/>
      </c>
      <c r="AC224" s="27"/>
    </row>
    <row r="225" customFormat="false" ht="15" hidden="false" customHeight="false" outlineLevel="0" collapsed="false">
      <c r="A225" s="29"/>
      <c r="B225" s="27"/>
      <c r="C225" s="28"/>
      <c r="D225" s="27"/>
      <c r="E225" s="32"/>
      <c r="F225" s="39"/>
      <c r="G225" s="39"/>
      <c r="H225" s="39"/>
      <c r="I225" s="40" t="str">
        <f aca="false">IF(OR($G225="",$F225=""),"",$G225-$F225)</f>
        <v/>
      </c>
      <c r="J225" s="40" t="str">
        <f aca="false">IF(OR($H225="",$F225=""),"",$H225-$F225)</f>
        <v/>
      </c>
      <c r="K225" s="32"/>
      <c r="L225" s="32"/>
      <c r="M225" s="32"/>
      <c r="N225" s="32"/>
      <c r="O225" s="41"/>
      <c r="P225" s="42" t="str">
        <f aca="false">IF(OR($N225="",$O225="",$O225=0),"",($N225/100)/$O225)</f>
        <v/>
      </c>
      <c r="Q225" s="43" t="str">
        <f aca="false">IF(OR($K225="",$L225="",$K225=0),"",($L225-$K225)/$K225)</f>
        <v/>
      </c>
      <c r="R225" s="32"/>
      <c r="S225" s="44" t="str">
        <f aca="false">IF(OR($L225="",$E225=""),"",60.7*$L225+45.3*$E225-2055)</f>
        <v/>
      </c>
      <c r="T225" s="45"/>
      <c r="U225" s="45"/>
      <c r="V225" s="45"/>
      <c r="W225" s="45"/>
      <c r="X225" s="32"/>
      <c r="Y225" s="32"/>
      <c r="Z225" s="39"/>
      <c r="AA225" s="46"/>
      <c r="AB225" s="42" t="str">
        <f aca="false">IF(OR($AA225="",$E225="",$E225=0),"",$AA225/$E225)</f>
        <v/>
      </c>
      <c r="AC225" s="27"/>
    </row>
    <row r="226" customFormat="false" ht="15" hidden="false" customHeight="false" outlineLevel="0" collapsed="false">
      <c r="A226" s="29"/>
      <c r="B226" s="27"/>
      <c r="C226" s="28"/>
      <c r="D226" s="27"/>
      <c r="E226" s="32"/>
      <c r="F226" s="39"/>
      <c r="G226" s="39"/>
      <c r="H226" s="39"/>
      <c r="I226" s="40" t="str">
        <f aca="false">IF(OR($G226="",$F226=""),"",$G226-$F226)</f>
        <v/>
      </c>
      <c r="J226" s="40" t="str">
        <f aca="false">IF(OR($H226="",$F226=""),"",$H226-$F226)</f>
        <v/>
      </c>
      <c r="K226" s="32"/>
      <c r="L226" s="32"/>
      <c r="M226" s="32"/>
      <c r="N226" s="32"/>
      <c r="O226" s="41"/>
      <c r="P226" s="42" t="str">
        <f aca="false">IF(OR($N226="",$O226="",$O226=0),"",($N226/100)/$O226)</f>
        <v/>
      </c>
      <c r="Q226" s="43" t="str">
        <f aca="false">IF(OR($K226="",$L226="",$K226=0),"",($L226-$K226)/$K226)</f>
        <v/>
      </c>
      <c r="R226" s="32"/>
      <c r="S226" s="44" t="str">
        <f aca="false">IF(OR($L226="",$E226=""),"",60.7*$L226+45.3*$E226-2055)</f>
        <v/>
      </c>
      <c r="T226" s="45"/>
      <c r="U226" s="45"/>
      <c r="V226" s="45"/>
      <c r="W226" s="45"/>
      <c r="X226" s="32"/>
      <c r="Y226" s="32"/>
      <c r="Z226" s="39"/>
      <c r="AA226" s="46"/>
      <c r="AB226" s="42" t="str">
        <f aca="false">IF(OR($AA226="",$E226="",$E226=0),"",$AA226/$E226)</f>
        <v/>
      </c>
      <c r="AC226" s="27"/>
    </row>
    <row r="227" customFormat="false" ht="15" hidden="false" customHeight="false" outlineLevel="0" collapsed="false">
      <c r="A227" s="29"/>
      <c r="B227" s="27"/>
      <c r="C227" s="28"/>
      <c r="D227" s="27"/>
      <c r="E227" s="32"/>
      <c r="F227" s="39"/>
      <c r="G227" s="39"/>
      <c r="H227" s="39"/>
      <c r="I227" s="40" t="str">
        <f aca="false">IF(OR($G227="",$F227=""),"",$G227-$F227)</f>
        <v/>
      </c>
      <c r="J227" s="40" t="str">
        <f aca="false">IF(OR($H227="",$F227=""),"",$H227-$F227)</f>
        <v/>
      </c>
      <c r="K227" s="32"/>
      <c r="L227" s="32"/>
      <c r="M227" s="32"/>
      <c r="N227" s="32"/>
      <c r="O227" s="41"/>
      <c r="P227" s="42" t="str">
        <f aca="false">IF(OR($N227="",$O227="",$O227=0),"",($N227/100)/$O227)</f>
        <v/>
      </c>
      <c r="Q227" s="43" t="str">
        <f aca="false">IF(OR($K227="",$L227="",$K227=0),"",($L227-$K227)/$K227)</f>
        <v/>
      </c>
      <c r="R227" s="32"/>
      <c r="S227" s="44" t="str">
        <f aca="false">IF(OR($L227="",$E227=""),"",60.7*$L227+45.3*$E227-2055)</f>
        <v/>
      </c>
      <c r="T227" s="45"/>
      <c r="U227" s="45"/>
      <c r="V227" s="45"/>
      <c r="W227" s="45"/>
      <c r="X227" s="32"/>
      <c r="Y227" s="32"/>
      <c r="Z227" s="39"/>
      <c r="AA227" s="46"/>
      <c r="AB227" s="42" t="str">
        <f aca="false">IF(OR($AA227="",$E227="",$E227=0),"",$AA227/$E227)</f>
        <v/>
      </c>
      <c r="AC227" s="27"/>
    </row>
    <row r="228" customFormat="false" ht="15" hidden="false" customHeight="false" outlineLevel="0" collapsed="false">
      <c r="A228" s="29"/>
      <c r="B228" s="27"/>
      <c r="C228" s="28"/>
      <c r="D228" s="27"/>
      <c r="E228" s="32"/>
      <c r="F228" s="39"/>
      <c r="G228" s="39"/>
      <c r="H228" s="39"/>
      <c r="I228" s="40" t="str">
        <f aca="false">IF(OR($G228="",$F228=""),"",$G228-$F228)</f>
        <v/>
      </c>
      <c r="J228" s="40" t="str">
        <f aca="false">IF(OR($H228="",$F228=""),"",$H228-$F228)</f>
        <v/>
      </c>
      <c r="K228" s="32"/>
      <c r="L228" s="32"/>
      <c r="M228" s="32"/>
      <c r="N228" s="32"/>
      <c r="O228" s="41"/>
      <c r="P228" s="42" t="str">
        <f aca="false">IF(OR($N228="",$O228="",$O228=0),"",($N228/100)/$O228)</f>
        <v/>
      </c>
      <c r="Q228" s="43" t="str">
        <f aca="false">IF(OR($K228="",$L228="",$K228=0),"",($L228-$K228)/$K228)</f>
        <v/>
      </c>
      <c r="R228" s="32"/>
      <c r="S228" s="44" t="str">
        <f aca="false">IF(OR($L228="",$E228=""),"",60.7*$L228+45.3*$E228-2055)</f>
        <v/>
      </c>
      <c r="T228" s="45"/>
      <c r="U228" s="45"/>
      <c r="V228" s="45"/>
      <c r="W228" s="45"/>
      <c r="X228" s="32"/>
      <c r="Y228" s="32"/>
      <c r="Z228" s="39"/>
      <c r="AA228" s="46"/>
      <c r="AB228" s="42" t="str">
        <f aca="false">IF(OR($AA228="",$E228="",$E228=0),"",$AA228/$E228)</f>
        <v/>
      </c>
      <c r="AC228" s="27"/>
    </row>
    <row r="229" customFormat="false" ht="15" hidden="false" customHeight="false" outlineLevel="0" collapsed="false">
      <c r="A229" s="29"/>
      <c r="B229" s="27"/>
      <c r="C229" s="28"/>
      <c r="D229" s="27"/>
      <c r="E229" s="32"/>
      <c r="F229" s="39"/>
      <c r="G229" s="39"/>
      <c r="H229" s="39"/>
      <c r="I229" s="40" t="str">
        <f aca="false">IF(OR($G229="",$F229=""),"",$G229-$F229)</f>
        <v/>
      </c>
      <c r="J229" s="40" t="str">
        <f aca="false">IF(OR($H229="",$F229=""),"",$H229-$F229)</f>
        <v/>
      </c>
      <c r="K229" s="32"/>
      <c r="L229" s="32"/>
      <c r="M229" s="32"/>
      <c r="N229" s="32"/>
      <c r="O229" s="41"/>
      <c r="P229" s="42" t="str">
        <f aca="false">IF(OR($N229="",$O229="",$O229=0),"",($N229/100)/$O229)</f>
        <v/>
      </c>
      <c r="Q229" s="43" t="str">
        <f aca="false">IF(OR($K229="",$L229="",$K229=0),"",($L229-$K229)/$K229)</f>
        <v/>
      </c>
      <c r="R229" s="32"/>
      <c r="S229" s="44" t="str">
        <f aca="false">IF(OR($L229="",$E229=""),"",60.7*$L229+45.3*$E229-2055)</f>
        <v/>
      </c>
      <c r="T229" s="45"/>
      <c r="U229" s="45"/>
      <c r="V229" s="45"/>
      <c r="W229" s="45"/>
      <c r="X229" s="32"/>
      <c r="Y229" s="32"/>
      <c r="Z229" s="39"/>
      <c r="AA229" s="46"/>
      <c r="AB229" s="42" t="str">
        <f aca="false">IF(OR($AA229="",$E229="",$E229=0),"",$AA229/$E229)</f>
        <v/>
      </c>
      <c r="AC229" s="27"/>
    </row>
    <row r="230" customFormat="false" ht="15" hidden="false" customHeight="false" outlineLevel="0" collapsed="false">
      <c r="A230" s="29"/>
      <c r="B230" s="27"/>
      <c r="C230" s="28"/>
      <c r="D230" s="27"/>
      <c r="E230" s="32"/>
      <c r="F230" s="39"/>
      <c r="G230" s="39"/>
      <c r="H230" s="39"/>
      <c r="I230" s="40" t="str">
        <f aca="false">IF(OR($G230="",$F230=""),"",$G230-$F230)</f>
        <v/>
      </c>
      <c r="J230" s="40" t="str">
        <f aca="false">IF(OR($H230="",$F230=""),"",$H230-$F230)</f>
        <v/>
      </c>
      <c r="K230" s="32"/>
      <c r="L230" s="32"/>
      <c r="M230" s="32"/>
      <c r="N230" s="32"/>
      <c r="O230" s="41"/>
      <c r="P230" s="42" t="str">
        <f aca="false">IF(OR($N230="",$O230="",$O230=0),"",($N230/100)/$O230)</f>
        <v/>
      </c>
      <c r="Q230" s="43" t="str">
        <f aca="false">IF(OR($K230="",$L230="",$K230=0),"",($L230-$K230)/$K230)</f>
        <v/>
      </c>
      <c r="R230" s="32"/>
      <c r="S230" s="44" t="str">
        <f aca="false">IF(OR($L230="",$E230=""),"",60.7*$L230+45.3*$E230-2055)</f>
        <v/>
      </c>
      <c r="T230" s="45"/>
      <c r="U230" s="45"/>
      <c r="V230" s="45"/>
      <c r="W230" s="45"/>
      <c r="X230" s="32"/>
      <c r="Y230" s="32"/>
      <c r="Z230" s="39"/>
      <c r="AA230" s="46"/>
      <c r="AB230" s="42" t="str">
        <f aca="false">IF(OR($AA230="",$E230="",$E230=0),"",$AA230/$E230)</f>
        <v/>
      </c>
      <c r="AC230" s="27"/>
    </row>
    <row r="231" customFormat="false" ht="15" hidden="false" customHeight="false" outlineLevel="0" collapsed="false">
      <c r="A231" s="29"/>
      <c r="B231" s="27"/>
      <c r="C231" s="28"/>
      <c r="D231" s="27"/>
      <c r="E231" s="32"/>
      <c r="F231" s="39"/>
      <c r="G231" s="39"/>
      <c r="H231" s="39"/>
      <c r="I231" s="40" t="str">
        <f aca="false">IF(OR($G231="",$F231=""),"",$G231-$F231)</f>
        <v/>
      </c>
      <c r="J231" s="40" t="str">
        <f aca="false">IF(OR($H231="",$F231=""),"",$H231-$F231)</f>
        <v/>
      </c>
      <c r="K231" s="32"/>
      <c r="L231" s="32"/>
      <c r="M231" s="32"/>
      <c r="N231" s="32"/>
      <c r="O231" s="41"/>
      <c r="P231" s="42" t="str">
        <f aca="false">IF(OR($N231="",$O231="",$O231=0),"",($N231/100)/$O231)</f>
        <v/>
      </c>
      <c r="Q231" s="43" t="str">
        <f aca="false">IF(OR($K231="",$L231="",$K231=0),"",($L231-$K231)/$K231)</f>
        <v/>
      </c>
      <c r="R231" s="32"/>
      <c r="S231" s="44" t="str">
        <f aca="false">IF(OR($L231="",$E231=""),"",60.7*$L231+45.3*$E231-2055)</f>
        <v/>
      </c>
      <c r="T231" s="45"/>
      <c r="U231" s="45"/>
      <c r="V231" s="45"/>
      <c r="W231" s="45"/>
      <c r="X231" s="32"/>
      <c r="Y231" s="32"/>
      <c r="Z231" s="39"/>
      <c r="AA231" s="46"/>
      <c r="AB231" s="42" t="str">
        <f aca="false">IF(OR($AA231="",$E231="",$E231=0),"",$AA231/$E231)</f>
        <v/>
      </c>
      <c r="AC231" s="27"/>
    </row>
    <row r="232" customFormat="false" ht="15" hidden="false" customHeight="false" outlineLevel="0" collapsed="false">
      <c r="A232" s="29"/>
      <c r="B232" s="27"/>
      <c r="C232" s="28"/>
      <c r="D232" s="27"/>
      <c r="E232" s="32"/>
      <c r="F232" s="39"/>
      <c r="G232" s="39"/>
      <c r="H232" s="39"/>
      <c r="I232" s="40" t="str">
        <f aca="false">IF(OR($G232="",$F232=""),"",$G232-$F232)</f>
        <v/>
      </c>
      <c r="J232" s="40" t="str">
        <f aca="false">IF(OR($H232="",$F232=""),"",$H232-$F232)</f>
        <v/>
      </c>
      <c r="K232" s="32"/>
      <c r="L232" s="32"/>
      <c r="M232" s="32"/>
      <c r="N232" s="32"/>
      <c r="O232" s="41"/>
      <c r="P232" s="42" t="str">
        <f aca="false">IF(OR($N232="",$O232="",$O232=0),"",($N232/100)/$O232)</f>
        <v/>
      </c>
      <c r="Q232" s="43" t="str">
        <f aca="false">IF(OR($K232="",$L232="",$K232=0),"",($L232-$K232)/$K232)</f>
        <v/>
      </c>
      <c r="R232" s="32"/>
      <c r="S232" s="44" t="str">
        <f aca="false">IF(OR($L232="",$E232=""),"",60.7*$L232+45.3*$E232-2055)</f>
        <v/>
      </c>
      <c r="T232" s="45"/>
      <c r="U232" s="45"/>
      <c r="V232" s="45"/>
      <c r="W232" s="45"/>
      <c r="X232" s="32"/>
      <c r="Y232" s="32"/>
      <c r="Z232" s="39"/>
      <c r="AA232" s="46"/>
      <c r="AB232" s="42" t="str">
        <f aca="false">IF(OR($AA232="",$E232="",$E232=0),"",$AA232/$E232)</f>
        <v/>
      </c>
      <c r="AC232" s="27"/>
    </row>
    <row r="233" customFormat="false" ht="15" hidden="false" customHeight="false" outlineLevel="0" collapsed="false">
      <c r="A233" s="29"/>
      <c r="B233" s="27"/>
      <c r="C233" s="28"/>
      <c r="D233" s="27"/>
      <c r="E233" s="32"/>
      <c r="F233" s="39"/>
      <c r="G233" s="39"/>
      <c r="H233" s="39"/>
      <c r="I233" s="40" t="str">
        <f aca="false">IF(OR($G233="",$F233=""),"",$G233-$F233)</f>
        <v/>
      </c>
      <c r="J233" s="40" t="str">
        <f aca="false">IF(OR($H233="",$F233=""),"",$H233-$F233)</f>
        <v/>
      </c>
      <c r="K233" s="32"/>
      <c r="L233" s="32"/>
      <c r="M233" s="32"/>
      <c r="N233" s="32"/>
      <c r="O233" s="41"/>
      <c r="P233" s="42" t="str">
        <f aca="false">IF(OR($N233="",$O233="",$O233=0),"",($N233/100)/$O233)</f>
        <v/>
      </c>
      <c r="Q233" s="43" t="str">
        <f aca="false">IF(OR($K233="",$L233="",$K233=0),"",($L233-$K233)/$K233)</f>
        <v/>
      </c>
      <c r="R233" s="32"/>
      <c r="S233" s="44" t="str">
        <f aca="false">IF(OR($L233="",$E233=""),"",60.7*$L233+45.3*$E233-2055)</f>
        <v/>
      </c>
      <c r="T233" s="45"/>
      <c r="U233" s="45"/>
      <c r="V233" s="45"/>
      <c r="W233" s="45"/>
      <c r="X233" s="32"/>
      <c r="Y233" s="32"/>
      <c r="Z233" s="39"/>
      <c r="AA233" s="46"/>
      <c r="AB233" s="42" t="str">
        <f aca="false">IF(OR($AA233="",$E233="",$E233=0),"",$AA233/$E233)</f>
        <v/>
      </c>
      <c r="AC233" s="27"/>
    </row>
    <row r="234" customFormat="false" ht="15" hidden="false" customHeight="false" outlineLevel="0" collapsed="false">
      <c r="A234" s="29"/>
      <c r="B234" s="27"/>
      <c r="C234" s="28"/>
      <c r="D234" s="27"/>
      <c r="E234" s="32"/>
      <c r="F234" s="39"/>
      <c r="G234" s="39"/>
      <c r="H234" s="39"/>
      <c r="I234" s="40" t="str">
        <f aca="false">IF(OR($G234="",$F234=""),"",$G234-$F234)</f>
        <v/>
      </c>
      <c r="J234" s="40" t="str">
        <f aca="false">IF(OR($H234="",$F234=""),"",$H234-$F234)</f>
        <v/>
      </c>
      <c r="K234" s="32"/>
      <c r="L234" s="32"/>
      <c r="M234" s="32"/>
      <c r="N234" s="32"/>
      <c r="O234" s="41"/>
      <c r="P234" s="42" t="str">
        <f aca="false">IF(OR($N234="",$O234="",$O234=0),"",($N234/100)/$O234)</f>
        <v/>
      </c>
      <c r="Q234" s="43" t="str">
        <f aca="false">IF(OR($K234="",$L234="",$K234=0),"",($L234-$K234)/$K234)</f>
        <v/>
      </c>
      <c r="R234" s="32"/>
      <c r="S234" s="44" t="str">
        <f aca="false">IF(OR($L234="",$E234=""),"",60.7*$L234+45.3*$E234-2055)</f>
        <v/>
      </c>
      <c r="T234" s="45"/>
      <c r="U234" s="45"/>
      <c r="V234" s="45"/>
      <c r="W234" s="45"/>
      <c r="X234" s="32"/>
      <c r="Y234" s="32"/>
      <c r="Z234" s="39"/>
      <c r="AA234" s="46"/>
      <c r="AB234" s="42" t="str">
        <f aca="false">IF(OR($AA234="",$E234="",$E234=0),"",$AA234/$E234)</f>
        <v/>
      </c>
      <c r="AC234" s="27"/>
    </row>
    <row r="235" customFormat="false" ht="15" hidden="false" customHeight="false" outlineLevel="0" collapsed="false">
      <c r="A235" s="29"/>
      <c r="B235" s="27"/>
      <c r="C235" s="28"/>
      <c r="D235" s="27"/>
      <c r="E235" s="32"/>
      <c r="F235" s="39"/>
      <c r="G235" s="39"/>
      <c r="H235" s="39"/>
      <c r="I235" s="40" t="str">
        <f aca="false">IF(OR($G235="",$F235=""),"",$G235-$F235)</f>
        <v/>
      </c>
      <c r="J235" s="40" t="str">
        <f aca="false">IF(OR($H235="",$F235=""),"",$H235-$F235)</f>
        <v/>
      </c>
      <c r="K235" s="32"/>
      <c r="L235" s="32"/>
      <c r="M235" s="32"/>
      <c r="N235" s="32"/>
      <c r="O235" s="41"/>
      <c r="P235" s="42" t="str">
        <f aca="false">IF(OR($N235="",$O235="",$O235=0),"",($N235/100)/$O235)</f>
        <v/>
      </c>
      <c r="Q235" s="43" t="str">
        <f aca="false">IF(OR($K235="",$L235="",$K235=0),"",($L235-$K235)/$K235)</f>
        <v/>
      </c>
      <c r="R235" s="32"/>
      <c r="S235" s="44" t="str">
        <f aca="false">IF(OR($L235="",$E235=""),"",60.7*$L235+45.3*$E235-2055)</f>
        <v/>
      </c>
      <c r="T235" s="45"/>
      <c r="U235" s="45"/>
      <c r="V235" s="45"/>
      <c r="W235" s="45"/>
      <c r="X235" s="32"/>
      <c r="Y235" s="32"/>
      <c r="Z235" s="39"/>
      <c r="AA235" s="46"/>
      <c r="AB235" s="42" t="str">
        <f aca="false">IF(OR($AA235="",$E235="",$E235=0),"",$AA235/$E235)</f>
        <v/>
      </c>
      <c r="AC235" s="27"/>
    </row>
    <row r="236" customFormat="false" ht="15" hidden="false" customHeight="false" outlineLevel="0" collapsed="false">
      <c r="A236" s="29"/>
      <c r="B236" s="27"/>
      <c r="C236" s="28"/>
      <c r="D236" s="27"/>
      <c r="E236" s="32"/>
      <c r="F236" s="39"/>
      <c r="G236" s="39"/>
      <c r="H236" s="39"/>
      <c r="I236" s="40" t="str">
        <f aca="false">IF(OR($G236="",$F236=""),"",$G236-$F236)</f>
        <v/>
      </c>
      <c r="J236" s="40" t="str">
        <f aca="false">IF(OR($H236="",$F236=""),"",$H236-$F236)</f>
        <v/>
      </c>
      <c r="K236" s="32"/>
      <c r="L236" s="32"/>
      <c r="M236" s="32"/>
      <c r="N236" s="32"/>
      <c r="O236" s="41"/>
      <c r="P236" s="42" t="str">
        <f aca="false">IF(OR($N236="",$O236="",$O236=0),"",($N236/100)/$O236)</f>
        <v/>
      </c>
      <c r="Q236" s="43" t="str">
        <f aca="false">IF(OR($K236="",$L236="",$K236=0),"",($L236-$K236)/$K236)</f>
        <v/>
      </c>
      <c r="R236" s="32"/>
      <c r="S236" s="44" t="str">
        <f aca="false">IF(OR($L236="",$E236=""),"",60.7*$L236+45.3*$E236-2055)</f>
        <v/>
      </c>
      <c r="T236" s="45"/>
      <c r="U236" s="45"/>
      <c r="V236" s="45"/>
      <c r="W236" s="45"/>
      <c r="X236" s="32"/>
      <c r="Y236" s="32"/>
      <c r="Z236" s="39"/>
      <c r="AA236" s="46"/>
      <c r="AB236" s="42" t="str">
        <f aca="false">IF(OR($AA236="",$E236="",$E236=0),"",$AA236/$E236)</f>
        <v/>
      </c>
      <c r="AC236" s="27"/>
    </row>
    <row r="237" customFormat="false" ht="15" hidden="false" customHeight="false" outlineLevel="0" collapsed="false">
      <c r="A237" s="29"/>
      <c r="B237" s="27"/>
      <c r="C237" s="28"/>
      <c r="D237" s="27"/>
      <c r="E237" s="32"/>
      <c r="F237" s="39"/>
      <c r="G237" s="39"/>
      <c r="H237" s="39"/>
      <c r="I237" s="40" t="str">
        <f aca="false">IF(OR($G237="",$F237=""),"",$G237-$F237)</f>
        <v/>
      </c>
      <c r="J237" s="40" t="str">
        <f aca="false">IF(OR($H237="",$F237=""),"",$H237-$F237)</f>
        <v/>
      </c>
      <c r="K237" s="32"/>
      <c r="L237" s="32"/>
      <c r="M237" s="32"/>
      <c r="N237" s="32"/>
      <c r="O237" s="41"/>
      <c r="P237" s="42" t="str">
        <f aca="false">IF(OR($N237="",$O237="",$O237=0),"",($N237/100)/$O237)</f>
        <v/>
      </c>
      <c r="Q237" s="43" t="str">
        <f aca="false">IF(OR($K237="",$L237="",$K237=0),"",($L237-$K237)/$K237)</f>
        <v/>
      </c>
      <c r="R237" s="32"/>
      <c r="S237" s="44" t="str">
        <f aca="false">IF(OR($L237="",$E237=""),"",60.7*$L237+45.3*$E237-2055)</f>
        <v/>
      </c>
      <c r="T237" s="45"/>
      <c r="U237" s="45"/>
      <c r="V237" s="45"/>
      <c r="W237" s="45"/>
      <c r="X237" s="32"/>
      <c r="Y237" s="32"/>
      <c r="Z237" s="39"/>
      <c r="AA237" s="46"/>
      <c r="AB237" s="42" t="str">
        <f aca="false">IF(OR($AA237="",$E237="",$E237=0),"",$AA237/$E237)</f>
        <v/>
      </c>
      <c r="AC237" s="27"/>
    </row>
    <row r="238" customFormat="false" ht="15" hidden="false" customHeight="false" outlineLevel="0" collapsed="false">
      <c r="A238" s="29"/>
      <c r="B238" s="27"/>
      <c r="C238" s="28"/>
      <c r="D238" s="27"/>
      <c r="E238" s="32"/>
      <c r="F238" s="39"/>
      <c r="G238" s="39"/>
      <c r="H238" s="39"/>
      <c r="I238" s="40" t="str">
        <f aca="false">IF(OR($G238="",$F238=""),"",$G238-$F238)</f>
        <v/>
      </c>
      <c r="J238" s="40" t="str">
        <f aca="false">IF(OR($H238="",$F238=""),"",$H238-$F238)</f>
        <v/>
      </c>
      <c r="K238" s="32"/>
      <c r="L238" s="32"/>
      <c r="M238" s="32"/>
      <c r="N238" s="32"/>
      <c r="O238" s="41"/>
      <c r="P238" s="42" t="str">
        <f aca="false">IF(OR($N238="",$O238="",$O238=0),"",($N238/100)/$O238)</f>
        <v/>
      </c>
      <c r="Q238" s="43" t="str">
        <f aca="false">IF(OR($K238="",$L238="",$K238=0),"",($L238-$K238)/$K238)</f>
        <v/>
      </c>
      <c r="R238" s="32"/>
      <c r="S238" s="44" t="str">
        <f aca="false">IF(OR($L238="",$E238=""),"",60.7*$L238+45.3*$E238-2055)</f>
        <v/>
      </c>
      <c r="T238" s="45"/>
      <c r="U238" s="45"/>
      <c r="V238" s="45"/>
      <c r="W238" s="45"/>
      <c r="X238" s="32"/>
      <c r="Y238" s="32"/>
      <c r="Z238" s="39"/>
      <c r="AA238" s="46"/>
      <c r="AB238" s="42" t="str">
        <f aca="false">IF(OR($AA238="",$E238="",$E238=0),"",$AA238/$E238)</f>
        <v/>
      </c>
      <c r="AC238" s="27"/>
    </row>
    <row r="239" customFormat="false" ht="15" hidden="false" customHeight="false" outlineLevel="0" collapsed="false">
      <c r="A239" s="29"/>
      <c r="B239" s="27"/>
      <c r="C239" s="28"/>
      <c r="D239" s="27"/>
      <c r="E239" s="32"/>
      <c r="F239" s="39"/>
      <c r="G239" s="39"/>
      <c r="H239" s="39"/>
      <c r="I239" s="40" t="str">
        <f aca="false">IF(OR($G239="",$F239=""),"",$G239-$F239)</f>
        <v/>
      </c>
      <c r="J239" s="40" t="str">
        <f aca="false">IF(OR($H239="",$F239=""),"",$H239-$F239)</f>
        <v/>
      </c>
      <c r="K239" s="32"/>
      <c r="L239" s="32"/>
      <c r="M239" s="32"/>
      <c r="N239" s="32"/>
      <c r="O239" s="41"/>
      <c r="P239" s="42" t="str">
        <f aca="false">IF(OR($N239="",$O239="",$O239=0),"",($N239/100)/$O239)</f>
        <v/>
      </c>
      <c r="Q239" s="43" t="str">
        <f aca="false">IF(OR($K239="",$L239="",$K239=0),"",($L239-$K239)/$K239)</f>
        <v/>
      </c>
      <c r="R239" s="32"/>
      <c r="S239" s="44" t="str">
        <f aca="false">IF(OR($L239="",$E239=""),"",60.7*$L239+45.3*$E239-2055)</f>
        <v/>
      </c>
      <c r="T239" s="45"/>
      <c r="U239" s="45"/>
      <c r="V239" s="45"/>
      <c r="W239" s="45"/>
      <c r="X239" s="32"/>
      <c r="Y239" s="32"/>
      <c r="Z239" s="39"/>
      <c r="AA239" s="46"/>
      <c r="AB239" s="42" t="str">
        <f aca="false">IF(OR($AA239="",$E239="",$E239=0),"",$AA239/$E239)</f>
        <v/>
      </c>
      <c r="AC239" s="27"/>
    </row>
    <row r="240" customFormat="false" ht="15" hidden="false" customHeight="false" outlineLevel="0" collapsed="false">
      <c r="A240" s="29"/>
      <c r="B240" s="27"/>
      <c r="C240" s="28"/>
      <c r="D240" s="27"/>
      <c r="E240" s="32"/>
      <c r="F240" s="39"/>
      <c r="G240" s="39"/>
      <c r="H240" s="39"/>
      <c r="I240" s="40" t="str">
        <f aca="false">IF(OR($G240="",$F240=""),"",$G240-$F240)</f>
        <v/>
      </c>
      <c r="J240" s="40" t="str">
        <f aca="false">IF(OR($H240="",$F240=""),"",$H240-$F240)</f>
        <v/>
      </c>
      <c r="K240" s="32"/>
      <c r="L240" s="32"/>
      <c r="M240" s="32"/>
      <c r="N240" s="32"/>
      <c r="O240" s="41"/>
      <c r="P240" s="42" t="str">
        <f aca="false">IF(OR($N240="",$O240="",$O240=0),"",($N240/100)/$O240)</f>
        <v/>
      </c>
      <c r="Q240" s="43" t="str">
        <f aca="false">IF(OR($K240="",$L240="",$K240=0),"",($L240-$K240)/$K240)</f>
        <v/>
      </c>
      <c r="R240" s="32"/>
      <c r="S240" s="44" t="str">
        <f aca="false">IF(OR($L240="",$E240=""),"",60.7*$L240+45.3*$E240-2055)</f>
        <v/>
      </c>
      <c r="T240" s="45"/>
      <c r="U240" s="45"/>
      <c r="V240" s="45"/>
      <c r="W240" s="45"/>
      <c r="X240" s="32"/>
      <c r="Y240" s="32"/>
      <c r="Z240" s="39"/>
      <c r="AA240" s="46"/>
      <c r="AB240" s="42" t="str">
        <f aca="false">IF(OR($AA240="",$E240="",$E240=0),"",$AA240/$E240)</f>
        <v/>
      </c>
      <c r="AC240" s="27"/>
    </row>
    <row r="241" customFormat="false" ht="15" hidden="false" customHeight="false" outlineLevel="0" collapsed="false">
      <c r="A241" s="29"/>
      <c r="B241" s="27"/>
      <c r="C241" s="28"/>
      <c r="D241" s="27"/>
      <c r="E241" s="32"/>
      <c r="F241" s="39"/>
      <c r="G241" s="39"/>
      <c r="H241" s="39"/>
      <c r="I241" s="40" t="str">
        <f aca="false">IF(OR($G241="",$F241=""),"",$G241-$F241)</f>
        <v/>
      </c>
      <c r="J241" s="40" t="str">
        <f aca="false">IF(OR($H241="",$F241=""),"",$H241-$F241)</f>
        <v/>
      </c>
      <c r="K241" s="32"/>
      <c r="L241" s="32"/>
      <c r="M241" s="32"/>
      <c r="N241" s="32"/>
      <c r="O241" s="41"/>
      <c r="P241" s="42" t="str">
        <f aca="false">IF(OR($N241="",$O241="",$O241=0),"",($N241/100)/$O241)</f>
        <v/>
      </c>
      <c r="Q241" s="43" t="str">
        <f aca="false">IF(OR($K241="",$L241="",$K241=0),"",($L241-$K241)/$K241)</f>
        <v/>
      </c>
      <c r="R241" s="32"/>
      <c r="S241" s="44" t="str">
        <f aca="false">IF(OR($L241="",$E241=""),"",60.7*$L241+45.3*$E241-2055)</f>
        <v/>
      </c>
      <c r="T241" s="45"/>
      <c r="U241" s="45"/>
      <c r="V241" s="45"/>
      <c r="W241" s="45"/>
      <c r="X241" s="32"/>
      <c r="Y241" s="32"/>
      <c r="Z241" s="39"/>
      <c r="AA241" s="46"/>
      <c r="AB241" s="42" t="str">
        <f aca="false">IF(OR($AA241="",$E241="",$E241=0),"",$AA241/$E241)</f>
        <v/>
      </c>
      <c r="AC241" s="27"/>
    </row>
    <row r="242" customFormat="false" ht="15" hidden="false" customHeight="false" outlineLevel="0" collapsed="false">
      <c r="A242" s="29"/>
      <c r="B242" s="27"/>
      <c r="C242" s="28"/>
      <c r="D242" s="27"/>
      <c r="E242" s="32"/>
      <c r="F242" s="39"/>
      <c r="G242" s="39"/>
      <c r="H242" s="39"/>
      <c r="I242" s="40" t="str">
        <f aca="false">IF(OR($G242="",$F242=""),"",$G242-$F242)</f>
        <v/>
      </c>
      <c r="J242" s="40" t="str">
        <f aca="false">IF(OR($H242="",$F242=""),"",$H242-$F242)</f>
        <v/>
      </c>
      <c r="K242" s="32"/>
      <c r="L242" s="32"/>
      <c r="M242" s="32"/>
      <c r="N242" s="32"/>
      <c r="O242" s="41"/>
      <c r="P242" s="42" t="str">
        <f aca="false">IF(OR($N242="",$O242="",$O242=0),"",($N242/100)/$O242)</f>
        <v/>
      </c>
      <c r="Q242" s="43" t="str">
        <f aca="false">IF(OR($K242="",$L242="",$K242=0),"",($L242-$K242)/$K242)</f>
        <v/>
      </c>
      <c r="R242" s="32"/>
      <c r="S242" s="44" t="str">
        <f aca="false">IF(OR($L242="",$E242=""),"",60.7*$L242+45.3*$E242-2055)</f>
        <v/>
      </c>
      <c r="T242" s="45"/>
      <c r="U242" s="45"/>
      <c r="V242" s="45"/>
      <c r="W242" s="45"/>
      <c r="X242" s="32"/>
      <c r="Y242" s="32"/>
      <c r="Z242" s="39"/>
      <c r="AA242" s="46"/>
      <c r="AB242" s="42" t="str">
        <f aca="false">IF(OR($AA242="",$E242="",$E242=0),"",$AA242/$E242)</f>
        <v/>
      </c>
      <c r="AC242" s="27"/>
    </row>
    <row r="243" customFormat="false" ht="15" hidden="false" customHeight="false" outlineLevel="0" collapsed="false">
      <c r="A243" s="29"/>
      <c r="B243" s="27"/>
      <c r="C243" s="28"/>
      <c r="D243" s="27"/>
      <c r="E243" s="32"/>
      <c r="F243" s="39"/>
      <c r="G243" s="39"/>
      <c r="H243" s="39"/>
      <c r="I243" s="40" t="str">
        <f aca="false">IF(OR($G243="",$F243=""),"",$G243-$F243)</f>
        <v/>
      </c>
      <c r="J243" s="40" t="str">
        <f aca="false">IF(OR($H243="",$F243=""),"",$H243-$F243)</f>
        <v/>
      </c>
      <c r="K243" s="32"/>
      <c r="L243" s="32"/>
      <c r="M243" s="32"/>
      <c r="N243" s="32"/>
      <c r="O243" s="41"/>
      <c r="P243" s="42" t="str">
        <f aca="false">IF(OR($N243="",$O243="",$O243=0),"",($N243/100)/$O243)</f>
        <v/>
      </c>
      <c r="Q243" s="43" t="str">
        <f aca="false">IF(OR($K243="",$L243="",$K243=0),"",($L243-$K243)/$K243)</f>
        <v/>
      </c>
      <c r="R243" s="32"/>
      <c r="S243" s="44" t="str">
        <f aca="false">IF(OR($L243="",$E243=""),"",60.7*$L243+45.3*$E243-2055)</f>
        <v/>
      </c>
      <c r="T243" s="45"/>
      <c r="U243" s="45"/>
      <c r="V243" s="45"/>
      <c r="W243" s="45"/>
      <c r="X243" s="32"/>
      <c r="Y243" s="32"/>
      <c r="Z243" s="39"/>
      <c r="AA243" s="46"/>
      <c r="AB243" s="42" t="str">
        <f aca="false">IF(OR($AA243="",$E243="",$E243=0),"",$AA243/$E243)</f>
        <v/>
      </c>
      <c r="AC243" s="27"/>
    </row>
    <row r="244" customFormat="false" ht="15" hidden="false" customHeight="false" outlineLevel="0" collapsed="false">
      <c r="A244" s="29"/>
      <c r="B244" s="27"/>
      <c r="C244" s="28"/>
      <c r="D244" s="27"/>
      <c r="E244" s="32"/>
      <c r="F244" s="39"/>
      <c r="G244" s="39"/>
      <c r="H244" s="39"/>
      <c r="I244" s="40" t="str">
        <f aca="false">IF(OR($G244="",$F244=""),"",$G244-$F244)</f>
        <v/>
      </c>
      <c r="J244" s="40" t="str">
        <f aca="false">IF(OR($H244="",$F244=""),"",$H244-$F244)</f>
        <v/>
      </c>
      <c r="K244" s="32"/>
      <c r="L244" s="32"/>
      <c r="M244" s="32"/>
      <c r="N244" s="32"/>
      <c r="O244" s="41"/>
      <c r="P244" s="42" t="str">
        <f aca="false">IF(OR($N244="",$O244="",$O244=0),"",($N244/100)/$O244)</f>
        <v/>
      </c>
      <c r="Q244" s="43" t="str">
        <f aca="false">IF(OR($K244="",$L244="",$K244=0),"",($L244-$K244)/$K244)</f>
        <v/>
      </c>
      <c r="R244" s="32"/>
      <c r="S244" s="44" t="str">
        <f aca="false">IF(OR($L244="",$E244=""),"",60.7*$L244+45.3*$E244-2055)</f>
        <v/>
      </c>
      <c r="T244" s="45"/>
      <c r="U244" s="45"/>
      <c r="V244" s="45"/>
      <c r="W244" s="45"/>
      <c r="X244" s="32"/>
      <c r="Y244" s="32"/>
      <c r="Z244" s="39"/>
      <c r="AA244" s="46"/>
      <c r="AB244" s="42" t="str">
        <f aca="false">IF(OR($AA244="",$E244="",$E244=0),"",$AA244/$E244)</f>
        <v/>
      </c>
      <c r="AC244" s="27"/>
    </row>
    <row r="245" customFormat="false" ht="15" hidden="false" customHeight="false" outlineLevel="0" collapsed="false">
      <c r="A245" s="29"/>
      <c r="B245" s="27"/>
      <c r="C245" s="28"/>
      <c r="D245" s="27"/>
      <c r="E245" s="32"/>
      <c r="F245" s="39"/>
      <c r="G245" s="39"/>
      <c r="H245" s="39"/>
      <c r="I245" s="40" t="str">
        <f aca="false">IF(OR($G245="",$F245=""),"",$G245-$F245)</f>
        <v/>
      </c>
      <c r="J245" s="40" t="str">
        <f aca="false">IF(OR($H245="",$F245=""),"",$H245-$F245)</f>
        <v/>
      </c>
      <c r="K245" s="32"/>
      <c r="L245" s="32"/>
      <c r="M245" s="32"/>
      <c r="N245" s="32"/>
      <c r="O245" s="41"/>
      <c r="P245" s="42" t="str">
        <f aca="false">IF(OR($N245="",$O245="",$O245=0),"",($N245/100)/$O245)</f>
        <v/>
      </c>
      <c r="Q245" s="43" t="str">
        <f aca="false">IF(OR($K245="",$L245="",$K245=0),"",($L245-$K245)/$K245)</f>
        <v/>
      </c>
      <c r="R245" s="32"/>
      <c r="S245" s="44" t="str">
        <f aca="false">IF(OR($L245="",$E245=""),"",60.7*$L245+45.3*$E245-2055)</f>
        <v/>
      </c>
      <c r="T245" s="45"/>
      <c r="U245" s="45"/>
      <c r="V245" s="45"/>
      <c r="W245" s="45"/>
      <c r="X245" s="32"/>
      <c r="Y245" s="32"/>
      <c r="Z245" s="39"/>
      <c r="AA245" s="46"/>
      <c r="AB245" s="42" t="str">
        <f aca="false">IF(OR($AA245="",$E245="",$E245=0),"",$AA245/$E245)</f>
        <v/>
      </c>
      <c r="AC245" s="27"/>
    </row>
    <row r="246" customFormat="false" ht="15" hidden="false" customHeight="false" outlineLevel="0" collapsed="false">
      <c r="A246" s="29"/>
      <c r="B246" s="27"/>
      <c r="C246" s="28"/>
      <c r="D246" s="27"/>
      <c r="E246" s="32"/>
      <c r="F246" s="39"/>
      <c r="G246" s="39"/>
      <c r="H246" s="39"/>
      <c r="I246" s="40" t="str">
        <f aca="false">IF(OR($G246="",$F246=""),"",$G246-$F246)</f>
        <v/>
      </c>
      <c r="J246" s="40" t="str">
        <f aca="false">IF(OR($H246="",$F246=""),"",$H246-$F246)</f>
        <v/>
      </c>
      <c r="K246" s="32"/>
      <c r="L246" s="32"/>
      <c r="M246" s="32"/>
      <c r="N246" s="32"/>
      <c r="O246" s="41"/>
      <c r="P246" s="42" t="str">
        <f aca="false">IF(OR($N246="",$O246="",$O246=0),"",($N246/100)/$O246)</f>
        <v/>
      </c>
      <c r="Q246" s="43" t="str">
        <f aca="false">IF(OR($K246="",$L246="",$K246=0),"",($L246-$K246)/$K246)</f>
        <v/>
      </c>
      <c r="R246" s="32"/>
      <c r="S246" s="44" t="str">
        <f aca="false">IF(OR($L246="",$E246=""),"",60.7*$L246+45.3*$E246-2055)</f>
        <v/>
      </c>
      <c r="T246" s="45"/>
      <c r="U246" s="45"/>
      <c r="V246" s="45"/>
      <c r="W246" s="45"/>
      <c r="X246" s="32"/>
      <c r="Y246" s="32"/>
      <c r="Z246" s="39"/>
      <c r="AA246" s="46"/>
      <c r="AB246" s="42" t="str">
        <f aca="false">IF(OR($AA246="",$E246="",$E246=0),"",$AA246/$E246)</f>
        <v/>
      </c>
      <c r="AC246" s="27"/>
    </row>
    <row r="247" customFormat="false" ht="15" hidden="false" customHeight="false" outlineLevel="0" collapsed="false">
      <c r="A247" s="29"/>
      <c r="B247" s="27"/>
      <c r="C247" s="28"/>
      <c r="D247" s="27"/>
      <c r="E247" s="32"/>
      <c r="F247" s="39"/>
      <c r="G247" s="39"/>
      <c r="H247" s="39"/>
      <c r="I247" s="40" t="str">
        <f aca="false">IF(OR($G247="",$F247=""),"",$G247-$F247)</f>
        <v/>
      </c>
      <c r="J247" s="40" t="str">
        <f aca="false">IF(OR($H247="",$F247=""),"",$H247-$F247)</f>
        <v/>
      </c>
      <c r="K247" s="32"/>
      <c r="L247" s="32"/>
      <c r="M247" s="32"/>
      <c r="N247" s="32"/>
      <c r="O247" s="41"/>
      <c r="P247" s="42" t="str">
        <f aca="false">IF(OR($N247="",$O247="",$O247=0),"",($N247/100)/$O247)</f>
        <v/>
      </c>
      <c r="Q247" s="43" t="str">
        <f aca="false">IF(OR($K247="",$L247="",$K247=0),"",($L247-$K247)/$K247)</f>
        <v/>
      </c>
      <c r="R247" s="32"/>
      <c r="S247" s="44" t="str">
        <f aca="false">IF(OR($L247="",$E247=""),"",60.7*$L247+45.3*$E247-2055)</f>
        <v/>
      </c>
      <c r="T247" s="45"/>
      <c r="U247" s="45"/>
      <c r="V247" s="45"/>
      <c r="W247" s="45"/>
      <c r="X247" s="32"/>
      <c r="Y247" s="32"/>
      <c r="Z247" s="39"/>
      <c r="AA247" s="46"/>
      <c r="AB247" s="42" t="str">
        <f aca="false">IF(OR($AA247="",$E247="",$E247=0),"",$AA247/$E247)</f>
        <v/>
      </c>
      <c r="AC247" s="27"/>
    </row>
    <row r="248" customFormat="false" ht="15" hidden="false" customHeight="false" outlineLevel="0" collapsed="false">
      <c r="A248" s="29"/>
      <c r="B248" s="27"/>
      <c r="C248" s="28"/>
      <c r="D248" s="27"/>
      <c r="E248" s="32"/>
      <c r="F248" s="39"/>
      <c r="G248" s="39"/>
      <c r="H248" s="39"/>
      <c r="I248" s="40" t="str">
        <f aca="false">IF(OR($G248="",$F248=""),"",$G248-$F248)</f>
        <v/>
      </c>
      <c r="J248" s="40" t="str">
        <f aca="false">IF(OR($H248="",$F248=""),"",$H248-$F248)</f>
        <v/>
      </c>
      <c r="K248" s="32"/>
      <c r="L248" s="32"/>
      <c r="M248" s="32"/>
      <c r="N248" s="32"/>
      <c r="O248" s="41"/>
      <c r="P248" s="42" t="str">
        <f aca="false">IF(OR($N248="",$O248="",$O248=0),"",($N248/100)/$O248)</f>
        <v/>
      </c>
      <c r="Q248" s="43" t="str">
        <f aca="false">IF(OR($K248="",$L248="",$K248=0),"",($L248-$K248)/$K248)</f>
        <v/>
      </c>
      <c r="R248" s="32"/>
      <c r="S248" s="44" t="str">
        <f aca="false">IF(OR($L248="",$E248=""),"",60.7*$L248+45.3*$E248-2055)</f>
        <v/>
      </c>
      <c r="T248" s="45"/>
      <c r="U248" s="45"/>
      <c r="V248" s="45"/>
      <c r="W248" s="45"/>
      <c r="X248" s="32"/>
      <c r="Y248" s="32"/>
      <c r="Z248" s="39"/>
      <c r="AA248" s="46"/>
      <c r="AB248" s="42" t="str">
        <f aca="false">IF(OR($AA248="",$E248="",$E248=0),"",$AA248/$E248)</f>
        <v/>
      </c>
      <c r="AC248" s="27"/>
    </row>
    <row r="249" customFormat="false" ht="15" hidden="false" customHeight="false" outlineLevel="0" collapsed="false">
      <c r="A249" s="29"/>
      <c r="B249" s="27"/>
      <c r="C249" s="28"/>
      <c r="D249" s="27"/>
      <c r="E249" s="32"/>
      <c r="F249" s="39"/>
      <c r="G249" s="39"/>
      <c r="H249" s="39"/>
      <c r="I249" s="40" t="str">
        <f aca="false">IF(OR($G249="",$F249=""),"",$G249-$F249)</f>
        <v/>
      </c>
      <c r="J249" s="40" t="str">
        <f aca="false">IF(OR($H249="",$F249=""),"",$H249-$F249)</f>
        <v/>
      </c>
      <c r="K249" s="32"/>
      <c r="L249" s="32"/>
      <c r="M249" s="32"/>
      <c r="N249" s="32"/>
      <c r="O249" s="41"/>
      <c r="P249" s="42" t="str">
        <f aca="false">IF(OR($N249="",$O249="",$O249=0),"",($N249/100)/$O249)</f>
        <v/>
      </c>
      <c r="Q249" s="43" t="str">
        <f aca="false">IF(OR($K249="",$L249="",$K249=0),"",($L249-$K249)/$K249)</f>
        <v/>
      </c>
      <c r="R249" s="32"/>
      <c r="S249" s="44" t="str">
        <f aca="false">IF(OR($L249="",$E249=""),"",60.7*$L249+45.3*$E249-2055)</f>
        <v/>
      </c>
      <c r="T249" s="45"/>
      <c r="U249" s="45"/>
      <c r="V249" s="45"/>
      <c r="W249" s="45"/>
      <c r="X249" s="32"/>
      <c r="Y249" s="32"/>
      <c r="Z249" s="39"/>
      <c r="AA249" s="46"/>
      <c r="AB249" s="42" t="str">
        <f aca="false">IF(OR($AA249="",$E249="",$E249=0),"",$AA249/$E249)</f>
        <v/>
      </c>
      <c r="AC249" s="27"/>
    </row>
    <row r="250" customFormat="false" ht="15" hidden="false" customHeight="false" outlineLevel="0" collapsed="false">
      <c r="A250" s="29"/>
      <c r="B250" s="27"/>
      <c r="C250" s="28"/>
      <c r="D250" s="27"/>
      <c r="E250" s="32"/>
      <c r="F250" s="39"/>
      <c r="G250" s="39"/>
      <c r="H250" s="39"/>
      <c r="I250" s="40" t="str">
        <f aca="false">IF(OR($G250="",$F250=""),"",$G250-$F250)</f>
        <v/>
      </c>
      <c r="J250" s="40" t="str">
        <f aca="false">IF(OR($H250="",$F250=""),"",$H250-$F250)</f>
        <v/>
      </c>
      <c r="K250" s="32"/>
      <c r="L250" s="32"/>
      <c r="M250" s="32"/>
      <c r="N250" s="32"/>
      <c r="O250" s="41"/>
      <c r="P250" s="42" t="str">
        <f aca="false">IF(OR($N250="",$O250="",$O250=0),"",($N250/100)/$O250)</f>
        <v/>
      </c>
      <c r="Q250" s="43" t="str">
        <f aca="false">IF(OR($K250="",$L250="",$K250=0),"",($L250-$K250)/$K250)</f>
        <v/>
      </c>
      <c r="R250" s="32"/>
      <c r="S250" s="44" t="str">
        <f aca="false">IF(OR($L250="",$E250=""),"",60.7*$L250+45.3*$E250-2055)</f>
        <v/>
      </c>
      <c r="T250" s="45"/>
      <c r="U250" s="45"/>
      <c r="V250" s="45"/>
      <c r="W250" s="45"/>
      <c r="X250" s="32"/>
      <c r="Y250" s="32"/>
      <c r="Z250" s="39"/>
      <c r="AA250" s="46"/>
      <c r="AB250" s="42" t="str">
        <f aca="false">IF(OR($AA250="",$E250="",$E250=0),"",$AA250/$E250)</f>
        <v/>
      </c>
      <c r="AC250" s="27"/>
    </row>
    <row r="251" customFormat="false" ht="15" hidden="false" customHeight="false" outlineLevel="0" collapsed="false">
      <c r="A251" s="29"/>
      <c r="B251" s="27"/>
      <c r="C251" s="28"/>
      <c r="D251" s="27"/>
      <c r="E251" s="32"/>
      <c r="F251" s="39"/>
      <c r="G251" s="39"/>
      <c r="H251" s="39"/>
      <c r="I251" s="40" t="str">
        <f aca="false">IF(OR($G251="",$F251=""),"",$G251-$F251)</f>
        <v/>
      </c>
      <c r="J251" s="40" t="str">
        <f aca="false">IF(OR($H251="",$F251=""),"",$H251-$F251)</f>
        <v/>
      </c>
      <c r="K251" s="32"/>
      <c r="L251" s="32"/>
      <c r="M251" s="32"/>
      <c r="N251" s="32"/>
      <c r="O251" s="41"/>
      <c r="P251" s="42" t="str">
        <f aca="false">IF(OR($N251="",$O251="",$O251=0),"",($N251/100)/$O251)</f>
        <v/>
      </c>
      <c r="Q251" s="43" t="str">
        <f aca="false">IF(OR($K251="",$L251="",$K251=0),"",($L251-$K251)/$K251)</f>
        <v/>
      </c>
      <c r="R251" s="32"/>
      <c r="S251" s="44" t="str">
        <f aca="false">IF(OR($L251="",$E251=""),"",60.7*$L251+45.3*$E251-2055)</f>
        <v/>
      </c>
      <c r="T251" s="45"/>
      <c r="U251" s="45"/>
      <c r="V251" s="45"/>
      <c r="W251" s="45"/>
      <c r="X251" s="32"/>
      <c r="Y251" s="32"/>
      <c r="Z251" s="39"/>
      <c r="AA251" s="46"/>
      <c r="AB251" s="42" t="str">
        <f aca="false">IF(OR($AA251="",$E251="",$E251=0),"",$AA251/$E251)</f>
        <v/>
      </c>
      <c r="AC251" s="27"/>
    </row>
    <row r="252" customFormat="false" ht="15" hidden="false" customHeight="false" outlineLevel="0" collapsed="false">
      <c r="A252" s="29"/>
      <c r="B252" s="27"/>
      <c r="C252" s="28"/>
      <c r="D252" s="27"/>
      <c r="E252" s="32"/>
      <c r="F252" s="39"/>
      <c r="G252" s="39"/>
      <c r="H252" s="39"/>
      <c r="I252" s="40" t="str">
        <f aca="false">IF(OR($G252="",$F252=""),"",$G252-$F252)</f>
        <v/>
      </c>
      <c r="J252" s="40" t="str">
        <f aca="false">IF(OR($H252="",$F252=""),"",$H252-$F252)</f>
        <v/>
      </c>
      <c r="K252" s="32"/>
      <c r="L252" s="32"/>
      <c r="M252" s="32"/>
      <c r="N252" s="32"/>
      <c r="O252" s="41"/>
      <c r="P252" s="42" t="str">
        <f aca="false">IF(OR($N252="",$O252="",$O252=0),"",($N252/100)/$O252)</f>
        <v/>
      </c>
      <c r="Q252" s="43" t="str">
        <f aca="false">IF(OR($K252="",$L252="",$K252=0),"",($L252-$K252)/$K252)</f>
        <v/>
      </c>
      <c r="R252" s="32"/>
      <c r="S252" s="44" t="str">
        <f aca="false">IF(OR($L252="",$E252=""),"",60.7*$L252+45.3*$E252-2055)</f>
        <v/>
      </c>
      <c r="T252" s="45"/>
      <c r="U252" s="45"/>
      <c r="V252" s="45"/>
      <c r="W252" s="45"/>
      <c r="X252" s="32"/>
      <c r="Y252" s="32"/>
      <c r="Z252" s="39"/>
      <c r="AA252" s="46"/>
      <c r="AB252" s="42" t="str">
        <f aca="false">IF(OR($AA252="",$E252="",$E252=0),"",$AA252/$E252)</f>
        <v/>
      </c>
      <c r="AC252" s="27"/>
    </row>
    <row r="253" customFormat="false" ht="15" hidden="false" customHeight="false" outlineLevel="0" collapsed="false">
      <c r="A253" s="29"/>
      <c r="B253" s="27"/>
      <c r="C253" s="28"/>
      <c r="D253" s="27"/>
      <c r="E253" s="32"/>
      <c r="F253" s="39"/>
      <c r="G253" s="39"/>
      <c r="H253" s="39"/>
      <c r="I253" s="40" t="str">
        <f aca="false">IF(OR($G253="",$F253=""),"",$G253-$F253)</f>
        <v/>
      </c>
      <c r="J253" s="40" t="str">
        <f aca="false">IF(OR($H253="",$F253=""),"",$H253-$F253)</f>
        <v/>
      </c>
      <c r="K253" s="32"/>
      <c r="L253" s="32"/>
      <c r="M253" s="32"/>
      <c r="N253" s="32"/>
      <c r="O253" s="41"/>
      <c r="P253" s="42" t="str">
        <f aca="false">IF(OR($N253="",$O253="",$O253=0),"",($N253/100)/$O253)</f>
        <v/>
      </c>
      <c r="Q253" s="43" t="str">
        <f aca="false">IF(OR($K253="",$L253="",$K253=0),"",($L253-$K253)/$K253)</f>
        <v/>
      </c>
      <c r="R253" s="32"/>
      <c r="S253" s="44" t="str">
        <f aca="false">IF(OR($L253="",$E253=""),"",60.7*$L253+45.3*$E253-2055)</f>
        <v/>
      </c>
      <c r="T253" s="45"/>
      <c r="U253" s="45"/>
      <c r="V253" s="45"/>
      <c r="W253" s="45"/>
      <c r="X253" s="32"/>
      <c r="Y253" s="32"/>
      <c r="Z253" s="39"/>
      <c r="AA253" s="46"/>
      <c r="AB253" s="42" t="str">
        <f aca="false">IF(OR($AA253="",$E253="",$E253=0),"",$AA253/$E253)</f>
        <v/>
      </c>
      <c r="AC253" s="27"/>
    </row>
    <row r="254" customFormat="false" ht="15" hidden="false" customHeight="false" outlineLevel="0" collapsed="false">
      <c r="A254" s="29"/>
      <c r="B254" s="27"/>
      <c r="C254" s="28"/>
      <c r="D254" s="27"/>
      <c r="E254" s="32"/>
      <c r="F254" s="39"/>
      <c r="G254" s="39"/>
      <c r="H254" s="39"/>
      <c r="I254" s="40" t="str">
        <f aca="false">IF(OR($G254="",$F254=""),"",$G254-$F254)</f>
        <v/>
      </c>
      <c r="J254" s="40" t="str">
        <f aca="false">IF(OR($H254="",$F254=""),"",$H254-$F254)</f>
        <v/>
      </c>
      <c r="K254" s="32"/>
      <c r="L254" s="32"/>
      <c r="M254" s="32"/>
      <c r="N254" s="32"/>
      <c r="O254" s="41"/>
      <c r="P254" s="42" t="str">
        <f aca="false">IF(OR($N254="",$O254="",$O254=0),"",($N254/100)/$O254)</f>
        <v/>
      </c>
      <c r="Q254" s="43" t="str">
        <f aca="false">IF(OR($K254="",$L254="",$K254=0),"",($L254-$K254)/$K254)</f>
        <v/>
      </c>
      <c r="R254" s="32"/>
      <c r="S254" s="44" t="str">
        <f aca="false">IF(OR($L254="",$E254=""),"",60.7*$L254+45.3*$E254-2055)</f>
        <v/>
      </c>
      <c r="T254" s="45"/>
      <c r="U254" s="45"/>
      <c r="V254" s="45"/>
      <c r="W254" s="45"/>
      <c r="X254" s="32"/>
      <c r="Y254" s="32"/>
      <c r="Z254" s="39"/>
      <c r="AA254" s="46"/>
      <c r="AB254" s="42" t="str">
        <f aca="false">IF(OR($AA254="",$E254="",$E254=0),"",$AA254/$E254)</f>
        <v/>
      </c>
      <c r="AC254" s="27"/>
    </row>
    <row r="255" customFormat="false" ht="15" hidden="false" customHeight="false" outlineLevel="0" collapsed="false">
      <c r="A255" s="29"/>
      <c r="B255" s="27"/>
      <c r="C255" s="28"/>
      <c r="D255" s="27"/>
      <c r="E255" s="32"/>
      <c r="F255" s="39"/>
      <c r="G255" s="39"/>
      <c r="H255" s="39"/>
      <c r="I255" s="40" t="str">
        <f aca="false">IF(OR($G255="",$F255=""),"",$G255-$F255)</f>
        <v/>
      </c>
      <c r="J255" s="40" t="str">
        <f aca="false">IF(OR($H255="",$F255=""),"",$H255-$F255)</f>
        <v/>
      </c>
      <c r="K255" s="32"/>
      <c r="L255" s="32"/>
      <c r="M255" s="32"/>
      <c r="N255" s="32"/>
      <c r="O255" s="41"/>
      <c r="P255" s="42" t="str">
        <f aca="false">IF(OR($N255="",$O255="",$O255=0),"",($N255/100)/$O255)</f>
        <v/>
      </c>
      <c r="Q255" s="43" t="str">
        <f aca="false">IF(OR($K255="",$L255="",$K255=0),"",($L255-$K255)/$K255)</f>
        <v/>
      </c>
      <c r="R255" s="32"/>
      <c r="S255" s="44" t="str">
        <f aca="false">IF(OR($L255="",$E255=""),"",60.7*$L255+45.3*$E255-2055)</f>
        <v/>
      </c>
      <c r="T255" s="45"/>
      <c r="U255" s="45"/>
      <c r="V255" s="45"/>
      <c r="W255" s="45"/>
      <c r="X255" s="32"/>
      <c r="Y255" s="32"/>
      <c r="Z255" s="39"/>
      <c r="AA255" s="46"/>
      <c r="AB255" s="42" t="str">
        <f aca="false">IF(OR($AA255="",$E255="",$E255=0),"",$AA255/$E255)</f>
        <v/>
      </c>
      <c r="AC255" s="27"/>
    </row>
    <row r="256" customFormat="false" ht="15" hidden="false" customHeight="false" outlineLevel="0" collapsed="false">
      <c r="A256" s="29"/>
      <c r="B256" s="27"/>
      <c r="C256" s="28"/>
      <c r="D256" s="27"/>
      <c r="E256" s="32"/>
      <c r="F256" s="39"/>
      <c r="G256" s="39"/>
      <c r="H256" s="39"/>
      <c r="I256" s="40" t="str">
        <f aca="false">IF(OR($G256="",$F256=""),"",$G256-$F256)</f>
        <v/>
      </c>
      <c r="J256" s="40" t="str">
        <f aca="false">IF(OR($H256="",$F256=""),"",$H256-$F256)</f>
        <v/>
      </c>
      <c r="K256" s="32"/>
      <c r="L256" s="32"/>
      <c r="M256" s="32"/>
      <c r="N256" s="32"/>
      <c r="O256" s="41"/>
      <c r="P256" s="42" t="str">
        <f aca="false">IF(OR($N256="",$O256="",$O256=0),"",($N256/100)/$O256)</f>
        <v/>
      </c>
      <c r="Q256" s="43" t="str">
        <f aca="false">IF(OR($K256="",$L256="",$K256=0),"",($L256-$K256)/$K256)</f>
        <v/>
      </c>
      <c r="R256" s="32"/>
      <c r="S256" s="44" t="str">
        <f aca="false">IF(OR($L256="",$E256=""),"",60.7*$L256+45.3*$E256-2055)</f>
        <v/>
      </c>
      <c r="T256" s="45"/>
      <c r="U256" s="45"/>
      <c r="V256" s="45"/>
      <c r="W256" s="45"/>
      <c r="X256" s="32"/>
      <c r="Y256" s="32"/>
      <c r="Z256" s="39"/>
      <c r="AA256" s="46"/>
      <c r="AB256" s="42" t="str">
        <f aca="false">IF(OR($AA256="",$E256="",$E256=0),"",$AA256/$E256)</f>
        <v/>
      </c>
      <c r="AC256" s="27"/>
    </row>
    <row r="257" customFormat="false" ht="15" hidden="false" customHeight="false" outlineLevel="0" collapsed="false">
      <c r="A257" s="29"/>
      <c r="B257" s="27"/>
      <c r="C257" s="28"/>
      <c r="D257" s="27"/>
      <c r="E257" s="32"/>
      <c r="F257" s="39"/>
      <c r="G257" s="39"/>
      <c r="H257" s="39"/>
      <c r="I257" s="40" t="str">
        <f aca="false">IF(OR($G257="",$F257=""),"",$G257-$F257)</f>
        <v/>
      </c>
      <c r="J257" s="40" t="str">
        <f aca="false">IF(OR($H257="",$F257=""),"",$H257-$F257)</f>
        <v/>
      </c>
      <c r="K257" s="32"/>
      <c r="L257" s="32"/>
      <c r="M257" s="32"/>
      <c r="N257" s="32"/>
      <c r="O257" s="41"/>
      <c r="P257" s="42" t="str">
        <f aca="false">IF(OR($N257="",$O257="",$O257=0),"",($N257/100)/$O257)</f>
        <v/>
      </c>
      <c r="Q257" s="43" t="str">
        <f aca="false">IF(OR($K257="",$L257="",$K257=0),"",($L257-$K257)/$K257)</f>
        <v/>
      </c>
      <c r="R257" s="32"/>
      <c r="S257" s="44" t="str">
        <f aca="false">IF(OR($L257="",$E257=""),"",60.7*$L257+45.3*$E257-2055)</f>
        <v/>
      </c>
      <c r="T257" s="45"/>
      <c r="U257" s="45"/>
      <c r="V257" s="45"/>
      <c r="W257" s="45"/>
      <c r="X257" s="32"/>
      <c r="Y257" s="32"/>
      <c r="Z257" s="39"/>
      <c r="AA257" s="46"/>
      <c r="AB257" s="42" t="str">
        <f aca="false">IF(OR($AA257="",$E257="",$E257=0),"",$AA257/$E257)</f>
        <v/>
      </c>
      <c r="AC257" s="27"/>
    </row>
    <row r="258" customFormat="false" ht="15" hidden="false" customHeight="false" outlineLevel="0" collapsed="false">
      <c r="A258" s="29"/>
      <c r="B258" s="27"/>
      <c r="C258" s="28"/>
      <c r="D258" s="27"/>
      <c r="E258" s="32"/>
      <c r="F258" s="39"/>
      <c r="G258" s="39"/>
      <c r="H258" s="39"/>
      <c r="I258" s="40" t="str">
        <f aca="false">IF(OR($G258="",$F258=""),"",$G258-$F258)</f>
        <v/>
      </c>
      <c r="J258" s="40" t="str">
        <f aca="false">IF(OR($H258="",$F258=""),"",$H258-$F258)</f>
        <v/>
      </c>
      <c r="K258" s="32"/>
      <c r="L258" s="32"/>
      <c r="M258" s="32"/>
      <c r="N258" s="32"/>
      <c r="O258" s="41"/>
      <c r="P258" s="42" t="str">
        <f aca="false">IF(OR($N258="",$O258="",$O258=0),"",($N258/100)/$O258)</f>
        <v/>
      </c>
      <c r="Q258" s="43" t="str">
        <f aca="false">IF(OR($K258="",$L258="",$K258=0),"",($L258-$K258)/$K258)</f>
        <v/>
      </c>
      <c r="R258" s="32"/>
      <c r="S258" s="44" t="str">
        <f aca="false">IF(OR($L258="",$E258=""),"",60.7*$L258+45.3*$E258-2055)</f>
        <v/>
      </c>
      <c r="T258" s="45"/>
      <c r="U258" s="45"/>
      <c r="V258" s="45"/>
      <c r="W258" s="45"/>
      <c r="X258" s="32"/>
      <c r="Y258" s="32"/>
      <c r="Z258" s="39"/>
      <c r="AA258" s="46"/>
      <c r="AB258" s="42" t="str">
        <f aca="false">IF(OR($AA258="",$E258="",$E258=0),"",$AA258/$E258)</f>
        <v/>
      </c>
      <c r="AC258" s="27"/>
    </row>
    <row r="259" customFormat="false" ht="15" hidden="false" customHeight="false" outlineLevel="0" collapsed="false">
      <c r="A259" s="29"/>
      <c r="B259" s="27"/>
      <c r="C259" s="28"/>
      <c r="D259" s="27"/>
      <c r="E259" s="32"/>
      <c r="F259" s="39"/>
      <c r="G259" s="39"/>
      <c r="H259" s="39"/>
      <c r="I259" s="40" t="str">
        <f aca="false">IF(OR($G259="",$F259=""),"",$G259-$F259)</f>
        <v/>
      </c>
      <c r="J259" s="40" t="str">
        <f aca="false">IF(OR($H259="",$F259=""),"",$H259-$F259)</f>
        <v/>
      </c>
      <c r="K259" s="32"/>
      <c r="L259" s="32"/>
      <c r="M259" s="32"/>
      <c r="N259" s="32"/>
      <c r="O259" s="41"/>
      <c r="P259" s="42" t="str">
        <f aca="false">IF(OR($N259="",$O259="",$O259=0),"",($N259/100)/$O259)</f>
        <v/>
      </c>
      <c r="Q259" s="43" t="str">
        <f aca="false">IF(OR($K259="",$L259="",$K259=0),"",($L259-$K259)/$K259)</f>
        <v/>
      </c>
      <c r="R259" s="32"/>
      <c r="S259" s="44" t="str">
        <f aca="false">IF(OR($L259="",$E259=""),"",60.7*$L259+45.3*$E259-2055)</f>
        <v/>
      </c>
      <c r="T259" s="45"/>
      <c r="U259" s="45"/>
      <c r="V259" s="45"/>
      <c r="W259" s="45"/>
      <c r="X259" s="32"/>
      <c r="Y259" s="32"/>
      <c r="Z259" s="39"/>
      <c r="AA259" s="46"/>
      <c r="AB259" s="42" t="str">
        <f aca="false">IF(OR($AA259="",$E259="",$E259=0),"",$AA259/$E259)</f>
        <v/>
      </c>
      <c r="AC259" s="27"/>
    </row>
    <row r="260" customFormat="false" ht="15" hidden="false" customHeight="false" outlineLevel="0" collapsed="false">
      <c r="A260" s="29"/>
      <c r="B260" s="27"/>
      <c r="C260" s="28"/>
      <c r="D260" s="27"/>
      <c r="E260" s="32"/>
      <c r="F260" s="39"/>
      <c r="G260" s="39"/>
      <c r="H260" s="39"/>
      <c r="I260" s="40" t="str">
        <f aca="false">IF(OR($G260="",$F260=""),"",$G260-$F260)</f>
        <v/>
      </c>
      <c r="J260" s="40" t="str">
        <f aca="false">IF(OR($H260="",$F260=""),"",$H260-$F260)</f>
        <v/>
      </c>
      <c r="K260" s="32"/>
      <c r="L260" s="32"/>
      <c r="M260" s="32"/>
      <c r="N260" s="32"/>
      <c r="O260" s="41"/>
      <c r="P260" s="42" t="str">
        <f aca="false">IF(OR($N260="",$O260="",$O260=0),"",($N260/100)/$O260)</f>
        <v/>
      </c>
      <c r="Q260" s="43" t="str">
        <f aca="false">IF(OR($K260="",$L260="",$K260=0),"",($L260-$K260)/$K260)</f>
        <v/>
      </c>
      <c r="R260" s="32"/>
      <c r="S260" s="44" t="str">
        <f aca="false">IF(OR($L260="",$E260=""),"",60.7*$L260+45.3*$E260-2055)</f>
        <v/>
      </c>
      <c r="T260" s="45"/>
      <c r="U260" s="45"/>
      <c r="V260" s="45"/>
      <c r="W260" s="45"/>
      <c r="X260" s="32"/>
      <c r="Y260" s="32"/>
      <c r="Z260" s="39"/>
      <c r="AA260" s="46"/>
      <c r="AB260" s="42" t="str">
        <f aca="false">IF(OR($AA260="",$E260="",$E260=0),"",$AA260/$E260)</f>
        <v/>
      </c>
      <c r="AC260" s="27"/>
    </row>
    <row r="261" customFormat="false" ht="15" hidden="false" customHeight="false" outlineLevel="0" collapsed="false">
      <c r="A261" s="29"/>
      <c r="B261" s="27"/>
      <c r="C261" s="28"/>
      <c r="D261" s="27"/>
      <c r="E261" s="32"/>
      <c r="F261" s="39"/>
      <c r="G261" s="39"/>
      <c r="H261" s="39"/>
      <c r="I261" s="40" t="str">
        <f aca="false">IF(OR($G261="",$F261=""),"",$G261-$F261)</f>
        <v/>
      </c>
      <c r="J261" s="40" t="str">
        <f aca="false">IF(OR($H261="",$F261=""),"",$H261-$F261)</f>
        <v/>
      </c>
      <c r="K261" s="32"/>
      <c r="L261" s="32"/>
      <c r="M261" s="32"/>
      <c r="N261" s="32"/>
      <c r="O261" s="41"/>
      <c r="P261" s="42" t="str">
        <f aca="false">IF(OR($N261="",$O261="",$O261=0),"",($N261/100)/$O261)</f>
        <v/>
      </c>
      <c r="Q261" s="43" t="str">
        <f aca="false">IF(OR($K261="",$L261="",$K261=0),"",($L261-$K261)/$K261)</f>
        <v/>
      </c>
      <c r="R261" s="32"/>
      <c r="S261" s="44" t="str">
        <f aca="false">IF(OR($L261="",$E261=""),"",60.7*$L261+45.3*$E261-2055)</f>
        <v/>
      </c>
      <c r="T261" s="45"/>
      <c r="U261" s="45"/>
      <c r="V261" s="45"/>
      <c r="W261" s="45"/>
      <c r="X261" s="32"/>
      <c r="Y261" s="32"/>
      <c r="Z261" s="39"/>
      <c r="AA261" s="46"/>
      <c r="AB261" s="42" t="str">
        <f aca="false">IF(OR($AA261="",$E261="",$E261=0),"",$AA261/$E261)</f>
        <v/>
      </c>
      <c r="AC261" s="27"/>
    </row>
    <row r="262" customFormat="false" ht="15" hidden="false" customHeight="false" outlineLevel="0" collapsed="false">
      <c r="A262" s="29"/>
      <c r="B262" s="27"/>
      <c r="C262" s="28"/>
      <c r="D262" s="27"/>
      <c r="E262" s="32"/>
      <c r="F262" s="39"/>
      <c r="G262" s="39"/>
      <c r="H262" s="39"/>
      <c r="I262" s="40" t="str">
        <f aca="false">IF(OR($G262="",$F262=""),"",$G262-$F262)</f>
        <v/>
      </c>
      <c r="J262" s="40" t="str">
        <f aca="false">IF(OR($H262="",$F262=""),"",$H262-$F262)</f>
        <v/>
      </c>
      <c r="K262" s="32"/>
      <c r="L262" s="32"/>
      <c r="M262" s="32"/>
      <c r="N262" s="32"/>
      <c r="O262" s="41"/>
      <c r="P262" s="42" t="str">
        <f aca="false">IF(OR($N262="",$O262="",$O262=0),"",($N262/100)/$O262)</f>
        <v/>
      </c>
      <c r="Q262" s="43" t="str">
        <f aca="false">IF(OR($K262="",$L262="",$K262=0),"",($L262-$K262)/$K262)</f>
        <v/>
      </c>
      <c r="R262" s="32"/>
      <c r="S262" s="44" t="str">
        <f aca="false">IF(OR($L262="",$E262=""),"",60.7*$L262+45.3*$E262-2055)</f>
        <v/>
      </c>
      <c r="T262" s="45"/>
      <c r="U262" s="45"/>
      <c r="V262" s="45"/>
      <c r="W262" s="45"/>
      <c r="X262" s="32"/>
      <c r="Y262" s="32"/>
      <c r="Z262" s="39"/>
      <c r="AA262" s="46"/>
      <c r="AB262" s="42" t="str">
        <f aca="false">IF(OR($AA262="",$E262="",$E262=0),"",$AA262/$E262)</f>
        <v/>
      </c>
      <c r="AC262" s="27"/>
    </row>
    <row r="263" customFormat="false" ht="15" hidden="false" customHeight="false" outlineLevel="0" collapsed="false">
      <c r="A263" s="29"/>
      <c r="B263" s="27"/>
      <c r="C263" s="28"/>
      <c r="D263" s="27"/>
      <c r="E263" s="32"/>
      <c r="F263" s="39"/>
      <c r="G263" s="39"/>
      <c r="H263" s="39"/>
      <c r="I263" s="40" t="str">
        <f aca="false">IF(OR($G263="",$F263=""),"",$G263-$F263)</f>
        <v/>
      </c>
      <c r="J263" s="40" t="str">
        <f aca="false">IF(OR($H263="",$F263=""),"",$H263-$F263)</f>
        <v/>
      </c>
      <c r="K263" s="32"/>
      <c r="L263" s="32"/>
      <c r="M263" s="32"/>
      <c r="N263" s="32"/>
      <c r="O263" s="41"/>
      <c r="P263" s="42" t="str">
        <f aca="false">IF(OR($N263="",$O263="",$O263=0),"",($N263/100)/$O263)</f>
        <v/>
      </c>
      <c r="Q263" s="43" t="str">
        <f aca="false">IF(OR($K263="",$L263="",$K263=0),"",($L263-$K263)/$K263)</f>
        <v/>
      </c>
      <c r="R263" s="32"/>
      <c r="S263" s="44" t="str">
        <f aca="false">IF(OR($L263="",$E263=""),"",60.7*$L263+45.3*$E263-2055)</f>
        <v/>
      </c>
      <c r="T263" s="45"/>
      <c r="U263" s="45"/>
      <c r="V263" s="45"/>
      <c r="W263" s="45"/>
      <c r="X263" s="32"/>
      <c r="Y263" s="32"/>
      <c r="Z263" s="39"/>
      <c r="AA263" s="46"/>
      <c r="AB263" s="42" t="str">
        <f aca="false">IF(OR($AA263="",$E263="",$E263=0),"",$AA263/$E263)</f>
        <v/>
      </c>
      <c r="AC263" s="27"/>
    </row>
    <row r="264" customFormat="false" ht="15" hidden="false" customHeight="false" outlineLevel="0" collapsed="false">
      <c r="A264" s="29"/>
      <c r="B264" s="27"/>
      <c r="C264" s="28"/>
      <c r="D264" s="27"/>
      <c r="E264" s="32"/>
      <c r="F264" s="39"/>
      <c r="G264" s="39"/>
      <c r="H264" s="39"/>
      <c r="I264" s="40" t="str">
        <f aca="false">IF(OR($G264="",$F264=""),"",$G264-$F264)</f>
        <v/>
      </c>
      <c r="J264" s="40" t="str">
        <f aca="false">IF(OR($H264="",$F264=""),"",$H264-$F264)</f>
        <v/>
      </c>
      <c r="K264" s="32"/>
      <c r="L264" s="32"/>
      <c r="M264" s="32"/>
      <c r="N264" s="32"/>
      <c r="O264" s="41"/>
      <c r="P264" s="42" t="str">
        <f aca="false">IF(OR($N264="",$O264="",$O264=0),"",($N264/100)/$O264)</f>
        <v/>
      </c>
      <c r="Q264" s="43" t="str">
        <f aca="false">IF(OR($K264="",$L264="",$K264=0),"",($L264-$K264)/$K264)</f>
        <v/>
      </c>
      <c r="R264" s="32"/>
      <c r="S264" s="44" t="str">
        <f aca="false">IF(OR($L264="",$E264=""),"",60.7*$L264+45.3*$E264-2055)</f>
        <v/>
      </c>
      <c r="T264" s="45"/>
      <c r="U264" s="45"/>
      <c r="V264" s="45"/>
      <c r="W264" s="45"/>
      <c r="X264" s="32"/>
      <c r="Y264" s="32"/>
      <c r="Z264" s="39"/>
      <c r="AA264" s="46"/>
      <c r="AB264" s="42" t="str">
        <f aca="false">IF(OR($AA264="",$E264="",$E264=0),"",$AA264/$E264)</f>
        <v/>
      </c>
      <c r="AC264" s="27"/>
    </row>
    <row r="265" customFormat="false" ht="15" hidden="false" customHeight="false" outlineLevel="0" collapsed="false">
      <c r="A265" s="29"/>
      <c r="B265" s="27"/>
      <c r="C265" s="28"/>
      <c r="D265" s="27"/>
      <c r="E265" s="32"/>
      <c r="F265" s="39"/>
      <c r="G265" s="39"/>
      <c r="H265" s="39"/>
      <c r="I265" s="40" t="str">
        <f aca="false">IF(OR($G265="",$F265=""),"",$G265-$F265)</f>
        <v/>
      </c>
      <c r="J265" s="40" t="str">
        <f aca="false">IF(OR($H265="",$F265=""),"",$H265-$F265)</f>
        <v/>
      </c>
      <c r="K265" s="32"/>
      <c r="L265" s="32"/>
      <c r="M265" s="32"/>
      <c r="N265" s="32"/>
      <c r="O265" s="41"/>
      <c r="P265" s="42" t="str">
        <f aca="false">IF(OR($N265="",$O265="",$O265=0),"",($N265/100)/$O265)</f>
        <v/>
      </c>
      <c r="Q265" s="43" t="str">
        <f aca="false">IF(OR($K265="",$L265="",$K265=0),"",($L265-$K265)/$K265)</f>
        <v/>
      </c>
      <c r="R265" s="32"/>
      <c r="S265" s="44" t="str">
        <f aca="false">IF(OR($L265="",$E265=""),"",60.7*$L265+45.3*$E265-2055)</f>
        <v/>
      </c>
      <c r="T265" s="45"/>
      <c r="U265" s="45"/>
      <c r="V265" s="45"/>
      <c r="W265" s="45"/>
      <c r="X265" s="32"/>
      <c r="Y265" s="32"/>
      <c r="Z265" s="39"/>
      <c r="AA265" s="46"/>
      <c r="AB265" s="42" t="str">
        <f aca="false">IF(OR($AA265="",$E265="",$E265=0),"",$AA265/$E265)</f>
        <v/>
      </c>
      <c r="AC265" s="27"/>
    </row>
    <row r="266" customFormat="false" ht="15" hidden="false" customHeight="false" outlineLevel="0" collapsed="false">
      <c r="A266" s="29"/>
      <c r="B266" s="27"/>
      <c r="C266" s="28"/>
      <c r="D266" s="27"/>
      <c r="E266" s="32"/>
      <c r="F266" s="39"/>
      <c r="G266" s="39"/>
      <c r="H266" s="39"/>
      <c r="I266" s="40" t="str">
        <f aca="false">IF(OR($G266="",$F266=""),"",$G266-$F266)</f>
        <v/>
      </c>
      <c r="J266" s="40" t="str">
        <f aca="false">IF(OR($H266="",$F266=""),"",$H266-$F266)</f>
        <v/>
      </c>
      <c r="K266" s="32"/>
      <c r="L266" s="32"/>
      <c r="M266" s="32"/>
      <c r="N266" s="32"/>
      <c r="O266" s="41"/>
      <c r="P266" s="42" t="str">
        <f aca="false">IF(OR($N266="",$O266="",$O266=0),"",($N266/100)/$O266)</f>
        <v/>
      </c>
      <c r="Q266" s="43" t="str">
        <f aca="false">IF(OR($K266="",$L266="",$K266=0),"",($L266-$K266)/$K266)</f>
        <v/>
      </c>
      <c r="R266" s="32"/>
      <c r="S266" s="44" t="str">
        <f aca="false">IF(OR($L266="",$E266=""),"",60.7*$L266+45.3*$E266-2055)</f>
        <v/>
      </c>
      <c r="T266" s="45"/>
      <c r="U266" s="45"/>
      <c r="V266" s="45"/>
      <c r="W266" s="45"/>
      <c r="X266" s="32"/>
      <c r="Y266" s="32"/>
      <c r="Z266" s="39"/>
      <c r="AA266" s="46"/>
      <c r="AB266" s="42" t="str">
        <f aca="false">IF(OR($AA266="",$E266="",$E266=0),"",$AA266/$E266)</f>
        <v/>
      </c>
      <c r="AC266" s="27"/>
    </row>
    <row r="267" customFormat="false" ht="15" hidden="false" customHeight="false" outlineLevel="0" collapsed="false">
      <c r="A267" s="29"/>
      <c r="B267" s="27"/>
      <c r="C267" s="28"/>
      <c r="D267" s="27"/>
      <c r="E267" s="32"/>
      <c r="F267" s="39"/>
      <c r="G267" s="39"/>
      <c r="H267" s="39"/>
      <c r="I267" s="40" t="str">
        <f aca="false">IF(OR($G267="",$F267=""),"",$G267-$F267)</f>
        <v/>
      </c>
      <c r="J267" s="40" t="str">
        <f aca="false">IF(OR($H267="",$F267=""),"",$H267-$F267)</f>
        <v/>
      </c>
      <c r="K267" s="32"/>
      <c r="L267" s="32"/>
      <c r="M267" s="32"/>
      <c r="N267" s="32"/>
      <c r="O267" s="41"/>
      <c r="P267" s="42" t="str">
        <f aca="false">IF(OR($N267="",$O267="",$O267=0),"",($N267/100)/$O267)</f>
        <v/>
      </c>
      <c r="Q267" s="43" t="str">
        <f aca="false">IF(OR($K267="",$L267="",$K267=0),"",($L267-$K267)/$K267)</f>
        <v/>
      </c>
      <c r="R267" s="32"/>
      <c r="S267" s="44" t="str">
        <f aca="false">IF(OR($L267="",$E267=""),"",60.7*$L267+45.3*$E267-2055)</f>
        <v/>
      </c>
      <c r="T267" s="45"/>
      <c r="U267" s="45"/>
      <c r="V267" s="45"/>
      <c r="W267" s="45"/>
      <c r="X267" s="32"/>
      <c r="Y267" s="32"/>
      <c r="Z267" s="39"/>
      <c r="AA267" s="46"/>
      <c r="AB267" s="42" t="str">
        <f aca="false">IF(OR($AA267="",$E267="",$E267=0),"",$AA267/$E267)</f>
        <v/>
      </c>
      <c r="AC267" s="27"/>
    </row>
    <row r="268" customFormat="false" ht="15" hidden="false" customHeight="false" outlineLevel="0" collapsed="false">
      <c r="A268" s="29"/>
      <c r="B268" s="27"/>
      <c r="C268" s="28"/>
      <c r="D268" s="27"/>
      <c r="E268" s="32"/>
      <c r="F268" s="39"/>
      <c r="G268" s="39"/>
      <c r="H268" s="39"/>
      <c r="I268" s="40" t="str">
        <f aca="false">IF(OR($G268="",$F268=""),"",$G268-$F268)</f>
        <v/>
      </c>
      <c r="J268" s="40" t="str">
        <f aca="false">IF(OR($H268="",$F268=""),"",$H268-$F268)</f>
        <v/>
      </c>
      <c r="K268" s="32"/>
      <c r="L268" s="32"/>
      <c r="M268" s="32"/>
      <c r="N268" s="32"/>
      <c r="O268" s="41"/>
      <c r="P268" s="42" t="str">
        <f aca="false">IF(OR($N268="",$O268="",$O268=0),"",($N268/100)/$O268)</f>
        <v/>
      </c>
      <c r="Q268" s="43" t="str">
        <f aca="false">IF(OR($K268="",$L268="",$K268=0),"",($L268-$K268)/$K268)</f>
        <v/>
      </c>
      <c r="R268" s="32"/>
      <c r="S268" s="44" t="str">
        <f aca="false">IF(OR($L268="",$E268=""),"",60.7*$L268+45.3*$E268-2055)</f>
        <v/>
      </c>
      <c r="T268" s="45"/>
      <c r="U268" s="45"/>
      <c r="V268" s="45"/>
      <c r="W268" s="45"/>
      <c r="X268" s="32"/>
      <c r="Y268" s="32"/>
      <c r="Z268" s="39"/>
      <c r="AA268" s="46"/>
      <c r="AB268" s="42" t="str">
        <f aca="false">IF(OR($AA268="",$E268="",$E268=0),"",$AA268/$E268)</f>
        <v/>
      </c>
      <c r="AC268" s="27"/>
    </row>
    <row r="269" customFormat="false" ht="15" hidden="false" customHeight="false" outlineLevel="0" collapsed="false">
      <c r="A269" s="29"/>
      <c r="B269" s="27"/>
      <c r="C269" s="28"/>
      <c r="D269" s="27"/>
      <c r="E269" s="32"/>
      <c r="F269" s="39"/>
      <c r="G269" s="39"/>
      <c r="H269" s="39"/>
      <c r="I269" s="40" t="str">
        <f aca="false">IF(OR($G269="",$F269=""),"",$G269-$F269)</f>
        <v/>
      </c>
      <c r="J269" s="40" t="str">
        <f aca="false">IF(OR($H269="",$F269=""),"",$H269-$F269)</f>
        <v/>
      </c>
      <c r="K269" s="32"/>
      <c r="L269" s="32"/>
      <c r="M269" s="32"/>
      <c r="N269" s="32"/>
      <c r="O269" s="41"/>
      <c r="P269" s="42" t="str">
        <f aca="false">IF(OR($N269="",$O269="",$O269=0),"",($N269/100)/$O269)</f>
        <v/>
      </c>
      <c r="Q269" s="43" t="str">
        <f aca="false">IF(OR($K269="",$L269="",$K269=0),"",($L269-$K269)/$K269)</f>
        <v/>
      </c>
      <c r="R269" s="32"/>
      <c r="S269" s="44" t="str">
        <f aca="false">IF(OR($L269="",$E269=""),"",60.7*$L269+45.3*$E269-2055)</f>
        <v/>
      </c>
      <c r="T269" s="45"/>
      <c r="U269" s="45"/>
      <c r="V269" s="45"/>
      <c r="W269" s="45"/>
      <c r="X269" s="32"/>
      <c r="Y269" s="32"/>
      <c r="Z269" s="39"/>
      <c r="AA269" s="46"/>
      <c r="AB269" s="42" t="str">
        <f aca="false">IF(OR($AA269="",$E269="",$E269=0),"",$AA269/$E269)</f>
        <v/>
      </c>
      <c r="AC269" s="27"/>
    </row>
    <row r="270" customFormat="false" ht="15" hidden="false" customHeight="false" outlineLevel="0" collapsed="false">
      <c r="A270" s="29"/>
      <c r="B270" s="27"/>
      <c r="C270" s="28"/>
      <c r="D270" s="27"/>
      <c r="E270" s="32"/>
      <c r="F270" s="39"/>
      <c r="G270" s="39"/>
      <c r="H270" s="39"/>
      <c r="I270" s="40" t="str">
        <f aca="false">IF(OR($G270="",$F270=""),"",$G270-$F270)</f>
        <v/>
      </c>
      <c r="J270" s="40" t="str">
        <f aca="false">IF(OR($H270="",$F270=""),"",$H270-$F270)</f>
        <v/>
      </c>
      <c r="K270" s="32"/>
      <c r="L270" s="32"/>
      <c r="M270" s="32"/>
      <c r="N270" s="32"/>
      <c r="O270" s="41"/>
      <c r="P270" s="42" t="str">
        <f aca="false">IF(OR($N270="",$O270="",$O270=0),"",($N270/100)/$O270)</f>
        <v/>
      </c>
      <c r="Q270" s="43" t="str">
        <f aca="false">IF(OR($K270="",$L270="",$K270=0),"",($L270-$K270)/$K270)</f>
        <v/>
      </c>
      <c r="R270" s="32"/>
      <c r="S270" s="44" t="str">
        <f aca="false">IF(OR($L270="",$E270=""),"",60.7*$L270+45.3*$E270-2055)</f>
        <v/>
      </c>
      <c r="T270" s="45"/>
      <c r="U270" s="45"/>
      <c r="V270" s="45"/>
      <c r="W270" s="45"/>
      <c r="X270" s="32"/>
      <c r="Y270" s="32"/>
      <c r="Z270" s="39"/>
      <c r="AA270" s="46"/>
      <c r="AB270" s="42" t="str">
        <f aca="false">IF(OR($AA270="",$E270="",$E270=0),"",$AA270/$E270)</f>
        <v/>
      </c>
      <c r="AC270" s="27"/>
    </row>
    <row r="271" customFormat="false" ht="15" hidden="false" customHeight="false" outlineLevel="0" collapsed="false">
      <c r="A271" s="29"/>
      <c r="B271" s="27"/>
      <c r="C271" s="28"/>
      <c r="D271" s="27"/>
      <c r="E271" s="32"/>
      <c r="F271" s="39"/>
      <c r="G271" s="39"/>
      <c r="H271" s="39"/>
      <c r="I271" s="40" t="str">
        <f aca="false">IF(OR($G271="",$F271=""),"",$G271-$F271)</f>
        <v/>
      </c>
      <c r="J271" s="40" t="str">
        <f aca="false">IF(OR($H271="",$F271=""),"",$H271-$F271)</f>
        <v/>
      </c>
      <c r="K271" s="32"/>
      <c r="L271" s="32"/>
      <c r="M271" s="32"/>
      <c r="N271" s="32"/>
      <c r="O271" s="41"/>
      <c r="P271" s="42" t="str">
        <f aca="false">IF(OR($N271="",$O271="",$O271=0),"",($N271/100)/$O271)</f>
        <v/>
      </c>
      <c r="Q271" s="43" t="str">
        <f aca="false">IF(OR($K271="",$L271="",$K271=0),"",($L271-$K271)/$K271)</f>
        <v/>
      </c>
      <c r="R271" s="32"/>
      <c r="S271" s="44" t="str">
        <f aca="false">IF(OR($L271="",$E271=""),"",60.7*$L271+45.3*$E271-2055)</f>
        <v/>
      </c>
      <c r="T271" s="45"/>
      <c r="U271" s="45"/>
      <c r="V271" s="45"/>
      <c r="W271" s="45"/>
      <c r="X271" s="32"/>
      <c r="Y271" s="32"/>
      <c r="Z271" s="39"/>
      <c r="AA271" s="46"/>
      <c r="AB271" s="42" t="str">
        <f aca="false">IF(OR($AA271="",$E271="",$E271=0),"",$AA271/$E271)</f>
        <v/>
      </c>
      <c r="AC271" s="27"/>
    </row>
    <row r="272" customFormat="false" ht="15" hidden="false" customHeight="false" outlineLevel="0" collapsed="false">
      <c r="A272" s="29"/>
      <c r="B272" s="27"/>
      <c r="C272" s="28"/>
      <c r="D272" s="27"/>
      <c r="E272" s="32"/>
      <c r="F272" s="39"/>
      <c r="G272" s="39"/>
      <c r="H272" s="39"/>
      <c r="I272" s="40" t="str">
        <f aca="false">IF(OR($G272="",$F272=""),"",$G272-$F272)</f>
        <v/>
      </c>
      <c r="J272" s="40" t="str">
        <f aca="false">IF(OR($H272="",$F272=""),"",$H272-$F272)</f>
        <v/>
      </c>
      <c r="K272" s="32"/>
      <c r="L272" s="32"/>
      <c r="M272" s="32"/>
      <c r="N272" s="32"/>
      <c r="O272" s="41"/>
      <c r="P272" s="42" t="str">
        <f aca="false">IF(OR($N272="",$O272="",$O272=0),"",($N272/100)/$O272)</f>
        <v/>
      </c>
      <c r="Q272" s="43" t="str">
        <f aca="false">IF(OR($K272="",$L272="",$K272=0),"",($L272-$K272)/$K272)</f>
        <v/>
      </c>
      <c r="R272" s="32"/>
      <c r="S272" s="44" t="str">
        <f aca="false">IF(OR($L272="",$E272=""),"",60.7*$L272+45.3*$E272-2055)</f>
        <v/>
      </c>
      <c r="T272" s="45"/>
      <c r="U272" s="45"/>
      <c r="V272" s="45"/>
      <c r="W272" s="45"/>
      <c r="X272" s="32"/>
      <c r="Y272" s="32"/>
      <c r="Z272" s="39"/>
      <c r="AA272" s="46"/>
      <c r="AB272" s="42" t="str">
        <f aca="false">IF(OR($AA272="",$E272="",$E272=0),"",$AA272/$E272)</f>
        <v/>
      </c>
      <c r="AC272" s="27"/>
    </row>
    <row r="273" customFormat="false" ht="15" hidden="false" customHeight="false" outlineLevel="0" collapsed="false">
      <c r="A273" s="29"/>
      <c r="B273" s="27"/>
      <c r="C273" s="28"/>
      <c r="D273" s="27"/>
      <c r="E273" s="32"/>
      <c r="F273" s="39"/>
      <c r="G273" s="39"/>
      <c r="H273" s="39"/>
      <c r="I273" s="40" t="str">
        <f aca="false">IF(OR($G273="",$F273=""),"",$G273-$F273)</f>
        <v/>
      </c>
      <c r="J273" s="40" t="str">
        <f aca="false">IF(OR($H273="",$F273=""),"",$H273-$F273)</f>
        <v/>
      </c>
      <c r="K273" s="32"/>
      <c r="L273" s="32"/>
      <c r="M273" s="32"/>
      <c r="N273" s="32"/>
      <c r="O273" s="41"/>
      <c r="P273" s="42" t="str">
        <f aca="false">IF(OR($N273="",$O273="",$O273=0),"",($N273/100)/$O273)</f>
        <v/>
      </c>
      <c r="Q273" s="43" t="str">
        <f aca="false">IF(OR($K273="",$L273="",$K273=0),"",($L273-$K273)/$K273)</f>
        <v/>
      </c>
      <c r="R273" s="32"/>
      <c r="S273" s="44" t="str">
        <f aca="false">IF(OR($L273="",$E273=""),"",60.7*$L273+45.3*$E273-2055)</f>
        <v/>
      </c>
      <c r="T273" s="45"/>
      <c r="U273" s="45"/>
      <c r="V273" s="45"/>
      <c r="W273" s="45"/>
      <c r="X273" s="32"/>
      <c r="Y273" s="32"/>
      <c r="Z273" s="39"/>
      <c r="AA273" s="46"/>
      <c r="AB273" s="42" t="str">
        <f aca="false">IF(OR($AA273="",$E273="",$E273=0),"",$AA273/$E273)</f>
        <v/>
      </c>
      <c r="AC273" s="27"/>
    </row>
    <row r="274" customFormat="false" ht="15" hidden="false" customHeight="false" outlineLevel="0" collapsed="false">
      <c r="A274" s="29"/>
      <c r="B274" s="27"/>
      <c r="C274" s="28"/>
      <c r="D274" s="27"/>
      <c r="E274" s="32"/>
      <c r="F274" s="39"/>
      <c r="G274" s="39"/>
      <c r="H274" s="39"/>
      <c r="I274" s="40" t="str">
        <f aca="false">IF(OR($G274="",$F274=""),"",$G274-$F274)</f>
        <v/>
      </c>
      <c r="J274" s="40" t="str">
        <f aca="false">IF(OR($H274="",$F274=""),"",$H274-$F274)</f>
        <v/>
      </c>
      <c r="K274" s="32"/>
      <c r="L274" s="32"/>
      <c r="M274" s="32"/>
      <c r="N274" s="32"/>
      <c r="O274" s="41"/>
      <c r="P274" s="42" t="str">
        <f aca="false">IF(OR($N274="",$O274="",$O274=0),"",($N274/100)/$O274)</f>
        <v/>
      </c>
      <c r="Q274" s="43" t="str">
        <f aca="false">IF(OR($K274="",$L274="",$K274=0),"",($L274-$K274)/$K274)</f>
        <v/>
      </c>
      <c r="R274" s="32"/>
      <c r="S274" s="44" t="str">
        <f aca="false">IF(OR($L274="",$E274=""),"",60.7*$L274+45.3*$E274-2055)</f>
        <v/>
      </c>
      <c r="T274" s="45"/>
      <c r="U274" s="45"/>
      <c r="V274" s="45"/>
      <c r="W274" s="45"/>
      <c r="X274" s="32"/>
      <c r="Y274" s="32"/>
      <c r="Z274" s="39"/>
      <c r="AA274" s="46"/>
      <c r="AB274" s="42" t="str">
        <f aca="false">IF(OR($AA274="",$E274="",$E274=0),"",$AA274/$E274)</f>
        <v/>
      </c>
      <c r="AC274" s="27"/>
    </row>
    <row r="275" customFormat="false" ht="15" hidden="false" customHeight="false" outlineLevel="0" collapsed="false">
      <c r="A275" s="29"/>
      <c r="B275" s="27"/>
      <c r="C275" s="28"/>
      <c r="D275" s="27"/>
      <c r="E275" s="32"/>
      <c r="F275" s="39"/>
      <c r="G275" s="39"/>
      <c r="H275" s="39"/>
      <c r="I275" s="40" t="str">
        <f aca="false">IF(OR($G275="",$F275=""),"",$G275-$F275)</f>
        <v/>
      </c>
      <c r="J275" s="40" t="str">
        <f aca="false">IF(OR($H275="",$F275=""),"",$H275-$F275)</f>
        <v/>
      </c>
      <c r="K275" s="32"/>
      <c r="L275" s="32"/>
      <c r="M275" s="32"/>
      <c r="N275" s="32"/>
      <c r="O275" s="41"/>
      <c r="P275" s="42" t="str">
        <f aca="false">IF(OR($N275="",$O275="",$O275=0),"",($N275/100)/$O275)</f>
        <v/>
      </c>
      <c r="Q275" s="43" t="str">
        <f aca="false">IF(OR($K275="",$L275="",$K275=0),"",($L275-$K275)/$K275)</f>
        <v/>
      </c>
      <c r="R275" s="32"/>
      <c r="S275" s="44" t="str">
        <f aca="false">IF(OR($L275="",$E275=""),"",60.7*$L275+45.3*$E275-2055)</f>
        <v/>
      </c>
      <c r="T275" s="45"/>
      <c r="U275" s="45"/>
      <c r="V275" s="45"/>
      <c r="W275" s="45"/>
      <c r="X275" s="32"/>
      <c r="Y275" s="32"/>
      <c r="Z275" s="39"/>
      <c r="AA275" s="46"/>
      <c r="AB275" s="42" t="str">
        <f aca="false">IF(OR($AA275="",$E275="",$E275=0),"",$AA275/$E275)</f>
        <v/>
      </c>
      <c r="AC275" s="27"/>
    </row>
    <row r="276" customFormat="false" ht="15" hidden="false" customHeight="false" outlineLevel="0" collapsed="false">
      <c r="A276" s="29"/>
      <c r="B276" s="27"/>
      <c r="C276" s="28"/>
      <c r="D276" s="27"/>
      <c r="E276" s="32"/>
      <c r="F276" s="39"/>
      <c r="G276" s="39"/>
      <c r="H276" s="39"/>
      <c r="I276" s="40" t="str">
        <f aca="false">IF(OR($G276="",$F276=""),"",$G276-$F276)</f>
        <v/>
      </c>
      <c r="J276" s="40" t="str">
        <f aca="false">IF(OR($H276="",$F276=""),"",$H276-$F276)</f>
        <v/>
      </c>
      <c r="K276" s="32"/>
      <c r="L276" s="32"/>
      <c r="M276" s="32"/>
      <c r="N276" s="32"/>
      <c r="O276" s="41"/>
      <c r="P276" s="42" t="str">
        <f aca="false">IF(OR($N276="",$O276="",$O276=0),"",($N276/100)/$O276)</f>
        <v/>
      </c>
      <c r="Q276" s="43" t="str">
        <f aca="false">IF(OR($K276="",$L276="",$K276=0),"",($L276-$K276)/$K276)</f>
        <v/>
      </c>
      <c r="R276" s="32"/>
      <c r="S276" s="44" t="str">
        <f aca="false">IF(OR($L276="",$E276=""),"",60.7*$L276+45.3*$E276-2055)</f>
        <v/>
      </c>
      <c r="T276" s="45"/>
      <c r="U276" s="45"/>
      <c r="V276" s="45"/>
      <c r="W276" s="45"/>
      <c r="X276" s="32"/>
      <c r="Y276" s="32"/>
      <c r="Z276" s="39"/>
      <c r="AA276" s="46"/>
      <c r="AB276" s="42" t="str">
        <f aca="false">IF(OR($AA276="",$E276="",$E276=0),"",$AA276/$E276)</f>
        <v/>
      </c>
      <c r="AC276" s="27"/>
    </row>
    <row r="277" customFormat="false" ht="15" hidden="false" customHeight="false" outlineLevel="0" collapsed="false">
      <c r="A277" s="29"/>
      <c r="B277" s="27"/>
      <c r="C277" s="28"/>
      <c r="D277" s="27"/>
      <c r="E277" s="32"/>
      <c r="F277" s="39"/>
      <c r="G277" s="39"/>
      <c r="H277" s="39"/>
      <c r="I277" s="40" t="str">
        <f aca="false">IF(OR($G277="",$F277=""),"",$G277-$F277)</f>
        <v/>
      </c>
      <c r="J277" s="40" t="str">
        <f aca="false">IF(OR($H277="",$F277=""),"",$H277-$F277)</f>
        <v/>
      </c>
      <c r="K277" s="32"/>
      <c r="L277" s="32"/>
      <c r="M277" s="32"/>
      <c r="N277" s="32"/>
      <c r="O277" s="41"/>
      <c r="P277" s="42" t="str">
        <f aca="false">IF(OR($N277="",$O277="",$O277=0),"",($N277/100)/$O277)</f>
        <v/>
      </c>
      <c r="Q277" s="43" t="str">
        <f aca="false">IF(OR($K277="",$L277="",$K277=0),"",($L277-$K277)/$K277)</f>
        <v/>
      </c>
      <c r="R277" s="32"/>
      <c r="S277" s="44" t="str">
        <f aca="false">IF(OR($L277="",$E277=""),"",60.7*$L277+45.3*$E277-2055)</f>
        <v/>
      </c>
      <c r="T277" s="45"/>
      <c r="U277" s="45"/>
      <c r="V277" s="45"/>
      <c r="W277" s="45"/>
      <c r="X277" s="32"/>
      <c r="Y277" s="32"/>
      <c r="Z277" s="39"/>
      <c r="AA277" s="46"/>
      <c r="AB277" s="42" t="str">
        <f aca="false">IF(OR($AA277="",$E277="",$E277=0),"",$AA277/$E277)</f>
        <v/>
      </c>
      <c r="AC277" s="27"/>
    </row>
    <row r="278" customFormat="false" ht="15" hidden="false" customHeight="false" outlineLevel="0" collapsed="false">
      <c r="A278" s="29"/>
      <c r="B278" s="27"/>
      <c r="C278" s="28"/>
      <c r="D278" s="27"/>
      <c r="E278" s="32"/>
      <c r="F278" s="39"/>
      <c r="G278" s="39"/>
      <c r="H278" s="39"/>
      <c r="I278" s="40" t="str">
        <f aca="false">IF(OR($G278="",$F278=""),"",$G278-$F278)</f>
        <v/>
      </c>
      <c r="J278" s="40" t="str">
        <f aca="false">IF(OR($H278="",$F278=""),"",$H278-$F278)</f>
        <v/>
      </c>
      <c r="K278" s="32"/>
      <c r="L278" s="32"/>
      <c r="M278" s="32"/>
      <c r="N278" s="32"/>
      <c r="O278" s="41"/>
      <c r="P278" s="42" t="str">
        <f aca="false">IF(OR($N278="",$O278="",$O278=0),"",($N278/100)/$O278)</f>
        <v/>
      </c>
      <c r="Q278" s="43" t="str">
        <f aca="false">IF(OR($K278="",$L278="",$K278=0),"",($L278-$K278)/$K278)</f>
        <v/>
      </c>
      <c r="R278" s="32"/>
      <c r="S278" s="44" t="str">
        <f aca="false">IF(OR($L278="",$E278=""),"",60.7*$L278+45.3*$E278-2055)</f>
        <v/>
      </c>
      <c r="T278" s="45"/>
      <c r="U278" s="45"/>
      <c r="V278" s="45"/>
      <c r="W278" s="45"/>
      <c r="X278" s="32"/>
      <c r="Y278" s="32"/>
      <c r="Z278" s="39"/>
      <c r="AA278" s="46"/>
      <c r="AB278" s="42" t="str">
        <f aca="false">IF(OR($AA278="",$E278="",$E278=0),"",$AA278/$E278)</f>
        <v/>
      </c>
      <c r="AC278" s="27"/>
    </row>
    <row r="279" customFormat="false" ht="15" hidden="false" customHeight="false" outlineLevel="0" collapsed="false">
      <c r="A279" s="29"/>
      <c r="B279" s="27"/>
      <c r="C279" s="28"/>
      <c r="D279" s="27"/>
      <c r="E279" s="32"/>
      <c r="F279" s="39"/>
      <c r="G279" s="39"/>
      <c r="H279" s="39"/>
      <c r="I279" s="40" t="str">
        <f aca="false">IF(OR($G279="",$F279=""),"",$G279-$F279)</f>
        <v/>
      </c>
      <c r="J279" s="40" t="str">
        <f aca="false">IF(OR($H279="",$F279=""),"",$H279-$F279)</f>
        <v/>
      </c>
      <c r="K279" s="32"/>
      <c r="L279" s="32"/>
      <c r="M279" s="32"/>
      <c r="N279" s="32"/>
      <c r="O279" s="41"/>
      <c r="P279" s="42" t="str">
        <f aca="false">IF(OR($N279="",$O279="",$O279=0),"",($N279/100)/$O279)</f>
        <v/>
      </c>
      <c r="Q279" s="43" t="str">
        <f aca="false">IF(OR($K279="",$L279="",$K279=0),"",($L279-$K279)/$K279)</f>
        <v/>
      </c>
      <c r="R279" s="32"/>
      <c r="S279" s="44" t="str">
        <f aca="false">IF(OR($L279="",$E279=""),"",60.7*$L279+45.3*$E279-2055)</f>
        <v/>
      </c>
      <c r="T279" s="45"/>
      <c r="U279" s="45"/>
      <c r="V279" s="45"/>
      <c r="W279" s="45"/>
      <c r="X279" s="32"/>
      <c r="Y279" s="32"/>
      <c r="Z279" s="39"/>
      <c r="AA279" s="46"/>
      <c r="AB279" s="42" t="str">
        <f aca="false">IF(OR($AA279="",$E279="",$E279=0),"",$AA279/$E279)</f>
        <v/>
      </c>
      <c r="AC279" s="27"/>
    </row>
    <row r="280" customFormat="false" ht="15" hidden="false" customHeight="false" outlineLevel="0" collapsed="false">
      <c r="A280" s="29"/>
      <c r="B280" s="27"/>
      <c r="C280" s="28"/>
      <c r="D280" s="27"/>
      <c r="E280" s="32"/>
      <c r="F280" s="39"/>
      <c r="G280" s="39"/>
      <c r="H280" s="39"/>
      <c r="I280" s="40" t="str">
        <f aca="false">IF(OR($G280="",$F280=""),"",$G280-$F280)</f>
        <v/>
      </c>
      <c r="J280" s="40" t="str">
        <f aca="false">IF(OR($H280="",$F280=""),"",$H280-$F280)</f>
        <v/>
      </c>
      <c r="K280" s="32"/>
      <c r="L280" s="32"/>
      <c r="M280" s="32"/>
      <c r="N280" s="32"/>
      <c r="O280" s="41"/>
      <c r="P280" s="42" t="str">
        <f aca="false">IF(OR($N280="",$O280="",$O280=0),"",($N280/100)/$O280)</f>
        <v/>
      </c>
      <c r="Q280" s="43" t="str">
        <f aca="false">IF(OR($K280="",$L280="",$K280=0),"",($L280-$K280)/$K280)</f>
        <v/>
      </c>
      <c r="R280" s="32"/>
      <c r="S280" s="44" t="str">
        <f aca="false">IF(OR($L280="",$E280=""),"",60.7*$L280+45.3*$E280-2055)</f>
        <v/>
      </c>
      <c r="T280" s="45"/>
      <c r="U280" s="45"/>
      <c r="V280" s="45"/>
      <c r="W280" s="45"/>
      <c r="X280" s="32"/>
      <c r="Y280" s="32"/>
      <c r="Z280" s="39"/>
      <c r="AA280" s="46"/>
      <c r="AB280" s="42" t="str">
        <f aca="false">IF(OR($AA280="",$E280="",$E280=0),"",$AA280/$E280)</f>
        <v/>
      </c>
      <c r="AC280" s="27"/>
    </row>
    <row r="281" customFormat="false" ht="15" hidden="false" customHeight="false" outlineLevel="0" collapsed="false">
      <c r="A281" s="29"/>
      <c r="B281" s="27"/>
      <c r="C281" s="28"/>
      <c r="D281" s="27"/>
      <c r="E281" s="32"/>
      <c r="F281" s="39"/>
      <c r="G281" s="39"/>
      <c r="H281" s="39"/>
      <c r="I281" s="40" t="str">
        <f aca="false">IF(OR($G281="",$F281=""),"",$G281-$F281)</f>
        <v/>
      </c>
      <c r="J281" s="40" t="str">
        <f aca="false">IF(OR($H281="",$F281=""),"",$H281-$F281)</f>
        <v/>
      </c>
      <c r="K281" s="32"/>
      <c r="L281" s="32"/>
      <c r="M281" s="32"/>
      <c r="N281" s="32"/>
      <c r="O281" s="41"/>
      <c r="P281" s="42" t="str">
        <f aca="false">IF(OR($N281="",$O281="",$O281=0),"",($N281/100)/$O281)</f>
        <v/>
      </c>
      <c r="Q281" s="43" t="str">
        <f aca="false">IF(OR($K281="",$L281="",$K281=0),"",($L281-$K281)/$K281)</f>
        <v/>
      </c>
      <c r="R281" s="32"/>
      <c r="S281" s="44" t="str">
        <f aca="false">IF(OR($L281="",$E281=""),"",60.7*$L281+45.3*$E281-2055)</f>
        <v/>
      </c>
      <c r="T281" s="45"/>
      <c r="U281" s="45"/>
      <c r="V281" s="45"/>
      <c r="W281" s="45"/>
      <c r="X281" s="32"/>
      <c r="Y281" s="32"/>
      <c r="Z281" s="39"/>
      <c r="AA281" s="46"/>
      <c r="AB281" s="42" t="str">
        <f aca="false">IF(OR($AA281="",$E281="",$E281=0),"",$AA281/$E281)</f>
        <v/>
      </c>
      <c r="AC281" s="27"/>
    </row>
    <row r="282" customFormat="false" ht="15" hidden="false" customHeight="false" outlineLevel="0" collapsed="false">
      <c r="A282" s="29"/>
      <c r="B282" s="27"/>
      <c r="C282" s="28"/>
      <c r="D282" s="27"/>
      <c r="E282" s="32"/>
      <c r="F282" s="39"/>
      <c r="G282" s="39"/>
      <c r="H282" s="39"/>
      <c r="I282" s="40" t="str">
        <f aca="false">IF(OR($G282="",$F282=""),"",$G282-$F282)</f>
        <v/>
      </c>
      <c r="J282" s="40" t="str">
        <f aca="false">IF(OR($H282="",$F282=""),"",$H282-$F282)</f>
        <v/>
      </c>
      <c r="K282" s="32"/>
      <c r="L282" s="32"/>
      <c r="M282" s="32"/>
      <c r="N282" s="32"/>
      <c r="O282" s="41"/>
      <c r="P282" s="42" t="str">
        <f aca="false">IF(OR($N282="",$O282="",$O282=0),"",($N282/100)/$O282)</f>
        <v/>
      </c>
      <c r="Q282" s="43" t="str">
        <f aca="false">IF(OR($K282="",$L282="",$K282=0),"",($L282-$K282)/$K282)</f>
        <v/>
      </c>
      <c r="R282" s="32"/>
      <c r="S282" s="44" t="str">
        <f aca="false">IF(OR($L282="",$E282=""),"",60.7*$L282+45.3*$E282-2055)</f>
        <v/>
      </c>
      <c r="T282" s="45"/>
      <c r="U282" s="45"/>
      <c r="V282" s="45"/>
      <c r="W282" s="45"/>
      <c r="X282" s="32"/>
      <c r="Y282" s="32"/>
      <c r="Z282" s="39"/>
      <c r="AA282" s="46"/>
      <c r="AB282" s="42" t="str">
        <f aca="false">IF(OR($AA282="",$E282="",$E282=0),"",$AA282/$E282)</f>
        <v/>
      </c>
      <c r="AC282" s="27"/>
    </row>
    <row r="283" customFormat="false" ht="15" hidden="false" customHeight="false" outlineLevel="0" collapsed="false">
      <c r="A283" s="29"/>
      <c r="B283" s="27"/>
      <c r="C283" s="28"/>
      <c r="D283" s="27"/>
      <c r="E283" s="32"/>
      <c r="F283" s="39"/>
      <c r="G283" s="39"/>
      <c r="H283" s="39"/>
      <c r="I283" s="40" t="str">
        <f aca="false">IF(OR($G283="",$F283=""),"",$G283-$F283)</f>
        <v/>
      </c>
      <c r="J283" s="40" t="str">
        <f aca="false">IF(OR($H283="",$F283=""),"",$H283-$F283)</f>
        <v/>
      </c>
      <c r="K283" s="32"/>
      <c r="L283" s="32"/>
      <c r="M283" s="32"/>
      <c r="N283" s="32"/>
      <c r="O283" s="41"/>
      <c r="P283" s="42" t="str">
        <f aca="false">IF(OR($N283="",$O283="",$O283=0),"",($N283/100)/$O283)</f>
        <v/>
      </c>
      <c r="Q283" s="43" t="str">
        <f aca="false">IF(OR($K283="",$L283="",$K283=0),"",($L283-$K283)/$K283)</f>
        <v/>
      </c>
      <c r="R283" s="32"/>
      <c r="S283" s="44" t="str">
        <f aca="false">IF(OR($L283="",$E283=""),"",60.7*$L283+45.3*$E283-2055)</f>
        <v/>
      </c>
      <c r="T283" s="45"/>
      <c r="U283" s="45"/>
      <c r="V283" s="45"/>
      <c r="W283" s="45"/>
      <c r="X283" s="32"/>
      <c r="Y283" s="32"/>
      <c r="Z283" s="39"/>
      <c r="AA283" s="46"/>
      <c r="AB283" s="42" t="str">
        <f aca="false">IF(OR($AA283="",$E283="",$E283=0),"",$AA283/$E283)</f>
        <v/>
      </c>
      <c r="AC283" s="27"/>
    </row>
    <row r="284" customFormat="false" ht="15" hidden="false" customHeight="false" outlineLevel="0" collapsed="false">
      <c r="A284" s="29"/>
      <c r="B284" s="27"/>
      <c r="C284" s="28"/>
      <c r="D284" s="27"/>
      <c r="E284" s="32"/>
      <c r="F284" s="39"/>
      <c r="G284" s="39"/>
      <c r="H284" s="39"/>
      <c r="I284" s="40" t="str">
        <f aca="false">IF(OR($G284="",$F284=""),"",$G284-$F284)</f>
        <v/>
      </c>
      <c r="J284" s="40" t="str">
        <f aca="false">IF(OR($H284="",$F284=""),"",$H284-$F284)</f>
        <v/>
      </c>
      <c r="K284" s="32"/>
      <c r="L284" s="32"/>
      <c r="M284" s="32"/>
      <c r="N284" s="32"/>
      <c r="O284" s="41"/>
      <c r="P284" s="42" t="str">
        <f aca="false">IF(OR($N284="",$O284="",$O284=0),"",($N284/100)/$O284)</f>
        <v/>
      </c>
      <c r="Q284" s="43" t="str">
        <f aca="false">IF(OR($K284="",$L284="",$K284=0),"",($L284-$K284)/$K284)</f>
        <v/>
      </c>
      <c r="R284" s="32"/>
      <c r="S284" s="44" t="str">
        <f aca="false">IF(OR($L284="",$E284=""),"",60.7*$L284+45.3*$E284-2055)</f>
        <v/>
      </c>
      <c r="T284" s="45"/>
      <c r="U284" s="45"/>
      <c r="V284" s="45"/>
      <c r="W284" s="45"/>
      <c r="X284" s="32"/>
      <c r="Y284" s="32"/>
      <c r="Z284" s="39"/>
      <c r="AA284" s="46"/>
      <c r="AB284" s="42" t="str">
        <f aca="false">IF(OR($AA284="",$E284="",$E284=0),"",$AA284/$E284)</f>
        <v/>
      </c>
      <c r="AC284" s="27"/>
    </row>
    <row r="285" customFormat="false" ht="15" hidden="false" customHeight="false" outlineLevel="0" collapsed="false">
      <c r="A285" s="29"/>
      <c r="B285" s="27"/>
      <c r="C285" s="28"/>
      <c r="D285" s="27"/>
      <c r="E285" s="32"/>
      <c r="F285" s="39"/>
      <c r="G285" s="39"/>
      <c r="H285" s="39"/>
      <c r="I285" s="40" t="str">
        <f aca="false">IF(OR($G285="",$F285=""),"",$G285-$F285)</f>
        <v/>
      </c>
      <c r="J285" s="40" t="str">
        <f aca="false">IF(OR($H285="",$F285=""),"",$H285-$F285)</f>
        <v/>
      </c>
      <c r="K285" s="32"/>
      <c r="L285" s="32"/>
      <c r="M285" s="32"/>
      <c r="N285" s="32"/>
      <c r="O285" s="41"/>
      <c r="P285" s="42" t="str">
        <f aca="false">IF(OR($N285="",$O285="",$O285=0),"",($N285/100)/$O285)</f>
        <v/>
      </c>
      <c r="Q285" s="43" t="str">
        <f aca="false">IF(OR($K285="",$L285="",$K285=0),"",($L285-$K285)/$K285)</f>
        <v/>
      </c>
      <c r="R285" s="32"/>
      <c r="S285" s="44" t="str">
        <f aca="false">IF(OR($L285="",$E285=""),"",60.7*$L285+45.3*$E285-2055)</f>
        <v/>
      </c>
      <c r="T285" s="45"/>
      <c r="U285" s="45"/>
      <c r="V285" s="45"/>
      <c r="W285" s="45"/>
      <c r="X285" s="32"/>
      <c r="Y285" s="32"/>
      <c r="Z285" s="39"/>
      <c r="AA285" s="46"/>
      <c r="AB285" s="42" t="str">
        <f aca="false">IF(OR($AA285="",$E285="",$E285=0),"",$AA285/$E285)</f>
        <v/>
      </c>
      <c r="AC285" s="27"/>
    </row>
    <row r="286" customFormat="false" ht="15" hidden="false" customHeight="false" outlineLevel="0" collapsed="false">
      <c r="A286" s="29"/>
      <c r="B286" s="27"/>
      <c r="C286" s="28"/>
      <c r="D286" s="27"/>
      <c r="E286" s="32"/>
      <c r="F286" s="39"/>
      <c r="G286" s="39"/>
      <c r="H286" s="39"/>
      <c r="I286" s="40" t="str">
        <f aca="false">IF(OR($G286="",$F286=""),"",$G286-$F286)</f>
        <v/>
      </c>
      <c r="J286" s="40" t="str">
        <f aca="false">IF(OR($H286="",$F286=""),"",$H286-$F286)</f>
        <v/>
      </c>
      <c r="K286" s="32"/>
      <c r="L286" s="32"/>
      <c r="M286" s="32"/>
      <c r="N286" s="32"/>
      <c r="O286" s="41"/>
      <c r="P286" s="42" t="str">
        <f aca="false">IF(OR($N286="",$O286="",$O286=0),"",($N286/100)/$O286)</f>
        <v/>
      </c>
      <c r="Q286" s="43" t="str">
        <f aca="false">IF(OR($K286="",$L286="",$K286=0),"",($L286-$K286)/$K286)</f>
        <v/>
      </c>
      <c r="R286" s="32"/>
      <c r="S286" s="44" t="str">
        <f aca="false">IF(OR($L286="",$E286=""),"",60.7*$L286+45.3*$E286-2055)</f>
        <v/>
      </c>
      <c r="T286" s="45"/>
      <c r="U286" s="45"/>
      <c r="V286" s="45"/>
      <c r="W286" s="45"/>
      <c r="X286" s="32"/>
      <c r="Y286" s="32"/>
      <c r="Z286" s="39"/>
      <c r="AA286" s="46"/>
      <c r="AB286" s="42" t="str">
        <f aca="false">IF(OR($AA286="",$E286="",$E286=0),"",$AA286/$E286)</f>
        <v/>
      </c>
      <c r="AC286" s="27"/>
    </row>
    <row r="287" customFormat="false" ht="15" hidden="false" customHeight="false" outlineLevel="0" collapsed="false">
      <c r="A287" s="29"/>
      <c r="B287" s="27"/>
      <c r="C287" s="28"/>
      <c r="D287" s="27"/>
      <c r="E287" s="32"/>
      <c r="F287" s="39"/>
      <c r="G287" s="39"/>
      <c r="H287" s="39"/>
      <c r="I287" s="40" t="str">
        <f aca="false">IF(OR($G287="",$F287=""),"",$G287-$F287)</f>
        <v/>
      </c>
      <c r="J287" s="40" t="str">
        <f aca="false">IF(OR($H287="",$F287=""),"",$H287-$F287)</f>
        <v/>
      </c>
      <c r="K287" s="32"/>
      <c r="L287" s="32"/>
      <c r="M287" s="32"/>
      <c r="N287" s="32"/>
      <c r="O287" s="41"/>
      <c r="P287" s="42" t="str">
        <f aca="false">IF(OR($N287="",$O287="",$O287=0),"",($N287/100)/$O287)</f>
        <v/>
      </c>
      <c r="Q287" s="43" t="str">
        <f aca="false">IF(OR($K287="",$L287="",$K287=0),"",($L287-$K287)/$K287)</f>
        <v/>
      </c>
      <c r="R287" s="32"/>
      <c r="S287" s="44" t="str">
        <f aca="false">IF(OR($L287="",$E287=""),"",60.7*$L287+45.3*$E287-2055)</f>
        <v/>
      </c>
      <c r="T287" s="45"/>
      <c r="U287" s="45"/>
      <c r="V287" s="45"/>
      <c r="W287" s="45"/>
      <c r="X287" s="32"/>
      <c r="Y287" s="32"/>
      <c r="Z287" s="39"/>
      <c r="AA287" s="46"/>
      <c r="AB287" s="42" t="str">
        <f aca="false">IF(OR($AA287="",$E287="",$E287=0),"",$AA287/$E287)</f>
        <v/>
      </c>
      <c r="AC287" s="27"/>
    </row>
    <row r="288" customFormat="false" ht="15" hidden="false" customHeight="false" outlineLevel="0" collapsed="false">
      <c r="A288" s="29"/>
      <c r="B288" s="27"/>
      <c r="C288" s="28"/>
      <c r="D288" s="27"/>
      <c r="E288" s="32"/>
      <c r="F288" s="39"/>
      <c r="G288" s="39"/>
      <c r="H288" s="39"/>
      <c r="I288" s="40" t="str">
        <f aca="false">IF(OR($G288="",$F288=""),"",$G288-$F288)</f>
        <v/>
      </c>
      <c r="J288" s="40" t="str">
        <f aca="false">IF(OR($H288="",$F288=""),"",$H288-$F288)</f>
        <v/>
      </c>
      <c r="K288" s="32"/>
      <c r="L288" s="32"/>
      <c r="M288" s="32"/>
      <c r="N288" s="32"/>
      <c r="O288" s="41"/>
      <c r="P288" s="42" t="str">
        <f aca="false">IF(OR($N288="",$O288="",$O288=0),"",($N288/100)/$O288)</f>
        <v/>
      </c>
      <c r="Q288" s="43" t="str">
        <f aca="false">IF(OR($K288="",$L288="",$K288=0),"",($L288-$K288)/$K288)</f>
        <v/>
      </c>
      <c r="R288" s="32"/>
      <c r="S288" s="44" t="str">
        <f aca="false">IF(OR($L288="",$E288=""),"",60.7*$L288+45.3*$E288-2055)</f>
        <v/>
      </c>
      <c r="T288" s="45"/>
      <c r="U288" s="45"/>
      <c r="V288" s="45"/>
      <c r="W288" s="45"/>
      <c r="X288" s="32"/>
      <c r="Y288" s="32"/>
      <c r="Z288" s="39"/>
      <c r="AA288" s="46"/>
      <c r="AB288" s="42" t="str">
        <f aca="false">IF(OR($AA288="",$E288="",$E288=0),"",$AA288/$E288)</f>
        <v/>
      </c>
      <c r="AC288" s="27"/>
    </row>
    <row r="289" customFormat="false" ht="15" hidden="false" customHeight="false" outlineLevel="0" collapsed="false">
      <c r="A289" s="29"/>
      <c r="B289" s="27"/>
      <c r="C289" s="28"/>
      <c r="D289" s="27"/>
      <c r="E289" s="32"/>
      <c r="F289" s="39"/>
      <c r="G289" s="39"/>
      <c r="H289" s="39"/>
      <c r="I289" s="40" t="str">
        <f aca="false">IF(OR($G289="",$F289=""),"",$G289-$F289)</f>
        <v/>
      </c>
      <c r="J289" s="40" t="str">
        <f aca="false">IF(OR($H289="",$F289=""),"",$H289-$F289)</f>
        <v/>
      </c>
      <c r="K289" s="32"/>
      <c r="L289" s="32"/>
      <c r="M289" s="32"/>
      <c r="N289" s="32"/>
      <c r="O289" s="41"/>
      <c r="P289" s="42" t="str">
        <f aca="false">IF(OR($N289="",$O289="",$O289=0),"",($N289/100)/$O289)</f>
        <v/>
      </c>
      <c r="Q289" s="43" t="str">
        <f aca="false">IF(OR($K289="",$L289="",$K289=0),"",($L289-$K289)/$K289)</f>
        <v/>
      </c>
      <c r="R289" s="32"/>
      <c r="S289" s="44" t="str">
        <f aca="false">IF(OR($L289="",$E289=""),"",60.7*$L289+45.3*$E289-2055)</f>
        <v/>
      </c>
      <c r="T289" s="45"/>
      <c r="U289" s="45"/>
      <c r="V289" s="45"/>
      <c r="W289" s="45"/>
      <c r="X289" s="32"/>
      <c r="Y289" s="32"/>
      <c r="Z289" s="39"/>
      <c r="AA289" s="46"/>
      <c r="AB289" s="42" t="str">
        <f aca="false">IF(OR($AA289="",$E289="",$E289=0),"",$AA289/$E289)</f>
        <v/>
      </c>
      <c r="AC289" s="27"/>
    </row>
    <row r="290" customFormat="false" ht="15" hidden="false" customHeight="false" outlineLevel="0" collapsed="false">
      <c r="A290" s="29"/>
      <c r="B290" s="27"/>
      <c r="C290" s="28"/>
      <c r="D290" s="27"/>
      <c r="E290" s="32"/>
      <c r="F290" s="39"/>
      <c r="G290" s="39"/>
      <c r="H290" s="39"/>
      <c r="I290" s="40" t="str">
        <f aca="false">IF(OR($G290="",$F290=""),"",$G290-$F290)</f>
        <v/>
      </c>
      <c r="J290" s="40" t="str">
        <f aca="false">IF(OR($H290="",$F290=""),"",$H290-$F290)</f>
        <v/>
      </c>
      <c r="K290" s="32"/>
      <c r="L290" s="32"/>
      <c r="M290" s="32"/>
      <c r="N290" s="32"/>
      <c r="O290" s="41"/>
      <c r="P290" s="42" t="str">
        <f aca="false">IF(OR($N290="",$O290="",$O290=0),"",($N290/100)/$O290)</f>
        <v/>
      </c>
      <c r="Q290" s="43" t="str">
        <f aca="false">IF(OR($K290="",$L290="",$K290=0),"",($L290-$K290)/$K290)</f>
        <v/>
      </c>
      <c r="R290" s="32"/>
      <c r="S290" s="44" t="str">
        <f aca="false">IF(OR($L290="",$E290=""),"",60.7*$L290+45.3*$E290-2055)</f>
        <v/>
      </c>
      <c r="T290" s="45"/>
      <c r="U290" s="45"/>
      <c r="V290" s="45"/>
      <c r="W290" s="45"/>
      <c r="X290" s="32"/>
      <c r="Y290" s="32"/>
      <c r="Z290" s="39"/>
      <c r="AA290" s="46"/>
      <c r="AB290" s="42" t="str">
        <f aca="false">IF(OR($AA290="",$E290="",$E290=0),"",$AA290/$E290)</f>
        <v/>
      </c>
      <c r="AC290" s="27"/>
    </row>
    <row r="291" customFormat="false" ht="15" hidden="false" customHeight="false" outlineLevel="0" collapsed="false">
      <c r="A291" s="29"/>
      <c r="B291" s="27"/>
      <c r="C291" s="28"/>
      <c r="D291" s="27"/>
      <c r="E291" s="32"/>
      <c r="F291" s="39"/>
      <c r="G291" s="39"/>
      <c r="H291" s="39"/>
      <c r="I291" s="40" t="str">
        <f aca="false">IF(OR($G291="",$F291=""),"",$G291-$F291)</f>
        <v/>
      </c>
      <c r="J291" s="40" t="str">
        <f aca="false">IF(OR($H291="",$F291=""),"",$H291-$F291)</f>
        <v/>
      </c>
      <c r="K291" s="32"/>
      <c r="L291" s="32"/>
      <c r="M291" s="32"/>
      <c r="N291" s="32"/>
      <c r="O291" s="41"/>
      <c r="P291" s="42" t="str">
        <f aca="false">IF(OR($N291="",$O291="",$O291=0),"",($N291/100)/$O291)</f>
        <v/>
      </c>
      <c r="Q291" s="43" t="str">
        <f aca="false">IF(OR($K291="",$L291="",$K291=0),"",($L291-$K291)/$K291)</f>
        <v/>
      </c>
      <c r="R291" s="32"/>
      <c r="S291" s="44" t="str">
        <f aca="false">IF(OR($L291="",$E291=""),"",60.7*$L291+45.3*$E291-2055)</f>
        <v/>
      </c>
      <c r="T291" s="45"/>
      <c r="U291" s="45"/>
      <c r="V291" s="45"/>
      <c r="W291" s="45"/>
      <c r="X291" s="32"/>
      <c r="Y291" s="32"/>
      <c r="Z291" s="39"/>
      <c r="AA291" s="46"/>
      <c r="AB291" s="42" t="str">
        <f aca="false">IF(OR($AA291="",$E291="",$E291=0),"",$AA291/$E291)</f>
        <v/>
      </c>
      <c r="AC291" s="27"/>
    </row>
    <row r="292" customFormat="false" ht="15" hidden="false" customHeight="false" outlineLevel="0" collapsed="false">
      <c r="A292" s="29"/>
      <c r="B292" s="27"/>
      <c r="C292" s="28"/>
      <c r="D292" s="27"/>
      <c r="E292" s="32"/>
      <c r="F292" s="39"/>
      <c r="G292" s="39"/>
      <c r="H292" s="39"/>
      <c r="I292" s="40" t="str">
        <f aca="false">IF(OR($G292="",$F292=""),"",$G292-$F292)</f>
        <v/>
      </c>
      <c r="J292" s="40" t="str">
        <f aca="false">IF(OR($H292="",$F292=""),"",$H292-$F292)</f>
        <v/>
      </c>
      <c r="K292" s="32"/>
      <c r="L292" s="32"/>
      <c r="M292" s="32"/>
      <c r="N292" s="32"/>
      <c r="O292" s="41"/>
      <c r="P292" s="42" t="str">
        <f aca="false">IF(OR($N292="",$O292="",$O292=0),"",($N292/100)/$O292)</f>
        <v/>
      </c>
      <c r="Q292" s="43" t="str">
        <f aca="false">IF(OR($K292="",$L292="",$K292=0),"",($L292-$K292)/$K292)</f>
        <v/>
      </c>
      <c r="R292" s="32"/>
      <c r="S292" s="44" t="str">
        <f aca="false">IF(OR($L292="",$E292=""),"",60.7*$L292+45.3*$E292-2055)</f>
        <v/>
      </c>
      <c r="T292" s="45"/>
      <c r="U292" s="45"/>
      <c r="V292" s="45"/>
      <c r="W292" s="45"/>
      <c r="X292" s="32"/>
      <c r="Y292" s="32"/>
      <c r="Z292" s="39"/>
      <c r="AA292" s="46"/>
      <c r="AB292" s="42" t="str">
        <f aca="false">IF(OR($AA292="",$E292="",$E292=0),"",$AA292/$E292)</f>
        <v/>
      </c>
      <c r="AC292" s="27"/>
    </row>
    <row r="293" customFormat="false" ht="15" hidden="false" customHeight="false" outlineLevel="0" collapsed="false">
      <c r="A293" s="29"/>
      <c r="B293" s="27"/>
      <c r="C293" s="28"/>
      <c r="D293" s="27"/>
      <c r="E293" s="32"/>
      <c r="F293" s="39"/>
      <c r="G293" s="39"/>
      <c r="H293" s="39"/>
      <c r="I293" s="40" t="str">
        <f aca="false">IF(OR($G293="",$F293=""),"",$G293-$F293)</f>
        <v/>
      </c>
      <c r="J293" s="40" t="str">
        <f aca="false">IF(OR($H293="",$F293=""),"",$H293-$F293)</f>
        <v/>
      </c>
      <c r="K293" s="32"/>
      <c r="L293" s="32"/>
      <c r="M293" s="32"/>
      <c r="N293" s="32"/>
      <c r="O293" s="41"/>
      <c r="P293" s="42" t="str">
        <f aca="false">IF(OR($N293="",$O293="",$O293=0),"",($N293/100)/$O293)</f>
        <v/>
      </c>
      <c r="Q293" s="43" t="str">
        <f aca="false">IF(OR($K293="",$L293="",$K293=0),"",($L293-$K293)/$K293)</f>
        <v/>
      </c>
      <c r="R293" s="32"/>
      <c r="S293" s="44" t="str">
        <f aca="false">IF(OR($L293="",$E293=""),"",60.7*$L293+45.3*$E293-2055)</f>
        <v/>
      </c>
      <c r="T293" s="45"/>
      <c r="U293" s="45"/>
      <c r="V293" s="45"/>
      <c r="W293" s="45"/>
      <c r="X293" s="32"/>
      <c r="Y293" s="32"/>
      <c r="Z293" s="39"/>
      <c r="AA293" s="46"/>
      <c r="AB293" s="42" t="str">
        <f aca="false">IF(OR($AA293="",$E293="",$E293=0),"",$AA293/$E293)</f>
        <v/>
      </c>
      <c r="AC293" s="27"/>
    </row>
    <row r="294" customFormat="false" ht="15" hidden="false" customHeight="false" outlineLevel="0" collapsed="false">
      <c r="A294" s="29"/>
      <c r="B294" s="27"/>
      <c r="C294" s="28"/>
      <c r="D294" s="27"/>
      <c r="E294" s="32"/>
      <c r="F294" s="39"/>
      <c r="G294" s="39"/>
      <c r="H294" s="39"/>
      <c r="I294" s="40" t="str">
        <f aca="false">IF(OR($G294="",$F294=""),"",$G294-$F294)</f>
        <v/>
      </c>
      <c r="J294" s="40" t="str">
        <f aca="false">IF(OR($H294="",$F294=""),"",$H294-$F294)</f>
        <v/>
      </c>
      <c r="K294" s="32"/>
      <c r="L294" s="32"/>
      <c r="M294" s="32"/>
      <c r="N294" s="32"/>
      <c r="O294" s="41"/>
      <c r="P294" s="42" t="str">
        <f aca="false">IF(OR($N294="",$O294="",$O294=0),"",($N294/100)/$O294)</f>
        <v/>
      </c>
      <c r="Q294" s="43" t="str">
        <f aca="false">IF(OR($K294="",$L294="",$K294=0),"",($L294-$K294)/$K294)</f>
        <v/>
      </c>
      <c r="R294" s="32"/>
      <c r="S294" s="44" t="str">
        <f aca="false">IF(OR($L294="",$E294=""),"",60.7*$L294+45.3*$E294-2055)</f>
        <v/>
      </c>
      <c r="T294" s="45"/>
      <c r="U294" s="45"/>
      <c r="V294" s="45"/>
      <c r="W294" s="45"/>
      <c r="X294" s="32"/>
      <c r="Y294" s="32"/>
      <c r="Z294" s="39"/>
      <c r="AA294" s="46"/>
      <c r="AB294" s="42" t="str">
        <f aca="false">IF(OR($AA294="",$E294="",$E294=0),"",$AA294/$E294)</f>
        <v/>
      </c>
      <c r="AC294" s="27"/>
    </row>
    <row r="295" customFormat="false" ht="15" hidden="false" customHeight="false" outlineLevel="0" collapsed="false">
      <c r="A295" s="29"/>
      <c r="B295" s="27"/>
      <c r="C295" s="28"/>
      <c r="D295" s="27"/>
      <c r="E295" s="32"/>
      <c r="F295" s="39"/>
      <c r="G295" s="39"/>
      <c r="H295" s="39"/>
      <c r="I295" s="40" t="str">
        <f aca="false">IF(OR($G295="",$F295=""),"",$G295-$F295)</f>
        <v/>
      </c>
      <c r="J295" s="40" t="str">
        <f aca="false">IF(OR($H295="",$F295=""),"",$H295-$F295)</f>
        <v/>
      </c>
      <c r="K295" s="32"/>
      <c r="L295" s="32"/>
      <c r="M295" s="32"/>
      <c r="N295" s="32"/>
      <c r="O295" s="41"/>
      <c r="P295" s="42" t="str">
        <f aca="false">IF(OR($N295="",$O295="",$O295=0),"",($N295/100)/$O295)</f>
        <v/>
      </c>
      <c r="Q295" s="43" t="str">
        <f aca="false">IF(OR($K295="",$L295="",$K295=0),"",($L295-$K295)/$K295)</f>
        <v/>
      </c>
      <c r="R295" s="32"/>
      <c r="S295" s="44" t="str">
        <f aca="false">IF(OR($L295="",$E295=""),"",60.7*$L295+45.3*$E295-2055)</f>
        <v/>
      </c>
      <c r="T295" s="45"/>
      <c r="U295" s="45"/>
      <c r="V295" s="45"/>
      <c r="W295" s="45"/>
      <c r="X295" s="32"/>
      <c r="Y295" s="32"/>
      <c r="Z295" s="39"/>
      <c r="AA295" s="46"/>
      <c r="AB295" s="42" t="str">
        <f aca="false">IF(OR($AA295="",$E295="",$E295=0),"",$AA295/$E295)</f>
        <v/>
      </c>
      <c r="AC295" s="27"/>
    </row>
    <row r="296" customFormat="false" ht="15" hidden="false" customHeight="false" outlineLevel="0" collapsed="false">
      <c r="A296" s="29"/>
      <c r="B296" s="27"/>
      <c r="C296" s="28"/>
      <c r="D296" s="27"/>
      <c r="E296" s="32"/>
      <c r="F296" s="39"/>
      <c r="G296" s="39"/>
      <c r="H296" s="39"/>
      <c r="I296" s="40" t="str">
        <f aca="false">IF(OR($G296="",$F296=""),"",$G296-$F296)</f>
        <v/>
      </c>
      <c r="J296" s="40" t="str">
        <f aca="false">IF(OR($H296="",$F296=""),"",$H296-$F296)</f>
        <v/>
      </c>
      <c r="K296" s="32"/>
      <c r="L296" s="32"/>
      <c r="M296" s="32"/>
      <c r="N296" s="32"/>
      <c r="O296" s="41"/>
      <c r="P296" s="42" t="str">
        <f aca="false">IF(OR($N296="",$O296="",$O296=0),"",($N296/100)/$O296)</f>
        <v/>
      </c>
      <c r="Q296" s="43" t="str">
        <f aca="false">IF(OR($K296="",$L296="",$K296=0),"",($L296-$K296)/$K296)</f>
        <v/>
      </c>
      <c r="R296" s="32"/>
      <c r="S296" s="44" t="str">
        <f aca="false">IF(OR($L296="",$E296=""),"",60.7*$L296+45.3*$E296-2055)</f>
        <v/>
      </c>
      <c r="T296" s="45"/>
      <c r="U296" s="45"/>
      <c r="V296" s="45"/>
      <c r="W296" s="45"/>
      <c r="X296" s="32"/>
      <c r="Y296" s="32"/>
      <c r="Z296" s="39"/>
      <c r="AA296" s="46"/>
      <c r="AB296" s="42" t="str">
        <f aca="false">IF(OR($AA296="",$E296="",$E296=0),"",$AA296/$E296)</f>
        <v/>
      </c>
      <c r="AC296" s="27"/>
    </row>
    <row r="297" customFormat="false" ht="15" hidden="false" customHeight="false" outlineLevel="0" collapsed="false">
      <c r="A297" s="29"/>
      <c r="B297" s="27"/>
      <c r="C297" s="28"/>
      <c r="D297" s="27"/>
      <c r="E297" s="32"/>
      <c r="F297" s="39"/>
      <c r="G297" s="39"/>
      <c r="H297" s="39"/>
      <c r="I297" s="40" t="str">
        <f aca="false">IF(OR($G297="",$F297=""),"",$G297-$F297)</f>
        <v/>
      </c>
      <c r="J297" s="40" t="str">
        <f aca="false">IF(OR($H297="",$F297=""),"",$H297-$F297)</f>
        <v/>
      </c>
      <c r="K297" s="32"/>
      <c r="L297" s="32"/>
      <c r="M297" s="32"/>
      <c r="N297" s="32"/>
      <c r="O297" s="41"/>
      <c r="P297" s="42" t="str">
        <f aca="false">IF(OR($N297="",$O297="",$O297=0),"",($N297/100)/$O297)</f>
        <v/>
      </c>
      <c r="Q297" s="43" t="str">
        <f aca="false">IF(OR($K297="",$L297="",$K297=0),"",($L297-$K297)/$K297)</f>
        <v/>
      </c>
      <c r="R297" s="32"/>
      <c r="S297" s="44" t="str">
        <f aca="false">IF(OR($L297="",$E297=""),"",60.7*$L297+45.3*$E297-2055)</f>
        <v/>
      </c>
      <c r="T297" s="45"/>
      <c r="U297" s="45"/>
      <c r="V297" s="45"/>
      <c r="W297" s="45"/>
      <c r="X297" s="32"/>
      <c r="Y297" s="32"/>
      <c r="Z297" s="39"/>
      <c r="AA297" s="46"/>
      <c r="AB297" s="42" t="str">
        <f aca="false">IF(OR($AA297="",$E297="",$E297=0),"",$AA297/$E297)</f>
        <v/>
      </c>
      <c r="AC297" s="27"/>
    </row>
    <row r="298" customFormat="false" ht="15" hidden="false" customHeight="false" outlineLevel="0" collapsed="false">
      <c r="A298" s="29"/>
      <c r="B298" s="27"/>
      <c r="C298" s="28"/>
      <c r="D298" s="27"/>
      <c r="E298" s="32"/>
      <c r="F298" s="39"/>
      <c r="G298" s="39"/>
      <c r="H298" s="39"/>
      <c r="I298" s="40" t="str">
        <f aca="false">IF(OR($G298="",$F298=""),"",$G298-$F298)</f>
        <v/>
      </c>
      <c r="J298" s="40" t="str">
        <f aca="false">IF(OR($H298="",$F298=""),"",$H298-$F298)</f>
        <v/>
      </c>
      <c r="K298" s="32"/>
      <c r="L298" s="32"/>
      <c r="M298" s="32"/>
      <c r="N298" s="32"/>
      <c r="O298" s="41"/>
      <c r="P298" s="42" t="str">
        <f aca="false">IF(OR($N298="",$O298="",$O298=0),"",($N298/100)/$O298)</f>
        <v/>
      </c>
      <c r="Q298" s="43" t="str">
        <f aca="false">IF(OR($K298="",$L298="",$K298=0),"",($L298-$K298)/$K298)</f>
        <v/>
      </c>
      <c r="R298" s="32"/>
      <c r="S298" s="44" t="str">
        <f aca="false">IF(OR($L298="",$E298=""),"",60.7*$L298+45.3*$E298-2055)</f>
        <v/>
      </c>
      <c r="T298" s="45"/>
      <c r="U298" s="45"/>
      <c r="V298" s="45"/>
      <c r="W298" s="45"/>
      <c r="X298" s="32"/>
      <c r="Y298" s="32"/>
      <c r="Z298" s="39"/>
      <c r="AA298" s="46"/>
      <c r="AB298" s="42" t="str">
        <f aca="false">IF(OR($AA298="",$E298="",$E298=0),"",$AA298/$E298)</f>
        <v/>
      </c>
      <c r="AC298" s="27"/>
    </row>
    <row r="299" customFormat="false" ht="15" hidden="false" customHeight="false" outlineLevel="0" collapsed="false">
      <c r="A299" s="29"/>
      <c r="B299" s="27"/>
      <c r="C299" s="28"/>
      <c r="D299" s="27"/>
      <c r="E299" s="32"/>
      <c r="F299" s="39"/>
      <c r="G299" s="39"/>
      <c r="H299" s="39"/>
      <c r="I299" s="40" t="str">
        <f aca="false">IF(OR($G299="",$F299=""),"",$G299-$F299)</f>
        <v/>
      </c>
      <c r="J299" s="40" t="str">
        <f aca="false">IF(OR($H299="",$F299=""),"",$H299-$F299)</f>
        <v/>
      </c>
      <c r="K299" s="32"/>
      <c r="L299" s="32"/>
      <c r="M299" s="32"/>
      <c r="N299" s="32"/>
      <c r="O299" s="41"/>
      <c r="P299" s="42" t="str">
        <f aca="false">IF(OR($N299="",$O299="",$O299=0),"",($N299/100)/$O299)</f>
        <v/>
      </c>
      <c r="Q299" s="43" t="str">
        <f aca="false">IF(OR($K299="",$L299="",$K299=0),"",($L299-$K299)/$K299)</f>
        <v/>
      </c>
      <c r="R299" s="32"/>
      <c r="S299" s="44" t="str">
        <f aca="false">IF(OR($L299="",$E299=""),"",60.7*$L299+45.3*$E299-2055)</f>
        <v/>
      </c>
      <c r="T299" s="45"/>
      <c r="U299" s="45"/>
      <c r="V299" s="45"/>
      <c r="W299" s="45"/>
      <c r="X299" s="32"/>
      <c r="Y299" s="32"/>
      <c r="Z299" s="39"/>
      <c r="AA299" s="46"/>
      <c r="AB299" s="42" t="str">
        <f aca="false">IF(OR($AA299="",$E299="",$E299=0),"",$AA299/$E299)</f>
        <v/>
      </c>
      <c r="AC299" s="27"/>
    </row>
    <row r="300" customFormat="false" ht="15" hidden="false" customHeight="false" outlineLevel="0" collapsed="false">
      <c r="A300" s="29"/>
      <c r="B300" s="27"/>
      <c r="C300" s="28"/>
      <c r="D300" s="27"/>
      <c r="E300" s="32"/>
      <c r="F300" s="39"/>
      <c r="G300" s="39"/>
      <c r="H300" s="39"/>
      <c r="I300" s="40" t="str">
        <f aca="false">IF(OR($G300="",$F300=""),"",$G300-$F300)</f>
        <v/>
      </c>
      <c r="J300" s="40" t="str">
        <f aca="false">IF(OR($H300="",$F300=""),"",$H300-$F300)</f>
        <v/>
      </c>
      <c r="K300" s="32"/>
      <c r="L300" s="32"/>
      <c r="M300" s="32"/>
      <c r="N300" s="32"/>
      <c r="O300" s="41"/>
      <c r="P300" s="42" t="str">
        <f aca="false">IF(OR($N300="",$O300="",$O300=0),"",($N300/100)/$O300)</f>
        <v/>
      </c>
      <c r="Q300" s="43" t="str">
        <f aca="false">IF(OR($K300="",$L300="",$K300=0),"",($L300-$K300)/$K300)</f>
        <v/>
      </c>
      <c r="R300" s="32"/>
      <c r="S300" s="44" t="str">
        <f aca="false">IF(OR($L300="",$E300=""),"",60.7*$L300+45.3*$E300-2055)</f>
        <v/>
      </c>
      <c r="T300" s="45"/>
      <c r="U300" s="45"/>
      <c r="V300" s="45"/>
      <c r="W300" s="45"/>
      <c r="X300" s="32"/>
      <c r="Y300" s="32"/>
      <c r="Z300" s="39"/>
      <c r="AA300" s="46"/>
      <c r="AB300" s="42" t="str">
        <f aca="false">IF(OR($AA300="",$E300="",$E300=0),"",$AA300/$E300)</f>
        <v/>
      </c>
      <c r="AC300" s="27"/>
    </row>
    <row r="301" customFormat="false" ht="15" hidden="false" customHeight="false" outlineLevel="0" collapsed="false">
      <c r="A301" s="29"/>
      <c r="B301" s="27"/>
      <c r="C301" s="28"/>
      <c r="D301" s="27"/>
      <c r="E301" s="32"/>
      <c r="F301" s="39"/>
      <c r="G301" s="39"/>
      <c r="H301" s="39"/>
      <c r="I301" s="40" t="str">
        <f aca="false">IF(OR($G301="",$F301=""),"",$G301-$F301)</f>
        <v/>
      </c>
      <c r="J301" s="40" t="str">
        <f aca="false">IF(OR($H301="",$F301=""),"",$H301-$F301)</f>
        <v/>
      </c>
      <c r="K301" s="32"/>
      <c r="L301" s="32"/>
      <c r="M301" s="32"/>
      <c r="N301" s="32"/>
      <c r="O301" s="41"/>
      <c r="P301" s="42" t="str">
        <f aca="false">IF(OR($N301="",$O301="",$O301=0),"",($N301/100)/$O301)</f>
        <v/>
      </c>
      <c r="Q301" s="43" t="str">
        <f aca="false">IF(OR($K301="",$L301="",$K301=0),"",($L301-$K301)/$K301)</f>
        <v/>
      </c>
      <c r="R301" s="32"/>
      <c r="S301" s="44" t="str">
        <f aca="false">IF(OR($L301="",$E301=""),"",60.7*$L301+45.3*$E301-2055)</f>
        <v/>
      </c>
      <c r="T301" s="45"/>
      <c r="U301" s="45"/>
      <c r="V301" s="45"/>
      <c r="W301" s="45"/>
      <c r="X301" s="32"/>
      <c r="Y301" s="32"/>
      <c r="Z301" s="39"/>
      <c r="AA301" s="46"/>
      <c r="AB301" s="42" t="str">
        <f aca="false">IF(OR($AA301="",$E301="",$E301=0),"",$AA301/$E301)</f>
        <v/>
      </c>
      <c r="AC301" s="27"/>
    </row>
    <row r="302" customFormat="false" ht="15" hidden="false" customHeight="false" outlineLevel="0" collapsed="false">
      <c r="A302" s="29"/>
      <c r="B302" s="27"/>
      <c r="C302" s="28"/>
      <c r="D302" s="27"/>
      <c r="E302" s="32"/>
      <c r="F302" s="39"/>
      <c r="G302" s="39"/>
      <c r="H302" s="39"/>
      <c r="I302" s="40" t="str">
        <f aca="false">IF(OR($G302="",$F302=""),"",$G302-$F302)</f>
        <v/>
      </c>
      <c r="J302" s="40" t="str">
        <f aca="false">IF(OR($H302="",$F302=""),"",$H302-$F302)</f>
        <v/>
      </c>
      <c r="K302" s="32"/>
      <c r="L302" s="32"/>
      <c r="M302" s="32"/>
      <c r="N302" s="32"/>
      <c r="O302" s="41"/>
      <c r="P302" s="42" t="str">
        <f aca="false">IF(OR($N302="",$O302="",$O302=0),"",($N302/100)/$O302)</f>
        <v/>
      </c>
      <c r="Q302" s="43" t="str">
        <f aca="false">IF(OR($K302="",$L302="",$K302=0),"",($L302-$K302)/$K302)</f>
        <v/>
      </c>
      <c r="R302" s="32"/>
      <c r="S302" s="44" t="str">
        <f aca="false">IF(OR($L302="",$E302=""),"",60.7*$L302+45.3*$E302-2055)</f>
        <v/>
      </c>
      <c r="T302" s="45"/>
      <c r="U302" s="45"/>
      <c r="V302" s="45"/>
      <c r="W302" s="45"/>
      <c r="X302" s="32"/>
      <c r="Y302" s="32"/>
      <c r="Z302" s="39"/>
      <c r="AA302" s="46"/>
      <c r="AB302" s="42" t="str">
        <f aca="false">IF(OR($AA302="",$E302="",$E302=0),"",$AA302/$E302)</f>
        <v/>
      </c>
      <c r="AC302" s="27"/>
    </row>
    <row r="303" customFormat="false" ht="15" hidden="false" customHeight="false" outlineLevel="0" collapsed="false">
      <c r="A303" s="29"/>
      <c r="B303" s="27"/>
      <c r="C303" s="28"/>
      <c r="D303" s="27"/>
      <c r="E303" s="32"/>
      <c r="F303" s="39"/>
      <c r="G303" s="39"/>
      <c r="H303" s="39"/>
      <c r="I303" s="40" t="str">
        <f aca="false">IF(OR($G303="",$F303=""),"",$G303-$F303)</f>
        <v/>
      </c>
      <c r="J303" s="40" t="str">
        <f aca="false">IF(OR($H303="",$F303=""),"",$H303-$F303)</f>
        <v/>
      </c>
      <c r="K303" s="32"/>
      <c r="L303" s="32"/>
      <c r="M303" s="32"/>
      <c r="N303" s="32"/>
      <c r="O303" s="41"/>
      <c r="P303" s="42" t="str">
        <f aca="false">IF(OR($N303="",$O303="",$O303=0),"",($N303/100)/$O303)</f>
        <v/>
      </c>
      <c r="Q303" s="43" t="str">
        <f aca="false">IF(OR($K303="",$L303="",$K303=0),"",($L303-$K303)/$K303)</f>
        <v/>
      </c>
      <c r="R303" s="32"/>
      <c r="S303" s="44" t="str">
        <f aca="false">IF(OR($L303="",$E303=""),"",60.7*$L303+45.3*$E303-2055)</f>
        <v/>
      </c>
      <c r="T303" s="45"/>
      <c r="U303" s="45"/>
      <c r="V303" s="45"/>
      <c r="W303" s="45"/>
      <c r="X303" s="32"/>
      <c r="Y303" s="32"/>
      <c r="Z303" s="39"/>
      <c r="AA303" s="46"/>
      <c r="AB303" s="42" t="str">
        <f aca="false">IF(OR($AA303="",$E303="",$E303=0),"",$AA303/$E303)</f>
        <v/>
      </c>
      <c r="AC303" s="27"/>
    </row>
    <row r="304" customFormat="false" ht="15" hidden="false" customHeight="false" outlineLevel="0" collapsed="false">
      <c r="A304" s="29"/>
      <c r="B304" s="27"/>
      <c r="C304" s="28"/>
      <c r="D304" s="27"/>
      <c r="E304" s="32"/>
      <c r="F304" s="39"/>
      <c r="G304" s="39"/>
      <c r="H304" s="39"/>
      <c r="I304" s="40" t="str">
        <f aca="false">IF(OR($G304="",$F304=""),"",$G304-$F304)</f>
        <v/>
      </c>
      <c r="J304" s="40" t="str">
        <f aca="false">IF(OR($H304="",$F304=""),"",$H304-$F304)</f>
        <v/>
      </c>
      <c r="K304" s="32"/>
      <c r="L304" s="32"/>
      <c r="M304" s="32"/>
      <c r="N304" s="32"/>
      <c r="O304" s="41"/>
      <c r="P304" s="42" t="str">
        <f aca="false">IF(OR($N304="",$O304="",$O304=0),"",($N304/100)/$O304)</f>
        <v/>
      </c>
      <c r="Q304" s="43" t="str">
        <f aca="false">IF(OR($K304="",$L304="",$K304=0),"",($L304-$K304)/$K304)</f>
        <v/>
      </c>
      <c r="R304" s="32"/>
      <c r="S304" s="44" t="str">
        <f aca="false">IF(OR($L304="",$E304=""),"",60.7*$L304+45.3*$E304-2055)</f>
        <v/>
      </c>
      <c r="T304" s="45"/>
      <c r="U304" s="45"/>
      <c r="V304" s="45"/>
      <c r="W304" s="45"/>
      <c r="X304" s="32"/>
      <c r="Y304" s="32"/>
      <c r="Z304" s="39"/>
      <c r="AA304" s="46"/>
      <c r="AB304" s="42" t="str">
        <f aca="false">IF(OR($AA304="",$E304="",$E304=0),"",$AA304/$E304)</f>
        <v/>
      </c>
      <c r="AC304" s="27"/>
    </row>
    <row r="305" customFormat="false" ht="15" hidden="false" customHeight="false" outlineLevel="0" collapsed="false">
      <c r="A305" s="29"/>
      <c r="B305" s="27"/>
      <c r="C305" s="28"/>
      <c r="D305" s="27"/>
      <c r="E305" s="32"/>
      <c r="F305" s="39"/>
      <c r="G305" s="39"/>
      <c r="H305" s="39"/>
      <c r="I305" s="40" t="str">
        <f aca="false">IF(OR($G305="",$F305=""),"",$G305-$F305)</f>
        <v/>
      </c>
      <c r="J305" s="40" t="str">
        <f aca="false">IF(OR($H305="",$F305=""),"",$H305-$F305)</f>
        <v/>
      </c>
      <c r="K305" s="32"/>
      <c r="L305" s="32"/>
      <c r="M305" s="32"/>
      <c r="N305" s="32"/>
      <c r="O305" s="41"/>
      <c r="P305" s="42" t="str">
        <f aca="false">IF(OR($N305="",$O305="",$O305=0),"",($N305/100)/$O305)</f>
        <v/>
      </c>
      <c r="Q305" s="43" t="str">
        <f aca="false">IF(OR($K305="",$L305="",$K305=0),"",($L305-$K305)/$K305)</f>
        <v/>
      </c>
      <c r="R305" s="32"/>
      <c r="S305" s="44" t="str">
        <f aca="false">IF(OR($L305="",$E305=""),"",60.7*$L305+45.3*$E305-2055)</f>
        <v/>
      </c>
      <c r="T305" s="45"/>
      <c r="U305" s="45"/>
      <c r="V305" s="45"/>
      <c r="W305" s="45"/>
      <c r="X305" s="32"/>
      <c r="Y305" s="32"/>
      <c r="Z305" s="39"/>
      <c r="AA305" s="46"/>
      <c r="AB305" s="42" t="str">
        <f aca="false">IF(OR($AA305="",$E305="",$E305=0),"",$AA305/$E305)</f>
        <v/>
      </c>
      <c r="AC305" s="27"/>
    </row>
    <row r="306" customFormat="false" ht="15" hidden="false" customHeight="false" outlineLevel="0" collapsed="false">
      <c r="A306" s="29"/>
      <c r="B306" s="27"/>
      <c r="C306" s="28"/>
      <c r="D306" s="27"/>
      <c r="E306" s="32"/>
      <c r="F306" s="39"/>
      <c r="G306" s="39"/>
      <c r="H306" s="39"/>
      <c r="I306" s="40" t="str">
        <f aca="false">IF(OR($G306="",$F306=""),"",$G306-$F306)</f>
        <v/>
      </c>
      <c r="J306" s="40" t="str">
        <f aca="false">IF(OR($H306="",$F306=""),"",$H306-$F306)</f>
        <v/>
      </c>
      <c r="K306" s="32"/>
      <c r="L306" s="32"/>
      <c r="M306" s="32"/>
      <c r="N306" s="32"/>
      <c r="O306" s="41"/>
      <c r="P306" s="42" t="str">
        <f aca="false">IF(OR($N306="",$O306="",$O306=0),"",($N306/100)/$O306)</f>
        <v/>
      </c>
      <c r="Q306" s="43" t="str">
        <f aca="false">IF(OR($K306="",$L306="",$K306=0),"",($L306-$K306)/$K306)</f>
        <v/>
      </c>
      <c r="R306" s="32"/>
      <c r="S306" s="44" t="str">
        <f aca="false">IF(OR($L306="",$E306=""),"",60.7*$L306+45.3*$E306-2055)</f>
        <v/>
      </c>
      <c r="T306" s="45"/>
      <c r="U306" s="45"/>
      <c r="V306" s="45"/>
      <c r="W306" s="45"/>
      <c r="X306" s="32"/>
      <c r="Y306" s="32"/>
      <c r="Z306" s="39"/>
      <c r="AA306" s="46"/>
      <c r="AB306" s="42" t="str">
        <f aca="false">IF(OR($AA306="",$E306="",$E306=0),"",$AA306/$E306)</f>
        <v/>
      </c>
      <c r="AC306" s="27"/>
    </row>
    <row r="307" customFormat="false" ht="15" hidden="false" customHeight="false" outlineLevel="0" collapsed="false">
      <c r="A307" s="29"/>
      <c r="B307" s="27"/>
      <c r="C307" s="28"/>
      <c r="D307" s="27"/>
      <c r="E307" s="32"/>
      <c r="F307" s="39"/>
      <c r="G307" s="39"/>
      <c r="H307" s="39"/>
      <c r="I307" s="40" t="str">
        <f aca="false">IF(OR($G307="",$F307=""),"",$G307-$F307)</f>
        <v/>
      </c>
      <c r="J307" s="40" t="str">
        <f aca="false">IF(OR($H307="",$F307=""),"",$H307-$F307)</f>
        <v/>
      </c>
      <c r="K307" s="32"/>
      <c r="L307" s="32"/>
      <c r="M307" s="32"/>
      <c r="N307" s="32"/>
      <c r="O307" s="41"/>
      <c r="P307" s="42" t="str">
        <f aca="false">IF(OR($N307="",$O307="",$O307=0),"",($N307/100)/$O307)</f>
        <v/>
      </c>
      <c r="Q307" s="43" t="str">
        <f aca="false">IF(OR($K307="",$L307="",$K307=0),"",($L307-$K307)/$K307)</f>
        <v/>
      </c>
      <c r="R307" s="32"/>
      <c r="S307" s="44" t="str">
        <f aca="false">IF(OR($L307="",$E307=""),"",60.7*$L307+45.3*$E307-2055)</f>
        <v/>
      </c>
      <c r="T307" s="45"/>
      <c r="U307" s="45"/>
      <c r="V307" s="45"/>
      <c r="W307" s="45"/>
      <c r="X307" s="32"/>
      <c r="Y307" s="32"/>
      <c r="Z307" s="39"/>
      <c r="AA307" s="46"/>
      <c r="AB307" s="42" t="str">
        <f aca="false">IF(OR($AA307="",$E307="",$E307=0),"",$AA307/$E307)</f>
        <v/>
      </c>
      <c r="AC307" s="27"/>
    </row>
    <row r="308" customFormat="false" ht="15" hidden="false" customHeight="false" outlineLevel="0" collapsed="false">
      <c r="A308" s="29"/>
      <c r="B308" s="27"/>
      <c r="C308" s="28"/>
      <c r="D308" s="27"/>
      <c r="E308" s="32"/>
      <c r="F308" s="39"/>
      <c r="G308" s="39"/>
      <c r="H308" s="39"/>
      <c r="I308" s="40" t="str">
        <f aca="false">IF(OR($G308="",$F308=""),"",$G308-$F308)</f>
        <v/>
      </c>
      <c r="J308" s="40" t="str">
        <f aca="false">IF(OR($H308="",$F308=""),"",$H308-$F308)</f>
        <v/>
      </c>
      <c r="K308" s="32"/>
      <c r="L308" s="32"/>
      <c r="M308" s="32"/>
      <c r="N308" s="32"/>
      <c r="O308" s="41"/>
      <c r="P308" s="42" t="str">
        <f aca="false">IF(OR($N308="",$O308="",$O308=0),"",($N308/100)/$O308)</f>
        <v/>
      </c>
      <c r="Q308" s="43" t="str">
        <f aca="false">IF(OR($K308="",$L308="",$K308=0),"",($L308-$K308)/$K308)</f>
        <v/>
      </c>
      <c r="R308" s="32"/>
      <c r="S308" s="44" t="str">
        <f aca="false">IF(OR($L308="",$E308=""),"",60.7*$L308+45.3*$E308-2055)</f>
        <v/>
      </c>
      <c r="T308" s="45"/>
      <c r="U308" s="45"/>
      <c r="V308" s="45"/>
      <c r="W308" s="45"/>
      <c r="X308" s="32"/>
      <c r="Y308" s="32"/>
      <c r="Z308" s="39"/>
      <c r="AA308" s="46"/>
      <c r="AB308" s="42" t="str">
        <f aca="false">IF(OR($AA308="",$E308="",$E308=0),"",$AA308/$E308)</f>
        <v/>
      </c>
      <c r="AC308" s="27"/>
    </row>
    <row r="309" customFormat="false" ht="15" hidden="false" customHeight="false" outlineLevel="0" collapsed="false">
      <c r="A309" s="29"/>
      <c r="B309" s="27"/>
      <c r="C309" s="28"/>
      <c r="D309" s="27"/>
      <c r="E309" s="32"/>
      <c r="F309" s="39"/>
      <c r="G309" s="39"/>
      <c r="H309" s="39"/>
      <c r="I309" s="40" t="str">
        <f aca="false">IF(OR($G309="",$F309=""),"",$G309-$F309)</f>
        <v/>
      </c>
      <c r="J309" s="40" t="str">
        <f aca="false">IF(OR($H309="",$F309=""),"",$H309-$F309)</f>
        <v/>
      </c>
      <c r="K309" s="32"/>
      <c r="L309" s="32"/>
      <c r="M309" s="32"/>
      <c r="N309" s="32"/>
      <c r="O309" s="41"/>
      <c r="P309" s="42" t="str">
        <f aca="false">IF(OR($N309="",$O309="",$O309=0),"",($N309/100)/$O309)</f>
        <v/>
      </c>
      <c r="Q309" s="43" t="str">
        <f aca="false">IF(OR($K309="",$L309="",$K309=0),"",($L309-$K309)/$K309)</f>
        <v/>
      </c>
      <c r="R309" s="32"/>
      <c r="S309" s="44" t="str">
        <f aca="false">IF(OR($L309="",$E309=""),"",60.7*$L309+45.3*$E309-2055)</f>
        <v/>
      </c>
      <c r="T309" s="45"/>
      <c r="U309" s="45"/>
      <c r="V309" s="45"/>
      <c r="W309" s="45"/>
      <c r="X309" s="32"/>
      <c r="Y309" s="32"/>
      <c r="Z309" s="39"/>
      <c r="AA309" s="46"/>
      <c r="AB309" s="42" t="str">
        <f aca="false">IF(OR($AA309="",$E309="",$E309=0),"",$AA309/$E309)</f>
        <v/>
      </c>
      <c r="AC309" s="27"/>
    </row>
    <row r="310" customFormat="false" ht="15" hidden="false" customHeight="false" outlineLevel="0" collapsed="false">
      <c r="A310" s="29"/>
      <c r="B310" s="27"/>
      <c r="C310" s="28"/>
      <c r="D310" s="27"/>
      <c r="E310" s="32"/>
      <c r="F310" s="39"/>
      <c r="G310" s="39"/>
      <c r="H310" s="39"/>
      <c r="I310" s="40" t="str">
        <f aca="false">IF(OR($G310="",$F310=""),"",$G310-$F310)</f>
        <v/>
      </c>
      <c r="J310" s="40" t="str">
        <f aca="false">IF(OR($H310="",$F310=""),"",$H310-$F310)</f>
        <v/>
      </c>
      <c r="K310" s="32"/>
      <c r="L310" s="32"/>
      <c r="M310" s="32"/>
      <c r="N310" s="32"/>
      <c r="O310" s="41"/>
      <c r="P310" s="42" t="str">
        <f aca="false">IF(OR($N310="",$O310="",$O310=0),"",($N310/100)/$O310)</f>
        <v/>
      </c>
      <c r="Q310" s="43" t="str">
        <f aca="false">IF(OR($K310="",$L310="",$K310=0),"",($L310-$K310)/$K310)</f>
        <v/>
      </c>
      <c r="R310" s="32"/>
      <c r="S310" s="44" t="str">
        <f aca="false">IF(OR($L310="",$E310=""),"",60.7*$L310+45.3*$E310-2055)</f>
        <v/>
      </c>
      <c r="T310" s="45"/>
      <c r="U310" s="45"/>
      <c r="V310" s="45"/>
      <c r="W310" s="45"/>
      <c r="X310" s="32"/>
      <c r="Y310" s="32"/>
      <c r="Z310" s="39"/>
      <c r="AA310" s="46"/>
      <c r="AB310" s="42" t="str">
        <f aca="false">IF(OR($AA310="",$E310="",$E310=0),"",$AA310/$E310)</f>
        <v/>
      </c>
      <c r="AC310" s="27"/>
    </row>
    <row r="311" customFormat="false" ht="15" hidden="false" customHeight="false" outlineLevel="0" collapsed="false">
      <c r="A311" s="29"/>
      <c r="B311" s="27"/>
      <c r="C311" s="28"/>
      <c r="D311" s="27"/>
      <c r="E311" s="32"/>
      <c r="F311" s="39"/>
      <c r="G311" s="39"/>
      <c r="H311" s="39"/>
      <c r="I311" s="40" t="str">
        <f aca="false">IF(OR($G311="",$F311=""),"",$G311-$F311)</f>
        <v/>
      </c>
      <c r="J311" s="40" t="str">
        <f aca="false">IF(OR($H311="",$F311=""),"",$H311-$F311)</f>
        <v/>
      </c>
      <c r="K311" s="32"/>
      <c r="L311" s="32"/>
      <c r="M311" s="32"/>
      <c r="N311" s="32"/>
      <c r="O311" s="41"/>
      <c r="P311" s="42" t="str">
        <f aca="false">IF(OR($N311="",$O311="",$O311=0),"",($N311/100)/$O311)</f>
        <v/>
      </c>
      <c r="Q311" s="43" t="str">
        <f aca="false">IF(OR($K311="",$L311="",$K311=0),"",($L311-$K311)/$K311)</f>
        <v/>
      </c>
      <c r="R311" s="32"/>
      <c r="S311" s="44" t="str">
        <f aca="false">IF(OR($L311="",$E311=""),"",60.7*$L311+45.3*$E311-2055)</f>
        <v/>
      </c>
      <c r="T311" s="45"/>
      <c r="U311" s="45"/>
      <c r="V311" s="45"/>
      <c r="W311" s="45"/>
      <c r="X311" s="32"/>
      <c r="Y311" s="32"/>
      <c r="Z311" s="39"/>
      <c r="AA311" s="46"/>
      <c r="AB311" s="42" t="str">
        <f aca="false">IF(OR($AA311="",$E311="",$E311=0),"",$AA311/$E311)</f>
        <v/>
      </c>
      <c r="AC311" s="27"/>
    </row>
    <row r="312" customFormat="false" ht="15" hidden="false" customHeight="false" outlineLevel="0" collapsed="false">
      <c r="A312" s="29"/>
      <c r="B312" s="27"/>
      <c r="C312" s="28"/>
      <c r="D312" s="27"/>
      <c r="E312" s="32"/>
      <c r="F312" s="39"/>
      <c r="G312" s="39"/>
      <c r="H312" s="39"/>
      <c r="I312" s="40" t="str">
        <f aca="false">IF(OR($G312="",$F312=""),"",$G312-$F312)</f>
        <v/>
      </c>
      <c r="J312" s="40" t="str">
        <f aca="false">IF(OR($H312="",$F312=""),"",$H312-$F312)</f>
        <v/>
      </c>
      <c r="K312" s="32"/>
      <c r="L312" s="32"/>
      <c r="M312" s="32"/>
      <c r="N312" s="32"/>
      <c r="O312" s="41"/>
      <c r="P312" s="42" t="str">
        <f aca="false">IF(OR($N312="",$O312="",$O312=0),"",($N312/100)/$O312)</f>
        <v/>
      </c>
      <c r="Q312" s="43" t="str">
        <f aca="false">IF(OR($K312="",$L312="",$K312=0),"",($L312-$K312)/$K312)</f>
        <v/>
      </c>
      <c r="R312" s="32"/>
      <c r="S312" s="44" t="str">
        <f aca="false">IF(OR($L312="",$E312=""),"",60.7*$L312+45.3*$E312-2055)</f>
        <v/>
      </c>
      <c r="T312" s="45"/>
      <c r="U312" s="45"/>
      <c r="V312" s="45"/>
      <c r="W312" s="45"/>
      <c r="X312" s="32"/>
      <c r="Y312" s="32"/>
      <c r="Z312" s="39"/>
      <c r="AA312" s="46"/>
      <c r="AB312" s="42" t="str">
        <f aca="false">IF(OR($AA312="",$E312="",$E312=0),"",$AA312/$E312)</f>
        <v/>
      </c>
      <c r="AC312" s="27"/>
    </row>
    <row r="313" customFormat="false" ht="15" hidden="false" customHeight="false" outlineLevel="0" collapsed="false">
      <c r="A313" s="29"/>
      <c r="B313" s="27"/>
      <c r="C313" s="28"/>
      <c r="D313" s="27"/>
      <c r="E313" s="32"/>
      <c r="F313" s="39"/>
      <c r="G313" s="39"/>
      <c r="H313" s="39"/>
      <c r="I313" s="40" t="str">
        <f aca="false">IF(OR($G313="",$F313=""),"",$G313-$F313)</f>
        <v/>
      </c>
      <c r="J313" s="40" t="str">
        <f aca="false">IF(OR($H313="",$F313=""),"",$H313-$F313)</f>
        <v/>
      </c>
      <c r="K313" s="32"/>
      <c r="L313" s="32"/>
      <c r="M313" s="32"/>
      <c r="N313" s="32"/>
      <c r="O313" s="41"/>
      <c r="P313" s="42" t="str">
        <f aca="false">IF(OR($N313="",$O313="",$O313=0),"",($N313/100)/$O313)</f>
        <v/>
      </c>
      <c r="Q313" s="43" t="str">
        <f aca="false">IF(OR($K313="",$L313="",$K313=0),"",($L313-$K313)/$K313)</f>
        <v/>
      </c>
      <c r="R313" s="32"/>
      <c r="S313" s="44" t="str">
        <f aca="false">IF(OR($L313="",$E313=""),"",60.7*$L313+45.3*$E313-2055)</f>
        <v/>
      </c>
      <c r="T313" s="45"/>
      <c r="U313" s="45"/>
      <c r="V313" s="45"/>
      <c r="W313" s="45"/>
      <c r="X313" s="32"/>
      <c r="Y313" s="32"/>
      <c r="Z313" s="39"/>
      <c r="AA313" s="46"/>
      <c r="AB313" s="42" t="str">
        <f aca="false">IF(OR($AA313="",$E313="",$E313=0),"",$AA313/$E313)</f>
        <v/>
      </c>
      <c r="AC313" s="27"/>
    </row>
    <row r="314" customFormat="false" ht="15" hidden="false" customHeight="false" outlineLevel="0" collapsed="false">
      <c r="A314" s="29"/>
      <c r="B314" s="27"/>
      <c r="C314" s="28"/>
      <c r="D314" s="27"/>
      <c r="E314" s="32"/>
      <c r="F314" s="39"/>
      <c r="G314" s="39"/>
      <c r="H314" s="39"/>
      <c r="I314" s="40" t="str">
        <f aca="false">IF(OR($G314="",$F314=""),"",$G314-$F314)</f>
        <v/>
      </c>
      <c r="J314" s="40" t="str">
        <f aca="false">IF(OR($H314="",$F314=""),"",$H314-$F314)</f>
        <v/>
      </c>
      <c r="K314" s="32"/>
      <c r="L314" s="32"/>
      <c r="M314" s="32"/>
      <c r="N314" s="32"/>
      <c r="O314" s="41"/>
      <c r="P314" s="42" t="str">
        <f aca="false">IF(OR($N314="",$O314="",$O314=0),"",($N314/100)/$O314)</f>
        <v/>
      </c>
      <c r="Q314" s="43" t="str">
        <f aca="false">IF(OR($K314="",$L314="",$K314=0),"",($L314-$K314)/$K314)</f>
        <v/>
      </c>
      <c r="R314" s="32"/>
      <c r="S314" s="44" t="str">
        <f aca="false">IF(OR($L314="",$E314=""),"",60.7*$L314+45.3*$E314-2055)</f>
        <v/>
      </c>
      <c r="T314" s="45"/>
      <c r="U314" s="45"/>
      <c r="V314" s="45"/>
      <c r="W314" s="45"/>
      <c r="X314" s="32"/>
      <c r="Y314" s="32"/>
      <c r="Z314" s="39"/>
      <c r="AA314" s="46"/>
      <c r="AB314" s="42" t="str">
        <f aca="false">IF(OR($AA314="",$E314="",$E314=0),"",$AA314/$E314)</f>
        <v/>
      </c>
      <c r="AC314" s="27"/>
    </row>
    <row r="315" customFormat="false" ht="15" hidden="false" customHeight="false" outlineLevel="0" collapsed="false">
      <c r="A315" s="29"/>
      <c r="B315" s="27"/>
      <c r="C315" s="28"/>
      <c r="D315" s="27"/>
      <c r="E315" s="32"/>
      <c r="F315" s="39"/>
      <c r="G315" s="39"/>
      <c r="H315" s="39"/>
      <c r="I315" s="40" t="str">
        <f aca="false">IF(OR($G315="",$F315=""),"",$G315-$F315)</f>
        <v/>
      </c>
      <c r="J315" s="40" t="str">
        <f aca="false">IF(OR($H315="",$F315=""),"",$H315-$F315)</f>
        <v/>
      </c>
      <c r="K315" s="32"/>
      <c r="L315" s="32"/>
      <c r="M315" s="32"/>
      <c r="N315" s="32"/>
      <c r="O315" s="41"/>
      <c r="P315" s="42" t="str">
        <f aca="false">IF(OR($N315="",$O315="",$O315=0),"",($N315/100)/$O315)</f>
        <v/>
      </c>
      <c r="Q315" s="43" t="str">
        <f aca="false">IF(OR($K315="",$L315="",$K315=0),"",($L315-$K315)/$K315)</f>
        <v/>
      </c>
      <c r="R315" s="32"/>
      <c r="S315" s="44" t="str">
        <f aca="false">IF(OR($L315="",$E315=""),"",60.7*$L315+45.3*$E315-2055)</f>
        <v/>
      </c>
      <c r="T315" s="45"/>
      <c r="U315" s="45"/>
      <c r="V315" s="45"/>
      <c r="W315" s="45"/>
      <c r="X315" s="32"/>
      <c r="Y315" s="32"/>
      <c r="Z315" s="39"/>
      <c r="AA315" s="46"/>
      <c r="AB315" s="42" t="str">
        <f aca="false">IF(OR($AA315="",$E315="",$E315=0),"",$AA315/$E315)</f>
        <v/>
      </c>
      <c r="AC315" s="27"/>
    </row>
    <row r="316" customFormat="false" ht="15" hidden="false" customHeight="false" outlineLevel="0" collapsed="false">
      <c r="A316" s="29"/>
      <c r="B316" s="27"/>
      <c r="C316" s="28"/>
      <c r="D316" s="27"/>
      <c r="E316" s="32"/>
      <c r="F316" s="39"/>
      <c r="G316" s="39"/>
      <c r="H316" s="39"/>
      <c r="I316" s="40" t="str">
        <f aca="false">IF(OR($G316="",$F316=""),"",$G316-$F316)</f>
        <v/>
      </c>
      <c r="J316" s="40" t="str">
        <f aca="false">IF(OR($H316="",$F316=""),"",$H316-$F316)</f>
        <v/>
      </c>
      <c r="K316" s="32"/>
      <c r="L316" s="32"/>
      <c r="M316" s="32"/>
      <c r="N316" s="32"/>
      <c r="O316" s="41"/>
      <c r="P316" s="42" t="str">
        <f aca="false">IF(OR($N316="",$O316="",$O316=0),"",($N316/100)/$O316)</f>
        <v/>
      </c>
      <c r="Q316" s="43" t="str">
        <f aca="false">IF(OR($K316="",$L316="",$K316=0),"",($L316-$K316)/$K316)</f>
        <v/>
      </c>
      <c r="R316" s="32"/>
      <c r="S316" s="44" t="str">
        <f aca="false">IF(OR($L316="",$E316=""),"",60.7*$L316+45.3*$E316-2055)</f>
        <v/>
      </c>
      <c r="T316" s="45"/>
      <c r="U316" s="45"/>
      <c r="V316" s="45"/>
      <c r="W316" s="45"/>
      <c r="X316" s="32"/>
      <c r="Y316" s="32"/>
      <c r="Z316" s="39"/>
      <c r="AA316" s="46"/>
      <c r="AB316" s="42" t="str">
        <f aca="false">IF(OR($AA316="",$E316="",$E316=0),"",$AA316/$E316)</f>
        <v/>
      </c>
      <c r="AC316" s="27"/>
    </row>
    <row r="317" customFormat="false" ht="15" hidden="false" customHeight="false" outlineLevel="0" collapsed="false">
      <c r="A317" s="29"/>
      <c r="B317" s="27"/>
      <c r="C317" s="28"/>
      <c r="D317" s="27"/>
      <c r="E317" s="32"/>
      <c r="F317" s="39"/>
      <c r="G317" s="39"/>
      <c r="H317" s="39"/>
      <c r="I317" s="40" t="str">
        <f aca="false">IF(OR($G317="",$F317=""),"",$G317-$F317)</f>
        <v/>
      </c>
      <c r="J317" s="40" t="str">
        <f aca="false">IF(OR($H317="",$F317=""),"",$H317-$F317)</f>
        <v/>
      </c>
      <c r="K317" s="32"/>
      <c r="L317" s="32"/>
      <c r="M317" s="32"/>
      <c r="N317" s="32"/>
      <c r="O317" s="41"/>
      <c r="P317" s="42" t="str">
        <f aca="false">IF(OR($N317="",$O317="",$O317=0),"",($N317/100)/$O317)</f>
        <v/>
      </c>
      <c r="Q317" s="43" t="str">
        <f aca="false">IF(OR($K317="",$L317="",$K317=0),"",($L317-$K317)/$K317)</f>
        <v/>
      </c>
      <c r="R317" s="32"/>
      <c r="S317" s="44" t="str">
        <f aca="false">IF(OR($L317="",$E317=""),"",60.7*$L317+45.3*$E317-2055)</f>
        <v/>
      </c>
      <c r="T317" s="45"/>
      <c r="U317" s="45"/>
      <c r="V317" s="45"/>
      <c r="W317" s="45"/>
      <c r="X317" s="32"/>
      <c r="Y317" s="32"/>
      <c r="Z317" s="39"/>
      <c r="AA317" s="46"/>
      <c r="AB317" s="42" t="str">
        <f aca="false">IF(OR($AA317="",$E317="",$E317=0),"",$AA317/$E317)</f>
        <v/>
      </c>
      <c r="AC317" s="27"/>
    </row>
    <row r="318" customFormat="false" ht="15" hidden="false" customHeight="false" outlineLevel="0" collapsed="false">
      <c r="A318" s="29"/>
      <c r="B318" s="27"/>
      <c r="C318" s="28"/>
      <c r="D318" s="27"/>
      <c r="E318" s="32"/>
      <c r="F318" s="39"/>
      <c r="G318" s="39"/>
      <c r="H318" s="39"/>
      <c r="I318" s="40" t="str">
        <f aca="false">IF(OR($G318="",$F318=""),"",$G318-$F318)</f>
        <v/>
      </c>
      <c r="J318" s="40" t="str">
        <f aca="false">IF(OR($H318="",$F318=""),"",$H318-$F318)</f>
        <v/>
      </c>
      <c r="K318" s="32"/>
      <c r="L318" s="32"/>
      <c r="M318" s="32"/>
      <c r="N318" s="32"/>
      <c r="O318" s="41"/>
      <c r="P318" s="42" t="str">
        <f aca="false">IF(OR($N318="",$O318="",$O318=0),"",($N318/100)/$O318)</f>
        <v/>
      </c>
      <c r="Q318" s="43" t="str">
        <f aca="false">IF(OR($K318="",$L318="",$K318=0),"",($L318-$K318)/$K318)</f>
        <v/>
      </c>
      <c r="R318" s="32"/>
      <c r="S318" s="44" t="str">
        <f aca="false">IF(OR($L318="",$E318=""),"",60.7*$L318+45.3*$E318-2055)</f>
        <v/>
      </c>
      <c r="T318" s="45"/>
      <c r="U318" s="45"/>
      <c r="V318" s="45"/>
      <c r="W318" s="45"/>
      <c r="X318" s="32"/>
      <c r="Y318" s="32"/>
      <c r="Z318" s="39"/>
      <c r="AA318" s="46"/>
      <c r="AB318" s="42" t="str">
        <f aca="false">IF(OR($AA318="",$E318="",$E318=0),"",$AA318/$E318)</f>
        <v/>
      </c>
      <c r="AC318" s="27"/>
    </row>
    <row r="319" customFormat="false" ht="15" hidden="false" customHeight="false" outlineLevel="0" collapsed="false">
      <c r="A319" s="29"/>
      <c r="B319" s="27"/>
      <c r="C319" s="28"/>
      <c r="D319" s="27"/>
      <c r="E319" s="32"/>
      <c r="F319" s="39"/>
      <c r="G319" s="39"/>
      <c r="H319" s="39"/>
      <c r="I319" s="40" t="str">
        <f aca="false">IF(OR($G319="",$F319=""),"",$G319-$F319)</f>
        <v/>
      </c>
      <c r="J319" s="40" t="str">
        <f aca="false">IF(OR($H319="",$F319=""),"",$H319-$F319)</f>
        <v/>
      </c>
      <c r="K319" s="32"/>
      <c r="L319" s="32"/>
      <c r="M319" s="32"/>
      <c r="N319" s="32"/>
      <c r="O319" s="41"/>
      <c r="P319" s="42" t="str">
        <f aca="false">IF(OR($N319="",$O319="",$O319=0),"",($N319/100)/$O319)</f>
        <v/>
      </c>
      <c r="Q319" s="43" t="str">
        <f aca="false">IF(OR($K319="",$L319="",$K319=0),"",($L319-$K319)/$K319)</f>
        <v/>
      </c>
      <c r="R319" s="32"/>
      <c r="S319" s="44" t="str">
        <f aca="false">IF(OR($L319="",$E319=""),"",60.7*$L319+45.3*$E319-2055)</f>
        <v/>
      </c>
      <c r="T319" s="45"/>
      <c r="U319" s="45"/>
      <c r="V319" s="45"/>
      <c r="W319" s="45"/>
      <c r="X319" s="32"/>
      <c r="Y319" s="32"/>
      <c r="Z319" s="39"/>
      <c r="AA319" s="46"/>
      <c r="AB319" s="42" t="str">
        <f aca="false">IF(OR($AA319="",$E319="",$E319=0),"",$AA319/$E319)</f>
        <v/>
      </c>
      <c r="AC319" s="27"/>
    </row>
    <row r="320" customFormat="false" ht="15" hidden="false" customHeight="false" outlineLevel="0" collapsed="false">
      <c r="A320" s="29"/>
      <c r="B320" s="27"/>
      <c r="C320" s="28"/>
      <c r="D320" s="27"/>
      <c r="E320" s="32"/>
      <c r="F320" s="39"/>
      <c r="G320" s="39"/>
      <c r="H320" s="39"/>
      <c r="I320" s="40" t="str">
        <f aca="false">IF(OR($G320="",$F320=""),"",$G320-$F320)</f>
        <v/>
      </c>
      <c r="J320" s="40" t="str">
        <f aca="false">IF(OR($H320="",$F320=""),"",$H320-$F320)</f>
        <v/>
      </c>
      <c r="K320" s="32"/>
      <c r="L320" s="32"/>
      <c r="M320" s="32"/>
      <c r="N320" s="32"/>
      <c r="O320" s="41"/>
      <c r="P320" s="42" t="str">
        <f aca="false">IF(OR($N320="",$O320="",$O320=0),"",($N320/100)/$O320)</f>
        <v/>
      </c>
      <c r="Q320" s="43" t="str">
        <f aca="false">IF(OR($K320="",$L320="",$K320=0),"",($L320-$K320)/$K320)</f>
        <v/>
      </c>
      <c r="R320" s="32"/>
      <c r="S320" s="44" t="str">
        <f aca="false">IF(OR($L320="",$E320=""),"",60.7*$L320+45.3*$E320-2055)</f>
        <v/>
      </c>
      <c r="T320" s="45"/>
      <c r="U320" s="45"/>
      <c r="V320" s="45"/>
      <c r="W320" s="45"/>
      <c r="X320" s="32"/>
      <c r="Y320" s="32"/>
      <c r="Z320" s="39"/>
      <c r="AA320" s="46"/>
      <c r="AB320" s="42" t="str">
        <f aca="false">IF(OR($AA320="",$E320="",$E320=0),"",$AA320/$E320)</f>
        <v/>
      </c>
      <c r="AC320" s="27"/>
    </row>
    <row r="321" customFormat="false" ht="15" hidden="false" customHeight="false" outlineLevel="0" collapsed="false">
      <c r="A321" s="29"/>
      <c r="B321" s="27"/>
      <c r="C321" s="28"/>
      <c r="D321" s="27"/>
      <c r="E321" s="32"/>
      <c r="F321" s="39"/>
      <c r="G321" s="39"/>
      <c r="H321" s="39"/>
      <c r="I321" s="40" t="str">
        <f aca="false">IF(OR($G321="",$F321=""),"",$G321-$F321)</f>
        <v/>
      </c>
      <c r="J321" s="40" t="str">
        <f aca="false">IF(OR($H321="",$F321=""),"",$H321-$F321)</f>
        <v/>
      </c>
      <c r="K321" s="32"/>
      <c r="L321" s="32"/>
      <c r="M321" s="32"/>
      <c r="N321" s="32"/>
      <c r="O321" s="41"/>
      <c r="P321" s="42" t="str">
        <f aca="false">IF(OR($N321="",$O321="",$O321=0),"",($N321/100)/$O321)</f>
        <v/>
      </c>
      <c r="Q321" s="43" t="str">
        <f aca="false">IF(OR($K321="",$L321="",$K321=0),"",($L321-$K321)/$K321)</f>
        <v/>
      </c>
      <c r="R321" s="32"/>
      <c r="S321" s="44" t="str">
        <f aca="false">IF(OR($L321="",$E321=""),"",60.7*$L321+45.3*$E321-2055)</f>
        <v/>
      </c>
      <c r="T321" s="45"/>
      <c r="U321" s="45"/>
      <c r="V321" s="45"/>
      <c r="W321" s="45"/>
      <c r="X321" s="32"/>
      <c r="Y321" s="32"/>
      <c r="Z321" s="39"/>
      <c r="AA321" s="46"/>
      <c r="AB321" s="42" t="str">
        <f aca="false">IF(OR($AA321="",$E321="",$E321=0),"",$AA321/$E321)</f>
        <v/>
      </c>
      <c r="AC321" s="27"/>
    </row>
    <row r="322" customFormat="false" ht="15" hidden="false" customHeight="false" outlineLevel="0" collapsed="false">
      <c r="A322" s="29"/>
      <c r="B322" s="27"/>
      <c r="C322" s="28"/>
      <c r="D322" s="27"/>
      <c r="E322" s="32"/>
      <c r="F322" s="39"/>
      <c r="G322" s="39"/>
      <c r="H322" s="39"/>
      <c r="I322" s="40" t="str">
        <f aca="false">IF(OR($G322="",$F322=""),"",$G322-$F322)</f>
        <v/>
      </c>
      <c r="J322" s="40" t="str">
        <f aca="false">IF(OR($H322="",$F322=""),"",$H322-$F322)</f>
        <v/>
      </c>
      <c r="K322" s="32"/>
      <c r="L322" s="32"/>
      <c r="M322" s="32"/>
      <c r="N322" s="32"/>
      <c r="O322" s="41"/>
      <c r="P322" s="42" t="str">
        <f aca="false">IF(OR($N322="",$O322="",$O322=0),"",($N322/100)/$O322)</f>
        <v/>
      </c>
      <c r="Q322" s="43" t="str">
        <f aca="false">IF(OR($K322="",$L322="",$K322=0),"",($L322-$K322)/$K322)</f>
        <v/>
      </c>
      <c r="R322" s="32"/>
      <c r="S322" s="44" t="str">
        <f aca="false">IF(OR($L322="",$E322=""),"",60.7*$L322+45.3*$E322-2055)</f>
        <v/>
      </c>
      <c r="T322" s="45"/>
      <c r="U322" s="45"/>
      <c r="V322" s="45"/>
      <c r="W322" s="45"/>
      <c r="X322" s="32"/>
      <c r="Y322" s="32"/>
      <c r="Z322" s="39"/>
      <c r="AA322" s="46"/>
      <c r="AB322" s="42" t="str">
        <f aca="false">IF(OR($AA322="",$E322="",$E322=0),"",$AA322/$E322)</f>
        <v/>
      </c>
      <c r="AC322" s="27"/>
    </row>
    <row r="323" customFormat="false" ht="15" hidden="false" customHeight="false" outlineLevel="0" collapsed="false">
      <c r="A323" s="29"/>
      <c r="B323" s="27"/>
      <c r="C323" s="28"/>
      <c r="D323" s="27"/>
      <c r="E323" s="32"/>
      <c r="F323" s="39"/>
      <c r="G323" s="39"/>
      <c r="H323" s="39"/>
      <c r="I323" s="40" t="str">
        <f aca="false">IF(OR($G323="",$F323=""),"",$G323-$F323)</f>
        <v/>
      </c>
      <c r="J323" s="40" t="str">
        <f aca="false">IF(OR($H323="",$F323=""),"",$H323-$F323)</f>
        <v/>
      </c>
      <c r="K323" s="32"/>
      <c r="L323" s="32"/>
      <c r="M323" s="32"/>
      <c r="N323" s="32"/>
      <c r="O323" s="41"/>
      <c r="P323" s="42" t="str">
        <f aca="false">IF(OR($N323="",$O323="",$O323=0),"",($N323/100)/$O323)</f>
        <v/>
      </c>
      <c r="Q323" s="43" t="str">
        <f aca="false">IF(OR($K323="",$L323="",$K323=0),"",($L323-$K323)/$K323)</f>
        <v/>
      </c>
      <c r="R323" s="32"/>
      <c r="S323" s="44" t="str">
        <f aca="false">IF(OR($L323="",$E323=""),"",60.7*$L323+45.3*$E323-2055)</f>
        <v/>
      </c>
      <c r="T323" s="45"/>
      <c r="U323" s="45"/>
      <c r="V323" s="45"/>
      <c r="W323" s="45"/>
      <c r="X323" s="32"/>
      <c r="Y323" s="32"/>
      <c r="Z323" s="39"/>
      <c r="AA323" s="46"/>
      <c r="AB323" s="42" t="str">
        <f aca="false">IF(OR($AA323="",$E323="",$E323=0),"",$AA323/$E323)</f>
        <v/>
      </c>
      <c r="AC323" s="27"/>
    </row>
    <row r="324" customFormat="false" ht="15" hidden="false" customHeight="false" outlineLevel="0" collapsed="false">
      <c r="A324" s="29"/>
      <c r="B324" s="27"/>
      <c r="C324" s="28"/>
      <c r="D324" s="27"/>
      <c r="E324" s="32"/>
      <c r="F324" s="39"/>
      <c r="G324" s="39"/>
      <c r="H324" s="39"/>
      <c r="I324" s="40" t="str">
        <f aca="false">IF(OR($G324="",$F324=""),"",$G324-$F324)</f>
        <v/>
      </c>
      <c r="J324" s="40" t="str">
        <f aca="false">IF(OR($H324="",$F324=""),"",$H324-$F324)</f>
        <v/>
      </c>
      <c r="K324" s="32"/>
      <c r="L324" s="32"/>
      <c r="M324" s="32"/>
      <c r="N324" s="32"/>
      <c r="O324" s="41"/>
      <c r="P324" s="42" t="str">
        <f aca="false">IF(OR($N324="",$O324="",$O324=0),"",($N324/100)/$O324)</f>
        <v/>
      </c>
      <c r="Q324" s="43" t="str">
        <f aca="false">IF(OR($K324="",$L324="",$K324=0),"",($L324-$K324)/$K324)</f>
        <v/>
      </c>
      <c r="R324" s="32"/>
      <c r="S324" s="44" t="str">
        <f aca="false">IF(OR($L324="",$E324=""),"",60.7*$L324+45.3*$E324-2055)</f>
        <v/>
      </c>
      <c r="T324" s="45"/>
      <c r="U324" s="45"/>
      <c r="V324" s="45"/>
      <c r="W324" s="45"/>
      <c r="X324" s="32"/>
      <c r="Y324" s="32"/>
      <c r="Z324" s="39"/>
      <c r="AA324" s="46"/>
      <c r="AB324" s="42" t="str">
        <f aca="false">IF(OR($AA324="",$E324="",$E324=0),"",$AA324/$E324)</f>
        <v/>
      </c>
      <c r="AC324" s="27"/>
    </row>
    <row r="325" customFormat="false" ht="15" hidden="false" customHeight="false" outlineLevel="0" collapsed="false">
      <c r="A325" s="29"/>
      <c r="B325" s="27"/>
      <c r="C325" s="28"/>
      <c r="D325" s="27"/>
      <c r="E325" s="32"/>
      <c r="F325" s="39"/>
      <c r="G325" s="39"/>
      <c r="H325" s="39"/>
      <c r="I325" s="40" t="str">
        <f aca="false">IF(OR($G325="",$F325=""),"",$G325-$F325)</f>
        <v/>
      </c>
      <c r="J325" s="40" t="str">
        <f aca="false">IF(OR($H325="",$F325=""),"",$H325-$F325)</f>
        <v/>
      </c>
      <c r="K325" s="32"/>
      <c r="L325" s="32"/>
      <c r="M325" s="32"/>
      <c r="N325" s="32"/>
      <c r="O325" s="41"/>
      <c r="P325" s="42" t="str">
        <f aca="false">IF(OR($N325="",$O325="",$O325=0),"",($N325/100)/$O325)</f>
        <v/>
      </c>
      <c r="Q325" s="43" t="str">
        <f aca="false">IF(OR($K325="",$L325="",$K325=0),"",($L325-$K325)/$K325)</f>
        <v/>
      </c>
      <c r="R325" s="32"/>
      <c r="S325" s="44" t="str">
        <f aca="false">IF(OR($L325="",$E325=""),"",60.7*$L325+45.3*$E325-2055)</f>
        <v/>
      </c>
      <c r="T325" s="45"/>
      <c r="U325" s="45"/>
      <c r="V325" s="45"/>
      <c r="W325" s="45"/>
      <c r="X325" s="32"/>
      <c r="Y325" s="32"/>
      <c r="Z325" s="39"/>
      <c r="AA325" s="46"/>
      <c r="AB325" s="42" t="str">
        <f aca="false">IF(OR($AA325="",$E325="",$E325=0),"",$AA325/$E325)</f>
        <v/>
      </c>
      <c r="AC325" s="27"/>
    </row>
    <row r="326" customFormat="false" ht="15" hidden="false" customHeight="false" outlineLevel="0" collapsed="false">
      <c r="A326" s="29"/>
      <c r="B326" s="27"/>
      <c r="C326" s="28"/>
      <c r="D326" s="27"/>
      <c r="E326" s="32"/>
      <c r="F326" s="39"/>
      <c r="G326" s="39"/>
      <c r="H326" s="39"/>
      <c r="I326" s="40" t="str">
        <f aca="false">IF(OR($G326="",$F326=""),"",$G326-$F326)</f>
        <v/>
      </c>
      <c r="J326" s="40" t="str">
        <f aca="false">IF(OR($H326="",$F326=""),"",$H326-$F326)</f>
        <v/>
      </c>
      <c r="K326" s="32"/>
      <c r="L326" s="32"/>
      <c r="M326" s="32"/>
      <c r="N326" s="32"/>
      <c r="O326" s="41"/>
      <c r="P326" s="42" t="str">
        <f aca="false">IF(OR($N326="",$O326="",$O326=0),"",($N326/100)/$O326)</f>
        <v/>
      </c>
      <c r="Q326" s="43" t="str">
        <f aca="false">IF(OR($K326="",$L326="",$K326=0),"",($L326-$K326)/$K326)</f>
        <v/>
      </c>
      <c r="R326" s="32"/>
      <c r="S326" s="44" t="str">
        <f aca="false">IF(OR($L326="",$E326=""),"",60.7*$L326+45.3*$E326-2055)</f>
        <v/>
      </c>
      <c r="T326" s="45"/>
      <c r="U326" s="45"/>
      <c r="V326" s="45"/>
      <c r="W326" s="45"/>
      <c r="X326" s="32"/>
      <c r="Y326" s="32"/>
      <c r="Z326" s="39"/>
      <c r="AA326" s="46"/>
      <c r="AB326" s="42" t="str">
        <f aca="false">IF(OR($AA326="",$E326="",$E326=0),"",$AA326/$E326)</f>
        <v/>
      </c>
      <c r="AC326" s="27"/>
    </row>
    <row r="327" customFormat="false" ht="15" hidden="false" customHeight="false" outlineLevel="0" collapsed="false">
      <c r="A327" s="29"/>
      <c r="B327" s="27"/>
      <c r="C327" s="28"/>
      <c r="D327" s="27"/>
      <c r="E327" s="32"/>
      <c r="F327" s="39"/>
      <c r="G327" s="39"/>
      <c r="H327" s="39"/>
      <c r="I327" s="40" t="str">
        <f aca="false">IF(OR($G327="",$F327=""),"",$G327-$F327)</f>
        <v/>
      </c>
      <c r="J327" s="40" t="str">
        <f aca="false">IF(OR($H327="",$F327=""),"",$H327-$F327)</f>
        <v/>
      </c>
      <c r="K327" s="32"/>
      <c r="L327" s="32"/>
      <c r="M327" s="32"/>
      <c r="N327" s="32"/>
      <c r="O327" s="41"/>
      <c r="P327" s="42" t="str">
        <f aca="false">IF(OR($N327="",$O327="",$O327=0),"",($N327/100)/$O327)</f>
        <v/>
      </c>
      <c r="Q327" s="43" t="str">
        <f aca="false">IF(OR($K327="",$L327="",$K327=0),"",($L327-$K327)/$K327)</f>
        <v/>
      </c>
      <c r="R327" s="32"/>
      <c r="S327" s="44" t="str">
        <f aca="false">IF(OR($L327="",$E327=""),"",60.7*$L327+45.3*$E327-2055)</f>
        <v/>
      </c>
      <c r="T327" s="45"/>
      <c r="U327" s="45"/>
      <c r="V327" s="45"/>
      <c r="W327" s="45"/>
      <c r="X327" s="32"/>
      <c r="Y327" s="32"/>
      <c r="Z327" s="39"/>
      <c r="AA327" s="46"/>
      <c r="AB327" s="42" t="str">
        <f aca="false">IF(OR($AA327="",$E327="",$E327=0),"",$AA327/$E327)</f>
        <v/>
      </c>
      <c r="AC327" s="27"/>
    </row>
    <row r="328" customFormat="false" ht="15" hidden="false" customHeight="false" outlineLevel="0" collapsed="false">
      <c r="A328" s="29"/>
      <c r="B328" s="27"/>
      <c r="C328" s="28"/>
      <c r="D328" s="27"/>
      <c r="E328" s="32"/>
      <c r="F328" s="39"/>
      <c r="G328" s="39"/>
      <c r="H328" s="39"/>
      <c r="I328" s="40" t="str">
        <f aca="false">IF(OR($G328="",$F328=""),"",$G328-$F328)</f>
        <v/>
      </c>
      <c r="J328" s="40" t="str">
        <f aca="false">IF(OR($H328="",$F328=""),"",$H328-$F328)</f>
        <v/>
      </c>
      <c r="K328" s="32"/>
      <c r="L328" s="32"/>
      <c r="M328" s="32"/>
      <c r="N328" s="32"/>
      <c r="O328" s="41"/>
      <c r="P328" s="42" t="str">
        <f aca="false">IF(OR($N328="",$O328="",$O328=0),"",($N328/100)/$O328)</f>
        <v/>
      </c>
      <c r="Q328" s="43" t="str">
        <f aca="false">IF(OR($K328="",$L328="",$K328=0),"",($L328-$K328)/$K328)</f>
        <v/>
      </c>
      <c r="R328" s="32"/>
      <c r="S328" s="44" t="str">
        <f aca="false">IF(OR($L328="",$E328=""),"",60.7*$L328+45.3*$E328-2055)</f>
        <v/>
      </c>
      <c r="T328" s="45"/>
      <c r="U328" s="45"/>
      <c r="V328" s="45"/>
      <c r="W328" s="45"/>
      <c r="X328" s="32"/>
      <c r="Y328" s="32"/>
      <c r="Z328" s="39"/>
      <c r="AA328" s="46"/>
      <c r="AB328" s="42" t="str">
        <f aca="false">IF(OR($AA328="",$E328="",$E328=0),"",$AA328/$E328)</f>
        <v/>
      </c>
      <c r="AC328" s="27"/>
    </row>
    <row r="329" customFormat="false" ht="15" hidden="false" customHeight="false" outlineLevel="0" collapsed="false">
      <c r="A329" s="29"/>
      <c r="B329" s="27"/>
      <c r="C329" s="28"/>
      <c r="D329" s="27"/>
      <c r="E329" s="32"/>
      <c r="F329" s="39"/>
      <c r="G329" s="39"/>
      <c r="H329" s="39"/>
      <c r="I329" s="40" t="str">
        <f aca="false">IF(OR($G329="",$F329=""),"",$G329-$F329)</f>
        <v/>
      </c>
      <c r="J329" s="40" t="str">
        <f aca="false">IF(OR($H329="",$F329=""),"",$H329-$F329)</f>
        <v/>
      </c>
      <c r="K329" s="32"/>
      <c r="L329" s="32"/>
      <c r="M329" s="32"/>
      <c r="N329" s="32"/>
      <c r="O329" s="41"/>
      <c r="P329" s="42" t="str">
        <f aca="false">IF(OR($N329="",$O329="",$O329=0),"",($N329/100)/$O329)</f>
        <v/>
      </c>
      <c r="Q329" s="43" t="str">
        <f aca="false">IF(OR($K329="",$L329="",$K329=0),"",($L329-$K329)/$K329)</f>
        <v/>
      </c>
      <c r="R329" s="32"/>
      <c r="S329" s="44" t="str">
        <f aca="false">IF(OR($L329="",$E329=""),"",60.7*$L329+45.3*$E329-2055)</f>
        <v/>
      </c>
      <c r="T329" s="45"/>
      <c r="U329" s="45"/>
      <c r="V329" s="45"/>
      <c r="W329" s="45"/>
      <c r="X329" s="32"/>
      <c r="Y329" s="32"/>
      <c r="Z329" s="39"/>
      <c r="AA329" s="46"/>
      <c r="AB329" s="42" t="str">
        <f aca="false">IF(OR($AA329="",$E329="",$E329=0),"",$AA329/$E329)</f>
        <v/>
      </c>
      <c r="AC329" s="27"/>
    </row>
    <row r="330" customFormat="false" ht="15" hidden="false" customHeight="false" outlineLevel="0" collapsed="false">
      <c r="A330" s="29"/>
      <c r="B330" s="27"/>
      <c r="C330" s="28"/>
      <c r="D330" s="27"/>
      <c r="E330" s="32"/>
      <c r="F330" s="39"/>
      <c r="G330" s="39"/>
      <c r="H330" s="39"/>
      <c r="I330" s="40" t="str">
        <f aca="false">IF(OR($G330="",$F330=""),"",$G330-$F330)</f>
        <v/>
      </c>
      <c r="J330" s="40" t="str">
        <f aca="false">IF(OR($H330="",$F330=""),"",$H330-$F330)</f>
        <v/>
      </c>
      <c r="K330" s="32"/>
      <c r="L330" s="32"/>
      <c r="M330" s="32"/>
      <c r="N330" s="32"/>
      <c r="O330" s="41"/>
      <c r="P330" s="42" t="str">
        <f aca="false">IF(OR($N330="",$O330="",$O330=0),"",($N330/100)/$O330)</f>
        <v/>
      </c>
      <c r="Q330" s="43" t="str">
        <f aca="false">IF(OR($K330="",$L330="",$K330=0),"",($L330-$K330)/$K330)</f>
        <v/>
      </c>
      <c r="R330" s="32"/>
      <c r="S330" s="44" t="str">
        <f aca="false">IF(OR($L330="",$E330=""),"",60.7*$L330+45.3*$E330-2055)</f>
        <v/>
      </c>
      <c r="T330" s="45"/>
      <c r="U330" s="45"/>
      <c r="V330" s="45"/>
      <c r="W330" s="45"/>
      <c r="X330" s="32"/>
      <c r="Y330" s="32"/>
      <c r="Z330" s="39"/>
      <c r="AA330" s="46"/>
      <c r="AB330" s="42" t="str">
        <f aca="false">IF(OR($AA330="",$E330="",$E330=0),"",$AA330/$E330)</f>
        <v/>
      </c>
      <c r="AC330" s="27"/>
    </row>
    <row r="331" customFormat="false" ht="15" hidden="false" customHeight="false" outlineLevel="0" collapsed="false">
      <c r="A331" s="29"/>
      <c r="B331" s="27"/>
      <c r="C331" s="28"/>
      <c r="D331" s="27"/>
      <c r="E331" s="32"/>
      <c r="F331" s="39"/>
      <c r="G331" s="39"/>
      <c r="H331" s="39"/>
      <c r="I331" s="40" t="str">
        <f aca="false">IF(OR($G331="",$F331=""),"",$G331-$F331)</f>
        <v/>
      </c>
      <c r="J331" s="40" t="str">
        <f aca="false">IF(OR($H331="",$F331=""),"",$H331-$F331)</f>
        <v/>
      </c>
      <c r="K331" s="32"/>
      <c r="L331" s="32"/>
      <c r="M331" s="32"/>
      <c r="N331" s="32"/>
      <c r="O331" s="41"/>
      <c r="P331" s="42" t="str">
        <f aca="false">IF(OR($N331="",$O331="",$O331=0),"",($N331/100)/$O331)</f>
        <v/>
      </c>
      <c r="Q331" s="43" t="str">
        <f aca="false">IF(OR($K331="",$L331="",$K331=0),"",($L331-$K331)/$K331)</f>
        <v/>
      </c>
      <c r="R331" s="32"/>
      <c r="S331" s="44" t="str">
        <f aca="false">IF(OR($L331="",$E331=""),"",60.7*$L331+45.3*$E331-2055)</f>
        <v/>
      </c>
      <c r="T331" s="45"/>
      <c r="U331" s="45"/>
      <c r="V331" s="45"/>
      <c r="W331" s="45"/>
      <c r="X331" s="32"/>
      <c r="Y331" s="32"/>
      <c r="Z331" s="39"/>
      <c r="AA331" s="46"/>
      <c r="AB331" s="42" t="str">
        <f aca="false">IF(OR($AA331="",$E331="",$E331=0),"",$AA331/$E331)</f>
        <v/>
      </c>
      <c r="AC331" s="27"/>
    </row>
    <row r="332" customFormat="false" ht="15" hidden="false" customHeight="false" outlineLevel="0" collapsed="false">
      <c r="A332" s="29"/>
      <c r="B332" s="27"/>
      <c r="C332" s="28"/>
      <c r="D332" s="27"/>
      <c r="E332" s="32"/>
      <c r="F332" s="39"/>
      <c r="G332" s="39"/>
      <c r="H332" s="39"/>
      <c r="I332" s="40" t="str">
        <f aca="false">IF(OR($G332="",$F332=""),"",$G332-$F332)</f>
        <v/>
      </c>
      <c r="J332" s="40" t="str">
        <f aca="false">IF(OR($H332="",$F332=""),"",$H332-$F332)</f>
        <v/>
      </c>
      <c r="K332" s="32"/>
      <c r="L332" s="32"/>
      <c r="M332" s="32"/>
      <c r="N332" s="32"/>
      <c r="O332" s="41"/>
      <c r="P332" s="42" t="str">
        <f aca="false">IF(OR($N332="",$O332="",$O332=0),"",($N332/100)/$O332)</f>
        <v/>
      </c>
      <c r="Q332" s="43" t="str">
        <f aca="false">IF(OR($K332="",$L332="",$K332=0),"",($L332-$K332)/$K332)</f>
        <v/>
      </c>
      <c r="R332" s="32"/>
      <c r="S332" s="44" t="str">
        <f aca="false">IF(OR($L332="",$E332=""),"",60.7*$L332+45.3*$E332-2055)</f>
        <v/>
      </c>
      <c r="T332" s="45"/>
      <c r="U332" s="45"/>
      <c r="V332" s="45"/>
      <c r="W332" s="45"/>
      <c r="X332" s="32"/>
      <c r="Y332" s="32"/>
      <c r="Z332" s="39"/>
      <c r="AA332" s="46"/>
      <c r="AB332" s="42" t="str">
        <f aca="false">IF(OR($AA332="",$E332="",$E332=0),"",$AA332/$E332)</f>
        <v/>
      </c>
      <c r="AC332" s="27"/>
    </row>
    <row r="333" customFormat="false" ht="15" hidden="false" customHeight="false" outlineLevel="0" collapsed="false">
      <c r="A333" s="29"/>
      <c r="B333" s="27"/>
      <c r="C333" s="28"/>
      <c r="D333" s="27"/>
      <c r="E333" s="32"/>
      <c r="F333" s="39"/>
      <c r="G333" s="39"/>
      <c r="H333" s="39"/>
      <c r="I333" s="40" t="str">
        <f aca="false">IF(OR($G333="",$F333=""),"",$G333-$F333)</f>
        <v/>
      </c>
      <c r="J333" s="40" t="str">
        <f aca="false">IF(OR($H333="",$F333=""),"",$H333-$F333)</f>
        <v/>
      </c>
      <c r="K333" s="32"/>
      <c r="L333" s="32"/>
      <c r="M333" s="32"/>
      <c r="N333" s="32"/>
      <c r="O333" s="41"/>
      <c r="P333" s="42" t="str">
        <f aca="false">IF(OR($N333="",$O333="",$O333=0),"",($N333/100)/$O333)</f>
        <v/>
      </c>
      <c r="Q333" s="43" t="str">
        <f aca="false">IF(OR($K333="",$L333="",$K333=0),"",($L333-$K333)/$K333)</f>
        <v/>
      </c>
      <c r="R333" s="32"/>
      <c r="S333" s="44" t="str">
        <f aca="false">IF(OR($L333="",$E333=""),"",60.7*$L333+45.3*$E333-2055)</f>
        <v/>
      </c>
      <c r="T333" s="45"/>
      <c r="U333" s="45"/>
      <c r="V333" s="45"/>
      <c r="W333" s="45"/>
      <c r="X333" s="32"/>
      <c r="Y333" s="32"/>
      <c r="Z333" s="39"/>
      <c r="AA333" s="46"/>
      <c r="AB333" s="42" t="str">
        <f aca="false">IF(OR($AA333="",$E333="",$E333=0),"",$AA333/$E333)</f>
        <v/>
      </c>
      <c r="AC333" s="27"/>
    </row>
    <row r="334" customFormat="false" ht="15" hidden="false" customHeight="false" outlineLevel="0" collapsed="false">
      <c r="A334" s="29"/>
      <c r="B334" s="27"/>
      <c r="C334" s="28"/>
      <c r="D334" s="27"/>
      <c r="E334" s="32"/>
      <c r="F334" s="39"/>
      <c r="G334" s="39"/>
      <c r="H334" s="39"/>
      <c r="I334" s="40" t="str">
        <f aca="false">IF(OR($G334="",$F334=""),"",$G334-$F334)</f>
        <v/>
      </c>
      <c r="J334" s="40" t="str">
        <f aca="false">IF(OR($H334="",$F334=""),"",$H334-$F334)</f>
        <v/>
      </c>
      <c r="K334" s="32"/>
      <c r="L334" s="32"/>
      <c r="M334" s="32"/>
      <c r="N334" s="32"/>
      <c r="O334" s="41"/>
      <c r="P334" s="42" t="str">
        <f aca="false">IF(OR($N334="",$O334="",$O334=0),"",($N334/100)/$O334)</f>
        <v/>
      </c>
      <c r="Q334" s="43" t="str">
        <f aca="false">IF(OR($K334="",$L334="",$K334=0),"",($L334-$K334)/$K334)</f>
        <v/>
      </c>
      <c r="R334" s="32"/>
      <c r="S334" s="44" t="str">
        <f aca="false">IF(OR($L334="",$E334=""),"",60.7*$L334+45.3*$E334-2055)</f>
        <v/>
      </c>
      <c r="T334" s="45"/>
      <c r="U334" s="45"/>
      <c r="V334" s="45"/>
      <c r="W334" s="45"/>
      <c r="X334" s="32"/>
      <c r="Y334" s="32"/>
      <c r="Z334" s="39"/>
      <c r="AA334" s="46"/>
      <c r="AB334" s="42" t="str">
        <f aca="false">IF(OR($AA334="",$E334="",$E334=0),"",$AA334/$E334)</f>
        <v/>
      </c>
      <c r="AC334" s="27"/>
    </row>
    <row r="335" customFormat="false" ht="15" hidden="false" customHeight="false" outlineLevel="0" collapsed="false">
      <c r="A335" s="29"/>
      <c r="B335" s="27"/>
      <c r="C335" s="28"/>
      <c r="D335" s="27"/>
      <c r="E335" s="32"/>
      <c r="F335" s="39"/>
      <c r="G335" s="39"/>
      <c r="H335" s="39"/>
      <c r="I335" s="40" t="str">
        <f aca="false">IF(OR($G335="",$F335=""),"",$G335-$F335)</f>
        <v/>
      </c>
      <c r="J335" s="40" t="str">
        <f aca="false">IF(OR($H335="",$F335=""),"",$H335-$F335)</f>
        <v/>
      </c>
      <c r="K335" s="32"/>
      <c r="L335" s="32"/>
      <c r="M335" s="32"/>
      <c r="N335" s="32"/>
      <c r="O335" s="41"/>
      <c r="P335" s="42" t="str">
        <f aca="false">IF(OR($N335="",$O335="",$O335=0),"",($N335/100)/$O335)</f>
        <v/>
      </c>
      <c r="Q335" s="43" t="str">
        <f aca="false">IF(OR($K335="",$L335="",$K335=0),"",($L335-$K335)/$K335)</f>
        <v/>
      </c>
      <c r="R335" s="32"/>
      <c r="S335" s="44" t="str">
        <f aca="false">IF(OR($L335="",$E335=""),"",60.7*$L335+45.3*$E335-2055)</f>
        <v/>
      </c>
      <c r="T335" s="45"/>
      <c r="U335" s="45"/>
      <c r="V335" s="45"/>
      <c r="W335" s="45"/>
      <c r="X335" s="32"/>
      <c r="Y335" s="32"/>
      <c r="Z335" s="39"/>
      <c r="AA335" s="46"/>
      <c r="AB335" s="42" t="str">
        <f aca="false">IF(OR($AA335="",$E335="",$E335=0),"",$AA335/$E335)</f>
        <v/>
      </c>
      <c r="AC335" s="27"/>
    </row>
    <row r="336" customFormat="false" ht="15" hidden="false" customHeight="false" outlineLevel="0" collapsed="false">
      <c r="A336" s="29"/>
      <c r="B336" s="27"/>
      <c r="C336" s="28"/>
      <c r="D336" s="27"/>
      <c r="E336" s="32"/>
      <c r="F336" s="39"/>
      <c r="G336" s="39"/>
      <c r="H336" s="39"/>
      <c r="I336" s="40" t="str">
        <f aca="false">IF(OR($G336="",$F336=""),"",$G336-$F336)</f>
        <v/>
      </c>
      <c r="J336" s="40" t="str">
        <f aca="false">IF(OR($H336="",$F336=""),"",$H336-$F336)</f>
        <v/>
      </c>
      <c r="K336" s="32"/>
      <c r="L336" s="32"/>
      <c r="M336" s="32"/>
      <c r="N336" s="32"/>
      <c r="O336" s="41"/>
      <c r="P336" s="42" t="str">
        <f aca="false">IF(OR($N336="",$O336="",$O336=0),"",($N336/100)/$O336)</f>
        <v/>
      </c>
      <c r="Q336" s="43" t="str">
        <f aca="false">IF(OR($K336="",$L336="",$K336=0),"",($L336-$K336)/$K336)</f>
        <v/>
      </c>
      <c r="R336" s="32"/>
      <c r="S336" s="44" t="str">
        <f aca="false">IF(OR($L336="",$E336=""),"",60.7*$L336+45.3*$E336-2055)</f>
        <v/>
      </c>
      <c r="T336" s="45"/>
      <c r="U336" s="45"/>
      <c r="V336" s="45"/>
      <c r="W336" s="45"/>
      <c r="X336" s="32"/>
      <c r="Y336" s="32"/>
      <c r="Z336" s="39"/>
      <c r="AA336" s="46"/>
      <c r="AB336" s="42" t="str">
        <f aca="false">IF(OR($AA336="",$E336="",$E336=0),"",$AA336/$E336)</f>
        <v/>
      </c>
      <c r="AC336" s="27"/>
    </row>
    <row r="337" customFormat="false" ht="15" hidden="false" customHeight="false" outlineLevel="0" collapsed="false">
      <c r="A337" s="29"/>
      <c r="B337" s="27"/>
      <c r="C337" s="28"/>
      <c r="D337" s="27"/>
      <c r="E337" s="32"/>
      <c r="F337" s="39"/>
      <c r="G337" s="39"/>
      <c r="H337" s="39"/>
      <c r="I337" s="40" t="str">
        <f aca="false">IF(OR($G337="",$F337=""),"",$G337-$F337)</f>
        <v/>
      </c>
      <c r="J337" s="40" t="str">
        <f aca="false">IF(OR($H337="",$F337=""),"",$H337-$F337)</f>
        <v/>
      </c>
      <c r="K337" s="32"/>
      <c r="L337" s="32"/>
      <c r="M337" s="32"/>
      <c r="N337" s="32"/>
      <c r="O337" s="41"/>
      <c r="P337" s="42" t="str">
        <f aca="false">IF(OR($N337="",$O337="",$O337=0),"",($N337/100)/$O337)</f>
        <v/>
      </c>
      <c r="Q337" s="43" t="str">
        <f aca="false">IF(OR($K337="",$L337="",$K337=0),"",($L337-$K337)/$K337)</f>
        <v/>
      </c>
      <c r="R337" s="32"/>
      <c r="S337" s="44" t="str">
        <f aca="false">IF(OR($L337="",$E337=""),"",60.7*$L337+45.3*$E337-2055)</f>
        <v/>
      </c>
      <c r="T337" s="45"/>
      <c r="U337" s="45"/>
      <c r="V337" s="45"/>
      <c r="W337" s="45"/>
      <c r="X337" s="32"/>
      <c r="Y337" s="32"/>
      <c r="Z337" s="39"/>
      <c r="AA337" s="46"/>
      <c r="AB337" s="42" t="str">
        <f aca="false">IF(OR($AA337="",$E337="",$E337=0),"",$AA337/$E337)</f>
        <v/>
      </c>
      <c r="AC337" s="27"/>
    </row>
    <row r="338" customFormat="false" ht="15" hidden="false" customHeight="false" outlineLevel="0" collapsed="false">
      <c r="A338" s="29"/>
      <c r="B338" s="27"/>
      <c r="C338" s="28"/>
      <c r="D338" s="27"/>
      <c r="E338" s="32"/>
      <c r="F338" s="39"/>
      <c r="G338" s="39"/>
      <c r="H338" s="39"/>
      <c r="I338" s="40" t="str">
        <f aca="false">IF(OR($G338="",$F338=""),"",$G338-$F338)</f>
        <v/>
      </c>
      <c r="J338" s="40" t="str">
        <f aca="false">IF(OR($H338="",$F338=""),"",$H338-$F338)</f>
        <v/>
      </c>
      <c r="K338" s="32"/>
      <c r="L338" s="32"/>
      <c r="M338" s="32"/>
      <c r="N338" s="32"/>
      <c r="O338" s="41"/>
      <c r="P338" s="42" t="str">
        <f aca="false">IF(OR($N338="",$O338="",$O338=0),"",($N338/100)/$O338)</f>
        <v/>
      </c>
      <c r="Q338" s="43" t="str">
        <f aca="false">IF(OR($K338="",$L338="",$K338=0),"",($L338-$K338)/$K338)</f>
        <v/>
      </c>
      <c r="R338" s="32"/>
      <c r="S338" s="44" t="str">
        <f aca="false">IF(OR($L338="",$E338=""),"",60.7*$L338+45.3*$E338-2055)</f>
        <v/>
      </c>
      <c r="T338" s="45"/>
      <c r="U338" s="45"/>
      <c r="V338" s="45"/>
      <c r="W338" s="45"/>
      <c r="X338" s="32"/>
      <c r="Y338" s="32"/>
      <c r="Z338" s="39"/>
      <c r="AA338" s="46"/>
      <c r="AB338" s="42" t="str">
        <f aca="false">IF(OR($AA338="",$E338="",$E338=0),"",$AA338/$E338)</f>
        <v/>
      </c>
      <c r="AC338" s="27"/>
    </row>
    <row r="339" customFormat="false" ht="15" hidden="false" customHeight="false" outlineLevel="0" collapsed="false">
      <c r="A339" s="29"/>
      <c r="B339" s="27"/>
      <c r="C339" s="28"/>
      <c r="D339" s="27"/>
      <c r="E339" s="32"/>
      <c r="F339" s="39"/>
      <c r="G339" s="39"/>
      <c r="H339" s="39"/>
      <c r="I339" s="40" t="str">
        <f aca="false">IF(OR($G339="",$F339=""),"",$G339-$F339)</f>
        <v/>
      </c>
      <c r="J339" s="40" t="str">
        <f aca="false">IF(OR($H339="",$F339=""),"",$H339-$F339)</f>
        <v/>
      </c>
      <c r="K339" s="32"/>
      <c r="L339" s="32"/>
      <c r="M339" s="32"/>
      <c r="N339" s="32"/>
      <c r="O339" s="41"/>
      <c r="P339" s="42" t="str">
        <f aca="false">IF(OR($N339="",$O339="",$O339=0),"",($N339/100)/$O339)</f>
        <v/>
      </c>
      <c r="Q339" s="43" t="str">
        <f aca="false">IF(OR($K339="",$L339="",$K339=0),"",($L339-$K339)/$K339)</f>
        <v/>
      </c>
      <c r="R339" s="32"/>
      <c r="S339" s="44" t="str">
        <f aca="false">IF(OR($L339="",$E339=""),"",60.7*$L339+45.3*$E339-2055)</f>
        <v/>
      </c>
      <c r="T339" s="45"/>
      <c r="U339" s="45"/>
      <c r="V339" s="45"/>
      <c r="W339" s="45"/>
      <c r="X339" s="32"/>
      <c r="Y339" s="32"/>
      <c r="Z339" s="39"/>
      <c r="AA339" s="46"/>
      <c r="AB339" s="42" t="str">
        <f aca="false">IF(OR($AA339="",$E339="",$E339=0),"",$AA339/$E339)</f>
        <v/>
      </c>
      <c r="AC339" s="27"/>
    </row>
    <row r="340" customFormat="false" ht="15" hidden="false" customHeight="false" outlineLevel="0" collapsed="false">
      <c r="A340" s="29"/>
      <c r="B340" s="27"/>
      <c r="C340" s="28"/>
      <c r="D340" s="27"/>
      <c r="E340" s="32"/>
      <c r="F340" s="39"/>
      <c r="G340" s="39"/>
      <c r="H340" s="39"/>
      <c r="I340" s="40" t="str">
        <f aca="false">IF(OR($G340="",$F340=""),"",$G340-$F340)</f>
        <v/>
      </c>
      <c r="J340" s="40" t="str">
        <f aca="false">IF(OR($H340="",$F340=""),"",$H340-$F340)</f>
        <v/>
      </c>
      <c r="K340" s="32"/>
      <c r="L340" s="32"/>
      <c r="M340" s="32"/>
      <c r="N340" s="32"/>
      <c r="O340" s="41"/>
      <c r="P340" s="42" t="str">
        <f aca="false">IF(OR($N340="",$O340="",$O340=0),"",($N340/100)/$O340)</f>
        <v/>
      </c>
      <c r="Q340" s="43" t="str">
        <f aca="false">IF(OR($K340="",$L340="",$K340=0),"",($L340-$K340)/$K340)</f>
        <v/>
      </c>
      <c r="R340" s="32"/>
      <c r="S340" s="44" t="str">
        <f aca="false">IF(OR($L340="",$E340=""),"",60.7*$L340+45.3*$E340-2055)</f>
        <v/>
      </c>
      <c r="T340" s="45"/>
      <c r="U340" s="45"/>
      <c r="V340" s="45"/>
      <c r="W340" s="45"/>
      <c r="X340" s="32"/>
      <c r="Y340" s="32"/>
      <c r="Z340" s="39"/>
      <c r="AA340" s="46"/>
      <c r="AB340" s="42" t="str">
        <f aca="false">IF(OR($AA340="",$E340="",$E340=0),"",$AA340/$E340)</f>
        <v/>
      </c>
      <c r="AC340" s="27"/>
    </row>
    <row r="341" customFormat="false" ht="15" hidden="false" customHeight="false" outlineLevel="0" collapsed="false">
      <c r="A341" s="29"/>
      <c r="B341" s="27"/>
      <c r="C341" s="28"/>
      <c r="D341" s="27"/>
      <c r="E341" s="32"/>
      <c r="F341" s="39"/>
      <c r="G341" s="39"/>
      <c r="H341" s="39"/>
      <c r="I341" s="40" t="str">
        <f aca="false">IF(OR($G341="",$F341=""),"",$G341-$F341)</f>
        <v/>
      </c>
      <c r="J341" s="40" t="str">
        <f aca="false">IF(OR($H341="",$F341=""),"",$H341-$F341)</f>
        <v/>
      </c>
      <c r="K341" s="32"/>
      <c r="L341" s="32"/>
      <c r="M341" s="32"/>
      <c r="N341" s="32"/>
      <c r="O341" s="41"/>
      <c r="P341" s="42" t="str">
        <f aca="false">IF(OR($N341="",$O341="",$O341=0),"",($N341/100)/$O341)</f>
        <v/>
      </c>
      <c r="Q341" s="43" t="str">
        <f aca="false">IF(OR($K341="",$L341="",$K341=0),"",($L341-$K341)/$K341)</f>
        <v/>
      </c>
      <c r="R341" s="32"/>
      <c r="S341" s="44" t="str">
        <f aca="false">IF(OR($L341="",$E341=""),"",60.7*$L341+45.3*$E341-2055)</f>
        <v/>
      </c>
      <c r="T341" s="45"/>
      <c r="U341" s="45"/>
      <c r="V341" s="45"/>
      <c r="W341" s="45"/>
      <c r="X341" s="32"/>
      <c r="Y341" s="32"/>
      <c r="Z341" s="39"/>
      <c r="AA341" s="46"/>
      <c r="AB341" s="42" t="str">
        <f aca="false">IF(OR($AA341="",$E341="",$E341=0),"",$AA341/$E341)</f>
        <v/>
      </c>
      <c r="AC341" s="27"/>
    </row>
    <row r="342" customFormat="false" ht="15" hidden="false" customHeight="false" outlineLevel="0" collapsed="false">
      <c r="A342" s="29"/>
      <c r="B342" s="27"/>
      <c r="C342" s="28"/>
      <c r="D342" s="27"/>
      <c r="E342" s="32"/>
      <c r="F342" s="39"/>
      <c r="G342" s="39"/>
      <c r="H342" s="39"/>
      <c r="I342" s="40" t="str">
        <f aca="false">IF(OR($G342="",$F342=""),"",$G342-$F342)</f>
        <v/>
      </c>
      <c r="J342" s="40" t="str">
        <f aca="false">IF(OR($H342="",$F342=""),"",$H342-$F342)</f>
        <v/>
      </c>
      <c r="K342" s="32"/>
      <c r="L342" s="32"/>
      <c r="M342" s="32"/>
      <c r="N342" s="32"/>
      <c r="O342" s="41"/>
      <c r="P342" s="42" t="str">
        <f aca="false">IF(OR($N342="",$O342="",$O342=0),"",($N342/100)/$O342)</f>
        <v/>
      </c>
      <c r="Q342" s="43" t="str">
        <f aca="false">IF(OR($K342="",$L342="",$K342=0),"",($L342-$K342)/$K342)</f>
        <v/>
      </c>
      <c r="R342" s="32"/>
      <c r="S342" s="44" t="str">
        <f aca="false">IF(OR($L342="",$E342=""),"",60.7*$L342+45.3*$E342-2055)</f>
        <v/>
      </c>
      <c r="T342" s="45"/>
      <c r="U342" s="45"/>
      <c r="V342" s="45"/>
      <c r="W342" s="45"/>
      <c r="X342" s="32"/>
      <c r="Y342" s="32"/>
      <c r="Z342" s="39"/>
      <c r="AA342" s="46"/>
      <c r="AB342" s="42" t="str">
        <f aca="false">IF(OR($AA342="",$E342="",$E342=0),"",$AA342/$E342)</f>
        <v/>
      </c>
      <c r="AC342" s="27"/>
    </row>
    <row r="343" customFormat="false" ht="15" hidden="false" customHeight="false" outlineLevel="0" collapsed="false">
      <c r="A343" s="29"/>
      <c r="B343" s="27"/>
      <c r="C343" s="28"/>
      <c r="D343" s="27"/>
      <c r="E343" s="32"/>
      <c r="F343" s="39"/>
      <c r="G343" s="39"/>
      <c r="H343" s="39"/>
      <c r="I343" s="40" t="str">
        <f aca="false">IF(OR($G343="",$F343=""),"",$G343-$F343)</f>
        <v/>
      </c>
      <c r="J343" s="40" t="str">
        <f aca="false">IF(OR($H343="",$F343=""),"",$H343-$F343)</f>
        <v/>
      </c>
      <c r="K343" s="32"/>
      <c r="L343" s="32"/>
      <c r="M343" s="32"/>
      <c r="N343" s="32"/>
      <c r="O343" s="41"/>
      <c r="P343" s="42" t="str">
        <f aca="false">IF(OR($N343="",$O343="",$O343=0),"",($N343/100)/$O343)</f>
        <v/>
      </c>
      <c r="Q343" s="43" t="str">
        <f aca="false">IF(OR($K343="",$L343="",$K343=0),"",($L343-$K343)/$K343)</f>
        <v/>
      </c>
      <c r="R343" s="32"/>
      <c r="S343" s="44" t="str">
        <f aca="false">IF(OR($L343="",$E343=""),"",60.7*$L343+45.3*$E343-2055)</f>
        <v/>
      </c>
      <c r="T343" s="45"/>
      <c r="U343" s="45"/>
      <c r="V343" s="45"/>
      <c r="W343" s="45"/>
      <c r="X343" s="32"/>
      <c r="Y343" s="32"/>
      <c r="Z343" s="39"/>
      <c r="AA343" s="46"/>
      <c r="AB343" s="42" t="str">
        <f aca="false">IF(OR($AA343="",$E343="",$E343=0),"",$AA343/$E343)</f>
        <v/>
      </c>
      <c r="AC343" s="27"/>
    </row>
    <row r="344" customFormat="false" ht="15" hidden="false" customHeight="false" outlineLevel="0" collapsed="false">
      <c r="A344" s="29"/>
      <c r="B344" s="27"/>
      <c r="C344" s="28"/>
      <c r="D344" s="27"/>
      <c r="E344" s="32"/>
      <c r="F344" s="39"/>
      <c r="G344" s="39"/>
      <c r="H344" s="39"/>
      <c r="I344" s="40" t="str">
        <f aca="false">IF(OR($G344="",$F344=""),"",$G344-$F344)</f>
        <v/>
      </c>
      <c r="J344" s="40" t="str">
        <f aca="false">IF(OR($H344="",$F344=""),"",$H344-$F344)</f>
        <v/>
      </c>
      <c r="K344" s="32"/>
      <c r="L344" s="32"/>
      <c r="M344" s="32"/>
      <c r="N344" s="32"/>
      <c r="O344" s="41"/>
      <c r="P344" s="42" t="str">
        <f aca="false">IF(OR($N344="",$O344="",$O344=0),"",($N344/100)/$O344)</f>
        <v/>
      </c>
      <c r="Q344" s="43" t="str">
        <f aca="false">IF(OR($K344="",$L344="",$K344=0),"",($L344-$K344)/$K344)</f>
        <v/>
      </c>
      <c r="R344" s="32"/>
      <c r="S344" s="44" t="str">
        <f aca="false">IF(OR($L344="",$E344=""),"",60.7*$L344+45.3*$E344-2055)</f>
        <v/>
      </c>
      <c r="T344" s="45"/>
      <c r="U344" s="45"/>
      <c r="V344" s="45"/>
      <c r="W344" s="45"/>
      <c r="X344" s="32"/>
      <c r="Y344" s="32"/>
      <c r="Z344" s="39"/>
      <c r="AA344" s="46"/>
      <c r="AB344" s="42" t="str">
        <f aca="false">IF(OR($AA344="",$E344="",$E344=0),"",$AA344/$E344)</f>
        <v/>
      </c>
      <c r="AC344" s="27"/>
    </row>
    <row r="345" customFormat="false" ht="15" hidden="false" customHeight="false" outlineLevel="0" collapsed="false">
      <c r="A345" s="29"/>
      <c r="B345" s="27"/>
      <c r="C345" s="28"/>
      <c r="D345" s="27"/>
      <c r="E345" s="32"/>
      <c r="F345" s="39"/>
      <c r="G345" s="39"/>
      <c r="H345" s="39"/>
      <c r="I345" s="40" t="str">
        <f aca="false">IF(OR($G345="",$F345=""),"",$G345-$F345)</f>
        <v/>
      </c>
      <c r="J345" s="40" t="str">
        <f aca="false">IF(OR($H345="",$F345=""),"",$H345-$F345)</f>
        <v/>
      </c>
      <c r="K345" s="32"/>
      <c r="L345" s="32"/>
      <c r="M345" s="32"/>
      <c r="N345" s="32"/>
      <c r="O345" s="41"/>
      <c r="P345" s="42" t="str">
        <f aca="false">IF(OR($N345="",$O345="",$O345=0),"",($N345/100)/$O345)</f>
        <v/>
      </c>
      <c r="Q345" s="43" t="str">
        <f aca="false">IF(OR($K345="",$L345="",$K345=0),"",($L345-$K345)/$K345)</f>
        <v/>
      </c>
      <c r="R345" s="32"/>
      <c r="S345" s="44" t="str">
        <f aca="false">IF(OR($L345="",$E345=""),"",60.7*$L345+45.3*$E345-2055)</f>
        <v/>
      </c>
      <c r="T345" s="45"/>
      <c r="U345" s="45"/>
      <c r="V345" s="45"/>
      <c r="W345" s="45"/>
      <c r="X345" s="32"/>
      <c r="Y345" s="32"/>
      <c r="Z345" s="39"/>
      <c r="AA345" s="46"/>
      <c r="AB345" s="42" t="str">
        <f aca="false">IF(OR($AA345="",$E345="",$E345=0),"",$AA345/$E345)</f>
        <v/>
      </c>
      <c r="AC345" s="27"/>
    </row>
    <row r="346" customFormat="false" ht="15" hidden="false" customHeight="false" outlineLevel="0" collapsed="false">
      <c r="A346" s="29"/>
      <c r="B346" s="27"/>
      <c r="C346" s="28"/>
      <c r="D346" s="27"/>
      <c r="E346" s="32"/>
      <c r="F346" s="39"/>
      <c r="G346" s="39"/>
      <c r="H346" s="39"/>
      <c r="I346" s="40" t="str">
        <f aca="false">IF(OR($G346="",$F346=""),"",$G346-$F346)</f>
        <v/>
      </c>
      <c r="J346" s="40" t="str">
        <f aca="false">IF(OR($H346="",$F346=""),"",$H346-$F346)</f>
        <v/>
      </c>
      <c r="K346" s="32"/>
      <c r="L346" s="32"/>
      <c r="M346" s="32"/>
      <c r="N346" s="32"/>
      <c r="O346" s="41"/>
      <c r="P346" s="42" t="str">
        <f aca="false">IF(OR($N346="",$O346="",$O346=0),"",($N346/100)/$O346)</f>
        <v/>
      </c>
      <c r="Q346" s="43" t="str">
        <f aca="false">IF(OR($K346="",$L346="",$K346=0),"",($L346-$K346)/$K346)</f>
        <v/>
      </c>
      <c r="R346" s="32"/>
      <c r="S346" s="44" t="str">
        <f aca="false">IF(OR($L346="",$E346=""),"",60.7*$L346+45.3*$E346-2055)</f>
        <v/>
      </c>
      <c r="T346" s="45"/>
      <c r="U346" s="45"/>
      <c r="V346" s="45"/>
      <c r="W346" s="45"/>
      <c r="X346" s="32"/>
      <c r="Y346" s="32"/>
      <c r="Z346" s="39"/>
      <c r="AA346" s="46"/>
      <c r="AB346" s="42" t="str">
        <f aca="false">IF(OR($AA346="",$E346="",$E346=0),"",$AA346/$E346)</f>
        <v/>
      </c>
      <c r="AC346" s="27"/>
    </row>
    <row r="347" customFormat="false" ht="15" hidden="false" customHeight="false" outlineLevel="0" collapsed="false">
      <c r="A347" s="29"/>
      <c r="B347" s="27"/>
      <c r="C347" s="28"/>
      <c r="D347" s="27"/>
      <c r="E347" s="32"/>
      <c r="F347" s="39"/>
      <c r="G347" s="39"/>
      <c r="H347" s="39"/>
      <c r="I347" s="40" t="str">
        <f aca="false">IF(OR($G347="",$F347=""),"",$G347-$F347)</f>
        <v/>
      </c>
      <c r="J347" s="40" t="str">
        <f aca="false">IF(OR($H347="",$F347=""),"",$H347-$F347)</f>
        <v/>
      </c>
      <c r="K347" s="32"/>
      <c r="L347" s="32"/>
      <c r="M347" s="32"/>
      <c r="N347" s="32"/>
      <c r="O347" s="41"/>
      <c r="P347" s="42" t="str">
        <f aca="false">IF(OR($N347="",$O347="",$O347=0),"",($N347/100)/$O347)</f>
        <v/>
      </c>
      <c r="Q347" s="43" t="str">
        <f aca="false">IF(OR($K347="",$L347="",$K347=0),"",($L347-$K347)/$K347)</f>
        <v/>
      </c>
      <c r="R347" s="32"/>
      <c r="S347" s="44" t="str">
        <f aca="false">IF(OR($L347="",$E347=""),"",60.7*$L347+45.3*$E347-2055)</f>
        <v/>
      </c>
      <c r="T347" s="45"/>
      <c r="U347" s="45"/>
      <c r="V347" s="45"/>
      <c r="W347" s="45"/>
      <c r="X347" s="32"/>
      <c r="Y347" s="32"/>
      <c r="Z347" s="39"/>
      <c r="AA347" s="46"/>
      <c r="AB347" s="42" t="str">
        <f aca="false">IF(OR($AA347="",$E347="",$E347=0),"",$AA347/$E347)</f>
        <v/>
      </c>
      <c r="AC347" s="27"/>
    </row>
    <row r="348" customFormat="false" ht="15" hidden="false" customHeight="false" outlineLevel="0" collapsed="false">
      <c r="A348" s="29"/>
      <c r="B348" s="27"/>
      <c r="C348" s="28"/>
      <c r="D348" s="27"/>
      <c r="E348" s="32"/>
      <c r="F348" s="39"/>
      <c r="G348" s="39"/>
      <c r="H348" s="39"/>
      <c r="I348" s="40" t="str">
        <f aca="false">IF(OR($G348="",$F348=""),"",$G348-$F348)</f>
        <v/>
      </c>
      <c r="J348" s="40" t="str">
        <f aca="false">IF(OR($H348="",$F348=""),"",$H348-$F348)</f>
        <v/>
      </c>
      <c r="K348" s="32"/>
      <c r="L348" s="32"/>
      <c r="M348" s="32"/>
      <c r="N348" s="32"/>
      <c r="O348" s="41"/>
      <c r="P348" s="42" t="str">
        <f aca="false">IF(OR($N348="",$O348="",$O348=0),"",($N348/100)/$O348)</f>
        <v/>
      </c>
      <c r="Q348" s="43" t="str">
        <f aca="false">IF(OR($K348="",$L348="",$K348=0),"",($L348-$K348)/$K348)</f>
        <v/>
      </c>
      <c r="R348" s="32"/>
      <c r="S348" s="44" t="str">
        <f aca="false">IF(OR($L348="",$E348=""),"",60.7*$L348+45.3*$E348-2055)</f>
        <v/>
      </c>
      <c r="T348" s="45"/>
      <c r="U348" s="45"/>
      <c r="V348" s="45"/>
      <c r="W348" s="45"/>
      <c r="X348" s="32"/>
      <c r="Y348" s="32"/>
      <c r="Z348" s="39"/>
      <c r="AA348" s="46"/>
      <c r="AB348" s="42" t="str">
        <f aca="false">IF(OR($AA348="",$E348="",$E348=0),"",$AA348/$E348)</f>
        <v/>
      </c>
      <c r="AC348" s="27"/>
    </row>
    <row r="349" customFormat="false" ht="15" hidden="false" customHeight="false" outlineLevel="0" collapsed="false">
      <c r="A349" s="29"/>
      <c r="B349" s="27"/>
      <c r="C349" s="28"/>
      <c r="D349" s="27"/>
      <c r="E349" s="32"/>
      <c r="F349" s="39"/>
      <c r="G349" s="39"/>
      <c r="H349" s="39"/>
      <c r="I349" s="40" t="str">
        <f aca="false">IF(OR($G349="",$F349=""),"",$G349-$F349)</f>
        <v/>
      </c>
      <c r="J349" s="40" t="str">
        <f aca="false">IF(OR($H349="",$F349=""),"",$H349-$F349)</f>
        <v/>
      </c>
      <c r="K349" s="32"/>
      <c r="L349" s="32"/>
      <c r="M349" s="32"/>
      <c r="N349" s="32"/>
      <c r="O349" s="41"/>
      <c r="P349" s="42" t="str">
        <f aca="false">IF(OR($N349="",$O349="",$O349=0),"",($N349/100)/$O349)</f>
        <v/>
      </c>
      <c r="Q349" s="43" t="str">
        <f aca="false">IF(OR($K349="",$L349="",$K349=0),"",($L349-$K349)/$K349)</f>
        <v/>
      </c>
      <c r="R349" s="32"/>
      <c r="S349" s="44" t="str">
        <f aca="false">IF(OR($L349="",$E349=""),"",60.7*$L349+45.3*$E349-2055)</f>
        <v/>
      </c>
      <c r="T349" s="45"/>
      <c r="U349" s="45"/>
      <c r="V349" s="45"/>
      <c r="W349" s="45"/>
      <c r="X349" s="32"/>
      <c r="Y349" s="32"/>
      <c r="Z349" s="39"/>
      <c r="AA349" s="46"/>
      <c r="AB349" s="42" t="str">
        <f aca="false">IF(OR($AA349="",$E349="",$E349=0),"",$AA349/$E349)</f>
        <v/>
      </c>
      <c r="AC349" s="27"/>
    </row>
    <row r="350" customFormat="false" ht="15" hidden="false" customHeight="false" outlineLevel="0" collapsed="false">
      <c r="A350" s="29"/>
      <c r="B350" s="27"/>
      <c r="C350" s="28"/>
      <c r="D350" s="27"/>
      <c r="E350" s="32"/>
      <c r="F350" s="39"/>
      <c r="G350" s="39"/>
      <c r="H350" s="39"/>
      <c r="I350" s="40" t="str">
        <f aca="false">IF(OR($G350="",$F350=""),"",$G350-$F350)</f>
        <v/>
      </c>
      <c r="J350" s="40" t="str">
        <f aca="false">IF(OR($H350="",$F350=""),"",$H350-$F350)</f>
        <v/>
      </c>
      <c r="K350" s="32"/>
      <c r="L350" s="32"/>
      <c r="M350" s="32"/>
      <c r="N350" s="32"/>
      <c r="O350" s="41"/>
      <c r="P350" s="42" t="str">
        <f aca="false">IF(OR($N350="",$O350="",$O350=0),"",($N350/100)/$O350)</f>
        <v/>
      </c>
      <c r="Q350" s="43" t="str">
        <f aca="false">IF(OR($K350="",$L350="",$K350=0),"",($L350-$K350)/$K350)</f>
        <v/>
      </c>
      <c r="R350" s="32"/>
      <c r="S350" s="44" t="str">
        <f aca="false">IF(OR($L350="",$E350=""),"",60.7*$L350+45.3*$E350-2055)</f>
        <v/>
      </c>
      <c r="T350" s="45"/>
      <c r="U350" s="45"/>
      <c r="V350" s="45"/>
      <c r="W350" s="45"/>
      <c r="X350" s="32"/>
      <c r="Y350" s="32"/>
      <c r="Z350" s="39"/>
      <c r="AA350" s="46"/>
      <c r="AB350" s="42" t="str">
        <f aca="false">IF(OR($AA350="",$E350="",$E350=0),"",$AA350/$E350)</f>
        <v/>
      </c>
      <c r="AC350" s="27"/>
    </row>
    <row r="351" customFormat="false" ht="15" hidden="false" customHeight="false" outlineLevel="0" collapsed="false">
      <c r="A351" s="29"/>
      <c r="B351" s="27"/>
      <c r="C351" s="28"/>
      <c r="D351" s="27"/>
      <c r="E351" s="32"/>
      <c r="F351" s="39"/>
      <c r="G351" s="39"/>
      <c r="H351" s="39"/>
      <c r="I351" s="40" t="str">
        <f aca="false">IF(OR($G351="",$F351=""),"",$G351-$F351)</f>
        <v/>
      </c>
      <c r="J351" s="40" t="str">
        <f aca="false">IF(OR($H351="",$F351=""),"",$H351-$F351)</f>
        <v/>
      </c>
      <c r="K351" s="32"/>
      <c r="L351" s="32"/>
      <c r="M351" s="32"/>
      <c r="N351" s="32"/>
      <c r="O351" s="41"/>
      <c r="P351" s="42" t="str">
        <f aca="false">IF(OR($N351="",$O351="",$O351=0),"",($N351/100)/$O351)</f>
        <v/>
      </c>
      <c r="Q351" s="43" t="str">
        <f aca="false">IF(OR($K351="",$L351="",$K351=0),"",($L351-$K351)/$K351)</f>
        <v/>
      </c>
      <c r="R351" s="32"/>
      <c r="S351" s="44" t="str">
        <f aca="false">IF(OR($L351="",$E351=""),"",60.7*$L351+45.3*$E351-2055)</f>
        <v/>
      </c>
      <c r="T351" s="45"/>
      <c r="U351" s="45"/>
      <c r="V351" s="45"/>
      <c r="W351" s="45"/>
      <c r="X351" s="32"/>
      <c r="Y351" s="32"/>
      <c r="Z351" s="39"/>
      <c r="AA351" s="46"/>
      <c r="AB351" s="42" t="str">
        <f aca="false">IF(OR($AA351="",$E351="",$E351=0),"",$AA351/$E351)</f>
        <v/>
      </c>
      <c r="AC351" s="27"/>
    </row>
    <row r="352" customFormat="false" ht="15" hidden="false" customHeight="false" outlineLevel="0" collapsed="false">
      <c r="A352" s="29"/>
      <c r="B352" s="27"/>
      <c r="C352" s="28"/>
      <c r="D352" s="27"/>
      <c r="E352" s="32"/>
      <c r="F352" s="39"/>
      <c r="G352" s="39"/>
      <c r="H352" s="39"/>
      <c r="I352" s="40" t="str">
        <f aca="false">IF(OR($G352="",$F352=""),"",$G352-$F352)</f>
        <v/>
      </c>
      <c r="J352" s="40" t="str">
        <f aca="false">IF(OR($H352="",$F352=""),"",$H352-$F352)</f>
        <v/>
      </c>
      <c r="K352" s="32"/>
      <c r="L352" s="32"/>
      <c r="M352" s="32"/>
      <c r="N352" s="32"/>
      <c r="O352" s="41"/>
      <c r="P352" s="42" t="str">
        <f aca="false">IF(OR($N352="",$O352="",$O352=0),"",($N352/100)/$O352)</f>
        <v/>
      </c>
      <c r="Q352" s="43" t="str">
        <f aca="false">IF(OR($K352="",$L352="",$K352=0),"",($L352-$K352)/$K352)</f>
        <v/>
      </c>
      <c r="R352" s="32"/>
      <c r="S352" s="44" t="str">
        <f aca="false">IF(OR($L352="",$E352=""),"",60.7*$L352+45.3*$E352-2055)</f>
        <v/>
      </c>
      <c r="T352" s="45"/>
      <c r="U352" s="45"/>
      <c r="V352" s="45"/>
      <c r="W352" s="45"/>
      <c r="X352" s="32"/>
      <c r="Y352" s="32"/>
      <c r="Z352" s="39"/>
      <c r="AA352" s="46"/>
      <c r="AB352" s="42" t="str">
        <f aca="false">IF(OR($AA352="",$E352="",$E352=0),"",$AA352/$E352)</f>
        <v/>
      </c>
      <c r="AC352" s="27"/>
    </row>
    <row r="353" customFormat="false" ht="15" hidden="false" customHeight="false" outlineLevel="0" collapsed="false">
      <c r="A353" s="29"/>
      <c r="B353" s="27"/>
      <c r="C353" s="28"/>
      <c r="D353" s="27"/>
      <c r="E353" s="32"/>
      <c r="F353" s="39"/>
      <c r="G353" s="39"/>
      <c r="H353" s="39"/>
      <c r="I353" s="40" t="str">
        <f aca="false">IF(OR($G353="",$F353=""),"",$G353-$F353)</f>
        <v/>
      </c>
      <c r="J353" s="40" t="str">
        <f aca="false">IF(OR($H353="",$F353=""),"",$H353-$F353)</f>
        <v/>
      </c>
      <c r="K353" s="32"/>
      <c r="L353" s="32"/>
      <c r="M353" s="32"/>
      <c r="N353" s="32"/>
      <c r="O353" s="41"/>
      <c r="P353" s="42" t="str">
        <f aca="false">IF(OR($N353="",$O353="",$O353=0),"",($N353/100)/$O353)</f>
        <v/>
      </c>
      <c r="Q353" s="43" t="str">
        <f aca="false">IF(OR($K353="",$L353="",$K353=0),"",($L353-$K353)/$K353)</f>
        <v/>
      </c>
      <c r="R353" s="32"/>
      <c r="S353" s="44" t="str">
        <f aca="false">IF(OR($L353="",$E353=""),"",60.7*$L353+45.3*$E353-2055)</f>
        <v/>
      </c>
      <c r="T353" s="45"/>
      <c r="U353" s="45"/>
      <c r="V353" s="45"/>
      <c r="W353" s="45"/>
      <c r="X353" s="32"/>
      <c r="Y353" s="32"/>
      <c r="Z353" s="39"/>
      <c r="AA353" s="46"/>
      <c r="AB353" s="42" t="str">
        <f aca="false">IF(OR($AA353="",$E353="",$E353=0),"",$AA353/$E353)</f>
        <v/>
      </c>
      <c r="AC353" s="27"/>
    </row>
    <row r="354" customFormat="false" ht="15" hidden="false" customHeight="false" outlineLevel="0" collapsed="false">
      <c r="A354" s="29"/>
      <c r="B354" s="27"/>
      <c r="C354" s="28"/>
      <c r="D354" s="27"/>
      <c r="E354" s="32"/>
      <c r="F354" s="39"/>
      <c r="G354" s="39"/>
      <c r="H354" s="39"/>
      <c r="I354" s="40" t="str">
        <f aca="false">IF(OR($G354="",$F354=""),"",$G354-$F354)</f>
        <v/>
      </c>
      <c r="J354" s="40" t="str">
        <f aca="false">IF(OR($H354="",$F354=""),"",$H354-$F354)</f>
        <v/>
      </c>
      <c r="K354" s="32"/>
      <c r="L354" s="32"/>
      <c r="M354" s="32"/>
      <c r="N354" s="32"/>
      <c r="O354" s="41"/>
      <c r="P354" s="42" t="str">
        <f aca="false">IF(OR($N354="",$O354="",$O354=0),"",($N354/100)/$O354)</f>
        <v/>
      </c>
      <c r="Q354" s="43" t="str">
        <f aca="false">IF(OR($K354="",$L354="",$K354=0),"",($L354-$K354)/$K354)</f>
        <v/>
      </c>
      <c r="R354" s="32"/>
      <c r="S354" s="44" t="str">
        <f aca="false">IF(OR($L354="",$E354=""),"",60.7*$L354+45.3*$E354-2055)</f>
        <v/>
      </c>
      <c r="T354" s="45"/>
      <c r="U354" s="45"/>
      <c r="V354" s="45"/>
      <c r="W354" s="45"/>
      <c r="X354" s="32"/>
      <c r="Y354" s="32"/>
      <c r="Z354" s="39"/>
      <c r="AA354" s="46"/>
      <c r="AB354" s="42" t="str">
        <f aca="false">IF(OR($AA354="",$E354="",$E354=0),"",$AA354/$E354)</f>
        <v/>
      </c>
      <c r="AC354" s="27"/>
    </row>
    <row r="355" customFormat="false" ht="15" hidden="false" customHeight="false" outlineLevel="0" collapsed="false">
      <c r="A355" s="29"/>
      <c r="B355" s="27"/>
      <c r="C355" s="28"/>
      <c r="D355" s="27"/>
      <c r="E355" s="32"/>
      <c r="F355" s="39"/>
      <c r="G355" s="39"/>
      <c r="H355" s="39"/>
      <c r="I355" s="40" t="str">
        <f aca="false">IF(OR($G355="",$F355=""),"",$G355-$F355)</f>
        <v/>
      </c>
      <c r="J355" s="40" t="str">
        <f aca="false">IF(OR($H355="",$F355=""),"",$H355-$F355)</f>
        <v/>
      </c>
      <c r="K355" s="32"/>
      <c r="L355" s="32"/>
      <c r="M355" s="32"/>
      <c r="N355" s="32"/>
      <c r="O355" s="41"/>
      <c r="P355" s="42" t="str">
        <f aca="false">IF(OR($N355="",$O355="",$O355=0),"",($N355/100)/$O355)</f>
        <v/>
      </c>
      <c r="Q355" s="43" t="str">
        <f aca="false">IF(OR($K355="",$L355="",$K355=0),"",($L355-$K355)/$K355)</f>
        <v/>
      </c>
      <c r="R355" s="32"/>
      <c r="S355" s="44" t="str">
        <f aca="false">IF(OR($L355="",$E355=""),"",60.7*$L355+45.3*$E355-2055)</f>
        <v/>
      </c>
      <c r="T355" s="45"/>
      <c r="U355" s="45"/>
      <c r="V355" s="45"/>
      <c r="W355" s="45"/>
      <c r="X355" s="32"/>
      <c r="Y355" s="32"/>
      <c r="Z355" s="39"/>
      <c r="AA355" s="46"/>
      <c r="AB355" s="42" t="str">
        <f aca="false">IF(OR($AA355="",$E355="",$E355=0),"",$AA355/$E355)</f>
        <v/>
      </c>
      <c r="AC355" s="27"/>
    </row>
    <row r="356" customFormat="false" ht="15" hidden="false" customHeight="false" outlineLevel="0" collapsed="false">
      <c r="A356" s="29"/>
      <c r="B356" s="27"/>
      <c r="C356" s="28"/>
      <c r="D356" s="27"/>
      <c r="E356" s="32"/>
      <c r="F356" s="39"/>
      <c r="G356" s="39"/>
      <c r="H356" s="39"/>
      <c r="I356" s="40" t="str">
        <f aca="false">IF(OR($G356="",$F356=""),"",$G356-$F356)</f>
        <v/>
      </c>
      <c r="J356" s="40" t="str">
        <f aca="false">IF(OR($H356="",$F356=""),"",$H356-$F356)</f>
        <v/>
      </c>
      <c r="K356" s="32"/>
      <c r="L356" s="32"/>
      <c r="M356" s="32"/>
      <c r="N356" s="32"/>
      <c r="O356" s="41"/>
      <c r="P356" s="42" t="str">
        <f aca="false">IF(OR($N356="",$O356="",$O356=0),"",($N356/100)/$O356)</f>
        <v/>
      </c>
      <c r="Q356" s="43" t="str">
        <f aca="false">IF(OR($K356="",$L356="",$K356=0),"",($L356-$K356)/$K356)</f>
        <v/>
      </c>
      <c r="R356" s="32"/>
      <c r="S356" s="44" t="str">
        <f aca="false">IF(OR($L356="",$E356=""),"",60.7*$L356+45.3*$E356-2055)</f>
        <v/>
      </c>
      <c r="T356" s="45"/>
      <c r="U356" s="45"/>
      <c r="V356" s="45"/>
      <c r="W356" s="45"/>
      <c r="X356" s="32"/>
      <c r="Y356" s="32"/>
      <c r="Z356" s="39"/>
      <c r="AA356" s="46"/>
      <c r="AB356" s="42" t="str">
        <f aca="false">IF(OR($AA356="",$E356="",$E356=0),"",$AA356/$E356)</f>
        <v/>
      </c>
      <c r="AC356" s="27"/>
    </row>
    <row r="357" customFormat="false" ht="15" hidden="false" customHeight="false" outlineLevel="0" collapsed="false">
      <c r="A357" s="29"/>
      <c r="B357" s="27"/>
      <c r="C357" s="28"/>
      <c r="D357" s="27"/>
      <c r="E357" s="32"/>
      <c r="F357" s="39"/>
      <c r="G357" s="39"/>
      <c r="H357" s="39"/>
      <c r="I357" s="40" t="str">
        <f aca="false">IF(OR($G357="",$F357=""),"",$G357-$F357)</f>
        <v/>
      </c>
      <c r="J357" s="40" t="str">
        <f aca="false">IF(OR($H357="",$F357=""),"",$H357-$F357)</f>
        <v/>
      </c>
      <c r="K357" s="32"/>
      <c r="L357" s="32"/>
      <c r="M357" s="32"/>
      <c r="N357" s="32"/>
      <c r="O357" s="41"/>
      <c r="P357" s="42" t="str">
        <f aca="false">IF(OR($N357="",$O357="",$O357=0),"",($N357/100)/$O357)</f>
        <v/>
      </c>
      <c r="Q357" s="43" t="str">
        <f aca="false">IF(OR($K357="",$L357="",$K357=0),"",($L357-$K357)/$K357)</f>
        <v/>
      </c>
      <c r="R357" s="32"/>
      <c r="S357" s="44" t="str">
        <f aca="false">IF(OR($L357="",$E357=""),"",60.7*$L357+45.3*$E357-2055)</f>
        <v/>
      </c>
      <c r="T357" s="45"/>
      <c r="U357" s="45"/>
      <c r="V357" s="45"/>
      <c r="W357" s="45"/>
      <c r="X357" s="32"/>
      <c r="Y357" s="32"/>
      <c r="Z357" s="39"/>
      <c r="AA357" s="46"/>
      <c r="AB357" s="42" t="str">
        <f aca="false">IF(OR($AA357="",$E357="",$E357=0),"",$AA357/$E357)</f>
        <v/>
      </c>
      <c r="AC357" s="27"/>
    </row>
    <row r="358" customFormat="false" ht="15" hidden="false" customHeight="false" outlineLevel="0" collapsed="false">
      <c r="A358" s="29"/>
      <c r="B358" s="27"/>
      <c r="C358" s="28"/>
      <c r="D358" s="27"/>
      <c r="E358" s="32"/>
      <c r="F358" s="39"/>
      <c r="G358" s="39"/>
      <c r="H358" s="39"/>
      <c r="I358" s="40" t="str">
        <f aca="false">IF(OR($G358="",$F358=""),"",$G358-$F358)</f>
        <v/>
      </c>
      <c r="J358" s="40" t="str">
        <f aca="false">IF(OR($H358="",$F358=""),"",$H358-$F358)</f>
        <v/>
      </c>
      <c r="K358" s="32"/>
      <c r="L358" s="32"/>
      <c r="M358" s="32"/>
      <c r="N358" s="32"/>
      <c r="O358" s="41"/>
      <c r="P358" s="42" t="str">
        <f aca="false">IF(OR($N358="",$O358="",$O358=0),"",($N358/100)/$O358)</f>
        <v/>
      </c>
      <c r="Q358" s="43" t="str">
        <f aca="false">IF(OR($K358="",$L358="",$K358=0),"",($L358-$K358)/$K358)</f>
        <v/>
      </c>
      <c r="R358" s="32"/>
      <c r="S358" s="44" t="str">
        <f aca="false">IF(OR($L358="",$E358=""),"",60.7*$L358+45.3*$E358-2055)</f>
        <v/>
      </c>
      <c r="T358" s="45"/>
      <c r="U358" s="45"/>
      <c r="V358" s="45"/>
      <c r="W358" s="45"/>
      <c r="X358" s="32"/>
      <c r="Y358" s="32"/>
      <c r="Z358" s="39"/>
      <c r="AA358" s="46"/>
      <c r="AB358" s="42" t="str">
        <f aca="false">IF(OR($AA358="",$E358="",$E358=0),"",$AA358/$E358)</f>
        <v/>
      </c>
      <c r="AC358" s="27"/>
    </row>
    <row r="359" customFormat="false" ht="15" hidden="false" customHeight="false" outlineLevel="0" collapsed="false">
      <c r="A359" s="29"/>
      <c r="B359" s="27"/>
      <c r="C359" s="28"/>
      <c r="D359" s="27"/>
      <c r="E359" s="32"/>
      <c r="F359" s="39"/>
      <c r="G359" s="39"/>
      <c r="H359" s="39"/>
      <c r="I359" s="40" t="str">
        <f aca="false">IF(OR($G359="",$F359=""),"",$G359-$F359)</f>
        <v/>
      </c>
      <c r="J359" s="40" t="str">
        <f aca="false">IF(OR($H359="",$F359=""),"",$H359-$F359)</f>
        <v/>
      </c>
      <c r="K359" s="32"/>
      <c r="L359" s="32"/>
      <c r="M359" s="32"/>
      <c r="N359" s="32"/>
      <c r="O359" s="41"/>
      <c r="P359" s="42" t="str">
        <f aca="false">IF(OR($N359="",$O359="",$O359=0),"",($N359/100)/$O359)</f>
        <v/>
      </c>
      <c r="Q359" s="43" t="str">
        <f aca="false">IF(OR($K359="",$L359="",$K359=0),"",($L359-$K359)/$K359)</f>
        <v/>
      </c>
      <c r="R359" s="32"/>
      <c r="S359" s="44" t="str">
        <f aca="false">IF(OR($L359="",$E359=""),"",60.7*$L359+45.3*$E359-2055)</f>
        <v/>
      </c>
      <c r="T359" s="45"/>
      <c r="U359" s="45"/>
      <c r="V359" s="45"/>
      <c r="W359" s="45"/>
      <c r="X359" s="32"/>
      <c r="Y359" s="32"/>
      <c r="Z359" s="39"/>
      <c r="AA359" s="46"/>
      <c r="AB359" s="42" t="str">
        <f aca="false">IF(OR($AA359="",$E359="",$E359=0),"",$AA359/$E359)</f>
        <v/>
      </c>
      <c r="AC359" s="27"/>
    </row>
    <row r="360" customFormat="false" ht="15" hidden="false" customHeight="false" outlineLevel="0" collapsed="false">
      <c r="A360" s="29"/>
      <c r="B360" s="27"/>
      <c r="C360" s="28"/>
      <c r="D360" s="27"/>
      <c r="E360" s="32"/>
      <c r="F360" s="39"/>
      <c r="G360" s="39"/>
      <c r="H360" s="39"/>
      <c r="I360" s="40" t="str">
        <f aca="false">IF(OR($G360="",$F360=""),"",$G360-$F360)</f>
        <v/>
      </c>
      <c r="J360" s="40" t="str">
        <f aca="false">IF(OR($H360="",$F360=""),"",$H360-$F360)</f>
        <v/>
      </c>
      <c r="K360" s="32"/>
      <c r="L360" s="32"/>
      <c r="M360" s="32"/>
      <c r="N360" s="32"/>
      <c r="O360" s="41"/>
      <c r="P360" s="42" t="str">
        <f aca="false">IF(OR($N360="",$O360="",$O360=0),"",($N360/100)/$O360)</f>
        <v/>
      </c>
      <c r="Q360" s="43" t="str">
        <f aca="false">IF(OR($K360="",$L360="",$K360=0),"",($L360-$K360)/$K360)</f>
        <v/>
      </c>
      <c r="R360" s="32"/>
      <c r="S360" s="44" t="str">
        <f aca="false">IF(OR($L360="",$E360=""),"",60.7*$L360+45.3*$E360-2055)</f>
        <v/>
      </c>
      <c r="T360" s="45"/>
      <c r="U360" s="45"/>
      <c r="V360" s="45"/>
      <c r="W360" s="45"/>
      <c r="X360" s="32"/>
      <c r="Y360" s="32"/>
      <c r="Z360" s="39"/>
      <c r="AA360" s="46"/>
      <c r="AB360" s="42" t="str">
        <f aca="false">IF(OR($AA360="",$E360="",$E360=0),"",$AA360/$E360)</f>
        <v/>
      </c>
      <c r="AC360" s="27"/>
    </row>
    <row r="361" customFormat="false" ht="15" hidden="false" customHeight="false" outlineLevel="0" collapsed="false">
      <c r="A361" s="29"/>
      <c r="B361" s="27"/>
      <c r="C361" s="28"/>
      <c r="D361" s="27"/>
      <c r="E361" s="32"/>
      <c r="F361" s="39"/>
      <c r="G361" s="39"/>
      <c r="H361" s="39"/>
      <c r="I361" s="40" t="str">
        <f aca="false">IF(OR($G361="",$F361=""),"",$G361-$F361)</f>
        <v/>
      </c>
      <c r="J361" s="40" t="str">
        <f aca="false">IF(OR($H361="",$F361=""),"",$H361-$F361)</f>
        <v/>
      </c>
      <c r="K361" s="32"/>
      <c r="L361" s="32"/>
      <c r="M361" s="32"/>
      <c r="N361" s="32"/>
      <c r="O361" s="41"/>
      <c r="P361" s="42" t="str">
        <f aca="false">IF(OR($N361="",$O361="",$O361=0),"",($N361/100)/$O361)</f>
        <v/>
      </c>
      <c r="Q361" s="43" t="str">
        <f aca="false">IF(OR($K361="",$L361="",$K361=0),"",($L361-$K361)/$K361)</f>
        <v/>
      </c>
      <c r="R361" s="32"/>
      <c r="S361" s="44" t="str">
        <f aca="false">IF(OR($L361="",$E361=""),"",60.7*$L361+45.3*$E361-2055)</f>
        <v/>
      </c>
      <c r="T361" s="45"/>
      <c r="U361" s="45"/>
      <c r="V361" s="45"/>
      <c r="W361" s="45"/>
      <c r="X361" s="32"/>
      <c r="Y361" s="32"/>
      <c r="Z361" s="39"/>
      <c r="AA361" s="46"/>
      <c r="AB361" s="42" t="str">
        <f aca="false">IF(OR($AA361="",$E361="",$E361=0),"",$AA361/$E361)</f>
        <v/>
      </c>
      <c r="AC361" s="27"/>
    </row>
    <row r="362" customFormat="false" ht="15" hidden="false" customHeight="false" outlineLevel="0" collapsed="false">
      <c r="A362" s="29"/>
      <c r="B362" s="27"/>
      <c r="C362" s="28"/>
      <c r="D362" s="27"/>
      <c r="E362" s="32"/>
      <c r="F362" s="39"/>
      <c r="G362" s="39"/>
      <c r="H362" s="39"/>
      <c r="I362" s="40" t="str">
        <f aca="false">IF(OR($G362="",$F362=""),"",$G362-$F362)</f>
        <v/>
      </c>
      <c r="J362" s="40" t="str">
        <f aca="false">IF(OR($H362="",$F362=""),"",$H362-$F362)</f>
        <v/>
      </c>
      <c r="K362" s="32"/>
      <c r="L362" s="32"/>
      <c r="M362" s="32"/>
      <c r="N362" s="32"/>
      <c r="O362" s="41"/>
      <c r="P362" s="42" t="str">
        <f aca="false">IF(OR($N362="",$O362="",$O362=0),"",($N362/100)/$O362)</f>
        <v/>
      </c>
      <c r="Q362" s="43" t="str">
        <f aca="false">IF(OR($K362="",$L362="",$K362=0),"",($L362-$K362)/$K362)</f>
        <v/>
      </c>
      <c r="R362" s="32"/>
      <c r="S362" s="44" t="str">
        <f aca="false">IF(OR($L362="",$E362=""),"",60.7*$L362+45.3*$E362-2055)</f>
        <v/>
      </c>
      <c r="T362" s="45"/>
      <c r="U362" s="45"/>
      <c r="V362" s="45"/>
      <c r="W362" s="45"/>
      <c r="X362" s="32"/>
      <c r="Y362" s="32"/>
      <c r="Z362" s="39"/>
      <c r="AA362" s="46"/>
      <c r="AB362" s="42" t="str">
        <f aca="false">IF(OR($AA362="",$E362="",$E362=0),"",$AA362/$E362)</f>
        <v/>
      </c>
      <c r="AC362" s="27"/>
    </row>
    <row r="363" customFormat="false" ht="15" hidden="false" customHeight="false" outlineLevel="0" collapsed="false">
      <c r="A363" s="29"/>
      <c r="B363" s="27"/>
      <c r="C363" s="28"/>
      <c r="D363" s="27"/>
      <c r="E363" s="32"/>
      <c r="F363" s="39"/>
      <c r="G363" s="39"/>
      <c r="H363" s="39"/>
      <c r="I363" s="40" t="str">
        <f aca="false">IF(OR($G363="",$F363=""),"",$G363-$F363)</f>
        <v/>
      </c>
      <c r="J363" s="40" t="str">
        <f aca="false">IF(OR($H363="",$F363=""),"",$H363-$F363)</f>
        <v/>
      </c>
      <c r="K363" s="32"/>
      <c r="L363" s="32"/>
      <c r="M363" s="32"/>
      <c r="N363" s="32"/>
      <c r="O363" s="41"/>
      <c r="P363" s="42" t="str">
        <f aca="false">IF(OR($N363="",$O363="",$O363=0),"",($N363/100)/$O363)</f>
        <v/>
      </c>
      <c r="Q363" s="43" t="str">
        <f aca="false">IF(OR($K363="",$L363="",$K363=0),"",($L363-$K363)/$K363)</f>
        <v/>
      </c>
      <c r="R363" s="32"/>
      <c r="S363" s="44" t="str">
        <f aca="false">IF(OR($L363="",$E363=""),"",60.7*$L363+45.3*$E363-2055)</f>
        <v/>
      </c>
      <c r="T363" s="45"/>
      <c r="U363" s="45"/>
      <c r="V363" s="45"/>
      <c r="W363" s="45"/>
      <c r="X363" s="32"/>
      <c r="Y363" s="32"/>
      <c r="Z363" s="39"/>
      <c r="AA363" s="46"/>
      <c r="AB363" s="42" t="str">
        <f aca="false">IF(OR($AA363="",$E363="",$E363=0),"",$AA363/$E363)</f>
        <v/>
      </c>
      <c r="AC363" s="27"/>
    </row>
    <row r="364" customFormat="false" ht="15" hidden="false" customHeight="false" outlineLevel="0" collapsed="false">
      <c r="A364" s="29"/>
      <c r="B364" s="27"/>
      <c r="C364" s="28"/>
      <c r="D364" s="27"/>
      <c r="E364" s="32"/>
      <c r="F364" s="39"/>
      <c r="G364" s="39"/>
      <c r="H364" s="39"/>
      <c r="I364" s="40" t="str">
        <f aca="false">IF(OR($G364="",$F364=""),"",$G364-$F364)</f>
        <v/>
      </c>
      <c r="J364" s="40" t="str">
        <f aca="false">IF(OR($H364="",$F364=""),"",$H364-$F364)</f>
        <v/>
      </c>
      <c r="K364" s="32"/>
      <c r="L364" s="32"/>
      <c r="M364" s="32"/>
      <c r="N364" s="32"/>
      <c r="O364" s="41"/>
      <c r="P364" s="42" t="str">
        <f aca="false">IF(OR($N364="",$O364="",$O364=0),"",($N364/100)/$O364)</f>
        <v/>
      </c>
      <c r="Q364" s="43" t="str">
        <f aca="false">IF(OR($K364="",$L364="",$K364=0),"",($L364-$K364)/$K364)</f>
        <v/>
      </c>
      <c r="R364" s="32"/>
      <c r="S364" s="44" t="str">
        <f aca="false">IF(OR($L364="",$E364=""),"",60.7*$L364+45.3*$E364-2055)</f>
        <v/>
      </c>
      <c r="T364" s="45"/>
      <c r="U364" s="45"/>
      <c r="V364" s="45"/>
      <c r="W364" s="45"/>
      <c r="X364" s="32"/>
      <c r="Y364" s="32"/>
      <c r="Z364" s="39"/>
      <c r="AA364" s="46"/>
      <c r="AB364" s="42" t="str">
        <f aca="false">IF(OR($AA364="",$E364="",$E364=0),"",$AA364/$E364)</f>
        <v/>
      </c>
      <c r="AC364" s="27"/>
    </row>
    <row r="365" customFormat="false" ht="15" hidden="false" customHeight="false" outlineLevel="0" collapsed="false">
      <c r="A365" s="29"/>
      <c r="B365" s="27"/>
      <c r="C365" s="28"/>
      <c r="D365" s="27"/>
      <c r="E365" s="32"/>
      <c r="F365" s="39"/>
      <c r="G365" s="39"/>
      <c r="H365" s="39"/>
      <c r="I365" s="40" t="str">
        <f aca="false">IF(OR($G365="",$F365=""),"",$G365-$F365)</f>
        <v/>
      </c>
      <c r="J365" s="40" t="str">
        <f aca="false">IF(OR($H365="",$F365=""),"",$H365-$F365)</f>
        <v/>
      </c>
      <c r="K365" s="32"/>
      <c r="L365" s="32"/>
      <c r="M365" s="32"/>
      <c r="N365" s="32"/>
      <c r="O365" s="41"/>
      <c r="P365" s="42" t="str">
        <f aca="false">IF(OR($N365="",$O365="",$O365=0),"",($N365/100)/$O365)</f>
        <v/>
      </c>
      <c r="Q365" s="43" t="str">
        <f aca="false">IF(OR($K365="",$L365="",$K365=0),"",($L365-$K365)/$K365)</f>
        <v/>
      </c>
      <c r="R365" s="32"/>
      <c r="S365" s="44" t="str">
        <f aca="false">IF(OR($L365="",$E365=""),"",60.7*$L365+45.3*$E365-2055)</f>
        <v/>
      </c>
      <c r="T365" s="45"/>
      <c r="U365" s="45"/>
      <c r="V365" s="45"/>
      <c r="W365" s="45"/>
      <c r="X365" s="32"/>
      <c r="Y365" s="32"/>
      <c r="Z365" s="39"/>
      <c r="AA365" s="46"/>
      <c r="AB365" s="42" t="str">
        <f aca="false">IF(OR($AA365="",$E365="",$E365=0),"",$AA365/$E365)</f>
        <v/>
      </c>
      <c r="AC365" s="27"/>
    </row>
    <row r="366" customFormat="false" ht="15" hidden="false" customHeight="false" outlineLevel="0" collapsed="false">
      <c r="A366" s="29"/>
      <c r="B366" s="27"/>
      <c r="C366" s="28"/>
      <c r="D366" s="27"/>
      <c r="E366" s="32"/>
      <c r="F366" s="39"/>
      <c r="G366" s="39"/>
      <c r="H366" s="39"/>
      <c r="I366" s="40" t="str">
        <f aca="false">IF(OR($G366="",$F366=""),"",$G366-$F366)</f>
        <v/>
      </c>
      <c r="J366" s="40" t="str">
        <f aca="false">IF(OR($H366="",$F366=""),"",$H366-$F366)</f>
        <v/>
      </c>
      <c r="K366" s="32"/>
      <c r="L366" s="32"/>
      <c r="M366" s="32"/>
      <c r="N366" s="32"/>
      <c r="O366" s="41"/>
      <c r="P366" s="42" t="str">
        <f aca="false">IF(OR($N366="",$O366="",$O366=0),"",($N366/100)/$O366)</f>
        <v/>
      </c>
      <c r="Q366" s="43" t="str">
        <f aca="false">IF(OR($K366="",$L366="",$K366=0),"",($L366-$K366)/$K366)</f>
        <v/>
      </c>
      <c r="R366" s="32"/>
      <c r="S366" s="44" t="str">
        <f aca="false">IF(OR($L366="",$E366=""),"",60.7*$L366+45.3*$E366-2055)</f>
        <v/>
      </c>
      <c r="T366" s="45"/>
      <c r="U366" s="45"/>
      <c r="V366" s="45"/>
      <c r="W366" s="45"/>
      <c r="X366" s="32"/>
      <c r="Y366" s="32"/>
      <c r="Z366" s="39"/>
      <c r="AA366" s="46"/>
      <c r="AB366" s="42" t="str">
        <f aca="false">IF(OR($AA366="",$E366="",$E366=0),"",$AA366/$E366)</f>
        <v/>
      </c>
      <c r="AC366" s="27"/>
    </row>
    <row r="367" customFormat="false" ht="15" hidden="false" customHeight="false" outlineLevel="0" collapsed="false">
      <c r="A367" s="29"/>
      <c r="B367" s="27"/>
      <c r="C367" s="28"/>
      <c r="D367" s="27"/>
      <c r="E367" s="32"/>
      <c r="F367" s="39"/>
      <c r="G367" s="39"/>
      <c r="H367" s="39"/>
      <c r="I367" s="40" t="str">
        <f aca="false">IF(OR($G367="",$F367=""),"",$G367-$F367)</f>
        <v/>
      </c>
      <c r="J367" s="40" t="str">
        <f aca="false">IF(OR($H367="",$F367=""),"",$H367-$F367)</f>
        <v/>
      </c>
      <c r="K367" s="32"/>
      <c r="L367" s="32"/>
      <c r="M367" s="32"/>
      <c r="N367" s="32"/>
      <c r="O367" s="41"/>
      <c r="P367" s="42" t="str">
        <f aca="false">IF(OR($N367="",$O367="",$O367=0),"",($N367/100)/$O367)</f>
        <v/>
      </c>
      <c r="Q367" s="43" t="str">
        <f aca="false">IF(OR($K367="",$L367="",$K367=0),"",($L367-$K367)/$K367)</f>
        <v/>
      </c>
      <c r="R367" s="32"/>
      <c r="S367" s="44" t="str">
        <f aca="false">IF(OR($L367="",$E367=""),"",60.7*$L367+45.3*$E367-2055)</f>
        <v/>
      </c>
      <c r="T367" s="45"/>
      <c r="U367" s="45"/>
      <c r="V367" s="45"/>
      <c r="W367" s="45"/>
      <c r="X367" s="32"/>
      <c r="Y367" s="32"/>
      <c r="Z367" s="39"/>
      <c r="AA367" s="46"/>
      <c r="AB367" s="42" t="str">
        <f aca="false">IF(OR($AA367="",$E367="",$E367=0),"",$AA367/$E367)</f>
        <v/>
      </c>
      <c r="AC367" s="27"/>
    </row>
    <row r="368" customFormat="false" ht="15" hidden="false" customHeight="false" outlineLevel="0" collapsed="false">
      <c r="A368" s="29"/>
      <c r="B368" s="27"/>
      <c r="C368" s="28"/>
      <c r="D368" s="27"/>
      <c r="E368" s="32"/>
      <c r="F368" s="39"/>
      <c r="G368" s="39"/>
      <c r="H368" s="39"/>
      <c r="I368" s="40" t="str">
        <f aca="false">IF(OR($G368="",$F368=""),"",$G368-$F368)</f>
        <v/>
      </c>
      <c r="J368" s="40" t="str">
        <f aca="false">IF(OR($H368="",$F368=""),"",$H368-$F368)</f>
        <v/>
      </c>
      <c r="K368" s="32"/>
      <c r="L368" s="32"/>
      <c r="M368" s="32"/>
      <c r="N368" s="32"/>
      <c r="O368" s="41"/>
      <c r="P368" s="42" t="str">
        <f aca="false">IF(OR($N368="",$O368="",$O368=0),"",($N368/100)/$O368)</f>
        <v/>
      </c>
      <c r="Q368" s="43" t="str">
        <f aca="false">IF(OR($K368="",$L368="",$K368=0),"",($L368-$K368)/$K368)</f>
        <v/>
      </c>
      <c r="R368" s="32"/>
      <c r="S368" s="44" t="str">
        <f aca="false">IF(OR($L368="",$E368=""),"",60.7*$L368+45.3*$E368-2055)</f>
        <v/>
      </c>
      <c r="T368" s="45"/>
      <c r="U368" s="45"/>
      <c r="V368" s="45"/>
      <c r="W368" s="45"/>
      <c r="X368" s="32"/>
      <c r="Y368" s="32"/>
      <c r="Z368" s="39"/>
      <c r="AA368" s="46"/>
      <c r="AB368" s="42" t="str">
        <f aca="false">IF(OR($AA368="",$E368="",$E368=0),"",$AA368/$E368)</f>
        <v/>
      </c>
      <c r="AC368" s="27"/>
    </row>
    <row r="369" customFormat="false" ht="15" hidden="false" customHeight="false" outlineLevel="0" collapsed="false">
      <c r="A369" s="29"/>
      <c r="B369" s="27"/>
      <c r="C369" s="28"/>
      <c r="D369" s="27"/>
      <c r="E369" s="32"/>
      <c r="F369" s="39"/>
      <c r="G369" s="39"/>
      <c r="H369" s="39"/>
      <c r="I369" s="40" t="str">
        <f aca="false">IF(OR($G369="",$F369=""),"",$G369-$F369)</f>
        <v/>
      </c>
      <c r="J369" s="40" t="str">
        <f aca="false">IF(OR($H369="",$F369=""),"",$H369-$F369)</f>
        <v/>
      </c>
      <c r="K369" s="32"/>
      <c r="L369" s="32"/>
      <c r="M369" s="32"/>
      <c r="N369" s="32"/>
      <c r="O369" s="41"/>
      <c r="P369" s="42" t="str">
        <f aca="false">IF(OR($N369="",$O369="",$O369=0),"",($N369/100)/$O369)</f>
        <v/>
      </c>
      <c r="Q369" s="43" t="str">
        <f aca="false">IF(OR($K369="",$L369="",$K369=0),"",($L369-$K369)/$K369)</f>
        <v/>
      </c>
      <c r="R369" s="32"/>
      <c r="S369" s="44" t="str">
        <f aca="false">IF(OR($L369="",$E369=""),"",60.7*$L369+45.3*$E369-2055)</f>
        <v/>
      </c>
      <c r="T369" s="45"/>
      <c r="U369" s="45"/>
      <c r="V369" s="45"/>
      <c r="W369" s="45"/>
      <c r="X369" s="32"/>
      <c r="Y369" s="32"/>
      <c r="Z369" s="39"/>
      <c r="AA369" s="46"/>
      <c r="AB369" s="42" t="str">
        <f aca="false">IF(OR($AA369="",$E369="",$E369=0),"",$AA369/$E369)</f>
        <v/>
      </c>
      <c r="AC369" s="27"/>
    </row>
    <row r="370" customFormat="false" ht="15" hidden="false" customHeight="false" outlineLevel="0" collapsed="false">
      <c r="A370" s="29"/>
      <c r="B370" s="27"/>
      <c r="C370" s="28"/>
      <c r="D370" s="27"/>
      <c r="E370" s="32"/>
      <c r="F370" s="39"/>
      <c r="G370" s="39"/>
      <c r="H370" s="39"/>
      <c r="I370" s="40" t="str">
        <f aca="false">IF(OR($G370="",$F370=""),"",$G370-$F370)</f>
        <v/>
      </c>
      <c r="J370" s="40" t="str">
        <f aca="false">IF(OR($H370="",$F370=""),"",$H370-$F370)</f>
        <v/>
      </c>
      <c r="K370" s="32"/>
      <c r="L370" s="32"/>
      <c r="M370" s="32"/>
      <c r="N370" s="32"/>
      <c r="O370" s="41"/>
      <c r="P370" s="42" t="str">
        <f aca="false">IF(OR($N370="",$O370="",$O370=0),"",($N370/100)/$O370)</f>
        <v/>
      </c>
      <c r="Q370" s="43" t="str">
        <f aca="false">IF(OR($K370="",$L370="",$K370=0),"",($L370-$K370)/$K370)</f>
        <v/>
      </c>
      <c r="R370" s="32"/>
      <c r="S370" s="44" t="str">
        <f aca="false">IF(OR($L370="",$E370=""),"",60.7*$L370+45.3*$E370-2055)</f>
        <v/>
      </c>
      <c r="T370" s="45"/>
      <c r="U370" s="45"/>
      <c r="V370" s="45"/>
      <c r="W370" s="45"/>
      <c r="X370" s="32"/>
      <c r="Y370" s="32"/>
      <c r="Z370" s="39"/>
      <c r="AA370" s="46"/>
      <c r="AB370" s="42" t="str">
        <f aca="false">IF(OR($AA370="",$E370="",$E370=0),"",$AA370/$E370)</f>
        <v/>
      </c>
      <c r="AC370" s="27"/>
    </row>
    <row r="371" customFormat="false" ht="15" hidden="false" customHeight="false" outlineLevel="0" collapsed="false">
      <c r="A371" s="29"/>
      <c r="B371" s="27"/>
      <c r="C371" s="28"/>
      <c r="D371" s="27"/>
      <c r="E371" s="32"/>
      <c r="F371" s="39"/>
      <c r="G371" s="39"/>
      <c r="H371" s="39"/>
      <c r="I371" s="40" t="str">
        <f aca="false">IF(OR($G371="",$F371=""),"",$G371-$F371)</f>
        <v/>
      </c>
      <c r="J371" s="40" t="str">
        <f aca="false">IF(OR($H371="",$F371=""),"",$H371-$F371)</f>
        <v/>
      </c>
      <c r="K371" s="32"/>
      <c r="L371" s="32"/>
      <c r="M371" s="32"/>
      <c r="N371" s="32"/>
      <c r="O371" s="41"/>
      <c r="P371" s="42" t="str">
        <f aca="false">IF(OR($N371="",$O371="",$O371=0),"",($N371/100)/$O371)</f>
        <v/>
      </c>
      <c r="Q371" s="43" t="str">
        <f aca="false">IF(OR($K371="",$L371="",$K371=0),"",($L371-$K371)/$K371)</f>
        <v/>
      </c>
      <c r="R371" s="32"/>
      <c r="S371" s="44" t="str">
        <f aca="false">IF(OR($L371="",$E371=""),"",60.7*$L371+45.3*$E371-2055)</f>
        <v/>
      </c>
      <c r="T371" s="45"/>
      <c r="U371" s="45"/>
      <c r="V371" s="45"/>
      <c r="W371" s="45"/>
      <c r="X371" s="32"/>
      <c r="Y371" s="32"/>
      <c r="Z371" s="39"/>
      <c r="AA371" s="46"/>
      <c r="AB371" s="42" t="str">
        <f aca="false">IF(OR($AA371="",$E371="",$E371=0),"",$AA371/$E371)</f>
        <v/>
      </c>
      <c r="AC371" s="27"/>
    </row>
    <row r="372" customFormat="false" ht="15" hidden="false" customHeight="false" outlineLevel="0" collapsed="false">
      <c r="A372" s="29"/>
      <c r="B372" s="27"/>
      <c r="C372" s="28"/>
      <c r="D372" s="27"/>
      <c r="E372" s="32"/>
      <c r="F372" s="39"/>
      <c r="G372" s="39"/>
      <c r="H372" s="39"/>
      <c r="I372" s="40" t="str">
        <f aca="false">IF(OR($G372="",$F372=""),"",$G372-$F372)</f>
        <v/>
      </c>
      <c r="J372" s="40" t="str">
        <f aca="false">IF(OR($H372="",$F372=""),"",$H372-$F372)</f>
        <v/>
      </c>
      <c r="K372" s="32"/>
      <c r="L372" s="32"/>
      <c r="M372" s="32"/>
      <c r="N372" s="32"/>
      <c r="O372" s="41"/>
      <c r="P372" s="42" t="str">
        <f aca="false">IF(OR($N372="",$O372="",$O372=0),"",($N372/100)/$O372)</f>
        <v/>
      </c>
      <c r="Q372" s="43" t="str">
        <f aca="false">IF(OR($K372="",$L372="",$K372=0),"",($L372-$K372)/$K372)</f>
        <v/>
      </c>
      <c r="R372" s="32"/>
      <c r="S372" s="44" t="str">
        <f aca="false">IF(OR($L372="",$E372=""),"",60.7*$L372+45.3*$E372-2055)</f>
        <v/>
      </c>
      <c r="T372" s="45"/>
      <c r="U372" s="45"/>
      <c r="V372" s="45"/>
      <c r="W372" s="45"/>
      <c r="X372" s="32"/>
      <c r="Y372" s="32"/>
      <c r="Z372" s="39"/>
      <c r="AA372" s="46"/>
      <c r="AB372" s="42" t="str">
        <f aca="false">IF(OR($AA372="",$E372="",$E372=0),"",$AA372/$E372)</f>
        <v/>
      </c>
      <c r="AC372" s="27"/>
    </row>
    <row r="373" customFormat="false" ht="15" hidden="false" customHeight="false" outlineLevel="0" collapsed="false">
      <c r="A373" s="29"/>
      <c r="B373" s="27"/>
      <c r="C373" s="28"/>
      <c r="D373" s="27"/>
      <c r="E373" s="32"/>
      <c r="F373" s="39"/>
      <c r="G373" s="39"/>
      <c r="H373" s="39"/>
      <c r="I373" s="40" t="str">
        <f aca="false">IF(OR($G373="",$F373=""),"",$G373-$F373)</f>
        <v/>
      </c>
      <c r="J373" s="40" t="str">
        <f aca="false">IF(OR($H373="",$F373=""),"",$H373-$F373)</f>
        <v/>
      </c>
      <c r="K373" s="32"/>
      <c r="L373" s="32"/>
      <c r="M373" s="32"/>
      <c r="N373" s="32"/>
      <c r="O373" s="41"/>
      <c r="P373" s="42" t="str">
        <f aca="false">IF(OR($N373="",$O373="",$O373=0),"",($N373/100)/$O373)</f>
        <v/>
      </c>
      <c r="Q373" s="43" t="str">
        <f aca="false">IF(OR($K373="",$L373="",$K373=0),"",($L373-$K373)/$K373)</f>
        <v/>
      </c>
      <c r="R373" s="32"/>
      <c r="S373" s="44" t="str">
        <f aca="false">IF(OR($L373="",$E373=""),"",60.7*$L373+45.3*$E373-2055)</f>
        <v/>
      </c>
      <c r="T373" s="45"/>
      <c r="U373" s="45"/>
      <c r="V373" s="45"/>
      <c r="W373" s="45"/>
      <c r="X373" s="32"/>
      <c r="Y373" s="32"/>
      <c r="Z373" s="39"/>
      <c r="AA373" s="46"/>
      <c r="AB373" s="42" t="str">
        <f aca="false">IF(OR($AA373="",$E373="",$E373=0),"",$AA373/$E373)</f>
        <v/>
      </c>
      <c r="AC373" s="27"/>
    </row>
    <row r="374" customFormat="false" ht="15" hidden="false" customHeight="false" outlineLevel="0" collapsed="false">
      <c r="A374" s="29"/>
      <c r="B374" s="27"/>
      <c r="C374" s="28"/>
      <c r="D374" s="27"/>
      <c r="E374" s="32"/>
      <c r="F374" s="39"/>
      <c r="G374" s="39"/>
      <c r="H374" s="39"/>
      <c r="I374" s="40" t="str">
        <f aca="false">IF(OR($G374="",$F374=""),"",$G374-$F374)</f>
        <v/>
      </c>
      <c r="J374" s="40" t="str">
        <f aca="false">IF(OR($H374="",$F374=""),"",$H374-$F374)</f>
        <v/>
      </c>
      <c r="K374" s="32"/>
      <c r="L374" s="32"/>
      <c r="M374" s="32"/>
      <c r="N374" s="32"/>
      <c r="O374" s="41"/>
      <c r="P374" s="42" t="str">
        <f aca="false">IF(OR($N374="",$O374="",$O374=0),"",($N374/100)/$O374)</f>
        <v/>
      </c>
      <c r="Q374" s="43" t="str">
        <f aca="false">IF(OR($K374="",$L374="",$K374=0),"",($L374-$K374)/$K374)</f>
        <v/>
      </c>
      <c r="R374" s="32"/>
      <c r="S374" s="44" t="str">
        <f aca="false">IF(OR($L374="",$E374=""),"",60.7*$L374+45.3*$E374-2055)</f>
        <v/>
      </c>
      <c r="T374" s="45"/>
      <c r="U374" s="45"/>
      <c r="V374" s="45"/>
      <c r="W374" s="45"/>
      <c r="X374" s="32"/>
      <c r="Y374" s="32"/>
      <c r="Z374" s="39"/>
      <c r="AA374" s="46"/>
      <c r="AB374" s="42" t="str">
        <f aca="false">IF(OR($AA374="",$E374="",$E374=0),"",$AA374/$E374)</f>
        <v/>
      </c>
      <c r="AC374" s="27"/>
    </row>
    <row r="375" customFormat="false" ht="15" hidden="false" customHeight="false" outlineLevel="0" collapsed="false">
      <c r="A375" s="29"/>
      <c r="B375" s="27"/>
      <c r="C375" s="28"/>
      <c r="D375" s="27"/>
      <c r="E375" s="32"/>
      <c r="F375" s="39"/>
      <c r="G375" s="39"/>
      <c r="H375" s="39"/>
      <c r="I375" s="40" t="str">
        <f aca="false">IF(OR($G375="",$F375=""),"",$G375-$F375)</f>
        <v/>
      </c>
      <c r="J375" s="40" t="str">
        <f aca="false">IF(OR($H375="",$F375=""),"",$H375-$F375)</f>
        <v/>
      </c>
      <c r="K375" s="32"/>
      <c r="L375" s="32"/>
      <c r="M375" s="32"/>
      <c r="N375" s="32"/>
      <c r="O375" s="41"/>
      <c r="P375" s="42" t="str">
        <f aca="false">IF(OR($N375="",$O375="",$O375=0),"",($N375/100)/$O375)</f>
        <v/>
      </c>
      <c r="Q375" s="43" t="str">
        <f aca="false">IF(OR($K375="",$L375="",$K375=0),"",($L375-$K375)/$K375)</f>
        <v/>
      </c>
      <c r="R375" s="32"/>
      <c r="S375" s="44" t="str">
        <f aca="false">IF(OR($L375="",$E375=""),"",60.7*$L375+45.3*$E375-2055)</f>
        <v/>
      </c>
      <c r="T375" s="45"/>
      <c r="U375" s="45"/>
      <c r="V375" s="45"/>
      <c r="W375" s="45"/>
      <c r="X375" s="32"/>
      <c r="Y375" s="32"/>
      <c r="Z375" s="39"/>
      <c r="AA375" s="46"/>
      <c r="AB375" s="42" t="str">
        <f aca="false">IF(OR($AA375="",$E375="",$E375=0),"",$AA375/$E375)</f>
        <v/>
      </c>
      <c r="AC375" s="27"/>
    </row>
    <row r="376" customFormat="false" ht="15" hidden="false" customHeight="false" outlineLevel="0" collapsed="false">
      <c r="A376" s="29"/>
      <c r="B376" s="27"/>
      <c r="C376" s="28"/>
      <c r="D376" s="27"/>
      <c r="E376" s="32"/>
      <c r="F376" s="39"/>
      <c r="G376" s="39"/>
      <c r="H376" s="39"/>
      <c r="I376" s="40" t="str">
        <f aca="false">IF(OR($G376="",$F376=""),"",$G376-$F376)</f>
        <v/>
      </c>
      <c r="J376" s="40" t="str">
        <f aca="false">IF(OR($H376="",$F376=""),"",$H376-$F376)</f>
        <v/>
      </c>
      <c r="K376" s="32"/>
      <c r="L376" s="32"/>
      <c r="M376" s="32"/>
      <c r="N376" s="32"/>
      <c r="O376" s="41"/>
      <c r="P376" s="42" t="str">
        <f aca="false">IF(OR($N376="",$O376="",$O376=0),"",($N376/100)/$O376)</f>
        <v/>
      </c>
      <c r="Q376" s="43" t="str">
        <f aca="false">IF(OR($K376="",$L376="",$K376=0),"",($L376-$K376)/$K376)</f>
        <v/>
      </c>
      <c r="R376" s="32"/>
      <c r="S376" s="44" t="str">
        <f aca="false">IF(OR($L376="",$E376=""),"",60.7*$L376+45.3*$E376-2055)</f>
        <v/>
      </c>
      <c r="T376" s="45"/>
      <c r="U376" s="45"/>
      <c r="V376" s="45"/>
      <c r="W376" s="45"/>
      <c r="X376" s="32"/>
      <c r="Y376" s="32"/>
      <c r="Z376" s="39"/>
      <c r="AA376" s="46"/>
      <c r="AB376" s="42" t="str">
        <f aca="false">IF(OR($AA376="",$E376="",$E376=0),"",$AA376/$E376)</f>
        <v/>
      </c>
      <c r="AC376" s="27"/>
    </row>
    <row r="377" customFormat="false" ht="15" hidden="false" customHeight="false" outlineLevel="0" collapsed="false">
      <c r="A377" s="29"/>
      <c r="B377" s="27"/>
      <c r="C377" s="28"/>
      <c r="D377" s="27"/>
      <c r="E377" s="32"/>
      <c r="F377" s="39"/>
      <c r="G377" s="39"/>
      <c r="H377" s="39"/>
      <c r="I377" s="40" t="str">
        <f aca="false">IF(OR($G377="",$F377=""),"",$G377-$F377)</f>
        <v/>
      </c>
      <c r="J377" s="40" t="str">
        <f aca="false">IF(OR($H377="",$F377=""),"",$H377-$F377)</f>
        <v/>
      </c>
      <c r="K377" s="32"/>
      <c r="L377" s="32"/>
      <c r="M377" s="32"/>
      <c r="N377" s="32"/>
      <c r="O377" s="41"/>
      <c r="P377" s="42" t="str">
        <f aca="false">IF(OR($N377="",$O377="",$O377=0),"",($N377/100)/$O377)</f>
        <v/>
      </c>
      <c r="Q377" s="43" t="str">
        <f aca="false">IF(OR($K377="",$L377="",$K377=0),"",($L377-$K377)/$K377)</f>
        <v/>
      </c>
      <c r="R377" s="32"/>
      <c r="S377" s="44" t="str">
        <f aca="false">IF(OR($L377="",$E377=""),"",60.7*$L377+45.3*$E377-2055)</f>
        <v/>
      </c>
      <c r="T377" s="45"/>
      <c r="U377" s="45"/>
      <c r="V377" s="45"/>
      <c r="W377" s="45"/>
      <c r="X377" s="32"/>
      <c r="Y377" s="32"/>
      <c r="Z377" s="39"/>
      <c r="AA377" s="46"/>
      <c r="AB377" s="42" t="str">
        <f aca="false">IF(OR($AA377="",$E377="",$E377=0),"",$AA377/$E377)</f>
        <v/>
      </c>
      <c r="AC377" s="27"/>
    </row>
    <row r="378" customFormat="false" ht="15" hidden="false" customHeight="false" outlineLevel="0" collapsed="false">
      <c r="A378" s="29"/>
      <c r="B378" s="27"/>
      <c r="C378" s="28"/>
      <c r="D378" s="27"/>
      <c r="E378" s="32"/>
      <c r="F378" s="39"/>
      <c r="G378" s="39"/>
      <c r="H378" s="39"/>
      <c r="I378" s="40" t="str">
        <f aca="false">IF(OR($G378="",$F378=""),"",$G378-$F378)</f>
        <v/>
      </c>
      <c r="J378" s="40" t="str">
        <f aca="false">IF(OR($H378="",$F378=""),"",$H378-$F378)</f>
        <v/>
      </c>
      <c r="K378" s="32"/>
      <c r="L378" s="32"/>
      <c r="M378" s="32"/>
      <c r="N378" s="32"/>
      <c r="O378" s="41"/>
      <c r="P378" s="42" t="str">
        <f aca="false">IF(OR($N378="",$O378="",$O378=0),"",($N378/100)/$O378)</f>
        <v/>
      </c>
      <c r="Q378" s="43" t="str">
        <f aca="false">IF(OR($K378="",$L378="",$K378=0),"",($L378-$K378)/$K378)</f>
        <v/>
      </c>
      <c r="R378" s="32"/>
      <c r="S378" s="44" t="str">
        <f aca="false">IF(OR($L378="",$E378=""),"",60.7*$L378+45.3*$E378-2055)</f>
        <v/>
      </c>
      <c r="T378" s="45"/>
      <c r="U378" s="45"/>
      <c r="V378" s="45"/>
      <c r="W378" s="45"/>
      <c r="X378" s="32"/>
      <c r="Y378" s="32"/>
      <c r="Z378" s="39"/>
      <c r="AA378" s="46"/>
      <c r="AB378" s="42" t="str">
        <f aca="false">IF(OR($AA378="",$E378="",$E378=0),"",$AA378/$E378)</f>
        <v/>
      </c>
      <c r="AC378" s="27"/>
    </row>
    <row r="379" customFormat="false" ht="15" hidden="false" customHeight="false" outlineLevel="0" collapsed="false">
      <c r="A379" s="29"/>
      <c r="B379" s="27"/>
      <c r="C379" s="28"/>
      <c r="D379" s="27"/>
      <c r="E379" s="32"/>
      <c r="F379" s="39"/>
      <c r="G379" s="39"/>
      <c r="H379" s="39"/>
      <c r="I379" s="40" t="str">
        <f aca="false">IF(OR($G379="",$F379=""),"",$G379-$F379)</f>
        <v/>
      </c>
      <c r="J379" s="40" t="str">
        <f aca="false">IF(OR($H379="",$F379=""),"",$H379-$F379)</f>
        <v/>
      </c>
      <c r="K379" s="32"/>
      <c r="L379" s="32"/>
      <c r="M379" s="32"/>
      <c r="N379" s="32"/>
      <c r="O379" s="41"/>
      <c r="P379" s="42" t="str">
        <f aca="false">IF(OR($N379="",$O379="",$O379=0),"",($N379/100)/$O379)</f>
        <v/>
      </c>
      <c r="Q379" s="43" t="str">
        <f aca="false">IF(OR($K379="",$L379="",$K379=0),"",($L379-$K379)/$K379)</f>
        <v/>
      </c>
      <c r="R379" s="32"/>
      <c r="S379" s="44" t="str">
        <f aca="false">IF(OR($L379="",$E379=""),"",60.7*$L379+45.3*$E379-2055)</f>
        <v/>
      </c>
      <c r="T379" s="45"/>
      <c r="U379" s="45"/>
      <c r="V379" s="45"/>
      <c r="W379" s="45"/>
      <c r="X379" s="32"/>
      <c r="Y379" s="32"/>
      <c r="Z379" s="39"/>
      <c r="AA379" s="46"/>
      <c r="AB379" s="42" t="str">
        <f aca="false">IF(OR($AA379="",$E379="",$E379=0),"",$AA379/$E379)</f>
        <v/>
      </c>
      <c r="AC379" s="27"/>
    </row>
    <row r="380" customFormat="false" ht="15" hidden="false" customHeight="false" outlineLevel="0" collapsed="false">
      <c r="A380" s="29"/>
      <c r="B380" s="27"/>
      <c r="C380" s="28"/>
      <c r="D380" s="27"/>
      <c r="E380" s="32"/>
      <c r="F380" s="39"/>
      <c r="G380" s="39"/>
      <c r="H380" s="39"/>
      <c r="I380" s="40" t="str">
        <f aca="false">IF(OR($G380="",$F380=""),"",$G380-$F380)</f>
        <v/>
      </c>
      <c r="J380" s="40" t="str">
        <f aca="false">IF(OR($H380="",$F380=""),"",$H380-$F380)</f>
        <v/>
      </c>
      <c r="K380" s="32"/>
      <c r="L380" s="32"/>
      <c r="M380" s="32"/>
      <c r="N380" s="32"/>
      <c r="O380" s="41"/>
      <c r="P380" s="42" t="str">
        <f aca="false">IF(OR($N380="",$O380="",$O380=0),"",($N380/100)/$O380)</f>
        <v/>
      </c>
      <c r="Q380" s="43" t="str">
        <f aca="false">IF(OR($K380="",$L380="",$K380=0),"",($L380-$K380)/$K380)</f>
        <v/>
      </c>
      <c r="R380" s="32"/>
      <c r="S380" s="44" t="str">
        <f aca="false">IF(OR($L380="",$E380=""),"",60.7*$L380+45.3*$E380-2055)</f>
        <v/>
      </c>
      <c r="T380" s="45"/>
      <c r="U380" s="45"/>
      <c r="V380" s="45"/>
      <c r="W380" s="45"/>
      <c r="X380" s="32"/>
      <c r="Y380" s="32"/>
      <c r="Z380" s="39"/>
      <c r="AA380" s="46"/>
      <c r="AB380" s="42" t="str">
        <f aca="false">IF(OR($AA380="",$E380="",$E380=0),"",$AA380/$E380)</f>
        <v/>
      </c>
      <c r="AC380" s="27"/>
    </row>
    <row r="381" customFormat="false" ht="15" hidden="false" customHeight="false" outlineLevel="0" collapsed="false">
      <c r="A381" s="29"/>
      <c r="B381" s="27"/>
      <c r="C381" s="28"/>
      <c r="D381" s="27"/>
      <c r="E381" s="32"/>
      <c r="F381" s="39"/>
      <c r="G381" s="39"/>
      <c r="H381" s="39"/>
      <c r="I381" s="40" t="str">
        <f aca="false">IF(OR($G381="",$F381=""),"",$G381-$F381)</f>
        <v/>
      </c>
      <c r="J381" s="40" t="str">
        <f aca="false">IF(OR($H381="",$F381=""),"",$H381-$F381)</f>
        <v/>
      </c>
      <c r="K381" s="32"/>
      <c r="L381" s="32"/>
      <c r="M381" s="32"/>
      <c r="N381" s="32"/>
      <c r="O381" s="41"/>
      <c r="P381" s="42" t="str">
        <f aca="false">IF(OR($N381="",$O381="",$O381=0),"",($N381/100)/$O381)</f>
        <v/>
      </c>
      <c r="Q381" s="43" t="str">
        <f aca="false">IF(OR($K381="",$L381="",$K381=0),"",($L381-$K381)/$K381)</f>
        <v/>
      </c>
      <c r="R381" s="32"/>
      <c r="S381" s="44" t="str">
        <f aca="false">IF(OR($L381="",$E381=""),"",60.7*$L381+45.3*$E381-2055)</f>
        <v/>
      </c>
      <c r="T381" s="45"/>
      <c r="U381" s="45"/>
      <c r="V381" s="45"/>
      <c r="W381" s="45"/>
      <c r="X381" s="32"/>
      <c r="Y381" s="32"/>
      <c r="Z381" s="39"/>
      <c r="AA381" s="46"/>
      <c r="AB381" s="42" t="str">
        <f aca="false">IF(OR($AA381="",$E381="",$E381=0),"",$AA381/$E381)</f>
        <v/>
      </c>
      <c r="AC381" s="27"/>
    </row>
    <row r="382" customFormat="false" ht="15" hidden="false" customHeight="false" outlineLevel="0" collapsed="false">
      <c r="A382" s="29"/>
      <c r="B382" s="27"/>
      <c r="C382" s="28"/>
      <c r="D382" s="27"/>
      <c r="E382" s="32"/>
      <c r="F382" s="39"/>
      <c r="G382" s="39"/>
      <c r="H382" s="39"/>
      <c r="I382" s="40" t="str">
        <f aca="false">IF(OR($G382="",$F382=""),"",$G382-$F382)</f>
        <v/>
      </c>
      <c r="J382" s="40" t="str">
        <f aca="false">IF(OR($H382="",$F382=""),"",$H382-$F382)</f>
        <v/>
      </c>
      <c r="K382" s="32"/>
      <c r="L382" s="32"/>
      <c r="M382" s="32"/>
      <c r="N382" s="32"/>
      <c r="O382" s="41"/>
      <c r="P382" s="42" t="str">
        <f aca="false">IF(OR($N382="",$O382="",$O382=0),"",($N382/100)/$O382)</f>
        <v/>
      </c>
      <c r="Q382" s="43" t="str">
        <f aca="false">IF(OR($K382="",$L382="",$K382=0),"",($L382-$K382)/$K382)</f>
        <v/>
      </c>
      <c r="R382" s="32"/>
      <c r="S382" s="44" t="str">
        <f aca="false">IF(OR($L382="",$E382=""),"",60.7*$L382+45.3*$E382-2055)</f>
        <v/>
      </c>
      <c r="T382" s="45"/>
      <c r="U382" s="45"/>
      <c r="V382" s="45"/>
      <c r="W382" s="45"/>
      <c r="X382" s="32"/>
      <c r="Y382" s="32"/>
      <c r="Z382" s="39"/>
      <c r="AA382" s="46"/>
      <c r="AB382" s="42" t="str">
        <f aca="false">IF(OR($AA382="",$E382="",$E382=0),"",$AA382/$E382)</f>
        <v/>
      </c>
      <c r="AC382" s="27"/>
    </row>
    <row r="383" customFormat="false" ht="15" hidden="false" customHeight="false" outlineLevel="0" collapsed="false">
      <c r="A383" s="29"/>
      <c r="B383" s="27"/>
      <c r="C383" s="28"/>
      <c r="D383" s="27"/>
      <c r="E383" s="32"/>
      <c r="F383" s="39"/>
      <c r="G383" s="39"/>
      <c r="H383" s="39"/>
      <c r="I383" s="40" t="str">
        <f aca="false">IF(OR($G383="",$F383=""),"",$G383-$F383)</f>
        <v/>
      </c>
      <c r="J383" s="40" t="str">
        <f aca="false">IF(OR($H383="",$F383=""),"",$H383-$F383)</f>
        <v/>
      </c>
      <c r="K383" s="32"/>
      <c r="L383" s="32"/>
      <c r="M383" s="32"/>
      <c r="N383" s="32"/>
      <c r="O383" s="41"/>
      <c r="P383" s="42" t="str">
        <f aca="false">IF(OR($N383="",$O383="",$O383=0),"",($N383/100)/$O383)</f>
        <v/>
      </c>
      <c r="Q383" s="43" t="str">
        <f aca="false">IF(OR($K383="",$L383="",$K383=0),"",($L383-$K383)/$K383)</f>
        <v/>
      </c>
      <c r="R383" s="32"/>
      <c r="S383" s="44" t="str">
        <f aca="false">IF(OR($L383="",$E383=""),"",60.7*$L383+45.3*$E383-2055)</f>
        <v/>
      </c>
      <c r="T383" s="45"/>
      <c r="U383" s="45"/>
      <c r="V383" s="45"/>
      <c r="W383" s="45"/>
      <c r="X383" s="32"/>
      <c r="Y383" s="32"/>
      <c r="Z383" s="39"/>
      <c r="AA383" s="46"/>
      <c r="AB383" s="42" t="str">
        <f aca="false">IF(OR($AA383="",$E383="",$E383=0),"",$AA383/$E383)</f>
        <v/>
      </c>
      <c r="AC383" s="27"/>
    </row>
    <row r="384" customFormat="false" ht="15" hidden="false" customHeight="false" outlineLevel="0" collapsed="false">
      <c r="A384" s="29"/>
      <c r="B384" s="27"/>
      <c r="C384" s="28"/>
      <c r="D384" s="27"/>
      <c r="E384" s="32"/>
      <c r="F384" s="39"/>
      <c r="G384" s="39"/>
      <c r="H384" s="39"/>
      <c r="I384" s="40" t="str">
        <f aca="false">IF(OR($G384="",$F384=""),"",$G384-$F384)</f>
        <v/>
      </c>
      <c r="J384" s="40" t="str">
        <f aca="false">IF(OR($H384="",$F384=""),"",$H384-$F384)</f>
        <v/>
      </c>
      <c r="K384" s="32"/>
      <c r="L384" s="32"/>
      <c r="M384" s="32"/>
      <c r="N384" s="32"/>
      <c r="O384" s="41"/>
      <c r="P384" s="42" t="str">
        <f aca="false">IF(OR($N384="",$O384="",$O384=0),"",($N384/100)/$O384)</f>
        <v/>
      </c>
      <c r="Q384" s="43" t="str">
        <f aca="false">IF(OR($K384="",$L384="",$K384=0),"",($L384-$K384)/$K384)</f>
        <v/>
      </c>
      <c r="R384" s="32"/>
      <c r="S384" s="44" t="str">
        <f aca="false">IF(OR($L384="",$E384=""),"",60.7*$L384+45.3*$E384-2055)</f>
        <v/>
      </c>
      <c r="T384" s="45"/>
      <c r="U384" s="45"/>
      <c r="V384" s="45"/>
      <c r="W384" s="45"/>
      <c r="X384" s="32"/>
      <c r="Y384" s="32"/>
      <c r="Z384" s="39"/>
      <c r="AA384" s="46"/>
      <c r="AB384" s="42" t="str">
        <f aca="false">IF(OR($AA384="",$E384="",$E384=0),"",$AA384/$E384)</f>
        <v/>
      </c>
      <c r="AC384" s="27"/>
    </row>
    <row r="385" customFormat="false" ht="15" hidden="false" customHeight="false" outlineLevel="0" collapsed="false">
      <c r="A385" s="29"/>
      <c r="B385" s="27"/>
      <c r="C385" s="28"/>
      <c r="D385" s="27"/>
      <c r="E385" s="32"/>
      <c r="F385" s="39"/>
      <c r="G385" s="39"/>
      <c r="H385" s="39"/>
      <c r="I385" s="40" t="str">
        <f aca="false">IF(OR($G385="",$F385=""),"",$G385-$F385)</f>
        <v/>
      </c>
      <c r="J385" s="40" t="str">
        <f aca="false">IF(OR($H385="",$F385=""),"",$H385-$F385)</f>
        <v/>
      </c>
      <c r="K385" s="32"/>
      <c r="L385" s="32"/>
      <c r="M385" s="32"/>
      <c r="N385" s="32"/>
      <c r="O385" s="41"/>
      <c r="P385" s="42" t="str">
        <f aca="false">IF(OR($N385="",$O385="",$O385=0),"",($N385/100)/$O385)</f>
        <v/>
      </c>
      <c r="Q385" s="43" t="str">
        <f aca="false">IF(OR($K385="",$L385="",$K385=0),"",($L385-$K385)/$K385)</f>
        <v/>
      </c>
      <c r="R385" s="32"/>
      <c r="S385" s="44" t="str">
        <f aca="false">IF(OR($L385="",$E385=""),"",60.7*$L385+45.3*$E385-2055)</f>
        <v/>
      </c>
      <c r="T385" s="45"/>
      <c r="U385" s="45"/>
      <c r="V385" s="45"/>
      <c r="W385" s="45"/>
      <c r="X385" s="32"/>
      <c r="Y385" s="32"/>
      <c r="Z385" s="39"/>
      <c r="AA385" s="46"/>
      <c r="AB385" s="42" t="str">
        <f aca="false">IF(OR($AA385="",$E385="",$E385=0),"",$AA385/$E385)</f>
        <v/>
      </c>
      <c r="AC385" s="27"/>
    </row>
    <row r="386" customFormat="false" ht="15" hidden="false" customHeight="false" outlineLevel="0" collapsed="false">
      <c r="A386" s="29"/>
      <c r="B386" s="27"/>
      <c r="C386" s="28"/>
      <c r="D386" s="27"/>
      <c r="E386" s="32"/>
      <c r="F386" s="39"/>
      <c r="G386" s="39"/>
      <c r="H386" s="39"/>
      <c r="I386" s="40" t="str">
        <f aca="false">IF(OR($G386="",$F386=""),"",$G386-$F386)</f>
        <v/>
      </c>
      <c r="J386" s="40" t="str">
        <f aca="false">IF(OR($H386="",$F386=""),"",$H386-$F386)</f>
        <v/>
      </c>
      <c r="K386" s="32"/>
      <c r="L386" s="32"/>
      <c r="M386" s="32"/>
      <c r="N386" s="32"/>
      <c r="O386" s="41"/>
      <c r="P386" s="42" t="str">
        <f aca="false">IF(OR($N386="",$O386="",$O386=0),"",($N386/100)/$O386)</f>
        <v/>
      </c>
      <c r="Q386" s="43" t="str">
        <f aca="false">IF(OR($K386="",$L386="",$K386=0),"",($L386-$K386)/$K386)</f>
        <v/>
      </c>
      <c r="R386" s="32"/>
      <c r="S386" s="44" t="str">
        <f aca="false">IF(OR($L386="",$E386=""),"",60.7*$L386+45.3*$E386-2055)</f>
        <v/>
      </c>
      <c r="T386" s="45"/>
      <c r="U386" s="45"/>
      <c r="V386" s="45"/>
      <c r="W386" s="45"/>
      <c r="X386" s="32"/>
      <c r="Y386" s="32"/>
      <c r="Z386" s="39"/>
      <c r="AA386" s="46"/>
      <c r="AB386" s="42" t="str">
        <f aca="false">IF(OR($AA386="",$E386="",$E386=0),"",$AA386/$E386)</f>
        <v/>
      </c>
      <c r="AC386" s="27"/>
    </row>
    <row r="387" customFormat="false" ht="15" hidden="false" customHeight="false" outlineLevel="0" collapsed="false">
      <c r="A387" s="29"/>
      <c r="B387" s="27"/>
      <c r="C387" s="28"/>
      <c r="D387" s="27"/>
      <c r="E387" s="32"/>
      <c r="F387" s="39"/>
      <c r="G387" s="39"/>
      <c r="H387" s="39"/>
      <c r="I387" s="40" t="str">
        <f aca="false">IF(OR($G387="",$F387=""),"",$G387-$F387)</f>
        <v/>
      </c>
      <c r="J387" s="40" t="str">
        <f aca="false">IF(OR($H387="",$F387=""),"",$H387-$F387)</f>
        <v/>
      </c>
      <c r="K387" s="32"/>
      <c r="L387" s="32"/>
      <c r="M387" s="32"/>
      <c r="N387" s="32"/>
      <c r="O387" s="41"/>
      <c r="P387" s="42" t="str">
        <f aca="false">IF(OR($N387="",$O387="",$O387=0),"",($N387/100)/$O387)</f>
        <v/>
      </c>
      <c r="Q387" s="43" t="str">
        <f aca="false">IF(OR($K387="",$L387="",$K387=0),"",($L387-$K387)/$K387)</f>
        <v/>
      </c>
      <c r="R387" s="32"/>
      <c r="S387" s="44" t="str">
        <f aca="false">IF(OR($L387="",$E387=""),"",60.7*$L387+45.3*$E387-2055)</f>
        <v/>
      </c>
      <c r="T387" s="45"/>
      <c r="U387" s="45"/>
      <c r="V387" s="45"/>
      <c r="W387" s="45"/>
      <c r="X387" s="32"/>
      <c r="Y387" s="32"/>
      <c r="Z387" s="39"/>
      <c r="AA387" s="46"/>
      <c r="AB387" s="42" t="str">
        <f aca="false">IF(OR($AA387="",$E387="",$E387=0),"",$AA387/$E387)</f>
        <v/>
      </c>
      <c r="AC387" s="27"/>
    </row>
    <row r="388" customFormat="false" ht="15" hidden="false" customHeight="false" outlineLevel="0" collapsed="false">
      <c r="A388" s="29"/>
      <c r="B388" s="27"/>
      <c r="C388" s="28"/>
      <c r="D388" s="27"/>
      <c r="E388" s="32"/>
      <c r="F388" s="39"/>
      <c r="G388" s="39"/>
      <c r="H388" s="39"/>
      <c r="I388" s="40" t="str">
        <f aca="false">IF(OR($G388="",$F388=""),"",$G388-$F388)</f>
        <v/>
      </c>
      <c r="J388" s="40" t="str">
        <f aca="false">IF(OR($H388="",$F388=""),"",$H388-$F388)</f>
        <v/>
      </c>
      <c r="K388" s="32"/>
      <c r="L388" s="32"/>
      <c r="M388" s="32"/>
      <c r="N388" s="32"/>
      <c r="O388" s="41"/>
      <c r="P388" s="42" t="str">
        <f aca="false">IF(OR($N388="",$O388="",$O388=0),"",($N388/100)/$O388)</f>
        <v/>
      </c>
      <c r="Q388" s="43" t="str">
        <f aca="false">IF(OR($K388="",$L388="",$K388=0),"",($L388-$K388)/$K388)</f>
        <v/>
      </c>
      <c r="R388" s="32"/>
      <c r="S388" s="44" t="str">
        <f aca="false">IF(OR($L388="",$E388=""),"",60.7*$L388+45.3*$E388-2055)</f>
        <v/>
      </c>
      <c r="T388" s="45"/>
      <c r="U388" s="45"/>
      <c r="V388" s="45"/>
      <c r="W388" s="45"/>
      <c r="X388" s="32"/>
      <c r="Y388" s="32"/>
      <c r="Z388" s="39"/>
      <c r="AA388" s="46"/>
      <c r="AB388" s="42" t="str">
        <f aca="false">IF(OR($AA388="",$E388="",$E388=0),"",$AA388/$E388)</f>
        <v/>
      </c>
      <c r="AC388" s="27"/>
    </row>
    <row r="389" customFormat="false" ht="15" hidden="false" customHeight="false" outlineLevel="0" collapsed="false">
      <c r="A389" s="29"/>
      <c r="B389" s="27"/>
      <c r="C389" s="28"/>
      <c r="D389" s="27"/>
      <c r="E389" s="32"/>
      <c r="F389" s="39"/>
      <c r="G389" s="39"/>
      <c r="H389" s="39"/>
      <c r="I389" s="40" t="str">
        <f aca="false">IF(OR($G389="",$F389=""),"",$G389-$F389)</f>
        <v/>
      </c>
      <c r="J389" s="40" t="str">
        <f aca="false">IF(OR($H389="",$F389=""),"",$H389-$F389)</f>
        <v/>
      </c>
      <c r="K389" s="32"/>
      <c r="L389" s="32"/>
      <c r="M389" s="32"/>
      <c r="N389" s="32"/>
      <c r="O389" s="41"/>
      <c r="P389" s="42" t="str">
        <f aca="false">IF(OR($N389="",$O389="",$O389=0),"",($N389/100)/$O389)</f>
        <v/>
      </c>
      <c r="Q389" s="43" t="str">
        <f aca="false">IF(OR($K389="",$L389="",$K389=0),"",($L389-$K389)/$K389)</f>
        <v/>
      </c>
      <c r="R389" s="32"/>
      <c r="S389" s="44" t="str">
        <f aca="false">IF(OR($L389="",$E389=""),"",60.7*$L389+45.3*$E389-2055)</f>
        <v/>
      </c>
      <c r="T389" s="45"/>
      <c r="U389" s="45"/>
      <c r="V389" s="45"/>
      <c r="W389" s="45"/>
      <c r="X389" s="32"/>
      <c r="Y389" s="32"/>
      <c r="Z389" s="39"/>
      <c r="AA389" s="46"/>
      <c r="AB389" s="42" t="str">
        <f aca="false">IF(OR($AA389="",$E389="",$E389=0),"",$AA389/$E389)</f>
        <v/>
      </c>
      <c r="AC389" s="27"/>
    </row>
    <row r="390" customFormat="false" ht="15" hidden="false" customHeight="false" outlineLevel="0" collapsed="false">
      <c r="A390" s="29"/>
      <c r="B390" s="27"/>
      <c r="C390" s="28"/>
      <c r="D390" s="27"/>
      <c r="E390" s="32"/>
      <c r="F390" s="39"/>
      <c r="G390" s="39"/>
      <c r="H390" s="39"/>
      <c r="I390" s="40" t="str">
        <f aca="false">IF(OR($G390="",$F390=""),"",$G390-$F390)</f>
        <v/>
      </c>
      <c r="J390" s="40" t="str">
        <f aca="false">IF(OR($H390="",$F390=""),"",$H390-$F390)</f>
        <v/>
      </c>
      <c r="K390" s="32"/>
      <c r="L390" s="32"/>
      <c r="M390" s="32"/>
      <c r="N390" s="32"/>
      <c r="O390" s="41"/>
      <c r="P390" s="42" t="str">
        <f aca="false">IF(OR($N390="",$O390="",$O390=0),"",($N390/100)/$O390)</f>
        <v/>
      </c>
      <c r="Q390" s="43" t="str">
        <f aca="false">IF(OR($K390="",$L390="",$K390=0),"",($L390-$K390)/$K390)</f>
        <v/>
      </c>
      <c r="R390" s="32"/>
      <c r="S390" s="44" t="str">
        <f aca="false">IF(OR($L390="",$E390=""),"",60.7*$L390+45.3*$E390-2055)</f>
        <v/>
      </c>
      <c r="T390" s="45"/>
      <c r="U390" s="45"/>
      <c r="V390" s="45"/>
      <c r="W390" s="45"/>
      <c r="X390" s="32"/>
      <c r="Y390" s="32"/>
      <c r="Z390" s="39"/>
      <c r="AA390" s="46"/>
      <c r="AB390" s="42" t="str">
        <f aca="false">IF(OR($AA390="",$E390="",$E390=0),"",$AA390/$E390)</f>
        <v/>
      </c>
      <c r="AC390" s="27"/>
    </row>
    <row r="391" customFormat="false" ht="15" hidden="false" customHeight="false" outlineLevel="0" collapsed="false">
      <c r="A391" s="29"/>
      <c r="B391" s="27"/>
      <c r="C391" s="28"/>
      <c r="D391" s="27"/>
      <c r="E391" s="32"/>
      <c r="F391" s="39"/>
      <c r="G391" s="39"/>
      <c r="H391" s="39"/>
      <c r="I391" s="40" t="str">
        <f aca="false">IF(OR($G391="",$F391=""),"",$G391-$F391)</f>
        <v/>
      </c>
      <c r="J391" s="40" t="str">
        <f aca="false">IF(OR($H391="",$F391=""),"",$H391-$F391)</f>
        <v/>
      </c>
      <c r="K391" s="32"/>
      <c r="L391" s="32"/>
      <c r="M391" s="32"/>
      <c r="N391" s="32"/>
      <c r="O391" s="41"/>
      <c r="P391" s="42" t="str">
        <f aca="false">IF(OR($N391="",$O391="",$O391=0),"",($N391/100)/$O391)</f>
        <v/>
      </c>
      <c r="Q391" s="43" t="str">
        <f aca="false">IF(OR($K391="",$L391="",$K391=0),"",($L391-$K391)/$K391)</f>
        <v/>
      </c>
      <c r="R391" s="32"/>
      <c r="S391" s="44" t="str">
        <f aca="false">IF(OR($L391="",$E391=""),"",60.7*$L391+45.3*$E391-2055)</f>
        <v/>
      </c>
      <c r="T391" s="45"/>
      <c r="U391" s="45"/>
      <c r="V391" s="45"/>
      <c r="W391" s="45"/>
      <c r="X391" s="32"/>
      <c r="Y391" s="32"/>
      <c r="Z391" s="39"/>
      <c r="AA391" s="46"/>
      <c r="AB391" s="42" t="str">
        <f aca="false">IF(OR($AA391="",$E391="",$E391=0),"",$AA391/$E391)</f>
        <v/>
      </c>
      <c r="AC391" s="27"/>
    </row>
    <row r="392" customFormat="false" ht="15" hidden="false" customHeight="false" outlineLevel="0" collapsed="false">
      <c r="A392" s="29"/>
      <c r="B392" s="27"/>
      <c r="C392" s="28"/>
      <c r="D392" s="27"/>
      <c r="E392" s="32"/>
      <c r="F392" s="39"/>
      <c r="G392" s="39"/>
      <c r="H392" s="39"/>
      <c r="I392" s="40" t="str">
        <f aca="false">IF(OR($G392="",$F392=""),"",$G392-$F392)</f>
        <v/>
      </c>
      <c r="J392" s="40" t="str">
        <f aca="false">IF(OR($H392="",$F392=""),"",$H392-$F392)</f>
        <v/>
      </c>
      <c r="K392" s="32"/>
      <c r="L392" s="32"/>
      <c r="M392" s="32"/>
      <c r="N392" s="32"/>
      <c r="O392" s="41"/>
      <c r="P392" s="42" t="str">
        <f aca="false">IF(OR($N392="",$O392="",$O392=0),"",($N392/100)/$O392)</f>
        <v/>
      </c>
      <c r="Q392" s="43" t="str">
        <f aca="false">IF(OR($K392="",$L392="",$K392=0),"",($L392-$K392)/$K392)</f>
        <v/>
      </c>
      <c r="R392" s="32"/>
      <c r="S392" s="44" t="str">
        <f aca="false">IF(OR($L392="",$E392=""),"",60.7*$L392+45.3*$E392-2055)</f>
        <v/>
      </c>
      <c r="T392" s="45"/>
      <c r="U392" s="45"/>
      <c r="V392" s="45"/>
      <c r="W392" s="45"/>
      <c r="X392" s="32"/>
      <c r="Y392" s="32"/>
      <c r="Z392" s="39"/>
      <c r="AA392" s="46"/>
      <c r="AB392" s="42" t="str">
        <f aca="false">IF(OR($AA392="",$E392="",$E392=0),"",$AA392/$E392)</f>
        <v/>
      </c>
      <c r="AC392" s="27"/>
    </row>
    <row r="393" customFormat="false" ht="15" hidden="false" customHeight="false" outlineLevel="0" collapsed="false">
      <c r="A393" s="29"/>
      <c r="B393" s="27"/>
      <c r="C393" s="28"/>
      <c r="D393" s="27"/>
      <c r="E393" s="32"/>
      <c r="F393" s="39"/>
      <c r="G393" s="39"/>
      <c r="H393" s="39"/>
      <c r="I393" s="40" t="str">
        <f aca="false">IF(OR($G393="",$F393=""),"",$G393-$F393)</f>
        <v/>
      </c>
      <c r="J393" s="40" t="str">
        <f aca="false">IF(OR($H393="",$F393=""),"",$H393-$F393)</f>
        <v/>
      </c>
      <c r="K393" s="32"/>
      <c r="L393" s="32"/>
      <c r="M393" s="32"/>
      <c r="N393" s="32"/>
      <c r="O393" s="41"/>
      <c r="P393" s="42" t="str">
        <f aca="false">IF(OR($N393="",$O393="",$O393=0),"",($N393/100)/$O393)</f>
        <v/>
      </c>
      <c r="Q393" s="43" t="str">
        <f aca="false">IF(OR($K393="",$L393="",$K393=0),"",($L393-$K393)/$K393)</f>
        <v/>
      </c>
      <c r="R393" s="32"/>
      <c r="S393" s="44" t="str">
        <f aca="false">IF(OR($L393="",$E393=""),"",60.7*$L393+45.3*$E393-2055)</f>
        <v/>
      </c>
      <c r="T393" s="45"/>
      <c r="U393" s="45"/>
      <c r="V393" s="45"/>
      <c r="W393" s="45"/>
      <c r="X393" s="32"/>
      <c r="Y393" s="32"/>
      <c r="Z393" s="39"/>
      <c r="AA393" s="46"/>
      <c r="AB393" s="42" t="str">
        <f aca="false">IF(OR($AA393="",$E393="",$E393=0),"",$AA393/$E393)</f>
        <v/>
      </c>
      <c r="AC393" s="27"/>
    </row>
    <row r="394" customFormat="false" ht="15" hidden="false" customHeight="false" outlineLevel="0" collapsed="false">
      <c r="A394" s="29"/>
      <c r="B394" s="27"/>
      <c r="C394" s="28"/>
      <c r="D394" s="27"/>
      <c r="E394" s="32"/>
      <c r="F394" s="39"/>
      <c r="G394" s="39"/>
      <c r="H394" s="39"/>
      <c r="I394" s="40" t="str">
        <f aca="false">IF(OR($G394="",$F394=""),"",$G394-$F394)</f>
        <v/>
      </c>
      <c r="J394" s="40" t="str">
        <f aca="false">IF(OR($H394="",$F394=""),"",$H394-$F394)</f>
        <v/>
      </c>
      <c r="K394" s="32"/>
      <c r="L394" s="32"/>
      <c r="M394" s="32"/>
      <c r="N394" s="32"/>
      <c r="O394" s="41"/>
      <c r="P394" s="42" t="str">
        <f aca="false">IF(OR($N394="",$O394="",$O394=0),"",($N394/100)/$O394)</f>
        <v/>
      </c>
      <c r="Q394" s="43" t="str">
        <f aca="false">IF(OR($K394="",$L394="",$K394=0),"",($L394-$K394)/$K394)</f>
        <v/>
      </c>
      <c r="R394" s="32"/>
      <c r="S394" s="44" t="str">
        <f aca="false">IF(OR($L394="",$E394=""),"",60.7*$L394+45.3*$E394-2055)</f>
        <v/>
      </c>
      <c r="T394" s="45"/>
      <c r="U394" s="45"/>
      <c r="V394" s="45"/>
      <c r="W394" s="45"/>
      <c r="X394" s="32"/>
      <c r="Y394" s="32"/>
      <c r="Z394" s="39"/>
      <c r="AA394" s="46"/>
      <c r="AB394" s="42" t="str">
        <f aca="false">IF(OR($AA394="",$E394="",$E394=0),"",$AA394/$E394)</f>
        <v/>
      </c>
      <c r="AC394" s="27"/>
    </row>
    <row r="395" customFormat="false" ht="15" hidden="false" customHeight="false" outlineLevel="0" collapsed="false">
      <c r="A395" s="29"/>
      <c r="B395" s="27"/>
      <c r="C395" s="28"/>
      <c r="D395" s="27"/>
      <c r="E395" s="32"/>
      <c r="F395" s="39"/>
      <c r="G395" s="39"/>
      <c r="H395" s="39"/>
      <c r="I395" s="40" t="str">
        <f aca="false">IF(OR($G395="",$F395=""),"",$G395-$F395)</f>
        <v/>
      </c>
      <c r="J395" s="40" t="str">
        <f aca="false">IF(OR($H395="",$F395=""),"",$H395-$F395)</f>
        <v/>
      </c>
      <c r="K395" s="32"/>
      <c r="L395" s="32"/>
      <c r="M395" s="32"/>
      <c r="N395" s="32"/>
      <c r="O395" s="41"/>
      <c r="P395" s="42" t="str">
        <f aca="false">IF(OR($N395="",$O395="",$O395=0),"",($N395/100)/$O395)</f>
        <v/>
      </c>
      <c r="Q395" s="43" t="str">
        <f aca="false">IF(OR($K395="",$L395="",$K395=0),"",($L395-$K395)/$K395)</f>
        <v/>
      </c>
      <c r="R395" s="32"/>
      <c r="S395" s="44" t="str">
        <f aca="false">IF(OR($L395="",$E395=""),"",60.7*$L395+45.3*$E395-2055)</f>
        <v/>
      </c>
      <c r="T395" s="45"/>
      <c r="U395" s="45"/>
      <c r="V395" s="45"/>
      <c r="W395" s="45"/>
      <c r="X395" s="32"/>
      <c r="Y395" s="32"/>
      <c r="Z395" s="39"/>
      <c r="AA395" s="46"/>
      <c r="AB395" s="42" t="str">
        <f aca="false">IF(OR($AA395="",$E395="",$E395=0),"",$AA395/$E395)</f>
        <v/>
      </c>
      <c r="AC395" s="27"/>
    </row>
    <row r="396" customFormat="false" ht="15" hidden="false" customHeight="false" outlineLevel="0" collapsed="false">
      <c r="A396" s="29"/>
      <c r="B396" s="27"/>
      <c r="C396" s="28"/>
      <c r="D396" s="27"/>
      <c r="E396" s="32"/>
      <c r="F396" s="39"/>
      <c r="G396" s="39"/>
      <c r="H396" s="39"/>
      <c r="I396" s="40" t="str">
        <f aca="false">IF(OR($G396="",$F396=""),"",$G396-$F396)</f>
        <v/>
      </c>
      <c r="J396" s="40" t="str">
        <f aca="false">IF(OR($H396="",$F396=""),"",$H396-$F396)</f>
        <v/>
      </c>
      <c r="K396" s="32"/>
      <c r="L396" s="32"/>
      <c r="M396" s="32"/>
      <c r="N396" s="32"/>
      <c r="O396" s="41"/>
      <c r="P396" s="42" t="str">
        <f aca="false">IF(OR($N396="",$O396="",$O396=0),"",($N396/100)/$O396)</f>
        <v/>
      </c>
      <c r="Q396" s="43" t="str">
        <f aca="false">IF(OR($K396="",$L396="",$K396=0),"",($L396-$K396)/$K396)</f>
        <v/>
      </c>
      <c r="R396" s="32"/>
      <c r="S396" s="44" t="str">
        <f aca="false">IF(OR($L396="",$E396=""),"",60.7*$L396+45.3*$E396-2055)</f>
        <v/>
      </c>
      <c r="T396" s="45"/>
      <c r="U396" s="45"/>
      <c r="V396" s="45"/>
      <c r="W396" s="45"/>
      <c r="X396" s="32"/>
      <c r="Y396" s="32"/>
      <c r="Z396" s="39"/>
      <c r="AA396" s="46"/>
      <c r="AB396" s="42" t="str">
        <f aca="false">IF(OR($AA396="",$E396="",$E396=0),"",$AA396/$E396)</f>
        <v/>
      </c>
      <c r="AC396" s="27"/>
    </row>
    <row r="397" customFormat="false" ht="15" hidden="false" customHeight="false" outlineLevel="0" collapsed="false">
      <c r="A397" s="29"/>
      <c r="B397" s="27"/>
      <c r="C397" s="28"/>
      <c r="D397" s="27"/>
      <c r="E397" s="32"/>
      <c r="F397" s="39"/>
      <c r="G397" s="39"/>
      <c r="H397" s="39"/>
      <c r="I397" s="40" t="str">
        <f aca="false">IF(OR($G397="",$F397=""),"",$G397-$F397)</f>
        <v/>
      </c>
      <c r="J397" s="40" t="str">
        <f aca="false">IF(OR($H397="",$F397=""),"",$H397-$F397)</f>
        <v/>
      </c>
      <c r="K397" s="32"/>
      <c r="L397" s="32"/>
      <c r="M397" s="32"/>
      <c r="N397" s="32"/>
      <c r="O397" s="41"/>
      <c r="P397" s="42" t="str">
        <f aca="false">IF(OR($N397="",$O397="",$O397=0),"",($N397/100)/$O397)</f>
        <v/>
      </c>
      <c r="Q397" s="43" t="str">
        <f aca="false">IF(OR($K397="",$L397="",$K397=0),"",($L397-$K397)/$K397)</f>
        <v/>
      </c>
      <c r="R397" s="32"/>
      <c r="S397" s="44" t="str">
        <f aca="false">IF(OR($L397="",$E397=""),"",60.7*$L397+45.3*$E397-2055)</f>
        <v/>
      </c>
      <c r="T397" s="45"/>
      <c r="U397" s="45"/>
      <c r="V397" s="45"/>
      <c r="W397" s="45"/>
      <c r="X397" s="32"/>
      <c r="Y397" s="32"/>
      <c r="Z397" s="39"/>
      <c r="AA397" s="46"/>
      <c r="AB397" s="42" t="str">
        <f aca="false">IF(OR($AA397="",$E397="",$E397=0),"",$AA397/$E397)</f>
        <v/>
      </c>
      <c r="AC397" s="27"/>
    </row>
    <row r="398" customFormat="false" ht="15" hidden="false" customHeight="false" outlineLevel="0" collapsed="false">
      <c r="A398" s="29"/>
      <c r="B398" s="27"/>
      <c r="C398" s="28"/>
      <c r="D398" s="27"/>
      <c r="E398" s="32"/>
      <c r="F398" s="39"/>
      <c r="G398" s="39"/>
      <c r="H398" s="39"/>
      <c r="I398" s="40" t="str">
        <f aca="false">IF(OR($G398="",$F398=""),"",$G398-$F398)</f>
        <v/>
      </c>
      <c r="J398" s="40" t="str">
        <f aca="false">IF(OR($H398="",$F398=""),"",$H398-$F398)</f>
        <v/>
      </c>
      <c r="K398" s="32"/>
      <c r="L398" s="32"/>
      <c r="M398" s="32"/>
      <c r="N398" s="32"/>
      <c r="O398" s="41"/>
      <c r="P398" s="42" t="str">
        <f aca="false">IF(OR($N398="",$O398="",$O398=0),"",($N398/100)/$O398)</f>
        <v/>
      </c>
      <c r="Q398" s="43" t="str">
        <f aca="false">IF(OR($K398="",$L398="",$K398=0),"",($L398-$K398)/$K398)</f>
        <v/>
      </c>
      <c r="R398" s="32"/>
      <c r="S398" s="44" t="str">
        <f aca="false">IF(OR($L398="",$E398=""),"",60.7*$L398+45.3*$E398-2055)</f>
        <v/>
      </c>
      <c r="T398" s="45"/>
      <c r="U398" s="45"/>
      <c r="V398" s="45"/>
      <c r="W398" s="45"/>
      <c r="X398" s="32"/>
      <c r="Y398" s="32"/>
      <c r="Z398" s="39"/>
      <c r="AA398" s="46"/>
      <c r="AB398" s="42" t="str">
        <f aca="false">IF(OR($AA398="",$E398="",$E398=0),"",$AA398/$E398)</f>
        <v/>
      </c>
      <c r="AC398" s="27"/>
    </row>
    <row r="399" customFormat="false" ht="15" hidden="false" customHeight="false" outlineLevel="0" collapsed="false">
      <c r="A399" s="29"/>
      <c r="B399" s="27"/>
      <c r="C399" s="28"/>
      <c r="D399" s="27"/>
      <c r="E399" s="32"/>
      <c r="F399" s="39"/>
      <c r="G399" s="39"/>
      <c r="H399" s="39"/>
      <c r="I399" s="40" t="str">
        <f aca="false">IF(OR($G399="",$F399=""),"",$G399-$F399)</f>
        <v/>
      </c>
      <c r="J399" s="40" t="str">
        <f aca="false">IF(OR($H399="",$F399=""),"",$H399-$F399)</f>
        <v/>
      </c>
      <c r="K399" s="32"/>
      <c r="L399" s="32"/>
      <c r="M399" s="32"/>
      <c r="N399" s="32"/>
      <c r="O399" s="41"/>
      <c r="P399" s="42" t="str">
        <f aca="false">IF(OR($N399="",$O399="",$O399=0),"",($N399/100)/$O399)</f>
        <v/>
      </c>
      <c r="Q399" s="43" t="str">
        <f aca="false">IF(OR($K399="",$L399="",$K399=0),"",($L399-$K399)/$K399)</f>
        <v/>
      </c>
      <c r="R399" s="32"/>
      <c r="S399" s="44" t="str">
        <f aca="false">IF(OR($L399="",$E399=""),"",60.7*$L399+45.3*$E399-2055)</f>
        <v/>
      </c>
      <c r="T399" s="45"/>
      <c r="U399" s="45"/>
      <c r="V399" s="45"/>
      <c r="W399" s="45"/>
      <c r="X399" s="32"/>
      <c r="Y399" s="32"/>
      <c r="Z399" s="39"/>
      <c r="AA399" s="46"/>
      <c r="AB399" s="42" t="str">
        <f aca="false">IF(OR($AA399="",$E399="",$E399=0),"",$AA399/$E399)</f>
        <v/>
      </c>
      <c r="AC399" s="27"/>
    </row>
    <row r="400" customFormat="false" ht="15" hidden="false" customHeight="false" outlineLevel="0" collapsed="false">
      <c r="A400" s="29"/>
      <c r="B400" s="27"/>
      <c r="C400" s="28"/>
      <c r="D400" s="27"/>
      <c r="E400" s="32"/>
      <c r="F400" s="39"/>
      <c r="G400" s="39"/>
      <c r="H400" s="39"/>
      <c r="I400" s="40" t="str">
        <f aca="false">IF(OR($G400="",$F400=""),"",$G400-$F400)</f>
        <v/>
      </c>
      <c r="J400" s="40" t="str">
        <f aca="false">IF(OR($H400="",$F400=""),"",$H400-$F400)</f>
        <v/>
      </c>
      <c r="K400" s="32"/>
      <c r="L400" s="32"/>
      <c r="M400" s="32"/>
      <c r="N400" s="32"/>
      <c r="O400" s="41"/>
      <c r="P400" s="42" t="str">
        <f aca="false">IF(OR($N400="",$O400="",$O400=0),"",($N400/100)/$O400)</f>
        <v/>
      </c>
      <c r="Q400" s="43" t="str">
        <f aca="false">IF(OR($K400="",$L400="",$K400=0),"",($L400-$K400)/$K400)</f>
        <v/>
      </c>
      <c r="R400" s="32"/>
      <c r="S400" s="44" t="str">
        <f aca="false">IF(OR($L400="",$E400=""),"",60.7*$L400+45.3*$E400-2055)</f>
        <v/>
      </c>
      <c r="T400" s="45"/>
      <c r="U400" s="45"/>
      <c r="V400" s="45"/>
      <c r="W400" s="45"/>
      <c r="X400" s="32"/>
      <c r="Y400" s="32"/>
      <c r="Z400" s="39"/>
      <c r="AA400" s="46"/>
      <c r="AB400" s="42" t="str">
        <f aca="false">IF(OR($AA400="",$E400="",$E400=0),"",$AA400/$E400)</f>
        <v/>
      </c>
      <c r="AC400" s="27"/>
    </row>
    <row r="401" customFormat="false" ht="15" hidden="false" customHeight="false" outlineLevel="0" collapsed="false">
      <c r="A401" s="29"/>
      <c r="B401" s="27"/>
      <c r="C401" s="28"/>
      <c r="D401" s="27"/>
      <c r="E401" s="32"/>
      <c r="F401" s="39"/>
      <c r="G401" s="39"/>
      <c r="H401" s="39"/>
      <c r="I401" s="40" t="str">
        <f aca="false">IF(OR($G401="",$F401=""),"",$G401-$F401)</f>
        <v/>
      </c>
      <c r="J401" s="40" t="str">
        <f aca="false">IF(OR($H401="",$F401=""),"",$H401-$F401)</f>
        <v/>
      </c>
      <c r="K401" s="32"/>
      <c r="L401" s="32"/>
      <c r="M401" s="32"/>
      <c r="N401" s="32"/>
      <c r="O401" s="41"/>
      <c r="P401" s="42" t="str">
        <f aca="false">IF(OR($N401="",$O401="",$O401=0),"",($N401/100)/$O401)</f>
        <v/>
      </c>
      <c r="Q401" s="43" t="str">
        <f aca="false">IF(OR($K401="",$L401="",$K401=0),"",($L401-$K401)/$K401)</f>
        <v/>
      </c>
      <c r="R401" s="32"/>
      <c r="S401" s="44" t="str">
        <f aca="false">IF(OR($L401="",$E401=""),"",60.7*$L401+45.3*$E401-2055)</f>
        <v/>
      </c>
      <c r="T401" s="45"/>
      <c r="U401" s="45"/>
      <c r="V401" s="45"/>
      <c r="W401" s="45"/>
      <c r="X401" s="32"/>
      <c r="Y401" s="32"/>
      <c r="Z401" s="39"/>
      <c r="AA401" s="46"/>
      <c r="AB401" s="42" t="str">
        <f aca="false">IF(OR($AA401="",$E401="",$E401=0),"",$AA401/$E401)</f>
        <v/>
      </c>
      <c r="AC401" s="27"/>
    </row>
    <row r="402" customFormat="false" ht="15" hidden="false" customHeight="false" outlineLevel="0" collapsed="false">
      <c r="A402" s="29"/>
      <c r="B402" s="27"/>
      <c r="C402" s="28"/>
      <c r="D402" s="27"/>
      <c r="E402" s="32"/>
      <c r="F402" s="39"/>
      <c r="G402" s="39"/>
      <c r="H402" s="39"/>
      <c r="I402" s="40" t="str">
        <f aca="false">IF(OR($G402="",$F402=""),"",$G402-$F402)</f>
        <v/>
      </c>
      <c r="J402" s="40" t="str">
        <f aca="false">IF(OR($H402="",$F402=""),"",$H402-$F402)</f>
        <v/>
      </c>
      <c r="K402" s="32"/>
      <c r="L402" s="32"/>
      <c r="M402" s="32"/>
      <c r="N402" s="32"/>
      <c r="O402" s="41"/>
      <c r="P402" s="42" t="str">
        <f aca="false">IF(OR($N402="",$O402="",$O402=0),"",($N402/100)/$O402)</f>
        <v/>
      </c>
      <c r="Q402" s="43" t="str">
        <f aca="false">IF(OR($K402="",$L402="",$K402=0),"",($L402-$K402)/$K402)</f>
        <v/>
      </c>
      <c r="R402" s="32"/>
      <c r="S402" s="44" t="str">
        <f aca="false">IF(OR($L402="",$E402=""),"",60.7*$L402+45.3*$E402-2055)</f>
        <v/>
      </c>
      <c r="T402" s="45"/>
      <c r="U402" s="45"/>
      <c r="V402" s="45"/>
      <c r="W402" s="45"/>
      <c r="X402" s="32"/>
      <c r="Y402" s="32"/>
      <c r="Z402" s="39"/>
      <c r="AA402" s="46"/>
      <c r="AB402" s="42" t="str">
        <f aca="false">IF(OR($AA402="",$E402="",$E402=0),"",$AA402/$E402)</f>
        <v/>
      </c>
      <c r="AC402" s="27"/>
    </row>
    <row r="403" customFormat="false" ht="15" hidden="false" customHeight="false" outlineLevel="0" collapsed="false">
      <c r="A403" s="29"/>
      <c r="B403" s="27"/>
      <c r="C403" s="28"/>
      <c r="D403" s="27"/>
      <c r="E403" s="32"/>
      <c r="F403" s="39"/>
      <c r="G403" s="39"/>
      <c r="H403" s="39"/>
      <c r="I403" s="40" t="str">
        <f aca="false">IF(OR($G403="",$F403=""),"",$G403-$F403)</f>
        <v/>
      </c>
      <c r="J403" s="40" t="str">
        <f aca="false">IF(OR($H403="",$F403=""),"",$H403-$F403)</f>
        <v/>
      </c>
      <c r="K403" s="32"/>
      <c r="L403" s="32"/>
      <c r="M403" s="32"/>
      <c r="N403" s="32"/>
      <c r="O403" s="41"/>
      <c r="P403" s="42" t="str">
        <f aca="false">IF(OR($N403="",$O403="",$O403=0),"",($N403/100)/$O403)</f>
        <v/>
      </c>
      <c r="Q403" s="43" t="str">
        <f aca="false">IF(OR($K403="",$L403="",$K403=0),"",($L403-$K403)/$K403)</f>
        <v/>
      </c>
      <c r="R403" s="32"/>
      <c r="S403" s="44" t="str">
        <f aca="false">IF(OR($L403="",$E403=""),"",60.7*$L403+45.3*$E403-2055)</f>
        <v/>
      </c>
      <c r="T403" s="45"/>
      <c r="U403" s="45"/>
      <c r="V403" s="45"/>
      <c r="W403" s="45"/>
      <c r="X403" s="32"/>
      <c r="Y403" s="32"/>
      <c r="Z403" s="39"/>
      <c r="AA403" s="46"/>
      <c r="AB403" s="42" t="str">
        <f aca="false">IF(OR($AA403="",$E403="",$E403=0),"",$AA403/$E403)</f>
        <v/>
      </c>
      <c r="AC403" s="27"/>
    </row>
    <row r="404" customFormat="false" ht="15" hidden="false" customHeight="false" outlineLevel="0" collapsed="false">
      <c r="A404" s="29"/>
      <c r="B404" s="27"/>
      <c r="C404" s="28"/>
      <c r="D404" s="27"/>
      <c r="E404" s="32"/>
      <c r="F404" s="39"/>
      <c r="G404" s="39"/>
      <c r="H404" s="39"/>
      <c r="I404" s="40" t="str">
        <f aca="false">IF(OR($G404="",$F404=""),"",$G404-$F404)</f>
        <v/>
      </c>
      <c r="J404" s="40" t="str">
        <f aca="false">IF(OR($H404="",$F404=""),"",$H404-$F404)</f>
        <v/>
      </c>
      <c r="K404" s="32"/>
      <c r="L404" s="32"/>
      <c r="M404" s="32"/>
      <c r="N404" s="32"/>
      <c r="O404" s="41"/>
      <c r="P404" s="42" t="str">
        <f aca="false">IF(OR($N404="",$O404="",$O404=0),"",($N404/100)/$O404)</f>
        <v/>
      </c>
      <c r="Q404" s="43" t="str">
        <f aca="false">IF(OR($K404="",$L404="",$K404=0),"",($L404-$K404)/$K404)</f>
        <v/>
      </c>
      <c r="R404" s="32"/>
      <c r="S404" s="44" t="str">
        <f aca="false">IF(OR($L404="",$E404=""),"",60.7*$L404+45.3*$E404-2055)</f>
        <v/>
      </c>
      <c r="T404" s="45"/>
      <c r="U404" s="45"/>
      <c r="V404" s="45"/>
      <c r="W404" s="45"/>
      <c r="X404" s="32"/>
      <c r="Y404" s="32"/>
      <c r="Z404" s="39"/>
      <c r="AA404" s="46"/>
      <c r="AB404" s="42" t="str">
        <f aca="false">IF(OR($AA404="",$E404="",$E404=0),"",$AA404/$E404)</f>
        <v/>
      </c>
      <c r="AC404" s="27"/>
    </row>
    <row r="405" customFormat="false" ht="15" hidden="false" customHeight="false" outlineLevel="0" collapsed="false">
      <c r="A405" s="29"/>
      <c r="B405" s="27"/>
      <c r="C405" s="28"/>
      <c r="D405" s="27"/>
      <c r="E405" s="32"/>
      <c r="F405" s="39"/>
      <c r="G405" s="39"/>
      <c r="H405" s="39"/>
      <c r="I405" s="40" t="str">
        <f aca="false">IF(OR($G405="",$F405=""),"",$G405-$F405)</f>
        <v/>
      </c>
      <c r="J405" s="40" t="str">
        <f aca="false">IF(OR($H405="",$F405=""),"",$H405-$F405)</f>
        <v/>
      </c>
      <c r="K405" s="32"/>
      <c r="L405" s="32"/>
      <c r="M405" s="32"/>
      <c r="N405" s="32"/>
      <c r="O405" s="41"/>
      <c r="P405" s="42" t="str">
        <f aca="false">IF(OR($N405="",$O405="",$O405=0),"",($N405/100)/$O405)</f>
        <v/>
      </c>
      <c r="Q405" s="43" t="str">
        <f aca="false">IF(OR($K405="",$L405="",$K405=0),"",($L405-$K405)/$K405)</f>
        <v/>
      </c>
      <c r="R405" s="32"/>
      <c r="S405" s="44" t="str">
        <f aca="false">IF(OR($L405="",$E405=""),"",60.7*$L405+45.3*$E405-2055)</f>
        <v/>
      </c>
      <c r="T405" s="45"/>
      <c r="U405" s="45"/>
      <c r="V405" s="45"/>
      <c r="W405" s="45"/>
      <c r="X405" s="32"/>
      <c r="Y405" s="32"/>
      <c r="Z405" s="39"/>
      <c r="AA405" s="46"/>
      <c r="AB405" s="42" t="str">
        <f aca="false">IF(OR($AA405="",$E405="",$E405=0),"",$AA405/$E405)</f>
        <v/>
      </c>
      <c r="AC405" s="27"/>
    </row>
    <row r="406" customFormat="false" ht="15" hidden="false" customHeight="false" outlineLevel="0" collapsed="false">
      <c r="A406" s="29"/>
      <c r="B406" s="27"/>
      <c r="C406" s="28"/>
      <c r="D406" s="27"/>
      <c r="E406" s="32"/>
      <c r="F406" s="39"/>
      <c r="G406" s="39"/>
      <c r="H406" s="39"/>
      <c r="I406" s="40" t="str">
        <f aca="false">IF(OR($G406="",$F406=""),"",$G406-$F406)</f>
        <v/>
      </c>
      <c r="J406" s="40" t="str">
        <f aca="false">IF(OR($H406="",$F406=""),"",$H406-$F406)</f>
        <v/>
      </c>
      <c r="K406" s="32"/>
      <c r="L406" s="32"/>
      <c r="M406" s="32"/>
      <c r="N406" s="32"/>
      <c r="O406" s="41"/>
      <c r="P406" s="42" t="str">
        <f aca="false">IF(OR($N406="",$O406="",$O406=0),"",($N406/100)/$O406)</f>
        <v/>
      </c>
      <c r="Q406" s="43" t="str">
        <f aca="false">IF(OR($K406="",$L406="",$K406=0),"",($L406-$K406)/$K406)</f>
        <v/>
      </c>
      <c r="R406" s="32"/>
      <c r="S406" s="44" t="str">
        <f aca="false">IF(OR($L406="",$E406=""),"",60.7*$L406+45.3*$E406-2055)</f>
        <v/>
      </c>
      <c r="T406" s="45"/>
      <c r="U406" s="45"/>
      <c r="V406" s="45"/>
      <c r="W406" s="45"/>
      <c r="X406" s="32"/>
      <c r="Y406" s="32"/>
      <c r="Z406" s="39"/>
      <c r="AA406" s="46"/>
      <c r="AB406" s="42" t="str">
        <f aca="false">IF(OR($AA406="",$E406="",$E406=0),"",$AA406/$E406)</f>
        <v/>
      </c>
      <c r="AC406" s="27"/>
    </row>
    <row r="407" customFormat="false" ht="15" hidden="false" customHeight="false" outlineLevel="0" collapsed="false">
      <c r="A407" s="29"/>
      <c r="B407" s="27"/>
      <c r="C407" s="28"/>
      <c r="D407" s="27"/>
      <c r="E407" s="32"/>
      <c r="F407" s="39"/>
      <c r="G407" s="39"/>
      <c r="H407" s="39"/>
      <c r="I407" s="40" t="str">
        <f aca="false">IF(OR($G407="",$F407=""),"",$G407-$F407)</f>
        <v/>
      </c>
      <c r="J407" s="40" t="str">
        <f aca="false">IF(OR($H407="",$F407=""),"",$H407-$F407)</f>
        <v/>
      </c>
      <c r="K407" s="32"/>
      <c r="L407" s="32"/>
      <c r="M407" s="32"/>
      <c r="N407" s="32"/>
      <c r="O407" s="41"/>
      <c r="P407" s="42" t="str">
        <f aca="false">IF(OR($N407="",$O407="",$O407=0),"",($N407/100)/$O407)</f>
        <v/>
      </c>
      <c r="Q407" s="43" t="str">
        <f aca="false">IF(OR($K407="",$L407="",$K407=0),"",($L407-$K407)/$K407)</f>
        <v/>
      </c>
      <c r="R407" s="32"/>
      <c r="S407" s="44" t="str">
        <f aca="false">IF(OR($L407="",$E407=""),"",60.7*$L407+45.3*$E407-2055)</f>
        <v/>
      </c>
      <c r="T407" s="45"/>
      <c r="U407" s="45"/>
      <c r="V407" s="45"/>
      <c r="W407" s="45"/>
      <c r="X407" s="32"/>
      <c r="Y407" s="32"/>
      <c r="Z407" s="39"/>
      <c r="AA407" s="46"/>
      <c r="AB407" s="42" t="str">
        <f aca="false">IF(OR($AA407="",$E407="",$E407=0),"",$AA407/$E407)</f>
        <v/>
      </c>
      <c r="AC407" s="27"/>
    </row>
  </sheetData>
  <autoFilter ref="A7:AC407"/>
  <mergeCells count="8">
    <mergeCell ref="A1:AC1"/>
    <mergeCell ref="A2:AC2"/>
    <mergeCell ref="A4:AC4"/>
    <mergeCell ref="A6:E6"/>
    <mergeCell ref="F6:J6"/>
    <mergeCell ref="K6:S6"/>
    <mergeCell ref="T6:Z6"/>
    <mergeCell ref="AA6:AB6"/>
  </mergeCells>
  <conditionalFormatting sqref="I8:I407">
    <cfRule type="colorScale" priority="2">
      <colorScale>
        <cfvo type="min" val="0"/>
        <cfvo type="max" val="0"/>
        <color rgb="FFFFFFFF"/>
        <color rgb="FFA9D08E"/>
      </colorScale>
    </cfRule>
  </conditionalFormatting>
  <conditionalFormatting sqref="L8:L407">
    <cfRule type="colorScale" priority="3">
      <colorScale>
        <cfvo type="min" val="0"/>
        <cfvo type="max" val="0"/>
        <color rgb="FFFFFFFF"/>
        <color rgb="FF9CC3E5"/>
      </colorScale>
    </cfRule>
  </conditionalFormatting>
  <dataValidations count="2">
    <dataValidation allowBlank="true" errorStyle="stop" operator="between" showDropDown="false" showErrorMessage="false" showInputMessage="false" sqref="B8:B407" type="list">
      <formula1>Cadastro!$B$8:$B$47</formula1>
      <formula2>0</formula2>
    </dataValidation>
    <dataValidation allowBlank="true" errorStyle="stop" operator="between" showDropDown="false" showErrorMessage="false" showInputMessage="false" sqref="C8:C407" type="list">
      <formula1>Listas!$T$5:$T$16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3FA0"/>
    <pageSetUpPr fitToPage="true"/>
  </sheetPr>
  <dimension ref="A1:N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2" style="0" width="16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52"/>
    <col collapsed="false" customWidth="true" hidden="false" outlineLevel="0" max="14" min="13" style="0" width="14"/>
  </cols>
  <sheetData>
    <row r="1" customFormat="false" ht="30" hidden="false" customHeight="true" outlineLevel="0" collapsed="false">
      <c r="A1" s="1" t="s">
        <v>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375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A3" s="3" t="s">
        <v>376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7" t="s">
        <v>377</v>
      </c>
      <c r="C4" s="48" t="s">
        <v>164</v>
      </c>
      <c r="D4" s="48"/>
      <c r="E4" s="48"/>
      <c r="F4" s="48"/>
    </row>
    <row r="5" customFormat="false" ht="15" hidden="false" customHeight="false" outlineLevel="0" collapsed="false">
      <c r="A5" s="47" t="s">
        <v>378</v>
      </c>
      <c r="C5" s="49" t="n">
        <f aca="false">IFERROR(INDEX(Cadastro!$P$8:$P$47,MATCH($C$4,Cadastro!$B$8:$B$47,0)),"")</f>
        <v>87.8</v>
      </c>
    </row>
    <row r="6" customFormat="false" ht="15" hidden="false" customHeight="false" outlineLevel="0" collapsed="false">
      <c r="A6" s="47" t="s">
        <v>379</v>
      </c>
      <c r="C6" s="50" t="n">
        <v>0.4</v>
      </c>
    </row>
    <row r="7" customFormat="false" ht="15" hidden="false" customHeight="false" outlineLevel="0" collapsed="false">
      <c r="A7" s="47" t="s">
        <v>380</v>
      </c>
      <c r="C7" s="50"/>
    </row>
    <row r="10" customFormat="false" ht="19.5" hidden="false" customHeight="true" outlineLevel="0" collapsed="false">
      <c r="A10" s="3" t="s">
        <v>381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Format="false" ht="31.5" hidden="false" customHeight="true" outlineLevel="0" collapsed="false">
      <c r="A11" s="25" t="s">
        <v>382</v>
      </c>
      <c r="B11" s="25" t="s">
        <v>383</v>
      </c>
      <c r="C11" s="25" t="s">
        <v>384</v>
      </c>
      <c r="D11" s="25" t="s">
        <v>385</v>
      </c>
      <c r="E11" s="25" t="s">
        <v>386</v>
      </c>
      <c r="F11" s="25" t="s">
        <v>387</v>
      </c>
      <c r="G11" s="25" t="s">
        <v>388</v>
      </c>
      <c r="H11" s="25" t="s">
        <v>389</v>
      </c>
    </row>
    <row r="12" customFormat="false" ht="15" hidden="false" customHeight="false" outlineLevel="0" collapsed="false">
      <c r="A12" s="51" t="n">
        <v>0</v>
      </c>
      <c r="B12" s="51" t="n">
        <v>48</v>
      </c>
      <c r="C12" s="49" t="n">
        <f aca="false">IFERROR($C$5+$A12,"")</f>
        <v>87.8</v>
      </c>
      <c r="D12" s="49" t="n">
        <f aca="false">IFERROR($C12*9.81*(($B12/100)/$C$6+1),"")</f>
        <v>1894.8996</v>
      </c>
      <c r="E12" s="52" t="n">
        <f aca="false">IFERROR($D12/$C$5,"")</f>
        <v>21.582</v>
      </c>
      <c r="F12" s="52" t="n">
        <f aca="false">IFERROR(SQRT(9.81*($B12/100)/2),"")</f>
        <v>1.53440542230533</v>
      </c>
      <c r="G12" s="49" t="n">
        <f aca="false">IFERROR($D12*$F12,"")</f>
        <v>2907.5442209642</v>
      </c>
      <c r="H12" s="52" t="n">
        <f aca="false">IFERROR($G12/$C$5,"")</f>
        <v>33.1155378241937</v>
      </c>
    </row>
    <row r="13" customFormat="false" ht="15" hidden="false" customHeight="false" outlineLevel="0" collapsed="false">
      <c r="A13" s="51" t="n">
        <v>20</v>
      </c>
      <c r="B13" s="51" t="n">
        <v>39</v>
      </c>
      <c r="C13" s="49" t="n">
        <f aca="false">IFERROR($C$5+$A13,"")</f>
        <v>107.8</v>
      </c>
      <c r="D13" s="49" t="n">
        <f aca="false">IFERROR($C13*9.81*(($B13/100)/$C$6+1),"")</f>
        <v>2088.59805</v>
      </c>
      <c r="E13" s="52" t="n">
        <f aca="false">IFERROR($D13/$C$5,"")</f>
        <v>23.7881326879271</v>
      </c>
      <c r="F13" s="52" t="n">
        <f aca="false">IFERROR(SQRT(9.81*($B13/100)/2),"")</f>
        <v>1.38309435686796</v>
      </c>
      <c r="G13" s="49" t="n">
        <f aca="false">IFERROR($D13*$F13,"")</f>
        <v>2888.72817672043</v>
      </c>
      <c r="H13" s="52" t="n">
        <f aca="false">IFERROR($G13/$C$5,"")</f>
        <v>32.9012320810983</v>
      </c>
    </row>
    <row r="14" customFormat="false" ht="15" hidden="false" customHeight="false" outlineLevel="0" collapsed="false">
      <c r="A14" s="51" t="n">
        <v>40</v>
      </c>
      <c r="B14" s="51" t="n">
        <v>32</v>
      </c>
      <c r="C14" s="49" t="n">
        <f aca="false">IFERROR($C$5+$A14,"")</f>
        <v>127.8</v>
      </c>
      <c r="D14" s="49" t="n">
        <f aca="false">IFERROR($C14*9.81*(($B14/100)/$C$6+1),"")</f>
        <v>2256.6924</v>
      </c>
      <c r="E14" s="52" t="n">
        <f aca="false">IFERROR($D14/$C$5,"")</f>
        <v>25.7026469248292</v>
      </c>
      <c r="F14" s="52" t="n">
        <f aca="false">IFERROR(SQRT(9.81*($B14/100)/2),"")</f>
        <v>1.25283678106927</v>
      </c>
      <c r="G14" s="49" t="n">
        <f aca="false">IFERROR($D14*$F14,"")</f>
        <v>2827.26724227948</v>
      </c>
      <c r="H14" s="52" t="n">
        <f aca="false">IFERROR($G14/$C$5,"")</f>
        <v>32.2012214382628</v>
      </c>
    </row>
    <row r="15" customFormat="false" ht="15" hidden="false" customHeight="false" outlineLevel="0" collapsed="false">
      <c r="A15" s="51" t="n">
        <v>60</v>
      </c>
      <c r="B15" s="51" t="n">
        <v>26</v>
      </c>
      <c r="C15" s="49" t="n">
        <f aca="false">IFERROR($C$5+$A15,"")</f>
        <v>147.8</v>
      </c>
      <c r="D15" s="49" t="n">
        <f aca="false">IFERROR($C15*9.81*(($B15/100)/$C$6+1),"")</f>
        <v>2392.3647</v>
      </c>
      <c r="E15" s="52" t="n">
        <f aca="false">IFERROR($D15/$C$5,"")</f>
        <v>27.2478895216401</v>
      </c>
      <c r="F15" s="52" t="n">
        <f aca="false">IFERROR(SQRT(9.81*($B15/100)/2),"")</f>
        <v>1.12929181348312</v>
      </c>
      <c r="G15" s="49" t="n">
        <f aca="false">IFERROR($D15*$F15,"")</f>
        <v>2701.67787057601</v>
      </c>
      <c r="H15" s="52" t="n">
        <f aca="false">IFERROR($G15/$C$5,"")</f>
        <v>30.7708185714807</v>
      </c>
    </row>
    <row r="16" customFormat="false" ht="15" hidden="false" customHeight="false" outlineLevel="0" collapsed="false">
      <c r="A16" s="51" t="n">
        <v>80</v>
      </c>
      <c r="B16" s="51" t="n">
        <v>21</v>
      </c>
      <c r="C16" s="49" t="n">
        <f aca="false">IFERROR($C$5+$A16,"")</f>
        <v>167.8</v>
      </c>
      <c r="D16" s="49" t="n">
        <f aca="false">IFERROR($C16*9.81*(($B16/100)/$C$6+1),"")</f>
        <v>2510.32995</v>
      </c>
      <c r="E16" s="52" t="n">
        <f aca="false">IFERROR($D16/$C$5,"")</f>
        <v>28.5914572892939</v>
      </c>
      <c r="F16" s="52" t="n">
        <f aca="false">IFERROR(SQRT(9.81*($B16/100)/2),"")</f>
        <v>1.01491378944224</v>
      </c>
      <c r="G16" s="49" t="n">
        <f aca="false">IFERROR($D16*$F16,"")</f>
        <v>2547.76848230484</v>
      </c>
      <c r="H16" s="52" t="n">
        <f aca="false">IFERROR($G16/$C$5,"")</f>
        <v>29.0178642631531</v>
      </c>
    </row>
    <row r="17" customFormat="false" ht="15" hidden="false" customHeight="true" outlineLevel="0" collapsed="false">
      <c r="A17" s="17" t="s">
        <v>390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customFormat="false" ht="19.5" hidden="false" customHeight="true" outlineLevel="0" collapsed="false">
      <c r="A18" s="3" t="s">
        <v>391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A19" s="47" t="s">
        <v>392</v>
      </c>
      <c r="C19" s="53" t="n">
        <f aca="false">IFERROR(INTERCEPT($D$12:$D$16,$F$12:$F$16),"")</f>
        <v>3731.43366865585</v>
      </c>
    </row>
    <row r="20" customFormat="false" ht="15" hidden="false" customHeight="false" outlineLevel="0" collapsed="false">
      <c r="A20" s="47" t="s">
        <v>393</v>
      </c>
      <c r="C20" s="54" t="n">
        <f aca="false">IFERROR($C$19/$C$5,"")</f>
        <v>42.4992445177204</v>
      </c>
    </row>
    <row r="21" customFormat="false" ht="15" hidden="false" customHeight="false" outlineLevel="0" collapsed="false">
      <c r="A21" s="47" t="s">
        <v>394</v>
      </c>
      <c r="C21" s="54" t="n">
        <f aca="false">IFERROR(-$C$19/$C$22,"")</f>
        <v>3.13566752978053</v>
      </c>
    </row>
    <row r="22" customFormat="false" ht="15" hidden="false" customHeight="false" outlineLevel="0" collapsed="false">
      <c r="A22" s="47" t="s">
        <v>395</v>
      </c>
      <c r="C22" s="55" t="n">
        <f aca="false">IFERROR(SLOPE($D$12:$D$16,$F$12:$F$16),"")</f>
        <v>-1189.99659026894</v>
      </c>
    </row>
    <row r="23" customFormat="false" ht="15" hidden="false" customHeight="false" outlineLevel="0" collapsed="false">
      <c r="A23" s="47" t="s">
        <v>396</v>
      </c>
      <c r="C23" s="54" t="n">
        <f aca="false">IFERROR($C$22/$C$5,"")</f>
        <v>-13.5534919165027</v>
      </c>
    </row>
    <row r="24" customFormat="false" ht="15" hidden="false" customHeight="false" outlineLevel="0" collapsed="false">
      <c r="A24" s="47" t="s">
        <v>397</v>
      </c>
      <c r="C24" s="53" t="n">
        <f aca="false">IFERROR($C$19*$C$21/4,"")</f>
        <v>2925.1338485835</v>
      </c>
    </row>
    <row r="25" customFormat="false" ht="15" hidden="false" customHeight="false" outlineLevel="0" collapsed="false">
      <c r="A25" s="47" t="s">
        <v>398</v>
      </c>
      <c r="C25" s="54" t="n">
        <f aca="false">IFERROR($C$24/$C$5,"")</f>
        <v>33.3158752686048</v>
      </c>
    </row>
    <row r="26" customFormat="false" ht="15" hidden="false" customHeight="false" outlineLevel="0" collapsed="false">
      <c r="A26" s="47" t="s">
        <v>399</v>
      </c>
      <c r="C26" s="56" t="str">
        <f aca="false">IF($C$7="","",IFERROR(ABS($C$23)/ABS($C$7),""))</f>
        <v/>
      </c>
    </row>
    <row r="27" customFormat="false" ht="15" hidden="false" customHeight="false" outlineLevel="0" collapsed="false">
      <c r="A27" s="47" t="s">
        <v>400</v>
      </c>
      <c r="C27" s="57" t="n">
        <f aca="false">IFERROR(RSQ($D$12:$D$16,$F$12:$F$16),"")</f>
        <v>0.997549322328026</v>
      </c>
    </row>
    <row r="28" customFormat="false" ht="15" hidden="false" customHeight="false" outlineLevel="0" collapsed="false">
      <c r="A28" s="47" t="s">
        <v>401</v>
      </c>
      <c r="C28" s="58" t="str">
        <f aca="false">IF($C$26="","Informe o SFvopt em C7 para classificar",IF($C$26&lt;0.9,"Déficit de FORÇA",IF($C$26&lt;=1.1,"Equilibrado","Déficit de VELOCIDADE")))</f>
        <v>Informe o SFvopt em C7 para classificar</v>
      </c>
      <c r="D28" s="58"/>
      <c r="E28" s="58"/>
      <c r="F28" s="58"/>
    </row>
    <row r="29" customFormat="false" ht="15" hidden="false" customHeight="false" outlineLevel="0" collapsed="false">
      <c r="A29" s="59" t="str">
        <f aca="false">IF($C$26="","Sem o SFvopt não é possível estimar o desequilíbrio. Ainda assim, F0, V0 e Pmax servem para acompanhar a evolução do atleta ao longo dos blocos e para comparar atletas do mesmo elenco na tabela abaixo.",IF($C$26&lt;0.9,"DÉFICIT DE FORÇA — priorize cargas altas: agachamento e stiff a 80–90% 1RM, LPO (power clean e clean pull) a 80–90%, 70 a 100% do volume de força na região pesada do perfil. Reduza o volume balístico.",IF($C$26&lt;=1.1,"PERFIL EQUILIBRADO — mantenha a distribuição mista e busque elevar a Pmax como um todo: alterne blocos de força máxima (85–90% 1RM) e blocos balísticos (jump squat 30% 1RM + pliometria).","DÉFICIT DE VELOCIDADE — priorize o lado rápido do perfil: jump squat a 0–40% 1RM, saltos sem carga, pliometria reativa (drop jump) e LPO com ênfase em velocidade da barra. Mantenha a força máxima com volume mínimo.")))</f>
        <v>Sem o SFvopt não é possível estimar o desequilíbrio. Ainda assim, F0, V0 e Pmax servem para acompanhar a evolução do atleta ao longo dos blocos e para comparar atletas do mesmo elenco na tabela abaixo.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  <row r="30" customFormat="false" ht="15" hidden="false" customHeight="false" outlineLevel="0" collapsed="false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  <row r="31" customFormat="false" ht="15" hidden="false" customHeight="false" outlineLevel="0" collapsed="false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customFormat="false" ht="15" hidden="false" customHeight="false" outlineLevel="0" collapsed="false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</row>
    <row r="34" customFormat="false" ht="19.5" hidden="false" customHeight="true" outlineLevel="0" collapsed="false">
      <c r="A34" s="3" t="s">
        <v>402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31.5" hidden="false" customHeight="true" outlineLevel="0" collapsed="false">
      <c r="A35" s="25" t="s">
        <v>295</v>
      </c>
      <c r="B35" s="25" t="s">
        <v>113</v>
      </c>
      <c r="C35" s="25" t="s">
        <v>403</v>
      </c>
      <c r="D35" s="25" t="s">
        <v>404</v>
      </c>
      <c r="E35" s="25" t="s">
        <v>405</v>
      </c>
      <c r="F35" s="25" t="s">
        <v>406</v>
      </c>
      <c r="G35" s="25" t="s">
        <v>407</v>
      </c>
      <c r="H35" s="25" t="s">
        <v>408</v>
      </c>
      <c r="I35" s="25" t="s">
        <v>409</v>
      </c>
      <c r="J35" s="25" t="s">
        <v>410</v>
      </c>
      <c r="K35" s="25" t="s">
        <v>411</v>
      </c>
      <c r="L35" s="25" t="s">
        <v>412</v>
      </c>
    </row>
    <row r="36" customFormat="false" ht="15" hidden="false" customHeight="false" outlineLevel="0" collapsed="false">
      <c r="A36" s="60" t="str">
        <f aca="false">IF(Cadastro!$B8="","",Cadastro!$B8)</f>
        <v>Rafael Monteiro Alves</v>
      </c>
      <c r="B36" s="35" t="n">
        <f aca="false">IF($A36="","",IFERROR(Cadastro!$P8,""))</f>
        <v>87.8</v>
      </c>
      <c r="C36" s="32" t="n">
        <v>3224</v>
      </c>
      <c r="D36" s="45" t="n">
        <v>3.4</v>
      </c>
      <c r="E36" s="36" t="n">
        <f aca="false">IFERROR($C36/$B36,"")</f>
        <v>36.7198177676538</v>
      </c>
      <c r="F36" s="35" t="n">
        <f aca="false">IFERROR($C36*$D36/4,"")</f>
        <v>2740.4</v>
      </c>
      <c r="G36" s="36" t="n">
        <f aca="false">IFERROR($F36/$B36,"")</f>
        <v>31.2118451025057</v>
      </c>
      <c r="H36" s="36" t="n">
        <f aca="false">IFERROR(-$E36/$D36,"")</f>
        <v>-10.7999464022511</v>
      </c>
      <c r="I36" s="45" t="n">
        <v>-11.48</v>
      </c>
      <c r="J36" s="61" t="n">
        <f aca="false">IF(OR($I36="",$H36=""),"",IFERROR(ABS($H36)/ABS($I36),""))</f>
        <v>0.94076188172919</v>
      </c>
      <c r="K36" s="37" t="str">
        <f aca="false">IF($J36="","",IF($J36&lt;0.9,"Déficit de FORÇA",IF($J36&lt;=1.1,"Equilibrado","Déficit de VELOCIDADE")))</f>
        <v>Equilibrado</v>
      </c>
      <c r="L36" s="60" t="str">
        <f aca="false">IF($K36="","",IF($K36="Déficit de FORÇA","Cargas altas: 80–90% 1RM + LPO pesado",IF($K36="Equilibrado","Misto: alternar força máxima e balístico","Balístico: 0–40% 1RM, jump squat e pliometria reativa")))</f>
        <v>Misto: alternar força máxima e balístico</v>
      </c>
    </row>
    <row r="37" customFormat="false" ht="15" hidden="false" customHeight="false" outlineLevel="0" collapsed="false">
      <c r="A37" s="62" t="str">
        <f aca="false">IF(Cadastro!$B9="","",Cadastro!$B9)</f>
        <v>Diego Salgado Ferraz</v>
      </c>
      <c r="B37" s="63" t="n">
        <f aca="false">IF($A37="","",IFERROR(Cadastro!$P9,""))</f>
        <v>94.2</v>
      </c>
      <c r="C37" s="32" t="n">
        <v>2963</v>
      </c>
      <c r="D37" s="45" t="n">
        <v>3.65</v>
      </c>
      <c r="E37" s="64" t="n">
        <f aca="false">IFERROR($C37/$B37,"")</f>
        <v>31.4543524416136</v>
      </c>
      <c r="F37" s="63" t="n">
        <f aca="false">IFERROR($C37*$D37/4,"")</f>
        <v>2703.7375</v>
      </c>
      <c r="G37" s="64" t="n">
        <f aca="false">IFERROR($F37/$B37,"")</f>
        <v>28.7020966029724</v>
      </c>
      <c r="H37" s="64" t="n">
        <f aca="false">IFERROR(-$E37/$D37,"")</f>
        <v>-8.61763080592153</v>
      </c>
      <c r="I37" s="45" t="n">
        <v>-8.57</v>
      </c>
      <c r="J37" s="65" t="n">
        <f aca="false">IF(OR($I37="",$H37=""),"",IFERROR(ABS($H37)/ABS($I37),""))</f>
        <v>1.00555785366646</v>
      </c>
      <c r="K37" s="66" t="str">
        <f aca="false">IF($J37="","",IF($J37&lt;0.9,"Déficit de FORÇA",IF($J37&lt;=1.1,"Equilibrado","Déficit de VELOCIDADE")))</f>
        <v>Equilibrado</v>
      </c>
      <c r="L37" s="62" t="str">
        <f aca="false">IF($K37="","",IF($K37="Déficit de FORÇA","Cargas altas: 80–90% 1RM + LPO pesado",IF($K37="Equilibrado","Misto: alternar força máxima e balístico","Balístico: 0–40% 1RM, jump squat e pliometria reativa")))</f>
        <v>Misto: alternar força máxima e balístico</v>
      </c>
    </row>
    <row r="38" customFormat="false" ht="15" hidden="false" customHeight="false" outlineLevel="0" collapsed="false">
      <c r="A38" s="60" t="str">
        <f aca="false">IF(Cadastro!$B10="","",Cadastro!$B10)</f>
        <v>Lucas Prado Bittencourt</v>
      </c>
      <c r="B38" s="35" t="n">
        <f aca="false">IF($A38="","",IFERROR(Cadastro!$P10,""))</f>
        <v>88.9</v>
      </c>
      <c r="C38" s="32" t="n">
        <v>2814</v>
      </c>
      <c r="D38" s="45" t="n">
        <v>3.54</v>
      </c>
      <c r="E38" s="36" t="n">
        <f aca="false">IFERROR($C38/$B38,"")</f>
        <v>31.6535433070866</v>
      </c>
      <c r="F38" s="35" t="n">
        <f aca="false">IFERROR($C38*$D38/4,"")</f>
        <v>2490.39</v>
      </c>
      <c r="G38" s="36" t="n">
        <f aca="false">IFERROR($F38/$B38,"")</f>
        <v>28.0133858267717</v>
      </c>
      <c r="H38" s="36" t="n">
        <f aca="false">IFERROR(-$E38/$D38,"")</f>
        <v>-8.94167890030695</v>
      </c>
      <c r="I38" s="45" t="n">
        <v>-10.15</v>
      </c>
      <c r="J38" s="61" t="n">
        <f aca="false">IF(OR($I38="",$H38=""),"",IFERROR(ABS($H38)/ABS($I38),""))</f>
        <v>0.880953586237138</v>
      </c>
      <c r="K38" s="37" t="str">
        <f aca="false">IF($J38="","",IF($J38&lt;0.9,"Déficit de FORÇA",IF($J38&lt;=1.1,"Equilibrado","Déficit de VELOCIDADE")))</f>
        <v>Déficit de FORÇA</v>
      </c>
      <c r="L38" s="60" t="str">
        <f aca="false">IF($K38="","",IF($K38="Déficit de FORÇA","Cargas altas: 80–90% 1RM + LPO pesado",IF($K38="Equilibrado","Misto: alternar força máxima e balístico","Balístico: 0–40% 1RM, jump squat e pliometria reativa")))</f>
        <v>Cargas altas: 80–90% 1RM + LPO pesado</v>
      </c>
    </row>
    <row r="39" customFormat="false" ht="15" hidden="false" customHeight="false" outlineLevel="0" collapsed="false">
      <c r="A39" s="62" t="str">
        <f aca="false">IF(Cadastro!$B11="","",Cadastro!$B11)</f>
        <v>Bruno Rezende Camargo</v>
      </c>
      <c r="B39" s="63" t="n">
        <f aca="false">IF($A39="","",IFERROR(Cadastro!$P11,""))</f>
        <v>87.7</v>
      </c>
      <c r="C39" s="32" t="n">
        <v>3029</v>
      </c>
      <c r="D39" s="45" t="n">
        <v>4.07</v>
      </c>
      <c r="E39" s="64" t="n">
        <f aca="false">IFERROR($C39/$B39,"")</f>
        <v>34.5381984036488</v>
      </c>
      <c r="F39" s="63" t="n">
        <f aca="false">IFERROR($C39*$D39/4,"")</f>
        <v>3082.0075</v>
      </c>
      <c r="G39" s="64" t="n">
        <f aca="false">IFERROR($F39/$B39,"")</f>
        <v>35.1426168757127</v>
      </c>
      <c r="H39" s="64" t="n">
        <f aca="false">IFERROR(-$E39/$D39,"")</f>
        <v>-8.48604383382034</v>
      </c>
      <c r="I39" s="45" t="n">
        <v>-8.38</v>
      </c>
      <c r="J39" s="65" t="n">
        <f aca="false">IF(OR($I39="",$H39=""),"",IFERROR(ABS($H39)/ABS($I39),""))</f>
        <v>1.01265439544395</v>
      </c>
      <c r="K39" s="66" t="str">
        <f aca="false">IF($J39="","",IF($J39&lt;0.9,"Déficit de FORÇA",IF($J39&lt;=1.1,"Equilibrado","Déficit de VELOCIDADE")))</f>
        <v>Equilibrado</v>
      </c>
      <c r="L39" s="62" t="str">
        <f aca="false">IF($K39="","",IF($K39="Déficit de FORÇA","Cargas altas: 80–90% 1RM + LPO pesado",IF($K39="Equilibrado","Misto: alternar força máxima e balístico","Balístico: 0–40% 1RM, jump squat e pliometria reativa")))</f>
        <v>Misto: alternar força máxima e balístico</v>
      </c>
    </row>
    <row r="40" customFormat="false" ht="15" hidden="false" customHeight="false" outlineLevel="0" collapsed="false">
      <c r="A40" s="60" t="str">
        <f aca="false">IF(Cadastro!$B12="","",Cadastro!$B12)</f>
        <v>Thiago Nogueira Vasques</v>
      </c>
      <c r="B40" s="35" t="n">
        <f aca="false">IF($A40="","",IFERROR(Cadastro!$P12,""))</f>
        <v>99.7</v>
      </c>
      <c r="C40" s="32" t="n">
        <v>3296</v>
      </c>
      <c r="D40" s="45" t="n">
        <v>3.63</v>
      </c>
      <c r="E40" s="36" t="n">
        <f aca="false">IFERROR($C40/$B40,"")</f>
        <v>33.0591775325978</v>
      </c>
      <c r="F40" s="35" t="n">
        <f aca="false">IFERROR($C40*$D40/4,"")</f>
        <v>2991.12</v>
      </c>
      <c r="G40" s="36" t="n">
        <f aca="false">IFERROR($F40/$B40,"")</f>
        <v>30.0012036108325</v>
      </c>
      <c r="H40" s="36" t="n">
        <f aca="false">IFERROR(-$E40/$D40,"")</f>
        <v>-9.107211441487</v>
      </c>
      <c r="I40" s="45" t="n">
        <v>-10.43</v>
      </c>
      <c r="J40" s="61" t="n">
        <f aca="false">IF(OR($I40="",$H40=""),"",IFERROR(ABS($H40)/ABS($I40),""))</f>
        <v>0.873174634850144</v>
      </c>
      <c r="K40" s="37" t="str">
        <f aca="false">IF($J40="","",IF($J40&lt;0.9,"Déficit de FORÇA",IF($J40&lt;=1.1,"Equilibrado","Déficit de VELOCIDADE")))</f>
        <v>Déficit de FORÇA</v>
      </c>
      <c r="L40" s="60" t="str">
        <f aca="false">IF($K40="","",IF($K40="Déficit de FORÇA","Cargas altas: 80–90% 1RM + LPO pesado",IF($K40="Equilibrado","Misto: alternar força máxima e balístico","Balístico: 0–40% 1RM, jump squat e pliometria reativa")))</f>
        <v>Cargas altas: 80–90% 1RM + LPO pesado</v>
      </c>
    </row>
    <row r="41" customFormat="false" ht="15" hidden="false" customHeight="false" outlineLevel="0" collapsed="false">
      <c r="A41" s="62" t="str">
        <f aca="false">IF(Cadastro!$B13="","",Cadastro!$B13)</f>
        <v>Matheus Caldeira Lins</v>
      </c>
      <c r="B41" s="63" t="n">
        <f aca="false">IF($A41="","",IFERROR(Cadastro!$P13,""))</f>
        <v>94.9</v>
      </c>
      <c r="C41" s="32" t="n">
        <v>2868</v>
      </c>
      <c r="D41" s="45" t="n">
        <v>3.52</v>
      </c>
      <c r="E41" s="64" t="n">
        <f aca="false">IFERROR($C41/$B41,"")</f>
        <v>30.2212855637513</v>
      </c>
      <c r="F41" s="63" t="n">
        <f aca="false">IFERROR($C41*$D41/4,"")</f>
        <v>2523.84</v>
      </c>
      <c r="G41" s="64" t="n">
        <f aca="false">IFERROR($F41/$B41,"")</f>
        <v>26.5947312961012</v>
      </c>
      <c r="H41" s="64" t="n">
        <f aca="false">IFERROR(-$E41/$D41,"")</f>
        <v>-8.58559248970208</v>
      </c>
      <c r="I41" s="45" t="n">
        <v>-9.71</v>
      </c>
      <c r="J41" s="65" t="n">
        <f aca="false">IF(OR($I41="",$H41=""),"",IFERROR(ABS($H41)/ABS($I41),""))</f>
        <v>0.884201080298875</v>
      </c>
      <c r="K41" s="66" t="str">
        <f aca="false">IF($J41="","",IF($J41&lt;0.9,"Déficit de FORÇA",IF($J41&lt;=1.1,"Equilibrado","Déficit de VELOCIDADE")))</f>
        <v>Déficit de FORÇA</v>
      </c>
      <c r="L41" s="62" t="str">
        <f aca="false">IF($K41="","",IF($K41="Déficit de FORÇA","Cargas altas: 80–90% 1RM + LPO pesado",IF($K41="Equilibrado","Misto: alternar força máxima e balístico","Balístico: 0–40% 1RM, jump squat e pliometria reativa")))</f>
        <v>Cargas altas: 80–90% 1RM + LPO pesado</v>
      </c>
    </row>
    <row r="42" customFormat="false" ht="15" hidden="false" customHeight="false" outlineLevel="0" collapsed="false">
      <c r="A42" s="60" t="str">
        <f aca="false">IF(Cadastro!$B14="","",Cadastro!$B14)</f>
        <v>Felipe Andrade Rocha</v>
      </c>
      <c r="B42" s="35" t="n">
        <f aca="false">IF($A42="","",IFERROR(Cadastro!$P14,""))</f>
        <v>79</v>
      </c>
      <c r="C42" s="32" t="n">
        <v>2653</v>
      </c>
      <c r="D42" s="45" t="n">
        <v>4.01</v>
      </c>
      <c r="E42" s="36" t="n">
        <f aca="false">IFERROR($C42/$B42,"")</f>
        <v>33.5822784810127</v>
      </c>
      <c r="F42" s="35" t="n">
        <f aca="false">IFERROR($C42*$D42/4,"")</f>
        <v>2659.6325</v>
      </c>
      <c r="G42" s="36" t="n">
        <f aca="false">IFERROR($F42/$B42,"")</f>
        <v>33.6662341772152</v>
      </c>
      <c r="H42" s="36" t="n">
        <f aca="false">IFERROR(-$E42/$D42,"")</f>
        <v>-8.37463303765902</v>
      </c>
      <c r="I42" s="45" t="n">
        <v>-8.81</v>
      </c>
      <c r="J42" s="61" t="n">
        <f aca="false">IF(OR($I42="",$H42=""),"",IFERROR(ABS($H42)/ABS($I42),""))</f>
        <v>0.950582637645745</v>
      </c>
      <c r="K42" s="37" t="str">
        <f aca="false">IF($J42="","",IF($J42&lt;0.9,"Déficit de FORÇA",IF($J42&lt;=1.1,"Equilibrado","Déficit de VELOCIDADE")))</f>
        <v>Equilibrado</v>
      </c>
      <c r="L42" s="60" t="str">
        <f aca="false">IF($K42="","",IF($K42="Déficit de FORÇA","Cargas altas: 80–90% 1RM + LPO pesado",IF($K42="Equilibrado","Misto: alternar força máxima e balístico","Balístico: 0–40% 1RM, jump squat e pliometria reativa")))</f>
        <v>Misto: alternar força máxima e balístico</v>
      </c>
    </row>
    <row r="43" customFormat="false" ht="15" hidden="false" customHeight="false" outlineLevel="0" collapsed="false">
      <c r="A43" s="62" t="str">
        <f aca="false">IF(Cadastro!$B15="","",Cadastro!$B15)</f>
        <v>Gustavo Peixoto Maia</v>
      </c>
      <c r="B43" s="63" t="n">
        <f aca="false">IF($A43="","",IFERROR(Cadastro!$P15,""))</f>
        <v>90.4</v>
      </c>
      <c r="C43" s="32" t="n">
        <v>2779</v>
      </c>
      <c r="D43" s="45" t="n">
        <v>4.2</v>
      </c>
      <c r="E43" s="64" t="n">
        <f aca="false">IFERROR($C43/$B43,"")</f>
        <v>30.7411504424779</v>
      </c>
      <c r="F43" s="63" t="n">
        <f aca="false">IFERROR($C43*$D43/4,"")</f>
        <v>2917.95</v>
      </c>
      <c r="G43" s="64" t="n">
        <f aca="false">IFERROR($F43/$B43,"")</f>
        <v>32.2782079646018</v>
      </c>
      <c r="H43" s="64" t="n">
        <f aca="false">IFERROR(-$E43/$D43,"")</f>
        <v>-7.3193215339233</v>
      </c>
      <c r="I43" s="45" t="n">
        <v>-7.07</v>
      </c>
      <c r="J43" s="65" t="n">
        <f aca="false">IF(OR($I43="",$H43=""),"",IFERROR(ABS($H43)/ABS($I43),""))</f>
        <v>1.03526471484064</v>
      </c>
      <c r="K43" s="66" t="str">
        <f aca="false">IF($J43="","",IF($J43&lt;0.9,"Déficit de FORÇA",IF($J43&lt;=1.1,"Equilibrado","Déficit de VELOCIDADE")))</f>
        <v>Equilibrado</v>
      </c>
      <c r="L43" s="62" t="str">
        <f aca="false">IF($K43="","",IF($K43="Déficit de FORÇA","Cargas altas: 80–90% 1RM + LPO pesado",IF($K43="Equilibrado","Misto: alternar força máxima e balístico","Balístico: 0–40% 1RM, jump squat e pliometria reativa")))</f>
        <v>Misto: alternar força máxima e balístico</v>
      </c>
    </row>
    <row r="44" customFormat="false" ht="15" hidden="false" customHeight="false" outlineLevel="0" collapsed="false">
      <c r="A44" s="60" t="str">
        <f aca="false">IF(Cadastro!$B16="","",Cadastro!$B16)</f>
        <v>Vinícius Barreto Duarte</v>
      </c>
      <c r="B44" s="35" t="n">
        <f aca="false">IF($A44="","",IFERROR(Cadastro!$P16,""))</f>
        <v>82.5</v>
      </c>
      <c r="C44" s="32" t="n">
        <v>2572</v>
      </c>
      <c r="D44" s="45" t="n">
        <v>3.37</v>
      </c>
      <c r="E44" s="36" t="n">
        <f aca="false">IFERROR($C44/$B44,"")</f>
        <v>31.1757575757576</v>
      </c>
      <c r="F44" s="35" t="n">
        <f aca="false">IFERROR($C44*$D44/4,"")</f>
        <v>2166.91</v>
      </c>
      <c r="G44" s="36" t="n">
        <f aca="false">IFERROR($F44/$B44,"")</f>
        <v>26.2655757575758</v>
      </c>
      <c r="H44" s="36" t="n">
        <f aca="false">IFERROR(-$E44/$D44,"")</f>
        <v>-9.25096663969068</v>
      </c>
      <c r="I44" s="45" t="n">
        <v>-7.47</v>
      </c>
      <c r="J44" s="61" t="n">
        <f aca="false">IF(OR($I44="",$H44=""),"",IFERROR(ABS($H44)/ABS($I44),""))</f>
        <v>1.23841588215404</v>
      </c>
      <c r="K44" s="37" t="str">
        <f aca="false">IF($J44="","",IF($J44&lt;0.9,"Déficit de FORÇA",IF($J44&lt;=1.1,"Equilibrado","Déficit de VELOCIDADE")))</f>
        <v>Déficit de VELOCIDADE</v>
      </c>
      <c r="L44" s="60" t="str">
        <f aca="false">IF($K44="","",IF($K44="Déficit de FORÇA","Cargas altas: 80–90% 1RM + LPO pesado",IF($K44="Equilibrado","Misto: alternar força máxima e balístico","Balístico: 0–40% 1RM, jump squat e pliometria reativa")))</f>
        <v>Balístico: 0–40% 1RM, jump squat e pliometria reativa</v>
      </c>
    </row>
    <row r="45" customFormat="false" ht="15" hidden="false" customHeight="false" outlineLevel="0" collapsed="false">
      <c r="A45" s="62" t="str">
        <f aca="false">IF(Cadastro!$B17="","",Cadastro!$B17)</f>
        <v>André Luiz Sampaio</v>
      </c>
      <c r="B45" s="63" t="n">
        <f aca="false">IF($A45="","",IFERROR(Cadastro!$P17,""))</f>
        <v>97.5</v>
      </c>
      <c r="C45" s="32" t="n">
        <v>3380</v>
      </c>
      <c r="D45" s="45" t="n">
        <v>3.79</v>
      </c>
      <c r="E45" s="64" t="n">
        <f aca="false">IFERROR($C45/$B45,"")</f>
        <v>34.6666666666667</v>
      </c>
      <c r="F45" s="63" t="n">
        <f aca="false">IFERROR($C45*$D45/4,"")</f>
        <v>3202.55</v>
      </c>
      <c r="G45" s="64" t="n">
        <f aca="false">IFERROR($F45/$B45,"")</f>
        <v>32.8466666666667</v>
      </c>
      <c r="H45" s="64" t="n">
        <f aca="false">IFERROR(-$E45/$D45,"")</f>
        <v>-9.14687774846086</v>
      </c>
      <c r="I45" s="45" t="n">
        <v>-10.44</v>
      </c>
      <c r="J45" s="65" t="n">
        <f aca="false">IF(OR($I45="",$H45=""),"",IFERROR(ABS($H45)/ABS($I45),""))</f>
        <v>0.876137715369814</v>
      </c>
      <c r="K45" s="66" t="str">
        <f aca="false">IF($J45="","",IF($J45&lt;0.9,"Déficit de FORÇA",IF($J45&lt;=1.1,"Equilibrado","Déficit de VELOCIDADE")))</f>
        <v>Déficit de FORÇA</v>
      </c>
      <c r="L45" s="62" t="str">
        <f aca="false">IF($K45="","",IF($K45="Déficit de FORÇA","Cargas altas: 80–90% 1RM + LPO pesado",IF($K45="Equilibrado","Misto: alternar força máxima e balístico","Balístico: 0–40% 1RM, jump squat e pliometria reativa")))</f>
        <v>Cargas altas: 80–90% 1RM + LPO pesado</v>
      </c>
    </row>
    <row r="46" customFormat="false" ht="15" hidden="false" customHeight="false" outlineLevel="0" collapsed="false">
      <c r="A46" s="60" t="str">
        <f aca="false">IF(Cadastro!$B18="","",Cadastro!$B18)</f>
        <v>Pedro Henrique Coutinho</v>
      </c>
      <c r="B46" s="35" t="n">
        <f aca="false">IF($A46="","",IFERROR(Cadastro!$P18,""))</f>
        <v>91.8</v>
      </c>
      <c r="C46" s="32" t="n">
        <v>3326</v>
      </c>
      <c r="D46" s="45" t="n">
        <v>3.43</v>
      </c>
      <c r="E46" s="36" t="n">
        <f aca="false">IFERROR($C46/$B46,"")</f>
        <v>36.2309368191721</v>
      </c>
      <c r="F46" s="35" t="n">
        <f aca="false">IFERROR($C46*$D46/4,"")</f>
        <v>2852.045</v>
      </c>
      <c r="G46" s="36" t="n">
        <f aca="false">IFERROR($F46/$B46,"")</f>
        <v>31.0680283224401</v>
      </c>
      <c r="H46" s="36" t="n">
        <f aca="false">IFERROR(-$E46/$D46,"")</f>
        <v>-10.5629553408665</v>
      </c>
      <c r="I46" s="45" t="n">
        <v>-8.76</v>
      </c>
      <c r="J46" s="61" t="n">
        <f aca="false">IF(OR($I46="",$H46=""),"",IFERROR(ABS($H46)/ABS($I46),""))</f>
        <v>1.20581681973362</v>
      </c>
      <c r="K46" s="37" t="str">
        <f aca="false">IF($J46="","",IF($J46&lt;0.9,"Déficit de FORÇA",IF($J46&lt;=1.1,"Equilibrado","Déficit de VELOCIDADE")))</f>
        <v>Déficit de VELOCIDADE</v>
      </c>
      <c r="L46" s="60" t="str">
        <f aca="false">IF($K46="","",IF($K46="Déficit de FORÇA","Cargas altas: 80–90% 1RM + LPO pesado",IF($K46="Equilibrado","Misto: alternar força máxima e balístico","Balístico: 0–40% 1RM, jump squat e pliometria reativa")))</f>
        <v>Balístico: 0–40% 1RM, jump squat e pliometria reativa</v>
      </c>
    </row>
    <row r="47" customFormat="false" ht="15" hidden="false" customHeight="false" outlineLevel="0" collapsed="false">
      <c r="A47" s="62" t="str">
        <f aca="false">IF(Cadastro!$B19="","",Cadastro!$B19)</f>
        <v>Caio Fernandes Bastos</v>
      </c>
      <c r="B47" s="63" t="n">
        <f aca="false">IF($A47="","",IFERROR(Cadastro!$P19,""))</f>
        <v>78.2</v>
      </c>
      <c r="C47" s="32" t="n">
        <v>2877</v>
      </c>
      <c r="D47" s="45" t="n">
        <v>3.15</v>
      </c>
      <c r="E47" s="64" t="n">
        <f aca="false">IFERROR($C47/$B47,"")</f>
        <v>36.7902813299233</v>
      </c>
      <c r="F47" s="63" t="n">
        <f aca="false">IFERROR($C47*$D47/4,"")</f>
        <v>2265.6375</v>
      </c>
      <c r="G47" s="64" t="n">
        <f aca="false">IFERROR($F47/$B47,"")</f>
        <v>28.9723465473146</v>
      </c>
      <c r="H47" s="64" t="n">
        <f aca="false">IFERROR(-$E47/$D47,"")</f>
        <v>-11.6794543904518</v>
      </c>
      <c r="I47" s="45" t="n">
        <v>-9.68</v>
      </c>
      <c r="J47" s="65" t="n">
        <f aca="false">IF(OR($I47="",$H47=""),"",IFERROR(ABS($H47)/ABS($I47),""))</f>
        <v>1.20655520562519</v>
      </c>
      <c r="K47" s="66" t="str">
        <f aca="false">IF($J47="","",IF($J47&lt;0.9,"Déficit de FORÇA",IF($J47&lt;=1.1,"Equilibrado","Déficit de VELOCIDADE")))</f>
        <v>Déficit de VELOCIDADE</v>
      </c>
      <c r="L47" s="62" t="str">
        <f aca="false">IF($K47="","",IF($K47="Déficit de FORÇA","Cargas altas: 80–90% 1RM + LPO pesado",IF($K47="Equilibrado","Misto: alternar força máxima e balístico","Balístico: 0–40% 1RM, jump squat e pliometria reativa")))</f>
        <v>Balístico: 0–40% 1RM, jump squat e pliometria reativa</v>
      </c>
    </row>
    <row r="48" customFormat="false" ht="15" hidden="false" customHeight="false" outlineLevel="0" collapsed="false">
      <c r="A48" s="60" t="str">
        <f aca="false">IF(Cadastro!$B20="","",Cadastro!$B20)</f>
        <v/>
      </c>
      <c r="B48" s="35" t="str">
        <f aca="false">IF($A48="","",IFERROR(Cadastro!$P20,""))</f>
        <v/>
      </c>
      <c r="C48" s="32"/>
      <c r="D48" s="45"/>
      <c r="E48" s="36" t="str">
        <f aca="false">IFERROR($C48/$B48,"")</f>
        <v/>
      </c>
      <c r="F48" s="35" t="n">
        <f aca="false">IFERROR($C48*$D48/4,"")</f>
        <v>0</v>
      </c>
      <c r="G48" s="36" t="str">
        <f aca="false">IFERROR($F48/$B48,"")</f>
        <v/>
      </c>
      <c r="H48" s="36" t="str">
        <f aca="false">IFERROR(-$E48/$D48,"")</f>
        <v/>
      </c>
      <c r="I48" s="45"/>
      <c r="J48" s="61" t="str">
        <f aca="false">IF(OR($I48="",$H48=""),"",IFERROR(ABS($H48)/ABS($I48),""))</f>
        <v/>
      </c>
      <c r="K48" s="37" t="str">
        <f aca="false">IF($J48="","",IF($J48&lt;0.9,"Déficit de FORÇA",IF($J48&lt;=1.1,"Equilibrado","Déficit de VELOCIDADE")))</f>
        <v/>
      </c>
      <c r="L48" s="60" t="str">
        <f aca="false">IF($K48="","",IF($K48="Déficit de FORÇA","Cargas altas: 80–90% 1RM + LPO pesado",IF($K48="Equilibrado","Misto: alternar força máxima e balístico","Balístico: 0–40% 1RM, jump squat e pliometria reativa")))</f>
        <v/>
      </c>
    </row>
    <row r="49" customFormat="false" ht="15" hidden="false" customHeight="false" outlineLevel="0" collapsed="false">
      <c r="A49" s="62" t="str">
        <f aca="false">IF(Cadastro!$B21="","",Cadastro!$B21)</f>
        <v/>
      </c>
      <c r="B49" s="63" t="str">
        <f aca="false">IF($A49="","",IFERROR(Cadastro!$P21,""))</f>
        <v/>
      </c>
      <c r="C49" s="32"/>
      <c r="D49" s="45"/>
      <c r="E49" s="64" t="str">
        <f aca="false">IFERROR($C49/$B49,"")</f>
        <v/>
      </c>
      <c r="F49" s="63" t="n">
        <f aca="false">IFERROR($C49*$D49/4,"")</f>
        <v>0</v>
      </c>
      <c r="G49" s="64" t="str">
        <f aca="false">IFERROR($F49/$B49,"")</f>
        <v/>
      </c>
      <c r="H49" s="64" t="str">
        <f aca="false">IFERROR(-$E49/$D49,"")</f>
        <v/>
      </c>
      <c r="I49" s="45"/>
      <c r="J49" s="65" t="str">
        <f aca="false">IF(OR($I49="",$H49=""),"",IFERROR(ABS($H49)/ABS($I49),""))</f>
        <v/>
      </c>
      <c r="K49" s="66" t="str">
        <f aca="false">IF($J49="","",IF($J49&lt;0.9,"Déficit de FORÇA",IF($J49&lt;=1.1,"Equilibrado","Déficit de VELOCIDADE")))</f>
        <v/>
      </c>
      <c r="L49" s="62" t="str">
        <f aca="false">IF($K49="","",IF($K49="Déficit de FORÇA","Cargas altas: 80–90% 1RM + LPO pesado",IF($K49="Equilibrado","Misto: alternar força máxima e balístico","Balístico: 0–40% 1RM, jump squat e pliometria reativa")))</f>
        <v/>
      </c>
    </row>
    <row r="50" customFormat="false" ht="15" hidden="false" customHeight="false" outlineLevel="0" collapsed="false">
      <c r="A50" s="60" t="str">
        <f aca="false">IF(Cadastro!$B22="","",Cadastro!$B22)</f>
        <v/>
      </c>
      <c r="B50" s="35" t="str">
        <f aca="false">IF($A50="","",IFERROR(Cadastro!$P22,""))</f>
        <v/>
      </c>
      <c r="C50" s="32"/>
      <c r="D50" s="45"/>
      <c r="E50" s="36" t="str">
        <f aca="false">IFERROR($C50/$B50,"")</f>
        <v/>
      </c>
      <c r="F50" s="35" t="n">
        <f aca="false">IFERROR($C50*$D50/4,"")</f>
        <v>0</v>
      </c>
      <c r="G50" s="36" t="str">
        <f aca="false">IFERROR($F50/$B50,"")</f>
        <v/>
      </c>
      <c r="H50" s="36" t="str">
        <f aca="false">IFERROR(-$E50/$D50,"")</f>
        <v/>
      </c>
      <c r="I50" s="45"/>
      <c r="J50" s="61" t="str">
        <f aca="false">IF(OR($I50="",$H50=""),"",IFERROR(ABS($H50)/ABS($I50),""))</f>
        <v/>
      </c>
      <c r="K50" s="37" t="str">
        <f aca="false">IF($J50="","",IF($J50&lt;0.9,"Déficit de FORÇA",IF($J50&lt;=1.1,"Equilibrado","Déficit de VELOCIDADE")))</f>
        <v/>
      </c>
      <c r="L50" s="60" t="str">
        <f aca="false">IF($K50="","",IF($K50="Déficit de FORÇA","Cargas altas: 80–90% 1RM + LPO pesado",IF($K50="Equilibrado","Misto: alternar força máxima e balístico","Balístico: 0–40% 1RM, jump squat e pliometria reativa")))</f>
        <v/>
      </c>
    </row>
    <row r="51" customFormat="false" ht="15" hidden="false" customHeight="false" outlineLevel="0" collapsed="false">
      <c r="A51" s="62" t="str">
        <f aca="false">IF(Cadastro!$B23="","",Cadastro!$B23)</f>
        <v/>
      </c>
      <c r="B51" s="63" t="str">
        <f aca="false">IF($A51="","",IFERROR(Cadastro!$P23,""))</f>
        <v/>
      </c>
      <c r="C51" s="32"/>
      <c r="D51" s="45"/>
      <c r="E51" s="64" t="str">
        <f aca="false">IFERROR($C51/$B51,"")</f>
        <v/>
      </c>
      <c r="F51" s="63" t="n">
        <f aca="false">IFERROR($C51*$D51/4,"")</f>
        <v>0</v>
      </c>
      <c r="G51" s="64" t="str">
        <f aca="false">IFERROR($F51/$B51,"")</f>
        <v/>
      </c>
      <c r="H51" s="64" t="str">
        <f aca="false">IFERROR(-$E51/$D51,"")</f>
        <v/>
      </c>
      <c r="I51" s="45"/>
      <c r="J51" s="65" t="str">
        <f aca="false">IF(OR($I51="",$H51=""),"",IFERROR(ABS($H51)/ABS($I51),""))</f>
        <v/>
      </c>
      <c r="K51" s="66" t="str">
        <f aca="false">IF($J51="","",IF($J51&lt;0.9,"Déficit de FORÇA",IF($J51&lt;=1.1,"Equilibrado","Déficit de VELOCIDADE")))</f>
        <v/>
      </c>
      <c r="L51" s="62" t="str">
        <f aca="false">IF($K51="","",IF($K51="Déficit de FORÇA","Cargas altas: 80–90% 1RM + LPO pesado",IF($K51="Equilibrado","Misto: alternar força máxima e balístico","Balístico: 0–40% 1RM, jump squat e pliometria reativa")))</f>
        <v/>
      </c>
    </row>
    <row r="52" customFormat="false" ht="15" hidden="false" customHeight="false" outlineLevel="0" collapsed="false">
      <c r="A52" s="60" t="str">
        <f aca="false">IF(Cadastro!$B24="","",Cadastro!$B24)</f>
        <v/>
      </c>
      <c r="B52" s="35" t="str">
        <f aca="false">IF($A52="","",IFERROR(Cadastro!$P24,""))</f>
        <v/>
      </c>
      <c r="C52" s="32"/>
      <c r="D52" s="45"/>
      <c r="E52" s="36" t="str">
        <f aca="false">IFERROR($C52/$B52,"")</f>
        <v/>
      </c>
      <c r="F52" s="35" t="n">
        <f aca="false">IFERROR($C52*$D52/4,"")</f>
        <v>0</v>
      </c>
      <c r="G52" s="36" t="str">
        <f aca="false">IFERROR($F52/$B52,"")</f>
        <v/>
      </c>
      <c r="H52" s="36" t="str">
        <f aca="false">IFERROR(-$E52/$D52,"")</f>
        <v/>
      </c>
      <c r="I52" s="45"/>
      <c r="J52" s="61" t="str">
        <f aca="false">IF(OR($I52="",$H52=""),"",IFERROR(ABS($H52)/ABS($I52),""))</f>
        <v/>
      </c>
      <c r="K52" s="37" t="str">
        <f aca="false">IF($J52="","",IF($J52&lt;0.9,"Déficit de FORÇA",IF($J52&lt;=1.1,"Equilibrado","Déficit de VELOCIDADE")))</f>
        <v/>
      </c>
      <c r="L52" s="60" t="str">
        <f aca="false">IF($K52="","",IF($K52="Déficit de FORÇA","Cargas altas: 80–90% 1RM + LPO pesado",IF($K52="Equilibrado","Misto: alternar força máxima e balístico","Balístico: 0–40% 1RM, jump squat e pliometria reativa")))</f>
        <v/>
      </c>
    </row>
    <row r="53" customFormat="false" ht="15" hidden="false" customHeight="false" outlineLevel="0" collapsed="false">
      <c r="A53" s="62" t="str">
        <f aca="false">IF(Cadastro!$B25="","",Cadastro!$B25)</f>
        <v/>
      </c>
      <c r="B53" s="63" t="str">
        <f aca="false">IF($A53="","",IFERROR(Cadastro!$P25,""))</f>
        <v/>
      </c>
      <c r="C53" s="32"/>
      <c r="D53" s="45"/>
      <c r="E53" s="64" t="str">
        <f aca="false">IFERROR($C53/$B53,"")</f>
        <v/>
      </c>
      <c r="F53" s="63" t="n">
        <f aca="false">IFERROR($C53*$D53/4,"")</f>
        <v>0</v>
      </c>
      <c r="G53" s="64" t="str">
        <f aca="false">IFERROR($F53/$B53,"")</f>
        <v/>
      </c>
      <c r="H53" s="64" t="str">
        <f aca="false">IFERROR(-$E53/$D53,"")</f>
        <v/>
      </c>
      <c r="I53" s="45"/>
      <c r="J53" s="65" t="str">
        <f aca="false">IF(OR($I53="",$H53=""),"",IFERROR(ABS($H53)/ABS($I53),""))</f>
        <v/>
      </c>
      <c r="K53" s="66" t="str">
        <f aca="false">IF($J53="","",IF($J53&lt;0.9,"Déficit de FORÇA",IF($J53&lt;=1.1,"Equilibrado","Déficit de VELOCIDADE")))</f>
        <v/>
      </c>
      <c r="L53" s="62" t="str">
        <f aca="false">IF($K53="","",IF($K53="Déficit de FORÇA","Cargas altas: 80–90% 1RM + LPO pesado",IF($K53="Equilibrado","Misto: alternar força máxima e balístico","Balístico: 0–40% 1RM, jump squat e pliometria reativa")))</f>
        <v/>
      </c>
    </row>
    <row r="54" customFormat="false" ht="15" hidden="false" customHeight="false" outlineLevel="0" collapsed="false">
      <c r="A54" s="60" t="str">
        <f aca="false">IF(Cadastro!$B26="","",Cadastro!$B26)</f>
        <v/>
      </c>
      <c r="B54" s="35" t="str">
        <f aca="false">IF($A54="","",IFERROR(Cadastro!$P26,""))</f>
        <v/>
      </c>
      <c r="C54" s="32"/>
      <c r="D54" s="45"/>
      <c r="E54" s="36" t="str">
        <f aca="false">IFERROR($C54/$B54,"")</f>
        <v/>
      </c>
      <c r="F54" s="35" t="n">
        <f aca="false">IFERROR($C54*$D54/4,"")</f>
        <v>0</v>
      </c>
      <c r="G54" s="36" t="str">
        <f aca="false">IFERROR($F54/$B54,"")</f>
        <v/>
      </c>
      <c r="H54" s="36" t="str">
        <f aca="false">IFERROR(-$E54/$D54,"")</f>
        <v/>
      </c>
      <c r="I54" s="45"/>
      <c r="J54" s="61" t="str">
        <f aca="false">IF(OR($I54="",$H54=""),"",IFERROR(ABS($H54)/ABS($I54),""))</f>
        <v/>
      </c>
      <c r="K54" s="37" t="str">
        <f aca="false">IF($J54="","",IF($J54&lt;0.9,"Déficit de FORÇA",IF($J54&lt;=1.1,"Equilibrado","Déficit de VELOCIDADE")))</f>
        <v/>
      </c>
      <c r="L54" s="60" t="str">
        <f aca="false">IF($K54="","",IF($K54="Déficit de FORÇA","Cargas altas: 80–90% 1RM + LPO pesado",IF($K54="Equilibrado","Misto: alternar força máxima e balístico","Balístico: 0–40% 1RM, jump squat e pliometria reativa")))</f>
        <v/>
      </c>
    </row>
    <row r="55" customFormat="false" ht="15" hidden="false" customHeight="false" outlineLevel="0" collapsed="false">
      <c r="A55" s="62" t="str">
        <f aca="false">IF(Cadastro!$B27="","",Cadastro!$B27)</f>
        <v/>
      </c>
      <c r="B55" s="63" t="str">
        <f aca="false">IF($A55="","",IFERROR(Cadastro!$P27,""))</f>
        <v/>
      </c>
      <c r="C55" s="32"/>
      <c r="D55" s="45"/>
      <c r="E55" s="64" t="str">
        <f aca="false">IFERROR($C55/$B55,"")</f>
        <v/>
      </c>
      <c r="F55" s="63" t="n">
        <f aca="false">IFERROR($C55*$D55/4,"")</f>
        <v>0</v>
      </c>
      <c r="G55" s="64" t="str">
        <f aca="false">IFERROR($F55/$B55,"")</f>
        <v/>
      </c>
      <c r="H55" s="64" t="str">
        <f aca="false">IFERROR(-$E55/$D55,"")</f>
        <v/>
      </c>
      <c r="I55" s="45"/>
      <c r="J55" s="65" t="str">
        <f aca="false">IF(OR($I55="",$H55=""),"",IFERROR(ABS($H55)/ABS($I55),""))</f>
        <v/>
      </c>
      <c r="K55" s="66" t="str">
        <f aca="false">IF($J55="","",IF($J55&lt;0.9,"Déficit de FORÇA",IF($J55&lt;=1.1,"Equilibrado","Déficit de VELOCIDADE")))</f>
        <v/>
      </c>
      <c r="L55" s="62" t="str">
        <f aca="false">IF($K55="","",IF($K55="Déficit de FORÇA","Cargas altas: 80–90% 1RM + LPO pesado",IF($K55="Equilibrado","Misto: alternar força máxima e balístico","Balístico: 0–40% 1RM, jump squat e pliometria reativa")))</f>
        <v/>
      </c>
    </row>
    <row r="56" customFormat="false" ht="15" hidden="false" customHeight="false" outlineLevel="0" collapsed="false">
      <c r="A56" s="60" t="str">
        <f aca="false">IF(Cadastro!$B28="","",Cadastro!$B28)</f>
        <v/>
      </c>
      <c r="B56" s="35" t="str">
        <f aca="false">IF($A56="","",IFERROR(Cadastro!$P28,""))</f>
        <v/>
      </c>
      <c r="C56" s="32"/>
      <c r="D56" s="45"/>
      <c r="E56" s="36" t="str">
        <f aca="false">IFERROR($C56/$B56,"")</f>
        <v/>
      </c>
      <c r="F56" s="35" t="n">
        <f aca="false">IFERROR($C56*$D56/4,"")</f>
        <v>0</v>
      </c>
      <c r="G56" s="36" t="str">
        <f aca="false">IFERROR($F56/$B56,"")</f>
        <v/>
      </c>
      <c r="H56" s="36" t="str">
        <f aca="false">IFERROR(-$E56/$D56,"")</f>
        <v/>
      </c>
      <c r="I56" s="45"/>
      <c r="J56" s="61" t="str">
        <f aca="false">IF(OR($I56="",$H56=""),"",IFERROR(ABS($H56)/ABS($I56),""))</f>
        <v/>
      </c>
      <c r="K56" s="37" t="str">
        <f aca="false">IF($J56="","",IF($J56&lt;0.9,"Déficit de FORÇA",IF($J56&lt;=1.1,"Equilibrado","Déficit de VELOCIDADE")))</f>
        <v/>
      </c>
      <c r="L56" s="60" t="str">
        <f aca="false">IF($K56="","",IF($K56="Déficit de FORÇA","Cargas altas: 80–90% 1RM + LPO pesado",IF($K56="Equilibrado","Misto: alternar força máxima e balístico","Balístico: 0–40% 1RM, jump squat e pliometria reativa")))</f>
        <v/>
      </c>
    </row>
    <row r="57" customFormat="false" ht="15" hidden="false" customHeight="false" outlineLevel="0" collapsed="false">
      <c r="A57" s="62" t="str">
        <f aca="false">IF(Cadastro!$B29="","",Cadastro!$B29)</f>
        <v/>
      </c>
      <c r="B57" s="63" t="str">
        <f aca="false">IF($A57="","",IFERROR(Cadastro!$P29,""))</f>
        <v/>
      </c>
      <c r="C57" s="32"/>
      <c r="D57" s="45"/>
      <c r="E57" s="64" t="str">
        <f aca="false">IFERROR($C57/$B57,"")</f>
        <v/>
      </c>
      <c r="F57" s="63" t="n">
        <f aca="false">IFERROR($C57*$D57/4,"")</f>
        <v>0</v>
      </c>
      <c r="G57" s="64" t="str">
        <f aca="false">IFERROR($F57/$B57,"")</f>
        <v/>
      </c>
      <c r="H57" s="64" t="str">
        <f aca="false">IFERROR(-$E57/$D57,"")</f>
        <v/>
      </c>
      <c r="I57" s="45"/>
      <c r="J57" s="65" t="str">
        <f aca="false">IF(OR($I57="",$H57=""),"",IFERROR(ABS($H57)/ABS($I57),""))</f>
        <v/>
      </c>
      <c r="K57" s="66" t="str">
        <f aca="false">IF($J57="","",IF($J57&lt;0.9,"Déficit de FORÇA",IF($J57&lt;=1.1,"Equilibrado","Déficit de VELOCIDADE")))</f>
        <v/>
      </c>
      <c r="L57" s="62" t="str">
        <f aca="false">IF($K57="","",IF($K57="Déficit de FORÇA","Cargas altas: 80–90% 1RM + LPO pesado",IF($K57="Equilibrado","Misto: alternar força máxima e balístico","Balístico: 0–40% 1RM, jump squat e pliometria reativa")))</f>
        <v/>
      </c>
    </row>
    <row r="58" customFormat="false" ht="15" hidden="false" customHeight="false" outlineLevel="0" collapsed="false">
      <c r="A58" s="60" t="str">
        <f aca="false">IF(Cadastro!$B30="","",Cadastro!$B30)</f>
        <v/>
      </c>
      <c r="B58" s="35" t="str">
        <f aca="false">IF($A58="","",IFERROR(Cadastro!$P30,""))</f>
        <v/>
      </c>
      <c r="C58" s="32"/>
      <c r="D58" s="45"/>
      <c r="E58" s="36" t="str">
        <f aca="false">IFERROR($C58/$B58,"")</f>
        <v/>
      </c>
      <c r="F58" s="35" t="n">
        <f aca="false">IFERROR($C58*$D58/4,"")</f>
        <v>0</v>
      </c>
      <c r="G58" s="36" t="str">
        <f aca="false">IFERROR($F58/$B58,"")</f>
        <v/>
      </c>
      <c r="H58" s="36" t="str">
        <f aca="false">IFERROR(-$E58/$D58,"")</f>
        <v/>
      </c>
      <c r="I58" s="45"/>
      <c r="J58" s="61" t="str">
        <f aca="false">IF(OR($I58="",$H58=""),"",IFERROR(ABS($H58)/ABS($I58),""))</f>
        <v/>
      </c>
      <c r="K58" s="37" t="str">
        <f aca="false">IF($J58="","",IF($J58&lt;0.9,"Déficit de FORÇA",IF($J58&lt;=1.1,"Equilibrado","Déficit de VELOCIDADE")))</f>
        <v/>
      </c>
      <c r="L58" s="60" t="str">
        <f aca="false">IF($K58="","",IF($K58="Déficit de FORÇA","Cargas altas: 80–90% 1RM + LPO pesado",IF($K58="Equilibrado","Misto: alternar força máxima e balístico","Balístico: 0–40% 1RM, jump squat e pliometria reativa")))</f>
        <v/>
      </c>
    </row>
    <row r="59" customFormat="false" ht="15" hidden="false" customHeight="false" outlineLevel="0" collapsed="false">
      <c r="A59" s="62" t="str">
        <f aca="false">IF(Cadastro!$B31="","",Cadastro!$B31)</f>
        <v/>
      </c>
      <c r="B59" s="63" t="str">
        <f aca="false">IF($A59="","",IFERROR(Cadastro!$P31,""))</f>
        <v/>
      </c>
      <c r="C59" s="32"/>
      <c r="D59" s="45"/>
      <c r="E59" s="64" t="str">
        <f aca="false">IFERROR($C59/$B59,"")</f>
        <v/>
      </c>
      <c r="F59" s="63" t="n">
        <f aca="false">IFERROR($C59*$D59/4,"")</f>
        <v>0</v>
      </c>
      <c r="G59" s="64" t="str">
        <f aca="false">IFERROR($F59/$B59,"")</f>
        <v/>
      </c>
      <c r="H59" s="64" t="str">
        <f aca="false">IFERROR(-$E59/$D59,"")</f>
        <v/>
      </c>
      <c r="I59" s="45"/>
      <c r="J59" s="65" t="str">
        <f aca="false">IF(OR($I59="",$H59=""),"",IFERROR(ABS($H59)/ABS($I59),""))</f>
        <v/>
      </c>
      <c r="K59" s="66" t="str">
        <f aca="false">IF($J59="","",IF($J59&lt;0.9,"Déficit de FORÇA",IF($J59&lt;=1.1,"Equilibrado","Déficit de VELOCIDADE")))</f>
        <v/>
      </c>
      <c r="L59" s="62" t="str">
        <f aca="false">IF($K59="","",IF($K59="Déficit de FORÇA","Cargas altas: 80–90% 1RM + LPO pesado",IF($K59="Equilibrado","Misto: alternar força máxima e balístico","Balístico: 0–40% 1RM, jump squat e pliometria reativa")))</f>
        <v/>
      </c>
    </row>
    <row r="60" customFormat="false" ht="15" hidden="false" customHeight="false" outlineLevel="0" collapsed="false">
      <c r="A60" s="60" t="str">
        <f aca="false">IF(Cadastro!$B32="","",Cadastro!$B32)</f>
        <v/>
      </c>
      <c r="B60" s="35" t="str">
        <f aca="false">IF($A60="","",IFERROR(Cadastro!$P32,""))</f>
        <v/>
      </c>
      <c r="C60" s="32"/>
      <c r="D60" s="45"/>
      <c r="E60" s="36" t="str">
        <f aca="false">IFERROR($C60/$B60,"")</f>
        <v/>
      </c>
      <c r="F60" s="35" t="n">
        <f aca="false">IFERROR($C60*$D60/4,"")</f>
        <v>0</v>
      </c>
      <c r="G60" s="36" t="str">
        <f aca="false">IFERROR($F60/$B60,"")</f>
        <v/>
      </c>
      <c r="H60" s="36" t="str">
        <f aca="false">IFERROR(-$E60/$D60,"")</f>
        <v/>
      </c>
      <c r="I60" s="45"/>
      <c r="J60" s="61" t="str">
        <f aca="false">IF(OR($I60="",$H60=""),"",IFERROR(ABS($H60)/ABS($I60),""))</f>
        <v/>
      </c>
      <c r="K60" s="37" t="str">
        <f aca="false">IF($J60="","",IF($J60&lt;0.9,"Déficit de FORÇA",IF($J60&lt;=1.1,"Equilibrado","Déficit de VELOCIDADE")))</f>
        <v/>
      </c>
      <c r="L60" s="60" t="str">
        <f aca="false">IF($K60="","",IF($K60="Déficit de FORÇA","Cargas altas: 80–90% 1RM + LPO pesado",IF($K60="Equilibrado","Misto: alternar força máxima e balístico","Balístico: 0–40% 1RM, jump squat e pliometria reativa")))</f>
        <v/>
      </c>
    </row>
    <row r="61" customFormat="false" ht="15" hidden="false" customHeight="false" outlineLevel="0" collapsed="false">
      <c r="A61" s="62" t="str">
        <f aca="false">IF(Cadastro!$B33="","",Cadastro!$B33)</f>
        <v/>
      </c>
      <c r="B61" s="63" t="str">
        <f aca="false">IF($A61="","",IFERROR(Cadastro!$P33,""))</f>
        <v/>
      </c>
      <c r="C61" s="32"/>
      <c r="D61" s="45"/>
      <c r="E61" s="64" t="str">
        <f aca="false">IFERROR($C61/$B61,"")</f>
        <v/>
      </c>
      <c r="F61" s="63" t="n">
        <f aca="false">IFERROR($C61*$D61/4,"")</f>
        <v>0</v>
      </c>
      <c r="G61" s="64" t="str">
        <f aca="false">IFERROR($F61/$B61,"")</f>
        <v/>
      </c>
      <c r="H61" s="64" t="str">
        <f aca="false">IFERROR(-$E61/$D61,"")</f>
        <v/>
      </c>
      <c r="I61" s="45"/>
      <c r="J61" s="65" t="str">
        <f aca="false">IF(OR($I61="",$H61=""),"",IFERROR(ABS($H61)/ABS($I61),""))</f>
        <v/>
      </c>
      <c r="K61" s="66" t="str">
        <f aca="false">IF($J61="","",IF($J61&lt;0.9,"Déficit de FORÇA",IF($J61&lt;=1.1,"Equilibrado","Déficit de VELOCIDADE")))</f>
        <v/>
      </c>
      <c r="L61" s="62" t="str">
        <f aca="false">IF($K61="","",IF($K61="Déficit de FORÇA","Cargas altas: 80–90% 1RM + LPO pesado",IF($K61="Equilibrado","Misto: alternar força máxima e balístico","Balístico: 0–40% 1RM, jump squat e pliometria reativa")))</f>
        <v/>
      </c>
    </row>
    <row r="62" customFormat="false" ht="15" hidden="false" customHeight="false" outlineLevel="0" collapsed="false">
      <c r="A62" s="60" t="str">
        <f aca="false">IF(Cadastro!$B34="","",Cadastro!$B34)</f>
        <v/>
      </c>
      <c r="B62" s="35" t="str">
        <f aca="false">IF($A62="","",IFERROR(Cadastro!$P34,""))</f>
        <v/>
      </c>
      <c r="C62" s="32"/>
      <c r="D62" s="45"/>
      <c r="E62" s="36" t="str">
        <f aca="false">IFERROR($C62/$B62,"")</f>
        <v/>
      </c>
      <c r="F62" s="35" t="n">
        <f aca="false">IFERROR($C62*$D62/4,"")</f>
        <v>0</v>
      </c>
      <c r="G62" s="36" t="str">
        <f aca="false">IFERROR($F62/$B62,"")</f>
        <v/>
      </c>
      <c r="H62" s="36" t="str">
        <f aca="false">IFERROR(-$E62/$D62,"")</f>
        <v/>
      </c>
      <c r="I62" s="45"/>
      <c r="J62" s="61" t="str">
        <f aca="false">IF(OR($I62="",$H62=""),"",IFERROR(ABS($H62)/ABS($I62),""))</f>
        <v/>
      </c>
      <c r="K62" s="37" t="str">
        <f aca="false">IF($J62="","",IF($J62&lt;0.9,"Déficit de FORÇA",IF($J62&lt;=1.1,"Equilibrado","Déficit de VELOCIDADE")))</f>
        <v/>
      </c>
      <c r="L62" s="60" t="str">
        <f aca="false">IF($K62="","",IF($K62="Déficit de FORÇA","Cargas altas: 80–90% 1RM + LPO pesado",IF($K62="Equilibrado","Misto: alternar força máxima e balístico","Balístico: 0–40% 1RM, jump squat e pliometria reativa")))</f>
        <v/>
      </c>
    </row>
    <row r="63" customFormat="false" ht="15" hidden="false" customHeight="false" outlineLevel="0" collapsed="false">
      <c r="A63" s="62" t="str">
        <f aca="false">IF(Cadastro!$B35="","",Cadastro!$B35)</f>
        <v/>
      </c>
      <c r="B63" s="63" t="str">
        <f aca="false">IF($A63="","",IFERROR(Cadastro!$P35,""))</f>
        <v/>
      </c>
      <c r="C63" s="32"/>
      <c r="D63" s="45"/>
      <c r="E63" s="64" t="str">
        <f aca="false">IFERROR($C63/$B63,"")</f>
        <v/>
      </c>
      <c r="F63" s="63" t="n">
        <f aca="false">IFERROR($C63*$D63/4,"")</f>
        <v>0</v>
      </c>
      <c r="G63" s="64" t="str">
        <f aca="false">IFERROR($F63/$B63,"")</f>
        <v/>
      </c>
      <c r="H63" s="64" t="str">
        <f aca="false">IFERROR(-$E63/$D63,"")</f>
        <v/>
      </c>
      <c r="I63" s="45"/>
      <c r="J63" s="65" t="str">
        <f aca="false">IF(OR($I63="",$H63=""),"",IFERROR(ABS($H63)/ABS($I63),""))</f>
        <v/>
      </c>
      <c r="K63" s="66" t="str">
        <f aca="false">IF($J63="","",IF($J63&lt;0.9,"Déficit de FORÇA",IF($J63&lt;=1.1,"Equilibrado","Déficit de VELOCIDADE")))</f>
        <v/>
      </c>
      <c r="L63" s="62" t="str">
        <f aca="false">IF($K63="","",IF($K63="Déficit de FORÇA","Cargas altas: 80–90% 1RM + LPO pesado",IF($K63="Equilibrado","Misto: alternar força máxima e balístico","Balístico: 0–40% 1RM, jump squat e pliometria reativa")))</f>
        <v/>
      </c>
    </row>
    <row r="64" customFormat="false" ht="15" hidden="false" customHeight="false" outlineLevel="0" collapsed="false">
      <c r="A64" s="60" t="str">
        <f aca="false">IF(Cadastro!$B36="","",Cadastro!$B36)</f>
        <v/>
      </c>
      <c r="B64" s="35" t="str">
        <f aca="false">IF($A64="","",IFERROR(Cadastro!$P36,""))</f>
        <v/>
      </c>
      <c r="C64" s="32"/>
      <c r="D64" s="45"/>
      <c r="E64" s="36" t="str">
        <f aca="false">IFERROR($C64/$B64,"")</f>
        <v/>
      </c>
      <c r="F64" s="35" t="n">
        <f aca="false">IFERROR($C64*$D64/4,"")</f>
        <v>0</v>
      </c>
      <c r="G64" s="36" t="str">
        <f aca="false">IFERROR($F64/$B64,"")</f>
        <v/>
      </c>
      <c r="H64" s="36" t="str">
        <f aca="false">IFERROR(-$E64/$D64,"")</f>
        <v/>
      </c>
      <c r="I64" s="45"/>
      <c r="J64" s="61" t="str">
        <f aca="false">IF(OR($I64="",$H64=""),"",IFERROR(ABS($H64)/ABS($I64),""))</f>
        <v/>
      </c>
      <c r="K64" s="37" t="str">
        <f aca="false">IF($J64="","",IF($J64&lt;0.9,"Déficit de FORÇA",IF($J64&lt;=1.1,"Equilibrado","Déficit de VELOCIDADE")))</f>
        <v/>
      </c>
      <c r="L64" s="60" t="str">
        <f aca="false">IF($K64="","",IF($K64="Déficit de FORÇA","Cargas altas: 80–90% 1RM + LPO pesado",IF($K64="Equilibrado","Misto: alternar força máxima e balístico","Balístico: 0–40% 1RM, jump squat e pliometria reativa")))</f>
        <v/>
      </c>
    </row>
    <row r="65" customFormat="false" ht="15" hidden="false" customHeight="false" outlineLevel="0" collapsed="false">
      <c r="A65" s="62" t="str">
        <f aca="false">IF(Cadastro!$B37="","",Cadastro!$B37)</f>
        <v/>
      </c>
      <c r="B65" s="63" t="str">
        <f aca="false">IF($A65="","",IFERROR(Cadastro!$P37,""))</f>
        <v/>
      </c>
      <c r="C65" s="32"/>
      <c r="D65" s="45"/>
      <c r="E65" s="64" t="str">
        <f aca="false">IFERROR($C65/$B65,"")</f>
        <v/>
      </c>
      <c r="F65" s="63" t="n">
        <f aca="false">IFERROR($C65*$D65/4,"")</f>
        <v>0</v>
      </c>
      <c r="G65" s="64" t="str">
        <f aca="false">IFERROR($F65/$B65,"")</f>
        <v/>
      </c>
      <c r="H65" s="64" t="str">
        <f aca="false">IFERROR(-$E65/$D65,"")</f>
        <v/>
      </c>
      <c r="I65" s="45"/>
      <c r="J65" s="65" t="str">
        <f aca="false">IF(OR($I65="",$H65=""),"",IFERROR(ABS($H65)/ABS($I65),""))</f>
        <v/>
      </c>
      <c r="K65" s="66" t="str">
        <f aca="false">IF($J65="","",IF($J65&lt;0.9,"Déficit de FORÇA",IF($J65&lt;=1.1,"Equilibrado","Déficit de VELOCIDADE")))</f>
        <v/>
      </c>
      <c r="L65" s="62" t="str">
        <f aca="false">IF($K65="","",IF($K65="Déficit de FORÇA","Cargas altas: 80–90% 1RM + LPO pesado",IF($K65="Equilibrado","Misto: alternar força máxima e balístico","Balístico: 0–40% 1RM, jump squat e pliometria reativa")))</f>
        <v/>
      </c>
    </row>
    <row r="66" customFormat="false" ht="15" hidden="false" customHeight="false" outlineLevel="0" collapsed="false">
      <c r="A66" s="60" t="str">
        <f aca="false">IF(Cadastro!$B38="","",Cadastro!$B38)</f>
        <v/>
      </c>
      <c r="B66" s="35" t="str">
        <f aca="false">IF($A66="","",IFERROR(Cadastro!$P38,""))</f>
        <v/>
      </c>
      <c r="C66" s="32"/>
      <c r="D66" s="45"/>
      <c r="E66" s="36" t="str">
        <f aca="false">IFERROR($C66/$B66,"")</f>
        <v/>
      </c>
      <c r="F66" s="35" t="n">
        <f aca="false">IFERROR($C66*$D66/4,"")</f>
        <v>0</v>
      </c>
      <c r="G66" s="36" t="str">
        <f aca="false">IFERROR($F66/$B66,"")</f>
        <v/>
      </c>
      <c r="H66" s="36" t="str">
        <f aca="false">IFERROR(-$E66/$D66,"")</f>
        <v/>
      </c>
      <c r="I66" s="45"/>
      <c r="J66" s="61" t="str">
        <f aca="false">IF(OR($I66="",$H66=""),"",IFERROR(ABS($H66)/ABS($I66),""))</f>
        <v/>
      </c>
      <c r="K66" s="37" t="str">
        <f aca="false">IF($J66="","",IF($J66&lt;0.9,"Déficit de FORÇA",IF($J66&lt;=1.1,"Equilibrado","Déficit de VELOCIDADE")))</f>
        <v/>
      </c>
      <c r="L66" s="60" t="str">
        <f aca="false">IF($K66="","",IF($K66="Déficit de FORÇA","Cargas altas: 80–90% 1RM + LPO pesado",IF($K66="Equilibrado","Misto: alternar força máxima e balístico","Balístico: 0–40% 1RM, jump squat e pliometria reativa")))</f>
        <v/>
      </c>
    </row>
    <row r="67" customFormat="false" ht="15" hidden="false" customHeight="false" outlineLevel="0" collapsed="false">
      <c r="A67" s="62" t="str">
        <f aca="false">IF(Cadastro!$B39="","",Cadastro!$B39)</f>
        <v/>
      </c>
      <c r="B67" s="63" t="str">
        <f aca="false">IF($A67="","",IFERROR(Cadastro!$P39,""))</f>
        <v/>
      </c>
      <c r="C67" s="32"/>
      <c r="D67" s="45"/>
      <c r="E67" s="64" t="str">
        <f aca="false">IFERROR($C67/$B67,"")</f>
        <v/>
      </c>
      <c r="F67" s="63" t="n">
        <f aca="false">IFERROR($C67*$D67/4,"")</f>
        <v>0</v>
      </c>
      <c r="G67" s="64" t="str">
        <f aca="false">IFERROR($F67/$B67,"")</f>
        <v/>
      </c>
      <c r="H67" s="64" t="str">
        <f aca="false">IFERROR(-$E67/$D67,"")</f>
        <v/>
      </c>
      <c r="I67" s="45"/>
      <c r="J67" s="65" t="str">
        <f aca="false">IF(OR($I67="",$H67=""),"",IFERROR(ABS($H67)/ABS($I67),""))</f>
        <v/>
      </c>
      <c r="K67" s="66" t="str">
        <f aca="false">IF($J67="","",IF($J67&lt;0.9,"Déficit de FORÇA",IF($J67&lt;=1.1,"Equilibrado","Déficit de VELOCIDADE")))</f>
        <v/>
      </c>
      <c r="L67" s="62" t="str">
        <f aca="false">IF($K67="","",IF($K67="Déficit de FORÇA","Cargas altas: 80–90% 1RM + LPO pesado",IF($K67="Equilibrado","Misto: alternar força máxima e balístico","Balístico: 0–40% 1RM, jump squat e pliometria reativa")))</f>
        <v/>
      </c>
    </row>
    <row r="68" customFormat="false" ht="15" hidden="false" customHeight="false" outlineLevel="0" collapsed="false">
      <c r="A68" s="60" t="str">
        <f aca="false">IF(Cadastro!$B40="","",Cadastro!$B40)</f>
        <v/>
      </c>
      <c r="B68" s="35" t="str">
        <f aca="false">IF($A68="","",IFERROR(Cadastro!$P40,""))</f>
        <v/>
      </c>
      <c r="C68" s="32"/>
      <c r="D68" s="45"/>
      <c r="E68" s="36" t="str">
        <f aca="false">IFERROR($C68/$B68,"")</f>
        <v/>
      </c>
      <c r="F68" s="35" t="n">
        <f aca="false">IFERROR($C68*$D68/4,"")</f>
        <v>0</v>
      </c>
      <c r="G68" s="36" t="str">
        <f aca="false">IFERROR($F68/$B68,"")</f>
        <v/>
      </c>
      <c r="H68" s="36" t="str">
        <f aca="false">IFERROR(-$E68/$D68,"")</f>
        <v/>
      </c>
      <c r="I68" s="45"/>
      <c r="J68" s="61" t="str">
        <f aca="false">IF(OR($I68="",$H68=""),"",IFERROR(ABS($H68)/ABS($I68),""))</f>
        <v/>
      </c>
      <c r="K68" s="37" t="str">
        <f aca="false">IF($J68="","",IF($J68&lt;0.9,"Déficit de FORÇA",IF($J68&lt;=1.1,"Equilibrado","Déficit de VELOCIDADE")))</f>
        <v/>
      </c>
      <c r="L68" s="60" t="str">
        <f aca="false">IF($K68="","",IF($K68="Déficit de FORÇA","Cargas altas: 80–90% 1RM + LPO pesado",IF($K68="Equilibrado","Misto: alternar força máxima e balístico","Balístico: 0–40% 1RM, jump squat e pliometria reativa")))</f>
        <v/>
      </c>
    </row>
    <row r="69" customFormat="false" ht="15" hidden="false" customHeight="false" outlineLevel="0" collapsed="false">
      <c r="A69" s="62" t="str">
        <f aca="false">IF(Cadastro!$B41="","",Cadastro!$B41)</f>
        <v/>
      </c>
      <c r="B69" s="63" t="str">
        <f aca="false">IF($A69="","",IFERROR(Cadastro!$P41,""))</f>
        <v/>
      </c>
      <c r="C69" s="32"/>
      <c r="D69" s="45"/>
      <c r="E69" s="64" t="str">
        <f aca="false">IFERROR($C69/$B69,"")</f>
        <v/>
      </c>
      <c r="F69" s="63" t="n">
        <f aca="false">IFERROR($C69*$D69/4,"")</f>
        <v>0</v>
      </c>
      <c r="G69" s="64" t="str">
        <f aca="false">IFERROR($F69/$B69,"")</f>
        <v/>
      </c>
      <c r="H69" s="64" t="str">
        <f aca="false">IFERROR(-$E69/$D69,"")</f>
        <v/>
      </c>
      <c r="I69" s="45"/>
      <c r="J69" s="65" t="str">
        <f aca="false">IF(OR($I69="",$H69=""),"",IFERROR(ABS($H69)/ABS($I69),""))</f>
        <v/>
      </c>
      <c r="K69" s="66" t="str">
        <f aca="false">IF($J69="","",IF($J69&lt;0.9,"Déficit de FORÇA",IF($J69&lt;=1.1,"Equilibrado","Déficit de VELOCIDADE")))</f>
        <v/>
      </c>
      <c r="L69" s="62" t="str">
        <f aca="false">IF($K69="","",IF($K69="Déficit de FORÇA","Cargas altas: 80–90% 1RM + LPO pesado",IF($K69="Equilibrado","Misto: alternar força máxima e balístico","Balístico: 0–40% 1RM, jump squat e pliometria reativa")))</f>
        <v/>
      </c>
    </row>
    <row r="70" customFormat="false" ht="15" hidden="false" customHeight="false" outlineLevel="0" collapsed="false">
      <c r="A70" s="60" t="str">
        <f aca="false">IF(Cadastro!$B42="","",Cadastro!$B42)</f>
        <v/>
      </c>
      <c r="B70" s="35" t="str">
        <f aca="false">IF($A70="","",IFERROR(Cadastro!$P42,""))</f>
        <v/>
      </c>
      <c r="C70" s="32"/>
      <c r="D70" s="45"/>
      <c r="E70" s="36" t="str">
        <f aca="false">IFERROR($C70/$B70,"")</f>
        <v/>
      </c>
      <c r="F70" s="35" t="n">
        <f aca="false">IFERROR($C70*$D70/4,"")</f>
        <v>0</v>
      </c>
      <c r="G70" s="36" t="str">
        <f aca="false">IFERROR($F70/$B70,"")</f>
        <v/>
      </c>
      <c r="H70" s="36" t="str">
        <f aca="false">IFERROR(-$E70/$D70,"")</f>
        <v/>
      </c>
      <c r="I70" s="45"/>
      <c r="J70" s="61" t="str">
        <f aca="false">IF(OR($I70="",$H70=""),"",IFERROR(ABS($H70)/ABS($I70),""))</f>
        <v/>
      </c>
      <c r="K70" s="37" t="str">
        <f aca="false">IF($J70="","",IF($J70&lt;0.9,"Déficit de FORÇA",IF($J70&lt;=1.1,"Equilibrado","Déficit de VELOCIDADE")))</f>
        <v/>
      </c>
      <c r="L70" s="60" t="str">
        <f aca="false">IF($K70="","",IF($K70="Déficit de FORÇA","Cargas altas: 80–90% 1RM + LPO pesado",IF($K70="Equilibrado","Misto: alternar força máxima e balístico","Balístico: 0–40% 1RM, jump squat e pliometria reativa")))</f>
        <v/>
      </c>
    </row>
    <row r="71" customFormat="false" ht="15" hidden="false" customHeight="false" outlineLevel="0" collapsed="false">
      <c r="A71" s="62" t="str">
        <f aca="false">IF(Cadastro!$B43="","",Cadastro!$B43)</f>
        <v/>
      </c>
      <c r="B71" s="63" t="str">
        <f aca="false">IF($A71="","",IFERROR(Cadastro!$P43,""))</f>
        <v/>
      </c>
      <c r="C71" s="32"/>
      <c r="D71" s="45"/>
      <c r="E71" s="64" t="str">
        <f aca="false">IFERROR($C71/$B71,"")</f>
        <v/>
      </c>
      <c r="F71" s="63" t="n">
        <f aca="false">IFERROR($C71*$D71/4,"")</f>
        <v>0</v>
      </c>
      <c r="G71" s="64" t="str">
        <f aca="false">IFERROR($F71/$B71,"")</f>
        <v/>
      </c>
      <c r="H71" s="64" t="str">
        <f aca="false">IFERROR(-$E71/$D71,"")</f>
        <v/>
      </c>
      <c r="I71" s="45"/>
      <c r="J71" s="65" t="str">
        <f aca="false">IF(OR($I71="",$H71=""),"",IFERROR(ABS($H71)/ABS($I71),""))</f>
        <v/>
      </c>
      <c r="K71" s="66" t="str">
        <f aca="false">IF($J71="","",IF($J71&lt;0.9,"Déficit de FORÇA",IF($J71&lt;=1.1,"Equilibrado","Déficit de VELOCIDADE")))</f>
        <v/>
      </c>
      <c r="L71" s="62" t="str">
        <f aca="false">IF($K71="","",IF($K71="Déficit de FORÇA","Cargas altas: 80–90% 1RM + LPO pesado",IF($K71="Equilibrado","Misto: alternar força máxima e balístico","Balístico: 0–40% 1RM, jump squat e pliometria reativa")))</f>
        <v/>
      </c>
    </row>
    <row r="72" customFormat="false" ht="15" hidden="false" customHeight="false" outlineLevel="0" collapsed="false">
      <c r="A72" s="60" t="str">
        <f aca="false">IF(Cadastro!$B44="","",Cadastro!$B44)</f>
        <v/>
      </c>
      <c r="B72" s="35" t="str">
        <f aca="false">IF($A72="","",IFERROR(Cadastro!$P44,""))</f>
        <v/>
      </c>
      <c r="C72" s="32"/>
      <c r="D72" s="45"/>
      <c r="E72" s="36" t="str">
        <f aca="false">IFERROR($C72/$B72,"")</f>
        <v/>
      </c>
      <c r="F72" s="35" t="n">
        <f aca="false">IFERROR($C72*$D72/4,"")</f>
        <v>0</v>
      </c>
      <c r="G72" s="36" t="str">
        <f aca="false">IFERROR($F72/$B72,"")</f>
        <v/>
      </c>
      <c r="H72" s="36" t="str">
        <f aca="false">IFERROR(-$E72/$D72,"")</f>
        <v/>
      </c>
      <c r="I72" s="45"/>
      <c r="J72" s="61" t="str">
        <f aca="false">IF(OR($I72="",$H72=""),"",IFERROR(ABS($H72)/ABS($I72),""))</f>
        <v/>
      </c>
      <c r="K72" s="37" t="str">
        <f aca="false">IF($J72="","",IF($J72&lt;0.9,"Déficit de FORÇA",IF($J72&lt;=1.1,"Equilibrado","Déficit de VELOCIDADE")))</f>
        <v/>
      </c>
      <c r="L72" s="60" t="str">
        <f aca="false">IF($K72="","",IF($K72="Déficit de FORÇA","Cargas altas: 80–90% 1RM + LPO pesado",IF($K72="Equilibrado","Misto: alternar força máxima e balístico","Balístico: 0–40% 1RM, jump squat e pliometria reativa")))</f>
        <v/>
      </c>
    </row>
    <row r="73" customFormat="false" ht="15" hidden="false" customHeight="false" outlineLevel="0" collapsed="false">
      <c r="A73" s="62" t="str">
        <f aca="false">IF(Cadastro!$B45="","",Cadastro!$B45)</f>
        <v/>
      </c>
      <c r="B73" s="63" t="str">
        <f aca="false">IF($A73="","",IFERROR(Cadastro!$P45,""))</f>
        <v/>
      </c>
      <c r="C73" s="32"/>
      <c r="D73" s="45"/>
      <c r="E73" s="64" t="str">
        <f aca="false">IFERROR($C73/$B73,"")</f>
        <v/>
      </c>
      <c r="F73" s="63" t="n">
        <f aca="false">IFERROR($C73*$D73/4,"")</f>
        <v>0</v>
      </c>
      <c r="G73" s="64" t="str">
        <f aca="false">IFERROR($F73/$B73,"")</f>
        <v/>
      </c>
      <c r="H73" s="64" t="str">
        <f aca="false">IFERROR(-$E73/$D73,"")</f>
        <v/>
      </c>
      <c r="I73" s="45"/>
      <c r="J73" s="65" t="str">
        <f aca="false">IF(OR($I73="",$H73=""),"",IFERROR(ABS($H73)/ABS($I73),""))</f>
        <v/>
      </c>
      <c r="K73" s="66" t="str">
        <f aca="false">IF($J73="","",IF($J73&lt;0.9,"Déficit de FORÇA",IF($J73&lt;=1.1,"Equilibrado","Déficit de VELOCIDADE")))</f>
        <v/>
      </c>
      <c r="L73" s="62" t="str">
        <f aca="false">IF($K73="","",IF($K73="Déficit de FORÇA","Cargas altas: 80–90% 1RM + LPO pesado",IF($K73="Equilibrado","Misto: alternar força máxima e balístico","Balístico: 0–40% 1RM, jump squat e pliometria reativa")))</f>
        <v/>
      </c>
    </row>
    <row r="74" customFormat="false" ht="15" hidden="false" customHeight="false" outlineLevel="0" collapsed="false">
      <c r="A74" s="60" t="str">
        <f aca="false">IF(Cadastro!$B46="","",Cadastro!$B46)</f>
        <v/>
      </c>
      <c r="B74" s="35" t="str">
        <f aca="false">IF($A74="","",IFERROR(Cadastro!$P46,""))</f>
        <v/>
      </c>
      <c r="C74" s="32"/>
      <c r="D74" s="45"/>
      <c r="E74" s="36" t="str">
        <f aca="false">IFERROR($C74/$B74,"")</f>
        <v/>
      </c>
      <c r="F74" s="35" t="n">
        <f aca="false">IFERROR($C74*$D74/4,"")</f>
        <v>0</v>
      </c>
      <c r="G74" s="36" t="str">
        <f aca="false">IFERROR($F74/$B74,"")</f>
        <v/>
      </c>
      <c r="H74" s="36" t="str">
        <f aca="false">IFERROR(-$E74/$D74,"")</f>
        <v/>
      </c>
      <c r="I74" s="45"/>
      <c r="J74" s="61" t="str">
        <f aca="false">IF(OR($I74="",$H74=""),"",IFERROR(ABS($H74)/ABS($I74),""))</f>
        <v/>
      </c>
      <c r="K74" s="37" t="str">
        <f aca="false">IF($J74="","",IF($J74&lt;0.9,"Déficit de FORÇA",IF($J74&lt;=1.1,"Equilibrado","Déficit de VELOCIDADE")))</f>
        <v/>
      </c>
      <c r="L74" s="60" t="str">
        <f aca="false">IF($K74="","",IF($K74="Déficit de FORÇA","Cargas altas: 80–90% 1RM + LPO pesado",IF($K74="Equilibrado","Misto: alternar força máxima e balístico","Balístico: 0–40% 1RM, jump squat e pliometria reativa")))</f>
        <v/>
      </c>
    </row>
    <row r="75" customFormat="false" ht="15" hidden="false" customHeight="false" outlineLevel="0" collapsed="false">
      <c r="A75" s="62" t="str">
        <f aca="false">IF(Cadastro!$B47="","",Cadastro!$B47)</f>
        <v/>
      </c>
      <c r="B75" s="63" t="str">
        <f aca="false">IF($A75="","",IFERROR(Cadastro!$P47,""))</f>
        <v/>
      </c>
      <c r="C75" s="32"/>
      <c r="D75" s="45"/>
      <c r="E75" s="64" t="str">
        <f aca="false">IFERROR($C75/$B75,"")</f>
        <v/>
      </c>
      <c r="F75" s="63" t="n">
        <f aca="false">IFERROR($C75*$D75/4,"")</f>
        <v>0</v>
      </c>
      <c r="G75" s="64" t="str">
        <f aca="false">IFERROR($F75/$B75,"")</f>
        <v/>
      </c>
      <c r="H75" s="64" t="str">
        <f aca="false">IFERROR(-$E75/$D75,"")</f>
        <v/>
      </c>
      <c r="I75" s="45"/>
      <c r="J75" s="65" t="str">
        <f aca="false">IF(OR($I75="",$H75=""),"",IFERROR(ABS($H75)/ABS($I75),""))</f>
        <v/>
      </c>
      <c r="K75" s="66" t="str">
        <f aca="false">IF($J75="","",IF($J75&lt;0.9,"Déficit de FORÇA",IF($J75&lt;=1.1,"Equilibrado","Déficit de VELOCIDADE")))</f>
        <v/>
      </c>
      <c r="L75" s="62" t="str">
        <f aca="false">IF($K75="","",IF($K75="Déficit de FORÇA","Cargas altas: 80–90% 1RM + LPO pesado",IF($K75="Equilibrado","Misto: alternar força máxima e balístico","Balístico: 0–40% 1RM, jump squat e pliometria reativa")))</f>
        <v/>
      </c>
    </row>
    <row r="77" customFormat="false" ht="15" hidden="false" customHeight="true" outlineLevel="0" collapsed="false">
      <c r="A77" s="67" t="s">
        <v>413</v>
      </c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customFormat="false" ht="15" hidden="false" customHeight="false" outlineLevel="0" collapsed="false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customFormat="false" ht="15" hidden="false" customHeight="false" outlineLevel="0" collapsed="false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</row>
    <row r="80" customFormat="false" ht="15" hidden="false" customHeight="false" outlineLevel="0" collapsed="false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</row>
    <row r="81" customFormat="false" ht="15" hidden="false" customHeight="false" outlineLevel="0" collapsed="false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</row>
  </sheetData>
  <mergeCells count="11">
    <mergeCell ref="A1:N1"/>
    <mergeCell ref="A2:N2"/>
    <mergeCell ref="A3:N3"/>
    <mergeCell ref="C4:F4"/>
    <mergeCell ref="A10:N10"/>
    <mergeCell ref="A17:N17"/>
    <mergeCell ref="A18:N18"/>
    <mergeCell ref="C28:F28"/>
    <mergeCell ref="A29:N32"/>
    <mergeCell ref="A34:L34"/>
    <mergeCell ref="A77:L81"/>
  </mergeCells>
  <conditionalFormatting sqref="K36:K75">
    <cfRule type="cellIs" priority="2" operator="equal" aboveAverage="0" equalAverage="0" bottom="0" percent="0" rank="0" text="" dxfId="10">
      <formula>"Equilibrado"</formula>
    </cfRule>
    <cfRule type="cellIs" priority="3" operator="equal" aboveAverage="0" equalAverage="0" bottom="0" percent="0" rank="0" text="" dxfId="68">
      <formula>"Déficit de FORÇA"</formula>
    </cfRule>
    <cfRule type="cellIs" priority="4" operator="equal" aboveAverage="0" equalAverage="0" bottom="0" percent="0" rank="0" text="" dxfId="69">
      <formula>"Déficit de VELOCIDADE"</formula>
    </cfRule>
  </conditionalFormatting>
  <dataValidations count="1">
    <dataValidation allowBlank="true" errorStyle="stop" operator="between" showDropDown="false" showErrorMessage="false" showInputMessage="false" sqref="C4" type="list">
      <formula1>Cadastro!$B$8:$B$47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N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58"/>
    <col collapsed="false" customWidth="true" hidden="false" outlineLevel="0" max="8" min="8" style="0" width="26"/>
    <col collapsed="false" customWidth="true" hidden="false" outlineLevel="0" max="10" min="9" style="0" width="11"/>
    <col collapsed="false" customWidth="true" hidden="false" outlineLevel="0" max="11" min="11" style="0" width="14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4" min="14" style="0" width="24"/>
  </cols>
  <sheetData>
    <row r="1" customFormat="false" ht="30" hidden="false" customHeight="true" outlineLevel="0" collapsed="false">
      <c r="A1" s="1" t="s">
        <v>414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415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6" customFormat="false" ht="31.5" hidden="false" customHeight="true" outlineLevel="0" collapsed="false">
      <c r="A6" s="25" t="s">
        <v>98</v>
      </c>
      <c r="B6" s="25" t="s">
        <v>416</v>
      </c>
      <c r="C6" s="25" t="s">
        <v>108</v>
      </c>
      <c r="D6" s="25" t="s">
        <v>417</v>
      </c>
      <c r="E6" s="25" t="s">
        <v>418</v>
      </c>
      <c r="F6" s="25" t="s">
        <v>419</v>
      </c>
      <c r="G6" s="25" t="s">
        <v>420</v>
      </c>
      <c r="H6" s="25" t="s">
        <v>421</v>
      </c>
      <c r="I6" s="25" t="s">
        <v>422</v>
      </c>
      <c r="J6" s="25" t="s">
        <v>423</v>
      </c>
      <c r="K6" s="25" t="s">
        <v>424</v>
      </c>
      <c r="L6" s="25" t="s">
        <v>425</v>
      </c>
      <c r="M6" s="25" t="s">
        <v>426</v>
      </c>
      <c r="N6" s="25" t="s">
        <v>427</v>
      </c>
    </row>
    <row r="7" customFormat="false" ht="22.35" hidden="false" customHeight="false" outlineLevel="0" collapsed="false">
      <c r="A7" s="26" t="str">
        <f aca="false">IF($B7="","","EX-"&amp;TEXT(ROW()-6,"000"))</f>
        <v>EX-001</v>
      </c>
      <c r="B7" s="68" t="s">
        <v>428</v>
      </c>
      <c r="C7" s="28" t="s">
        <v>429</v>
      </c>
      <c r="D7" s="28" t="s">
        <v>430</v>
      </c>
      <c r="E7" s="28" t="s">
        <v>431</v>
      </c>
      <c r="F7" s="68" t="s">
        <v>432</v>
      </c>
      <c r="G7" s="68" t="s">
        <v>433</v>
      </c>
      <c r="H7" s="68" t="s">
        <v>434</v>
      </c>
      <c r="I7" s="28" t="n">
        <v>1</v>
      </c>
      <c r="J7" s="28" t="n">
        <v>12</v>
      </c>
      <c r="K7" s="28" t="s">
        <v>435</v>
      </c>
      <c r="L7" s="28" t="n">
        <v>4</v>
      </c>
      <c r="M7" s="28" t="s">
        <v>436</v>
      </c>
      <c r="N7" s="68"/>
    </row>
    <row r="8" customFormat="false" ht="22.35" hidden="false" customHeight="false" outlineLevel="0" collapsed="false">
      <c r="A8" s="26" t="str">
        <f aca="false">IF($B8="","","EX-"&amp;TEXT(ROW()-6,"000"))</f>
        <v>EX-002</v>
      </c>
      <c r="B8" s="68" t="s">
        <v>437</v>
      </c>
      <c r="C8" s="28" t="s">
        <v>429</v>
      </c>
      <c r="D8" s="28" t="s">
        <v>430</v>
      </c>
      <c r="E8" s="28" t="s">
        <v>431</v>
      </c>
      <c r="F8" s="68" t="s">
        <v>438</v>
      </c>
      <c r="G8" s="68" t="s">
        <v>439</v>
      </c>
      <c r="H8" s="68" t="s">
        <v>440</v>
      </c>
      <c r="I8" s="28" t="n">
        <v>1</v>
      </c>
      <c r="J8" s="28" t="n">
        <v>12</v>
      </c>
      <c r="K8" s="28" t="s">
        <v>441</v>
      </c>
      <c r="L8" s="28" t="n">
        <v>5</v>
      </c>
      <c r="M8" s="28" t="s">
        <v>442</v>
      </c>
      <c r="N8" s="68"/>
    </row>
    <row r="9" customFormat="false" ht="22.35" hidden="false" customHeight="false" outlineLevel="0" collapsed="false">
      <c r="A9" s="26" t="str">
        <f aca="false">IF($B9="","","EX-"&amp;TEXT(ROW()-6,"000"))</f>
        <v>EX-003</v>
      </c>
      <c r="B9" s="68" t="s">
        <v>443</v>
      </c>
      <c r="C9" s="28" t="s">
        <v>429</v>
      </c>
      <c r="D9" s="28" t="s">
        <v>430</v>
      </c>
      <c r="E9" s="28" t="s">
        <v>444</v>
      </c>
      <c r="F9" s="68" t="s">
        <v>445</v>
      </c>
      <c r="G9" s="68" t="s">
        <v>446</v>
      </c>
      <c r="H9" s="68" t="s">
        <v>440</v>
      </c>
      <c r="I9" s="28" t="n">
        <v>1</v>
      </c>
      <c r="J9" s="28" t="n">
        <v>15</v>
      </c>
      <c r="K9" s="28" t="s">
        <v>447</v>
      </c>
      <c r="L9" s="28" t="n">
        <v>7</v>
      </c>
      <c r="M9" s="28" t="s">
        <v>448</v>
      </c>
      <c r="N9" s="68"/>
    </row>
    <row r="10" customFormat="false" ht="15" hidden="false" customHeight="false" outlineLevel="0" collapsed="false">
      <c r="A10" s="26" t="str">
        <f aca="false">IF($B10="","","EX-"&amp;TEXT(ROW()-6,"000"))</f>
        <v>EX-004</v>
      </c>
      <c r="B10" s="68" t="s">
        <v>449</v>
      </c>
      <c r="C10" s="28" t="s">
        <v>429</v>
      </c>
      <c r="D10" s="28" t="s">
        <v>450</v>
      </c>
      <c r="E10" s="28" t="s">
        <v>431</v>
      </c>
      <c r="F10" s="68" t="s">
        <v>451</v>
      </c>
      <c r="G10" s="68" t="s">
        <v>452</v>
      </c>
      <c r="H10" s="68" t="s">
        <v>453</v>
      </c>
      <c r="I10" s="28" t="n">
        <v>2</v>
      </c>
      <c r="J10" s="28" t="n">
        <v>12</v>
      </c>
      <c r="K10" s="28" t="s">
        <v>435</v>
      </c>
      <c r="L10" s="28" t="n">
        <v>4</v>
      </c>
      <c r="M10" s="28" t="s">
        <v>436</v>
      </c>
      <c r="N10" s="68"/>
    </row>
    <row r="11" customFormat="false" ht="22.35" hidden="false" customHeight="false" outlineLevel="0" collapsed="false">
      <c r="A11" s="26" t="str">
        <f aca="false">IF($B11="","","EX-"&amp;TEXT(ROW()-6,"000"))</f>
        <v>EX-005</v>
      </c>
      <c r="B11" s="68" t="s">
        <v>454</v>
      </c>
      <c r="C11" s="28" t="s">
        <v>429</v>
      </c>
      <c r="D11" s="28" t="s">
        <v>450</v>
      </c>
      <c r="E11" s="28" t="s">
        <v>431</v>
      </c>
      <c r="F11" s="68" t="s">
        <v>455</v>
      </c>
      <c r="G11" s="68" t="s">
        <v>456</v>
      </c>
      <c r="H11" s="68" t="s">
        <v>457</v>
      </c>
      <c r="I11" s="28" t="n">
        <v>4</v>
      </c>
      <c r="J11" s="28" t="n">
        <v>20</v>
      </c>
      <c r="K11" s="28" t="s">
        <v>441</v>
      </c>
      <c r="L11" s="28" t="n">
        <v>6</v>
      </c>
      <c r="M11" s="28" t="s">
        <v>442</v>
      </c>
      <c r="N11" s="68"/>
    </row>
    <row r="12" customFormat="false" ht="22.35" hidden="false" customHeight="false" outlineLevel="0" collapsed="false">
      <c r="A12" s="26" t="str">
        <f aca="false">IF($B12="","","EX-"&amp;TEXT(ROW()-6,"000"))</f>
        <v>EX-006</v>
      </c>
      <c r="B12" s="68" t="s">
        <v>458</v>
      </c>
      <c r="C12" s="28" t="s">
        <v>429</v>
      </c>
      <c r="D12" s="28" t="s">
        <v>450</v>
      </c>
      <c r="E12" s="28" t="s">
        <v>459</v>
      </c>
      <c r="F12" s="68" t="s">
        <v>460</v>
      </c>
      <c r="G12" s="68" t="s">
        <v>461</v>
      </c>
      <c r="H12" s="68" t="s">
        <v>440</v>
      </c>
      <c r="I12" s="28" t="n">
        <v>1</v>
      </c>
      <c r="J12" s="28" t="n">
        <v>10</v>
      </c>
      <c r="K12" s="28" t="s">
        <v>441</v>
      </c>
      <c r="L12" s="28" t="n">
        <v>6</v>
      </c>
      <c r="M12" s="28" t="s">
        <v>442</v>
      </c>
      <c r="N12" s="68"/>
    </row>
    <row r="13" customFormat="false" ht="15" hidden="false" customHeight="false" outlineLevel="0" collapsed="false">
      <c r="A13" s="26" t="str">
        <f aca="false">IF($B13="","","EX-"&amp;TEXT(ROW()-6,"000"))</f>
        <v>EX-007</v>
      </c>
      <c r="B13" s="68" t="s">
        <v>462</v>
      </c>
      <c r="C13" s="28" t="s">
        <v>429</v>
      </c>
      <c r="D13" s="28" t="s">
        <v>463</v>
      </c>
      <c r="E13" s="28" t="s">
        <v>431</v>
      </c>
      <c r="F13" s="68" t="s">
        <v>464</v>
      </c>
      <c r="G13" s="68" t="s">
        <v>465</v>
      </c>
      <c r="H13" s="68" t="s">
        <v>466</v>
      </c>
      <c r="I13" s="28" t="n">
        <v>1</v>
      </c>
      <c r="J13" s="28" t="n">
        <v>8</v>
      </c>
      <c r="K13" s="28" t="s">
        <v>467</v>
      </c>
      <c r="L13" s="28" t="n">
        <v>3</v>
      </c>
      <c r="M13" s="28" t="s">
        <v>436</v>
      </c>
      <c r="N13" s="68"/>
    </row>
    <row r="14" customFormat="false" ht="22.35" hidden="false" customHeight="false" outlineLevel="0" collapsed="false">
      <c r="A14" s="26" t="str">
        <f aca="false">IF($B14="","","EX-"&amp;TEXT(ROW()-6,"000"))</f>
        <v>EX-008</v>
      </c>
      <c r="B14" s="68" t="s">
        <v>468</v>
      </c>
      <c r="C14" s="28" t="s">
        <v>429</v>
      </c>
      <c r="D14" s="28" t="s">
        <v>463</v>
      </c>
      <c r="E14" s="28" t="s">
        <v>431</v>
      </c>
      <c r="F14" s="68" t="s">
        <v>469</v>
      </c>
      <c r="G14" s="68" t="s">
        <v>470</v>
      </c>
      <c r="H14" s="68" t="s">
        <v>471</v>
      </c>
      <c r="I14" s="28" t="n">
        <v>2</v>
      </c>
      <c r="J14" s="28" t="n">
        <v>18</v>
      </c>
      <c r="K14" s="28" t="s">
        <v>435</v>
      </c>
      <c r="L14" s="28" t="n">
        <v>5</v>
      </c>
      <c r="M14" s="28" t="s">
        <v>442</v>
      </c>
      <c r="N14" s="68"/>
    </row>
    <row r="15" customFormat="false" ht="15" hidden="false" customHeight="false" outlineLevel="0" collapsed="false">
      <c r="A15" s="26" t="str">
        <f aca="false">IF($B15="","","EX-"&amp;TEXT(ROW()-6,"000"))</f>
        <v>EX-009</v>
      </c>
      <c r="B15" s="68" t="s">
        <v>472</v>
      </c>
      <c r="C15" s="28" t="s">
        <v>429</v>
      </c>
      <c r="D15" s="28" t="s">
        <v>463</v>
      </c>
      <c r="E15" s="28" t="s">
        <v>431</v>
      </c>
      <c r="F15" s="68" t="s">
        <v>473</v>
      </c>
      <c r="G15" s="68" t="s">
        <v>474</v>
      </c>
      <c r="H15" s="68" t="s">
        <v>440</v>
      </c>
      <c r="I15" s="28" t="n">
        <v>2</v>
      </c>
      <c r="J15" s="28" t="n">
        <v>12</v>
      </c>
      <c r="K15" s="28" t="s">
        <v>435</v>
      </c>
      <c r="L15" s="28" t="n">
        <v>5</v>
      </c>
      <c r="M15" s="28" t="s">
        <v>448</v>
      </c>
      <c r="N15" s="68"/>
    </row>
    <row r="16" customFormat="false" ht="15" hidden="false" customHeight="false" outlineLevel="0" collapsed="false">
      <c r="A16" s="26" t="str">
        <f aca="false">IF($B16="","","EX-"&amp;TEXT(ROW()-6,"000"))</f>
        <v>EX-010</v>
      </c>
      <c r="B16" s="68" t="s">
        <v>475</v>
      </c>
      <c r="C16" s="28" t="s">
        <v>429</v>
      </c>
      <c r="D16" s="28" t="s">
        <v>476</v>
      </c>
      <c r="E16" s="28" t="s">
        <v>444</v>
      </c>
      <c r="F16" s="68" t="s">
        <v>477</v>
      </c>
      <c r="G16" s="68" t="s">
        <v>478</v>
      </c>
      <c r="H16" s="68" t="s">
        <v>457</v>
      </c>
      <c r="I16" s="28" t="n">
        <v>3</v>
      </c>
      <c r="J16" s="28" t="n">
        <v>18</v>
      </c>
      <c r="K16" s="28" t="s">
        <v>441</v>
      </c>
      <c r="L16" s="28" t="n">
        <v>6</v>
      </c>
      <c r="M16" s="28" t="s">
        <v>442</v>
      </c>
      <c r="N16" s="68"/>
    </row>
    <row r="17" customFormat="false" ht="15" hidden="false" customHeight="false" outlineLevel="0" collapsed="false">
      <c r="A17" s="26" t="str">
        <f aca="false">IF($B17="","","EX-"&amp;TEXT(ROW()-6,"000"))</f>
        <v>EX-011</v>
      </c>
      <c r="B17" s="68" t="s">
        <v>479</v>
      </c>
      <c r="C17" s="28" t="s">
        <v>429</v>
      </c>
      <c r="D17" s="28" t="s">
        <v>476</v>
      </c>
      <c r="E17" s="28" t="s">
        <v>480</v>
      </c>
      <c r="F17" s="68" t="s">
        <v>481</v>
      </c>
      <c r="G17" s="68" t="s">
        <v>482</v>
      </c>
      <c r="H17" s="68" t="s">
        <v>457</v>
      </c>
      <c r="I17" s="28" t="n">
        <v>3</v>
      </c>
      <c r="J17" s="28" t="n">
        <v>15</v>
      </c>
      <c r="K17" s="28" t="s">
        <v>441</v>
      </c>
      <c r="L17" s="28" t="n">
        <v>6</v>
      </c>
      <c r="M17" s="28" t="s">
        <v>448</v>
      </c>
      <c r="N17" s="68"/>
    </row>
    <row r="18" customFormat="false" ht="15" hidden="false" customHeight="false" outlineLevel="0" collapsed="false">
      <c r="A18" s="26" t="str">
        <f aca="false">IF($B18="","","EX-"&amp;TEXT(ROW()-6,"000"))</f>
        <v>EX-012</v>
      </c>
      <c r="B18" s="68" t="s">
        <v>483</v>
      </c>
      <c r="C18" s="28" t="s">
        <v>429</v>
      </c>
      <c r="D18" s="28" t="s">
        <v>476</v>
      </c>
      <c r="E18" s="28" t="s">
        <v>444</v>
      </c>
      <c r="F18" s="68" t="s">
        <v>484</v>
      </c>
      <c r="G18" s="68" t="s">
        <v>485</v>
      </c>
      <c r="H18" s="68" t="s">
        <v>457</v>
      </c>
      <c r="I18" s="28" t="n">
        <v>3</v>
      </c>
      <c r="J18" s="28" t="n">
        <v>15</v>
      </c>
      <c r="K18" s="28" t="s">
        <v>441</v>
      </c>
      <c r="L18" s="28" t="n">
        <v>6</v>
      </c>
      <c r="M18" s="28" t="s">
        <v>448</v>
      </c>
      <c r="N18" s="68"/>
    </row>
    <row r="19" customFormat="false" ht="22.35" hidden="false" customHeight="false" outlineLevel="0" collapsed="false">
      <c r="A19" s="26" t="str">
        <f aca="false">IF($B19="","","EX-"&amp;TEXT(ROW()-6,"000"))</f>
        <v>EX-013</v>
      </c>
      <c r="B19" s="68" t="s">
        <v>486</v>
      </c>
      <c r="C19" s="28" t="s">
        <v>429</v>
      </c>
      <c r="D19" s="28" t="s">
        <v>476</v>
      </c>
      <c r="E19" s="28" t="s">
        <v>431</v>
      </c>
      <c r="F19" s="68" t="s">
        <v>487</v>
      </c>
      <c r="G19" s="68" t="s">
        <v>488</v>
      </c>
      <c r="H19" s="68" t="s">
        <v>457</v>
      </c>
      <c r="I19" s="28" t="n">
        <v>3</v>
      </c>
      <c r="J19" s="28" t="n">
        <v>12</v>
      </c>
      <c r="K19" s="28" t="s">
        <v>435</v>
      </c>
      <c r="L19" s="28" t="n">
        <v>5</v>
      </c>
      <c r="M19" s="28" t="s">
        <v>442</v>
      </c>
      <c r="N19" s="68"/>
    </row>
    <row r="20" customFormat="false" ht="15" hidden="false" customHeight="false" outlineLevel="0" collapsed="false">
      <c r="A20" s="26" t="str">
        <f aca="false">IF($B20="","","EX-"&amp;TEXT(ROW()-6,"000"))</f>
        <v>EX-014</v>
      </c>
      <c r="B20" s="68" t="s">
        <v>489</v>
      </c>
      <c r="C20" s="28" t="s">
        <v>429</v>
      </c>
      <c r="D20" s="28" t="s">
        <v>490</v>
      </c>
      <c r="E20" s="28" t="s">
        <v>459</v>
      </c>
      <c r="F20" s="68" t="s">
        <v>491</v>
      </c>
      <c r="G20" s="68" t="s">
        <v>492</v>
      </c>
      <c r="H20" s="68" t="s">
        <v>493</v>
      </c>
      <c r="I20" s="28" t="n">
        <v>1</v>
      </c>
      <c r="J20" s="28" t="n">
        <v>12</v>
      </c>
      <c r="K20" s="28" t="s">
        <v>441</v>
      </c>
      <c r="L20" s="28" t="n">
        <v>6</v>
      </c>
      <c r="M20" s="28" t="s">
        <v>442</v>
      </c>
      <c r="N20" s="68"/>
    </row>
    <row r="21" customFormat="false" ht="15" hidden="false" customHeight="false" outlineLevel="0" collapsed="false">
      <c r="A21" s="26" t="str">
        <f aca="false">IF($B21="","","EX-"&amp;TEXT(ROW()-6,"000"))</f>
        <v>EX-015</v>
      </c>
      <c r="B21" s="68" t="s">
        <v>494</v>
      </c>
      <c r="C21" s="28" t="s">
        <v>429</v>
      </c>
      <c r="D21" s="28" t="s">
        <v>490</v>
      </c>
      <c r="E21" s="28" t="s">
        <v>459</v>
      </c>
      <c r="F21" s="68" t="s">
        <v>495</v>
      </c>
      <c r="G21" s="68" t="s">
        <v>496</v>
      </c>
      <c r="H21" s="68" t="s">
        <v>497</v>
      </c>
      <c r="I21" s="28" t="n">
        <v>4</v>
      </c>
      <c r="J21" s="28" t="n">
        <v>15</v>
      </c>
      <c r="K21" s="28" t="s">
        <v>441</v>
      </c>
      <c r="L21" s="28" t="n">
        <v>6</v>
      </c>
      <c r="M21" s="28" t="s">
        <v>448</v>
      </c>
      <c r="N21" s="68"/>
    </row>
    <row r="22" customFormat="false" ht="15" hidden="false" customHeight="false" outlineLevel="0" collapsed="false">
      <c r="A22" s="26" t="str">
        <f aca="false">IF($B22="","","EX-"&amp;TEXT(ROW()-6,"000"))</f>
        <v>EX-016</v>
      </c>
      <c r="B22" s="68" t="s">
        <v>498</v>
      </c>
      <c r="C22" s="28" t="s">
        <v>429</v>
      </c>
      <c r="D22" s="28" t="s">
        <v>499</v>
      </c>
      <c r="E22" s="28" t="s">
        <v>431</v>
      </c>
      <c r="F22" s="68" t="s">
        <v>500</v>
      </c>
      <c r="G22" s="68" t="s">
        <v>501</v>
      </c>
      <c r="H22" s="68" t="s">
        <v>502</v>
      </c>
      <c r="I22" s="28" t="n">
        <v>1</v>
      </c>
      <c r="J22" s="28" t="n">
        <v>12</v>
      </c>
      <c r="K22" s="28" t="s">
        <v>441</v>
      </c>
      <c r="L22" s="28" t="n">
        <v>6</v>
      </c>
      <c r="M22" s="28" t="s">
        <v>442</v>
      </c>
      <c r="N22" s="68"/>
    </row>
    <row r="23" customFormat="false" ht="15" hidden="false" customHeight="false" outlineLevel="0" collapsed="false">
      <c r="A23" s="26" t="str">
        <f aca="false">IF($B23="","","EX-"&amp;TEXT(ROW()-6,"000"))</f>
        <v>EX-017</v>
      </c>
      <c r="B23" s="68" t="s">
        <v>503</v>
      </c>
      <c r="C23" s="28" t="s">
        <v>429</v>
      </c>
      <c r="D23" s="28" t="s">
        <v>499</v>
      </c>
      <c r="E23" s="28" t="s">
        <v>459</v>
      </c>
      <c r="F23" s="68" t="s">
        <v>504</v>
      </c>
      <c r="G23" s="68" t="s">
        <v>505</v>
      </c>
      <c r="H23" s="68" t="s">
        <v>506</v>
      </c>
      <c r="I23" s="28" t="n">
        <v>3</v>
      </c>
      <c r="J23" s="28" t="n">
        <v>15</v>
      </c>
      <c r="K23" s="28" t="s">
        <v>447</v>
      </c>
      <c r="L23" s="28" t="n">
        <v>7</v>
      </c>
      <c r="M23" s="28" t="s">
        <v>448</v>
      </c>
      <c r="N23" s="68"/>
    </row>
    <row r="24" customFormat="false" ht="15" hidden="false" customHeight="false" outlineLevel="0" collapsed="false">
      <c r="A24" s="26" t="str">
        <f aca="false">IF($B24="","","EX-"&amp;TEXT(ROW()-6,"000"))</f>
        <v>EX-018</v>
      </c>
      <c r="B24" s="68" t="s">
        <v>507</v>
      </c>
      <c r="C24" s="28" t="s">
        <v>429</v>
      </c>
      <c r="D24" s="28" t="s">
        <v>508</v>
      </c>
      <c r="E24" s="28" t="s">
        <v>459</v>
      </c>
      <c r="F24" s="68" t="s">
        <v>509</v>
      </c>
      <c r="G24" s="68" t="s">
        <v>510</v>
      </c>
      <c r="H24" s="68" t="s">
        <v>511</v>
      </c>
      <c r="I24" s="28" t="n">
        <v>1</v>
      </c>
      <c r="J24" s="28" t="n">
        <v>12</v>
      </c>
      <c r="K24" s="28" t="s">
        <v>441</v>
      </c>
      <c r="L24" s="28" t="n">
        <v>6</v>
      </c>
      <c r="M24" s="28" t="s">
        <v>442</v>
      </c>
      <c r="N24" s="68"/>
    </row>
    <row r="25" customFormat="false" ht="15" hidden="false" customHeight="false" outlineLevel="0" collapsed="false">
      <c r="A25" s="26" t="str">
        <f aca="false">IF($B25="","","EX-"&amp;TEXT(ROW()-6,"000"))</f>
        <v>EX-019</v>
      </c>
      <c r="B25" s="68" t="s">
        <v>512</v>
      </c>
      <c r="C25" s="28" t="s">
        <v>513</v>
      </c>
      <c r="D25" s="28" t="s">
        <v>514</v>
      </c>
      <c r="E25" s="28" t="s">
        <v>515</v>
      </c>
      <c r="F25" s="68" t="s">
        <v>516</v>
      </c>
      <c r="G25" s="68" t="s">
        <v>517</v>
      </c>
      <c r="H25" s="68" t="s">
        <v>457</v>
      </c>
      <c r="I25" s="28" t="n">
        <v>12</v>
      </c>
      <c r="J25" s="28" t="n">
        <v>25</v>
      </c>
      <c r="K25" s="28" t="s">
        <v>441</v>
      </c>
      <c r="L25" s="28" t="n">
        <v>7</v>
      </c>
      <c r="M25" s="28" t="s">
        <v>442</v>
      </c>
      <c r="N25" s="68"/>
    </row>
    <row r="26" customFormat="false" ht="15" hidden="false" customHeight="false" outlineLevel="0" collapsed="false">
      <c r="A26" s="26" t="str">
        <f aca="false">IF($B26="","","EX-"&amp;TEXT(ROW()-6,"000"))</f>
        <v>EX-020</v>
      </c>
      <c r="B26" s="68" t="s">
        <v>518</v>
      </c>
      <c r="C26" s="28" t="s">
        <v>513</v>
      </c>
      <c r="D26" s="28" t="s">
        <v>514</v>
      </c>
      <c r="E26" s="28" t="s">
        <v>515</v>
      </c>
      <c r="F26" s="68" t="s">
        <v>519</v>
      </c>
      <c r="G26" s="68" t="s">
        <v>520</v>
      </c>
      <c r="H26" s="68" t="s">
        <v>457</v>
      </c>
      <c r="I26" s="28" t="n">
        <v>12</v>
      </c>
      <c r="J26" s="28" t="n">
        <v>25</v>
      </c>
      <c r="K26" s="28" t="s">
        <v>441</v>
      </c>
      <c r="L26" s="28" t="n">
        <v>7</v>
      </c>
      <c r="M26" s="28" t="s">
        <v>442</v>
      </c>
      <c r="N26" s="68"/>
    </row>
    <row r="27" customFormat="false" ht="15" hidden="false" customHeight="false" outlineLevel="0" collapsed="false">
      <c r="A27" s="26" t="str">
        <f aca="false">IF($B27="","","EX-"&amp;TEXT(ROW()-6,"000"))</f>
        <v>EX-021</v>
      </c>
      <c r="B27" s="68" t="s">
        <v>521</v>
      </c>
      <c r="C27" s="28" t="s">
        <v>513</v>
      </c>
      <c r="D27" s="28" t="s">
        <v>514</v>
      </c>
      <c r="E27" s="28" t="s">
        <v>515</v>
      </c>
      <c r="F27" s="68" t="s">
        <v>522</v>
      </c>
      <c r="G27" s="68" t="s">
        <v>523</v>
      </c>
      <c r="H27" s="68" t="s">
        <v>524</v>
      </c>
      <c r="I27" s="28" t="n">
        <v>12</v>
      </c>
      <c r="J27" s="28" t="n">
        <v>30</v>
      </c>
      <c r="K27" s="28" t="s">
        <v>441</v>
      </c>
      <c r="L27" s="28" t="n">
        <v>7</v>
      </c>
      <c r="M27" s="28" t="s">
        <v>442</v>
      </c>
      <c r="N27" s="68"/>
    </row>
    <row r="28" customFormat="false" ht="15" hidden="false" customHeight="false" outlineLevel="0" collapsed="false">
      <c r="A28" s="26" t="str">
        <f aca="false">IF($B28="","","EX-"&amp;TEXT(ROW()-6,"000"))</f>
        <v>EX-022</v>
      </c>
      <c r="B28" s="68" t="s">
        <v>525</v>
      </c>
      <c r="C28" s="28" t="s">
        <v>513</v>
      </c>
      <c r="D28" s="28" t="s">
        <v>514</v>
      </c>
      <c r="E28" s="28" t="s">
        <v>515</v>
      </c>
      <c r="F28" s="68" t="s">
        <v>526</v>
      </c>
      <c r="G28" s="68" t="s">
        <v>527</v>
      </c>
      <c r="H28" s="68" t="s">
        <v>457</v>
      </c>
      <c r="I28" s="28" t="n">
        <v>8</v>
      </c>
      <c r="J28" s="28" t="n">
        <v>20</v>
      </c>
      <c r="K28" s="28" t="s">
        <v>435</v>
      </c>
      <c r="L28" s="28" t="n">
        <v>6</v>
      </c>
      <c r="M28" s="28" t="s">
        <v>436</v>
      </c>
      <c r="N28" s="68"/>
    </row>
    <row r="29" customFormat="false" ht="15" hidden="false" customHeight="false" outlineLevel="0" collapsed="false">
      <c r="A29" s="26" t="str">
        <f aca="false">IF($B29="","","EX-"&amp;TEXT(ROW()-6,"000"))</f>
        <v>EX-023</v>
      </c>
      <c r="B29" s="68" t="s">
        <v>528</v>
      </c>
      <c r="C29" s="28" t="s">
        <v>513</v>
      </c>
      <c r="D29" s="28" t="s">
        <v>514</v>
      </c>
      <c r="E29" s="28" t="s">
        <v>515</v>
      </c>
      <c r="F29" s="68" t="s">
        <v>529</v>
      </c>
      <c r="G29" s="68" t="s">
        <v>530</v>
      </c>
      <c r="H29" s="68" t="s">
        <v>497</v>
      </c>
      <c r="I29" s="28" t="n">
        <v>12</v>
      </c>
      <c r="J29" s="28" t="n">
        <v>20</v>
      </c>
      <c r="K29" s="28" t="s">
        <v>467</v>
      </c>
      <c r="L29" s="28" t="n">
        <v>4</v>
      </c>
      <c r="M29" s="28" t="s">
        <v>442</v>
      </c>
      <c r="N29" s="68"/>
    </row>
    <row r="30" customFormat="false" ht="15" hidden="false" customHeight="false" outlineLevel="0" collapsed="false">
      <c r="A30" s="26" t="str">
        <f aca="false">IF($B30="","","EX-"&amp;TEXT(ROW()-6,"000"))</f>
        <v>EX-024</v>
      </c>
      <c r="B30" s="68" t="s">
        <v>531</v>
      </c>
      <c r="C30" s="28" t="s">
        <v>513</v>
      </c>
      <c r="D30" s="28" t="s">
        <v>514</v>
      </c>
      <c r="E30" s="28" t="s">
        <v>515</v>
      </c>
      <c r="F30" s="68" t="s">
        <v>532</v>
      </c>
      <c r="G30" s="68" t="s">
        <v>533</v>
      </c>
      <c r="H30" s="68" t="s">
        <v>534</v>
      </c>
      <c r="I30" s="28" t="n">
        <v>12</v>
      </c>
      <c r="J30" s="28" t="n">
        <v>20</v>
      </c>
      <c r="K30" s="28" t="s">
        <v>447</v>
      </c>
      <c r="L30" s="28" t="n">
        <v>8</v>
      </c>
      <c r="M30" s="28" t="s">
        <v>448</v>
      </c>
      <c r="N30" s="68"/>
    </row>
    <row r="31" customFormat="false" ht="15" hidden="false" customHeight="false" outlineLevel="0" collapsed="false">
      <c r="A31" s="26" t="str">
        <f aca="false">IF($B31="","","EX-"&amp;TEXT(ROW()-6,"000"))</f>
        <v>EX-025</v>
      </c>
      <c r="B31" s="68" t="s">
        <v>535</v>
      </c>
      <c r="C31" s="28" t="s">
        <v>536</v>
      </c>
      <c r="D31" s="28" t="s">
        <v>515</v>
      </c>
      <c r="E31" s="28" t="s">
        <v>537</v>
      </c>
      <c r="F31" s="68" t="s">
        <v>538</v>
      </c>
      <c r="G31" s="68" t="s">
        <v>539</v>
      </c>
      <c r="H31" s="68" t="s">
        <v>540</v>
      </c>
      <c r="I31" s="28" t="n">
        <v>1</v>
      </c>
      <c r="J31" s="28" t="n">
        <v>25</v>
      </c>
      <c r="K31" s="28" t="s">
        <v>447</v>
      </c>
      <c r="L31" s="28" t="n">
        <v>8</v>
      </c>
      <c r="M31" s="28" t="s">
        <v>448</v>
      </c>
      <c r="N31" s="68"/>
    </row>
    <row r="32" customFormat="false" ht="15" hidden="false" customHeight="false" outlineLevel="0" collapsed="false">
      <c r="A32" s="26" t="str">
        <f aca="false">IF($B32="","","EX-"&amp;TEXT(ROW()-6,"000"))</f>
        <v>EX-026</v>
      </c>
      <c r="B32" s="68" t="s">
        <v>541</v>
      </c>
      <c r="C32" s="28" t="s">
        <v>536</v>
      </c>
      <c r="D32" s="28" t="s">
        <v>515</v>
      </c>
      <c r="E32" s="28" t="s">
        <v>537</v>
      </c>
      <c r="F32" s="68" t="s">
        <v>542</v>
      </c>
      <c r="G32" s="68" t="s">
        <v>543</v>
      </c>
      <c r="H32" s="68" t="s">
        <v>544</v>
      </c>
      <c r="I32" s="28" t="n">
        <v>1</v>
      </c>
      <c r="J32" s="28" t="n">
        <v>18</v>
      </c>
      <c r="K32" s="28" t="s">
        <v>441</v>
      </c>
      <c r="L32" s="28" t="n">
        <v>7</v>
      </c>
      <c r="M32" s="28" t="s">
        <v>442</v>
      </c>
      <c r="N32" s="68"/>
    </row>
    <row r="33" customFormat="false" ht="15" hidden="false" customHeight="false" outlineLevel="0" collapsed="false">
      <c r="A33" s="26" t="str">
        <f aca="false">IF($B33="","","EX-"&amp;TEXT(ROW()-6,"000"))</f>
        <v>EX-027</v>
      </c>
      <c r="B33" s="68" t="s">
        <v>545</v>
      </c>
      <c r="C33" s="28" t="s">
        <v>536</v>
      </c>
      <c r="D33" s="28" t="s">
        <v>515</v>
      </c>
      <c r="E33" s="28" t="s">
        <v>537</v>
      </c>
      <c r="F33" s="68" t="s">
        <v>546</v>
      </c>
      <c r="G33" s="68" t="s">
        <v>547</v>
      </c>
      <c r="H33" s="68" t="s">
        <v>548</v>
      </c>
      <c r="I33" s="28" t="n">
        <v>1</v>
      </c>
      <c r="J33" s="28" t="n">
        <v>15</v>
      </c>
      <c r="K33" s="28" t="s">
        <v>441</v>
      </c>
      <c r="L33" s="28" t="n">
        <v>6</v>
      </c>
      <c r="M33" s="28" t="s">
        <v>442</v>
      </c>
      <c r="N33" s="68"/>
    </row>
    <row r="34" customFormat="false" ht="15" hidden="false" customHeight="false" outlineLevel="0" collapsed="false">
      <c r="A34" s="26" t="str">
        <f aca="false">IF($B34="","","EX-"&amp;TEXT(ROW()-6,"000"))</f>
        <v>EX-028</v>
      </c>
      <c r="B34" s="68" t="s">
        <v>549</v>
      </c>
      <c r="C34" s="28" t="s">
        <v>536</v>
      </c>
      <c r="D34" s="28" t="s">
        <v>515</v>
      </c>
      <c r="E34" s="28" t="s">
        <v>444</v>
      </c>
      <c r="F34" s="68" t="s">
        <v>550</v>
      </c>
      <c r="G34" s="68" t="s">
        <v>551</v>
      </c>
      <c r="H34" s="68" t="s">
        <v>552</v>
      </c>
      <c r="I34" s="28" t="n">
        <v>1</v>
      </c>
      <c r="J34" s="28" t="n">
        <v>25</v>
      </c>
      <c r="K34" s="28" t="s">
        <v>447</v>
      </c>
      <c r="L34" s="28" t="n">
        <v>8</v>
      </c>
      <c r="M34" s="28" t="s">
        <v>448</v>
      </c>
      <c r="N34" s="68"/>
    </row>
    <row r="35" customFormat="false" ht="15" hidden="false" customHeight="false" outlineLevel="0" collapsed="false">
      <c r="A35" s="26" t="str">
        <f aca="false">IF($B35="","","EX-"&amp;TEXT(ROW()-6,"000"))</f>
        <v>EX-029</v>
      </c>
      <c r="B35" s="68" t="s">
        <v>553</v>
      </c>
      <c r="C35" s="28" t="s">
        <v>536</v>
      </c>
      <c r="D35" s="28" t="s">
        <v>515</v>
      </c>
      <c r="E35" s="28" t="s">
        <v>444</v>
      </c>
      <c r="F35" s="68" t="s">
        <v>554</v>
      </c>
      <c r="G35" s="68" t="s">
        <v>555</v>
      </c>
      <c r="H35" s="68" t="s">
        <v>556</v>
      </c>
      <c r="I35" s="28" t="n">
        <v>1</v>
      </c>
      <c r="J35" s="28" t="n">
        <v>18</v>
      </c>
      <c r="K35" s="28" t="s">
        <v>441</v>
      </c>
      <c r="L35" s="28" t="n">
        <v>7</v>
      </c>
      <c r="M35" s="28" t="s">
        <v>448</v>
      </c>
      <c r="N35" s="68"/>
    </row>
    <row r="36" customFormat="false" ht="15" hidden="false" customHeight="false" outlineLevel="0" collapsed="false">
      <c r="A36" s="26" t="str">
        <f aca="false">IF($B36="","","EX-"&amp;TEXT(ROW()-6,"000"))</f>
        <v>EX-030</v>
      </c>
      <c r="B36" s="68" t="s">
        <v>557</v>
      </c>
      <c r="C36" s="28" t="s">
        <v>536</v>
      </c>
      <c r="D36" s="28" t="s">
        <v>515</v>
      </c>
      <c r="E36" s="28" t="s">
        <v>558</v>
      </c>
      <c r="F36" s="68" t="s">
        <v>559</v>
      </c>
      <c r="G36" s="68" t="s">
        <v>560</v>
      </c>
      <c r="H36" s="68" t="s">
        <v>561</v>
      </c>
      <c r="I36" s="28" t="n">
        <v>1</v>
      </c>
      <c r="J36" s="28" t="n">
        <v>15</v>
      </c>
      <c r="K36" s="28" t="s">
        <v>441</v>
      </c>
      <c r="L36" s="28" t="n">
        <v>7</v>
      </c>
      <c r="M36" s="28" t="s">
        <v>448</v>
      </c>
      <c r="N36" s="68"/>
    </row>
    <row r="37" customFormat="false" ht="15" hidden="false" customHeight="false" outlineLevel="0" collapsed="false">
      <c r="A37" s="26" t="str">
        <f aca="false">IF($B37="","","EX-"&amp;TEXT(ROW()-6,"000"))</f>
        <v>EX-031</v>
      </c>
      <c r="B37" s="68" t="s">
        <v>562</v>
      </c>
      <c r="C37" s="28" t="s">
        <v>536</v>
      </c>
      <c r="D37" s="28" t="s">
        <v>515</v>
      </c>
      <c r="E37" s="28" t="s">
        <v>558</v>
      </c>
      <c r="F37" s="68" t="s">
        <v>563</v>
      </c>
      <c r="G37" s="68" t="s">
        <v>564</v>
      </c>
      <c r="H37" s="68" t="s">
        <v>565</v>
      </c>
      <c r="I37" s="28" t="n">
        <v>1</v>
      </c>
      <c r="J37" s="28" t="n">
        <v>12</v>
      </c>
      <c r="K37" s="28" t="s">
        <v>441</v>
      </c>
      <c r="L37" s="28" t="n">
        <v>7</v>
      </c>
      <c r="M37" s="28" t="s">
        <v>442</v>
      </c>
      <c r="N37" s="68"/>
    </row>
    <row r="38" customFormat="false" ht="15" hidden="false" customHeight="false" outlineLevel="0" collapsed="false">
      <c r="A38" s="26" t="str">
        <f aca="false">IF($B38="","","EX-"&amp;TEXT(ROW()-6,"000"))</f>
        <v>EX-032</v>
      </c>
      <c r="B38" s="68" t="s">
        <v>566</v>
      </c>
      <c r="C38" s="28" t="s">
        <v>536</v>
      </c>
      <c r="D38" s="28" t="s">
        <v>515</v>
      </c>
      <c r="E38" s="28" t="s">
        <v>480</v>
      </c>
      <c r="F38" s="68" t="s">
        <v>567</v>
      </c>
      <c r="G38" s="68" t="s">
        <v>568</v>
      </c>
      <c r="H38" s="68" t="s">
        <v>569</v>
      </c>
      <c r="I38" s="28" t="n">
        <v>1</v>
      </c>
      <c r="J38" s="28" t="n">
        <v>15</v>
      </c>
      <c r="K38" s="28" t="s">
        <v>447</v>
      </c>
      <c r="L38" s="28" t="n">
        <v>7</v>
      </c>
      <c r="M38" s="28" t="s">
        <v>442</v>
      </c>
      <c r="N38" s="68"/>
    </row>
    <row r="39" customFormat="false" ht="15" hidden="false" customHeight="false" outlineLevel="0" collapsed="false">
      <c r="A39" s="26" t="str">
        <f aca="false">IF($B39="","","EX-"&amp;TEXT(ROW()-6,"000"))</f>
        <v>EX-033</v>
      </c>
      <c r="B39" s="68" t="s">
        <v>570</v>
      </c>
      <c r="C39" s="28" t="s">
        <v>536</v>
      </c>
      <c r="D39" s="28" t="s">
        <v>515</v>
      </c>
      <c r="E39" s="28" t="s">
        <v>459</v>
      </c>
      <c r="F39" s="68" t="s">
        <v>571</v>
      </c>
      <c r="G39" s="68" t="s">
        <v>572</v>
      </c>
      <c r="H39" s="68" t="s">
        <v>569</v>
      </c>
      <c r="I39" s="28" t="n">
        <v>1</v>
      </c>
      <c r="J39" s="28" t="n">
        <v>12</v>
      </c>
      <c r="K39" s="28" t="s">
        <v>441</v>
      </c>
      <c r="L39" s="28" t="n">
        <v>6</v>
      </c>
      <c r="M39" s="28" t="s">
        <v>442</v>
      </c>
      <c r="N39" s="68"/>
    </row>
    <row r="40" customFormat="false" ht="15" hidden="false" customHeight="false" outlineLevel="0" collapsed="false">
      <c r="A40" s="26" t="str">
        <f aca="false">IF($B40="","","EX-"&amp;TEXT(ROW()-6,"000"))</f>
        <v>EX-034</v>
      </c>
      <c r="B40" s="68" t="s">
        <v>573</v>
      </c>
      <c r="C40" s="28" t="s">
        <v>536</v>
      </c>
      <c r="D40" s="28" t="s">
        <v>515</v>
      </c>
      <c r="E40" s="28" t="s">
        <v>574</v>
      </c>
      <c r="F40" s="68" t="s">
        <v>575</v>
      </c>
      <c r="G40" s="68" t="s">
        <v>576</v>
      </c>
      <c r="H40" s="68" t="s">
        <v>577</v>
      </c>
      <c r="I40" s="28" t="n">
        <v>1</v>
      </c>
      <c r="J40" s="28" t="n">
        <v>20</v>
      </c>
      <c r="K40" s="28" t="s">
        <v>447</v>
      </c>
      <c r="L40" s="28" t="n">
        <v>8</v>
      </c>
      <c r="M40" s="28" t="s">
        <v>442</v>
      </c>
      <c r="N40" s="68"/>
    </row>
    <row r="41" customFormat="false" ht="15" hidden="false" customHeight="false" outlineLevel="0" collapsed="false">
      <c r="A41" s="26" t="str">
        <f aca="false">IF($B41="","","EX-"&amp;TEXT(ROW()-6,"000"))</f>
        <v>EX-035</v>
      </c>
      <c r="B41" s="68" t="s">
        <v>578</v>
      </c>
      <c r="C41" s="28" t="s">
        <v>536</v>
      </c>
      <c r="D41" s="28" t="s">
        <v>515</v>
      </c>
      <c r="E41" s="28" t="s">
        <v>579</v>
      </c>
      <c r="F41" s="68" t="s">
        <v>580</v>
      </c>
      <c r="G41" s="68" t="s">
        <v>581</v>
      </c>
      <c r="H41" s="68" t="s">
        <v>577</v>
      </c>
      <c r="I41" s="28" t="n">
        <v>1</v>
      </c>
      <c r="J41" s="28" t="n">
        <v>25</v>
      </c>
      <c r="K41" s="28" t="s">
        <v>467</v>
      </c>
      <c r="L41" s="28" t="n">
        <v>3</v>
      </c>
      <c r="M41" s="28" t="s">
        <v>436</v>
      </c>
      <c r="N41" s="68"/>
    </row>
    <row r="42" customFormat="false" ht="15" hidden="false" customHeight="false" outlineLevel="0" collapsed="false">
      <c r="A42" s="26" t="str">
        <f aca="false">IF($B42="","","EX-"&amp;TEXT(ROW()-6,"000"))</f>
        <v>EX-036</v>
      </c>
      <c r="B42" s="68" t="s">
        <v>582</v>
      </c>
      <c r="C42" s="28" t="s">
        <v>536</v>
      </c>
      <c r="D42" s="28" t="s">
        <v>515</v>
      </c>
      <c r="E42" s="28" t="s">
        <v>583</v>
      </c>
      <c r="F42" s="68" t="s">
        <v>584</v>
      </c>
      <c r="G42" s="68" t="s">
        <v>585</v>
      </c>
      <c r="H42" s="68" t="s">
        <v>586</v>
      </c>
      <c r="I42" s="28" t="n">
        <v>1</v>
      </c>
      <c r="J42" s="28" t="n">
        <v>12</v>
      </c>
      <c r="K42" s="28" t="s">
        <v>435</v>
      </c>
      <c r="L42" s="28" t="n">
        <v>4</v>
      </c>
      <c r="M42" s="28" t="s">
        <v>436</v>
      </c>
      <c r="N42" s="68"/>
    </row>
    <row r="43" customFormat="false" ht="15" hidden="false" customHeight="false" outlineLevel="0" collapsed="false">
      <c r="A43" s="26" t="str">
        <f aca="false">IF($B43="","","EX-"&amp;TEXT(ROW()-6,"000"))</f>
        <v>EX-037</v>
      </c>
      <c r="B43" s="68" t="s">
        <v>587</v>
      </c>
      <c r="C43" s="28" t="s">
        <v>588</v>
      </c>
      <c r="D43" s="28" t="s">
        <v>515</v>
      </c>
      <c r="E43" s="28" t="s">
        <v>583</v>
      </c>
      <c r="F43" s="68" t="s">
        <v>589</v>
      </c>
      <c r="G43" s="68" t="s">
        <v>590</v>
      </c>
      <c r="H43" s="68" t="s">
        <v>591</v>
      </c>
      <c r="I43" s="28" t="n">
        <v>1</v>
      </c>
      <c r="J43" s="28" t="n">
        <v>10</v>
      </c>
      <c r="K43" s="28" t="s">
        <v>467</v>
      </c>
      <c r="L43" s="28" t="n">
        <v>3</v>
      </c>
      <c r="M43" s="28" t="s">
        <v>436</v>
      </c>
      <c r="N43" s="68"/>
    </row>
    <row r="44" customFormat="false" ht="15" hidden="false" customHeight="false" outlineLevel="0" collapsed="false">
      <c r="A44" s="26" t="str">
        <f aca="false">IF($B44="","","EX-"&amp;TEXT(ROW()-6,"000"))</f>
        <v>EX-038</v>
      </c>
      <c r="B44" s="68" t="s">
        <v>592</v>
      </c>
      <c r="C44" s="28" t="s">
        <v>588</v>
      </c>
      <c r="D44" s="28" t="s">
        <v>515</v>
      </c>
      <c r="E44" s="28" t="s">
        <v>537</v>
      </c>
      <c r="F44" s="68" t="s">
        <v>593</v>
      </c>
      <c r="G44" s="68" t="s">
        <v>594</v>
      </c>
      <c r="H44" s="68" t="s">
        <v>595</v>
      </c>
      <c r="I44" s="28" t="n">
        <v>2</v>
      </c>
      <c r="J44" s="28" t="n">
        <v>10</v>
      </c>
      <c r="K44" s="28" t="s">
        <v>441</v>
      </c>
      <c r="L44" s="28" t="n">
        <v>6</v>
      </c>
      <c r="M44" s="28" t="s">
        <v>442</v>
      </c>
      <c r="N44" s="68"/>
    </row>
    <row r="45" customFormat="false" ht="15" hidden="false" customHeight="false" outlineLevel="0" collapsed="false">
      <c r="A45" s="26" t="str">
        <f aca="false">IF($B45="","","EX-"&amp;TEXT(ROW()-6,"000"))</f>
        <v>EX-039</v>
      </c>
      <c r="B45" s="68" t="s">
        <v>596</v>
      </c>
      <c r="C45" s="28" t="s">
        <v>588</v>
      </c>
      <c r="D45" s="28" t="s">
        <v>515</v>
      </c>
      <c r="E45" s="28" t="s">
        <v>537</v>
      </c>
      <c r="F45" s="68" t="s">
        <v>597</v>
      </c>
      <c r="G45" s="68" t="s">
        <v>598</v>
      </c>
      <c r="H45" s="68" t="s">
        <v>599</v>
      </c>
      <c r="I45" s="28" t="n">
        <v>1</v>
      </c>
      <c r="J45" s="28" t="n">
        <v>8</v>
      </c>
      <c r="K45" s="28" t="s">
        <v>435</v>
      </c>
      <c r="L45" s="28" t="n">
        <v>4</v>
      </c>
      <c r="M45" s="28" t="s">
        <v>436</v>
      </c>
      <c r="N45" s="68"/>
    </row>
    <row r="46" customFormat="false" ht="15" hidden="false" customHeight="false" outlineLevel="0" collapsed="false">
      <c r="A46" s="26" t="str">
        <f aca="false">IF($B46="","","EX-"&amp;TEXT(ROW()-6,"000"))</f>
        <v>EX-040</v>
      </c>
      <c r="B46" s="68" t="s">
        <v>600</v>
      </c>
      <c r="C46" s="28" t="s">
        <v>588</v>
      </c>
      <c r="D46" s="28" t="s">
        <v>515</v>
      </c>
      <c r="E46" s="28" t="s">
        <v>601</v>
      </c>
      <c r="F46" s="68" t="s">
        <v>602</v>
      </c>
      <c r="G46" s="68" t="s">
        <v>603</v>
      </c>
      <c r="H46" s="68" t="s">
        <v>604</v>
      </c>
      <c r="I46" s="28" t="n">
        <v>1</v>
      </c>
      <c r="J46" s="28" t="n">
        <v>10</v>
      </c>
      <c r="K46" s="28" t="s">
        <v>605</v>
      </c>
      <c r="L46" s="28" t="n">
        <v>2</v>
      </c>
      <c r="M46" s="28" t="s">
        <v>436</v>
      </c>
      <c r="N46" s="68"/>
    </row>
    <row r="47" customFormat="false" ht="15" hidden="false" customHeight="false" outlineLevel="0" collapsed="false">
      <c r="A47" s="26" t="str">
        <f aca="false">IF($B47="","","EX-"&amp;TEXT(ROW()-6,"000"))</f>
        <v>EX-041</v>
      </c>
      <c r="B47" s="68" t="s">
        <v>606</v>
      </c>
      <c r="C47" s="28" t="s">
        <v>607</v>
      </c>
      <c r="D47" s="28" t="s">
        <v>515</v>
      </c>
      <c r="E47" s="28" t="s">
        <v>601</v>
      </c>
      <c r="F47" s="68" t="s">
        <v>608</v>
      </c>
      <c r="G47" s="68" t="s">
        <v>609</v>
      </c>
      <c r="H47" s="68" t="s">
        <v>610</v>
      </c>
      <c r="I47" s="28" t="n">
        <v>1</v>
      </c>
      <c r="J47" s="28" t="n">
        <v>15</v>
      </c>
      <c r="K47" s="28" t="s">
        <v>605</v>
      </c>
      <c r="L47" s="28" t="n">
        <v>2</v>
      </c>
      <c r="M47" s="28" t="s">
        <v>436</v>
      </c>
      <c r="N47" s="68"/>
    </row>
    <row r="48" customFormat="false" ht="15" hidden="false" customHeight="false" outlineLevel="0" collapsed="false">
      <c r="A48" s="26" t="str">
        <f aca="false">IF($B48="","","EX-"&amp;TEXT(ROW()-6,"000"))</f>
        <v>EX-042</v>
      </c>
      <c r="B48" s="68" t="s">
        <v>611</v>
      </c>
      <c r="C48" s="28" t="s">
        <v>612</v>
      </c>
      <c r="D48" s="28" t="s">
        <v>499</v>
      </c>
      <c r="E48" s="28" t="s">
        <v>431</v>
      </c>
      <c r="F48" s="68" t="s">
        <v>613</v>
      </c>
      <c r="G48" s="68" t="s">
        <v>614</v>
      </c>
      <c r="H48" s="68" t="s">
        <v>615</v>
      </c>
      <c r="I48" s="28" t="n">
        <v>1</v>
      </c>
      <c r="J48" s="28" t="n">
        <v>10</v>
      </c>
      <c r="K48" s="28" t="s">
        <v>441</v>
      </c>
      <c r="L48" s="28" t="n">
        <v>6</v>
      </c>
      <c r="M48" s="28" t="s">
        <v>442</v>
      </c>
      <c r="N48" s="68"/>
    </row>
    <row r="49" customFormat="false" ht="22.35" hidden="false" customHeight="false" outlineLevel="0" collapsed="false">
      <c r="A49" s="26" t="str">
        <f aca="false">IF($B49="","","EX-"&amp;TEXT(ROW()-6,"000"))</f>
        <v>EX-043</v>
      </c>
      <c r="B49" s="68" t="s">
        <v>616</v>
      </c>
      <c r="C49" s="28" t="s">
        <v>536</v>
      </c>
      <c r="D49" s="28" t="s">
        <v>515</v>
      </c>
      <c r="E49" s="28" t="s">
        <v>444</v>
      </c>
      <c r="F49" s="68" t="s">
        <v>617</v>
      </c>
      <c r="G49" s="68" t="s">
        <v>618</v>
      </c>
      <c r="H49" s="68" t="s">
        <v>619</v>
      </c>
      <c r="I49" s="28" t="n">
        <v>1</v>
      </c>
      <c r="J49" s="28" t="n">
        <v>20</v>
      </c>
      <c r="K49" s="28" t="s">
        <v>447</v>
      </c>
      <c r="L49" s="28" t="n">
        <v>8</v>
      </c>
      <c r="M49" s="28" t="s">
        <v>442</v>
      </c>
      <c r="N49" s="68"/>
    </row>
    <row r="50" customFormat="false" ht="15" hidden="false" customHeight="false" outlineLevel="0" collapsed="false">
      <c r="A50" s="26" t="str">
        <f aca="false">IF($B50="","","EX-"&amp;TEXT(ROW()-6,"000"))</f>
        <v>EX-044</v>
      </c>
      <c r="B50" s="68" t="s">
        <v>620</v>
      </c>
      <c r="C50" s="28" t="s">
        <v>536</v>
      </c>
      <c r="D50" s="28" t="s">
        <v>515</v>
      </c>
      <c r="E50" s="28" t="s">
        <v>444</v>
      </c>
      <c r="F50" s="68" t="s">
        <v>621</v>
      </c>
      <c r="G50" s="68" t="s">
        <v>622</v>
      </c>
      <c r="H50" s="68" t="s">
        <v>552</v>
      </c>
      <c r="I50" s="28" t="n">
        <v>1</v>
      </c>
      <c r="J50" s="28" t="n">
        <v>20</v>
      </c>
      <c r="K50" s="28" t="s">
        <v>447</v>
      </c>
      <c r="L50" s="28" t="n">
        <v>8</v>
      </c>
      <c r="M50" s="28" t="s">
        <v>442</v>
      </c>
      <c r="N50" s="68"/>
    </row>
    <row r="51" customFormat="false" ht="22.35" hidden="false" customHeight="false" outlineLevel="0" collapsed="false">
      <c r="A51" s="26" t="str">
        <f aca="false">IF($B51="","","EX-"&amp;TEXT(ROW()-6,"000"))</f>
        <v>EX-045</v>
      </c>
      <c r="B51" s="68" t="s">
        <v>623</v>
      </c>
      <c r="C51" s="28" t="s">
        <v>536</v>
      </c>
      <c r="D51" s="28" t="s">
        <v>515</v>
      </c>
      <c r="E51" s="28" t="s">
        <v>444</v>
      </c>
      <c r="F51" s="68" t="s">
        <v>624</v>
      </c>
      <c r="G51" s="68" t="s">
        <v>625</v>
      </c>
      <c r="H51" s="68" t="s">
        <v>552</v>
      </c>
      <c r="I51" s="28" t="n">
        <v>1</v>
      </c>
      <c r="J51" s="28" t="n">
        <v>18</v>
      </c>
      <c r="K51" s="28" t="s">
        <v>441</v>
      </c>
      <c r="L51" s="28" t="n">
        <v>7</v>
      </c>
      <c r="M51" s="28" t="s">
        <v>442</v>
      </c>
      <c r="N51" s="68"/>
    </row>
    <row r="52" customFormat="false" ht="22.35" hidden="false" customHeight="false" outlineLevel="0" collapsed="false">
      <c r="A52" s="26" t="str">
        <f aca="false">IF($B52="","","EX-"&amp;TEXT(ROW()-6,"000"))</f>
        <v>EX-046</v>
      </c>
      <c r="B52" s="68" t="s">
        <v>626</v>
      </c>
      <c r="C52" s="28" t="s">
        <v>536</v>
      </c>
      <c r="D52" s="28" t="s">
        <v>515</v>
      </c>
      <c r="E52" s="28" t="s">
        <v>444</v>
      </c>
      <c r="F52" s="68" t="s">
        <v>627</v>
      </c>
      <c r="G52" s="68" t="s">
        <v>628</v>
      </c>
      <c r="H52" s="68" t="s">
        <v>552</v>
      </c>
      <c r="I52" s="28" t="n">
        <v>1</v>
      </c>
      <c r="J52" s="28" t="n">
        <v>15</v>
      </c>
      <c r="K52" s="28" t="s">
        <v>441</v>
      </c>
      <c r="L52" s="28" t="n">
        <v>7</v>
      </c>
      <c r="M52" s="28" t="s">
        <v>436</v>
      </c>
      <c r="N52" s="68"/>
    </row>
    <row r="53" customFormat="false" ht="22.35" hidden="false" customHeight="false" outlineLevel="0" collapsed="false">
      <c r="A53" s="26" t="str">
        <f aca="false">IF($B53="","","EX-"&amp;TEXT(ROW()-6,"000"))</f>
        <v>EX-047</v>
      </c>
      <c r="B53" s="68" t="s">
        <v>629</v>
      </c>
      <c r="C53" s="28" t="s">
        <v>536</v>
      </c>
      <c r="D53" s="28" t="s">
        <v>515</v>
      </c>
      <c r="E53" s="28" t="s">
        <v>558</v>
      </c>
      <c r="F53" s="68" t="s">
        <v>630</v>
      </c>
      <c r="G53" s="68" t="s">
        <v>631</v>
      </c>
      <c r="H53" s="68" t="s">
        <v>561</v>
      </c>
      <c r="I53" s="28" t="n">
        <v>1</v>
      </c>
      <c r="J53" s="28" t="n">
        <v>12</v>
      </c>
      <c r="K53" s="28" t="s">
        <v>441</v>
      </c>
      <c r="L53" s="28" t="n">
        <v>6</v>
      </c>
      <c r="M53" s="28" t="s">
        <v>436</v>
      </c>
      <c r="N53" s="68"/>
    </row>
    <row r="54" customFormat="false" ht="15" hidden="false" customHeight="false" outlineLevel="0" collapsed="false">
      <c r="A54" s="26" t="str">
        <f aca="false">IF($B54="","","EX-"&amp;TEXT(ROW()-6,"000"))</f>
        <v>EX-048</v>
      </c>
      <c r="B54" s="68" t="s">
        <v>632</v>
      </c>
      <c r="C54" s="28" t="s">
        <v>536</v>
      </c>
      <c r="D54" s="28" t="s">
        <v>515</v>
      </c>
      <c r="E54" s="28" t="s">
        <v>558</v>
      </c>
      <c r="F54" s="68" t="s">
        <v>633</v>
      </c>
      <c r="G54" s="68" t="s">
        <v>634</v>
      </c>
      <c r="H54" s="68" t="s">
        <v>635</v>
      </c>
      <c r="I54" s="28" t="n">
        <v>1</v>
      </c>
      <c r="J54" s="28" t="n">
        <v>12</v>
      </c>
      <c r="K54" s="28" t="s">
        <v>441</v>
      </c>
      <c r="L54" s="28" t="n">
        <v>7</v>
      </c>
      <c r="M54" s="28" t="s">
        <v>448</v>
      </c>
      <c r="N54" s="68"/>
    </row>
    <row r="55" customFormat="false" ht="15" hidden="false" customHeight="false" outlineLevel="0" collapsed="false">
      <c r="A55" s="26" t="str">
        <f aca="false">IF($B55="","","EX-"&amp;TEXT(ROW()-6,"000"))</f>
        <v>EX-049</v>
      </c>
      <c r="B55" s="68" t="s">
        <v>636</v>
      </c>
      <c r="C55" s="28" t="s">
        <v>536</v>
      </c>
      <c r="D55" s="28" t="s">
        <v>515</v>
      </c>
      <c r="E55" s="28" t="s">
        <v>444</v>
      </c>
      <c r="F55" s="68" t="s">
        <v>637</v>
      </c>
      <c r="G55" s="68" t="s">
        <v>638</v>
      </c>
      <c r="H55" s="68" t="s">
        <v>639</v>
      </c>
      <c r="I55" s="28" t="n">
        <v>2</v>
      </c>
      <c r="J55" s="28" t="n">
        <v>10</v>
      </c>
      <c r="K55" s="28" t="s">
        <v>441</v>
      </c>
      <c r="L55" s="28" t="n">
        <v>6</v>
      </c>
      <c r="M55" s="28" t="s">
        <v>436</v>
      </c>
      <c r="N55" s="68"/>
    </row>
    <row r="56" customFormat="false" ht="15" hidden="false" customHeight="false" outlineLevel="0" collapsed="false">
      <c r="A56" s="26" t="str">
        <f aca="false">IF($B56="","","EX-"&amp;TEXT(ROW()-6,"000"))</f>
        <v>EX-050</v>
      </c>
      <c r="B56" s="68" t="s">
        <v>640</v>
      </c>
      <c r="C56" s="28" t="s">
        <v>429</v>
      </c>
      <c r="D56" s="28" t="s">
        <v>476</v>
      </c>
      <c r="E56" s="28" t="s">
        <v>431</v>
      </c>
      <c r="F56" s="68" t="s">
        <v>641</v>
      </c>
      <c r="G56" s="68" t="s">
        <v>642</v>
      </c>
      <c r="H56" s="68" t="s">
        <v>643</v>
      </c>
      <c r="I56" s="28" t="n">
        <v>1</v>
      </c>
      <c r="J56" s="28" t="n">
        <v>10</v>
      </c>
      <c r="K56" s="28" t="s">
        <v>467</v>
      </c>
      <c r="L56" s="28" t="n">
        <v>3</v>
      </c>
      <c r="M56" s="28" t="s">
        <v>436</v>
      </c>
      <c r="N56" s="68"/>
    </row>
    <row r="57" customFormat="false" ht="15" hidden="false" customHeight="false" outlineLevel="0" collapsed="false">
      <c r="A57" s="26" t="str">
        <f aca="false">IF($B57="","","EX-"&amp;TEXT(ROW()-6,"000"))</f>
        <v>EX-051</v>
      </c>
      <c r="B57" s="68" t="s">
        <v>644</v>
      </c>
      <c r="C57" s="28" t="s">
        <v>536</v>
      </c>
      <c r="D57" s="28" t="s">
        <v>515</v>
      </c>
      <c r="E57" s="28" t="s">
        <v>537</v>
      </c>
      <c r="F57" s="68" t="s">
        <v>645</v>
      </c>
      <c r="G57" s="68" t="s">
        <v>646</v>
      </c>
      <c r="H57" s="68" t="s">
        <v>647</v>
      </c>
      <c r="I57" s="28" t="n">
        <v>1</v>
      </c>
      <c r="J57" s="28" t="n">
        <v>15</v>
      </c>
      <c r="K57" s="28" t="s">
        <v>441</v>
      </c>
      <c r="L57" s="28" t="n">
        <v>7</v>
      </c>
      <c r="M57" s="28" t="s">
        <v>442</v>
      </c>
      <c r="N57" s="68"/>
    </row>
    <row r="58" customFormat="false" ht="15" hidden="false" customHeight="false" outlineLevel="0" collapsed="false">
      <c r="A58" s="26" t="str">
        <f aca="false">IF($B58="","","EX-"&amp;TEXT(ROW()-6,"000"))</f>
        <v>EX-052</v>
      </c>
      <c r="B58" s="68" t="s">
        <v>648</v>
      </c>
      <c r="C58" s="28" t="s">
        <v>536</v>
      </c>
      <c r="D58" s="28" t="s">
        <v>515</v>
      </c>
      <c r="E58" s="28" t="s">
        <v>537</v>
      </c>
      <c r="F58" s="68" t="s">
        <v>649</v>
      </c>
      <c r="G58" s="68" t="s">
        <v>650</v>
      </c>
      <c r="H58" s="68" t="s">
        <v>651</v>
      </c>
      <c r="I58" s="28" t="n">
        <v>1</v>
      </c>
      <c r="J58" s="28" t="n">
        <v>15</v>
      </c>
      <c r="K58" s="28" t="s">
        <v>441</v>
      </c>
      <c r="L58" s="28" t="n">
        <v>7</v>
      </c>
      <c r="M58" s="28" t="s">
        <v>442</v>
      </c>
      <c r="N58" s="68"/>
    </row>
    <row r="59" customFormat="false" ht="15" hidden="false" customHeight="false" outlineLevel="0" collapsed="false">
      <c r="A59" s="26" t="str">
        <f aca="false">IF($B59="","","EX-"&amp;TEXT(ROW()-6,"000"))</f>
        <v>EX-053</v>
      </c>
      <c r="B59" s="68" t="s">
        <v>652</v>
      </c>
      <c r="C59" s="28" t="s">
        <v>536</v>
      </c>
      <c r="D59" s="28" t="s">
        <v>515</v>
      </c>
      <c r="E59" s="28" t="s">
        <v>537</v>
      </c>
      <c r="F59" s="68" t="s">
        <v>653</v>
      </c>
      <c r="G59" s="68" t="s">
        <v>654</v>
      </c>
      <c r="H59" s="68" t="s">
        <v>655</v>
      </c>
      <c r="I59" s="28" t="n">
        <v>1</v>
      </c>
      <c r="J59" s="28" t="n">
        <v>15</v>
      </c>
      <c r="K59" s="28" t="s">
        <v>441</v>
      </c>
      <c r="L59" s="28" t="n">
        <v>7</v>
      </c>
      <c r="M59" s="28" t="s">
        <v>436</v>
      </c>
      <c r="N59" s="68"/>
    </row>
    <row r="60" customFormat="false" ht="15" hidden="false" customHeight="false" outlineLevel="0" collapsed="false">
      <c r="A60" s="26" t="str">
        <f aca="false">IF($B60="","","EX-"&amp;TEXT(ROW()-6,"000"))</f>
        <v>EX-054</v>
      </c>
      <c r="B60" s="68" t="s">
        <v>656</v>
      </c>
      <c r="C60" s="28" t="s">
        <v>536</v>
      </c>
      <c r="D60" s="28" t="s">
        <v>515</v>
      </c>
      <c r="E60" s="28" t="s">
        <v>537</v>
      </c>
      <c r="F60" s="68" t="s">
        <v>657</v>
      </c>
      <c r="G60" s="68" t="s">
        <v>658</v>
      </c>
      <c r="H60" s="68" t="s">
        <v>659</v>
      </c>
      <c r="I60" s="28" t="n">
        <v>1</v>
      </c>
      <c r="J60" s="28" t="n">
        <v>15</v>
      </c>
      <c r="K60" s="28" t="s">
        <v>441</v>
      </c>
      <c r="L60" s="28" t="n">
        <v>6</v>
      </c>
      <c r="M60" s="28" t="s">
        <v>436</v>
      </c>
      <c r="N60" s="68"/>
    </row>
    <row r="61" customFormat="false" ht="15" hidden="false" customHeight="false" outlineLevel="0" collapsed="false">
      <c r="A61" s="26" t="str">
        <f aca="false">IF($B61="","","EX-"&amp;TEXT(ROW()-6,"000"))</f>
        <v>EX-055</v>
      </c>
      <c r="B61" s="68" t="s">
        <v>660</v>
      </c>
      <c r="C61" s="28" t="s">
        <v>536</v>
      </c>
      <c r="D61" s="28" t="s">
        <v>515</v>
      </c>
      <c r="E61" s="28" t="s">
        <v>537</v>
      </c>
      <c r="F61" s="68" t="s">
        <v>661</v>
      </c>
      <c r="G61" s="68" t="s">
        <v>662</v>
      </c>
      <c r="H61" s="68" t="s">
        <v>663</v>
      </c>
      <c r="I61" s="28" t="n">
        <v>1</v>
      </c>
      <c r="J61" s="28" t="n">
        <v>15</v>
      </c>
      <c r="K61" s="28" t="s">
        <v>441</v>
      </c>
      <c r="L61" s="28" t="n">
        <v>6</v>
      </c>
      <c r="M61" s="28" t="s">
        <v>436</v>
      </c>
      <c r="N61" s="68"/>
    </row>
    <row r="62" customFormat="false" ht="15" hidden="false" customHeight="false" outlineLevel="0" collapsed="false">
      <c r="A62" s="26" t="str">
        <f aca="false">IF($B62="","","EX-"&amp;TEXT(ROW()-6,"000"))</f>
        <v>EX-056</v>
      </c>
      <c r="B62" s="68" t="s">
        <v>664</v>
      </c>
      <c r="C62" s="28" t="s">
        <v>536</v>
      </c>
      <c r="D62" s="28" t="s">
        <v>515</v>
      </c>
      <c r="E62" s="28" t="s">
        <v>537</v>
      </c>
      <c r="F62" s="68" t="s">
        <v>665</v>
      </c>
      <c r="G62" s="68" t="s">
        <v>666</v>
      </c>
      <c r="H62" s="68" t="s">
        <v>663</v>
      </c>
      <c r="I62" s="28" t="n">
        <v>1</v>
      </c>
      <c r="J62" s="28" t="n">
        <v>12</v>
      </c>
      <c r="K62" s="28" t="s">
        <v>435</v>
      </c>
      <c r="L62" s="28" t="n">
        <v>6</v>
      </c>
      <c r="M62" s="28" t="s">
        <v>442</v>
      </c>
      <c r="N62" s="68"/>
    </row>
    <row r="63" customFormat="false" ht="15" hidden="false" customHeight="false" outlineLevel="0" collapsed="false">
      <c r="A63" s="26" t="str">
        <f aca="false">IF($B63="","","EX-"&amp;TEXT(ROW()-6,"000"))</f>
        <v>EX-057</v>
      </c>
      <c r="B63" s="68" t="s">
        <v>667</v>
      </c>
      <c r="C63" s="28" t="s">
        <v>536</v>
      </c>
      <c r="D63" s="28" t="s">
        <v>515</v>
      </c>
      <c r="E63" s="28" t="s">
        <v>537</v>
      </c>
      <c r="F63" s="68" t="s">
        <v>668</v>
      </c>
      <c r="G63" s="68" t="s">
        <v>650</v>
      </c>
      <c r="H63" s="68" t="s">
        <v>655</v>
      </c>
      <c r="I63" s="28" t="n">
        <v>1</v>
      </c>
      <c r="J63" s="28" t="n">
        <v>12</v>
      </c>
      <c r="K63" s="28" t="s">
        <v>435</v>
      </c>
      <c r="L63" s="28" t="n">
        <v>6</v>
      </c>
      <c r="M63" s="28" t="s">
        <v>436</v>
      </c>
      <c r="N63" s="68"/>
    </row>
    <row r="64" customFormat="false" ht="15" hidden="false" customHeight="false" outlineLevel="0" collapsed="false">
      <c r="A64" s="26" t="str">
        <f aca="false">IF($B64="","","EX-"&amp;TEXT(ROW()-6,"000"))</f>
        <v>EX-058</v>
      </c>
      <c r="B64" s="68" t="s">
        <v>669</v>
      </c>
      <c r="C64" s="28" t="s">
        <v>536</v>
      </c>
      <c r="D64" s="28" t="s">
        <v>515</v>
      </c>
      <c r="E64" s="28" t="s">
        <v>537</v>
      </c>
      <c r="F64" s="68" t="s">
        <v>670</v>
      </c>
      <c r="G64" s="68" t="s">
        <v>671</v>
      </c>
      <c r="H64" s="68" t="s">
        <v>663</v>
      </c>
      <c r="I64" s="28" t="n">
        <v>1</v>
      </c>
      <c r="J64" s="28" t="n">
        <v>12</v>
      </c>
      <c r="K64" s="28" t="s">
        <v>435</v>
      </c>
      <c r="L64" s="28" t="n">
        <v>6</v>
      </c>
      <c r="M64" s="28" t="s">
        <v>442</v>
      </c>
      <c r="N64" s="68"/>
    </row>
    <row r="65" customFormat="false" ht="15" hidden="false" customHeight="false" outlineLevel="0" collapsed="false">
      <c r="A65" s="26" t="str">
        <f aca="false">IF($B65="","","EX-"&amp;TEXT(ROW()-6,"000"))</f>
        <v>EX-059</v>
      </c>
      <c r="B65" s="68" t="s">
        <v>672</v>
      </c>
      <c r="C65" s="28" t="s">
        <v>536</v>
      </c>
      <c r="D65" s="28" t="s">
        <v>515</v>
      </c>
      <c r="E65" s="28" t="s">
        <v>537</v>
      </c>
      <c r="F65" s="68" t="s">
        <v>673</v>
      </c>
      <c r="G65" s="68" t="s">
        <v>674</v>
      </c>
      <c r="H65" s="68" t="s">
        <v>675</v>
      </c>
      <c r="I65" s="28" t="n">
        <v>1</v>
      </c>
      <c r="J65" s="28" t="n">
        <v>12</v>
      </c>
      <c r="K65" s="28" t="s">
        <v>435</v>
      </c>
      <c r="L65" s="28" t="n">
        <v>5</v>
      </c>
      <c r="M65" s="28" t="s">
        <v>436</v>
      </c>
      <c r="N65" s="68"/>
    </row>
    <row r="66" customFormat="false" ht="15" hidden="false" customHeight="false" outlineLevel="0" collapsed="false">
      <c r="A66" s="26" t="str">
        <f aca="false">IF($B66="","","EX-"&amp;TEXT(ROW()-6,"000"))</f>
        <v>EX-060</v>
      </c>
      <c r="B66" s="68" t="s">
        <v>676</v>
      </c>
      <c r="C66" s="28" t="s">
        <v>536</v>
      </c>
      <c r="D66" s="28" t="s">
        <v>515</v>
      </c>
      <c r="E66" s="28" t="s">
        <v>537</v>
      </c>
      <c r="F66" s="68" t="s">
        <v>677</v>
      </c>
      <c r="G66" s="68" t="s">
        <v>678</v>
      </c>
      <c r="H66" s="68" t="s">
        <v>679</v>
      </c>
      <c r="I66" s="28" t="n">
        <v>1</v>
      </c>
      <c r="J66" s="28" t="n">
        <v>12</v>
      </c>
      <c r="K66" s="28" t="s">
        <v>435</v>
      </c>
      <c r="L66" s="28" t="n">
        <v>5</v>
      </c>
      <c r="M66" s="28" t="s">
        <v>442</v>
      </c>
      <c r="N66" s="68"/>
    </row>
    <row r="67" customFormat="false" ht="15" hidden="false" customHeight="false" outlineLevel="0" collapsed="false">
      <c r="A67" s="26" t="str">
        <f aca="false">IF($B67="","","EX-"&amp;TEXT(ROW()-6,"000"))</f>
        <v>EX-061</v>
      </c>
      <c r="B67" s="68" t="s">
        <v>680</v>
      </c>
      <c r="C67" s="28" t="s">
        <v>536</v>
      </c>
      <c r="D67" s="28" t="s">
        <v>515</v>
      </c>
      <c r="E67" s="28" t="s">
        <v>537</v>
      </c>
      <c r="F67" s="68" t="s">
        <v>681</v>
      </c>
      <c r="G67" s="68" t="s">
        <v>682</v>
      </c>
      <c r="H67" s="68" t="s">
        <v>683</v>
      </c>
      <c r="I67" s="28" t="n">
        <v>1</v>
      </c>
      <c r="J67" s="28" t="n">
        <v>12</v>
      </c>
      <c r="K67" s="28" t="s">
        <v>435</v>
      </c>
      <c r="L67" s="28" t="n">
        <v>5</v>
      </c>
      <c r="M67" s="28" t="s">
        <v>436</v>
      </c>
      <c r="N67" s="68"/>
    </row>
    <row r="68" customFormat="false" ht="15" hidden="false" customHeight="false" outlineLevel="0" collapsed="false">
      <c r="A68" s="26" t="str">
        <f aca="false">IF($B68="","","EX-"&amp;TEXT(ROW()-6,"000"))</f>
        <v>EX-062</v>
      </c>
      <c r="B68" s="68" t="s">
        <v>300</v>
      </c>
      <c r="C68" s="28" t="s">
        <v>536</v>
      </c>
      <c r="D68" s="28" t="s">
        <v>515</v>
      </c>
      <c r="E68" s="28" t="s">
        <v>537</v>
      </c>
      <c r="F68" s="68" t="s">
        <v>684</v>
      </c>
      <c r="G68" s="68" t="s">
        <v>671</v>
      </c>
      <c r="H68" s="68" t="s">
        <v>685</v>
      </c>
      <c r="I68" s="28" t="n">
        <v>1</v>
      </c>
      <c r="J68" s="28" t="n">
        <v>10</v>
      </c>
      <c r="K68" s="28" t="s">
        <v>435</v>
      </c>
      <c r="L68" s="28" t="n">
        <v>5</v>
      </c>
      <c r="M68" s="28" t="s">
        <v>436</v>
      </c>
      <c r="N68" s="68"/>
    </row>
    <row r="69" customFormat="false" ht="15" hidden="false" customHeight="false" outlineLevel="0" collapsed="false">
      <c r="A69" s="26" t="str">
        <f aca="false">IF($B69="","","EX-"&amp;TEXT(ROW()-6,"000"))</f>
        <v>EX-063</v>
      </c>
      <c r="B69" s="68" t="s">
        <v>302</v>
      </c>
      <c r="C69" s="28" t="s">
        <v>536</v>
      </c>
      <c r="D69" s="28" t="s">
        <v>515</v>
      </c>
      <c r="E69" s="28" t="s">
        <v>537</v>
      </c>
      <c r="F69" s="68" t="s">
        <v>686</v>
      </c>
      <c r="G69" s="68" t="s">
        <v>678</v>
      </c>
      <c r="H69" s="68" t="s">
        <v>687</v>
      </c>
      <c r="I69" s="28" t="n">
        <v>1</v>
      </c>
      <c r="J69" s="28" t="n">
        <v>10</v>
      </c>
      <c r="K69" s="28" t="s">
        <v>435</v>
      </c>
      <c r="L69" s="28" t="n">
        <v>5</v>
      </c>
      <c r="M69" s="28" t="s">
        <v>436</v>
      </c>
      <c r="N69" s="68"/>
    </row>
    <row r="70" customFormat="false" ht="15" hidden="false" customHeight="false" outlineLevel="0" collapsed="false">
      <c r="A70" s="26" t="str">
        <f aca="false">IF($B70="","","EX-"&amp;TEXT(ROW()-6,"000"))</f>
        <v>EX-064</v>
      </c>
      <c r="B70" s="68" t="s">
        <v>688</v>
      </c>
      <c r="C70" s="28" t="s">
        <v>536</v>
      </c>
      <c r="D70" s="28" t="s">
        <v>515</v>
      </c>
      <c r="E70" s="28" t="s">
        <v>537</v>
      </c>
      <c r="F70" s="68" t="s">
        <v>689</v>
      </c>
      <c r="G70" s="68" t="s">
        <v>690</v>
      </c>
      <c r="H70" s="68" t="s">
        <v>691</v>
      </c>
      <c r="I70" s="28" t="n">
        <v>1</v>
      </c>
      <c r="J70" s="28" t="n">
        <v>25</v>
      </c>
      <c r="K70" s="28" t="s">
        <v>447</v>
      </c>
      <c r="L70" s="28" t="n">
        <v>8</v>
      </c>
      <c r="M70" s="28" t="s">
        <v>442</v>
      </c>
      <c r="N70" s="68"/>
    </row>
    <row r="71" customFormat="false" ht="15" hidden="false" customHeight="false" outlineLevel="0" collapsed="false">
      <c r="A71" s="26" t="str">
        <f aca="false">IF($B71="","","EX-"&amp;TEXT(ROW()-6,"000"))</f>
        <v>EX-065</v>
      </c>
      <c r="B71" s="68" t="s">
        <v>692</v>
      </c>
      <c r="C71" s="28" t="s">
        <v>536</v>
      </c>
      <c r="D71" s="28" t="s">
        <v>515</v>
      </c>
      <c r="E71" s="28" t="s">
        <v>537</v>
      </c>
      <c r="F71" s="68" t="s">
        <v>693</v>
      </c>
      <c r="G71" s="68" t="s">
        <v>694</v>
      </c>
      <c r="H71" s="68" t="s">
        <v>691</v>
      </c>
      <c r="I71" s="28" t="n">
        <v>1</v>
      </c>
      <c r="J71" s="28" t="n">
        <v>25</v>
      </c>
      <c r="K71" s="28" t="s">
        <v>441</v>
      </c>
      <c r="L71" s="28" t="n">
        <v>7</v>
      </c>
      <c r="M71" s="28" t="s">
        <v>436</v>
      </c>
      <c r="N71" s="68"/>
    </row>
    <row r="72" customFormat="false" ht="15" hidden="false" customHeight="false" outlineLevel="0" collapsed="false">
      <c r="A72" s="26" t="str">
        <f aca="false">IF($B72="","","EX-"&amp;TEXT(ROW()-6,"000"))</f>
        <v>EX-066</v>
      </c>
      <c r="B72" s="68" t="s">
        <v>695</v>
      </c>
      <c r="C72" s="28" t="s">
        <v>536</v>
      </c>
      <c r="D72" s="28" t="s">
        <v>515</v>
      </c>
      <c r="E72" s="28" t="s">
        <v>537</v>
      </c>
      <c r="F72" s="68" t="s">
        <v>696</v>
      </c>
      <c r="G72" s="68" t="s">
        <v>697</v>
      </c>
      <c r="H72" s="68" t="s">
        <v>691</v>
      </c>
      <c r="I72" s="28" t="n">
        <v>1</v>
      </c>
      <c r="J72" s="28" t="n">
        <v>20</v>
      </c>
      <c r="K72" s="28" t="s">
        <v>441</v>
      </c>
      <c r="L72" s="28" t="n">
        <v>7</v>
      </c>
      <c r="M72" s="28" t="s">
        <v>442</v>
      </c>
      <c r="N72" s="68"/>
    </row>
    <row r="73" customFormat="false" ht="22.35" hidden="false" customHeight="false" outlineLevel="0" collapsed="false">
      <c r="A73" s="26" t="str">
        <f aca="false">IF($B73="","","EX-"&amp;TEXT(ROW()-6,"000"))</f>
        <v>EX-067</v>
      </c>
      <c r="B73" s="68" t="s">
        <v>698</v>
      </c>
      <c r="C73" s="28" t="s">
        <v>536</v>
      </c>
      <c r="D73" s="28" t="s">
        <v>515</v>
      </c>
      <c r="E73" s="28" t="s">
        <v>444</v>
      </c>
      <c r="F73" s="68" t="s">
        <v>699</v>
      </c>
      <c r="G73" s="68" t="s">
        <v>666</v>
      </c>
      <c r="H73" s="68" t="s">
        <v>700</v>
      </c>
      <c r="I73" s="28" t="n">
        <v>1</v>
      </c>
      <c r="J73" s="28" t="n">
        <v>15</v>
      </c>
      <c r="K73" s="28" t="s">
        <v>435</v>
      </c>
      <c r="L73" s="28" t="n">
        <v>6</v>
      </c>
      <c r="M73" s="28" t="s">
        <v>442</v>
      </c>
      <c r="N73" s="68"/>
    </row>
    <row r="74" customFormat="false" ht="15" hidden="false" customHeight="false" outlineLevel="0" collapsed="false">
      <c r="A74" s="26" t="str">
        <f aca="false">IF($B74="","","EX-"&amp;TEXT(ROW()-6,"000"))</f>
        <v>EX-068</v>
      </c>
      <c r="B74" s="68" t="s">
        <v>701</v>
      </c>
      <c r="C74" s="28" t="s">
        <v>536</v>
      </c>
      <c r="D74" s="28" t="s">
        <v>515</v>
      </c>
      <c r="E74" s="28" t="s">
        <v>537</v>
      </c>
      <c r="F74" s="68" t="s">
        <v>702</v>
      </c>
      <c r="G74" s="68" t="s">
        <v>703</v>
      </c>
      <c r="H74" s="68" t="s">
        <v>544</v>
      </c>
      <c r="I74" s="28" t="n">
        <v>1</v>
      </c>
      <c r="J74" s="28" t="n">
        <v>18</v>
      </c>
      <c r="K74" s="28" t="s">
        <v>441</v>
      </c>
      <c r="L74" s="28" t="n">
        <v>7</v>
      </c>
      <c r="M74" s="28" t="s">
        <v>442</v>
      </c>
      <c r="N74" s="68"/>
    </row>
    <row r="75" customFormat="false" ht="15" hidden="false" customHeight="false" outlineLevel="0" collapsed="false">
      <c r="A75" s="26" t="str">
        <f aca="false">IF($B75="","","EX-"&amp;TEXT(ROW()-6,"000"))</f>
        <v>EX-069</v>
      </c>
      <c r="B75" s="68" t="s">
        <v>704</v>
      </c>
      <c r="C75" s="28" t="s">
        <v>536</v>
      </c>
      <c r="D75" s="28" t="s">
        <v>515</v>
      </c>
      <c r="E75" s="28" t="s">
        <v>537</v>
      </c>
      <c r="F75" s="68" t="s">
        <v>705</v>
      </c>
      <c r="G75" s="68" t="s">
        <v>706</v>
      </c>
      <c r="H75" s="68" t="s">
        <v>707</v>
      </c>
      <c r="I75" s="28" t="n">
        <v>1</v>
      </c>
      <c r="J75" s="28" t="n">
        <v>18</v>
      </c>
      <c r="K75" s="28" t="s">
        <v>441</v>
      </c>
      <c r="L75" s="28" t="n">
        <v>7</v>
      </c>
      <c r="M75" s="28" t="s">
        <v>436</v>
      </c>
      <c r="N75" s="68"/>
    </row>
    <row r="76" customFormat="false" ht="15" hidden="false" customHeight="false" outlineLevel="0" collapsed="false">
      <c r="A76" s="26" t="str">
        <f aca="false">IF($B76="","","EX-"&amp;TEXT(ROW()-6,"000"))</f>
        <v>EX-070</v>
      </c>
      <c r="B76" s="68" t="s">
        <v>708</v>
      </c>
      <c r="C76" s="28" t="s">
        <v>536</v>
      </c>
      <c r="D76" s="28" t="s">
        <v>515</v>
      </c>
      <c r="E76" s="28" t="s">
        <v>537</v>
      </c>
      <c r="F76" s="68" t="s">
        <v>709</v>
      </c>
      <c r="G76" s="68" t="s">
        <v>710</v>
      </c>
      <c r="H76" s="68" t="s">
        <v>548</v>
      </c>
      <c r="I76" s="28" t="n">
        <v>1</v>
      </c>
      <c r="J76" s="28" t="n">
        <v>12</v>
      </c>
      <c r="K76" s="28" t="s">
        <v>435</v>
      </c>
      <c r="L76" s="28" t="n">
        <v>6</v>
      </c>
      <c r="M76" s="28" t="s">
        <v>436</v>
      </c>
      <c r="N76" s="68"/>
    </row>
    <row r="77" customFormat="false" ht="15" hidden="false" customHeight="false" outlineLevel="0" collapsed="false">
      <c r="A77" s="26" t="str">
        <f aca="false">IF($B77="","","EX-"&amp;TEXT(ROW()-6,"000"))</f>
        <v>EX-071</v>
      </c>
      <c r="B77" s="68" t="s">
        <v>711</v>
      </c>
      <c r="C77" s="28" t="s">
        <v>536</v>
      </c>
      <c r="D77" s="28" t="s">
        <v>515</v>
      </c>
      <c r="E77" s="28" t="s">
        <v>537</v>
      </c>
      <c r="F77" s="68" t="s">
        <v>712</v>
      </c>
      <c r="G77" s="68" t="s">
        <v>662</v>
      </c>
      <c r="H77" s="68" t="s">
        <v>713</v>
      </c>
      <c r="I77" s="28" t="n">
        <v>1</v>
      </c>
      <c r="J77" s="28" t="n">
        <v>12</v>
      </c>
      <c r="K77" s="28" t="s">
        <v>435</v>
      </c>
      <c r="L77" s="28" t="n">
        <v>5</v>
      </c>
      <c r="M77" s="28" t="s">
        <v>436</v>
      </c>
      <c r="N77" s="68"/>
    </row>
    <row r="78" customFormat="false" ht="15" hidden="false" customHeight="false" outlineLevel="0" collapsed="false">
      <c r="A78" s="26" t="str">
        <f aca="false">IF($B78="","","EX-"&amp;TEXT(ROW()-6,"000"))</f>
        <v>EX-072</v>
      </c>
      <c r="B78" s="68" t="s">
        <v>714</v>
      </c>
      <c r="C78" s="28" t="s">
        <v>536</v>
      </c>
      <c r="D78" s="28" t="s">
        <v>515</v>
      </c>
      <c r="E78" s="28" t="s">
        <v>537</v>
      </c>
      <c r="F78" s="68" t="s">
        <v>715</v>
      </c>
      <c r="G78" s="68" t="s">
        <v>671</v>
      </c>
      <c r="H78" s="68" t="s">
        <v>716</v>
      </c>
      <c r="I78" s="28" t="n">
        <v>1</v>
      </c>
      <c r="J78" s="28" t="n">
        <v>12</v>
      </c>
      <c r="K78" s="28" t="s">
        <v>441</v>
      </c>
      <c r="L78" s="28" t="n">
        <v>6</v>
      </c>
      <c r="M78" s="28" t="s">
        <v>442</v>
      </c>
      <c r="N78" s="68"/>
    </row>
    <row r="79" customFormat="false" ht="15" hidden="false" customHeight="false" outlineLevel="0" collapsed="false">
      <c r="A79" s="26" t="str">
        <f aca="false">IF($B79="","","EX-"&amp;TEXT(ROW()-6,"000"))</f>
        <v>EX-073</v>
      </c>
      <c r="B79" s="68" t="s">
        <v>717</v>
      </c>
      <c r="C79" s="28" t="s">
        <v>536</v>
      </c>
      <c r="D79" s="28" t="s">
        <v>515</v>
      </c>
      <c r="E79" s="28" t="s">
        <v>537</v>
      </c>
      <c r="F79" s="68" t="s">
        <v>718</v>
      </c>
      <c r="G79" s="68" t="s">
        <v>666</v>
      </c>
      <c r="H79" s="68" t="s">
        <v>548</v>
      </c>
      <c r="I79" s="28" t="n">
        <v>1</v>
      </c>
      <c r="J79" s="28" t="n">
        <v>12</v>
      </c>
      <c r="K79" s="28" t="s">
        <v>435</v>
      </c>
      <c r="L79" s="28" t="n">
        <v>6</v>
      </c>
      <c r="M79" s="28" t="s">
        <v>436</v>
      </c>
      <c r="N79" s="68"/>
    </row>
    <row r="80" customFormat="false" ht="15" hidden="false" customHeight="false" outlineLevel="0" collapsed="false">
      <c r="A80" s="26" t="str">
        <f aca="false">IF($B80="","","EX-"&amp;TEXT(ROW()-6,"000"))</f>
        <v>EX-074</v>
      </c>
      <c r="B80" s="68" t="s">
        <v>719</v>
      </c>
      <c r="C80" s="28" t="s">
        <v>536</v>
      </c>
      <c r="D80" s="28" t="s">
        <v>515</v>
      </c>
      <c r="E80" s="28" t="s">
        <v>537</v>
      </c>
      <c r="F80" s="68" t="s">
        <v>712</v>
      </c>
      <c r="G80" s="68" t="s">
        <v>674</v>
      </c>
      <c r="H80" s="68" t="s">
        <v>713</v>
      </c>
      <c r="I80" s="28" t="n">
        <v>1</v>
      </c>
      <c r="J80" s="28" t="n">
        <v>12</v>
      </c>
      <c r="K80" s="28" t="s">
        <v>435</v>
      </c>
      <c r="L80" s="28" t="n">
        <v>5</v>
      </c>
      <c r="M80" s="28" t="s">
        <v>436</v>
      </c>
      <c r="N80" s="68"/>
    </row>
    <row r="81" customFormat="false" ht="15" hidden="false" customHeight="false" outlineLevel="0" collapsed="false">
      <c r="A81" s="26" t="str">
        <f aca="false">IF($B81="","","EX-"&amp;TEXT(ROW()-6,"000"))</f>
        <v>EX-075</v>
      </c>
      <c r="B81" s="68" t="s">
        <v>720</v>
      </c>
      <c r="C81" s="28" t="s">
        <v>536</v>
      </c>
      <c r="D81" s="28" t="s">
        <v>515</v>
      </c>
      <c r="E81" s="28" t="s">
        <v>537</v>
      </c>
      <c r="F81" s="68" t="s">
        <v>715</v>
      </c>
      <c r="G81" s="68" t="s">
        <v>678</v>
      </c>
      <c r="H81" s="68" t="s">
        <v>716</v>
      </c>
      <c r="I81" s="28" t="n">
        <v>1</v>
      </c>
      <c r="J81" s="28" t="n">
        <v>12</v>
      </c>
      <c r="K81" s="28" t="s">
        <v>441</v>
      </c>
      <c r="L81" s="28" t="n">
        <v>6</v>
      </c>
      <c r="M81" s="28" t="s">
        <v>442</v>
      </c>
      <c r="N81" s="68"/>
    </row>
    <row r="82" customFormat="false" ht="15" hidden="false" customHeight="false" outlineLevel="0" collapsed="false">
      <c r="A82" s="26" t="str">
        <f aca="false">IF($B82="","","EX-"&amp;TEXT(ROW()-6,"000"))</f>
        <v>EX-076</v>
      </c>
      <c r="B82" s="68" t="s">
        <v>721</v>
      </c>
      <c r="C82" s="28" t="s">
        <v>536</v>
      </c>
      <c r="D82" s="28" t="s">
        <v>515</v>
      </c>
      <c r="E82" s="28" t="s">
        <v>537</v>
      </c>
      <c r="F82" s="68" t="s">
        <v>722</v>
      </c>
      <c r="G82" s="68" t="s">
        <v>723</v>
      </c>
      <c r="H82" s="68" t="s">
        <v>724</v>
      </c>
      <c r="I82" s="28" t="n">
        <v>1</v>
      </c>
      <c r="J82" s="28" t="n">
        <v>12</v>
      </c>
      <c r="K82" s="28" t="s">
        <v>435</v>
      </c>
      <c r="L82" s="28" t="n">
        <v>6</v>
      </c>
      <c r="M82" s="28" t="s">
        <v>436</v>
      </c>
      <c r="N82" s="68"/>
    </row>
    <row r="83" customFormat="false" ht="15" hidden="false" customHeight="false" outlineLevel="0" collapsed="false">
      <c r="A83" s="26" t="str">
        <f aca="false">IF($B83="","","EX-"&amp;TEXT(ROW()-6,"000"))</f>
        <v>EX-077</v>
      </c>
      <c r="B83" s="68" t="s">
        <v>725</v>
      </c>
      <c r="C83" s="28" t="s">
        <v>536</v>
      </c>
      <c r="D83" s="28" t="s">
        <v>515</v>
      </c>
      <c r="E83" s="28" t="s">
        <v>537</v>
      </c>
      <c r="F83" s="68" t="s">
        <v>726</v>
      </c>
      <c r="G83" s="68" t="s">
        <v>727</v>
      </c>
      <c r="H83" s="68" t="s">
        <v>724</v>
      </c>
      <c r="I83" s="28" t="n">
        <v>1</v>
      </c>
      <c r="J83" s="28" t="n">
        <v>12</v>
      </c>
      <c r="K83" s="28" t="s">
        <v>435</v>
      </c>
      <c r="L83" s="28" t="n">
        <v>6</v>
      </c>
      <c r="M83" s="28" t="s">
        <v>436</v>
      </c>
      <c r="N83" s="68"/>
    </row>
    <row r="84" customFormat="false" ht="15" hidden="false" customHeight="false" outlineLevel="0" collapsed="false">
      <c r="A84" s="26" t="str">
        <f aca="false">IF($B84="","","EX-"&amp;TEXT(ROW()-6,"000"))</f>
        <v>EX-078</v>
      </c>
      <c r="B84" s="68" t="s">
        <v>728</v>
      </c>
      <c r="C84" s="28" t="s">
        <v>588</v>
      </c>
      <c r="D84" s="28" t="s">
        <v>515</v>
      </c>
      <c r="E84" s="28" t="s">
        <v>537</v>
      </c>
      <c r="F84" s="68" t="s">
        <v>729</v>
      </c>
      <c r="G84" s="68" t="s">
        <v>730</v>
      </c>
      <c r="H84" s="68" t="s">
        <v>731</v>
      </c>
      <c r="I84" s="28" t="n">
        <v>1</v>
      </c>
      <c r="J84" s="28" t="n">
        <v>10</v>
      </c>
      <c r="K84" s="28" t="s">
        <v>435</v>
      </c>
      <c r="L84" s="28" t="n">
        <v>5</v>
      </c>
      <c r="M84" s="28" t="s">
        <v>436</v>
      </c>
      <c r="N84" s="68"/>
    </row>
    <row r="85" customFormat="false" ht="15" hidden="false" customHeight="false" outlineLevel="0" collapsed="false">
      <c r="A85" s="26" t="str">
        <f aca="false">IF($B85="","","EX-"&amp;TEXT(ROW()-6,"000"))</f>
        <v>EX-079</v>
      </c>
      <c r="B85" s="68" t="s">
        <v>732</v>
      </c>
      <c r="C85" s="28" t="s">
        <v>536</v>
      </c>
      <c r="D85" s="28" t="s">
        <v>515</v>
      </c>
      <c r="E85" s="28" t="s">
        <v>583</v>
      </c>
      <c r="F85" s="68" t="s">
        <v>733</v>
      </c>
      <c r="G85" s="68" t="s">
        <v>710</v>
      </c>
      <c r="H85" s="68" t="s">
        <v>734</v>
      </c>
      <c r="I85" s="28" t="n">
        <v>1</v>
      </c>
      <c r="J85" s="28" t="n">
        <v>8</v>
      </c>
      <c r="K85" s="28" t="s">
        <v>435</v>
      </c>
      <c r="L85" s="28" t="n">
        <v>4</v>
      </c>
      <c r="M85" s="28" t="s">
        <v>436</v>
      </c>
      <c r="N85" s="68"/>
    </row>
    <row r="86" customFormat="false" ht="15" hidden="false" customHeight="false" outlineLevel="0" collapsed="false">
      <c r="A86" s="26" t="str">
        <f aca="false">IF($B86="","","EX-"&amp;TEXT(ROW()-6,"000"))</f>
        <v>EX-080</v>
      </c>
      <c r="B86" s="68" t="s">
        <v>735</v>
      </c>
      <c r="C86" s="28" t="s">
        <v>536</v>
      </c>
      <c r="D86" s="28" t="s">
        <v>515</v>
      </c>
      <c r="E86" s="28" t="s">
        <v>583</v>
      </c>
      <c r="F86" s="68" t="s">
        <v>736</v>
      </c>
      <c r="G86" s="68" t="s">
        <v>666</v>
      </c>
      <c r="H86" s="68" t="s">
        <v>734</v>
      </c>
      <c r="I86" s="28" t="n">
        <v>1</v>
      </c>
      <c r="J86" s="28" t="n">
        <v>8</v>
      </c>
      <c r="K86" s="28" t="s">
        <v>435</v>
      </c>
      <c r="L86" s="28" t="n">
        <v>4</v>
      </c>
      <c r="M86" s="28" t="s">
        <v>436</v>
      </c>
      <c r="N86" s="68"/>
    </row>
    <row r="87" customFormat="false" ht="15" hidden="false" customHeight="false" outlineLevel="0" collapsed="false">
      <c r="A87" s="26" t="str">
        <f aca="false">IF($B87="","","EX-"&amp;TEXT(ROW()-6,"000"))</f>
        <v>EX-081</v>
      </c>
      <c r="B87" s="68" t="s">
        <v>737</v>
      </c>
      <c r="C87" s="28" t="s">
        <v>536</v>
      </c>
      <c r="D87" s="28" t="s">
        <v>515</v>
      </c>
      <c r="E87" s="28" t="s">
        <v>583</v>
      </c>
      <c r="F87" s="68" t="s">
        <v>738</v>
      </c>
      <c r="G87" s="68" t="s">
        <v>662</v>
      </c>
      <c r="H87" s="68" t="s">
        <v>739</v>
      </c>
      <c r="I87" s="28" t="n">
        <v>1</v>
      </c>
      <c r="J87" s="28" t="n">
        <v>8</v>
      </c>
      <c r="K87" s="28" t="s">
        <v>435</v>
      </c>
      <c r="L87" s="28" t="n">
        <v>4</v>
      </c>
      <c r="M87" s="28" t="s">
        <v>436</v>
      </c>
      <c r="N87" s="68"/>
    </row>
    <row r="88" customFormat="false" ht="15" hidden="false" customHeight="false" outlineLevel="0" collapsed="false">
      <c r="A88" s="26" t="str">
        <f aca="false">IF($B88="","","EX-"&amp;TEXT(ROW()-6,"000"))</f>
        <v>EX-082</v>
      </c>
      <c r="B88" s="68" t="s">
        <v>740</v>
      </c>
      <c r="C88" s="28" t="s">
        <v>536</v>
      </c>
      <c r="D88" s="28" t="s">
        <v>515</v>
      </c>
      <c r="E88" s="28" t="s">
        <v>583</v>
      </c>
      <c r="F88" s="68" t="s">
        <v>733</v>
      </c>
      <c r="G88" s="68" t="s">
        <v>674</v>
      </c>
      <c r="H88" s="68" t="s">
        <v>734</v>
      </c>
      <c r="I88" s="28" t="n">
        <v>1</v>
      </c>
      <c r="J88" s="28" t="n">
        <v>8</v>
      </c>
      <c r="K88" s="28" t="s">
        <v>435</v>
      </c>
      <c r="L88" s="28" t="n">
        <v>4</v>
      </c>
      <c r="M88" s="28" t="s">
        <v>436</v>
      </c>
      <c r="N88" s="68"/>
    </row>
    <row r="89" customFormat="false" ht="15" hidden="false" customHeight="false" outlineLevel="0" collapsed="false">
      <c r="A89" s="26" t="str">
        <f aca="false">IF($B89="","","EX-"&amp;TEXT(ROW()-6,"000"))</f>
        <v>EX-083</v>
      </c>
      <c r="B89" s="68" t="s">
        <v>741</v>
      </c>
      <c r="C89" s="28" t="s">
        <v>536</v>
      </c>
      <c r="D89" s="28" t="s">
        <v>515</v>
      </c>
      <c r="E89" s="28" t="s">
        <v>583</v>
      </c>
      <c r="F89" s="68" t="s">
        <v>742</v>
      </c>
      <c r="G89" s="68" t="s">
        <v>743</v>
      </c>
      <c r="H89" s="68" t="s">
        <v>744</v>
      </c>
      <c r="I89" s="28" t="n">
        <v>1</v>
      </c>
      <c r="J89" s="28" t="n">
        <v>8</v>
      </c>
      <c r="K89" s="28" t="s">
        <v>441</v>
      </c>
      <c r="L89" s="28" t="n">
        <v>5</v>
      </c>
      <c r="M89" s="28" t="s">
        <v>442</v>
      </c>
      <c r="N89" s="68"/>
    </row>
    <row r="90" customFormat="false" ht="15" hidden="false" customHeight="false" outlineLevel="0" collapsed="false">
      <c r="A90" s="26" t="str">
        <f aca="false">IF($B90="","","EX-"&amp;TEXT(ROW()-6,"000"))</f>
        <v>EX-084</v>
      </c>
      <c r="B90" s="68" t="s">
        <v>745</v>
      </c>
      <c r="C90" s="28" t="s">
        <v>536</v>
      </c>
      <c r="D90" s="28" t="s">
        <v>515</v>
      </c>
      <c r="E90" s="28" t="s">
        <v>583</v>
      </c>
      <c r="F90" s="68" t="s">
        <v>746</v>
      </c>
      <c r="G90" s="68" t="s">
        <v>671</v>
      </c>
      <c r="H90" s="68" t="s">
        <v>747</v>
      </c>
      <c r="I90" s="28" t="n">
        <v>1</v>
      </c>
      <c r="J90" s="28" t="n">
        <v>8</v>
      </c>
      <c r="K90" s="28" t="s">
        <v>441</v>
      </c>
      <c r="L90" s="28" t="n">
        <v>6</v>
      </c>
      <c r="M90" s="28" t="s">
        <v>448</v>
      </c>
      <c r="N90" s="68"/>
    </row>
    <row r="91" customFormat="false" ht="15" hidden="false" customHeight="false" outlineLevel="0" collapsed="false">
      <c r="A91" s="26" t="str">
        <f aca="false">IF($B91="","","EX-"&amp;TEXT(ROW()-6,"000"))</f>
        <v>EX-085</v>
      </c>
      <c r="B91" s="68" t="s">
        <v>748</v>
      </c>
      <c r="C91" s="28" t="s">
        <v>536</v>
      </c>
      <c r="D91" s="28" t="s">
        <v>515</v>
      </c>
      <c r="E91" s="28" t="s">
        <v>583</v>
      </c>
      <c r="F91" s="68" t="s">
        <v>749</v>
      </c>
      <c r="G91" s="68" t="s">
        <v>750</v>
      </c>
      <c r="H91" s="68" t="s">
        <v>744</v>
      </c>
      <c r="I91" s="28" t="n">
        <v>1</v>
      </c>
      <c r="J91" s="28" t="n">
        <v>8</v>
      </c>
      <c r="K91" s="28" t="s">
        <v>441</v>
      </c>
      <c r="L91" s="28" t="n">
        <v>5</v>
      </c>
      <c r="M91" s="28" t="s">
        <v>442</v>
      </c>
      <c r="N91" s="68"/>
    </row>
    <row r="92" customFormat="false" ht="15" hidden="false" customHeight="false" outlineLevel="0" collapsed="false">
      <c r="A92" s="26" t="str">
        <f aca="false">IF($B92="","","EX-"&amp;TEXT(ROW()-6,"000"))</f>
        <v>EX-086</v>
      </c>
      <c r="B92" s="68" t="s">
        <v>751</v>
      </c>
      <c r="C92" s="28" t="s">
        <v>536</v>
      </c>
      <c r="D92" s="28" t="s">
        <v>515</v>
      </c>
      <c r="E92" s="28" t="s">
        <v>583</v>
      </c>
      <c r="F92" s="68" t="s">
        <v>749</v>
      </c>
      <c r="G92" s="68" t="s">
        <v>678</v>
      </c>
      <c r="H92" s="68" t="s">
        <v>734</v>
      </c>
      <c r="I92" s="28" t="n">
        <v>1</v>
      </c>
      <c r="J92" s="28" t="n">
        <v>8</v>
      </c>
      <c r="K92" s="28" t="s">
        <v>441</v>
      </c>
      <c r="L92" s="28" t="n">
        <v>5</v>
      </c>
      <c r="M92" s="28" t="s">
        <v>442</v>
      </c>
      <c r="N92" s="68"/>
    </row>
    <row r="93" customFormat="false" ht="15" hidden="false" customHeight="false" outlineLevel="0" collapsed="false">
      <c r="A93" s="26" t="str">
        <f aca="false">IF($B93="","","EX-"&amp;TEXT(ROW()-6,"000"))</f>
        <v>EX-087</v>
      </c>
      <c r="B93" s="68" t="s">
        <v>752</v>
      </c>
      <c r="C93" s="28" t="s">
        <v>588</v>
      </c>
      <c r="D93" s="28" t="s">
        <v>515</v>
      </c>
      <c r="E93" s="28" t="s">
        <v>583</v>
      </c>
      <c r="F93" s="68" t="s">
        <v>753</v>
      </c>
      <c r="G93" s="68" t="s">
        <v>754</v>
      </c>
      <c r="H93" s="68" t="s">
        <v>734</v>
      </c>
      <c r="I93" s="28" t="n">
        <v>1</v>
      </c>
      <c r="J93" s="28" t="n">
        <v>8</v>
      </c>
      <c r="K93" s="28" t="s">
        <v>467</v>
      </c>
      <c r="L93" s="28" t="n">
        <v>3</v>
      </c>
      <c r="M93" s="28" t="s">
        <v>436</v>
      </c>
      <c r="N93" s="68"/>
    </row>
    <row r="94" customFormat="false" ht="15" hidden="false" customHeight="false" outlineLevel="0" collapsed="false">
      <c r="A94" s="26" t="str">
        <f aca="false">IF($B94="","","EX-"&amp;TEXT(ROW()-6,"000"))</f>
        <v>EX-088</v>
      </c>
      <c r="B94" s="68" t="s">
        <v>755</v>
      </c>
      <c r="C94" s="28" t="s">
        <v>588</v>
      </c>
      <c r="D94" s="28" t="s">
        <v>515</v>
      </c>
      <c r="E94" s="28" t="s">
        <v>583</v>
      </c>
      <c r="F94" s="68" t="s">
        <v>756</v>
      </c>
      <c r="G94" s="68" t="s">
        <v>723</v>
      </c>
      <c r="H94" s="68" t="s">
        <v>757</v>
      </c>
      <c r="I94" s="28" t="n">
        <v>1</v>
      </c>
      <c r="J94" s="28" t="n">
        <v>8</v>
      </c>
      <c r="K94" s="28" t="s">
        <v>467</v>
      </c>
      <c r="L94" s="28" t="n">
        <v>3</v>
      </c>
      <c r="M94" s="28" t="s">
        <v>436</v>
      </c>
      <c r="N94" s="68"/>
    </row>
    <row r="95" customFormat="false" ht="15" hidden="false" customHeight="false" outlineLevel="0" collapsed="false">
      <c r="A95" s="26" t="str">
        <f aca="false">IF($B95="","","EX-"&amp;TEXT(ROW()-6,"000"))</f>
        <v>EX-089</v>
      </c>
      <c r="B95" s="68" t="s">
        <v>758</v>
      </c>
      <c r="C95" s="28" t="s">
        <v>536</v>
      </c>
      <c r="D95" s="28" t="s">
        <v>515</v>
      </c>
      <c r="E95" s="28" t="s">
        <v>537</v>
      </c>
      <c r="F95" s="68" t="s">
        <v>759</v>
      </c>
      <c r="G95" s="68" t="s">
        <v>760</v>
      </c>
      <c r="H95" s="68" t="s">
        <v>544</v>
      </c>
      <c r="I95" s="28" t="n">
        <v>1</v>
      </c>
      <c r="J95" s="28" t="n">
        <v>25</v>
      </c>
      <c r="K95" s="28" t="s">
        <v>447</v>
      </c>
      <c r="L95" s="28" t="n">
        <v>8</v>
      </c>
      <c r="M95" s="28" t="s">
        <v>448</v>
      </c>
      <c r="N95" s="68"/>
    </row>
    <row r="96" customFormat="false" ht="15" hidden="false" customHeight="false" outlineLevel="0" collapsed="false">
      <c r="A96" s="26" t="str">
        <f aca="false">IF($B96="","","EX-"&amp;TEXT(ROW()-6,"000"))</f>
        <v/>
      </c>
      <c r="B96" s="68"/>
      <c r="C96" s="28"/>
      <c r="D96" s="28"/>
      <c r="E96" s="28"/>
      <c r="F96" s="68"/>
      <c r="G96" s="68"/>
      <c r="H96" s="68"/>
      <c r="I96" s="28"/>
      <c r="J96" s="28"/>
      <c r="K96" s="28"/>
      <c r="L96" s="28"/>
      <c r="M96" s="28"/>
      <c r="N96" s="68"/>
    </row>
    <row r="97" customFormat="false" ht="15" hidden="false" customHeight="false" outlineLevel="0" collapsed="false">
      <c r="A97" s="26" t="str">
        <f aca="false">IF($B97="","","EX-"&amp;TEXT(ROW()-6,"000"))</f>
        <v/>
      </c>
      <c r="B97" s="68"/>
      <c r="C97" s="28"/>
      <c r="D97" s="28"/>
      <c r="E97" s="28"/>
      <c r="F97" s="68"/>
      <c r="G97" s="68"/>
      <c r="H97" s="68"/>
      <c r="I97" s="28"/>
      <c r="J97" s="28"/>
      <c r="K97" s="28"/>
      <c r="L97" s="28"/>
      <c r="M97" s="28"/>
      <c r="N97" s="68"/>
    </row>
    <row r="98" customFormat="false" ht="15" hidden="false" customHeight="false" outlineLevel="0" collapsed="false">
      <c r="A98" s="26" t="str">
        <f aca="false">IF($B98="","","EX-"&amp;TEXT(ROW()-6,"000"))</f>
        <v/>
      </c>
      <c r="B98" s="68"/>
      <c r="C98" s="28"/>
      <c r="D98" s="28"/>
      <c r="E98" s="28"/>
      <c r="F98" s="68"/>
      <c r="G98" s="68"/>
      <c r="H98" s="68"/>
      <c r="I98" s="28"/>
      <c r="J98" s="28"/>
      <c r="K98" s="28"/>
      <c r="L98" s="28"/>
      <c r="M98" s="28"/>
      <c r="N98" s="68"/>
    </row>
    <row r="99" customFormat="false" ht="15" hidden="false" customHeight="false" outlineLevel="0" collapsed="false">
      <c r="A99" s="26" t="str">
        <f aca="false">IF($B99="","","EX-"&amp;TEXT(ROW()-6,"000"))</f>
        <v/>
      </c>
      <c r="B99" s="68"/>
      <c r="C99" s="28"/>
      <c r="D99" s="28"/>
      <c r="E99" s="28"/>
      <c r="F99" s="68"/>
      <c r="G99" s="68"/>
      <c r="H99" s="68"/>
      <c r="I99" s="28"/>
      <c r="J99" s="28"/>
      <c r="K99" s="28"/>
      <c r="L99" s="28"/>
      <c r="M99" s="28"/>
      <c r="N99" s="68"/>
    </row>
    <row r="100" customFormat="false" ht="15" hidden="false" customHeight="false" outlineLevel="0" collapsed="false">
      <c r="A100" s="26" t="str">
        <f aca="false">IF($B100="","","EX-"&amp;TEXT(ROW()-6,"000"))</f>
        <v/>
      </c>
      <c r="B100" s="68"/>
      <c r="C100" s="28"/>
      <c r="D100" s="28"/>
      <c r="E100" s="28"/>
      <c r="F100" s="68"/>
      <c r="G100" s="68"/>
      <c r="H100" s="68"/>
      <c r="I100" s="28"/>
      <c r="J100" s="28"/>
      <c r="K100" s="28"/>
      <c r="L100" s="28"/>
      <c r="M100" s="28"/>
      <c r="N100" s="68"/>
    </row>
    <row r="101" customFormat="false" ht="15" hidden="false" customHeight="false" outlineLevel="0" collapsed="false">
      <c r="A101" s="26" t="str">
        <f aca="false">IF($B101="","","EX-"&amp;TEXT(ROW()-6,"000"))</f>
        <v/>
      </c>
      <c r="B101" s="68"/>
      <c r="C101" s="28"/>
      <c r="D101" s="28"/>
      <c r="E101" s="28"/>
      <c r="F101" s="68"/>
      <c r="G101" s="68"/>
      <c r="H101" s="68"/>
      <c r="I101" s="28"/>
      <c r="J101" s="28"/>
      <c r="K101" s="28"/>
      <c r="L101" s="28"/>
      <c r="M101" s="28"/>
      <c r="N101" s="68"/>
    </row>
    <row r="102" customFormat="false" ht="15" hidden="false" customHeight="false" outlineLevel="0" collapsed="false">
      <c r="A102" s="26" t="str">
        <f aca="false">IF($B102="","","EX-"&amp;TEXT(ROW()-6,"000"))</f>
        <v/>
      </c>
      <c r="B102" s="68"/>
      <c r="C102" s="28"/>
      <c r="D102" s="28"/>
      <c r="E102" s="28"/>
      <c r="F102" s="68"/>
      <c r="G102" s="68"/>
      <c r="H102" s="68"/>
      <c r="I102" s="28"/>
      <c r="J102" s="28"/>
      <c r="K102" s="28"/>
      <c r="L102" s="28"/>
      <c r="M102" s="28"/>
      <c r="N102" s="68"/>
    </row>
    <row r="103" customFormat="false" ht="15" hidden="false" customHeight="false" outlineLevel="0" collapsed="false">
      <c r="A103" s="26" t="str">
        <f aca="false">IF($B103="","","EX-"&amp;TEXT(ROW()-6,"000"))</f>
        <v/>
      </c>
      <c r="B103" s="68"/>
      <c r="C103" s="28"/>
      <c r="D103" s="28"/>
      <c r="E103" s="28"/>
      <c r="F103" s="68"/>
      <c r="G103" s="68"/>
      <c r="H103" s="68"/>
      <c r="I103" s="28"/>
      <c r="J103" s="28"/>
      <c r="K103" s="28"/>
      <c r="L103" s="28"/>
      <c r="M103" s="28"/>
      <c r="N103" s="68"/>
    </row>
    <row r="104" customFormat="false" ht="15" hidden="false" customHeight="false" outlineLevel="0" collapsed="false">
      <c r="A104" s="26" t="str">
        <f aca="false">IF($B104="","","EX-"&amp;TEXT(ROW()-6,"000"))</f>
        <v/>
      </c>
      <c r="B104" s="68"/>
      <c r="C104" s="28"/>
      <c r="D104" s="28"/>
      <c r="E104" s="28"/>
      <c r="F104" s="68"/>
      <c r="G104" s="68"/>
      <c r="H104" s="68"/>
      <c r="I104" s="28"/>
      <c r="J104" s="28"/>
      <c r="K104" s="28"/>
      <c r="L104" s="28"/>
      <c r="M104" s="28"/>
      <c r="N104" s="68"/>
    </row>
    <row r="105" customFormat="false" ht="15" hidden="false" customHeight="false" outlineLevel="0" collapsed="false">
      <c r="A105" s="26" t="str">
        <f aca="false">IF($B105="","","EX-"&amp;TEXT(ROW()-6,"000"))</f>
        <v/>
      </c>
      <c r="B105" s="68"/>
      <c r="C105" s="28"/>
      <c r="D105" s="28"/>
      <c r="E105" s="28"/>
      <c r="F105" s="68"/>
      <c r="G105" s="68"/>
      <c r="H105" s="68"/>
      <c r="I105" s="28"/>
      <c r="J105" s="28"/>
      <c r="K105" s="28"/>
      <c r="L105" s="28"/>
      <c r="M105" s="28"/>
      <c r="N105" s="68"/>
    </row>
    <row r="106" customFormat="false" ht="15" hidden="false" customHeight="false" outlineLevel="0" collapsed="false">
      <c r="A106" s="26" t="str">
        <f aca="false">IF($B106="","","EX-"&amp;TEXT(ROW()-6,"000"))</f>
        <v/>
      </c>
      <c r="B106" s="68"/>
      <c r="C106" s="28"/>
      <c r="D106" s="28"/>
      <c r="E106" s="28"/>
      <c r="F106" s="68"/>
      <c r="G106" s="68"/>
      <c r="H106" s="68"/>
      <c r="I106" s="28"/>
      <c r="J106" s="28"/>
      <c r="K106" s="28"/>
      <c r="L106" s="28"/>
      <c r="M106" s="28"/>
      <c r="N106" s="68"/>
    </row>
    <row r="107" customFormat="false" ht="15" hidden="false" customHeight="false" outlineLevel="0" collapsed="false">
      <c r="A107" s="26" t="str">
        <f aca="false">IF($B107="","","EX-"&amp;TEXT(ROW()-6,"000"))</f>
        <v/>
      </c>
      <c r="B107" s="68"/>
      <c r="C107" s="28"/>
      <c r="D107" s="28"/>
      <c r="E107" s="28"/>
      <c r="F107" s="68"/>
      <c r="G107" s="68"/>
      <c r="H107" s="68"/>
      <c r="I107" s="28"/>
      <c r="J107" s="28"/>
      <c r="K107" s="28"/>
      <c r="L107" s="28"/>
      <c r="M107" s="28"/>
      <c r="N107" s="68"/>
    </row>
    <row r="108" customFormat="false" ht="15" hidden="false" customHeight="false" outlineLevel="0" collapsed="false">
      <c r="A108" s="26" t="str">
        <f aca="false">IF($B108="","","EX-"&amp;TEXT(ROW()-6,"000"))</f>
        <v/>
      </c>
      <c r="B108" s="68"/>
      <c r="C108" s="28"/>
      <c r="D108" s="28"/>
      <c r="E108" s="28"/>
      <c r="F108" s="68"/>
      <c r="G108" s="68"/>
      <c r="H108" s="68"/>
      <c r="I108" s="28"/>
      <c r="J108" s="28"/>
      <c r="K108" s="28"/>
      <c r="L108" s="28"/>
      <c r="M108" s="28"/>
      <c r="N108" s="68"/>
    </row>
    <row r="109" customFormat="false" ht="15" hidden="false" customHeight="false" outlineLevel="0" collapsed="false">
      <c r="A109" s="26" t="str">
        <f aca="false">IF($B109="","","EX-"&amp;TEXT(ROW()-6,"000"))</f>
        <v/>
      </c>
      <c r="B109" s="68"/>
      <c r="C109" s="28"/>
      <c r="D109" s="28"/>
      <c r="E109" s="28"/>
      <c r="F109" s="68"/>
      <c r="G109" s="68"/>
      <c r="H109" s="68"/>
      <c r="I109" s="28"/>
      <c r="J109" s="28"/>
      <c r="K109" s="28"/>
      <c r="L109" s="28"/>
      <c r="M109" s="28"/>
      <c r="N109" s="68"/>
    </row>
    <row r="110" customFormat="false" ht="15" hidden="false" customHeight="false" outlineLevel="0" collapsed="false">
      <c r="A110" s="26" t="str">
        <f aca="false">IF($B110="","","EX-"&amp;TEXT(ROW()-6,"000"))</f>
        <v/>
      </c>
      <c r="B110" s="68"/>
      <c r="C110" s="28"/>
      <c r="D110" s="28"/>
      <c r="E110" s="28"/>
      <c r="F110" s="68"/>
      <c r="G110" s="68"/>
      <c r="H110" s="68"/>
      <c r="I110" s="28"/>
      <c r="J110" s="28"/>
      <c r="K110" s="28"/>
      <c r="L110" s="28"/>
      <c r="M110" s="28"/>
      <c r="N110" s="68"/>
    </row>
    <row r="111" customFormat="false" ht="15" hidden="false" customHeight="false" outlineLevel="0" collapsed="false">
      <c r="A111" s="26" t="str">
        <f aca="false">IF($B111="","","EX-"&amp;TEXT(ROW()-6,"000"))</f>
        <v/>
      </c>
      <c r="B111" s="68"/>
      <c r="C111" s="28"/>
      <c r="D111" s="28"/>
      <c r="E111" s="28"/>
      <c r="F111" s="68"/>
      <c r="G111" s="68"/>
      <c r="H111" s="68"/>
      <c r="I111" s="28"/>
      <c r="J111" s="28"/>
      <c r="K111" s="28"/>
      <c r="L111" s="28"/>
      <c r="M111" s="28"/>
      <c r="N111" s="68"/>
    </row>
    <row r="112" customFormat="false" ht="15" hidden="false" customHeight="false" outlineLevel="0" collapsed="false">
      <c r="A112" s="26" t="str">
        <f aca="false">IF($B112="","","EX-"&amp;TEXT(ROW()-6,"000"))</f>
        <v/>
      </c>
      <c r="B112" s="68"/>
      <c r="C112" s="28"/>
      <c r="D112" s="28"/>
      <c r="E112" s="28"/>
      <c r="F112" s="68"/>
      <c r="G112" s="68"/>
      <c r="H112" s="68"/>
      <c r="I112" s="28"/>
      <c r="J112" s="28"/>
      <c r="K112" s="28"/>
      <c r="L112" s="28"/>
      <c r="M112" s="28"/>
      <c r="N112" s="68"/>
    </row>
    <row r="113" customFormat="false" ht="15" hidden="false" customHeight="false" outlineLevel="0" collapsed="false">
      <c r="A113" s="26" t="str">
        <f aca="false">IF($B113="","","EX-"&amp;TEXT(ROW()-6,"000"))</f>
        <v/>
      </c>
      <c r="B113" s="68"/>
      <c r="C113" s="28"/>
      <c r="D113" s="28"/>
      <c r="E113" s="28"/>
      <c r="F113" s="68"/>
      <c r="G113" s="68"/>
      <c r="H113" s="68"/>
      <c r="I113" s="28"/>
      <c r="J113" s="28"/>
      <c r="K113" s="28"/>
      <c r="L113" s="28"/>
      <c r="M113" s="28"/>
      <c r="N113" s="68"/>
    </row>
    <row r="114" customFormat="false" ht="15" hidden="false" customHeight="false" outlineLevel="0" collapsed="false">
      <c r="A114" s="26" t="str">
        <f aca="false">IF($B114="","","EX-"&amp;TEXT(ROW()-6,"000"))</f>
        <v/>
      </c>
      <c r="B114" s="68"/>
      <c r="C114" s="28"/>
      <c r="D114" s="28"/>
      <c r="E114" s="28"/>
      <c r="F114" s="68"/>
      <c r="G114" s="68"/>
      <c r="H114" s="68"/>
      <c r="I114" s="28"/>
      <c r="J114" s="28"/>
      <c r="K114" s="28"/>
      <c r="L114" s="28"/>
      <c r="M114" s="28"/>
      <c r="N114" s="68"/>
    </row>
    <row r="115" customFormat="false" ht="15" hidden="false" customHeight="false" outlineLevel="0" collapsed="false">
      <c r="A115" s="26" t="str">
        <f aca="false">IF($B115="","","EX-"&amp;TEXT(ROW()-6,"000"))</f>
        <v/>
      </c>
      <c r="B115" s="68"/>
      <c r="C115" s="28"/>
      <c r="D115" s="28"/>
      <c r="E115" s="28"/>
      <c r="F115" s="68"/>
      <c r="G115" s="68"/>
      <c r="H115" s="68"/>
      <c r="I115" s="28"/>
      <c r="J115" s="28"/>
      <c r="K115" s="28"/>
      <c r="L115" s="28"/>
      <c r="M115" s="28"/>
      <c r="N115" s="68"/>
    </row>
    <row r="116" customFormat="false" ht="15" hidden="false" customHeight="false" outlineLevel="0" collapsed="false">
      <c r="A116" s="26" t="str">
        <f aca="false">IF($B116="","","EX-"&amp;TEXT(ROW()-6,"000"))</f>
        <v/>
      </c>
      <c r="B116" s="68"/>
      <c r="C116" s="28"/>
      <c r="D116" s="28"/>
      <c r="E116" s="28"/>
      <c r="F116" s="68"/>
      <c r="G116" s="68"/>
      <c r="H116" s="68"/>
      <c r="I116" s="28"/>
      <c r="J116" s="28"/>
      <c r="K116" s="28"/>
      <c r="L116" s="28"/>
      <c r="M116" s="28"/>
      <c r="N116" s="68"/>
    </row>
    <row r="117" customFormat="false" ht="15" hidden="false" customHeight="false" outlineLevel="0" collapsed="false">
      <c r="A117" s="26" t="str">
        <f aca="false">IF($B117="","","EX-"&amp;TEXT(ROW()-6,"000"))</f>
        <v/>
      </c>
      <c r="B117" s="68"/>
      <c r="C117" s="28"/>
      <c r="D117" s="28"/>
      <c r="E117" s="28"/>
      <c r="F117" s="68"/>
      <c r="G117" s="68"/>
      <c r="H117" s="68"/>
      <c r="I117" s="28"/>
      <c r="J117" s="28"/>
      <c r="K117" s="28"/>
      <c r="L117" s="28"/>
      <c r="M117" s="28"/>
      <c r="N117" s="68"/>
    </row>
    <row r="118" customFormat="false" ht="15" hidden="false" customHeight="false" outlineLevel="0" collapsed="false">
      <c r="A118" s="26" t="str">
        <f aca="false">IF($B118="","","EX-"&amp;TEXT(ROW()-6,"000"))</f>
        <v/>
      </c>
      <c r="B118" s="68"/>
      <c r="C118" s="28"/>
      <c r="D118" s="28"/>
      <c r="E118" s="28"/>
      <c r="F118" s="68"/>
      <c r="G118" s="68"/>
      <c r="H118" s="68"/>
      <c r="I118" s="28"/>
      <c r="J118" s="28"/>
      <c r="K118" s="28"/>
      <c r="L118" s="28"/>
      <c r="M118" s="28"/>
      <c r="N118" s="68"/>
    </row>
    <row r="119" customFormat="false" ht="15" hidden="false" customHeight="false" outlineLevel="0" collapsed="false">
      <c r="A119" s="26" t="str">
        <f aca="false">IF($B119="","","EX-"&amp;TEXT(ROW()-6,"000"))</f>
        <v/>
      </c>
      <c r="B119" s="68"/>
      <c r="C119" s="28"/>
      <c r="D119" s="28"/>
      <c r="E119" s="28"/>
      <c r="F119" s="68"/>
      <c r="G119" s="68"/>
      <c r="H119" s="68"/>
      <c r="I119" s="28"/>
      <c r="J119" s="28"/>
      <c r="K119" s="28"/>
      <c r="L119" s="28"/>
      <c r="M119" s="28"/>
      <c r="N119" s="68"/>
    </row>
    <row r="120" customFormat="false" ht="15" hidden="false" customHeight="false" outlineLevel="0" collapsed="false">
      <c r="A120" s="26" t="str">
        <f aca="false">IF($B120="","","EX-"&amp;TEXT(ROW()-6,"000"))</f>
        <v/>
      </c>
      <c r="B120" s="68"/>
      <c r="C120" s="28"/>
      <c r="D120" s="28"/>
      <c r="E120" s="28"/>
      <c r="F120" s="68"/>
      <c r="G120" s="68"/>
      <c r="H120" s="68"/>
      <c r="I120" s="28"/>
      <c r="J120" s="28"/>
      <c r="K120" s="28"/>
      <c r="L120" s="28"/>
      <c r="M120" s="28"/>
      <c r="N120" s="68"/>
    </row>
    <row r="121" customFormat="false" ht="15" hidden="false" customHeight="false" outlineLevel="0" collapsed="false">
      <c r="A121" s="26" t="str">
        <f aca="false">IF($B121="","","EX-"&amp;TEXT(ROW()-6,"000"))</f>
        <v/>
      </c>
      <c r="B121" s="68"/>
      <c r="C121" s="28"/>
      <c r="D121" s="28"/>
      <c r="E121" s="28"/>
      <c r="F121" s="68"/>
      <c r="G121" s="68"/>
      <c r="H121" s="68"/>
      <c r="I121" s="28"/>
      <c r="J121" s="28"/>
      <c r="K121" s="28"/>
      <c r="L121" s="28"/>
      <c r="M121" s="28"/>
      <c r="N121" s="68"/>
    </row>
    <row r="122" customFormat="false" ht="15" hidden="false" customHeight="false" outlineLevel="0" collapsed="false">
      <c r="A122" s="26" t="str">
        <f aca="false">IF($B122="","","EX-"&amp;TEXT(ROW()-6,"000"))</f>
        <v/>
      </c>
      <c r="B122" s="68"/>
      <c r="C122" s="28"/>
      <c r="D122" s="28"/>
      <c r="E122" s="28"/>
      <c r="F122" s="68"/>
      <c r="G122" s="68"/>
      <c r="H122" s="68"/>
      <c r="I122" s="28"/>
      <c r="J122" s="28"/>
      <c r="K122" s="28"/>
      <c r="L122" s="28"/>
      <c r="M122" s="28"/>
      <c r="N122" s="68"/>
    </row>
    <row r="123" customFormat="false" ht="15" hidden="false" customHeight="false" outlineLevel="0" collapsed="false">
      <c r="A123" s="26" t="str">
        <f aca="false">IF($B123="","","EX-"&amp;TEXT(ROW()-6,"000"))</f>
        <v/>
      </c>
      <c r="B123" s="68"/>
      <c r="C123" s="28"/>
      <c r="D123" s="28"/>
      <c r="E123" s="28"/>
      <c r="F123" s="68"/>
      <c r="G123" s="68"/>
      <c r="H123" s="68"/>
      <c r="I123" s="28"/>
      <c r="J123" s="28"/>
      <c r="K123" s="28"/>
      <c r="L123" s="28"/>
      <c r="M123" s="28"/>
      <c r="N123" s="68"/>
    </row>
    <row r="124" customFormat="false" ht="15" hidden="false" customHeight="false" outlineLevel="0" collapsed="false">
      <c r="A124" s="26" t="str">
        <f aca="false">IF($B124="","","EX-"&amp;TEXT(ROW()-6,"000"))</f>
        <v/>
      </c>
      <c r="B124" s="68"/>
      <c r="C124" s="28"/>
      <c r="D124" s="28"/>
      <c r="E124" s="28"/>
      <c r="F124" s="68"/>
      <c r="G124" s="68"/>
      <c r="H124" s="68"/>
      <c r="I124" s="28"/>
      <c r="J124" s="28"/>
      <c r="K124" s="28"/>
      <c r="L124" s="28"/>
      <c r="M124" s="28"/>
      <c r="N124" s="68"/>
    </row>
    <row r="125" customFormat="false" ht="15" hidden="false" customHeight="false" outlineLevel="0" collapsed="false">
      <c r="A125" s="26" t="str">
        <f aca="false">IF($B125="","","EX-"&amp;TEXT(ROW()-6,"000"))</f>
        <v/>
      </c>
      <c r="B125" s="68"/>
      <c r="C125" s="28"/>
      <c r="D125" s="28"/>
      <c r="E125" s="28"/>
      <c r="F125" s="68"/>
      <c r="G125" s="68"/>
      <c r="H125" s="68"/>
      <c r="I125" s="28"/>
      <c r="J125" s="28"/>
      <c r="K125" s="28"/>
      <c r="L125" s="28"/>
      <c r="M125" s="28"/>
      <c r="N125" s="68"/>
    </row>
    <row r="126" customFormat="false" ht="15" hidden="false" customHeight="false" outlineLevel="0" collapsed="false">
      <c r="A126" s="26" t="str">
        <f aca="false">IF($B126="","","EX-"&amp;TEXT(ROW()-6,"000"))</f>
        <v/>
      </c>
      <c r="B126" s="68"/>
      <c r="C126" s="28"/>
      <c r="D126" s="28"/>
      <c r="E126" s="28"/>
      <c r="F126" s="68"/>
      <c r="G126" s="68"/>
      <c r="H126" s="68"/>
      <c r="I126" s="28"/>
      <c r="J126" s="28"/>
      <c r="K126" s="28"/>
      <c r="L126" s="28"/>
      <c r="M126" s="28"/>
      <c r="N126" s="68"/>
    </row>
    <row r="127" customFormat="false" ht="15" hidden="false" customHeight="false" outlineLevel="0" collapsed="false">
      <c r="A127" s="26" t="str">
        <f aca="false">IF($B127="","","EX-"&amp;TEXT(ROW()-6,"000"))</f>
        <v/>
      </c>
      <c r="B127" s="68"/>
      <c r="C127" s="28"/>
      <c r="D127" s="28"/>
      <c r="E127" s="28"/>
      <c r="F127" s="68"/>
      <c r="G127" s="68"/>
      <c r="H127" s="68"/>
      <c r="I127" s="28"/>
      <c r="J127" s="28"/>
      <c r="K127" s="28"/>
      <c r="L127" s="28"/>
      <c r="M127" s="28"/>
      <c r="N127" s="68"/>
    </row>
    <row r="128" customFormat="false" ht="15" hidden="false" customHeight="false" outlineLevel="0" collapsed="false">
      <c r="A128" s="26" t="str">
        <f aca="false">IF($B128="","","EX-"&amp;TEXT(ROW()-6,"000"))</f>
        <v/>
      </c>
      <c r="B128" s="68"/>
      <c r="C128" s="28"/>
      <c r="D128" s="28"/>
      <c r="E128" s="28"/>
      <c r="F128" s="68"/>
      <c r="G128" s="68"/>
      <c r="H128" s="68"/>
      <c r="I128" s="28"/>
      <c r="J128" s="28"/>
      <c r="K128" s="28"/>
      <c r="L128" s="28"/>
      <c r="M128" s="28"/>
      <c r="N128" s="68"/>
    </row>
    <row r="129" customFormat="false" ht="15" hidden="false" customHeight="false" outlineLevel="0" collapsed="false">
      <c r="A129" s="26" t="str">
        <f aca="false">IF($B129="","","EX-"&amp;TEXT(ROW()-6,"000"))</f>
        <v/>
      </c>
      <c r="B129" s="68"/>
      <c r="C129" s="28"/>
      <c r="D129" s="28"/>
      <c r="E129" s="28"/>
      <c r="F129" s="68"/>
      <c r="G129" s="68"/>
      <c r="H129" s="68"/>
      <c r="I129" s="28"/>
      <c r="J129" s="28"/>
      <c r="K129" s="28"/>
      <c r="L129" s="28"/>
      <c r="M129" s="28"/>
      <c r="N129" s="68"/>
    </row>
    <row r="130" customFormat="false" ht="15" hidden="false" customHeight="false" outlineLevel="0" collapsed="false">
      <c r="A130" s="26" t="str">
        <f aca="false">IF($B130="","","EX-"&amp;TEXT(ROW()-6,"000"))</f>
        <v/>
      </c>
      <c r="B130" s="68"/>
      <c r="C130" s="28"/>
      <c r="D130" s="28"/>
      <c r="E130" s="28"/>
      <c r="F130" s="68"/>
      <c r="G130" s="68"/>
      <c r="H130" s="68"/>
      <c r="I130" s="28"/>
      <c r="J130" s="28"/>
      <c r="K130" s="28"/>
      <c r="L130" s="28"/>
      <c r="M130" s="28"/>
      <c r="N130" s="68"/>
    </row>
    <row r="131" customFormat="false" ht="15" hidden="false" customHeight="false" outlineLevel="0" collapsed="false">
      <c r="A131" s="26" t="str">
        <f aca="false">IF($B131="","","EX-"&amp;TEXT(ROW()-6,"000"))</f>
        <v/>
      </c>
      <c r="B131" s="68"/>
      <c r="C131" s="28"/>
      <c r="D131" s="28"/>
      <c r="E131" s="28"/>
      <c r="F131" s="68"/>
      <c r="G131" s="68"/>
      <c r="H131" s="68"/>
      <c r="I131" s="28"/>
      <c r="J131" s="28"/>
      <c r="K131" s="28"/>
      <c r="L131" s="28"/>
      <c r="M131" s="28"/>
      <c r="N131" s="68"/>
    </row>
    <row r="132" customFormat="false" ht="15" hidden="false" customHeight="false" outlineLevel="0" collapsed="false">
      <c r="A132" s="26" t="str">
        <f aca="false">IF($B132="","","EX-"&amp;TEXT(ROW()-6,"000"))</f>
        <v/>
      </c>
      <c r="B132" s="68"/>
      <c r="C132" s="28"/>
      <c r="D132" s="28"/>
      <c r="E132" s="28"/>
      <c r="F132" s="68"/>
      <c r="G132" s="68"/>
      <c r="H132" s="68"/>
      <c r="I132" s="28"/>
      <c r="J132" s="28"/>
      <c r="K132" s="28"/>
      <c r="L132" s="28"/>
      <c r="M132" s="28"/>
      <c r="N132" s="68"/>
    </row>
    <row r="133" customFormat="false" ht="15" hidden="false" customHeight="false" outlineLevel="0" collapsed="false">
      <c r="A133" s="26" t="str">
        <f aca="false">IF($B133="","","EX-"&amp;TEXT(ROW()-6,"000"))</f>
        <v/>
      </c>
      <c r="B133" s="68"/>
      <c r="C133" s="28"/>
      <c r="D133" s="28"/>
      <c r="E133" s="28"/>
      <c r="F133" s="68"/>
      <c r="G133" s="68"/>
      <c r="H133" s="68"/>
      <c r="I133" s="28"/>
      <c r="J133" s="28"/>
      <c r="K133" s="28"/>
      <c r="L133" s="28"/>
      <c r="M133" s="28"/>
      <c r="N133" s="68"/>
    </row>
    <row r="134" customFormat="false" ht="15" hidden="false" customHeight="false" outlineLevel="0" collapsed="false">
      <c r="A134" s="26" t="str">
        <f aca="false">IF($B134="","","EX-"&amp;TEXT(ROW()-6,"000"))</f>
        <v/>
      </c>
      <c r="B134" s="68"/>
      <c r="C134" s="28"/>
      <c r="D134" s="28"/>
      <c r="E134" s="28"/>
      <c r="F134" s="68"/>
      <c r="G134" s="68"/>
      <c r="H134" s="68"/>
      <c r="I134" s="28"/>
      <c r="J134" s="28"/>
      <c r="K134" s="28"/>
      <c r="L134" s="28"/>
      <c r="M134" s="28"/>
      <c r="N134" s="68"/>
    </row>
    <row r="135" customFormat="false" ht="15" hidden="false" customHeight="false" outlineLevel="0" collapsed="false">
      <c r="A135" s="26" t="str">
        <f aca="false">IF($B135="","","EX-"&amp;TEXT(ROW()-6,"000"))</f>
        <v/>
      </c>
      <c r="B135" s="68"/>
      <c r="C135" s="28"/>
      <c r="D135" s="28"/>
      <c r="E135" s="28"/>
      <c r="F135" s="68"/>
      <c r="G135" s="68"/>
      <c r="H135" s="68"/>
      <c r="I135" s="28"/>
      <c r="J135" s="28"/>
      <c r="K135" s="28"/>
      <c r="L135" s="28"/>
      <c r="M135" s="28"/>
      <c r="N135" s="68"/>
    </row>
    <row r="136" customFormat="false" ht="15" hidden="false" customHeight="false" outlineLevel="0" collapsed="false">
      <c r="A136" s="26" t="str">
        <f aca="false">IF($B136="","","EX-"&amp;TEXT(ROW()-6,"000"))</f>
        <v/>
      </c>
      <c r="B136" s="68"/>
      <c r="C136" s="28"/>
      <c r="D136" s="28"/>
      <c r="E136" s="28"/>
      <c r="F136" s="68"/>
      <c r="G136" s="68"/>
      <c r="H136" s="68"/>
      <c r="I136" s="28"/>
      <c r="J136" s="28"/>
      <c r="K136" s="28"/>
      <c r="L136" s="28"/>
      <c r="M136" s="28"/>
      <c r="N136" s="68"/>
    </row>
    <row r="137" customFormat="false" ht="15" hidden="false" customHeight="false" outlineLevel="0" collapsed="false">
      <c r="A137" s="26" t="str">
        <f aca="false">IF($B137="","","EX-"&amp;TEXT(ROW()-6,"000"))</f>
        <v/>
      </c>
      <c r="B137" s="68"/>
      <c r="C137" s="28"/>
      <c r="D137" s="28"/>
      <c r="E137" s="28"/>
      <c r="F137" s="68"/>
      <c r="G137" s="68"/>
      <c r="H137" s="68"/>
      <c r="I137" s="28"/>
      <c r="J137" s="28"/>
      <c r="K137" s="28"/>
      <c r="L137" s="28"/>
      <c r="M137" s="28"/>
      <c r="N137" s="68"/>
    </row>
    <row r="138" customFormat="false" ht="15" hidden="false" customHeight="false" outlineLevel="0" collapsed="false">
      <c r="A138" s="26" t="str">
        <f aca="false">IF($B138="","","EX-"&amp;TEXT(ROW()-6,"000"))</f>
        <v/>
      </c>
      <c r="B138" s="68"/>
      <c r="C138" s="28"/>
      <c r="D138" s="28"/>
      <c r="E138" s="28"/>
      <c r="F138" s="68"/>
      <c r="G138" s="68"/>
      <c r="H138" s="68"/>
      <c r="I138" s="28"/>
      <c r="J138" s="28"/>
      <c r="K138" s="28"/>
      <c r="L138" s="28"/>
      <c r="M138" s="28"/>
      <c r="N138" s="68"/>
    </row>
    <row r="139" customFormat="false" ht="15" hidden="false" customHeight="false" outlineLevel="0" collapsed="false">
      <c r="A139" s="26" t="str">
        <f aca="false">IF($B139="","","EX-"&amp;TEXT(ROW()-6,"000"))</f>
        <v/>
      </c>
      <c r="B139" s="68"/>
      <c r="C139" s="28"/>
      <c r="D139" s="28"/>
      <c r="E139" s="28"/>
      <c r="F139" s="68"/>
      <c r="G139" s="68"/>
      <c r="H139" s="68"/>
      <c r="I139" s="28"/>
      <c r="J139" s="28"/>
      <c r="K139" s="28"/>
      <c r="L139" s="28"/>
      <c r="M139" s="28"/>
      <c r="N139" s="68"/>
    </row>
    <row r="140" customFormat="false" ht="15" hidden="false" customHeight="false" outlineLevel="0" collapsed="false">
      <c r="A140" s="26" t="str">
        <f aca="false">IF($B140="","","EX-"&amp;TEXT(ROW()-6,"000"))</f>
        <v/>
      </c>
      <c r="B140" s="68"/>
      <c r="C140" s="28"/>
      <c r="D140" s="28"/>
      <c r="E140" s="28"/>
      <c r="F140" s="68"/>
      <c r="G140" s="68"/>
      <c r="H140" s="68"/>
      <c r="I140" s="28"/>
      <c r="J140" s="28"/>
      <c r="K140" s="28"/>
      <c r="L140" s="28"/>
      <c r="M140" s="28"/>
      <c r="N140" s="68"/>
    </row>
    <row r="141" customFormat="false" ht="15" hidden="false" customHeight="false" outlineLevel="0" collapsed="false">
      <c r="A141" s="26" t="str">
        <f aca="false">IF($B141="","","EX-"&amp;TEXT(ROW()-6,"000"))</f>
        <v/>
      </c>
      <c r="B141" s="68"/>
      <c r="C141" s="28"/>
      <c r="D141" s="28"/>
      <c r="E141" s="28"/>
      <c r="F141" s="68"/>
      <c r="G141" s="68"/>
      <c r="H141" s="68"/>
      <c r="I141" s="28"/>
      <c r="J141" s="28"/>
      <c r="K141" s="28"/>
      <c r="L141" s="28"/>
      <c r="M141" s="28"/>
      <c r="N141" s="68"/>
    </row>
    <row r="142" customFormat="false" ht="15" hidden="false" customHeight="false" outlineLevel="0" collapsed="false">
      <c r="A142" s="26" t="str">
        <f aca="false">IF($B142="","","EX-"&amp;TEXT(ROW()-6,"000"))</f>
        <v/>
      </c>
      <c r="B142" s="68"/>
      <c r="C142" s="28"/>
      <c r="D142" s="28"/>
      <c r="E142" s="28"/>
      <c r="F142" s="68"/>
      <c r="G142" s="68"/>
      <c r="H142" s="68"/>
      <c r="I142" s="28"/>
      <c r="J142" s="28"/>
      <c r="K142" s="28"/>
      <c r="L142" s="28"/>
      <c r="M142" s="28"/>
      <c r="N142" s="68"/>
    </row>
    <row r="143" customFormat="false" ht="15" hidden="false" customHeight="false" outlineLevel="0" collapsed="false">
      <c r="A143" s="26" t="str">
        <f aca="false">IF($B143="","","EX-"&amp;TEXT(ROW()-6,"000"))</f>
        <v/>
      </c>
      <c r="B143" s="68"/>
      <c r="C143" s="28"/>
      <c r="D143" s="28"/>
      <c r="E143" s="28"/>
      <c r="F143" s="68"/>
      <c r="G143" s="68"/>
      <c r="H143" s="68"/>
      <c r="I143" s="28"/>
      <c r="J143" s="28"/>
      <c r="K143" s="28"/>
      <c r="L143" s="28"/>
      <c r="M143" s="28"/>
      <c r="N143" s="68"/>
    </row>
    <row r="144" customFormat="false" ht="15" hidden="false" customHeight="false" outlineLevel="0" collapsed="false">
      <c r="A144" s="26" t="str">
        <f aca="false">IF($B144="","","EX-"&amp;TEXT(ROW()-6,"000"))</f>
        <v/>
      </c>
      <c r="B144" s="68"/>
      <c r="C144" s="28"/>
      <c r="D144" s="28"/>
      <c r="E144" s="28"/>
      <c r="F144" s="68"/>
      <c r="G144" s="68"/>
      <c r="H144" s="68"/>
      <c r="I144" s="28"/>
      <c r="J144" s="28"/>
      <c r="K144" s="28"/>
      <c r="L144" s="28"/>
      <c r="M144" s="28"/>
      <c r="N144" s="68"/>
    </row>
    <row r="145" customFormat="false" ht="15" hidden="false" customHeight="false" outlineLevel="0" collapsed="false">
      <c r="A145" s="26" t="str">
        <f aca="false">IF($B145="","","EX-"&amp;TEXT(ROW()-6,"000"))</f>
        <v/>
      </c>
      <c r="B145" s="68"/>
      <c r="C145" s="28"/>
      <c r="D145" s="28"/>
      <c r="E145" s="28"/>
      <c r="F145" s="68"/>
      <c r="G145" s="68"/>
      <c r="H145" s="68"/>
      <c r="I145" s="28"/>
      <c r="J145" s="28"/>
      <c r="K145" s="28"/>
      <c r="L145" s="28"/>
      <c r="M145" s="28"/>
      <c r="N145" s="68"/>
    </row>
    <row r="146" customFormat="false" ht="15" hidden="false" customHeight="false" outlineLevel="0" collapsed="false">
      <c r="A146" s="26" t="str">
        <f aca="false">IF($B146="","","EX-"&amp;TEXT(ROW()-6,"000"))</f>
        <v/>
      </c>
      <c r="B146" s="68"/>
      <c r="C146" s="28"/>
      <c r="D146" s="28"/>
      <c r="E146" s="28"/>
      <c r="F146" s="68"/>
      <c r="G146" s="68"/>
      <c r="H146" s="68"/>
      <c r="I146" s="28"/>
      <c r="J146" s="28"/>
      <c r="K146" s="28"/>
      <c r="L146" s="28"/>
      <c r="M146" s="28"/>
      <c r="N146" s="68"/>
    </row>
    <row r="147" customFormat="false" ht="15" hidden="false" customHeight="false" outlineLevel="0" collapsed="false">
      <c r="A147" s="26" t="str">
        <f aca="false">IF($B147="","","EX-"&amp;TEXT(ROW()-6,"000"))</f>
        <v/>
      </c>
      <c r="B147" s="68"/>
      <c r="C147" s="28"/>
      <c r="D147" s="28"/>
      <c r="E147" s="28"/>
      <c r="F147" s="68"/>
      <c r="G147" s="68"/>
      <c r="H147" s="68"/>
      <c r="I147" s="28"/>
      <c r="J147" s="28"/>
      <c r="K147" s="28"/>
      <c r="L147" s="28"/>
      <c r="M147" s="28"/>
      <c r="N147" s="68"/>
    </row>
    <row r="148" customFormat="false" ht="15" hidden="false" customHeight="false" outlineLevel="0" collapsed="false">
      <c r="A148" s="26" t="str">
        <f aca="false">IF($B148="","","EX-"&amp;TEXT(ROW()-6,"000"))</f>
        <v/>
      </c>
      <c r="B148" s="68"/>
      <c r="C148" s="28"/>
      <c r="D148" s="28"/>
      <c r="E148" s="28"/>
      <c r="F148" s="68"/>
      <c r="G148" s="68"/>
      <c r="H148" s="68"/>
      <c r="I148" s="28"/>
      <c r="J148" s="28"/>
      <c r="K148" s="28"/>
      <c r="L148" s="28"/>
      <c r="M148" s="28"/>
      <c r="N148" s="68"/>
    </row>
    <row r="149" customFormat="false" ht="15" hidden="false" customHeight="false" outlineLevel="0" collapsed="false">
      <c r="A149" s="26" t="str">
        <f aca="false">IF($B149="","","EX-"&amp;TEXT(ROW()-6,"000"))</f>
        <v/>
      </c>
      <c r="B149" s="68"/>
      <c r="C149" s="28"/>
      <c r="D149" s="28"/>
      <c r="E149" s="28"/>
      <c r="F149" s="68"/>
      <c r="G149" s="68"/>
      <c r="H149" s="68"/>
      <c r="I149" s="28"/>
      <c r="J149" s="28"/>
      <c r="K149" s="28"/>
      <c r="L149" s="28"/>
      <c r="M149" s="28"/>
      <c r="N149" s="68"/>
    </row>
    <row r="150" customFormat="false" ht="15" hidden="false" customHeight="false" outlineLevel="0" collapsed="false">
      <c r="A150" s="26" t="str">
        <f aca="false">IF($B150="","","EX-"&amp;TEXT(ROW()-6,"000"))</f>
        <v/>
      </c>
      <c r="B150" s="68"/>
      <c r="C150" s="28"/>
      <c r="D150" s="28"/>
      <c r="E150" s="28"/>
      <c r="F150" s="68"/>
      <c r="G150" s="68"/>
      <c r="H150" s="68"/>
      <c r="I150" s="28"/>
      <c r="J150" s="28"/>
      <c r="K150" s="28"/>
      <c r="L150" s="28"/>
      <c r="M150" s="28"/>
      <c r="N150" s="68"/>
    </row>
    <row r="151" customFormat="false" ht="15" hidden="false" customHeight="false" outlineLevel="0" collapsed="false">
      <c r="A151" s="26" t="str">
        <f aca="false">IF($B151="","","EX-"&amp;TEXT(ROW()-6,"000"))</f>
        <v/>
      </c>
      <c r="B151" s="68"/>
      <c r="C151" s="28"/>
      <c r="D151" s="28"/>
      <c r="E151" s="28"/>
      <c r="F151" s="68"/>
      <c r="G151" s="68"/>
      <c r="H151" s="68"/>
      <c r="I151" s="28"/>
      <c r="J151" s="28"/>
      <c r="K151" s="28"/>
      <c r="L151" s="28"/>
      <c r="M151" s="28"/>
      <c r="N151" s="68"/>
    </row>
    <row r="152" customFormat="false" ht="15" hidden="false" customHeight="false" outlineLevel="0" collapsed="false">
      <c r="A152" s="26" t="str">
        <f aca="false">IF($B152="","","EX-"&amp;TEXT(ROW()-6,"000"))</f>
        <v/>
      </c>
      <c r="B152" s="68"/>
      <c r="C152" s="28"/>
      <c r="D152" s="28"/>
      <c r="E152" s="28"/>
      <c r="F152" s="68"/>
      <c r="G152" s="68"/>
      <c r="H152" s="68"/>
      <c r="I152" s="28"/>
      <c r="J152" s="28"/>
      <c r="K152" s="28"/>
      <c r="L152" s="28"/>
      <c r="M152" s="28"/>
      <c r="N152" s="68"/>
    </row>
    <row r="153" customFormat="false" ht="15" hidden="false" customHeight="false" outlineLevel="0" collapsed="false">
      <c r="A153" s="26" t="str">
        <f aca="false">IF($B153="","","EX-"&amp;TEXT(ROW()-6,"000"))</f>
        <v/>
      </c>
      <c r="B153" s="68"/>
      <c r="C153" s="28"/>
      <c r="D153" s="28"/>
      <c r="E153" s="28"/>
      <c r="F153" s="68"/>
      <c r="G153" s="68"/>
      <c r="H153" s="68"/>
      <c r="I153" s="28"/>
      <c r="J153" s="28"/>
      <c r="K153" s="28"/>
      <c r="L153" s="28"/>
      <c r="M153" s="28"/>
      <c r="N153" s="68"/>
    </row>
    <row r="154" customFormat="false" ht="15" hidden="false" customHeight="false" outlineLevel="0" collapsed="false">
      <c r="A154" s="26" t="str">
        <f aca="false">IF($B154="","","EX-"&amp;TEXT(ROW()-6,"000"))</f>
        <v/>
      </c>
      <c r="B154" s="68"/>
      <c r="C154" s="28"/>
      <c r="D154" s="28"/>
      <c r="E154" s="28"/>
      <c r="F154" s="68"/>
      <c r="G154" s="68"/>
      <c r="H154" s="68"/>
      <c r="I154" s="28"/>
      <c r="J154" s="28"/>
      <c r="K154" s="28"/>
      <c r="L154" s="28"/>
      <c r="M154" s="28"/>
      <c r="N154" s="68"/>
    </row>
    <row r="155" customFormat="false" ht="15" hidden="false" customHeight="false" outlineLevel="0" collapsed="false">
      <c r="A155" s="26" t="str">
        <f aca="false">IF($B155="","","EX-"&amp;TEXT(ROW()-6,"000"))</f>
        <v/>
      </c>
      <c r="B155" s="68"/>
      <c r="C155" s="28"/>
      <c r="D155" s="28"/>
      <c r="E155" s="28"/>
      <c r="F155" s="68"/>
      <c r="G155" s="68"/>
      <c r="H155" s="68"/>
      <c r="I155" s="28"/>
      <c r="J155" s="28"/>
      <c r="K155" s="28"/>
      <c r="L155" s="28"/>
      <c r="M155" s="28"/>
      <c r="N155" s="68"/>
    </row>
    <row r="156" customFormat="false" ht="15" hidden="false" customHeight="false" outlineLevel="0" collapsed="false">
      <c r="A156" s="26" t="str">
        <f aca="false">IF($B156="","","EX-"&amp;TEXT(ROW()-6,"000"))</f>
        <v/>
      </c>
      <c r="B156" s="68"/>
      <c r="C156" s="28"/>
      <c r="D156" s="28"/>
      <c r="E156" s="28"/>
      <c r="F156" s="68"/>
      <c r="G156" s="68"/>
      <c r="H156" s="68"/>
      <c r="I156" s="28"/>
      <c r="J156" s="28"/>
      <c r="K156" s="28"/>
      <c r="L156" s="28"/>
      <c r="M156" s="28"/>
      <c r="N156" s="68"/>
    </row>
    <row r="157" customFormat="false" ht="15" hidden="false" customHeight="false" outlineLevel="0" collapsed="false">
      <c r="A157" s="26" t="str">
        <f aca="false">IF($B157="","","EX-"&amp;TEXT(ROW()-6,"000"))</f>
        <v/>
      </c>
      <c r="B157" s="68"/>
      <c r="C157" s="28"/>
      <c r="D157" s="28"/>
      <c r="E157" s="28"/>
      <c r="F157" s="68"/>
      <c r="G157" s="68"/>
      <c r="H157" s="68"/>
      <c r="I157" s="28"/>
      <c r="J157" s="28"/>
      <c r="K157" s="28"/>
      <c r="L157" s="28"/>
      <c r="M157" s="28"/>
      <c r="N157" s="68"/>
    </row>
    <row r="158" customFormat="false" ht="15" hidden="false" customHeight="false" outlineLevel="0" collapsed="false">
      <c r="A158" s="26" t="str">
        <f aca="false">IF($B158="","","EX-"&amp;TEXT(ROW()-6,"000"))</f>
        <v/>
      </c>
      <c r="B158" s="68"/>
      <c r="C158" s="28"/>
      <c r="D158" s="28"/>
      <c r="E158" s="28"/>
      <c r="F158" s="68"/>
      <c r="G158" s="68"/>
      <c r="H158" s="68"/>
      <c r="I158" s="28"/>
      <c r="J158" s="28"/>
      <c r="K158" s="28"/>
      <c r="L158" s="28"/>
      <c r="M158" s="28"/>
      <c r="N158" s="68"/>
    </row>
    <row r="159" customFormat="false" ht="15" hidden="false" customHeight="false" outlineLevel="0" collapsed="false">
      <c r="A159" s="26" t="str">
        <f aca="false">IF($B159="","","EX-"&amp;TEXT(ROW()-6,"000"))</f>
        <v/>
      </c>
      <c r="B159" s="68"/>
      <c r="C159" s="28"/>
      <c r="D159" s="28"/>
      <c r="E159" s="28"/>
      <c r="F159" s="68"/>
      <c r="G159" s="68"/>
      <c r="H159" s="68"/>
      <c r="I159" s="28"/>
      <c r="J159" s="28"/>
      <c r="K159" s="28"/>
      <c r="L159" s="28"/>
      <c r="M159" s="28"/>
      <c r="N159" s="68"/>
    </row>
    <row r="160" customFormat="false" ht="15" hidden="false" customHeight="false" outlineLevel="0" collapsed="false">
      <c r="A160" s="26" t="str">
        <f aca="false">IF($B160="","","EX-"&amp;TEXT(ROW()-6,"000"))</f>
        <v/>
      </c>
      <c r="B160" s="68"/>
      <c r="C160" s="28"/>
      <c r="D160" s="28"/>
      <c r="E160" s="28"/>
      <c r="F160" s="68"/>
      <c r="G160" s="68"/>
      <c r="H160" s="68"/>
      <c r="I160" s="28"/>
      <c r="J160" s="28"/>
      <c r="K160" s="28"/>
      <c r="L160" s="28"/>
      <c r="M160" s="28"/>
      <c r="N160" s="68"/>
    </row>
    <row r="161" customFormat="false" ht="15" hidden="false" customHeight="false" outlineLevel="0" collapsed="false">
      <c r="A161" s="26" t="str">
        <f aca="false">IF($B161="","","EX-"&amp;TEXT(ROW()-6,"000"))</f>
        <v/>
      </c>
      <c r="B161" s="68"/>
      <c r="C161" s="28"/>
      <c r="D161" s="28"/>
      <c r="E161" s="28"/>
      <c r="F161" s="68"/>
      <c r="G161" s="68"/>
      <c r="H161" s="68"/>
      <c r="I161" s="28"/>
      <c r="J161" s="28"/>
      <c r="K161" s="28"/>
      <c r="L161" s="28"/>
      <c r="M161" s="28"/>
      <c r="N161" s="68"/>
    </row>
    <row r="162" customFormat="false" ht="15" hidden="false" customHeight="false" outlineLevel="0" collapsed="false">
      <c r="A162" s="26" t="str">
        <f aca="false">IF($B162="","","EX-"&amp;TEXT(ROW()-6,"000"))</f>
        <v/>
      </c>
      <c r="B162" s="68"/>
      <c r="C162" s="28"/>
      <c r="D162" s="28"/>
      <c r="E162" s="28"/>
      <c r="F162" s="68"/>
      <c r="G162" s="68"/>
      <c r="H162" s="68"/>
      <c r="I162" s="28"/>
      <c r="J162" s="28"/>
      <c r="K162" s="28"/>
      <c r="L162" s="28"/>
      <c r="M162" s="28"/>
      <c r="N162" s="68"/>
    </row>
    <row r="163" customFormat="false" ht="15" hidden="false" customHeight="false" outlineLevel="0" collapsed="false">
      <c r="A163" s="26" t="str">
        <f aca="false">IF($B163="","","EX-"&amp;TEXT(ROW()-6,"000"))</f>
        <v/>
      </c>
      <c r="B163" s="68"/>
      <c r="C163" s="28"/>
      <c r="D163" s="28"/>
      <c r="E163" s="28"/>
      <c r="F163" s="68"/>
      <c r="G163" s="68"/>
      <c r="H163" s="68"/>
      <c r="I163" s="28"/>
      <c r="J163" s="28"/>
      <c r="K163" s="28"/>
      <c r="L163" s="28"/>
      <c r="M163" s="28"/>
      <c r="N163" s="68"/>
    </row>
    <row r="164" customFormat="false" ht="15" hidden="false" customHeight="false" outlineLevel="0" collapsed="false">
      <c r="A164" s="26" t="str">
        <f aca="false">IF($B164="","","EX-"&amp;TEXT(ROW()-6,"000"))</f>
        <v/>
      </c>
      <c r="B164" s="68"/>
      <c r="C164" s="28"/>
      <c r="D164" s="28"/>
      <c r="E164" s="28"/>
      <c r="F164" s="68"/>
      <c r="G164" s="68"/>
      <c r="H164" s="68"/>
      <c r="I164" s="28"/>
      <c r="J164" s="28"/>
      <c r="K164" s="28"/>
      <c r="L164" s="28"/>
      <c r="M164" s="28"/>
      <c r="N164" s="68"/>
    </row>
    <row r="165" customFormat="false" ht="15" hidden="false" customHeight="false" outlineLevel="0" collapsed="false">
      <c r="A165" s="26" t="str">
        <f aca="false">IF($B165="","","EX-"&amp;TEXT(ROW()-6,"000"))</f>
        <v/>
      </c>
      <c r="B165" s="68"/>
      <c r="C165" s="28"/>
      <c r="D165" s="28"/>
      <c r="E165" s="28"/>
      <c r="F165" s="68"/>
      <c r="G165" s="68"/>
      <c r="H165" s="68"/>
      <c r="I165" s="28"/>
      <c r="J165" s="28"/>
      <c r="K165" s="28"/>
      <c r="L165" s="28"/>
      <c r="M165" s="28"/>
      <c r="N165" s="68"/>
    </row>
    <row r="166" customFormat="false" ht="15" hidden="false" customHeight="false" outlineLevel="0" collapsed="false">
      <c r="A166" s="26" t="str">
        <f aca="false">IF($B166="","","EX-"&amp;TEXT(ROW()-6,"000"))</f>
        <v/>
      </c>
      <c r="B166" s="68"/>
      <c r="C166" s="28"/>
      <c r="D166" s="28"/>
      <c r="E166" s="28"/>
      <c r="F166" s="68"/>
      <c r="G166" s="68"/>
      <c r="H166" s="68"/>
      <c r="I166" s="28"/>
      <c r="J166" s="28"/>
      <c r="K166" s="28"/>
      <c r="L166" s="28"/>
      <c r="M166" s="28"/>
      <c r="N166" s="68"/>
    </row>
    <row r="167" customFormat="false" ht="15" hidden="false" customHeight="false" outlineLevel="0" collapsed="false">
      <c r="A167" s="26" t="str">
        <f aca="false">IF($B167="","","EX-"&amp;TEXT(ROW()-6,"000"))</f>
        <v/>
      </c>
      <c r="B167" s="68"/>
      <c r="C167" s="28"/>
      <c r="D167" s="28"/>
      <c r="E167" s="28"/>
      <c r="F167" s="68"/>
      <c r="G167" s="68"/>
      <c r="H167" s="68"/>
      <c r="I167" s="28"/>
      <c r="J167" s="28"/>
      <c r="K167" s="28"/>
      <c r="L167" s="28"/>
      <c r="M167" s="28"/>
      <c r="N167" s="68"/>
    </row>
    <row r="168" customFormat="false" ht="15" hidden="false" customHeight="false" outlineLevel="0" collapsed="false">
      <c r="A168" s="26" t="str">
        <f aca="false">IF($B168="","","EX-"&amp;TEXT(ROW()-6,"000"))</f>
        <v/>
      </c>
      <c r="B168" s="68"/>
      <c r="C168" s="28"/>
      <c r="D168" s="28"/>
      <c r="E168" s="28"/>
      <c r="F168" s="68"/>
      <c r="G168" s="68"/>
      <c r="H168" s="68"/>
      <c r="I168" s="28"/>
      <c r="J168" s="28"/>
      <c r="K168" s="28"/>
      <c r="L168" s="28"/>
      <c r="M168" s="28"/>
      <c r="N168" s="68"/>
    </row>
    <row r="169" customFormat="false" ht="15" hidden="false" customHeight="false" outlineLevel="0" collapsed="false">
      <c r="A169" s="26" t="str">
        <f aca="false">IF($B169="","","EX-"&amp;TEXT(ROW()-6,"000"))</f>
        <v/>
      </c>
      <c r="B169" s="68"/>
      <c r="C169" s="28"/>
      <c r="D169" s="28"/>
      <c r="E169" s="28"/>
      <c r="F169" s="68"/>
      <c r="G169" s="68"/>
      <c r="H169" s="68"/>
      <c r="I169" s="28"/>
      <c r="J169" s="28"/>
      <c r="K169" s="28"/>
      <c r="L169" s="28"/>
      <c r="M169" s="28"/>
      <c r="N169" s="68"/>
    </row>
    <row r="170" customFormat="false" ht="15" hidden="false" customHeight="false" outlineLevel="0" collapsed="false">
      <c r="A170" s="26" t="str">
        <f aca="false">IF($B170="","","EX-"&amp;TEXT(ROW()-6,"000"))</f>
        <v/>
      </c>
      <c r="B170" s="68"/>
      <c r="C170" s="28"/>
      <c r="D170" s="28"/>
      <c r="E170" s="28"/>
      <c r="F170" s="68"/>
      <c r="G170" s="68"/>
      <c r="H170" s="68"/>
      <c r="I170" s="28"/>
      <c r="J170" s="28"/>
      <c r="K170" s="28"/>
      <c r="L170" s="28"/>
      <c r="M170" s="28"/>
      <c r="N170" s="68"/>
    </row>
    <row r="171" customFormat="false" ht="15" hidden="false" customHeight="false" outlineLevel="0" collapsed="false">
      <c r="A171" s="26" t="str">
        <f aca="false">IF($B171="","","EX-"&amp;TEXT(ROW()-6,"000"))</f>
        <v/>
      </c>
      <c r="B171" s="68"/>
      <c r="C171" s="28"/>
      <c r="D171" s="28"/>
      <c r="E171" s="28"/>
      <c r="F171" s="68"/>
      <c r="G171" s="68"/>
      <c r="H171" s="68"/>
      <c r="I171" s="28"/>
      <c r="J171" s="28"/>
      <c r="K171" s="28"/>
      <c r="L171" s="28"/>
      <c r="M171" s="28"/>
      <c r="N171" s="68"/>
    </row>
    <row r="172" customFormat="false" ht="15" hidden="false" customHeight="false" outlineLevel="0" collapsed="false">
      <c r="A172" s="26" t="str">
        <f aca="false">IF($B172="","","EX-"&amp;TEXT(ROW()-6,"000"))</f>
        <v/>
      </c>
      <c r="B172" s="68"/>
      <c r="C172" s="28"/>
      <c r="D172" s="28"/>
      <c r="E172" s="28"/>
      <c r="F172" s="68"/>
      <c r="G172" s="68"/>
      <c r="H172" s="68"/>
      <c r="I172" s="28"/>
      <c r="J172" s="28"/>
      <c r="K172" s="28"/>
      <c r="L172" s="28"/>
      <c r="M172" s="28"/>
      <c r="N172" s="68"/>
    </row>
    <row r="173" customFormat="false" ht="15" hidden="false" customHeight="false" outlineLevel="0" collapsed="false">
      <c r="A173" s="26" t="str">
        <f aca="false">IF($B173="","","EX-"&amp;TEXT(ROW()-6,"000"))</f>
        <v/>
      </c>
      <c r="B173" s="68"/>
      <c r="C173" s="28"/>
      <c r="D173" s="28"/>
      <c r="E173" s="28"/>
      <c r="F173" s="68"/>
      <c r="G173" s="68"/>
      <c r="H173" s="68"/>
      <c r="I173" s="28"/>
      <c r="J173" s="28"/>
      <c r="K173" s="28"/>
      <c r="L173" s="28"/>
      <c r="M173" s="28"/>
      <c r="N173" s="68"/>
    </row>
    <row r="174" customFormat="false" ht="15" hidden="false" customHeight="false" outlineLevel="0" collapsed="false">
      <c r="A174" s="26" t="str">
        <f aca="false">IF($B174="","","EX-"&amp;TEXT(ROW()-6,"000"))</f>
        <v/>
      </c>
      <c r="B174" s="68"/>
      <c r="C174" s="28"/>
      <c r="D174" s="28"/>
      <c r="E174" s="28"/>
      <c r="F174" s="68"/>
      <c r="G174" s="68"/>
      <c r="H174" s="68"/>
      <c r="I174" s="28"/>
      <c r="J174" s="28"/>
      <c r="K174" s="28"/>
      <c r="L174" s="28"/>
      <c r="M174" s="28"/>
      <c r="N174" s="68"/>
    </row>
    <row r="175" customFormat="false" ht="15" hidden="false" customHeight="false" outlineLevel="0" collapsed="false">
      <c r="A175" s="26" t="str">
        <f aca="false">IF($B175="","","EX-"&amp;TEXT(ROW()-6,"000"))</f>
        <v/>
      </c>
      <c r="B175" s="68"/>
      <c r="C175" s="28"/>
      <c r="D175" s="28"/>
      <c r="E175" s="28"/>
      <c r="F175" s="68"/>
      <c r="G175" s="68"/>
      <c r="H175" s="68"/>
      <c r="I175" s="28"/>
      <c r="J175" s="28"/>
      <c r="K175" s="28"/>
      <c r="L175" s="28"/>
      <c r="M175" s="28"/>
      <c r="N175" s="68"/>
    </row>
    <row r="176" customFormat="false" ht="15" hidden="false" customHeight="false" outlineLevel="0" collapsed="false">
      <c r="A176" s="26" t="str">
        <f aca="false">IF($B176="","","EX-"&amp;TEXT(ROW()-6,"000"))</f>
        <v/>
      </c>
      <c r="B176" s="68"/>
      <c r="C176" s="28"/>
      <c r="D176" s="28"/>
      <c r="E176" s="28"/>
      <c r="F176" s="68"/>
      <c r="G176" s="68"/>
      <c r="H176" s="68"/>
      <c r="I176" s="28"/>
      <c r="J176" s="28"/>
      <c r="K176" s="28"/>
      <c r="L176" s="28"/>
      <c r="M176" s="28"/>
      <c r="N176" s="68"/>
    </row>
    <row r="177" customFormat="false" ht="15" hidden="false" customHeight="false" outlineLevel="0" collapsed="false">
      <c r="A177" s="26" t="str">
        <f aca="false">IF($B177="","","EX-"&amp;TEXT(ROW()-6,"000"))</f>
        <v/>
      </c>
      <c r="B177" s="68"/>
      <c r="C177" s="28"/>
      <c r="D177" s="28"/>
      <c r="E177" s="28"/>
      <c r="F177" s="68"/>
      <c r="G177" s="68"/>
      <c r="H177" s="68"/>
      <c r="I177" s="28"/>
      <c r="J177" s="28"/>
      <c r="K177" s="28"/>
      <c r="L177" s="28"/>
      <c r="M177" s="28"/>
      <c r="N177" s="68"/>
    </row>
    <row r="178" customFormat="false" ht="15" hidden="false" customHeight="false" outlineLevel="0" collapsed="false">
      <c r="A178" s="26" t="str">
        <f aca="false">IF($B178="","","EX-"&amp;TEXT(ROW()-6,"000"))</f>
        <v/>
      </c>
      <c r="B178" s="68"/>
      <c r="C178" s="28"/>
      <c r="D178" s="28"/>
      <c r="E178" s="28"/>
      <c r="F178" s="68"/>
      <c r="G178" s="68"/>
      <c r="H178" s="68"/>
      <c r="I178" s="28"/>
      <c r="J178" s="28"/>
      <c r="K178" s="28"/>
      <c r="L178" s="28"/>
      <c r="M178" s="28"/>
      <c r="N178" s="68"/>
    </row>
    <row r="179" customFormat="false" ht="15" hidden="false" customHeight="false" outlineLevel="0" collapsed="false">
      <c r="A179" s="26" t="str">
        <f aca="false">IF($B179="","","EX-"&amp;TEXT(ROW()-6,"000"))</f>
        <v/>
      </c>
      <c r="B179" s="68"/>
      <c r="C179" s="28"/>
      <c r="D179" s="28"/>
      <c r="E179" s="28"/>
      <c r="F179" s="68"/>
      <c r="G179" s="68"/>
      <c r="H179" s="68"/>
      <c r="I179" s="28"/>
      <c r="J179" s="28"/>
      <c r="K179" s="28"/>
      <c r="L179" s="28"/>
      <c r="M179" s="28"/>
      <c r="N179" s="68"/>
    </row>
    <row r="180" customFormat="false" ht="15" hidden="false" customHeight="false" outlineLevel="0" collapsed="false">
      <c r="A180" s="26" t="str">
        <f aca="false">IF($B180="","","EX-"&amp;TEXT(ROW()-6,"000"))</f>
        <v/>
      </c>
      <c r="B180" s="68"/>
      <c r="C180" s="28"/>
      <c r="D180" s="28"/>
      <c r="E180" s="28"/>
      <c r="F180" s="68"/>
      <c r="G180" s="68"/>
      <c r="H180" s="68"/>
      <c r="I180" s="28"/>
      <c r="J180" s="28"/>
      <c r="K180" s="28"/>
      <c r="L180" s="28"/>
      <c r="M180" s="28"/>
      <c r="N180" s="68"/>
    </row>
    <row r="181" customFormat="false" ht="15" hidden="false" customHeight="false" outlineLevel="0" collapsed="false">
      <c r="A181" s="26" t="str">
        <f aca="false">IF($B181="","","EX-"&amp;TEXT(ROW()-6,"000"))</f>
        <v/>
      </c>
      <c r="B181" s="68"/>
      <c r="C181" s="28"/>
      <c r="D181" s="28"/>
      <c r="E181" s="28"/>
      <c r="F181" s="68"/>
      <c r="G181" s="68"/>
      <c r="H181" s="68"/>
      <c r="I181" s="28"/>
      <c r="J181" s="28"/>
      <c r="K181" s="28"/>
      <c r="L181" s="28"/>
      <c r="M181" s="28"/>
      <c r="N181" s="68"/>
    </row>
    <row r="182" customFormat="false" ht="15" hidden="false" customHeight="false" outlineLevel="0" collapsed="false">
      <c r="A182" s="26" t="str">
        <f aca="false">IF($B182="","","EX-"&amp;TEXT(ROW()-6,"000"))</f>
        <v/>
      </c>
      <c r="B182" s="68"/>
      <c r="C182" s="28"/>
      <c r="D182" s="28"/>
      <c r="E182" s="28"/>
      <c r="F182" s="68"/>
      <c r="G182" s="68"/>
      <c r="H182" s="68"/>
      <c r="I182" s="28"/>
      <c r="J182" s="28"/>
      <c r="K182" s="28"/>
      <c r="L182" s="28"/>
      <c r="M182" s="28"/>
      <c r="N182" s="68"/>
    </row>
    <row r="183" customFormat="false" ht="15" hidden="false" customHeight="false" outlineLevel="0" collapsed="false">
      <c r="A183" s="26" t="str">
        <f aca="false">IF($B183="","","EX-"&amp;TEXT(ROW()-6,"000"))</f>
        <v/>
      </c>
      <c r="B183" s="68"/>
      <c r="C183" s="28"/>
      <c r="D183" s="28"/>
      <c r="E183" s="28"/>
      <c r="F183" s="68"/>
      <c r="G183" s="68"/>
      <c r="H183" s="68"/>
      <c r="I183" s="28"/>
      <c r="J183" s="28"/>
      <c r="K183" s="28"/>
      <c r="L183" s="28"/>
      <c r="M183" s="28"/>
      <c r="N183" s="68"/>
    </row>
    <row r="184" customFormat="false" ht="15" hidden="false" customHeight="false" outlineLevel="0" collapsed="false">
      <c r="A184" s="26" t="str">
        <f aca="false">IF($B184="","","EX-"&amp;TEXT(ROW()-6,"000"))</f>
        <v/>
      </c>
      <c r="B184" s="68"/>
      <c r="C184" s="28"/>
      <c r="D184" s="28"/>
      <c r="E184" s="28"/>
      <c r="F184" s="68"/>
      <c r="G184" s="68"/>
      <c r="H184" s="68"/>
      <c r="I184" s="28"/>
      <c r="J184" s="28"/>
      <c r="K184" s="28"/>
      <c r="L184" s="28"/>
      <c r="M184" s="28"/>
      <c r="N184" s="68"/>
    </row>
    <row r="185" customFormat="false" ht="15" hidden="false" customHeight="false" outlineLevel="0" collapsed="false">
      <c r="A185" s="26" t="str">
        <f aca="false">IF($B185="","","EX-"&amp;TEXT(ROW()-6,"000"))</f>
        <v/>
      </c>
      <c r="B185" s="68"/>
      <c r="C185" s="28"/>
      <c r="D185" s="28"/>
      <c r="E185" s="28"/>
      <c r="F185" s="68"/>
      <c r="G185" s="68"/>
      <c r="H185" s="68"/>
      <c r="I185" s="28"/>
      <c r="J185" s="28"/>
      <c r="K185" s="28"/>
      <c r="L185" s="28"/>
      <c r="M185" s="28"/>
      <c r="N185" s="68"/>
    </row>
    <row r="186" customFormat="false" ht="15" hidden="false" customHeight="false" outlineLevel="0" collapsed="false">
      <c r="A186" s="26" t="str">
        <f aca="false">IF($B186="","","EX-"&amp;TEXT(ROW()-6,"000"))</f>
        <v/>
      </c>
      <c r="B186" s="68"/>
      <c r="C186" s="28"/>
      <c r="D186" s="28"/>
      <c r="E186" s="28"/>
      <c r="F186" s="68"/>
      <c r="G186" s="68"/>
      <c r="H186" s="68"/>
      <c r="I186" s="28"/>
      <c r="J186" s="28"/>
      <c r="K186" s="28"/>
      <c r="L186" s="28"/>
      <c r="M186" s="28"/>
      <c r="N186" s="68"/>
    </row>
    <row r="187" customFormat="false" ht="15" hidden="false" customHeight="false" outlineLevel="0" collapsed="false">
      <c r="A187" s="26" t="str">
        <f aca="false">IF($B187="","","EX-"&amp;TEXT(ROW()-6,"000"))</f>
        <v/>
      </c>
      <c r="B187" s="68"/>
      <c r="C187" s="28"/>
      <c r="D187" s="28"/>
      <c r="E187" s="28"/>
      <c r="F187" s="68"/>
      <c r="G187" s="68"/>
      <c r="H187" s="68"/>
      <c r="I187" s="28"/>
      <c r="J187" s="28"/>
      <c r="K187" s="28"/>
      <c r="L187" s="28"/>
      <c r="M187" s="28"/>
      <c r="N187" s="68"/>
    </row>
    <row r="188" customFormat="false" ht="15" hidden="false" customHeight="false" outlineLevel="0" collapsed="false">
      <c r="A188" s="26" t="str">
        <f aca="false">IF($B188="","","EX-"&amp;TEXT(ROW()-6,"000"))</f>
        <v/>
      </c>
      <c r="B188" s="68"/>
      <c r="C188" s="28"/>
      <c r="D188" s="28"/>
      <c r="E188" s="28"/>
      <c r="F188" s="68"/>
      <c r="G188" s="68"/>
      <c r="H188" s="68"/>
      <c r="I188" s="28"/>
      <c r="J188" s="28"/>
      <c r="K188" s="28"/>
      <c r="L188" s="28"/>
      <c r="M188" s="28"/>
      <c r="N188" s="68"/>
    </row>
    <row r="189" customFormat="false" ht="15" hidden="false" customHeight="false" outlineLevel="0" collapsed="false">
      <c r="A189" s="26" t="str">
        <f aca="false">IF($B189="","","EX-"&amp;TEXT(ROW()-6,"000"))</f>
        <v/>
      </c>
      <c r="B189" s="68"/>
      <c r="C189" s="28"/>
      <c r="D189" s="28"/>
      <c r="E189" s="28"/>
      <c r="F189" s="68"/>
      <c r="G189" s="68"/>
      <c r="H189" s="68"/>
      <c r="I189" s="28"/>
      <c r="J189" s="28"/>
      <c r="K189" s="28"/>
      <c r="L189" s="28"/>
      <c r="M189" s="28"/>
      <c r="N189" s="68"/>
    </row>
    <row r="190" customFormat="false" ht="15" hidden="false" customHeight="false" outlineLevel="0" collapsed="false">
      <c r="A190" s="26" t="str">
        <f aca="false">IF($B190="","","EX-"&amp;TEXT(ROW()-6,"000"))</f>
        <v/>
      </c>
      <c r="B190" s="68"/>
      <c r="C190" s="28"/>
      <c r="D190" s="28"/>
      <c r="E190" s="28"/>
      <c r="F190" s="68"/>
      <c r="G190" s="68"/>
      <c r="H190" s="68"/>
      <c r="I190" s="28"/>
      <c r="J190" s="28"/>
      <c r="K190" s="28"/>
      <c r="L190" s="28"/>
      <c r="M190" s="28"/>
      <c r="N190" s="68"/>
    </row>
    <row r="191" customFormat="false" ht="15" hidden="false" customHeight="false" outlineLevel="0" collapsed="false">
      <c r="A191" s="26" t="str">
        <f aca="false">IF($B191="","","EX-"&amp;TEXT(ROW()-6,"000"))</f>
        <v/>
      </c>
      <c r="B191" s="68"/>
      <c r="C191" s="28"/>
      <c r="D191" s="28"/>
      <c r="E191" s="28"/>
      <c r="F191" s="68"/>
      <c r="G191" s="68"/>
      <c r="H191" s="68"/>
      <c r="I191" s="28"/>
      <c r="J191" s="28"/>
      <c r="K191" s="28"/>
      <c r="L191" s="28"/>
      <c r="M191" s="28"/>
      <c r="N191" s="68"/>
    </row>
    <row r="192" customFormat="false" ht="15" hidden="false" customHeight="false" outlineLevel="0" collapsed="false">
      <c r="A192" s="26" t="str">
        <f aca="false">IF($B192="","","EX-"&amp;TEXT(ROW()-6,"000"))</f>
        <v/>
      </c>
      <c r="B192" s="68"/>
      <c r="C192" s="28"/>
      <c r="D192" s="28"/>
      <c r="E192" s="28"/>
      <c r="F192" s="68"/>
      <c r="G192" s="68"/>
      <c r="H192" s="68"/>
      <c r="I192" s="28"/>
      <c r="J192" s="28"/>
      <c r="K192" s="28"/>
      <c r="L192" s="28"/>
      <c r="M192" s="28"/>
      <c r="N192" s="68"/>
    </row>
    <row r="193" customFormat="false" ht="15" hidden="false" customHeight="false" outlineLevel="0" collapsed="false">
      <c r="A193" s="26" t="str">
        <f aca="false">IF($B193="","","EX-"&amp;TEXT(ROW()-6,"000"))</f>
        <v/>
      </c>
      <c r="B193" s="68"/>
      <c r="C193" s="28"/>
      <c r="D193" s="28"/>
      <c r="E193" s="28"/>
      <c r="F193" s="68"/>
      <c r="G193" s="68"/>
      <c r="H193" s="68"/>
      <c r="I193" s="28"/>
      <c r="J193" s="28"/>
      <c r="K193" s="28"/>
      <c r="L193" s="28"/>
      <c r="M193" s="28"/>
      <c r="N193" s="68"/>
    </row>
    <row r="194" customFormat="false" ht="15" hidden="false" customHeight="false" outlineLevel="0" collapsed="false">
      <c r="A194" s="26" t="str">
        <f aca="false">IF($B194="","","EX-"&amp;TEXT(ROW()-6,"000"))</f>
        <v/>
      </c>
      <c r="B194" s="68"/>
      <c r="C194" s="28"/>
      <c r="D194" s="28"/>
      <c r="E194" s="28"/>
      <c r="F194" s="68"/>
      <c r="G194" s="68"/>
      <c r="H194" s="68"/>
      <c r="I194" s="28"/>
      <c r="J194" s="28"/>
      <c r="K194" s="28"/>
      <c r="L194" s="28"/>
      <c r="M194" s="28"/>
      <c r="N194" s="68"/>
    </row>
    <row r="195" customFormat="false" ht="15" hidden="false" customHeight="false" outlineLevel="0" collapsed="false">
      <c r="A195" s="26" t="str">
        <f aca="false">IF($B195="","","EX-"&amp;TEXT(ROW()-6,"000"))</f>
        <v/>
      </c>
      <c r="B195" s="68"/>
      <c r="C195" s="28"/>
      <c r="D195" s="28"/>
      <c r="E195" s="28"/>
      <c r="F195" s="68"/>
      <c r="G195" s="68"/>
      <c r="H195" s="68"/>
      <c r="I195" s="28"/>
      <c r="J195" s="28"/>
      <c r="K195" s="28"/>
      <c r="L195" s="28"/>
      <c r="M195" s="28"/>
      <c r="N195" s="68"/>
    </row>
    <row r="196" customFormat="false" ht="15" hidden="false" customHeight="false" outlineLevel="0" collapsed="false">
      <c r="A196" s="26" t="str">
        <f aca="false">IF($B196="","","EX-"&amp;TEXT(ROW()-6,"000"))</f>
        <v/>
      </c>
      <c r="B196" s="68"/>
      <c r="C196" s="28"/>
      <c r="D196" s="28"/>
      <c r="E196" s="28"/>
      <c r="F196" s="68"/>
      <c r="G196" s="68"/>
      <c r="H196" s="68"/>
      <c r="I196" s="28"/>
      <c r="J196" s="28"/>
      <c r="K196" s="28"/>
      <c r="L196" s="28"/>
      <c r="M196" s="28"/>
      <c r="N196" s="68"/>
    </row>
    <row r="197" customFormat="false" ht="15" hidden="false" customHeight="false" outlineLevel="0" collapsed="false">
      <c r="A197" s="26" t="str">
        <f aca="false">IF($B197="","","EX-"&amp;TEXT(ROW()-6,"000"))</f>
        <v/>
      </c>
      <c r="B197" s="68"/>
      <c r="C197" s="28"/>
      <c r="D197" s="28"/>
      <c r="E197" s="28"/>
      <c r="F197" s="68"/>
      <c r="G197" s="68"/>
      <c r="H197" s="68"/>
      <c r="I197" s="28"/>
      <c r="J197" s="28"/>
      <c r="K197" s="28"/>
      <c r="L197" s="28"/>
      <c r="M197" s="28"/>
      <c r="N197" s="68"/>
    </row>
    <row r="198" customFormat="false" ht="15" hidden="false" customHeight="false" outlineLevel="0" collapsed="false">
      <c r="A198" s="26" t="str">
        <f aca="false">IF($B198="","","EX-"&amp;TEXT(ROW()-6,"000"))</f>
        <v/>
      </c>
      <c r="B198" s="68"/>
      <c r="C198" s="28"/>
      <c r="D198" s="28"/>
      <c r="E198" s="28"/>
      <c r="F198" s="68"/>
      <c r="G198" s="68"/>
      <c r="H198" s="68"/>
      <c r="I198" s="28"/>
      <c r="J198" s="28"/>
      <c r="K198" s="28"/>
      <c r="L198" s="28"/>
      <c r="M198" s="28"/>
      <c r="N198" s="68"/>
    </row>
    <row r="199" customFormat="false" ht="15" hidden="false" customHeight="false" outlineLevel="0" collapsed="false">
      <c r="A199" s="26" t="str">
        <f aca="false">IF($B199="","","EX-"&amp;TEXT(ROW()-6,"000"))</f>
        <v/>
      </c>
      <c r="B199" s="68"/>
      <c r="C199" s="28"/>
      <c r="D199" s="28"/>
      <c r="E199" s="28"/>
      <c r="F199" s="68"/>
      <c r="G199" s="68"/>
      <c r="H199" s="68"/>
      <c r="I199" s="28"/>
      <c r="J199" s="28"/>
      <c r="K199" s="28"/>
      <c r="L199" s="28"/>
      <c r="M199" s="28"/>
      <c r="N199" s="68"/>
    </row>
    <row r="200" customFormat="false" ht="15" hidden="false" customHeight="false" outlineLevel="0" collapsed="false">
      <c r="A200" s="26" t="str">
        <f aca="false">IF($B200="","","EX-"&amp;TEXT(ROW()-6,"000"))</f>
        <v/>
      </c>
      <c r="B200" s="68"/>
      <c r="C200" s="28"/>
      <c r="D200" s="28"/>
      <c r="E200" s="28"/>
      <c r="F200" s="68"/>
      <c r="G200" s="68"/>
      <c r="H200" s="68"/>
      <c r="I200" s="28"/>
      <c r="J200" s="28"/>
      <c r="K200" s="28"/>
      <c r="L200" s="28"/>
      <c r="M200" s="28"/>
      <c r="N200" s="68"/>
    </row>
    <row r="201" customFormat="false" ht="15" hidden="false" customHeight="false" outlineLevel="0" collapsed="false">
      <c r="A201" s="26" t="str">
        <f aca="false">IF($B201="","","EX-"&amp;TEXT(ROW()-6,"000"))</f>
        <v/>
      </c>
      <c r="B201" s="68"/>
      <c r="C201" s="28"/>
      <c r="D201" s="28"/>
      <c r="E201" s="28"/>
      <c r="F201" s="68"/>
      <c r="G201" s="68"/>
      <c r="H201" s="68"/>
      <c r="I201" s="28"/>
      <c r="J201" s="28"/>
      <c r="K201" s="28"/>
      <c r="L201" s="28"/>
      <c r="M201" s="28"/>
      <c r="N201" s="68"/>
    </row>
    <row r="202" customFormat="false" ht="15" hidden="false" customHeight="false" outlineLevel="0" collapsed="false">
      <c r="A202" s="26" t="str">
        <f aca="false">IF($B202="","","EX-"&amp;TEXT(ROW()-6,"000"))</f>
        <v/>
      </c>
      <c r="B202" s="68"/>
      <c r="C202" s="28"/>
      <c r="D202" s="28"/>
      <c r="E202" s="28"/>
      <c r="F202" s="68"/>
      <c r="G202" s="68"/>
      <c r="H202" s="68"/>
      <c r="I202" s="28"/>
      <c r="J202" s="28"/>
      <c r="K202" s="28"/>
      <c r="L202" s="28"/>
      <c r="M202" s="28"/>
      <c r="N202" s="68"/>
    </row>
    <row r="203" customFormat="false" ht="15" hidden="false" customHeight="false" outlineLevel="0" collapsed="false">
      <c r="A203" s="26" t="str">
        <f aca="false">IF($B203="","","EX-"&amp;TEXT(ROW()-6,"000"))</f>
        <v/>
      </c>
      <c r="B203" s="68"/>
      <c r="C203" s="28"/>
      <c r="D203" s="28"/>
      <c r="E203" s="28"/>
      <c r="F203" s="68"/>
      <c r="G203" s="68"/>
      <c r="H203" s="68"/>
      <c r="I203" s="28"/>
      <c r="J203" s="28"/>
      <c r="K203" s="28"/>
      <c r="L203" s="28"/>
      <c r="M203" s="28"/>
      <c r="N203" s="68"/>
    </row>
    <row r="204" customFormat="false" ht="15" hidden="false" customHeight="false" outlineLevel="0" collapsed="false">
      <c r="A204" s="26" t="str">
        <f aca="false">IF($B204="","","EX-"&amp;TEXT(ROW()-6,"000"))</f>
        <v/>
      </c>
      <c r="B204" s="68"/>
      <c r="C204" s="28"/>
      <c r="D204" s="28"/>
      <c r="E204" s="28"/>
      <c r="F204" s="68"/>
      <c r="G204" s="68"/>
      <c r="H204" s="68"/>
      <c r="I204" s="28"/>
      <c r="J204" s="28"/>
      <c r="K204" s="28"/>
      <c r="L204" s="28"/>
      <c r="M204" s="28"/>
      <c r="N204" s="68"/>
    </row>
    <row r="205" customFormat="false" ht="15" hidden="false" customHeight="false" outlineLevel="0" collapsed="false">
      <c r="A205" s="26" t="str">
        <f aca="false">IF($B205="","","EX-"&amp;TEXT(ROW()-6,"000"))</f>
        <v/>
      </c>
      <c r="B205" s="68"/>
      <c r="C205" s="28"/>
      <c r="D205" s="28"/>
      <c r="E205" s="28"/>
      <c r="F205" s="68"/>
      <c r="G205" s="68"/>
      <c r="H205" s="68"/>
      <c r="I205" s="28"/>
      <c r="J205" s="28"/>
      <c r="K205" s="28"/>
      <c r="L205" s="28"/>
      <c r="M205" s="28"/>
      <c r="N205" s="68"/>
    </row>
    <row r="206" customFormat="false" ht="15" hidden="false" customHeight="false" outlineLevel="0" collapsed="false">
      <c r="A206" s="26" t="str">
        <f aca="false">IF($B206="","","EX-"&amp;TEXT(ROW()-6,"000"))</f>
        <v/>
      </c>
      <c r="B206" s="68"/>
      <c r="C206" s="28"/>
      <c r="D206" s="28"/>
      <c r="E206" s="28"/>
      <c r="F206" s="68"/>
      <c r="G206" s="68"/>
      <c r="H206" s="68"/>
      <c r="I206" s="28"/>
      <c r="J206" s="28"/>
      <c r="K206" s="28"/>
      <c r="L206" s="28"/>
      <c r="M206" s="28"/>
      <c r="N206" s="68"/>
    </row>
  </sheetData>
  <autoFilter ref="A6:N206"/>
  <mergeCells count="2">
    <mergeCell ref="A1:N1"/>
    <mergeCell ref="A2:N2"/>
  </mergeCells>
  <dataValidations count="6">
    <dataValidation allowBlank="true" errorStyle="stop" operator="between" showDropDown="false" showErrorMessage="false" showInputMessage="false" sqref="C7:C206" type="list">
      <formula1>Listas!$I$5:$I$16</formula1>
      <formula2>0</formula2>
    </dataValidation>
    <dataValidation allowBlank="true" errorStyle="stop" operator="between" showDropDown="false" showErrorMessage="false" showInputMessage="false" sqref="D7:D206" type="list">
      <formula1>Listas!$J$5:$J$16</formula1>
      <formula2>0</formula2>
    </dataValidation>
    <dataValidation allowBlank="true" errorStyle="stop" operator="between" showDropDown="false" showErrorMessage="false" showInputMessage="false" sqref="E7:E206" type="list">
      <formula1>Listas!$K$5:$K$16</formula1>
      <formula2>0</formula2>
    </dataValidation>
    <dataValidation allowBlank="true" errorStyle="stop" operator="between" showDropDown="false" showErrorMessage="false" showInputMessage="false" sqref="K7:K206" type="list">
      <formula1>Listas!$M$5:$M$16</formula1>
      <formula2>0</formula2>
    </dataValidation>
    <dataValidation allowBlank="true" errorStyle="stop" operator="between" showDropDown="false" showErrorMessage="false" showInputMessage="false" sqref="L7:L206" type="list">
      <formula1>Listas!$N$5:$N$16</formula1>
      <formula2>0</formula2>
    </dataValidation>
    <dataValidation allowBlank="true" errorStyle="stop" operator="between" showDropDown="false" showErrorMessage="false" showInputMessage="false" sqref="M7:M206" type="list">
      <formula1>Listas!$R$5:$R$16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N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46"/>
    <col collapsed="false" customWidth="true" hidden="false" outlineLevel="0" max="10" min="10" style="0" width="9"/>
    <col collapsed="false" customWidth="true" hidden="false" outlineLevel="0" max="11" min="11" style="0" width="16"/>
    <col collapsed="false" customWidth="true" hidden="false" outlineLevel="0" max="13" min="12" style="0" width="11"/>
    <col collapsed="false" customWidth="true" hidden="false" outlineLevel="0" max="14" min="14" style="0" width="26"/>
  </cols>
  <sheetData>
    <row r="1" customFormat="false" ht="30" hidden="false" customHeight="true" outlineLevel="0" collapsed="false">
      <c r="A1" s="1" t="s">
        <v>761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762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6" customFormat="false" ht="31.5" hidden="false" customHeight="true" outlineLevel="0" collapsed="false">
      <c r="A6" s="25" t="s">
        <v>763</v>
      </c>
      <c r="B6" s="25" t="s">
        <v>764</v>
      </c>
      <c r="C6" s="25" t="s">
        <v>108</v>
      </c>
      <c r="D6" s="25" t="s">
        <v>765</v>
      </c>
      <c r="E6" s="25" t="s">
        <v>419</v>
      </c>
      <c r="F6" s="25" t="s">
        <v>766</v>
      </c>
      <c r="G6" s="25" t="s">
        <v>767</v>
      </c>
      <c r="H6" s="25" t="s">
        <v>768</v>
      </c>
      <c r="I6" s="25" t="s">
        <v>416</v>
      </c>
      <c r="J6" s="25" t="s">
        <v>769</v>
      </c>
      <c r="K6" s="25" t="s">
        <v>770</v>
      </c>
      <c r="L6" s="25" t="s">
        <v>771</v>
      </c>
      <c r="M6" s="25" t="s">
        <v>772</v>
      </c>
      <c r="N6" s="25" t="s">
        <v>162</v>
      </c>
    </row>
    <row r="7" customFormat="false" ht="15" hidden="false" customHeight="false" outlineLevel="0" collapsed="false">
      <c r="A7" s="69" t="n">
        <v>1</v>
      </c>
      <c r="B7" s="69" t="s">
        <v>773</v>
      </c>
      <c r="C7" s="69" t="s">
        <v>169</v>
      </c>
      <c r="D7" s="69" t="s">
        <v>774</v>
      </c>
      <c r="E7" s="69" t="s">
        <v>775</v>
      </c>
      <c r="F7" s="69" t="s">
        <v>776</v>
      </c>
      <c r="G7" s="69" t="s">
        <v>777</v>
      </c>
      <c r="H7" s="69" t="n">
        <v>1</v>
      </c>
      <c r="I7" s="70" t="s">
        <v>732</v>
      </c>
      <c r="J7" s="69" t="n">
        <v>3</v>
      </c>
      <c r="K7" s="69" t="s">
        <v>778</v>
      </c>
      <c r="L7" s="71"/>
      <c r="M7" s="32"/>
      <c r="N7" s="72" t="s">
        <v>779</v>
      </c>
    </row>
    <row r="8" customFormat="false" ht="15" hidden="false" customHeight="false" outlineLevel="0" collapsed="false">
      <c r="A8" s="69" t="n">
        <v>1</v>
      </c>
      <c r="B8" s="69" t="s">
        <v>773</v>
      </c>
      <c r="C8" s="69" t="s">
        <v>169</v>
      </c>
      <c r="D8" s="69" t="s">
        <v>774</v>
      </c>
      <c r="E8" s="69" t="s">
        <v>775</v>
      </c>
      <c r="F8" s="69" t="s">
        <v>776</v>
      </c>
      <c r="G8" s="69" t="s">
        <v>777</v>
      </c>
      <c r="H8" s="69" t="n">
        <v>2</v>
      </c>
      <c r="I8" s="70" t="s">
        <v>752</v>
      </c>
      <c r="J8" s="69" t="n">
        <v>3</v>
      </c>
      <c r="K8" s="69" t="s">
        <v>778</v>
      </c>
      <c r="L8" s="71"/>
      <c r="M8" s="32"/>
      <c r="N8" s="72" t="s">
        <v>779</v>
      </c>
    </row>
    <row r="9" customFormat="false" ht="15" hidden="false" customHeight="false" outlineLevel="0" collapsed="false">
      <c r="A9" s="69" t="n">
        <v>1</v>
      </c>
      <c r="B9" s="69" t="s">
        <v>773</v>
      </c>
      <c r="C9" s="69" t="s">
        <v>169</v>
      </c>
      <c r="D9" s="69" t="s">
        <v>774</v>
      </c>
      <c r="E9" s="69" t="s">
        <v>775</v>
      </c>
      <c r="F9" s="69" t="s">
        <v>780</v>
      </c>
      <c r="G9" s="69" t="s">
        <v>781</v>
      </c>
      <c r="H9" s="69" t="n">
        <v>1</v>
      </c>
      <c r="I9" s="70" t="s">
        <v>640</v>
      </c>
      <c r="J9" s="69" t="n">
        <v>4</v>
      </c>
      <c r="K9" s="69" t="s">
        <v>781</v>
      </c>
      <c r="L9" s="71" t="n">
        <v>0.75</v>
      </c>
      <c r="M9" s="32"/>
      <c r="N9" s="72" t="s">
        <v>779</v>
      </c>
    </row>
    <row r="10" customFormat="false" ht="15" hidden="false" customHeight="false" outlineLevel="0" collapsed="false">
      <c r="A10" s="69" t="n">
        <v>1</v>
      </c>
      <c r="B10" s="69" t="s">
        <v>773</v>
      </c>
      <c r="C10" s="69" t="s">
        <v>169</v>
      </c>
      <c r="D10" s="69" t="s">
        <v>774</v>
      </c>
      <c r="E10" s="69" t="s">
        <v>775</v>
      </c>
      <c r="F10" s="69" t="s">
        <v>780</v>
      </c>
      <c r="G10" s="69" t="s">
        <v>781</v>
      </c>
      <c r="H10" s="69" t="n">
        <v>2</v>
      </c>
      <c r="I10" s="70" t="s">
        <v>644</v>
      </c>
      <c r="J10" s="69" t="n">
        <v>4</v>
      </c>
      <c r="K10" s="69" t="s">
        <v>781</v>
      </c>
      <c r="L10" s="71" t="n">
        <v>0.75</v>
      </c>
      <c r="M10" s="32"/>
      <c r="N10" s="72" t="s">
        <v>779</v>
      </c>
    </row>
    <row r="11" customFormat="false" ht="15" hidden="false" customHeight="false" outlineLevel="0" collapsed="false">
      <c r="A11" s="69" t="n">
        <v>1</v>
      </c>
      <c r="B11" s="69" t="s">
        <v>773</v>
      </c>
      <c r="C11" s="69" t="s">
        <v>169</v>
      </c>
      <c r="D11" s="69" t="s">
        <v>774</v>
      </c>
      <c r="E11" s="69" t="s">
        <v>775</v>
      </c>
      <c r="F11" s="69" t="s">
        <v>780</v>
      </c>
      <c r="G11" s="69" t="s">
        <v>781</v>
      </c>
      <c r="H11" s="69" t="n">
        <v>3</v>
      </c>
      <c r="I11" s="70" t="s">
        <v>652</v>
      </c>
      <c r="J11" s="69" t="n">
        <v>4</v>
      </c>
      <c r="K11" s="69" t="s">
        <v>781</v>
      </c>
      <c r="L11" s="71" t="n">
        <v>0.75</v>
      </c>
      <c r="M11" s="32"/>
      <c r="N11" s="72" t="s">
        <v>779</v>
      </c>
    </row>
    <row r="12" customFormat="false" ht="15" hidden="false" customHeight="false" outlineLevel="0" collapsed="false">
      <c r="A12" s="69" t="n">
        <v>1</v>
      </c>
      <c r="B12" s="69" t="s">
        <v>773</v>
      </c>
      <c r="C12" s="69" t="s">
        <v>169</v>
      </c>
      <c r="D12" s="69" t="s">
        <v>774</v>
      </c>
      <c r="E12" s="69" t="s">
        <v>775</v>
      </c>
      <c r="F12" s="69" t="s">
        <v>318</v>
      </c>
      <c r="G12" s="69" t="s">
        <v>781</v>
      </c>
      <c r="H12" s="69" t="n">
        <v>1</v>
      </c>
      <c r="I12" s="70" t="s">
        <v>688</v>
      </c>
      <c r="J12" s="69" t="n">
        <v>4</v>
      </c>
      <c r="K12" s="69" t="s">
        <v>781</v>
      </c>
      <c r="L12" s="71" t="n">
        <v>0.75</v>
      </c>
      <c r="M12" s="32"/>
      <c r="N12" s="72" t="s">
        <v>779</v>
      </c>
    </row>
    <row r="13" customFormat="false" ht="15" hidden="false" customHeight="false" outlineLevel="0" collapsed="false">
      <c r="A13" s="69" t="n">
        <v>1</v>
      </c>
      <c r="B13" s="69" t="s">
        <v>773</v>
      </c>
      <c r="C13" s="69" t="s">
        <v>169</v>
      </c>
      <c r="D13" s="69" t="s">
        <v>774</v>
      </c>
      <c r="E13" s="69" t="s">
        <v>775</v>
      </c>
      <c r="F13" s="69" t="s">
        <v>318</v>
      </c>
      <c r="G13" s="69" t="s">
        <v>781</v>
      </c>
      <c r="H13" s="69" t="n">
        <v>2</v>
      </c>
      <c r="I13" s="70" t="s">
        <v>701</v>
      </c>
      <c r="J13" s="69" t="n">
        <v>4</v>
      </c>
      <c r="K13" s="69" t="s">
        <v>781</v>
      </c>
      <c r="L13" s="71" t="n">
        <v>0.75</v>
      </c>
      <c r="M13" s="32"/>
      <c r="N13" s="72" t="s">
        <v>779</v>
      </c>
    </row>
    <row r="14" customFormat="false" ht="15" hidden="false" customHeight="false" outlineLevel="0" collapsed="false">
      <c r="A14" s="69" t="n">
        <v>1</v>
      </c>
      <c r="B14" s="69" t="s">
        <v>773</v>
      </c>
      <c r="C14" s="69" t="s">
        <v>169</v>
      </c>
      <c r="D14" s="69" t="s">
        <v>774</v>
      </c>
      <c r="E14" s="69" t="s">
        <v>775</v>
      </c>
      <c r="F14" s="69" t="s">
        <v>318</v>
      </c>
      <c r="G14" s="69" t="s">
        <v>781</v>
      </c>
      <c r="H14" s="69" t="n">
        <v>3</v>
      </c>
      <c r="I14" s="70" t="s">
        <v>708</v>
      </c>
      <c r="J14" s="69" t="n">
        <v>4</v>
      </c>
      <c r="K14" s="69" t="s">
        <v>781</v>
      </c>
      <c r="L14" s="71" t="n">
        <v>0.75</v>
      </c>
      <c r="M14" s="32"/>
      <c r="N14" s="72" t="s">
        <v>779</v>
      </c>
    </row>
    <row r="15" customFormat="false" ht="15" hidden="false" customHeight="false" outlineLevel="0" collapsed="false">
      <c r="A15" s="73" t="n">
        <v>2</v>
      </c>
      <c r="B15" s="73" t="s">
        <v>782</v>
      </c>
      <c r="C15" s="73" t="s">
        <v>169</v>
      </c>
      <c r="D15" s="73" t="s">
        <v>774</v>
      </c>
      <c r="E15" s="73" t="s">
        <v>775</v>
      </c>
      <c r="F15" s="73" t="s">
        <v>776</v>
      </c>
      <c r="G15" s="73" t="s">
        <v>777</v>
      </c>
      <c r="H15" s="73" t="n">
        <v>1</v>
      </c>
      <c r="I15" s="74" t="s">
        <v>735</v>
      </c>
      <c r="J15" s="73" t="n">
        <v>3</v>
      </c>
      <c r="K15" s="73" t="s">
        <v>778</v>
      </c>
      <c r="L15" s="71"/>
      <c r="M15" s="32"/>
      <c r="N15" s="75" t="s">
        <v>779</v>
      </c>
    </row>
    <row r="16" customFormat="false" ht="15" hidden="false" customHeight="false" outlineLevel="0" collapsed="false">
      <c r="A16" s="73" t="n">
        <v>2</v>
      </c>
      <c r="B16" s="73" t="s">
        <v>782</v>
      </c>
      <c r="C16" s="73" t="s">
        <v>169</v>
      </c>
      <c r="D16" s="73" t="s">
        <v>774</v>
      </c>
      <c r="E16" s="73" t="s">
        <v>775</v>
      </c>
      <c r="F16" s="73" t="s">
        <v>776</v>
      </c>
      <c r="G16" s="73" t="s">
        <v>777</v>
      </c>
      <c r="H16" s="73" t="n">
        <v>2</v>
      </c>
      <c r="I16" s="74" t="s">
        <v>755</v>
      </c>
      <c r="J16" s="73" t="n">
        <v>3</v>
      </c>
      <c r="K16" s="73" t="s">
        <v>778</v>
      </c>
      <c r="L16" s="71"/>
      <c r="M16" s="32"/>
      <c r="N16" s="75" t="s">
        <v>779</v>
      </c>
    </row>
    <row r="17" customFormat="false" ht="15" hidden="false" customHeight="false" outlineLevel="0" collapsed="false">
      <c r="A17" s="73" t="n">
        <v>2</v>
      </c>
      <c r="B17" s="73" t="s">
        <v>782</v>
      </c>
      <c r="C17" s="73" t="s">
        <v>169</v>
      </c>
      <c r="D17" s="73" t="s">
        <v>774</v>
      </c>
      <c r="E17" s="73" t="s">
        <v>775</v>
      </c>
      <c r="F17" s="73" t="s">
        <v>780</v>
      </c>
      <c r="G17" s="73" t="s">
        <v>781</v>
      </c>
      <c r="H17" s="73" t="n">
        <v>1</v>
      </c>
      <c r="I17" s="74" t="s">
        <v>656</v>
      </c>
      <c r="J17" s="73" t="n">
        <v>4</v>
      </c>
      <c r="K17" s="73" t="s">
        <v>781</v>
      </c>
      <c r="L17" s="71" t="n">
        <v>0.75</v>
      </c>
      <c r="M17" s="32"/>
      <c r="N17" s="75" t="s">
        <v>779</v>
      </c>
    </row>
    <row r="18" customFormat="false" ht="15" hidden="false" customHeight="false" outlineLevel="0" collapsed="false">
      <c r="A18" s="73" t="n">
        <v>2</v>
      </c>
      <c r="B18" s="73" t="s">
        <v>782</v>
      </c>
      <c r="C18" s="73" t="s">
        <v>169</v>
      </c>
      <c r="D18" s="73" t="s">
        <v>774</v>
      </c>
      <c r="E18" s="73" t="s">
        <v>775</v>
      </c>
      <c r="F18" s="73" t="s">
        <v>780</v>
      </c>
      <c r="G18" s="73" t="s">
        <v>781</v>
      </c>
      <c r="H18" s="73" t="n">
        <v>2</v>
      </c>
      <c r="I18" s="74" t="s">
        <v>680</v>
      </c>
      <c r="J18" s="73" t="n">
        <v>4</v>
      </c>
      <c r="K18" s="73" t="s">
        <v>781</v>
      </c>
      <c r="L18" s="71" t="n">
        <v>0.75</v>
      </c>
      <c r="M18" s="32"/>
      <c r="N18" s="75" t="s">
        <v>779</v>
      </c>
    </row>
    <row r="19" customFormat="false" ht="15" hidden="false" customHeight="false" outlineLevel="0" collapsed="false">
      <c r="A19" s="73" t="n">
        <v>2</v>
      </c>
      <c r="B19" s="73" t="s">
        <v>782</v>
      </c>
      <c r="C19" s="73" t="s">
        <v>169</v>
      </c>
      <c r="D19" s="73" t="s">
        <v>774</v>
      </c>
      <c r="E19" s="73" t="s">
        <v>775</v>
      </c>
      <c r="F19" s="73" t="s">
        <v>780</v>
      </c>
      <c r="G19" s="73" t="s">
        <v>781</v>
      </c>
      <c r="H19" s="73" t="n">
        <v>3</v>
      </c>
      <c r="I19" s="74" t="s">
        <v>664</v>
      </c>
      <c r="J19" s="73" t="n">
        <v>4</v>
      </c>
      <c r="K19" s="73" t="s">
        <v>781</v>
      </c>
      <c r="L19" s="71" t="n">
        <v>0.75</v>
      </c>
      <c r="M19" s="32"/>
      <c r="N19" s="75" t="s">
        <v>779</v>
      </c>
    </row>
    <row r="20" customFormat="false" ht="15" hidden="false" customHeight="false" outlineLevel="0" collapsed="false">
      <c r="A20" s="73" t="n">
        <v>2</v>
      </c>
      <c r="B20" s="73" t="s">
        <v>782</v>
      </c>
      <c r="C20" s="73" t="s">
        <v>169</v>
      </c>
      <c r="D20" s="73" t="s">
        <v>774</v>
      </c>
      <c r="E20" s="73" t="s">
        <v>775</v>
      </c>
      <c r="F20" s="73" t="s">
        <v>318</v>
      </c>
      <c r="G20" s="73" t="s">
        <v>781</v>
      </c>
      <c r="H20" s="73" t="n">
        <v>1</v>
      </c>
      <c r="I20" s="74" t="s">
        <v>717</v>
      </c>
      <c r="J20" s="73" t="n">
        <v>4</v>
      </c>
      <c r="K20" s="73" t="s">
        <v>781</v>
      </c>
      <c r="L20" s="71" t="n">
        <v>0.75</v>
      </c>
      <c r="M20" s="32"/>
      <c r="N20" s="75" t="s">
        <v>779</v>
      </c>
    </row>
    <row r="21" customFormat="false" ht="15" hidden="false" customHeight="false" outlineLevel="0" collapsed="false">
      <c r="A21" s="73" t="n">
        <v>2</v>
      </c>
      <c r="B21" s="73" t="s">
        <v>782</v>
      </c>
      <c r="C21" s="73" t="s">
        <v>169</v>
      </c>
      <c r="D21" s="73" t="s">
        <v>774</v>
      </c>
      <c r="E21" s="73" t="s">
        <v>775</v>
      </c>
      <c r="F21" s="73" t="s">
        <v>318</v>
      </c>
      <c r="G21" s="73" t="s">
        <v>781</v>
      </c>
      <c r="H21" s="73" t="n">
        <v>2</v>
      </c>
      <c r="I21" s="74" t="s">
        <v>721</v>
      </c>
      <c r="J21" s="73" t="n">
        <v>4</v>
      </c>
      <c r="K21" s="73" t="s">
        <v>781</v>
      </c>
      <c r="L21" s="71" t="n">
        <v>0.75</v>
      </c>
      <c r="M21" s="32"/>
      <c r="N21" s="75" t="s">
        <v>779</v>
      </c>
    </row>
    <row r="22" customFormat="false" ht="15" hidden="false" customHeight="false" outlineLevel="0" collapsed="false">
      <c r="A22" s="73" t="n">
        <v>2</v>
      </c>
      <c r="B22" s="73" t="s">
        <v>782</v>
      </c>
      <c r="C22" s="73" t="s">
        <v>169</v>
      </c>
      <c r="D22" s="73" t="s">
        <v>774</v>
      </c>
      <c r="E22" s="73" t="s">
        <v>775</v>
      </c>
      <c r="F22" s="73" t="s">
        <v>318</v>
      </c>
      <c r="G22" s="73" t="s">
        <v>781</v>
      </c>
      <c r="H22" s="73" t="n">
        <v>3</v>
      </c>
      <c r="I22" s="74" t="s">
        <v>698</v>
      </c>
      <c r="J22" s="73" t="n">
        <v>4</v>
      </c>
      <c r="K22" s="73" t="s">
        <v>781</v>
      </c>
      <c r="L22" s="71" t="n">
        <v>0.75</v>
      </c>
      <c r="M22" s="32"/>
      <c r="N22" s="75" t="s">
        <v>779</v>
      </c>
    </row>
    <row r="23" customFormat="false" ht="15" hidden="false" customHeight="false" outlineLevel="0" collapsed="false">
      <c r="A23" s="69" t="n">
        <v>3</v>
      </c>
      <c r="B23" s="69" t="s">
        <v>783</v>
      </c>
      <c r="C23" s="69" t="s">
        <v>784</v>
      </c>
      <c r="D23" s="69" t="s">
        <v>785</v>
      </c>
      <c r="E23" s="69" t="s">
        <v>786</v>
      </c>
      <c r="F23" s="69" t="s">
        <v>780</v>
      </c>
      <c r="G23" s="69" t="s">
        <v>787</v>
      </c>
      <c r="H23" s="69" t="n">
        <v>1</v>
      </c>
      <c r="I23" s="70" t="s">
        <v>648</v>
      </c>
      <c r="J23" s="69" t="n">
        <v>3</v>
      </c>
      <c r="K23" s="69" t="s">
        <v>788</v>
      </c>
      <c r="L23" s="71" t="n">
        <v>0.8</v>
      </c>
      <c r="M23" s="32"/>
      <c r="N23" s="72" t="s">
        <v>779</v>
      </c>
    </row>
    <row r="24" customFormat="false" ht="15" hidden="false" customHeight="false" outlineLevel="0" collapsed="false">
      <c r="A24" s="69" t="n">
        <v>3</v>
      </c>
      <c r="B24" s="69" t="s">
        <v>783</v>
      </c>
      <c r="C24" s="69" t="s">
        <v>784</v>
      </c>
      <c r="D24" s="69" t="s">
        <v>785</v>
      </c>
      <c r="E24" s="69" t="s">
        <v>786</v>
      </c>
      <c r="F24" s="69" t="s">
        <v>780</v>
      </c>
      <c r="G24" s="69" t="s">
        <v>787</v>
      </c>
      <c r="H24" s="69" t="n">
        <v>2</v>
      </c>
      <c r="I24" s="70" t="s">
        <v>660</v>
      </c>
      <c r="J24" s="69" t="n">
        <v>3</v>
      </c>
      <c r="K24" s="69" t="s">
        <v>788</v>
      </c>
      <c r="L24" s="71" t="n">
        <v>0.8</v>
      </c>
      <c r="M24" s="32"/>
      <c r="N24" s="72" t="s">
        <v>779</v>
      </c>
    </row>
    <row r="25" customFormat="false" ht="15" hidden="false" customHeight="false" outlineLevel="0" collapsed="false">
      <c r="A25" s="69" t="n">
        <v>3</v>
      </c>
      <c r="B25" s="69" t="s">
        <v>783</v>
      </c>
      <c r="C25" s="69" t="s">
        <v>784</v>
      </c>
      <c r="D25" s="69" t="s">
        <v>785</v>
      </c>
      <c r="E25" s="69" t="s">
        <v>786</v>
      </c>
      <c r="F25" s="69" t="s">
        <v>780</v>
      </c>
      <c r="G25" s="69" t="s">
        <v>787</v>
      </c>
      <c r="H25" s="69" t="n">
        <v>3</v>
      </c>
      <c r="I25" s="70" t="s">
        <v>667</v>
      </c>
      <c r="J25" s="69" t="n">
        <v>3</v>
      </c>
      <c r="K25" s="69" t="s">
        <v>788</v>
      </c>
      <c r="L25" s="71" t="n">
        <v>0.8</v>
      </c>
      <c r="M25" s="32"/>
      <c r="N25" s="72" t="s">
        <v>779</v>
      </c>
    </row>
    <row r="26" customFormat="false" ht="15" hidden="false" customHeight="false" outlineLevel="0" collapsed="false">
      <c r="A26" s="69" t="n">
        <v>3</v>
      </c>
      <c r="B26" s="69" t="s">
        <v>783</v>
      </c>
      <c r="C26" s="69" t="s">
        <v>784</v>
      </c>
      <c r="D26" s="69" t="s">
        <v>785</v>
      </c>
      <c r="E26" s="69" t="s">
        <v>786</v>
      </c>
      <c r="F26" s="69" t="s">
        <v>318</v>
      </c>
      <c r="G26" s="69" t="s">
        <v>787</v>
      </c>
      <c r="H26" s="69" t="n">
        <v>1</v>
      </c>
      <c r="I26" s="70" t="s">
        <v>688</v>
      </c>
      <c r="J26" s="69" t="n">
        <v>3</v>
      </c>
      <c r="K26" s="69" t="s">
        <v>788</v>
      </c>
      <c r="L26" s="71" t="n">
        <v>0.8</v>
      </c>
      <c r="M26" s="32"/>
      <c r="N26" s="72" t="s">
        <v>779</v>
      </c>
    </row>
    <row r="27" customFormat="false" ht="15" hidden="false" customHeight="false" outlineLevel="0" collapsed="false">
      <c r="A27" s="69" t="n">
        <v>3</v>
      </c>
      <c r="B27" s="69" t="s">
        <v>783</v>
      </c>
      <c r="C27" s="69" t="s">
        <v>784</v>
      </c>
      <c r="D27" s="69" t="s">
        <v>785</v>
      </c>
      <c r="E27" s="69" t="s">
        <v>786</v>
      </c>
      <c r="F27" s="69" t="s">
        <v>318</v>
      </c>
      <c r="G27" s="69" t="s">
        <v>787</v>
      </c>
      <c r="H27" s="69" t="n">
        <v>2</v>
      </c>
      <c r="I27" s="70" t="s">
        <v>704</v>
      </c>
      <c r="J27" s="69" t="n">
        <v>3</v>
      </c>
      <c r="K27" s="69" t="s">
        <v>788</v>
      </c>
      <c r="L27" s="71" t="n">
        <v>0.8</v>
      </c>
      <c r="M27" s="32"/>
      <c r="N27" s="72" t="s">
        <v>779</v>
      </c>
    </row>
    <row r="28" customFormat="false" ht="15" hidden="false" customHeight="false" outlineLevel="0" collapsed="false">
      <c r="A28" s="69" t="n">
        <v>3</v>
      </c>
      <c r="B28" s="69" t="s">
        <v>783</v>
      </c>
      <c r="C28" s="69" t="s">
        <v>784</v>
      </c>
      <c r="D28" s="69" t="s">
        <v>785</v>
      </c>
      <c r="E28" s="69" t="s">
        <v>786</v>
      </c>
      <c r="F28" s="69" t="s">
        <v>318</v>
      </c>
      <c r="G28" s="69" t="s">
        <v>787</v>
      </c>
      <c r="H28" s="69" t="n">
        <v>3</v>
      </c>
      <c r="I28" s="70" t="s">
        <v>711</v>
      </c>
      <c r="J28" s="69" t="n">
        <v>3</v>
      </c>
      <c r="K28" s="69" t="s">
        <v>788</v>
      </c>
      <c r="L28" s="71" t="n">
        <v>0.8</v>
      </c>
      <c r="M28" s="32"/>
      <c r="N28" s="72" t="s">
        <v>779</v>
      </c>
    </row>
    <row r="29" customFormat="false" ht="15" hidden="false" customHeight="false" outlineLevel="0" collapsed="false">
      <c r="A29" s="69" t="n">
        <v>3</v>
      </c>
      <c r="B29" s="69" t="s">
        <v>783</v>
      </c>
      <c r="C29" s="69" t="s">
        <v>784</v>
      </c>
      <c r="D29" s="69" t="s">
        <v>785</v>
      </c>
      <c r="E29" s="69" t="s">
        <v>786</v>
      </c>
      <c r="F29" s="69" t="s">
        <v>776</v>
      </c>
      <c r="G29" s="69" t="s">
        <v>777</v>
      </c>
      <c r="H29" s="69" t="n">
        <v>1</v>
      </c>
      <c r="I29" s="70" t="s">
        <v>737</v>
      </c>
      <c r="J29" s="69" t="n">
        <v>3</v>
      </c>
      <c r="K29" s="69" t="s">
        <v>778</v>
      </c>
      <c r="L29" s="71"/>
      <c r="M29" s="32"/>
      <c r="N29" s="72" t="s">
        <v>779</v>
      </c>
    </row>
    <row r="30" customFormat="false" ht="15" hidden="false" customHeight="false" outlineLevel="0" collapsed="false">
      <c r="A30" s="69" t="n">
        <v>3</v>
      </c>
      <c r="B30" s="69" t="s">
        <v>783</v>
      </c>
      <c r="C30" s="69" t="s">
        <v>784</v>
      </c>
      <c r="D30" s="69" t="s">
        <v>785</v>
      </c>
      <c r="E30" s="69" t="s">
        <v>786</v>
      </c>
      <c r="F30" s="69" t="s">
        <v>776</v>
      </c>
      <c r="G30" s="69" t="s">
        <v>777</v>
      </c>
      <c r="H30" s="69" t="n">
        <v>2</v>
      </c>
      <c r="I30" s="70" t="s">
        <v>752</v>
      </c>
      <c r="J30" s="69" t="n">
        <v>3</v>
      </c>
      <c r="K30" s="69" t="s">
        <v>778</v>
      </c>
      <c r="L30" s="71"/>
      <c r="M30" s="32"/>
      <c r="N30" s="72" t="s">
        <v>779</v>
      </c>
    </row>
    <row r="31" customFormat="false" ht="15" hidden="false" customHeight="false" outlineLevel="0" collapsed="false">
      <c r="A31" s="73" t="n">
        <v>4</v>
      </c>
      <c r="B31" s="73" t="s">
        <v>783</v>
      </c>
      <c r="C31" s="73" t="s">
        <v>784</v>
      </c>
      <c r="D31" s="73" t="s">
        <v>785</v>
      </c>
      <c r="E31" s="73" t="s">
        <v>786</v>
      </c>
      <c r="F31" s="73" t="s">
        <v>780</v>
      </c>
      <c r="G31" s="73" t="s">
        <v>787</v>
      </c>
      <c r="H31" s="73" t="n">
        <v>1</v>
      </c>
      <c r="I31" s="74" t="s">
        <v>789</v>
      </c>
      <c r="J31" s="73" t="n">
        <v>3</v>
      </c>
      <c r="K31" s="73" t="s">
        <v>788</v>
      </c>
      <c r="L31" s="71" t="n">
        <v>0.8</v>
      </c>
      <c r="M31" s="32"/>
      <c r="N31" s="75" t="s">
        <v>779</v>
      </c>
    </row>
    <row r="32" customFormat="false" ht="15" hidden="false" customHeight="false" outlineLevel="0" collapsed="false">
      <c r="A32" s="73" t="n">
        <v>4</v>
      </c>
      <c r="B32" s="73" t="s">
        <v>783</v>
      </c>
      <c r="C32" s="73" t="s">
        <v>784</v>
      </c>
      <c r="D32" s="73" t="s">
        <v>785</v>
      </c>
      <c r="E32" s="73" t="s">
        <v>786</v>
      </c>
      <c r="F32" s="73" t="s">
        <v>780</v>
      </c>
      <c r="G32" s="73" t="s">
        <v>787</v>
      </c>
      <c r="H32" s="73" t="n">
        <v>2</v>
      </c>
      <c r="I32" s="74" t="s">
        <v>652</v>
      </c>
      <c r="J32" s="73" t="n">
        <v>3</v>
      </c>
      <c r="K32" s="73" t="s">
        <v>788</v>
      </c>
      <c r="L32" s="71" t="n">
        <v>0.8</v>
      </c>
      <c r="M32" s="32"/>
      <c r="N32" s="75" t="s">
        <v>779</v>
      </c>
    </row>
    <row r="33" customFormat="false" ht="15" hidden="false" customHeight="false" outlineLevel="0" collapsed="false">
      <c r="A33" s="73" t="n">
        <v>4</v>
      </c>
      <c r="B33" s="73" t="s">
        <v>783</v>
      </c>
      <c r="C33" s="73" t="s">
        <v>784</v>
      </c>
      <c r="D33" s="73" t="s">
        <v>785</v>
      </c>
      <c r="E33" s="73" t="s">
        <v>786</v>
      </c>
      <c r="F33" s="73" t="s">
        <v>780</v>
      </c>
      <c r="G33" s="73" t="s">
        <v>787</v>
      </c>
      <c r="H33" s="73" t="n">
        <v>3</v>
      </c>
      <c r="I33" s="74" t="s">
        <v>672</v>
      </c>
      <c r="J33" s="73" t="n">
        <v>3</v>
      </c>
      <c r="K33" s="73" t="s">
        <v>788</v>
      </c>
      <c r="L33" s="71" t="n">
        <v>0.8</v>
      </c>
      <c r="M33" s="32"/>
      <c r="N33" s="75" t="s">
        <v>779</v>
      </c>
    </row>
    <row r="34" customFormat="false" ht="15" hidden="false" customHeight="false" outlineLevel="0" collapsed="false">
      <c r="A34" s="73" t="n">
        <v>4</v>
      </c>
      <c r="B34" s="73" t="s">
        <v>783</v>
      </c>
      <c r="C34" s="73" t="s">
        <v>784</v>
      </c>
      <c r="D34" s="73" t="s">
        <v>785</v>
      </c>
      <c r="E34" s="73" t="s">
        <v>786</v>
      </c>
      <c r="F34" s="73" t="s">
        <v>318</v>
      </c>
      <c r="G34" s="73" t="s">
        <v>787</v>
      </c>
      <c r="H34" s="73" t="n">
        <v>1</v>
      </c>
      <c r="I34" s="74" t="s">
        <v>728</v>
      </c>
      <c r="J34" s="73" t="n">
        <v>3</v>
      </c>
      <c r="K34" s="73" t="s">
        <v>788</v>
      </c>
      <c r="L34" s="71" t="n">
        <v>0.8</v>
      </c>
      <c r="M34" s="32"/>
      <c r="N34" s="75" t="s">
        <v>779</v>
      </c>
    </row>
    <row r="35" customFormat="false" ht="15" hidden="false" customHeight="false" outlineLevel="0" collapsed="false">
      <c r="A35" s="73" t="n">
        <v>4</v>
      </c>
      <c r="B35" s="73" t="s">
        <v>783</v>
      </c>
      <c r="C35" s="73" t="s">
        <v>784</v>
      </c>
      <c r="D35" s="73" t="s">
        <v>785</v>
      </c>
      <c r="E35" s="73" t="s">
        <v>786</v>
      </c>
      <c r="F35" s="73" t="s">
        <v>318</v>
      </c>
      <c r="G35" s="73" t="s">
        <v>787</v>
      </c>
      <c r="H35" s="73" t="n">
        <v>2</v>
      </c>
      <c r="I35" s="74" t="s">
        <v>719</v>
      </c>
      <c r="J35" s="73" t="n">
        <v>3</v>
      </c>
      <c r="K35" s="73" t="s">
        <v>788</v>
      </c>
      <c r="L35" s="71" t="n">
        <v>0.8</v>
      </c>
      <c r="M35" s="32"/>
      <c r="N35" s="75" t="s">
        <v>779</v>
      </c>
    </row>
    <row r="36" customFormat="false" ht="15" hidden="false" customHeight="false" outlineLevel="0" collapsed="false">
      <c r="A36" s="73" t="n">
        <v>4</v>
      </c>
      <c r="B36" s="73" t="s">
        <v>783</v>
      </c>
      <c r="C36" s="73" t="s">
        <v>784</v>
      </c>
      <c r="D36" s="73" t="s">
        <v>785</v>
      </c>
      <c r="E36" s="73" t="s">
        <v>786</v>
      </c>
      <c r="F36" s="73" t="s">
        <v>318</v>
      </c>
      <c r="G36" s="73" t="s">
        <v>787</v>
      </c>
      <c r="H36" s="73" t="n">
        <v>3</v>
      </c>
      <c r="I36" s="74" t="s">
        <v>790</v>
      </c>
      <c r="J36" s="73" t="n">
        <v>3</v>
      </c>
      <c r="K36" s="73" t="s">
        <v>788</v>
      </c>
      <c r="L36" s="71" t="n">
        <v>0.8</v>
      </c>
      <c r="M36" s="32"/>
      <c r="N36" s="75" t="s">
        <v>779</v>
      </c>
    </row>
    <row r="37" customFormat="false" ht="15" hidden="false" customHeight="false" outlineLevel="0" collapsed="false">
      <c r="A37" s="73" t="n">
        <v>4</v>
      </c>
      <c r="B37" s="73" t="s">
        <v>783</v>
      </c>
      <c r="C37" s="73" t="s">
        <v>784</v>
      </c>
      <c r="D37" s="73" t="s">
        <v>785</v>
      </c>
      <c r="E37" s="73" t="s">
        <v>786</v>
      </c>
      <c r="F37" s="73" t="s">
        <v>776</v>
      </c>
      <c r="G37" s="73" t="s">
        <v>777</v>
      </c>
      <c r="H37" s="73" t="n">
        <v>1</v>
      </c>
      <c r="I37" s="74" t="s">
        <v>740</v>
      </c>
      <c r="J37" s="73" t="n">
        <v>3</v>
      </c>
      <c r="K37" s="73" t="s">
        <v>778</v>
      </c>
      <c r="L37" s="71"/>
      <c r="M37" s="32"/>
      <c r="N37" s="75" t="s">
        <v>779</v>
      </c>
    </row>
    <row r="38" customFormat="false" ht="15" hidden="false" customHeight="false" outlineLevel="0" collapsed="false">
      <c r="A38" s="73" t="n">
        <v>4</v>
      </c>
      <c r="B38" s="73" t="s">
        <v>783</v>
      </c>
      <c r="C38" s="73" t="s">
        <v>784</v>
      </c>
      <c r="D38" s="73" t="s">
        <v>785</v>
      </c>
      <c r="E38" s="73" t="s">
        <v>786</v>
      </c>
      <c r="F38" s="73" t="s">
        <v>776</v>
      </c>
      <c r="G38" s="73" t="s">
        <v>777</v>
      </c>
      <c r="H38" s="73" t="n">
        <v>2</v>
      </c>
      <c r="I38" s="74" t="s">
        <v>755</v>
      </c>
      <c r="J38" s="73" t="n">
        <v>3</v>
      </c>
      <c r="K38" s="73" t="s">
        <v>778</v>
      </c>
      <c r="L38" s="71"/>
      <c r="M38" s="32"/>
      <c r="N38" s="75" t="s">
        <v>779</v>
      </c>
    </row>
    <row r="39" customFormat="false" ht="15" hidden="false" customHeight="false" outlineLevel="0" collapsed="false">
      <c r="A39" s="69" t="n">
        <v>5</v>
      </c>
      <c r="B39" s="69" t="s">
        <v>783</v>
      </c>
      <c r="C39" s="69" t="s">
        <v>784</v>
      </c>
      <c r="D39" s="69" t="s">
        <v>791</v>
      </c>
      <c r="E39" s="69" t="s">
        <v>792</v>
      </c>
      <c r="F39" s="69" t="s">
        <v>780</v>
      </c>
      <c r="G39" s="69" t="s">
        <v>793</v>
      </c>
      <c r="H39" s="69" t="n">
        <v>1</v>
      </c>
      <c r="I39" s="70" t="s">
        <v>648</v>
      </c>
      <c r="J39" s="69" t="n">
        <v>3</v>
      </c>
      <c r="K39" s="69" t="s">
        <v>794</v>
      </c>
      <c r="L39" s="71" t="n">
        <v>0.65</v>
      </c>
      <c r="M39" s="32"/>
      <c r="N39" s="72" t="s">
        <v>779</v>
      </c>
    </row>
    <row r="40" customFormat="false" ht="15" hidden="false" customHeight="false" outlineLevel="0" collapsed="false">
      <c r="A40" s="69" t="n">
        <v>5</v>
      </c>
      <c r="B40" s="69" t="s">
        <v>783</v>
      </c>
      <c r="C40" s="69" t="s">
        <v>784</v>
      </c>
      <c r="D40" s="69" t="s">
        <v>791</v>
      </c>
      <c r="E40" s="69" t="s">
        <v>792</v>
      </c>
      <c r="F40" s="69" t="s">
        <v>780</v>
      </c>
      <c r="G40" s="69" t="s">
        <v>793</v>
      </c>
      <c r="H40" s="69" t="n">
        <v>2</v>
      </c>
      <c r="I40" s="70" t="s">
        <v>656</v>
      </c>
      <c r="J40" s="69" t="n">
        <v>3</v>
      </c>
      <c r="K40" s="69" t="s">
        <v>794</v>
      </c>
      <c r="L40" s="71" t="n">
        <v>0.65</v>
      </c>
      <c r="M40" s="32"/>
      <c r="N40" s="72" t="s">
        <v>779</v>
      </c>
    </row>
    <row r="41" customFormat="false" ht="15" hidden="false" customHeight="false" outlineLevel="0" collapsed="false">
      <c r="A41" s="69" t="n">
        <v>5</v>
      </c>
      <c r="B41" s="69" t="s">
        <v>783</v>
      </c>
      <c r="C41" s="69" t="s">
        <v>784</v>
      </c>
      <c r="D41" s="69" t="s">
        <v>791</v>
      </c>
      <c r="E41" s="69" t="s">
        <v>792</v>
      </c>
      <c r="F41" s="69" t="s">
        <v>780</v>
      </c>
      <c r="G41" s="69" t="s">
        <v>793</v>
      </c>
      <c r="H41" s="69" t="n">
        <v>3</v>
      </c>
      <c r="I41" s="70" t="s">
        <v>667</v>
      </c>
      <c r="J41" s="69" t="n">
        <v>3</v>
      </c>
      <c r="K41" s="69" t="s">
        <v>794</v>
      </c>
      <c r="L41" s="71" t="n">
        <v>0.65</v>
      </c>
      <c r="M41" s="32"/>
      <c r="N41" s="72" t="s">
        <v>779</v>
      </c>
    </row>
    <row r="42" customFormat="false" ht="15" hidden="false" customHeight="false" outlineLevel="0" collapsed="false">
      <c r="A42" s="69" t="n">
        <v>5</v>
      </c>
      <c r="B42" s="69" t="s">
        <v>783</v>
      </c>
      <c r="C42" s="69" t="s">
        <v>784</v>
      </c>
      <c r="D42" s="69" t="s">
        <v>791</v>
      </c>
      <c r="E42" s="69" t="s">
        <v>792</v>
      </c>
      <c r="F42" s="69" t="s">
        <v>318</v>
      </c>
      <c r="G42" s="69" t="s">
        <v>793</v>
      </c>
      <c r="H42" s="69" t="n">
        <v>1</v>
      </c>
      <c r="I42" s="70" t="s">
        <v>692</v>
      </c>
      <c r="J42" s="69" t="n">
        <v>3</v>
      </c>
      <c r="K42" s="69" t="s">
        <v>794</v>
      </c>
      <c r="L42" s="71" t="n">
        <v>0.65</v>
      </c>
      <c r="M42" s="32"/>
      <c r="N42" s="72" t="s">
        <v>779</v>
      </c>
    </row>
    <row r="43" customFormat="false" ht="15" hidden="false" customHeight="false" outlineLevel="0" collapsed="false">
      <c r="A43" s="69" t="n">
        <v>5</v>
      </c>
      <c r="B43" s="69" t="s">
        <v>783</v>
      </c>
      <c r="C43" s="69" t="s">
        <v>784</v>
      </c>
      <c r="D43" s="69" t="s">
        <v>791</v>
      </c>
      <c r="E43" s="69" t="s">
        <v>792</v>
      </c>
      <c r="F43" s="69" t="s">
        <v>318</v>
      </c>
      <c r="G43" s="69" t="s">
        <v>793</v>
      </c>
      <c r="H43" s="69" t="n">
        <v>2</v>
      </c>
      <c r="I43" s="70" t="s">
        <v>704</v>
      </c>
      <c r="J43" s="69" t="n">
        <v>3</v>
      </c>
      <c r="K43" s="69" t="s">
        <v>794</v>
      </c>
      <c r="L43" s="71" t="n">
        <v>0.65</v>
      </c>
      <c r="M43" s="32"/>
      <c r="N43" s="72" t="s">
        <v>779</v>
      </c>
    </row>
    <row r="44" customFormat="false" ht="15" hidden="false" customHeight="false" outlineLevel="0" collapsed="false">
      <c r="A44" s="69" t="n">
        <v>5</v>
      </c>
      <c r="B44" s="69" t="s">
        <v>783</v>
      </c>
      <c r="C44" s="69" t="s">
        <v>784</v>
      </c>
      <c r="D44" s="69" t="s">
        <v>791</v>
      </c>
      <c r="E44" s="69" t="s">
        <v>792</v>
      </c>
      <c r="F44" s="69" t="s">
        <v>318</v>
      </c>
      <c r="G44" s="69" t="s">
        <v>793</v>
      </c>
      <c r="H44" s="69" t="n">
        <v>3</v>
      </c>
      <c r="I44" s="70" t="s">
        <v>629</v>
      </c>
      <c r="J44" s="69" t="n">
        <v>3</v>
      </c>
      <c r="K44" s="69" t="s">
        <v>794</v>
      </c>
      <c r="L44" s="71" t="n">
        <v>0.65</v>
      </c>
      <c r="M44" s="32"/>
      <c r="N44" s="72" t="s">
        <v>779</v>
      </c>
    </row>
    <row r="45" customFormat="false" ht="15" hidden="false" customHeight="false" outlineLevel="0" collapsed="false">
      <c r="A45" s="69" t="n">
        <v>5</v>
      </c>
      <c r="B45" s="69" t="s">
        <v>783</v>
      </c>
      <c r="C45" s="69" t="s">
        <v>784</v>
      </c>
      <c r="D45" s="69" t="s">
        <v>791</v>
      </c>
      <c r="E45" s="69" t="s">
        <v>792</v>
      </c>
      <c r="F45" s="69" t="s">
        <v>776</v>
      </c>
      <c r="G45" s="69" t="s">
        <v>795</v>
      </c>
      <c r="H45" s="69" t="n">
        <v>1</v>
      </c>
      <c r="I45" s="70" t="s">
        <v>741</v>
      </c>
      <c r="J45" s="69" t="n">
        <v>3</v>
      </c>
      <c r="K45" s="69" t="s">
        <v>796</v>
      </c>
      <c r="L45" s="71"/>
      <c r="M45" s="32"/>
      <c r="N45" s="72" t="s">
        <v>779</v>
      </c>
    </row>
    <row r="46" customFormat="false" ht="15" hidden="false" customHeight="false" outlineLevel="0" collapsed="false">
      <c r="A46" s="73" t="n">
        <v>6</v>
      </c>
      <c r="B46" s="73" t="s">
        <v>783</v>
      </c>
      <c r="C46" s="73" t="s">
        <v>784</v>
      </c>
      <c r="D46" s="73" t="s">
        <v>791</v>
      </c>
      <c r="E46" s="73" t="s">
        <v>792</v>
      </c>
      <c r="F46" s="73" t="s">
        <v>780</v>
      </c>
      <c r="G46" s="73" t="s">
        <v>793</v>
      </c>
      <c r="H46" s="73" t="n">
        <v>1</v>
      </c>
      <c r="I46" s="74" t="s">
        <v>789</v>
      </c>
      <c r="J46" s="73" t="n">
        <v>3</v>
      </c>
      <c r="K46" s="73" t="s">
        <v>794</v>
      </c>
      <c r="L46" s="71" t="n">
        <v>0.65</v>
      </c>
      <c r="M46" s="32"/>
      <c r="N46" s="75" t="s">
        <v>779</v>
      </c>
    </row>
    <row r="47" customFormat="false" ht="15" hidden="false" customHeight="false" outlineLevel="0" collapsed="false">
      <c r="A47" s="73" t="n">
        <v>6</v>
      </c>
      <c r="B47" s="73" t="s">
        <v>783</v>
      </c>
      <c r="C47" s="73" t="s">
        <v>784</v>
      </c>
      <c r="D47" s="73" t="s">
        <v>791</v>
      </c>
      <c r="E47" s="73" t="s">
        <v>792</v>
      </c>
      <c r="F47" s="73" t="s">
        <v>780</v>
      </c>
      <c r="G47" s="73" t="s">
        <v>793</v>
      </c>
      <c r="H47" s="73" t="n">
        <v>2</v>
      </c>
      <c r="I47" s="74" t="s">
        <v>652</v>
      </c>
      <c r="J47" s="73" t="n">
        <v>3</v>
      </c>
      <c r="K47" s="73" t="s">
        <v>794</v>
      </c>
      <c r="L47" s="71" t="n">
        <v>0.65</v>
      </c>
      <c r="M47" s="32"/>
      <c r="N47" s="75" t="s">
        <v>779</v>
      </c>
    </row>
    <row r="48" customFormat="false" ht="15" hidden="false" customHeight="false" outlineLevel="0" collapsed="false">
      <c r="A48" s="73" t="n">
        <v>6</v>
      </c>
      <c r="B48" s="73" t="s">
        <v>783</v>
      </c>
      <c r="C48" s="73" t="s">
        <v>784</v>
      </c>
      <c r="D48" s="73" t="s">
        <v>791</v>
      </c>
      <c r="E48" s="73" t="s">
        <v>792</v>
      </c>
      <c r="F48" s="73" t="s">
        <v>780</v>
      </c>
      <c r="G48" s="73" t="s">
        <v>793</v>
      </c>
      <c r="H48" s="73" t="n">
        <v>3</v>
      </c>
      <c r="I48" s="74" t="s">
        <v>636</v>
      </c>
      <c r="J48" s="73" t="n">
        <v>3</v>
      </c>
      <c r="K48" s="73" t="s">
        <v>794</v>
      </c>
      <c r="L48" s="71" t="n">
        <v>0.65</v>
      </c>
      <c r="M48" s="32"/>
      <c r="N48" s="75" t="s">
        <v>779</v>
      </c>
    </row>
    <row r="49" customFormat="false" ht="15" hidden="false" customHeight="false" outlineLevel="0" collapsed="false">
      <c r="A49" s="73" t="n">
        <v>6</v>
      </c>
      <c r="B49" s="73" t="s">
        <v>783</v>
      </c>
      <c r="C49" s="73" t="s">
        <v>784</v>
      </c>
      <c r="D49" s="73" t="s">
        <v>791</v>
      </c>
      <c r="E49" s="73" t="s">
        <v>792</v>
      </c>
      <c r="F49" s="73" t="s">
        <v>318</v>
      </c>
      <c r="G49" s="73" t="s">
        <v>793</v>
      </c>
      <c r="H49" s="73" t="n">
        <v>1</v>
      </c>
      <c r="I49" s="74" t="s">
        <v>728</v>
      </c>
      <c r="J49" s="73" t="n">
        <v>3</v>
      </c>
      <c r="K49" s="73" t="s">
        <v>794</v>
      </c>
      <c r="L49" s="71" t="n">
        <v>0.65</v>
      </c>
      <c r="M49" s="32"/>
      <c r="N49" s="75" t="s">
        <v>779</v>
      </c>
    </row>
    <row r="50" customFormat="false" ht="15" hidden="false" customHeight="false" outlineLevel="0" collapsed="false">
      <c r="A50" s="73" t="n">
        <v>6</v>
      </c>
      <c r="B50" s="73" t="s">
        <v>783</v>
      </c>
      <c r="C50" s="73" t="s">
        <v>784</v>
      </c>
      <c r="D50" s="73" t="s">
        <v>791</v>
      </c>
      <c r="E50" s="73" t="s">
        <v>792</v>
      </c>
      <c r="F50" s="73" t="s">
        <v>318</v>
      </c>
      <c r="G50" s="73" t="s">
        <v>793</v>
      </c>
      <c r="H50" s="73" t="n">
        <v>2</v>
      </c>
      <c r="I50" s="74" t="s">
        <v>632</v>
      </c>
      <c r="J50" s="73" t="n">
        <v>3</v>
      </c>
      <c r="K50" s="73" t="s">
        <v>794</v>
      </c>
      <c r="L50" s="71" t="n">
        <v>0.65</v>
      </c>
      <c r="M50" s="32"/>
      <c r="N50" s="75" t="s">
        <v>779</v>
      </c>
    </row>
    <row r="51" customFormat="false" ht="15" hidden="false" customHeight="false" outlineLevel="0" collapsed="false">
      <c r="A51" s="73" t="n">
        <v>6</v>
      </c>
      <c r="B51" s="73" t="s">
        <v>783</v>
      </c>
      <c r="C51" s="73" t="s">
        <v>784</v>
      </c>
      <c r="D51" s="73" t="s">
        <v>791</v>
      </c>
      <c r="E51" s="73" t="s">
        <v>792</v>
      </c>
      <c r="F51" s="73" t="s">
        <v>318</v>
      </c>
      <c r="G51" s="73" t="s">
        <v>793</v>
      </c>
      <c r="H51" s="73" t="n">
        <v>3</v>
      </c>
      <c r="I51" s="74" t="s">
        <v>725</v>
      </c>
      <c r="J51" s="73" t="n">
        <v>3</v>
      </c>
      <c r="K51" s="73" t="s">
        <v>794</v>
      </c>
      <c r="L51" s="71" t="n">
        <v>0.65</v>
      </c>
      <c r="M51" s="32"/>
      <c r="N51" s="75" t="s">
        <v>779</v>
      </c>
    </row>
    <row r="52" customFormat="false" ht="15" hidden="false" customHeight="false" outlineLevel="0" collapsed="false">
      <c r="A52" s="73" t="n">
        <v>6</v>
      </c>
      <c r="B52" s="73" t="s">
        <v>783</v>
      </c>
      <c r="C52" s="73" t="s">
        <v>784</v>
      </c>
      <c r="D52" s="73" t="s">
        <v>791</v>
      </c>
      <c r="E52" s="73" t="s">
        <v>792</v>
      </c>
      <c r="F52" s="73" t="s">
        <v>776</v>
      </c>
      <c r="G52" s="73" t="s">
        <v>795</v>
      </c>
      <c r="H52" s="73" t="n">
        <v>1</v>
      </c>
      <c r="I52" s="74" t="s">
        <v>748</v>
      </c>
      <c r="J52" s="73" t="n">
        <v>3</v>
      </c>
      <c r="K52" s="73" t="s">
        <v>796</v>
      </c>
      <c r="L52" s="71"/>
      <c r="M52" s="32"/>
      <c r="N52" s="75" t="s">
        <v>779</v>
      </c>
    </row>
    <row r="53" customFormat="false" ht="15" hidden="false" customHeight="false" outlineLevel="0" collapsed="false">
      <c r="A53" s="69" t="n">
        <v>7</v>
      </c>
      <c r="B53" s="69" t="s">
        <v>783</v>
      </c>
      <c r="C53" s="69" t="s">
        <v>784</v>
      </c>
      <c r="D53" s="69" t="s">
        <v>797</v>
      </c>
      <c r="E53" s="69" t="s">
        <v>798</v>
      </c>
      <c r="F53" s="69" t="s">
        <v>780</v>
      </c>
      <c r="G53" s="69" t="s">
        <v>799</v>
      </c>
      <c r="H53" s="69" t="n">
        <v>1</v>
      </c>
      <c r="I53" s="70" t="s">
        <v>300</v>
      </c>
      <c r="J53" s="69" t="n">
        <v>4</v>
      </c>
      <c r="K53" s="69" t="s">
        <v>781</v>
      </c>
      <c r="L53" s="71" t="n">
        <v>0.85</v>
      </c>
      <c r="M53" s="32"/>
      <c r="N53" s="72" t="s">
        <v>779</v>
      </c>
    </row>
    <row r="54" customFormat="false" ht="15" hidden="false" customHeight="false" outlineLevel="0" collapsed="false">
      <c r="A54" s="69" t="n">
        <v>7</v>
      </c>
      <c r="B54" s="69" t="s">
        <v>783</v>
      </c>
      <c r="C54" s="69" t="s">
        <v>784</v>
      </c>
      <c r="D54" s="69" t="s">
        <v>797</v>
      </c>
      <c r="E54" s="69" t="s">
        <v>798</v>
      </c>
      <c r="F54" s="69" t="s">
        <v>780</v>
      </c>
      <c r="G54" s="69" t="s">
        <v>799</v>
      </c>
      <c r="H54" s="69" t="n">
        <v>2</v>
      </c>
      <c r="I54" s="70" t="s">
        <v>800</v>
      </c>
      <c r="J54" s="69" t="n">
        <v>4</v>
      </c>
      <c r="K54" s="69" t="s">
        <v>781</v>
      </c>
      <c r="L54" s="71" t="n">
        <v>0.85</v>
      </c>
      <c r="M54" s="32"/>
      <c r="N54" s="72" t="s">
        <v>779</v>
      </c>
    </row>
    <row r="55" customFormat="false" ht="15" hidden="false" customHeight="false" outlineLevel="0" collapsed="false">
      <c r="A55" s="69" t="n">
        <v>7</v>
      </c>
      <c r="B55" s="69" t="s">
        <v>783</v>
      </c>
      <c r="C55" s="69" t="s">
        <v>784</v>
      </c>
      <c r="D55" s="69" t="s">
        <v>797</v>
      </c>
      <c r="E55" s="69" t="s">
        <v>798</v>
      </c>
      <c r="F55" s="69" t="s">
        <v>780</v>
      </c>
      <c r="G55" s="69" t="s">
        <v>799</v>
      </c>
      <c r="H55" s="69" t="n">
        <v>3</v>
      </c>
      <c r="I55" s="70" t="s">
        <v>669</v>
      </c>
      <c r="J55" s="69" t="n">
        <v>4</v>
      </c>
      <c r="K55" s="69" t="s">
        <v>781</v>
      </c>
      <c r="L55" s="71" t="n">
        <v>0.85</v>
      </c>
      <c r="M55" s="32"/>
      <c r="N55" s="72" t="s">
        <v>779</v>
      </c>
    </row>
    <row r="56" customFormat="false" ht="15" hidden="false" customHeight="false" outlineLevel="0" collapsed="false">
      <c r="A56" s="69" t="n">
        <v>7</v>
      </c>
      <c r="B56" s="69" t="s">
        <v>783</v>
      </c>
      <c r="C56" s="69" t="s">
        <v>784</v>
      </c>
      <c r="D56" s="69" t="s">
        <v>797</v>
      </c>
      <c r="E56" s="69" t="s">
        <v>798</v>
      </c>
      <c r="F56" s="69" t="s">
        <v>318</v>
      </c>
      <c r="G56" s="69" t="s">
        <v>799</v>
      </c>
      <c r="H56" s="69" t="n">
        <v>1</v>
      </c>
      <c r="I56" s="70" t="s">
        <v>688</v>
      </c>
      <c r="J56" s="69" t="n">
        <v>4</v>
      </c>
      <c r="K56" s="69" t="s">
        <v>781</v>
      </c>
      <c r="L56" s="71" t="n">
        <v>0.85</v>
      </c>
      <c r="M56" s="32"/>
      <c r="N56" s="72" t="s">
        <v>779</v>
      </c>
    </row>
    <row r="57" customFormat="false" ht="15" hidden="false" customHeight="false" outlineLevel="0" collapsed="false">
      <c r="A57" s="69" t="n">
        <v>7</v>
      </c>
      <c r="B57" s="69" t="s">
        <v>783</v>
      </c>
      <c r="C57" s="69" t="s">
        <v>784</v>
      </c>
      <c r="D57" s="69" t="s">
        <v>797</v>
      </c>
      <c r="E57" s="69" t="s">
        <v>798</v>
      </c>
      <c r="F57" s="69" t="s">
        <v>318</v>
      </c>
      <c r="G57" s="69" t="s">
        <v>799</v>
      </c>
      <c r="H57" s="69" t="n">
        <v>2</v>
      </c>
      <c r="I57" s="70" t="s">
        <v>704</v>
      </c>
      <c r="J57" s="69" t="n">
        <v>4</v>
      </c>
      <c r="K57" s="69" t="s">
        <v>781</v>
      </c>
      <c r="L57" s="71" t="n">
        <v>0.85</v>
      </c>
      <c r="M57" s="32"/>
      <c r="N57" s="72" t="s">
        <v>779</v>
      </c>
    </row>
    <row r="58" customFormat="false" ht="15" hidden="false" customHeight="false" outlineLevel="0" collapsed="false">
      <c r="A58" s="69" t="n">
        <v>7</v>
      </c>
      <c r="B58" s="69" t="s">
        <v>783</v>
      </c>
      <c r="C58" s="69" t="s">
        <v>784</v>
      </c>
      <c r="D58" s="69" t="s">
        <v>797</v>
      </c>
      <c r="E58" s="69" t="s">
        <v>798</v>
      </c>
      <c r="F58" s="69" t="s">
        <v>318</v>
      </c>
      <c r="G58" s="69" t="s">
        <v>799</v>
      </c>
      <c r="H58" s="69" t="n">
        <v>3</v>
      </c>
      <c r="I58" s="70" t="s">
        <v>714</v>
      </c>
      <c r="J58" s="69" t="n">
        <v>4</v>
      </c>
      <c r="K58" s="69" t="s">
        <v>781</v>
      </c>
      <c r="L58" s="71" t="n">
        <v>0.85</v>
      </c>
      <c r="M58" s="32"/>
      <c r="N58" s="72" t="s">
        <v>779</v>
      </c>
    </row>
    <row r="59" customFormat="false" ht="15" hidden="false" customHeight="false" outlineLevel="0" collapsed="false">
      <c r="A59" s="69" t="n">
        <v>7</v>
      </c>
      <c r="B59" s="69" t="s">
        <v>783</v>
      </c>
      <c r="C59" s="69" t="s">
        <v>784</v>
      </c>
      <c r="D59" s="69" t="s">
        <v>797</v>
      </c>
      <c r="E59" s="69" t="s">
        <v>798</v>
      </c>
      <c r="F59" s="69" t="s">
        <v>776</v>
      </c>
      <c r="G59" s="69" t="s">
        <v>777</v>
      </c>
      <c r="H59" s="69" t="n">
        <v>1</v>
      </c>
      <c r="I59" s="70" t="s">
        <v>745</v>
      </c>
      <c r="J59" s="69" t="n">
        <v>3</v>
      </c>
      <c r="K59" s="69" t="s">
        <v>778</v>
      </c>
      <c r="L59" s="71"/>
      <c r="M59" s="32"/>
      <c r="N59" s="72" t="s">
        <v>779</v>
      </c>
    </row>
    <row r="60" customFormat="false" ht="15" hidden="false" customHeight="false" outlineLevel="0" collapsed="false">
      <c r="A60" s="73" t="n">
        <v>8</v>
      </c>
      <c r="B60" s="73" t="s">
        <v>783</v>
      </c>
      <c r="C60" s="73" t="s">
        <v>784</v>
      </c>
      <c r="D60" s="73" t="s">
        <v>797</v>
      </c>
      <c r="E60" s="73" t="s">
        <v>798</v>
      </c>
      <c r="F60" s="73" t="s">
        <v>780</v>
      </c>
      <c r="G60" s="73" t="s">
        <v>799</v>
      </c>
      <c r="H60" s="73" t="n">
        <v>1</v>
      </c>
      <c r="I60" s="74" t="s">
        <v>302</v>
      </c>
      <c r="J60" s="73" t="n">
        <v>4</v>
      </c>
      <c r="K60" s="73" t="s">
        <v>781</v>
      </c>
      <c r="L60" s="71" t="n">
        <v>0.85</v>
      </c>
      <c r="M60" s="32"/>
      <c r="N60" s="75" t="s">
        <v>779</v>
      </c>
    </row>
    <row r="61" customFormat="false" ht="15" hidden="false" customHeight="false" outlineLevel="0" collapsed="false">
      <c r="A61" s="73" t="n">
        <v>8</v>
      </c>
      <c r="B61" s="73" t="s">
        <v>783</v>
      </c>
      <c r="C61" s="73" t="s">
        <v>784</v>
      </c>
      <c r="D61" s="73" t="s">
        <v>797</v>
      </c>
      <c r="E61" s="73" t="s">
        <v>798</v>
      </c>
      <c r="F61" s="73" t="s">
        <v>780</v>
      </c>
      <c r="G61" s="73" t="s">
        <v>799</v>
      </c>
      <c r="H61" s="73" t="n">
        <v>2</v>
      </c>
      <c r="I61" s="74" t="s">
        <v>652</v>
      </c>
      <c r="J61" s="73" t="n">
        <v>4</v>
      </c>
      <c r="K61" s="73" t="s">
        <v>781</v>
      </c>
      <c r="L61" s="71" t="n">
        <v>0.85</v>
      </c>
      <c r="M61" s="32"/>
      <c r="N61" s="75" t="s">
        <v>779</v>
      </c>
    </row>
    <row r="62" customFormat="false" ht="15" hidden="false" customHeight="false" outlineLevel="0" collapsed="false">
      <c r="A62" s="73" t="n">
        <v>8</v>
      </c>
      <c r="B62" s="73" t="s">
        <v>783</v>
      </c>
      <c r="C62" s="73" t="s">
        <v>784</v>
      </c>
      <c r="D62" s="73" t="s">
        <v>797</v>
      </c>
      <c r="E62" s="73" t="s">
        <v>798</v>
      </c>
      <c r="F62" s="73" t="s">
        <v>780</v>
      </c>
      <c r="G62" s="73" t="s">
        <v>799</v>
      </c>
      <c r="H62" s="73" t="n">
        <v>3</v>
      </c>
      <c r="I62" s="74" t="s">
        <v>676</v>
      </c>
      <c r="J62" s="73" t="n">
        <v>4</v>
      </c>
      <c r="K62" s="73" t="s">
        <v>781</v>
      </c>
      <c r="L62" s="71" t="n">
        <v>0.85</v>
      </c>
      <c r="M62" s="32"/>
      <c r="N62" s="75" t="s">
        <v>779</v>
      </c>
    </row>
    <row r="63" customFormat="false" ht="15" hidden="false" customHeight="false" outlineLevel="0" collapsed="false">
      <c r="A63" s="73" t="n">
        <v>8</v>
      </c>
      <c r="B63" s="73" t="s">
        <v>783</v>
      </c>
      <c r="C63" s="73" t="s">
        <v>784</v>
      </c>
      <c r="D63" s="73" t="s">
        <v>797</v>
      </c>
      <c r="E63" s="73" t="s">
        <v>798</v>
      </c>
      <c r="F63" s="73" t="s">
        <v>318</v>
      </c>
      <c r="G63" s="73" t="s">
        <v>799</v>
      </c>
      <c r="H63" s="73" t="n">
        <v>1</v>
      </c>
      <c r="I63" s="74" t="s">
        <v>728</v>
      </c>
      <c r="J63" s="73" t="n">
        <v>4</v>
      </c>
      <c r="K63" s="73" t="s">
        <v>781</v>
      </c>
      <c r="L63" s="71" t="n">
        <v>0.85</v>
      </c>
      <c r="M63" s="32"/>
      <c r="N63" s="75" t="s">
        <v>779</v>
      </c>
    </row>
    <row r="64" customFormat="false" ht="15" hidden="false" customHeight="false" outlineLevel="0" collapsed="false">
      <c r="A64" s="73" t="n">
        <v>8</v>
      </c>
      <c r="B64" s="73" t="s">
        <v>783</v>
      </c>
      <c r="C64" s="73" t="s">
        <v>784</v>
      </c>
      <c r="D64" s="73" t="s">
        <v>797</v>
      </c>
      <c r="E64" s="73" t="s">
        <v>798</v>
      </c>
      <c r="F64" s="73" t="s">
        <v>318</v>
      </c>
      <c r="G64" s="73" t="s">
        <v>799</v>
      </c>
      <c r="H64" s="73" t="n">
        <v>2</v>
      </c>
      <c r="I64" s="74" t="s">
        <v>720</v>
      </c>
      <c r="J64" s="73" t="n">
        <v>4</v>
      </c>
      <c r="K64" s="73" t="s">
        <v>781</v>
      </c>
      <c r="L64" s="71" t="n">
        <v>0.85</v>
      </c>
      <c r="M64" s="32"/>
      <c r="N64" s="75" t="s">
        <v>779</v>
      </c>
    </row>
    <row r="65" customFormat="false" ht="15" hidden="false" customHeight="false" outlineLevel="0" collapsed="false">
      <c r="A65" s="73" t="n">
        <v>8</v>
      </c>
      <c r="B65" s="73" t="s">
        <v>783</v>
      </c>
      <c r="C65" s="73" t="s">
        <v>784</v>
      </c>
      <c r="D65" s="73" t="s">
        <v>797</v>
      </c>
      <c r="E65" s="73" t="s">
        <v>798</v>
      </c>
      <c r="F65" s="73" t="s">
        <v>318</v>
      </c>
      <c r="G65" s="73" t="s">
        <v>799</v>
      </c>
      <c r="H65" s="73" t="n">
        <v>3</v>
      </c>
      <c r="I65" s="74" t="s">
        <v>725</v>
      </c>
      <c r="J65" s="73" t="n">
        <v>4</v>
      </c>
      <c r="K65" s="73" t="s">
        <v>781</v>
      </c>
      <c r="L65" s="71" t="n">
        <v>0.85</v>
      </c>
      <c r="M65" s="32"/>
      <c r="N65" s="75" t="s">
        <v>779</v>
      </c>
    </row>
    <row r="66" customFormat="false" ht="15" hidden="false" customHeight="false" outlineLevel="0" collapsed="false">
      <c r="A66" s="73" t="n">
        <v>8</v>
      </c>
      <c r="B66" s="73" t="s">
        <v>783</v>
      </c>
      <c r="C66" s="73" t="s">
        <v>784</v>
      </c>
      <c r="D66" s="73" t="s">
        <v>797</v>
      </c>
      <c r="E66" s="73" t="s">
        <v>798</v>
      </c>
      <c r="F66" s="73" t="s">
        <v>776</v>
      </c>
      <c r="G66" s="73" t="s">
        <v>777</v>
      </c>
      <c r="H66" s="73" t="n">
        <v>1</v>
      </c>
      <c r="I66" s="74" t="s">
        <v>751</v>
      </c>
      <c r="J66" s="73" t="n">
        <v>3</v>
      </c>
      <c r="K66" s="73" t="s">
        <v>778</v>
      </c>
      <c r="L66" s="71"/>
      <c r="M66" s="32"/>
      <c r="N66" s="75" t="s">
        <v>779</v>
      </c>
    </row>
    <row r="68" customFormat="false" ht="19.5" hidden="false" customHeight="true" outlineLevel="0" collapsed="false">
      <c r="A68" s="3" t="s">
        <v>801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customFormat="false" ht="33.75" hidden="false" customHeight="true" outlineLevel="0" collapsed="false">
      <c r="A69" s="76" t="s">
        <v>802</v>
      </c>
      <c r="B69" s="76"/>
      <c r="C69" s="76"/>
      <c r="D69" s="76"/>
      <c r="E69" s="76"/>
      <c r="F69" s="76"/>
      <c r="G69" s="76"/>
      <c r="H69" s="77" t="s">
        <v>803</v>
      </c>
      <c r="I69" s="77"/>
      <c r="J69" s="77"/>
      <c r="K69" s="77"/>
      <c r="L69" s="77"/>
      <c r="M69" s="77"/>
      <c r="N69" s="77"/>
    </row>
    <row r="70" customFormat="false" ht="33.75" hidden="false" customHeight="true" outlineLevel="0" collapsed="false">
      <c r="A70" s="78" t="s">
        <v>804</v>
      </c>
      <c r="B70" s="78"/>
      <c r="C70" s="78"/>
      <c r="D70" s="78"/>
      <c r="E70" s="78"/>
      <c r="F70" s="78"/>
      <c r="G70" s="78"/>
      <c r="H70" s="79" t="s">
        <v>805</v>
      </c>
      <c r="I70" s="79"/>
      <c r="J70" s="79"/>
      <c r="K70" s="79"/>
      <c r="L70" s="79"/>
      <c r="M70" s="79"/>
      <c r="N70" s="79"/>
    </row>
    <row r="71" customFormat="false" ht="33.75" hidden="false" customHeight="true" outlineLevel="0" collapsed="false">
      <c r="A71" s="76" t="s">
        <v>806</v>
      </c>
      <c r="B71" s="76"/>
      <c r="C71" s="76"/>
      <c r="D71" s="76"/>
      <c r="E71" s="76"/>
      <c r="F71" s="76"/>
      <c r="G71" s="76"/>
      <c r="H71" s="77" t="s">
        <v>807</v>
      </c>
      <c r="I71" s="77"/>
      <c r="J71" s="77"/>
      <c r="K71" s="77"/>
      <c r="L71" s="77"/>
      <c r="M71" s="77"/>
      <c r="N71" s="77"/>
    </row>
    <row r="72" customFormat="false" ht="33.75" hidden="false" customHeight="true" outlineLevel="0" collapsed="false">
      <c r="A72" s="78" t="s">
        <v>808</v>
      </c>
      <c r="B72" s="78"/>
      <c r="C72" s="78"/>
      <c r="D72" s="78"/>
      <c r="E72" s="78"/>
      <c r="F72" s="78"/>
      <c r="G72" s="78"/>
      <c r="H72" s="79" t="s">
        <v>809</v>
      </c>
      <c r="I72" s="79"/>
      <c r="J72" s="79"/>
      <c r="K72" s="79"/>
      <c r="L72" s="79"/>
      <c r="M72" s="79"/>
      <c r="N72" s="79"/>
    </row>
  </sheetData>
  <autoFilter ref="A6:N66"/>
  <mergeCells count="11">
    <mergeCell ref="A1:N1"/>
    <mergeCell ref="A2:N2"/>
    <mergeCell ref="A68:N68"/>
    <mergeCell ref="A69:G69"/>
    <mergeCell ref="H69:N69"/>
    <mergeCell ref="A70:G70"/>
    <mergeCell ref="H70:N70"/>
    <mergeCell ref="A71:G71"/>
    <mergeCell ref="H71:N71"/>
    <mergeCell ref="A72:G72"/>
    <mergeCell ref="H72:N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15C"/>
    <pageSetUpPr fitToPage="true"/>
  </sheetPr>
  <dimension ref="A1:O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8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2" min="10" style="0" width="24"/>
    <col collapsed="false" customWidth="true" hidden="false" outlineLevel="0" max="13" min="13" style="0" width="14"/>
    <col collapsed="false" customWidth="true" hidden="false" outlineLevel="0" max="14" min="14" style="0" width="24"/>
    <col collapsed="false" customWidth="true" hidden="false" outlineLevel="0" max="15" min="15" style="0" width="13"/>
  </cols>
  <sheetData>
    <row r="1" customFormat="false" ht="30" hidden="false" customHeight="true" outlineLevel="0" collapsed="false">
      <c r="A1" s="1" t="s">
        <v>810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811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B4" s="3" t="s">
        <v>812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customFormat="false" ht="18" hidden="false" customHeight="true" outlineLevel="0" collapsed="false">
      <c r="B6" s="47" t="s">
        <v>813</v>
      </c>
      <c r="C6" s="80" t="s">
        <v>783</v>
      </c>
      <c r="D6" s="80"/>
      <c r="E6" s="80"/>
      <c r="F6" s="80"/>
    </row>
    <row r="7" customFormat="false" ht="18" hidden="false" customHeight="true" outlineLevel="0" collapsed="false">
      <c r="B7" s="47" t="s">
        <v>814</v>
      </c>
      <c r="C7" s="80" t="s">
        <v>815</v>
      </c>
      <c r="D7" s="80"/>
      <c r="E7" s="80"/>
      <c r="F7" s="80"/>
    </row>
    <row r="8" customFormat="false" ht="18" hidden="false" customHeight="true" outlineLevel="0" collapsed="false">
      <c r="B8" s="47" t="s">
        <v>108</v>
      </c>
      <c r="C8" s="80" t="s">
        <v>816</v>
      </c>
      <c r="D8" s="80"/>
      <c r="E8" s="80"/>
      <c r="F8" s="80"/>
    </row>
    <row r="9" customFormat="false" ht="18" hidden="false" customHeight="true" outlineLevel="0" collapsed="false">
      <c r="B9" s="47" t="s">
        <v>817</v>
      </c>
      <c r="C9" s="80" t="s">
        <v>818</v>
      </c>
      <c r="D9" s="80"/>
      <c r="E9" s="80"/>
      <c r="F9" s="80"/>
    </row>
    <row r="10" customFormat="false" ht="18" hidden="false" customHeight="true" outlineLevel="0" collapsed="false">
      <c r="B10" s="47" t="s">
        <v>819</v>
      </c>
      <c r="C10" s="80" t="s">
        <v>818</v>
      </c>
      <c r="D10" s="80"/>
      <c r="E10" s="80"/>
      <c r="F10" s="80"/>
    </row>
    <row r="11" customFormat="false" ht="18" hidden="false" customHeight="true" outlineLevel="0" collapsed="false">
      <c r="B11" s="47" t="s">
        <v>820</v>
      </c>
      <c r="C11" s="81" t="n">
        <v>46027</v>
      </c>
      <c r="D11" s="81"/>
      <c r="E11" s="81"/>
      <c r="F11" s="81"/>
    </row>
    <row r="12" customFormat="false" ht="18" hidden="false" customHeight="true" outlineLevel="0" collapsed="false">
      <c r="B12" s="47" t="s">
        <v>821</v>
      </c>
      <c r="C12" s="81" t="n">
        <v>46355</v>
      </c>
      <c r="D12" s="81"/>
      <c r="E12" s="81"/>
      <c r="F12" s="81"/>
    </row>
    <row r="13" customFormat="false" ht="18" hidden="false" customHeight="true" outlineLevel="0" collapsed="false">
      <c r="B13" s="47" t="s">
        <v>822</v>
      </c>
      <c r="C13" s="82" t="n">
        <f aca="false">IFERROR(ROUNDUP(($C$12-$C$11+1)/7,0),"")</f>
        <v>47</v>
      </c>
      <c r="D13" s="82"/>
      <c r="E13" s="82"/>
      <c r="F13" s="82"/>
    </row>
    <row r="14" customFormat="false" ht="18" hidden="false" customHeight="true" outlineLevel="0" collapsed="false">
      <c r="B14" s="47" t="s">
        <v>823</v>
      </c>
      <c r="C14" s="80" t="s">
        <v>824</v>
      </c>
      <c r="D14" s="80"/>
      <c r="E14" s="80"/>
      <c r="F14" s="80"/>
    </row>
    <row r="15" customFormat="false" ht="18" hidden="false" customHeight="true" outlineLevel="0" collapsed="false">
      <c r="B15" s="47" t="s">
        <v>825</v>
      </c>
      <c r="C15" s="80" t="s">
        <v>826</v>
      </c>
      <c r="D15" s="80"/>
      <c r="E15" s="80"/>
      <c r="F15" s="80"/>
    </row>
    <row r="17" customFormat="false" ht="19.5" hidden="false" customHeight="true" outlineLevel="0" collapsed="false">
      <c r="A17" s="3" t="s">
        <v>827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31.5" hidden="false" customHeight="true" outlineLevel="0" collapsed="false">
      <c r="A18" s="25" t="s">
        <v>828</v>
      </c>
      <c r="B18" s="25" t="s">
        <v>829</v>
      </c>
      <c r="C18" s="25" t="s">
        <v>830</v>
      </c>
      <c r="D18" s="25" t="s">
        <v>831</v>
      </c>
      <c r="E18" s="25" t="s">
        <v>832</v>
      </c>
      <c r="F18" s="25" t="s">
        <v>833</v>
      </c>
      <c r="G18" s="25" t="s">
        <v>834</v>
      </c>
      <c r="H18" s="25" t="s">
        <v>835</v>
      </c>
      <c r="I18" s="25" t="s">
        <v>836</v>
      </c>
      <c r="J18" s="25" t="s">
        <v>837</v>
      </c>
      <c r="K18" s="25" t="s">
        <v>838</v>
      </c>
      <c r="L18" s="25" t="s">
        <v>839</v>
      </c>
      <c r="M18" s="25" t="s">
        <v>840</v>
      </c>
      <c r="N18" s="25" t="s">
        <v>841</v>
      </c>
      <c r="O18" s="25" t="s">
        <v>842</v>
      </c>
    </row>
    <row r="19" customFormat="false" ht="22.35" hidden="false" customHeight="false" outlineLevel="0" collapsed="false">
      <c r="A19" s="26" t="n">
        <f aca="false">IF($B19="","",ROW()-18)</f>
        <v>1</v>
      </c>
      <c r="B19" s="68" t="s">
        <v>843</v>
      </c>
      <c r="C19" s="28" t="s">
        <v>844</v>
      </c>
      <c r="D19" s="29" t="n">
        <v>46027</v>
      </c>
      <c r="E19" s="29" t="n">
        <v>46068</v>
      </c>
      <c r="F19" s="40" t="n">
        <f aca="false">IF(OR($D19="",$E19=""),0,ROUNDUP(($E19-$D19+1)/7,0))</f>
        <v>6</v>
      </c>
      <c r="G19" s="40" t="n">
        <f aca="false">IF(OR($D19="",$C$11=""),0,INT(($D19-$C$11)/7)+1)</f>
        <v>1</v>
      </c>
      <c r="H19" s="71" t="n">
        <v>0.9</v>
      </c>
      <c r="I19" s="71" t="n">
        <v>0.55</v>
      </c>
      <c r="J19" s="68" t="s">
        <v>845</v>
      </c>
      <c r="K19" s="68" t="s">
        <v>846</v>
      </c>
      <c r="L19" s="68" t="s">
        <v>847</v>
      </c>
      <c r="M19" s="46" t="n">
        <v>2600</v>
      </c>
      <c r="N19" s="68" t="s">
        <v>168</v>
      </c>
      <c r="O19" s="28" t="s">
        <v>200</v>
      </c>
    </row>
    <row r="20" customFormat="false" ht="22.35" hidden="false" customHeight="false" outlineLevel="0" collapsed="false">
      <c r="A20" s="26" t="n">
        <f aca="false">IF($B20="","",ROW()-18)</f>
        <v>2</v>
      </c>
      <c r="B20" s="68" t="s">
        <v>848</v>
      </c>
      <c r="C20" s="28" t="s">
        <v>849</v>
      </c>
      <c r="D20" s="29" t="n">
        <v>46069</v>
      </c>
      <c r="E20" s="29" t="n">
        <v>46110</v>
      </c>
      <c r="F20" s="40" t="n">
        <f aca="false">IF(OR($D20="",$E20=""),0,ROUNDUP(($E20-$D20+1)/7,0))</f>
        <v>6</v>
      </c>
      <c r="G20" s="40" t="n">
        <f aca="false">IF(OR($D20="",$C$11=""),0,INT(($D20-$C$11)/7)+1)</f>
        <v>7</v>
      </c>
      <c r="H20" s="71" t="n">
        <v>0.85</v>
      </c>
      <c r="I20" s="71" t="n">
        <v>0.7</v>
      </c>
      <c r="J20" s="68" t="s">
        <v>850</v>
      </c>
      <c r="K20" s="68" t="s">
        <v>851</v>
      </c>
      <c r="L20" s="68" t="s">
        <v>852</v>
      </c>
      <c r="M20" s="46" t="n">
        <v>2900</v>
      </c>
      <c r="N20" s="68" t="s">
        <v>853</v>
      </c>
      <c r="O20" s="28" t="s">
        <v>200</v>
      </c>
    </row>
    <row r="21" customFormat="false" ht="15" hidden="false" customHeight="false" outlineLevel="0" collapsed="false">
      <c r="A21" s="26" t="n">
        <f aca="false">IF($B21="","",ROW()-18)</f>
        <v>3</v>
      </c>
      <c r="B21" s="68" t="s">
        <v>854</v>
      </c>
      <c r="C21" s="28" t="s">
        <v>855</v>
      </c>
      <c r="D21" s="29" t="n">
        <v>46111</v>
      </c>
      <c r="E21" s="29" t="n">
        <v>46152</v>
      </c>
      <c r="F21" s="40" t="n">
        <f aca="false">IF(OR($D21="",$E21=""),0,ROUNDUP(($E21-$D21+1)/7,0))</f>
        <v>6</v>
      </c>
      <c r="G21" s="40" t="n">
        <f aca="false">IF(OR($D21="",$C$11=""),0,INT(($D21-$C$11)/7)+1)</f>
        <v>13</v>
      </c>
      <c r="H21" s="71" t="n">
        <v>0.7</v>
      </c>
      <c r="I21" s="71" t="n">
        <v>0.85</v>
      </c>
      <c r="J21" s="68" t="s">
        <v>856</v>
      </c>
      <c r="K21" s="68" t="s">
        <v>857</v>
      </c>
      <c r="L21" s="68" t="s">
        <v>858</v>
      </c>
      <c r="M21" s="46" t="n">
        <v>2700</v>
      </c>
      <c r="N21" s="68" t="s">
        <v>859</v>
      </c>
      <c r="O21" s="28" t="s">
        <v>200</v>
      </c>
    </row>
    <row r="22" customFormat="false" ht="22.35" hidden="false" customHeight="false" outlineLevel="0" collapsed="false">
      <c r="A22" s="26" t="n">
        <f aca="false">IF($B22="","",ROW()-18)</f>
        <v>4</v>
      </c>
      <c r="B22" s="68" t="s">
        <v>860</v>
      </c>
      <c r="C22" s="28" t="s">
        <v>861</v>
      </c>
      <c r="D22" s="29" t="n">
        <v>46153</v>
      </c>
      <c r="E22" s="29" t="n">
        <v>46222</v>
      </c>
      <c r="F22" s="40" t="n">
        <f aca="false">IF(OR($D22="",$E22=""),0,ROUNDUP(($E22-$D22+1)/7,0))</f>
        <v>10</v>
      </c>
      <c r="G22" s="40" t="n">
        <f aca="false">IF(OR($D22="",$C$11=""),0,INT(($D22-$C$11)/7)+1)</f>
        <v>19</v>
      </c>
      <c r="H22" s="71" t="n">
        <v>0.55</v>
      </c>
      <c r="I22" s="71" t="n">
        <v>0.9</v>
      </c>
      <c r="J22" s="68" t="s">
        <v>862</v>
      </c>
      <c r="K22" s="68" t="s">
        <v>863</v>
      </c>
      <c r="L22" s="68" t="s">
        <v>864</v>
      </c>
      <c r="M22" s="46" t="n">
        <v>2200</v>
      </c>
      <c r="N22" s="68" t="s">
        <v>865</v>
      </c>
      <c r="O22" s="28" t="s">
        <v>866</v>
      </c>
    </row>
    <row r="23" customFormat="false" ht="15" hidden="false" customHeight="false" outlineLevel="0" collapsed="false">
      <c r="A23" s="26" t="n">
        <f aca="false">IF($B23="","",ROW()-18)</f>
        <v>5</v>
      </c>
      <c r="B23" s="68" t="s">
        <v>867</v>
      </c>
      <c r="C23" s="28" t="s">
        <v>868</v>
      </c>
      <c r="D23" s="29" t="n">
        <v>46223</v>
      </c>
      <c r="E23" s="29" t="n">
        <v>46306</v>
      </c>
      <c r="F23" s="40" t="n">
        <f aca="false">IF(OR($D23="",$E23=""),0,ROUNDUP(($E23-$D23+1)/7,0))</f>
        <v>12</v>
      </c>
      <c r="G23" s="40" t="n">
        <f aca="false">IF(OR($D23="",$C$11=""),0,INT(($D23-$C$11)/7)+1)</f>
        <v>29</v>
      </c>
      <c r="H23" s="71" t="n">
        <v>0.5</v>
      </c>
      <c r="I23" s="71" t="n">
        <v>0.95</v>
      </c>
      <c r="J23" s="68" t="s">
        <v>869</v>
      </c>
      <c r="K23" s="68" t="s">
        <v>870</v>
      </c>
      <c r="L23" s="68" t="s">
        <v>871</v>
      </c>
      <c r="M23" s="46" t="n">
        <v>2000</v>
      </c>
      <c r="N23" s="68" t="s">
        <v>872</v>
      </c>
      <c r="O23" s="28" t="s">
        <v>873</v>
      </c>
    </row>
    <row r="24" customFormat="false" ht="22.35" hidden="false" customHeight="false" outlineLevel="0" collapsed="false">
      <c r="A24" s="26" t="n">
        <f aca="false">IF($B24="","",ROW()-18)</f>
        <v>6</v>
      </c>
      <c r="B24" s="68" t="s">
        <v>874</v>
      </c>
      <c r="C24" s="28" t="s">
        <v>875</v>
      </c>
      <c r="D24" s="29" t="n">
        <v>46307</v>
      </c>
      <c r="E24" s="29" t="n">
        <v>46355</v>
      </c>
      <c r="F24" s="40" t="n">
        <f aca="false">IF(OR($D24="",$E24=""),0,ROUNDUP(($E24-$D24+1)/7,0))</f>
        <v>7</v>
      </c>
      <c r="G24" s="40" t="n">
        <f aca="false">IF(OR($D24="",$C$11=""),0,INT(($D24-$C$11)/7)+1)</f>
        <v>41</v>
      </c>
      <c r="H24" s="71" t="n">
        <v>0.35</v>
      </c>
      <c r="I24" s="71" t="n">
        <v>0.4</v>
      </c>
      <c r="J24" s="68" t="s">
        <v>876</v>
      </c>
      <c r="K24" s="68" t="s">
        <v>877</v>
      </c>
      <c r="L24" s="68" t="s">
        <v>878</v>
      </c>
      <c r="M24" s="46" t="n">
        <v>900</v>
      </c>
      <c r="N24" s="68" t="s">
        <v>168</v>
      </c>
      <c r="O24" s="28" t="s">
        <v>873</v>
      </c>
    </row>
    <row r="25" customFormat="false" ht="15" hidden="false" customHeight="false" outlineLevel="0" collapsed="false">
      <c r="A25" s="26" t="str">
        <f aca="false">IF($B25="","",ROW()-18)</f>
        <v/>
      </c>
      <c r="B25" s="68"/>
      <c r="C25" s="28"/>
      <c r="D25" s="29"/>
      <c r="E25" s="29"/>
      <c r="F25" s="40" t="n">
        <f aca="false">IF(OR($D25="",$E25=""),0,ROUNDUP(($E25-$D25+1)/7,0))</f>
        <v>0</v>
      </c>
      <c r="G25" s="40" t="n">
        <f aca="false">IF(OR($D25="",$C$11=""),0,INT(($D25-$C$11)/7)+1)</f>
        <v>0</v>
      </c>
      <c r="H25" s="71"/>
      <c r="I25" s="71"/>
      <c r="J25" s="68"/>
      <c r="K25" s="68"/>
      <c r="L25" s="68"/>
      <c r="M25" s="46"/>
      <c r="N25" s="68"/>
      <c r="O25" s="28"/>
    </row>
    <row r="26" customFormat="false" ht="15" hidden="false" customHeight="false" outlineLevel="0" collapsed="false">
      <c r="A26" s="26" t="str">
        <f aca="false">IF($B26="","",ROW()-18)</f>
        <v/>
      </c>
      <c r="B26" s="68"/>
      <c r="C26" s="28"/>
      <c r="D26" s="29"/>
      <c r="E26" s="29"/>
      <c r="F26" s="40" t="n">
        <f aca="false">IF(OR($D26="",$E26=""),0,ROUNDUP(($E26-$D26+1)/7,0))</f>
        <v>0</v>
      </c>
      <c r="G26" s="40" t="n">
        <f aca="false">IF(OR($D26="",$C$11=""),0,INT(($D26-$C$11)/7)+1)</f>
        <v>0</v>
      </c>
      <c r="H26" s="71"/>
      <c r="I26" s="71"/>
      <c r="J26" s="68"/>
      <c r="K26" s="68"/>
      <c r="L26" s="68"/>
      <c r="M26" s="46"/>
      <c r="N26" s="68"/>
      <c r="O26" s="28"/>
    </row>
    <row r="27" customFormat="false" ht="15" hidden="false" customHeight="false" outlineLevel="0" collapsed="false">
      <c r="A27" s="26" t="str">
        <f aca="false">IF($B27="","",ROW()-18)</f>
        <v/>
      </c>
      <c r="B27" s="68"/>
      <c r="C27" s="28"/>
      <c r="D27" s="29"/>
      <c r="E27" s="29"/>
      <c r="F27" s="40" t="n">
        <f aca="false">IF(OR($D27="",$E27=""),0,ROUNDUP(($E27-$D27+1)/7,0))</f>
        <v>0</v>
      </c>
      <c r="G27" s="40" t="n">
        <f aca="false">IF(OR($D27="",$C$11=""),0,INT(($D27-$C$11)/7)+1)</f>
        <v>0</v>
      </c>
      <c r="H27" s="71"/>
      <c r="I27" s="71"/>
      <c r="J27" s="68"/>
      <c r="K27" s="68"/>
      <c r="L27" s="68"/>
      <c r="M27" s="46"/>
      <c r="N27" s="68"/>
      <c r="O27" s="28"/>
    </row>
    <row r="28" customFormat="false" ht="15" hidden="false" customHeight="false" outlineLevel="0" collapsed="false">
      <c r="A28" s="26" t="str">
        <f aca="false">IF($B28="","",ROW()-18)</f>
        <v/>
      </c>
      <c r="B28" s="68"/>
      <c r="C28" s="28"/>
      <c r="D28" s="29"/>
      <c r="E28" s="29"/>
      <c r="F28" s="40" t="n">
        <f aca="false">IF(OR($D28="",$E28=""),0,ROUNDUP(($E28-$D28+1)/7,0))</f>
        <v>0</v>
      </c>
      <c r="G28" s="40" t="n">
        <f aca="false">IF(OR($D28="",$C$11=""),0,INT(($D28-$C$11)/7)+1)</f>
        <v>0</v>
      </c>
      <c r="H28" s="71"/>
      <c r="I28" s="71"/>
      <c r="J28" s="68"/>
      <c r="K28" s="68"/>
      <c r="L28" s="68"/>
      <c r="M28" s="46"/>
      <c r="N28" s="68"/>
      <c r="O28" s="28"/>
    </row>
    <row r="29" customFormat="false" ht="15" hidden="false" customHeight="false" outlineLevel="0" collapsed="false">
      <c r="A29" s="26" t="str">
        <f aca="false">IF($B29="","",ROW()-18)</f>
        <v/>
      </c>
      <c r="B29" s="68"/>
      <c r="C29" s="28"/>
      <c r="D29" s="29"/>
      <c r="E29" s="29"/>
      <c r="F29" s="40" t="n">
        <f aca="false">IF(OR($D29="",$E29=""),0,ROUNDUP(($E29-$D29+1)/7,0))</f>
        <v>0</v>
      </c>
      <c r="G29" s="40" t="n">
        <f aca="false">IF(OR($D29="",$C$11=""),0,INT(($D29-$C$11)/7)+1)</f>
        <v>0</v>
      </c>
      <c r="H29" s="71"/>
      <c r="I29" s="71"/>
      <c r="J29" s="68"/>
      <c r="K29" s="68"/>
      <c r="L29" s="68"/>
      <c r="M29" s="46"/>
      <c r="N29" s="68"/>
      <c r="O29" s="28"/>
    </row>
    <row r="30" customFormat="false" ht="15" hidden="false" customHeight="false" outlineLevel="0" collapsed="false">
      <c r="A30" s="26" t="str">
        <f aca="false">IF($B30="","",ROW()-18)</f>
        <v/>
      </c>
      <c r="B30" s="68"/>
      <c r="C30" s="28"/>
      <c r="D30" s="29"/>
      <c r="E30" s="29"/>
      <c r="F30" s="40" t="n">
        <f aca="false">IF(OR($D30="",$E30=""),0,ROUNDUP(($E30-$D30+1)/7,0))</f>
        <v>0</v>
      </c>
      <c r="G30" s="40" t="n">
        <f aca="false">IF(OR($D30="",$C$11=""),0,INT(($D30-$C$11)/7)+1)</f>
        <v>0</v>
      </c>
      <c r="H30" s="71"/>
      <c r="I30" s="71"/>
      <c r="J30" s="68"/>
      <c r="K30" s="68"/>
      <c r="L30" s="68"/>
      <c r="M30" s="46"/>
      <c r="N30" s="68"/>
      <c r="O30" s="28"/>
    </row>
    <row r="31" customFormat="false" ht="15" hidden="false" customHeight="false" outlineLevel="0" collapsed="false">
      <c r="A31" s="83"/>
      <c r="B31" s="84" t="s">
        <v>879</v>
      </c>
      <c r="C31" s="83"/>
      <c r="D31" s="83"/>
      <c r="E31" s="83"/>
      <c r="F31" s="85" t="n">
        <f aca="false">SUM(F19:F30)</f>
        <v>47</v>
      </c>
      <c r="G31" s="83"/>
      <c r="H31" s="86" t="n">
        <f aca="false">IFERROR(AVERAGE(H19:H30),"")</f>
        <v>0.641666666666667</v>
      </c>
      <c r="I31" s="86" t="n">
        <f aca="false">IFERROR(AVERAGE(I19:I30),"")</f>
        <v>0.725</v>
      </c>
      <c r="J31" s="83"/>
      <c r="K31" s="83"/>
      <c r="L31" s="83"/>
      <c r="M31" s="87" t="n">
        <f aca="false">IFERROR(SUMPRODUCT($F19:$F30,$M19:$M30),"")</f>
        <v>101500</v>
      </c>
      <c r="N31" s="83"/>
      <c r="O31" s="83"/>
    </row>
    <row r="32" customFormat="false" ht="15" hidden="false" customHeight="true" outlineLevel="0" collapsed="false">
      <c r="B32" s="17" t="s">
        <v>880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</sheetData>
  <mergeCells count="15">
    <mergeCell ref="A1:O1"/>
    <mergeCell ref="A2:O2"/>
    <mergeCell ref="B4:O4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A17:O17"/>
    <mergeCell ref="B32:O32"/>
  </mergeCells>
  <dataValidations count="2">
    <dataValidation allowBlank="true" errorStyle="stop" operator="between" showDropDown="false" showErrorMessage="false" showInputMessage="false" sqref="C19:C30" type="list">
      <formula1>Listas!$F$5:$F$16</formula1>
      <formula2>0</formula2>
    </dataValidation>
    <dataValidation allowBlank="true" errorStyle="stop" operator="between" showDropDown="false" showErrorMessage="false" showInputMessage="false" sqref="O19:O30" type="list">
      <formula1>Listas!$S$5:$S$16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96"/>
    <pageSetUpPr fitToPage="tru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8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1" t="s">
        <v>881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882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9.5" hidden="false" customHeight="true" outlineLevel="0" collapsed="false">
      <c r="B4" s="3" t="s">
        <v>883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B6" s="47" t="s">
        <v>884</v>
      </c>
      <c r="C6" s="88" t="s">
        <v>867</v>
      </c>
      <c r="D6" s="88"/>
    </row>
    <row r="8" customFormat="false" ht="15" hidden="false" customHeight="false" outlineLevel="0" collapsed="false">
      <c r="B8" s="47" t="s">
        <v>830</v>
      </c>
      <c r="C8" s="89" t="str">
        <f aca="false">IFERROR(INDEX(Macrociclo!$C$19:$C$30,MATCH($C$6,Macrociclo!$B$19:$B$30,0)),"")</f>
        <v>Competitivo II</v>
      </c>
      <c r="D8" s="89"/>
      <c r="F8" s="47" t="s">
        <v>837</v>
      </c>
      <c r="G8" s="90" t="str">
        <f aca="false">IFERROR(INDEX(Macrociclo!$J$19:$J$30,MATCH($C$6,Macrociclo!$B$19:$B$30,0)),"")</f>
        <v>Manutenção e prevenção de lesões</v>
      </c>
      <c r="H8" s="90"/>
      <c r="I8" s="90"/>
      <c r="J8" s="90"/>
      <c r="K8" s="90"/>
      <c r="L8" s="90"/>
      <c r="M8" s="90"/>
    </row>
    <row r="9" customFormat="false" ht="15" hidden="false" customHeight="false" outlineLevel="0" collapsed="false">
      <c r="B9" s="47" t="s">
        <v>820</v>
      </c>
      <c r="C9" s="91" t="n">
        <f aca="false">IFERROR(INDEX(Macrociclo!$D$19:$D$30,MATCH($C$6,Macrociclo!$B$19:$B$30,0)),"")</f>
        <v>46223</v>
      </c>
      <c r="D9" s="91"/>
      <c r="F9" s="47" t="s">
        <v>838</v>
      </c>
      <c r="G9" s="90" t="str">
        <f aca="false">IFERROR(INDEX(Macrociclo!$K$19:$K$30,MATCH($C$6,Macrociclo!$B$19:$B$30,0)),"")</f>
        <v>Refinamento técnico individual</v>
      </c>
      <c r="H9" s="90"/>
      <c r="I9" s="90"/>
      <c r="J9" s="90"/>
      <c r="K9" s="90"/>
      <c r="L9" s="90"/>
      <c r="M9" s="90"/>
    </row>
    <row r="10" customFormat="false" ht="15" hidden="false" customHeight="false" outlineLevel="0" collapsed="false">
      <c r="B10" s="47" t="s">
        <v>821</v>
      </c>
      <c r="C10" s="91" t="n">
        <f aca="false">IFERROR(INDEX(Macrociclo!$E$19:$E$30,MATCH($C$6,Macrociclo!$B$19:$B$30,0)),"")</f>
        <v>46306</v>
      </c>
      <c r="D10" s="91"/>
      <c r="F10" s="47" t="s">
        <v>839</v>
      </c>
      <c r="G10" s="90" t="str">
        <f aca="false">IFERROR(INDEX(Macrociclo!$L$19:$L$30,MATCH($C$6,Macrociclo!$B$19:$B$30,0)),"")</f>
        <v>Preparação por adversário</v>
      </c>
      <c r="H10" s="90"/>
      <c r="I10" s="90"/>
      <c r="J10" s="90"/>
      <c r="K10" s="90"/>
      <c r="L10" s="90"/>
      <c r="M10" s="90"/>
    </row>
    <row r="11" customFormat="false" ht="15" hidden="false" customHeight="false" outlineLevel="0" collapsed="false">
      <c r="B11" s="47" t="s">
        <v>822</v>
      </c>
      <c r="C11" s="92" t="n">
        <f aca="false">IFERROR(INDEX(Macrociclo!$F$19:$F$30,MATCH($C$6,Macrociclo!$B$19:$B$30,0)),"")</f>
        <v>12</v>
      </c>
      <c r="D11" s="92"/>
      <c r="F11" s="47" t="s">
        <v>885</v>
      </c>
      <c r="G11" s="90" t="str">
        <f aca="false">IFERROR(INDEX(Macrociclo!$N$19:$N$30,MATCH($C$6,Macrociclo!$B$19:$B$30,0)),"")</f>
        <v>Estadual — 2º turno e playoffs</v>
      </c>
      <c r="H11" s="90"/>
      <c r="I11" s="90"/>
      <c r="J11" s="90"/>
      <c r="K11" s="90"/>
      <c r="L11" s="90"/>
      <c r="M11" s="90"/>
    </row>
    <row r="12" customFormat="false" ht="15" hidden="false" customHeight="false" outlineLevel="0" collapsed="false">
      <c r="B12" s="47" t="s">
        <v>886</v>
      </c>
      <c r="C12" s="92" t="n">
        <f aca="false">IFERROR(INDEX(Macrociclo!$G$19:$G$30,MATCH($C$6,Macrociclo!$B$19:$B$30,0)),"")</f>
        <v>29</v>
      </c>
      <c r="D12" s="92"/>
    </row>
    <row r="13" customFormat="false" ht="15" hidden="false" customHeight="false" outlineLevel="0" collapsed="false">
      <c r="B13" s="47" t="s">
        <v>887</v>
      </c>
      <c r="C13" s="93" t="n">
        <f aca="false">IFERROR(INDEX(Macrociclo!$H$19:$H$30,MATCH($C$6,Macrociclo!$B$19:$B$30,0)),"")</f>
        <v>0.5</v>
      </c>
      <c r="D13" s="93"/>
    </row>
    <row r="14" customFormat="false" ht="15" hidden="false" customHeight="false" outlineLevel="0" collapsed="false">
      <c r="B14" s="47" t="s">
        <v>888</v>
      </c>
      <c r="C14" s="93" t="n">
        <f aca="false">IFERROR(INDEX(Macrociclo!$I$19:$I$30,MATCH($C$6,Macrociclo!$B$19:$B$30,0)),"")</f>
        <v>0.95</v>
      </c>
      <c r="D14" s="93"/>
    </row>
    <row r="15" customFormat="false" ht="15" hidden="false" customHeight="false" outlineLevel="0" collapsed="false">
      <c r="B15" s="47" t="s">
        <v>840</v>
      </c>
      <c r="C15" s="94" t="n">
        <f aca="false">IFERROR(INDEX(Macrociclo!$M$19:$M$30,MATCH($C$6,Macrociclo!$B$19:$B$30,0)),"")</f>
        <v>2000</v>
      </c>
      <c r="D15" s="94"/>
    </row>
    <row r="17" customFormat="false" ht="19.5" hidden="false" customHeight="true" outlineLevel="0" collapsed="false">
      <c r="A17" s="3" t="s">
        <v>889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customFormat="false" ht="31.5" hidden="false" customHeight="true" outlineLevel="0" collapsed="false">
      <c r="A18" s="25" t="s">
        <v>828</v>
      </c>
      <c r="B18" s="25" t="s">
        <v>890</v>
      </c>
      <c r="C18" s="25" t="s">
        <v>891</v>
      </c>
      <c r="D18" s="25" t="s">
        <v>831</v>
      </c>
      <c r="E18" s="25" t="s">
        <v>832</v>
      </c>
      <c r="F18" s="25" t="s">
        <v>892</v>
      </c>
      <c r="G18" s="25" t="s">
        <v>893</v>
      </c>
      <c r="H18" s="25" t="s">
        <v>894</v>
      </c>
      <c r="I18" s="25" t="s">
        <v>895</v>
      </c>
      <c r="J18" s="25" t="s">
        <v>896</v>
      </c>
      <c r="K18" s="25" t="s">
        <v>897</v>
      </c>
      <c r="L18" s="25" t="s">
        <v>898</v>
      </c>
      <c r="M18" s="25" t="s">
        <v>162</v>
      </c>
    </row>
    <row r="19" customFormat="false" ht="15" hidden="false" customHeight="false" outlineLevel="0" collapsed="false">
      <c r="A19" s="26" t="n">
        <f aca="false">IF($B19="","",ROW()-18)</f>
        <v>1</v>
      </c>
      <c r="B19" s="68" t="s">
        <v>899</v>
      </c>
      <c r="C19" s="28" t="s">
        <v>900</v>
      </c>
      <c r="D19" s="29" t="n">
        <v>46244</v>
      </c>
      <c r="E19" s="29" t="n">
        <v>46250</v>
      </c>
      <c r="F19" s="68" t="s">
        <v>901</v>
      </c>
      <c r="G19" s="40" t="n">
        <f aca="false">IF(OR($D19="",Macrociclo!$C$11=""),0,INT(($D19-Macrociclo!$C$11)/7)+1)</f>
        <v>32</v>
      </c>
      <c r="H19" s="28" t="n">
        <v>7</v>
      </c>
      <c r="I19" s="28" t="n">
        <v>530</v>
      </c>
      <c r="J19" s="28" t="n">
        <v>6</v>
      </c>
      <c r="K19" s="44" t="n">
        <f aca="false">IF(OR($I19="",$J19=""),0,$I19*$J19)</f>
        <v>3180</v>
      </c>
      <c r="L19" s="95" t="n">
        <f aca="false">IF($K19=0,0,SUMIFS('Carga (PSE)'!$G$8:$G$1007,'Carga (PSE)'!$B$8:$B$1007,$G19)/MAX(1,COUNTIF(Cadastro!$BL$8:$BL$47,"Ativo"))/$K19)</f>
        <v>1.28401943967982</v>
      </c>
      <c r="M19" s="68"/>
    </row>
    <row r="20" customFormat="false" ht="15" hidden="false" customHeight="false" outlineLevel="0" collapsed="false">
      <c r="A20" s="26" t="n">
        <f aca="false">IF($B20="","",ROW()-18)</f>
        <v>2</v>
      </c>
      <c r="B20" s="68" t="s">
        <v>902</v>
      </c>
      <c r="C20" s="28" t="s">
        <v>903</v>
      </c>
      <c r="D20" s="29" t="n">
        <v>46251</v>
      </c>
      <c r="E20" s="29" t="n">
        <v>46257</v>
      </c>
      <c r="F20" s="68" t="s">
        <v>904</v>
      </c>
      <c r="G20" s="40" t="n">
        <f aca="false">IF(OR($D20="",Macrociclo!$C$11=""),0,INT(($D20-Macrociclo!$C$11)/7)+1)</f>
        <v>33</v>
      </c>
      <c r="H20" s="28" t="n">
        <v>7</v>
      </c>
      <c r="I20" s="28" t="n">
        <v>530</v>
      </c>
      <c r="J20" s="28" t="n">
        <v>7</v>
      </c>
      <c r="K20" s="44" t="n">
        <f aca="false">IF(OR($I20="",$J20=""),0,$I20*$J20)</f>
        <v>3710</v>
      </c>
      <c r="L20" s="95" t="n">
        <f aca="false">IF($K20=0,0,SUMIFS('Carga (PSE)'!$G$8:$G$1007,'Carga (PSE)'!$B$8:$B$1007,$G20)/MAX(1,COUNTIF(Cadastro!$BL$8:$BL$47,"Ativo"))/$K20)</f>
        <v>1.09838274932615</v>
      </c>
      <c r="M20" s="68"/>
    </row>
    <row r="21" customFormat="false" ht="15" hidden="false" customHeight="false" outlineLevel="0" collapsed="false">
      <c r="A21" s="26" t="n">
        <f aca="false">IF($B21="","",ROW()-18)</f>
        <v>3</v>
      </c>
      <c r="B21" s="68" t="s">
        <v>905</v>
      </c>
      <c r="C21" s="28" t="s">
        <v>900</v>
      </c>
      <c r="D21" s="29" t="n">
        <v>46258</v>
      </c>
      <c r="E21" s="29" t="n">
        <v>46264</v>
      </c>
      <c r="F21" s="68" t="s">
        <v>906</v>
      </c>
      <c r="G21" s="40" t="n">
        <f aca="false">IF(OR($D21="",Macrociclo!$C$11=""),0,INT(($D21-Macrociclo!$C$11)/7)+1)</f>
        <v>34</v>
      </c>
      <c r="H21" s="28" t="n">
        <v>7</v>
      </c>
      <c r="I21" s="28" t="n">
        <v>530</v>
      </c>
      <c r="J21" s="28" t="n">
        <v>6</v>
      </c>
      <c r="K21" s="44" t="n">
        <f aca="false">IF(OR($I21="",$J21=""),0,$I21*$J21)</f>
        <v>3180</v>
      </c>
      <c r="L21" s="95" t="n">
        <f aca="false">IF($K21=0,0,SUMIFS('Carga (PSE)'!$G$8:$G$1007,'Carga (PSE)'!$B$8:$B$1007,$G21)/MAX(1,COUNTIF(Cadastro!$BL$8:$BL$47,"Ativo"))/$K21)</f>
        <v>1.20311606632361</v>
      </c>
      <c r="M21" s="68"/>
    </row>
    <row r="22" customFormat="false" ht="15" hidden="false" customHeight="false" outlineLevel="0" collapsed="false">
      <c r="A22" s="26" t="n">
        <f aca="false">IF($B22="","",ROW()-18)</f>
        <v>4</v>
      </c>
      <c r="B22" s="68" t="s">
        <v>907</v>
      </c>
      <c r="C22" s="28" t="s">
        <v>908</v>
      </c>
      <c r="D22" s="29" t="n">
        <v>46265</v>
      </c>
      <c r="E22" s="29" t="n">
        <v>46271</v>
      </c>
      <c r="F22" s="68" t="s">
        <v>909</v>
      </c>
      <c r="G22" s="40" t="n">
        <f aca="false">IF(OR($D22="",Macrociclo!$C$11=""),0,INT(($D22-Macrociclo!$C$11)/7)+1)</f>
        <v>35</v>
      </c>
      <c r="H22" s="28" t="n">
        <v>5</v>
      </c>
      <c r="I22" s="28" t="n">
        <v>380</v>
      </c>
      <c r="J22" s="28" t="n">
        <v>5</v>
      </c>
      <c r="K22" s="44" t="n">
        <f aca="false">IF(OR($I22="",$J22=""),0,$I22*$J22)</f>
        <v>1900</v>
      </c>
      <c r="L22" s="95" t="n">
        <f aca="false">IF($K22=0,0,SUMIFS('Carga (PSE)'!$G$8:$G$1007,'Carga (PSE)'!$B$8:$B$1007,$G22)/MAX(1,COUNTIF(Cadastro!$BL$8:$BL$47,"Ativo"))/$K22)</f>
        <v>1.04832535885167</v>
      </c>
      <c r="M22" s="68"/>
    </row>
    <row r="23" customFormat="false" ht="15" hidden="false" customHeight="false" outlineLevel="0" collapsed="false">
      <c r="A23" s="26" t="n">
        <f aca="false">IF($B23="","",ROW()-18)</f>
        <v>5</v>
      </c>
      <c r="B23" s="68" t="s">
        <v>910</v>
      </c>
      <c r="C23" s="28" t="s">
        <v>855</v>
      </c>
      <c r="D23" s="29" t="n">
        <v>46272</v>
      </c>
      <c r="E23" s="29" t="n">
        <v>46278</v>
      </c>
      <c r="F23" s="68" t="s">
        <v>911</v>
      </c>
      <c r="G23" s="40" t="n">
        <f aca="false">IF(OR($D23="",Macrociclo!$C$11=""),0,INT(($D23-Macrociclo!$C$11)/7)+1)</f>
        <v>36</v>
      </c>
      <c r="H23" s="28" t="n">
        <v>5</v>
      </c>
      <c r="I23" s="28" t="n">
        <v>360</v>
      </c>
      <c r="J23" s="28" t="n">
        <v>5</v>
      </c>
      <c r="K23" s="44" t="n">
        <f aca="false">IF(OR($I23="",$J23=""),0,$I23*$J23)</f>
        <v>1800</v>
      </c>
      <c r="L23" s="95" t="n">
        <f aca="false">IF($K23=0,0,SUMIFS('Carga (PSE)'!$G$8:$G$1007,'Carga (PSE)'!$B$8:$B$1007,$G23)/MAX(1,COUNTIF(Cadastro!$BL$8:$BL$47,"Ativo"))/$K23)</f>
        <v>0</v>
      </c>
      <c r="M23" s="68"/>
    </row>
    <row r="24" customFormat="false" ht="15" hidden="false" customHeight="false" outlineLevel="0" collapsed="false">
      <c r="A24" s="26" t="str">
        <f aca="false">IF($B24="","",ROW()-18)</f>
        <v/>
      </c>
      <c r="B24" s="68"/>
      <c r="C24" s="28"/>
      <c r="D24" s="29"/>
      <c r="E24" s="29"/>
      <c r="F24" s="68"/>
      <c r="G24" s="40" t="n">
        <f aca="false">IF(OR($D24="",Macrociclo!$C$11=""),0,INT(($D24-Macrociclo!$C$11)/7)+1)</f>
        <v>0</v>
      </c>
      <c r="H24" s="28"/>
      <c r="I24" s="28"/>
      <c r="J24" s="28"/>
      <c r="K24" s="44" t="n">
        <f aca="false">IF(OR($I24="",$J24=""),0,$I24*$J24)</f>
        <v>0</v>
      </c>
      <c r="L24" s="95" t="n">
        <f aca="false">IF($K24=0,0,SUMIFS('Carga (PSE)'!$G$8:$G$1007,'Carga (PSE)'!$B$8:$B$1007,$G24)/MAX(1,COUNTIF(Cadastro!$BL$8:$BL$47,"Ativo"))/$K24)</f>
        <v>0</v>
      </c>
      <c r="M24" s="68"/>
    </row>
    <row r="25" customFormat="false" ht="15" hidden="false" customHeight="false" outlineLevel="0" collapsed="false">
      <c r="A25" s="26" t="str">
        <f aca="false">IF($B25="","",ROW()-18)</f>
        <v/>
      </c>
      <c r="B25" s="68"/>
      <c r="C25" s="28"/>
      <c r="D25" s="29"/>
      <c r="E25" s="29"/>
      <c r="F25" s="68"/>
      <c r="G25" s="40" t="n">
        <f aca="false">IF(OR($D25="",Macrociclo!$C$11=""),0,INT(($D25-Macrociclo!$C$11)/7)+1)</f>
        <v>0</v>
      </c>
      <c r="H25" s="28"/>
      <c r="I25" s="28"/>
      <c r="J25" s="28"/>
      <c r="K25" s="44" t="n">
        <f aca="false">IF(OR($I25="",$J25=""),0,$I25*$J25)</f>
        <v>0</v>
      </c>
      <c r="L25" s="95" t="n">
        <f aca="false">IF($K25=0,0,SUMIFS('Carga (PSE)'!$G$8:$G$1007,'Carga (PSE)'!$B$8:$B$1007,$G25)/MAX(1,COUNTIF(Cadastro!$BL$8:$BL$47,"Ativo"))/$K25)</f>
        <v>0</v>
      </c>
      <c r="M25" s="68"/>
    </row>
    <row r="26" customFormat="false" ht="15" hidden="false" customHeight="false" outlineLevel="0" collapsed="false">
      <c r="A26" s="26" t="str">
        <f aca="false">IF($B26="","",ROW()-18)</f>
        <v/>
      </c>
      <c r="B26" s="68"/>
      <c r="C26" s="28"/>
      <c r="D26" s="29"/>
      <c r="E26" s="29"/>
      <c r="F26" s="68"/>
      <c r="G26" s="40" t="n">
        <f aca="false">IF(OR($D26="",Macrociclo!$C$11=""),0,INT(($D26-Macrociclo!$C$11)/7)+1)</f>
        <v>0</v>
      </c>
      <c r="H26" s="28"/>
      <c r="I26" s="28"/>
      <c r="J26" s="28"/>
      <c r="K26" s="44" t="n">
        <f aca="false">IF(OR($I26="",$J26=""),0,$I26*$J26)</f>
        <v>0</v>
      </c>
      <c r="L26" s="95" t="n">
        <f aca="false">IF($K26=0,0,SUMIFS('Carga (PSE)'!$G$8:$G$1007,'Carga (PSE)'!$B$8:$B$1007,$G26)/MAX(1,COUNTIF(Cadastro!$BL$8:$BL$47,"Ativo"))/$K26)</f>
        <v>0</v>
      </c>
      <c r="M26" s="68"/>
    </row>
    <row r="27" customFormat="false" ht="15" hidden="false" customHeight="false" outlineLevel="0" collapsed="false">
      <c r="A27" s="26" t="str">
        <f aca="false">IF($B27="","",ROW()-18)</f>
        <v/>
      </c>
      <c r="B27" s="68"/>
      <c r="C27" s="28"/>
      <c r="D27" s="29"/>
      <c r="E27" s="29"/>
      <c r="F27" s="68"/>
      <c r="G27" s="40" t="n">
        <f aca="false">IF(OR($D27="",Macrociclo!$C$11=""),0,INT(($D27-Macrociclo!$C$11)/7)+1)</f>
        <v>0</v>
      </c>
      <c r="H27" s="28"/>
      <c r="I27" s="28"/>
      <c r="J27" s="28"/>
      <c r="K27" s="44" t="n">
        <f aca="false">IF(OR($I27="",$J27=""),0,$I27*$J27)</f>
        <v>0</v>
      </c>
      <c r="L27" s="95" t="n">
        <f aca="false">IF($K27=0,0,SUMIFS('Carga (PSE)'!$G$8:$G$1007,'Carga (PSE)'!$B$8:$B$1007,$G27)/MAX(1,COUNTIF(Cadastro!$BL$8:$BL$47,"Ativo"))/$K27)</f>
        <v>0</v>
      </c>
      <c r="M27" s="68"/>
    </row>
    <row r="28" customFormat="false" ht="15" hidden="false" customHeight="false" outlineLevel="0" collapsed="false">
      <c r="A28" s="26" t="str">
        <f aca="false">IF($B28="","",ROW()-18)</f>
        <v/>
      </c>
      <c r="B28" s="68"/>
      <c r="C28" s="28"/>
      <c r="D28" s="29"/>
      <c r="E28" s="29"/>
      <c r="F28" s="68"/>
      <c r="G28" s="40" t="n">
        <f aca="false">IF(OR($D28="",Macrociclo!$C$11=""),0,INT(($D28-Macrociclo!$C$11)/7)+1)</f>
        <v>0</v>
      </c>
      <c r="H28" s="28"/>
      <c r="I28" s="28"/>
      <c r="J28" s="28"/>
      <c r="K28" s="44" t="n">
        <f aca="false">IF(OR($I28="",$J28=""),0,$I28*$J28)</f>
        <v>0</v>
      </c>
      <c r="L28" s="95" t="n">
        <f aca="false">IF($K28=0,0,SUMIFS('Carga (PSE)'!$G$8:$G$1007,'Carga (PSE)'!$B$8:$B$1007,$G28)/MAX(1,COUNTIF(Cadastro!$BL$8:$BL$47,"Ativo"))/$K28)</f>
        <v>0</v>
      </c>
      <c r="M28" s="68"/>
    </row>
    <row r="29" customFormat="false" ht="15" hidden="false" customHeight="false" outlineLevel="0" collapsed="false">
      <c r="A29" s="26" t="str">
        <f aca="false">IF($B29="","",ROW()-18)</f>
        <v/>
      </c>
      <c r="B29" s="68"/>
      <c r="C29" s="28"/>
      <c r="D29" s="29"/>
      <c r="E29" s="29"/>
      <c r="F29" s="68"/>
      <c r="G29" s="40" t="n">
        <f aca="false">IF(OR($D29="",Macrociclo!$C$11=""),0,INT(($D29-Macrociclo!$C$11)/7)+1)</f>
        <v>0</v>
      </c>
      <c r="H29" s="28"/>
      <c r="I29" s="28"/>
      <c r="J29" s="28"/>
      <c r="K29" s="44" t="n">
        <f aca="false">IF(OR($I29="",$J29=""),0,$I29*$J29)</f>
        <v>0</v>
      </c>
      <c r="L29" s="95" t="n">
        <f aca="false">IF($K29=0,0,SUMIFS('Carga (PSE)'!$G$8:$G$1007,'Carga (PSE)'!$B$8:$B$1007,$G29)/MAX(1,COUNTIF(Cadastro!$BL$8:$BL$47,"Ativo"))/$K29)</f>
        <v>0</v>
      </c>
      <c r="M29" s="68"/>
    </row>
    <row r="30" customFormat="false" ht="15" hidden="false" customHeight="false" outlineLevel="0" collapsed="false">
      <c r="A30" s="26" t="str">
        <f aca="false">IF($B30="","",ROW()-18)</f>
        <v/>
      </c>
      <c r="B30" s="68"/>
      <c r="C30" s="28"/>
      <c r="D30" s="29"/>
      <c r="E30" s="29"/>
      <c r="F30" s="68"/>
      <c r="G30" s="40" t="n">
        <f aca="false">IF(OR($D30="",Macrociclo!$C$11=""),0,INT(($D30-Macrociclo!$C$11)/7)+1)</f>
        <v>0</v>
      </c>
      <c r="H30" s="28"/>
      <c r="I30" s="28"/>
      <c r="J30" s="28"/>
      <c r="K30" s="44" t="n">
        <f aca="false">IF(OR($I30="",$J30=""),0,$I30*$J30)</f>
        <v>0</v>
      </c>
      <c r="L30" s="95" t="n">
        <f aca="false">IF($K30=0,0,SUMIFS('Carga (PSE)'!$G$8:$G$1007,'Carga (PSE)'!$B$8:$B$1007,$G30)/MAX(1,COUNTIF(Cadastro!$BL$8:$BL$47,"Ativo"))/$K30)</f>
        <v>0</v>
      </c>
      <c r="M30" s="68"/>
    </row>
    <row r="32" customFormat="false" ht="15" hidden="false" customHeight="true" outlineLevel="0" collapsed="false">
      <c r="B32" s="17" t="s">
        <v>912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</sheetData>
  <mergeCells count="18">
    <mergeCell ref="A1:M1"/>
    <mergeCell ref="A2:M2"/>
    <mergeCell ref="B4:M4"/>
    <mergeCell ref="C6:D6"/>
    <mergeCell ref="C8:D8"/>
    <mergeCell ref="G8:M8"/>
    <mergeCell ref="C9:D9"/>
    <mergeCell ref="G9:M9"/>
    <mergeCell ref="C10:D10"/>
    <mergeCell ref="G10:M10"/>
    <mergeCell ref="C11:D11"/>
    <mergeCell ref="G11:M11"/>
    <mergeCell ref="C12:D12"/>
    <mergeCell ref="C13:D13"/>
    <mergeCell ref="C14:D14"/>
    <mergeCell ref="C15:D15"/>
    <mergeCell ref="A17:M17"/>
    <mergeCell ref="B32:M32"/>
  </mergeCells>
  <conditionalFormatting sqref="L19:L30">
    <cfRule type="cellIs" priority="2" operator="between" aboveAverage="0" equalAverage="0" bottom="0" percent="0" rank="0" text="" dxfId="10">
      <formula>0.9</formula>
      <formula>1.1</formula>
    </cfRule>
    <cfRule type="cellIs" priority="3" operator="greaterThan" aboveAverage="0" equalAverage="0" bottom="0" percent="0" rank="0" text="" dxfId="12">
      <formula>1.1</formula>
    </cfRule>
    <cfRule type="cellIs" priority="4" operator="between" aboveAverage="0" equalAverage="0" bottom="0" percent="0" rank="0" text="" dxfId="11">
      <formula>0.0001</formula>
      <formula>0.9</formula>
    </cfRule>
  </conditionalFormatting>
  <dataValidations count="2">
    <dataValidation allowBlank="true" errorStyle="stop" operator="between" showDropDown="false" showErrorMessage="false" showInputMessage="false" sqref="C6" type="list">
      <formula1>Macrociclo!$B$19:$B$30</formula1>
      <formula2>0</formula2>
    </dataValidation>
    <dataValidation allowBlank="true" errorStyle="stop" operator="between" showDropDown="false" showErrorMessage="false" showInputMessage="false" sqref="C19:C30" type="list">
      <formula1>Listas!$G$5:$G$16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true"/>
  </sheetPr>
  <dimension ref="A1:R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46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62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8"/>
    <col collapsed="false" customWidth="true" hidden="false" outlineLevel="0" max="15" min="15" style="0" width="11"/>
    <col collapsed="false" customWidth="true" hidden="false" outlineLevel="0" max="17" min="16" style="0" width="12"/>
    <col collapsed="false" customWidth="true" hidden="false" outlineLevel="0" max="18" min="18" style="0" width="40"/>
  </cols>
  <sheetData>
    <row r="1" customFormat="false" ht="30" hidden="false" customHeight="true" outlineLevel="0" collapsed="false">
      <c r="A1" s="1" t="s">
        <v>913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914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9.5" hidden="false" customHeight="true" outlineLevel="0" collapsed="false">
      <c r="A4" s="3" t="s">
        <v>915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5" hidden="false" customHeight="true" outlineLevel="0" collapsed="false">
      <c r="A5" s="47" t="s">
        <v>916</v>
      </c>
      <c r="C5" s="81" t="n">
        <v>46272</v>
      </c>
      <c r="D5" s="81"/>
      <c r="F5" s="96" t="s">
        <v>917</v>
      </c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</row>
    <row r="6" customFormat="false" ht="15" hidden="false" customHeight="false" outlineLevel="0" collapsed="false">
      <c r="A6" s="47" t="s">
        <v>918</v>
      </c>
      <c r="C6" s="97" t="n">
        <v>3</v>
      </c>
      <c r="D6" s="97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</row>
    <row r="7" customFormat="false" ht="15" hidden="false" customHeight="false" outlineLevel="0" collapsed="false">
      <c r="A7" s="47" t="s">
        <v>919</v>
      </c>
      <c r="C7" s="97" t="n">
        <v>5</v>
      </c>
      <c r="D7" s="97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</row>
    <row r="8" customFormat="false" ht="15" hidden="false" customHeight="false" outlineLevel="0" collapsed="false">
      <c r="A8" s="47" t="s">
        <v>920</v>
      </c>
      <c r="C8" s="97" t="n">
        <v>12</v>
      </c>
      <c r="D8" s="97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</row>
    <row r="10" customFormat="false" ht="19.5" hidden="false" customHeight="true" outlineLevel="0" collapsed="false">
      <c r="A10" s="3" t="s">
        <v>921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31.5" hidden="false" customHeight="true" outlineLevel="0" collapsed="false">
      <c r="A11" s="25" t="s">
        <v>922</v>
      </c>
      <c r="B11" s="25" t="s">
        <v>831</v>
      </c>
      <c r="C11" s="25" t="s">
        <v>766</v>
      </c>
      <c r="D11" s="25" t="s">
        <v>890</v>
      </c>
      <c r="E11" s="25" t="s">
        <v>923</v>
      </c>
      <c r="F11" s="25" t="s">
        <v>924</v>
      </c>
      <c r="G11" s="25" t="s">
        <v>925</v>
      </c>
      <c r="H11" s="25" t="s">
        <v>926</v>
      </c>
      <c r="I11" s="25" t="s">
        <v>927</v>
      </c>
      <c r="J11" s="25" t="s">
        <v>928</v>
      </c>
      <c r="K11" s="25" t="s">
        <v>929</v>
      </c>
      <c r="L11" s="25" t="s">
        <v>930</v>
      </c>
      <c r="M11" s="25" t="s">
        <v>931</v>
      </c>
      <c r="N11" s="25" t="s">
        <v>932</v>
      </c>
      <c r="O11" s="25" t="s">
        <v>933</v>
      </c>
      <c r="P11" s="25" t="s">
        <v>934</v>
      </c>
      <c r="Q11" s="25" t="s">
        <v>935</v>
      </c>
      <c r="R11" s="25" t="s">
        <v>936</v>
      </c>
    </row>
    <row r="12" customFormat="false" ht="33.75" hidden="false" customHeight="true" outlineLevel="0" collapsed="false">
      <c r="A12" s="26" t="n">
        <v>1</v>
      </c>
      <c r="B12" s="98" t="n">
        <f aca="false">IF($C$5="","",$C$5+($A12-1)*7)</f>
        <v>46272</v>
      </c>
      <c r="C12" s="26" t="s">
        <v>937</v>
      </c>
      <c r="D12" s="26" t="s">
        <v>938</v>
      </c>
      <c r="E12" s="99" t="s">
        <v>939</v>
      </c>
      <c r="F12" s="69" t="n">
        <v>3</v>
      </c>
      <c r="G12" s="69" t="n">
        <v>13</v>
      </c>
      <c r="H12" s="69" t="s">
        <v>940</v>
      </c>
      <c r="I12" s="61" t="n">
        <v>0.65</v>
      </c>
      <c r="J12" s="99" t="s">
        <v>941</v>
      </c>
      <c r="K12" s="69" t="s">
        <v>942</v>
      </c>
      <c r="L12" s="61" t="n">
        <v>0.55</v>
      </c>
      <c r="M12" s="69" t="n">
        <v>60</v>
      </c>
      <c r="N12" s="99" t="s">
        <v>943</v>
      </c>
      <c r="O12" s="61" t="n">
        <v>0.75</v>
      </c>
      <c r="P12" s="61" t="n">
        <v>0.62</v>
      </c>
      <c r="Q12" s="100" t="n">
        <v>1</v>
      </c>
      <c r="R12" s="99" t="s">
        <v>944</v>
      </c>
    </row>
    <row r="13" customFormat="false" ht="33.75" hidden="false" customHeight="true" outlineLevel="0" collapsed="false">
      <c r="A13" s="101" t="n">
        <v>2</v>
      </c>
      <c r="B13" s="102" t="n">
        <f aca="false">IF($C$5="","",$C$5+($A13-1)*7)</f>
        <v>46279</v>
      </c>
      <c r="C13" s="101" t="s">
        <v>937</v>
      </c>
      <c r="D13" s="101" t="s">
        <v>900</v>
      </c>
      <c r="E13" s="103" t="s">
        <v>945</v>
      </c>
      <c r="F13" s="73" t="n">
        <v>3</v>
      </c>
      <c r="G13" s="73" t="n">
        <v>15</v>
      </c>
      <c r="H13" s="73" t="s">
        <v>946</v>
      </c>
      <c r="I13" s="65" t="n">
        <v>0.75</v>
      </c>
      <c r="J13" s="103" t="s">
        <v>620</v>
      </c>
      <c r="K13" s="73" t="s">
        <v>947</v>
      </c>
      <c r="L13" s="65" t="n">
        <v>0.7</v>
      </c>
      <c r="M13" s="73" t="n">
        <v>90</v>
      </c>
      <c r="N13" s="103" t="s">
        <v>948</v>
      </c>
      <c r="O13" s="65" t="n">
        <v>0.88</v>
      </c>
      <c r="P13" s="65" t="n">
        <v>0.72</v>
      </c>
      <c r="Q13" s="104" t="n">
        <v>1.1</v>
      </c>
      <c r="R13" s="103" t="s">
        <v>949</v>
      </c>
    </row>
    <row r="14" customFormat="false" ht="33.75" hidden="false" customHeight="true" outlineLevel="0" collapsed="false">
      <c r="A14" s="105" t="n">
        <v>3</v>
      </c>
      <c r="B14" s="106" t="n">
        <f aca="false">IF($C$5="","",$C$5+($A14-1)*7)</f>
        <v>46286</v>
      </c>
      <c r="C14" s="105" t="s">
        <v>937</v>
      </c>
      <c r="D14" s="105" t="s">
        <v>950</v>
      </c>
      <c r="E14" s="107" t="s">
        <v>951</v>
      </c>
      <c r="F14" s="108" t="n">
        <v>4</v>
      </c>
      <c r="G14" s="108" t="n">
        <v>18</v>
      </c>
      <c r="H14" s="108" t="s">
        <v>952</v>
      </c>
      <c r="I14" s="109" t="n">
        <v>0.8</v>
      </c>
      <c r="J14" s="107" t="s">
        <v>953</v>
      </c>
      <c r="K14" s="108" t="s">
        <v>942</v>
      </c>
      <c r="L14" s="109" t="n">
        <v>0.75</v>
      </c>
      <c r="M14" s="108" t="n">
        <v>120</v>
      </c>
      <c r="N14" s="107" t="s">
        <v>954</v>
      </c>
      <c r="O14" s="109" t="n">
        <v>1</v>
      </c>
      <c r="P14" s="109" t="n">
        <v>0.78</v>
      </c>
      <c r="Q14" s="110" t="n">
        <v>1.3</v>
      </c>
      <c r="R14" s="107" t="s">
        <v>955</v>
      </c>
    </row>
    <row r="15" customFormat="false" ht="33.75" hidden="false" customHeight="true" outlineLevel="0" collapsed="false">
      <c r="A15" s="111" t="n">
        <v>4</v>
      </c>
      <c r="B15" s="112" t="n">
        <f aca="false">IF($C$5="","",$C$5+($A15-1)*7)</f>
        <v>46293</v>
      </c>
      <c r="C15" s="111" t="s">
        <v>956</v>
      </c>
      <c r="D15" s="111" t="s">
        <v>908</v>
      </c>
      <c r="E15" s="113" t="s">
        <v>957</v>
      </c>
      <c r="F15" s="114" t="n">
        <v>2</v>
      </c>
      <c r="G15" s="114" t="n">
        <v>8</v>
      </c>
      <c r="H15" s="114" t="s">
        <v>958</v>
      </c>
      <c r="I15" s="115" t="n">
        <v>0.7</v>
      </c>
      <c r="J15" s="113" t="s">
        <v>959</v>
      </c>
      <c r="K15" s="114" t="s">
        <v>960</v>
      </c>
      <c r="L15" s="115" t="n">
        <v>0.6</v>
      </c>
      <c r="M15" s="114" t="n">
        <v>45</v>
      </c>
      <c r="N15" s="113" t="s">
        <v>961</v>
      </c>
      <c r="O15" s="115" t="n">
        <v>0.45</v>
      </c>
      <c r="P15" s="115" t="n">
        <v>0.66</v>
      </c>
      <c r="Q15" s="116" t="n">
        <v>0.75</v>
      </c>
      <c r="R15" s="113" t="s">
        <v>962</v>
      </c>
    </row>
    <row r="16" customFormat="false" ht="33.75" hidden="false" customHeight="true" outlineLevel="0" collapsed="false">
      <c r="A16" s="26" t="n">
        <v>5</v>
      </c>
      <c r="B16" s="98" t="n">
        <f aca="false">IF($C$5="","",$C$5+($A16-1)*7)</f>
        <v>46300</v>
      </c>
      <c r="C16" s="26" t="s">
        <v>963</v>
      </c>
      <c r="D16" s="26" t="s">
        <v>900</v>
      </c>
      <c r="E16" s="99" t="s">
        <v>964</v>
      </c>
      <c r="F16" s="69" t="n">
        <v>3</v>
      </c>
      <c r="G16" s="69" t="n">
        <v>13</v>
      </c>
      <c r="H16" s="69" t="s">
        <v>965</v>
      </c>
      <c r="I16" s="61" t="n">
        <v>0.85</v>
      </c>
      <c r="J16" s="99" t="s">
        <v>953</v>
      </c>
      <c r="K16" s="69" t="s">
        <v>966</v>
      </c>
      <c r="L16" s="61" t="n">
        <v>0.82</v>
      </c>
      <c r="M16" s="69" t="n">
        <v>90</v>
      </c>
      <c r="N16" s="99" t="s">
        <v>967</v>
      </c>
      <c r="O16" s="61" t="n">
        <v>0.75</v>
      </c>
      <c r="P16" s="61" t="n">
        <v>0.85</v>
      </c>
      <c r="Q16" s="100" t="n">
        <v>1.1</v>
      </c>
      <c r="R16" s="99" t="s">
        <v>968</v>
      </c>
    </row>
    <row r="17" customFormat="false" ht="33.75" hidden="false" customHeight="true" outlineLevel="0" collapsed="false">
      <c r="A17" s="101" t="n">
        <v>6</v>
      </c>
      <c r="B17" s="102" t="n">
        <f aca="false">IF($C$5="","",$C$5+($A17-1)*7)</f>
        <v>46307</v>
      </c>
      <c r="C17" s="101" t="s">
        <v>963</v>
      </c>
      <c r="D17" s="101" t="s">
        <v>900</v>
      </c>
      <c r="E17" s="103" t="s">
        <v>969</v>
      </c>
      <c r="F17" s="73" t="n">
        <v>3</v>
      </c>
      <c r="G17" s="73" t="n">
        <v>12</v>
      </c>
      <c r="H17" s="73" t="s">
        <v>970</v>
      </c>
      <c r="I17" s="65" t="n">
        <v>0.88</v>
      </c>
      <c r="J17" s="103" t="s">
        <v>971</v>
      </c>
      <c r="K17" s="73" t="s">
        <v>970</v>
      </c>
      <c r="L17" s="65" t="n">
        <v>0.95</v>
      </c>
      <c r="M17" s="73" t="n">
        <v>110</v>
      </c>
      <c r="N17" s="103" t="s">
        <v>972</v>
      </c>
      <c r="O17" s="65" t="n">
        <v>0.7</v>
      </c>
      <c r="P17" s="65" t="n">
        <v>0.9</v>
      </c>
      <c r="Q17" s="104" t="n">
        <v>1.15</v>
      </c>
      <c r="R17" s="103" t="s">
        <v>973</v>
      </c>
    </row>
    <row r="18" customFormat="false" ht="33.75" hidden="false" customHeight="true" outlineLevel="0" collapsed="false">
      <c r="A18" s="105" t="n">
        <v>7</v>
      </c>
      <c r="B18" s="106" t="n">
        <f aca="false">IF($C$5="","",$C$5+($A18-1)*7)</f>
        <v>46314</v>
      </c>
      <c r="C18" s="105" t="s">
        <v>963</v>
      </c>
      <c r="D18" s="105" t="s">
        <v>950</v>
      </c>
      <c r="E18" s="107" t="s">
        <v>974</v>
      </c>
      <c r="F18" s="108" t="n">
        <v>4</v>
      </c>
      <c r="G18" s="108" t="n">
        <v>15</v>
      </c>
      <c r="H18" s="108" t="s">
        <v>975</v>
      </c>
      <c r="I18" s="109" t="n">
        <v>0.9</v>
      </c>
      <c r="J18" s="107" t="s">
        <v>953</v>
      </c>
      <c r="K18" s="108" t="s">
        <v>976</v>
      </c>
      <c r="L18" s="109" t="n">
        <v>0.88</v>
      </c>
      <c r="M18" s="108" t="n">
        <v>140</v>
      </c>
      <c r="N18" s="107" t="s">
        <v>977</v>
      </c>
      <c r="O18" s="109" t="n">
        <v>0.85</v>
      </c>
      <c r="P18" s="109" t="n">
        <v>0.93</v>
      </c>
      <c r="Q18" s="110" t="n">
        <v>1.45</v>
      </c>
      <c r="R18" s="107" t="s">
        <v>978</v>
      </c>
    </row>
    <row r="19" customFormat="false" ht="33.75" hidden="false" customHeight="true" outlineLevel="0" collapsed="false">
      <c r="A19" s="101" t="n">
        <v>8</v>
      </c>
      <c r="B19" s="102" t="n">
        <f aca="false">IF($C$5="","",$C$5+($A19-1)*7)</f>
        <v>46321</v>
      </c>
      <c r="C19" s="101" t="s">
        <v>979</v>
      </c>
      <c r="D19" s="101" t="s">
        <v>980</v>
      </c>
      <c r="E19" s="103" t="s">
        <v>981</v>
      </c>
      <c r="F19" s="73" t="n">
        <v>3</v>
      </c>
      <c r="G19" s="73" t="n">
        <v>9</v>
      </c>
      <c r="H19" s="73" t="s">
        <v>982</v>
      </c>
      <c r="I19" s="65" t="n">
        <v>0.92</v>
      </c>
      <c r="J19" s="103" t="s">
        <v>953</v>
      </c>
      <c r="K19" s="73" t="s">
        <v>983</v>
      </c>
      <c r="L19" s="65" t="n">
        <v>0.9</v>
      </c>
      <c r="M19" s="73" t="n">
        <v>70</v>
      </c>
      <c r="N19" s="103" t="s">
        <v>984</v>
      </c>
      <c r="O19" s="65" t="n">
        <v>0.42</v>
      </c>
      <c r="P19" s="65" t="n">
        <v>0.95</v>
      </c>
      <c r="Q19" s="104" t="n">
        <v>0.85</v>
      </c>
      <c r="R19" s="103" t="s">
        <v>985</v>
      </c>
    </row>
    <row r="20" customFormat="false" ht="15" hidden="false" customHeight="false" outlineLevel="0" collapsed="false">
      <c r="A20" s="84" t="s">
        <v>986</v>
      </c>
      <c r="B20" s="83"/>
      <c r="C20" s="83"/>
      <c r="D20" s="83"/>
      <c r="E20" s="83"/>
      <c r="F20" s="85" t="n">
        <f aca="false">SUM(F12:F19)</f>
        <v>25</v>
      </c>
      <c r="G20" s="83"/>
      <c r="H20" s="83"/>
      <c r="I20" s="83"/>
      <c r="J20" s="83"/>
      <c r="K20" s="83"/>
      <c r="L20" s="83"/>
      <c r="M20" s="87" t="n">
        <f aca="false">SUM(M12:M19)</f>
        <v>725</v>
      </c>
      <c r="N20" s="83"/>
      <c r="O20" s="86" t="n">
        <f aca="false">AVERAGE(O12:O19)</f>
        <v>0.725</v>
      </c>
      <c r="P20" s="86" t="n">
        <f aca="false">AVERAGE(P12:P19)</f>
        <v>0.80125</v>
      </c>
      <c r="Q20" s="83"/>
      <c r="R20" s="83"/>
    </row>
    <row r="40" customFormat="false" ht="19.5" hidden="false" customHeight="true" outlineLevel="0" collapsed="false">
      <c r="A40" s="3" t="s">
        <v>987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31.5" hidden="false" customHeight="true" outlineLevel="0" collapsed="false">
      <c r="A41" s="25" t="s">
        <v>988</v>
      </c>
      <c r="B41" s="25" t="s">
        <v>989</v>
      </c>
      <c r="C41" s="25" t="s">
        <v>768</v>
      </c>
      <c r="D41" s="25" t="s">
        <v>416</v>
      </c>
      <c r="E41" s="25" t="s">
        <v>419</v>
      </c>
      <c r="F41" s="25" t="s">
        <v>990</v>
      </c>
      <c r="G41" s="25" t="s">
        <v>991</v>
      </c>
    </row>
    <row r="42" customFormat="false" ht="15" hidden="false" customHeight="true" outlineLevel="0" collapsed="false">
      <c r="A42" s="117" t="s">
        <v>992</v>
      </c>
      <c r="B42" s="73" t="s">
        <v>993</v>
      </c>
      <c r="C42" s="73" t="n">
        <v>1</v>
      </c>
      <c r="D42" s="118" t="s">
        <v>600</v>
      </c>
      <c r="E42" s="103" t="s">
        <v>994</v>
      </c>
      <c r="F42" s="73" t="s">
        <v>168</v>
      </c>
      <c r="G42" s="103" t="s">
        <v>995</v>
      </c>
    </row>
    <row r="43" customFormat="false" ht="15" hidden="false" customHeight="false" outlineLevel="0" collapsed="false">
      <c r="A43" s="117"/>
      <c r="B43" s="73"/>
      <c r="C43" s="69" t="n">
        <v>2</v>
      </c>
      <c r="D43" s="119" t="s">
        <v>616</v>
      </c>
      <c r="E43" s="99" t="s">
        <v>996</v>
      </c>
      <c r="F43" s="69" t="s">
        <v>168</v>
      </c>
      <c r="G43" s="99" t="s">
        <v>997</v>
      </c>
    </row>
    <row r="44" customFormat="false" ht="15" hidden="false" customHeight="false" outlineLevel="0" collapsed="false">
      <c r="A44" s="117"/>
      <c r="B44" s="73"/>
      <c r="C44" s="73" t="n">
        <v>3</v>
      </c>
      <c r="D44" s="118" t="s">
        <v>688</v>
      </c>
      <c r="E44" s="103" t="s">
        <v>964</v>
      </c>
      <c r="F44" s="73" t="s">
        <v>692</v>
      </c>
      <c r="G44" s="103" t="s">
        <v>998</v>
      </c>
    </row>
    <row r="45" customFormat="false" ht="15" hidden="false" customHeight="false" outlineLevel="0" collapsed="false">
      <c r="A45" s="117"/>
      <c r="B45" s="73"/>
      <c r="C45" s="69" t="n">
        <v>4</v>
      </c>
      <c r="D45" s="119" t="s">
        <v>701</v>
      </c>
      <c r="E45" s="99" t="s">
        <v>999</v>
      </c>
      <c r="F45" s="69" t="s">
        <v>1000</v>
      </c>
      <c r="G45" s="99" t="s">
        <v>1001</v>
      </c>
    </row>
    <row r="46" customFormat="false" ht="15" hidden="false" customHeight="false" outlineLevel="0" collapsed="false">
      <c r="A46" s="117"/>
      <c r="B46" s="73"/>
      <c r="C46" s="73" t="n">
        <v>5</v>
      </c>
      <c r="D46" s="118" t="s">
        <v>708</v>
      </c>
      <c r="E46" s="103" t="s">
        <v>1002</v>
      </c>
      <c r="F46" s="73" t="s">
        <v>168</v>
      </c>
      <c r="G46" s="103" t="s">
        <v>1003</v>
      </c>
    </row>
    <row r="47" customFormat="false" ht="15" hidden="false" customHeight="false" outlineLevel="0" collapsed="false">
      <c r="A47" s="117"/>
      <c r="B47" s="73"/>
      <c r="C47" s="69" t="n">
        <v>6</v>
      </c>
      <c r="D47" s="119" t="s">
        <v>592</v>
      </c>
      <c r="E47" s="99" t="s">
        <v>1004</v>
      </c>
      <c r="F47" s="69" t="s">
        <v>168</v>
      </c>
      <c r="G47" s="99" t="s">
        <v>1005</v>
      </c>
    </row>
    <row r="48" customFormat="false" ht="15" hidden="false" customHeight="false" outlineLevel="0" collapsed="false">
      <c r="A48" s="117"/>
      <c r="B48" s="73"/>
      <c r="C48" s="73" t="n">
        <v>7</v>
      </c>
      <c r="D48" s="118" t="s">
        <v>1006</v>
      </c>
      <c r="E48" s="103" t="s">
        <v>776</v>
      </c>
      <c r="F48" s="73" t="s">
        <v>168</v>
      </c>
      <c r="G48" s="103" t="s">
        <v>1007</v>
      </c>
    </row>
    <row r="49" customFormat="false" ht="15" hidden="false" customHeight="true" outlineLevel="0" collapsed="false">
      <c r="A49" s="120" t="s">
        <v>1008</v>
      </c>
      <c r="B49" s="69" t="s">
        <v>1009</v>
      </c>
      <c r="C49" s="69" t="n">
        <v>1</v>
      </c>
      <c r="D49" s="119" t="s">
        <v>587</v>
      </c>
      <c r="E49" s="99" t="s">
        <v>1010</v>
      </c>
      <c r="F49" s="69" t="s">
        <v>168</v>
      </c>
      <c r="G49" s="99" t="s">
        <v>1011</v>
      </c>
    </row>
    <row r="50" customFormat="false" ht="15" hidden="false" customHeight="false" outlineLevel="0" collapsed="false">
      <c r="A50" s="120"/>
      <c r="B50" s="69"/>
      <c r="C50" s="73" t="n">
        <v>2</v>
      </c>
      <c r="D50" s="118" t="s">
        <v>553</v>
      </c>
      <c r="E50" s="103" t="s">
        <v>792</v>
      </c>
      <c r="F50" s="73" t="s">
        <v>692</v>
      </c>
      <c r="G50" s="103" t="s">
        <v>1012</v>
      </c>
    </row>
    <row r="51" customFormat="false" ht="15" hidden="false" customHeight="false" outlineLevel="0" collapsed="false">
      <c r="A51" s="120"/>
      <c r="B51" s="69"/>
      <c r="C51" s="69" t="n">
        <v>3</v>
      </c>
      <c r="D51" s="119" t="s">
        <v>1013</v>
      </c>
      <c r="E51" s="99" t="s">
        <v>558</v>
      </c>
      <c r="F51" s="69" t="s">
        <v>168</v>
      </c>
      <c r="G51" s="99" t="s">
        <v>1014</v>
      </c>
    </row>
    <row r="52" customFormat="false" ht="15" hidden="false" customHeight="false" outlineLevel="0" collapsed="false">
      <c r="A52" s="120"/>
      <c r="B52" s="69"/>
      <c r="C52" s="73" t="n">
        <v>4</v>
      </c>
      <c r="D52" s="118" t="s">
        <v>562</v>
      </c>
      <c r="E52" s="103" t="s">
        <v>558</v>
      </c>
      <c r="F52" s="73" t="s">
        <v>168</v>
      </c>
      <c r="G52" s="103" t="s">
        <v>1015</v>
      </c>
    </row>
    <row r="53" customFormat="false" ht="15" hidden="false" customHeight="false" outlineLevel="0" collapsed="false">
      <c r="A53" s="120"/>
      <c r="B53" s="69"/>
      <c r="C53" s="69" t="n">
        <v>5</v>
      </c>
      <c r="D53" s="119" t="s">
        <v>644</v>
      </c>
      <c r="E53" s="99" t="s">
        <v>1016</v>
      </c>
      <c r="F53" s="69" t="s">
        <v>1017</v>
      </c>
      <c r="G53" s="99" t="s">
        <v>1018</v>
      </c>
    </row>
    <row r="54" customFormat="false" ht="15" hidden="false" customHeight="false" outlineLevel="0" collapsed="false">
      <c r="A54" s="120"/>
      <c r="B54" s="69"/>
      <c r="C54" s="73" t="n">
        <v>6</v>
      </c>
      <c r="D54" s="118" t="s">
        <v>656</v>
      </c>
      <c r="E54" s="103" t="s">
        <v>1016</v>
      </c>
      <c r="F54" s="73" t="s">
        <v>168</v>
      </c>
      <c r="G54" s="103" t="s">
        <v>1019</v>
      </c>
    </row>
    <row r="55" customFormat="false" ht="15" hidden="false" customHeight="false" outlineLevel="0" collapsed="false">
      <c r="A55" s="120"/>
      <c r="B55" s="69"/>
      <c r="C55" s="69" t="n">
        <v>7</v>
      </c>
      <c r="D55" s="119" t="s">
        <v>636</v>
      </c>
      <c r="E55" s="99" t="s">
        <v>1020</v>
      </c>
      <c r="F55" s="69" t="s">
        <v>168</v>
      </c>
      <c r="G55" s="99" t="s">
        <v>1021</v>
      </c>
    </row>
    <row r="56" customFormat="false" ht="15" hidden="false" customHeight="false" outlineLevel="0" collapsed="false">
      <c r="A56" s="120"/>
      <c r="B56" s="69"/>
      <c r="C56" s="73" t="n">
        <v>8</v>
      </c>
      <c r="D56" s="118" t="s">
        <v>1022</v>
      </c>
      <c r="E56" s="103" t="s">
        <v>776</v>
      </c>
      <c r="F56" s="73" t="s">
        <v>168</v>
      </c>
      <c r="G56" s="103" t="s">
        <v>1023</v>
      </c>
    </row>
    <row r="57" customFormat="false" ht="15" hidden="false" customHeight="true" outlineLevel="0" collapsed="false">
      <c r="A57" s="120" t="s">
        <v>1024</v>
      </c>
      <c r="B57" s="69" t="s">
        <v>1025</v>
      </c>
      <c r="C57" s="69" t="n">
        <v>1</v>
      </c>
      <c r="D57" s="119" t="s">
        <v>600</v>
      </c>
      <c r="E57" s="99" t="s">
        <v>994</v>
      </c>
      <c r="F57" s="69" t="s">
        <v>168</v>
      </c>
      <c r="G57" s="99" t="s">
        <v>168</v>
      </c>
    </row>
    <row r="58" customFormat="false" ht="15" hidden="false" customHeight="false" outlineLevel="0" collapsed="false">
      <c r="A58" s="120"/>
      <c r="B58" s="69"/>
      <c r="C58" s="73" t="n">
        <v>2</v>
      </c>
      <c r="D58" s="118" t="s">
        <v>623</v>
      </c>
      <c r="E58" s="103" t="s">
        <v>996</v>
      </c>
      <c r="F58" s="73" t="s">
        <v>168</v>
      </c>
      <c r="G58" s="103" t="s">
        <v>1026</v>
      </c>
    </row>
    <row r="59" customFormat="false" ht="15" hidden="false" customHeight="false" outlineLevel="0" collapsed="false">
      <c r="A59" s="120"/>
      <c r="B59" s="69"/>
      <c r="C59" s="69" t="n">
        <v>3</v>
      </c>
      <c r="D59" s="119" t="s">
        <v>698</v>
      </c>
      <c r="E59" s="99" t="s">
        <v>969</v>
      </c>
      <c r="F59" s="69" t="s">
        <v>692</v>
      </c>
      <c r="G59" s="99" t="s">
        <v>1027</v>
      </c>
    </row>
    <row r="60" customFormat="false" ht="15" hidden="false" customHeight="false" outlineLevel="0" collapsed="false">
      <c r="A60" s="120"/>
      <c r="B60" s="69"/>
      <c r="C60" s="73" t="n">
        <v>4</v>
      </c>
      <c r="D60" s="118" t="s">
        <v>728</v>
      </c>
      <c r="E60" s="103" t="s">
        <v>1028</v>
      </c>
      <c r="F60" s="73" t="s">
        <v>168</v>
      </c>
      <c r="G60" s="103" t="s">
        <v>1029</v>
      </c>
    </row>
    <row r="61" customFormat="false" ht="15" hidden="false" customHeight="false" outlineLevel="0" collapsed="false">
      <c r="A61" s="120"/>
      <c r="B61" s="69"/>
      <c r="C61" s="69" t="n">
        <v>5</v>
      </c>
      <c r="D61" s="119" t="s">
        <v>1030</v>
      </c>
      <c r="E61" s="99" t="s">
        <v>1002</v>
      </c>
      <c r="F61" s="69" t="s">
        <v>168</v>
      </c>
      <c r="G61" s="99" t="s">
        <v>1031</v>
      </c>
    </row>
    <row r="62" customFormat="false" ht="15" hidden="false" customHeight="false" outlineLevel="0" collapsed="false">
      <c r="A62" s="120"/>
      <c r="B62" s="69"/>
      <c r="C62" s="73" t="n">
        <v>6</v>
      </c>
      <c r="D62" s="118" t="s">
        <v>632</v>
      </c>
      <c r="E62" s="103" t="s">
        <v>1032</v>
      </c>
      <c r="F62" s="73" t="s">
        <v>168</v>
      </c>
      <c r="G62" s="103" t="s">
        <v>1021</v>
      </c>
    </row>
    <row r="63" customFormat="false" ht="15" hidden="false" customHeight="false" outlineLevel="0" collapsed="false">
      <c r="A63" s="120"/>
      <c r="B63" s="69"/>
      <c r="C63" s="69" t="n">
        <v>7</v>
      </c>
      <c r="D63" s="119" t="s">
        <v>664</v>
      </c>
      <c r="E63" s="99" t="s">
        <v>1016</v>
      </c>
      <c r="F63" s="69" t="s">
        <v>168</v>
      </c>
      <c r="G63" s="99" t="s">
        <v>1027</v>
      </c>
    </row>
    <row r="64" customFormat="false" ht="15" hidden="false" customHeight="false" outlineLevel="0" collapsed="false">
      <c r="A64" s="120"/>
      <c r="B64" s="69"/>
      <c r="C64" s="73" t="n">
        <v>8</v>
      </c>
      <c r="D64" s="118" t="s">
        <v>566</v>
      </c>
      <c r="E64" s="103" t="s">
        <v>480</v>
      </c>
      <c r="F64" s="73" t="s">
        <v>168</v>
      </c>
      <c r="G64" s="103" t="s">
        <v>1033</v>
      </c>
    </row>
    <row r="65" customFormat="false" ht="15" hidden="false" customHeight="false" outlineLevel="0" collapsed="false">
      <c r="A65" s="120"/>
      <c r="B65" s="69"/>
      <c r="C65" s="69" t="n">
        <v>9</v>
      </c>
      <c r="D65" s="119" t="s">
        <v>748</v>
      </c>
      <c r="E65" s="99" t="s">
        <v>776</v>
      </c>
      <c r="F65" s="69" t="s">
        <v>168</v>
      </c>
      <c r="G65" s="99" t="s">
        <v>1034</v>
      </c>
    </row>
    <row r="67" customFormat="false" ht="15" hidden="false" customHeight="true" outlineLevel="0" collapsed="false">
      <c r="A67" s="17" t="s">
        <v>1035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</sheetData>
  <mergeCells count="17">
    <mergeCell ref="A1:R1"/>
    <mergeCell ref="A2:R2"/>
    <mergeCell ref="A4:R4"/>
    <mergeCell ref="C5:D5"/>
    <mergeCell ref="F5:R8"/>
    <mergeCell ref="C6:D6"/>
    <mergeCell ref="C7:D7"/>
    <mergeCell ref="C8:D8"/>
    <mergeCell ref="A10:R10"/>
    <mergeCell ref="A40:R40"/>
    <mergeCell ref="A42:A48"/>
    <mergeCell ref="B42:B48"/>
    <mergeCell ref="A49:A56"/>
    <mergeCell ref="B49:B56"/>
    <mergeCell ref="A57:A65"/>
    <mergeCell ref="B57:B65"/>
    <mergeCell ref="A67:R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1" min="9" style="0" width="26"/>
    <col collapsed="false" customWidth="true" hidden="false" outlineLevel="0" max="12" min="12" style="0" width="28"/>
  </cols>
  <sheetData>
    <row r="1" customFormat="false" ht="30" hidden="false" customHeight="true" outlineLevel="0" collapsed="false">
      <c r="A1" s="1" t="s">
        <v>1036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1037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3" t="s">
        <v>1038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7" t="s">
        <v>890</v>
      </c>
      <c r="B5" s="80" t="s">
        <v>905</v>
      </c>
      <c r="C5" s="80"/>
    </row>
    <row r="6" customFormat="false" ht="15" hidden="false" customHeight="false" outlineLevel="0" collapsed="false">
      <c r="A6" s="47" t="s">
        <v>1039</v>
      </c>
      <c r="B6" s="80" t="n">
        <v>34</v>
      </c>
      <c r="C6" s="80"/>
    </row>
    <row r="7" customFormat="false" ht="15" hidden="false" customHeight="false" outlineLevel="0" collapsed="false">
      <c r="A7" s="47" t="s">
        <v>1040</v>
      </c>
      <c r="B7" s="81" t="n">
        <v>46258</v>
      </c>
      <c r="C7" s="81"/>
    </row>
    <row r="8" customFormat="false" ht="15" hidden="false" customHeight="false" outlineLevel="0" collapsed="false">
      <c r="A8" s="47" t="s">
        <v>891</v>
      </c>
      <c r="B8" s="80" t="s">
        <v>900</v>
      </c>
      <c r="C8" s="80"/>
    </row>
    <row r="9" customFormat="false" ht="15" hidden="false" customHeight="false" outlineLevel="0" collapsed="false">
      <c r="A9" s="47" t="s">
        <v>1041</v>
      </c>
      <c r="B9" s="80" t="s">
        <v>1042</v>
      </c>
      <c r="C9" s="80"/>
      <c r="D9" s="80"/>
      <c r="E9" s="80"/>
      <c r="F9" s="80"/>
      <c r="G9" s="80"/>
      <c r="H9" s="80"/>
      <c r="I9" s="80"/>
      <c r="J9" s="80"/>
    </row>
    <row r="11" customFormat="false" ht="19.5" hidden="false" customHeight="true" outlineLevel="0" collapsed="false">
      <c r="A11" s="3" t="s">
        <v>1043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31.5" hidden="false" customHeight="true" outlineLevel="0" collapsed="false">
      <c r="A12" s="25" t="s">
        <v>1044</v>
      </c>
      <c r="B12" s="25" t="s">
        <v>294</v>
      </c>
      <c r="C12" s="25" t="s">
        <v>1045</v>
      </c>
      <c r="D12" s="25" t="s">
        <v>1046</v>
      </c>
      <c r="E12" s="25" t="s">
        <v>1047</v>
      </c>
      <c r="F12" s="25" t="s">
        <v>1048</v>
      </c>
      <c r="G12" s="25" t="s">
        <v>1049</v>
      </c>
      <c r="H12" s="25" t="s">
        <v>897</v>
      </c>
      <c r="I12" s="25" t="s">
        <v>838</v>
      </c>
      <c r="J12" s="25" t="s">
        <v>839</v>
      </c>
      <c r="K12" s="25" t="s">
        <v>1050</v>
      </c>
      <c r="L12" s="25" t="s">
        <v>162</v>
      </c>
    </row>
    <row r="13" customFormat="false" ht="22.35" hidden="false" customHeight="false" outlineLevel="0" collapsed="false">
      <c r="A13" s="121" t="str">
        <f aca="false">IF($B13="","",CHOOSE(WEEKDAY($B13,2),"Segunda-feira","Terça-feira","Quarta-feira","Quinta-feira","Sexta-feira","Sábado","Domingo"))</f>
        <v>Segunda-feira</v>
      </c>
      <c r="B13" s="122" t="n">
        <f aca="false">IF($B$7="","",$B$7+INT((ROW()-13)/2))</f>
        <v>46258</v>
      </c>
      <c r="C13" s="123" t="s">
        <v>1051</v>
      </c>
      <c r="D13" s="124" t="s">
        <v>1052</v>
      </c>
      <c r="E13" s="123" t="s">
        <v>1053</v>
      </c>
      <c r="F13" s="123" t="n">
        <v>75</v>
      </c>
      <c r="G13" s="123" t="n">
        <v>7</v>
      </c>
      <c r="H13" s="125" t="n">
        <f aca="false">IF(OR($F13="",$G13=""),0,$F13*$G13)</f>
        <v>525</v>
      </c>
      <c r="I13" s="124" t="s">
        <v>168</v>
      </c>
      <c r="J13" s="124" t="s">
        <v>168</v>
      </c>
      <c r="K13" s="124" t="s">
        <v>1054</v>
      </c>
      <c r="L13" s="124"/>
    </row>
    <row r="14" customFormat="false" ht="15" hidden="false" customHeight="false" outlineLevel="0" collapsed="false">
      <c r="A14" s="26" t="str">
        <f aca="false">IF($B14="","",CHOOSE(WEEKDAY($B14,2),"Segunda-feira","Terça-feira","Quarta-feira","Quinta-feira","Sexta-feira","Sábado","Domingo"))</f>
        <v>Segunda-feira</v>
      </c>
      <c r="B14" s="31" t="n">
        <f aca="false">IF($B$7="","",$B$7+INT((ROW()-13)/2))</f>
        <v>46258</v>
      </c>
      <c r="C14" s="28" t="s">
        <v>1055</v>
      </c>
      <c r="D14" s="68" t="s">
        <v>1056</v>
      </c>
      <c r="E14" s="28" t="s">
        <v>1057</v>
      </c>
      <c r="F14" s="28" t="n">
        <v>90</v>
      </c>
      <c r="G14" s="28" t="n">
        <v>6</v>
      </c>
      <c r="H14" s="44" t="n">
        <f aca="false">IF(OR($F14="",$G14=""),0,$F14*$G14)</f>
        <v>540</v>
      </c>
      <c r="I14" s="68" t="s">
        <v>1058</v>
      </c>
      <c r="J14" s="68" t="s">
        <v>1059</v>
      </c>
      <c r="K14" s="68" t="s">
        <v>1060</v>
      </c>
      <c r="L14" s="68"/>
    </row>
    <row r="15" customFormat="false" ht="15" hidden="false" customHeight="false" outlineLevel="0" collapsed="false">
      <c r="A15" s="121" t="str">
        <f aca="false">IF($B15="","",CHOOSE(WEEKDAY($B15,2),"Segunda-feira","Terça-feira","Quarta-feira","Quinta-feira","Sexta-feira","Sábado","Domingo"))</f>
        <v>Terça-feira</v>
      </c>
      <c r="B15" s="122" t="n">
        <f aca="false">IF($B$7="","",$B$7+INT((ROW()-13)/2))</f>
        <v>46259</v>
      </c>
      <c r="C15" s="123" t="s">
        <v>1051</v>
      </c>
      <c r="D15" s="124" t="s">
        <v>1061</v>
      </c>
      <c r="E15" s="123" t="s">
        <v>1053</v>
      </c>
      <c r="F15" s="123" t="n">
        <v>60</v>
      </c>
      <c r="G15" s="123" t="n">
        <v>7</v>
      </c>
      <c r="H15" s="125" t="n">
        <f aca="false">IF(OR($F15="",$G15=""),0,$F15*$G15)</f>
        <v>420</v>
      </c>
      <c r="I15" s="124" t="s">
        <v>168</v>
      </c>
      <c r="J15" s="124" t="s">
        <v>168</v>
      </c>
      <c r="K15" s="124" t="s">
        <v>1062</v>
      </c>
      <c r="L15" s="124"/>
    </row>
    <row r="16" customFormat="false" ht="15" hidden="false" customHeight="false" outlineLevel="0" collapsed="false">
      <c r="A16" s="26" t="str">
        <f aca="false">IF($B16="","",CHOOSE(WEEKDAY($B16,2),"Segunda-feira","Terça-feira","Quarta-feira","Quinta-feira","Sexta-feira","Sábado","Domingo"))</f>
        <v>Terça-feira</v>
      </c>
      <c r="B16" s="31" t="n">
        <f aca="false">IF($B$7="","",$B$7+INT((ROW()-13)/2))</f>
        <v>46259</v>
      </c>
      <c r="C16" s="28" t="s">
        <v>1055</v>
      </c>
      <c r="D16" s="68" t="s">
        <v>1056</v>
      </c>
      <c r="E16" s="28" t="s">
        <v>1057</v>
      </c>
      <c r="F16" s="28" t="n">
        <v>90</v>
      </c>
      <c r="G16" s="28" t="n">
        <v>7</v>
      </c>
      <c r="H16" s="44" t="n">
        <f aca="false">IF(OR($F16="",$G16=""),0,$F16*$G16)</f>
        <v>630</v>
      </c>
      <c r="I16" s="68" t="s">
        <v>1063</v>
      </c>
      <c r="J16" s="68" t="s">
        <v>1064</v>
      </c>
      <c r="K16" s="68" t="s">
        <v>1065</v>
      </c>
      <c r="L16" s="68"/>
    </row>
    <row r="17" customFormat="false" ht="15" hidden="false" customHeight="false" outlineLevel="0" collapsed="false">
      <c r="A17" s="121" t="str">
        <f aca="false">IF($B17="","",CHOOSE(WEEKDAY($B17,2),"Segunda-feira","Terça-feira","Quarta-feira","Quinta-feira","Sexta-feira","Sábado","Domingo"))</f>
        <v>Quarta-feira</v>
      </c>
      <c r="B17" s="122" t="n">
        <f aca="false">IF($B$7="","",$B$7+INT((ROW()-13)/2))</f>
        <v>46260</v>
      </c>
      <c r="C17" s="123" t="s">
        <v>1055</v>
      </c>
      <c r="D17" s="124" t="s">
        <v>1066</v>
      </c>
      <c r="E17" s="123" t="s">
        <v>1057</v>
      </c>
      <c r="F17" s="123" t="n">
        <v>100</v>
      </c>
      <c r="G17" s="123" t="n">
        <v>8</v>
      </c>
      <c r="H17" s="125" t="n">
        <f aca="false">IF(OR($F17="",$G17=""),0,$F17*$G17)</f>
        <v>800</v>
      </c>
      <c r="I17" s="124" t="s">
        <v>1067</v>
      </c>
      <c r="J17" s="124" t="s">
        <v>521</v>
      </c>
      <c r="K17" s="124" t="s">
        <v>1068</v>
      </c>
      <c r="L17" s="124"/>
    </row>
    <row r="18" customFormat="false" ht="15" hidden="false" customHeight="false" outlineLevel="0" collapsed="false">
      <c r="A18" s="26" t="str">
        <f aca="false">IF($B18="","",CHOOSE(WEEKDAY($B18,2),"Segunda-feira","Terça-feira","Quarta-feira","Quinta-feira","Sexta-feira","Sábado","Domingo"))</f>
        <v>Quarta-feira</v>
      </c>
      <c r="B18" s="31" t="n">
        <f aca="false">IF($B$7="","",$B$7+INT((ROW()-13)/2))</f>
        <v>46260</v>
      </c>
      <c r="C18" s="28"/>
      <c r="D18" s="68"/>
      <c r="E18" s="28"/>
      <c r="F18" s="28"/>
      <c r="G18" s="28"/>
      <c r="H18" s="44" t="n">
        <f aca="false">IF(OR($F18="",$G18=""),0,$F18*$G18)</f>
        <v>0</v>
      </c>
      <c r="I18" s="68"/>
      <c r="J18" s="68"/>
      <c r="K18" s="68"/>
      <c r="L18" s="68"/>
    </row>
    <row r="19" customFormat="false" ht="15" hidden="false" customHeight="false" outlineLevel="0" collapsed="false">
      <c r="A19" s="121" t="str">
        <f aca="false">IF($B19="","",CHOOSE(WEEKDAY($B19,2),"Segunda-feira","Terça-feira","Quarta-feira","Quinta-feira","Sexta-feira","Sábado","Domingo"))</f>
        <v>Quinta-feira</v>
      </c>
      <c r="B19" s="122" t="n">
        <f aca="false">IF($B$7="","",$B$7+INT((ROW()-13)/2))</f>
        <v>46261</v>
      </c>
      <c r="C19" s="123" t="s">
        <v>1051</v>
      </c>
      <c r="D19" s="124" t="s">
        <v>1069</v>
      </c>
      <c r="E19" s="123" t="s">
        <v>1070</v>
      </c>
      <c r="F19" s="123" t="n">
        <v>50</v>
      </c>
      <c r="G19" s="123" t="n">
        <v>6</v>
      </c>
      <c r="H19" s="125" t="n">
        <f aca="false">IF(OR($F19="",$G19=""),0,$F19*$G19)</f>
        <v>300</v>
      </c>
      <c r="I19" s="124" t="s">
        <v>168</v>
      </c>
      <c r="J19" s="124" t="s">
        <v>168</v>
      </c>
      <c r="K19" s="124" t="s">
        <v>1071</v>
      </c>
      <c r="L19" s="124"/>
    </row>
    <row r="20" customFormat="false" ht="15" hidden="false" customHeight="false" outlineLevel="0" collapsed="false">
      <c r="A20" s="26" t="str">
        <f aca="false">IF($B20="","",CHOOSE(WEEKDAY($B20,2),"Segunda-feira","Terça-feira","Quarta-feira","Quinta-feira","Sexta-feira","Sábado","Domingo"))</f>
        <v>Quinta-feira</v>
      </c>
      <c r="B20" s="31" t="n">
        <f aca="false">IF($B$7="","",$B$7+INT((ROW()-13)/2))</f>
        <v>46261</v>
      </c>
      <c r="C20" s="28" t="s">
        <v>1055</v>
      </c>
      <c r="D20" s="68" t="s">
        <v>1056</v>
      </c>
      <c r="E20" s="28" t="s">
        <v>1057</v>
      </c>
      <c r="F20" s="28" t="n">
        <v>90</v>
      </c>
      <c r="G20" s="28" t="n">
        <v>7</v>
      </c>
      <c r="H20" s="44" t="n">
        <f aca="false">IF(OR($F20="",$G20=""),0,$F20*$G20)</f>
        <v>630</v>
      </c>
      <c r="I20" s="68" t="s">
        <v>1072</v>
      </c>
      <c r="J20" s="68" t="s">
        <v>1073</v>
      </c>
      <c r="K20" s="68" t="s">
        <v>1074</v>
      </c>
      <c r="L20" s="68"/>
    </row>
    <row r="21" customFormat="false" ht="15" hidden="false" customHeight="false" outlineLevel="0" collapsed="false">
      <c r="A21" s="121" t="str">
        <f aca="false">IF($B21="","",CHOOSE(WEEKDAY($B21,2),"Segunda-feira","Terça-feira","Quarta-feira","Quinta-feira","Sexta-feira","Sábado","Domingo"))</f>
        <v>Sexta-feira</v>
      </c>
      <c r="B21" s="122" t="n">
        <f aca="false">IF($B$7="","",$B$7+INT((ROW()-13)/2))</f>
        <v>46262</v>
      </c>
      <c r="C21" s="123" t="s">
        <v>1055</v>
      </c>
      <c r="D21" s="124" t="s">
        <v>1066</v>
      </c>
      <c r="E21" s="123" t="s">
        <v>1057</v>
      </c>
      <c r="F21" s="123" t="n">
        <v>110</v>
      </c>
      <c r="G21" s="123" t="n">
        <v>8</v>
      </c>
      <c r="H21" s="125" t="n">
        <f aca="false">IF(OR($F21="",$G21=""),0,$F21*$G21)</f>
        <v>880</v>
      </c>
      <c r="I21" s="124" t="s">
        <v>1075</v>
      </c>
      <c r="J21" s="124" t="s">
        <v>871</v>
      </c>
      <c r="K21" s="124" t="s">
        <v>1076</v>
      </c>
      <c r="L21" s="124"/>
    </row>
    <row r="22" customFormat="false" ht="15" hidden="false" customHeight="false" outlineLevel="0" collapsed="false">
      <c r="A22" s="26" t="str">
        <f aca="false">IF($B22="","",CHOOSE(WEEKDAY($B22,2),"Segunda-feira","Terça-feira","Quarta-feira","Quinta-feira","Sexta-feira","Sábado","Domingo"))</f>
        <v>Sexta-feira</v>
      </c>
      <c r="B22" s="31" t="n">
        <f aca="false">IF($B$7="","",$B$7+INT((ROW()-13)/2))</f>
        <v>46262</v>
      </c>
      <c r="C22" s="28"/>
      <c r="D22" s="68"/>
      <c r="E22" s="28"/>
      <c r="F22" s="28"/>
      <c r="G22" s="28"/>
      <c r="H22" s="44" t="n">
        <f aca="false">IF(OR($F22="",$G22=""),0,$F22*$G22)</f>
        <v>0</v>
      </c>
      <c r="I22" s="68"/>
      <c r="J22" s="68"/>
      <c r="K22" s="68"/>
      <c r="L22" s="68"/>
    </row>
    <row r="23" customFormat="false" ht="15" hidden="false" customHeight="false" outlineLevel="0" collapsed="false">
      <c r="A23" s="121" t="str">
        <f aca="false">IF($B23="","",CHOOSE(WEEKDAY($B23,2),"Segunda-feira","Terça-feira","Quarta-feira","Quinta-feira","Sexta-feira","Sábado","Domingo"))</f>
        <v>Sábado</v>
      </c>
      <c r="B23" s="122" t="n">
        <f aca="false">IF($B$7="","",$B$7+INT((ROW()-13)/2))</f>
        <v>46263</v>
      </c>
      <c r="C23" s="123" t="s">
        <v>1051</v>
      </c>
      <c r="D23" s="124" t="s">
        <v>1077</v>
      </c>
      <c r="E23" s="123" t="s">
        <v>1078</v>
      </c>
      <c r="F23" s="123" t="n">
        <v>50</v>
      </c>
      <c r="G23" s="123" t="n">
        <v>3</v>
      </c>
      <c r="H23" s="125" t="n">
        <f aca="false">IF(OR($F23="",$G23=""),0,$F23*$G23)</f>
        <v>150</v>
      </c>
      <c r="I23" s="124" t="s">
        <v>1079</v>
      </c>
      <c r="J23" s="124" t="s">
        <v>1080</v>
      </c>
      <c r="K23" s="124" t="s">
        <v>1081</v>
      </c>
      <c r="L23" s="124"/>
    </row>
    <row r="24" customFormat="false" ht="15" hidden="false" customHeight="false" outlineLevel="0" collapsed="false">
      <c r="A24" s="26" t="str">
        <f aca="false">IF($B24="","",CHOOSE(WEEKDAY($B24,2),"Segunda-feira","Terça-feira","Quarta-feira","Quinta-feira","Sexta-feira","Sábado","Domingo"))</f>
        <v>Sábado</v>
      </c>
      <c r="B24" s="31" t="n">
        <f aca="false">IF($B$7="","",$B$7+INT((ROW()-13)/2))</f>
        <v>46263</v>
      </c>
      <c r="C24" s="28"/>
      <c r="D24" s="68"/>
      <c r="E24" s="28"/>
      <c r="F24" s="28"/>
      <c r="G24" s="28"/>
      <c r="H24" s="44" t="n">
        <f aca="false">IF(OR($F24="",$G24=""),0,$F24*$G24)</f>
        <v>0</v>
      </c>
      <c r="I24" s="68"/>
      <c r="J24" s="68"/>
      <c r="K24" s="68"/>
      <c r="L24" s="68"/>
    </row>
    <row r="25" customFormat="false" ht="15" hidden="false" customHeight="false" outlineLevel="0" collapsed="false">
      <c r="A25" s="121" t="str">
        <f aca="false">IF($B25="","",CHOOSE(WEEKDAY($B25,2),"Segunda-feira","Terça-feira","Quarta-feira","Quinta-feira","Sexta-feira","Sábado","Domingo"))</f>
        <v>Domingo</v>
      </c>
      <c r="B25" s="122" t="n">
        <f aca="false">IF($B$7="","",$B$7+INT((ROW()-13)/2))</f>
        <v>46264</v>
      </c>
      <c r="C25" s="123" t="s">
        <v>1051</v>
      </c>
      <c r="D25" s="124" t="s">
        <v>1082</v>
      </c>
      <c r="E25" s="123" t="s">
        <v>168</v>
      </c>
      <c r="F25" s="123" t="n">
        <v>0</v>
      </c>
      <c r="G25" s="123" t="n">
        <v>0</v>
      </c>
      <c r="H25" s="125" t="n">
        <f aca="false">IF(OR($F25="",$G25=""),0,$F25*$G25)</f>
        <v>0</v>
      </c>
      <c r="I25" s="124" t="s">
        <v>168</v>
      </c>
      <c r="J25" s="124" t="s">
        <v>168</v>
      </c>
      <c r="K25" s="124" t="s">
        <v>1083</v>
      </c>
      <c r="L25" s="124"/>
    </row>
    <row r="26" customFormat="false" ht="15" hidden="false" customHeight="false" outlineLevel="0" collapsed="false">
      <c r="A26" s="26" t="str">
        <f aca="false">IF($B26="","",CHOOSE(WEEKDAY($B26,2),"Segunda-feira","Terça-feira","Quarta-feira","Quinta-feira","Sexta-feira","Sábado","Domingo"))</f>
        <v>Domingo</v>
      </c>
      <c r="B26" s="31" t="n">
        <f aca="false">IF($B$7="","",$B$7+INT((ROW()-13)/2))</f>
        <v>46264</v>
      </c>
      <c r="C26" s="28"/>
      <c r="D26" s="68"/>
      <c r="E26" s="28"/>
      <c r="F26" s="28"/>
      <c r="G26" s="28"/>
      <c r="H26" s="44" t="n">
        <f aca="false">IF(OR($F26="",$G26=""),0,$F26*$G26)</f>
        <v>0</v>
      </c>
      <c r="I26" s="68"/>
      <c r="J26" s="68"/>
      <c r="K26" s="68"/>
      <c r="L26" s="68"/>
    </row>
    <row r="27" customFormat="false" ht="15" hidden="false" customHeight="false" outlineLevel="0" collapsed="false">
      <c r="A27" s="84" t="s">
        <v>1084</v>
      </c>
      <c r="B27" s="83"/>
      <c r="C27" s="83"/>
      <c r="D27" s="83"/>
      <c r="E27" s="83"/>
      <c r="F27" s="87" t="n">
        <f aca="false">SUM(F13:F26)</f>
        <v>715</v>
      </c>
      <c r="G27" s="126" t="n">
        <f aca="false">IFERROR(AVERAGE(G13:G26),"")</f>
        <v>5.9</v>
      </c>
      <c r="H27" s="87" t="n">
        <f aca="false">SUM(H13:H26)</f>
        <v>4875</v>
      </c>
      <c r="I27" s="83"/>
      <c r="J27" s="83"/>
      <c r="K27" s="83"/>
      <c r="L27" s="83"/>
    </row>
    <row r="29" customFormat="false" ht="19.5" hidden="false" customHeight="true" outlineLevel="0" collapsed="false">
      <c r="A29" s="3" t="s">
        <v>1085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25.5" hidden="false" customHeight="true" outlineLevel="0" collapsed="false">
      <c r="A30" s="127" t="s">
        <v>1086</v>
      </c>
      <c r="B30" s="127"/>
      <c r="C30" s="127" t="s">
        <v>1087</v>
      </c>
      <c r="D30" s="127"/>
      <c r="E30" s="128" t="s">
        <v>1088</v>
      </c>
      <c r="F30" s="128"/>
      <c r="G30" s="128" t="s">
        <v>1089</v>
      </c>
      <c r="H30" s="128"/>
      <c r="I30" s="128"/>
      <c r="J30" s="127" t="s">
        <v>1090</v>
      </c>
      <c r="K30" s="127"/>
      <c r="L30" s="127"/>
    </row>
    <row r="31" customFormat="false" ht="30" hidden="false" customHeight="true" outlineLevel="0" collapsed="false">
      <c r="A31" s="129" t="n">
        <f aca="false">COUNTA(D13:D26)</f>
        <v>10</v>
      </c>
      <c r="B31" s="129"/>
      <c r="C31" s="130" t="n">
        <f aca="false">SUM(F13:F26)</f>
        <v>715</v>
      </c>
      <c r="D31" s="130"/>
      <c r="E31" s="131" t="n">
        <f aca="false">SUM(H13:H26)</f>
        <v>4875</v>
      </c>
      <c r="F31" s="131"/>
      <c r="G31" s="131" t="n">
        <f aca="false">IFERROR(SUMIFS('Carga (PSE)'!$G$8:$G$1007,'Carga (PSE)'!$B$8:$B$1007,$B$6)/MAX(1,COUNTIF(Cadastro!$BL$8:$BL$47,"Ativo")),0)</f>
        <v>3825.90909090909</v>
      </c>
      <c r="H31" s="131"/>
      <c r="I31" s="131"/>
      <c r="J31" s="132" t="n">
        <f aca="false">IFERROR(G31/H27,0)</f>
        <v>0.784801864801865</v>
      </c>
      <c r="K31" s="132"/>
      <c r="L31" s="132"/>
    </row>
    <row r="34" customFormat="false" ht="19.5" hidden="false" customHeight="true" outlineLevel="0" collapsed="false">
      <c r="A34" s="3" t="s">
        <v>1091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31.5" hidden="false" customHeight="true" outlineLevel="0" collapsed="false">
      <c r="A35" s="25" t="s">
        <v>989</v>
      </c>
      <c r="B35" s="25" t="s">
        <v>429</v>
      </c>
      <c r="C35" s="25" t="s">
        <v>513</v>
      </c>
      <c r="D35" s="25" t="s">
        <v>536</v>
      </c>
      <c r="E35" s="25" t="s">
        <v>1092</v>
      </c>
      <c r="F35" s="25" t="s">
        <v>607</v>
      </c>
      <c r="G35" s="25" t="s">
        <v>1093</v>
      </c>
      <c r="H35" s="25" t="s">
        <v>1094</v>
      </c>
    </row>
    <row r="36" customFormat="false" ht="15" hidden="false" customHeight="false" outlineLevel="0" collapsed="false">
      <c r="A36" s="37" t="str">
        <f aca="false">IF($A13="","",$A13)</f>
        <v>Segunda-feira</v>
      </c>
      <c r="B36" s="46" t="n">
        <v>60</v>
      </c>
      <c r="C36" s="46" t="n">
        <v>30</v>
      </c>
      <c r="D36" s="46" t="n">
        <v>45</v>
      </c>
      <c r="E36" s="46" t="n">
        <v>15</v>
      </c>
      <c r="F36" s="46" t="n">
        <v>10</v>
      </c>
      <c r="G36" s="44" t="n">
        <f aca="false">SUM(B36:F36)</f>
        <v>160</v>
      </c>
      <c r="H36" s="95" t="n">
        <f aca="false">IFERROR($G36/$G$43,0)</f>
        <v>0.17877094972067</v>
      </c>
    </row>
    <row r="37" customFormat="false" ht="15" hidden="false" customHeight="false" outlineLevel="0" collapsed="false">
      <c r="A37" s="37" t="str">
        <f aca="false">IF($A15="","",$A15)</f>
        <v>Terça-feira</v>
      </c>
      <c r="B37" s="46" t="n">
        <v>50</v>
      </c>
      <c r="C37" s="46" t="n">
        <v>20</v>
      </c>
      <c r="D37" s="46" t="n">
        <v>70</v>
      </c>
      <c r="E37" s="46" t="n">
        <v>15</v>
      </c>
      <c r="F37" s="46" t="n">
        <v>10</v>
      </c>
      <c r="G37" s="44" t="n">
        <f aca="false">SUM(B37:F37)</f>
        <v>165</v>
      </c>
      <c r="H37" s="95" t="n">
        <f aca="false">IFERROR($G37/$G$43,0)</f>
        <v>0.184357541899441</v>
      </c>
    </row>
    <row r="38" customFormat="false" ht="15" hidden="false" customHeight="false" outlineLevel="0" collapsed="false">
      <c r="A38" s="37" t="str">
        <f aca="false">IF($A17="","",$A17)</f>
        <v>Quarta-feira</v>
      </c>
      <c r="B38" s="46" t="n">
        <v>60</v>
      </c>
      <c r="C38" s="46" t="n">
        <v>40</v>
      </c>
      <c r="D38" s="46" t="n">
        <v>30</v>
      </c>
      <c r="E38" s="46" t="n">
        <v>15</v>
      </c>
      <c r="F38" s="46" t="n">
        <v>10</v>
      </c>
      <c r="G38" s="44" t="n">
        <f aca="false">SUM(B38:F38)</f>
        <v>155</v>
      </c>
      <c r="H38" s="95" t="n">
        <f aca="false">IFERROR($G38/$G$43,0)</f>
        <v>0.173184357541899</v>
      </c>
    </row>
    <row r="39" customFormat="false" ht="15" hidden="false" customHeight="false" outlineLevel="0" collapsed="false">
      <c r="A39" s="37" t="str">
        <f aca="false">IF($A19="","",$A19)</f>
        <v>Quinta-feira</v>
      </c>
      <c r="B39" s="46" t="n">
        <v>45</v>
      </c>
      <c r="C39" s="46" t="n">
        <v>35</v>
      </c>
      <c r="D39" s="46" t="n">
        <v>60</v>
      </c>
      <c r="E39" s="46" t="n">
        <v>15</v>
      </c>
      <c r="F39" s="46" t="n">
        <v>10</v>
      </c>
      <c r="G39" s="44" t="n">
        <f aca="false">SUM(B39:F39)</f>
        <v>165</v>
      </c>
      <c r="H39" s="95" t="n">
        <f aca="false">IFERROR($G39/$G$43,0)</f>
        <v>0.184357541899441</v>
      </c>
    </row>
    <row r="40" customFormat="false" ht="15" hidden="false" customHeight="false" outlineLevel="0" collapsed="false">
      <c r="A40" s="37" t="str">
        <f aca="false">IF($A21="","",$A21)</f>
        <v>Sexta-feira</v>
      </c>
      <c r="B40" s="46" t="n">
        <v>70</v>
      </c>
      <c r="C40" s="46" t="n">
        <v>50</v>
      </c>
      <c r="D40" s="46" t="n">
        <v>20</v>
      </c>
      <c r="E40" s="46" t="n">
        <v>15</v>
      </c>
      <c r="F40" s="46" t="n">
        <v>15</v>
      </c>
      <c r="G40" s="44" t="n">
        <f aca="false">SUM(B40:F40)</f>
        <v>170</v>
      </c>
      <c r="H40" s="95" t="n">
        <f aca="false">IFERROR($G40/$G$43,0)</f>
        <v>0.189944134078212</v>
      </c>
    </row>
    <row r="41" customFormat="false" ht="15" hidden="false" customHeight="false" outlineLevel="0" collapsed="false">
      <c r="A41" s="37" t="str">
        <f aca="false">IF($A23="","",$A23)</f>
        <v>Sábado</v>
      </c>
      <c r="B41" s="46" t="n">
        <v>30</v>
      </c>
      <c r="C41" s="46" t="n">
        <v>20</v>
      </c>
      <c r="D41" s="46" t="n">
        <v>0</v>
      </c>
      <c r="E41" s="46" t="n">
        <v>10</v>
      </c>
      <c r="F41" s="46" t="n">
        <v>20</v>
      </c>
      <c r="G41" s="44" t="n">
        <f aca="false">SUM(B41:F41)</f>
        <v>80</v>
      </c>
      <c r="H41" s="95" t="n">
        <f aca="false">IFERROR($G41/$G$43,0)</f>
        <v>0.0893854748603352</v>
      </c>
    </row>
    <row r="42" customFormat="false" ht="15" hidden="false" customHeight="false" outlineLevel="0" collapsed="false">
      <c r="A42" s="37" t="str">
        <f aca="false">IF($A25="","",$A25)</f>
        <v>Domingo</v>
      </c>
      <c r="B42" s="46" t="n">
        <v>0</v>
      </c>
      <c r="C42" s="46" t="n">
        <v>0</v>
      </c>
      <c r="D42" s="46" t="n">
        <v>0</v>
      </c>
      <c r="E42" s="46" t="n">
        <v>0</v>
      </c>
      <c r="F42" s="46" t="n">
        <v>0</v>
      </c>
      <c r="G42" s="44" t="n">
        <f aca="false">SUM(B42:F42)</f>
        <v>0</v>
      </c>
      <c r="H42" s="95" t="n">
        <f aca="false">IFERROR($G42/$G$43,0)</f>
        <v>0</v>
      </c>
    </row>
    <row r="43" customFormat="false" ht="15" hidden="false" customHeight="false" outlineLevel="0" collapsed="false">
      <c r="A43" s="84" t="s">
        <v>986</v>
      </c>
      <c r="B43" s="87" t="n">
        <f aca="false">SUM(B36:B42)</f>
        <v>315</v>
      </c>
      <c r="C43" s="87" t="n">
        <f aca="false">SUM(C36:C42)</f>
        <v>195</v>
      </c>
      <c r="D43" s="87" t="n">
        <f aca="false">SUM(D36:D42)</f>
        <v>225</v>
      </c>
      <c r="E43" s="87" t="n">
        <f aca="false">SUM(E36:E42)</f>
        <v>85</v>
      </c>
      <c r="F43" s="87" t="n">
        <f aca="false">SUM(F36:F42)</f>
        <v>75</v>
      </c>
      <c r="G43" s="87" t="n">
        <f aca="false">SUM(G36:G42)</f>
        <v>895</v>
      </c>
      <c r="H43" s="86" t="n">
        <f aca="false">IFERROR(SUM(H36:H42),0)</f>
        <v>1</v>
      </c>
    </row>
  </sheetData>
  <mergeCells count="21">
    <mergeCell ref="A1:L1"/>
    <mergeCell ref="A2:L2"/>
    <mergeCell ref="A4:L4"/>
    <mergeCell ref="B5:C5"/>
    <mergeCell ref="B6:C6"/>
    <mergeCell ref="B7:C7"/>
    <mergeCell ref="B8:C8"/>
    <mergeCell ref="B9:J9"/>
    <mergeCell ref="A11:L11"/>
    <mergeCell ref="A29:L29"/>
    <mergeCell ref="A30:B30"/>
    <mergeCell ref="C30:D30"/>
    <mergeCell ref="E30:F30"/>
    <mergeCell ref="G30:I30"/>
    <mergeCell ref="J30:L30"/>
    <mergeCell ref="A31:B31"/>
    <mergeCell ref="C31:D31"/>
    <mergeCell ref="E31:F31"/>
    <mergeCell ref="G31:I31"/>
    <mergeCell ref="J31:L31"/>
    <mergeCell ref="A34:L34"/>
  </mergeCells>
  <dataValidations count="4">
    <dataValidation allowBlank="true" errorStyle="stop" operator="between" showDropDown="false" showErrorMessage="false" showInputMessage="false" sqref="B8" type="list">
      <formula1>Listas!$G$5:$G$16</formula1>
      <formula2>0</formula2>
    </dataValidation>
    <dataValidation allowBlank="true" errorStyle="stop" operator="between" showDropDown="false" showErrorMessage="false" showInputMessage="false" sqref="C13:C26" type="list">
      <formula1>Listas!$X$5:$X$16</formula1>
      <formula2>0</formula2>
    </dataValidation>
    <dataValidation allowBlank="true" errorStyle="stop" operator="between" showDropDown="false" showErrorMessage="false" showInputMessage="false" sqref="D13:D26" type="list">
      <formula1>Listas!$Q$5:$Q$16</formula1>
      <formula2>0</formula2>
    </dataValidation>
    <dataValidation allowBlank="true" errorStyle="stop" operator="between" showDropDown="false" showErrorMessage="false" showInputMessage="false" sqref="G13:G26" type="list">
      <formula1>Listas!$N$5:$N$16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U5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8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7" min="16" style="0" width="9"/>
    <col collapsed="false" customWidth="true" hidden="false" outlineLevel="0" max="18" min="18" style="0" width="13"/>
    <col collapsed="false" customWidth="true" hidden="false" outlineLevel="0" max="19" min="19" style="0" width="26"/>
    <col collapsed="false" customWidth="true" hidden="false" outlineLevel="0" max="20" min="20" style="0" width="24"/>
    <col collapsed="false" customWidth="true" hidden="true" outlineLevel="0" max="21" min="21" style="0" width="6"/>
  </cols>
  <sheetData>
    <row r="1" customFormat="false" ht="30" hidden="false" customHeight="true" outlineLevel="0" collapsed="false">
      <c r="A1" s="1" t="s">
        <v>1095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1096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9.5" hidden="false" customHeight="true" outlineLevel="0" collapsed="false">
      <c r="A3" s="3" t="s">
        <v>1097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5.5" hidden="false" customHeight="true" outlineLevel="0" collapsed="false">
      <c r="A4" s="47" t="s">
        <v>1098</v>
      </c>
      <c r="B4" s="81" t="n">
        <v>46265</v>
      </c>
      <c r="C4" s="81"/>
      <c r="E4" s="127" t="s">
        <v>1099</v>
      </c>
      <c r="F4" s="127"/>
      <c r="G4" s="127" t="s">
        <v>1087</v>
      </c>
      <c r="H4" s="127"/>
      <c r="I4" s="128" t="s">
        <v>1088</v>
      </c>
      <c r="J4" s="128"/>
      <c r="K4" s="128" t="s">
        <v>1100</v>
      </c>
      <c r="L4" s="128"/>
      <c r="M4" s="133" t="s">
        <v>1101</v>
      </c>
      <c r="N4" s="133"/>
      <c r="O4" s="133" t="s">
        <v>1102</v>
      </c>
      <c r="P4" s="133"/>
      <c r="Q4" s="133" t="s">
        <v>1103</v>
      </c>
      <c r="R4" s="133"/>
      <c r="S4" s="133" t="s">
        <v>1104</v>
      </c>
      <c r="T4" s="133"/>
    </row>
    <row r="5" customFormat="false" ht="30" hidden="false" customHeight="true" outlineLevel="0" collapsed="false">
      <c r="E5" s="129" t="n">
        <f aca="false">COUNTIFS($A$8:$A$507,$B$4)</f>
        <v>12</v>
      </c>
      <c r="F5" s="129"/>
      <c r="G5" s="130" t="n">
        <f aca="false">SUMIFS($O$8:$O$507,$A$8:$A$507,$B$4)</f>
        <v>198</v>
      </c>
      <c r="H5" s="130"/>
      <c r="I5" s="131" t="n">
        <f aca="false">SUMIFS($R$8:$R$507,$A$8:$A$507,$B$4)</f>
        <v>1182</v>
      </c>
      <c r="J5" s="131"/>
      <c r="K5" s="134" t="n">
        <f aca="false">IFERROR(AVERAGEIFS($P$8:$P$507,$A$8:$A$507,$B$4),0)</f>
        <v>5.5</v>
      </c>
      <c r="L5" s="134"/>
      <c r="M5" s="135" t="n">
        <f aca="false">SUMIFS($O$8:$O$507,$A$8:$A$507,$B$4,$H$8:$H$507,"Técnico")</f>
        <v>65</v>
      </c>
      <c r="N5" s="135"/>
      <c r="O5" s="135" t="n">
        <f aca="false">SUMIFS($O$8:$O$507,$A$8:$A$507,$B$4,$H$8:$H$507,"Tático")</f>
        <v>25</v>
      </c>
      <c r="P5" s="135"/>
      <c r="Q5" s="135" t="n">
        <f aca="false">SUMIFS($O$8:$O$507,$A$8:$A$507,$B$4,$H$8:$H$507,"Físico")</f>
        <v>63</v>
      </c>
      <c r="R5" s="135"/>
      <c r="S5" s="135" t="n">
        <f aca="false">SUMIFS($O$8:$O$507,$A$8:$A$507,$B$4,$H$8:$H$507,"Preventivo/Compensatório")</f>
        <v>30</v>
      </c>
      <c r="T5" s="135"/>
    </row>
    <row r="6" customFormat="false" ht="15" hidden="false" customHeight="true" outlineLevel="0" collapsed="false">
      <c r="A6" s="17" t="s">
        <v>1105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customFormat="false" ht="31.5" hidden="false" customHeight="true" outlineLevel="0" collapsed="false">
      <c r="A7" s="25" t="s">
        <v>294</v>
      </c>
      <c r="B7" s="25" t="s">
        <v>922</v>
      </c>
      <c r="C7" s="25" t="s">
        <v>988</v>
      </c>
      <c r="D7" s="25" t="s">
        <v>1045</v>
      </c>
      <c r="E7" s="25" t="s">
        <v>1106</v>
      </c>
      <c r="F7" s="25" t="s">
        <v>766</v>
      </c>
      <c r="G7" s="25" t="s">
        <v>416</v>
      </c>
      <c r="H7" s="25" t="s">
        <v>108</v>
      </c>
      <c r="I7" s="25" t="s">
        <v>417</v>
      </c>
      <c r="J7" s="25" t="s">
        <v>418</v>
      </c>
      <c r="K7" s="25" t="s">
        <v>1107</v>
      </c>
      <c r="L7" s="25" t="s">
        <v>1108</v>
      </c>
      <c r="M7" s="25" t="s">
        <v>1109</v>
      </c>
      <c r="N7" s="25" t="s">
        <v>1110</v>
      </c>
      <c r="O7" s="25" t="s">
        <v>1048</v>
      </c>
      <c r="P7" s="25" t="s">
        <v>1111</v>
      </c>
      <c r="Q7" s="25" t="s">
        <v>1112</v>
      </c>
      <c r="R7" s="25" t="s">
        <v>1113</v>
      </c>
      <c r="S7" s="25" t="s">
        <v>1114</v>
      </c>
      <c r="T7" s="25" t="s">
        <v>162</v>
      </c>
      <c r="U7" s="25" t="s">
        <v>1115</v>
      </c>
    </row>
    <row r="8" customFormat="false" ht="15" hidden="false" customHeight="false" outlineLevel="0" collapsed="false">
      <c r="A8" s="29" t="n">
        <v>46265</v>
      </c>
      <c r="B8" s="40" t="n">
        <f aca="false">IF($A8="",0,INT(($A8-Macrociclo!$C$11)/7)+1)</f>
        <v>35</v>
      </c>
      <c r="C8" s="28" t="s">
        <v>1116</v>
      </c>
      <c r="D8" s="28" t="s">
        <v>1051</v>
      </c>
      <c r="E8" s="27" t="s">
        <v>1117</v>
      </c>
      <c r="F8" s="28" t="s">
        <v>994</v>
      </c>
      <c r="G8" s="27" t="s">
        <v>600</v>
      </c>
      <c r="H8" s="26" t="str">
        <f aca="false">IFERROR(INDEX(Exercícios!$C$7:$C$206,MATCH($G8,Exercícios!$B$7:$B$206,0)),"")</f>
        <v>Preventivo/Compensatório</v>
      </c>
      <c r="I8" s="26" t="str">
        <f aca="false">IFERROR(INDEX(Exercícios!$D$7:$D$206,MATCH($G8,Exercícios!$B$7:$B$206,0)),"")</f>
        <v>N/A</v>
      </c>
      <c r="J8" s="26" t="str">
        <f aca="false">IFERROR(INDEX(Exercícios!$E$7:$E$206,MATCH($G8,Exercícios!$B$7:$B$206,0)),"")</f>
        <v>Mobilidade/Flexibilidade</v>
      </c>
      <c r="K8" s="28" t="n">
        <v>1</v>
      </c>
      <c r="L8" s="28" t="s">
        <v>1118</v>
      </c>
      <c r="M8" s="27" t="s">
        <v>1119</v>
      </c>
      <c r="N8" s="28" t="n">
        <v>30</v>
      </c>
      <c r="O8" s="28" t="n">
        <v>10</v>
      </c>
      <c r="P8" s="28" t="n">
        <v>2</v>
      </c>
      <c r="Q8" s="26" t="str">
        <f aca="false">IFERROR($K8*$L8,"")</f>
        <v/>
      </c>
      <c r="R8" s="44" t="n">
        <f aca="false">IF(OR($O8="",$P8=""),0,$O8*$P8)</f>
        <v>20</v>
      </c>
      <c r="S8" s="27" t="s">
        <v>1120</v>
      </c>
      <c r="T8" s="27" t="s">
        <v>373</v>
      </c>
      <c r="U8" s="40" t="n">
        <f aca="false">IF($A8="",0,IF(AND(OR($E8=Atleta!$C$4,$E8="Equipe (todos)"),$A8&gt;=Atleta!$C$5),MAX($U$7:U7)+1,0))</f>
        <v>1</v>
      </c>
    </row>
    <row r="9" customFormat="false" ht="15" hidden="false" customHeight="false" outlineLevel="0" collapsed="false">
      <c r="A9" s="29" t="n">
        <v>46265</v>
      </c>
      <c r="B9" s="40" t="n">
        <f aca="false">IF($A9="",0,INT(($A9-Macrociclo!$C$11)/7)+1)</f>
        <v>35</v>
      </c>
      <c r="C9" s="28" t="s">
        <v>1116</v>
      </c>
      <c r="D9" s="28" t="s">
        <v>1051</v>
      </c>
      <c r="E9" s="27" t="s">
        <v>1117</v>
      </c>
      <c r="F9" s="28" t="s">
        <v>1121</v>
      </c>
      <c r="G9" s="27" t="s">
        <v>587</v>
      </c>
      <c r="H9" s="26" t="str">
        <f aca="false">IFERROR(INDEX(Exercícios!$C$7:$C$206,MATCH($G9,Exercícios!$B$7:$B$206,0)),"")</f>
        <v>Preventivo/Compensatório</v>
      </c>
      <c r="I9" s="26" t="str">
        <f aca="false">IFERROR(INDEX(Exercícios!$D$7:$D$206,MATCH($G9,Exercícios!$B$7:$B$206,0)),"")</f>
        <v>N/A</v>
      </c>
      <c r="J9" s="26" t="str">
        <f aca="false">IFERROR(INDEX(Exercícios!$E$7:$E$206,MATCH($G9,Exercícios!$B$7:$B$206,0)),"")</f>
        <v>Core/Estabilidade</v>
      </c>
      <c r="K9" s="28" t="n">
        <v>3</v>
      </c>
      <c r="L9" s="28" t="n">
        <v>15</v>
      </c>
      <c r="M9" s="27" t="s">
        <v>1122</v>
      </c>
      <c r="N9" s="28" t="n">
        <v>45</v>
      </c>
      <c r="O9" s="28" t="n">
        <v>10</v>
      </c>
      <c r="P9" s="28" t="n">
        <v>3</v>
      </c>
      <c r="Q9" s="26" t="n">
        <f aca="false">IFERROR($K9*$L9,"")</f>
        <v>45</v>
      </c>
      <c r="R9" s="44" t="n">
        <f aca="false">IF(OR($O9="",$P9=""),0,$O9*$P9)</f>
        <v>30</v>
      </c>
      <c r="S9" s="27" t="s">
        <v>1123</v>
      </c>
      <c r="T9" s="27" t="s">
        <v>373</v>
      </c>
      <c r="U9" s="40" t="n">
        <f aca="false">IF($A9="",0,IF(AND(OR($E9=Atleta!$C$4,$E9="Equipe (todos)"),$A9&gt;=Atleta!$C$5),MAX($U$7:U8)+1,0))</f>
        <v>2</v>
      </c>
    </row>
    <row r="10" customFormat="false" ht="15" hidden="false" customHeight="false" outlineLevel="0" collapsed="false">
      <c r="A10" s="29" t="n">
        <v>46265</v>
      </c>
      <c r="B10" s="40" t="n">
        <f aca="false">IF($A10="",0,INT(($A10-Macrociclo!$C$11)/7)+1)</f>
        <v>35</v>
      </c>
      <c r="C10" s="28" t="s">
        <v>1116</v>
      </c>
      <c r="D10" s="28" t="s">
        <v>1051</v>
      </c>
      <c r="E10" s="27" t="s">
        <v>1117</v>
      </c>
      <c r="F10" s="28" t="s">
        <v>1124</v>
      </c>
      <c r="G10" s="27" t="s">
        <v>688</v>
      </c>
      <c r="H10" s="26" t="str">
        <f aca="false">IFERROR(INDEX(Exercícios!$C$7:$C$206,MATCH($G10,Exercícios!$B$7:$B$206,0)),"")</f>
        <v>Físico</v>
      </c>
      <c r="I10" s="26" t="str">
        <f aca="false">IFERROR(INDEX(Exercícios!$D$7:$D$206,MATCH($G10,Exercícios!$B$7:$B$206,0)),"")</f>
        <v>N/A</v>
      </c>
      <c r="J10" s="26" t="str">
        <f aca="false">IFERROR(INDEX(Exercícios!$E$7:$E$206,MATCH($G10,Exercícios!$B$7:$B$206,0)),"")</f>
        <v>Força Máxima</v>
      </c>
      <c r="K10" s="28" t="n">
        <v>4</v>
      </c>
      <c r="L10" s="28" t="n">
        <v>6</v>
      </c>
      <c r="M10" s="27" t="s">
        <v>1125</v>
      </c>
      <c r="N10" s="28" t="n">
        <v>180</v>
      </c>
      <c r="O10" s="28" t="n">
        <v>25</v>
      </c>
      <c r="P10" s="28" t="n">
        <v>8</v>
      </c>
      <c r="Q10" s="26" t="n">
        <f aca="false">IFERROR($K10*$L10,"")</f>
        <v>24</v>
      </c>
      <c r="R10" s="44" t="n">
        <f aca="false">IF(OR($O10="",$P10=""),0,$O10*$P10)</f>
        <v>200</v>
      </c>
      <c r="S10" s="27" t="s">
        <v>1126</v>
      </c>
      <c r="T10" s="27" t="s">
        <v>373</v>
      </c>
      <c r="U10" s="40" t="n">
        <f aca="false">IF($A10="",0,IF(AND(OR($E10=Atleta!$C$4,$E10="Equipe (todos)"),$A10&gt;=Atleta!$C$5),MAX($U$7:U9)+1,0))</f>
        <v>3</v>
      </c>
    </row>
    <row r="11" customFormat="false" ht="15" hidden="false" customHeight="false" outlineLevel="0" collapsed="false">
      <c r="A11" s="29" t="n">
        <v>46265</v>
      </c>
      <c r="B11" s="40" t="n">
        <f aca="false">IF($A11="",0,INT(($A11-Macrociclo!$C$11)/7)+1)</f>
        <v>35</v>
      </c>
      <c r="C11" s="28" t="s">
        <v>1116</v>
      </c>
      <c r="D11" s="28" t="s">
        <v>1051</v>
      </c>
      <c r="E11" s="27" t="s">
        <v>1117</v>
      </c>
      <c r="F11" s="28" t="s">
        <v>1124</v>
      </c>
      <c r="G11" s="27" t="s">
        <v>701</v>
      </c>
      <c r="H11" s="26" t="str">
        <f aca="false">IFERROR(INDEX(Exercícios!$C$7:$C$206,MATCH($G11,Exercícios!$B$7:$B$206,0)),"")</f>
        <v>Físico</v>
      </c>
      <c r="I11" s="26" t="str">
        <f aca="false">IFERROR(INDEX(Exercícios!$D$7:$D$206,MATCH($G11,Exercícios!$B$7:$B$206,0)),"")</f>
        <v>N/A</v>
      </c>
      <c r="J11" s="26" t="str">
        <f aca="false">IFERROR(INDEX(Exercícios!$E$7:$E$206,MATCH($G11,Exercícios!$B$7:$B$206,0)),"")</f>
        <v>Força Máxima</v>
      </c>
      <c r="K11" s="28" t="n">
        <v>4</v>
      </c>
      <c r="L11" s="28" t="n">
        <v>8</v>
      </c>
      <c r="M11" s="27" t="s">
        <v>1127</v>
      </c>
      <c r="N11" s="28" t="n">
        <v>120</v>
      </c>
      <c r="O11" s="28" t="n">
        <v>18</v>
      </c>
      <c r="P11" s="28" t="n">
        <v>7</v>
      </c>
      <c r="Q11" s="26" t="n">
        <f aca="false">IFERROR($K11*$L11,"")</f>
        <v>32</v>
      </c>
      <c r="R11" s="44" t="n">
        <f aca="false">IF(OR($O11="",$P11=""),0,$O11*$P11)</f>
        <v>126</v>
      </c>
      <c r="S11" s="27" t="s">
        <v>1128</v>
      </c>
      <c r="T11" s="27" t="s">
        <v>373</v>
      </c>
      <c r="U11" s="40" t="n">
        <f aca="false">IF($A11="",0,IF(AND(OR($E11=Atleta!$C$4,$E11="Equipe (todos)"),$A11&gt;=Atleta!$C$5),MAX($U$7:U10)+1,0))</f>
        <v>4</v>
      </c>
    </row>
    <row r="12" customFormat="false" ht="15" hidden="false" customHeight="false" outlineLevel="0" collapsed="false">
      <c r="A12" s="29" t="n">
        <v>46265</v>
      </c>
      <c r="B12" s="40" t="n">
        <f aca="false">IF($A12="",0,INT(($A12-Macrociclo!$C$11)/7)+1)</f>
        <v>35</v>
      </c>
      <c r="C12" s="28" t="s">
        <v>1116</v>
      </c>
      <c r="D12" s="28" t="s">
        <v>1051</v>
      </c>
      <c r="E12" s="27" t="s">
        <v>1117</v>
      </c>
      <c r="F12" s="28" t="s">
        <v>1124</v>
      </c>
      <c r="G12" s="27" t="s">
        <v>616</v>
      </c>
      <c r="H12" s="26" t="str">
        <f aca="false">IFERROR(INDEX(Exercícios!$C$7:$C$206,MATCH($G12,Exercícios!$B$7:$B$206,0)),"")</f>
        <v>Físico</v>
      </c>
      <c r="I12" s="26" t="str">
        <f aca="false">IFERROR(INDEX(Exercícios!$D$7:$D$206,MATCH($G12,Exercícios!$B$7:$B$206,0)),"")</f>
        <v>N/A</v>
      </c>
      <c r="J12" s="26" t="str">
        <f aca="false">IFERROR(INDEX(Exercícios!$E$7:$E$206,MATCH($G12,Exercícios!$B$7:$B$206,0)),"")</f>
        <v>Força Explosiva/Potência</v>
      </c>
      <c r="K12" s="28" t="n">
        <v>4</v>
      </c>
      <c r="L12" s="28" t="n">
        <v>4</v>
      </c>
      <c r="M12" s="27" t="s">
        <v>1129</v>
      </c>
      <c r="N12" s="28" t="n">
        <v>180</v>
      </c>
      <c r="O12" s="28" t="n">
        <v>20</v>
      </c>
      <c r="P12" s="28" t="n">
        <v>8</v>
      </c>
      <c r="Q12" s="26" t="n">
        <f aca="false">IFERROR($K12*$L12,"")</f>
        <v>16</v>
      </c>
      <c r="R12" s="44" t="n">
        <f aca="false">IF(OR($O12="",$P12=""),0,$O12*$P12)</f>
        <v>160</v>
      </c>
      <c r="S12" s="27" t="s">
        <v>1130</v>
      </c>
      <c r="T12" s="27" t="s">
        <v>373</v>
      </c>
      <c r="U12" s="40" t="n">
        <f aca="false">IF($A12="",0,IF(AND(OR($E12=Atleta!$C$4,$E12="Equipe (todos)"),$A12&gt;=Atleta!$C$5),MAX($U$7:U11)+1,0))</f>
        <v>5</v>
      </c>
    </row>
    <row r="13" customFormat="false" ht="15" hidden="false" customHeight="false" outlineLevel="0" collapsed="false">
      <c r="A13" s="29" t="n">
        <v>46265</v>
      </c>
      <c r="B13" s="40" t="n">
        <f aca="false">IF($A13="",0,INT(($A13-Macrociclo!$C$11)/7)+1)</f>
        <v>35</v>
      </c>
      <c r="C13" s="28" t="s">
        <v>1116</v>
      </c>
      <c r="D13" s="28" t="s">
        <v>1051</v>
      </c>
      <c r="E13" s="27" t="s">
        <v>1117</v>
      </c>
      <c r="F13" s="28" t="s">
        <v>1131</v>
      </c>
      <c r="G13" s="27" t="s">
        <v>592</v>
      </c>
      <c r="H13" s="26" t="str">
        <f aca="false">IFERROR(INDEX(Exercícios!$C$7:$C$206,MATCH($G13,Exercícios!$B$7:$B$206,0)),"")</f>
        <v>Preventivo/Compensatório</v>
      </c>
      <c r="I13" s="26" t="str">
        <f aca="false">IFERROR(INDEX(Exercícios!$D$7:$D$206,MATCH($G13,Exercícios!$B$7:$B$206,0)),"")</f>
        <v>N/A</v>
      </c>
      <c r="J13" s="26" t="str">
        <f aca="false">IFERROR(INDEX(Exercícios!$E$7:$E$206,MATCH($G13,Exercícios!$B$7:$B$206,0)),"")</f>
        <v>Força Máxima</v>
      </c>
      <c r="K13" s="28" t="n">
        <v>3</v>
      </c>
      <c r="L13" s="28" t="n">
        <v>6</v>
      </c>
      <c r="M13" s="27" t="s">
        <v>1119</v>
      </c>
      <c r="N13" s="28" t="n">
        <v>90</v>
      </c>
      <c r="O13" s="28" t="n">
        <v>10</v>
      </c>
      <c r="P13" s="28" t="n">
        <v>6</v>
      </c>
      <c r="Q13" s="26" t="n">
        <f aca="false">IFERROR($K13*$L13,"")</f>
        <v>18</v>
      </c>
      <c r="R13" s="44" t="n">
        <f aca="false">IF(OR($O13="",$P13=""),0,$O13*$P13)</f>
        <v>60</v>
      </c>
      <c r="S13" s="27" t="s">
        <v>1132</v>
      </c>
      <c r="T13" s="27" t="s">
        <v>373</v>
      </c>
      <c r="U13" s="40" t="n">
        <f aca="false">IF($A13="",0,IF(AND(OR($E13=Atleta!$C$4,$E13="Equipe (todos)"),$A13&gt;=Atleta!$C$5),MAX($U$7:U12)+1,0))</f>
        <v>6</v>
      </c>
    </row>
    <row r="14" customFormat="false" ht="15" hidden="false" customHeight="false" outlineLevel="0" collapsed="false">
      <c r="A14" s="29" t="n">
        <v>46265</v>
      </c>
      <c r="B14" s="40" t="n">
        <f aca="false">IF($A14="",0,INT(($A14-Macrociclo!$C$11)/7)+1)</f>
        <v>35</v>
      </c>
      <c r="C14" s="28" t="s">
        <v>1116</v>
      </c>
      <c r="D14" s="28" t="s">
        <v>1051</v>
      </c>
      <c r="E14" s="27" t="s">
        <v>1117</v>
      </c>
      <c r="F14" s="28" t="s">
        <v>1133</v>
      </c>
      <c r="G14" s="27" t="s">
        <v>606</v>
      </c>
      <c r="H14" s="26" t="str">
        <f aca="false">IFERROR(INDEX(Exercícios!$C$7:$C$206,MATCH($G14,Exercícios!$B$7:$B$206,0)),"")</f>
        <v>Recuperação</v>
      </c>
      <c r="I14" s="26" t="str">
        <f aca="false">IFERROR(INDEX(Exercícios!$D$7:$D$206,MATCH($G14,Exercícios!$B$7:$B$206,0)),"")</f>
        <v>N/A</v>
      </c>
      <c r="J14" s="26" t="str">
        <f aca="false">IFERROR(INDEX(Exercícios!$E$7:$E$206,MATCH($G14,Exercícios!$B$7:$B$206,0)),"")</f>
        <v>Mobilidade/Flexibilidade</v>
      </c>
      <c r="K14" s="28" t="n">
        <v>1</v>
      </c>
      <c r="L14" s="28" t="s">
        <v>1134</v>
      </c>
      <c r="M14" s="27" t="s">
        <v>1135</v>
      </c>
      <c r="N14" s="28" t="n">
        <v>0</v>
      </c>
      <c r="O14" s="28" t="n">
        <v>15</v>
      </c>
      <c r="P14" s="28" t="n">
        <v>2</v>
      </c>
      <c r="Q14" s="26" t="str">
        <f aca="false">IFERROR($K14*$L14,"")</f>
        <v/>
      </c>
      <c r="R14" s="44" t="n">
        <f aca="false">IF(OR($O14="",$P14=""),0,$O14*$P14)</f>
        <v>30</v>
      </c>
      <c r="S14" s="27" t="s">
        <v>168</v>
      </c>
      <c r="T14" s="27" t="s">
        <v>373</v>
      </c>
      <c r="U14" s="40" t="n">
        <f aca="false">IF($A14="",0,IF(AND(OR($E14=Atleta!$C$4,$E14="Equipe (todos)"),$A14&gt;=Atleta!$C$5),MAX($U$7:U13)+1,0))</f>
        <v>7</v>
      </c>
    </row>
    <row r="15" customFormat="false" ht="15" hidden="false" customHeight="false" outlineLevel="0" collapsed="false">
      <c r="A15" s="29" t="n">
        <v>46265</v>
      </c>
      <c r="B15" s="40" t="n">
        <f aca="false">IF($A15="",0,INT(($A15-Macrociclo!$C$11)/7)+1)</f>
        <v>35</v>
      </c>
      <c r="C15" s="28" t="s">
        <v>1136</v>
      </c>
      <c r="D15" s="28" t="s">
        <v>1055</v>
      </c>
      <c r="E15" s="27" t="s">
        <v>1117</v>
      </c>
      <c r="F15" s="28" t="s">
        <v>994</v>
      </c>
      <c r="G15" s="27" t="s">
        <v>449</v>
      </c>
      <c r="H15" s="26" t="str">
        <f aca="false">IFERROR(INDEX(Exercícios!$C$7:$C$206,MATCH($G15,Exercícios!$B$7:$B$206,0)),"")</f>
        <v>Técnico</v>
      </c>
      <c r="I15" s="26" t="str">
        <f aca="false">IFERROR(INDEX(Exercícios!$D$7:$D$206,MATCH($G15,Exercícios!$B$7:$B$206,0)),"")</f>
        <v>Recepção (Passe)</v>
      </c>
      <c r="J15" s="26" t="str">
        <f aca="false">IFERROR(INDEX(Exercícios!$E$7:$E$206,MATCH($G15,Exercícios!$B$7:$B$206,0)),"")</f>
        <v>Coordenação</v>
      </c>
      <c r="K15" s="28" t="n">
        <v>3</v>
      </c>
      <c r="L15" s="28" t="n">
        <v>15</v>
      </c>
      <c r="M15" s="27" t="s">
        <v>1137</v>
      </c>
      <c r="N15" s="28" t="n">
        <v>30</v>
      </c>
      <c r="O15" s="28" t="n">
        <v>12</v>
      </c>
      <c r="P15" s="28" t="n">
        <v>4</v>
      </c>
      <c r="Q15" s="26" t="n">
        <f aca="false">IFERROR($K15*$L15,"")</f>
        <v>45</v>
      </c>
      <c r="R15" s="44" t="n">
        <f aca="false">IF(OR($O15="",$P15=""),0,$O15*$P15)</f>
        <v>48</v>
      </c>
      <c r="S15" s="27" t="s">
        <v>1138</v>
      </c>
      <c r="T15" s="27" t="s">
        <v>373</v>
      </c>
      <c r="U15" s="40" t="n">
        <f aca="false">IF($A15="",0,IF(AND(OR($E15=Atleta!$C$4,$E15="Equipe (todos)"),$A15&gt;=Atleta!$C$5),MAX($U$7:U14)+1,0))</f>
        <v>8</v>
      </c>
    </row>
    <row r="16" customFormat="false" ht="15" hidden="false" customHeight="false" outlineLevel="0" collapsed="false">
      <c r="A16" s="29" t="n">
        <v>46265</v>
      </c>
      <c r="B16" s="40" t="n">
        <f aca="false">IF($A16="",0,INT(($A16-Macrociclo!$C$11)/7)+1)</f>
        <v>35</v>
      </c>
      <c r="C16" s="28" t="s">
        <v>1136</v>
      </c>
      <c r="D16" s="28" t="s">
        <v>1055</v>
      </c>
      <c r="E16" s="27" t="s">
        <v>1117</v>
      </c>
      <c r="F16" s="28" t="s">
        <v>1124</v>
      </c>
      <c r="G16" s="27" t="s">
        <v>454</v>
      </c>
      <c r="H16" s="26" t="str">
        <f aca="false">IFERROR(INDEX(Exercícios!$C$7:$C$206,MATCH($G16,Exercícios!$B$7:$B$206,0)),"")</f>
        <v>Técnico</v>
      </c>
      <c r="I16" s="26" t="str">
        <f aca="false">IFERROR(INDEX(Exercícios!$D$7:$D$206,MATCH($G16,Exercícios!$B$7:$B$206,0)),"")</f>
        <v>Recepção (Passe)</v>
      </c>
      <c r="J16" s="26" t="str">
        <f aca="false">IFERROR(INDEX(Exercícios!$E$7:$E$206,MATCH($G16,Exercícios!$B$7:$B$206,0)),"")</f>
        <v>Coordenação</v>
      </c>
      <c r="K16" s="28" t="n">
        <v>4</v>
      </c>
      <c r="L16" s="28" t="n">
        <v>20</v>
      </c>
      <c r="M16" s="27" t="s">
        <v>1139</v>
      </c>
      <c r="N16" s="28" t="n">
        <v>60</v>
      </c>
      <c r="O16" s="28" t="n">
        <v>20</v>
      </c>
      <c r="P16" s="28" t="n">
        <v>6</v>
      </c>
      <c r="Q16" s="26" t="n">
        <f aca="false">IFERROR($K16*$L16,"")</f>
        <v>80</v>
      </c>
      <c r="R16" s="44" t="n">
        <f aca="false">IF(OR($O16="",$P16=""),0,$O16*$P16)</f>
        <v>120</v>
      </c>
      <c r="S16" s="27" t="s">
        <v>1140</v>
      </c>
      <c r="T16" s="27" t="s">
        <v>373</v>
      </c>
      <c r="U16" s="40" t="n">
        <f aca="false">IF($A16="",0,IF(AND(OR($E16=Atleta!$C$4,$E16="Equipe (todos)"),$A16&gt;=Atleta!$C$5),MAX($U$7:U15)+1,0))</f>
        <v>9</v>
      </c>
    </row>
    <row r="17" customFormat="false" ht="15" hidden="false" customHeight="false" outlineLevel="0" collapsed="false">
      <c r="A17" s="29" t="n">
        <v>46265</v>
      </c>
      <c r="B17" s="40" t="n">
        <f aca="false">IF($A17="",0,INT(($A17-Macrociclo!$C$11)/7)+1)</f>
        <v>35</v>
      </c>
      <c r="C17" s="28" t="s">
        <v>1136</v>
      </c>
      <c r="D17" s="28" t="s">
        <v>1055</v>
      </c>
      <c r="E17" s="27" t="s">
        <v>1117</v>
      </c>
      <c r="F17" s="28" t="s">
        <v>1124</v>
      </c>
      <c r="G17" s="27" t="s">
        <v>475</v>
      </c>
      <c r="H17" s="26" t="str">
        <f aca="false">IFERROR(INDEX(Exercícios!$C$7:$C$206,MATCH($G17,Exercícios!$B$7:$B$206,0)),"")</f>
        <v>Técnico</v>
      </c>
      <c r="I17" s="26" t="str">
        <f aca="false">IFERROR(INDEX(Exercícios!$D$7:$D$206,MATCH($G17,Exercícios!$B$7:$B$206,0)),"")</f>
        <v>Ataque</v>
      </c>
      <c r="J17" s="26" t="str">
        <f aca="false">IFERROR(INDEX(Exercícios!$E$7:$E$206,MATCH($G17,Exercícios!$B$7:$B$206,0)),"")</f>
        <v>Força Explosiva/Potência</v>
      </c>
      <c r="K17" s="28" t="n">
        <v>4</v>
      </c>
      <c r="L17" s="28" t="n">
        <v>10</v>
      </c>
      <c r="M17" s="27" t="s">
        <v>1141</v>
      </c>
      <c r="N17" s="28" t="n">
        <v>60</v>
      </c>
      <c r="O17" s="28" t="n">
        <v>18</v>
      </c>
      <c r="P17" s="28" t="n">
        <v>6</v>
      </c>
      <c r="Q17" s="26" t="n">
        <f aca="false">IFERROR($K17*$L17,"")</f>
        <v>40</v>
      </c>
      <c r="R17" s="44" t="n">
        <f aca="false">IF(OR($O17="",$P17=""),0,$O17*$P17)</f>
        <v>108</v>
      </c>
      <c r="S17" s="27" t="s">
        <v>1142</v>
      </c>
      <c r="T17" s="27" t="s">
        <v>373</v>
      </c>
      <c r="U17" s="40" t="n">
        <f aca="false">IF($A17="",0,IF(AND(OR($E17=Atleta!$C$4,$E17="Equipe (todos)"),$A17&gt;=Atleta!$C$5),MAX($U$7:U16)+1,0))</f>
        <v>10</v>
      </c>
    </row>
    <row r="18" customFormat="false" ht="15" hidden="false" customHeight="false" outlineLevel="0" collapsed="false">
      <c r="A18" s="29" t="n">
        <v>46265</v>
      </c>
      <c r="B18" s="40" t="n">
        <f aca="false">IF($A18="",0,INT(($A18-Macrociclo!$C$11)/7)+1)</f>
        <v>35</v>
      </c>
      <c r="C18" s="28" t="s">
        <v>1136</v>
      </c>
      <c r="D18" s="28" t="s">
        <v>1055</v>
      </c>
      <c r="E18" s="27" t="s">
        <v>1117</v>
      </c>
      <c r="F18" s="28" t="s">
        <v>1124</v>
      </c>
      <c r="G18" s="27" t="s">
        <v>512</v>
      </c>
      <c r="H18" s="26" t="str">
        <f aca="false">IFERROR(INDEX(Exercícios!$C$7:$C$206,MATCH($G18,Exercícios!$B$7:$B$206,0)),"")</f>
        <v>Tático</v>
      </c>
      <c r="I18" s="26" t="str">
        <f aca="false">IFERROR(INDEX(Exercícios!$D$7:$D$206,MATCH($G18,Exercícios!$B$7:$B$206,0)),"")</f>
        <v>Jogo/Coletivo</v>
      </c>
      <c r="J18" s="26" t="str">
        <f aca="false">IFERROR(INDEX(Exercícios!$E$7:$E$206,MATCH($G18,Exercícios!$B$7:$B$206,0)),"")</f>
        <v>N/A</v>
      </c>
      <c r="K18" s="28" t="n">
        <v>1</v>
      </c>
      <c r="L18" s="28" t="s">
        <v>1143</v>
      </c>
      <c r="M18" s="27" t="s">
        <v>1144</v>
      </c>
      <c r="N18" s="28" t="n">
        <v>90</v>
      </c>
      <c r="O18" s="28" t="n">
        <v>25</v>
      </c>
      <c r="P18" s="28" t="n">
        <v>7</v>
      </c>
      <c r="Q18" s="26" t="str">
        <f aca="false">IFERROR($K18*$L18,"")</f>
        <v/>
      </c>
      <c r="R18" s="44" t="n">
        <f aca="false">IF(OR($O18="",$P18=""),0,$O18*$P18)</f>
        <v>175</v>
      </c>
      <c r="S18" s="27" t="s">
        <v>1145</v>
      </c>
      <c r="T18" s="27" t="s">
        <v>373</v>
      </c>
      <c r="U18" s="40" t="n">
        <f aca="false">IF($A18="",0,IF(AND(OR($E18=Atleta!$C$4,$E18="Equipe (todos)"),$A18&gt;=Atleta!$C$5),MAX($U$7:U17)+1,0))</f>
        <v>11</v>
      </c>
    </row>
    <row r="19" customFormat="false" ht="15" hidden="false" customHeight="false" outlineLevel="0" collapsed="false">
      <c r="A19" s="29" t="n">
        <v>46265</v>
      </c>
      <c r="B19" s="40" t="n">
        <f aca="false">IF($A19="",0,INT(($A19-Macrociclo!$C$11)/7)+1)</f>
        <v>35</v>
      </c>
      <c r="C19" s="28" t="s">
        <v>1136</v>
      </c>
      <c r="D19" s="28" t="s">
        <v>1055</v>
      </c>
      <c r="E19" s="27" t="s">
        <v>206</v>
      </c>
      <c r="F19" s="28" t="s">
        <v>1131</v>
      </c>
      <c r="G19" s="27" t="s">
        <v>443</v>
      </c>
      <c r="H19" s="26" t="str">
        <f aca="false">IFERROR(INDEX(Exercícios!$C$7:$C$206,MATCH($G19,Exercícios!$B$7:$B$206,0)),"")</f>
        <v>Técnico</v>
      </c>
      <c r="I19" s="26" t="str">
        <f aca="false">IFERROR(INDEX(Exercícios!$D$7:$D$206,MATCH($G19,Exercícios!$B$7:$B$206,0)),"")</f>
        <v>Saque</v>
      </c>
      <c r="J19" s="26" t="str">
        <f aca="false">IFERROR(INDEX(Exercícios!$E$7:$E$206,MATCH($G19,Exercícios!$B$7:$B$206,0)),"")</f>
        <v>Força Explosiva/Potência</v>
      </c>
      <c r="K19" s="28" t="n">
        <v>4</v>
      </c>
      <c r="L19" s="28" t="n">
        <v>6</v>
      </c>
      <c r="M19" s="27" t="s">
        <v>1146</v>
      </c>
      <c r="N19" s="28" t="n">
        <v>90</v>
      </c>
      <c r="O19" s="28" t="n">
        <v>15</v>
      </c>
      <c r="P19" s="28" t="n">
        <v>7</v>
      </c>
      <c r="Q19" s="26" t="n">
        <f aca="false">IFERROR($K19*$L19,"")</f>
        <v>24</v>
      </c>
      <c r="R19" s="44" t="n">
        <f aca="false">IF(OR($O19="",$P19=""),0,$O19*$P19)</f>
        <v>105</v>
      </c>
      <c r="S19" s="27" t="s">
        <v>1147</v>
      </c>
      <c r="T19" s="27" t="s">
        <v>1148</v>
      </c>
      <c r="U19" s="40" t="n">
        <f aca="false">IF($A19="",0,IF(AND(OR($E19=Atleta!$C$4,$E19="Equipe (todos)"),$A19&gt;=Atleta!$C$5),MAX($U$7:U18)+1,0))</f>
        <v>0</v>
      </c>
    </row>
    <row r="20" customFormat="false" ht="15" hidden="false" customHeight="false" outlineLevel="0" collapsed="false">
      <c r="A20" s="29" t="n">
        <v>46267</v>
      </c>
      <c r="B20" s="40" t="n">
        <f aca="false">IF($A20="",0,INT(($A20-Macrociclo!$C$11)/7)+1)</f>
        <v>35</v>
      </c>
      <c r="C20" s="28" t="s">
        <v>1149</v>
      </c>
      <c r="D20" s="28" t="s">
        <v>1051</v>
      </c>
      <c r="E20" s="27" t="s">
        <v>1117</v>
      </c>
      <c r="F20" s="28" t="s">
        <v>1124</v>
      </c>
      <c r="G20" s="27" t="s">
        <v>553</v>
      </c>
      <c r="H20" s="26" t="str">
        <f aca="false">IFERROR(INDEX(Exercícios!$C$7:$C$206,MATCH($G20,Exercícios!$B$7:$B$206,0)),"")</f>
        <v>Físico</v>
      </c>
      <c r="I20" s="26" t="str">
        <f aca="false">IFERROR(INDEX(Exercícios!$D$7:$D$206,MATCH($G20,Exercícios!$B$7:$B$206,0)),"")</f>
        <v>N/A</v>
      </c>
      <c r="J20" s="26" t="str">
        <f aca="false">IFERROR(INDEX(Exercícios!$E$7:$E$206,MATCH($G20,Exercícios!$B$7:$B$206,0)),"")</f>
        <v>Força Explosiva/Potência</v>
      </c>
      <c r="K20" s="28" t="n">
        <v>5</v>
      </c>
      <c r="L20" s="28" t="n">
        <v>4</v>
      </c>
      <c r="M20" s="27" t="s">
        <v>1150</v>
      </c>
      <c r="N20" s="28" t="n">
        <v>120</v>
      </c>
      <c r="O20" s="28" t="n">
        <v>18</v>
      </c>
      <c r="P20" s="28" t="n">
        <v>7</v>
      </c>
      <c r="Q20" s="26" t="n">
        <f aca="false">IFERROR($K20*$L20,"")</f>
        <v>20</v>
      </c>
      <c r="R20" s="44" t="n">
        <f aca="false">IF(OR($O20="",$P20=""),0,$O20*$P20)</f>
        <v>126</v>
      </c>
      <c r="S20" s="27" t="s">
        <v>1151</v>
      </c>
      <c r="T20" s="27" t="s">
        <v>373</v>
      </c>
      <c r="U20" s="40" t="n">
        <f aca="false">IF($A20="",0,IF(AND(OR($E20=Atleta!$C$4,$E20="Equipe (todos)"),$A20&gt;=Atleta!$C$5),MAX($U$7:U19)+1,0))</f>
        <v>12</v>
      </c>
    </row>
    <row r="21" customFormat="false" ht="15" hidden="false" customHeight="false" outlineLevel="0" collapsed="false">
      <c r="A21" s="29" t="n">
        <v>46267</v>
      </c>
      <c r="B21" s="40" t="n">
        <f aca="false">IF($A21="",0,INT(($A21-Macrociclo!$C$11)/7)+1)</f>
        <v>35</v>
      </c>
      <c r="C21" s="28" t="s">
        <v>1149</v>
      </c>
      <c r="D21" s="28" t="s">
        <v>1051</v>
      </c>
      <c r="E21" s="27" t="s">
        <v>1117</v>
      </c>
      <c r="F21" s="28" t="s">
        <v>1124</v>
      </c>
      <c r="G21" s="27" t="s">
        <v>557</v>
      </c>
      <c r="H21" s="26" t="str">
        <f aca="false">IFERROR(INDEX(Exercícios!$C$7:$C$206,MATCH($G21,Exercícios!$B$7:$B$206,0)),"")</f>
        <v>Físico</v>
      </c>
      <c r="I21" s="26" t="str">
        <f aca="false">IFERROR(INDEX(Exercícios!$D$7:$D$206,MATCH($G21,Exercícios!$B$7:$B$206,0)),"")</f>
        <v>N/A</v>
      </c>
      <c r="J21" s="26" t="str">
        <f aca="false">IFERROR(INDEX(Exercícios!$E$7:$E$206,MATCH($G21,Exercícios!$B$7:$B$206,0)),"")</f>
        <v>Pliometria</v>
      </c>
      <c r="K21" s="28" t="n">
        <v>5</v>
      </c>
      <c r="L21" s="28" t="n">
        <v>5</v>
      </c>
      <c r="M21" s="27" t="s">
        <v>1152</v>
      </c>
      <c r="N21" s="28" t="n">
        <v>120</v>
      </c>
      <c r="O21" s="28" t="n">
        <v>15</v>
      </c>
      <c r="P21" s="28" t="n">
        <v>7</v>
      </c>
      <c r="Q21" s="26" t="n">
        <f aca="false">IFERROR($K21*$L21,"")</f>
        <v>25</v>
      </c>
      <c r="R21" s="44" t="n">
        <f aca="false">IF(OR($O21="",$P21=""),0,$O21*$P21)</f>
        <v>105</v>
      </c>
      <c r="S21" s="27" t="s">
        <v>1153</v>
      </c>
      <c r="T21" s="27" t="s">
        <v>373</v>
      </c>
      <c r="U21" s="40" t="n">
        <f aca="false">IF($A21="",0,IF(AND(OR($E21=Atleta!$C$4,$E21="Equipe (todos)"),$A21&gt;=Atleta!$C$5),MAX($U$7:U20)+1,0))</f>
        <v>13</v>
      </c>
    </row>
    <row r="22" customFormat="false" ht="15" hidden="false" customHeight="false" outlineLevel="0" collapsed="false">
      <c r="A22" s="29" t="n">
        <v>46267</v>
      </c>
      <c r="B22" s="40" t="n">
        <f aca="false">IF($A22="",0,INT(($A22-Macrociclo!$C$11)/7)+1)</f>
        <v>35</v>
      </c>
      <c r="C22" s="28" t="s">
        <v>1154</v>
      </c>
      <c r="D22" s="28" t="s">
        <v>1055</v>
      </c>
      <c r="E22" s="27" t="s">
        <v>1117</v>
      </c>
      <c r="F22" s="28" t="s">
        <v>1124</v>
      </c>
      <c r="G22" s="27" t="s">
        <v>518</v>
      </c>
      <c r="H22" s="26" t="str">
        <f aca="false">IFERROR(INDEX(Exercícios!$C$7:$C$206,MATCH($G22,Exercícios!$B$7:$B$206,0)),"")</f>
        <v>Tático</v>
      </c>
      <c r="I22" s="26" t="str">
        <f aca="false">IFERROR(INDEX(Exercícios!$D$7:$D$206,MATCH($G22,Exercícios!$B$7:$B$206,0)),"")</f>
        <v>Jogo/Coletivo</v>
      </c>
      <c r="J22" s="26" t="str">
        <f aca="false">IFERROR(INDEX(Exercícios!$E$7:$E$206,MATCH($G22,Exercícios!$B$7:$B$206,0)),"")</f>
        <v>N/A</v>
      </c>
      <c r="K22" s="28" t="n">
        <v>1</v>
      </c>
      <c r="L22" s="28" t="s">
        <v>1155</v>
      </c>
      <c r="M22" s="27" t="s">
        <v>1144</v>
      </c>
      <c r="N22" s="28" t="n">
        <v>60</v>
      </c>
      <c r="O22" s="28" t="n">
        <v>25</v>
      </c>
      <c r="P22" s="28" t="n">
        <v>7</v>
      </c>
      <c r="Q22" s="26" t="str">
        <f aca="false">IFERROR($K22*$L22,"")</f>
        <v/>
      </c>
      <c r="R22" s="44" t="n">
        <f aca="false">IF(OR($O22="",$P22=""),0,$O22*$P22)</f>
        <v>175</v>
      </c>
      <c r="S22" s="27" t="s">
        <v>1156</v>
      </c>
      <c r="T22" s="27" t="s">
        <v>373</v>
      </c>
      <c r="U22" s="40" t="n">
        <f aca="false">IF($A22="",0,IF(AND(OR($E22=Atleta!$C$4,$E22="Equipe (todos)"),$A22&gt;=Atleta!$C$5),MAX($U$7:U21)+1,0))</f>
        <v>14</v>
      </c>
    </row>
    <row r="23" customFormat="false" ht="15" hidden="false" customHeight="false" outlineLevel="0" collapsed="false">
      <c r="A23" s="29" t="n">
        <v>46267</v>
      </c>
      <c r="B23" s="40" t="n">
        <f aca="false">IF($A23="",0,INT(($A23-Macrociclo!$C$11)/7)+1)</f>
        <v>35</v>
      </c>
      <c r="C23" s="28" t="s">
        <v>1154</v>
      </c>
      <c r="D23" s="28" t="s">
        <v>1055</v>
      </c>
      <c r="E23" s="27" t="s">
        <v>1117</v>
      </c>
      <c r="F23" s="28" t="s">
        <v>1124</v>
      </c>
      <c r="G23" s="27" t="s">
        <v>521</v>
      </c>
      <c r="H23" s="26" t="str">
        <f aca="false">IFERROR(INDEX(Exercícios!$C$7:$C$206,MATCH($G23,Exercícios!$B$7:$B$206,0)),"")</f>
        <v>Tático</v>
      </c>
      <c r="I23" s="26" t="str">
        <f aca="false">IFERROR(INDEX(Exercícios!$D$7:$D$206,MATCH($G23,Exercícios!$B$7:$B$206,0)),"")</f>
        <v>Jogo/Coletivo</v>
      </c>
      <c r="J23" s="26" t="str">
        <f aca="false">IFERROR(INDEX(Exercícios!$E$7:$E$206,MATCH($G23,Exercícios!$B$7:$B$206,0)),"")</f>
        <v>N/A</v>
      </c>
      <c r="K23" s="28" t="n">
        <v>3</v>
      </c>
      <c r="L23" s="28" t="s">
        <v>1157</v>
      </c>
      <c r="M23" s="27" t="s">
        <v>1144</v>
      </c>
      <c r="N23" s="28" t="n">
        <v>120</v>
      </c>
      <c r="O23" s="28" t="n">
        <v>30</v>
      </c>
      <c r="P23" s="28" t="n">
        <v>8</v>
      </c>
      <c r="Q23" s="26" t="str">
        <f aca="false">IFERROR($K23*$L23,"")</f>
        <v/>
      </c>
      <c r="R23" s="44" t="n">
        <f aca="false">IF(OR($O23="",$P23=""),0,$O23*$P23)</f>
        <v>240</v>
      </c>
      <c r="S23" s="27" t="s">
        <v>168</v>
      </c>
      <c r="T23" s="27" t="s">
        <v>373</v>
      </c>
      <c r="U23" s="40" t="n">
        <f aca="false">IF($A23="",0,IF(AND(OR($E23=Atleta!$C$4,$E23="Equipe (todos)"),$A23&gt;=Atleta!$C$5),MAX($U$7:U22)+1,0))</f>
        <v>15</v>
      </c>
    </row>
    <row r="24" customFormat="false" ht="15" hidden="false" customHeight="false" outlineLevel="0" collapsed="false">
      <c r="A24" s="29"/>
      <c r="B24" s="40" t="n">
        <f aca="false">IF($A24="",0,INT(($A24-Macrociclo!$C$11)/7)+1)</f>
        <v>0</v>
      </c>
      <c r="C24" s="28"/>
      <c r="D24" s="28"/>
      <c r="E24" s="27"/>
      <c r="F24" s="28"/>
      <c r="G24" s="27"/>
      <c r="H24" s="26" t="str">
        <f aca="false">IFERROR(INDEX(Exercícios!$C$7:$C$206,MATCH($G24,Exercícios!$B$7:$B$206,0)),"")</f>
        <v/>
      </c>
      <c r="I24" s="26" t="str">
        <f aca="false">IFERROR(INDEX(Exercícios!$D$7:$D$206,MATCH($G24,Exercícios!$B$7:$B$206,0)),"")</f>
        <v/>
      </c>
      <c r="J24" s="26" t="str">
        <f aca="false">IFERROR(INDEX(Exercícios!$E$7:$E$206,MATCH($G24,Exercícios!$B$7:$B$206,0)),"")</f>
        <v/>
      </c>
      <c r="K24" s="28"/>
      <c r="L24" s="28"/>
      <c r="M24" s="27"/>
      <c r="N24" s="28"/>
      <c r="O24" s="28"/>
      <c r="P24" s="28"/>
      <c r="Q24" s="26" t="n">
        <f aca="false">IFERROR($K24*$L24,"")</f>
        <v>0</v>
      </c>
      <c r="R24" s="44" t="n">
        <f aca="false">IF(OR($O24="",$P24=""),0,$O24*$P24)</f>
        <v>0</v>
      </c>
      <c r="S24" s="27"/>
      <c r="T24" s="27"/>
      <c r="U24" s="40" t="n">
        <f aca="false">IF($A24="",0,IF(AND(OR($E24=Atleta!$C$4,$E24="Equipe (todos)"),$A24&gt;=Atleta!$C$5),MAX($U$7:U23)+1,0))</f>
        <v>0</v>
      </c>
    </row>
    <row r="25" customFormat="false" ht="15" hidden="false" customHeight="false" outlineLevel="0" collapsed="false">
      <c r="A25" s="29"/>
      <c r="B25" s="40" t="n">
        <f aca="false">IF($A25="",0,INT(($A25-Macrociclo!$C$11)/7)+1)</f>
        <v>0</v>
      </c>
      <c r="C25" s="28"/>
      <c r="D25" s="28"/>
      <c r="E25" s="27"/>
      <c r="F25" s="28"/>
      <c r="G25" s="27"/>
      <c r="H25" s="26" t="str">
        <f aca="false">IFERROR(INDEX(Exercícios!$C$7:$C$206,MATCH($G25,Exercícios!$B$7:$B$206,0)),"")</f>
        <v/>
      </c>
      <c r="I25" s="26" t="str">
        <f aca="false">IFERROR(INDEX(Exercícios!$D$7:$D$206,MATCH($G25,Exercícios!$B$7:$B$206,0)),"")</f>
        <v/>
      </c>
      <c r="J25" s="26" t="str">
        <f aca="false">IFERROR(INDEX(Exercícios!$E$7:$E$206,MATCH($G25,Exercícios!$B$7:$B$206,0)),"")</f>
        <v/>
      </c>
      <c r="K25" s="28"/>
      <c r="L25" s="28"/>
      <c r="M25" s="27"/>
      <c r="N25" s="28"/>
      <c r="O25" s="28"/>
      <c r="P25" s="28"/>
      <c r="Q25" s="26" t="n">
        <f aca="false">IFERROR($K25*$L25,"")</f>
        <v>0</v>
      </c>
      <c r="R25" s="44" t="n">
        <f aca="false">IF(OR($O25="",$P25=""),0,$O25*$P25)</f>
        <v>0</v>
      </c>
      <c r="S25" s="27"/>
      <c r="T25" s="27"/>
      <c r="U25" s="40" t="n">
        <f aca="false">IF($A25="",0,IF(AND(OR($E25=Atleta!$C$4,$E25="Equipe (todos)"),$A25&gt;=Atleta!$C$5),MAX($U$7:U24)+1,0))</f>
        <v>0</v>
      </c>
    </row>
    <row r="26" customFormat="false" ht="15" hidden="false" customHeight="false" outlineLevel="0" collapsed="false">
      <c r="A26" s="29"/>
      <c r="B26" s="40" t="n">
        <f aca="false">IF($A26="",0,INT(($A26-Macrociclo!$C$11)/7)+1)</f>
        <v>0</v>
      </c>
      <c r="C26" s="28"/>
      <c r="D26" s="28"/>
      <c r="E26" s="27"/>
      <c r="F26" s="28"/>
      <c r="G26" s="27"/>
      <c r="H26" s="26" t="str">
        <f aca="false">IFERROR(INDEX(Exercícios!$C$7:$C$206,MATCH($G26,Exercícios!$B$7:$B$206,0)),"")</f>
        <v/>
      </c>
      <c r="I26" s="26" t="str">
        <f aca="false">IFERROR(INDEX(Exercícios!$D$7:$D$206,MATCH($G26,Exercícios!$B$7:$B$206,0)),"")</f>
        <v/>
      </c>
      <c r="J26" s="26" t="str">
        <f aca="false">IFERROR(INDEX(Exercícios!$E$7:$E$206,MATCH($G26,Exercícios!$B$7:$B$206,0)),"")</f>
        <v/>
      </c>
      <c r="K26" s="28"/>
      <c r="L26" s="28"/>
      <c r="M26" s="27"/>
      <c r="N26" s="28"/>
      <c r="O26" s="28"/>
      <c r="P26" s="28"/>
      <c r="Q26" s="26" t="n">
        <f aca="false">IFERROR($K26*$L26,"")</f>
        <v>0</v>
      </c>
      <c r="R26" s="44" t="n">
        <f aca="false">IF(OR($O26="",$P26=""),0,$O26*$P26)</f>
        <v>0</v>
      </c>
      <c r="S26" s="27"/>
      <c r="T26" s="27"/>
      <c r="U26" s="40" t="n">
        <f aca="false">IF($A26="",0,IF(AND(OR($E26=Atleta!$C$4,$E26="Equipe (todos)"),$A26&gt;=Atleta!$C$5),MAX($U$7:U25)+1,0))</f>
        <v>0</v>
      </c>
    </row>
    <row r="27" customFormat="false" ht="15" hidden="false" customHeight="false" outlineLevel="0" collapsed="false">
      <c r="A27" s="29"/>
      <c r="B27" s="40" t="n">
        <f aca="false">IF($A27="",0,INT(($A27-Macrociclo!$C$11)/7)+1)</f>
        <v>0</v>
      </c>
      <c r="C27" s="28"/>
      <c r="D27" s="28"/>
      <c r="E27" s="27"/>
      <c r="F27" s="28"/>
      <c r="G27" s="27"/>
      <c r="H27" s="26" t="str">
        <f aca="false">IFERROR(INDEX(Exercícios!$C$7:$C$206,MATCH($G27,Exercícios!$B$7:$B$206,0)),"")</f>
        <v/>
      </c>
      <c r="I27" s="26" t="str">
        <f aca="false">IFERROR(INDEX(Exercícios!$D$7:$D$206,MATCH($G27,Exercícios!$B$7:$B$206,0)),"")</f>
        <v/>
      </c>
      <c r="J27" s="26" t="str">
        <f aca="false">IFERROR(INDEX(Exercícios!$E$7:$E$206,MATCH($G27,Exercícios!$B$7:$B$206,0)),"")</f>
        <v/>
      </c>
      <c r="K27" s="28"/>
      <c r="L27" s="28"/>
      <c r="M27" s="27"/>
      <c r="N27" s="28"/>
      <c r="O27" s="28"/>
      <c r="P27" s="28"/>
      <c r="Q27" s="26" t="n">
        <f aca="false">IFERROR($K27*$L27,"")</f>
        <v>0</v>
      </c>
      <c r="R27" s="44" t="n">
        <f aca="false">IF(OR($O27="",$P27=""),0,$O27*$P27)</f>
        <v>0</v>
      </c>
      <c r="S27" s="27"/>
      <c r="T27" s="27"/>
      <c r="U27" s="40" t="n">
        <f aca="false">IF($A27="",0,IF(AND(OR($E27=Atleta!$C$4,$E27="Equipe (todos)"),$A27&gt;=Atleta!$C$5),MAX($U$7:U26)+1,0))</f>
        <v>0</v>
      </c>
    </row>
    <row r="28" customFormat="false" ht="15" hidden="false" customHeight="false" outlineLevel="0" collapsed="false">
      <c r="A28" s="29"/>
      <c r="B28" s="40" t="n">
        <f aca="false">IF($A28="",0,INT(($A28-Macrociclo!$C$11)/7)+1)</f>
        <v>0</v>
      </c>
      <c r="C28" s="28"/>
      <c r="D28" s="28"/>
      <c r="E28" s="27"/>
      <c r="F28" s="28"/>
      <c r="G28" s="27"/>
      <c r="H28" s="26" t="str">
        <f aca="false">IFERROR(INDEX(Exercícios!$C$7:$C$206,MATCH($G28,Exercícios!$B$7:$B$206,0)),"")</f>
        <v/>
      </c>
      <c r="I28" s="26" t="str">
        <f aca="false">IFERROR(INDEX(Exercícios!$D$7:$D$206,MATCH($G28,Exercícios!$B$7:$B$206,0)),"")</f>
        <v/>
      </c>
      <c r="J28" s="26" t="str">
        <f aca="false">IFERROR(INDEX(Exercícios!$E$7:$E$206,MATCH($G28,Exercícios!$B$7:$B$206,0)),"")</f>
        <v/>
      </c>
      <c r="K28" s="28"/>
      <c r="L28" s="28"/>
      <c r="M28" s="27"/>
      <c r="N28" s="28"/>
      <c r="O28" s="28"/>
      <c r="P28" s="28"/>
      <c r="Q28" s="26" t="n">
        <f aca="false">IFERROR($K28*$L28,"")</f>
        <v>0</v>
      </c>
      <c r="R28" s="44" t="n">
        <f aca="false">IF(OR($O28="",$P28=""),0,$O28*$P28)</f>
        <v>0</v>
      </c>
      <c r="S28" s="27"/>
      <c r="T28" s="27"/>
      <c r="U28" s="40" t="n">
        <f aca="false">IF($A28="",0,IF(AND(OR($E28=Atleta!$C$4,$E28="Equipe (todos)"),$A28&gt;=Atleta!$C$5),MAX($U$7:U27)+1,0))</f>
        <v>0</v>
      </c>
    </row>
    <row r="29" customFormat="false" ht="15" hidden="false" customHeight="false" outlineLevel="0" collapsed="false">
      <c r="A29" s="29"/>
      <c r="B29" s="40" t="n">
        <f aca="false">IF($A29="",0,INT(($A29-Macrociclo!$C$11)/7)+1)</f>
        <v>0</v>
      </c>
      <c r="C29" s="28"/>
      <c r="D29" s="28"/>
      <c r="E29" s="27"/>
      <c r="F29" s="28"/>
      <c r="G29" s="27"/>
      <c r="H29" s="26" t="str">
        <f aca="false">IFERROR(INDEX(Exercícios!$C$7:$C$206,MATCH($G29,Exercícios!$B$7:$B$206,0)),"")</f>
        <v/>
      </c>
      <c r="I29" s="26" t="str">
        <f aca="false">IFERROR(INDEX(Exercícios!$D$7:$D$206,MATCH($G29,Exercícios!$B$7:$B$206,0)),"")</f>
        <v/>
      </c>
      <c r="J29" s="26" t="str">
        <f aca="false">IFERROR(INDEX(Exercícios!$E$7:$E$206,MATCH($G29,Exercícios!$B$7:$B$206,0)),"")</f>
        <v/>
      </c>
      <c r="K29" s="28"/>
      <c r="L29" s="28"/>
      <c r="M29" s="27"/>
      <c r="N29" s="28"/>
      <c r="O29" s="28"/>
      <c r="P29" s="28"/>
      <c r="Q29" s="26" t="n">
        <f aca="false">IFERROR($K29*$L29,"")</f>
        <v>0</v>
      </c>
      <c r="R29" s="44" t="n">
        <f aca="false">IF(OR($O29="",$P29=""),0,$O29*$P29)</f>
        <v>0</v>
      </c>
      <c r="S29" s="27"/>
      <c r="T29" s="27"/>
      <c r="U29" s="40" t="n">
        <f aca="false">IF($A29="",0,IF(AND(OR($E29=Atleta!$C$4,$E29="Equipe (todos)"),$A29&gt;=Atleta!$C$5),MAX($U$7:U28)+1,0))</f>
        <v>0</v>
      </c>
    </row>
    <row r="30" customFormat="false" ht="15" hidden="false" customHeight="false" outlineLevel="0" collapsed="false">
      <c r="A30" s="29"/>
      <c r="B30" s="40" t="n">
        <f aca="false">IF($A30="",0,INT(($A30-Macrociclo!$C$11)/7)+1)</f>
        <v>0</v>
      </c>
      <c r="C30" s="28"/>
      <c r="D30" s="28"/>
      <c r="E30" s="27"/>
      <c r="F30" s="28"/>
      <c r="G30" s="27"/>
      <c r="H30" s="26" t="str">
        <f aca="false">IFERROR(INDEX(Exercícios!$C$7:$C$206,MATCH($G30,Exercícios!$B$7:$B$206,0)),"")</f>
        <v/>
      </c>
      <c r="I30" s="26" t="str">
        <f aca="false">IFERROR(INDEX(Exercícios!$D$7:$D$206,MATCH($G30,Exercícios!$B$7:$B$206,0)),"")</f>
        <v/>
      </c>
      <c r="J30" s="26" t="str">
        <f aca="false">IFERROR(INDEX(Exercícios!$E$7:$E$206,MATCH($G30,Exercícios!$B$7:$B$206,0)),"")</f>
        <v/>
      </c>
      <c r="K30" s="28"/>
      <c r="L30" s="28"/>
      <c r="M30" s="27"/>
      <c r="N30" s="28"/>
      <c r="O30" s="28"/>
      <c r="P30" s="28"/>
      <c r="Q30" s="26" t="n">
        <f aca="false">IFERROR($K30*$L30,"")</f>
        <v>0</v>
      </c>
      <c r="R30" s="44" t="n">
        <f aca="false">IF(OR($O30="",$P30=""),0,$O30*$P30)</f>
        <v>0</v>
      </c>
      <c r="S30" s="27"/>
      <c r="T30" s="27"/>
      <c r="U30" s="40" t="n">
        <f aca="false">IF($A30="",0,IF(AND(OR($E30=Atleta!$C$4,$E30="Equipe (todos)"),$A30&gt;=Atleta!$C$5),MAX($U$7:U29)+1,0))</f>
        <v>0</v>
      </c>
    </row>
    <row r="31" customFormat="false" ht="15" hidden="false" customHeight="false" outlineLevel="0" collapsed="false">
      <c r="A31" s="29"/>
      <c r="B31" s="40" t="n">
        <f aca="false">IF($A31="",0,INT(($A31-Macrociclo!$C$11)/7)+1)</f>
        <v>0</v>
      </c>
      <c r="C31" s="28"/>
      <c r="D31" s="28"/>
      <c r="E31" s="27"/>
      <c r="F31" s="28"/>
      <c r="G31" s="27"/>
      <c r="H31" s="26" t="str">
        <f aca="false">IFERROR(INDEX(Exercícios!$C$7:$C$206,MATCH($G31,Exercícios!$B$7:$B$206,0)),"")</f>
        <v/>
      </c>
      <c r="I31" s="26" t="str">
        <f aca="false">IFERROR(INDEX(Exercícios!$D$7:$D$206,MATCH($G31,Exercícios!$B$7:$B$206,0)),"")</f>
        <v/>
      </c>
      <c r="J31" s="26" t="str">
        <f aca="false">IFERROR(INDEX(Exercícios!$E$7:$E$206,MATCH($G31,Exercícios!$B$7:$B$206,0)),"")</f>
        <v/>
      </c>
      <c r="K31" s="28"/>
      <c r="L31" s="28"/>
      <c r="M31" s="27"/>
      <c r="N31" s="28"/>
      <c r="O31" s="28"/>
      <c r="P31" s="28"/>
      <c r="Q31" s="26" t="n">
        <f aca="false">IFERROR($K31*$L31,"")</f>
        <v>0</v>
      </c>
      <c r="R31" s="44" t="n">
        <f aca="false">IF(OR($O31="",$P31=""),0,$O31*$P31)</f>
        <v>0</v>
      </c>
      <c r="S31" s="27"/>
      <c r="T31" s="27"/>
      <c r="U31" s="40" t="n">
        <f aca="false">IF($A31="",0,IF(AND(OR($E31=Atleta!$C$4,$E31="Equipe (todos)"),$A31&gt;=Atleta!$C$5),MAX($U$7:U30)+1,0))</f>
        <v>0</v>
      </c>
    </row>
    <row r="32" customFormat="false" ht="15" hidden="false" customHeight="false" outlineLevel="0" collapsed="false">
      <c r="A32" s="29"/>
      <c r="B32" s="40" t="n">
        <f aca="false">IF($A32="",0,INT(($A32-Macrociclo!$C$11)/7)+1)</f>
        <v>0</v>
      </c>
      <c r="C32" s="28"/>
      <c r="D32" s="28"/>
      <c r="E32" s="27"/>
      <c r="F32" s="28"/>
      <c r="G32" s="27"/>
      <c r="H32" s="26" t="str">
        <f aca="false">IFERROR(INDEX(Exercícios!$C$7:$C$206,MATCH($G32,Exercícios!$B$7:$B$206,0)),"")</f>
        <v/>
      </c>
      <c r="I32" s="26" t="str">
        <f aca="false">IFERROR(INDEX(Exercícios!$D$7:$D$206,MATCH($G32,Exercícios!$B$7:$B$206,0)),"")</f>
        <v/>
      </c>
      <c r="J32" s="26" t="str">
        <f aca="false">IFERROR(INDEX(Exercícios!$E$7:$E$206,MATCH($G32,Exercícios!$B$7:$B$206,0)),"")</f>
        <v/>
      </c>
      <c r="K32" s="28"/>
      <c r="L32" s="28"/>
      <c r="M32" s="27"/>
      <c r="N32" s="28"/>
      <c r="O32" s="28"/>
      <c r="P32" s="28"/>
      <c r="Q32" s="26" t="n">
        <f aca="false">IFERROR($K32*$L32,"")</f>
        <v>0</v>
      </c>
      <c r="R32" s="44" t="n">
        <f aca="false">IF(OR($O32="",$P32=""),0,$O32*$P32)</f>
        <v>0</v>
      </c>
      <c r="S32" s="27"/>
      <c r="T32" s="27"/>
      <c r="U32" s="40" t="n">
        <f aca="false">IF($A32="",0,IF(AND(OR($E32=Atleta!$C$4,$E32="Equipe (todos)"),$A32&gt;=Atleta!$C$5),MAX($U$7:U31)+1,0))</f>
        <v>0</v>
      </c>
    </row>
    <row r="33" customFormat="false" ht="15" hidden="false" customHeight="false" outlineLevel="0" collapsed="false">
      <c r="A33" s="29"/>
      <c r="B33" s="40" t="n">
        <f aca="false">IF($A33="",0,INT(($A33-Macrociclo!$C$11)/7)+1)</f>
        <v>0</v>
      </c>
      <c r="C33" s="28"/>
      <c r="D33" s="28"/>
      <c r="E33" s="27"/>
      <c r="F33" s="28"/>
      <c r="G33" s="27"/>
      <c r="H33" s="26" t="str">
        <f aca="false">IFERROR(INDEX(Exercícios!$C$7:$C$206,MATCH($G33,Exercícios!$B$7:$B$206,0)),"")</f>
        <v/>
      </c>
      <c r="I33" s="26" t="str">
        <f aca="false">IFERROR(INDEX(Exercícios!$D$7:$D$206,MATCH($G33,Exercícios!$B$7:$B$206,0)),"")</f>
        <v/>
      </c>
      <c r="J33" s="26" t="str">
        <f aca="false">IFERROR(INDEX(Exercícios!$E$7:$E$206,MATCH($G33,Exercícios!$B$7:$B$206,0)),"")</f>
        <v/>
      </c>
      <c r="K33" s="28"/>
      <c r="L33" s="28"/>
      <c r="M33" s="27"/>
      <c r="N33" s="28"/>
      <c r="O33" s="28"/>
      <c r="P33" s="28"/>
      <c r="Q33" s="26" t="n">
        <f aca="false">IFERROR($K33*$L33,"")</f>
        <v>0</v>
      </c>
      <c r="R33" s="44" t="n">
        <f aca="false">IF(OR($O33="",$P33=""),0,$O33*$P33)</f>
        <v>0</v>
      </c>
      <c r="S33" s="27"/>
      <c r="T33" s="27"/>
      <c r="U33" s="40" t="n">
        <f aca="false">IF($A33="",0,IF(AND(OR($E33=Atleta!$C$4,$E33="Equipe (todos)"),$A33&gt;=Atleta!$C$5),MAX($U$7:U32)+1,0))</f>
        <v>0</v>
      </c>
    </row>
    <row r="34" customFormat="false" ht="15" hidden="false" customHeight="false" outlineLevel="0" collapsed="false">
      <c r="A34" s="29"/>
      <c r="B34" s="40" t="n">
        <f aca="false">IF($A34="",0,INT(($A34-Macrociclo!$C$11)/7)+1)</f>
        <v>0</v>
      </c>
      <c r="C34" s="28"/>
      <c r="D34" s="28"/>
      <c r="E34" s="27"/>
      <c r="F34" s="28"/>
      <c r="G34" s="27"/>
      <c r="H34" s="26" t="str">
        <f aca="false">IFERROR(INDEX(Exercícios!$C$7:$C$206,MATCH($G34,Exercícios!$B$7:$B$206,0)),"")</f>
        <v/>
      </c>
      <c r="I34" s="26" t="str">
        <f aca="false">IFERROR(INDEX(Exercícios!$D$7:$D$206,MATCH($G34,Exercícios!$B$7:$B$206,0)),"")</f>
        <v/>
      </c>
      <c r="J34" s="26" t="str">
        <f aca="false">IFERROR(INDEX(Exercícios!$E$7:$E$206,MATCH($G34,Exercícios!$B$7:$B$206,0)),"")</f>
        <v/>
      </c>
      <c r="K34" s="28"/>
      <c r="L34" s="28"/>
      <c r="M34" s="27"/>
      <c r="N34" s="28"/>
      <c r="O34" s="28"/>
      <c r="P34" s="28"/>
      <c r="Q34" s="26" t="n">
        <f aca="false">IFERROR($K34*$L34,"")</f>
        <v>0</v>
      </c>
      <c r="R34" s="44" t="n">
        <f aca="false">IF(OR($O34="",$P34=""),0,$O34*$P34)</f>
        <v>0</v>
      </c>
      <c r="S34" s="27"/>
      <c r="T34" s="27"/>
      <c r="U34" s="40" t="n">
        <f aca="false">IF($A34="",0,IF(AND(OR($E34=Atleta!$C$4,$E34="Equipe (todos)"),$A34&gt;=Atleta!$C$5),MAX($U$7:U33)+1,0))</f>
        <v>0</v>
      </c>
    </row>
    <row r="35" customFormat="false" ht="15" hidden="false" customHeight="false" outlineLevel="0" collapsed="false">
      <c r="A35" s="29"/>
      <c r="B35" s="40" t="n">
        <f aca="false">IF($A35="",0,INT(($A35-Macrociclo!$C$11)/7)+1)</f>
        <v>0</v>
      </c>
      <c r="C35" s="28"/>
      <c r="D35" s="28"/>
      <c r="E35" s="27"/>
      <c r="F35" s="28"/>
      <c r="G35" s="27"/>
      <c r="H35" s="26" t="str">
        <f aca="false">IFERROR(INDEX(Exercícios!$C$7:$C$206,MATCH($G35,Exercícios!$B$7:$B$206,0)),"")</f>
        <v/>
      </c>
      <c r="I35" s="26" t="str">
        <f aca="false">IFERROR(INDEX(Exercícios!$D$7:$D$206,MATCH($G35,Exercícios!$B$7:$B$206,0)),"")</f>
        <v/>
      </c>
      <c r="J35" s="26" t="str">
        <f aca="false">IFERROR(INDEX(Exercícios!$E$7:$E$206,MATCH($G35,Exercícios!$B$7:$B$206,0)),"")</f>
        <v/>
      </c>
      <c r="K35" s="28"/>
      <c r="L35" s="28"/>
      <c r="M35" s="27"/>
      <c r="N35" s="28"/>
      <c r="O35" s="28"/>
      <c r="P35" s="28"/>
      <c r="Q35" s="26" t="n">
        <f aca="false">IFERROR($K35*$L35,"")</f>
        <v>0</v>
      </c>
      <c r="R35" s="44" t="n">
        <f aca="false">IF(OR($O35="",$P35=""),0,$O35*$P35)</f>
        <v>0</v>
      </c>
      <c r="S35" s="27"/>
      <c r="T35" s="27"/>
      <c r="U35" s="40" t="n">
        <f aca="false">IF($A35="",0,IF(AND(OR($E35=Atleta!$C$4,$E35="Equipe (todos)"),$A35&gt;=Atleta!$C$5),MAX($U$7:U34)+1,0))</f>
        <v>0</v>
      </c>
    </row>
    <row r="36" customFormat="false" ht="15" hidden="false" customHeight="false" outlineLevel="0" collapsed="false">
      <c r="A36" s="29"/>
      <c r="B36" s="40" t="n">
        <f aca="false">IF($A36="",0,INT(($A36-Macrociclo!$C$11)/7)+1)</f>
        <v>0</v>
      </c>
      <c r="C36" s="28"/>
      <c r="D36" s="28"/>
      <c r="E36" s="27"/>
      <c r="F36" s="28"/>
      <c r="G36" s="27"/>
      <c r="H36" s="26" t="str">
        <f aca="false">IFERROR(INDEX(Exercícios!$C$7:$C$206,MATCH($G36,Exercícios!$B$7:$B$206,0)),"")</f>
        <v/>
      </c>
      <c r="I36" s="26" t="str">
        <f aca="false">IFERROR(INDEX(Exercícios!$D$7:$D$206,MATCH($G36,Exercícios!$B$7:$B$206,0)),"")</f>
        <v/>
      </c>
      <c r="J36" s="26" t="str">
        <f aca="false">IFERROR(INDEX(Exercícios!$E$7:$E$206,MATCH($G36,Exercícios!$B$7:$B$206,0)),"")</f>
        <v/>
      </c>
      <c r="K36" s="28"/>
      <c r="L36" s="28"/>
      <c r="M36" s="27"/>
      <c r="N36" s="28"/>
      <c r="O36" s="28"/>
      <c r="P36" s="28"/>
      <c r="Q36" s="26" t="n">
        <f aca="false">IFERROR($K36*$L36,"")</f>
        <v>0</v>
      </c>
      <c r="R36" s="44" t="n">
        <f aca="false">IF(OR($O36="",$P36=""),0,$O36*$P36)</f>
        <v>0</v>
      </c>
      <c r="S36" s="27"/>
      <c r="T36" s="27"/>
      <c r="U36" s="40" t="n">
        <f aca="false">IF($A36="",0,IF(AND(OR($E36=Atleta!$C$4,$E36="Equipe (todos)"),$A36&gt;=Atleta!$C$5),MAX($U$7:U35)+1,0))</f>
        <v>0</v>
      </c>
    </row>
    <row r="37" customFormat="false" ht="15" hidden="false" customHeight="false" outlineLevel="0" collapsed="false">
      <c r="A37" s="29"/>
      <c r="B37" s="40" t="n">
        <f aca="false">IF($A37="",0,INT(($A37-Macrociclo!$C$11)/7)+1)</f>
        <v>0</v>
      </c>
      <c r="C37" s="28"/>
      <c r="D37" s="28"/>
      <c r="E37" s="27"/>
      <c r="F37" s="28"/>
      <c r="G37" s="27"/>
      <c r="H37" s="26" t="str">
        <f aca="false">IFERROR(INDEX(Exercícios!$C$7:$C$206,MATCH($G37,Exercícios!$B$7:$B$206,0)),"")</f>
        <v/>
      </c>
      <c r="I37" s="26" t="str">
        <f aca="false">IFERROR(INDEX(Exercícios!$D$7:$D$206,MATCH($G37,Exercícios!$B$7:$B$206,0)),"")</f>
        <v/>
      </c>
      <c r="J37" s="26" t="str">
        <f aca="false">IFERROR(INDEX(Exercícios!$E$7:$E$206,MATCH($G37,Exercícios!$B$7:$B$206,0)),"")</f>
        <v/>
      </c>
      <c r="K37" s="28"/>
      <c r="L37" s="28"/>
      <c r="M37" s="27"/>
      <c r="N37" s="28"/>
      <c r="O37" s="28"/>
      <c r="P37" s="28"/>
      <c r="Q37" s="26" t="n">
        <f aca="false">IFERROR($K37*$L37,"")</f>
        <v>0</v>
      </c>
      <c r="R37" s="44" t="n">
        <f aca="false">IF(OR($O37="",$P37=""),0,$O37*$P37)</f>
        <v>0</v>
      </c>
      <c r="S37" s="27"/>
      <c r="T37" s="27"/>
      <c r="U37" s="40" t="n">
        <f aca="false">IF($A37="",0,IF(AND(OR($E37=Atleta!$C$4,$E37="Equipe (todos)"),$A37&gt;=Atleta!$C$5),MAX($U$7:U36)+1,0))</f>
        <v>0</v>
      </c>
    </row>
    <row r="38" customFormat="false" ht="15" hidden="false" customHeight="false" outlineLevel="0" collapsed="false">
      <c r="A38" s="29"/>
      <c r="B38" s="40" t="n">
        <f aca="false">IF($A38="",0,INT(($A38-Macrociclo!$C$11)/7)+1)</f>
        <v>0</v>
      </c>
      <c r="C38" s="28"/>
      <c r="D38" s="28"/>
      <c r="E38" s="27"/>
      <c r="F38" s="28"/>
      <c r="G38" s="27"/>
      <c r="H38" s="26" t="str">
        <f aca="false">IFERROR(INDEX(Exercícios!$C$7:$C$206,MATCH($G38,Exercícios!$B$7:$B$206,0)),"")</f>
        <v/>
      </c>
      <c r="I38" s="26" t="str">
        <f aca="false">IFERROR(INDEX(Exercícios!$D$7:$D$206,MATCH($G38,Exercícios!$B$7:$B$206,0)),"")</f>
        <v/>
      </c>
      <c r="J38" s="26" t="str">
        <f aca="false">IFERROR(INDEX(Exercícios!$E$7:$E$206,MATCH($G38,Exercícios!$B$7:$B$206,0)),"")</f>
        <v/>
      </c>
      <c r="K38" s="28"/>
      <c r="L38" s="28"/>
      <c r="M38" s="27"/>
      <c r="N38" s="28"/>
      <c r="O38" s="28"/>
      <c r="P38" s="28"/>
      <c r="Q38" s="26" t="n">
        <f aca="false">IFERROR($K38*$L38,"")</f>
        <v>0</v>
      </c>
      <c r="R38" s="44" t="n">
        <f aca="false">IF(OR($O38="",$P38=""),0,$O38*$P38)</f>
        <v>0</v>
      </c>
      <c r="S38" s="27"/>
      <c r="T38" s="27"/>
      <c r="U38" s="40" t="n">
        <f aca="false">IF($A38="",0,IF(AND(OR($E38=Atleta!$C$4,$E38="Equipe (todos)"),$A38&gt;=Atleta!$C$5),MAX($U$7:U37)+1,0))</f>
        <v>0</v>
      </c>
    </row>
    <row r="39" customFormat="false" ht="15" hidden="false" customHeight="false" outlineLevel="0" collapsed="false">
      <c r="A39" s="29"/>
      <c r="B39" s="40" t="n">
        <f aca="false">IF($A39="",0,INT(($A39-Macrociclo!$C$11)/7)+1)</f>
        <v>0</v>
      </c>
      <c r="C39" s="28"/>
      <c r="D39" s="28"/>
      <c r="E39" s="27"/>
      <c r="F39" s="28"/>
      <c r="G39" s="27"/>
      <c r="H39" s="26" t="str">
        <f aca="false">IFERROR(INDEX(Exercícios!$C$7:$C$206,MATCH($G39,Exercícios!$B$7:$B$206,0)),"")</f>
        <v/>
      </c>
      <c r="I39" s="26" t="str">
        <f aca="false">IFERROR(INDEX(Exercícios!$D$7:$D$206,MATCH($G39,Exercícios!$B$7:$B$206,0)),"")</f>
        <v/>
      </c>
      <c r="J39" s="26" t="str">
        <f aca="false">IFERROR(INDEX(Exercícios!$E$7:$E$206,MATCH($G39,Exercícios!$B$7:$B$206,0)),"")</f>
        <v/>
      </c>
      <c r="K39" s="28"/>
      <c r="L39" s="28"/>
      <c r="M39" s="27"/>
      <c r="N39" s="28"/>
      <c r="O39" s="28"/>
      <c r="P39" s="28"/>
      <c r="Q39" s="26" t="n">
        <f aca="false">IFERROR($K39*$L39,"")</f>
        <v>0</v>
      </c>
      <c r="R39" s="44" t="n">
        <f aca="false">IF(OR($O39="",$P39=""),0,$O39*$P39)</f>
        <v>0</v>
      </c>
      <c r="S39" s="27"/>
      <c r="T39" s="27"/>
      <c r="U39" s="40" t="n">
        <f aca="false">IF($A39="",0,IF(AND(OR($E39=Atleta!$C$4,$E39="Equipe (todos)"),$A39&gt;=Atleta!$C$5),MAX($U$7:U38)+1,0))</f>
        <v>0</v>
      </c>
    </row>
    <row r="40" customFormat="false" ht="15" hidden="false" customHeight="false" outlineLevel="0" collapsed="false">
      <c r="A40" s="29"/>
      <c r="B40" s="40" t="n">
        <f aca="false">IF($A40="",0,INT(($A40-Macrociclo!$C$11)/7)+1)</f>
        <v>0</v>
      </c>
      <c r="C40" s="28"/>
      <c r="D40" s="28"/>
      <c r="E40" s="27"/>
      <c r="F40" s="28"/>
      <c r="G40" s="27"/>
      <c r="H40" s="26" t="str">
        <f aca="false">IFERROR(INDEX(Exercícios!$C$7:$C$206,MATCH($G40,Exercícios!$B$7:$B$206,0)),"")</f>
        <v/>
      </c>
      <c r="I40" s="26" t="str">
        <f aca="false">IFERROR(INDEX(Exercícios!$D$7:$D$206,MATCH($G40,Exercícios!$B$7:$B$206,0)),"")</f>
        <v/>
      </c>
      <c r="J40" s="26" t="str">
        <f aca="false">IFERROR(INDEX(Exercícios!$E$7:$E$206,MATCH($G40,Exercícios!$B$7:$B$206,0)),"")</f>
        <v/>
      </c>
      <c r="K40" s="28"/>
      <c r="L40" s="28"/>
      <c r="M40" s="27"/>
      <c r="N40" s="28"/>
      <c r="O40" s="28"/>
      <c r="P40" s="28"/>
      <c r="Q40" s="26" t="n">
        <f aca="false">IFERROR($K40*$L40,"")</f>
        <v>0</v>
      </c>
      <c r="R40" s="44" t="n">
        <f aca="false">IF(OR($O40="",$P40=""),0,$O40*$P40)</f>
        <v>0</v>
      </c>
      <c r="S40" s="27"/>
      <c r="T40" s="27"/>
      <c r="U40" s="40" t="n">
        <f aca="false">IF($A40="",0,IF(AND(OR($E40=Atleta!$C$4,$E40="Equipe (todos)"),$A40&gt;=Atleta!$C$5),MAX($U$7:U39)+1,0))</f>
        <v>0</v>
      </c>
    </row>
    <row r="41" customFormat="false" ht="15" hidden="false" customHeight="false" outlineLevel="0" collapsed="false">
      <c r="A41" s="29"/>
      <c r="B41" s="40" t="n">
        <f aca="false">IF($A41="",0,INT(($A41-Macrociclo!$C$11)/7)+1)</f>
        <v>0</v>
      </c>
      <c r="C41" s="28"/>
      <c r="D41" s="28"/>
      <c r="E41" s="27"/>
      <c r="F41" s="28"/>
      <c r="G41" s="27"/>
      <c r="H41" s="26" t="str">
        <f aca="false">IFERROR(INDEX(Exercícios!$C$7:$C$206,MATCH($G41,Exercícios!$B$7:$B$206,0)),"")</f>
        <v/>
      </c>
      <c r="I41" s="26" t="str">
        <f aca="false">IFERROR(INDEX(Exercícios!$D$7:$D$206,MATCH($G41,Exercícios!$B$7:$B$206,0)),"")</f>
        <v/>
      </c>
      <c r="J41" s="26" t="str">
        <f aca="false">IFERROR(INDEX(Exercícios!$E$7:$E$206,MATCH($G41,Exercícios!$B$7:$B$206,0)),"")</f>
        <v/>
      </c>
      <c r="K41" s="28"/>
      <c r="L41" s="28"/>
      <c r="M41" s="27"/>
      <c r="N41" s="28"/>
      <c r="O41" s="28"/>
      <c r="P41" s="28"/>
      <c r="Q41" s="26" t="n">
        <f aca="false">IFERROR($K41*$L41,"")</f>
        <v>0</v>
      </c>
      <c r="R41" s="44" t="n">
        <f aca="false">IF(OR($O41="",$P41=""),0,$O41*$P41)</f>
        <v>0</v>
      </c>
      <c r="S41" s="27"/>
      <c r="T41" s="27"/>
      <c r="U41" s="40" t="n">
        <f aca="false">IF($A41="",0,IF(AND(OR($E41=Atleta!$C$4,$E41="Equipe (todos)"),$A41&gt;=Atleta!$C$5),MAX($U$7:U40)+1,0))</f>
        <v>0</v>
      </c>
    </row>
    <row r="42" customFormat="false" ht="15" hidden="false" customHeight="false" outlineLevel="0" collapsed="false">
      <c r="A42" s="29"/>
      <c r="B42" s="40" t="n">
        <f aca="false">IF($A42="",0,INT(($A42-Macrociclo!$C$11)/7)+1)</f>
        <v>0</v>
      </c>
      <c r="C42" s="28"/>
      <c r="D42" s="28"/>
      <c r="E42" s="27"/>
      <c r="F42" s="28"/>
      <c r="G42" s="27"/>
      <c r="H42" s="26" t="str">
        <f aca="false">IFERROR(INDEX(Exercícios!$C$7:$C$206,MATCH($G42,Exercícios!$B$7:$B$206,0)),"")</f>
        <v/>
      </c>
      <c r="I42" s="26" t="str">
        <f aca="false">IFERROR(INDEX(Exercícios!$D$7:$D$206,MATCH($G42,Exercícios!$B$7:$B$206,0)),"")</f>
        <v/>
      </c>
      <c r="J42" s="26" t="str">
        <f aca="false">IFERROR(INDEX(Exercícios!$E$7:$E$206,MATCH($G42,Exercícios!$B$7:$B$206,0)),"")</f>
        <v/>
      </c>
      <c r="K42" s="28"/>
      <c r="L42" s="28"/>
      <c r="M42" s="27"/>
      <c r="N42" s="28"/>
      <c r="O42" s="28"/>
      <c r="P42" s="28"/>
      <c r="Q42" s="26" t="n">
        <f aca="false">IFERROR($K42*$L42,"")</f>
        <v>0</v>
      </c>
      <c r="R42" s="44" t="n">
        <f aca="false">IF(OR($O42="",$P42=""),0,$O42*$P42)</f>
        <v>0</v>
      </c>
      <c r="S42" s="27"/>
      <c r="T42" s="27"/>
      <c r="U42" s="40" t="n">
        <f aca="false">IF($A42="",0,IF(AND(OR($E42=Atleta!$C$4,$E42="Equipe (todos)"),$A42&gt;=Atleta!$C$5),MAX($U$7:U41)+1,0))</f>
        <v>0</v>
      </c>
    </row>
    <row r="43" customFormat="false" ht="15" hidden="false" customHeight="false" outlineLevel="0" collapsed="false">
      <c r="A43" s="29"/>
      <c r="B43" s="40" t="n">
        <f aca="false">IF($A43="",0,INT(($A43-Macrociclo!$C$11)/7)+1)</f>
        <v>0</v>
      </c>
      <c r="C43" s="28"/>
      <c r="D43" s="28"/>
      <c r="E43" s="27"/>
      <c r="F43" s="28"/>
      <c r="G43" s="27"/>
      <c r="H43" s="26" t="str">
        <f aca="false">IFERROR(INDEX(Exercícios!$C$7:$C$206,MATCH($G43,Exercícios!$B$7:$B$206,0)),"")</f>
        <v/>
      </c>
      <c r="I43" s="26" t="str">
        <f aca="false">IFERROR(INDEX(Exercícios!$D$7:$D$206,MATCH($G43,Exercícios!$B$7:$B$206,0)),"")</f>
        <v/>
      </c>
      <c r="J43" s="26" t="str">
        <f aca="false">IFERROR(INDEX(Exercícios!$E$7:$E$206,MATCH($G43,Exercícios!$B$7:$B$206,0)),"")</f>
        <v/>
      </c>
      <c r="K43" s="28"/>
      <c r="L43" s="28"/>
      <c r="M43" s="27"/>
      <c r="N43" s="28"/>
      <c r="O43" s="28"/>
      <c r="P43" s="28"/>
      <c r="Q43" s="26" t="n">
        <f aca="false">IFERROR($K43*$L43,"")</f>
        <v>0</v>
      </c>
      <c r="R43" s="44" t="n">
        <f aca="false">IF(OR($O43="",$P43=""),0,$O43*$P43)</f>
        <v>0</v>
      </c>
      <c r="S43" s="27"/>
      <c r="T43" s="27"/>
      <c r="U43" s="40" t="n">
        <f aca="false">IF($A43="",0,IF(AND(OR($E43=Atleta!$C$4,$E43="Equipe (todos)"),$A43&gt;=Atleta!$C$5),MAX($U$7:U42)+1,0))</f>
        <v>0</v>
      </c>
    </row>
    <row r="44" customFormat="false" ht="15" hidden="false" customHeight="false" outlineLevel="0" collapsed="false">
      <c r="A44" s="29"/>
      <c r="B44" s="40" t="n">
        <f aca="false">IF($A44="",0,INT(($A44-Macrociclo!$C$11)/7)+1)</f>
        <v>0</v>
      </c>
      <c r="C44" s="28"/>
      <c r="D44" s="28"/>
      <c r="E44" s="27"/>
      <c r="F44" s="28"/>
      <c r="G44" s="27"/>
      <c r="H44" s="26" t="str">
        <f aca="false">IFERROR(INDEX(Exercícios!$C$7:$C$206,MATCH($G44,Exercícios!$B$7:$B$206,0)),"")</f>
        <v/>
      </c>
      <c r="I44" s="26" t="str">
        <f aca="false">IFERROR(INDEX(Exercícios!$D$7:$D$206,MATCH($G44,Exercícios!$B$7:$B$206,0)),"")</f>
        <v/>
      </c>
      <c r="J44" s="26" t="str">
        <f aca="false">IFERROR(INDEX(Exercícios!$E$7:$E$206,MATCH($G44,Exercícios!$B$7:$B$206,0)),"")</f>
        <v/>
      </c>
      <c r="K44" s="28"/>
      <c r="L44" s="28"/>
      <c r="M44" s="27"/>
      <c r="N44" s="28"/>
      <c r="O44" s="28"/>
      <c r="P44" s="28"/>
      <c r="Q44" s="26" t="n">
        <f aca="false">IFERROR($K44*$L44,"")</f>
        <v>0</v>
      </c>
      <c r="R44" s="44" t="n">
        <f aca="false">IF(OR($O44="",$P44=""),0,$O44*$P44)</f>
        <v>0</v>
      </c>
      <c r="S44" s="27"/>
      <c r="T44" s="27"/>
      <c r="U44" s="40" t="n">
        <f aca="false">IF($A44="",0,IF(AND(OR($E44=Atleta!$C$4,$E44="Equipe (todos)"),$A44&gt;=Atleta!$C$5),MAX($U$7:U43)+1,0))</f>
        <v>0</v>
      </c>
    </row>
    <row r="45" customFormat="false" ht="15" hidden="false" customHeight="false" outlineLevel="0" collapsed="false">
      <c r="A45" s="29"/>
      <c r="B45" s="40" t="n">
        <f aca="false">IF($A45="",0,INT(($A45-Macrociclo!$C$11)/7)+1)</f>
        <v>0</v>
      </c>
      <c r="C45" s="28"/>
      <c r="D45" s="28"/>
      <c r="E45" s="27"/>
      <c r="F45" s="28"/>
      <c r="G45" s="27"/>
      <c r="H45" s="26" t="str">
        <f aca="false">IFERROR(INDEX(Exercícios!$C$7:$C$206,MATCH($G45,Exercícios!$B$7:$B$206,0)),"")</f>
        <v/>
      </c>
      <c r="I45" s="26" t="str">
        <f aca="false">IFERROR(INDEX(Exercícios!$D$7:$D$206,MATCH($G45,Exercícios!$B$7:$B$206,0)),"")</f>
        <v/>
      </c>
      <c r="J45" s="26" t="str">
        <f aca="false">IFERROR(INDEX(Exercícios!$E$7:$E$206,MATCH($G45,Exercícios!$B$7:$B$206,0)),"")</f>
        <v/>
      </c>
      <c r="K45" s="28"/>
      <c r="L45" s="28"/>
      <c r="M45" s="27"/>
      <c r="N45" s="28"/>
      <c r="O45" s="28"/>
      <c r="P45" s="28"/>
      <c r="Q45" s="26" t="n">
        <f aca="false">IFERROR($K45*$L45,"")</f>
        <v>0</v>
      </c>
      <c r="R45" s="44" t="n">
        <f aca="false">IF(OR($O45="",$P45=""),0,$O45*$P45)</f>
        <v>0</v>
      </c>
      <c r="S45" s="27"/>
      <c r="T45" s="27"/>
      <c r="U45" s="40" t="n">
        <f aca="false">IF($A45="",0,IF(AND(OR($E45=Atleta!$C$4,$E45="Equipe (todos)"),$A45&gt;=Atleta!$C$5),MAX($U$7:U44)+1,0))</f>
        <v>0</v>
      </c>
    </row>
    <row r="46" customFormat="false" ht="15" hidden="false" customHeight="false" outlineLevel="0" collapsed="false">
      <c r="A46" s="29"/>
      <c r="B46" s="40" t="n">
        <f aca="false">IF($A46="",0,INT(($A46-Macrociclo!$C$11)/7)+1)</f>
        <v>0</v>
      </c>
      <c r="C46" s="28"/>
      <c r="D46" s="28"/>
      <c r="E46" s="27"/>
      <c r="F46" s="28"/>
      <c r="G46" s="27"/>
      <c r="H46" s="26" t="str">
        <f aca="false">IFERROR(INDEX(Exercícios!$C$7:$C$206,MATCH($G46,Exercícios!$B$7:$B$206,0)),"")</f>
        <v/>
      </c>
      <c r="I46" s="26" t="str">
        <f aca="false">IFERROR(INDEX(Exercícios!$D$7:$D$206,MATCH($G46,Exercícios!$B$7:$B$206,0)),"")</f>
        <v/>
      </c>
      <c r="J46" s="26" t="str">
        <f aca="false">IFERROR(INDEX(Exercícios!$E$7:$E$206,MATCH($G46,Exercícios!$B$7:$B$206,0)),"")</f>
        <v/>
      </c>
      <c r="K46" s="28"/>
      <c r="L46" s="28"/>
      <c r="M46" s="27"/>
      <c r="N46" s="28"/>
      <c r="O46" s="28"/>
      <c r="P46" s="28"/>
      <c r="Q46" s="26" t="n">
        <f aca="false">IFERROR($K46*$L46,"")</f>
        <v>0</v>
      </c>
      <c r="R46" s="44" t="n">
        <f aca="false">IF(OR($O46="",$P46=""),0,$O46*$P46)</f>
        <v>0</v>
      </c>
      <c r="S46" s="27"/>
      <c r="T46" s="27"/>
      <c r="U46" s="40" t="n">
        <f aca="false">IF($A46="",0,IF(AND(OR($E46=Atleta!$C$4,$E46="Equipe (todos)"),$A46&gt;=Atleta!$C$5),MAX($U$7:U45)+1,0))</f>
        <v>0</v>
      </c>
    </row>
    <row r="47" customFormat="false" ht="15" hidden="false" customHeight="false" outlineLevel="0" collapsed="false">
      <c r="A47" s="29"/>
      <c r="B47" s="40" t="n">
        <f aca="false">IF($A47="",0,INT(($A47-Macrociclo!$C$11)/7)+1)</f>
        <v>0</v>
      </c>
      <c r="C47" s="28"/>
      <c r="D47" s="28"/>
      <c r="E47" s="27"/>
      <c r="F47" s="28"/>
      <c r="G47" s="27"/>
      <c r="H47" s="26" t="str">
        <f aca="false">IFERROR(INDEX(Exercícios!$C$7:$C$206,MATCH($G47,Exercícios!$B$7:$B$206,0)),"")</f>
        <v/>
      </c>
      <c r="I47" s="26" t="str">
        <f aca="false">IFERROR(INDEX(Exercícios!$D$7:$D$206,MATCH($G47,Exercícios!$B$7:$B$206,0)),"")</f>
        <v/>
      </c>
      <c r="J47" s="26" t="str">
        <f aca="false">IFERROR(INDEX(Exercícios!$E$7:$E$206,MATCH($G47,Exercícios!$B$7:$B$206,0)),"")</f>
        <v/>
      </c>
      <c r="K47" s="28"/>
      <c r="L47" s="28"/>
      <c r="M47" s="27"/>
      <c r="N47" s="28"/>
      <c r="O47" s="28"/>
      <c r="P47" s="28"/>
      <c r="Q47" s="26" t="n">
        <f aca="false">IFERROR($K47*$L47,"")</f>
        <v>0</v>
      </c>
      <c r="R47" s="44" t="n">
        <f aca="false">IF(OR($O47="",$P47=""),0,$O47*$P47)</f>
        <v>0</v>
      </c>
      <c r="S47" s="27"/>
      <c r="T47" s="27"/>
      <c r="U47" s="40" t="n">
        <f aca="false">IF($A47="",0,IF(AND(OR($E47=Atleta!$C$4,$E47="Equipe (todos)"),$A47&gt;=Atleta!$C$5),MAX($U$7:U46)+1,0))</f>
        <v>0</v>
      </c>
    </row>
    <row r="48" customFormat="false" ht="15" hidden="false" customHeight="false" outlineLevel="0" collapsed="false">
      <c r="A48" s="29"/>
      <c r="B48" s="40" t="n">
        <f aca="false">IF($A48="",0,INT(($A48-Macrociclo!$C$11)/7)+1)</f>
        <v>0</v>
      </c>
      <c r="C48" s="28"/>
      <c r="D48" s="28"/>
      <c r="E48" s="27"/>
      <c r="F48" s="28"/>
      <c r="G48" s="27"/>
      <c r="H48" s="26" t="str">
        <f aca="false">IFERROR(INDEX(Exercícios!$C$7:$C$206,MATCH($G48,Exercícios!$B$7:$B$206,0)),"")</f>
        <v/>
      </c>
      <c r="I48" s="26" t="str">
        <f aca="false">IFERROR(INDEX(Exercícios!$D$7:$D$206,MATCH($G48,Exercícios!$B$7:$B$206,0)),"")</f>
        <v/>
      </c>
      <c r="J48" s="26" t="str">
        <f aca="false">IFERROR(INDEX(Exercícios!$E$7:$E$206,MATCH($G48,Exercícios!$B$7:$B$206,0)),"")</f>
        <v/>
      </c>
      <c r="K48" s="28"/>
      <c r="L48" s="28"/>
      <c r="M48" s="27"/>
      <c r="N48" s="28"/>
      <c r="O48" s="28"/>
      <c r="P48" s="28"/>
      <c r="Q48" s="26" t="n">
        <f aca="false">IFERROR($K48*$L48,"")</f>
        <v>0</v>
      </c>
      <c r="R48" s="44" t="n">
        <f aca="false">IF(OR($O48="",$P48=""),0,$O48*$P48)</f>
        <v>0</v>
      </c>
      <c r="S48" s="27"/>
      <c r="T48" s="27"/>
      <c r="U48" s="40" t="n">
        <f aca="false">IF($A48="",0,IF(AND(OR($E48=Atleta!$C$4,$E48="Equipe (todos)"),$A48&gt;=Atleta!$C$5),MAX($U$7:U47)+1,0))</f>
        <v>0</v>
      </c>
    </row>
    <row r="49" customFormat="false" ht="15" hidden="false" customHeight="false" outlineLevel="0" collapsed="false">
      <c r="A49" s="29"/>
      <c r="B49" s="40" t="n">
        <f aca="false">IF($A49="",0,INT(($A49-Macrociclo!$C$11)/7)+1)</f>
        <v>0</v>
      </c>
      <c r="C49" s="28"/>
      <c r="D49" s="28"/>
      <c r="E49" s="27"/>
      <c r="F49" s="28"/>
      <c r="G49" s="27"/>
      <c r="H49" s="26" t="str">
        <f aca="false">IFERROR(INDEX(Exercícios!$C$7:$C$206,MATCH($G49,Exercícios!$B$7:$B$206,0)),"")</f>
        <v/>
      </c>
      <c r="I49" s="26" t="str">
        <f aca="false">IFERROR(INDEX(Exercícios!$D$7:$D$206,MATCH($G49,Exercícios!$B$7:$B$206,0)),"")</f>
        <v/>
      </c>
      <c r="J49" s="26" t="str">
        <f aca="false">IFERROR(INDEX(Exercícios!$E$7:$E$206,MATCH($G49,Exercícios!$B$7:$B$206,0)),"")</f>
        <v/>
      </c>
      <c r="K49" s="28"/>
      <c r="L49" s="28"/>
      <c r="M49" s="27"/>
      <c r="N49" s="28"/>
      <c r="O49" s="28"/>
      <c r="P49" s="28"/>
      <c r="Q49" s="26" t="n">
        <f aca="false">IFERROR($K49*$L49,"")</f>
        <v>0</v>
      </c>
      <c r="R49" s="44" t="n">
        <f aca="false">IF(OR($O49="",$P49=""),0,$O49*$P49)</f>
        <v>0</v>
      </c>
      <c r="S49" s="27"/>
      <c r="T49" s="27"/>
      <c r="U49" s="40" t="n">
        <f aca="false">IF($A49="",0,IF(AND(OR($E49=Atleta!$C$4,$E49="Equipe (todos)"),$A49&gt;=Atleta!$C$5),MAX($U$7:U48)+1,0))</f>
        <v>0</v>
      </c>
    </row>
    <row r="50" customFormat="false" ht="15" hidden="false" customHeight="false" outlineLevel="0" collapsed="false">
      <c r="A50" s="29"/>
      <c r="B50" s="40" t="n">
        <f aca="false">IF($A50="",0,INT(($A50-Macrociclo!$C$11)/7)+1)</f>
        <v>0</v>
      </c>
      <c r="C50" s="28"/>
      <c r="D50" s="28"/>
      <c r="E50" s="27"/>
      <c r="F50" s="28"/>
      <c r="G50" s="27"/>
      <c r="H50" s="26" t="str">
        <f aca="false">IFERROR(INDEX(Exercícios!$C$7:$C$206,MATCH($G50,Exercícios!$B$7:$B$206,0)),"")</f>
        <v/>
      </c>
      <c r="I50" s="26" t="str">
        <f aca="false">IFERROR(INDEX(Exercícios!$D$7:$D$206,MATCH($G50,Exercícios!$B$7:$B$206,0)),"")</f>
        <v/>
      </c>
      <c r="J50" s="26" t="str">
        <f aca="false">IFERROR(INDEX(Exercícios!$E$7:$E$206,MATCH($G50,Exercícios!$B$7:$B$206,0)),"")</f>
        <v/>
      </c>
      <c r="K50" s="28"/>
      <c r="L50" s="28"/>
      <c r="M50" s="27"/>
      <c r="N50" s="28"/>
      <c r="O50" s="28"/>
      <c r="P50" s="28"/>
      <c r="Q50" s="26" t="n">
        <f aca="false">IFERROR($K50*$L50,"")</f>
        <v>0</v>
      </c>
      <c r="R50" s="44" t="n">
        <f aca="false">IF(OR($O50="",$P50=""),0,$O50*$P50)</f>
        <v>0</v>
      </c>
      <c r="S50" s="27"/>
      <c r="T50" s="27"/>
      <c r="U50" s="40" t="n">
        <f aca="false">IF($A50="",0,IF(AND(OR($E50=Atleta!$C$4,$E50="Equipe (todos)"),$A50&gt;=Atleta!$C$5),MAX($U$7:U49)+1,0))</f>
        <v>0</v>
      </c>
    </row>
    <row r="51" customFormat="false" ht="15" hidden="false" customHeight="false" outlineLevel="0" collapsed="false">
      <c r="A51" s="29"/>
      <c r="B51" s="40" t="n">
        <f aca="false">IF($A51="",0,INT(($A51-Macrociclo!$C$11)/7)+1)</f>
        <v>0</v>
      </c>
      <c r="C51" s="28"/>
      <c r="D51" s="28"/>
      <c r="E51" s="27"/>
      <c r="F51" s="28"/>
      <c r="G51" s="27"/>
      <c r="H51" s="26" t="str">
        <f aca="false">IFERROR(INDEX(Exercícios!$C$7:$C$206,MATCH($G51,Exercícios!$B$7:$B$206,0)),"")</f>
        <v/>
      </c>
      <c r="I51" s="26" t="str">
        <f aca="false">IFERROR(INDEX(Exercícios!$D$7:$D$206,MATCH($G51,Exercícios!$B$7:$B$206,0)),"")</f>
        <v/>
      </c>
      <c r="J51" s="26" t="str">
        <f aca="false">IFERROR(INDEX(Exercícios!$E$7:$E$206,MATCH($G51,Exercícios!$B$7:$B$206,0)),"")</f>
        <v/>
      </c>
      <c r="K51" s="28"/>
      <c r="L51" s="28"/>
      <c r="M51" s="27"/>
      <c r="N51" s="28"/>
      <c r="O51" s="28"/>
      <c r="P51" s="28"/>
      <c r="Q51" s="26" t="n">
        <f aca="false">IFERROR($K51*$L51,"")</f>
        <v>0</v>
      </c>
      <c r="R51" s="44" t="n">
        <f aca="false">IF(OR($O51="",$P51=""),0,$O51*$P51)</f>
        <v>0</v>
      </c>
      <c r="S51" s="27"/>
      <c r="T51" s="27"/>
      <c r="U51" s="40" t="n">
        <f aca="false">IF($A51="",0,IF(AND(OR($E51=Atleta!$C$4,$E51="Equipe (todos)"),$A51&gt;=Atleta!$C$5),MAX($U$7:U50)+1,0))</f>
        <v>0</v>
      </c>
    </row>
    <row r="52" customFormat="false" ht="15" hidden="false" customHeight="false" outlineLevel="0" collapsed="false">
      <c r="A52" s="29"/>
      <c r="B52" s="40" t="n">
        <f aca="false">IF($A52="",0,INT(($A52-Macrociclo!$C$11)/7)+1)</f>
        <v>0</v>
      </c>
      <c r="C52" s="28"/>
      <c r="D52" s="28"/>
      <c r="E52" s="27"/>
      <c r="F52" s="28"/>
      <c r="G52" s="27"/>
      <c r="H52" s="26" t="str">
        <f aca="false">IFERROR(INDEX(Exercícios!$C$7:$C$206,MATCH($G52,Exercícios!$B$7:$B$206,0)),"")</f>
        <v/>
      </c>
      <c r="I52" s="26" t="str">
        <f aca="false">IFERROR(INDEX(Exercícios!$D$7:$D$206,MATCH($G52,Exercícios!$B$7:$B$206,0)),"")</f>
        <v/>
      </c>
      <c r="J52" s="26" t="str">
        <f aca="false">IFERROR(INDEX(Exercícios!$E$7:$E$206,MATCH($G52,Exercícios!$B$7:$B$206,0)),"")</f>
        <v/>
      </c>
      <c r="K52" s="28"/>
      <c r="L52" s="28"/>
      <c r="M52" s="27"/>
      <c r="N52" s="28"/>
      <c r="O52" s="28"/>
      <c r="P52" s="28"/>
      <c r="Q52" s="26" t="n">
        <f aca="false">IFERROR($K52*$L52,"")</f>
        <v>0</v>
      </c>
      <c r="R52" s="44" t="n">
        <f aca="false">IF(OR($O52="",$P52=""),0,$O52*$P52)</f>
        <v>0</v>
      </c>
      <c r="S52" s="27"/>
      <c r="T52" s="27"/>
      <c r="U52" s="40" t="n">
        <f aca="false">IF($A52="",0,IF(AND(OR($E52=Atleta!$C$4,$E52="Equipe (todos)"),$A52&gt;=Atleta!$C$5),MAX($U$7:U51)+1,0))</f>
        <v>0</v>
      </c>
    </row>
    <row r="53" customFormat="false" ht="15" hidden="false" customHeight="false" outlineLevel="0" collapsed="false">
      <c r="A53" s="29"/>
      <c r="B53" s="40" t="n">
        <f aca="false">IF($A53="",0,INT(($A53-Macrociclo!$C$11)/7)+1)</f>
        <v>0</v>
      </c>
      <c r="C53" s="28"/>
      <c r="D53" s="28"/>
      <c r="E53" s="27"/>
      <c r="F53" s="28"/>
      <c r="G53" s="27"/>
      <c r="H53" s="26" t="str">
        <f aca="false">IFERROR(INDEX(Exercícios!$C$7:$C$206,MATCH($G53,Exercícios!$B$7:$B$206,0)),"")</f>
        <v/>
      </c>
      <c r="I53" s="26" t="str">
        <f aca="false">IFERROR(INDEX(Exercícios!$D$7:$D$206,MATCH($G53,Exercícios!$B$7:$B$206,0)),"")</f>
        <v/>
      </c>
      <c r="J53" s="26" t="str">
        <f aca="false">IFERROR(INDEX(Exercícios!$E$7:$E$206,MATCH($G53,Exercícios!$B$7:$B$206,0)),"")</f>
        <v/>
      </c>
      <c r="K53" s="28"/>
      <c r="L53" s="28"/>
      <c r="M53" s="27"/>
      <c r="N53" s="28"/>
      <c r="O53" s="28"/>
      <c r="P53" s="28"/>
      <c r="Q53" s="26" t="n">
        <f aca="false">IFERROR($K53*$L53,"")</f>
        <v>0</v>
      </c>
      <c r="R53" s="44" t="n">
        <f aca="false">IF(OR($O53="",$P53=""),0,$O53*$P53)</f>
        <v>0</v>
      </c>
      <c r="S53" s="27"/>
      <c r="T53" s="27"/>
      <c r="U53" s="40" t="n">
        <f aca="false">IF($A53="",0,IF(AND(OR($E53=Atleta!$C$4,$E53="Equipe (todos)"),$A53&gt;=Atleta!$C$5),MAX($U$7:U52)+1,0))</f>
        <v>0</v>
      </c>
    </row>
    <row r="54" customFormat="false" ht="15" hidden="false" customHeight="false" outlineLevel="0" collapsed="false">
      <c r="A54" s="29"/>
      <c r="B54" s="40" t="n">
        <f aca="false">IF($A54="",0,INT(($A54-Macrociclo!$C$11)/7)+1)</f>
        <v>0</v>
      </c>
      <c r="C54" s="28"/>
      <c r="D54" s="28"/>
      <c r="E54" s="27"/>
      <c r="F54" s="28"/>
      <c r="G54" s="27"/>
      <c r="H54" s="26" t="str">
        <f aca="false">IFERROR(INDEX(Exercícios!$C$7:$C$206,MATCH($G54,Exercícios!$B$7:$B$206,0)),"")</f>
        <v/>
      </c>
      <c r="I54" s="26" t="str">
        <f aca="false">IFERROR(INDEX(Exercícios!$D$7:$D$206,MATCH($G54,Exercícios!$B$7:$B$206,0)),"")</f>
        <v/>
      </c>
      <c r="J54" s="26" t="str">
        <f aca="false">IFERROR(INDEX(Exercícios!$E$7:$E$206,MATCH($G54,Exercícios!$B$7:$B$206,0)),"")</f>
        <v/>
      </c>
      <c r="K54" s="28"/>
      <c r="L54" s="28"/>
      <c r="M54" s="27"/>
      <c r="N54" s="28"/>
      <c r="O54" s="28"/>
      <c r="P54" s="28"/>
      <c r="Q54" s="26" t="n">
        <f aca="false">IFERROR($K54*$L54,"")</f>
        <v>0</v>
      </c>
      <c r="R54" s="44" t="n">
        <f aca="false">IF(OR($O54="",$P54=""),0,$O54*$P54)</f>
        <v>0</v>
      </c>
      <c r="S54" s="27"/>
      <c r="T54" s="27"/>
      <c r="U54" s="40" t="n">
        <f aca="false">IF($A54="",0,IF(AND(OR($E54=Atleta!$C$4,$E54="Equipe (todos)"),$A54&gt;=Atleta!$C$5),MAX($U$7:U53)+1,0))</f>
        <v>0</v>
      </c>
    </row>
    <row r="55" customFormat="false" ht="15" hidden="false" customHeight="false" outlineLevel="0" collapsed="false">
      <c r="A55" s="29"/>
      <c r="B55" s="40" t="n">
        <f aca="false">IF($A55="",0,INT(($A55-Macrociclo!$C$11)/7)+1)</f>
        <v>0</v>
      </c>
      <c r="C55" s="28"/>
      <c r="D55" s="28"/>
      <c r="E55" s="27"/>
      <c r="F55" s="28"/>
      <c r="G55" s="27"/>
      <c r="H55" s="26" t="str">
        <f aca="false">IFERROR(INDEX(Exercícios!$C$7:$C$206,MATCH($G55,Exercícios!$B$7:$B$206,0)),"")</f>
        <v/>
      </c>
      <c r="I55" s="26" t="str">
        <f aca="false">IFERROR(INDEX(Exercícios!$D$7:$D$206,MATCH($G55,Exercícios!$B$7:$B$206,0)),"")</f>
        <v/>
      </c>
      <c r="J55" s="26" t="str">
        <f aca="false">IFERROR(INDEX(Exercícios!$E$7:$E$206,MATCH($G55,Exercícios!$B$7:$B$206,0)),"")</f>
        <v/>
      </c>
      <c r="K55" s="28"/>
      <c r="L55" s="28"/>
      <c r="M55" s="27"/>
      <c r="N55" s="28"/>
      <c r="O55" s="28"/>
      <c r="P55" s="28"/>
      <c r="Q55" s="26" t="n">
        <f aca="false">IFERROR($K55*$L55,"")</f>
        <v>0</v>
      </c>
      <c r="R55" s="44" t="n">
        <f aca="false">IF(OR($O55="",$P55=""),0,$O55*$P55)</f>
        <v>0</v>
      </c>
      <c r="S55" s="27"/>
      <c r="T55" s="27"/>
      <c r="U55" s="40" t="n">
        <f aca="false">IF($A55="",0,IF(AND(OR($E55=Atleta!$C$4,$E55="Equipe (todos)"),$A55&gt;=Atleta!$C$5),MAX($U$7:U54)+1,0))</f>
        <v>0</v>
      </c>
    </row>
    <row r="56" customFormat="false" ht="15" hidden="false" customHeight="false" outlineLevel="0" collapsed="false">
      <c r="A56" s="29"/>
      <c r="B56" s="40" t="n">
        <f aca="false">IF($A56="",0,INT(($A56-Macrociclo!$C$11)/7)+1)</f>
        <v>0</v>
      </c>
      <c r="C56" s="28"/>
      <c r="D56" s="28"/>
      <c r="E56" s="27"/>
      <c r="F56" s="28"/>
      <c r="G56" s="27"/>
      <c r="H56" s="26" t="str">
        <f aca="false">IFERROR(INDEX(Exercícios!$C$7:$C$206,MATCH($G56,Exercícios!$B$7:$B$206,0)),"")</f>
        <v/>
      </c>
      <c r="I56" s="26" t="str">
        <f aca="false">IFERROR(INDEX(Exercícios!$D$7:$D$206,MATCH($G56,Exercícios!$B$7:$B$206,0)),"")</f>
        <v/>
      </c>
      <c r="J56" s="26" t="str">
        <f aca="false">IFERROR(INDEX(Exercícios!$E$7:$E$206,MATCH($G56,Exercícios!$B$7:$B$206,0)),"")</f>
        <v/>
      </c>
      <c r="K56" s="28"/>
      <c r="L56" s="28"/>
      <c r="M56" s="27"/>
      <c r="N56" s="28"/>
      <c r="O56" s="28"/>
      <c r="P56" s="28"/>
      <c r="Q56" s="26" t="n">
        <f aca="false">IFERROR($K56*$L56,"")</f>
        <v>0</v>
      </c>
      <c r="R56" s="44" t="n">
        <f aca="false">IF(OR($O56="",$P56=""),0,$O56*$P56)</f>
        <v>0</v>
      </c>
      <c r="S56" s="27"/>
      <c r="T56" s="27"/>
      <c r="U56" s="40" t="n">
        <f aca="false">IF($A56="",0,IF(AND(OR($E56=Atleta!$C$4,$E56="Equipe (todos)"),$A56&gt;=Atleta!$C$5),MAX($U$7:U55)+1,0))</f>
        <v>0</v>
      </c>
    </row>
    <row r="57" customFormat="false" ht="15" hidden="false" customHeight="false" outlineLevel="0" collapsed="false">
      <c r="A57" s="29"/>
      <c r="B57" s="40" t="n">
        <f aca="false">IF($A57="",0,INT(($A57-Macrociclo!$C$11)/7)+1)</f>
        <v>0</v>
      </c>
      <c r="C57" s="28"/>
      <c r="D57" s="28"/>
      <c r="E57" s="27"/>
      <c r="F57" s="28"/>
      <c r="G57" s="27"/>
      <c r="H57" s="26" t="str">
        <f aca="false">IFERROR(INDEX(Exercícios!$C$7:$C$206,MATCH($G57,Exercícios!$B$7:$B$206,0)),"")</f>
        <v/>
      </c>
      <c r="I57" s="26" t="str">
        <f aca="false">IFERROR(INDEX(Exercícios!$D$7:$D$206,MATCH($G57,Exercícios!$B$7:$B$206,0)),"")</f>
        <v/>
      </c>
      <c r="J57" s="26" t="str">
        <f aca="false">IFERROR(INDEX(Exercícios!$E$7:$E$206,MATCH($G57,Exercícios!$B$7:$B$206,0)),"")</f>
        <v/>
      </c>
      <c r="K57" s="28"/>
      <c r="L57" s="28"/>
      <c r="M57" s="27"/>
      <c r="N57" s="28"/>
      <c r="O57" s="28"/>
      <c r="P57" s="28"/>
      <c r="Q57" s="26" t="n">
        <f aca="false">IFERROR($K57*$L57,"")</f>
        <v>0</v>
      </c>
      <c r="R57" s="44" t="n">
        <f aca="false">IF(OR($O57="",$P57=""),0,$O57*$P57)</f>
        <v>0</v>
      </c>
      <c r="S57" s="27"/>
      <c r="T57" s="27"/>
      <c r="U57" s="40" t="n">
        <f aca="false">IF($A57="",0,IF(AND(OR($E57=Atleta!$C$4,$E57="Equipe (todos)"),$A57&gt;=Atleta!$C$5),MAX($U$7:U56)+1,0))</f>
        <v>0</v>
      </c>
    </row>
    <row r="58" customFormat="false" ht="15" hidden="false" customHeight="false" outlineLevel="0" collapsed="false">
      <c r="A58" s="29"/>
      <c r="B58" s="40" t="n">
        <f aca="false">IF($A58="",0,INT(($A58-Macrociclo!$C$11)/7)+1)</f>
        <v>0</v>
      </c>
      <c r="C58" s="28"/>
      <c r="D58" s="28"/>
      <c r="E58" s="27"/>
      <c r="F58" s="28"/>
      <c r="G58" s="27"/>
      <c r="H58" s="26" t="str">
        <f aca="false">IFERROR(INDEX(Exercícios!$C$7:$C$206,MATCH($G58,Exercícios!$B$7:$B$206,0)),"")</f>
        <v/>
      </c>
      <c r="I58" s="26" t="str">
        <f aca="false">IFERROR(INDEX(Exercícios!$D$7:$D$206,MATCH($G58,Exercícios!$B$7:$B$206,0)),"")</f>
        <v/>
      </c>
      <c r="J58" s="26" t="str">
        <f aca="false">IFERROR(INDEX(Exercícios!$E$7:$E$206,MATCH($G58,Exercícios!$B$7:$B$206,0)),"")</f>
        <v/>
      </c>
      <c r="K58" s="28"/>
      <c r="L58" s="28"/>
      <c r="M58" s="27"/>
      <c r="N58" s="28"/>
      <c r="O58" s="28"/>
      <c r="P58" s="28"/>
      <c r="Q58" s="26" t="n">
        <f aca="false">IFERROR($K58*$L58,"")</f>
        <v>0</v>
      </c>
      <c r="R58" s="44" t="n">
        <f aca="false">IF(OR($O58="",$P58=""),0,$O58*$P58)</f>
        <v>0</v>
      </c>
      <c r="S58" s="27"/>
      <c r="T58" s="27"/>
      <c r="U58" s="40" t="n">
        <f aca="false">IF($A58="",0,IF(AND(OR($E58=Atleta!$C$4,$E58="Equipe (todos)"),$A58&gt;=Atleta!$C$5),MAX($U$7:U57)+1,0))</f>
        <v>0</v>
      </c>
    </row>
    <row r="59" customFormat="false" ht="15" hidden="false" customHeight="false" outlineLevel="0" collapsed="false">
      <c r="A59" s="29"/>
      <c r="B59" s="40" t="n">
        <f aca="false">IF($A59="",0,INT(($A59-Macrociclo!$C$11)/7)+1)</f>
        <v>0</v>
      </c>
      <c r="C59" s="28"/>
      <c r="D59" s="28"/>
      <c r="E59" s="27"/>
      <c r="F59" s="28"/>
      <c r="G59" s="27"/>
      <c r="H59" s="26" t="str">
        <f aca="false">IFERROR(INDEX(Exercícios!$C$7:$C$206,MATCH($G59,Exercícios!$B$7:$B$206,0)),"")</f>
        <v/>
      </c>
      <c r="I59" s="26" t="str">
        <f aca="false">IFERROR(INDEX(Exercícios!$D$7:$D$206,MATCH($G59,Exercícios!$B$7:$B$206,0)),"")</f>
        <v/>
      </c>
      <c r="J59" s="26" t="str">
        <f aca="false">IFERROR(INDEX(Exercícios!$E$7:$E$206,MATCH($G59,Exercícios!$B$7:$B$206,0)),"")</f>
        <v/>
      </c>
      <c r="K59" s="28"/>
      <c r="L59" s="28"/>
      <c r="M59" s="27"/>
      <c r="N59" s="28"/>
      <c r="O59" s="28"/>
      <c r="P59" s="28"/>
      <c r="Q59" s="26" t="n">
        <f aca="false">IFERROR($K59*$L59,"")</f>
        <v>0</v>
      </c>
      <c r="R59" s="44" t="n">
        <f aca="false">IF(OR($O59="",$P59=""),0,$O59*$P59)</f>
        <v>0</v>
      </c>
      <c r="S59" s="27"/>
      <c r="T59" s="27"/>
      <c r="U59" s="40" t="n">
        <f aca="false">IF($A59="",0,IF(AND(OR($E59=Atleta!$C$4,$E59="Equipe (todos)"),$A59&gt;=Atleta!$C$5),MAX($U$7:U58)+1,0))</f>
        <v>0</v>
      </c>
    </row>
    <row r="60" customFormat="false" ht="15" hidden="false" customHeight="false" outlineLevel="0" collapsed="false">
      <c r="A60" s="29"/>
      <c r="B60" s="40" t="n">
        <f aca="false">IF($A60="",0,INT(($A60-Macrociclo!$C$11)/7)+1)</f>
        <v>0</v>
      </c>
      <c r="C60" s="28"/>
      <c r="D60" s="28"/>
      <c r="E60" s="27"/>
      <c r="F60" s="28"/>
      <c r="G60" s="27"/>
      <c r="H60" s="26" t="str">
        <f aca="false">IFERROR(INDEX(Exercícios!$C$7:$C$206,MATCH($G60,Exercícios!$B$7:$B$206,0)),"")</f>
        <v/>
      </c>
      <c r="I60" s="26" t="str">
        <f aca="false">IFERROR(INDEX(Exercícios!$D$7:$D$206,MATCH($G60,Exercícios!$B$7:$B$206,0)),"")</f>
        <v/>
      </c>
      <c r="J60" s="26" t="str">
        <f aca="false">IFERROR(INDEX(Exercícios!$E$7:$E$206,MATCH($G60,Exercícios!$B$7:$B$206,0)),"")</f>
        <v/>
      </c>
      <c r="K60" s="28"/>
      <c r="L60" s="28"/>
      <c r="M60" s="27"/>
      <c r="N60" s="28"/>
      <c r="O60" s="28"/>
      <c r="P60" s="28"/>
      <c r="Q60" s="26" t="n">
        <f aca="false">IFERROR($K60*$L60,"")</f>
        <v>0</v>
      </c>
      <c r="R60" s="44" t="n">
        <f aca="false">IF(OR($O60="",$P60=""),0,$O60*$P60)</f>
        <v>0</v>
      </c>
      <c r="S60" s="27"/>
      <c r="T60" s="27"/>
      <c r="U60" s="40" t="n">
        <f aca="false">IF($A60="",0,IF(AND(OR($E60=Atleta!$C$4,$E60="Equipe (todos)"),$A60&gt;=Atleta!$C$5),MAX($U$7:U59)+1,0))</f>
        <v>0</v>
      </c>
    </row>
    <row r="61" customFormat="false" ht="15" hidden="false" customHeight="false" outlineLevel="0" collapsed="false">
      <c r="A61" s="29"/>
      <c r="B61" s="40" t="n">
        <f aca="false">IF($A61="",0,INT(($A61-Macrociclo!$C$11)/7)+1)</f>
        <v>0</v>
      </c>
      <c r="C61" s="28"/>
      <c r="D61" s="28"/>
      <c r="E61" s="27"/>
      <c r="F61" s="28"/>
      <c r="G61" s="27"/>
      <c r="H61" s="26" t="str">
        <f aca="false">IFERROR(INDEX(Exercícios!$C$7:$C$206,MATCH($G61,Exercícios!$B$7:$B$206,0)),"")</f>
        <v/>
      </c>
      <c r="I61" s="26" t="str">
        <f aca="false">IFERROR(INDEX(Exercícios!$D$7:$D$206,MATCH($G61,Exercícios!$B$7:$B$206,0)),"")</f>
        <v/>
      </c>
      <c r="J61" s="26" t="str">
        <f aca="false">IFERROR(INDEX(Exercícios!$E$7:$E$206,MATCH($G61,Exercícios!$B$7:$B$206,0)),"")</f>
        <v/>
      </c>
      <c r="K61" s="28"/>
      <c r="L61" s="28"/>
      <c r="M61" s="27"/>
      <c r="N61" s="28"/>
      <c r="O61" s="28"/>
      <c r="P61" s="28"/>
      <c r="Q61" s="26" t="n">
        <f aca="false">IFERROR($K61*$L61,"")</f>
        <v>0</v>
      </c>
      <c r="R61" s="44" t="n">
        <f aca="false">IF(OR($O61="",$P61=""),0,$O61*$P61)</f>
        <v>0</v>
      </c>
      <c r="S61" s="27"/>
      <c r="T61" s="27"/>
      <c r="U61" s="40" t="n">
        <f aca="false">IF($A61="",0,IF(AND(OR($E61=Atleta!$C$4,$E61="Equipe (todos)"),$A61&gt;=Atleta!$C$5),MAX($U$7:U60)+1,0))</f>
        <v>0</v>
      </c>
    </row>
    <row r="62" customFormat="false" ht="15" hidden="false" customHeight="false" outlineLevel="0" collapsed="false">
      <c r="A62" s="29"/>
      <c r="B62" s="40" t="n">
        <f aca="false">IF($A62="",0,INT(($A62-Macrociclo!$C$11)/7)+1)</f>
        <v>0</v>
      </c>
      <c r="C62" s="28"/>
      <c r="D62" s="28"/>
      <c r="E62" s="27"/>
      <c r="F62" s="28"/>
      <c r="G62" s="27"/>
      <c r="H62" s="26" t="str">
        <f aca="false">IFERROR(INDEX(Exercícios!$C$7:$C$206,MATCH($G62,Exercícios!$B$7:$B$206,0)),"")</f>
        <v/>
      </c>
      <c r="I62" s="26" t="str">
        <f aca="false">IFERROR(INDEX(Exercícios!$D$7:$D$206,MATCH($G62,Exercícios!$B$7:$B$206,0)),"")</f>
        <v/>
      </c>
      <c r="J62" s="26" t="str">
        <f aca="false">IFERROR(INDEX(Exercícios!$E$7:$E$206,MATCH($G62,Exercícios!$B$7:$B$206,0)),"")</f>
        <v/>
      </c>
      <c r="K62" s="28"/>
      <c r="L62" s="28"/>
      <c r="M62" s="27"/>
      <c r="N62" s="28"/>
      <c r="O62" s="28"/>
      <c r="P62" s="28"/>
      <c r="Q62" s="26" t="n">
        <f aca="false">IFERROR($K62*$L62,"")</f>
        <v>0</v>
      </c>
      <c r="R62" s="44" t="n">
        <f aca="false">IF(OR($O62="",$P62=""),0,$O62*$P62)</f>
        <v>0</v>
      </c>
      <c r="S62" s="27"/>
      <c r="T62" s="27"/>
      <c r="U62" s="40" t="n">
        <f aca="false">IF($A62="",0,IF(AND(OR($E62=Atleta!$C$4,$E62="Equipe (todos)"),$A62&gt;=Atleta!$C$5),MAX($U$7:U61)+1,0))</f>
        <v>0</v>
      </c>
    </row>
    <row r="63" customFormat="false" ht="15" hidden="false" customHeight="false" outlineLevel="0" collapsed="false">
      <c r="A63" s="29"/>
      <c r="B63" s="40" t="n">
        <f aca="false">IF($A63="",0,INT(($A63-Macrociclo!$C$11)/7)+1)</f>
        <v>0</v>
      </c>
      <c r="C63" s="28"/>
      <c r="D63" s="28"/>
      <c r="E63" s="27"/>
      <c r="F63" s="28"/>
      <c r="G63" s="27"/>
      <c r="H63" s="26" t="str">
        <f aca="false">IFERROR(INDEX(Exercícios!$C$7:$C$206,MATCH($G63,Exercícios!$B$7:$B$206,0)),"")</f>
        <v/>
      </c>
      <c r="I63" s="26" t="str">
        <f aca="false">IFERROR(INDEX(Exercícios!$D$7:$D$206,MATCH($G63,Exercícios!$B$7:$B$206,0)),"")</f>
        <v/>
      </c>
      <c r="J63" s="26" t="str">
        <f aca="false">IFERROR(INDEX(Exercícios!$E$7:$E$206,MATCH($G63,Exercícios!$B$7:$B$206,0)),"")</f>
        <v/>
      </c>
      <c r="K63" s="28"/>
      <c r="L63" s="28"/>
      <c r="M63" s="27"/>
      <c r="N63" s="28"/>
      <c r="O63" s="28"/>
      <c r="P63" s="28"/>
      <c r="Q63" s="26" t="n">
        <f aca="false">IFERROR($K63*$L63,"")</f>
        <v>0</v>
      </c>
      <c r="R63" s="44" t="n">
        <f aca="false">IF(OR($O63="",$P63=""),0,$O63*$P63)</f>
        <v>0</v>
      </c>
      <c r="S63" s="27"/>
      <c r="T63" s="27"/>
      <c r="U63" s="40" t="n">
        <f aca="false">IF($A63="",0,IF(AND(OR($E63=Atleta!$C$4,$E63="Equipe (todos)"),$A63&gt;=Atleta!$C$5),MAX($U$7:U62)+1,0))</f>
        <v>0</v>
      </c>
    </row>
    <row r="64" customFormat="false" ht="15" hidden="false" customHeight="false" outlineLevel="0" collapsed="false">
      <c r="A64" s="29"/>
      <c r="B64" s="40" t="n">
        <f aca="false">IF($A64="",0,INT(($A64-Macrociclo!$C$11)/7)+1)</f>
        <v>0</v>
      </c>
      <c r="C64" s="28"/>
      <c r="D64" s="28"/>
      <c r="E64" s="27"/>
      <c r="F64" s="28"/>
      <c r="G64" s="27"/>
      <c r="H64" s="26" t="str">
        <f aca="false">IFERROR(INDEX(Exercícios!$C$7:$C$206,MATCH($G64,Exercícios!$B$7:$B$206,0)),"")</f>
        <v/>
      </c>
      <c r="I64" s="26" t="str">
        <f aca="false">IFERROR(INDEX(Exercícios!$D$7:$D$206,MATCH($G64,Exercícios!$B$7:$B$206,0)),"")</f>
        <v/>
      </c>
      <c r="J64" s="26" t="str">
        <f aca="false">IFERROR(INDEX(Exercícios!$E$7:$E$206,MATCH($G64,Exercícios!$B$7:$B$206,0)),"")</f>
        <v/>
      </c>
      <c r="K64" s="28"/>
      <c r="L64" s="28"/>
      <c r="M64" s="27"/>
      <c r="N64" s="28"/>
      <c r="O64" s="28"/>
      <c r="P64" s="28"/>
      <c r="Q64" s="26" t="n">
        <f aca="false">IFERROR($K64*$L64,"")</f>
        <v>0</v>
      </c>
      <c r="R64" s="44" t="n">
        <f aca="false">IF(OR($O64="",$P64=""),0,$O64*$P64)</f>
        <v>0</v>
      </c>
      <c r="S64" s="27"/>
      <c r="T64" s="27"/>
      <c r="U64" s="40" t="n">
        <f aca="false">IF($A64="",0,IF(AND(OR($E64=Atleta!$C$4,$E64="Equipe (todos)"),$A64&gt;=Atleta!$C$5),MAX($U$7:U63)+1,0))</f>
        <v>0</v>
      </c>
    </row>
    <row r="65" customFormat="false" ht="15" hidden="false" customHeight="false" outlineLevel="0" collapsed="false">
      <c r="A65" s="29"/>
      <c r="B65" s="40" t="n">
        <f aca="false">IF($A65="",0,INT(($A65-Macrociclo!$C$11)/7)+1)</f>
        <v>0</v>
      </c>
      <c r="C65" s="28"/>
      <c r="D65" s="28"/>
      <c r="E65" s="27"/>
      <c r="F65" s="28"/>
      <c r="G65" s="27"/>
      <c r="H65" s="26" t="str">
        <f aca="false">IFERROR(INDEX(Exercícios!$C$7:$C$206,MATCH($G65,Exercícios!$B$7:$B$206,0)),"")</f>
        <v/>
      </c>
      <c r="I65" s="26" t="str">
        <f aca="false">IFERROR(INDEX(Exercícios!$D$7:$D$206,MATCH($G65,Exercícios!$B$7:$B$206,0)),"")</f>
        <v/>
      </c>
      <c r="J65" s="26" t="str">
        <f aca="false">IFERROR(INDEX(Exercícios!$E$7:$E$206,MATCH($G65,Exercícios!$B$7:$B$206,0)),"")</f>
        <v/>
      </c>
      <c r="K65" s="28"/>
      <c r="L65" s="28"/>
      <c r="M65" s="27"/>
      <c r="N65" s="28"/>
      <c r="O65" s="28"/>
      <c r="P65" s="28"/>
      <c r="Q65" s="26" t="n">
        <f aca="false">IFERROR($K65*$L65,"")</f>
        <v>0</v>
      </c>
      <c r="R65" s="44" t="n">
        <f aca="false">IF(OR($O65="",$P65=""),0,$O65*$P65)</f>
        <v>0</v>
      </c>
      <c r="S65" s="27"/>
      <c r="T65" s="27"/>
      <c r="U65" s="40" t="n">
        <f aca="false">IF($A65="",0,IF(AND(OR($E65=Atleta!$C$4,$E65="Equipe (todos)"),$A65&gt;=Atleta!$C$5),MAX($U$7:U64)+1,0))</f>
        <v>0</v>
      </c>
    </row>
    <row r="66" customFormat="false" ht="15" hidden="false" customHeight="false" outlineLevel="0" collapsed="false">
      <c r="A66" s="29"/>
      <c r="B66" s="40" t="n">
        <f aca="false">IF($A66="",0,INT(($A66-Macrociclo!$C$11)/7)+1)</f>
        <v>0</v>
      </c>
      <c r="C66" s="28"/>
      <c r="D66" s="28"/>
      <c r="E66" s="27"/>
      <c r="F66" s="28"/>
      <c r="G66" s="27"/>
      <c r="H66" s="26" t="str">
        <f aca="false">IFERROR(INDEX(Exercícios!$C$7:$C$206,MATCH($G66,Exercícios!$B$7:$B$206,0)),"")</f>
        <v/>
      </c>
      <c r="I66" s="26" t="str">
        <f aca="false">IFERROR(INDEX(Exercícios!$D$7:$D$206,MATCH($G66,Exercícios!$B$7:$B$206,0)),"")</f>
        <v/>
      </c>
      <c r="J66" s="26" t="str">
        <f aca="false">IFERROR(INDEX(Exercícios!$E$7:$E$206,MATCH($G66,Exercícios!$B$7:$B$206,0)),"")</f>
        <v/>
      </c>
      <c r="K66" s="28"/>
      <c r="L66" s="28"/>
      <c r="M66" s="27"/>
      <c r="N66" s="28"/>
      <c r="O66" s="28"/>
      <c r="P66" s="28"/>
      <c r="Q66" s="26" t="n">
        <f aca="false">IFERROR($K66*$L66,"")</f>
        <v>0</v>
      </c>
      <c r="R66" s="44" t="n">
        <f aca="false">IF(OR($O66="",$P66=""),0,$O66*$P66)</f>
        <v>0</v>
      </c>
      <c r="S66" s="27"/>
      <c r="T66" s="27"/>
      <c r="U66" s="40" t="n">
        <f aca="false">IF($A66="",0,IF(AND(OR($E66=Atleta!$C$4,$E66="Equipe (todos)"),$A66&gt;=Atleta!$C$5),MAX($U$7:U65)+1,0))</f>
        <v>0</v>
      </c>
    </row>
    <row r="67" customFormat="false" ht="15" hidden="false" customHeight="false" outlineLevel="0" collapsed="false">
      <c r="A67" s="29"/>
      <c r="B67" s="40" t="n">
        <f aca="false">IF($A67="",0,INT(($A67-Macrociclo!$C$11)/7)+1)</f>
        <v>0</v>
      </c>
      <c r="C67" s="28"/>
      <c r="D67" s="28"/>
      <c r="E67" s="27"/>
      <c r="F67" s="28"/>
      <c r="G67" s="27"/>
      <c r="H67" s="26" t="str">
        <f aca="false">IFERROR(INDEX(Exercícios!$C$7:$C$206,MATCH($G67,Exercícios!$B$7:$B$206,0)),"")</f>
        <v/>
      </c>
      <c r="I67" s="26" t="str">
        <f aca="false">IFERROR(INDEX(Exercícios!$D$7:$D$206,MATCH($G67,Exercícios!$B$7:$B$206,0)),"")</f>
        <v/>
      </c>
      <c r="J67" s="26" t="str">
        <f aca="false">IFERROR(INDEX(Exercícios!$E$7:$E$206,MATCH($G67,Exercícios!$B$7:$B$206,0)),"")</f>
        <v/>
      </c>
      <c r="K67" s="28"/>
      <c r="L67" s="28"/>
      <c r="M67" s="27"/>
      <c r="N67" s="28"/>
      <c r="O67" s="28"/>
      <c r="P67" s="28"/>
      <c r="Q67" s="26" t="n">
        <f aca="false">IFERROR($K67*$L67,"")</f>
        <v>0</v>
      </c>
      <c r="R67" s="44" t="n">
        <f aca="false">IF(OR($O67="",$P67=""),0,$O67*$P67)</f>
        <v>0</v>
      </c>
      <c r="S67" s="27"/>
      <c r="T67" s="27"/>
      <c r="U67" s="40" t="n">
        <f aca="false">IF($A67="",0,IF(AND(OR($E67=Atleta!$C$4,$E67="Equipe (todos)"),$A67&gt;=Atleta!$C$5),MAX($U$7:U66)+1,0))</f>
        <v>0</v>
      </c>
    </row>
    <row r="68" customFormat="false" ht="15" hidden="false" customHeight="false" outlineLevel="0" collapsed="false">
      <c r="A68" s="29"/>
      <c r="B68" s="40" t="n">
        <f aca="false">IF($A68="",0,INT(($A68-Macrociclo!$C$11)/7)+1)</f>
        <v>0</v>
      </c>
      <c r="C68" s="28"/>
      <c r="D68" s="28"/>
      <c r="E68" s="27"/>
      <c r="F68" s="28"/>
      <c r="G68" s="27"/>
      <c r="H68" s="26" t="str">
        <f aca="false">IFERROR(INDEX(Exercícios!$C$7:$C$206,MATCH($G68,Exercícios!$B$7:$B$206,0)),"")</f>
        <v/>
      </c>
      <c r="I68" s="26" t="str">
        <f aca="false">IFERROR(INDEX(Exercícios!$D$7:$D$206,MATCH($G68,Exercícios!$B$7:$B$206,0)),"")</f>
        <v/>
      </c>
      <c r="J68" s="26" t="str">
        <f aca="false">IFERROR(INDEX(Exercícios!$E$7:$E$206,MATCH($G68,Exercícios!$B$7:$B$206,0)),"")</f>
        <v/>
      </c>
      <c r="K68" s="28"/>
      <c r="L68" s="28"/>
      <c r="M68" s="27"/>
      <c r="N68" s="28"/>
      <c r="O68" s="28"/>
      <c r="P68" s="28"/>
      <c r="Q68" s="26" t="n">
        <f aca="false">IFERROR($K68*$L68,"")</f>
        <v>0</v>
      </c>
      <c r="R68" s="44" t="n">
        <f aca="false">IF(OR($O68="",$P68=""),0,$O68*$P68)</f>
        <v>0</v>
      </c>
      <c r="S68" s="27"/>
      <c r="T68" s="27"/>
      <c r="U68" s="40" t="n">
        <f aca="false">IF($A68="",0,IF(AND(OR($E68=Atleta!$C$4,$E68="Equipe (todos)"),$A68&gt;=Atleta!$C$5),MAX($U$7:U67)+1,0))</f>
        <v>0</v>
      </c>
    </row>
    <row r="69" customFormat="false" ht="15" hidden="false" customHeight="false" outlineLevel="0" collapsed="false">
      <c r="A69" s="29"/>
      <c r="B69" s="40" t="n">
        <f aca="false">IF($A69="",0,INT(($A69-Macrociclo!$C$11)/7)+1)</f>
        <v>0</v>
      </c>
      <c r="C69" s="28"/>
      <c r="D69" s="28"/>
      <c r="E69" s="27"/>
      <c r="F69" s="28"/>
      <c r="G69" s="27"/>
      <c r="H69" s="26" t="str">
        <f aca="false">IFERROR(INDEX(Exercícios!$C$7:$C$206,MATCH($G69,Exercícios!$B$7:$B$206,0)),"")</f>
        <v/>
      </c>
      <c r="I69" s="26" t="str">
        <f aca="false">IFERROR(INDEX(Exercícios!$D$7:$D$206,MATCH($G69,Exercícios!$B$7:$B$206,0)),"")</f>
        <v/>
      </c>
      <c r="J69" s="26" t="str">
        <f aca="false">IFERROR(INDEX(Exercícios!$E$7:$E$206,MATCH($G69,Exercícios!$B$7:$B$206,0)),"")</f>
        <v/>
      </c>
      <c r="K69" s="28"/>
      <c r="L69" s="28"/>
      <c r="M69" s="27"/>
      <c r="N69" s="28"/>
      <c r="O69" s="28"/>
      <c r="P69" s="28"/>
      <c r="Q69" s="26" t="n">
        <f aca="false">IFERROR($K69*$L69,"")</f>
        <v>0</v>
      </c>
      <c r="R69" s="44" t="n">
        <f aca="false">IF(OR($O69="",$P69=""),0,$O69*$P69)</f>
        <v>0</v>
      </c>
      <c r="S69" s="27"/>
      <c r="T69" s="27"/>
      <c r="U69" s="40" t="n">
        <f aca="false">IF($A69="",0,IF(AND(OR($E69=Atleta!$C$4,$E69="Equipe (todos)"),$A69&gt;=Atleta!$C$5),MAX($U$7:U68)+1,0))</f>
        <v>0</v>
      </c>
    </row>
    <row r="70" customFormat="false" ht="15" hidden="false" customHeight="false" outlineLevel="0" collapsed="false">
      <c r="A70" s="29"/>
      <c r="B70" s="40" t="n">
        <f aca="false">IF($A70="",0,INT(($A70-Macrociclo!$C$11)/7)+1)</f>
        <v>0</v>
      </c>
      <c r="C70" s="28"/>
      <c r="D70" s="28"/>
      <c r="E70" s="27"/>
      <c r="F70" s="28"/>
      <c r="G70" s="27"/>
      <c r="H70" s="26" t="str">
        <f aca="false">IFERROR(INDEX(Exercícios!$C$7:$C$206,MATCH($G70,Exercícios!$B$7:$B$206,0)),"")</f>
        <v/>
      </c>
      <c r="I70" s="26" t="str">
        <f aca="false">IFERROR(INDEX(Exercícios!$D$7:$D$206,MATCH($G70,Exercícios!$B$7:$B$206,0)),"")</f>
        <v/>
      </c>
      <c r="J70" s="26" t="str">
        <f aca="false">IFERROR(INDEX(Exercícios!$E$7:$E$206,MATCH($G70,Exercícios!$B$7:$B$206,0)),"")</f>
        <v/>
      </c>
      <c r="K70" s="28"/>
      <c r="L70" s="28"/>
      <c r="M70" s="27"/>
      <c r="N70" s="28"/>
      <c r="O70" s="28"/>
      <c r="P70" s="28"/>
      <c r="Q70" s="26" t="n">
        <f aca="false">IFERROR($K70*$L70,"")</f>
        <v>0</v>
      </c>
      <c r="R70" s="44" t="n">
        <f aca="false">IF(OR($O70="",$P70=""),0,$O70*$P70)</f>
        <v>0</v>
      </c>
      <c r="S70" s="27"/>
      <c r="T70" s="27"/>
      <c r="U70" s="40" t="n">
        <f aca="false">IF($A70="",0,IF(AND(OR($E70=Atleta!$C$4,$E70="Equipe (todos)"),$A70&gt;=Atleta!$C$5),MAX($U$7:U69)+1,0))</f>
        <v>0</v>
      </c>
    </row>
    <row r="71" customFormat="false" ht="15" hidden="false" customHeight="false" outlineLevel="0" collapsed="false">
      <c r="A71" s="29"/>
      <c r="B71" s="40" t="n">
        <f aca="false">IF($A71="",0,INT(($A71-Macrociclo!$C$11)/7)+1)</f>
        <v>0</v>
      </c>
      <c r="C71" s="28"/>
      <c r="D71" s="28"/>
      <c r="E71" s="27"/>
      <c r="F71" s="28"/>
      <c r="G71" s="27"/>
      <c r="H71" s="26" t="str">
        <f aca="false">IFERROR(INDEX(Exercícios!$C$7:$C$206,MATCH($G71,Exercícios!$B$7:$B$206,0)),"")</f>
        <v/>
      </c>
      <c r="I71" s="26" t="str">
        <f aca="false">IFERROR(INDEX(Exercícios!$D$7:$D$206,MATCH($G71,Exercícios!$B$7:$B$206,0)),"")</f>
        <v/>
      </c>
      <c r="J71" s="26" t="str">
        <f aca="false">IFERROR(INDEX(Exercícios!$E$7:$E$206,MATCH($G71,Exercícios!$B$7:$B$206,0)),"")</f>
        <v/>
      </c>
      <c r="K71" s="28"/>
      <c r="L71" s="28"/>
      <c r="M71" s="27"/>
      <c r="N71" s="28"/>
      <c r="O71" s="28"/>
      <c r="P71" s="28"/>
      <c r="Q71" s="26" t="n">
        <f aca="false">IFERROR($K71*$L71,"")</f>
        <v>0</v>
      </c>
      <c r="R71" s="44" t="n">
        <f aca="false">IF(OR($O71="",$P71=""),0,$O71*$P71)</f>
        <v>0</v>
      </c>
      <c r="S71" s="27"/>
      <c r="T71" s="27"/>
      <c r="U71" s="40" t="n">
        <f aca="false">IF($A71="",0,IF(AND(OR($E71=Atleta!$C$4,$E71="Equipe (todos)"),$A71&gt;=Atleta!$C$5),MAX($U$7:U70)+1,0))</f>
        <v>0</v>
      </c>
    </row>
    <row r="72" customFormat="false" ht="15" hidden="false" customHeight="false" outlineLevel="0" collapsed="false">
      <c r="A72" s="29"/>
      <c r="B72" s="40" t="n">
        <f aca="false">IF($A72="",0,INT(($A72-Macrociclo!$C$11)/7)+1)</f>
        <v>0</v>
      </c>
      <c r="C72" s="28"/>
      <c r="D72" s="28"/>
      <c r="E72" s="27"/>
      <c r="F72" s="28"/>
      <c r="G72" s="27"/>
      <c r="H72" s="26" t="str">
        <f aca="false">IFERROR(INDEX(Exercícios!$C$7:$C$206,MATCH($G72,Exercícios!$B$7:$B$206,0)),"")</f>
        <v/>
      </c>
      <c r="I72" s="26" t="str">
        <f aca="false">IFERROR(INDEX(Exercícios!$D$7:$D$206,MATCH($G72,Exercícios!$B$7:$B$206,0)),"")</f>
        <v/>
      </c>
      <c r="J72" s="26" t="str">
        <f aca="false">IFERROR(INDEX(Exercícios!$E$7:$E$206,MATCH($G72,Exercícios!$B$7:$B$206,0)),"")</f>
        <v/>
      </c>
      <c r="K72" s="28"/>
      <c r="L72" s="28"/>
      <c r="M72" s="27"/>
      <c r="N72" s="28"/>
      <c r="O72" s="28"/>
      <c r="P72" s="28"/>
      <c r="Q72" s="26" t="n">
        <f aca="false">IFERROR($K72*$L72,"")</f>
        <v>0</v>
      </c>
      <c r="R72" s="44" t="n">
        <f aca="false">IF(OR($O72="",$P72=""),0,$O72*$P72)</f>
        <v>0</v>
      </c>
      <c r="S72" s="27"/>
      <c r="T72" s="27"/>
      <c r="U72" s="40" t="n">
        <f aca="false">IF($A72="",0,IF(AND(OR($E72=Atleta!$C$4,$E72="Equipe (todos)"),$A72&gt;=Atleta!$C$5),MAX($U$7:U71)+1,0))</f>
        <v>0</v>
      </c>
    </row>
    <row r="73" customFormat="false" ht="15" hidden="false" customHeight="false" outlineLevel="0" collapsed="false">
      <c r="A73" s="29"/>
      <c r="B73" s="40" t="n">
        <f aca="false">IF($A73="",0,INT(($A73-Macrociclo!$C$11)/7)+1)</f>
        <v>0</v>
      </c>
      <c r="C73" s="28"/>
      <c r="D73" s="28"/>
      <c r="E73" s="27"/>
      <c r="F73" s="28"/>
      <c r="G73" s="27"/>
      <c r="H73" s="26" t="str">
        <f aca="false">IFERROR(INDEX(Exercícios!$C$7:$C$206,MATCH($G73,Exercícios!$B$7:$B$206,0)),"")</f>
        <v/>
      </c>
      <c r="I73" s="26" t="str">
        <f aca="false">IFERROR(INDEX(Exercícios!$D$7:$D$206,MATCH($G73,Exercícios!$B$7:$B$206,0)),"")</f>
        <v/>
      </c>
      <c r="J73" s="26" t="str">
        <f aca="false">IFERROR(INDEX(Exercícios!$E$7:$E$206,MATCH($G73,Exercícios!$B$7:$B$206,0)),"")</f>
        <v/>
      </c>
      <c r="K73" s="28"/>
      <c r="L73" s="28"/>
      <c r="M73" s="27"/>
      <c r="N73" s="28"/>
      <c r="O73" s="28"/>
      <c r="P73" s="28"/>
      <c r="Q73" s="26" t="n">
        <f aca="false">IFERROR($K73*$L73,"")</f>
        <v>0</v>
      </c>
      <c r="R73" s="44" t="n">
        <f aca="false">IF(OR($O73="",$P73=""),0,$O73*$P73)</f>
        <v>0</v>
      </c>
      <c r="S73" s="27"/>
      <c r="T73" s="27"/>
      <c r="U73" s="40" t="n">
        <f aca="false">IF($A73="",0,IF(AND(OR($E73=Atleta!$C$4,$E73="Equipe (todos)"),$A73&gt;=Atleta!$C$5),MAX($U$7:U72)+1,0))</f>
        <v>0</v>
      </c>
    </row>
    <row r="74" customFormat="false" ht="15" hidden="false" customHeight="false" outlineLevel="0" collapsed="false">
      <c r="A74" s="29"/>
      <c r="B74" s="40" t="n">
        <f aca="false">IF($A74="",0,INT(($A74-Macrociclo!$C$11)/7)+1)</f>
        <v>0</v>
      </c>
      <c r="C74" s="28"/>
      <c r="D74" s="28"/>
      <c r="E74" s="27"/>
      <c r="F74" s="28"/>
      <c r="G74" s="27"/>
      <c r="H74" s="26" t="str">
        <f aca="false">IFERROR(INDEX(Exercícios!$C$7:$C$206,MATCH($G74,Exercícios!$B$7:$B$206,0)),"")</f>
        <v/>
      </c>
      <c r="I74" s="26" t="str">
        <f aca="false">IFERROR(INDEX(Exercícios!$D$7:$D$206,MATCH($G74,Exercícios!$B$7:$B$206,0)),"")</f>
        <v/>
      </c>
      <c r="J74" s="26" t="str">
        <f aca="false">IFERROR(INDEX(Exercícios!$E$7:$E$206,MATCH($G74,Exercícios!$B$7:$B$206,0)),"")</f>
        <v/>
      </c>
      <c r="K74" s="28"/>
      <c r="L74" s="28"/>
      <c r="M74" s="27"/>
      <c r="N74" s="28"/>
      <c r="O74" s="28"/>
      <c r="P74" s="28"/>
      <c r="Q74" s="26" t="n">
        <f aca="false">IFERROR($K74*$L74,"")</f>
        <v>0</v>
      </c>
      <c r="R74" s="44" t="n">
        <f aca="false">IF(OR($O74="",$P74=""),0,$O74*$P74)</f>
        <v>0</v>
      </c>
      <c r="S74" s="27"/>
      <c r="T74" s="27"/>
      <c r="U74" s="40" t="n">
        <f aca="false">IF($A74="",0,IF(AND(OR($E74=Atleta!$C$4,$E74="Equipe (todos)"),$A74&gt;=Atleta!$C$5),MAX($U$7:U73)+1,0))</f>
        <v>0</v>
      </c>
    </row>
    <row r="75" customFormat="false" ht="15" hidden="false" customHeight="false" outlineLevel="0" collapsed="false">
      <c r="A75" s="29"/>
      <c r="B75" s="40" t="n">
        <f aca="false">IF($A75="",0,INT(($A75-Macrociclo!$C$11)/7)+1)</f>
        <v>0</v>
      </c>
      <c r="C75" s="28"/>
      <c r="D75" s="28"/>
      <c r="E75" s="27"/>
      <c r="F75" s="28"/>
      <c r="G75" s="27"/>
      <c r="H75" s="26" t="str">
        <f aca="false">IFERROR(INDEX(Exercícios!$C$7:$C$206,MATCH($G75,Exercícios!$B$7:$B$206,0)),"")</f>
        <v/>
      </c>
      <c r="I75" s="26" t="str">
        <f aca="false">IFERROR(INDEX(Exercícios!$D$7:$D$206,MATCH($G75,Exercícios!$B$7:$B$206,0)),"")</f>
        <v/>
      </c>
      <c r="J75" s="26" t="str">
        <f aca="false">IFERROR(INDEX(Exercícios!$E$7:$E$206,MATCH($G75,Exercícios!$B$7:$B$206,0)),"")</f>
        <v/>
      </c>
      <c r="K75" s="28"/>
      <c r="L75" s="28"/>
      <c r="M75" s="27"/>
      <c r="N75" s="28"/>
      <c r="O75" s="28"/>
      <c r="P75" s="28"/>
      <c r="Q75" s="26" t="n">
        <f aca="false">IFERROR($K75*$L75,"")</f>
        <v>0</v>
      </c>
      <c r="R75" s="44" t="n">
        <f aca="false">IF(OR($O75="",$P75=""),0,$O75*$P75)</f>
        <v>0</v>
      </c>
      <c r="S75" s="27"/>
      <c r="T75" s="27"/>
      <c r="U75" s="40" t="n">
        <f aca="false">IF($A75="",0,IF(AND(OR($E75=Atleta!$C$4,$E75="Equipe (todos)"),$A75&gt;=Atleta!$C$5),MAX($U$7:U74)+1,0))</f>
        <v>0</v>
      </c>
    </row>
    <row r="76" customFormat="false" ht="15" hidden="false" customHeight="false" outlineLevel="0" collapsed="false">
      <c r="A76" s="29"/>
      <c r="B76" s="40" t="n">
        <f aca="false">IF($A76="",0,INT(($A76-Macrociclo!$C$11)/7)+1)</f>
        <v>0</v>
      </c>
      <c r="C76" s="28"/>
      <c r="D76" s="28"/>
      <c r="E76" s="27"/>
      <c r="F76" s="28"/>
      <c r="G76" s="27"/>
      <c r="H76" s="26" t="str">
        <f aca="false">IFERROR(INDEX(Exercícios!$C$7:$C$206,MATCH($G76,Exercícios!$B$7:$B$206,0)),"")</f>
        <v/>
      </c>
      <c r="I76" s="26" t="str">
        <f aca="false">IFERROR(INDEX(Exercícios!$D$7:$D$206,MATCH($G76,Exercícios!$B$7:$B$206,0)),"")</f>
        <v/>
      </c>
      <c r="J76" s="26" t="str">
        <f aca="false">IFERROR(INDEX(Exercícios!$E$7:$E$206,MATCH($G76,Exercícios!$B$7:$B$206,0)),"")</f>
        <v/>
      </c>
      <c r="K76" s="28"/>
      <c r="L76" s="28"/>
      <c r="M76" s="27"/>
      <c r="N76" s="28"/>
      <c r="O76" s="28"/>
      <c r="P76" s="28"/>
      <c r="Q76" s="26" t="n">
        <f aca="false">IFERROR($K76*$L76,"")</f>
        <v>0</v>
      </c>
      <c r="R76" s="44" t="n">
        <f aca="false">IF(OR($O76="",$P76=""),0,$O76*$P76)</f>
        <v>0</v>
      </c>
      <c r="S76" s="27"/>
      <c r="T76" s="27"/>
      <c r="U76" s="40" t="n">
        <f aca="false">IF($A76="",0,IF(AND(OR($E76=Atleta!$C$4,$E76="Equipe (todos)"),$A76&gt;=Atleta!$C$5),MAX($U$7:U75)+1,0))</f>
        <v>0</v>
      </c>
    </row>
    <row r="77" customFormat="false" ht="15" hidden="false" customHeight="false" outlineLevel="0" collapsed="false">
      <c r="A77" s="29"/>
      <c r="B77" s="40" t="n">
        <f aca="false">IF($A77="",0,INT(($A77-Macrociclo!$C$11)/7)+1)</f>
        <v>0</v>
      </c>
      <c r="C77" s="28"/>
      <c r="D77" s="28"/>
      <c r="E77" s="27"/>
      <c r="F77" s="28"/>
      <c r="G77" s="27"/>
      <c r="H77" s="26" t="str">
        <f aca="false">IFERROR(INDEX(Exercícios!$C$7:$C$206,MATCH($G77,Exercícios!$B$7:$B$206,0)),"")</f>
        <v/>
      </c>
      <c r="I77" s="26" t="str">
        <f aca="false">IFERROR(INDEX(Exercícios!$D$7:$D$206,MATCH($G77,Exercícios!$B$7:$B$206,0)),"")</f>
        <v/>
      </c>
      <c r="J77" s="26" t="str">
        <f aca="false">IFERROR(INDEX(Exercícios!$E$7:$E$206,MATCH($G77,Exercícios!$B$7:$B$206,0)),"")</f>
        <v/>
      </c>
      <c r="K77" s="28"/>
      <c r="L77" s="28"/>
      <c r="M77" s="27"/>
      <c r="N77" s="28"/>
      <c r="O77" s="28"/>
      <c r="P77" s="28"/>
      <c r="Q77" s="26" t="n">
        <f aca="false">IFERROR($K77*$L77,"")</f>
        <v>0</v>
      </c>
      <c r="R77" s="44" t="n">
        <f aca="false">IF(OR($O77="",$P77=""),0,$O77*$P77)</f>
        <v>0</v>
      </c>
      <c r="S77" s="27"/>
      <c r="T77" s="27"/>
      <c r="U77" s="40" t="n">
        <f aca="false">IF($A77="",0,IF(AND(OR($E77=Atleta!$C$4,$E77="Equipe (todos)"),$A77&gt;=Atleta!$C$5),MAX($U$7:U76)+1,0))</f>
        <v>0</v>
      </c>
    </row>
    <row r="78" customFormat="false" ht="15" hidden="false" customHeight="false" outlineLevel="0" collapsed="false">
      <c r="A78" s="29"/>
      <c r="B78" s="40" t="n">
        <f aca="false">IF($A78="",0,INT(($A78-Macrociclo!$C$11)/7)+1)</f>
        <v>0</v>
      </c>
      <c r="C78" s="28"/>
      <c r="D78" s="28"/>
      <c r="E78" s="27"/>
      <c r="F78" s="28"/>
      <c r="G78" s="27"/>
      <c r="H78" s="26" t="str">
        <f aca="false">IFERROR(INDEX(Exercícios!$C$7:$C$206,MATCH($G78,Exercícios!$B$7:$B$206,0)),"")</f>
        <v/>
      </c>
      <c r="I78" s="26" t="str">
        <f aca="false">IFERROR(INDEX(Exercícios!$D$7:$D$206,MATCH($G78,Exercícios!$B$7:$B$206,0)),"")</f>
        <v/>
      </c>
      <c r="J78" s="26" t="str">
        <f aca="false">IFERROR(INDEX(Exercícios!$E$7:$E$206,MATCH($G78,Exercícios!$B$7:$B$206,0)),"")</f>
        <v/>
      </c>
      <c r="K78" s="28"/>
      <c r="L78" s="28"/>
      <c r="M78" s="27"/>
      <c r="N78" s="28"/>
      <c r="O78" s="28"/>
      <c r="P78" s="28"/>
      <c r="Q78" s="26" t="n">
        <f aca="false">IFERROR($K78*$L78,"")</f>
        <v>0</v>
      </c>
      <c r="R78" s="44" t="n">
        <f aca="false">IF(OR($O78="",$P78=""),0,$O78*$P78)</f>
        <v>0</v>
      </c>
      <c r="S78" s="27"/>
      <c r="T78" s="27"/>
      <c r="U78" s="40" t="n">
        <f aca="false">IF($A78="",0,IF(AND(OR($E78=Atleta!$C$4,$E78="Equipe (todos)"),$A78&gt;=Atleta!$C$5),MAX($U$7:U77)+1,0))</f>
        <v>0</v>
      </c>
    </row>
    <row r="79" customFormat="false" ht="15" hidden="false" customHeight="false" outlineLevel="0" collapsed="false">
      <c r="A79" s="29"/>
      <c r="B79" s="40" t="n">
        <f aca="false">IF($A79="",0,INT(($A79-Macrociclo!$C$11)/7)+1)</f>
        <v>0</v>
      </c>
      <c r="C79" s="28"/>
      <c r="D79" s="28"/>
      <c r="E79" s="27"/>
      <c r="F79" s="28"/>
      <c r="G79" s="27"/>
      <c r="H79" s="26" t="str">
        <f aca="false">IFERROR(INDEX(Exercícios!$C$7:$C$206,MATCH($G79,Exercícios!$B$7:$B$206,0)),"")</f>
        <v/>
      </c>
      <c r="I79" s="26" t="str">
        <f aca="false">IFERROR(INDEX(Exercícios!$D$7:$D$206,MATCH($G79,Exercícios!$B$7:$B$206,0)),"")</f>
        <v/>
      </c>
      <c r="J79" s="26" t="str">
        <f aca="false">IFERROR(INDEX(Exercícios!$E$7:$E$206,MATCH($G79,Exercícios!$B$7:$B$206,0)),"")</f>
        <v/>
      </c>
      <c r="K79" s="28"/>
      <c r="L79" s="28"/>
      <c r="M79" s="27"/>
      <c r="N79" s="28"/>
      <c r="O79" s="28"/>
      <c r="P79" s="28"/>
      <c r="Q79" s="26" t="n">
        <f aca="false">IFERROR($K79*$L79,"")</f>
        <v>0</v>
      </c>
      <c r="R79" s="44" t="n">
        <f aca="false">IF(OR($O79="",$P79=""),0,$O79*$P79)</f>
        <v>0</v>
      </c>
      <c r="S79" s="27"/>
      <c r="T79" s="27"/>
      <c r="U79" s="40" t="n">
        <f aca="false">IF($A79="",0,IF(AND(OR($E79=Atleta!$C$4,$E79="Equipe (todos)"),$A79&gt;=Atleta!$C$5),MAX($U$7:U78)+1,0))</f>
        <v>0</v>
      </c>
    </row>
    <row r="80" customFormat="false" ht="15" hidden="false" customHeight="false" outlineLevel="0" collapsed="false">
      <c r="A80" s="29"/>
      <c r="B80" s="40" t="n">
        <f aca="false">IF($A80="",0,INT(($A80-Macrociclo!$C$11)/7)+1)</f>
        <v>0</v>
      </c>
      <c r="C80" s="28"/>
      <c r="D80" s="28"/>
      <c r="E80" s="27"/>
      <c r="F80" s="28"/>
      <c r="G80" s="27"/>
      <c r="H80" s="26" t="str">
        <f aca="false">IFERROR(INDEX(Exercícios!$C$7:$C$206,MATCH($G80,Exercícios!$B$7:$B$206,0)),"")</f>
        <v/>
      </c>
      <c r="I80" s="26" t="str">
        <f aca="false">IFERROR(INDEX(Exercícios!$D$7:$D$206,MATCH($G80,Exercícios!$B$7:$B$206,0)),"")</f>
        <v/>
      </c>
      <c r="J80" s="26" t="str">
        <f aca="false">IFERROR(INDEX(Exercícios!$E$7:$E$206,MATCH($G80,Exercícios!$B$7:$B$206,0)),"")</f>
        <v/>
      </c>
      <c r="K80" s="28"/>
      <c r="L80" s="28"/>
      <c r="M80" s="27"/>
      <c r="N80" s="28"/>
      <c r="O80" s="28"/>
      <c r="P80" s="28"/>
      <c r="Q80" s="26" t="n">
        <f aca="false">IFERROR($K80*$L80,"")</f>
        <v>0</v>
      </c>
      <c r="R80" s="44" t="n">
        <f aca="false">IF(OR($O80="",$P80=""),0,$O80*$P80)</f>
        <v>0</v>
      </c>
      <c r="S80" s="27"/>
      <c r="T80" s="27"/>
      <c r="U80" s="40" t="n">
        <f aca="false">IF($A80="",0,IF(AND(OR($E80=Atleta!$C$4,$E80="Equipe (todos)"),$A80&gt;=Atleta!$C$5),MAX($U$7:U79)+1,0))</f>
        <v>0</v>
      </c>
    </row>
    <row r="81" customFormat="false" ht="15" hidden="false" customHeight="false" outlineLevel="0" collapsed="false">
      <c r="A81" s="29"/>
      <c r="B81" s="40" t="n">
        <f aca="false">IF($A81="",0,INT(($A81-Macrociclo!$C$11)/7)+1)</f>
        <v>0</v>
      </c>
      <c r="C81" s="28"/>
      <c r="D81" s="28"/>
      <c r="E81" s="27"/>
      <c r="F81" s="28"/>
      <c r="G81" s="27"/>
      <c r="H81" s="26" t="str">
        <f aca="false">IFERROR(INDEX(Exercícios!$C$7:$C$206,MATCH($G81,Exercícios!$B$7:$B$206,0)),"")</f>
        <v/>
      </c>
      <c r="I81" s="26" t="str">
        <f aca="false">IFERROR(INDEX(Exercícios!$D$7:$D$206,MATCH($G81,Exercícios!$B$7:$B$206,0)),"")</f>
        <v/>
      </c>
      <c r="J81" s="26" t="str">
        <f aca="false">IFERROR(INDEX(Exercícios!$E$7:$E$206,MATCH($G81,Exercícios!$B$7:$B$206,0)),"")</f>
        <v/>
      </c>
      <c r="K81" s="28"/>
      <c r="L81" s="28"/>
      <c r="M81" s="27"/>
      <c r="N81" s="28"/>
      <c r="O81" s="28"/>
      <c r="P81" s="28"/>
      <c r="Q81" s="26" t="n">
        <f aca="false">IFERROR($K81*$L81,"")</f>
        <v>0</v>
      </c>
      <c r="R81" s="44" t="n">
        <f aca="false">IF(OR($O81="",$P81=""),0,$O81*$P81)</f>
        <v>0</v>
      </c>
      <c r="S81" s="27"/>
      <c r="T81" s="27"/>
      <c r="U81" s="40" t="n">
        <f aca="false">IF($A81="",0,IF(AND(OR($E81=Atleta!$C$4,$E81="Equipe (todos)"),$A81&gt;=Atleta!$C$5),MAX($U$7:U80)+1,0))</f>
        <v>0</v>
      </c>
    </row>
    <row r="82" customFormat="false" ht="15" hidden="false" customHeight="false" outlineLevel="0" collapsed="false">
      <c r="A82" s="29"/>
      <c r="B82" s="40" t="n">
        <f aca="false">IF($A82="",0,INT(($A82-Macrociclo!$C$11)/7)+1)</f>
        <v>0</v>
      </c>
      <c r="C82" s="28"/>
      <c r="D82" s="28"/>
      <c r="E82" s="27"/>
      <c r="F82" s="28"/>
      <c r="G82" s="27"/>
      <c r="H82" s="26" t="str">
        <f aca="false">IFERROR(INDEX(Exercícios!$C$7:$C$206,MATCH($G82,Exercícios!$B$7:$B$206,0)),"")</f>
        <v/>
      </c>
      <c r="I82" s="26" t="str">
        <f aca="false">IFERROR(INDEX(Exercícios!$D$7:$D$206,MATCH($G82,Exercícios!$B$7:$B$206,0)),"")</f>
        <v/>
      </c>
      <c r="J82" s="26" t="str">
        <f aca="false">IFERROR(INDEX(Exercícios!$E$7:$E$206,MATCH($G82,Exercícios!$B$7:$B$206,0)),"")</f>
        <v/>
      </c>
      <c r="K82" s="28"/>
      <c r="L82" s="28"/>
      <c r="M82" s="27"/>
      <c r="N82" s="28"/>
      <c r="O82" s="28"/>
      <c r="P82" s="28"/>
      <c r="Q82" s="26" t="n">
        <f aca="false">IFERROR($K82*$L82,"")</f>
        <v>0</v>
      </c>
      <c r="R82" s="44" t="n">
        <f aca="false">IF(OR($O82="",$P82=""),0,$O82*$P82)</f>
        <v>0</v>
      </c>
      <c r="S82" s="27"/>
      <c r="T82" s="27"/>
      <c r="U82" s="40" t="n">
        <f aca="false">IF($A82="",0,IF(AND(OR($E82=Atleta!$C$4,$E82="Equipe (todos)"),$A82&gt;=Atleta!$C$5),MAX($U$7:U81)+1,0))</f>
        <v>0</v>
      </c>
    </row>
    <row r="83" customFormat="false" ht="15" hidden="false" customHeight="false" outlineLevel="0" collapsed="false">
      <c r="A83" s="29"/>
      <c r="B83" s="40" t="n">
        <f aca="false">IF($A83="",0,INT(($A83-Macrociclo!$C$11)/7)+1)</f>
        <v>0</v>
      </c>
      <c r="C83" s="28"/>
      <c r="D83" s="28"/>
      <c r="E83" s="27"/>
      <c r="F83" s="28"/>
      <c r="G83" s="27"/>
      <c r="H83" s="26" t="str">
        <f aca="false">IFERROR(INDEX(Exercícios!$C$7:$C$206,MATCH($G83,Exercícios!$B$7:$B$206,0)),"")</f>
        <v/>
      </c>
      <c r="I83" s="26" t="str">
        <f aca="false">IFERROR(INDEX(Exercícios!$D$7:$D$206,MATCH($G83,Exercícios!$B$7:$B$206,0)),"")</f>
        <v/>
      </c>
      <c r="J83" s="26" t="str">
        <f aca="false">IFERROR(INDEX(Exercícios!$E$7:$E$206,MATCH($G83,Exercícios!$B$7:$B$206,0)),"")</f>
        <v/>
      </c>
      <c r="K83" s="28"/>
      <c r="L83" s="28"/>
      <c r="M83" s="27"/>
      <c r="N83" s="28"/>
      <c r="O83" s="28"/>
      <c r="P83" s="28"/>
      <c r="Q83" s="26" t="n">
        <f aca="false">IFERROR($K83*$L83,"")</f>
        <v>0</v>
      </c>
      <c r="R83" s="44" t="n">
        <f aca="false">IF(OR($O83="",$P83=""),0,$O83*$P83)</f>
        <v>0</v>
      </c>
      <c r="S83" s="27"/>
      <c r="T83" s="27"/>
      <c r="U83" s="40" t="n">
        <f aca="false">IF($A83="",0,IF(AND(OR($E83=Atleta!$C$4,$E83="Equipe (todos)"),$A83&gt;=Atleta!$C$5),MAX($U$7:U82)+1,0))</f>
        <v>0</v>
      </c>
    </row>
    <row r="84" customFormat="false" ht="15" hidden="false" customHeight="false" outlineLevel="0" collapsed="false">
      <c r="A84" s="29"/>
      <c r="B84" s="40" t="n">
        <f aca="false">IF($A84="",0,INT(($A84-Macrociclo!$C$11)/7)+1)</f>
        <v>0</v>
      </c>
      <c r="C84" s="28"/>
      <c r="D84" s="28"/>
      <c r="E84" s="27"/>
      <c r="F84" s="28"/>
      <c r="G84" s="27"/>
      <c r="H84" s="26" t="str">
        <f aca="false">IFERROR(INDEX(Exercícios!$C$7:$C$206,MATCH($G84,Exercícios!$B$7:$B$206,0)),"")</f>
        <v/>
      </c>
      <c r="I84" s="26" t="str">
        <f aca="false">IFERROR(INDEX(Exercícios!$D$7:$D$206,MATCH($G84,Exercícios!$B$7:$B$206,0)),"")</f>
        <v/>
      </c>
      <c r="J84" s="26" t="str">
        <f aca="false">IFERROR(INDEX(Exercícios!$E$7:$E$206,MATCH($G84,Exercícios!$B$7:$B$206,0)),"")</f>
        <v/>
      </c>
      <c r="K84" s="28"/>
      <c r="L84" s="28"/>
      <c r="M84" s="27"/>
      <c r="N84" s="28"/>
      <c r="O84" s="28"/>
      <c r="P84" s="28"/>
      <c r="Q84" s="26" t="n">
        <f aca="false">IFERROR($K84*$L84,"")</f>
        <v>0</v>
      </c>
      <c r="R84" s="44" t="n">
        <f aca="false">IF(OR($O84="",$P84=""),0,$O84*$P84)</f>
        <v>0</v>
      </c>
      <c r="S84" s="27"/>
      <c r="T84" s="27"/>
      <c r="U84" s="40" t="n">
        <f aca="false">IF($A84="",0,IF(AND(OR($E84=Atleta!$C$4,$E84="Equipe (todos)"),$A84&gt;=Atleta!$C$5),MAX($U$7:U83)+1,0))</f>
        <v>0</v>
      </c>
    </row>
    <row r="85" customFormat="false" ht="15" hidden="false" customHeight="false" outlineLevel="0" collapsed="false">
      <c r="A85" s="29"/>
      <c r="B85" s="40" t="n">
        <f aca="false">IF($A85="",0,INT(($A85-Macrociclo!$C$11)/7)+1)</f>
        <v>0</v>
      </c>
      <c r="C85" s="28"/>
      <c r="D85" s="28"/>
      <c r="E85" s="27"/>
      <c r="F85" s="28"/>
      <c r="G85" s="27"/>
      <c r="H85" s="26" t="str">
        <f aca="false">IFERROR(INDEX(Exercícios!$C$7:$C$206,MATCH($G85,Exercícios!$B$7:$B$206,0)),"")</f>
        <v/>
      </c>
      <c r="I85" s="26" t="str">
        <f aca="false">IFERROR(INDEX(Exercícios!$D$7:$D$206,MATCH($G85,Exercícios!$B$7:$B$206,0)),"")</f>
        <v/>
      </c>
      <c r="J85" s="26" t="str">
        <f aca="false">IFERROR(INDEX(Exercícios!$E$7:$E$206,MATCH($G85,Exercícios!$B$7:$B$206,0)),"")</f>
        <v/>
      </c>
      <c r="K85" s="28"/>
      <c r="L85" s="28"/>
      <c r="M85" s="27"/>
      <c r="N85" s="28"/>
      <c r="O85" s="28"/>
      <c r="P85" s="28"/>
      <c r="Q85" s="26" t="n">
        <f aca="false">IFERROR($K85*$L85,"")</f>
        <v>0</v>
      </c>
      <c r="R85" s="44" t="n">
        <f aca="false">IF(OR($O85="",$P85=""),0,$O85*$P85)</f>
        <v>0</v>
      </c>
      <c r="S85" s="27"/>
      <c r="T85" s="27"/>
      <c r="U85" s="40" t="n">
        <f aca="false">IF($A85="",0,IF(AND(OR($E85=Atleta!$C$4,$E85="Equipe (todos)"),$A85&gt;=Atleta!$C$5),MAX($U$7:U84)+1,0))</f>
        <v>0</v>
      </c>
    </row>
    <row r="86" customFormat="false" ht="15" hidden="false" customHeight="false" outlineLevel="0" collapsed="false">
      <c r="A86" s="29"/>
      <c r="B86" s="40" t="n">
        <f aca="false">IF($A86="",0,INT(($A86-Macrociclo!$C$11)/7)+1)</f>
        <v>0</v>
      </c>
      <c r="C86" s="28"/>
      <c r="D86" s="28"/>
      <c r="E86" s="27"/>
      <c r="F86" s="28"/>
      <c r="G86" s="27"/>
      <c r="H86" s="26" t="str">
        <f aca="false">IFERROR(INDEX(Exercícios!$C$7:$C$206,MATCH($G86,Exercícios!$B$7:$B$206,0)),"")</f>
        <v/>
      </c>
      <c r="I86" s="26" t="str">
        <f aca="false">IFERROR(INDEX(Exercícios!$D$7:$D$206,MATCH($G86,Exercícios!$B$7:$B$206,0)),"")</f>
        <v/>
      </c>
      <c r="J86" s="26" t="str">
        <f aca="false">IFERROR(INDEX(Exercícios!$E$7:$E$206,MATCH($G86,Exercícios!$B$7:$B$206,0)),"")</f>
        <v/>
      </c>
      <c r="K86" s="28"/>
      <c r="L86" s="28"/>
      <c r="M86" s="27"/>
      <c r="N86" s="28"/>
      <c r="O86" s="28"/>
      <c r="P86" s="28"/>
      <c r="Q86" s="26" t="n">
        <f aca="false">IFERROR($K86*$L86,"")</f>
        <v>0</v>
      </c>
      <c r="R86" s="44" t="n">
        <f aca="false">IF(OR($O86="",$P86=""),0,$O86*$P86)</f>
        <v>0</v>
      </c>
      <c r="S86" s="27"/>
      <c r="T86" s="27"/>
      <c r="U86" s="40" t="n">
        <f aca="false">IF($A86="",0,IF(AND(OR($E86=Atleta!$C$4,$E86="Equipe (todos)"),$A86&gt;=Atleta!$C$5),MAX($U$7:U85)+1,0))</f>
        <v>0</v>
      </c>
    </row>
    <row r="87" customFormat="false" ht="15" hidden="false" customHeight="false" outlineLevel="0" collapsed="false">
      <c r="A87" s="29"/>
      <c r="B87" s="40" t="n">
        <f aca="false">IF($A87="",0,INT(($A87-Macrociclo!$C$11)/7)+1)</f>
        <v>0</v>
      </c>
      <c r="C87" s="28"/>
      <c r="D87" s="28"/>
      <c r="E87" s="27"/>
      <c r="F87" s="28"/>
      <c r="G87" s="27"/>
      <c r="H87" s="26" t="str">
        <f aca="false">IFERROR(INDEX(Exercícios!$C$7:$C$206,MATCH($G87,Exercícios!$B$7:$B$206,0)),"")</f>
        <v/>
      </c>
      <c r="I87" s="26" t="str">
        <f aca="false">IFERROR(INDEX(Exercícios!$D$7:$D$206,MATCH($G87,Exercícios!$B$7:$B$206,0)),"")</f>
        <v/>
      </c>
      <c r="J87" s="26" t="str">
        <f aca="false">IFERROR(INDEX(Exercícios!$E$7:$E$206,MATCH($G87,Exercícios!$B$7:$B$206,0)),"")</f>
        <v/>
      </c>
      <c r="K87" s="28"/>
      <c r="L87" s="28"/>
      <c r="M87" s="27"/>
      <c r="N87" s="28"/>
      <c r="O87" s="28"/>
      <c r="P87" s="28"/>
      <c r="Q87" s="26" t="n">
        <f aca="false">IFERROR($K87*$L87,"")</f>
        <v>0</v>
      </c>
      <c r="R87" s="44" t="n">
        <f aca="false">IF(OR($O87="",$P87=""),0,$O87*$P87)</f>
        <v>0</v>
      </c>
      <c r="S87" s="27"/>
      <c r="T87" s="27"/>
      <c r="U87" s="40" t="n">
        <f aca="false">IF($A87="",0,IF(AND(OR($E87=Atleta!$C$4,$E87="Equipe (todos)"),$A87&gt;=Atleta!$C$5),MAX($U$7:U86)+1,0))</f>
        <v>0</v>
      </c>
    </row>
    <row r="88" customFormat="false" ht="15" hidden="false" customHeight="false" outlineLevel="0" collapsed="false">
      <c r="A88" s="29"/>
      <c r="B88" s="40" t="n">
        <f aca="false">IF($A88="",0,INT(($A88-Macrociclo!$C$11)/7)+1)</f>
        <v>0</v>
      </c>
      <c r="C88" s="28"/>
      <c r="D88" s="28"/>
      <c r="E88" s="27"/>
      <c r="F88" s="28"/>
      <c r="G88" s="27"/>
      <c r="H88" s="26" t="str">
        <f aca="false">IFERROR(INDEX(Exercícios!$C$7:$C$206,MATCH($G88,Exercícios!$B$7:$B$206,0)),"")</f>
        <v/>
      </c>
      <c r="I88" s="26" t="str">
        <f aca="false">IFERROR(INDEX(Exercícios!$D$7:$D$206,MATCH($G88,Exercícios!$B$7:$B$206,0)),"")</f>
        <v/>
      </c>
      <c r="J88" s="26" t="str">
        <f aca="false">IFERROR(INDEX(Exercícios!$E$7:$E$206,MATCH($G88,Exercícios!$B$7:$B$206,0)),"")</f>
        <v/>
      </c>
      <c r="K88" s="28"/>
      <c r="L88" s="28"/>
      <c r="M88" s="27"/>
      <c r="N88" s="28"/>
      <c r="O88" s="28"/>
      <c r="P88" s="28"/>
      <c r="Q88" s="26" t="n">
        <f aca="false">IFERROR($K88*$L88,"")</f>
        <v>0</v>
      </c>
      <c r="R88" s="44" t="n">
        <f aca="false">IF(OR($O88="",$P88=""),0,$O88*$P88)</f>
        <v>0</v>
      </c>
      <c r="S88" s="27"/>
      <c r="T88" s="27"/>
      <c r="U88" s="40" t="n">
        <f aca="false">IF($A88="",0,IF(AND(OR($E88=Atleta!$C$4,$E88="Equipe (todos)"),$A88&gt;=Atleta!$C$5),MAX($U$7:U87)+1,0))</f>
        <v>0</v>
      </c>
    </row>
    <row r="89" customFormat="false" ht="15" hidden="false" customHeight="false" outlineLevel="0" collapsed="false">
      <c r="A89" s="29"/>
      <c r="B89" s="40" t="n">
        <f aca="false">IF($A89="",0,INT(($A89-Macrociclo!$C$11)/7)+1)</f>
        <v>0</v>
      </c>
      <c r="C89" s="28"/>
      <c r="D89" s="28"/>
      <c r="E89" s="27"/>
      <c r="F89" s="28"/>
      <c r="G89" s="27"/>
      <c r="H89" s="26" t="str">
        <f aca="false">IFERROR(INDEX(Exercícios!$C$7:$C$206,MATCH($G89,Exercícios!$B$7:$B$206,0)),"")</f>
        <v/>
      </c>
      <c r="I89" s="26" t="str">
        <f aca="false">IFERROR(INDEX(Exercícios!$D$7:$D$206,MATCH($G89,Exercícios!$B$7:$B$206,0)),"")</f>
        <v/>
      </c>
      <c r="J89" s="26" t="str">
        <f aca="false">IFERROR(INDEX(Exercícios!$E$7:$E$206,MATCH($G89,Exercícios!$B$7:$B$206,0)),"")</f>
        <v/>
      </c>
      <c r="K89" s="28"/>
      <c r="L89" s="28"/>
      <c r="M89" s="27"/>
      <c r="N89" s="28"/>
      <c r="O89" s="28"/>
      <c r="P89" s="28"/>
      <c r="Q89" s="26" t="n">
        <f aca="false">IFERROR($K89*$L89,"")</f>
        <v>0</v>
      </c>
      <c r="R89" s="44" t="n">
        <f aca="false">IF(OR($O89="",$P89=""),0,$O89*$P89)</f>
        <v>0</v>
      </c>
      <c r="S89" s="27"/>
      <c r="T89" s="27"/>
      <c r="U89" s="40" t="n">
        <f aca="false">IF($A89="",0,IF(AND(OR($E89=Atleta!$C$4,$E89="Equipe (todos)"),$A89&gt;=Atleta!$C$5),MAX($U$7:U88)+1,0))</f>
        <v>0</v>
      </c>
    </row>
    <row r="90" customFormat="false" ht="15" hidden="false" customHeight="false" outlineLevel="0" collapsed="false">
      <c r="A90" s="29"/>
      <c r="B90" s="40" t="n">
        <f aca="false">IF($A90="",0,INT(($A90-Macrociclo!$C$11)/7)+1)</f>
        <v>0</v>
      </c>
      <c r="C90" s="28"/>
      <c r="D90" s="28"/>
      <c r="E90" s="27"/>
      <c r="F90" s="28"/>
      <c r="G90" s="27"/>
      <c r="H90" s="26" t="str">
        <f aca="false">IFERROR(INDEX(Exercícios!$C$7:$C$206,MATCH($G90,Exercícios!$B$7:$B$206,0)),"")</f>
        <v/>
      </c>
      <c r="I90" s="26" t="str">
        <f aca="false">IFERROR(INDEX(Exercícios!$D$7:$D$206,MATCH($G90,Exercícios!$B$7:$B$206,0)),"")</f>
        <v/>
      </c>
      <c r="J90" s="26" t="str">
        <f aca="false">IFERROR(INDEX(Exercícios!$E$7:$E$206,MATCH($G90,Exercícios!$B$7:$B$206,0)),"")</f>
        <v/>
      </c>
      <c r="K90" s="28"/>
      <c r="L90" s="28"/>
      <c r="M90" s="27"/>
      <c r="N90" s="28"/>
      <c r="O90" s="28"/>
      <c r="P90" s="28"/>
      <c r="Q90" s="26" t="n">
        <f aca="false">IFERROR($K90*$L90,"")</f>
        <v>0</v>
      </c>
      <c r="R90" s="44" t="n">
        <f aca="false">IF(OR($O90="",$P90=""),0,$O90*$P90)</f>
        <v>0</v>
      </c>
      <c r="S90" s="27"/>
      <c r="T90" s="27"/>
      <c r="U90" s="40" t="n">
        <f aca="false">IF($A90="",0,IF(AND(OR($E90=Atleta!$C$4,$E90="Equipe (todos)"),$A90&gt;=Atleta!$C$5),MAX($U$7:U89)+1,0))</f>
        <v>0</v>
      </c>
    </row>
    <row r="91" customFormat="false" ht="15" hidden="false" customHeight="false" outlineLevel="0" collapsed="false">
      <c r="A91" s="29"/>
      <c r="B91" s="40" t="n">
        <f aca="false">IF($A91="",0,INT(($A91-Macrociclo!$C$11)/7)+1)</f>
        <v>0</v>
      </c>
      <c r="C91" s="28"/>
      <c r="D91" s="28"/>
      <c r="E91" s="27"/>
      <c r="F91" s="28"/>
      <c r="G91" s="27"/>
      <c r="H91" s="26" t="str">
        <f aca="false">IFERROR(INDEX(Exercícios!$C$7:$C$206,MATCH($G91,Exercícios!$B$7:$B$206,0)),"")</f>
        <v/>
      </c>
      <c r="I91" s="26" t="str">
        <f aca="false">IFERROR(INDEX(Exercícios!$D$7:$D$206,MATCH($G91,Exercícios!$B$7:$B$206,0)),"")</f>
        <v/>
      </c>
      <c r="J91" s="26" t="str">
        <f aca="false">IFERROR(INDEX(Exercícios!$E$7:$E$206,MATCH($G91,Exercícios!$B$7:$B$206,0)),"")</f>
        <v/>
      </c>
      <c r="K91" s="28"/>
      <c r="L91" s="28"/>
      <c r="M91" s="27"/>
      <c r="N91" s="28"/>
      <c r="O91" s="28"/>
      <c r="P91" s="28"/>
      <c r="Q91" s="26" t="n">
        <f aca="false">IFERROR($K91*$L91,"")</f>
        <v>0</v>
      </c>
      <c r="R91" s="44" t="n">
        <f aca="false">IF(OR($O91="",$P91=""),0,$O91*$P91)</f>
        <v>0</v>
      </c>
      <c r="S91" s="27"/>
      <c r="T91" s="27"/>
      <c r="U91" s="40" t="n">
        <f aca="false">IF($A91="",0,IF(AND(OR($E91=Atleta!$C$4,$E91="Equipe (todos)"),$A91&gt;=Atleta!$C$5),MAX($U$7:U90)+1,0))</f>
        <v>0</v>
      </c>
    </row>
    <row r="92" customFormat="false" ht="15" hidden="false" customHeight="false" outlineLevel="0" collapsed="false">
      <c r="A92" s="29"/>
      <c r="B92" s="40" t="n">
        <f aca="false">IF($A92="",0,INT(($A92-Macrociclo!$C$11)/7)+1)</f>
        <v>0</v>
      </c>
      <c r="C92" s="28"/>
      <c r="D92" s="28"/>
      <c r="E92" s="27"/>
      <c r="F92" s="28"/>
      <c r="G92" s="27"/>
      <c r="H92" s="26" t="str">
        <f aca="false">IFERROR(INDEX(Exercícios!$C$7:$C$206,MATCH($G92,Exercícios!$B$7:$B$206,0)),"")</f>
        <v/>
      </c>
      <c r="I92" s="26" t="str">
        <f aca="false">IFERROR(INDEX(Exercícios!$D$7:$D$206,MATCH($G92,Exercícios!$B$7:$B$206,0)),"")</f>
        <v/>
      </c>
      <c r="J92" s="26" t="str">
        <f aca="false">IFERROR(INDEX(Exercícios!$E$7:$E$206,MATCH($G92,Exercícios!$B$7:$B$206,0)),"")</f>
        <v/>
      </c>
      <c r="K92" s="28"/>
      <c r="L92" s="28"/>
      <c r="M92" s="27"/>
      <c r="N92" s="28"/>
      <c r="O92" s="28"/>
      <c r="P92" s="28"/>
      <c r="Q92" s="26" t="n">
        <f aca="false">IFERROR($K92*$L92,"")</f>
        <v>0</v>
      </c>
      <c r="R92" s="44" t="n">
        <f aca="false">IF(OR($O92="",$P92=""),0,$O92*$P92)</f>
        <v>0</v>
      </c>
      <c r="S92" s="27"/>
      <c r="T92" s="27"/>
      <c r="U92" s="40" t="n">
        <f aca="false">IF($A92="",0,IF(AND(OR($E92=Atleta!$C$4,$E92="Equipe (todos)"),$A92&gt;=Atleta!$C$5),MAX($U$7:U91)+1,0))</f>
        <v>0</v>
      </c>
    </row>
    <row r="93" customFormat="false" ht="15" hidden="false" customHeight="false" outlineLevel="0" collapsed="false">
      <c r="A93" s="29"/>
      <c r="B93" s="40" t="n">
        <f aca="false">IF($A93="",0,INT(($A93-Macrociclo!$C$11)/7)+1)</f>
        <v>0</v>
      </c>
      <c r="C93" s="28"/>
      <c r="D93" s="28"/>
      <c r="E93" s="27"/>
      <c r="F93" s="28"/>
      <c r="G93" s="27"/>
      <c r="H93" s="26" t="str">
        <f aca="false">IFERROR(INDEX(Exercícios!$C$7:$C$206,MATCH($G93,Exercícios!$B$7:$B$206,0)),"")</f>
        <v/>
      </c>
      <c r="I93" s="26" t="str">
        <f aca="false">IFERROR(INDEX(Exercícios!$D$7:$D$206,MATCH($G93,Exercícios!$B$7:$B$206,0)),"")</f>
        <v/>
      </c>
      <c r="J93" s="26" t="str">
        <f aca="false">IFERROR(INDEX(Exercícios!$E$7:$E$206,MATCH($G93,Exercícios!$B$7:$B$206,0)),"")</f>
        <v/>
      </c>
      <c r="K93" s="28"/>
      <c r="L93" s="28"/>
      <c r="M93" s="27"/>
      <c r="N93" s="28"/>
      <c r="O93" s="28"/>
      <c r="P93" s="28"/>
      <c r="Q93" s="26" t="n">
        <f aca="false">IFERROR($K93*$L93,"")</f>
        <v>0</v>
      </c>
      <c r="R93" s="44" t="n">
        <f aca="false">IF(OR($O93="",$P93=""),0,$O93*$P93)</f>
        <v>0</v>
      </c>
      <c r="S93" s="27"/>
      <c r="T93" s="27"/>
      <c r="U93" s="40" t="n">
        <f aca="false">IF($A93="",0,IF(AND(OR($E93=Atleta!$C$4,$E93="Equipe (todos)"),$A93&gt;=Atleta!$C$5),MAX($U$7:U92)+1,0))</f>
        <v>0</v>
      </c>
    </row>
    <row r="94" customFormat="false" ht="15" hidden="false" customHeight="false" outlineLevel="0" collapsed="false">
      <c r="A94" s="29"/>
      <c r="B94" s="40" t="n">
        <f aca="false">IF($A94="",0,INT(($A94-Macrociclo!$C$11)/7)+1)</f>
        <v>0</v>
      </c>
      <c r="C94" s="28"/>
      <c r="D94" s="28"/>
      <c r="E94" s="27"/>
      <c r="F94" s="28"/>
      <c r="G94" s="27"/>
      <c r="H94" s="26" t="str">
        <f aca="false">IFERROR(INDEX(Exercícios!$C$7:$C$206,MATCH($G94,Exercícios!$B$7:$B$206,0)),"")</f>
        <v/>
      </c>
      <c r="I94" s="26" t="str">
        <f aca="false">IFERROR(INDEX(Exercícios!$D$7:$D$206,MATCH($G94,Exercícios!$B$7:$B$206,0)),"")</f>
        <v/>
      </c>
      <c r="J94" s="26" t="str">
        <f aca="false">IFERROR(INDEX(Exercícios!$E$7:$E$206,MATCH($G94,Exercícios!$B$7:$B$206,0)),"")</f>
        <v/>
      </c>
      <c r="K94" s="28"/>
      <c r="L94" s="28"/>
      <c r="M94" s="27"/>
      <c r="N94" s="28"/>
      <c r="O94" s="28"/>
      <c r="P94" s="28"/>
      <c r="Q94" s="26" t="n">
        <f aca="false">IFERROR($K94*$L94,"")</f>
        <v>0</v>
      </c>
      <c r="R94" s="44" t="n">
        <f aca="false">IF(OR($O94="",$P94=""),0,$O94*$P94)</f>
        <v>0</v>
      </c>
      <c r="S94" s="27"/>
      <c r="T94" s="27"/>
      <c r="U94" s="40" t="n">
        <f aca="false">IF($A94="",0,IF(AND(OR($E94=Atleta!$C$4,$E94="Equipe (todos)"),$A94&gt;=Atleta!$C$5),MAX($U$7:U93)+1,0))</f>
        <v>0</v>
      </c>
    </row>
    <row r="95" customFormat="false" ht="15" hidden="false" customHeight="false" outlineLevel="0" collapsed="false">
      <c r="A95" s="29"/>
      <c r="B95" s="40" t="n">
        <f aca="false">IF($A95="",0,INT(($A95-Macrociclo!$C$11)/7)+1)</f>
        <v>0</v>
      </c>
      <c r="C95" s="28"/>
      <c r="D95" s="28"/>
      <c r="E95" s="27"/>
      <c r="F95" s="28"/>
      <c r="G95" s="27"/>
      <c r="H95" s="26" t="str">
        <f aca="false">IFERROR(INDEX(Exercícios!$C$7:$C$206,MATCH($G95,Exercícios!$B$7:$B$206,0)),"")</f>
        <v/>
      </c>
      <c r="I95" s="26" t="str">
        <f aca="false">IFERROR(INDEX(Exercícios!$D$7:$D$206,MATCH($G95,Exercícios!$B$7:$B$206,0)),"")</f>
        <v/>
      </c>
      <c r="J95" s="26" t="str">
        <f aca="false">IFERROR(INDEX(Exercícios!$E$7:$E$206,MATCH($G95,Exercícios!$B$7:$B$206,0)),"")</f>
        <v/>
      </c>
      <c r="K95" s="28"/>
      <c r="L95" s="28"/>
      <c r="M95" s="27"/>
      <c r="N95" s="28"/>
      <c r="O95" s="28"/>
      <c r="P95" s="28"/>
      <c r="Q95" s="26" t="n">
        <f aca="false">IFERROR($K95*$L95,"")</f>
        <v>0</v>
      </c>
      <c r="R95" s="44" t="n">
        <f aca="false">IF(OR($O95="",$P95=""),0,$O95*$P95)</f>
        <v>0</v>
      </c>
      <c r="S95" s="27"/>
      <c r="T95" s="27"/>
      <c r="U95" s="40" t="n">
        <f aca="false">IF($A95="",0,IF(AND(OR($E95=Atleta!$C$4,$E95="Equipe (todos)"),$A95&gt;=Atleta!$C$5),MAX($U$7:U94)+1,0))</f>
        <v>0</v>
      </c>
    </row>
    <row r="96" customFormat="false" ht="15" hidden="false" customHeight="false" outlineLevel="0" collapsed="false">
      <c r="A96" s="29"/>
      <c r="B96" s="40" t="n">
        <f aca="false">IF($A96="",0,INT(($A96-Macrociclo!$C$11)/7)+1)</f>
        <v>0</v>
      </c>
      <c r="C96" s="28"/>
      <c r="D96" s="28"/>
      <c r="E96" s="27"/>
      <c r="F96" s="28"/>
      <c r="G96" s="27"/>
      <c r="H96" s="26" t="str">
        <f aca="false">IFERROR(INDEX(Exercícios!$C$7:$C$206,MATCH($G96,Exercícios!$B$7:$B$206,0)),"")</f>
        <v/>
      </c>
      <c r="I96" s="26" t="str">
        <f aca="false">IFERROR(INDEX(Exercícios!$D$7:$D$206,MATCH($G96,Exercícios!$B$7:$B$206,0)),"")</f>
        <v/>
      </c>
      <c r="J96" s="26" t="str">
        <f aca="false">IFERROR(INDEX(Exercícios!$E$7:$E$206,MATCH($G96,Exercícios!$B$7:$B$206,0)),"")</f>
        <v/>
      </c>
      <c r="K96" s="28"/>
      <c r="L96" s="28"/>
      <c r="M96" s="27"/>
      <c r="N96" s="28"/>
      <c r="O96" s="28"/>
      <c r="P96" s="28"/>
      <c r="Q96" s="26" t="n">
        <f aca="false">IFERROR($K96*$L96,"")</f>
        <v>0</v>
      </c>
      <c r="R96" s="44" t="n">
        <f aca="false">IF(OR($O96="",$P96=""),0,$O96*$P96)</f>
        <v>0</v>
      </c>
      <c r="S96" s="27"/>
      <c r="T96" s="27"/>
      <c r="U96" s="40" t="n">
        <f aca="false">IF($A96="",0,IF(AND(OR($E96=Atleta!$C$4,$E96="Equipe (todos)"),$A96&gt;=Atleta!$C$5),MAX($U$7:U95)+1,0))</f>
        <v>0</v>
      </c>
    </row>
    <row r="97" customFormat="false" ht="15" hidden="false" customHeight="false" outlineLevel="0" collapsed="false">
      <c r="A97" s="29"/>
      <c r="B97" s="40" t="n">
        <f aca="false">IF($A97="",0,INT(($A97-Macrociclo!$C$11)/7)+1)</f>
        <v>0</v>
      </c>
      <c r="C97" s="28"/>
      <c r="D97" s="28"/>
      <c r="E97" s="27"/>
      <c r="F97" s="28"/>
      <c r="G97" s="27"/>
      <c r="H97" s="26" t="str">
        <f aca="false">IFERROR(INDEX(Exercícios!$C$7:$C$206,MATCH($G97,Exercícios!$B$7:$B$206,0)),"")</f>
        <v/>
      </c>
      <c r="I97" s="26" t="str">
        <f aca="false">IFERROR(INDEX(Exercícios!$D$7:$D$206,MATCH($G97,Exercícios!$B$7:$B$206,0)),"")</f>
        <v/>
      </c>
      <c r="J97" s="26" t="str">
        <f aca="false">IFERROR(INDEX(Exercícios!$E$7:$E$206,MATCH($G97,Exercícios!$B$7:$B$206,0)),"")</f>
        <v/>
      </c>
      <c r="K97" s="28"/>
      <c r="L97" s="28"/>
      <c r="M97" s="27"/>
      <c r="N97" s="28"/>
      <c r="O97" s="28"/>
      <c r="P97" s="28"/>
      <c r="Q97" s="26" t="n">
        <f aca="false">IFERROR($K97*$L97,"")</f>
        <v>0</v>
      </c>
      <c r="R97" s="44" t="n">
        <f aca="false">IF(OR($O97="",$P97=""),0,$O97*$P97)</f>
        <v>0</v>
      </c>
      <c r="S97" s="27"/>
      <c r="T97" s="27"/>
      <c r="U97" s="40" t="n">
        <f aca="false">IF($A97="",0,IF(AND(OR($E97=Atleta!$C$4,$E97="Equipe (todos)"),$A97&gt;=Atleta!$C$5),MAX($U$7:U96)+1,0))</f>
        <v>0</v>
      </c>
    </row>
    <row r="98" customFormat="false" ht="15" hidden="false" customHeight="false" outlineLevel="0" collapsed="false">
      <c r="A98" s="29"/>
      <c r="B98" s="40" t="n">
        <f aca="false">IF($A98="",0,INT(($A98-Macrociclo!$C$11)/7)+1)</f>
        <v>0</v>
      </c>
      <c r="C98" s="28"/>
      <c r="D98" s="28"/>
      <c r="E98" s="27"/>
      <c r="F98" s="28"/>
      <c r="G98" s="27"/>
      <c r="H98" s="26" t="str">
        <f aca="false">IFERROR(INDEX(Exercícios!$C$7:$C$206,MATCH($G98,Exercícios!$B$7:$B$206,0)),"")</f>
        <v/>
      </c>
      <c r="I98" s="26" t="str">
        <f aca="false">IFERROR(INDEX(Exercícios!$D$7:$D$206,MATCH($G98,Exercícios!$B$7:$B$206,0)),"")</f>
        <v/>
      </c>
      <c r="J98" s="26" t="str">
        <f aca="false">IFERROR(INDEX(Exercícios!$E$7:$E$206,MATCH($G98,Exercícios!$B$7:$B$206,0)),"")</f>
        <v/>
      </c>
      <c r="K98" s="28"/>
      <c r="L98" s="28"/>
      <c r="M98" s="27"/>
      <c r="N98" s="28"/>
      <c r="O98" s="28"/>
      <c r="P98" s="28"/>
      <c r="Q98" s="26" t="n">
        <f aca="false">IFERROR($K98*$L98,"")</f>
        <v>0</v>
      </c>
      <c r="R98" s="44" t="n">
        <f aca="false">IF(OR($O98="",$P98=""),0,$O98*$P98)</f>
        <v>0</v>
      </c>
      <c r="S98" s="27"/>
      <c r="T98" s="27"/>
      <c r="U98" s="40" t="n">
        <f aca="false">IF($A98="",0,IF(AND(OR($E98=Atleta!$C$4,$E98="Equipe (todos)"),$A98&gt;=Atleta!$C$5),MAX($U$7:U97)+1,0))</f>
        <v>0</v>
      </c>
    </row>
    <row r="99" customFormat="false" ht="15" hidden="false" customHeight="false" outlineLevel="0" collapsed="false">
      <c r="A99" s="29"/>
      <c r="B99" s="40" t="n">
        <f aca="false">IF($A99="",0,INT(($A99-Macrociclo!$C$11)/7)+1)</f>
        <v>0</v>
      </c>
      <c r="C99" s="28"/>
      <c r="D99" s="28"/>
      <c r="E99" s="27"/>
      <c r="F99" s="28"/>
      <c r="G99" s="27"/>
      <c r="H99" s="26" t="str">
        <f aca="false">IFERROR(INDEX(Exercícios!$C$7:$C$206,MATCH($G99,Exercícios!$B$7:$B$206,0)),"")</f>
        <v/>
      </c>
      <c r="I99" s="26" t="str">
        <f aca="false">IFERROR(INDEX(Exercícios!$D$7:$D$206,MATCH($G99,Exercícios!$B$7:$B$206,0)),"")</f>
        <v/>
      </c>
      <c r="J99" s="26" t="str">
        <f aca="false">IFERROR(INDEX(Exercícios!$E$7:$E$206,MATCH($G99,Exercícios!$B$7:$B$206,0)),"")</f>
        <v/>
      </c>
      <c r="K99" s="28"/>
      <c r="L99" s="28"/>
      <c r="M99" s="27"/>
      <c r="N99" s="28"/>
      <c r="O99" s="28"/>
      <c r="P99" s="28"/>
      <c r="Q99" s="26" t="n">
        <f aca="false">IFERROR($K99*$L99,"")</f>
        <v>0</v>
      </c>
      <c r="R99" s="44" t="n">
        <f aca="false">IF(OR($O99="",$P99=""),0,$O99*$P99)</f>
        <v>0</v>
      </c>
      <c r="S99" s="27"/>
      <c r="T99" s="27"/>
      <c r="U99" s="40" t="n">
        <f aca="false">IF($A99="",0,IF(AND(OR($E99=Atleta!$C$4,$E99="Equipe (todos)"),$A99&gt;=Atleta!$C$5),MAX($U$7:U98)+1,0))</f>
        <v>0</v>
      </c>
    </row>
    <row r="100" customFormat="false" ht="15" hidden="false" customHeight="false" outlineLevel="0" collapsed="false">
      <c r="A100" s="29"/>
      <c r="B100" s="40" t="n">
        <f aca="false">IF($A100="",0,INT(($A100-Macrociclo!$C$11)/7)+1)</f>
        <v>0</v>
      </c>
      <c r="C100" s="28"/>
      <c r="D100" s="28"/>
      <c r="E100" s="27"/>
      <c r="F100" s="28"/>
      <c r="G100" s="27"/>
      <c r="H100" s="26" t="str">
        <f aca="false">IFERROR(INDEX(Exercícios!$C$7:$C$206,MATCH($G100,Exercícios!$B$7:$B$206,0)),"")</f>
        <v/>
      </c>
      <c r="I100" s="26" t="str">
        <f aca="false">IFERROR(INDEX(Exercícios!$D$7:$D$206,MATCH($G100,Exercícios!$B$7:$B$206,0)),"")</f>
        <v/>
      </c>
      <c r="J100" s="26" t="str">
        <f aca="false">IFERROR(INDEX(Exercícios!$E$7:$E$206,MATCH($G100,Exercícios!$B$7:$B$206,0)),"")</f>
        <v/>
      </c>
      <c r="K100" s="28"/>
      <c r="L100" s="28"/>
      <c r="M100" s="27"/>
      <c r="N100" s="28"/>
      <c r="O100" s="28"/>
      <c r="P100" s="28"/>
      <c r="Q100" s="26" t="n">
        <f aca="false">IFERROR($K100*$L100,"")</f>
        <v>0</v>
      </c>
      <c r="R100" s="44" t="n">
        <f aca="false">IF(OR($O100="",$P100=""),0,$O100*$P100)</f>
        <v>0</v>
      </c>
      <c r="S100" s="27"/>
      <c r="T100" s="27"/>
      <c r="U100" s="40" t="n">
        <f aca="false">IF($A100="",0,IF(AND(OR($E100=Atleta!$C$4,$E100="Equipe (todos)"),$A100&gt;=Atleta!$C$5),MAX($U$7:U99)+1,0))</f>
        <v>0</v>
      </c>
    </row>
    <row r="101" customFormat="false" ht="15" hidden="false" customHeight="false" outlineLevel="0" collapsed="false">
      <c r="A101" s="29"/>
      <c r="B101" s="40" t="n">
        <f aca="false">IF($A101="",0,INT(($A101-Macrociclo!$C$11)/7)+1)</f>
        <v>0</v>
      </c>
      <c r="C101" s="28"/>
      <c r="D101" s="28"/>
      <c r="E101" s="27"/>
      <c r="F101" s="28"/>
      <c r="G101" s="27"/>
      <c r="H101" s="26" t="str">
        <f aca="false">IFERROR(INDEX(Exercícios!$C$7:$C$206,MATCH($G101,Exercícios!$B$7:$B$206,0)),"")</f>
        <v/>
      </c>
      <c r="I101" s="26" t="str">
        <f aca="false">IFERROR(INDEX(Exercícios!$D$7:$D$206,MATCH($G101,Exercícios!$B$7:$B$206,0)),"")</f>
        <v/>
      </c>
      <c r="J101" s="26" t="str">
        <f aca="false">IFERROR(INDEX(Exercícios!$E$7:$E$206,MATCH($G101,Exercícios!$B$7:$B$206,0)),"")</f>
        <v/>
      </c>
      <c r="K101" s="28"/>
      <c r="L101" s="28"/>
      <c r="M101" s="27"/>
      <c r="N101" s="28"/>
      <c r="O101" s="28"/>
      <c r="P101" s="28"/>
      <c r="Q101" s="26" t="n">
        <f aca="false">IFERROR($K101*$L101,"")</f>
        <v>0</v>
      </c>
      <c r="R101" s="44" t="n">
        <f aca="false">IF(OR($O101="",$P101=""),0,$O101*$P101)</f>
        <v>0</v>
      </c>
      <c r="S101" s="27"/>
      <c r="T101" s="27"/>
      <c r="U101" s="40" t="n">
        <f aca="false">IF($A101="",0,IF(AND(OR($E101=Atleta!$C$4,$E101="Equipe (todos)"),$A101&gt;=Atleta!$C$5),MAX($U$7:U100)+1,0))</f>
        <v>0</v>
      </c>
    </row>
    <row r="102" customFormat="false" ht="15" hidden="false" customHeight="false" outlineLevel="0" collapsed="false">
      <c r="A102" s="29"/>
      <c r="B102" s="40" t="n">
        <f aca="false">IF($A102="",0,INT(($A102-Macrociclo!$C$11)/7)+1)</f>
        <v>0</v>
      </c>
      <c r="C102" s="28"/>
      <c r="D102" s="28"/>
      <c r="E102" s="27"/>
      <c r="F102" s="28"/>
      <c r="G102" s="27"/>
      <c r="H102" s="26" t="str">
        <f aca="false">IFERROR(INDEX(Exercícios!$C$7:$C$206,MATCH($G102,Exercícios!$B$7:$B$206,0)),"")</f>
        <v/>
      </c>
      <c r="I102" s="26" t="str">
        <f aca="false">IFERROR(INDEX(Exercícios!$D$7:$D$206,MATCH($G102,Exercícios!$B$7:$B$206,0)),"")</f>
        <v/>
      </c>
      <c r="J102" s="26" t="str">
        <f aca="false">IFERROR(INDEX(Exercícios!$E$7:$E$206,MATCH($G102,Exercícios!$B$7:$B$206,0)),"")</f>
        <v/>
      </c>
      <c r="K102" s="28"/>
      <c r="L102" s="28"/>
      <c r="M102" s="27"/>
      <c r="N102" s="28"/>
      <c r="O102" s="28"/>
      <c r="P102" s="28"/>
      <c r="Q102" s="26" t="n">
        <f aca="false">IFERROR($K102*$L102,"")</f>
        <v>0</v>
      </c>
      <c r="R102" s="44" t="n">
        <f aca="false">IF(OR($O102="",$P102=""),0,$O102*$P102)</f>
        <v>0</v>
      </c>
      <c r="S102" s="27"/>
      <c r="T102" s="27"/>
      <c r="U102" s="40" t="n">
        <f aca="false">IF($A102="",0,IF(AND(OR($E102=Atleta!$C$4,$E102="Equipe (todos)"),$A102&gt;=Atleta!$C$5),MAX($U$7:U101)+1,0))</f>
        <v>0</v>
      </c>
    </row>
    <row r="103" customFormat="false" ht="15" hidden="false" customHeight="false" outlineLevel="0" collapsed="false">
      <c r="A103" s="29"/>
      <c r="B103" s="40" t="n">
        <f aca="false">IF($A103="",0,INT(($A103-Macrociclo!$C$11)/7)+1)</f>
        <v>0</v>
      </c>
      <c r="C103" s="28"/>
      <c r="D103" s="28"/>
      <c r="E103" s="27"/>
      <c r="F103" s="28"/>
      <c r="G103" s="27"/>
      <c r="H103" s="26" t="str">
        <f aca="false">IFERROR(INDEX(Exercícios!$C$7:$C$206,MATCH($G103,Exercícios!$B$7:$B$206,0)),"")</f>
        <v/>
      </c>
      <c r="I103" s="26" t="str">
        <f aca="false">IFERROR(INDEX(Exercícios!$D$7:$D$206,MATCH($G103,Exercícios!$B$7:$B$206,0)),"")</f>
        <v/>
      </c>
      <c r="J103" s="26" t="str">
        <f aca="false">IFERROR(INDEX(Exercícios!$E$7:$E$206,MATCH($G103,Exercícios!$B$7:$B$206,0)),"")</f>
        <v/>
      </c>
      <c r="K103" s="28"/>
      <c r="L103" s="28"/>
      <c r="M103" s="27"/>
      <c r="N103" s="28"/>
      <c r="O103" s="28"/>
      <c r="P103" s="28"/>
      <c r="Q103" s="26" t="n">
        <f aca="false">IFERROR($K103*$L103,"")</f>
        <v>0</v>
      </c>
      <c r="R103" s="44" t="n">
        <f aca="false">IF(OR($O103="",$P103=""),0,$O103*$P103)</f>
        <v>0</v>
      </c>
      <c r="S103" s="27"/>
      <c r="T103" s="27"/>
      <c r="U103" s="40" t="n">
        <f aca="false">IF($A103="",0,IF(AND(OR($E103=Atleta!$C$4,$E103="Equipe (todos)"),$A103&gt;=Atleta!$C$5),MAX($U$7:U102)+1,0))</f>
        <v>0</v>
      </c>
    </row>
    <row r="104" customFormat="false" ht="15" hidden="false" customHeight="false" outlineLevel="0" collapsed="false">
      <c r="A104" s="29"/>
      <c r="B104" s="40" t="n">
        <f aca="false">IF($A104="",0,INT(($A104-Macrociclo!$C$11)/7)+1)</f>
        <v>0</v>
      </c>
      <c r="C104" s="28"/>
      <c r="D104" s="28"/>
      <c r="E104" s="27"/>
      <c r="F104" s="28"/>
      <c r="G104" s="27"/>
      <c r="H104" s="26" t="str">
        <f aca="false">IFERROR(INDEX(Exercícios!$C$7:$C$206,MATCH($G104,Exercícios!$B$7:$B$206,0)),"")</f>
        <v/>
      </c>
      <c r="I104" s="26" t="str">
        <f aca="false">IFERROR(INDEX(Exercícios!$D$7:$D$206,MATCH($G104,Exercícios!$B$7:$B$206,0)),"")</f>
        <v/>
      </c>
      <c r="J104" s="26" t="str">
        <f aca="false">IFERROR(INDEX(Exercícios!$E$7:$E$206,MATCH($G104,Exercícios!$B$7:$B$206,0)),"")</f>
        <v/>
      </c>
      <c r="K104" s="28"/>
      <c r="L104" s="28"/>
      <c r="M104" s="27"/>
      <c r="N104" s="28"/>
      <c r="O104" s="28"/>
      <c r="P104" s="28"/>
      <c r="Q104" s="26" t="n">
        <f aca="false">IFERROR($K104*$L104,"")</f>
        <v>0</v>
      </c>
      <c r="R104" s="44" t="n">
        <f aca="false">IF(OR($O104="",$P104=""),0,$O104*$P104)</f>
        <v>0</v>
      </c>
      <c r="S104" s="27"/>
      <c r="T104" s="27"/>
      <c r="U104" s="40" t="n">
        <f aca="false">IF($A104="",0,IF(AND(OR($E104=Atleta!$C$4,$E104="Equipe (todos)"),$A104&gt;=Atleta!$C$5),MAX($U$7:U103)+1,0))</f>
        <v>0</v>
      </c>
    </row>
    <row r="105" customFormat="false" ht="15" hidden="false" customHeight="false" outlineLevel="0" collapsed="false">
      <c r="A105" s="29"/>
      <c r="B105" s="40" t="n">
        <f aca="false">IF($A105="",0,INT(($A105-Macrociclo!$C$11)/7)+1)</f>
        <v>0</v>
      </c>
      <c r="C105" s="28"/>
      <c r="D105" s="28"/>
      <c r="E105" s="27"/>
      <c r="F105" s="28"/>
      <c r="G105" s="27"/>
      <c r="H105" s="26" t="str">
        <f aca="false">IFERROR(INDEX(Exercícios!$C$7:$C$206,MATCH($G105,Exercícios!$B$7:$B$206,0)),"")</f>
        <v/>
      </c>
      <c r="I105" s="26" t="str">
        <f aca="false">IFERROR(INDEX(Exercícios!$D$7:$D$206,MATCH($G105,Exercícios!$B$7:$B$206,0)),"")</f>
        <v/>
      </c>
      <c r="J105" s="26" t="str">
        <f aca="false">IFERROR(INDEX(Exercícios!$E$7:$E$206,MATCH($G105,Exercícios!$B$7:$B$206,0)),"")</f>
        <v/>
      </c>
      <c r="K105" s="28"/>
      <c r="L105" s="28"/>
      <c r="M105" s="27"/>
      <c r="N105" s="28"/>
      <c r="O105" s="28"/>
      <c r="P105" s="28"/>
      <c r="Q105" s="26" t="n">
        <f aca="false">IFERROR($K105*$L105,"")</f>
        <v>0</v>
      </c>
      <c r="R105" s="44" t="n">
        <f aca="false">IF(OR($O105="",$P105=""),0,$O105*$P105)</f>
        <v>0</v>
      </c>
      <c r="S105" s="27"/>
      <c r="T105" s="27"/>
      <c r="U105" s="40" t="n">
        <f aca="false">IF($A105="",0,IF(AND(OR($E105=Atleta!$C$4,$E105="Equipe (todos)"),$A105&gt;=Atleta!$C$5),MAX($U$7:U104)+1,0))</f>
        <v>0</v>
      </c>
    </row>
    <row r="106" customFormat="false" ht="15" hidden="false" customHeight="false" outlineLevel="0" collapsed="false">
      <c r="A106" s="29"/>
      <c r="B106" s="40" t="n">
        <f aca="false">IF($A106="",0,INT(($A106-Macrociclo!$C$11)/7)+1)</f>
        <v>0</v>
      </c>
      <c r="C106" s="28"/>
      <c r="D106" s="28"/>
      <c r="E106" s="27"/>
      <c r="F106" s="28"/>
      <c r="G106" s="27"/>
      <c r="H106" s="26" t="str">
        <f aca="false">IFERROR(INDEX(Exercícios!$C$7:$C$206,MATCH($G106,Exercícios!$B$7:$B$206,0)),"")</f>
        <v/>
      </c>
      <c r="I106" s="26" t="str">
        <f aca="false">IFERROR(INDEX(Exercícios!$D$7:$D$206,MATCH($G106,Exercícios!$B$7:$B$206,0)),"")</f>
        <v/>
      </c>
      <c r="J106" s="26" t="str">
        <f aca="false">IFERROR(INDEX(Exercícios!$E$7:$E$206,MATCH($G106,Exercícios!$B$7:$B$206,0)),"")</f>
        <v/>
      </c>
      <c r="K106" s="28"/>
      <c r="L106" s="28"/>
      <c r="M106" s="27"/>
      <c r="N106" s="28"/>
      <c r="O106" s="28"/>
      <c r="P106" s="28"/>
      <c r="Q106" s="26" t="n">
        <f aca="false">IFERROR($K106*$L106,"")</f>
        <v>0</v>
      </c>
      <c r="R106" s="44" t="n">
        <f aca="false">IF(OR($O106="",$P106=""),0,$O106*$P106)</f>
        <v>0</v>
      </c>
      <c r="S106" s="27"/>
      <c r="T106" s="27"/>
      <c r="U106" s="40" t="n">
        <f aca="false">IF($A106="",0,IF(AND(OR($E106=Atleta!$C$4,$E106="Equipe (todos)"),$A106&gt;=Atleta!$C$5),MAX($U$7:U105)+1,0))</f>
        <v>0</v>
      </c>
    </row>
    <row r="107" customFormat="false" ht="15" hidden="false" customHeight="false" outlineLevel="0" collapsed="false">
      <c r="A107" s="29"/>
      <c r="B107" s="40" t="n">
        <f aca="false">IF($A107="",0,INT(($A107-Macrociclo!$C$11)/7)+1)</f>
        <v>0</v>
      </c>
      <c r="C107" s="28"/>
      <c r="D107" s="28"/>
      <c r="E107" s="27"/>
      <c r="F107" s="28"/>
      <c r="G107" s="27"/>
      <c r="H107" s="26" t="str">
        <f aca="false">IFERROR(INDEX(Exercícios!$C$7:$C$206,MATCH($G107,Exercícios!$B$7:$B$206,0)),"")</f>
        <v/>
      </c>
      <c r="I107" s="26" t="str">
        <f aca="false">IFERROR(INDEX(Exercícios!$D$7:$D$206,MATCH($G107,Exercícios!$B$7:$B$206,0)),"")</f>
        <v/>
      </c>
      <c r="J107" s="26" t="str">
        <f aca="false">IFERROR(INDEX(Exercícios!$E$7:$E$206,MATCH($G107,Exercícios!$B$7:$B$206,0)),"")</f>
        <v/>
      </c>
      <c r="K107" s="28"/>
      <c r="L107" s="28"/>
      <c r="M107" s="27"/>
      <c r="N107" s="28"/>
      <c r="O107" s="28"/>
      <c r="P107" s="28"/>
      <c r="Q107" s="26" t="n">
        <f aca="false">IFERROR($K107*$L107,"")</f>
        <v>0</v>
      </c>
      <c r="R107" s="44" t="n">
        <f aca="false">IF(OR($O107="",$P107=""),0,$O107*$P107)</f>
        <v>0</v>
      </c>
      <c r="S107" s="27"/>
      <c r="T107" s="27"/>
      <c r="U107" s="40" t="n">
        <f aca="false">IF($A107="",0,IF(AND(OR($E107=Atleta!$C$4,$E107="Equipe (todos)"),$A107&gt;=Atleta!$C$5),MAX($U$7:U106)+1,0))</f>
        <v>0</v>
      </c>
    </row>
    <row r="108" customFormat="false" ht="15" hidden="false" customHeight="false" outlineLevel="0" collapsed="false">
      <c r="A108" s="29"/>
      <c r="B108" s="40" t="n">
        <f aca="false">IF($A108="",0,INT(($A108-Macrociclo!$C$11)/7)+1)</f>
        <v>0</v>
      </c>
      <c r="C108" s="28"/>
      <c r="D108" s="28"/>
      <c r="E108" s="27"/>
      <c r="F108" s="28"/>
      <c r="G108" s="27"/>
      <c r="H108" s="26" t="str">
        <f aca="false">IFERROR(INDEX(Exercícios!$C$7:$C$206,MATCH($G108,Exercícios!$B$7:$B$206,0)),"")</f>
        <v/>
      </c>
      <c r="I108" s="26" t="str">
        <f aca="false">IFERROR(INDEX(Exercícios!$D$7:$D$206,MATCH($G108,Exercícios!$B$7:$B$206,0)),"")</f>
        <v/>
      </c>
      <c r="J108" s="26" t="str">
        <f aca="false">IFERROR(INDEX(Exercícios!$E$7:$E$206,MATCH($G108,Exercícios!$B$7:$B$206,0)),"")</f>
        <v/>
      </c>
      <c r="K108" s="28"/>
      <c r="L108" s="28"/>
      <c r="M108" s="27"/>
      <c r="N108" s="28"/>
      <c r="O108" s="28"/>
      <c r="P108" s="28"/>
      <c r="Q108" s="26" t="n">
        <f aca="false">IFERROR($K108*$L108,"")</f>
        <v>0</v>
      </c>
      <c r="R108" s="44" t="n">
        <f aca="false">IF(OR($O108="",$P108=""),0,$O108*$P108)</f>
        <v>0</v>
      </c>
      <c r="S108" s="27"/>
      <c r="T108" s="27"/>
      <c r="U108" s="40" t="n">
        <f aca="false">IF($A108="",0,IF(AND(OR($E108=Atleta!$C$4,$E108="Equipe (todos)"),$A108&gt;=Atleta!$C$5),MAX($U$7:U107)+1,0))</f>
        <v>0</v>
      </c>
    </row>
    <row r="109" customFormat="false" ht="15" hidden="false" customHeight="false" outlineLevel="0" collapsed="false">
      <c r="A109" s="29"/>
      <c r="B109" s="40" t="n">
        <f aca="false">IF($A109="",0,INT(($A109-Macrociclo!$C$11)/7)+1)</f>
        <v>0</v>
      </c>
      <c r="C109" s="28"/>
      <c r="D109" s="28"/>
      <c r="E109" s="27"/>
      <c r="F109" s="28"/>
      <c r="G109" s="27"/>
      <c r="H109" s="26" t="str">
        <f aca="false">IFERROR(INDEX(Exercícios!$C$7:$C$206,MATCH($G109,Exercícios!$B$7:$B$206,0)),"")</f>
        <v/>
      </c>
      <c r="I109" s="26" t="str">
        <f aca="false">IFERROR(INDEX(Exercícios!$D$7:$D$206,MATCH($G109,Exercícios!$B$7:$B$206,0)),"")</f>
        <v/>
      </c>
      <c r="J109" s="26" t="str">
        <f aca="false">IFERROR(INDEX(Exercícios!$E$7:$E$206,MATCH($G109,Exercícios!$B$7:$B$206,0)),"")</f>
        <v/>
      </c>
      <c r="K109" s="28"/>
      <c r="L109" s="28"/>
      <c r="M109" s="27"/>
      <c r="N109" s="28"/>
      <c r="O109" s="28"/>
      <c r="P109" s="28"/>
      <c r="Q109" s="26" t="n">
        <f aca="false">IFERROR($K109*$L109,"")</f>
        <v>0</v>
      </c>
      <c r="R109" s="44" t="n">
        <f aca="false">IF(OR($O109="",$P109=""),0,$O109*$P109)</f>
        <v>0</v>
      </c>
      <c r="S109" s="27"/>
      <c r="T109" s="27"/>
      <c r="U109" s="40" t="n">
        <f aca="false">IF($A109="",0,IF(AND(OR($E109=Atleta!$C$4,$E109="Equipe (todos)"),$A109&gt;=Atleta!$C$5),MAX($U$7:U108)+1,0))</f>
        <v>0</v>
      </c>
    </row>
    <row r="110" customFormat="false" ht="15" hidden="false" customHeight="false" outlineLevel="0" collapsed="false">
      <c r="A110" s="29"/>
      <c r="B110" s="40" t="n">
        <f aca="false">IF($A110="",0,INT(($A110-Macrociclo!$C$11)/7)+1)</f>
        <v>0</v>
      </c>
      <c r="C110" s="28"/>
      <c r="D110" s="28"/>
      <c r="E110" s="27"/>
      <c r="F110" s="28"/>
      <c r="G110" s="27"/>
      <c r="H110" s="26" t="str">
        <f aca="false">IFERROR(INDEX(Exercícios!$C$7:$C$206,MATCH($G110,Exercícios!$B$7:$B$206,0)),"")</f>
        <v/>
      </c>
      <c r="I110" s="26" t="str">
        <f aca="false">IFERROR(INDEX(Exercícios!$D$7:$D$206,MATCH($G110,Exercícios!$B$7:$B$206,0)),"")</f>
        <v/>
      </c>
      <c r="J110" s="26" t="str">
        <f aca="false">IFERROR(INDEX(Exercícios!$E$7:$E$206,MATCH($G110,Exercícios!$B$7:$B$206,0)),"")</f>
        <v/>
      </c>
      <c r="K110" s="28"/>
      <c r="L110" s="28"/>
      <c r="M110" s="27"/>
      <c r="N110" s="28"/>
      <c r="O110" s="28"/>
      <c r="P110" s="28"/>
      <c r="Q110" s="26" t="n">
        <f aca="false">IFERROR($K110*$L110,"")</f>
        <v>0</v>
      </c>
      <c r="R110" s="44" t="n">
        <f aca="false">IF(OR($O110="",$P110=""),0,$O110*$P110)</f>
        <v>0</v>
      </c>
      <c r="S110" s="27"/>
      <c r="T110" s="27"/>
      <c r="U110" s="40" t="n">
        <f aca="false">IF($A110="",0,IF(AND(OR($E110=Atleta!$C$4,$E110="Equipe (todos)"),$A110&gt;=Atleta!$C$5),MAX($U$7:U109)+1,0))</f>
        <v>0</v>
      </c>
    </row>
    <row r="111" customFormat="false" ht="15" hidden="false" customHeight="false" outlineLevel="0" collapsed="false">
      <c r="A111" s="29"/>
      <c r="B111" s="40" t="n">
        <f aca="false">IF($A111="",0,INT(($A111-Macrociclo!$C$11)/7)+1)</f>
        <v>0</v>
      </c>
      <c r="C111" s="28"/>
      <c r="D111" s="28"/>
      <c r="E111" s="27"/>
      <c r="F111" s="28"/>
      <c r="G111" s="27"/>
      <c r="H111" s="26" t="str">
        <f aca="false">IFERROR(INDEX(Exercícios!$C$7:$C$206,MATCH($G111,Exercícios!$B$7:$B$206,0)),"")</f>
        <v/>
      </c>
      <c r="I111" s="26" t="str">
        <f aca="false">IFERROR(INDEX(Exercícios!$D$7:$D$206,MATCH($G111,Exercícios!$B$7:$B$206,0)),"")</f>
        <v/>
      </c>
      <c r="J111" s="26" t="str">
        <f aca="false">IFERROR(INDEX(Exercícios!$E$7:$E$206,MATCH($G111,Exercícios!$B$7:$B$206,0)),"")</f>
        <v/>
      </c>
      <c r="K111" s="28"/>
      <c r="L111" s="28"/>
      <c r="M111" s="27"/>
      <c r="N111" s="28"/>
      <c r="O111" s="28"/>
      <c r="P111" s="28"/>
      <c r="Q111" s="26" t="n">
        <f aca="false">IFERROR($K111*$L111,"")</f>
        <v>0</v>
      </c>
      <c r="R111" s="44" t="n">
        <f aca="false">IF(OR($O111="",$P111=""),0,$O111*$P111)</f>
        <v>0</v>
      </c>
      <c r="S111" s="27"/>
      <c r="T111" s="27"/>
      <c r="U111" s="40" t="n">
        <f aca="false">IF($A111="",0,IF(AND(OR($E111=Atleta!$C$4,$E111="Equipe (todos)"),$A111&gt;=Atleta!$C$5),MAX($U$7:U110)+1,0))</f>
        <v>0</v>
      </c>
    </row>
    <row r="112" customFormat="false" ht="15" hidden="false" customHeight="false" outlineLevel="0" collapsed="false">
      <c r="A112" s="29"/>
      <c r="B112" s="40" t="n">
        <f aca="false">IF($A112="",0,INT(($A112-Macrociclo!$C$11)/7)+1)</f>
        <v>0</v>
      </c>
      <c r="C112" s="28"/>
      <c r="D112" s="28"/>
      <c r="E112" s="27"/>
      <c r="F112" s="28"/>
      <c r="G112" s="27"/>
      <c r="H112" s="26" t="str">
        <f aca="false">IFERROR(INDEX(Exercícios!$C$7:$C$206,MATCH($G112,Exercícios!$B$7:$B$206,0)),"")</f>
        <v/>
      </c>
      <c r="I112" s="26" t="str">
        <f aca="false">IFERROR(INDEX(Exercícios!$D$7:$D$206,MATCH($G112,Exercícios!$B$7:$B$206,0)),"")</f>
        <v/>
      </c>
      <c r="J112" s="26" t="str">
        <f aca="false">IFERROR(INDEX(Exercícios!$E$7:$E$206,MATCH($G112,Exercícios!$B$7:$B$206,0)),"")</f>
        <v/>
      </c>
      <c r="K112" s="28"/>
      <c r="L112" s="28"/>
      <c r="M112" s="27"/>
      <c r="N112" s="28"/>
      <c r="O112" s="28"/>
      <c r="P112" s="28"/>
      <c r="Q112" s="26" t="n">
        <f aca="false">IFERROR($K112*$L112,"")</f>
        <v>0</v>
      </c>
      <c r="R112" s="44" t="n">
        <f aca="false">IF(OR($O112="",$P112=""),0,$O112*$P112)</f>
        <v>0</v>
      </c>
      <c r="S112" s="27"/>
      <c r="T112" s="27"/>
      <c r="U112" s="40" t="n">
        <f aca="false">IF($A112="",0,IF(AND(OR($E112=Atleta!$C$4,$E112="Equipe (todos)"),$A112&gt;=Atleta!$C$5),MAX($U$7:U111)+1,0))</f>
        <v>0</v>
      </c>
    </row>
    <row r="113" customFormat="false" ht="15" hidden="false" customHeight="false" outlineLevel="0" collapsed="false">
      <c r="A113" s="29"/>
      <c r="B113" s="40" t="n">
        <f aca="false">IF($A113="",0,INT(($A113-Macrociclo!$C$11)/7)+1)</f>
        <v>0</v>
      </c>
      <c r="C113" s="28"/>
      <c r="D113" s="28"/>
      <c r="E113" s="27"/>
      <c r="F113" s="28"/>
      <c r="G113" s="27"/>
      <c r="H113" s="26" t="str">
        <f aca="false">IFERROR(INDEX(Exercícios!$C$7:$C$206,MATCH($G113,Exercícios!$B$7:$B$206,0)),"")</f>
        <v/>
      </c>
      <c r="I113" s="26" t="str">
        <f aca="false">IFERROR(INDEX(Exercícios!$D$7:$D$206,MATCH($G113,Exercícios!$B$7:$B$206,0)),"")</f>
        <v/>
      </c>
      <c r="J113" s="26" t="str">
        <f aca="false">IFERROR(INDEX(Exercícios!$E$7:$E$206,MATCH($G113,Exercícios!$B$7:$B$206,0)),"")</f>
        <v/>
      </c>
      <c r="K113" s="28"/>
      <c r="L113" s="28"/>
      <c r="M113" s="27"/>
      <c r="N113" s="28"/>
      <c r="O113" s="28"/>
      <c r="P113" s="28"/>
      <c r="Q113" s="26" t="n">
        <f aca="false">IFERROR($K113*$L113,"")</f>
        <v>0</v>
      </c>
      <c r="R113" s="44" t="n">
        <f aca="false">IF(OR($O113="",$P113=""),0,$O113*$P113)</f>
        <v>0</v>
      </c>
      <c r="S113" s="27"/>
      <c r="T113" s="27"/>
      <c r="U113" s="40" t="n">
        <f aca="false">IF($A113="",0,IF(AND(OR($E113=Atleta!$C$4,$E113="Equipe (todos)"),$A113&gt;=Atleta!$C$5),MAX($U$7:U112)+1,0))</f>
        <v>0</v>
      </c>
    </row>
    <row r="114" customFormat="false" ht="15" hidden="false" customHeight="false" outlineLevel="0" collapsed="false">
      <c r="A114" s="29"/>
      <c r="B114" s="40" t="n">
        <f aca="false">IF($A114="",0,INT(($A114-Macrociclo!$C$11)/7)+1)</f>
        <v>0</v>
      </c>
      <c r="C114" s="28"/>
      <c r="D114" s="28"/>
      <c r="E114" s="27"/>
      <c r="F114" s="28"/>
      <c r="G114" s="27"/>
      <c r="H114" s="26" t="str">
        <f aca="false">IFERROR(INDEX(Exercícios!$C$7:$C$206,MATCH($G114,Exercícios!$B$7:$B$206,0)),"")</f>
        <v/>
      </c>
      <c r="I114" s="26" t="str">
        <f aca="false">IFERROR(INDEX(Exercícios!$D$7:$D$206,MATCH($G114,Exercícios!$B$7:$B$206,0)),"")</f>
        <v/>
      </c>
      <c r="J114" s="26" t="str">
        <f aca="false">IFERROR(INDEX(Exercícios!$E$7:$E$206,MATCH($G114,Exercícios!$B$7:$B$206,0)),"")</f>
        <v/>
      </c>
      <c r="K114" s="28"/>
      <c r="L114" s="28"/>
      <c r="M114" s="27"/>
      <c r="N114" s="28"/>
      <c r="O114" s="28"/>
      <c r="P114" s="28"/>
      <c r="Q114" s="26" t="n">
        <f aca="false">IFERROR($K114*$L114,"")</f>
        <v>0</v>
      </c>
      <c r="R114" s="44" t="n">
        <f aca="false">IF(OR($O114="",$P114=""),0,$O114*$P114)</f>
        <v>0</v>
      </c>
      <c r="S114" s="27"/>
      <c r="T114" s="27"/>
      <c r="U114" s="40" t="n">
        <f aca="false">IF($A114="",0,IF(AND(OR($E114=Atleta!$C$4,$E114="Equipe (todos)"),$A114&gt;=Atleta!$C$5),MAX($U$7:U113)+1,0))</f>
        <v>0</v>
      </c>
    </row>
    <row r="115" customFormat="false" ht="15" hidden="false" customHeight="false" outlineLevel="0" collapsed="false">
      <c r="A115" s="29"/>
      <c r="B115" s="40" t="n">
        <f aca="false">IF($A115="",0,INT(($A115-Macrociclo!$C$11)/7)+1)</f>
        <v>0</v>
      </c>
      <c r="C115" s="28"/>
      <c r="D115" s="28"/>
      <c r="E115" s="27"/>
      <c r="F115" s="28"/>
      <c r="G115" s="27"/>
      <c r="H115" s="26" t="str">
        <f aca="false">IFERROR(INDEX(Exercícios!$C$7:$C$206,MATCH($G115,Exercícios!$B$7:$B$206,0)),"")</f>
        <v/>
      </c>
      <c r="I115" s="26" t="str">
        <f aca="false">IFERROR(INDEX(Exercícios!$D$7:$D$206,MATCH($G115,Exercícios!$B$7:$B$206,0)),"")</f>
        <v/>
      </c>
      <c r="J115" s="26" t="str">
        <f aca="false">IFERROR(INDEX(Exercícios!$E$7:$E$206,MATCH($G115,Exercícios!$B$7:$B$206,0)),"")</f>
        <v/>
      </c>
      <c r="K115" s="28"/>
      <c r="L115" s="28"/>
      <c r="M115" s="27"/>
      <c r="N115" s="28"/>
      <c r="O115" s="28"/>
      <c r="P115" s="28"/>
      <c r="Q115" s="26" t="n">
        <f aca="false">IFERROR($K115*$L115,"")</f>
        <v>0</v>
      </c>
      <c r="R115" s="44" t="n">
        <f aca="false">IF(OR($O115="",$P115=""),0,$O115*$P115)</f>
        <v>0</v>
      </c>
      <c r="S115" s="27"/>
      <c r="T115" s="27"/>
      <c r="U115" s="40" t="n">
        <f aca="false">IF($A115="",0,IF(AND(OR($E115=Atleta!$C$4,$E115="Equipe (todos)"),$A115&gt;=Atleta!$C$5),MAX($U$7:U114)+1,0))</f>
        <v>0</v>
      </c>
    </row>
    <row r="116" customFormat="false" ht="15" hidden="false" customHeight="false" outlineLevel="0" collapsed="false">
      <c r="A116" s="29"/>
      <c r="B116" s="40" t="n">
        <f aca="false">IF($A116="",0,INT(($A116-Macrociclo!$C$11)/7)+1)</f>
        <v>0</v>
      </c>
      <c r="C116" s="28"/>
      <c r="D116" s="28"/>
      <c r="E116" s="27"/>
      <c r="F116" s="28"/>
      <c r="G116" s="27"/>
      <c r="H116" s="26" t="str">
        <f aca="false">IFERROR(INDEX(Exercícios!$C$7:$C$206,MATCH($G116,Exercícios!$B$7:$B$206,0)),"")</f>
        <v/>
      </c>
      <c r="I116" s="26" t="str">
        <f aca="false">IFERROR(INDEX(Exercícios!$D$7:$D$206,MATCH($G116,Exercícios!$B$7:$B$206,0)),"")</f>
        <v/>
      </c>
      <c r="J116" s="26" t="str">
        <f aca="false">IFERROR(INDEX(Exercícios!$E$7:$E$206,MATCH($G116,Exercícios!$B$7:$B$206,0)),"")</f>
        <v/>
      </c>
      <c r="K116" s="28"/>
      <c r="L116" s="28"/>
      <c r="M116" s="27"/>
      <c r="N116" s="28"/>
      <c r="O116" s="28"/>
      <c r="P116" s="28"/>
      <c r="Q116" s="26" t="n">
        <f aca="false">IFERROR($K116*$L116,"")</f>
        <v>0</v>
      </c>
      <c r="R116" s="44" t="n">
        <f aca="false">IF(OR($O116="",$P116=""),0,$O116*$P116)</f>
        <v>0</v>
      </c>
      <c r="S116" s="27"/>
      <c r="T116" s="27"/>
      <c r="U116" s="40" t="n">
        <f aca="false">IF($A116="",0,IF(AND(OR($E116=Atleta!$C$4,$E116="Equipe (todos)"),$A116&gt;=Atleta!$C$5),MAX($U$7:U115)+1,0))</f>
        <v>0</v>
      </c>
    </row>
    <row r="117" customFormat="false" ht="15" hidden="false" customHeight="false" outlineLevel="0" collapsed="false">
      <c r="A117" s="29"/>
      <c r="B117" s="40" t="n">
        <f aca="false">IF($A117="",0,INT(($A117-Macrociclo!$C$11)/7)+1)</f>
        <v>0</v>
      </c>
      <c r="C117" s="28"/>
      <c r="D117" s="28"/>
      <c r="E117" s="27"/>
      <c r="F117" s="28"/>
      <c r="G117" s="27"/>
      <c r="H117" s="26" t="str">
        <f aca="false">IFERROR(INDEX(Exercícios!$C$7:$C$206,MATCH($G117,Exercícios!$B$7:$B$206,0)),"")</f>
        <v/>
      </c>
      <c r="I117" s="26" t="str">
        <f aca="false">IFERROR(INDEX(Exercícios!$D$7:$D$206,MATCH($G117,Exercícios!$B$7:$B$206,0)),"")</f>
        <v/>
      </c>
      <c r="J117" s="26" t="str">
        <f aca="false">IFERROR(INDEX(Exercícios!$E$7:$E$206,MATCH($G117,Exercícios!$B$7:$B$206,0)),"")</f>
        <v/>
      </c>
      <c r="K117" s="28"/>
      <c r="L117" s="28"/>
      <c r="M117" s="27"/>
      <c r="N117" s="28"/>
      <c r="O117" s="28"/>
      <c r="P117" s="28"/>
      <c r="Q117" s="26" t="n">
        <f aca="false">IFERROR($K117*$L117,"")</f>
        <v>0</v>
      </c>
      <c r="R117" s="44" t="n">
        <f aca="false">IF(OR($O117="",$P117=""),0,$O117*$P117)</f>
        <v>0</v>
      </c>
      <c r="S117" s="27"/>
      <c r="T117" s="27"/>
      <c r="U117" s="40" t="n">
        <f aca="false">IF($A117="",0,IF(AND(OR($E117=Atleta!$C$4,$E117="Equipe (todos)"),$A117&gt;=Atleta!$C$5),MAX($U$7:U116)+1,0))</f>
        <v>0</v>
      </c>
    </row>
    <row r="118" customFormat="false" ht="15" hidden="false" customHeight="false" outlineLevel="0" collapsed="false">
      <c r="A118" s="29"/>
      <c r="B118" s="40" t="n">
        <f aca="false">IF($A118="",0,INT(($A118-Macrociclo!$C$11)/7)+1)</f>
        <v>0</v>
      </c>
      <c r="C118" s="28"/>
      <c r="D118" s="28"/>
      <c r="E118" s="27"/>
      <c r="F118" s="28"/>
      <c r="G118" s="27"/>
      <c r="H118" s="26" t="str">
        <f aca="false">IFERROR(INDEX(Exercícios!$C$7:$C$206,MATCH($G118,Exercícios!$B$7:$B$206,0)),"")</f>
        <v/>
      </c>
      <c r="I118" s="26" t="str">
        <f aca="false">IFERROR(INDEX(Exercícios!$D$7:$D$206,MATCH($G118,Exercícios!$B$7:$B$206,0)),"")</f>
        <v/>
      </c>
      <c r="J118" s="26" t="str">
        <f aca="false">IFERROR(INDEX(Exercícios!$E$7:$E$206,MATCH($G118,Exercícios!$B$7:$B$206,0)),"")</f>
        <v/>
      </c>
      <c r="K118" s="28"/>
      <c r="L118" s="28"/>
      <c r="M118" s="27"/>
      <c r="N118" s="28"/>
      <c r="O118" s="28"/>
      <c r="P118" s="28"/>
      <c r="Q118" s="26" t="n">
        <f aca="false">IFERROR($K118*$L118,"")</f>
        <v>0</v>
      </c>
      <c r="R118" s="44" t="n">
        <f aca="false">IF(OR($O118="",$P118=""),0,$O118*$P118)</f>
        <v>0</v>
      </c>
      <c r="S118" s="27"/>
      <c r="T118" s="27"/>
      <c r="U118" s="40" t="n">
        <f aca="false">IF($A118="",0,IF(AND(OR($E118=Atleta!$C$4,$E118="Equipe (todos)"),$A118&gt;=Atleta!$C$5),MAX($U$7:U117)+1,0))</f>
        <v>0</v>
      </c>
    </row>
    <row r="119" customFormat="false" ht="15" hidden="false" customHeight="false" outlineLevel="0" collapsed="false">
      <c r="A119" s="29"/>
      <c r="B119" s="40" t="n">
        <f aca="false">IF($A119="",0,INT(($A119-Macrociclo!$C$11)/7)+1)</f>
        <v>0</v>
      </c>
      <c r="C119" s="28"/>
      <c r="D119" s="28"/>
      <c r="E119" s="27"/>
      <c r="F119" s="28"/>
      <c r="G119" s="27"/>
      <c r="H119" s="26" t="str">
        <f aca="false">IFERROR(INDEX(Exercícios!$C$7:$C$206,MATCH($G119,Exercícios!$B$7:$B$206,0)),"")</f>
        <v/>
      </c>
      <c r="I119" s="26" t="str">
        <f aca="false">IFERROR(INDEX(Exercícios!$D$7:$D$206,MATCH($G119,Exercícios!$B$7:$B$206,0)),"")</f>
        <v/>
      </c>
      <c r="J119" s="26" t="str">
        <f aca="false">IFERROR(INDEX(Exercícios!$E$7:$E$206,MATCH($G119,Exercícios!$B$7:$B$206,0)),"")</f>
        <v/>
      </c>
      <c r="K119" s="28"/>
      <c r="L119" s="28"/>
      <c r="M119" s="27"/>
      <c r="N119" s="28"/>
      <c r="O119" s="28"/>
      <c r="P119" s="28"/>
      <c r="Q119" s="26" t="n">
        <f aca="false">IFERROR($K119*$L119,"")</f>
        <v>0</v>
      </c>
      <c r="R119" s="44" t="n">
        <f aca="false">IF(OR($O119="",$P119=""),0,$O119*$P119)</f>
        <v>0</v>
      </c>
      <c r="S119" s="27"/>
      <c r="T119" s="27"/>
      <c r="U119" s="40" t="n">
        <f aca="false">IF($A119="",0,IF(AND(OR($E119=Atleta!$C$4,$E119="Equipe (todos)"),$A119&gt;=Atleta!$C$5),MAX($U$7:U118)+1,0))</f>
        <v>0</v>
      </c>
    </row>
    <row r="120" customFormat="false" ht="15" hidden="false" customHeight="false" outlineLevel="0" collapsed="false">
      <c r="A120" s="29"/>
      <c r="B120" s="40" t="n">
        <f aca="false">IF($A120="",0,INT(($A120-Macrociclo!$C$11)/7)+1)</f>
        <v>0</v>
      </c>
      <c r="C120" s="28"/>
      <c r="D120" s="28"/>
      <c r="E120" s="27"/>
      <c r="F120" s="28"/>
      <c r="G120" s="27"/>
      <c r="H120" s="26" t="str">
        <f aca="false">IFERROR(INDEX(Exercícios!$C$7:$C$206,MATCH($G120,Exercícios!$B$7:$B$206,0)),"")</f>
        <v/>
      </c>
      <c r="I120" s="26" t="str">
        <f aca="false">IFERROR(INDEX(Exercícios!$D$7:$D$206,MATCH($G120,Exercícios!$B$7:$B$206,0)),"")</f>
        <v/>
      </c>
      <c r="J120" s="26" t="str">
        <f aca="false">IFERROR(INDEX(Exercícios!$E$7:$E$206,MATCH($G120,Exercícios!$B$7:$B$206,0)),"")</f>
        <v/>
      </c>
      <c r="K120" s="28"/>
      <c r="L120" s="28"/>
      <c r="M120" s="27"/>
      <c r="N120" s="28"/>
      <c r="O120" s="28"/>
      <c r="P120" s="28"/>
      <c r="Q120" s="26" t="n">
        <f aca="false">IFERROR($K120*$L120,"")</f>
        <v>0</v>
      </c>
      <c r="R120" s="44" t="n">
        <f aca="false">IF(OR($O120="",$P120=""),0,$O120*$P120)</f>
        <v>0</v>
      </c>
      <c r="S120" s="27"/>
      <c r="T120" s="27"/>
      <c r="U120" s="40" t="n">
        <f aca="false">IF($A120="",0,IF(AND(OR($E120=Atleta!$C$4,$E120="Equipe (todos)"),$A120&gt;=Atleta!$C$5),MAX($U$7:U119)+1,0))</f>
        <v>0</v>
      </c>
    </row>
    <row r="121" customFormat="false" ht="15" hidden="false" customHeight="false" outlineLevel="0" collapsed="false">
      <c r="A121" s="29"/>
      <c r="B121" s="40" t="n">
        <f aca="false">IF($A121="",0,INT(($A121-Macrociclo!$C$11)/7)+1)</f>
        <v>0</v>
      </c>
      <c r="C121" s="28"/>
      <c r="D121" s="28"/>
      <c r="E121" s="27"/>
      <c r="F121" s="28"/>
      <c r="G121" s="27"/>
      <c r="H121" s="26" t="str">
        <f aca="false">IFERROR(INDEX(Exercícios!$C$7:$C$206,MATCH($G121,Exercícios!$B$7:$B$206,0)),"")</f>
        <v/>
      </c>
      <c r="I121" s="26" t="str">
        <f aca="false">IFERROR(INDEX(Exercícios!$D$7:$D$206,MATCH($G121,Exercícios!$B$7:$B$206,0)),"")</f>
        <v/>
      </c>
      <c r="J121" s="26" t="str">
        <f aca="false">IFERROR(INDEX(Exercícios!$E$7:$E$206,MATCH($G121,Exercícios!$B$7:$B$206,0)),"")</f>
        <v/>
      </c>
      <c r="K121" s="28"/>
      <c r="L121" s="28"/>
      <c r="M121" s="27"/>
      <c r="N121" s="28"/>
      <c r="O121" s="28"/>
      <c r="P121" s="28"/>
      <c r="Q121" s="26" t="n">
        <f aca="false">IFERROR($K121*$L121,"")</f>
        <v>0</v>
      </c>
      <c r="R121" s="44" t="n">
        <f aca="false">IF(OR($O121="",$P121=""),0,$O121*$P121)</f>
        <v>0</v>
      </c>
      <c r="S121" s="27"/>
      <c r="T121" s="27"/>
      <c r="U121" s="40" t="n">
        <f aca="false">IF($A121="",0,IF(AND(OR($E121=Atleta!$C$4,$E121="Equipe (todos)"),$A121&gt;=Atleta!$C$5),MAX($U$7:U120)+1,0))</f>
        <v>0</v>
      </c>
    </row>
    <row r="122" customFormat="false" ht="15" hidden="false" customHeight="false" outlineLevel="0" collapsed="false">
      <c r="A122" s="29"/>
      <c r="B122" s="40" t="n">
        <f aca="false">IF($A122="",0,INT(($A122-Macrociclo!$C$11)/7)+1)</f>
        <v>0</v>
      </c>
      <c r="C122" s="28"/>
      <c r="D122" s="28"/>
      <c r="E122" s="27"/>
      <c r="F122" s="28"/>
      <c r="G122" s="27"/>
      <c r="H122" s="26" t="str">
        <f aca="false">IFERROR(INDEX(Exercícios!$C$7:$C$206,MATCH($G122,Exercícios!$B$7:$B$206,0)),"")</f>
        <v/>
      </c>
      <c r="I122" s="26" t="str">
        <f aca="false">IFERROR(INDEX(Exercícios!$D$7:$D$206,MATCH($G122,Exercícios!$B$7:$B$206,0)),"")</f>
        <v/>
      </c>
      <c r="J122" s="26" t="str">
        <f aca="false">IFERROR(INDEX(Exercícios!$E$7:$E$206,MATCH($G122,Exercícios!$B$7:$B$206,0)),"")</f>
        <v/>
      </c>
      <c r="K122" s="28"/>
      <c r="L122" s="28"/>
      <c r="M122" s="27"/>
      <c r="N122" s="28"/>
      <c r="O122" s="28"/>
      <c r="P122" s="28"/>
      <c r="Q122" s="26" t="n">
        <f aca="false">IFERROR($K122*$L122,"")</f>
        <v>0</v>
      </c>
      <c r="R122" s="44" t="n">
        <f aca="false">IF(OR($O122="",$P122=""),0,$O122*$P122)</f>
        <v>0</v>
      </c>
      <c r="S122" s="27"/>
      <c r="T122" s="27"/>
      <c r="U122" s="40" t="n">
        <f aca="false">IF($A122="",0,IF(AND(OR($E122=Atleta!$C$4,$E122="Equipe (todos)"),$A122&gt;=Atleta!$C$5),MAX($U$7:U121)+1,0))</f>
        <v>0</v>
      </c>
    </row>
    <row r="123" customFormat="false" ht="15" hidden="false" customHeight="false" outlineLevel="0" collapsed="false">
      <c r="A123" s="29"/>
      <c r="B123" s="40" t="n">
        <f aca="false">IF($A123="",0,INT(($A123-Macrociclo!$C$11)/7)+1)</f>
        <v>0</v>
      </c>
      <c r="C123" s="28"/>
      <c r="D123" s="28"/>
      <c r="E123" s="27"/>
      <c r="F123" s="28"/>
      <c r="G123" s="27"/>
      <c r="H123" s="26" t="str">
        <f aca="false">IFERROR(INDEX(Exercícios!$C$7:$C$206,MATCH($G123,Exercícios!$B$7:$B$206,0)),"")</f>
        <v/>
      </c>
      <c r="I123" s="26" t="str">
        <f aca="false">IFERROR(INDEX(Exercícios!$D$7:$D$206,MATCH($G123,Exercícios!$B$7:$B$206,0)),"")</f>
        <v/>
      </c>
      <c r="J123" s="26" t="str">
        <f aca="false">IFERROR(INDEX(Exercícios!$E$7:$E$206,MATCH($G123,Exercícios!$B$7:$B$206,0)),"")</f>
        <v/>
      </c>
      <c r="K123" s="28"/>
      <c r="L123" s="28"/>
      <c r="M123" s="27"/>
      <c r="N123" s="28"/>
      <c r="O123" s="28"/>
      <c r="P123" s="28"/>
      <c r="Q123" s="26" t="n">
        <f aca="false">IFERROR($K123*$L123,"")</f>
        <v>0</v>
      </c>
      <c r="R123" s="44" t="n">
        <f aca="false">IF(OR($O123="",$P123=""),0,$O123*$P123)</f>
        <v>0</v>
      </c>
      <c r="S123" s="27"/>
      <c r="T123" s="27"/>
      <c r="U123" s="40" t="n">
        <f aca="false">IF($A123="",0,IF(AND(OR($E123=Atleta!$C$4,$E123="Equipe (todos)"),$A123&gt;=Atleta!$C$5),MAX($U$7:U122)+1,0))</f>
        <v>0</v>
      </c>
    </row>
    <row r="124" customFormat="false" ht="15" hidden="false" customHeight="false" outlineLevel="0" collapsed="false">
      <c r="A124" s="29"/>
      <c r="B124" s="40" t="n">
        <f aca="false">IF($A124="",0,INT(($A124-Macrociclo!$C$11)/7)+1)</f>
        <v>0</v>
      </c>
      <c r="C124" s="28"/>
      <c r="D124" s="28"/>
      <c r="E124" s="27"/>
      <c r="F124" s="28"/>
      <c r="G124" s="27"/>
      <c r="H124" s="26" t="str">
        <f aca="false">IFERROR(INDEX(Exercícios!$C$7:$C$206,MATCH($G124,Exercícios!$B$7:$B$206,0)),"")</f>
        <v/>
      </c>
      <c r="I124" s="26" t="str">
        <f aca="false">IFERROR(INDEX(Exercícios!$D$7:$D$206,MATCH($G124,Exercícios!$B$7:$B$206,0)),"")</f>
        <v/>
      </c>
      <c r="J124" s="26" t="str">
        <f aca="false">IFERROR(INDEX(Exercícios!$E$7:$E$206,MATCH($G124,Exercícios!$B$7:$B$206,0)),"")</f>
        <v/>
      </c>
      <c r="K124" s="28"/>
      <c r="L124" s="28"/>
      <c r="M124" s="27"/>
      <c r="N124" s="28"/>
      <c r="O124" s="28"/>
      <c r="P124" s="28"/>
      <c r="Q124" s="26" t="n">
        <f aca="false">IFERROR($K124*$L124,"")</f>
        <v>0</v>
      </c>
      <c r="R124" s="44" t="n">
        <f aca="false">IF(OR($O124="",$P124=""),0,$O124*$P124)</f>
        <v>0</v>
      </c>
      <c r="S124" s="27"/>
      <c r="T124" s="27"/>
      <c r="U124" s="40" t="n">
        <f aca="false">IF($A124="",0,IF(AND(OR($E124=Atleta!$C$4,$E124="Equipe (todos)"),$A124&gt;=Atleta!$C$5),MAX($U$7:U123)+1,0))</f>
        <v>0</v>
      </c>
    </row>
    <row r="125" customFormat="false" ht="15" hidden="false" customHeight="false" outlineLevel="0" collapsed="false">
      <c r="A125" s="29"/>
      <c r="B125" s="40" t="n">
        <f aca="false">IF($A125="",0,INT(($A125-Macrociclo!$C$11)/7)+1)</f>
        <v>0</v>
      </c>
      <c r="C125" s="28"/>
      <c r="D125" s="28"/>
      <c r="E125" s="27"/>
      <c r="F125" s="28"/>
      <c r="G125" s="27"/>
      <c r="H125" s="26" t="str">
        <f aca="false">IFERROR(INDEX(Exercícios!$C$7:$C$206,MATCH($G125,Exercícios!$B$7:$B$206,0)),"")</f>
        <v/>
      </c>
      <c r="I125" s="26" t="str">
        <f aca="false">IFERROR(INDEX(Exercícios!$D$7:$D$206,MATCH($G125,Exercícios!$B$7:$B$206,0)),"")</f>
        <v/>
      </c>
      <c r="J125" s="26" t="str">
        <f aca="false">IFERROR(INDEX(Exercícios!$E$7:$E$206,MATCH($G125,Exercícios!$B$7:$B$206,0)),"")</f>
        <v/>
      </c>
      <c r="K125" s="28"/>
      <c r="L125" s="28"/>
      <c r="M125" s="27"/>
      <c r="N125" s="28"/>
      <c r="O125" s="28"/>
      <c r="P125" s="28"/>
      <c r="Q125" s="26" t="n">
        <f aca="false">IFERROR($K125*$L125,"")</f>
        <v>0</v>
      </c>
      <c r="R125" s="44" t="n">
        <f aca="false">IF(OR($O125="",$P125=""),0,$O125*$P125)</f>
        <v>0</v>
      </c>
      <c r="S125" s="27"/>
      <c r="T125" s="27"/>
      <c r="U125" s="40" t="n">
        <f aca="false">IF($A125="",0,IF(AND(OR($E125=Atleta!$C$4,$E125="Equipe (todos)"),$A125&gt;=Atleta!$C$5),MAX($U$7:U124)+1,0))</f>
        <v>0</v>
      </c>
    </row>
    <row r="126" customFormat="false" ht="15" hidden="false" customHeight="false" outlineLevel="0" collapsed="false">
      <c r="A126" s="29"/>
      <c r="B126" s="40" t="n">
        <f aca="false">IF($A126="",0,INT(($A126-Macrociclo!$C$11)/7)+1)</f>
        <v>0</v>
      </c>
      <c r="C126" s="28"/>
      <c r="D126" s="28"/>
      <c r="E126" s="27"/>
      <c r="F126" s="28"/>
      <c r="G126" s="27"/>
      <c r="H126" s="26" t="str">
        <f aca="false">IFERROR(INDEX(Exercícios!$C$7:$C$206,MATCH($G126,Exercícios!$B$7:$B$206,0)),"")</f>
        <v/>
      </c>
      <c r="I126" s="26" t="str">
        <f aca="false">IFERROR(INDEX(Exercícios!$D$7:$D$206,MATCH($G126,Exercícios!$B$7:$B$206,0)),"")</f>
        <v/>
      </c>
      <c r="J126" s="26" t="str">
        <f aca="false">IFERROR(INDEX(Exercícios!$E$7:$E$206,MATCH($G126,Exercícios!$B$7:$B$206,0)),"")</f>
        <v/>
      </c>
      <c r="K126" s="28"/>
      <c r="L126" s="28"/>
      <c r="M126" s="27"/>
      <c r="N126" s="28"/>
      <c r="O126" s="28"/>
      <c r="P126" s="28"/>
      <c r="Q126" s="26" t="n">
        <f aca="false">IFERROR($K126*$L126,"")</f>
        <v>0</v>
      </c>
      <c r="R126" s="44" t="n">
        <f aca="false">IF(OR($O126="",$P126=""),0,$O126*$P126)</f>
        <v>0</v>
      </c>
      <c r="S126" s="27"/>
      <c r="T126" s="27"/>
      <c r="U126" s="40" t="n">
        <f aca="false">IF($A126="",0,IF(AND(OR($E126=Atleta!$C$4,$E126="Equipe (todos)"),$A126&gt;=Atleta!$C$5),MAX($U$7:U125)+1,0))</f>
        <v>0</v>
      </c>
    </row>
    <row r="127" customFormat="false" ht="15" hidden="false" customHeight="false" outlineLevel="0" collapsed="false">
      <c r="A127" s="29"/>
      <c r="B127" s="40" t="n">
        <f aca="false">IF($A127="",0,INT(($A127-Macrociclo!$C$11)/7)+1)</f>
        <v>0</v>
      </c>
      <c r="C127" s="28"/>
      <c r="D127" s="28"/>
      <c r="E127" s="27"/>
      <c r="F127" s="28"/>
      <c r="G127" s="27"/>
      <c r="H127" s="26" t="str">
        <f aca="false">IFERROR(INDEX(Exercícios!$C$7:$C$206,MATCH($G127,Exercícios!$B$7:$B$206,0)),"")</f>
        <v/>
      </c>
      <c r="I127" s="26" t="str">
        <f aca="false">IFERROR(INDEX(Exercícios!$D$7:$D$206,MATCH($G127,Exercícios!$B$7:$B$206,0)),"")</f>
        <v/>
      </c>
      <c r="J127" s="26" t="str">
        <f aca="false">IFERROR(INDEX(Exercícios!$E$7:$E$206,MATCH($G127,Exercícios!$B$7:$B$206,0)),"")</f>
        <v/>
      </c>
      <c r="K127" s="28"/>
      <c r="L127" s="28"/>
      <c r="M127" s="27"/>
      <c r="N127" s="28"/>
      <c r="O127" s="28"/>
      <c r="P127" s="28"/>
      <c r="Q127" s="26" t="n">
        <f aca="false">IFERROR($K127*$L127,"")</f>
        <v>0</v>
      </c>
      <c r="R127" s="44" t="n">
        <f aca="false">IF(OR($O127="",$P127=""),0,$O127*$P127)</f>
        <v>0</v>
      </c>
      <c r="S127" s="27"/>
      <c r="T127" s="27"/>
      <c r="U127" s="40" t="n">
        <f aca="false">IF($A127="",0,IF(AND(OR($E127=Atleta!$C$4,$E127="Equipe (todos)"),$A127&gt;=Atleta!$C$5),MAX($U$7:U126)+1,0))</f>
        <v>0</v>
      </c>
    </row>
    <row r="128" customFormat="false" ht="15" hidden="false" customHeight="false" outlineLevel="0" collapsed="false">
      <c r="A128" s="29"/>
      <c r="B128" s="40" t="n">
        <f aca="false">IF($A128="",0,INT(($A128-Macrociclo!$C$11)/7)+1)</f>
        <v>0</v>
      </c>
      <c r="C128" s="28"/>
      <c r="D128" s="28"/>
      <c r="E128" s="27"/>
      <c r="F128" s="28"/>
      <c r="G128" s="27"/>
      <c r="H128" s="26" t="str">
        <f aca="false">IFERROR(INDEX(Exercícios!$C$7:$C$206,MATCH($G128,Exercícios!$B$7:$B$206,0)),"")</f>
        <v/>
      </c>
      <c r="I128" s="26" t="str">
        <f aca="false">IFERROR(INDEX(Exercícios!$D$7:$D$206,MATCH($G128,Exercícios!$B$7:$B$206,0)),"")</f>
        <v/>
      </c>
      <c r="J128" s="26" t="str">
        <f aca="false">IFERROR(INDEX(Exercícios!$E$7:$E$206,MATCH($G128,Exercícios!$B$7:$B$206,0)),"")</f>
        <v/>
      </c>
      <c r="K128" s="28"/>
      <c r="L128" s="28"/>
      <c r="M128" s="27"/>
      <c r="N128" s="28"/>
      <c r="O128" s="28"/>
      <c r="P128" s="28"/>
      <c r="Q128" s="26" t="n">
        <f aca="false">IFERROR($K128*$L128,"")</f>
        <v>0</v>
      </c>
      <c r="R128" s="44" t="n">
        <f aca="false">IF(OR($O128="",$P128=""),0,$O128*$P128)</f>
        <v>0</v>
      </c>
      <c r="S128" s="27"/>
      <c r="T128" s="27"/>
      <c r="U128" s="40" t="n">
        <f aca="false">IF($A128="",0,IF(AND(OR($E128=Atleta!$C$4,$E128="Equipe (todos)"),$A128&gt;=Atleta!$C$5),MAX($U$7:U127)+1,0))</f>
        <v>0</v>
      </c>
    </row>
    <row r="129" customFormat="false" ht="15" hidden="false" customHeight="false" outlineLevel="0" collapsed="false">
      <c r="A129" s="29"/>
      <c r="B129" s="40" t="n">
        <f aca="false">IF($A129="",0,INT(($A129-Macrociclo!$C$11)/7)+1)</f>
        <v>0</v>
      </c>
      <c r="C129" s="28"/>
      <c r="D129" s="28"/>
      <c r="E129" s="27"/>
      <c r="F129" s="28"/>
      <c r="G129" s="27"/>
      <c r="H129" s="26" t="str">
        <f aca="false">IFERROR(INDEX(Exercícios!$C$7:$C$206,MATCH($G129,Exercícios!$B$7:$B$206,0)),"")</f>
        <v/>
      </c>
      <c r="I129" s="26" t="str">
        <f aca="false">IFERROR(INDEX(Exercícios!$D$7:$D$206,MATCH($G129,Exercícios!$B$7:$B$206,0)),"")</f>
        <v/>
      </c>
      <c r="J129" s="26" t="str">
        <f aca="false">IFERROR(INDEX(Exercícios!$E$7:$E$206,MATCH($G129,Exercícios!$B$7:$B$206,0)),"")</f>
        <v/>
      </c>
      <c r="K129" s="28"/>
      <c r="L129" s="28"/>
      <c r="M129" s="27"/>
      <c r="N129" s="28"/>
      <c r="O129" s="28"/>
      <c r="P129" s="28"/>
      <c r="Q129" s="26" t="n">
        <f aca="false">IFERROR($K129*$L129,"")</f>
        <v>0</v>
      </c>
      <c r="R129" s="44" t="n">
        <f aca="false">IF(OR($O129="",$P129=""),0,$O129*$P129)</f>
        <v>0</v>
      </c>
      <c r="S129" s="27"/>
      <c r="T129" s="27"/>
      <c r="U129" s="40" t="n">
        <f aca="false">IF($A129="",0,IF(AND(OR($E129=Atleta!$C$4,$E129="Equipe (todos)"),$A129&gt;=Atleta!$C$5),MAX($U$7:U128)+1,0))</f>
        <v>0</v>
      </c>
    </row>
    <row r="130" customFormat="false" ht="15" hidden="false" customHeight="false" outlineLevel="0" collapsed="false">
      <c r="A130" s="29"/>
      <c r="B130" s="40" t="n">
        <f aca="false">IF($A130="",0,INT(($A130-Macrociclo!$C$11)/7)+1)</f>
        <v>0</v>
      </c>
      <c r="C130" s="28"/>
      <c r="D130" s="28"/>
      <c r="E130" s="27"/>
      <c r="F130" s="28"/>
      <c r="G130" s="27"/>
      <c r="H130" s="26" t="str">
        <f aca="false">IFERROR(INDEX(Exercícios!$C$7:$C$206,MATCH($G130,Exercícios!$B$7:$B$206,0)),"")</f>
        <v/>
      </c>
      <c r="I130" s="26" t="str">
        <f aca="false">IFERROR(INDEX(Exercícios!$D$7:$D$206,MATCH($G130,Exercícios!$B$7:$B$206,0)),"")</f>
        <v/>
      </c>
      <c r="J130" s="26" t="str">
        <f aca="false">IFERROR(INDEX(Exercícios!$E$7:$E$206,MATCH($G130,Exercícios!$B$7:$B$206,0)),"")</f>
        <v/>
      </c>
      <c r="K130" s="28"/>
      <c r="L130" s="28"/>
      <c r="M130" s="27"/>
      <c r="N130" s="28"/>
      <c r="O130" s="28"/>
      <c r="P130" s="28"/>
      <c r="Q130" s="26" t="n">
        <f aca="false">IFERROR($K130*$L130,"")</f>
        <v>0</v>
      </c>
      <c r="R130" s="44" t="n">
        <f aca="false">IF(OR($O130="",$P130=""),0,$O130*$P130)</f>
        <v>0</v>
      </c>
      <c r="S130" s="27"/>
      <c r="T130" s="27"/>
      <c r="U130" s="40" t="n">
        <f aca="false">IF($A130="",0,IF(AND(OR($E130=Atleta!$C$4,$E130="Equipe (todos)"),$A130&gt;=Atleta!$C$5),MAX($U$7:U129)+1,0))</f>
        <v>0</v>
      </c>
    </row>
    <row r="131" customFormat="false" ht="15" hidden="false" customHeight="false" outlineLevel="0" collapsed="false">
      <c r="A131" s="29"/>
      <c r="B131" s="40" t="n">
        <f aca="false">IF($A131="",0,INT(($A131-Macrociclo!$C$11)/7)+1)</f>
        <v>0</v>
      </c>
      <c r="C131" s="28"/>
      <c r="D131" s="28"/>
      <c r="E131" s="27"/>
      <c r="F131" s="28"/>
      <c r="G131" s="27"/>
      <c r="H131" s="26" t="str">
        <f aca="false">IFERROR(INDEX(Exercícios!$C$7:$C$206,MATCH($G131,Exercícios!$B$7:$B$206,0)),"")</f>
        <v/>
      </c>
      <c r="I131" s="26" t="str">
        <f aca="false">IFERROR(INDEX(Exercícios!$D$7:$D$206,MATCH($G131,Exercícios!$B$7:$B$206,0)),"")</f>
        <v/>
      </c>
      <c r="J131" s="26" t="str">
        <f aca="false">IFERROR(INDEX(Exercícios!$E$7:$E$206,MATCH($G131,Exercícios!$B$7:$B$206,0)),"")</f>
        <v/>
      </c>
      <c r="K131" s="28"/>
      <c r="L131" s="28"/>
      <c r="M131" s="27"/>
      <c r="N131" s="28"/>
      <c r="O131" s="28"/>
      <c r="P131" s="28"/>
      <c r="Q131" s="26" t="n">
        <f aca="false">IFERROR($K131*$L131,"")</f>
        <v>0</v>
      </c>
      <c r="R131" s="44" t="n">
        <f aca="false">IF(OR($O131="",$P131=""),0,$O131*$P131)</f>
        <v>0</v>
      </c>
      <c r="S131" s="27"/>
      <c r="T131" s="27"/>
      <c r="U131" s="40" t="n">
        <f aca="false">IF($A131="",0,IF(AND(OR($E131=Atleta!$C$4,$E131="Equipe (todos)"),$A131&gt;=Atleta!$C$5),MAX($U$7:U130)+1,0))</f>
        <v>0</v>
      </c>
    </row>
    <row r="132" customFormat="false" ht="15" hidden="false" customHeight="false" outlineLevel="0" collapsed="false">
      <c r="A132" s="29"/>
      <c r="B132" s="40" t="n">
        <f aca="false">IF($A132="",0,INT(($A132-Macrociclo!$C$11)/7)+1)</f>
        <v>0</v>
      </c>
      <c r="C132" s="28"/>
      <c r="D132" s="28"/>
      <c r="E132" s="27"/>
      <c r="F132" s="28"/>
      <c r="G132" s="27"/>
      <c r="H132" s="26" t="str">
        <f aca="false">IFERROR(INDEX(Exercícios!$C$7:$C$206,MATCH($G132,Exercícios!$B$7:$B$206,0)),"")</f>
        <v/>
      </c>
      <c r="I132" s="26" t="str">
        <f aca="false">IFERROR(INDEX(Exercícios!$D$7:$D$206,MATCH($G132,Exercícios!$B$7:$B$206,0)),"")</f>
        <v/>
      </c>
      <c r="J132" s="26" t="str">
        <f aca="false">IFERROR(INDEX(Exercícios!$E$7:$E$206,MATCH($G132,Exercícios!$B$7:$B$206,0)),"")</f>
        <v/>
      </c>
      <c r="K132" s="28"/>
      <c r="L132" s="28"/>
      <c r="M132" s="27"/>
      <c r="N132" s="28"/>
      <c r="O132" s="28"/>
      <c r="P132" s="28"/>
      <c r="Q132" s="26" t="n">
        <f aca="false">IFERROR($K132*$L132,"")</f>
        <v>0</v>
      </c>
      <c r="R132" s="44" t="n">
        <f aca="false">IF(OR($O132="",$P132=""),0,$O132*$P132)</f>
        <v>0</v>
      </c>
      <c r="S132" s="27"/>
      <c r="T132" s="27"/>
      <c r="U132" s="40" t="n">
        <f aca="false">IF($A132="",0,IF(AND(OR($E132=Atleta!$C$4,$E132="Equipe (todos)"),$A132&gt;=Atleta!$C$5),MAX($U$7:U131)+1,0))</f>
        <v>0</v>
      </c>
    </row>
    <row r="133" customFormat="false" ht="15" hidden="false" customHeight="false" outlineLevel="0" collapsed="false">
      <c r="A133" s="29"/>
      <c r="B133" s="40" t="n">
        <f aca="false">IF($A133="",0,INT(($A133-Macrociclo!$C$11)/7)+1)</f>
        <v>0</v>
      </c>
      <c r="C133" s="28"/>
      <c r="D133" s="28"/>
      <c r="E133" s="27"/>
      <c r="F133" s="28"/>
      <c r="G133" s="27"/>
      <c r="H133" s="26" t="str">
        <f aca="false">IFERROR(INDEX(Exercícios!$C$7:$C$206,MATCH($G133,Exercícios!$B$7:$B$206,0)),"")</f>
        <v/>
      </c>
      <c r="I133" s="26" t="str">
        <f aca="false">IFERROR(INDEX(Exercícios!$D$7:$D$206,MATCH($G133,Exercícios!$B$7:$B$206,0)),"")</f>
        <v/>
      </c>
      <c r="J133" s="26" t="str">
        <f aca="false">IFERROR(INDEX(Exercícios!$E$7:$E$206,MATCH($G133,Exercícios!$B$7:$B$206,0)),"")</f>
        <v/>
      </c>
      <c r="K133" s="28"/>
      <c r="L133" s="28"/>
      <c r="M133" s="27"/>
      <c r="N133" s="28"/>
      <c r="O133" s="28"/>
      <c r="P133" s="28"/>
      <c r="Q133" s="26" t="n">
        <f aca="false">IFERROR($K133*$L133,"")</f>
        <v>0</v>
      </c>
      <c r="R133" s="44" t="n">
        <f aca="false">IF(OR($O133="",$P133=""),0,$O133*$P133)</f>
        <v>0</v>
      </c>
      <c r="S133" s="27"/>
      <c r="T133" s="27"/>
      <c r="U133" s="40" t="n">
        <f aca="false">IF($A133="",0,IF(AND(OR($E133=Atleta!$C$4,$E133="Equipe (todos)"),$A133&gt;=Atleta!$C$5),MAX($U$7:U132)+1,0))</f>
        <v>0</v>
      </c>
    </row>
    <row r="134" customFormat="false" ht="15" hidden="false" customHeight="false" outlineLevel="0" collapsed="false">
      <c r="A134" s="29"/>
      <c r="B134" s="40" t="n">
        <f aca="false">IF($A134="",0,INT(($A134-Macrociclo!$C$11)/7)+1)</f>
        <v>0</v>
      </c>
      <c r="C134" s="28"/>
      <c r="D134" s="28"/>
      <c r="E134" s="27"/>
      <c r="F134" s="28"/>
      <c r="G134" s="27"/>
      <c r="H134" s="26" t="str">
        <f aca="false">IFERROR(INDEX(Exercícios!$C$7:$C$206,MATCH($G134,Exercícios!$B$7:$B$206,0)),"")</f>
        <v/>
      </c>
      <c r="I134" s="26" t="str">
        <f aca="false">IFERROR(INDEX(Exercícios!$D$7:$D$206,MATCH($G134,Exercícios!$B$7:$B$206,0)),"")</f>
        <v/>
      </c>
      <c r="J134" s="26" t="str">
        <f aca="false">IFERROR(INDEX(Exercícios!$E$7:$E$206,MATCH($G134,Exercícios!$B$7:$B$206,0)),"")</f>
        <v/>
      </c>
      <c r="K134" s="28"/>
      <c r="L134" s="28"/>
      <c r="M134" s="27"/>
      <c r="N134" s="28"/>
      <c r="O134" s="28"/>
      <c r="P134" s="28"/>
      <c r="Q134" s="26" t="n">
        <f aca="false">IFERROR($K134*$L134,"")</f>
        <v>0</v>
      </c>
      <c r="R134" s="44" t="n">
        <f aca="false">IF(OR($O134="",$P134=""),0,$O134*$P134)</f>
        <v>0</v>
      </c>
      <c r="S134" s="27"/>
      <c r="T134" s="27"/>
      <c r="U134" s="40" t="n">
        <f aca="false">IF($A134="",0,IF(AND(OR($E134=Atleta!$C$4,$E134="Equipe (todos)"),$A134&gt;=Atleta!$C$5),MAX($U$7:U133)+1,0))</f>
        <v>0</v>
      </c>
    </row>
    <row r="135" customFormat="false" ht="15" hidden="false" customHeight="false" outlineLevel="0" collapsed="false">
      <c r="A135" s="29"/>
      <c r="B135" s="40" t="n">
        <f aca="false">IF($A135="",0,INT(($A135-Macrociclo!$C$11)/7)+1)</f>
        <v>0</v>
      </c>
      <c r="C135" s="28"/>
      <c r="D135" s="28"/>
      <c r="E135" s="27"/>
      <c r="F135" s="28"/>
      <c r="G135" s="27"/>
      <c r="H135" s="26" t="str">
        <f aca="false">IFERROR(INDEX(Exercícios!$C$7:$C$206,MATCH($G135,Exercícios!$B$7:$B$206,0)),"")</f>
        <v/>
      </c>
      <c r="I135" s="26" t="str">
        <f aca="false">IFERROR(INDEX(Exercícios!$D$7:$D$206,MATCH($G135,Exercícios!$B$7:$B$206,0)),"")</f>
        <v/>
      </c>
      <c r="J135" s="26" t="str">
        <f aca="false">IFERROR(INDEX(Exercícios!$E$7:$E$206,MATCH($G135,Exercícios!$B$7:$B$206,0)),"")</f>
        <v/>
      </c>
      <c r="K135" s="28"/>
      <c r="L135" s="28"/>
      <c r="M135" s="27"/>
      <c r="N135" s="28"/>
      <c r="O135" s="28"/>
      <c r="P135" s="28"/>
      <c r="Q135" s="26" t="n">
        <f aca="false">IFERROR($K135*$L135,"")</f>
        <v>0</v>
      </c>
      <c r="R135" s="44" t="n">
        <f aca="false">IF(OR($O135="",$P135=""),0,$O135*$P135)</f>
        <v>0</v>
      </c>
      <c r="S135" s="27"/>
      <c r="T135" s="27"/>
      <c r="U135" s="40" t="n">
        <f aca="false">IF($A135="",0,IF(AND(OR($E135=Atleta!$C$4,$E135="Equipe (todos)"),$A135&gt;=Atleta!$C$5),MAX($U$7:U134)+1,0))</f>
        <v>0</v>
      </c>
    </row>
    <row r="136" customFormat="false" ht="15" hidden="false" customHeight="false" outlineLevel="0" collapsed="false">
      <c r="A136" s="29"/>
      <c r="B136" s="40" t="n">
        <f aca="false">IF($A136="",0,INT(($A136-Macrociclo!$C$11)/7)+1)</f>
        <v>0</v>
      </c>
      <c r="C136" s="28"/>
      <c r="D136" s="28"/>
      <c r="E136" s="27"/>
      <c r="F136" s="28"/>
      <c r="G136" s="27"/>
      <c r="H136" s="26" t="str">
        <f aca="false">IFERROR(INDEX(Exercícios!$C$7:$C$206,MATCH($G136,Exercícios!$B$7:$B$206,0)),"")</f>
        <v/>
      </c>
      <c r="I136" s="26" t="str">
        <f aca="false">IFERROR(INDEX(Exercícios!$D$7:$D$206,MATCH($G136,Exercícios!$B$7:$B$206,0)),"")</f>
        <v/>
      </c>
      <c r="J136" s="26" t="str">
        <f aca="false">IFERROR(INDEX(Exercícios!$E$7:$E$206,MATCH($G136,Exercícios!$B$7:$B$206,0)),"")</f>
        <v/>
      </c>
      <c r="K136" s="28"/>
      <c r="L136" s="28"/>
      <c r="M136" s="27"/>
      <c r="N136" s="28"/>
      <c r="O136" s="28"/>
      <c r="P136" s="28"/>
      <c r="Q136" s="26" t="n">
        <f aca="false">IFERROR($K136*$L136,"")</f>
        <v>0</v>
      </c>
      <c r="R136" s="44" t="n">
        <f aca="false">IF(OR($O136="",$P136=""),0,$O136*$P136)</f>
        <v>0</v>
      </c>
      <c r="S136" s="27"/>
      <c r="T136" s="27"/>
      <c r="U136" s="40" t="n">
        <f aca="false">IF($A136="",0,IF(AND(OR($E136=Atleta!$C$4,$E136="Equipe (todos)"),$A136&gt;=Atleta!$C$5),MAX($U$7:U135)+1,0))</f>
        <v>0</v>
      </c>
    </row>
    <row r="137" customFormat="false" ht="15" hidden="false" customHeight="false" outlineLevel="0" collapsed="false">
      <c r="A137" s="29"/>
      <c r="B137" s="40" t="n">
        <f aca="false">IF($A137="",0,INT(($A137-Macrociclo!$C$11)/7)+1)</f>
        <v>0</v>
      </c>
      <c r="C137" s="28"/>
      <c r="D137" s="28"/>
      <c r="E137" s="27"/>
      <c r="F137" s="28"/>
      <c r="G137" s="27"/>
      <c r="H137" s="26" t="str">
        <f aca="false">IFERROR(INDEX(Exercícios!$C$7:$C$206,MATCH($G137,Exercícios!$B$7:$B$206,0)),"")</f>
        <v/>
      </c>
      <c r="I137" s="26" t="str">
        <f aca="false">IFERROR(INDEX(Exercícios!$D$7:$D$206,MATCH($G137,Exercícios!$B$7:$B$206,0)),"")</f>
        <v/>
      </c>
      <c r="J137" s="26" t="str">
        <f aca="false">IFERROR(INDEX(Exercícios!$E$7:$E$206,MATCH($G137,Exercícios!$B$7:$B$206,0)),"")</f>
        <v/>
      </c>
      <c r="K137" s="28"/>
      <c r="L137" s="28"/>
      <c r="M137" s="27"/>
      <c r="N137" s="28"/>
      <c r="O137" s="28"/>
      <c r="P137" s="28"/>
      <c r="Q137" s="26" t="n">
        <f aca="false">IFERROR($K137*$L137,"")</f>
        <v>0</v>
      </c>
      <c r="R137" s="44" t="n">
        <f aca="false">IF(OR($O137="",$P137=""),0,$O137*$P137)</f>
        <v>0</v>
      </c>
      <c r="S137" s="27"/>
      <c r="T137" s="27"/>
      <c r="U137" s="40" t="n">
        <f aca="false">IF($A137="",0,IF(AND(OR($E137=Atleta!$C$4,$E137="Equipe (todos)"),$A137&gt;=Atleta!$C$5),MAX($U$7:U136)+1,0))</f>
        <v>0</v>
      </c>
    </row>
    <row r="138" customFormat="false" ht="15" hidden="false" customHeight="false" outlineLevel="0" collapsed="false">
      <c r="A138" s="29"/>
      <c r="B138" s="40" t="n">
        <f aca="false">IF($A138="",0,INT(($A138-Macrociclo!$C$11)/7)+1)</f>
        <v>0</v>
      </c>
      <c r="C138" s="28"/>
      <c r="D138" s="28"/>
      <c r="E138" s="27"/>
      <c r="F138" s="28"/>
      <c r="G138" s="27"/>
      <c r="H138" s="26" t="str">
        <f aca="false">IFERROR(INDEX(Exercícios!$C$7:$C$206,MATCH($G138,Exercícios!$B$7:$B$206,0)),"")</f>
        <v/>
      </c>
      <c r="I138" s="26" t="str">
        <f aca="false">IFERROR(INDEX(Exercícios!$D$7:$D$206,MATCH($G138,Exercícios!$B$7:$B$206,0)),"")</f>
        <v/>
      </c>
      <c r="J138" s="26" t="str">
        <f aca="false">IFERROR(INDEX(Exercícios!$E$7:$E$206,MATCH($G138,Exercícios!$B$7:$B$206,0)),"")</f>
        <v/>
      </c>
      <c r="K138" s="28"/>
      <c r="L138" s="28"/>
      <c r="M138" s="27"/>
      <c r="N138" s="28"/>
      <c r="O138" s="28"/>
      <c r="P138" s="28"/>
      <c r="Q138" s="26" t="n">
        <f aca="false">IFERROR($K138*$L138,"")</f>
        <v>0</v>
      </c>
      <c r="R138" s="44" t="n">
        <f aca="false">IF(OR($O138="",$P138=""),0,$O138*$P138)</f>
        <v>0</v>
      </c>
      <c r="S138" s="27"/>
      <c r="T138" s="27"/>
      <c r="U138" s="40" t="n">
        <f aca="false">IF($A138="",0,IF(AND(OR($E138=Atleta!$C$4,$E138="Equipe (todos)"),$A138&gt;=Atleta!$C$5),MAX($U$7:U137)+1,0))</f>
        <v>0</v>
      </c>
    </row>
    <row r="139" customFormat="false" ht="15" hidden="false" customHeight="false" outlineLevel="0" collapsed="false">
      <c r="A139" s="29"/>
      <c r="B139" s="40" t="n">
        <f aca="false">IF($A139="",0,INT(($A139-Macrociclo!$C$11)/7)+1)</f>
        <v>0</v>
      </c>
      <c r="C139" s="28"/>
      <c r="D139" s="28"/>
      <c r="E139" s="27"/>
      <c r="F139" s="28"/>
      <c r="G139" s="27"/>
      <c r="H139" s="26" t="str">
        <f aca="false">IFERROR(INDEX(Exercícios!$C$7:$C$206,MATCH($G139,Exercícios!$B$7:$B$206,0)),"")</f>
        <v/>
      </c>
      <c r="I139" s="26" t="str">
        <f aca="false">IFERROR(INDEX(Exercícios!$D$7:$D$206,MATCH($G139,Exercícios!$B$7:$B$206,0)),"")</f>
        <v/>
      </c>
      <c r="J139" s="26" t="str">
        <f aca="false">IFERROR(INDEX(Exercícios!$E$7:$E$206,MATCH($G139,Exercícios!$B$7:$B$206,0)),"")</f>
        <v/>
      </c>
      <c r="K139" s="28"/>
      <c r="L139" s="28"/>
      <c r="M139" s="27"/>
      <c r="N139" s="28"/>
      <c r="O139" s="28"/>
      <c r="P139" s="28"/>
      <c r="Q139" s="26" t="n">
        <f aca="false">IFERROR($K139*$L139,"")</f>
        <v>0</v>
      </c>
      <c r="R139" s="44" t="n">
        <f aca="false">IF(OR($O139="",$P139=""),0,$O139*$P139)</f>
        <v>0</v>
      </c>
      <c r="S139" s="27"/>
      <c r="T139" s="27"/>
      <c r="U139" s="40" t="n">
        <f aca="false">IF($A139="",0,IF(AND(OR($E139=Atleta!$C$4,$E139="Equipe (todos)"),$A139&gt;=Atleta!$C$5),MAX($U$7:U138)+1,0))</f>
        <v>0</v>
      </c>
    </row>
    <row r="140" customFormat="false" ht="15" hidden="false" customHeight="false" outlineLevel="0" collapsed="false">
      <c r="A140" s="29"/>
      <c r="B140" s="40" t="n">
        <f aca="false">IF($A140="",0,INT(($A140-Macrociclo!$C$11)/7)+1)</f>
        <v>0</v>
      </c>
      <c r="C140" s="28"/>
      <c r="D140" s="28"/>
      <c r="E140" s="27"/>
      <c r="F140" s="28"/>
      <c r="G140" s="27"/>
      <c r="H140" s="26" t="str">
        <f aca="false">IFERROR(INDEX(Exercícios!$C$7:$C$206,MATCH($G140,Exercícios!$B$7:$B$206,0)),"")</f>
        <v/>
      </c>
      <c r="I140" s="26" t="str">
        <f aca="false">IFERROR(INDEX(Exercícios!$D$7:$D$206,MATCH($G140,Exercícios!$B$7:$B$206,0)),"")</f>
        <v/>
      </c>
      <c r="J140" s="26" t="str">
        <f aca="false">IFERROR(INDEX(Exercícios!$E$7:$E$206,MATCH($G140,Exercícios!$B$7:$B$206,0)),"")</f>
        <v/>
      </c>
      <c r="K140" s="28"/>
      <c r="L140" s="28"/>
      <c r="M140" s="27"/>
      <c r="N140" s="28"/>
      <c r="O140" s="28"/>
      <c r="P140" s="28"/>
      <c r="Q140" s="26" t="n">
        <f aca="false">IFERROR($K140*$L140,"")</f>
        <v>0</v>
      </c>
      <c r="R140" s="44" t="n">
        <f aca="false">IF(OR($O140="",$P140=""),0,$O140*$P140)</f>
        <v>0</v>
      </c>
      <c r="S140" s="27"/>
      <c r="T140" s="27"/>
      <c r="U140" s="40" t="n">
        <f aca="false">IF($A140="",0,IF(AND(OR($E140=Atleta!$C$4,$E140="Equipe (todos)"),$A140&gt;=Atleta!$C$5),MAX($U$7:U139)+1,0))</f>
        <v>0</v>
      </c>
    </row>
    <row r="141" customFormat="false" ht="15" hidden="false" customHeight="false" outlineLevel="0" collapsed="false">
      <c r="A141" s="29"/>
      <c r="B141" s="40" t="n">
        <f aca="false">IF($A141="",0,INT(($A141-Macrociclo!$C$11)/7)+1)</f>
        <v>0</v>
      </c>
      <c r="C141" s="28"/>
      <c r="D141" s="28"/>
      <c r="E141" s="27"/>
      <c r="F141" s="28"/>
      <c r="G141" s="27"/>
      <c r="H141" s="26" t="str">
        <f aca="false">IFERROR(INDEX(Exercícios!$C$7:$C$206,MATCH($G141,Exercícios!$B$7:$B$206,0)),"")</f>
        <v/>
      </c>
      <c r="I141" s="26" t="str">
        <f aca="false">IFERROR(INDEX(Exercícios!$D$7:$D$206,MATCH($G141,Exercícios!$B$7:$B$206,0)),"")</f>
        <v/>
      </c>
      <c r="J141" s="26" t="str">
        <f aca="false">IFERROR(INDEX(Exercícios!$E$7:$E$206,MATCH($G141,Exercícios!$B$7:$B$206,0)),"")</f>
        <v/>
      </c>
      <c r="K141" s="28"/>
      <c r="L141" s="28"/>
      <c r="M141" s="27"/>
      <c r="N141" s="28"/>
      <c r="O141" s="28"/>
      <c r="P141" s="28"/>
      <c r="Q141" s="26" t="n">
        <f aca="false">IFERROR($K141*$L141,"")</f>
        <v>0</v>
      </c>
      <c r="R141" s="44" t="n">
        <f aca="false">IF(OR($O141="",$P141=""),0,$O141*$P141)</f>
        <v>0</v>
      </c>
      <c r="S141" s="27"/>
      <c r="T141" s="27"/>
      <c r="U141" s="40" t="n">
        <f aca="false">IF($A141="",0,IF(AND(OR($E141=Atleta!$C$4,$E141="Equipe (todos)"),$A141&gt;=Atleta!$C$5),MAX($U$7:U140)+1,0))</f>
        <v>0</v>
      </c>
    </row>
    <row r="142" customFormat="false" ht="15" hidden="false" customHeight="false" outlineLevel="0" collapsed="false">
      <c r="A142" s="29"/>
      <c r="B142" s="40" t="n">
        <f aca="false">IF($A142="",0,INT(($A142-Macrociclo!$C$11)/7)+1)</f>
        <v>0</v>
      </c>
      <c r="C142" s="28"/>
      <c r="D142" s="28"/>
      <c r="E142" s="27"/>
      <c r="F142" s="28"/>
      <c r="G142" s="27"/>
      <c r="H142" s="26" t="str">
        <f aca="false">IFERROR(INDEX(Exercícios!$C$7:$C$206,MATCH($G142,Exercícios!$B$7:$B$206,0)),"")</f>
        <v/>
      </c>
      <c r="I142" s="26" t="str">
        <f aca="false">IFERROR(INDEX(Exercícios!$D$7:$D$206,MATCH($G142,Exercícios!$B$7:$B$206,0)),"")</f>
        <v/>
      </c>
      <c r="J142" s="26" t="str">
        <f aca="false">IFERROR(INDEX(Exercícios!$E$7:$E$206,MATCH($G142,Exercícios!$B$7:$B$206,0)),"")</f>
        <v/>
      </c>
      <c r="K142" s="28"/>
      <c r="L142" s="28"/>
      <c r="M142" s="27"/>
      <c r="N142" s="28"/>
      <c r="O142" s="28"/>
      <c r="P142" s="28"/>
      <c r="Q142" s="26" t="n">
        <f aca="false">IFERROR($K142*$L142,"")</f>
        <v>0</v>
      </c>
      <c r="R142" s="44" t="n">
        <f aca="false">IF(OR($O142="",$P142=""),0,$O142*$P142)</f>
        <v>0</v>
      </c>
      <c r="S142" s="27"/>
      <c r="T142" s="27"/>
      <c r="U142" s="40" t="n">
        <f aca="false">IF($A142="",0,IF(AND(OR($E142=Atleta!$C$4,$E142="Equipe (todos)"),$A142&gt;=Atleta!$C$5),MAX($U$7:U141)+1,0))</f>
        <v>0</v>
      </c>
    </row>
    <row r="143" customFormat="false" ht="15" hidden="false" customHeight="false" outlineLevel="0" collapsed="false">
      <c r="A143" s="29"/>
      <c r="B143" s="40" t="n">
        <f aca="false">IF($A143="",0,INT(($A143-Macrociclo!$C$11)/7)+1)</f>
        <v>0</v>
      </c>
      <c r="C143" s="28"/>
      <c r="D143" s="28"/>
      <c r="E143" s="27"/>
      <c r="F143" s="28"/>
      <c r="G143" s="27"/>
      <c r="H143" s="26" t="str">
        <f aca="false">IFERROR(INDEX(Exercícios!$C$7:$C$206,MATCH($G143,Exercícios!$B$7:$B$206,0)),"")</f>
        <v/>
      </c>
      <c r="I143" s="26" t="str">
        <f aca="false">IFERROR(INDEX(Exercícios!$D$7:$D$206,MATCH($G143,Exercícios!$B$7:$B$206,0)),"")</f>
        <v/>
      </c>
      <c r="J143" s="26" t="str">
        <f aca="false">IFERROR(INDEX(Exercícios!$E$7:$E$206,MATCH($G143,Exercícios!$B$7:$B$206,0)),"")</f>
        <v/>
      </c>
      <c r="K143" s="28"/>
      <c r="L143" s="28"/>
      <c r="M143" s="27"/>
      <c r="N143" s="28"/>
      <c r="O143" s="28"/>
      <c r="P143" s="28"/>
      <c r="Q143" s="26" t="n">
        <f aca="false">IFERROR($K143*$L143,"")</f>
        <v>0</v>
      </c>
      <c r="R143" s="44" t="n">
        <f aca="false">IF(OR($O143="",$P143=""),0,$O143*$P143)</f>
        <v>0</v>
      </c>
      <c r="S143" s="27"/>
      <c r="T143" s="27"/>
      <c r="U143" s="40" t="n">
        <f aca="false">IF($A143="",0,IF(AND(OR($E143=Atleta!$C$4,$E143="Equipe (todos)"),$A143&gt;=Atleta!$C$5),MAX($U$7:U142)+1,0))</f>
        <v>0</v>
      </c>
    </row>
    <row r="144" customFormat="false" ht="15" hidden="false" customHeight="false" outlineLevel="0" collapsed="false">
      <c r="A144" s="29"/>
      <c r="B144" s="40" t="n">
        <f aca="false">IF($A144="",0,INT(($A144-Macrociclo!$C$11)/7)+1)</f>
        <v>0</v>
      </c>
      <c r="C144" s="28"/>
      <c r="D144" s="28"/>
      <c r="E144" s="27"/>
      <c r="F144" s="28"/>
      <c r="G144" s="27"/>
      <c r="H144" s="26" t="str">
        <f aca="false">IFERROR(INDEX(Exercícios!$C$7:$C$206,MATCH($G144,Exercícios!$B$7:$B$206,0)),"")</f>
        <v/>
      </c>
      <c r="I144" s="26" t="str">
        <f aca="false">IFERROR(INDEX(Exercícios!$D$7:$D$206,MATCH($G144,Exercícios!$B$7:$B$206,0)),"")</f>
        <v/>
      </c>
      <c r="J144" s="26" t="str">
        <f aca="false">IFERROR(INDEX(Exercícios!$E$7:$E$206,MATCH($G144,Exercícios!$B$7:$B$206,0)),"")</f>
        <v/>
      </c>
      <c r="K144" s="28"/>
      <c r="L144" s="28"/>
      <c r="M144" s="27"/>
      <c r="N144" s="28"/>
      <c r="O144" s="28"/>
      <c r="P144" s="28"/>
      <c r="Q144" s="26" t="n">
        <f aca="false">IFERROR($K144*$L144,"")</f>
        <v>0</v>
      </c>
      <c r="R144" s="44" t="n">
        <f aca="false">IF(OR($O144="",$P144=""),0,$O144*$P144)</f>
        <v>0</v>
      </c>
      <c r="S144" s="27"/>
      <c r="T144" s="27"/>
      <c r="U144" s="40" t="n">
        <f aca="false">IF($A144="",0,IF(AND(OR($E144=Atleta!$C$4,$E144="Equipe (todos)"),$A144&gt;=Atleta!$C$5),MAX($U$7:U143)+1,0))</f>
        <v>0</v>
      </c>
    </row>
    <row r="145" customFormat="false" ht="15" hidden="false" customHeight="false" outlineLevel="0" collapsed="false">
      <c r="A145" s="29"/>
      <c r="B145" s="40" t="n">
        <f aca="false">IF($A145="",0,INT(($A145-Macrociclo!$C$11)/7)+1)</f>
        <v>0</v>
      </c>
      <c r="C145" s="28"/>
      <c r="D145" s="28"/>
      <c r="E145" s="27"/>
      <c r="F145" s="28"/>
      <c r="G145" s="27"/>
      <c r="H145" s="26" t="str">
        <f aca="false">IFERROR(INDEX(Exercícios!$C$7:$C$206,MATCH($G145,Exercícios!$B$7:$B$206,0)),"")</f>
        <v/>
      </c>
      <c r="I145" s="26" t="str">
        <f aca="false">IFERROR(INDEX(Exercícios!$D$7:$D$206,MATCH($G145,Exercícios!$B$7:$B$206,0)),"")</f>
        <v/>
      </c>
      <c r="J145" s="26" t="str">
        <f aca="false">IFERROR(INDEX(Exercícios!$E$7:$E$206,MATCH($G145,Exercícios!$B$7:$B$206,0)),"")</f>
        <v/>
      </c>
      <c r="K145" s="28"/>
      <c r="L145" s="28"/>
      <c r="M145" s="27"/>
      <c r="N145" s="28"/>
      <c r="O145" s="28"/>
      <c r="P145" s="28"/>
      <c r="Q145" s="26" t="n">
        <f aca="false">IFERROR($K145*$L145,"")</f>
        <v>0</v>
      </c>
      <c r="R145" s="44" t="n">
        <f aca="false">IF(OR($O145="",$P145=""),0,$O145*$P145)</f>
        <v>0</v>
      </c>
      <c r="S145" s="27"/>
      <c r="T145" s="27"/>
      <c r="U145" s="40" t="n">
        <f aca="false">IF($A145="",0,IF(AND(OR($E145=Atleta!$C$4,$E145="Equipe (todos)"),$A145&gt;=Atleta!$C$5),MAX($U$7:U144)+1,0))</f>
        <v>0</v>
      </c>
    </row>
    <row r="146" customFormat="false" ht="15" hidden="false" customHeight="false" outlineLevel="0" collapsed="false">
      <c r="A146" s="29"/>
      <c r="B146" s="40" t="n">
        <f aca="false">IF($A146="",0,INT(($A146-Macrociclo!$C$11)/7)+1)</f>
        <v>0</v>
      </c>
      <c r="C146" s="28"/>
      <c r="D146" s="28"/>
      <c r="E146" s="27"/>
      <c r="F146" s="28"/>
      <c r="G146" s="27"/>
      <c r="H146" s="26" t="str">
        <f aca="false">IFERROR(INDEX(Exercícios!$C$7:$C$206,MATCH($G146,Exercícios!$B$7:$B$206,0)),"")</f>
        <v/>
      </c>
      <c r="I146" s="26" t="str">
        <f aca="false">IFERROR(INDEX(Exercícios!$D$7:$D$206,MATCH($G146,Exercícios!$B$7:$B$206,0)),"")</f>
        <v/>
      </c>
      <c r="J146" s="26" t="str">
        <f aca="false">IFERROR(INDEX(Exercícios!$E$7:$E$206,MATCH($G146,Exercícios!$B$7:$B$206,0)),"")</f>
        <v/>
      </c>
      <c r="K146" s="28"/>
      <c r="L146" s="28"/>
      <c r="M146" s="27"/>
      <c r="N146" s="28"/>
      <c r="O146" s="28"/>
      <c r="P146" s="28"/>
      <c r="Q146" s="26" t="n">
        <f aca="false">IFERROR($K146*$L146,"")</f>
        <v>0</v>
      </c>
      <c r="R146" s="44" t="n">
        <f aca="false">IF(OR($O146="",$P146=""),0,$O146*$P146)</f>
        <v>0</v>
      </c>
      <c r="S146" s="27"/>
      <c r="T146" s="27"/>
      <c r="U146" s="40" t="n">
        <f aca="false">IF($A146="",0,IF(AND(OR($E146=Atleta!$C$4,$E146="Equipe (todos)"),$A146&gt;=Atleta!$C$5),MAX($U$7:U145)+1,0))</f>
        <v>0</v>
      </c>
    </row>
    <row r="147" customFormat="false" ht="15" hidden="false" customHeight="false" outlineLevel="0" collapsed="false">
      <c r="A147" s="29"/>
      <c r="B147" s="40" t="n">
        <f aca="false">IF($A147="",0,INT(($A147-Macrociclo!$C$11)/7)+1)</f>
        <v>0</v>
      </c>
      <c r="C147" s="28"/>
      <c r="D147" s="28"/>
      <c r="E147" s="27"/>
      <c r="F147" s="28"/>
      <c r="G147" s="27"/>
      <c r="H147" s="26" t="str">
        <f aca="false">IFERROR(INDEX(Exercícios!$C$7:$C$206,MATCH($G147,Exercícios!$B$7:$B$206,0)),"")</f>
        <v/>
      </c>
      <c r="I147" s="26" t="str">
        <f aca="false">IFERROR(INDEX(Exercícios!$D$7:$D$206,MATCH($G147,Exercícios!$B$7:$B$206,0)),"")</f>
        <v/>
      </c>
      <c r="J147" s="26" t="str">
        <f aca="false">IFERROR(INDEX(Exercícios!$E$7:$E$206,MATCH($G147,Exercícios!$B$7:$B$206,0)),"")</f>
        <v/>
      </c>
      <c r="K147" s="28"/>
      <c r="L147" s="28"/>
      <c r="M147" s="27"/>
      <c r="N147" s="28"/>
      <c r="O147" s="28"/>
      <c r="P147" s="28"/>
      <c r="Q147" s="26" t="n">
        <f aca="false">IFERROR($K147*$L147,"")</f>
        <v>0</v>
      </c>
      <c r="R147" s="44" t="n">
        <f aca="false">IF(OR($O147="",$P147=""),0,$O147*$P147)</f>
        <v>0</v>
      </c>
      <c r="S147" s="27"/>
      <c r="T147" s="27"/>
      <c r="U147" s="40" t="n">
        <f aca="false">IF($A147="",0,IF(AND(OR($E147=Atleta!$C$4,$E147="Equipe (todos)"),$A147&gt;=Atleta!$C$5),MAX($U$7:U146)+1,0))</f>
        <v>0</v>
      </c>
    </row>
    <row r="148" customFormat="false" ht="15" hidden="false" customHeight="false" outlineLevel="0" collapsed="false">
      <c r="A148" s="29"/>
      <c r="B148" s="40" t="n">
        <f aca="false">IF($A148="",0,INT(($A148-Macrociclo!$C$11)/7)+1)</f>
        <v>0</v>
      </c>
      <c r="C148" s="28"/>
      <c r="D148" s="28"/>
      <c r="E148" s="27"/>
      <c r="F148" s="28"/>
      <c r="G148" s="27"/>
      <c r="H148" s="26" t="str">
        <f aca="false">IFERROR(INDEX(Exercícios!$C$7:$C$206,MATCH($G148,Exercícios!$B$7:$B$206,0)),"")</f>
        <v/>
      </c>
      <c r="I148" s="26" t="str">
        <f aca="false">IFERROR(INDEX(Exercícios!$D$7:$D$206,MATCH($G148,Exercícios!$B$7:$B$206,0)),"")</f>
        <v/>
      </c>
      <c r="J148" s="26" t="str">
        <f aca="false">IFERROR(INDEX(Exercícios!$E$7:$E$206,MATCH($G148,Exercícios!$B$7:$B$206,0)),"")</f>
        <v/>
      </c>
      <c r="K148" s="28"/>
      <c r="L148" s="28"/>
      <c r="M148" s="27"/>
      <c r="N148" s="28"/>
      <c r="O148" s="28"/>
      <c r="P148" s="28"/>
      <c r="Q148" s="26" t="n">
        <f aca="false">IFERROR($K148*$L148,"")</f>
        <v>0</v>
      </c>
      <c r="R148" s="44" t="n">
        <f aca="false">IF(OR($O148="",$P148=""),0,$O148*$P148)</f>
        <v>0</v>
      </c>
      <c r="S148" s="27"/>
      <c r="T148" s="27"/>
      <c r="U148" s="40" t="n">
        <f aca="false">IF($A148="",0,IF(AND(OR($E148=Atleta!$C$4,$E148="Equipe (todos)"),$A148&gt;=Atleta!$C$5),MAX($U$7:U147)+1,0))</f>
        <v>0</v>
      </c>
    </row>
    <row r="149" customFormat="false" ht="15" hidden="false" customHeight="false" outlineLevel="0" collapsed="false">
      <c r="A149" s="29"/>
      <c r="B149" s="40" t="n">
        <f aca="false">IF($A149="",0,INT(($A149-Macrociclo!$C$11)/7)+1)</f>
        <v>0</v>
      </c>
      <c r="C149" s="28"/>
      <c r="D149" s="28"/>
      <c r="E149" s="27"/>
      <c r="F149" s="28"/>
      <c r="G149" s="27"/>
      <c r="H149" s="26" t="str">
        <f aca="false">IFERROR(INDEX(Exercícios!$C$7:$C$206,MATCH($G149,Exercícios!$B$7:$B$206,0)),"")</f>
        <v/>
      </c>
      <c r="I149" s="26" t="str">
        <f aca="false">IFERROR(INDEX(Exercícios!$D$7:$D$206,MATCH($G149,Exercícios!$B$7:$B$206,0)),"")</f>
        <v/>
      </c>
      <c r="J149" s="26" t="str">
        <f aca="false">IFERROR(INDEX(Exercícios!$E$7:$E$206,MATCH($G149,Exercícios!$B$7:$B$206,0)),"")</f>
        <v/>
      </c>
      <c r="K149" s="28"/>
      <c r="L149" s="28"/>
      <c r="M149" s="27"/>
      <c r="N149" s="28"/>
      <c r="O149" s="28"/>
      <c r="P149" s="28"/>
      <c r="Q149" s="26" t="n">
        <f aca="false">IFERROR($K149*$L149,"")</f>
        <v>0</v>
      </c>
      <c r="R149" s="44" t="n">
        <f aca="false">IF(OR($O149="",$P149=""),0,$O149*$P149)</f>
        <v>0</v>
      </c>
      <c r="S149" s="27"/>
      <c r="T149" s="27"/>
      <c r="U149" s="40" t="n">
        <f aca="false">IF($A149="",0,IF(AND(OR($E149=Atleta!$C$4,$E149="Equipe (todos)"),$A149&gt;=Atleta!$C$5),MAX($U$7:U148)+1,0))</f>
        <v>0</v>
      </c>
    </row>
    <row r="150" customFormat="false" ht="15" hidden="false" customHeight="false" outlineLevel="0" collapsed="false">
      <c r="A150" s="29"/>
      <c r="B150" s="40" t="n">
        <f aca="false">IF($A150="",0,INT(($A150-Macrociclo!$C$11)/7)+1)</f>
        <v>0</v>
      </c>
      <c r="C150" s="28"/>
      <c r="D150" s="28"/>
      <c r="E150" s="27"/>
      <c r="F150" s="28"/>
      <c r="G150" s="27"/>
      <c r="H150" s="26" t="str">
        <f aca="false">IFERROR(INDEX(Exercícios!$C$7:$C$206,MATCH($G150,Exercícios!$B$7:$B$206,0)),"")</f>
        <v/>
      </c>
      <c r="I150" s="26" t="str">
        <f aca="false">IFERROR(INDEX(Exercícios!$D$7:$D$206,MATCH($G150,Exercícios!$B$7:$B$206,0)),"")</f>
        <v/>
      </c>
      <c r="J150" s="26" t="str">
        <f aca="false">IFERROR(INDEX(Exercícios!$E$7:$E$206,MATCH($G150,Exercícios!$B$7:$B$206,0)),"")</f>
        <v/>
      </c>
      <c r="K150" s="28"/>
      <c r="L150" s="28"/>
      <c r="M150" s="27"/>
      <c r="N150" s="28"/>
      <c r="O150" s="28"/>
      <c r="P150" s="28"/>
      <c r="Q150" s="26" t="n">
        <f aca="false">IFERROR($K150*$L150,"")</f>
        <v>0</v>
      </c>
      <c r="R150" s="44" t="n">
        <f aca="false">IF(OR($O150="",$P150=""),0,$O150*$P150)</f>
        <v>0</v>
      </c>
      <c r="S150" s="27"/>
      <c r="T150" s="27"/>
      <c r="U150" s="40" t="n">
        <f aca="false">IF($A150="",0,IF(AND(OR($E150=Atleta!$C$4,$E150="Equipe (todos)"),$A150&gt;=Atleta!$C$5),MAX($U$7:U149)+1,0))</f>
        <v>0</v>
      </c>
    </row>
    <row r="151" customFormat="false" ht="15" hidden="false" customHeight="false" outlineLevel="0" collapsed="false">
      <c r="A151" s="29"/>
      <c r="B151" s="40" t="n">
        <f aca="false">IF($A151="",0,INT(($A151-Macrociclo!$C$11)/7)+1)</f>
        <v>0</v>
      </c>
      <c r="C151" s="28"/>
      <c r="D151" s="28"/>
      <c r="E151" s="27"/>
      <c r="F151" s="28"/>
      <c r="G151" s="27"/>
      <c r="H151" s="26" t="str">
        <f aca="false">IFERROR(INDEX(Exercícios!$C$7:$C$206,MATCH($G151,Exercícios!$B$7:$B$206,0)),"")</f>
        <v/>
      </c>
      <c r="I151" s="26" t="str">
        <f aca="false">IFERROR(INDEX(Exercícios!$D$7:$D$206,MATCH($G151,Exercícios!$B$7:$B$206,0)),"")</f>
        <v/>
      </c>
      <c r="J151" s="26" t="str">
        <f aca="false">IFERROR(INDEX(Exercícios!$E$7:$E$206,MATCH($G151,Exercícios!$B$7:$B$206,0)),"")</f>
        <v/>
      </c>
      <c r="K151" s="28"/>
      <c r="L151" s="28"/>
      <c r="M151" s="27"/>
      <c r="N151" s="28"/>
      <c r="O151" s="28"/>
      <c r="P151" s="28"/>
      <c r="Q151" s="26" t="n">
        <f aca="false">IFERROR($K151*$L151,"")</f>
        <v>0</v>
      </c>
      <c r="R151" s="44" t="n">
        <f aca="false">IF(OR($O151="",$P151=""),0,$O151*$P151)</f>
        <v>0</v>
      </c>
      <c r="S151" s="27"/>
      <c r="T151" s="27"/>
      <c r="U151" s="40" t="n">
        <f aca="false">IF($A151="",0,IF(AND(OR($E151=Atleta!$C$4,$E151="Equipe (todos)"),$A151&gt;=Atleta!$C$5),MAX($U$7:U150)+1,0))</f>
        <v>0</v>
      </c>
    </row>
    <row r="152" customFormat="false" ht="15" hidden="false" customHeight="false" outlineLevel="0" collapsed="false">
      <c r="A152" s="29"/>
      <c r="B152" s="40" t="n">
        <f aca="false">IF($A152="",0,INT(($A152-Macrociclo!$C$11)/7)+1)</f>
        <v>0</v>
      </c>
      <c r="C152" s="28"/>
      <c r="D152" s="28"/>
      <c r="E152" s="27"/>
      <c r="F152" s="28"/>
      <c r="G152" s="27"/>
      <c r="H152" s="26" t="str">
        <f aca="false">IFERROR(INDEX(Exercícios!$C$7:$C$206,MATCH($G152,Exercícios!$B$7:$B$206,0)),"")</f>
        <v/>
      </c>
      <c r="I152" s="26" t="str">
        <f aca="false">IFERROR(INDEX(Exercícios!$D$7:$D$206,MATCH($G152,Exercícios!$B$7:$B$206,0)),"")</f>
        <v/>
      </c>
      <c r="J152" s="26" t="str">
        <f aca="false">IFERROR(INDEX(Exercícios!$E$7:$E$206,MATCH($G152,Exercícios!$B$7:$B$206,0)),"")</f>
        <v/>
      </c>
      <c r="K152" s="28"/>
      <c r="L152" s="28"/>
      <c r="M152" s="27"/>
      <c r="N152" s="28"/>
      <c r="O152" s="28"/>
      <c r="P152" s="28"/>
      <c r="Q152" s="26" t="n">
        <f aca="false">IFERROR($K152*$L152,"")</f>
        <v>0</v>
      </c>
      <c r="R152" s="44" t="n">
        <f aca="false">IF(OR($O152="",$P152=""),0,$O152*$P152)</f>
        <v>0</v>
      </c>
      <c r="S152" s="27"/>
      <c r="T152" s="27"/>
      <c r="U152" s="40" t="n">
        <f aca="false">IF($A152="",0,IF(AND(OR($E152=Atleta!$C$4,$E152="Equipe (todos)"),$A152&gt;=Atleta!$C$5),MAX($U$7:U151)+1,0))</f>
        <v>0</v>
      </c>
    </row>
    <row r="153" customFormat="false" ht="15" hidden="false" customHeight="false" outlineLevel="0" collapsed="false">
      <c r="A153" s="29"/>
      <c r="B153" s="40" t="n">
        <f aca="false">IF($A153="",0,INT(($A153-Macrociclo!$C$11)/7)+1)</f>
        <v>0</v>
      </c>
      <c r="C153" s="28"/>
      <c r="D153" s="28"/>
      <c r="E153" s="27"/>
      <c r="F153" s="28"/>
      <c r="G153" s="27"/>
      <c r="H153" s="26" t="str">
        <f aca="false">IFERROR(INDEX(Exercícios!$C$7:$C$206,MATCH($G153,Exercícios!$B$7:$B$206,0)),"")</f>
        <v/>
      </c>
      <c r="I153" s="26" t="str">
        <f aca="false">IFERROR(INDEX(Exercícios!$D$7:$D$206,MATCH($G153,Exercícios!$B$7:$B$206,0)),"")</f>
        <v/>
      </c>
      <c r="J153" s="26" t="str">
        <f aca="false">IFERROR(INDEX(Exercícios!$E$7:$E$206,MATCH($G153,Exercícios!$B$7:$B$206,0)),"")</f>
        <v/>
      </c>
      <c r="K153" s="28"/>
      <c r="L153" s="28"/>
      <c r="M153" s="27"/>
      <c r="N153" s="28"/>
      <c r="O153" s="28"/>
      <c r="P153" s="28"/>
      <c r="Q153" s="26" t="n">
        <f aca="false">IFERROR($K153*$L153,"")</f>
        <v>0</v>
      </c>
      <c r="R153" s="44" t="n">
        <f aca="false">IF(OR($O153="",$P153=""),0,$O153*$P153)</f>
        <v>0</v>
      </c>
      <c r="S153" s="27"/>
      <c r="T153" s="27"/>
      <c r="U153" s="40" t="n">
        <f aca="false">IF($A153="",0,IF(AND(OR($E153=Atleta!$C$4,$E153="Equipe (todos)"),$A153&gt;=Atleta!$C$5),MAX($U$7:U152)+1,0))</f>
        <v>0</v>
      </c>
    </row>
    <row r="154" customFormat="false" ht="15" hidden="false" customHeight="false" outlineLevel="0" collapsed="false">
      <c r="A154" s="29"/>
      <c r="B154" s="40" t="n">
        <f aca="false">IF($A154="",0,INT(($A154-Macrociclo!$C$11)/7)+1)</f>
        <v>0</v>
      </c>
      <c r="C154" s="28"/>
      <c r="D154" s="28"/>
      <c r="E154" s="27"/>
      <c r="F154" s="28"/>
      <c r="G154" s="27"/>
      <c r="H154" s="26" t="str">
        <f aca="false">IFERROR(INDEX(Exercícios!$C$7:$C$206,MATCH($G154,Exercícios!$B$7:$B$206,0)),"")</f>
        <v/>
      </c>
      <c r="I154" s="26" t="str">
        <f aca="false">IFERROR(INDEX(Exercícios!$D$7:$D$206,MATCH($G154,Exercícios!$B$7:$B$206,0)),"")</f>
        <v/>
      </c>
      <c r="J154" s="26" t="str">
        <f aca="false">IFERROR(INDEX(Exercícios!$E$7:$E$206,MATCH($G154,Exercícios!$B$7:$B$206,0)),"")</f>
        <v/>
      </c>
      <c r="K154" s="28"/>
      <c r="L154" s="28"/>
      <c r="M154" s="27"/>
      <c r="N154" s="28"/>
      <c r="O154" s="28"/>
      <c r="P154" s="28"/>
      <c r="Q154" s="26" t="n">
        <f aca="false">IFERROR($K154*$L154,"")</f>
        <v>0</v>
      </c>
      <c r="R154" s="44" t="n">
        <f aca="false">IF(OR($O154="",$P154=""),0,$O154*$P154)</f>
        <v>0</v>
      </c>
      <c r="S154" s="27"/>
      <c r="T154" s="27"/>
      <c r="U154" s="40" t="n">
        <f aca="false">IF($A154="",0,IF(AND(OR($E154=Atleta!$C$4,$E154="Equipe (todos)"),$A154&gt;=Atleta!$C$5),MAX($U$7:U153)+1,0))</f>
        <v>0</v>
      </c>
    </row>
    <row r="155" customFormat="false" ht="15" hidden="false" customHeight="false" outlineLevel="0" collapsed="false">
      <c r="A155" s="29"/>
      <c r="B155" s="40" t="n">
        <f aca="false">IF($A155="",0,INT(($A155-Macrociclo!$C$11)/7)+1)</f>
        <v>0</v>
      </c>
      <c r="C155" s="28"/>
      <c r="D155" s="28"/>
      <c r="E155" s="27"/>
      <c r="F155" s="28"/>
      <c r="G155" s="27"/>
      <c r="H155" s="26" t="str">
        <f aca="false">IFERROR(INDEX(Exercícios!$C$7:$C$206,MATCH($G155,Exercícios!$B$7:$B$206,0)),"")</f>
        <v/>
      </c>
      <c r="I155" s="26" t="str">
        <f aca="false">IFERROR(INDEX(Exercícios!$D$7:$D$206,MATCH($G155,Exercícios!$B$7:$B$206,0)),"")</f>
        <v/>
      </c>
      <c r="J155" s="26" t="str">
        <f aca="false">IFERROR(INDEX(Exercícios!$E$7:$E$206,MATCH($G155,Exercícios!$B$7:$B$206,0)),"")</f>
        <v/>
      </c>
      <c r="K155" s="28"/>
      <c r="L155" s="28"/>
      <c r="M155" s="27"/>
      <c r="N155" s="28"/>
      <c r="O155" s="28"/>
      <c r="P155" s="28"/>
      <c r="Q155" s="26" t="n">
        <f aca="false">IFERROR($K155*$L155,"")</f>
        <v>0</v>
      </c>
      <c r="R155" s="44" t="n">
        <f aca="false">IF(OR($O155="",$P155=""),0,$O155*$P155)</f>
        <v>0</v>
      </c>
      <c r="S155" s="27"/>
      <c r="T155" s="27"/>
      <c r="U155" s="40" t="n">
        <f aca="false">IF($A155="",0,IF(AND(OR($E155=Atleta!$C$4,$E155="Equipe (todos)"),$A155&gt;=Atleta!$C$5),MAX($U$7:U154)+1,0))</f>
        <v>0</v>
      </c>
    </row>
    <row r="156" customFormat="false" ht="15" hidden="false" customHeight="false" outlineLevel="0" collapsed="false">
      <c r="A156" s="29"/>
      <c r="B156" s="40" t="n">
        <f aca="false">IF($A156="",0,INT(($A156-Macrociclo!$C$11)/7)+1)</f>
        <v>0</v>
      </c>
      <c r="C156" s="28"/>
      <c r="D156" s="28"/>
      <c r="E156" s="27"/>
      <c r="F156" s="28"/>
      <c r="G156" s="27"/>
      <c r="H156" s="26" t="str">
        <f aca="false">IFERROR(INDEX(Exercícios!$C$7:$C$206,MATCH($G156,Exercícios!$B$7:$B$206,0)),"")</f>
        <v/>
      </c>
      <c r="I156" s="26" t="str">
        <f aca="false">IFERROR(INDEX(Exercícios!$D$7:$D$206,MATCH($G156,Exercícios!$B$7:$B$206,0)),"")</f>
        <v/>
      </c>
      <c r="J156" s="26" t="str">
        <f aca="false">IFERROR(INDEX(Exercícios!$E$7:$E$206,MATCH($G156,Exercícios!$B$7:$B$206,0)),"")</f>
        <v/>
      </c>
      <c r="K156" s="28"/>
      <c r="L156" s="28"/>
      <c r="M156" s="27"/>
      <c r="N156" s="28"/>
      <c r="O156" s="28"/>
      <c r="P156" s="28"/>
      <c r="Q156" s="26" t="n">
        <f aca="false">IFERROR($K156*$L156,"")</f>
        <v>0</v>
      </c>
      <c r="R156" s="44" t="n">
        <f aca="false">IF(OR($O156="",$P156=""),0,$O156*$P156)</f>
        <v>0</v>
      </c>
      <c r="S156" s="27"/>
      <c r="T156" s="27"/>
      <c r="U156" s="40" t="n">
        <f aca="false">IF($A156="",0,IF(AND(OR($E156=Atleta!$C$4,$E156="Equipe (todos)"),$A156&gt;=Atleta!$C$5),MAX($U$7:U155)+1,0))</f>
        <v>0</v>
      </c>
    </row>
    <row r="157" customFormat="false" ht="15" hidden="false" customHeight="false" outlineLevel="0" collapsed="false">
      <c r="A157" s="29"/>
      <c r="B157" s="40" t="n">
        <f aca="false">IF($A157="",0,INT(($A157-Macrociclo!$C$11)/7)+1)</f>
        <v>0</v>
      </c>
      <c r="C157" s="28"/>
      <c r="D157" s="28"/>
      <c r="E157" s="27"/>
      <c r="F157" s="28"/>
      <c r="G157" s="27"/>
      <c r="H157" s="26" t="str">
        <f aca="false">IFERROR(INDEX(Exercícios!$C$7:$C$206,MATCH($G157,Exercícios!$B$7:$B$206,0)),"")</f>
        <v/>
      </c>
      <c r="I157" s="26" t="str">
        <f aca="false">IFERROR(INDEX(Exercícios!$D$7:$D$206,MATCH($G157,Exercícios!$B$7:$B$206,0)),"")</f>
        <v/>
      </c>
      <c r="J157" s="26" t="str">
        <f aca="false">IFERROR(INDEX(Exercícios!$E$7:$E$206,MATCH($G157,Exercícios!$B$7:$B$206,0)),"")</f>
        <v/>
      </c>
      <c r="K157" s="28"/>
      <c r="L157" s="28"/>
      <c r="M157" s="27"/>
      <c r="N157" s="28"/>
      <c r="O157" s="28"/>
      <c r="P157" s="28"/>
      <c r="Q157" s="26" t="n">
        <f aca="false">IFERROR($K157*$L157,"")</f>
        <v>0</v>
      </c>
      <c r="R157" s="44" t="n">
        <f aca="false">IF(OR($O157="",$P157=""),0,$O157*$P157)</f>
        <v>0</v>
      </c>
      <c r="S157" s="27"/>
      <c r="T157" s="27"/>
      <c r="U157" s="40" t="n">
        <f aca="false">IF($A157="",0,IF(AND(OR($E157=Atleta!$C$4,$E157="Equipe (todos)"),$A157&gt;=Atleta!$C$5),MAX($U$7:U156)+1,0))</f>
        <v>0</v>
      </c>
    </row>
    <row r="158" customFormat="false" ht="15" hidden="false" customHeight="false" outlineLevel="0" collapsed="false">
      <c r="A158" s="29"/>
      <c r="B158" s="40" t="n">
        <f aca="false">IF($A158="",0,INT(($A158-Macrociclo!$C$11)/7)+1)</f>
        <v>0</v>
      </c>
      <c r="C158" s="28"/>
      <c r="D158" s="28"/>
      <c r="E158" s="27"/>
      <c r="F158" s="28"/>
      <c r="G158" s="27"/>
      <c r="H158" s="26" t="str">
        <f aca="false">IFERROR(INDEX(Exercícios!$C$7:$C$206,MATCH($G158,Exercícios!$B$7:$B$206,0)),"")</f>
        <v/>
      </c>
      <c r="I158" s="26" t="str">
        <f aca="false">IFERROR(INDEX(Exercícios!$D$7:$D$206,MATCH($G158,Exercícios!$B$7:$B$206,0)),"")</f>
        <v/>
      </c>
      <c r="J158" s="26" t="str">
        <f aca="false">IFERROR(INDEX(Exercícios!$E$7:$E$206,MATCH($G158,Exercícios!$B$7:$B$206,0)),"")</f>
        <v/>
      </c>
      <c r="K158" s="28"/>
      <c r="L158" s="28"/>
      <c r="M158" s="27"/>
      <c r="N158" s="28"/>
      <c r="O158" s="28"/>
      <c r="P158" s="28"/>
      <c r="Q158" s="26" t="n">
        <f aca="false">IFERROR($K158*$L158,"")</f>
        <v>0</v>
      </c>
      <c r="R158" s="44" t="n">
        <f aca="false">IF(OR($O158="",$P158=""),0,$O158*$P158)</f>
        <v>0</v>
      </c>
      <c r="S158" s="27"/>
      <c r="T158" s="27"/>
      <c r="U158" s="40" t="n">
        <f aca="false">IF($A158="",0,IF(AND(OR($E158=Atleta!$C$4,$E158="Equipe (todos)"),$A158&gt;=Atleta!$C$5),MAX($U$7:U157)+1,0))</f>
        <v>0</v>
      </c>
    </row>
    <row r="159" customFormat="false" ht="15" hidden="false" customHeight="false" outlineLevel="0" collapsed="false">
      <c r="A159" s="29"/>
      <c r="B159" s="40" t="n">
        <f aca="false">IF($A159="",0,INT(($A159-Macrociclo!$C$11)/7)+1)</f>
        <v>0</v>
      </c>
      <c r="C159" s="28"/>
      <c r="D159" s="28"/>
      <c r="E159" s="27"/>
      <c r="F159" s="28"/>
      <c r="G159" s="27"/>
      <c r="H159" s="26" t="str">
        <f aca="false">IFERROR(INDEX(Exercícios!$C$7:$C$206,MATCH($G159,Exercícios!$B$7:$B$206,0)),"")</f>
        <v/>
      </c>
      <c r="I159" s="26" t="str">
        <f aca="false">IFERROR(INDEX(Exercícios!$D$7:$D$206,MATCH($G159,Exercícios!$B$7:$B$206,0)),"")</f>
        <v/>
      </c>
      <c r="J159" s="26" t="str">
        <f aca="false">IFERROR(INDEX(Exercícios!$E$7:$E$206,MATCH($G159,Exercícios!$B$7:$B$206,0)),"")</f>
        <v/>
      </c>
      <c r="K159" s="28"/>
      <c r="L159" s="28"/>
      <c r="M159" s="27"/>
      <c r="N159" s="28"/>
      <c r="O159" s="28"/>
      <c r="P159" s="28"/>
      <c r="Q159" s="26" t="n">
        <f aca="false">IFERROR($K159*$L159,"")</f>
        <v>0</v>
      </c>
      <c r="R159" s="44" t="n">
        <f aca="false">IF(OR($O159="",$P159=""),0,$O159*$P159)</f>
        <v>0</v>
      </c>
      <c r="S159" s="27"/>
      <c r="T159" s="27"/>
      <c r="U159" s="40" t="n">
        <f aca="false">IF($A159="",0,IF(AND(OR($E159=Atleta!$C$4,$E159="Equipe (todos)"),$A159&gt;=Atleta!$C$5),MAX($U$7:U158)+1,0))</f>
        <v>0</v>
      </c>
    </row>
    <row r="160" customFormat="false" ht="15" hidden="false" customHeight="false" outlineLevel="0" collapsed="false">
      <c r="A160" s="29"/>
      <c r="B160" s="40" t="n">
        <f aca="false">IF($A160="",0,INT(($A160-Macrociclo!$C$11)/7)+1)</f>
        <v>0</v>
      </c>
      <c r="C160" s="28"/>
      <c r="D160" s="28"/>
      <c r="E160" s="27"/>
      <c r="F160" s="28"/>
      <c r="G160" s="27"/>
      <c r="H160" s="26" t="str">
        <f aca="false">IFERROR(INDEX(Exercícios!$C$7:$C$206,MATCH($G160,Exercícios!$B$7:$B$206,0)),"")</f>
        <v/>
      </c>
      <c r="I160" s="26" t="str">
        <f aca="false">IFERROR(INDEX(Exercícios!$D$7:$D$206,MATCH($G160,Exercícios!$B$7:$B$206,0)),"")</f>
        <v/>
      </c>
      <c r="J160" s="26" t="str">
        <f aca="false">IFERROR(INDEX(Exercícios!$E$7:$E$206,MATCH($G160,Exercícios!$B$7:$B$206,0)),"")</f>
        <v/>
      </c>
      <c r="K160" s="28"/>
      <c r="L160" s="28"/>
      <c r="M160" s="27"/>
      <c r="N160" s="28"/>
      <c r="O160" s="28"/>
      <c r="P160" s="28"/>
      <c r="Q160" s="26" t="n">
        <f aca="false">IFERROR($K160*$L160,"")</f>
        <v>0</v>
      </c>
      <c r="R160" s="44" t="n">
        <f aca="false">IF(OR($O160="",$P160=""),0,$O160*$P160)</f>
        <v>0</v>
      </c>
      <c r="S160" s="27"/>
      <c r="T160" s="27"/>
      <c r="U160" s="40" t="n">
        <f aca="false">IF($A160="",0,IF(AND(OR($E160=Atleta!$C$4,$E160="Equipe (todos)"),$A160&gt;=Atleta!$C$5),MAX($U$7:U159)+1,0))</f>
        <v>0</v>
      </c>
    </row>
    <row r="161" customFormat="false" ht="15" hidden="false" customHeight="false" outlineLevel="0" collapsed="false">
      <c r="A161" s="29"/>
      <c r="B161" s="40" t="n">
        <f aca="false">IF($A161="",0,INT(($A161-Macrociclo!$C$11)/7)+1)</f>
        <v>0</v>
      </c>
      <c r="C161" s="28"/>
      <c r="D161" s="28"/>
      <c r="E161" s="27"/>
      <c r="F161" s="28"/>
      <c r="G161" s="27"/>
      <c r="H161" s="26" t="str">
        <f aca="false">IFERROR(INDEX(Exercícios!$C$7:$C$206,MATCH($G161,Exercícios!$B$7:$B$206,0)),"")</f>
        <v/>
      </c>
      <c r="I161" s="26" t="str">
        <f aca="false">IFERROR(INDEX(Exercícios!$D$7:$D$206,MATCH($G161,Exercícios!$B$7:$B$206,0)),"")</f>
        <v/>
      </c>
      <c r="J161" s="26" t="str">
        <f aca="false">IFERROR(INDEX(Exercícios!$E$7:$E$206,MATCH($G161,Exercícios!$B$7:$B$206,0)),"")</f>
        <v/>
      </c>
      <c r="K161" s="28"/>
      <c r="L161" s="28"/>
      <c r="M161" s="27"/>
      <c r="N161" s="28"/>
      <c r="O161" s="28"/>
      <c r="P161" s="28"/>
      <c r="Q161" s="26" t="n">
        <f aca="false">IFERROR($K161*$L161,"")</f>
        <v>0</v>
      </c>
      <c r="R161" s="44" t="n">
        <f aca="false">IF(OR($O161="",$P161=""),0,$O161*$P161)</f>
        <v>0</v>
      </c>
      <c r="S161" s="27"/>
      <c r="T161" s="27"/>
      <c r="U161" s="40" t="n">
        <f aca="false">IF($A161="",0,IF(AND(OR($E161=Atleta!$C$4,$E161="Equipe (todos)"),$A161&gt;=Atleta!$C$5),MAX($U$7:U160)+1,0))</f>
        <v>0</v>
      </c>
    </row>
    <row r="162" customFormat="false" ht="15" hidden="false" customHeight="false" outlineLevel="0" collapsed="false">
      <c r="A162" s="29"/>
      <c r="B162" s="40" t="n">
        <f aca="false">IF($A162="",0,INT(($A162-Macrociclo!$C$11)/7)+1)</f>
        <v>0</v>
      </c>
      <c r="C162" s="28"/>
      <c r="D162" s="28"/>
      <c r="E162" s="27"/>
      <c r="F162" s="28"/>
      <c r="G162" s="27"/>
      <c r="H162" s="26" t="str">
        <f aca="false">IFERROR(INDEX(Exercícios!$C$7:$C$206,MATCH($G162,Exercícios!$B$7:$B$206,0)),"")</f>
        <v/>
      </c>
      <c r="I162" s="26" t="str">
        <f aca="false">IFERROR(INDEX(Exercícios!$D$7:$D$206,MATCH($G162,Exercícios!$B$7:$B$206,0)),"")</f>
        <v/>
      </c>
      <c r="J162" s="26" t="str">
        <f aca="false">IFERROR(INDEX(Exercícios!$E$7:$E$206,MATCH($G162,Exercícios!$B$7:$B$206,0)),"")</f>
        <v/>
      </c>
      <c r="K162" s="28"/>
      <c r="L162" s="28"/>
      <c r="M162" s="27"/>
      <c r="N162" s="28"/>
      <c r="O162" s="28"/>
      <c r="P162" s="28"/>
      <c r="Q162" s="26" t="n">
        <f aca="false">IFERROR($K162*$L162,"")</f>
        <v>0</v>
      </c>
      <c r="R162" s="44" t="n">
        <f aca="false">IF(OR($O162="",$P162=""),0,$O162*$P162)</f>
        <v>0</v>
      </c>
      <c r="S162" s="27"/>
      <c r="T162" s="27"/>
      <c r="U162" s="40" t="n">
        <f aca="false">IF($A162="",0,IF(AND(OR($E162=Atleta!$C$4,$E162="Equipe (todos)"),$A162&gt;=Atleta!$C$5),MAX($U$7:U161)+1,0))</f>
        <v>0</v>
      </c>
    </row>
    <row r="163" customFormat="false" ht="15" hidden="false" customHeight="false" outlineLevel="0" collapsed="false">
      <c r="A163" s="29"/>
      <c r="B163" s="40" t="n">
        <f aca="false">IF($A163="",0,INT(($A163-Macrociclo!$C$11)/7)+1)</f>
        <v>0</v>
      </c>
      <c r="C163" s="28"/>
      <c r="D163" s="28"/>
      <c r="E163" s="27"/>
      <c r="F163" s="28"/>
      <c r="G163" s="27"/>
      <c r="H163" s="26" t="str">
        <f aca="false">IFERROR(INDEX(Exercícios!$C$7:$C$206,MATCH($G163,Exercícios!$B$7:$B$206,0)),"")</f>
        <v/>
      </c>
      <c r="I163" s="26" t="str">
        <f aca="false">IFERROR(INDEX(Exercícios!$D$7:$D$206,MATCH($G163,Exercícios!$B$7:$B$206,0)),"")</f>
        <v/>
      </c>
      <c r="J163" s="26" t="str">
        <f aca="false">IFERROR(INDEX(Exercícios!$E$7:$E$206,MATCH($G163,Exercícios!$B$7:$B$206,0)),"")</f>
        <v/>
      </c>
      <c r="K163" s="28"/>
      <c r="L163" s="28"/>
      <c r="M163" s="27"/>
      <c r="N163" s="28"/>
      <c r="O163" s="28"/>
      <c r="P163" s="28"/>
      <c r="Q163" s="26" t="n">
        <f aca="false">IFERROR($K163*$L163,"")</f>
        <v>0</v>
      </c>
      <c r="R163" s="44" t="n">
        <f aca="false">IF(OR($O163="",$P163=""),0,$O163*$P163)</f>
        <v>0</v>
      </c>
      <c r="S163" s="27"/>
      <c r="T163" s="27"/>
      <c r="U163" s="40" t="n">
        <f aca="false">IF($A163="",0,IF(AND(OR($E163=Atleta!$C$4,$E163="Equipe (todos)"),$A163&gt;=Atleta!$C$5),MAX($U$7:U162)+1,0))</f>
        <v>0</v>
      </c>
    </row>
    <row r="164" customFormat="false" ht="15" hidden="false" customHeight="false" outlineLevel="0" collapsed="false">
      <c r="A164" s="29"/>
      <c r="B164" s="40" t="n">
        <f aca="false">IF($A164="",0,INT(($A164-Macrociclo!$C$11)/7)+1)</f>
        <v>0</v>
      </c>
      <c r="C164" s="28"/>
      <c r="D164" s="28"/>
      <c r="E164" s="27"/>
      <c r="F164" s="28"/>
      <c r="G164" s="27"/>
      <c r="H164" s="26" t="str">
        <f aca="false">IFERROR(INDEX(Exercícios!$C$7:$C$206,MATCH($G164,Exercícios!$B$7:$B$206,0)),"")</f>
        <v/>
      </c>
      <c r="I164" s="26" t="str">
        <f aca="false">IFERROR(INDEX(Exercícios!$D$7:$D$206,MATCH($G164,Exercícios!$B$7:$B$206,0)),"")</f>
        <v/>
      </c>
      <c r="J164" s="26" t="str">
        <f aca="false">IFERROR(INDEX(Exercícios!$E$7:$E$206,MATCH($G164,Exercícios!$B$7:$B$206,0)),"")</f>
        <v/>
      </c>
      <c r="K164" s="28"/>
      <c r="L164" s="28"/>
      <c r="M164" s="27"/>
      <c r="N164" s="28"/>
      <c r="O164" s="28"/>
      <c r="P164" s="28"/>
      <c r="Q164" s="26" t="n">
        <f aca="false">IFERROR($K164*$L164,"")</f>
        <v>0</v>
      </c>
      <c r="R164" s="44" t="n">
        <f aca="false">IF(OR($O164="",$P164=""),0,$O164*$P164)</f>
        <v>0</v>
      </c>
      <c r="S164" s="27"/>
      <c r="T164" s="27"/>
      <c r="U164" s="40" t="n">
        <f aca="false">IF($A164="",0,IF(AND(OR($E164=Atleta!$C$4,$E164="Equipe (todos)"),$A164&gt;=Atleta!$C$5),MAX($U$7:U163)+1,0))</f>
        <v>0</v>
      </c>
    </row>
    <row r="165" customFormat="false" ht="15" hidden="false" customHeight="false" outlineLevel="0" collapsed="false">
      <c r="A165" s="29"/>
      <c r="B165" s="40" t="n">
        <f aca="false">IF($A165="",0,INT(($A165-Macrociclo!$C$11)/7)+1)</f>
        <v>0</v>
      </c>
      <c r="C165" s="28"/>
      <c r="D165" s="28"/>
      <c r="E165" s="27"/>
      <c r="F165" s="28"/>
      <c r="G165" s="27"/>
      <c r="H165" s="26" t="str">
        <f aca="false">IFERROR(INDEX(Exercícios!$C$7:$C$206,MATCH($G165,Exercícios!$B$7:$B$206,0)),"")</f>
        <v/>
      </c>
      <c r="I165" s="26" t="str">
        <f aca="false">IFERROR(INDEX(Exercícios!$D$7:$D$206,MATCH($G165,Exercícios!$B$7:$B$206,0)),"")</f>
        <v/>
      </c>
      <c r="J165" s="26" t="str">
        <f aca="false">IFERROR(INDEX(Exercícios!$E$7:$E$206,MATCH($G165,Exercícios!$B$7:$B$206,0)),"")</f>
        <v/>
      </c>
      <c r="K165" s="28"/>
      <c r="L165" s="28"/>
      <c r="M165" s="27"/>
      <c r="N165" s="28"/>
      <c r="O165" s="28"/>
      <c r="P165" s="28"/>
      <c r="Q165" s="26" t="n">
        <f aca="false">IFERROR($K165*$L165,"")</f>
        <v>0</v>
      </c>
      <c r="R165" s="44" t="n">
        <f aca="false">IF(OR($O165="",$P165=""),0,$O165*$P165)</f>
        <v>0</v>
      </c>
      <c r="S165" s="27"/>
      <c r="T165" s="27"/>
      <c r="U165" s="40" t="n">
        <f aca="false">IF($A165="",0,IF(AND(OR($E165=Atleta!$C$4,$E165="Equipe (todos)"),$A165&gt;=Atleta!$C$5),MAX($U$7:U164)+1,0))</f>
        <v>0</v>
      </c>
    </row>
    <row r="166" customFormat="false" ht="15" hidden="false" customHeight="false" outlineLevel="0" collapsed="false">
      <c r="A166" s="29"/>
      <c r="B166" s="40" t="n">
        <f aca="false">IF($A166="",0,INT(($A166-Macrociclo!$C$11)/7)+1)</f>
        <v>0</v>
      </c>
      <c r="C166" s="28"/>
      <c r="D166" s="28"/>
      <c r="E166" s="27"/>
      <c r="F166" s="28"/>
      <c r="G166" s="27"/>
      <c r="H166" s="26" t="str">
        <f aca="false">IFERROR(INDEX(Exercícios!$C$7:$C$206,MATCH($G166,Exercícios!$B$7:$B$206,0)),"")</f>
        <v/>
      </c>
      <c r="I166" s="26" t="str">
        <f aca="false">IFERROR(INDEX(Exercícios!$D$7:$D$206,MATCH($G166,Exercícios!$B$7:$B$206,0)),"")</f>
        <v/>
      </c>
      <c r="J166" s="26" t="str">
        <f aca="false">IFERROR(INDEX(Exercícios!$E$7:$E$206,MATCH($G166,Exercícios!$B$7:$B$206,0)),"")</f>
        <v/>
      </c>
      <c r="K166" s="28"/>
      <c r="L166" s="28"/>
      <c r="M166" s="27"/>
      <c r="N166" s="28"/>
      <c r="O166" s="28"/>
      <c r="P166" s="28"/>
      <c r="Q166" s="26" t="n">
        <f aca="false">IFERROR($K166*$L166,"")</f>
        <v>0</v>
      </c>
      <c r="R166" s="44" t="n">
        <f aca="false">IF(OR($O166="",$P166=""),0,$O166*$P166)</f>
        <v>0</v>
      </c>
      <c r="S166" s="27"/>
      <c r="T166" s="27"/>
      <c r="U166" s="40" t="n">
        <f aca="false">IF($A166="",0,IF(AND(OR($E166=Atleta!$C$4,$E166="Equipe (todos)"),$A166&gt;=Atleta!$C$5),MAX($U$7:U165)+1,0))</f>
        <v>0</v>
      </c>
    </row>
    <row r="167" customFormat="false" ht="15" hidden="false" customHeight="false" outlineLevel="0" collapsed="false">
      <c r="A167" s="29"/>
      <c r="B167" s="40" t="n">
        <f aca="false">IF($A167="",0,INT(($A167-Macrociclo!$C$11)/7)+1)</f>
        <v>0</v>
      </c>
      <c r="C167" s="28"/>
      <c r="D167" s="28"/>
      <c r="E167" s="27"/>
      <c r="F167" s="28"/>
      <c r="G167" s="27"/>
      <c r="H167" s="26" t="str">
        <f aca="false">IFERROR(INDEX(Exercícios!$C$7:$C$206,MATCH($G167,Exercícios!$B$7:$B$206,0)),"")</f>
        <v/>
      </c>
      <c r="I167" s="26" t="str">
        <f aca="false">IFERROR(INDEX(Exercícios!$D$7:$D$206,MATCH($G167,Exercícios!$B$7:$B$206,0)),"")</f>
        <v/>
      </c>
      <c r="J167" s="26" t="str">
        <f aca="false">IFERROR(INDEX(Exercícios!$E$7:$E$206,MATCH($G167,Exercícios!$B$7:$B$206,0)),"")</f>
        <v/>
      </c>
      <c r="K167" s="28"/>
      <c r="L167" s="28"/>
      <c r="M167" s="27"/>
      <c r="N167" s="28"/>
      <c r="O167" s="28"/>
      <c r="P167" s="28"/>
      <c r="Q167" s="26" t="n">
        <f aca="false">IFERROR($K167*$L167,"")</f>
        <v>0</v>
      </c>
      <c r="R167" s="44" t="n">
        <f aca="false">IF(OR($O167="",$P167=""),0,$O167*$P167)</f>
        <v>0</v>
      </c>
      <c r="S167" s="27"/>
      <c r="T167" s="27"/>
      <c r="U167" s="40" t="n">
        <f aca="false">IF($A167="",0,IF(AND(OR($E167=Atleta!$C$4,$E167="Equipe (todos)"),$A167&gt;=Atleta!$C$5),MAX($U$7:U166)+1,0))</f>
        <v>0</v>
      </c>
    </row>
    <row r="168" customFormat="false" ht="15" hidden="false" customHeight="false" outlineLevel="0" collapsed="false">
      <c r="A168" s="29"/>
      <c r="B168" s="40" t="n">
        <f aca="false">IF($A168="",0,INT(($A168-Macrociclo!$C$11)/7)+1)</f>
        <v>0</v>
      </c>
      <c r="C168" s="28"/>
      <c r="D168" s="28"/>
      <c r="E168" s="27"/>
      <c r="F168" s="28"/>
      <c r="G168" s="27"/>
      <c r="H168" s="26" t="str">
        <f aca="false">IFERROR(INDEX(Exercícios!$C$7:$C$206,MATCH($G168,Exercícios!$B$7:$B$206,0)),"")</f>
        <v/>
      </c>
      <c r="I168" s="26" t="str">
        <f aca="false">IFERROR(INDEX(Exercícios!$D$7:$D$206,MATCH($G168,Exercícios!$B$7:$B$206,0)),"")</f>
        <v/>
      </c>
      <c r="J168" s="26" t="str">
        <f aca="false">IFERROR(INDEX(Exercícios!$E$7:$E$206,MATCH($G168,Exercícios!$B$7:$B$206,0)),"")</f>
        <v/>
      </c>
      <c r="K168" s="28"/>
      <c r="L168" s="28"/>
      <c r="M168" s="27"/>
      <c r="N168" s="28"/>
      <c r="O168" s="28"/>
      <c r="P168" s="28"/>
      <c r="Q168" s="26" t="n">
        <f aca="false">IFERROR($K168*$L168,"")</f>
        <v>0</v>
      </c>
      <c r="R168" s="44" t="n">
        <f aca="false">IF(OR($O168="",$P168=""),0,$O168*$P168)</f>
        <v>0</v>
      </c>
      <c r="S168" s="27"/>
      <c r="T168" s="27"/>
      <c r="U168" s="40" t="n">
        <f aca="false">IF($A168="",0,IF(AND(OR($E168=Atleta!$C$4,$E168="Equipe (todos)"),$A168&gt;=Atleta!$C$5),MAX($U$7:U167)+1,0))</f>
        <v>0</v>
      </c>
    </row>
    <row r="169" customFormat="false" ht="15" hidden="false" customHeight="false" outlineLevel="0" collapsed="false">
      <c r="A169" s="29"/>
      <c r="B169" s="40" t="n">
        <f aca="false">IF($A169="",0,INT(($A169-Macrociclo!$C$11)/7)+1)</f>
        <v>0</v>
      </c>
      <c r="C169" s="28"/>
      <c r="D169" s="28"/>
      <c r="E169" s="27"/>
      <c r="F169" s="28"/>
      <c r="G169" s="27"/>
      <c r="H169" s="26" t="str">
        <f aca="false">IFERROR(INDEX(Exercícios!$C$7:$C$206,MATCH($G169,Exercícios!$B$7:$B$206,0)),"")</f>
        <v/>
      </c>
      <c r="I169" s="26" t="str">
        <f aca="false">IFERROR(INDEX(Exercícios!$D$7:$D$206,MATCH($G169,Exercícios!$B$7:$B$206,0)),"")</f>
        <v/>
      </c>
      <c r="J169" s="26" t="str">
        <f aca="false">IFERROR(INDEX(Exercícios!$E$7:$E$206,MATCH($G169,Exercícios!$B$7:$B$206,0)),"")</f>
        <v/>
      </c>
      <c r="K169" s="28"/>
      <c r="L169" s="28"/>
      <c r="M169" s="27"/>
      <c r="N169" s="28"/>
      <c r="O169" s="28"/>
      <c r="P169" s="28"/>
      <c r="Q169" s="26" t="n">
        <f aca="false">IFERROR($K169*$L169,"")</f>
        <v>0</v>
      </c>
      <c r="R169" s="44" t="n">
        <f aca="false">IF(OR($O169="",$P169=""),0,$O169*$P169)</f>
        <v>0</v>
      </c>
      <c r="S169" s="27"/>
      <c r="T169" s="27"/>
      <c r="U169" s="40" t="n">
        <f aca="false">IF($A169="",0,IF(AND(OR($E169=Atleta!$C$4,$E169="Equipe (todos)"),$A169&gt;=Atleta!$C$5),MAX($U$7:U168)+1,0))</f>
        <v>0</v>
      </c>
    </row>
    <row r="170" customFormat="false" ht="15" hidden="false" customHeight="false" outlineLevel="0" collapsed="false">
      <c r="A170" s="29"/>
      <c r="B170" s="40" t="n">
        <f aca="false">IF($A170="",0,INT(($A170-Macrociclo!$C$11)/7)+1)</f>
        <v>0</v>
      </c>
      <c r="C170" s="28"/>
      <c r="D170" s="28"/>
      <c r="E170" s="27"/>
      <c r="F170" s="28"/>
      <c r="G170" s="27"/>
      <c r="H170" s="26" t="str">
        <f aca="false">IFERROR(INDEX(Exercícios!$C$7:$C$206,MATCH($G170,Exercícios!$B$7:$B$206,0)),"")</f>
        <v/>
      </c>
      <c r="I170" s="26" t="str">
        <f aca="false">IFERROR(INDEX(Exercícios!$D$7:$D$206,MATCH($G170,Exercícios!$B$7:$B$206,0)),"")</f>
        <v/>
      </c>
      <c r="J170" s="26" t="str">
        <f aca="false">IFERROR(INDEX(Exercícios!$E$7:$E$206,MATCH($G170,Exercícios!$B$7:$B$206,0)),"")</f>
        <v/>
      </c>
      <c r="K170" s="28"/>
      <c r="L170" s="28"/>
      <c r="M170" s="27"/>
      <c r="N170" s="28"/>
      <c r="O170" s="28"/>
      <c r="P170" s="28"/>
      <c r="Q170" s="26" t="n">
        <f aca="false">IFERROR($K170*$L170,"")</f>
        <v>0</v>
      </c>
      <c r="R170" s="44" t="n">
        <f aca="false">IF(OR($O170="",$P170=""),0,$O170*$P170)</f>
        <v>0</v>
      </c>
      <c r="S170" s="27"/>
      <c r="T170" s="27"/>
      <c r="U170" s="40" t="n">
        <f aca="false">IF($A170="",0,IF(AND(OR($E170=Atleta!$C$4,$E170="Equipe (todos)"),$A170&gt;=Atleta!$C$5),MAX($U$7:U169)+1,0))</f>
        <v>0</v>
      </c>
    </row>
    <row r="171" customFormat="false" ht="15" hidden="false" customHeight="false" outlineLevel="0" collapsed="false">
      <c r="A171" s="29"/>
      <c r="B171" s="40" t="n">
        <f aca="false">IF($A171="",0,INT(($A171-Macrociclo!$C$11)/7)+1)</f>
        <v>0</v>
      </c>
      <c r="C171" s="28"/>
      <c r="D171" s="28"/>
      <c r="E171" s="27"/>
      <c r="F171" s="28"/>
      <c r="G171" s="27"/>
      <c r="H171" s="26" t="str">
        <f aca="false">IFERROR(INDEX(Exercícios!$C$7:$C$206,MATCH($G171,Exercícios!$B$7:$B$206,0)),"")</f>
        <v/>
      </c>
      <c r="I171" s="26" t="str">
        <f aca="false">IFERROR(INDEX(Exercícios!$D$7:$D$206,MATCH($G171,Exercícios!$B$7:$B$206,0)),"")</f>
        <v/>
      </c>
      <c r="J171" s="26" t="str">
        <f aca="false">IFERROR(INDEX(Exercícios!$E$7:$E$206,MATCH($G171,Exercícios!$B$7:$B$206,0)),"")</f>
        <v/>
      </c>
      <c r="K171" s="28"/>
      <c r="L171" s="28"/>
      <c r="M171" s="27"/>
      <c r="N171" s="28"/>
      <c r="O171" s="28"/>
      <c r="P171" s="28"/>
      <c r="Q171" s="26" t="n">
        <f aca="false">IFERROR($K171*$L171,"")</f>
        <v>0</v>
      </c>
      <c r="R171" s="44" t="n">
        <f aca="false">IF(OR($O171="",$P171=""),0,$O171*$P171)</f>
        <v>0</v>
      </c>
      <c r="S171" s="27"/>
      <c r="T171" s="27"/>
      <c r="U171" s="40" t="n">
        <f aca="false">IF($A171="",0,IF(AND(OR($E171=Atleta!$C$4,$E171="Equipe (todos)"),$A171&gt;=Atleta!$C$5),MAX($U$7:U170)+1,0))</f>
        <v>0</v>
      </c>
    </row>
    <row r="172" customFormat="false" ht="15" hidden="false" customHeight="false" outlineLevel="0" collapsed="false">
      <c r="A172" s="29"/>
      <c r="B172" s="40" t="n">
        <f aca="false">IF($A172="",0,INT(($A172-Macrociclo!$C$11)/7)+1)</f>
        <v>0</v>
      </c>
      <c r="C172" s="28"/>
      <c r="D172" s="28"/>
      <c r="E172" s="27"/>
      <c r="F172" s="28"/>
      <c r="G172" s="27"/>
      <c r="H172" s="26" t="str">
        <f aca="false">IFERROR(INDEX(Exercícios!$C$7:$C$206,MATCH($G172,Exercícios!$B$7:$B$206,0)),"")</f>
        <v/>
      </c>
      <c r="I172" s="26" t="str">
        <f aca="false">IFERROR(INDEX(Exercícios!$D$7:$D$206,MATCH($G172,Exercícios!$B$7:$B$206,0)),"")</f>
        <v/>
      </c>
      <c r="J172" s="26" t="str">
        <f aca="false">IFERROR(INDEX(Exercícios!$E$7:$E$206,MATCH($G172,Exercícios!$B$7:$B$206,0)),"")</f>
        <v/>
      </c>
      <c r="K172" s="28"/>
      <c r="L172" s="28"/>
      <c r="M172" s="27"/>
      <c r="N172" s="28"/>
      <c r="O172" s="28"/>
      <c r="P172" s="28"/>
      <c r="Q172" s="26" t="n">
        <f aca="false">IFERROR($K172*$L172,"")</f>
        <v>0</v>
      </c>
      <c r="R172" s="44" t="n">
        <f aca="false">IF(OR($O172="",$P172=""),0,$O172*$P172)</f>
        <v>0</v>
      </c>
      <c r="S172" s="27"/>
      <c r="T172" s="27"/>
      <c r="U172" s="40" t="n">
        <f aca="false">IF($A172="",0,IF(AND(OR($E172=Atleta!$C$4,$E172="Equipe (todos)"),$A172&gt;=Atleta!$C$5),MAX($U$7:U171)+1,0))</f>
        <v>0</v>
      </c>
    </row>
    <row r="173" customFormat="false" ht="15" hidden="false" customHeight="false" outlineLevel="0" collapsed="false">
      <c r="A173" s="29"/>
      <c r="B173" s="40" t="n">
        <f aca="false">IF($A173="",0,INT(($A173-Macrociclo!$C$11)/7)+1)</f>
        <v>0</v>
      </c>
      <c r="C173" s="28"/>
      <c r="D173" s="28"/>
      <c r="E173" s="27"/>
      <c r="F173" s="28"/>
      <c r="G173" s="27"/>
      <c r="H173" s="26" t="str">
        <f aca="false">IFERROR(INDEX(Exercícios!$C$7:$C$206,MATCH($G173,Exercícios!$B$7:$B$206,0)),"")</f>
        <v/>
      </c>
      <c r="I173" s="26" t="str">
        <f aca="false">IFERROR(INDEX(Exercícios!$D$7:$D$206,MATCH($G173,Exercícios!$B$7:$B$206,0)),"")</f>
        <v/>
      </c>
      <c r="J173" s="26" t="str">
        <f aca="false">IFERROR(INDEX(Exercícios!$E$7:$E$206,MATCH($G173,Exercícios!$B$7:$B$206,0)),"")</f>
        <v/>
      </c>
      <c r="K173" s="28"/>
      <c r="L173" s="28"/>
      <c r="M173" s="27"/>
      <c r="N173" s="28"/>
      <c r="O173" s="28"/>
      <c r="P173" s="28"/>
      <c r="Q173" s="26" t="n">
        <f aca="false">IFERROR($K173*$L173,"")</f>
        <v>0</v>
      </c>
      <c r="R173" s="44" t="n">
        <f aca="false">IF(OR($O173="",$P173=""),0,$O173*$P173)</f>
        <v>0</v>
      </c>
      <c r="S173" s="27"/>
      <c r="T173" s="27"/>
      <c r="U173" s="40" t="n">
        <f aca="false">IF($A173="",0,IF(AND(OR($E173=Atleta!$C$4,$E173="Equipe (todos)"),$A173&gt;=Atleta!$C$5),MAX($U$7:U172)+1,0))</f>
        <v>0</v>
      </c>
    </row>
    <row r="174" customFormat="false" ht="15" hidden="false" customHeight="false" outlineLevel="0" collapsed="false">
      <c r="A174" s="29"/>
      <c r="B174" s="40" t="n">
        <f aca="false">IF($A174="",0,INT(($A174-Macrociclo!$C$11)/7)+1)</f>
        <v>0</v>
      </c>
      <c r="C174" s="28"/>
      <c r="D174" s="28"/>
      <c r="E174" s="27"/>
      <c r="F174" s="28"/>
      <c r="G174" s="27"/>
      <c r="H174" s="26" t="str">
        <f aca="false">IFERROR(INDEX(Exercícios!$C$7:$C$206,MATCH($G174,Exercícios!$B$7:$B$206,0)),"")</f>
        <v/>
      </c>
      <c r="I174" s="26" t="str">
        <f aca="false">IFERROR(INDEX(Exercícios!$D$7:$D$206,MATCH($G174,Exercícios!$B$7:$B$206,0)),"")</f>
        <v/>
      </c>
      <c r="J174" s="26" t="str">
        <f aca="false">IFERROR(INDEX(Exercícios!$E$7:$E$206,MATCH($G174,Exercícios!$B$7:$B$206,0)),"")</f>
        <v/>
      </c>
      <c r="K174" s="28"/>
      <c r="L174" s="28"/>
      <c r="M174" s="27"/>
      <c r="N174" s="28"/>
      <c r="O174" s="28"/>
      <c r="P174" s="28"/>
      <c r="Q174" s="26" t="n">
        <f aca="false">IFERROR($K174*$L174,"")</f>
        <v>0</v>
      </c>
      <c r="R174" s="44" t="n">
        <f aca="false">IF(OR($O174="",$P174=""),0,$O174*$P174)</f>
        <v>0</v>
      </c>
      <c r="S174" s="27"/>
      <c r="T174" s="27"/>
      <c r="U174" s="40" t="n">
        <f aca="false">IF($A174="",0,IF(AND(OR($E174=Atleta!$C$4,$E174="Equipe (todos)"),$A174&gt;=Atleta!$C$5),MAX($U$7:U173)+1,0))</f>
        <v>0</v>
      </c>
    </row>
    <row r="175" customFormat="false" ht="15" hidden="false" customHeight="false" outlineLevel="0" collapsed="false">
      <c r="A175" s="29"/>
      <c r="B175" s="40" t="n">
        <f aca="false">IF($A175="",0,INT(($A175-Macrociclo!$C$11)/7)+1)</f>
        <v>0</v>
      </c>
      <c r="C175" s="28"/>
      <c r="D175" s="28"/>
      <c r="E175" s="27"/>
      <c r="F175" s="28"/>
      <c r="G175" s="27"/>
      <c r="H175" s="26" t="str">
        <f aca="false">IFERROR(INDEX(Exercícios!$C$7:$C$206,MATCH($G175,Exercícios!$B$7:$B$206,0)),"")</f>
        <v/>
      </c>
      <c r="I175" s="26" t="str">
        <f aca="false">IFERROR(INDEX(Exercícios!$D$7:$D$206,MATCH($G175,Exercícios!$B$7:$B$206,0)),"")</f>
        <v/>
      </c>
      <c r="J175" s="26" t="str">
        <f aca="false">IFERROR(INDEX(Exercícios!$E$7:$E$206,MATCH($G175,Exercícios!$B$7:$B$206,0)),"")</f>
        <v/>
      </c>
      <c r="K175" s="28"/>
      <c r="L175" s="28"/>
      <c r="M175" s="27"/>
      <c r="N175" s="28"/>
      <c r="O175" s="28"/>
      <c r="P175" s="28"/>
      <c r="Q175" s="26" t="n">
        <f aca="false">IFERROR($K175*$L175,"")</f>
        <v>0</v>
      </c>
      <c r="R175" s="44" t="n">
        <f aca="false">IF(OR($O175="",$P175=""),0,$O175*$P175)</f>
        <v>0</v>
      </c>
      <c r="S175" s="27"/>
      <c r="T175" s="27"/>
      <c r="U175" s="40" t="n">
        <f aca="false">IF($A175="",0,IF(AND(OR($E175=Atleta!$C$4,$E175="Equipe (todos)"),$A175&gt;=Atleta!$C$5),MAX($U$7:U174)+1,0))</f>
        <v>0</v>
      </c>
    </row>
    <row r="176" customFormat="false" ht="15" hidden="false" customHeight="false" outlineLevel="0" collapsed="false">
      <c r="A176" s="29"/>
      <c r="B176" s="40" t="n">
        <f aca="false">IF($A176="",0,INT(($A176-Macrociclo!$C$11)/7)+1)</f>
        <v>0</v>
      </c>
      <c r="C176" s="28"/>
      <c r="D176" s="28"/>
      <c r="E176" s="27"/>
      <c r="F176" s="28"/>
      <c r="G176" s="27"/>
      <c r="H176" s="26" t="str">
        <f aca="false">IFERROR(INDEX(Exercícios!$C$7:$C$206,MATCH($G176,Exercícios!$B$7:$B$206,0)),"")</f>
        <v/>
      </c>
      <c r="I176" s="26" t="str">
        <f aca="false">IFERROR(INDEX(Exercícios!$D$7:$D$206,MATCH($G176,Exercícios!$B$7:$B$206,0)),"")</f>
        <v/>
      </c>
      <c r="J176" s="26" t="str">
        <f aca="false">IFERROR(INDEX(Exercícios!$E$7:$E$206,MATCH($G176,Exercícios!$B$7:$B$206,0)),"")</f>
        <v/>
      </c>
      <c r="K176" s="28"/>
      <c r="L176" s="28"/>
      <c r="M176" s="27"/>
      <c r="N176" s="28"/>
      <c r="O176" s="28"/>
      <c r="P176" s="28"/>
      <c r="Q176" s="26" t="n">
        <f aca="false">IFERROR($K176*$L176,"")</f>
        <v>0</v>
      </c>
      <c r="R176" s="44" t="n">
        <f aca="false">IF(OR($O176="",$P176=""),0,$O176*$P176)</f>
        <v>0</v>
      </c>
      <c r="S176" s="27"/>
      <c r="T176" s="27"/>
      <c r="U176" s="40" t="n">
        <f aca="false">IF($A176="",0,IF(AND(OR($E176=Atleta!$C$4,$E176="Equipe (todos)"),$A176&gt;=Atleta!$C$5),MAX($U$7:U175)+1,0))</f>
        <v>0</v>
      </c>
    </row>
    <row r="177" customFormat="false" ht="15" hidden="false" customHeight="false" outlineLevel="0" collapsed="false">
      <c r="A177" s="29"/>
      <c r="B177" s="40" t="n">
        <f aca="false">IF($A177="",0,INT(($A177-Macrociclo!$C$11)/7)+1)</f>
        <v>0</v>
      </c>
      <c r="C177" s="28"/>
      <c r="D177" s="28"/>
      <c r="E177" s="27"/>
      <c r="F177" s="28"/>
      <c r="G177" s="27"/>
      <c r="H177" s="26" t="str">
        <f aca="false">IFERROR(INDEX(Exercícios!$C$7:$C$206,MATCH($G177,Exercícios!$B$7:$B$206,0)),"")</f>
        <v/>
      </c>
      <c r="I177" s="26" t="str">
        <f aca="false">IFERROR(INDEX(Exercícios!$D$7:$D$206,MATCH($G177,Exercícios!$B$7:$B$206,0)),"")</f>
        <v/>
      </c>
      <c r="J177" s="26" t="str">
        <f aca="false">IFERROR(INDEX(Exercícios!$E$7:$E$206,MATCH($G177,Exercícios!$B$7:$B$206,0)),"")</f>
        <v/>
      </c>
      <c r="K177" s="28"/>
      <c r="L177" s="28"/>
      <c r="M177" s="27"/>
      <c r="N177" s="28"/>
      <c r="O177" s="28"/>
      <c r="P177" s="28"/>
      <c r="Q177" s="26" t="n">
        <f aca="false">IFERROR($K177*$L177,"")</f>
        <v>0</v>
      </c>
      <c r="R177" s="44" t="n">
        <f aca="false">IF(OR($O177="",$P177=""),0,$O177*$P177)</f>
        <v>0</v>
      </c>
      <c r="S177" s="27"/>
      <c r="T177" s="27"/>
      <c r="U177" s="40" t="n">
        <f aca="false">IF($A177="",0,IF(AND(OR($E177=Atleta!$C$4,$E177="Equipe (todos)"),$A177&gt;=Atleta!$C$5),MAX($U$7:U176)+1,0))</f>
        <v>0</v>
      </c>
    </row>
    <row r="178" customFormat="false" ht="15" hidden="false" customHeight="false" outlineLevel="0" collapsed="false">
      <c r="A178" s="29"/>
      <c r="B178" s="40" t="n">
        <f aca="false">IF($A178="",0,INT(($A178-Macrociclo!$C$11)/7)+1)</f>
        <v>0</v>
      </c>
      <c r="C178" s="28"/>
      <c r="D178" s="28"/>
      <c r="E178" s="27"/>
      <c r="F178" s="28"/>
      <c r="G178" s="27"/>
      <c r="H178" s="26" t="str">
        <f aca="false">IFERROR(INDEX(Exercícios!$C$7:$C$206,MATCH($G178,Exercícios!$B$7:$B$206,0)),"")</f>
        <v/>
      </c>
      <c r="I178" s="26" t="str">
        <f aca="false">IFERROR(INDEX(Exercícios!$D$7:$D$206,MATCH($G178,Exercícios!$B$7:$B$206,0)),"")</f>
        <v/>
      </c>
      <c r="J178" s="26" t="str">
        <f aca="false">IFERROR(INDEX(Exercícios!$E$7:$E$206,MATCH($G178,Exercícios!$B$7:$B$206,0)),"")</f>
        <v/>
      </c>
      <c r="K178" s="28"/>
      <c r="L178" s="28"/>
      <c r="M178" s="27"/>
      <c r="N178" s="28"/>
      <c r="O178" s="28"/>
      <c r="P178" s="28"/>
      <c r="Q178" s="26" t="n">
        <f aca="false">IFERROR($K178*$L178,"")</f>
        <v>0</v>
      </c>
      <c r="R178" s="44" t="n">
        <f aca="false">IF(OR($O178="",$P178=""),0,$O178*$P178)</f>
        <v>0</v>
      </c>
      <c r="S178" s="27"/>
      <c r="T178" s="27"/>
      <c r="U178" s="40" t="n">
        <f aca="false">IF($A178="",0,IF(AND(OR($E178=Atleta!$C$4,$E178="Equipe (todos)"),$A178&gt;=Atleta!$C$5),MAX($U$7:U177)+1,0))</f>
        <v>0</v>
      </c>
    </row>
    <row r="179" customFormat="false" ht="15" hidden="false" customHeight="false" outlineLevel="0" collapsed="false">
      <c r="A179" s="29"/>
      <c r="B179" s="40" t="n">
        <f aca="false">IF($A179="",0,INT(($A179-Macrociclo!$C$11)/7)+1)</f>
        <v>0</v>
      </c>
      <c r="C179" s="28"/>
      <c r="D179" s="28"/>
      <c r="E179" s="27"/>
      <c r="F179" s="28"/>
      <c r="G179" s="27"/>
      <c r="H179" s="26" t="str">
        <f aca="false">IFERROR(INDEX(Exercícios!$C$7:$C$206,MATCH($G179,Exercícios!$B$7:$B$206,0)),"")</f>
        <v/>
      </c>
      <c r="I179" s="26" t="str">
        <f aca="false">IFERROR(INDEX(Exercícios!$D$7:$D$206,MATCH($G179,Exercícios!$B$7:$B$206,0)),"")</f>
        <v/>
      </c>
      <c r="J179" s="26" t="str">
        <f aca="false">IFERROR(INDEX(Exercícios!$E$7:$E$206,MATCH($G179,Exercícios!$B$7:$B$206,0)),"")</f>
        <v/>
      </c>
      <c r="K179" s="28"/>
      <c r="L179" s="28"/>
      <c r="M179" s="27"/>
      <c r="N179" s="28"/>
      <c r="O179" s="28"/>
      <c r="P179" s="28"/>
      <c r="Q179" s="26" t="n">
        <f aca="false">IFERROR($K179*$L179,"")</f>
        <v>0</v>
      </c>
      <c r="R179" s="44" t="n">
        <f aca="false">IF(OR($O179="",$P179=""),0,$O179*$P179)</f>
        <v>0</v>
      </c>
      <c r="S179" s="27"/>
      <c r="T179" s="27"/>
      <c r="U179" s="40" t="n">
        <f aca="false">IF($A179="",0,IF(AND(OR($E179=Atleta!$C$4,$E179="Equipe (todos)"),$A179&gt;=Atleta!$C$5),MAX($U$7:U178)+1,0))</f>
        <v>0</v>
      </c>
    </row>
    <row r="180" customFormat="false" ht="15" hidden="false" customHeight="false" outlineLevel="0" collapsed="false">
      <c r="A180" s="29"/>
      <c r="B180" s="40" t="n">
        <f aca="false">IF($A180="",0,INT(($A180-Macrociclo!$C$11)/7)+1)</f>
        <v>0</v>
      </c>
      <c r="C180" s="28"/>
      <c r="D180" s="28"/>
      <c r="E180" s="27"/>
      <c r="F180" s="28"/>
      <c r="G180" s="27"/>
      <c r="H180" s="26" t="str">
        <f aca="false">IFERROR(INDEX(Exercícios!$C$7:$C$206,MATCH($G180,Exercícios!$B$7:$B$206,0)),"")</f>
        <v/>
      </c>
      <c r="I180" s="26" t="str">
        <f aca="false">IFERROR(INDEX(Exercícios!$D$7:$D$206,MATCH($G180,Exercícios!$B$7:$B$206,0)),"")</f>
        <v/>
      </c>
      <c r="J180" s="26" t="str">
        <f aca="false">IFERROR(INDEX(Exercícios!$E$7:$E$206,MATCH($G180,Exercícios!$B$7:$B$206,0)),"")</f>
        <v/>
      </c>
      <c r="K180" s="28"/>
      <c r="L180" s="28"/>
      <c r="M180" s="27"/>
      <c r="N180" s="28"/>
      <c r="O180" s="28"/>
      <c r="P180" s="28"/>
      <c r="Q180" s="26" t="n">
        <f aca="false">IFERROR($K180*$L180,"")</f>
        <v>0</v>
      </c>
      <c r="R180" s="44" t="n">
        <f aca="false">IF(OR($O180="",$P180=""),0,$O180*$P180)</f>
        <v>0</v>
      </c>
      <c r="S180" s="27"/>
      <c r="T180" s="27"/>
      <c r="U180" s="40" t="n">
        <f aca="false">IF($A180="",0,IF(AND(OR($E180=Atleta!$C$4,$E180="Equipe (todos)"),$A180&gt;=Atleta!$C$5),MAX($U$7:U179)+1,0))</f>
        <v>0</v>
      </c>
    </row>
    <row r="181" customFormat="false" ht="15" hidden="false" customHeight="false" outlineLevel="0" collapsed="false">
      <c r="A181" s="29"/>
      <c r="B181" s="40" t="n">
        <f aca="false">IF($A181="",0,INT(($A181-Macrociclo!$C$11)/7)+1)</f>
        <v>0</v>
      </c>
      <c r="C181" s="28"/>
      <c r="D181" s="28"/>
      <c r="E181" s="27"/>
      <c r="F181" s="28"/>
      <c r="G181" s="27"/>
      <c r="H181" s="26" t="str">
        <f aca="false">IFERROR(INDEX(Exercícios!$C$7:$C$206,MATCH($G181,Exercícios!$B$7:$B$206,0)),"")</f>
        <v/>
      </c>
      <c r="I181" s="26" t="str">
        <f aca="false">IFERROR(INDEX(Exercícios!$D$7:$D$206,MATCH($G181,Exercícios!$B$7:$B$206,0)),"")</f>
        <v/>
      </c>
      <c r="J181" s="26" t="str">
        <f aca="false">IFERROR(INDEX(Exercícios!$E$7:$E$206,MATCH($G181,Exercícios!$B$7:$B$206,0)),"")</f>
        <v/>
      </c>
      <c r="K181" s="28"/>
      <c r="L181" s="28"/>
      <c r="M181" s="27"/>
      <c r="N181" s="28"/>
      <c r="O181" s="28"/>
      <c r="P181" s="28"/>
      <c r="Q181" s="26" t="n">
        <f aca="false">IFERROR($K181*$L181,"")</f>
        <v>0</v>
      </c>
      <c r="R181" s="44" t="n">
        <f aca="false">IF(OR($O181="",$P181=""),0,$O181*$P181)</f>
        <v>0</v>
      </c>
      <c r="S181" s="27"/>
      <c r="T181" s="27"/>
      <c r="U181" s="40" t="n">
        <f aca="false">IF($A181="",0,IF(AND(OR($E181=Atleta!$C$4,$E181="Equipe (todos)"),$A181&gt;=Atleta!$C$5),MAX($U$7:U180)+1,0))</f>
        <v>0</v>
      </c>
    </row>
    <row r="182" customFormat="false" ht="15" hidden="false" customHeight="false" outlineLevel="0" collapsed="false">
      <c r="A182" s="29"/>
      <c r="B182" s="40" t="n">
        <f aca="false">IF($A182="",0,INT(($A182-Macrociclo!$C$11)/7)+1)</f>
        <v>0</v>
      </c>
      <c r="C182" s="28"/>
      <c r="D182" s="28"/>
      <c r="E182" s="27"/>
      <c r="F182" s="28"/>
      <c r="G182" s="27"/>
      <c r="H182" s="26" t="str">
        <f aca="false">IFERROR(INDEX(Exercícios!$C$7:$C$206,MATCH($G182,Exercícios!$B$7:$B$206,0)),"")</f>
        <v/>
      </c>
      <c r="I182" s="26" t="str">
        <f aca="false">IFERROR(INDEX(Exercícios!$D$7:$D$206,MATCH($G182,Exercícios!$B$7:$B$206,0)),"")</f>
        <v/>
      </c>
      <c r="J182" s="26" t="str">
        <f aca="false">IFERROR(INDEX(Exercícios!$E$7:$E$206,MATCH($G182,Exercícios!$B$7:$B$206,0)),"")</f>
        <v/>
      </c>
      <c r="K182" s="28"/>
      <c r="L182" s="28"/>
      <c r="M182" s="27"/>
      <c r="N182" s="28"/>
      <c r="O182" s="28"/>
      <c r="P182" s="28"/>
      <c r="Q182" s="26" t="n">
        <f aca="false">IFERROR($K182*$L182,"")</f>
        <v>0</v>
      </c>
      <c r="R182" s="44" t="n">
        <f aca="false">IF(OR($O182="",$P182=""),0,$O182*$P182)</f>
        <v>0</v>
      </c>
      <c r="S182" s="27"/>
      <c r="T182" s="27"/>
      <c r="U182" s="40" t="n">
        <f aca="false">IF($A182="",0,IF(AND(OR($E182=Atleta!$C$4,$E182="Equipe (todos)"),$A182&gt;=Atleta!$C$5),MAX($U$7:U181)+1,0))</f>
        <v>0</v>
      </c>
    </row>
    <row r="183" customFormat="false" ht="15" hidden="false" customHeight="false" outlineLevel="0" collapsed="false">
      <c r="A183" s="29"/>
      <c r="B183" s="40" t="n">
        <f aca="false">IF($A183="",0,INT(($A183-Macrociclo!$C$11)/7)+1)</f>
        <v>0</v>
      </c>
      <c r="C183" s="28"/>
      <c r="D183" s="28"/>
      <c r="E183" s="27"/>
      <c r="F183" s="28"/>
      <c r="G183" s="27"/>
      <c r="H183" s="26" t="str">
        <f aca="false">IFERROR(INDEX(Exercícios!$C$7:$C$206,MATCH($G183,Exercícios!$B$7:$B$206,0)),"")</f>
        <v/>
      </c>
      <c r="I183" s="26" t="str">
        <f aca="false">IFERROR(INDEX(Exercícios!$D$7:$D$206,MATCH($G183,Exercícios!$B$7:$B$206,0)),"")</f>
        <v/>
      </c>
      <c r="J183" s="26" t="str">
        <f aca="false">IFERROR(INDEX(Exercícios!$E$7:$E$206,MATCH($G183,Exercícios!$B$7:$B$206,0)),"")</f>
        <v/>
      </c>
      <c r="K183" s="28"/>
      <c r="L183" s="28"/>
      <c r="M183" s="27"/>
      <c r="N183" s="28"/>
      <c r="O183" s="28"/>
      <c r="P183" s="28"/>
      <c r="Q183" s="26" t="n">
        <f aca="false">IFERROR($K183*$L183,"")</f>
        <v>0</v>
      </c>
      <c r="R183" s="44" t="n">
        <f aca="false">IF(OR($O183="",$P183=""),0,$O183*$P183)</f>
        <v>0</v>
      </c>
      <c r="S183" s="27"/>
      <c r="T183" s="27"/>
      <c r="U183" s="40" t="n">
        <f aca="false">IF($A183="",0,IF(AND(OR($E183=Atleta!$C$4,$E183="Equipe (todos)"),$A183&gt;=Atleta!$C$5),MAX($U$7:U182)+1,0))</f>
        <v>0</v>
      </c>
    </row>
    <row r="184" customFormat="false" ht="15" hidden="false" customHeight="false" outlineLevel="0" collapsed="false">
      <c r="A184" s="29"/>
      <c r="B184" s="40" t="n">
        <f aca="false">IF($A184="",0,INT(($A184-Macrociclo!$C$11)/7)+1)</f>
        <v>0</v>
      </c>
      <c r="C184" s="28"/>
      <c r="D184" s="28"/>
      <c r="E184" s="27"/>
      <c r="F184" s="28"/>
      <c r="G184" s="27"/>
      <c r="H184" s="26" t="str">
        <f aca="false">IFERROR(INDEX(Exercícios!$C$7:$C$206,MATCH($G184,Exercícios!$B$7:$B$206,0)),"")</f>
        <v/>
      </c>
      <c r="I184" s="26" t="str">
        <f aca="false">IFERROR(INDEX(Exercícios!$D$7:$D$206,MATCH($G184,Exercícios!$B$7:$B$206,0)),"")</f>
        <v/>
      </c>
      <c r="J184" s="26" t="str">
        <f aca="false">IFERROR(INDEX(Exercícios!$E$7:$E$206,MATCH($G184,Exercícios!$B$7:$B$206,0)),"")</f>
        <v/>
      </c>
      <c r="K184" s="28"/>
      <c r="L184" s="28"/>
      <c r="M184" s="27"/>
      <c r="N184" s="28"/>
      <c r="O184" s="28"/>
      <c r="P184" s="28"/>
      <c r="Q184" s="26" t="n">
        <f aca="false">IFERROR($K184*$L184,"")</f>
        <v>0</v>
      </c>
      <c r="R184" s="44" t="n">
        <f aca="false">IF(OR($O184="",$P184=""),0,$O184*$P184)</f>
        <v>0</v>
      </c>
      <c r="S184" s="27"/>
      <c r="T184" s="27"/>
      <c r="U184" s="40" t="n">
        <f aca="false">IF($A184="",0,IF(AND(OR($E184=Atleta!$C$4,$E184="Equipe (todos)"),$A184&gt;=Atleta!$C$5),MAX($U$7:U183)+1,0))</f>
        <v>0</v>
      </c>
    </row>
    <row r="185" customFormat="false" ht="15" hidden="false" customHeight="false" outlineLevel="0" collapsed="false">
      <c r="A185" s="29"/>
      <c r="B185" s="40" t="n">
        <f aca="false">IF($A185="",0,INT(($A185-Macrociclo!$C$11)/7)+1)</f>
        <v>0</v>
      </c>
      <c r="C185" s="28"/>
      <c r="D185" s="28"/>
      <c r="E185" s="27"/>
      <c r="F185" s="28"/>
      <c r="G185" s="27"/>
      <c r="H185" s="26" t="str">
        <f aca="false">IFERROR(INDEX(Exercícios!$C$7:$C$206,MATCH($G185,Exercícios!$B$7:$B$206,0)),"")</f>
        <v/>
      </c>
      <c r="I185" s="26" t="str">
        <f aca="false">IFERROR(INDEX(Exercícios!$D$7:$D$206,MATCH($G185,Exercícios!$B$7:$B$206,0)),"")</f>
        <v/>
      </c>
      <c r="J185" s="26" t="str">
        <f aca="false">IFERROR(INDEX(Exercícios!$E$7:$E$206,MATCH($G185,Exercícios!$B$7:$B$206,0)),"")</f>
        <v/>
      </c>
      <c r="K185" s="28"/>
      <c r="L185" s="28"/>
      <c r="M185" s="27"/>
      <c r="N185" s="28"/>
      <c r="O185" s="28"/>
      <c r="P185" s="28"/>
      <c r="Q185" s="26" t="n">
        <f aca="false">IFERROR($K185*$L185,"")</f>
        <v>0</v>
      </c>
      <c r="R185" s="44" t="n">
        <f aca="false">IF(OR($O185="",$P185=""),0,$O185*$P185)</f>
        <v>0</v>
      </c>
      <c r="S185" s="27"/>
      <c r="T185" s="27"/>
      <c r="U185" s="40" t="n">
        <f aca="false">IF($A185="",0,IF(AND(OR($E185=Atleta!$C$4,$E185="Equipe (todos)"),$A185&gt;=Atleta!$C$5),MAX($U$7:U184)+1,0))</f>
        <v>0</v>
      </c>
    </row>
    <row r="186" customFormat="false" ht="15" hidden="false" customHeight="false" outlineLevel="0" collapsed="false">
      <c r="A186" s="29"/>
      <c r="B186" s="40" t="n">
        <f aca="false">IF($A186="",0,INT(($A186-Macrociclo!$C$11)/7)+1)</f>
        <v>0</v>
      </c>
      <c r="C186" s="28"/>
      <c r="D186" s="28"/>
      <c r="E186" s="27"/>
      <c r="F186" s="28"/>
      <c r="G186" s="27"/>
      <c r="H186" s="26" t="str">
        <f aca="false">IFERROR(INDEX(Exercícios!$C$7:$C$206,MATCH($G186,Exercícios!$B$7:$B$206,0)),"")</f>
        <v/>
      </c>
      <c r="I186" s="26" t="str">
        <f aca="false">IFERROR(INDEX(Exercícios!$D$7:$D$206,MATCH($G186,Exercícios!$B$7:$B$206,0)),"")</f>
        <v/>
      </c>
      <c r="J186" s="26" t="str">
        <f aca="false">IFERROR(INDEX(Exercícios!$E$7:$E$206,MATCH($G186,Exercícios!$B$7:$B$206,0)),"")</f>
        <v/>
      </c>
      <c r="K186" s="28"/>
      <c r="L186" s="28"/>
      <c r="M186" s="27"/>
      <c r="N186" s="28"/>
      <c r="O186" s="28"/>
      <c r="P186" s="28"/>
      <c r="Q186" s="26" t="n">
        <f aca="false">IFERROR($K186*$L186,"")</f>
        <v>0</v>
      </c>
      <c r="R186" s="44" t="n">
        <f aca="false">IF(OR($O186="",$P186=""),0,$O186*$P186)</f>
        <v>0</v>
      </c>
      <c r="S186" s="27"/>
      <c r="T186" s="27"/>
      <c r="U186" s="40" t="n">
        <f aca="false">IF($A186="",0,IF(AND(OR($E186=Atleta!$C$4,$E186="Equipe (todos)"),$A186&gt;=Atleta!$C$5),MAX($U$7:U185)+1,0))</f>
        <v>0</v>
      </c>
    </row>
    <row r="187" customFormat="false" ht="15" hidden="false" customHeight="false" outlineLevel="0" collapsed="false">
      <c r="A187" s="29"/>
      <c r="B187" s="40" t="n">
        <f aca="false">IF($A187="",0,INT(($A187-Macrociclo!$C$11)/7)+1)</f>
        <v>0</v>
      </c>
      <c r="C187" s="28"/>
      <c r="D187" s="28"/>
      <c r="E187" s="27"/>
      <c r="F187" s="28"/>
      <c r="G187" s="27"/>
      <c r="H187" s="26" t="str">
        <f aca="false">IFERROR(INDEX(Exercícios!$C$7:$C$206,MATCH($G187,Exercícios!$B$7:$B$206,0)),"")</f>
        <v/>
      </c>
      <c r="I187" s="26" t="str">
        <f aca="false">IFERROR(INDEX(Exercícios!$D$7:$D$206,MATCH($G187,Exercícios!$B$7:$B$206,0)),"")</f>
        <v/>
      </c>
      <c r="J187" s="26" t="str">
        <f aca="false">IFERROR(INDEX(Exercícios!$E$7:$E$206,MATCH($G187,Exercícios!$B$7:$B$206,0)),"")</f>
        <v/>
      </c>
      <c r="K187" s="28"/>
      <c r="L187" s="28"/>
      <c r="M187" s="27"/>
      <c r="N187" s="28"/>
      <c r="O187" s="28"/>
      <c r="P187" s="28"/>
      <c r="Q187" s="26" t="n">
        <f aca="false">IFERROR($K187*$L187,"")</f>
        <v>0</v>
      </c>
      <c r="R187" s="44" t="n">
        <f aca="false">IF(OR($O187="",$P187=""),0,$O187*$P187)</f>
        <v>0</v>
      </c>
      <c r="S187" s="27"/>
      <c r="T187" s="27"/>
      <c r="U187" s="40" t="n">
        <f aca="false">IF($A187="",0,IF(AND(OR($E187=Atleta!$C$4,$E187="Equipe (todos)"),$A187&gt;=Atleta!$C$5),MAX($U$7:U186)+1,0))</f>
        <v>0</v>
      </c>
    </row>
    <row r="188" customFormat="false" ht="15" hidden="false" customHeight="false" outlineLevel="0" collapsed="false">
      <c r="A188" s="29"/>
      <c r="B188" s="40" t="n">
        <f aca="false">IF($A188="",0,INT(($A188-Macrociclo!$C$11)/7)+1)</f>
        <v>0</v>
      </c>
      <c r="C188" s="28"/>
      <c r="D188" s="28"/>
      <c r="E188" s="27"/>
      <c r="F188" s="28"/>
      <c r="G188" s="27"/>
      <c r="H188" s="26" t="str">
        <f aca="false">IFERROR(INDEX(Exercícios!$C$7:$C$206,MATCH($G188,Exercícios!$B$7:$B$206,0)),"")</f>
        <v/>
      </c>
      <c r="I188" s="26" t="str">
        <f aca="false">IFERROR(INDEX(Exercícios!$D$7:$D$206,MATCH($G188,Exercícios!$B$7:$B$206,0)),"")</f>
        <v/>
      </c>
      <c r="J188" s="26" t="str">
        <f aca="false">IFERROR(INDEX(Exercícios!$E$7:$E$206,MATCH($G188,Exercícios!$B$7:$B$206,0)),"")</f>
        <v/>
      </c>
      <c r="K188" s="28"/>
      <c r="L188" s="28"/>
      <c r="M188" s="27"/>
      <c r="N188" s="28"/>
      <c r="O188" s="28"/>
      <c r="P188" s="28"/>
      <c r="Q188" s="26" t="n">
        <f aca="false">IFERROR($K188*$L188,"")</f>
        <v>0</v>
      </c>
      <c r="R188" s="44" t="n">
        <f aca="false">IF(OR($O188="",$P188=""),0,$O188*$P188)</f>
        <v>0</v>
      </c>
      <c r="S188" s="27"/>
      <c r="T188" s="27"/>
      <c r="U188" s="40" t="n">
        <f aca="false">IF($A188="",0,IF(AND(OR($E188=Atleta!$C$4,$E188="Equipe (todos)"),$A188&gt;=Atleta!$C$5),MAX($U$7:U187)+1,0))</f>
        <v>0</v>
      </c>
    </row>
    <row r="189" customFormat="false" ht="15" hidden="false" customHeight="false" outlineLevel="0" collapsed="false">
      <c r="A189" s="29"/>
      <c r="B189" s="40" t="n">
        <f aca="false">IF($A189="",0,INT(($A189-Macrociclo!$C$11)/7)+1)</f>
        <v>0</v>
      </c>
      <c r="C189" s="28"/>
      <c r="D189" s="28"/>
      <c r="E189" s="27"/>
      <c r="F189" s="28"/>
      <c r="G189" s="27"/>
      <c r="H189" s="26" t="str">
        <f aca="false">IFERROR(INDEX(Exercícios!$C$7:$C$206,MATCH($G189,Exercícios!$B$7:$B$206,0)),"")</f>
        <v/>
      </c>
      <c r="I189" s="26" t="str">
        <f aca="false">IFERROR(INDEX(Exercícios!$D$7:$D$206,MATCH($G189,Exercícios!$B$7:$B$206,0)),"")</f>
        <v/>
      </c>
      <c r="J189" s="26" t="str">
        <f aca="false">IFERROR(INDEX(Exercícios!$E$7:$E$206,MATCH($G189,Exercícios!$B$7:$B$206,0)),"")</f>
        <v/>
      </c>
      <c r="K189" s="28"/>
      <c r="L189" s="28"/>
      <c r="M189" s="27"/>
      <c r="N189" s="28"/>
      <c r="O189" s="28"/>
      <c r="P189" s="28"/>
      <c r="Q189" s="26" t="n">
        <f aca="false">IFERROR($K189*$L189,"")</f>
        <v>0</v>
      </c>
      <c r="R189" s="44" t="n">
        <f aca="false">IF(OR($O189="",$P189=""),0,$O189*$P189)</f>
        <v>0</v>
      </c>
      <c r="S189" s="27"/>
      <c r="T189" s="27"/>
      <c r="U189" s="40" t="n">
        <f aca="false">IF($A189="",0,IF(AND(OR($E189=Atleta!$C$4,$E189="Equipe (todos)"),$A189&gt;=Atleta!$C$5),MAX($U$7:U188)+1,0))</f>
        <v>0</v>
      </c>
    </row>
    <row r="190" customFormat="false" ht="15" hidden="false" customHeight="false" outlineLevel="0" collapsed="false">
      <c r="A190" s="29"/>
      <c r="B190" s="40" t="n">
        <f aca="false">IF($A190="",0,INT(($A190-Macrociclo!$C$11)/7)+1)</f>
        <v>0</v>
      </c>
      <c r="C190" s="28"/>
      <c r="D190" s="28"/>
      <c r="E190" s="27"/>
      <c r="F190" s="28"/>
      <c r="G190" s="27"/>
      <c r="H190" s="26" t="str">
        <f aca="false">IFERROR(INDEX(Exercícios!$C$7:$C$206,MATCH($G190,Exercícios!$B$7:$B$206,0)),"")</f>
        <v/>
      </c>
      <c r="I190" s="26" t="str">
        <f aca="false">IFERROR(INDEX(Exercícios!$D$7:$D$206,MATCH($G190,Exercícios!$B$7:$B$206,0)),"")</f>
        <v/>
      </c>
      <c r="J190" s="26" t="str">
        <f aca="false">IFERROR(INDEX(Exercícios!$E$7:$E$206,MATCH($G190,Exercícios!$B$7:$B$206,0)),"")</f>
        <v/>
      </c>
      <c r="K190" s="28"/>
      <c r="L190" s="28"/>
      <c r="M190" s="27"/>
      <c r="N190" s="28"/>
      <c r="O190" s="28"/>
      <c r="P190" s="28"/>
      <c r="Q190" s="26" t="n">
        <f aca="false">IFERROR($K190*$L190,"")</f>
        <v>0</v>
      </c>
      <c r="R190" s="44" t="n">
        <f aca="false">IF(OR($O190="",$P190=""),0,$O190*$P190)</f>
        <v>0</v>
      </c>
      <c r="S190" s="27"/>
      <c r="T190" s="27"/>
      <c r="U190" s="40" t="n">
        <f aca="false">IF($A190="",0,IF(AND(OR($E190=Atleta!$C$4,$E190="Equipe (todos)"),$A190&gt;=Atleta!$C$5),MAX($U$7:U189)+1,0))</f>
        <v>0</v>
      </c>
    </row>
    <row r="191" customFormat="false" ht="15" hidden="false" customHeight="false" outlineLevel="0" collapsed="false">
      <c r="A191" s="29"/>
      <c r="B191" s="40" t="n">
        <f aca="false">IF($A191="",0,INT(($A191-Macrociclo!$C$11)/7)+1)</f>
        <v>0</v>
      </c>
      <c r="C191" s="28"/>
      <c r="D191" s="28"/>
      <c r="E191" s="27"/>
      <c r="F191" s="28"/>
      <c r="G191" s="27"/>
      <c r="H191" s="26" t="str">
        <f aca="false">IFERROR(INDEX(Exercícios!$C$7:$C$206,MATCH($G191,Exercícios!$B$7:$B$206,0)),"")</f>
        <v/>
      </c>
      <c r="I191" s="26" t="str">
        <f aca="false">IFERROR(INDEX(Exercícios!$D$7:$D$206,MATCH($G191,Exercícios!$B$7:$B$206,0)),"")</f>
        <v/>
      </c>
      <c r="J191" s="26" t="str">
        <f aca="false">IFERROR(INDEX(Exercícios!$E$7:$E$206,MATCH($G191,Exercícios!$B$7:$B$206,0)),"")</f>
        <v/>
      </c>
      <c r="K191" s="28"/>
      <c r="L191" s="28"/>
      <c r="M191" s="27"/>
      <c r="N191" s="28"/>
      <c r="O191" s="28"/>
      <c r="P191" s="28"/>
      <c r="Q191" s="26" t="n">
        <f aca="false">IFERROR($K191*$L191,"")</f>
        <v>0</v>
      </c>
      <c r="R191" s="44" t="n">
        <f aca="false">IF(OR($O191="",$P191=""),0,$O191*$P191)</f>
        <v>0</v>
      </c>
      <c r="S191" s="27"/>
      <c r="T191" s="27"/>
      <c r="U191" s="40" t="n">
        <f aca="false">IF($A191="",0,IF(AND(OR($E191=Atleta!$C$4,$E191="Equipe (todos)"),$A191&gt;=Atleta!$C$5),MAX($U$7:U190)+1,0))</f>
        <v>0</v>
      </c>
    </row>
    <row r="192" customFormat="false" ht="15" hidden="false" customHeight="false" outlineLevel="0" collapsed="false">
      <c r="A192" s="29"/>
      <c r="B192" s="40" t="n">
        <f aca="false">IF($A192="",0,INT(($A192-Macrociclo!$C$11)/7)+1)</f>
        <v>0</v>
      </c>
      <c r="C192" s="28"/>
      <c r="D192" s="28"/>
      <c r="E192" s="27"/>
      <c r="F192" s="28"/>
      <c r="G192" s="27"/>
      <c r="H192" s="26" t="str">
        <f aca="false">IFERROR(INDEX(Exercícios!$C$7:$C$206,MATCH($G192,Exercícios!$B$7:$B$206,0)),"")</f>
        <v/>
      </c>
      <c r="I192" s="26" t="str">
        <f aca="false">IFERROR(INDEX(Exercícios!$D$7:$D$206,MATCH($G192,Exercícios!$B$7:$B$206,0)),"")</f>
        <v/>
      </c>
      <c r="J192" s="26" t="str">
        <f aca="false">IFERROR(INDEX(Exercícios!$E$7:$E$206,MATCH($G192,Exercícios!$B$7:$B$206,0)),"")</f>
        <v/>
      </c>
      <c r="K192" s="28"/>
      <c r="L192" s="28"/>
      <c r="M192" s="27"/>
      <c r="N192" s="28"/>
      <c r="O192" s="28"/>
      <c r="P192" s="28"/>
      <c r="Q192" s="26" t="n">
        <f aca="false">IFERROR($K192*$L192,"")</f>
        <v>0</v>
      </c>
      <c r="R192" s="44" t="n">
        <f aca="false">IF(OR($O192="",$P192=""),0,$O192*$P192)</f>
        <v>0</v>
      </c>
      <c r="S192" s="27"/>
      <c r="T192" s="27"/>
      <c r="U192" s="40" t="n">
        <f aca="false">IF($A192="",0,IF(AND(OR($E192=Atleta!$C$4,$E192="Equipe (todos)"),$A192&gt;=Atleta!$C$5),MAX($U$7:U191)+1,0))</f>
        <v>0</v>
      </c>
    </row>
    <row r="193" customFormat="false" ht="15" hidden="false" customHeight="false" outlineLevel="0" collapsed="false">
      <c r="A193" s="29"/>
      <c r="B193" s="40" t="n">
        <f aca="false">IF($A193="",0,INT(($A193-Macrociclo!$C$11)/7)+1)</f>
        <v>0</v>
      </c>
      <c r="C193" s="28"/>
      <c r="D193" s="28"/>
      <c r="E193" s="27"/>
      <c r="F193" s="28"/>
      <c r="G193" s="27"/>
      <c r="H193" s="26" t="str">
        <f aca="false">IFERROR(INDEX(Exercícios!$C$7:$C$206,MATCH($G193,Exercícios!$B$7:$B$206,0)),"")</f>
        <v/>
      </c>
      <c r="I193" s="26" t="str">
        <f aca="false">IFERROR(INDEX(Exercícios!$D$7:$D$206,MATCH($G193,Exercícios!$B$7:$B$206,0)),"")</f>
        <v/>
      </c>
      <c r="J193" s="26" t="str">
        <f aca="false">IFERROR(INDEX(Exercícios!$E$7:$E$206,MATCH($G193,Exercícios!$B$7:$B$206,0)),"")</f>
        <v/>
      </c>
      <c r="K193" s="28"/>
      <c r="L193" s="28"/>
      <c r="M193" s="27"/>
      <c r="N193" s="28"/>
      <c r="O193" s="28"/>
      <c r="P193" s="28"/>
      <c r="Q193" s="26" t="n">
        <f aca="false">IFERROR($K193*$L193,"")</f>
        <v>0</v>
      </c>
      <c r="R193" s="44" t="n">
        <f aca="false">IF(OR($O193="",$P193=""),0,$O193*$P193)</f>
        <v>0</v>
      </c>
      <c r="S193" s="27"/>
      <c r="T193" s="27"/>
      <c r="U193" s="40" t="n">
        <f aca="false">IF($A193="",0,IF(AND(OR($E193=Atleta!$C$4,$E193="Equipe (todos)"),$A193&gt;=Atleta!$C$5),MAX($U$7:U192)+1,0))</f>
        <v>0</v>
      </c>
    </row>
    <row r="194" customFormat="false" ht="15" hidden="false" customHeight="false" outlineLevel="0" collapsed="false">
      <c r="A194" s="29"/>
      <c r="B194" s="40" t="n">
        <f aca="false">IF($A194="",0,INT(($A194-Macrociclo!$C$11)/7)+1)</f>
        <v>0</v>
      </c>
      <c r="C194" s="28"/>
      <c r="D194" s="28"/>
      <c r="E194" s="27"/>
      <c r="F194" s="28"/>
      <c r="G194" s="27"/>
      <c r="H194" s="26" t="str">
        <f aca="false">IFERROR(INDEX(Exercícios!$C$7:$C$206,MATCH($G194,Exercícios!$B$7:$B$206,0)),"")</f>
        <v/>
      </c>
      <c r="I194" s="26" t="str">
        <f aca="false">IFERROR(INDEX(Exercícios!$D$7:$D$206,MATCH($G194,Exercícios!$B$7:$B$206,0)),"")</f>
        <v/>
      </c>
      <c r="J194" s="26" t="str">
        <f aca="false">IFERROR(INDEX(Exercícios!$E$7:$E$206,MATCH($G194,Exercícios!$B$7:$B$206,0)),"")</f>
        <v/>
      </c>
      <c r="K194" s="28"/>
      <c r="L194" s="28"/>
      <c r="M194" s="27"/>
      <c r="N194" s="28"/>
      <c r="O194" s="28"/>
      <c r="P194" s="28"/>
      <c r="Q194" s="26" t="n">
        <f aca="false">IFERROR($K194*$L194,"")</f>
        <v>0</v>
      </c>
      <c r="R194" s="44" t="n">
        <f aca="false">IF(OR($O194="",$P194=""),0,$O194*$P194)</f>
        <v>0</v>
      </c>
      <c r="S194" s="27"/>
      <c r="T194" s="27"/>
      <c r="U194" s="40" t="n">
        <f aca="false">IF($A194="",0,IF(AND(OR($E194=Atleta!$C$4,$E194="Equipe (todos)"),$A194&gt;=Atleta!$C$5),MAX($U$7:U193)+1,0))</f>
        <v>0</v>
      </c>
    </row>
    <row r="195" customFormat="false" ht="15" hidden="false" customHeight="false" outlineLevel="0" collapsed="false">
      <c r="A195" s="29"/>
      <c r="B195" s="40" t="n">
        <f aca="false">IF($A195="",0,INT(($A195-Macrociclo!$C$11)/7)+1)</f>
        <v>0</v>
      </c>
      <c r="C195" s="28"/>
      <c r="D195" s="28"/>
      <c r="E195" s="27"/>
      <c r="F195" s="28"/>
      <c r="G195" s="27"/>
      <c r="H195" s="26" t="str">
        <f aca="false">IFERROR(INDEX(Exercícios!$C$7:$C$206,MATCH($G195,Exercícios!$B$7:$B$206,0)),"")</f>
        <v/>
      </c>
      <c r="I195" s="26" t="str">
        <f aca="false">IFERROR(INDEX(Exercícios!$D$7:$D$206,MATCH($G195,Exercícios!$B$7:$B$206,0)),"")</f>
        <v/>
      </c>
      <c r="J195" s="26" t="str">
        <f aca="false">IFERROR(INDEX(Exercícios!$E$7:$E$206,MATCH($G195,Exercícios!$B$7:$B$206,0)),"")</f>
        <v/>
      </c>
      <c r="K195" s="28"/>
      <c r="L195" s="28"/>
      <c r="M195" s="27"/>
      <c r="N195" s="28"/>
      <c r="O195" s="28"/>
      <c r="P195" s="28"/>
      <c r="Q195" s="26" t="n">
        <f aca="false">IFERROR($K195*$L195,"")</f>
        <v>0</v>
      </c>
      <c r="R195" s="44" t="n">
        <f aca="false">IF(OR($O195="",$P195=""),0,$O195*$P195)</f>
        <v>0</v>
      </c>
      <c r="S195" s="27"/>
      <c r="T195" s="27"/>
      <c r="U195" s="40" t="n">
        <f aca="false">IF($A195="",0,IF(AND(OR($E195=Atleta!$C$4,$E195="Equipe (todos)"),$A195&gt;=Atleta!$C$5),MAX($U$7:U194)+1,0))</f>
        <v>0</v>
      </c>
    </row>
    <row r="196" customFormat="false" ht="15" hidden="false" customHeight="false" outlineLevel="0" collapsed="false">
      <c r="A196" s="29"/>
      <c r="B196" s="40" t="n">
        <f aca="false">IF($A196="",0,INT(($A196-Macrociclo!$C$11)/7)+1)</f>
        <v>0</v>
      </c>
      <c r="C196" s="28"/>
      <c r="D196" s="28"/>
      <c r="E196" s="27"/>
      <c r="F196" s="28"/>
      <c r="G196" s="27"/>
      <c r="H196" s="26" t="str">
        <f aca="false">IFERROR(INDEX(Exercícios!$C$7:$C$206,MATCH($G196,Exercícios!$B$7:$B$206,0)),"")</f>
        <v/>
      </c>
      <c r="I196" s="26" t="str">
        <f aca="false">IFERROR(INDEX(Exercícios!$D$7:$D$206,MATCH($G196,Exercícios!$B$7:$B$206,0)),"")</f>
        <v/>
      </c>
      <c r="J196" s="26" t="str">
        <f aca="false">IFERROR(INDEX(Exercícios!$E$7:$E$206,MATCH($G196,Exercícios!$B$7:$B$206,0)),"")</f>
        <v/>
      </c>
      <c r="K196" s="28"/>
      <c r="L196" s="28"/>
      <c r="M196" s="27"/>
      <c r="N196" s="28"/>
      <c r="O196" s="28"/>
      <c r="P196" s="28"/>
      <c r="Q196" s="26" t="n">
        <f aca="false">IFERROR($K196*$L196,"")</f>
        <v>0</v>
      </c>
      <c r="R196" s="44" t="n">
        <f aca="false">IF(OR($O196="",$P196=""),0,$O196*$P196)</f>
        <v>0</v>
      </c>
      <c r="S196" s="27"/>
      <c r="T196" s="27"/>
      <c r="U196" s="40" t="n">
        <f aca="false">IF($A196="",0,IF(AND(OR($E196=Atleta!$C$4,$E196="Equipe (todos)"),$A196&gt;=Atleta!$C$5),MAX($U$7:U195)+1,0))</f>
        <v>0</v>
      </c>
    </row>
    <row r="197" customFormat="false" ht="15" hidden="false" customHeight="false" outlineLevel="0" collapsed="false">
      <c r="A197" s="29"/>
      <c r="B197" s="40" t="n">
        <f aca="false">IF($A197="",0,INT(($A197-Macrociclo!$C$11)/7)+1)</f>
        <v>0</v>
      </c>
      <c r="C197" s="28"/>
      <c r="D197" s="28"/>
      <c r="E197" s="27"/>
      <c r="F197" s="28"/>
      <c r="G197" s="27"/>
      <c r="H197" s="26" t="str">
        <f aca="false">IFERROR(INDEX(Exercícios!$C$7:$C$206,MATCH($G197,Exercícios!$B$7:$B$206,0)),"")</f>
        <v/>
      </c>
      <c r="I197" s="26" t="str">
        <f aca="false">IFERROR(INDEX(Exercícios!$D$7:$D$206,MATCH($G197,Exercícios!$B$7:$B$206,0)),"")</f>
        <v/>
      </c>
      <c r="J197" s="26" t="str">
        <f aca="false">IFERROR(INDEX(Exercícios!$E$7:$E$206,MATCH($G197,Exercícios!$B$7:$B$206,0)),"")</f>
        <v/>
      </c>
      <c r="K197" s="28"/>
      <c r="L197" s="28"/>
      <c r="M197" s="27"/>
      <c r="N197" s="28"/>
      <c r="O197" s="28"/>
      <c r="P197" s="28"/>
      <c r="Q197" s="26" t="n">
        <f aca="false">IFERROR($K197*$L197,"")</f>
        <v>0</v>
      </c>
      <c r="R197" s="44" t="n">
        <f aca="false">IF(OR($O197="",$P197=""),0,$O197*$P197)</f>
        <v>0</v>
      </c>
      <c r="S197" s="27"/>
      <c r="T197" s="27"/>
      <c r="U197" s="40" t="n">
        <f aca="false">IF($A197="",0,IF(AND(OR($E197=Atleta!$C$4,$E197="Equipe (todos)"),$A197&gt;=Atleta!$C$5),MAX($U$7:U196)+1,0))</f>
        <v>0</v>
      </c>
    </row>
    <row r="198" customFormat="false" ht="15" hidden="false" customHeight="false" outlineLevel="0" collapsed="false">
      <c r="A198" s="29"/>
      <c r="B198" s="40" t="n">
        <f aca="false">IF($A198="",0,INT(($A198-Macrociclo!$C$11)/7)+1)</f>
        <v>0</v>
      </c>
      <c r="C198" s="28"/>
      <c r="D198" s="28"/>
      <c r="E198" s="27"/>
      <c r="F198" s="28"/>
      <c r="G198" s="27"/>
      <c r="H198" s="26" t="str">
        <f aca="false">IFERROR(INDEX(Exercícios!$C$7:$C$206,MATCH($G198,Exercícios!$B$7:$B$206,0)),"")</f>
        <v/>
      </c>
      <c r="I198" s="26" t="str">
        <f aca="false">IFERROR(INDEX(Exercícios!$D$7:$D$206,MATCH($G198,Exercícios!$B$7:$B$206,0)),"")</f>
        <v/>
      </c>
      <c r="J198" s="26" t="str">
        <f aca="false">IFERROR(INDEX(Exercícios!$E$7:$E$206,MATCH($G198,Exercícios!$B$7:$B$206,0)),"")</f>
        <v/>
      </c>
      <c r="K198" s="28"/>
      <c r="L198" s="28"/>
      <c r="M198" s="27"/>
      <c r="N198" s="28"/>
      <c r="O198" s="28"/>
      <c r="P198" s="28"/>
      <c r="Q198" s="26" t="n">
        <f aca="false">IFERROR($K198*$L198,"")</f>
        <v>0</v>
      </c>
      <c r="R198" s="44" t="n">
        <f aca="false">IF(OR($O198="",$P198=""),0,$O198*$P198)</f>
        <v>0</v>
      </c>
      <c r="S198" s="27"/>
      <c r="T198" s="27"/>
      <c r="U198" s="40" t="n">
        <f aca="false">IF($A198="",0,IF(AND(OR($E198=Atleta!$C$4,$E198="Equipe (todos)"),$A198&gt;=Atleta!$C$5),MAX($U$7:U197)+1,0))</f>
        <v>0</v>
      </c>
    </row>
    <row r="199" customFormat="false" ht="15" hidden="false" customHeight="false" outlineLevel="0" collapsed="false">
      <c r="A199" s="29"/>
      <c r="B199" s="40" t="n">
        <f aca="false">IF($A199="",0,INT(($A199-Macrociclo!$C$11)/7)+1)</f>
        <v>0</v>
      </c>
      <c r="C199" s="28"/>
      <c r="D199" s="28"/>
      <c r="E199" s="27"/>
      <c r="F199" s="28"/>
      <c r="G199" s="27"/>
      <c r="H199" s="26" t="str">
        <f aca="false">IFERROR(INDEX(Exercícios!$C$7:$C$206,MATCH($G199,Exercícios!$B$7:$B$206,0)),"")</f>
        <v/>
      </c>
      <c r="I199" s="26" t="str">
        <f aca="false">IFERROR(INDEX(Exercícios!$D$7:$D$206,MATCH($G199,Exercícios!$B$7:$B$206,0)),"")</f>
        <v/>
      </c>
      <c r="J199" s="26" t="str">
        <f aca="false">IFERROR(INDEX(Exercícios!$E$7:$E$206,MATCH($G199,Exercícios!$B$7:$B$206,0)),"")</f>
        <v/>
      </c>
      <c r="K199" s="28"/>
      <c r="L199" s="28"/>
      <c r="M199" s="27"/>
      <c r="N199" s="28"/>
      <c r="O199" s="28"/>
      <c r="P199" s="28"/>
      <c r="Q199" s="26" t="n">
        <f aca="false">IFERROR($K199*$L199,"")</f>
        <v>0</v>
      </c>
      <c r="R199" s="44" t="n">
        <f aca="false">IF(OR($O199="",$P199=""),0,$O199*$P199)</f>
        <v>0</v>
      </c>
      <c r="S199" s="27"/>
      <c r="T199" s="27"/>
      <c r="U199" s="40" t="n">
        <f aca="false">IF($A199="",0,IF(AND(OR($E199=Atleta!$C$4,$E199="Equipe (todos)"),$A199&gt;=Atleta!$C$5),MAX($U$7:U198)+1,0))</f>
        <v>0</v>
      </c>
    </row>
    <row r="200" customFormat="false" ht="15" hidden="false" customHeight="false" outlineLevel="0" collapsed="false">
      <c r="A200" s="29"/>
      <c r="B200" s="40" t="n">
        <f aca="false">IF($A200="",0,INT(($A200-Macrociclo!$C$11)/7)+1)</f>
        <v>0</v>
      </c>
      <c r="C200" s="28"/>
      <c r="D200" s="28"/>
      <c r="E200" s="27"/>
      <c r="F200" s="28"/>
      <c r="G200" s="27"/>
      <c r="H200" s="26" t="str">
        <f aca="false">IFERROR(INDEX(Exercícios!$C$7:$C$206,MATCH($G200,Exercícios!$B$7:$B$206,0)),"")</f>
        <v/>
      </c>
      <c r="I200" s="26" t="str">
        <f aca="false">IFERROR(INDEX(Exercícios!$D$7:$D$206,MATCH($G200,Exercícios!$B$7:$B$206,0)),"")</f>
        <v/>
      </c>
      <c r="J200" s="26" t="str">
        <f aca="false">IFERROR(INDEX(Exercícios!$E$7:$E$206,MATCH($G200,Exercícios!$B$7:$B$206,0)),"")</f>
        <v/>
      </c>
      <c r="K200" s="28"/>
      <c r="L200" s="28"/>
      <c r="M200" s="27"/>
      <c r="N200" s="28"/>
      <c r="O200" s="28"/>
      <c r="P200" s="28"/>
      <c r="Q200" s="26" t="n">
        <f aca="false">IFERROR($K200*$L200,"")</f>
        <v>0</v>
      </c>
      <c r="R200" s="44" t="n">
        <f aca="false">IF(OR($O200="",$P200=""),0,$O200*$P200)</f>
        <v>0</v>
      </c>
      <c r="S200" s="27"/>
      <c r="T200" s="27"/>
      <c r="U200" s="40" t="n">
        <f aca="false">IF($A200="",0,IF(AND(OR($E200=Atleta!$C$4,$E200="Equipe (todos)"),$A200&gt;=Atleta!$C$5),MAX($U$7:U199)+1,0))</f>
        <v>0</v>
      </c>
    </row>
    <row r="201" customFormat="false" ht="15" hidden="false" customHeight="false" outlineLevel="0" collapsed="false">
      <c r="A201" s="29"/>
      <c r="B201" s="40" t="n">
        <f aca="false">IF($A201="",0,INT(($A201-Macrociclo!$C$11)/7)+1)</f>
        <v>0</v>
      </c>
      <c r="C201" s="28"/>
      <c r="D201" s="28"/>
      <c r="E201" s="27"/>
      <c r="F201" s="28"/>
      <c r="G201" s="27"/>
      <c r="H201" s="26" t="str">
        <f aca="false">IFERROR(INDEX(Exercícios!$C$7:$C$206,MATCH($G201,Exercícios!$B$7:$B$206,0)),"")</f>
        <v/>
      </c>
      <c r="I201" s="26" t="str">
        <f aca="false">IFERROR(INDEX(Exercícios!$D$7:$D$206,MATCH($G201,Exercícios!$B$7:$B$206,0)),"")</f>
        <v/>
      </c>
      <c r="J201" s="26" t="str">
        <f aca="false">IFERROR(INDEX(Exercícios!$E$7:$E$206,MATCH($G201,Exercícios!$B$7:$B$206,0)),"")</f>
        <v/>
      </c>
      <c r="K201" s="28"/>
      <c r="L201" s="28"/>
      <c r="M201" s="27"/>
      <c r="N201" s="28"/>
      <c r="O201" s="28"/>
      <c r="P201" s="28"/>
      <c r="Q201" s="26" t="n">
        <f aca="false">IFERROR($K201*$L201,"")</f>
        <v>0</v>
      </c>
      <c r="R201" s="44" t="n">
        <f aca="false">IF(OR($O201="",$P201=""),0,$O201*$P201)</f>
        <v>0</v>
      </c>
      <c r="S201" s="27"/>
      <c r="T201" s="27"/>
      <c r="U201" s="40" t="n">
        <f aca="false">IF($A201="",0,IF(AND(OR($E201=Atleta!$C$4,$E201="Equipe (todos)"),$A201&gt;=Atleta!$C$5),MAX($U$7:U200)+1,0))</f>
        <v>0</v>
      </c>
    </row>
    <row r="202" customFormat="false" ht="15" hidden="false" customHeight="false" outlineLevel="0" collapsed="false">
      <c r="A202" s="29"/>
      <c r="B202" s="40" t="n">
        <f aca="false">IF($A202="",0,INT(($A202-Macrociclo!$C$11)/7)+1)</f>
        <v>0</v>
      </c>
      <c r="C202" s="28"/>
      <c r="D202" s="28"/>
      <c r="E202" s="27"/>
      <c r="F202" s="28"/>
      <c r="G202" s="27"/>
      <c r="H202" s="26" t="str">
        <f aca="false">IFERROR(INDEX(Exercícios!$C$7:$C$206,MATCH($G202,Exercícios!$B$7:$B$206,0)),"")</f>
        <v/>
      </c>
      <c r="I202" s="26" t="str">
        <f aca="false">IFERROR(INDEX(Exercícios!$D$7:$D$206,MATCH($G202,Exercícios!$B$7:$B$206,0)),"")</f>
        <v/>
      </c>
      <c r="J202" s="26" t="str">
        <f aca="false">IFERROR(INDEX(Exercícios!$E$7:$E$206,MATCH($G202,Exercícios!$B$7:$B$206,0)),"")</f>
        <v/>
      </c>
      <c r="K202" s="28"/>
      <c r="L202" s="28"/>
      <c r="M202" s="27"/>
      <c r="N202" s="28"/>
      <c r="O202" s="28"/>
      <c r="P202" s="28"/>
      <c r="Q202" s="26" t="n">
        <f aca="false">IFERROR($K202*$L202,"")</f>
        <v>0</v>
      </c>
      <c r="R202" s="44" t="n">
        <f aca="false">IF(OR($O202="",$P202=""),0,$O202*$P202)</f>
        <v>0</v>
      </c>
      <c r="S202" s="27"/>
      <c r="T202" s="27"/>
      <c r="U202" s="40" t="n">
        <f aca="false">IF($A202="",0,IF(AND(OR($E202=Atleta!$C$4,$E202="Equipe (todos)"),$A202&gt;=Atleta!$C$5),MAX($U$7:U201)+1,0))</f>
        <v>0</v>
      </c>
    </row>
    <row r="203" customFormat="false" ht="15" hidden="false" customHeight="false" outlineLevel="0" collapsed="false">
      <c r="A203" s="29"/>
      <c r="B203" s="40" t="n">
        <f aca="false">IF($A203="",0,INT(($A203-Macrociclo!$C$11)/7)+1)</f>
        <v>0</v>
      </c>
      <c r="C203" s="28"/>
      <c r="D203" s="28"/>
      <c r="E203" s="27"/>
      <c r="F203" s="28"/>
      <c r="G203" s="27"/>
      <c r="H203" s="26" t="str">
        <f aca="false">IFERROR(INDEX(Exercícios!$C$7:$C$206,MATCH($G203,Exercícios!$B$7:$B$206,0)),"")</f>
        <v/>
      </c>
      <c r="I203" s="26" t="str">
        <f aca="false">IFERROR(INDEX(Exercícios!$D$7:$D$206,MATCH($G203,Exercícios!$B$7:$B$206,0)),"")</f>
        <v/>
      </c>
      <c r="J203" s="26" t="str">
        <f aca="false">IFERROR(INDEX(Exercícios!$E$7:$E$206,MATCH($G203,Exercícios!$B$7:$B$206,0)),"")</f>
        <v/>
      </c>
      <c r="K203" s="28"/>
      <c r="L203" s="28"/>
      <c r="M203" s="27"/>
      <c r="N203" s="28"/>
      <c r="O203" s="28"/>
      <c r="P203" s="28"/>
      <c r="Q203" s="26" t="n">
        <f aca="false">IFERROR($K203*$L203,"")</f>
        <v>0</v>
      </c>
      <c r="R203" s="44" t="n">
        <f aca="false">IF(OR($O203="",$P203=""),0,$O203*$P203)</f>
        <v>0</v>
      </c>
      <c r="S203" s="27"/>
      <c r="T203" s="27"/>
      <c r="U203" s="40" t="n">
        <f aca="false">IF($A203="",0,IF(AND(OR($E203=Atleta!$C$4,$E203="Equipe (todos)"),$A203&gt;=Atleta!$C$5),MAX($U$7:U202)+1,0))</f>
        <v>0</v>
      </c>
    </row>
    <row r="204" customFormat="false" ht="15" hidden="false" customHeight="false" outlineLevel="0" collapsed="false">
      <c r="A204" s="29"/>
      <c r="B204" s="40" t="n">
        <f aca="false">IF($A204="",0,INT(($A204-Macrociclo!$C$11)/7)+1)</f>
        <v>0</v>
      </c>
      <c r="C204" s="28"/>
      <c r="D204" s="28"/>
      <c r="E204" s="27"/>
      <c r="F204" s="28"/>
      <c r="G204" s="27"/>
      <c r="H204" s="26" t="str">
        <f aca="false">IFERROR(INDEX(Exercícios!$C$7:$C$206,MATCH($G204,Exercícios!$B$7:$B$206,0)),"")</f>
        <v/>
      </c>
      <c r="I204" s="26" t="str">
        <f aca="false">IFERROR(INDEX(Exercícios!$D$7:$D$206,MATCH($G204,Exercícios!$B$7:$B$206,0)),"")</f>
        <v/>
      </c>
      <c r="J204" s="26" t="str">
        <f aca="false">IFERROR(INDEX(Exercícios!$E$7:$E$206,MATCH($G204,Exercícios!$B$7:$B$206,0)),"")</f>
        <v/>
      </c>
      <c r="K204" s="28"/>
      <c r="L204" s="28"/>
      <c r="M204" s="27"/>
      <c r="N204" s="28"/>
      <c r="O204" s="28"/>
      <c r="P204" s="28"/>
      <c r="Q204" s="26" t="n">
        <f aca="false">IFERROR($K204*$L204,"")</f>
        <v>0</v>
      </c>
      <c r="R204" s="44" t="n">
        <f aca="false">IF(OR($O204="",$P204=""),0,$O204*$P204)</f>
        <v>0</v>
      </c>
      <c r="S204" s="27"/>
      <c r="T204" s="27"/>
      <c r="U204" s="40" t="n">
        <f aca="false">IF($A204="",0,IF(AND(OR($E204=Atleta!$C$4,$E204="Equipe (todos)"),$A204&gt;=Atleta!$C$5),MAX($U$7:U203)+1,0))</f>
        <v>0</v>
      </c>
    </row>
    <row r="205" customFormat="false" ht="15" hidden="false" customHeight="false" outlineLevel="0" collapsed="false">
      <c r="A205" s="29"/>
      <c r="B205" s="40" t="n">
        <f aca="false">IF($A205="",0,INT(($A205-Macrociclo!$C$11)/7)+1)</f>
        <v>0</v>
      </c>
      <c r="C205" s="28"/>
      <c r="D205" s="28"/>
      <c r="E205" s="27"/>
      <c r="F205" s="28"/>
      <c r="G205" s="27"/>
      <c r="H205" s="26" t="str">
        <f aca="false">IFERROR(INDEX(Exercícios!$C$7:$C$206,MATCH($G205,Exercícios!$B$7:$B$206,0)),"")</f>
        <v/>
      </c>
      <c r="I205" s="26" t="str">
        <f aca="false">IFERROR(INDEX(Exercícios!$D$7:$D$206,MATCH($G205,Exercícios!$B$7:$B$206,0)),"")</f>
        <v/>
      </c>
      <c r="J205" s="26" t="str">
        <f aca="false">IFERROR(INDEX(Exercícios!$E$7:$E$206,MATCH($G205,Exercícios!$B$7:$B$206,0)),"")</f>
        <v/>
      </c>
      <c r="K205" s="28"/>
      <c r="L205" s="28"/>
      <c r="M205" s="27"/>
      <c r="N205" s="28"/>
      <c r="O205" s="28"/>
      <c r="P205" s="28"/>
      <c r="Q205" s="26" t="n">
        <f aca="false">IFERROR($K205*$L205,"")</f>
        <v>0</v>
      </c>
      <c r="R205" s="44" t="n">
        <f aca="false">IF(OR($O205="",$P205=""),0,$O205*$P205)</f>
        <v>0</v>
      </c>
      <c r="S205" s="27"/>
      <c r="T205" s="27"/>
      <c r="U205" s="40" t="n">
        <f aca="false">IF($A205="",0,IF(AND(OR($E205=Atleta!$C$4,$E205="Equipe (todos)"),$A205&gt;=Atleta!$C$5),MAX($U$7:U204)+1,0))</f>
        <v>0</v>
      </c>
    </row>
    <row r="206" customFormat="false" ht="15" hidden="false" customHeight="false" outlineLevel="0" collapsed="false">
      <c r="A206" s="29"/>
      <c r="B206" s="40" t="n">
        <f aca="false">IF($A206="",0,INT(($A206-Macrociclo!$C$11)/7)+1)</f>
        <v>0</v>
      </c>
      <c r="C206" s="28"/>
      <c r="D206" s="28"/>
      <c r="E206" s="27"/>
      <c r="F206" s="28"/>
      <c r="G206" s="27"/>
      <c r="H206" s="26" t="str">
        <f aca="false">IFERROR(INDEX(Exercícios!$C$7:$C$206,MATCH($G206,Exercícios!$B$7:$B$206,0)),"")</f>
        <v/>
      </c>
      <c r="I206" s="26" t="str">
        <f aca="false">IFERROR(INDEX(Exercícios!$D$7:$D$206,MATCH($G206,Exercícios!$B$7:$B$206,0)),"")</f>
        <v/>
      </c>
      <c r="J206" s="26" t="str">
        <f aca="false">IFERROR(INDEX(Exercícios!$E$7:$E$206,MATCH($G206,Exercícios!$B$7:$B$206,0)),"")</f>
        <v/>
      </c>
      <c r="K206" s="28"/>
      <c r="L206" s="28"/>
      <c r="M206" s="27"/>
      <c r="N206" s="28"/>
      <c r="O206" s="28"/>
      <c r="P206" s="28"/>
      <c r="Q206" s="26" t="n">
        <f aca="false">IFERROR($K206*$L206,"")</f>
        <v>0</v>
      </c>
      <c r="R206" s="44" t="n">
        <f aca="false">IF(OR($O206="",$P206=""),0,$O206*$P206)</f>
        <v>0</v>
      </c>
      <c r="S206" s="27"/>
      <c r="T206" s="27"/>
      <c r="U206" s="40" t="n">
        <f aca="false">IF($A206="",0,IF(AND(OR($E206=Atleta!$C$4,$E206="Equipe (todos)"),$A206&gt;=Atleta!$C$5),MAX($U$7:U205)+1,0))</f>
        <v>0</v>
      </c>
    </row>
    <row r="207" customFormat="false" ht="15" hidden="false" customHeight="false" outlineLevel="0" collapsed="false">
      <c r="A207" s="29"/>
      <c r="B207" s="40" t="n">
        <f aca="false">IF($A207="",0,INT(($A207-Macrociclo!$C$11)/7)+1)</f>
        <v>0</v>
      </c>
      <c r="C207" s="28"/>
      <c r="D207" s="28"/>
      <c r="E207" s="27"/>
      <c r="F207" s="28"/>
      <c r="G207" s="27"/>
      <c r="H207" s="26" t="str">
        <f aca="false">IFERROR(INDEX(Exercícios!$C$7:$C$206,MATCH($G207,Exercícios!$B$7:$B$206,0)),"")</f>
        <v/>
      </c>
      <c r="I207" s="26" t="str">
        <f aca="false">IFERROR(INDEX(Exercícios!$D$7:$D$206,MATCH($G207,Exercícios!$B$7:$B$206,0)),"")</f>
        <v/>
      </c>
      <c r="J207" s="26" t="str">
        <f aca="false">IFERROR(INDEX(Exercícios!$E$7:$E$206,MATCH($G207,Exercícios!$B$7:$B$206,0)),"")</f>
        <v/>
      </c>
      <c r="K207" s="28"/>
      <c r="L207" s="28"/>
      <c r="M207" s="27"/>
      <c r="N207" s="28"/>
      <c r="O207" s="28"/>
      <c r="P207" s="28"/>
      <c r="Q207" s="26" t="n">
        <f aca="false">IFERROR($K207*$L207,"")</f>
        <v>0</v>
      </c>
      <c r="R207" s="44" t="n">
        <f aca="false">IF(OR($O207="",$P207=""),0,$O207*$P207)</f>
        <v>0</v>
      </c>
      <c r="S207" s="27"/>
      <c r="T207" s="27"/>
      <c r="U207" s="40" t="n">
        <f aca="false">IF($A207="",0,IF(AND(OR($E207=Atleta!$C$4,$E207="Equipe (todos)"),$A207&gt;=Atleta!$C$5),MAX($U$7:U206)+1,0))</f>
        <v>0</v>
      </c>
    </row>
    <row r="208" customFormat="false" ht="15" hidden="false" customHeight="false" outlineLevel="0" collapsed="false">
      <c r="A208" s="29"/>
      <c r="B208" s="40" t="n">
        <f aca="false">IF($A208="",0,INT(($A208-Macrociclo!$C$11)/7)+1)</f>
        <v>0</v>
      </c>
      <c r="C208" s="28"/>
      <c r="D208" s="28"/>
      <c r="E208" s="27"/>
      <c r="F208" s="28"/>
      <c r="G208" s="27"/>
      <c r="H208" s="26" t="str">
        <f aca="false">IFERROR(INDEX(Exercícios!$C$7:$C$206,MATCH($G208,Exercícios!$B$7:$B$206,0)),"")</f>
        <v/>
      </c>
      <c r="I208" s="26" t="str">
        <f aca="false">IFERROR(INDEX(Exercícios!$D$7:$D$206,MATCH($G208,Exercícios!$B$7:$B$206,0)),"")</f>
        <v/>
      </c>
      <c r="J208" s="26" t="str">
        <f aca="false">IFERROR(INDEX(Exercícios!$E$7:$E$206,MATCH($G208,Exercícios!$B$7:$B$206,0)),"")</f>
        <v/>
      </c>
      <c r="K208" s="28"/>
      <c r="L208" s="28"/>
      <c r="M208" s="27"/>
      <c r="N208" s="28"/>
      <c r="O208" s="28"/>
      <c r="P208" s="28"/>
      <c r="Q208" s="26" t="n">
        <f aca="false">IFERROR($K208*$L208,"")</f>
        <v>0</v>
      </c>
      <c r="R208" s="44" t="n">
        <f aca="false">IF(OR($O208="",$P208=""),0,$O208*$P208)</f>
        <v>0</v>
      </c>
      <c r="S208" s="27"/>
      <c r="T208" s="27"/>
      <c r="U208" s="40" t="n">
        <f aca="false">IF($A208="",0,IF(AND(OR($E208=Atleta!$C$4,$E208="Equipe (todos)"),$A208&gt;=Atleta!$C$5),MAX($U$7:U207)+1,0))</f>
        <v>0</v>
      </c>
    </row>
    <row r="209" customFormat="false" ht="15" hidden="false" customHeight="false" outlineLevel="0" collapsed="false">
      <c r="A209" s="29"/>
      <c r="B209" s="40" t="n">
        <f aca="false">IF($A209="",0,INT(($A209-Macrociclo!$C$11)/7)+1)</f>
        <v>0</v>
      </c>
      <c r="C209" s="28"/>
      <c r="D209" s="28"/>
      <c r="E209" s="27"/>
      <c r="F209" s="28"/>
      <c r="G209" s="27"/>
      <c r="H209" s="26" t="str">
        <f aca="false">IFERROR(INDEX(Exercícios!$C$7:$C$206,MATCH($G209,Exercícios!$B$7:$B$206,0)),"")</f>
        <v/>
      </c>
      <c r="I209" s="26" t="str">
        <f aca="false">IFERROR(INDEX(Exercícios!$D$7:$D$206,MATCH($G209,Exercícios!$B$7:$B$206,0)),"")</f>
        <v/>
      </c>
      <c r="J209" s="26" t="str">
        <f aca="false">IFERROR(INDEX(Exercícios!$E$7:$E$206,MATCH($G209,Exercícios!$B$7:$B$206,0)),"")</f>
        <v/>
      </c>
      <c r="K209" s="28"/>
      <c r="L209" s="28"/>
      <c r="M209" s="27"/>
      <c r="N209" s="28"/>
      <c r="O209" s="28"/>
      <c r="P209" s="28"/>
      <c r="Q209" s="26" t="n">
        <f aca="false">IFERROR($K209*$L209,"")</f>
        <v>0</v>
      </c>
      <c r="R209" s="44" t="n">
        <f aca="false">IF(OR($O209="",$P209=""),0,$O209*$P209)</f>
        <v>0</v>
      </c>
      <c r="S209" s="27"/>
      <c r="T209" s="27"/>
      <c r="U209" s="40" t="n">
        <f aca="false">IF($A209="",0,IF(AND(OR($E209=Atleta!$C$4,$E209="Equipe (todos)"),$A209&gt;=Atleta!$C$5),MAX($U$7:U208)+1,0))</f>
        <v>0</v>
      </c>
    </row>
    <row r="210" customFormat="false" ht="15" hidden="false" customHeight="false" outlineLevel="0" collapsed="false">
      <c r="A210" s="29"/>
      <c r="B210" s="40" t="n">
        <f aca="false">IF($A210="",0,INT(($A210-Macrociclo!$C$11)/7)+1)</f>
        <v>0</v>
      </c>
      <c r="C210" s="28"/>
      <c r="D210" s="28"/>
      <c r="E210" s="27"/>
      <c r="F210" s="28"/>
      <c r="G210" s="27"/>
      <c r="H210" s="26" t="str">
        <f aca="false">IFERROR(INDEX(Exercícios!$C$7:$C$206,MATCH($G210,Exercícios!$B$7:$B$206,0)),"")</f>
        <v/>
      </c>
      <c r="I210" s="26" t="str">
        <f aca="false">IFERROR(INDEX(Exercícios!$D$7:$D$206,MATCH($G210,Exercícios!$B$7:$B$206,0)),"")</f>
        <v/>
      </c>
      <c r="J210" s="26" t="str">
        <f aca="false">IFERROR(INDEX(Exercícios!$E$7:$E$206,MATCH($G210,Exercícios!$B$7:$B$206,0)),"")</f>
        <v/>
      </c>
      <c r="K210" s="28"/>
      <c r="L210" s="28"/>
      <c r="M210" s="27"/>
      <c r="N210" s="28"/>
      <c r="O210" s="28"/>
      <c r="P210" s="28"/>
      <c r="Q210" s="26" t="n">
        <f aca="false">IFERROR($K210*$L210,"")</f>
        <v>0</v>
      </c>
      <c r="R210" s="44" t="n">
        <f aca="false">IF(OR($O210="",$P210=""),0,$O210*$P210)</f>
        <v>0</v>
      </c>
      <c r="S210" s="27"/>
      <c r="T210" s="27"/>
      <c r="U210" s="40" t="n">
        <f aca="false">IF($A210="",0,IF(AND(OR($E210=Atleta!$C$4,$E210="Equipe (todos)"),$A210&gt;=Atleta!$C$5),MAX($U$7:U209)+1,0))</f>
        <v>0</v>
      </c>
    </row>
    <row r="211" customFormat="false" ht="15" hidden="false" customHeight="false" outlineLevel="0" collapsed="false">
      <c r="A211" s="29"/>
      <c r="B211" s="40" t="n">
        <f aca="false">IF($A211="",0,INT(($A211-Macrociclo!$C$11)/7)+1)</f>
        <v>0</v>
      </c>
      <c r="C211" s="28"/>
      <c r="D211" s="28"/>
      <c r="E211" s="27"/>
      <c r="F211" s="28"/>
      <c r="G211" s="27"/>
      <c r="H211" s="26" t="str">
        <f aca="false">IFERROR(INDEX(Exercícios!$C$7:$C$206,MATCH($G211,Exercícios!$B$7:$B$206,0)),"")</f>
        <v/>
      </c>
      <c r="I211" s="26" t="str">
        <f aca="false">IFERROR(INDEX(Exercícios!$D$7:$D$206,MATCH($G211,Exercícios!$B$7:$B$206,0)),"")</f>
        <v/>
      </c>
      <c r="J211" s="26" t="str">
        <f aca="false">IFERROR(INDEX(Exercícios!$E$7:$E$206,MATCH($G211,Exercícios!$B$7:$B$206,0)),"")</f>
        <v/>
      </c>
      <c r="K211" s="28"/>
      <c r="L211" s="28"/>
      <c r="M211" s="27"/>
      <c r="N211" s="28"/>
      <c r="O211" s="28"/>
      <c r="P211" s="28"/>
      <c r="Q211" s="26" t="n">
        <f aca="false">IFERROR($K211*$L211,"")</f>
        <v>0</v>
      </c>
      <c r="R211" s="44" t="n">
        <f aca="false">IF(OR($O211="",$P211=""),0,$O211*$P211)</f>
        <v>0</v>
      </c>
      <c r="S211" s="27"/>
      <c r="T211" s="27"/>
      <c r="U211" s="40" t="n">
        <f aca="false">IF($A211="",0,IF(AND(OR($E211=Atleta!$C$4,$E211="Equipe (todos)"),$A211&gt;=Atleta!$C$5),MAX($U$7:U210)+1,0))</f>
        <v>0</v>
      </c>
    </row>
    <row r="212" customFormat="false" ht="15" hidden="false" customHeight="false" outlineLevel="0" collapsed="false">
      <c r="A212" s="29"/>
      <c r="B212" s="40" t="n">
        <f aca="false">IF($A212="",0,INT(($A212-Macrociclo!$C$11)/7)+1)</f>
        <v>0</v>
      </c>
      <c r="C212" s="28"/>
      <c r="D212" s="28"/>
      <c r="E212" s="27"/>
      <c r="F212" s="28"/>
      <c r="G212" s="27"/>
      <c r="H212" s="26" t="str">
        <f aca="false">IFERROR(INDEX(Exercícios!$C$7:$C$206,MATCH($G212,Exercícios!$B$7:$B$206,0)),"")</f>
        <v/>
      </c>
      <c r="I212" s="26" t="str">
        <f aca="false">IFERROR(INDEX(Exercícios!$D$7:$D$206,MATCH($G212,Exercícios!$B$7:$B$206,0)),"")</f>
        <v/>
      </c>
      <c r="J212" s="26" t="str">
        <f aca="false">IFERROR(INDEX(Exercícios!$E$7:$E$206,MATCH($G212,Exercícios!$B$7:$B$206,0)),"")</f>
        <v/>
      </c>
      <c r="K212" s="28"/>
      <c r="L212" s="28"/>
      <c r="M212" s="27"/>
      <c r="N212" s="28"/>
      <c r="O212" s="28"/>
      <c r="P212" s="28"/>
      <c r="Q212" s="26" t="n">
        <f aca="false">IFERROR($K212*$L212,"")</f>
        <v>0</v>
      </c>
      <c r="R212" s="44" t="n">
        <f aca="false">IF(OR($O212="",$P212=""),0,$O212*$P212)</f>
        <v>0</v>
      </c>
      <c r="S212" s="27"/>
      <c r="T212" s="27"/>
      <c r="U212" s="40" t="n">
        <f aca="false">IF($A212="",0,IF(AND(OR($E212=Atleta!$C$4,$E212="Equipe (todos)"),$A212&gt;=Atleta!$C$5),MAX($U$7:U211)+1,0))</f>
        <v>0</v>
      </c>
    </row>
    <row r="213" customFormat="false" ht="15" hidden="false" customHeight="false" outlineLevel="0" collapsed="false">
      <c r="A213" s="29"/>
      <c r="B213" s="40" t="n">
        <f aca="false">IF($A213="",0,INT(($A213-Macrociclo!$C$11)/7)+1)</f>
        <v>0</v>
      </c>
      <c r="C213" s="28"/>
      <c r="D213" s="28"/>
      <c r="E213" s="27"/>
      <c r="F213" s="28"/>
      <c r="G213" s="27"/>
      <c r="H213" s="26" t="str">
        <f aca="false">IFERROR(INDEX(Exercícios!$C$7:$C$206,MATCH($G213,Exercícios!$B$7:$B$206,0)),"")</f>
        <v/>
      </c>
      <c r="I213" s="26" t="str">
        <f aca="false">IFERROR(INDEX(Exercícios!$D$7:$D$206,MATCH($G213,Exercícios!$B$7:$B$206,0)),"")</f>
        <v/>
      </c>
      <c r="J213" s="26" t="str">
        <f aca="false">IFERROR(INDEX(Exercícios!$E$7:$E$206,MATCH($G213,Exercícios!$B$7:$B$206,0)),"")</f>
        <v/>
      </c>
      <c r="K213" s="28"/>
      <c r="L213" s="28"/>
      <c r="M213" s="27"/>
      <c r="N213" s="28"/>
      <c r="O213" s="28"/>
      <c r="P213" s="28"/>
      <c r="Q213" s="26" t="n">
        <f aca="false">IFERROR($K213*$L213,"")</f>
        <v>0</v>
      </c>
      <c r="R213" s="44" t="n">
        <f aca="false">IF(OR($O213="",$P213=""),0,$O213*$P213)</f>
        <v>0</v>
      </c>
      <c r="S213" s="27"/>
      <c r="T213" s="27"/>
      <c r="U213" s="40" t="n">
        <f aca="false">IF($A213="",0,IF(AND(OR($E213=Atleta!$C$4,$E213="Equipe (todos)"),$A213&gt;=Atleta!$C$5),MAX($U$7:U212)+1,0))</f>
        <v>0</v>
      </c>
    </row>
    <row r="214" customFormat="false" ht="15" hidden="false" customHeight="false" outlineLevel="0" collapsed="false">
      <c r="A214" s="29"/>
      <c r="B214" s="40" t="n">
        <f aca="false">IF($A214="",0,INT(($A214-Macrociclo!$C$11)/7)+1)</f>
        <v>0</v>
      </c>
      <c r="C214" s="28"/>
      <c r="D214" s="28"/>
      <c r="E214" s="27"/>
      <c r="F214" s="28"/>
      <c r="G214" s="27"/>
      <c r="H214" s="26" t="str">
        <f aca="false">IFERROR(INDEX(Exercícios!$C$7:$C$206,MATCH($G214,Exercícios!$B$7:$B$206,0)),"")</f>
        <v/>
      </c>
      <c r="I214" s="26" t="str">
        <f aca="false">IFERROR(INDEX(Exercícios!$D$7:$D$206,MATCH($G214,Exercícios!$B$7:$B$206,0)),"")</f>
        <v/>
      </c>
      <c r="J214" s="26" t="str">
        <f aca="false">IFERROR(INDEX(Exercícios!$E$7:$E$206,MATCH($G214,Exercícios!$B$7:$B$206,0)),"")</f>
        <v/>
      </c>
      <c r="K214" s="28"/>
      <c r="L214" s="28"/>
      <c r="M214" s="27"/>
      <c r="N214" s="28"/>
      <c r="O214" s="28"/>
      <c r="P214" s="28"/>
      <c r="Q214" s="26" t="n">
        <f aca="false">IFERROR($K214*$L214,"")</f>
        <v>0</v>
      </c>
      <c r="R214" s="44" t="n">
        <f aca="false">IF(OR($O214="",$P214=""),0,$O214*$P214)</f>
        <v>0</v>
      </c>
      <c r="S214" s="27"/>
      <c r="T214" s="27"/>
      <c r="U214" s="40" t="n">
        <f aca="false">IF($A214="",0,IF(AND(OR($E214=Atleta!$C$4,$E214="Equipe (todos)"),$A214&gt;=Atleta!$C$5),MAX($U$7:U213)+1,0))</f>
        <v>0</v>
      </c>
    </row>
    <row r="215" customFormat="false" ht="15" hidden="false" customHeight="false" outlineLevel="0" collapsed="false">
      <c r="A215" s="29"/>
      <c r="B215" s="40" t="n">
        <f aca="false">IF($A215="",0,INT(($A215-Macrociclo!$C$11)/7)+1)</f>
        <v>0</v>
      </c>
      <c r="C215" s="28"/>
      <c r="D215" s="28"/>
      <c r="E215" s="27"/>
      <c r="F215" s="28"/>
      <c r="G215" s="27"/>
      <c r="H215" s="26" t="str">
        <f aca="false">IFERROR(INDEX(Exercícios!$C$7:$C$206,MATCH($G215,Exercícios!$B$7:$B$206,0)),"")</f>
        <v/>
      </c>
      <c r="I215" s="26" t="str">
        <f aca="false">IFERROR(INDEX(Exercícios!$D$7:$D$206,MATCH($G215,Exercícios!$B$7:$B$206,0)),"")</f>
        <v/>
      </c>
      <c r="J215" s="26" t="str">
        <f aca="false">IFERROR(INDEX(Exercícios!$E$7:$E$206,MATCH($G215,Exercícios!$B$7:$B$206,0)),"")</f>
        <v/>
      </c>
      <c r="K215" s="28"/>
      <c r="L215" s="28"/>
      <c r="M215" s="27"/>
      <c r="N215" s="28"/>
      <c r="O215" s="28"/>
      <c r="P215" s="28"/>
      <c r="Q215" s="26" t="n">
        <f aca="false">IFERROR($K215*$L215,"")</f>
        <v>0</v>
      </c>
      <c r="R215" s="44" t="n">
        <f aca="false">IF(OR($O215="",$P215=""),0,$O215*$P215)</f>
        <v>0</v>
      </c>
      <c r="S215" s="27"/>
      <c r="T215" s="27"/>
      <c r="U215" s="40" t="n">
        <f aca="false">IF($A215="",0,IF(AND(OR($E215=Atleta!$C$4,$E215="Equipe (todos)"),$A215&gt;=Atleta!$C$5),MAX($U$7:U214)+1,0))</f>
        <v>0</v>
      </c>
    </row>
    <row r="216" customFormat="false" ht="15" hidden="false" customHeight="false" outlineLevel="0" collapsed="false">
      <c r="A216" s="29"/>
      <c r="B216" s="40" t="n">
        <f aca="false">IF($A216="",0,INT(($A216-Macrociclo!$C$11)/7)+1)</f>
        <v>0</v>
      </c>
      <c r="C216" s="28"/>
      <c r="D216" s="28"/>
      <c r="E216" s="27"/>
      <c r="F216" s="28"/>
      <c r="G216" s="27"/>
      <c r="H216" s="26" t="str">
        <f aca="false">IFERROR(INDEX(Exercícios!$C$7:$C$206,MATCH($G216,Exercícios!$B$7:$B$206,0)),"")</f>
        <v/>
      </c>
      <c r="I216" s="26" t="str">
        <f aca="false">IFERROR(INDEX(Exercícios!$D$7:$D$206,MATCH($G216,Exercícios!$B$7:$B$206,0)),"")</f>
        <v/>
      </c>
      <c r="J216" s="26" t="str">
        <f aca="false">IFERROR(INDEX(Exercícios!$E$7:$E$206,MATCH($G216,Exercícios!$B$7:$B$206,0)),"")</f>
        <v/>
      </c>
      <c r="K216" s="28"/>
      <c r="L216" s="28"/>
      <c r="M216" s="27"/>
      <c r="N216" s="28"/>
      <c r="O216" s="28"/>
      <c r="P216" s="28"/>
      <c r="Q216" s="26" t="n">
        <f aca="false">IFERROR($K216*$L216,"")</f>
        <v>0</v>
      </c>
      <c r="R216" s="44" t="n">
        <f aca="false">IF(OR($O216="",$P216=""),0,$O216*$P216)</f>
        <v>0</v>
      </c>
      <c r="S216" s="27"/>
      <c r="T216" s="27"/>
      <c r="U216" s="40" t="n">
        <f aca="false">IF($A216="",0,IF(AND(OR($E216=Atleta!$C$4,$E216="Equipe (todos)"),$A216&gt;=Atleta!$C$5),MAX($U$7:U215)+1,0))</f>
        <v>0</v>
      </c>
    </row>
    <row r="217" customFormat="false" ht="15" hidden="false" customHeight="false" outlineLevel="0" collapsed="false">
      <c r="A217" s="29"/>
      <c r="B217" s="40" t="n">
        <f aca="false">IF($A217="",0,INT(($A217-Macrociclo!$C$11)/7)+1)</f>
        <v>0</v>
      </c>
      <c r="C217" s="28"/>
      <c r="D217" s="28"/>
      <c r="E217" s="27"/>
      <c r="F217" s="28"/>
      <c r="G217" s="27"/>
      <c r="H217" s="26" t="str">
        <f aca="false">IFERROR(INDEX(Exercícios!$C$7:$C$206,MATCH($G217,Exercícios!$B$7:$B$206,0)),"")</f>
        <v/>
      </c>
      <c r="I217" s="26" t="str">
        <f aca="false">IFERROR(INDEX(Exercícios!$D$7:$D$206,MATCH($G217,Exercícios!$B$7:$B$206,0)),"")</f>
        <v/>
      </c>
      <c r="J217" s="26" t="str">
        <f aca="false">IFERROR(INDEX(Exercícios!$E$7:$E$206,MATCH($G217,Exercícios!$B$7:$B$206,0)),"")</f>
        <v/>
      </c>
      <c r="K217" s="28"/>
      <c r="L217" s="28"/>
      <c r="M217" s="27"/>
      <c r="N217" s="28"/>
      <c r="O217" s="28"/>
      <c r="P217" s="28"/>
      <c r="Q217" s="26" t="n">
        <f aca="false">IFERROR($K217*$L217,"")</f>
        <v>0</v>
      </c>
      <c r="R217" s="44" t="n">
        <f aca="false">IF(OR($O217="",$P217=""),0,$O217*$P217)</f>
        <v>0</v>
      </c>
      <c r="S217" s="27"/>
      <c r="T217" s="27"/>
      <c r="U217" s="40" t="n">
        <f aca="false">IF($A217="",0,IF(AND(OR($E217=Atleta!$C$4,$E217="Equipe (todos)"),$A217&gt;=Atleta!$C$5),MAX($U$7:U216)+1,0))</f>
        <v>0</v>
      </c>
    </row>
    <row r="218" customFormat="false" ht="15" hidden="false" customHeight="false" outlineLevel="0" collapsed="false">
      <c r="A218" s="29"/>
      <c r="B218" s="40" t="n">
        <f aca="false">IF($A218="",0,INT(($A218-Macrociclo!$C$11)/7)+1)</f>
        <v>0</v>
      </c>
      <c r="C218" s="28"/>
      <c r="D218" s="28"/>
      <c r="E218" s="27"/>
      <c r="F218" s="28"/>
      <c r="G218" s="27"/>
      <c r="H218" s="26" t="str">
        <f aca="false">IFERROR(INDEX(Exercícios!$C$7:$C$206,MATCH($G218,Exercícios!$B$7:$B$206,0)),"")</f>
        <v/>
      </c>
      <c r="I218" s="26" t="str">
        <f aca="false">IFERROR(INDEX(Exercícios!$D$7:$D$206,MATCH($G218,Exercícios!$B$7:$B$206,0)),"")</f>
        <v/>
      </c>
      <c r="J218" s="26" t="str">
        <f aca="false">IFERROR(INDEX(Exercícios!$E$7:$E$206,MATCH($G218,Exercícios!$B$7:$B$206,0)),"")</f>
        <v/>
      </c>
      <c r="K218" s="28"/>
      <c r="L218" s="28"/>
      <c r="M218" s="27"/>
      <c r="N218" s="28"/>
      <c r="O218" s="28"/>
      <c r="P218" s="28"/>
      <c r="Q218" s="26" t="n">
        <f aca="false">IFERROR($K218*$L218,"")</f>
        <v>0</v>
      </c>
      <c r="R218" s="44" t="n">
        <f aca="false">IF(OR($O218="",$P218=""),0,$O218*$P218)</f>
        <v>0</v>
      </c>
      <c r="S218" s="27"/>
      <c r="T218" s="27"/>
      <c r="U218" s="40" t="n">
        <f aca="false">IF($A218="",0,IF(AND(OR($E218=Atleta!$C$4,$E218="Equipe (todos)"),$A218&gt;=Atleta!$C$5),MAX($U$7:U217)+1,0))</f>
        <v>0</v>
      </c>
    </row>
    <row r="219" customFormat="false" ht="15" hidden="false" customHeight="false" outlineLevel="0" collapsed="false">
      <c r="A219" s="29"/>
      <c r="B219" s="40" t="n">
        <f aca="false">IF($A219="",0,INT(($A219-Macrociclo!$C$11)/7)+1)</f>
        <v>0</v>
      </c>
      <c r="C219" s="28"/>
      <c r="D219" s="28"/>
      <c r="E219" s="27"/>
      <c r="F219" s="28"/>
      <c r="G219" s="27"/>
      <c r="H219" s="26" t="str">
        <f aca="false">IFERROR(INDEX(Exercícios!$C$7:$C$206,MATCH($G219,Exercícios!$B$7:$B$206,0)),"")</f>
        <v/>
      </c>
      <c r="I219" s="26" t="str">
        <f aca="false">IFERROR(INDEX(Exercícios!$D$7:$D$206,MATCH($G219,Exercícios!$B$7:$B$206,0)),"")</f>
        <v/>
      </c>
      <c r="J219" s="26" t="str">
        <f aca="false">IFERROR(INDEX(Exercícios!$E$7:$E$206,MATCH($G219,Exercícios!$B$7:$B$206,0)),"")</f>
        <v/>
      </c>
      <c r="K219" s="28"/>
      <c r="L219" s="28"/>
      <c r="M219" s="27"/>
      <c r="N219" s="28"/>
      <c r="O219" s="28"/>
      <c r="P219" s="28"/>
      <c r="Q219" s="26" t="n">
        <f aca="false">IFERROR($K219*$L219,"")</f>
        <v>0</v>
      </c>
      <c r="R219" s="44" t="n">
        <f aca="false">IF(OR($O219="",$P219=""),0,$O219*$P219)</f>
        <v>0</v>
      </c>
      <c r="S219" s="27"/>
      <c r="T219" s="27"/>
      <c r="U219" s="40" t="n">
        <f aca="false">IF($A219="",0,IF(AND(OR($E219=Atleta!$C$4,$E219="Equipe (todos)"),$A219&gt;=Atleta!$C$5),MAX($U$7:U218)+1,0))</f>
        <v>0</v>
      </c>
    </row>
    <row r="220" customFormat="false" ht="15" hidden="false" customHeight="false" outlineLevel="0" collapsed="false">
      <c r="A220" s="29"/>
      <c r="B220" s="40" t="n">
        <f aca="false">IF($A220="",0,INT(($A220-Macrociclo!$C$11)/7)+1)</f>
        <v>0</v>
      </c>
      <c r="C220" s="28"/>
      <c r="D220" s="28"/>
      <c r="E220" s="27"/>
      <c r="F220" s="28"/>
      <c r="G220" s="27"/>
      <c r="H220" s="26" t="str">
        <f aca="false">IFERROR(INDEX(Exercícios!$C$7:$C$206,MATCH($G220,Exercícios!$B$7:$B$206,0)),"")</f>
        <v/>
      </c>
      <c r="I220" s="26" t="str">
        <f aca="false">IFERROR(INDEX(Exercícios!$D$7:$D$206,MATCH($G220,Exercícios!$B$7:$B$206,0)),"")</f>
        <v/>
      </c>
      <c r="J220" s="26" t="str">
        <f aca="false">IFERROR(INDEX(Exercícios!$E$7:$E$206,MATCH($G220,Exercícios!$B$7:$B$206,0)),"")</f>
        <v/>
      </c>
      <c r="K220" s="28"/>
      <c r="L220" s="28"/>
      <c r="M220" s="27"/>
      <c r="N220" s="28"/>
      <c r="O220" s="28"/>
      <c r="P220" s="28"/>
      <c r="Q220" s="26" t="n">
        <f aca="false">IFERROR($K220*$L220,"")</f>
        <v>0</v>
      </c>
      <c r="R220" s="44" t="n">
        <f aca="false">IF(OR($O220="",$P220=""),0,$O220*$P220)</f>
        <v>0</v>
      </c>
      <c r="S220" s="27"/>
      <c r="T220" s="27"/>
      <c r="U220" s="40" t="n">
        <f aca="false">IF($A220="",0,IF(AND(OR($E220=Atleta!$C$4,$E220="Equipe (todos)"),$A220&gt;=Atleta!$C$5),MAX($U$7:U219)+1,0))</f>
        <v>0</v>
      </c>
    </row>
    <row r="221" customFormat="false" ht="15" hidden="false" customHeight="false" outlineLevel="0" collapsed="false">
      <c r="A221" s="29"/>
      <c r="B221" s="40" t="n">
        <f aca="false">IF($A221="",0,INT(($A221-Macrociclo!$C$11)/7)+1)</f>
        <v>0</v>
      </c>
      <c r="C221" s="28"/>
      <c r="D221" s="28"/>
      <c r="E221" s="27"/>
      <c r="F221" s="28"/>
      <c r="G221" s="27"/>
      <c r="H221" s="26" t="str">
        <f aca="false">IFERROR(INDEX(Exercícios!$C$7:$C$206,MATCH($G221,Exercícios!$B$7:$B$206,0)),"")</f>
        <v/>
      </c>
      <c r="I221" s="26" t="str">
        <f aca="false">IFERROR(INDEX(Exercícios!$D$7:$D$206,MATCH($G221,Exercícios!$B$7:$B$206,0)),"")</f>
        <v/>
      </c>
      <c r="J221" s="26" t="str">
        <f aca="false">IFERROR(INDEX(Exercícios!$E$7:$E$206,MATCH($G221,Exercícios!$B$7:$B$206,0)),"")</f>
        <v/>
      </c>
      <c r="K221" s="28"/>
      <c r="L221" s="28"/>
      <c r="M221" s="27"/>
      <c r="N221" s="28"/>
      <c r="O221" s="28"/>
      <c r="P221" s="28"/>
      <c r="Q221" s="26" t="n">
        <f aca="false">IFERROR($K221*$L221,"")</f>
        <v>0</v>
      </c>
      <c r="R221" s="44" t="n">
        <f aca="false">IF(OR($O221="",$P221=""),0,$O221*$P221)</f>
        <v>0</v>
      </c>
      <c r="S221" s="27"/>
      <c r="T221" s="27"/>
      <c r="U221" s="40" t="n">
        <f aca="false">IF($A221="",0,IF(AND(OR($E221=Atleta!$C$4,$E221="Equipe (todos)"),$A221&gt;=Atleta!$C$5),MAX($U$7:U220)+1,0))</f>
        <v>0</v>
      </c>
    </row>
    <row r="222" customFormat="false" ht="15" hidden="false" customHeight="false" outlineLevel="0" collapsed="false">
      <c r="A222" s="29"/>
      <c r="B222" s="40" t="n">
        <f aca="false">IF($A222="",0,INT(($A222-Macrociclo!$C$11)/7)+1)</f>
        <v>0</v>
      </c>
      <c r="C222" s="28"/>
      <c r="D222" s="28"/>
      <c r="E222" s="27"/>
      <c r="F222" s="28"/>
      <c r="G222" s="27"/>
      <c r="H222" s="26" t="str">
        <f aca="false">IFERROR(INDEX(Exercícios!$C$7:$C$206,MATCH($G222,Exercícios!$B$7:$B$206,0)),"")</f>
        <v/>
      </c>
      <c r="I222" s="26" t="str">
        <f aca="false">IFERROR(INDEX(Exercícios!$D$7:$D$206,MATCH($G222,Exercícios!$B$7:$B$206,0)),"")</f>
        <v/>
      </c>
      <c r="J222" s="26" t="str">
        <f aca="false">IFERROR(INDEX(Exercícios!$E$7:$E$206,MATCH($G222,Exercícios!$B$7:$B$206,0)),"")</f>
        <v/>
      </c>
      <c r="K222" s="28"/>
      <c r="L222" s="28"/>
      <c r="M222" s="27"/>
      <c r="N222" s="28"/>
      <c r="O222" s="28"/>
      <c r="P222" s="28"/>
      <c r="Q222" s="26" t="n">
        <f aca="false">IFERROR($K222*$L222,"")</f>
        <v>0</v>
      </c>
      <c r="R222" s="44" t="n">
        <f aca="false">IF(OR($O222="",$P222=""),0,$O222*$P222)</f>
        <v>0</v>
      </c>
      <c r="S222" s="27"/>
      <c r="T222" s="27"/>
      <c r="U222" s="40" t="n">
        <f aca="false">IF($A222="",0,IF(AND(OR($E222=Atleta!$C$4,$E222="Equipe (todos)"),$A222&gt;=Atleta!$C$5),MAX($U$7:U221)+1,0))</f>
        <v>0</v>
      </c>
    </row>
    <row r="223" customFormat="false" ht="15" hidden="false" customHeight="false" outlineLevel="0" collapsed="false">
      <c r="A223" s="29"/>
      <c r="B223" s="40" t="n">
        <f aca="false">IF($A223="",0,INT(($A223-Macrociclo!$C$11)/7)+1)</f>
        <v>0</v>
      </c>
      <c r="C223" s="28"/>
      <c r="D223" s="28"/>
      <c r="E223" s="27"/>
      <c r="F223" s="28"/>
      <c r="G223" s="27"/>
      <c r="H223" s="26" t="str">
        <f aca="false">IFERROR(INDEX(Exercícios!$C$7:$C$206,MATCH($G223,Exercícios!$B$7:$B$206,0)),"")</f>
        <v/>
      </c>
      <c r="I223" s="26" t="str">
        <f aca="false">IFERROR(INDEX(Exercícios!$D$7:$D$206,MATCH($G223,Exercícios!$B$7:$B$206,0)),"")</f>
        <v/>
      </c>
      <c r="J223" s="26" t="str">
        <f aca="false">IFERROR(INDEX(Exercícios!$E$7:$E$206,MATCH($G223,Exercícios!$B$7:$B$206,0)),"")</f>
        <v/>
      </c>
      <c r="K223" s="28"/>
      <c r="L223" s="28"/>
      <c r="M223" s="27"/>
      <c r="N223" s="28"/>
      <c r="O223" s="28"/>
      <c r="P223" s="28"/>
      <c r="Q223" s="26" t="n">
        <f aca="false">IFERROR($K223*$L223,"")</f>
        <v>0</v>
      </c>
      <c r="R223" s="44" t="n">
        <f aca="false">IF(OR($O223="",$P223=""),0,$O223*$P223)</f>
        <v>0</v>
      </c>
      <c r="S223" s="27"/>
      <c r="T223" s="27"/>
      <c r="U223" s="40" t="n">
        <f aca="false">IF($A223="",0,IF(AND(OR($E223=Atleta!$C$4,$E223="Equipe (todos)"),$A223&gt;=Atleta!$C$5),MAX($U$7:U222)+1,0))</f>
        <v>0</v>
      </c>
    </row>
    <row r="224" customFormat="false" ht="15" hidden="false" customHeight="false" outlineLevel="0" collapsed="false">
      <c r="A224" s="29"/>
      <c r="B224" s="40" t="n">
        <f aca="false">IF($A224="",0,INT(($A224-Macrociclo!$C$11)/7)+1)</f>
        <v>0</v>
      </c>
      <c r="C224" s="28"/>
      <c r="D224" s="28"/>
      <c r="E224" s="27"/>
      <c r="F224" s="28"/>
      <c r="G224" s="27"/>
      <c r="H224" s="26" t="str">
        <f aca="false">IFERROR(INDEX(Exercícios!$C$7:$C$206,MATCH($G224,Exercícios!$B$7:$B$206,0)),"")</f>
        <v/>
      </c>
      <c r="I224" s="26" t="str">
        <f aca="false">IFERROR(INDEX(Exercícios!$D$7:$D$206,MATCH($G224,Exercícios!$B$7:$B$206,0)),"")</f>
        <v/>
      </c>
      <c r="J224" s="26" t="str">
        <f aca="false">IFERROR(INDEX(Exercícios!$E$7:$E$206,MATCH($G224,Exercícios!$B$7:$B$206,0)),"")</f>
        <v/>
      </c>
      <c r="K224" s="28"/>
      <c r="L224" s="28"/>
      <c r="M224" s="27"/>
      <c r="N224" s="28"/>
      <c r="O224" s="28"/>
      <c r="P224" s="28"/>
      <c r="Q224" s="26" t="n">
        <f aca="false">IFERROR($K224*$L224,"")</f>
        <v>0</v>
      </c>
      <c r="R224" s="44" t="n">
        <f aca="false">IF(OR($O224="",$P224=""),0,$O224*$P224)</f>
        <v>0</v>
      </c>
      <c r="S224" s="27"/>
      <c r="T224" s="27"/>
      <c r="U224" s="40" t="n">
        <f aca="false">IF($A224="",0,IF(AND(OR($E224=Atleta!$C$4,$E224="Equipe (todos)"),$A224&gt;=Atleta!$C$5),MAX($U$7:U223)+1,0))</f>
        <v>0</v>
      </c>
    </row>
    <row r="225" customFormat="false" ht="15" hidden="false" customHeight="false" outlineLevel="0" collapsed="false">
      <c r="A225" s="29"/>
      <c r="B225" s="40" t="n">
        <f aca="false">IF($A225="",0,INT(($A225-Macrociclo!$C$11)/7)+1)</f>
        <v>0</v>
      </c>
      <c r="C225" s="28"/>
      <c r="D225" s="28"/>
      <c r="E225" s="27"/>
      <c r="F225" s="28"/>
      <c r="G225" s="27"/>
      <c r="H225" s="26" t="str">
        <f aca="false">IFERROR(INDEX(Exercícios!$C$7:$C$206,MATCH($G225,Exercícios!$B$7:$B$206,0)),"")</f>
        <v/>
      </c>
      <c r="I225" s="26" t="str">
        <f aca="false">IFERROR(INDEX(Exercícios!$D$7:$D$206,MATCH($G225,Exercícios!$B$7:$B$206,0)),"")</f>
        <v/>
      </c>
      <c r="J225" s="26" t="str">
        <f aca="false">IFERROR(INDEX(Exercícios!$E$7:$E$206,MATCH($G225,Exercícios!$B$7:$B$206,0)),"")</f>
        <v/>
      </c>
      <c r="K225" s="28"/>
      <c r="L225" s="28"/>
      <c r="M225" s="27"/>
      <c r="N225" s="28"/>
      <c r="O225" s="28"/>
      <c r="P225" s="28"/>
      <c r="Q225" s="26" t="n">
        <f aca="false">IFERROR($K225*$L225,"")</f>
        <v>0</v>
      </c>
      <c r="R225" s="44" t="n">
        <f aca="false">IF(OR($O225="",$P225=""),0,$O225*$P225)</f>
        <v>0</v>
      </c>
      <c r="S225" s="27"/>
      <c r="T225" s="27"/>
      <c r="U225" s="40" t="n">
        <f aca="false">IF($A225="",0,IF(AND(OR($E225=Atleta!$C$4,$E225="Equipe (todos)"),$A225&gt;=Atleta!$C$5),MAX($U$7:U224)+1,0))</f>
        <v>0</v>
      </c>
    </row>
    <row r="226" customFormat="false" ht="15" hidden="false" customHeight="false" outlineLevel="0" collapsed="false">
      <c r="A226" s="29"/>
      <c r="B226" s="40" t="n">
        <f aca="false">IF($A226="",0,INT(($A226-Macrociclo!$C$11)/7)+1)</f>
        <v>0</v>
      </c>
      <c r="C226" s="28"/>
      <c r="D226" s="28"/>
      <c r="E226" s="27"/>
      <c r="F226" s="28"/>
      <c r="G226" s="27"/>
      <c r="H226" s="26" t="str">
        <f aca="false">IFERROR(INDEX(Exercícios!$C$7:$C$206,MATCH($G226,Exercícios!$B$7:$B$206,0)),"")</f>
        <v/>
      </c>
      <c r="I226" s="26" t="str">
        <f aca="false">IFERROR(INDEX(Exercícios!$D$7:$D$206,MATCH($G226,Exercícios!$B$7:$B$206,0)),"")</f>
        <v/>
      </c>
      <c r="J226" s="26" t="str">
        <f aca="false">IFERROR(INDEX(Exercícios!$E$7:$E$206,MATCH($G226,Exercícios!$B$7:$B$206,0)),"")</f>
        <v/>
      </c>
      <c r="K226" s="28"/>
      <c r="L226" s="28"/>
      <c r="M226" s="27"/>
      <c r="N226" s="28"/>
      <c r="O226" s="28"/>
      <c r="P226" s="28"/>
      <c r="Q226" s="26" t="n">
        <f aca="false">IFERROR($K226*$L226,"")</f>
        <v>0</v>
      </c>
      <c r="R226" s="44" t="n">
        <f aca="false">IF(OR($O226="",$P226=""),0,$O226*$P226)</f>
        <v>0</v>
      </c>
      <c r="S226" s="27"/>
      <c r="T226" s="27"/>
      <c r="U226" s="40" t="n">
        <f aca="false">IF($A226="",0,IF(AND(OR($E226=Atleta!$C$4,$E226="Equipe (todos)"),$A226&gt;=Atleta!$C$5),MAX($U$7:U225)+1,0))</f>
        <v>0</v>
      </c>
    </row>
    <row r="227" customFormat="false" ht="15" hidden="false" customHeight="false" outlineLevel="0" collapsed="false">
      <c r="A227" s="29"/>
      <c r="B227" s="40" t="n">
        <f aca="false">IF($A227="",0,INT(($A227-Macrociclo!$C$11)/7)+1)</f>
        <v>0</v>
      </c>
      <c r="C227" s="28"/>
      <c r="D227" s="28"/>
      <c r="E227" s="27"/>
      <c r="F227" s="28"/>
      <c r="G227" s="27"/>
      <c r="H227" s="26" t="str">
        <f aca="false">IFERROR(INDEX(Exercícios!$C$7:$C$206,MATCH($G227,Exercícios!$B$7:$B$206,0)),"")</f>
        <v/>
      </c>
      <c r="I227" s="26" t="str">
        <f aca="false">IFERROR(INDEX(Exercícios!$D$7:$D$206,MATCH($G227,Exercícios!$B$7:$B$206,0)),"")</f>
        <v/>
      </c>
      <c r="J227" s="26" t="str">
        <f aca="false">IFERROR(INDEX(Exercícios!$E$7:$E$206,MATCH($G227,Exercícios!$B$7:$B$206,0)),"")</f>
        <v/>
      </c>
      <c r="K227" s="28"/>
      <c r="L227" s="28"/>
      <c r="M227" s="27"/>
      <c r="N227" s="28"/>
      <c r="O227" s="28"/>
      <c r="P227" s="28"/>
      <c r="Q227" s="26" t="n">
        <f aca="false">IFERROR($K227*$L227,"")</f>
        <v>0</v>
      </c>
      <c r="R227" s="44" t="n">
        <f aca="false">IF(OR($O227="",$P227=""),0,$O227*$P227)</f>
        <v>0</v>
      </c>
      <c r="S227" s="27"/>
      <c r="T227" s="27"/>
      <c r="U227" s="40" t="n">
        <f aca="false">IF($A227="",0,IF(AND(OR($E227=Atleta!$C$4,$E227="Equipe (todos)"),$A227&gt;=Atleta!$C$5),MAX($U$7:U226)+1,0))</f>
        <v>0</v>
      </c>
    </row>
    <row r="228" customFormat="false" ht="15" hidden="false" customHeight="false" outlineLevel="0" collapsed="false">
      <c r="A228" s="29"/>
      <c r="B228" s="40" t="n">
        <f aca="false">IF($A228="",0,INT(($A228-Macrociclo!$C$11)/7)+1)</f>
        <v>0</v>
      </c>
      <c r="C228" s="28"/>
      <c r="D228" s="28"/>
      <c r="E228" s="27"/>
      <c r="F228" s="28"/>
      <c r="G228" s="27"/>
      <c r="H228" s="26" t="str">
        <f aca="false">IFERROR(INDEX(Exercícios!$C$7:$C$206,MATCH($G228,Exercícios!$B$7:$B$206,0)),"")</f>
        <v/>
      </c>
      <c r="I228" s="26" t="str">
        <f aca="false">IFERROR(INDEX(Exercícios!$D$7:$D$206,MATCH($G228,Exercícios!$B$7:$B$206,0)),"")</f>
        <v/>
      </c>
      <c r="J228" s="26" t="str">
        <f aca="false">IFERROR(INDEX(Exercícios!$E$7:$E$206,MATCH($G228,Exercícios!$B$7:$B$206,0)),"")</f>
        <v/>
      </c>
      <c r="K228" s="28"/>
      <c r="L228" s="28"/>
      <c r="M228" s="27"/>
      <c r="N228" s="28"/>
      <c r="O228" s="28"/>
      <c r="P228" s="28"/>
      <c r="Q228" s="26" t="n">
        <f aca="false">IFERROR($K228*$L228,"")</f>
        <v>0</v>
      </c>
      <c r="R228" s="44" t="n">
        <f aca="false">IF(OR($O228="",$P228=""),0,$O228*$P228)</f>
        <v>0</v>
      </c>
      <c r="S228" s="27"/>
      <c r="T228" s="27"/>
      <c r="U228" s="40" t="n">
        <f aca="false">IF($A228="",0,IF(AND(OR($E228=Atleta!$C$4,$E228="Equipe (todos)"),$A228&gt;=Atleta!$C$5),MAX($U$7:U227)+1,0))</f>
        <v>0</v>
      </c>
    </row>
    <row r="229" customFormat="false" ht="15" hidden="false" customHeight="false" outlineLevel="0" collapsed="false">
      <c r="A229" s="29"/>
      <c r="B229" s="40" t="n">
        <f aca="false">IF($A229="",0,INT(($A229-Macrociclo!$C$11)/7)+1)</f>
        <v>0</v>
      </c>
      <c r="C229" s="28"/>
      <c r="D229" s="28"/>
      <c r="E229" s="27"/>
      <c r="F229" s="28"/>
      <c r="G229" s="27"/>
      <c r="H229" s="26" t="str">
        <f aca="false">IFERROR(INDEX(Exercícios!$C$7:$C$206,MATCH($G229,Exercícios!$B$7:$B$206,0)),"")</f>
        <v/>
      </c>
      <c r="I229" s="26" t="str">
        <f aca="false">IFERROR(INDEX(Exercícios!$D$7:$D$206,MATCH($G229,Exercícios!$B$7:$B$206,0)),"")</f>
        <v/>
      </c>
      <c r="J229" s="26" t="str">
        <f aca="false">IFERROR(INDEX(Exercícios!$E$7:$E$206,MATCH($G229,Exercícios!$B$7:$B$206,0)),"")</f>
        <v/>
      </c>
      <c r="K229" s="28"/>
      <c r="L229" s="28"/>
      <c r="M229" s="27"/>
      <c r="N229" s="28"/>
      <c r="O229" s="28"/>
      <c r="P229" s="28"/>
      <c r="Q229" s="26" t="n">
        <f aca="false">IFERROR($K229*$L229,"")</f>
        <v>0</v>
      </c>
      <c r="R229" s="44" t="n">
        <f aca="false">IF(OR($O229="",$P229=""),0,$O229*$P229)</f>
        <v>0</v>
      </c>
      <c r="S229" s="27"/>
      <c r="T229" s="27"/>
      <c r="U229" s="40" t="n">
        <f aca="false">IF($A229="",0,IF(AND(OR($E229=Atleta!$C$4,$E229="Equipe (todos)"),$A229&gt;=Atleta!$C$5),MAX($U$7:U228)+1,0))</f>
        <v>0</v>
      </c>
    </row>
    <row r="230" customFormat="false" ht="15" hidden="false" customHeight="false" outlineLevel="0" collapsed="false">
      <c r="A230" s="29"/>
      <c r="B230" s="40" t="n">
        <f aca="false">IF($A230="",0,INT(($A230-Macrociclo!$C$11)/7)+1)</f>
        <v>0</v>
      </c>
      <c r="C230" s="28"/>
      <c r="D230" s="28"/>
      <c r="E230" s="27"/>
      <c r="F230" s="28"/>
      <c r="G230" s="27"/>
      <c r="H230" s="26" t="str">
        <f aca="false">IFERROR(INDEX(Exercícios!$C$7:$C$206,MATCH($G230,Exercícios!$B$7:$B$206,0)),"")</f>
        <v/>
      </c>
      <c r="I230" s="26" t="str">
        <f aca="false">IFERROR(INDEX(Exercícios!$D$7:$D$206,MATCH($G230,Exercícios!$B$7:$B$206,0)),"")</f>
        <v/>
      </c>
      <c r="J230" s="26" t="str">
        <f aca="false">IFERROR(INDEX(Exercícios!$E$7:$E$206,MATCH($G230,Exercícios!$B$7:$B$206,0)),"")</f>
        <v/>
      </c>
      <c r="K230" s="28"/>
      <c r="L230" s="28"/>
      <c r="M230" s="27"/>
      <c r="N230" s="28"/>
      <c r="O230" s="28"/>
      <c r="P230" s="28"/>
      <c r="Q230" s="26" t="n">
        <f aca="false">IFERROR($K230*$L230,"")</f>
        <v>0</v>
      </c>
      <c r="R230" s="44" t="n">
        <f aca="false">IF(OR($O230="",$P230=""),0,$O230*$P230)</f>
        <v>0</v>
      </c>
      <c r="S230" s="27"/>
      <c r="T230" s="27"/>
      <c r="U230" s="40" t="n">
        <f aca="false">IF($A230="",0,IF(AND(OR($E230=Atleta!$C$4,$E230="Equipe (todos)"),$A230&gt;=Atleta!$C$5),MAX($U$7:U229)+1,0))</f>
        <v>0</v>
      </c>
    </row>
    <row r="231" customFormat="false" ht="15" hidden="false" customHeight="false" outlineLevel="0" collapsed="false">
      <c r="A231" s="29"/>
      <c r="B231" s="40" t="n">
        <f aca="false">IF($A231="",0,INT(($A231-Macrociclo!$C$11)/7)+1)</f>
        <v>0</v>
      </c>
      <c r="C231" s="28"/>
      <c r="D231" s="28"/>
      <c r="E231" s="27"/>
      <c r="F231" s="28"/>
      <c r="G231" s="27"/>
      <c r="H231" s="26" t="str">
        <f aca="false">IFERROR(INDEX(Exercícios!$C$7:$C$206,MATCH($G231,Exercícios!$B$7:$B$206,0)),"")</f>
        <v/>
      </c>
      <c r="I231" s="26" t="str">
        <f aca="false">IFERROR(INDEX(Exercícios!$D$7:$D$206,MATCH($G231,Exercícios!$B$7:$B$206,0)),"")</f>
        <v/>
      </c>
      <c r="J231" s="26" t="str">
        <f aca="false">IFERROR(INDEX(Exercícios!$E$7:$E$206,MATCH($G231,Exercícios!$B$7:$B$206,0)),"")</f>
        <v/>
      </c>
      <c r="K231" s="28"/>
      <c r="L231" s="28"/>
      <c r="M231" s="27"/>
      <c r="N231" s="28"/>
      <c r="O231" s="28"/>
      <c r="P231" s="28"/>
      <c r="Q231" s="26" t="n">
        <f aca="false">IFERROR($K231*$L231,"")</f>
        <v>0</v>
      </c>
      <c r="R231" s="44" t="n">
        <f aca="false">IF(OR($O231="",$P231=""),0,$O231*$P231)</f>
        <v>0</v>
      </c>
      <c r="S231" s="27"/>
      <c r="T231" s="27"/>
      <c r="U231" s="40" t="n">
        <f aca="false">IF($A231="",0,IF(AND(OR($E231=Atleta!$C$4,$E231="Equipe (todos)"),$A231&gt;=Atleta!$C$5),MAX($U$7:U230)+1,0))</f>
        <v>0</v>
      </c>
    </row>
    <row r="232" customFormat="false" ht="15" hidden="false" customHeight="false" outlineLevel="0" collapsed="false">
      <c r="A232" s="29"/>
      <c r="B232" s="40" t="n">
        <f aca="false">IF($A232="",0,INT(($A232-Macrociclo!$C$11)/7)+1)</f>
        <v>0</v>
      </c>
      <c r="C232" s="28"/>
      <c r="D232" s="28"/>
      <c r="E232" s="27"/>
      <c r="F232" s="28"/>
      <c r="G232" s="27"/>
      <c r="H232" s="26" t="str">
        <f aca="false">IFERROR(INDEX(Exercícios!$C$7:$C$206,MATCH($G232,Exercícios!$B$7:$B$206,0)),"")</f>
        <v/>
      </c>
      <c r="I232" s="26" t="str">
        <f aca="false">IFERROR(INDEX(Exercícios!$D$7:$D$206,MATCH($G232,Exercícios!$B$7:$B$206,0)),"")</f>
        <v/>
      </c>
      <c r="J232" s="26" t="str">
        <f aca="false">IFERROR(INDEX(Exercícios!$E$7:$E$206,MATCH($G232,Exercícios!$B$7:$B$206,0)),"")</f>
        <v/>
      </c>
      <c r="K232" s="28"/>
      <c r="L232" s="28"/>
      <c r="M232" s="27"/>
      <c r="N232" s="28"/>
      <c r="O232" s="28"/>
      <c r="P232" s="28"/>
      <c r="Q232" s="26" t="n">
        <f aca="false">IFERROR($K232*$L232,"")</f>
        <v>0</v>
      </c>
      <c r="R232" s="44" t="n">
        <f aca="false">IF(OR($O232="",$P232=""),0,$O232*$P232)</f>
        <v>0</v>
      </c>
      <c r="S232" s="27"/>
      <c r="T232" s="27"/>
      <c r="U232" s="40" t="n">
        <f aca="false">IF($A232="",0,IF(AND(OR($E232=Atleta!$C$4,$E232="Equipe (todos)"),$A232&gt;=Atleta!$C$5),MAX($U$7:U231)+1,0))</f>
        <v>0</v>
      </c>
    </row>
    <row r="233" customFormat="false" ht="15" hidden="false" customHeight="false" outlineLevel="0" collapsed="false">
      <c r="A233" s="29"/>
      <c r="B233" s="40" t="n">
        <f aca="false">IF($A233="",0,INT(($A233-Macrociclo!$C$11)/7)+1)</f>
        <v>0</v>
      </c>
      <c r="C233" s="28"/>
      <c r="D233" s="28"/>
      <c r="E233" s="27"/>
      <c r="F233" s="28"/>
      <c r="G233" s="27"/>
      <c r="H233" s="26" t="str">
        <f aca="false">IFERROR(INDEX(Exercícios!$C$7:$C$206,MATCH($G233,Exercícios!$B$7:$B$206,0)),"")</f>
        <v/>
      </c>
      <c r="I233" s="26" t="str">
        <f aca="false">IFERROR(INDEX(Exercícios!$D$7:$D$206,MATCH($G233,Exercícios!$B$7:$B$206,0)),"")</f>
        <v/>
      </c>
      <c r="J233" s="26" t="str">
        <f aca="false">IFERROR(INDEX(Exercícios!$E$7:$E$206,MATCH($G233,Exercícios!$B$7:$B$206,0)),"")</f>
        <v/>
      </c>
      <c r="K233" s="28"/>
      <c r="L233" s="28"/>
      <c r="M233" s="27"/>
      <c r="N233" s="28"/>
      <c r="O233" s="28"/>
      <c r="P233" s="28"/>
      <c r="Q233" s="26" t="n">
        <f aca="false">IFERROR($K233*$L233,"")</f>
        <v>0</v>
      </c>
      <c r="R233" s="44" t="n">
        <f aca="false">IF(OR($O233="",$P233=""),0,$O233*$P233)</f>
        <v>0</v>
      </c>
      <c r="S233" s="27"/>
      <c r="T233" s="27"/>
      <c r="U233" s="40" t="n">
        <f aca="false">IF($A233="",0,IF(AND(OR($E233=Atleta!$C$4,$E233="Equipe (todos)"),$A233&gt;=Atleta!$C$5),MAX($U$7:U232)+1,0))</f>
        <v>0</v>
      </c>
    </row>
    <row r="234" customFormat="false" ht="15" hidden="false" customHeight="false" outlineLevel="0" collapsed="false">
      <c r="A234" s="29"/>
      <c r="B234" s="40" t="n">
        <f aca="false">IF($A234="",0,INT(($A234-Macrociclo!$C$11)/7)+1)</f>
        <v>0</v>
      </c>
      <c r="C234" s="28"/>
      <c r="D234" s="28"/>
      <c r="E234" s="27"/>
      <c r="F234" s="28"/>
      <c r="G234" s="27"/>
      <c r="H234" s="26" t="str">
        <f aca="false">IFERROR(INDEX(Exercícios!$C$7:$C$206,MATCH($G234,Exercícios!$B$7:$B$206,0)),"")</f>
        <v/>
      </c>
      <c r="I234" s="26" t="str">
        <f aca="false">IFERROR(INDEX(Exercícios!$D$7:$D$206,MATCH($G234,Exercícios!$B$7:$B$206,0)),"")</f>
        <v/>
      </c>
      <c r="J234" s="26" t="str">
        <f aca="false">IFERROR(INDEX(Exercícios!$E$7:$E$206,MATCH($G234,Exercícios!$B$7:$B$206,0)),"")</f>
        <v/>
      </c>
      <c r="K234" s="28"/>
      <c r="L234" s="28"/>
      <c r="M234" s="27"/>
      <c r="N234" s="28"/>
      <c r="O234" s="28"/>
      <c r="P234" s="28"/>
      <c r="Q234" s="26" t="n">
        <f aca="false">IFERROR($K234*$L234,"")</f>
        <v>0</v>
      </c>
      <c r="R234" s="44" t="n">
        <f aca="false">IF(OR($O234="",$P234=""),0,$O234*$P234)</f>
        <v>0</v>
      </c>
      <c r="S234" s="27"/>
      <c r="T234" s="27"/>
      <c r="U234" s="40" t="n">
        <f aca="false">IF($A234="",0,IF(AND(OR($E234=Atleta!$C$4,$E234="Equipe (todos)"),$A234&gt;=Atleta!$C$5),MAX($U$7:U233)+1,0))</f>
        <v>0</v>
      </c>
    </row>
    <row r="235" customFormat="false" ht="15" hidden="false" customHeight="false" outlineLevel="0" collapsed="false">
      <c r="A235" s="29"/>
      <c r="B235" s="40" t="n">
        <f aca="false">IF($A235="",0,INT(($A235-Macrociclo!$C$11)/7)+1)</f>
        <v>0</v>
      </c>
      <c r="C235" s="28"/>
      <c r="D235" s="28"/>
      <c r="E235" s="27"/>
      <c r="F235" s="28"/>
      <c r="G235" s="27"/>
      <c r="H235" s="26" t="str">
        <f aca="false">IFERROR(INDEX(Exercícios!$C$7:$C$206,MATCH($G235,Exercícios!$B$7:$B$206,0)),"")</f>
        <v/>
      </c>
      <c r="I235" s="26" t="str">
        <f aca="false">IFERROR(INDEX(Exercícios!$D$7:$D$206,MATCH($G235,Exercícios!$B$7:$B$206,0)),"")</f>
        <v/>
      </c>
      <c r="J235" s="26" t="str">
        <f aca="false">IFERROR(INDEX(Exercícios!$E$7:$E$206,MATCH($G235,Exercícios!$B$7:$B$206,0)),"")</f>
        <v/>
      </c>
      <c r="K235" s="28"/>
      <c r="L235" s="28"/>
      <c r="M235" s="27"/>
      <c r="N235" s="28"/>
      <c r="O235" s="28"/>
      <c r="P235" s="28"/>
      <c r="Q235" s="26" t="n">
        <f aca="false">IFERROR($K235*$L235,"")</f>
        <v>0</v>
      </c>
      <c r="R235" s="44" t="n">
        <f aca="false">IF(OR($O235="",$P235=""),0,$O235*$P235)</f>
        <v>0</v>
      </c>
      <c r="S235" s="27"/>
      <c r="T235" s="27"/>
      <c r="U235" s="40" t="n">
        <f aca="false">IF($A235="",0,IF(AND(OR($E235=Atleta!$C$4,$E235="Equipe (todos)"),$A235&gt;=Atleta!$C$5),MAX($U$7:U234)+1,0))</f>
        <v>0</v>
      </c>
    </row>
    <row r="236" customFormat="false" ht="15" hidden="false" customHeight="false" outlineLevel="0" collapsed="false">
      <c r="A236" s="29"/>
      <c r="B236" s="40" t="n">
        <f aca="false">IF($A236="",0,INT(($A236-Macrociclo!$C$11)/7)+1)</f>
        <v>0</v>
      </c>
      <c r="C236" s="28"/>
      <c r="D236" s="28"/>
      <c r="E236" s="27"/>
      <c r="F236" s="28"/>
      <c r="G236" s="27"/>
      <c r="H236" s="26" t="str">
        <f aca="false">IFERROR(INDEX(Exercícios!$C$7:$C$206,MATCH($G236,Exercícios!$B$7:$B$206,0)),"")</f>
        <v/>
      </c>
      <c r="I236" s="26" t="str">
        <f aca="false">IFERROR(INDEX(Exercícios!$D$7:$D$206,MATCH($G236,Exercícios!$B$7:$B$206,0)),"")</f>
        <v/>
      </c>
      <c r="J236" s="26" t="str">
        <f aca="false">IFERROR(INDEX(Exercícios!$E$7:$E$206,MATCH($G236,Exercícios!$B$7:$B$206,0)),"")</f>
        <v/>
      </c>
      <c r="K236" s="28"/>
      <c r="L236" s="28"/>
      <c r="M236" s="27"/>
      <c r="N236" s="28"/>
      <c r="O236" s="28"/>
      <c r="P236" s="28"/>
      <c r="Q236" s="26" t="n">
        <f aca="false">IFERROR($K236*$L236,"")</f>
        <v>0</v>
      </c>
      <c r="R236" s="44" t="n">
        <f aca="false">IF(OR($O236="",$P236=""),0,$O236*$P236)</f>
        <v>0</v>
      </c>
      <c r="S236" s="27"/>
      <c r="T236" s="27"/>
      <c r="U236" s="40" t="n">
        <f aca="false">IF($A236="",0,IF(AND(OR($E236=Atleta!$C$4,$E236="Equipe (todos)"),$A236&gt;=Atleta!$C$5),MAX($U$7:U235)+1,0))</f>
        <v>0</v>
      </c>
    </row>
    <row r="237" customFormat="false" ht="15" hidden="false" customHeight="false" outlineLevel="0" collapsed="false">
      <c r="A237" s="29"/>
      <c r="B237" s="40" t="n">
        <f aca="false">IF($A237="",0,INT(($A237-Macrociclo!$C$11)/7)+1)</f>
        <v>0</v>
      </c>
      <c r="C237" s="28"/>
      <c r="D237" s="28"/>
      <c r="E237" s="27"/>
      <c r="F237" s="28"/>
      <c r="G237" s="27"/>
      <c r="H237" s="26" t="str">
        <f aca="false">IFERROR(INDEX(Exercícios!$C$7:$C$206,MATCH($G237,Exercícios!$B$7:$B$206,0)),"")</f>
        <v/>
      </c>
      <c r="I237" s="26" t="str">
        <f aca="false">IFERROR(INDEX(Exercícios!$D$7:$D$206,MATCH($G237,Exercícios!$B$7:$B$206,0)),"")</f>
        <v/>
      </c>
      <c r="J237" s="26" t="str">
        <f aca="false">IFERROR(INDEX(Exercícios!$E$7:$E$206,MATCH($G237,Exercícios!$B$7:$B$206,0)),"")</f>
        <v/>
      </c>
      <c r="K237" s="28"/>
      <c r="L237" s="28"/>
      <c r="M237" s="27"/>
      <c r="N237" s="28"/>
      <c r="O237" s="28"/>
      <c r="P237" s="28"/>
      <c r="Q237" s="26" t="n">
        <f aca="false">IFERROR($K237*$L237,"")</f>
        <v>0</v>
      </c>
      <c r="R237" s="44" t="n">
        <f aca="false">IF(OR($O237="",$P237=""),0,$O237*$P237)</f>
        <v>0</v>
      </c>
      <c r="S237" s="27"/>
      <c r="T237" s="27"/>
      <c r="U237" s="40" t="n">
        <f aca="false">IF($A237="",0,IF(AND(OR($E237=Atleta!$C$4,$E237="Equipe (todos)"),$A237&gt;=Atleta!$C$5),MAX($U$7:U236)+1,0))</f>
        <v>0</v>
      </c>
    </row>
    <row r="238" customFormat="false" ht="15" hidden="false" customHeight="false" outlineLevel="0" collapsed="false">
      <c r="A238" s="29"/>
      <c r="B238" s="40" t="n">
        <f aca="false">IF($A238="",0,INT(($A238-Macrociclo!$C$11)/7)+1)</f>
        <v>0</v>
      </c>
      <c r="C238" s="28"/>
      <c r="D238" s="28"/>
      <c r="E238" s="27"/>
      <c r="F238" s="28"/>
      <c r="G238" s="27"/>
      <c r="H238" s="26" t="str">
        <f aca="false">IFERROR(INDEX(Exercícios!$C$7:$C$206,MATCH($G238,Exercícios!$B$7:$B$206,0)),"")</f>
        <v/>
      </c>
      <c r="I238" s="26" t="str">
        <f aca="false">IFERROR(INDEX(Exercícios!$D$7:$D$206,MATCH($G238,Exercícios!$B$7:$B$206,0)),"")</f>
        <v/>
      </c>
      <c r="J238" s="26" t="str">
        <f aca="false">IFERROR(INDEX(Exercícios!$E$7:$E$206,MATCH($G238,Exercícios!$B$7:$B$206,0)),"")</f>
        <v/>
      </c>
      <c r="K238" s="28"/>
      <c r="L238" s="28"/>
      <c r="M238" s="27"/>
      <c r="N238" s="28"/>
      <c r="O238" s="28"/>
      <c r="P238" s="28"/>
      <c r="Q238" s="26" t="n">
        <f aca="false">IFERROR($K238*$L238,"")</f>
        <v>0</v>
      </c>
      <c r="R238" s="44" t="n">
        <f aca="false">IF(OR($O238="",$P238=""),0,$O238*$P238)</f>
        <v>0</v>
      </c>
      <c r="S238" s="27"/>
      <c r="T238" s="27"/>
      <c r="U238" s="40" t="n">
        <f aca="false">IF($A238="",0,IF(AND(OR($E238=Atleta!$C$4,$E238="Equipe (todos)"),$A238&gt;=Atleta!$C$5),MAX($U$7:U237)+1,0))</f>
        <v>0</v>
      </c>
    </row>
    <row r="239" customFormat="false" ht="15" hidden="false" customHeight="false" outlineLevel="0" collapsed="false">
      <c r="A239" s="29"/>
      <c r="B239" s="40" t="n">
        <f aca="false">IF($A239="",0,INT(($A239-Macrociclo!$C$11)/7)+1)</f>
        <v>0</v>
      </c>
      <c r="C239" s="28"/>
      <c r="D239" s="28"/>
      <c r="E239" s="27"/>
      <c r="F239" s="28"/>
      <c r="G239" s="27"/>
      <c r="H239" s="26" t="str">
        <f aca="false">IFERROR(INDEX(Exercícios!$C$7:$C$206,MATCH($G239,Exercícios!$B$7:$B$206,0)),"")</f>
        <v/>
      </c>
      <c r="I239" s="26" t="str">
        <f aca="false">IFERROR(INDEX(Exercícios!$D$7:$D$206,MATCH($G239,Exercícios!$B$7:$B$206,0)),"")</f>
        <v/>
      </c>
      <c r="J239" s="26" t="str">
        <f aca="false">IFERROR(INDEX(Exercícios!$E$7:$E$206,MATCH($G239,Exercícios!$B$7:$B$206,0)),"")</f>
        <v/>
      </c>
      <c r="K239" s="28"/>
      <c r="L239" s="28"/>
      <c r="M239" s="27"/>
      <c r="N239" s="28"/>
      <c r="O239" s="28"/>
      <c r="P239" s="28"/>
      <c r="Q239" s="26" t="n">
        <f aca="false">IFERROR($K239*$L239,"")</f>
        <v>0</v>
      </c>
      <c r="R239" s="44" t="n">
        <f aca="false">IF(OR($O239="",$P239=""),0,$O239*$P239)</f>
        <v>0</v>
      </c>
      <c r="S239" s="27"/>
      <c r="T239" s="27"/>
      <c r="U239" s="40" t="n">
        <f aca="false">IF($A239="",0,IF(AND(OR($E239=Atleta!$C$4,$E239="Equipe (todos)"),$A239&gt;=Atleta!$C$5),MAX($U$7:U238)+1,0))</f>
        <v>0</v>
      </c>
    </row>
    <row r="240" customFormat="false" ht="15" hidden="false" customHeight="false" outlineLevel="0" collapsed="false">
      <c r="A240" s="29"/>
      <c r="B240" s="40" t="n">
        <f aca="false">IF($A240="",0,INT(($A240-Macrociclo!$C$11)/7)+1)</f>
        <v>0</v>
      </c>
      <c r="C240" s="28"/>
      <c r="D240" s="28"/>
      <c r="E240" s="27"/>
      <c r="F240" s="28"/>
      <c r="G240" s="27"/>
      <c r="H240" s="26" t="str">
        <f aca="false">IFERROR(INDEX(Exercícios!$C$7:$C$206,MATCH($G240,Exercícios!$B$7:$B$206,0)),"")</f>
        <v/>
      </c>
      <c r="I240" s="26" t="str">
        <f aca="false">IFERROR(INDEX(Exercícios!$D$7:$D$206,MATCH($G240,Exercícios!$B$7:$B$206,0)),"")</f>
        <v/>
      </c>
      <c r="J240" s="26" t="str">
        <f aca="false">IFERROR(INDEX(Exercícios!$E$7:$E$206,MATCH($G240,Exercícios!$B$7:$B$206,0)),"")</f>
        <v/>
      </c>
      <c r="K240" s="28"/>
      <c r="L240" s="28"/>
      <c r="M240" s="27"/>
      <c r="N240" s="28"/>
      <c r="O240" s="28"/>
      <c r="P240" s="28"/>
      <c r="Q240" s="26" t="n">
        <f aca="false">IFERROR($K240*$L240,"")</f>
        <v>0</v>
      </c>
      <c r="R240" s="44" t="n">
        <f aca="false">IF(OR($O240="",$P240=""),0,$O240*$P240)</f>
        <v>0</v>
      </c>
      <c r="S240" s="27"/>
      <c r="T240" s="27"/>
      <c r="U240" s="40" t="n">
        <f aca="false">IF($A240="",0,IF(AND(OR($E240=Atleta!$C$4,$E240="Equipe (todos)"),$A240&gt;=Atleta!$C$5),MAX($U$7:U239)+1,0))</f>
        <v>0</v>
      </c>
    </row>
    <row r="241" customFormat="false" ht="15" hidden="false" customHeight="false" outlineLevel="0" collapsed="false">
      <c r="A241" s="29"/>
      <c r="B241" s="40" t="n">
        <f aca="false">IF($A241="",0,INT(($A241-Macrociclo!$C$11)/7)+1)</f>
        <v>0</v>
      </c>
      <c r="C241" s="28"/>
      <c r="D241" s="28"/>
      <c r="E241" s="27"/>
      <c r="F241" s="28"/>
      <c r="G241" s="27"/>
      <c r="H241" s="26" t="str">
        <f aca="false">IFERROR(INDEX(Exercícios!$C$7:$C$206,MATCH($G241,Exercícios!$B$7:$B$206,0)),"")</f>
        <v/>
      </c>
      <c r="I241" s="26" t="str">
        <f aca="false">IFERROR(INDEX(Exercícios!$D$7:$D$206,MATCH($G241,Exercícios!$B$7:$B$206,0)),"")</f>
        <v/>
      </c>
      <c r="J241" s="26" t="str">
        <f aca="false">IFERROR(INDEX(Exercícios!$E$7:$E$206,MATCH($G241,Exercícios!$B$7:$B$206,0)),"")</f>
        <v/>
      </c>
      <c r="K241" s="28"/>
      <c r="L241" s="28"/>
      <c r="M241" s="27"/>
      <c r="N241" s="28"/>
      <c r="O241" s="28"/>
      <c r="P241" s="28"/>
      <c r="Q241" s="26" t="n">
        <f aca="false">IFERROR($K241*$L241,"")</f>
        <v>0</v>
      </c>
      <c r="R241" s="44" t="n">
        <f aca="false">IF(OR($O241="",$P241=""),0,$O241*$P241)</f>
        <v>0</v>
      </c>
      <c r="S241" s="27"/>
      <c r="T241" s="27"/>
      <c r="U241" s="40" t="n">
        <f aca="false">IF($A241="",0,IF(AND(OR($E241=Atleta!$C$4,$E241="Equipe (todos)"),$A241&gt;=Atleta!$C$5),MAX($U$7:U240)+1,0))</f>
        <v>0</v>
      </c>
    </row>
    <row r="242" customFormat="false" ht="15" hidden="false" customHeight="false" outlineLevel="0" collapsed="false">
      <c r="A242" s="29"/>
      <c r="B242" s="40" t="n">
        <f aca="false">IF($A242="",0,INT(($A242-Macrociclo!$C$11)/7)+1)</f>
        <v>0</v>
      </c>
      <c r="C242" s="28"/>
      <c r="D242" s="28"/>
      <c r="E242" s="27"/>
      <c r="F242" s="28"/>
      <c r="G242" s="27"/>
      <c r="H242" s="26" t="str">
        <f aca="false">IFERROR(INDEX(Exercícios!$C$7:$C$206,MATCH($G242,Exercícios!$B$7:$B$206,0)),"")</f>
        <v/>
      </c>
      <c r="I242" s="26" t="str">
        <f aca="false">IFERROR(INDEX(Exercícios!$D$7:$D$206,MATCH($G242,Exercícios!$B$7:$B$206,0)),"")</f>
        <v/>
      </c>
      <c r="J242" s="26" t="str">
        <f aca="false">IFERROR(INDEX(Exercícios!$E$7:$E$206,MATCH($G242,Exercícios!$B$7:$B$206,0)),"")</f>
        <v/>
      </c>
      <c r="K242" s="28"/>
      <c r="L242" s="28"/>
      <c r="M242" s="27"/>
      <c r="N242" s="28"/>
      <c r="O242" s="28"/>
      <c r="P242" s="28"/>
      <c r="Q242" s="26" t="n">
        <f aca="false">IFERROR($K242*$L242,"")</f>
        <v>0</v>
      </c>
      <c r="R242" s="44" t="n">
        <f aca="false">IF(OR($O242="",$P242=""),0,$O242*$P242)</f>
        <v>0</v>
      </c>
      <c r="S242" s="27"/>
      <c r="T242" s="27"/>
      <c r="U242" s="40" t="n">
        <f aca="false">IF($A242="",0,IF(AND(OR($E242=Atleta!$C$4,$E242="Equipe (todos)"),$A242&gt;=Atleta!$C$5),MAX($U$7:U241)+1,0))</f>
        <v>0</v>
      </c>
    </row>
    <row r="243" customFormat="false" ht="15" hidden="false" customHeight="false" outlineLevel="0" collapsed="false">
      <c r="A243" s="29"/>
      <c r="B243" s="40" t="n">
        <f aca="false">IF($A243="",0,INT(($A243-Macrociclo!$C$11)/7)+1)</f>
        <v>0</v>
      </c>
      <c r="C243" s="28"/>
      <c r="D243" s="28"/>
      <c r="E243" s="27"/>
      <c r="F243" s="28"/>
      <c r="G243" s="27"/>
      <c r="H243" s="26" t="str">
        <f aca="false">IFERROR(INDEX(Exercícios!$C$7:$C$206,MATCH($G243,Exercícios!$B$7:$B$206,0)),"")</f>
        <v/>
      </c>
      <c r="I243" s="26" t="str">
        <f aca="false">IFERROR(INDEX(Exercícios!$D$7:$D$206,MATCH($G243,Exercícios!$B$7:$B$206,0)),"")</f>
        <v/>
      </c>
      <c r="J243" s="26" t="str">
        <f aca="false">IFERROR(INDEX(Exercícios!$E$7:$E$206,MATCH($G243,Exercícios!$B$7:$B$206,0)),"")</f>
        <v/>
      </c>
      <c r="K243" s="28"/>
      <c r="L243" s="28"/>
      <c r="M243" s="27"/>
      <c r="N243" s="28"/>
      <c r="O243" s="28"/>
      <c r="P243" s="28"/>
      <c r="Q243" s="26" t="n">
        <f aca="false">IFERROR($K243*$L243,"")</f>
        <v>0</v>
      </c>
      <c r="R243" s="44" t="n">
        <f aca="false">IF(OR($O243="",$P243=""),0,$O243*$P243)</f>
        <v>0</v>
      </c>
      <c r="S243" s="27"/>
      <c r="T243" s="27"/>
      <c r="U243" s="40" t="n">
        <f aca="false">IF($A243="",0,IF(AND(OR($E243=Atleta!$C$4,$E243="Equipe (todos)"),$A243&gt;=Atleta!$C$5),MAX($U$7:U242)+1,0))</f>
        <v>0</v>
      </c>
    </row>
    <row r="244" customFormat="false" ht="15" hidden="false" customHeight="false" outlineLevel="0" collapsed="false">
      <c r="A244" s="29"/>
      <c r="B244" s="40" t="n">
        <f aca="false">IF($A244="",0,INT(($A244-Macrociclo!$C$11)/7)+1)</f>
        <v>0</v>
      </c>
      <c r="C244" s="28"/>
      <c r="D244" s="28"/>
      <c r="E244" s="27"/>
      <c r="F244" s="28"/>
      <c r="G244" s="27"/>
      <c r="H244" s="26" t="str">
        <f aca="false">IFERROR(INDEX(Exercícios!$C$7:$C$206,MATCH($G244,Exercícios!$B$7:$B$206,0)),"")</f>
        <v/>
      </c>
      <c r="I244" s="26" t="str">
        <f aca="false">IFERROR(INDEX(Exercícios!$D$7:$D$206,MATCH($G244,Exercícios!$B$7:$B$206,0)),"")</f>
        <v/>
      </c>
      <c r="J244" s="26" t="str">
        <f aca="false">IFERROR(INDEX(Exercícios!$E$7:$E$206,MATCH($G244,Exercícios!$B$7:$B$206,0)),"")</f>
        <v/>
      </c>
      <c r="K244" s="28"/>
      <c r="L244" s="28"/>
      <c r="M244" s="27"/>
      <c r="N244" s="28"/>
      <c r="O244" s="28"/>
      <c r="P244" s="28"/>
      <c r="Q244" s="26" t="n">
        <f aca="false">IFERROR($K244*$L244,"")</f>
        <v>0</v>
      </c>
      <c r="R244" s="44" t="n">
        <f aca="false">IF(OR($O244="",$P244=""),0,$O244*$P244)</f>
        <v>0</v>
      </c>
      <c r="S244" s="27"/>
      <c r="T244" s="27"/>
      <c r="U244" s="40" t="n">
        <f aca="false">IF($A244="",0,IF(AND(OR($E244=Atleta!$C$4,$E244="Equipe (todos)"),$A244&gt;=Atleta!$C$5),MAX($U$7:U243)+1,0))</f>
        <v>0</v>
      </c>
    </row>
    <row r="245" customFormat="false" ht="15" hidden="false" customHeight="false" outlineLevel="0" collapsed="false">
      <c r="A245" s="29"/>
      <c r="B245" s="40" t="n">
        <f aca="false">IF($A245="",0,INT(($A245-Macrociclo!$C$11)/7)+1)</f>
        <v>0</v>
      </c>
      <c r="C245" s="28"/>
      <c r="D245" s="28"/>
      <c r="E245" s="27"/>
      <c r="F245" s="28"/>
      <c r="G245" s="27"/>
      <c r="H245" s="26" t="str">
        <f aca="false">IFERROR(INDEX(Exercícios!$C$7:$C$206,MATCH($G245,Exercícios!$B$7:$B$206,0)),"")</f>
        <v/>
      </c>
      <c r="I245" s="26" t="str">
        <f aca="false">IFERROR(INDEX(Exercícios!$D$7:$D$206,MATCH($G245,Exercícios!$B$7:$B$206,0)),"")</f>
        <v/>
      </c>
      <c r="J245" s="26" t="str">
        <f aca="false">IFERROR(INDEX(Exercícios!$E$7:$E$206,MATCH($G245,Exercícios!$B$7:$B$206,0)),"")</f>
        <v/>
      </c>
      <c r="K245" s="28"/>
      <c r="L245" s="28"/>
      <c r="M245" s="27"/>
      <c r="N245" s="28"/>
      <c r="O245" s="28"/>
      <c r="P245" s="28"/>
      <c r="Q245" s="26" t="n">
        <f aca="false">IFERROR($K245*$L245,"")</f>
        <v>0</v>
      </c>
      <c r="R245" s="44" t="n">
        <f aca="false">IF(OR($O245="",$P245=""),0,$O245*$P245)</f>
        <v>0</v>
      </c>
      <c r="S245" s="27"/>
      <c r="T245" s="27"/>
      <c r="U245" s="40" t="n">
        <f aca="false">IF($A245="",0,IF(AND(OR($E245=Atleta!$C$4,$E245="Equipe (todos)"),$A245&gt;=Atleta!$C$5),MAX($U$7:U244)+1,0))</f>
        <v>0</v>
      </c>
    </row>
    <row r="246" customFormat="false" ht="15" hidden="false" customHeight="false" outlineLevel="0" collapsed="false">
      <c r="A246" s="29"/>
      <c r="B246" s="40" t="n">
        <f aca="false">IF($A246="",0,INT(($A246-Macrociclo!$C$11)/7)+1)</f>
        <v>0</v>
      </c>
      <c r="C246" s="28"/>
      <c r="D246" s="28"/>
      <c r="E246" s="27"/>
      <c r="F246" s="28"/>
      <c r="G246" s="27"/>
      <c r="H246" s="26" t="str">
        <f aca="false">IFERROR(INDEX(Exercícios!$C$7:$C$206,MATCH($G246,Exercícios!$B$7:$B$206,0)),"")</f>
        <v/>
      </c>
      <c r="I246" s="26" t="str">
        <f aca="false">IFERROR(INDEX(Exercícios!$D$7:$D$206,MATCH($G246,Exercícios!$B$7:$B$206,0)),"")</f>
        <v/>
      </c>
      <c r="J246" s="26" t="str">
        <f aca="false">IFERROR(INDEX(Exercícios!$E$7:$E$206,MATCH($G246,Exercícios!$B$7:$B$206,0)),"")</f>
        <v/>
      </c>
      <c r="K246" s="28"/>
      <c r="L246" s="28"/>
      <c r="M246" s="27"/>
      <c r="N246" s="28"/>
      <c r="O246" s="28"/>
      <c r="P246" s="28"/>
      <c r="Q246" s="26" t="n">
        <f aca="false">IFERROR($K246*$L246,"")</f>
        <v>0</v>
      </c>
      <c r="R246" s="44" t="n">
        <f aca="false">IF(OR($O246="",$P246=""),0,$O246*$P246)</f>
        <v>0</v>
      </c>
      <c r="S246" s="27"/>
      <c r="T246" s="27"/>
      <c r="U246" s="40" t="n">
        <f aca="false">IF($A246="",0,IF(AND(OR($E246=Atleta!$C$4,$E246="Equipe (todos)"),$A246&gt;=Atleta!$C$5),MAX($U$7:U245)+1,0))</f>
        <v>0</v>
      </c>
    </row>
    <row r="247" customFormat="false" ht="15" hidden="false" customHeight="false" outlineLevel="0" collapsed="false">
      <c r="A247" s="29"/>
      <c r="B247" s="40" t="n">
        <f aca="false">IF($A247="",0,INT(($A247-Macrociclo!$C$11)/7)+1)</f>
        <v>0</v>
      </c>
      <c r="C247" s="28"/>
      <c r="D247" s="28"/>
      <c r="E247" s="27"/>
      <c r="F247" s="28"/>
      <c r="G247" s="27"/>
      <c r="H247" s="26" t="str">
        <f aca="false">IFERROR(INDEX(Exercícios!$C$7:$C$206,MATCH($G247,Exercícios!$B$7:$B$206,0)),"")</f>
        <v/>
      </c>
      <c r="I247" s="26" t="str">
        <f aca="false">IFERROR(INDEX(Exercícios!$D$7:$D$206,MATCH($G247,Exercícios!$B$7:$B$206,0)),"")</f>
        <v/>
      </c>
      <c r="J247" s="26" t="str">
        <f aca="false">IFERROR(INDEX(Exercícios!$E$7:$E$206,MATCH($G247,Exercícios!$B$7:$B$206,0)),"")</f>
        <v/>
      </c>
      <c r="K247" s="28"/>
      <c r="L247" s="28"/>
      <c r="M247" s="27"/>
      <c r="N247" s="28"/>
      <c r="O247" s="28"/>
      <c r="P247" s="28"/>
      <c r="Q247" s="26" t="n">
        <f aca="false">IFERROR($K247*$L247,"")</f>
        <v>0</v>
      </c>
      <c r="R247" s="44" t="n">
        <f aca="false">IF(OR($O247="",$P247=""),0,$O247*$P247)</f>
        <v>0</v>
      </c>
      <c r="S247" s="27"/>
      <c r="T247" s="27"/>
      <c r="U247" s="40" t="n">
        <f aca="false">IF($A247="",0,IF(AND(OR($E247=Atleta!$C$4,$E247="Equipe (todos)"),$A247&gt;=Atleta!$C$5),MAX($U$7:U246)+1,0))</f>
        <v>0</v>
      </c>
    </row>
    <row r="248" customFormat="false" ht="15" hidden="false" customHeight="false" outlineLevel="0" collapsed="false">
      <c r="A248" s="29"/>
      <c r="B248" s="40" t="n">
        <f aca="false">IF($A248="",0,INT(($A248-Macrociclo!$C$11)/7)+1)</f>
        <v>0</v>
      </c>
      <c r="C248" s="28"/>
      <c r="D248" s="28"/>
      <c r="E248" s="27"/>
      <c r="F248" s="28"/>
      <c r="G248" s="27"/>
      <c r="H248" s="26" t="str">
        <f aca="false">IFERROR(INDEX(Exercícios!$C$7:$C$206,MATCH($G248,Exercícios!$B$7:$B$206,0)),"")</f>
        <v/>
      </c>
      <c r="I248" s="26" t="str">
        <f aca="false">IFERROR(INDEX(Exercícios!$D$7:$D$206,MATCH($G248,Exercícios!$B$7:$B$206,0)),"")</f>
        <v/>
      </c>
      <c r="J248" s="26" t="str">
        <f aca="false">IFERROR(INDEX(Exercícios!$E$7:$E$206,MATCH($G248,Exercícios!$B$7:$B$206,0)),"")</f>
        <v/>
      </c>
      <c r="K248" s="28"/>
      <c r="L248" s="28"/>
      <c r="M248" s="27"/>
      <c r="N248" s="28"/>
      <c r="O248" s="28"/>
      <c r="P248" s="28"/>
      <c r="Q248" s="26" t="n">
        <f aca="false">IFERROR($K248*$L248,"")</f>
        <v>0</v>
      </c>
      <c r="R248" s="44" t="n">
        <f aca="false">IF(OR($O248="",$P248=""),0,$O248*$P248)</f>
        <v>0</v>
      </c>
      <c r="S248" s="27"/>
      <c r="T248" s="27"/>
      <c r="U248" s="40" t="n">
        <f aca="false">IF($A248="",0,IF(AND(OR($E248=Atleta!$C$4,$E248="Equipe (todos)"),$A248&gt;=Atleta!$C$5),MAX($U$7:U247)+1,0))</f>
        <v>0</v>
      </c>
    </row>
    <row r="249" customFormat="false" ht="15" hidden="false" customHeight="false" outlineLevel="0" collapsed="false">
      <c r="A249" s="29"/>
      <c r="B249" s="40" t="n">
        <f aca="false">IF($A249="",0,INT(($A249-Macrociclo!$C$11)/7)+1)</f>
        <v>0</v>
      </c>
      <c r="C249" s="28"/>
      <c r="D249" s="28"/>
      <c r="E249" s="27"/>
      <c r="F249" s="28"/>
      <c r="G249" s="27"/>
      <c r="H249" s="26" t="str">
        <f aca="false">IFERROR(INDEX(Exercícios!$C$7:$C$206,MATCH($G249,Exercícios!$B$7:$B$206,0)),"")</f>
        <v/>
      </c>
      <c r="I249" s="26" t="str">
        <f aca="false">IFERROR(INDEX(Exercícios!$D$7:$D$206,MATCH($G249,Exercícios!$B$7:$B$206,0)),"")</f>
        <v/>
      </c>
      <c r="J249" s="26" t="str">
        <f aca="false">IFERROR(INDEX(Exercícios!$E$7:$E$206,MATCH($G249,Exercícios!$B$7:$B$206,0)),"")</f>
        <v/>
      </c>
      <c r="K249" s="28"/>
      <c r="L249" s="28"/>
      <c r="M249" s="27"/>
      <c r="N249" s="28"/>
      <c r="O249" s="28"/>
      <c r="P249" s="28"/>
      <c r="Q249" s="26" t="n">
        <f aca="false">IFERROR($K249*$L249,"")</f>
        <v>0</v>
      </c>
      <c r="R249" s="44" t="n">
        <f aca="false">IF(OR($O249="",$P249=""),0,$O249*$P249)</f>
        <v>0</v>
      </c>
      <c r="S249" s="27"/>
      <c r="T249" s="27"/>
      <c r="U249" s="40" t="n">
        <f aca="false">IF($A249="",0,IF(AND(OR($E249=Atleta!$C$4,$E249="Equipe (todos)"),$A249&gt;=Atleta!$C$5),MAX($U$7:U248)+1,0))</f>
        <v>0</v>
      </c>
    </row>
    <row r="250" customFormat="false" ht="15" hidden="false" customHeight="false" outlineLevel="0" collapsed="false">
      <c r="A250" s="29"/>
      <c r="B250" s="40" t="n">
        <f aca="false">IF($A250="",0,INT(($A250-Macrociclo!$C$11)/7)+1)</f>
        <v>0</v>
      </c>
      <c r="C250" s="28"/>
      <c r="D250" s="28"/>
      <c r="E250" s="27"/>
      <c r="F250" s="28"/>
      <c r="G250" s="27"/>
      <c r="H250" s="26" t="str">
        <f aca="false">IFERROR(INDEX(Exercícios!$C$7:$C$206,MATCH($G250,Exercícios!$B$7:$B$206,0)),"")</f>
        <v/>
      </c>
      <c r="I250" s="26" t="str">
        <f aca="false">IFERROR(INDEX(Exercícios!$D$7:$D$206,MATCH($G250,Exercícios!$B$7:$B$206,0)),"")</f>
        <v/>
      </c>
      <c r="J250" s="26" t="str">
        <f aca="false">IFERROR(INDEX(Exercícios!$E$7:$E$206,MATCH($G250,Exercícios!$B$7:$B$206,0)),"")</f>
        <v/>
      </c>
      <c r="K250" s="28"/>
      <c r="L250" s="28"/>
      <c r="M250" s="27"/>
      <c r="N250" s="28"/>
      <c r="O250" s="28"/>
      <c r="P250" s="28"/>
      <c r="Q250" s="26" t="n">
        <f aca="false">IFERROR($K250*$L250,"")</f>
        <v>0</v>
      </c>
      <c r="R250" s="44" t="n">
        <f aca="false">IF(OR($O250="",$P250=""),0,$O250*$P250)</f>
        <v>0</v>
      </c>
      <c r="S250" s="27"/>
      <c r="T250" s="27"/>
      <c r="U250" s="40" t="n">
        <f aca="false">IF($A250="",0,IF(AND(OR($E250=Atleta!$C$4,$E250="Equipe (todos)"),$A250&gt;=Atleta!$C$5),MAX($U$7:U249)+1,0))</f>
        <v>0</v>
      </c>
    </row>
    <row r="251" customFormat="false" ht="15" hidden="false" customHeight="false" outlineLevel="0" collapsed="false">
      <c r="A251" s="29"/>
      <c r="B251" s="40" t="n">
        <f aca="false">IF($A251="",0,INT(($A251-Macrociclo!$C$11)/7)+1)</f>
        <v>0</v>
      </c>
      <c r="C251" s="28"/>
      <c r="D251" s="28"/>
      <c r="E251" s="27"/>
      <c r="F251" s="28"/>
      <c r="G251" s="27"/>
      <c r="H251" s="26" t="str">
        <f aca="false">IFERROR(INDEX(Exercícios!$C$7:$C$206,MATCH($G251,Exercícios!$B$7:$B$206,0)),"")</f>
        <v/>
      </c>
      <c r="I251" s="26" t="str">
        <f aca="false">IFERROR(INDEX(Exercícios!$D$7:$D$206,MATCH($G251,Exercícios!$B$7:$B$206,0)),"")</f>
        <v/>
      </c>
      <c r="J251" s="26" t="str">
        <f aca="false">IFERROR(INDEX(Exercícios!$E$7:$E$206,MATCH($G251,Exercícios!$B$7:$B$206,0)),"")</f>
        <v/>
      </c>
      <c r="K251" s="28"/>
      <c r="L251" s="28"/>
      <c r="M251" s="27"/>
      <c r="N251" s="28"/>
      <c r="O251" s="28"/>
      <c r="P251" s="28"/>
      <c r="Q251" s="26" t="n">
        <f aca="false">IFERROR($K251*$L251,"")</f>
        <v>0</v>
      </c>
      <c r="R251" s="44" t="n">
        <f aca="false">IF(OR($O251="",$P251=""),0,$O251*$P251)</f>
        <v>0</v>
      </c>
      <c r="S251" s="27"/>
      <c r="T251" s="27"/>
      <c r="U251" s="40" t="n">
        <f aca="false">IF($A251="",0,IF(AND(OR($E251=Atleta!$C$4,$E251="Equipe (todos)"),$A251&gt;=Atleta!$C$5),MAX($U$7:U250)+1,0))</f>
        <v>0</v>
      </c>
    </row>
    <row r="252" customFormat="false" ht="15" hidden="false" customHeight="false" outlineLevel="0" collapsed="false">
      <c r="A252" s="29"/>
      <c r="B252" s="40" t="n">
        <f aca="false">IF($A252="",0,INT(($A252-Macrociclo!$C$11)/7)+1)</f>
        <v>0</v>
      </c>
      <c r="C252" s="28"/>
      <c r="D252" s="28"/>
      <c r="E252" s="27"/>
      <c r="F252" s="28"/>
      <c r="G252" s="27"/>
      <c r="H252" s="26" t="str">
        <f aca="false">IFERROR(INDEX(Exercícios!$C$7:$C$206,MATCH($G252,Exercícios!$B$7:$B$206,0)),"")</f>
        <v/>
      </c>
      <c r="I252" s="26" t="str">
        <f aca="false">IFERROR(INDEX(Exercícios!$D$7:$D$206,MATCH($G252,Exercícios!$B$7:$B$206,0)),"")</f>
        <v/>
      </c>
      <c r="J252" s="26" t="str">
        <f aca="false">IFERROR(INDEX(Exercícios!$E$7:$E$206,MATCH($G252,Exercícios!$B$7:$B$206,0)),"")</f>
        <v/>
      </c>
      <c r="K252" s="28"/>
      <c r="L252" s="28"/>
      <c r="M252" s="27"/>
      <c r="N252" s="28"/>
      <c r="O252" s="28"/>
      <c r="P252" s="28"/>
      <c r="Q252" s="26" t="n">
        <f aca="false">IFERROR($K252*$L252,"")</f>
        <v>0</v>
      </c>
      <c r="R252" s="44" t="n">
        <f aca="false">IF(OR($O252="",$P252=""),0,$O252*$P252)</f>
        <v>0</v>
      </c>
      <c r="S252" s="27"/>
      <c r="T252" s="27"/>
      <c r="U252" s="40" t="n">
        <f aca="false">IF($A252="",0,IF(AND(OR($E252=Atleta!$C$4,$E252="Equipe (todos)"),$A252&gt;=Atleta!$C$5),MAX($U$7:U251)+1,0))</f>
        <v>0</v>
      </c>
    </row>
    <row r="253" customFormat="false" ht="15" hidden="false" customHeight="false" outlineLevel="0" collapsed="false">
      <c r="A253" s="29"/>
      <c r="B253" s="40" t="n">
        <f aca="false">IF($A253="",0,INT(($A253-Macrociclo!$C$11)/7)+1)</f>
        <v>0</v>
      </c>
      <c r="C253" s="28"/>
      <c r="D253" s="28"/>
      <c r="E253" s="27"/>
      <c r="F253" s="28"/>
      <c r="G253" s="27"/>
      <c r="H253" s="26" t="str">
        <f aca="false">IFERROR(INDEX(Exercícios!$C$7:$C$206,MATCH($G253,Exercícios!$B$7:$B$206,0)),"")</f>
        <v/>
      </c>
      <c r="I253" s="26" t="str">
        <f aca="false">IFERROR(INDEX(Exercícios!$D$7:$D$206,MATCH($G253,Exercícios!$B$7:$B$206,0)),"")</f>
        <v/>
      </c>
      <c r="J253" s="26" t="str">
        <f aca="false">IFERROR(INDEX(Exercícios!$E$7:$E$206,MATCH($G253,Exercícios!$B$7:$B$206,0)),"")</f>
        <v/>
      </c>
      <c r="K253" s="28"/>
      <c r="L253" s="28"/>
      <c r="M253" s="27"/>
      <c r="N253" s="28"/>
      <c r="O253" s="28"/>
      <c r="P253" s="28"/>
      <c r="Q253" s="26" t="n">
        <f aca="false">IFERROR($K253*$L253,"")</f>
        <v>0</v>
      </c>
      <c r="R253" s="44" t="n">
        <f aca="false">IF(OR($O253="",$P253=""),0,$O253*$P253)</f>
        <v>0</v>
      </c>
      <c r="S253" s="27"/>
      <c r="T253" s="27"/>
      <c r="U253" s="40" t="n">
        <f aca="false">IF($A253="",0,IF(AND(OR($E253=Atleta!$C$4,$E253="Equipe (todos)"),$A253&gt;=Atleta!$C$5),MAX($U$7:U252)+1,0))</f>
        <v>0</v>
      </c>
    </row>
    <row r="254" customFormat="false" ht="15" hidden="false" customHeight="false" outlineLevel="0" collapsed="false">
      <c r="A254" s="29"/>
      <c r="B254" s="40" t="n">
        <f aca="false">IF($A254="",0,INT(($A254-Macrociclo!$C$11)/7)+1)</f>
        <v>0</v>
      </c>
      <c r="C254" s="28"/>
      <c r="D254" s="28"/>
      <c r="E254" s="27"/>
      <c r="F254" s="28"/>
      <c r="G254" s="27"/>
      <c r="H254" s="26" t="str">
        <f aca="false">IFERROR(INDEX(Exercícios!$C$7:$C$206,MATCH($G254,Exercícios!$B$7:$B$206,0)),"")</f>
        <v/>
      </c>
      <c r="I254" s="26" t="str">
        <f aca="false">IFERROR(INDEX(Exercícios!$D$7:$D$206,MATCH($G254,Exercícios!$B$7:$B$206,0)),"")</f>
        <v/>
      </c>
      <c r="J254" s="26" t="str">
        <f aca="false">IFERROR(INDEX(Exercícios!$E$7:$E$206,MATCH($G254,Exercícios!$B$7:$B$206,0)),"")</f>
        <v/>
      </c>
      <c r="K254" s="28"/>
      <c r="L254" s="28"/>
      <c r="M254" s="27"/>
      <c r="N254" s="28"/>
      <c r="O254" s="28"/>
      <c r="P254" s="28"/>
      <c r="Q254" s="26" t="n">
        <f aca="false">IFERROR($K254*$L254,"")</f>
        <v>0</v>
      </c>
      <c r="R254" s="44" t="n">
        <f aca="false">IF(OR($O254="",$P254=""),0,$O254*$P254)</f>
        <v>0</v>
      </c>
      <c r="S254" s="27"/>
      <c r="T254" s="27"/>
      <c r="U254" s="40" t="n">
        <f aca="false">IF($A254="",0,IF(AND(OR($E254=Atleta!$C$4,$E254="Equipe (todos)"),$A254&gt;=Atleta!$C$5),MAX($U$7:U253)+1,0))</f>
        <v>0</v>
      </c>
    </row>
    <row r="255" customFormat="false" ht="15" hidden="false" customHeight="false" outlineLevel="0" collapsed="false">
      <c r="A255" s="29"/>
      <c r="B255" s="40" t="n">
        <f aca="false">IF($A255="",0,INT(($A255-Macrociclo!$C$11)/7)+1)</f>
        <v>0</v>
      </c>
      <c r="C255" s="28"/>
      <c r="D255" s="28"/>
      <c r="E255" s="27"/>
      <c r="F255" s="28"/>
      <c r="G255" s="27"/>
      <c r="H255" s="26" t="str">
        <f aca="false">IFERROR(INDEX(Exercícios!$C$7:$C$206,MATCH($G255,Exercícios!$B$7:$B$206,0)),"")</f>
        <v/>
      </c>
      <c r="I255" s="26" t="str">
        <f aca="false">IFERROR(INDEX(Exercícios!$D$7:$D$206,MATCH($G255,Exercícios!$B$7:$B$206,0)),"")</f>
        <v/>
      </c>
      <c r="J255" s="26" t="str">
        <f aca="false">IFERROR(INDEX(Exercícios!$E$7:$E$206,MATCH($G255,Exercícios!$B$7:$B$206,0)),"")</f>
        <v/>
      </c>
      <c r="K255" s="28"/>
      <c r="L255" s="28"/>
      <c r="M255" s="27"/>
      <c r="N255" s="28"/>
      <c r="O255" s="28"/>
      <c r="P255" s="28"/>
      <c r="Q255" s="26" t="n">
        <f aca="false">IFERROR($K255*$L255,"")</f>
        <v>0</v>
      </c>
      <c r="R255" s="44" t="n">
        <f aca="false">IF(OR($O255="",$P255=""),0,$O255*$P255)</f>
        <v>0</v>
      </c>
      <c r="S255" s="27"/>
      <c r="T255" s="27"/>
      <c r="U255" s="40" t="n">
        <f aca="false">IF($A255="",0,IF(AND(OR($E255=Atleta!$C$4,$E255="Equipe (todos)"),$A255&gt;=Atleta!$C$5),MAX($U$7:U254)+1,0))</f>
        <v>0</v>
      </c>
    </row>
    <row r="256" customFormat="false" ht="15" hidden="false" customHeight="false" outlineLevel="0" collapsed="false">
      <c r="A256" s="29"/>
      <c r="B256" s="40" t="n">
        <f aca="false">IF($A256="",0,INT(($A256-Macrociclo!$C$11)/7)+1)</f>
        <v>0</v>
      </c>
      <c r="C256" s="28"/>
      <c r="D256" s="28"/>
      <c r="E256" s="27"/>
      <c r="F256" s="28"/>
      <c r="G256" s="27"/>
      <c r="H256" s="26" t="str">
        <f aca="false">IFERROR(INDEX(Exercícios!$C$7:$C$206,MATCH($G256,Exercícios!$B$7:$B$206,0)),"")</f>
        <v/>
      </c>
      <c r="I256" s="26" t="str">
        <f aca="false">IFERROR(INDEX(Exercícios!$D$7:$D$206,MATCH($G256,Exercícios!$B$7:$B$206,0)),"")</f>
        <v/>
      </c>
      <c r="J256" s="26" t="str">
        <f aca="false">IFERROR(INDEX(Exercícios!$E$7:$E$206,MATCH($G256,Exercícios!$B$7:$B$206,0)),"")</f>
        <v/>
      </c>
      <c r="K256" s="28"/>
      <c r="L256" s="28"/>
      <c r="M256" s="27"/>
      <c r="N256" s="28"/>
      <c r="O256" s="28"/>
      <c r="P256" s="28"/>
      <c r="Q256" s="26" t="n">
        <f aca="false">IFERROR($K256*$L256,"")</f>
        <v>0</v>
      </c>
      <c r="R256" s="44" t="n">
        <f aca="false">IF(OR($O256="",$P256=""),0,$O256*$P256)</f>
        <v>0</v>
      </c>
      <c r="S256" s="27"/>
      <c r="T256" s="27"/>
      <c r="U256" s="40" t="n">
        <f aca="false">IF($A256="",0,IF(AND(OR($E256=Atleta!$C$4,$E256="Equipe (todos)"),$A256&gt;=Atleta!$C$5),MAX($U$7:U255)+1,0))</f>
        <v>0</v>
      </c>
    </row>
    <row r="257" customFormat="false" ht="15" hidden="false" customHeight="false" outlineLevel="0" collapsed="false">
      <c r="A257" s="29"/>
      <c r="B257" s="40" t="n">
        <f aca="false">IF($A257="",0,INT(($A257-Macrociclo!$C$11)/7)+1)</f>
        <v>0</v>
      </c>
      <c r="C257" s="28"/>
      <c r="D257" s="28"/>
      <c r="E257" s="27"/>
      <c r="F257" s="28"/>
      <c r="G257" s="27"/>
      <c r="H257" s="26" t="str">
        <f aca="false">IFERROR(INDEX(Exercícios!$C$7:$C$206,MATCH($G257,Exercícios!$B$7:$B$206,0)),"")</f>
        <v/>
      </c>
      <c r="I257" s="26" t="str">
        <f aca="false">IFERROR(INDEX(Exercícios!$D$7:$D$206,MATCH($G257,Exercícios!$B$7:$B$206,0)),"")</f>
        <v/>
      </c>
      <c r="J257" s="26" t="str">
        <f aca="false">IFERROR(INDEX(Exercícios!$E$7:$E$206,MATCH($G257,Exercícios!$B$7:$B$206,0)),"")</f>
        <v/>
      </c>
      <c r="K257" s="28"/>
      <c r="L257" s="28"/>
      <c r="M257" s="27"/>
      <c r="N257" s="28"/>
      <c r="O257" s="28"/>
      <c r="P257" s="28"/>
      <c r="Q257" s="26" t="n">
        <f aca="false">IFERROR($K257*$L257,"")</f>
        <v>0</v>
      </c>
      <c r="R257" s="44" t="n">
        <f aca="false">IF(OR($O257="",$P257=""),0,$O257*$P257)</f>
        <v>0</v>
      </c>
      <c r="S257" s="27"/>
      <c r="T257" s="27"/>
      <c r="U257" s="40" t="n">
        <f aca="false">IF($A257="",0,IF(AND(OR($E257=Atleta!$C$4,$E257="Equipe (todos)"),$A257&gt;=Atleta!$C$5),MAX($U$7:U256)+1,0))</f>
        <v>0</v>
      </c>
    </row>
    <row r="258" customFormat="false" ht="15" hidden="false" customHeight="false" outlineLevel="0" collapsed="false">
      <c r="A258" s="29"/>
      <c r="B258" s="40" t="n">
        <f aca="false">IF($A258="",0,INT(($A258-Macrociclo!$C$11)/7)+1)</f>
        <v>0</v>
      </c>
      <c r="C258" s="28"/>
      <c r="D258" s="28"/>
      <c r="E258" s="27"/>
      <c r="F258" s="28"/>
      <c r="G258" s="27"/>
      <c r="H258" s="26" t="str">
        <f aca="false">IFERROR(INDEX(Exercícios!$C$7:$C$206,MATCH($G258,Exercícios!$B$7:$B$206,0)),"")</f>
        <v/>
      </c>
      <c r="I258" s="26" t="str">
        <f aca="false">IFERROR(INDEX(Exercícios!$D$7:$D$206,MATCH($G258,Exercícios!$B$7:$B$206,0)),"")</f>
        <v/>
      </c>
      <c r="J258" s="26" t="str">
        <f aca="false">IFERROR(INDEX(Exercícios!$E$7:$E$206,MATCH($G258,Exercícios!$B$7:$B$206,0)),"")</f>
        <v/>
      </c>
      <c r="K258" s="28"/>
      <c r="L258" s="28"/>
      <c r="M258" s="27"/>
      <c r="N258" s="28"/>
      <c r="O258" s="28"/>
      <c r="P258" s="28"/>
      <c r="Q258" s="26" t="n">
        <f aca="false">IFERROR($K258*$L258,"")</f>
        <v>0</v>
      </c>
      <c r="R258" s="44" t="n">
        <f aca="false">IF(OR($O258="",$P258=""),0,$O258*$P258)</f>
        <v>0</v>
      </c>
      <c r="S258" s="27"/>
      <c r="T258" s="27"/>
      <c r="U258" s="40" t="n">
        <f aca="false">IF($A258="",0,IF(AND(OR($E258=Atleta!$C$4,$E258="Equipe (todos)"),$A258&gt;=Atleta!$C$5),MAX($U$7:U257)+1,0))</f>
        <v>0</v>
      </c>
    </row>
    <row r="259" customFormat="false" ht="15" hidden="false" customHeight="false" outlineLevel="0" collapsed="false">
      <c r="A259" s="29"/>
      <c r="B259" s="40" t="n">
        <f aca="false">IF($A259="",0,INT(($A259-Macrociclo!$C$11)/7)+1)</f>
        <v>0</v>
      </c>
      <c r="C259" s="28"/>
      <c r="D259" s="28"/>
      <c r="E259" s="27"/>
      <c r="F259" s="28"/>
      <c r="G259" s="27"/>
      <c r="H259" s="26" t="str">
        <f aca="false">IFERROR(INDEX(Exercícios!$C$7:$C$206,MATCH($G259,Exercícios!$B$7:$B$206,0)),"")</f>
        <v/>
      </c>
      <c r="I259" s="26" t="str">
        <f aca="false">IFERROR(INDEX(Exercícios!$D$7:$D$206,MATCH($G259,Exercícios!$B$7:$B$206,0)),"")</f>
        <v/>
      </c>
      <c r="J259" s="26" t="str">
        <f aca="false">IFERROR(INDEX(Exercícios!$E$7:$E$206,MATCH($G259,Exercícios!$B$7:$B$206,0)),"")</f>
        <v/>
      </c>
      <c r="K259" s="28"/>
      <c r="L259" s="28"/>
      <c r="M259" s="27"/>
      <c r="N259" s="28"/>
      <c r="O259" s="28"/>
      <c r="P259" s="28"/>
      <c r="Q259" s="26" t="n">
        <f aca="false">IFERROR($K259*$L259,"")</f>
        <v>0</v>
      </c>
      <c r="R259" s="44" t="n">
        <f aca="false">IF(OR($O259="",$P259=""),0,$O259*$P259)</f>
        <v>0</v>
      </c>
      <c r="S259" s="27"/>
      <c r="T259" s="27"/>
      <c r="U259" s="40" t="n">
        <f aca="false">IF($A259="",0,IF(AND(OR($E259=Atleta!$C$4,$E259="Equipe (todos)"),$A259&gt;=Atleta!$C$5),MAX($U$7:U258)+1,0))</f>
        <v>0</v>
      </c>
    </row>
    <row r="260" customFormat="false" ht="15" hidden="false" customHeight="false" outlineLevel="0" collapsed="false">
      <c r="A260" s="29"/>
      <c r="B260" s="40" t="n">
        <f aca="false">IF($A260="",0,INT(($A260-Macrociclo!$C$11)/7)+1)</f>
        <v>0</v>
      </c>
      <c r="C260" s="28"/>
      <c r="D260" s="28"/>
      <c r="E260" s="27"/>
      <c r="F260" s="28"/>
      <c r="G260" s="27"/>
      <c r="H260" s="26" t="str">
        <f aca="false">IFERROR(INDEX(Exercícios!$C$7:$C$206,MATCH($G260,Exercícios!$B$7:$B$206,0)),"")</f>
        <v/>
      </c>
      <c r="I260" s="26" t="str">
        <f aca="false">IFERROR(INDEX(Exercícios!$D$7:$D$206,MATCH($G260,Exercícios!$B$7:$B$206,0)),"")</f>
        <v/>
      </c>
      <c r="J260" s="26" t="str">
        <f aca="false">IFERROR(INDEX(Exercícios!$E$7:$E$206,MATCH($G260,Exercícios!$B$7:$B$206,0)),"")</f>
        <v/>
      </c>
      <c r="K260" s="28"/>
      <c r="L260" s="28"/>
      <c r="M260" s="27"/>
      <c r="N260" s="28"/>
      <c r="O260" s="28"/>
      <c r="P260" s="28"/>
      <c r="Q260" s="26" t="n">
        <f aca="false">IFERROR($K260*$L260,"")</f>
        <v>0</v>
      </c>
      <c r="R260" s="44" t="n">
        <f aca="false">IF(OR($O260="",$P260=""),0,$O260*$P260)</f>
        <v>0</v>
      </c>
      <c r="S260" s="27"/>
      <c r="T260" s="27"/>
      <c r="U260" s="40" t="n">
        <f aca="false">IF($A260="",0,IF(AND(OR($E260=Atleta!$C$4,$E260="Equipe (todos)"),$A260&gt;=Atleta!$C$5),MAX($U$7:U259)+1,0))</f>
        <v>0</v>
      </c>
    </row>
    <row r="261" customFormat="false" ht="15" hidden="false" customHeight="false" outlineLevel="0" collapsed="false">
      <c r="A261" s="29"/>
      <c r="B261" s="40" t="n">
        <f aca="false">IF($A261="",0,INT(($A261-Macrociclo!$C$11)/7)+1)</f>
        <v>0</v>
      </c>
      <c r="C261" s="28"/>
      <c r="D261" s="28"/>
      <c r="E261" s="27"/>
      <c r="F261" s="28"/>
      <c r="G261" s="27"/>
      <c r="H261" s="26" t="str">
        <f aca="false">IFERROR(INDEX(Exercícios!$C$7:$C$206,MATCH($G261,Exercícios!$B$7:$B$206,0)),"")</f>
        <v/>
      </c>
      <c r="I261" s="26" t="str">
        <f aca="false">IFERROR(INDEX(Exercícios!$D$7:$D$206,MATCH($G261,Exercícios!$B$7:$B$206,0)),"")</f>
        <v/>
      </c>
      <c r="J261" s="26" t="str">
        <f aca="false">IFERROR(INDEX(Exercícios!$E$7:$E$206,MATCH($G261,Exercícios!$B$7:$B$206,0)),"")</f>
        <v/>
      </c>
      <c r="K261" s="28"/>
      <c r="L261" s="28"/>
      <c r="M261" s="27"/>
      <c r="N261" s="28"/>
      <c r="O261" s="28"/>
      <c r="P261" s="28"/>
      <c r="Q261" s="26" t="n">
        <f aca="false">IFERROR($K261*$L261,"")</f>
        <v>0</v>
      </c>
      <c r="R261" s="44" t="n">
        <f aca="false">IF(OR($O261="",$P261=""),0,$O261*$P261)</f>
        <v>0</v>
      </c>
      <c r="S261" s="27"/>
      <c r="T261" s="27"/>
      <c r="U261" s="40" t="n">
        <f aca="false">IF($A261="",0,IF(AND(OR($E261=Atleta!$C$4,$E261="Equipe (todos)"),$A261&gt;=Atleta!$C$5),MAX($U$7:U260)+1,0))</f>
        <v>0</v>
      </c>
    </row>
    <row r="262" customFormat="false" ht="15" hidden="false" customHeight="false" outlineLevel="0" collapsed="false">
      <c r="A262" s="29"/>
      <c r="B262" s="40" t="n">
        <f aca="false">IF($A262="",0,INT(($A262-Macrociclo!$C$11)/7)+1)</f>
        <v>0</v>
      </c>
      <c r="C262" s="28"/>
      <c r="D262" s="28"/>
      <c r="E262" s="27"/>
      <c r="F262" s="28"/>
      <c r="G262" s="27"/>
      <c r="H262" s="26" t="str">
        <f aca="false">IFERROR(INDEX(Exercícios!$C$7:$C$206,MATCH($G262,Exercícios!$B$7:$B$206,0)),"")</f>
        <v/>
      </c>
      <c r="I262" s="26" t="str">
        <f aca="false">IFERROR(INDEX(Exercícios!$D$7:$D$206,MATCH($G262,Exercícios!$B$7:$B$206,0)),"")</f>
        <v/>
      </c>
      <c r="J262" s="26" t="str">
        <f aca="false">IFERROR(INDEX(Exercícios!$E$7:$E$206,MATCH($G262,Exercícios!$B$7:$B$206,0)),"")</f>
        <v/>
      </c>
      <c r="K262" s="28"/>
      <c r="L262" s="28"/>
      <c r="M262" s="27"/>
      <c r="N262" s="28"/>
      <c r="O262" s="28"/>
      <c r="P262" s="28"/>
      <c r="Q262" s="26" t="n">
        <f aca="false">IFERROR($K262*$L262,"")</f>
        <v>0</v>
      </c>
      <c r="R262" s="44" t="n">
        <f aca="false">IF(OR($O262="",$P262=""),0,$O262*$P262)</f>
        <v>0</v>
      </c>
      <c r="S262" s="27"/>
      <c r="T262" s="27"/>
      <c r="U262" s="40" t="n">
        <f aca="false">IF($A262="",0,IF(AND(OR($E262=Atleta!$C$4,$E262="Equipe (todos)"),$A262&gt;=Atleta!$C$5),MAX($U$7:U261)+1,0))</f>
        <v>0</v>
      </c>
    </row>
    <row r="263" customFormat="false" ht="15" hidden="false" customHeight="false" outlineLevel="0" collapsed="false">
      <c r="A263" s="29"/>
      <c r="B263" s="40" t="n">
        <f aca="false">IF($A263="",0,INT(($A263-Macrociclo!$C$11)/7)+1)</f>
        <v>0</v>
      </c>
      <c r="C263" s="28"/>
      <c r="D263" s="28"/>
      <c r="E263" s="27"/>
      <c r="F263" s="28"/>
      <c r="G263" s="27"/>
      <c r="H263" s="26" t="str">
        <f aca="false">IFERROR(INDEX(Exercícios!$C$7:$C$206,MATCH($G263,Exercícios!$B$7:$B$206,0)),"")</f>
        <v/>
      </c>
      <c r="I263" s="26" t="str">
        <f aca="false">IFERROR(INDEX(Exercícios!$D$7:$D$206,MATCH($G263,Exercícios!$B$7:$B$206,0)),"")</f>
        <v/>
      </c>
      <c r="J263" s="26" t="str">
        <f aca="false">IFERROR(INDEX(Exercícios!$E$7:$E$206,MATCH($G263,Exercícios!$B$7:$B$206,0)),"")</f>
        <v/>
      </c>
      <c r="K263" s="28"/>
      <c r="L263" s="28"/>
      <c r="M263" s="27"/>
      <c r="N263" s="28"/>
      <c r="O263" s="28"/>
      <c r="P263" s="28"/>
      <c r="Q263" s="26" t="n">
        <f aca="false">IFERROR($K263*$L263,"")</f>
        <v>0</v>
      </c>
      <c r="R263" s="44" t="n">
        <f aca="false">IF(OR($O263="",$P263=""),0,$O263*$P263)</f>
        <v>0</v>
      </c>
      <c r="S263" s="27"/>
      <c r="T263" s="27"/>
      <c r="U263" s="40" t="n">
        <f aca="false">IF($A263="",0,IF(AND(OR($E263=Atleta!$C$4,$E263="Equipe (todos)"),$A263&gt;=Atleta!$C$5),MAX($U$7:U262)+1,0))</f>
        <v>0</v>
      </c>
    </row>
    <row r="264" customFormat="false" ht="15" hidden="false" customHeight="false" outlineLevel="0" collapsed="false">
      <c r="A264" s="29"/>
      <c r="B264" s="40" t="n">
        <f aca="false">IF($A264="",0,INT(($A264-Macrociclo!$C$11)/7)+1)</f>
        <v>0</v>
      </c>
      <c r="C264" s="28"/>
      <c r="D264" s="28"/>
      <c r="E264" s="27"/>
      <c r="F264" s="28"/>
      <c r="G264" s="27"/>
      <c r="H264" s="26" t="str">
        <f aca="false">IFERROR(INDEX(Exercícios!$C$7:$C$206,MATCH($G264,Exercícios!$B$7:$B$206,0)),"")</f>
        <v/>
      </c>
      <c r="I264" s="26" t="str">
        <f aca="false">IFERROR(INDEX(Exercícios!$D$7:$D$206,MATCH($G264,Exercícios!$B$7:$B$206,0)),"")</f>
        <v/>
      </c>
      <c r="J264" s="26" t="str">
        <f aca="false">IFERROR(INDEX(Exercícios!$E$7:$E$206,MATCH($G264,Exercícios!$B$7:$B$206,0)),"")</f>
        <v/>
      </c>
      <c r="K264" s="28"/>
      <c r="L264" s="28"/>
      <c r="M264" s="27"/>
      <c r="N264" s="28"/>
      <c r="O264" s="28"/>
      <c r="P264" s="28"/>
      <c r="Q264" s="26" t="n">
        <f aca="false">IFERROR($K264*$L264,"")</f>
        <v>0</v>
      </c>
      <c r="R264" s="44" t="n">
        <f aca="false">IF(OR($O264="",$P264=""),0,$O264*$P264)</f>
        <v>0</v>
      </c>
      <c r="S264" s="27"/>
      <c r="T264" s="27"/>
      <c r="U264" s="40" t="n">
        <f aca="false">IF($A264="",0,IF(AND(OR($E264=Atleta!$C$4,$E264="Equipe (todos)"),$A264&gt;=Atleta!$C$5),MAX($U$7:U263)+1,0))</f>
        <v>0</v>
      </c>
    </row>
    <row r="265" customFormat="false" ht="15" hidden="false" customHeight="false" outlineLevel="0" collapsed="false">
      <c r="A265" s="29"/>
      <c r="B265" s="40" t="n">
        <f aca="false">IF($A265="",0,INT(($A265-Macrociclo!$C$11)/7)+1)</f>
        <v>0</v>
      </c>
      <c r="C265" s="28"/>
      <c r="D265" s="28"/>
      <c r="E265" s="27"/>
      <c r="F265" s="28"/>
      <c r="G265" s="27"/>
      <c r="H265" s="26" t="str">
        <f aca="false">IFERROR(INDEX(Exercícios!$C$7:$C$206,MATCH($G265,Exercícios!$B$7:$B$206,0)),"")</f>
        <v/>
      </c>
      <c r="I265" s="26" t="str">
        <f aca="false">IFERROR(INDEX(Exercícios!$D$7:$D$206,MATCH($G265,Exercícios!$B$7:$B$206,0)),"")</f>
        <v/>
      </c>
      <c r="J265" s="26" t="str">
        <f aca="false">IFERROR(INDEX(Exercícios!$E$7:$E$206,MATCH($G265,Exercícios!$B$7:$B$206,0)),"")</f>
        <v/>
      </c>
      <c r="K265" s="28"/>
      <c r="L265" s="28"/>
      <c r="M265" s="27"/>
      <c r="N265" s="28"/>
      <c r="O265" s="28"/>
      <c r="P265" s="28"/>
      <c r="Q265" s="26" t="n">
        <f aca="false">IFERROR($K265*$L265,"")</f>
        <v>0</v>
      </c>
      <c r="R265" s="44" t="n">
        <f aca="false">IF(OR($O265="",$P265=""),0,$O265*$P265)</f>
        <v>0</v>
      </c>
      <c r="S265" s="27"/>
      <c r="T265" s="27"/>
      <c r="U265" s="40" t="n">
        <f aca="false">IF($A265="",0,IF(AND(OR($E265=Atleta!$C$4,$E265="Equipe (todos)"),$A265&gt;=Atleta!$C$5),MAX($U$7:U264)+1,0))</f>
        <v>0</v>
      </c>
    </row>
    <row r="266" customFormat="false" ht="15" hidden="false" customHeight="false" outlineLevel="0" collapsed="false">
      <c r="A266" s="29"/>
      <c r="B266" s="40" t="n">
        <f aca="false">IF($A266="",0,INT(($A266-Macrociclo!$C$11)/7)+1)</f>
        <v>0</v>
      </c>
      <c r="C266" s="28"/>
      <c r="D266" s="28"/>
      <c r="E266" s="27"/>
      <c r="F266" s="28"/>
      <c r="G266" s="27"/>
      <c r="H266" s="26" t="str">
        <f aca="false">IFERROR(INDEX(Exercícios!$C$7:$C$206,MATCH($G266,Exercícios!$B$7:$B$206,0)),"")</f>
        <v/>
      </c>
      <c r="I266" s="26" t="str">
        <f aca="false">IFERROR(INDEX(Exercícios!$D$7:$D$206,MATCH($G266,Exercícios!$B$7:$B$206,0)),"")</f>
        <v/>
      </c>
      <c r="J266" s="26" t="str">
        <f aca="false">IFERROR(INDEX(Exercícios!$E$7:$E$206,MATCH($G266,Exercícios!$B$7:$B$206,0)),"")</f>
        <v/>
      </c>
      <c r="K266" s="28"/>
      <c r="L266" s="28"/>
      <c r="M266" s="27"/>
      <c r="N266" s="28"/>
      <c r="O266" s="28"/>
      <c r="P266" s="28"/>
      <c r="Q266" s="26" t="n">
        <f aca="false">IFERROR($K266*$L266,"")</f>
        <v>0</v>
      </c>
      <c r="R266" s="44" t="n">
        <f aca="false">IF(OR($O266="",$P266=""),0,$O266*$P266)</f>
        <v>0</v>
      </c>
      <c r="S266" s="27"/>
      <c r="T266" s="27"/>
      <c r="U266" s="40" t="n">
        <f aca="false">IF($A266="",0,IF(AND(OR($E266=Atleta!$C$4,$E266="Equipe (todos)"),$A266&gt;=Atleta!$C$5),MAX($U$7:U265)+1,0))</f>
        <v>0</v>
      </c>
    </row>
    <row r="267" customFormat="false" ht="15" hidden="false" customHeight="false" outlineLevel="0" collapsed="false">
      <c r="A267" s="29"/>
      <c r="B267" s="40" t="n">
        <f aca="false">IF($A267="",0,INT(($A267-Macrociclo!$C$11)/7)+1)</f>
        <v>0</v>
      </c>
      <c r="C267" s="28"/>
      <c r="D267" s="28"/>
      <c r="E267" s="27"/>
      <c r="F267" s="28"/>
      <c r="G267" s="27"/>
      <c r="H267" s="26" t="str">
        <f aca="false">IFERROR(INDEX(Exercícios!$C$7:$C$206,MATCH($G267,Exercícios!$B$7:$B$206,0)),"")</f>
        <v/>
      </c>
      <c r="I267" s="26" t="str">
        <f aca="false">IFERROR(INDEX(Exercícios!$D$7:$D$206,MATCH($G267,Exercícios!$B$7:$B$206,0)),"")</f>
        <v/>
      </c>
      <c r="J267" s="26" t="str">
        <f aca="false">IFERROR(INDEX(Exercícios!$E$7:$E$206,MATCH($G267,Exercícios!$B$7:$B$206,0)),"")</f>
        <v/>
      </c>
      <c r="K267" s="28"/>
      <c r="L267" s="28"/>
      <c r="M267" s="27"/>
      <c r="N267" s="28"/>
      <c r="O267" s="28"/>
      <c r="P267" s="28"/>
      <c r="Q267" s="26" t="n">
        <f aca="false">IFERROR($K267*$L267,"")</f>
        <v>0</v>
      </c>
      <c r="R267" s="44" t="n">
        <f aca="false">IF(OR($O267="",$P267=""),0,$O267*$P267)</f>
        <v>0</v>
      </c>
      <c r="S267" s="27"/>
      <c r="T267" s="27"/>
      <c r="U267" s="40" t="n">
        <f aca="false">IF($A267="",0,IF(AND(OR($E267=Atleta!$C$4,$E267="Equipe (todos)"),$A267&gt;=Atleta!$C$5),MAX($U$7:U266)+1,0))</f>
        <v>0</v>
      </c>
    </row>
    <row r="268" customFormat="false" ht="15" hidden="false" customHeight="false" outlineLevel="0" collapsed="false">
      <c r="A268" s="29"/>
      <c r="B268" s="40" t="n">
        <f aca="false">IF($A268="",0,INT(($A268-Macrociclo!$C$11)/7)+1)</f>
        <v>0</v>
      </c>
      <c r="C268" s="28"/>
      <c r="D268" s="28"/>
      <c r="E268" s="27"/>
      <c r="F268" s="28"/>
      <c r="G268" s="27"/>
      <c r="H268" s="26" t="str">
        <f aca="false">IFERROR(INDEX(Exercícios!$C$7:$C$206,MATCH($G268,Exercícios!$B$7:$B$206,0)),"")</f>
        <v/>
      </c>
      <c r="I268" s="26" t="str">
        <f aca="false">IFERROR(INDEX(Exercícios!$D$7:$D$206,MATCH($G268,Exercícios!$B$7:$B$206,0)),"")</f>
        <v/>
      </c>
      <c r="J268" s="26" t="str">
        <f aca="false">IFERROR(INDEX(Exercícios!$E$7:$E$206,MATCH($G268,Exercícios!$B$7:$B$206,0)),"")</f>
        <v/>
      </c>
      <c r="K268" s="28"/>
      <c r="L268" s="28"/>
      <c r="M268" s="27"/>
      <c r="N268" s="28"/>
      <c r="O268" s="28"/>
      <c r="P268" s="28"/>
      <c r="Q268" s="26" t="n">
        <f aca="false">IFERROR($K268*$L268,"")</f>
        <v>0</v>
      </c>
      <c r="R268" s="44" t="n">
        <f aca="false">IF(OR($O268="",$P268=""),0,$O268*$P268)</f>
        <v>0</v>
      </c>
      <c r="S268" s="27"/>
      <c r="T268" s="27"/>
      <c r="U268" s="40" t="n">
        <f aca="false">IF($A268="",0,IF(AND(OR($E268=Atleta!$C$4,$E268="Equipe (todos)"),$A268&gt;=Atleta!$C$5),MAX($U$7:U267)+1,0))</f>
        <v>0</v>
      </c>
    </row>
    <row r="269" customFormat="false" ht="15" hidden="false" customHeight="false" outlineLevel="0" collapsed="false">
      <c r="A269" s="29"/>
      <c r="B269" s="40" t="n">
        <f aca="false">IF($A269="",0,INT(($A269-Macrociclo!$C$11)/7)+1)</f>
        <v>0</v>
      </c>
      <c r="C269" s="28"/>
      <c r="D269" s="28"/>
      <c r="E269" s="27"/>
      <c r="F269" s="28"/>
      <c r="G269" s="27"/>
      <c r="H269" s="26" t="str">
        <f aca="false">IFERROR(INDEX(Exercícios!$C$7:$C$206,MATCH($G269,Exercícios!$B$7:$B$206,0)),"")</f>
        <v/>
      </c>
      <c r="I269" s="26" t="str">
        <f aca="false">IFERROR(INDEX(Exercícios!$D$7:$D$206,MATCH($G269,Exercícios!$B$7:$B$206,0)),"")</f>
        <v/>
      </c>
      <c r="J269" s="26" t="str">
        <f aca="false">IFERROR(INDEX(Exercícios!$E$7:$E$206,MATCH($G269,Exercícios!$B$7:$B$206,0)),"")</f>
        <v/>
      </c>
      <c r="K269" s="28"/>
      <c r="L269" s="28"/>
      <c r="M269" s="27"/>
      <c r="N269" s="28"/>
      <c r="O269" s="28"/>
      <c r="P269" s="28"/>
      <c r="Q269" s="26" t="n">
        <f aca="false">IFERROR($K269*$L269,"")</f>
        <v>0</v>
      </c>
      <c r="R269" s="44" t="n">
        <f aca="false">IF(OR($O269="",$P269=""),0,$O269*$P269)</f>
        <v>0</v>
      </c>
      <c r="S269" s="27"/>
      <c r="T269" s="27"/>
      <c r="U269" s="40" t="n">
        <f aca="false">IF($A269="",0,IF(AND(OR($E269=Atleta!$C$4,$E269="Equipe (todos)"),$A269&gt;=Atleta!$C$5),MAX($U$7:U268)+1,0))</f>
        <v>0</v>
      </c>
    </row>
    <row r="270" customFormat="false" ht="15" hidden="false" customHeight="false" outlineLevel="0" collapsed="false">
      <c r="A270" s="29"/>
      <c r="B270" s="40" t="n">
        <f aca="false">IF($A270="",0,INT(($A270-Macrociclo!$C$11)/7)+1)</f>
        <v>0</v>
      </c>
      <c r="C270" s="28"/>
      <c r="D270" s="28"/>
      <c r="E270" s="27"/>
      <c r="F270" s="28"/>
      <c r="G270" s="27"/>
      <c r="H270" s="26" t="str">
        <f aca="false">IFERROR(INDEX(Exercícios!$C$7:$C$206,MATCH($G270,Exercícios!$B$7:$B$206,0)),"")</f>
        <v/>
      </c>
      <c r="I270" s="26" t="str">
        <f aca="false">IFERROR(INDEX(Exercícios!$D$7:$D$206,MATCH($G270,Exercícios!$B$7:$B$206,0)),"")</f>
        <v/>
      </c>
      <c r="J270" s="26" t="str">
        <f aca="false">IFERROR(INDEX(Exercícios!$E$7:$E$206,MATCH($G270,Exercícios!$B$7:$B$206,0)),"")</f>
        <v/>
      </c>
      <c r="K270" s="28"/>
      <c r="L270" s="28"/>
      <c r="M270" s="27"/>
      <c r="N270" s="28"/>
      <c r="O270" s="28"/>
      <c r="P270" s="28"/>
      <c r="Q270" s="26" t="n">
        <f aca="false">IFERROR($K270*$L270,"")</f>
        <v>0</v>
      </c>
      <c r="R270" s="44" t="n">
        <f aca="false">IF(OR($O270="",$P270=""),0,$O270*$P270)</f>
        <v>0</v>
      </c>
      <c r="S270" s="27"/>
      <c r="T270" s="27"/>
      <c r="U270" s="40" t="n">
        <f aca="false">IF($A270="",0,IF(AND(OR($E270=Atleta!$C$4,$E270="Equipe (todos)"),$A270&gt;=Atleta!$C$5),MAX($U$7:U269)+1,0))</f>
        <v>0</v>
      </c>
    </row>
    <row r="271" customFormat="false" ht="15" hidden="false" customHeight="false" outlineLevel="0" collapsed="false">
      <c r="A271" s="29"/>
      <c r="B271" s="40" t="n">
        <f aca="false">IF($A271="",0,INT(($A271-Macrociclo!$C$11)/7)+1)</f>
        <v>0</v>
      </c>
      <c r="C271" s="28"/>
      <c r="D271" s="28"/>
      <c r="E271" s="27"/>
      <c r="F271" s="28"/>
      <c r="G271" s="27"/>
      <c r="H271" s="26" t="str">
        <f aca="false">IFERROR(INDEX(Exercícios!$C$7:$C$206,MATCH($G271,Exercícios!$B$7:$B$206,0)),"")</f>
        <v/>
      </c>
      <c r="I271" s="26" t="str">
        <f aca="false">IFERROR(INDEX(Exercícios!$D$7:$D$206,MATCH($G271,Exercícios!$B$7:$B$206,0)),"")</f>
        <v/>
      </c>
      <c r="J271" s="26" t="str">
        <f aca="false">IFERROR(INDEX(Exercícios!$E$7:$E$206,MATCH($G271,Exercícios!$B$7:$B$206,0)),"")</f>
        <v/>
      </c>
      <c r="K271" s="28"/>
      <c r="L271" s="28"/>
      <c r="M271" s="27"/>
      <c r="N271" s="28"/>
      <c r="O271" s="28"/>
      <c r="P271" s="28"/>
      <c r="Q271" s="26" t="n">
        <f aca="false">IFERROR($K271*$L271,"")</f>
        <v>0</v>
      </c>
      <c r="R271" s="44" t="n">
        <f aca="false">IF(OR($O271="",$P271=""),0,$O271*$P271)</f>
        <v>0</v>
      </c>
      <c r="S271" s="27"/>
      <c r="T271" s="27"/>
      <c r="U271" s="40" t="n">
        <f aca="false">IF($A271="",0,IF(AND(OR($E271=Atleta!$C$4,$E271="Equipe (todos)"),$A271&gt;=Atleta!$C$5),MAX($U$7:U270)+1,0))</f>
        <v>0</v>
      </c>
    </row>
    <row r="272" customFormat="false" ht="15" hidden="false" customHeight="false" outlineLevel="0" collapsed="false">
      <c r="A272" s="29"/>
      <c r="B272" s="40" t="n">
        <f aca="false">IF($A272="",0,INT(($A272-Macrociclo!$C$11)/7)+1)</f>
        <v>0</v>
      </c>
      <c r="C272" s="28"/>
      <c r="D272" s="28"/>
      <c r="E272" s="27"/>
      <c r="F272" s="28"/>
      <c r="G272" s="27"/>
      <c r="H272" s="26" t="str">
        <f aca="false">IFERROR(INDEX(Exercícios!$C$7:$C$206,MATCH($G272,Exercícios!$B$7:$B$206,0)),"")</f>
        <v/>
      </c>
      <c r="I272" s="26" t="str">
        <f aca="false">IFERROR(INDEX(Exercícios!$D$7:$D$206,MATCH($G272,Exercícios!$B$7:$B$206,0)),"")</f>
        <v/>
      </c>
      <c r="J272" s="26" t="str">
        <f aca="false">IFERROR(INDEX(Exercícios!$E$7:$E$206,MATCH($G272,Exercícios!$B$7:$B$206,0)),"")</f>
        <v/>
      </c>
      <c r="K272" s="28"/>
      <c r="L272" s="28"/>
      <c r="M272" s="27"/>
      <c r="N272" s="28"/>
      <c r="O272" s="28"/>
      <c r="P272" s="28"/>
      <c r="Q272" s="26" t="n">
        <f aca="false">IFERROR($K272*$L272,"")</f>
        <v>0</v>
      </c>
      <c r="R272" s="44" t="n">
        <f aca="false">IF(OR($O272="",$P272=""),0,$O272*$P272)</f>
        <v>0</v>
      </c>
      <c r="S272" s="27"/>
      <c r="T272" s="27"/>
      <c r="U272" s="40" t="n">
        <f aca="false">IF($A272="",0,IF(AND(OR($E272=Atleta!$C$4,$E272="Equipe (todos)"),$A272&gt;=Atleta!$C$5),MAX($U$7:U271)+1,0))</f>
        <v>0</v>
      </c>
    </row>
    <row r="273" customFormat="false" ht="15" hidden="false" customHeight="false" outlineLevel="0" collapsed="false">
      <c r="A273" s="29"/>
      <c r="B273" s="40" t="n">
        <f aca="false">IF($A273="",0,INT(($A273-Macrociclo!$C$11)/7)+1)</f>
        <v>0</v>
      </c>
      <c r="C273" s="28"/>
      <c r="D273" s="28"/>
      <c r="E273" s="27"/>
      <c r="F273" s="28"/>
      <c r="G273" s="27"/>
      <c r="H273" s="26" t="str">
        <f aca="false">IFERROR(INDEX(Exercícios!$C$7:$C$206,MATCH($G273,Exercícios!$B$7:$B$206,0)),"")</f>
        <v/>
      </c>
      <c r="I273" s="26" t="str">
        <f aca="false">IFERROR(INDEX(Exercícios!$D$7:$D$206,MATCH($G273,Exercícios!$B$7:$B$206,0)),"")</f>
        <v/>
      </c>
      <c r="J273" s="26" t="str">
        <f aca="false">IFERROR(INDEX(Exercícios!$E$7:$E$206,MATCH($G273,Exercícios!$B$7:$B$206,0)),"")</f>
        <v/>
      </c>
      <c r="K273" s="28"/>
      <c r="L273" s="28"/>
      <c r="M273" s="27"/>
      <c r="N273" s="28"/>
      <c r="O273" s="28"/>
      <c r="P273" s="28"/>
      <c r="Q273" s="26" t="n">
        <f aca="false">IFERROR($K273*$L273,"")</f>
        <v>0</v>
      </c>
      <c r="R273" s="44" t="n">
        <f aca="false">IF(OR($O273="",$P273=""),0,$O273*$P273)</f>
        <v>0</v>
      </c>
      <c r="S273" s="27"/>
      <c r="T273" s="27"/>
      <c r="U273" s="40" t="n">
        <f aca="false">IF($A273="",0,IF(AND(OR($E273=Atleta!$C$4,$E273="Equipe (todos)"),$A273&gt;=Atleta!$C$5),MAX($U$7:U272)+1,0))</f>
        <v>0</v>
      </c>
    </row>
    <row r="274" customFormat="false" ht="15" hidden="false" customHeight="false" outlineLevel="0" collapsed="false">
      <c r="A274" s="29"/>
      <c r="B274" s="40" t="n">
        <f aca="false">IF($A274="",0,INT(($A274-Macrociclo!$C$11)/7)+1)</f>
        <v>0</v>
      </c>
      <c r="C274" s="28"/>
      <c r="D274" s="28"/>
      <c r="E274" s="27"/>
      <c r="F274" s="28"/>
      <c r="G274" s="27"/>
      <c r="H274" s="26" t="str">
        <f aca="false">IFERROR(INDEX(Exercícios!$C$7:$C$206,MATCH($G274,Exercícios!$B$7:$B$206,0)),"")</f>
        <v/>
      </c>
      <c r="I274" s="26" t="str">
        <f aca="false">IFERROR(INDEX(Exercícios!$D$7:$D$206,MATCH($G274,Exercícios!$B$7:$B$206,0)),"")</f>
        <v/>
      </c>
      <c r="J274" s="26" t="str">
        <f aca="false">IFERROR(INDEX(Exercícios!$E$7:$E$206,MATCH($G274,Exercícios!$B$7:$B$206,0)),"")</f>
        <v/>
      </c>
      <c r="K274" s="28"/>
      <c r="L274" s="28"/>
      <c r="M274" s="27"/>
      <c r="N274" s="28"/>
      <c r="O274" s="28"/>
      <c r="P274" s="28"/>
      <c r="Q274" s="26" t="n">
        <f aca="false">IFERROR($K274*$L274,"")</f>
        <v>0</v>
      </c>
      <c r="R274" s="44" t="n">
        <f aca="false">IF(OR($O274="",$P274=""),0,$O274*$P274)</f>
        <v>0</v>
      </c>
      <c r="S274" s="27"/>
      <c r="T274" s="27"/>
      <c r="U274" s="40" t="n">
        <f aca="false">IF($A274="",0,IF(AND(OR($E274=Atleta!$C$4,$E274="Equipe (todos)"),$A274&gt;=Atleta!$C$5),MAX($U$7:U273)+1,0))</f>
        <v>0</v>
      </c>
    </row>
    <row r="275" customFormat="false" ht="15" hidden="false" customHeight="false" outlineLevel="0" collapsed="false">
      <c r="A275" s="29"/>
      <c r="B275" s="40" t="n">
        <f aca="false">IF($A275="",0,INT(($A275-Macrociclo!$C$11)/7)+1)</f>
        <v>0</v>
      </c>
      <c r="C275" s="28"/>
      <c r="D275" s="28"/>
      <c r="E275" s="27"/>
      <c r="F275" s="28"/>
      <c r="G275" s="27"/>
      <c r="H275" s="26" t="str">
        <f aca="false">IFERROR(INDEX(Exercícios!$C$7:$C$206,MATCH($G275,Exercícios!$B$7:$B$206,0)),"")</f>
        <v/>
      </c>
      <c r="I275" s="26" t="str">
        <f aca="false">IFERROR(INDEX(Exercícios!$D$7:$D$206,MATCH($G275,Exercícios!$B$7:$B$206,0)),"")</f>
        <v/>
      </c>
      <c r="J275" s="26" t="str">
        <f aca="false">IFERROR(INDEX(Exercícios!$E$7:$E$206,MATCH($G275,Exercícios!$B$7:$B$206,0)),"")</f>
        <v/>
      </c>
      <c r="K275" s="28"/>
      <c r="L275" s="28"/>
      <c r="M275" s="27"/>
      <c r="N275" s="28"/>
      <c r="O275" s="28"/>
      <c r="P275" s="28"/>
      <c r="Q275" s="26" t="n">
        <f aca="false">IFERROR($K275*$L275,"")</f>
        <v>0</v>
      </c>
      <c r="R275" s="44" t="n">
        <f aca="false">IF(OR($O275="",$P275=""),0,$O275*$P275)</f>
        <v>0</v>
      </c>
      <c r="S275" s="27"/>
      <c r="T275" s="27"/>
      <c r="U275" s="40" t="n">
        <f aca="false">IF($A275="",0,IF(AND(OR($E275=Atleta!$C$4,$E275="Equipe (todos)"),$A275&gt;=Atleta!$C$5),MAX($U$7:U274)+1,0))</f>
        <v>0</v>
      </c>
    </row>
    <row r="276" customFormat="false" ht="15" hidden="false" customHeight="false" outlineLevel="0" collapsed="false">
      <c r="A276" s="29"/>
      <c r="B276" s="40" t="n">
        <f aca="false">IF($A276="",0,INT(($A276-Macrociclo!$C$11)/7)+1)</f>
        <v>0</v>
      </c>
      <c r="C276" s="28"/>
      <c r="D276" s="28"/>
      <c r="E276" s="27"/>
      <c r="F276" s="28"/>
      <c r="G276" s="27"/>
      <c r="H276" s="26" t="str">
        <f aca="false">IFERROR(INDEX(Exercícios!$C$7:$C$206,MATCH($G276,Exercícios!$B$7:$B$206,0)),"")</f>
        <v/>
      </c>
      <c r="I276" s="26" t="str">
        <f aca="false">IFERROR(INDEX(Exercícios!$D$7:$D$206,MATCH($G276,Exercícios!$B$7:$B$206,0)),"")</f>
        <v/>
      </c>
      <c r="J276" s="26" t="str">
        <f aca="false">IFERROR(INDEX(Exercícios!$E$7:$E$206,MATCH($G276,Exercícios!$B$7:$B$206,0)),"")</f>
        <v/>
      </c>
      <c r="K276" s="28"/>
      <c r="L276" s="28"/>
      <c r="M276" s="27"/>
      <c r="N276" s="28"/>
      <c r="O276" s="28"/>
      <c r="P276" s="28"/>
      <c r="Q276" s="26" t="n">
        <f aca="false">IFERROR($K276*$L276,"")</f>
        <v>0</v>
      </c>
      <c r="R276" s="44" t="n">
        <f aca="false">IF(OR($O276="",$P276=""),0,$O276*$P276)</f>
        <v>0</v>
      </c>
      <c r="S276" s="27"/>
      <c r="T276" s="27"/>
      <c r="U276" s="40" t="n">
        <f aca="false">IF($A276="",0,IF(AND(OR($E276=Atleta!$C$4,$E276="Equipe (todos)"),$A276&gt;=Atleta!$C$5),MAX($U$7:U275)+1,0))</f>
        <v>0</v>
      </c>
    </row>
    <row r="277" customFormat="false" ht="15" hidden="false" customHeight="false" outlineLevel="0" collapsed="false">
      <c r="A277" s="29"/>
      <c r="B277" s="40" t="n">
        <f aca="false">IF($A277="",0,INT(($A277-Macrociclo!$C$11)/7)+1)</f>
        <v>0</v>
      </c>
      <c r="C277" s="28"/>
      <c r="D277" s="28"/>
      <c r="E277" s="27"/>
      <c r="F277" s="28"/>
      <c r="G277" s="27"/>
      <c r="H277" s="26" t="str">
        <f aca="false">IFERROR(INDEX(Exercícios!$C$7:$C$206,MATCH($G277,Exercícios!$B$7:$B$206,0)),"")</f>
        <v/>
      </c>
      <c r="I277" s="26" t="str">
        <f aca="false">IFERROR(INDEX(Exercícios!$D$7:$D$206,MATCH($G277,Exercícios!$B$7:$B$206,0)),"")</f>
        <v/>
      </c>
      <c r="J277" s="26" t="str">
        <f aca="false">IFERROR(INDEX(Exercícios!$E$7:$E$206,MATCH($G277,Exercícios!$B$7:$B$206,0)),"")</f>
        <v/>
      </c>
      <c r="K277" s="28"/>
      <c r="L277" s="28"/>
      <c r="M277" s="27"/>
      <c r="N277" s="28"/>
      <c r="O277" s="28"/>
      <c r="P277" s="28"/>
      <c r="Q277" s="26" t="n">
        <f aca="false">IFERROR($K277*$L277,"")</f>
        <v>0</v>
      </c>
      <c r="R277" s="44" t="n">
        <f aca="false">IF(OR($O277="",$P277=""),0,$O277*$P277)</f>
        <v>0</v>
      </c>
      <c r="S277" s="27"/>
      <c r="T277" s="27"/>
      <c r="U277" s="40" t="n">
        <f aca="false">IF($A277="",0,IF(AND(OR($E277=Atleta!$C$4,$E277="Equipe (todos)"),$A277&gt;=Atleta!$C$5),MAX($U$7:U276)+1,0))</f>
        <v>0</v>
      </c>
    </row>
    <row r="278" customFormat="false" ht="15" hidden="false" customHeight="false" outlineLevel="0" collapsed="false">
      <c r="A278" s="29"/>
      <c r="B278" s="40" t="n">
        <f aca="false">IF($A278="",0,INT(($A278-Macrociclo!$C$11)/7)+1)</f>
        <v>0</v>
      </c>
      <c r="C278" s="28"/>
      <c r="D278" s="28"/>
      <c r="E278" s="27"/>
      <c r="F278" s="28"/>
      <c r="G278" s="27"/>
      <c r="H278" s="26" t="str">
        <f aca="false">IFERROR(INDEX(Exercícios!$C$7:$C$206,MATCH($G278,Exercícios!$B$7:$B$206,0)),"")</f>
        <v/>
      </c>
      <c r="I278" s="26" t="str">
        <f aca="false">IFERROR(INDEX(Exercícios!$D$7:$D$206,MATCH($G278,Exercícios!$B$7:$B$206,0)),"")</f>
        <v/>
      </c>
      <c r="J278" s="26" t="str">
        <f aca="false">IFERROR(INDEX(Exercícios!$E$7:$E$206,MATCH($G278,Exercícios!$B$7:$B$206,0)),"")</f>
        <v/>
      </c>
      <c r="K278" s="28"/>
      <c r="L278" s="28"/>
      <c r="M278" s="27"/>
      <c r="N278" s="28"/>
      <c r="O278" s="28"/>
      <c r="P278" s="28"/>
      <c r="Q278" s="26" t="n">
        <f aca="false">IFERROR($K278*$L278,"")</f>
        <v>0</v>
      </c>
      <c r="R278" s="44" t="n">
        <f aca="false">IF(OR($O278="",$P278=""),0,$O278*$P278)</f>
        <v>0</v>
      </c>
      <c r="S278" s="27"/>
      <c r="T278" s="27"/>
      <c r="U278" s="40" t="n">
        <f aca="false">IF($A278="",0,IF(AND(OR($E278=Atleta!$C$4,$E278="Equipe (todos)"),$A278&gt;=Atleta!$C$5),MAX($U$7:U277)+1,0))</f>
        <v>0</v>
      </c>
    </row>
    <row r="279" customFormat="false" ht="15" hidden="false" customHeight="false" outlineLevel="0" collapsed="false">
      <c r="A279" s="29"/>
      <c r="B279" s="40" t="n">
        <f aca="false">IF($A279="",0,INT(($A279-Macrociclo!$C$11)/7)+1)</f>
        <v>0</v>
      </c>
      <c r="C279" s="28"/>
      <c r="D279" s="28"/>
      <c r="E279" s="27"/>
      <c r="F279" s="28"/>
      <c r="G279" s="27"/>
      <c r="H279" s="26" t="str">
        <f aca="false">IFERROR(INDEX(Exercícios!$C$7:$C$206,MATCH($G279,Exercícios!$B$7:$B$206,0)),"")</f>
        <v/>
      </c>
      <c r="I279" s="26" t="str">
        <f aca="false">IFERROR(INDEX(Exercícios!$D$7:$D$206,MATCH($G279,Exercícios!$B$7:$B$206,0)),"")</f>
        <v/>
      </c>
      <c r="J279" s="26" t="str">
        <f aca="false">IFERROR(INDEX(Exercícios!$E$7:$E$206,MATCH($G279,Exercícios!$B$7:$B$206,0)),"")</f>
        <v/>
      </c>
      <c r="K279" s="28"/>
      <c r="L279" s="28"/>
      <c r="M279" s="27"/>
      <c r="N279" s="28"/>
      <c r="O279" s="28"/>
      <c r="P279" s="28"/>
      <c r="Q279" s="26" t="n">
        <f aca="false">IFERROR($K279*$L279,"")</f>
        <v>0</v>
      </c>
      <c r="R279" s="44" t="n">
        <f aca="false">IF(OR($O279="",$P279=""),0,$O279*$P279)</f>
        <v>0</v>
      </c>
      <c r="S279" s="27"/>
      <c r="T279" s="27"/>
      <c r="U279" s="40" t="n">
        <f aca="false">IF($A279="",0,IF(AND(OR($E279=Atleta!$C$4,$E279="Equipe (todos)"),$A279&gt;=Atleta!$C$5),MAX($U$7:U278)+1,0))</f>
        <v>0</v>
      </c>
    </row>
    <row r="280" customFormat="false" ht="15" hidden="false" customHeight="false" outlineLevel="0" collapsed="false">
      <c r="A280" s="29"/>
      <c r="B280" s="40" t="n">
        <f aca="false">IF($A280="",0,INT(($A280-Macrociclo!$C$11)/7)+1)</f>
        <v>0</v>
      </c>
      <c r="C280" s="28"/>
      <c r="D280" s="28"/>
      <c r="E280" s="27"/>
      <c r="F280" s="28"/>
      <c r="G280" s="27"/>
      <c r="H280" s="26" t="str">
        <f aca="false">IFERROR(INDEX(Exercícios!$C$7:$C$206,MATCH($G280,Exercícios!$B$7:$B$206,0)),"")</f>
        <v/>
      </c>
      <c r="I280" s="26" t="str">
        <f aca="false">IFERROR(INDEX(Exercícios!$D$7:$D$206,MATCH($G280,Exercícios!$B$7:$B$206,0)),"")</f>
        <v/>
      </c>
      <c r="J280" s="26" t="str">
        <f aca="false">IFERROR(INDEX(Exercícios!$E$7:$E$206,MATCH($G280,Exercícios!$B$7:$B$206,0)),"")</f>
        <v/>
      </c>
      <c r="K280" s="28"/>
      <c r="L280" s="28"/>
      <c r="M280" s="27"/>
      <c r="N280" s="28"/>
      <c r="O280" s="28"/>
      <c r="P280" s="28"/>
      <c r="Q280" s="26" t="n">
        <f aca="false">IFERROR($K280*$L280,"")</f>
        <v>0</v>
      </c>
      <c r="R280" s="44" t="n">
        <f aca="false">IF(OR($O280="",$P280=""),0,$O280*$P280)</f>
        <v>0</v>
      </c>
      <c r="S280" s="27"/>
      <c r="T280" s="27"/>
      <c r="U280" s="40" t="n">
        <f aca="false">IF($A280="",0,IF(AND(OR($E280=Atleta!$C$4,$E280="Equipe (todos)"),$A280&gt;=Atleta!$C$5),MAX($U$7:U279)+1,0))</f>
        <v>0</v>
      </c>
    </row>
    <row r="281" customFormat="false" ht="15" hidden="false" customHeight="false" outlineLevel="0" collapsed="false">
      <c r="A281" s="29"/>
      <c r="B281" s="40" t="n">
        <f aca="false">IF($A281="",0,INT(($A281-Macrociclo!$C$11)/7)+1)</f>
        <v>0</v>
      </c>
      <c r="C281" s="28"/>
      <c r="D281" s="28"/>
      <c r="E281" s="27"/>
      <c r="F281" s="28"/>
      <c r="G281" s="27"/>
      <c r="H281" s="26" t="str">
        <f aca="false">IFERROR(INDEX(Exercícios!$C$7:$C$206,MATCH($G281,Exercícios!$B$7:$B$206,0)),"")</f>
        <v/>
      </c>
      <c r="I281" s="26" t="str">
        <f aca="false">IFERROR(INDEX(Exercícios!$D$7:$D$206,MATCH($G281,Exercícios!$B$7:$B$206,0)),"")</f>
        <v/>
      </c>
      <c r="J281" s="26" t="str">
        <f aca="false">IFERROR(INDEX(Exercícios!$E$7:$E$206,MATCH($G281,Exercícios!$B$7:$B$206,0)),"")</f>
        <v/>
      </c>
      <c r="K281" s="28"/>
      <c r="L281" s="28"/>
      <c r="M281" s="27"/>
      <c r="N281" s="28"/>
      <c r="O281" s="28"/>
      <c r="P281" s="28"/>
      <c r="Q281" s="26" t="n">
        <f aca="false">IFERROR($K281*$L281,"")</f>
        <v>0</v>
      </c>
      <c r="R281" s="44" t="n">
        <f aca="false">IF(OR($O281="",$P281=""),0,$O281*$P281)</f>
        <v>0</v>
      </c>
      <c r="S281" s="27"/>
      <c r="T281" s="27"/>
      <c r="U281" s="40" t="n">
        <f aca="false">IF($A281="",0,IF(AND(OR($E281=Atleta!$C$4,$E281="Equipe (todos)"),$A281&gt;=Atleta!$C$5),MAX($U$7:U280)+1,0))</f>
        <v>0</v>
      </c>
    </row>
    <row r="282" customFormat="false" ht="15" hidden="false" customHeight="false" outlineLevel="0" collapsed="false">
      <c r="A282" s="29"/>
      <c r="B282" s="40" t="n">
        <f aca="false">IF($A282="",0,INT(($A282-Macrociclo!$C$11)/7)+1)</f>
        <v>0</v>
      </c>
      <c r="C282" s="28"/>
      <c r="D282" s="28"/>
      <c r="E282" s="27"/>
      <c r="F282" s="28"/>
      <c r="G282" s="27"/>
      <c r="H282" s="26" t="str">
        <f aca="false">IFERROR(INDEX(Exercícios!$C$7:$C$206,MATCH($G282,Exercícios!$B$7:$B$206,0)),"")</f>
        <v/>
      </c>
      <c r="I282" s="26" t="str">
        <f aca="false">IFERROR(INDEX(Exercícios!$D$7:$D$206,MATCH($G282,Exercícios!$B$7:$B$206,0)),"")</f>
        <v/>
      </c>
      <c r="J282" s="26" t="str">
        <f aca="false">IFERROR(INDEX(Exercícios!$E$7:$E$206,MATCH($G282,Exercícios!$B$7:$B$206,0)),"")</f>
        <v/>
      </c>
      <c r="K282" s="28"/>
      <c r="L282" s="28"/>
      <c r="M282" s="27"/>
      <c r="N282" s="28"/>
      <c r="O282" s="28"/>
      <c r="P282" s="28"/>
      <c r="Q282" s="26" t="n">
        <f aca="false">IFERROR($K282*$L282,"")</f>
        <v>0</v>
      </c>
      <c r="R282" s="44" t="n">
        <f aca="false">IF(OR($O282="",$P282=""),0,$O282*$P282)</f>
        <v>0</v>
      </c>
      <c r="S282" s="27"/>
      <c r="T282" s="27"/>
      <c r="U282" s="40" t="n">
        <f aca="false">IF($A282="",0,IF(AND(OR($E282=Atleta!$C$4,$E282="Equipe (todos)"),$A282&gt;=Atleta!$C$5),MAX($U$7:U281)+1,0))</f>
        <v>0</v>
      </c>
    </row>
    <row r="283" customFormat="false" ht="15" hidden="false" customHeight="false" outlineLevel="0" collapsed="false">
      <c r="A283" s="29"/>
      <c r="B283" s="40" t="n">
        <f aca="false">IF($A283="",0,INT(($A283-Macrociclo!$C$11)/7)+1)</f>
        <v>0</v>
      </c>
      <c r="C283" s="28"/>
      <c r="D283" s="28"/>
      <c r="E283" s="27"/>
      <c r="F283" s="28"/>
      <c r="G283" s="27"/>
      <c r="H283" s="26" t="str">
        <f aca="false">IFERROR(INDEX(Exercícios!$C$7:$C$206,MATCH($G283,Exercícios!$B$7:$B$206,0)),"")</f>
        <v/>
      </c>
      <c r="I283" s="26" t="str">
        <f aca="false">IFERROR(INDEX(Exercícios!$D$7:$D$206,MATCH($G283,Exercícios!$B$7:$B$206,0)),"")</f>
        <v/>
      </c>
      <c r="J283" s="26" t="str">
        <f aca="false">IFERROR(INDEX(Exercícios!$E$7:$E$206,MATCH($G283,Exercícios!$B$7:$B$206,0)),"")</f>
        <v/>
      </c>
      <c r="K283" s="28"/>
      <c r="L283" s="28"/>
      <c r="M283" s="27"/>
      <c r="N283" s="28"/>
      <c r="O283" s="28"/>
      <c r="P283" s="28"/>
      <c r="Q283" s="26" t="n">
        <f aca="false">IFERROR($K283*$L283,"")</f>
        <v>0</v>
      </c>
      <c r="R283" s="44" t="n">
        <f aca="false">IF(OR($O283="",$P283=""),0,$O283*$P283)</f>
        <v>0</v>
      </c>
      <c r="S283" s="27"/>
      <c r="T283" s="27"/>
      <c r="U283" s="40" t="n">
        <f aca="false">IF($A283="",0,IF(AND(OR($E283=Atleta!$C$4,$E283="Equipe (todos)"),$A283&gt;=Atleta!$C$5),MAX($U$7:U282)+1,0))</f>
        <v>0</v>
      </c>
    </row>
    <row r="284" customFormat="false" ht="15" hidden="false" customHeight="false" outlineLevel="0" collapsed="false">
      <c r="A284" s="29"/>
      <c r="B284" s="40" t="n">
        <f aca="false">IF($A284="",0,INT(($A284-Macrociclo!$C$11)/7)+1)</f>
        <v>0</v>
      </c>
      <c r="C284" s="28"/>
      <c r="D284" s="28"/>
      <c r="E284" s="27"/>
      <c r="F284" s="28"/>
      <c r="G284" s="27"/>
      <c r="H284" s="26" t="str">
        <f aca="false">IFERROR(INDEX(Exercícios!$C$7:$C$206,MATCH($G284,Exercícios!$B$7:$B$206,0)),"")</f>
        <v/>
      </c>
      <c r="I284" s="26" t="str">
        <f aca="false">IFERROR(INDEX(Exercícios!$D$7:$D$206,MATCH($G284,Exercícios!$B$7:$B$206,0)),"")</f>
        <v/>
      </c>
      <c r="J284" s="26" t="str">
        <f aca="false">IFERROR(INDEX(Exercícios!$E$7:$E$206,MATCH($G284,Exercícios!$B$7:$B$206,0)),"")</f>
        <v/>
      </c>
      <c r="K284" s="28"/>
      <c r="L284" s="28"/>
      <c r="M284" s="27"/>
      <c r="N284" s="28"/>
      <c r="O284" s="28"/>
      <c r="P284" s="28"/>
      <c r="Q284" s="26" t="n">
        <f aca="false">IFERROR($K284*$L284,"")</f>
        <v>0</v>
      </c>
      <c r="R284" s="44" t="n">
        <f aca="false">IF(OR($O284="",$P284=""),0,$O284*$P284)</f>
        <v>0</v>
      </c>
      <c r="S284" s="27"/>
      <c r="T284" s="27"/>
      <c r="U284" s="40" t="n">
        <f aca="false">IF($A284="",0,IF(AND(OR($E284=Atleta!$C$4,$E284="Equipe (todos)"),$A284&gt;=Atleta!$C$5),MAX($U$7:U283)+1,0))</f>
        <v>0</v>
      </c>
    </row>
    <row r="285" customFormat="false" ht="15" hidden="false" customHeight="false" outlineLevel="0" collapsed="false">
      <c r="A285" s="29"/>
      <c r="B285" s="40" t="n">
        <f aca="false">IF($A285="",0,INT(($A285-Macrociclo!$C$11)/7)+1)</f>
        <v>0</v>
      </c>
      <c r="C285" s="28"/>
      <c r="D285" s="28"/>
      <c r="E285" s="27"/>
      <c r="F285" s="28"/>
      <c r="G285" s="27"/>
      <c r="H285" s="26" t="str">
        <f aca="false">IFERROR(INDEX(Exercícios!$C$7:$C$206,MATCH($G285,Exercícios!$B$7:$B$206,0)),"")</f>
        <v/>
      </c>
      <c r="I285" s="26" t="str">
        <f aca="false">IFERROR(INDEX(Exercícios!$D$7:$D$206,MATCH($G285,Exercícios!$B$7:$B$206,0)),"")</f>
        <v/>
      </c>
      <c r="J285" s="26" t="str">
        <f aca="false">IFERROR(INDEX(Exercícios!$E$7:$E$206,MATCH($G285,Exercícios!$B$7:$B$206,0)),"")</f>
        <v/>
      </c>
      <c r="K285" s="28"/>
      <c r="L285" s="28"/>
      <c r="M285" s="27"/>
      <c r="N285" s="28"/>
      <c r="O285" s="28"/>
      <c r="P285" s="28"/>
      <c r="Q285" s="26" t="n">
        <f aca="false">IFERROR($K285*$L285,"")</f>
        <v>0</v>
      </c>
      <c r="R285" s="44" t="n">
        <f aca="false">IF(OR($O285="",$P285=""),0,$O285*$P285)</f>
        <v>0</v>
      </c>
      <c r="S285" s="27"/>
      <c r="T285" s="27"/>
      <c r="U285" s="40" t="n">
        <f aca="false">IF($A285="",0,IF(AND(OR($E285=Atleta!$C$4,$E285="Equipe (todos)"),$A285&gt;=Atleta!$C$5),MAX($U$7:U284)+1,0))</f>
        <v>0</v>
      </c>
    </row>
    <row r="286" customFormat="false" ht="15" hidden="false" customHeight="false" outlineLevel="0" collapsed="false">
      <c r="A286" s="29"/>
      <c r="B286" s="40" t="n">
        <f aca="false">IF($A286="",0,INT(($A286-Macrociclo!$C$11)/7)+1)</f>
        <v>0</v>
      </c>
      <c r="C286" s="28"/>
      <c r="D286" s="28"/>
      <c r="E286" s="27"/>
      <c r="F286" s="28"/>
      <c r="G286" s="27"/>
      <c r="H286" s="26" t="str">
        <f aca="false">IFERROR(INDEX(Exercícios!$C$7:$C$206,MATCH($G286,Exercícios!$B$7:$B$206,0)),"")</f>
        <v/>
      </c>
      <c r="I286" s="26" t="str">
        <f aca="false">IFERROR(INDEX(Exercícios!$D$7:$D$206,MATCH($G286,Exercícios!$B$7:$B$206,0)),"")</f>
        <v/>
      </c>
      <c r="J286" s="26" t="str">
        <f aca="false">IFERROR(INDEX(Exercícios!$E$7:$E$206,MATCH($G286,Exercícios!$B$7:$B$206,0)),"")</f>
        <v/>
      </c>
      <c r="K286" s="28"/>
      <c r="L286" s="28"/>
      <c r="M286" s="27"/>
      <c r="N286" s="28"/>
      <c r="O286" s="28"/>
      <c r="P286" s="28"/>
      <c r="Q286" s="26" t="n">
        <f aca="false">IFERROR($K286*$L286,"")</f>
        <v>0</v>
      </c>
      <c r="R286" s="44" t="n">
        <f aca="false">IF(OR($O286="",$P286=""),0,$O286*$P286)</f>
        <v>0</v>
      </c>
      <c r="S286" s="27"/>
      <c r="T286" s="27"/>
      <c r="U286" s="40" t="n">
        <f aca="false">IF($A286="",0,IF(AND(OR($E286=Atleta!$C$4,$E286="Equipe (todos)"),$A286&gt;=Atleta!$C$5),MAX($U$7:U285)+1,0))</f>
        <v>0</v>
      </c>
    </row>
    <row r="287" customFormat="false" ht="15" hidden="false" customHeight="false" outlineLevel="0" collapsed="false">
      <c r="A287" s="29"/>
      <c r="B287" s="40" t="n">
        <f aca="false">IF($A287="",0,INT(($A287-Macrociclo!$C$11)/7)+1)</f>
        <v>0</v>
      </c>
      <c r="C287" s="28"/>
      <c r="D287" s="28"/>
      <c r="E287" s="27"/>
      <c r="F287" s="28"/>
      <c r="G287" s="27"/>
      <c r="H287" s="26" t="str">
        <f aca="false">IFERROR(INDEX(Exercícios!$C$7:$C$206,MATCH($G287,Exercícios!$B$7:$B$206,0)),"")</f>
        <v/>
      </c>
      <c r="I287" s="26" t="str">
        <f aca="false">IFERROR(INDEX(Exercícios!$D$7:$D$206,MATCH($G287,Exercícios!$B$7:$B$206,0)),"")</f>
        <v/>
      </c>
      <c r="J287" s="26" t="str">
        <f aca="false">IFERROR(INDEX(Exercícios!$E$7:$E$206,MATCH($G287,Exercícios!$B$7:$B$206,0)),"")</f>
        <v/>
      </c>
      <c r="K287" s="28"/>
      <c r="L287" s="28"/>
      <c r="M287" s="27"/>
      <c r="N287" s="28"/>
      <c r="O287" s="28"/>
      <c r="P287" s="28"/>
      <c r="Q287" s="26" t="n">
        <f aca="false">IFERROR($K287*$L287,"")</f>
        <v>0</v>
      </c>
      <c r="R287" s="44" t="n">
        <f aca="false">IF(OR($O287="",$P287=""),0,$O287*$P287)</f>
        <v>0</v>
      </c>
      <c r="S287" s="27"/>
      <c r="T287" s="27"/>
      <c r="U287" s="40" t="n">
        <f aca="false">IF($A287="",0,IF(AND(OR($E287=Atleta!$C$4,$E287="Equipe (todos)"),$A287&gt;=Atleta!$C$5),MAX($U$7:U286)+1,0))</f>
        <v>0</v>
      </c>
    </row>
    <row r="288" customFormat="false" ht="15" hidden="false" customHeight="false" outlineLevel="0" collapsed="false">
      <c r="A288" s="29"/>
      <c r="B288" s="40" t="n">
        <f aca="false">IF($A288="",0,INT(($A288-Macrociclo!$C$11)/7)+1)</f>
        <v>0</v>
      </c>
      <c r="C288" s="28"/>
      <c r="D288" s="28"/>
      <c r="E288" s="27"/>
      <c r="F288" s="28"/>
      <c r="G288" s="27"/>
      <c r="H288" s="26" t="str">
        <f aca="false">IFERROR(INDEX(Exercícios!$C$7:$C$206,MATCH($G288,Exercícios!$B$7:$B$206,0)),"")</f>
        <v/>
      </c>
      <c r="I288" s="26" t="str">
        <f aca="false">IFERROR(INDEX(Exercícios!$D$7:$D$206,MATCH($G288,Exercícios!$B$7:$B$206,0)),"")</f>
        <v/>
      </c>
      <c r="J288" s="26" t="str">
        <f aca="false">IFERROR(INDEX(Exercícios!$E$7:$E$206,MATCH($G288,Exercícios!$B$7:$B$206,0)),"")</f>
        <v/>
      </c>
      <c r="K288" s="28"/>
      <c r="L288" s="28"/>
      <c r="M288" s="27"/>
      <c r="N288" s="28"/>
      <c r="O288" s="28"/>
      <c r="P288" s="28"/>
      <c r="Q288" s="26" t="n">
        <f aca="false">IFERROR($K288*$L288,"")</f>
        <v>0</v>
      </c>
      <c r="R288" s="44" t="n">
        <f aca="false">IF(OR($O288="",$P288=""),0,$O288*$P288)</f>
        <v>0</v>
      </c>
      <c r="S288" s="27"/>
      <c r="T288" s="27"/>
      <c r="U288" s="40" t="n">
        <f aca="false">IF($A288="",0,IF(AND(OR($E288=Atleta!$C$4,$E288="Equipe (todos)"),$A288&gt;=Atleta!$C$5),MAX($U$7:U287)+1,0))</f>
        <v>0</v>
      </c>
    </row>
    <row r="289" customFormat="false" ht="15" hidden="false" customHeight="false" outlineLevel="0" collapsed="false">
      <c r="A289" s="29"/>
      <c r="B289" s="40" t="n">
        <f aca="false">IF($A289="",0,INT(($A289-Macrociclo!$C$11)/7)+1)</f>
        <v>0</v>
      </c>
      <c r="C289" s="28"/>
      <c r="D289" s="28"/>
      <c r="E289" s="27"/>
      <c r="F289" s="28"/>
      <c r="G289" s="27"/>
      <c r="H289" s="26" t="str">
        <f aca="false">IFERROR(INDEX(Exercícios!$C$7:$C$206,MATCH($G289,Exercícios!$B$7:$B$206,0)),"")</f>
        <v/>
      </c>
      <c r="I289" s="26" t="str">
        <f aca="false">IFERROR(INDEX(Exercícios!$D$7:$D$206,MATCH($G289,Exercícios!$B$7:$B$206,0)),"")</f>
        <v/>
      </c>
      <c r="J289" s="26" t="str">
        <f aca="false">IFERROR(INDEX(Exercícios!$E$7:$E$206,MATCH($G289,Exercícios!$B$7:$B$206,0)),"")</f>
        <v/>
      </c>
      <c r="K289" s="28"/>
      <c r="L289" s="28"/>
      <c r="M289" s="27"/>
      <c r="N289" s="28"/>
      <c r="O289" s="28"/>
      <c r="P289" s="28"/>
      <c r="Q289" s="26" t="n">
        <f aca="false">IFERROR($K289*$L289,"")</f>
        <v>0</v>
      </c>
      <c r="R289" s="44" t="n">
        <f aca="false">IF(OR($O289="",$P289=""),0,$O289*$P289)</f>
        <v>0</v>
      </c>
      <c r="S289" s="27"/>
      <c r="T289" s="27"/>
      <c r="U289" s="40" t="n">
        <f aca="false">IF($A289="",0,IF(AND(OR($E289=Atleta!$C$4,$E289="Equipe (todos)"),$A289&gt;=Atleta!$C$5),MAX($U$7:U288)+1,0))</f>
        <v>0</v>
      </c>
    </row>
    <row r="290" customFormat="false" ht="15" hidden="false" customHeight="false" outlineLevel="0" collapsed="false">
      <c r="A290" s="29"/>
      <c r="B290" s="40" t="n">
        <f aca="false">IF($A290="",0,INT(($A290-Macrociclo!$C$11)/7)+1)</f>
        <v>0</v>
      </c>
      <c r="C290" s="28"/>
      <c r="D290" s="28"/>
      <c r="E290" s="27"/>
      <c r="F290" s="28"/>
      <c r="G290" s="27"/>
      <c r="H290" s="26" t="str">
        <f aca="false">IFERROR(INDEX(Exercícios!$C$7:$C$206,MATCH($G290,Exercícios!$B$7:$B$206,0)),"")</f>
        <v/>
      </c>
      <c r="I290" s="26" t="str">
        <f aca="false">IFERROR(INDEX(Exercícios!$D$7:$D$206,MATCH($G290,Exercícios!$B$7:$B$206,0)),"")</f>
        <v/>
      </c>
      <c r="J290" s="26" t="str">
        <f aca="false">IFERROR(INDEX(Exercícios!$E$7:$E$206,MATCH($G290,Exercícios!$B$7:$B$206,0)),"")</f>
        <v/>
      </c>
      <c r="K290" s="28"/>
      <c r="L290" s="28"/>
      <c r="M290" s="27"/>
      <c r="N290" s="28"/>
      <c r="O290" s="28"/>
      <c r="P290" s="28"/>
      <c r="Q290" s="26" t="n">
        <f aca="false">IFERROR($K290*$L290,"")</f>
        <v>0</v>
      </c>
      <c r="R290" s="44" t="n">
        <f aca="false">IF(OR($O290="",$P290=""),0,$O290*$P290)</f>
        <v>0</v>
      </c>
      <c r="S290" s="27"/>
      <c r="T290" s="27"/>
      <c r="U290" s="40" t="n">
        <f aca="false">IF($A290="",0,IF(AND(OR($E290=Atleta!$C$4,$E290="Equipe (todos)"),$A290&gt;=Atleta!$C$5),MAX($U$7:U289)+1,0))</f>
        <v>0</v>
      </c>
    </row>
    <row r="291" customFormat="false" ht="15" hidden="false" customHeight="false" outlineLevel="0" collapsed="false">
      <c r="A291" s="29"/>
      <c r="B291" s="40" t="n">
        <f aca="false">IF($A291="",0,INT(($A291-Macrociclo!$C$11)/7)+1)</f>
        <v>0</v>
      </c>
      <c r="C291" s="28"/>
      <c r="D291" s="28"/>
      <c r="E291" s="27"/>
      <c r="F291" s="28"/>
      <c r="G291" s="27"/>
      <c r="H291" s="26" t="str">
        <f aca="false">IFERROR(INDEX(Exercícios!$C$7:$C$206,MATCH($G291,Exercícios!$B$7:$B$206,0)),"")</f>
        <v/>
      </c>
      <c r="I291" s="26" t="str">
        <f aca="false">IFERROR(INDEX(Exercícios!$D$7:$D$206,MATCH($G291,Exercícios!$B$7:$B$206,0)),"")</f>
        <v/>
      </c>
      <c r="J291" s="26" t="str">
        <f aca="false">IFERROR(INDEX(Exercícios!$E$7:$E$206,MATCH($G291,Exercícios!$B$7:$B$206,0)),"")</f>
        <v/>
      </c>
      <c r="K291" s="28"/>
      <c r="L291" s="28"/>
      <c r="M291" s="27"/>
      <c r="N291" s="28"/>
      <c r="O291" s="28"/>
      <c r="P291" s="28"/>
      <c r="Q291" s="26" t="n">
        <f aca="false">IFERROR($K291*$L291,"")</f>
        <v>0</v>
      </c>
      <c r="R291" s="44" t="n">
        <f aca="false">IF(OR($O291="",$P291=""),0,$O291*$P291)</f>
        <v>0</v>
      </c>
      <c r="S291" s="27"/>
      <c r="T291" s="27"/>
      <c r="U291" s="40" t="n">
        <f aca="false">IF($A291="",0,IF(AND(OR($E291=Atleta!$C$4,$E291="Equipe (todos)"),$A291&gt;=Atleta!$C$5),MAX($U$7:U290)+1,0))</f>
        <v>0</v>
      </c>
    </row>
    <row r="292" customFormat="false" ht="15" hidden="false" customHeight="false" outlineLevel="0" collapsed="false">
      <c r="A292" s="29"/>
      <c r="B292" s="40" t="n">
        <f aca="false">IF($A292="",0,INT(($A292-Macrociclo!$C$11)/7)+1)</f>
        <v>0</v>
      </c>
      <c r="C292" s="28"/>
      <c r="D292" s="28"/>
      <c r="E292" s="27"/>
      <c r="F292" s="28"/>
      <c r="G292" s="27"/>
      <c r="H292" s="26" t="str">
        <f aca="false">IFERROR(INDEX(Exercícios!$C$7:$C$206,MATCH($G292,Exercícios!$B$7:$B$206,0)),"")</f>
        <v/>
      </c>
      <c r="I292" s="26" t="str">
        <f aca="false">IFERROR(INDEX(Exercícios!$D$7:$D$206,MATCH($G292,Exercícios!$B$7:$B$206,0)),"")</f>
        <v/>
      </c>
      <c r="J292" s="26" t="str">
        <f aca="false">IFERROR(INDEX(Exercícios!$E$7:$E$206,MATCH($G292,Exercícios!$B$7:$B$206,0)),"")</f>
        <v/>
      </c>
      <c r="K292" s="28"/>
      <c r="L292" s="28"/>
      <c r="M292" s="27"/>
      <c r="N292" s="28"/>
      <c r="O292" s="28"/>
      <c r="P292" s="28"/>
      <c r="Q292" s="26" t="n">
        <f aca="false">IFERROR($K292*$L292,"")</f>
        <v>0</v>
      </c>
      <c r="R292" s="44" t="n">
        <f aca="false">IF(OR($O292="",$P292=""),0,$O292*$P292)</f>
        <v>0</v>
      </c>
      <c r="S292" s="27"/>
      <c r="T292" s="27"/>
      <c r="U292" s="40" t="n">
        <f aca="false">IF($A292="",0,IF(AND(OR($E292=Atleta!$C$4,$E292="Equipe (todos)"),$A292&gt;=Atleta!$C$5),MAX($U$7:U291)+1,0))</f>
        <v>0</v>
      </c>
    </row>
    <row r="293" customFormat="false" ht="15" hidden="false" customHeight="false" outlineLevel="0" collapsed="false">
      <c r="A293" s="29"/>
      <c r="B293" s="40" t="n">
        <f aca="false">IF($A293="",0,INT(($A293-Macrociclo!$C$11)/7)+1)</f>
        <v>0</v>
      </c>
      <c r="C293" s="28"/>
      <c r="D293" s="28"/>
      <c r="E293" s="27"/>
      <c r="F293" s="28"/>
      <c r="G293" s="27"/>
      <c r="H293" s="26" t="str">
        <f aca="false">IFERROR(INDEX(Exercícios!$C$7:$C$206,MATCH($G293,Exercícios!$B$7:$B$206,0)),"")</f>
        <v/>
      </c>
      <c r="I293" s="26" t="str">
        <f aca="false">IFERROR(INDEX(Exercícios!$D$7:$D$206,MATCH($G293,Exercícios!$B$7:$B$206,0)),"")</f>
        <v/>
      </c>
      <c r="J293" s="26" t="str">
        <f aca="false">IFERROR(INDEX(Exercícios!$E$7:$E$206,MATCH($G293,Exercícios!$B$7:$B$206,0)),"")</f>
        <v/>
      </c>
      <c r="K293" s="28"/>
      <c r="L293" s="28"/>
      <c r="M293" s="27"/>
      <c r="N293" s="28"/>
      <c r="O293" s="28"/>
      <c r="P293" s="28"/>
      <c r="Q293" s="26" t="n">
        <f aca="false">IFERROR($K293*$L293,"")</f>
        <v>0</v>
      </c>
      <c r="R293" s="44" t="n">
        <f aca="false">IF(OR($O293="",$P293=""),0,$O293*$P293)</f>
        <v>0</v>
      </c>
      <c r="S293" s="27"/>
      <c r="T293" s="27"/>
      <c r="U293" s="40" t="n">
        <f aca="false">IF($A293="",0,IF(AND(OR($E293=Atleta!$C$4,$E293="Equipe (todos)"),$A293&gt;=Atleta!$C$5),MAX($U$7:U292)+1,0))</f>
        <v>0</v>
      </c>
    </row>
    <row r="294" customFormat="false" ht="15" hidden="false" customHeight="false" outlineLevel="0" collapsed="false">
      <c r="A294" s="29"/>
      <c r="B294" s="40" t="n">
        <f aca="false">IF($A294="",0,INT(($A294-Macrociclo!$C$11)/7)+1)</f>
        <v>0</v>
      </c>
      <c r="C294" s="28"/>
      <c r="D294" s="28"/>
      <c r="E294" s="27"/>
      <c r="F294" s="28"/>
      <c r="G294" s="27"/>
      <c r="H294" s="26" t="str">
        <f aca="false">IFERROR(INDEX(Exercícios!$C$7:$C$206,MATCH($G294,Exercícios!$B$7:$B$206,0)),"")</f>
        <v/>
      </c>
      <c r="I294" s="26" t="str">
        <f aca="false">IFERROR(INDEX(Exercícios!$D$7:$D$206,MATCH($G294,Exercícios!$B$7:$B$206,0)),"")</f>
        <v/>
      </c>
      <c r="J294" s="26" t="str">
        <f aca="false">IFERROR(INDEX(Exercícios!$E$7:$E$206,MATCH($G294,Exercícios!$B$7:$B$206,0)),"")</f>
        <v/>
      </c>
      <c r="K294" s="28"/>
      <c r="L294" s="28"/>
      <c r="M294" s="27"/>
      <c r="N294" s="28"/>
      <c r="O294" s="28"/>
      <c r="P294" s="28"/>
      <c r="Q294" s="26" t="n">
        <f aca="false">IFERROR($K294*$L294,"")</f>
        <v>0</v>
      </c>
      <c r="R294" s="44" t="n">
        <f aca="false">IF(OR($O294="",$P294=""),0,$O294*$P294)</f>
        <v>0</v>
      </c>
      <c r="S294" s="27"/>
      <c r="T294" s="27"/>
      <c r="U294" s="40" t="n">
        <f aca="false">IF($A294="",0,IF(AND(OR($E294=Atleta!$C$4,$E294="Equipe (todos)"),$A294&gt;=Atleta!$C$5),MAX($U$7:U293)+1,0))</f>
        <v>0</v>
      </c>
    </row>
    <row r="295" customFormat="false" ht="15" hidden="false" customHeight="false" outlineLevel="0" collapsed="false">
      <c r="A295" s="29"/>
      <c r="B295" s="40" t="n">
        <f aca="false">IF($A295="",0,INT(($A295-Macrociclo!$C$11)/7)+1)</f>
        <v>0</v>
      </c>
      <c r="C295" s="28"/>
      <c r="D295" s="28"/>
      <c r="E295" s="27"/>
      <c r="F295" s="28"/>
      <c r="G295" s="27"/>
      <c r="H295" s="26" t="str">
        <f aca="false">IFERROR(INDEX(Exercícios!$C$7:$C$206,MATCH($G295,Exercícios!$B$7:$B$206,0)),"")</f>
        <v/>
      </c>
      <c r="I295" s="26" t="str">
        <f aca="false">IFERROR(INDEX(Exercícios!$D$7:$D$206,MATCH($G295,Exercícios!$B$7:$B$206,0)),"")</f>
        <v/>
      </c>
      <c r="J295" s="26" t="str">
        <f aca="false">IFERROR(INDEX(Exercícios!$E$7:$E$206,MATCH($G295,Exercícios!$B$7:$B$206,0)),"")</f>
        <v/>
      </c>
      <c r="K295" s="28"/>
      <c r="L295" s="28"/>
      <c r="M295" s="27"/>
      <c r="N295" s="28"/>
      <c r="O295" s="28"/>
      <c r="P295" s="28"/>
      <c r="Q295" s="26" t="n">
        <f aca="false">IFERROR($K295*$L295,"")</f>
        <v>0</v>
      </c>
      <c r="R295" s="44" t="n">
        <f aca="false">IF(OR($O295="",$P295=""),0,$O295*$P295)</f>
        <v>0</v>
      </c>
      <c r="S295" s="27"/>
      <c r="T295" s="27"/>
      <c r="U295" s="40" t="n">
        <f aca="false">IF($A295="",0,IF(AND(OR($E295=Atleta!$C$4,$E295="Equipe (todos)"),$A295&gt;=Atleta!$C$5),MAX($U$7:U294)+1,0))</f>
        <v>0</v>
      </c>
    </row>
    <row r="296" customFormat="false" ht="15" hidden="false" customHeight="false" outlineLevel="0" collapsed="false">
      <c r="A296" s="29"/>
      <c r="B296" s="40" t="n">
        <f aca="false">IF($A296="",0,INT(($A296-Macrociclo!$C$11)/7)+1)</f>
        <v>0</v>
      </c>
      <c r="C296" s="28"/>
      <c r="D296" s="28"/>
      <c r="E296" s="27"/>
      <c r="F296" s="28"/>
      <c r="G296" s="27"/>
      <c r="H296" s="26" t="str">
        <f aca="false">IFERROR(INDEX(Exercícios!$C$7:$C$206,MATCH($G296,Exercícios!$B$7:$B$206,0)),"")</f>
        <v/>
      </c>
      <c r="I296" s="26" t="str">
        <f aca="false">IFERROR(INDEX(Exercícios!$D$7:$D$206,MATCH($G296,Exercícios!$B$7:$B$206,0)),"")</f>
        <v/>
      </c>
      <c r="J296" s="26" t="str">
        <f aca="false">IFERROR(INDEX(Exercícios!$E$7:$E$206,MATCH($G296,Exercícios!$B$7:$B$206,0)),"")</f>
        <v/>
      </c>
      <c r="K296" s="28"/>
      <c r="L296" s="28"/>
      <c r="M296" s="27"/>
      <c r="N296" s="28"/>
      <c r="O296" s="28"/>
      <c r="P296" s="28"/>
      <c r="Q296" s="26" t="n">
        <f aca="false">IFERROR($K296*$L296,"")</f>
        <v>0</v>
      </c>
      <c r="R296" s="44" t="n">
        <f aca="false">IF(OR($O296="",$P296=""),0,$O296*$P296)</f>
        <v>0</v>
      </c>
      <c r="S296" s="27"/>
      <c r="T296" s="27"/>
      <c r="U296" s="40" t="n">
        <f aca="false">IF($A296="",0,IF(AND(OR($E296=Atleta!$C$4,$E296="Equipe (todos)"),$A296&gt;=Atleta!$C$5),MAX($U$7:U295)+1,0))</f>
        <v>0</v>
      </c>
    </row>
    <row r="297" customFormat="false" ht="15" hidden="false" customHeight="false" outlineLevel="0" collapsed="false">
      <c r="A297" s="29"/>
      <c r="B297" s="40" t="n">
        <f aca="false">IF($A297="",0,INT(($A297-Macrociclo!$C$11)/7)+1)</f>
        <v>0</v>
      </c>
      <c r="C297" s="28"/>
      <c r="D297" s="28"/>
      <c r="E297" s="27"/>
      <c r="F297" s="28"/>
      <c r="G297" s="27"/>
      <c r="H297" s="26" t="str">
        <f aca="false">IFERROR(INDEX(Exercícios!$C$7:$C$206,MATCH($G297,Exercícios!$B$7:$B$206,0)),"")</f>
        <v/>
      </c>
      <c r="I297" s="26" t="str">
        <f aca="false">IFERROR(INDEX(Exercícios!$D$7:$D$206,MATCH($G297,Exercícios!$B$7:$B$206,0)),"")</f>
        <v/>
      </c>
      <c r="J297" s="26" t="str">
        <f aca="false">IFERROR(INDEX(Exercícios!$E$7:$E$206,MATCH($G297,Exercícios!$B$7:$B$206,0)),"")</f>
        <v/>
      </c>
      <c r="K297" s="28"/>
      <c r="L297" s="28"/>
      <c r="M297" s="27"/>
      <c r="N297" s="28"/>
      <c r="O297" s="28"/>
      <c r="P297" s="28"/>
      <c r="Q297" s="26" t="n">
        <f aca="false">IFERROR($K297*$L297,"")</f>
        <v>0</v>
      </c>
      <c r="R297" s="44" t="n">
        <f aca="false">IF(OR($O297="",$P297=""),0,$O297*$P297)</f>
        <v>0</v>
      </c>
      <c r="S297" s="27"/>
      <c r="T297" s="27"/>
      <c r="U297" s="40" t="n">
        <f aca="false">IF($A297="",0,IF(AND(OR($E297=Atleta!$C$4,$E297="Equipe (todos)"),$A297&gt;=Atleta!$C$5),MAX($U$7:U296)+1,0))</f>
        <v>0</v>
      </c>
    </row>
    <row r="298" customFormat="false" ht="15" hidden="false" customHeight="false" outlineLevel="0" collapsed="false">
      <c r="A298" s="29"/>
      <c r="B298" s="40" t="n">
        <f aca="false">IF($A298="",0,INT(($A298-Macrociclo!$C$11)/7)+1)</f>
        <v>0</v>
      </c>
      <c r="C298" s="28"/>
      <c r="D298" s="28"/>
      <c r="E298" s="27"/>
      <c r="F298" s="28"/>
      <c r="G298" s="27"/>
      <c r="H298" s="26" t="str">
        <f aca="false">IFERROR(INDEX(Exercícios!$C$7:$C$206,MATCH($G298,Exercícios!$B$7:$B$206,0)),"")</f>
        <v/>
      </c>
      <c r="I298" s="26" t="str">
        <f aca="false">IFERROR(INDEX(Exercícios!$D$7:$D$206,MATCH($G298,Exercícios!$B$7:$B$206,0)),"")</f>
        <v/>
      </c>
      <c r="J298" s="26" t="str">
        <f aca="false">IFERROR(INDEX(Exercícios!$E$7:$E$206,MATCH($G298,Exercícios!$B$7:$B$206,0)),"")</f>
        <v/>
      </c>
      <c r="K298" s="28"/>
      <c r="L298" s="28"/>
      <c r="M298" s="27"/>
      <c r="N298" s="28"/>
      <c r="O298" s="28"/>
      <c r="P298" s="28"/>
      <c r="Q298" s="26" t="n">
        <f aca="false">IFERROR($K298*$L298,"")</f>
        <v>0</v>
      </c>
      <c r="R298" s="44" t="n">
        <f aca="false">IF(OR($O298="",$P298=""),0,$O298*$P298)</f>
        <v>0</v>
      </c>
      <c r="S298" s="27"/>
      <c r="T298" s="27"/>
      <c r="U298" s="40" t="n">
        <f aca="false">IF($A298="",0,IF(AND(OR($E298=Atleta!$C$4,$E298="Equipe (todos)"),$A298&gt;=Atleta!$C$5),MAX($U$7:U297)+1,0))</f>
        <v>0</v>
      </c>
    </row>
    <row r="299" customFormat="false" ht="15" hidden="false" customHeight="false" outlineLevel="0" collapsed="false">
      <c r="A299" s="29"/>
      <c r="B299" s="40" t="n">
        <f aca="false">IF($A299="",0,INT(($A299-Macrociclo!$C$11)/7)+1)</f>
        <v>0</v>
      </c>
      <c r="C299" s="28"/>
      <c r="D299" s="28"/>
      <c r="E299" s="27"/>
      <c r="F299" s="28"/>
      <c r="G299" s="27"/>
      <c r="H299" s="26" t="str">
        <f aca="false">IFERROR(INDEX(Exercícios!$C$7:$C$206,MATCH($G299,Exercícios!$B$7:$B$206,0)),"")</f>
        <v/>
      </c>
      <c r="I299" s="26" t="str">
        <f aca="false">IFERROR(INDEX(Exercícios!$D$7:$D$206,MATCH($G299,Exercícios!$B$7:$B$206,0)),"")</f>
        <v/>
      </c>
      <c r="J299" s="26" t="str">
        <f aca="false">IFERROR(INDEX(Exercícios!$E$7:$E$206,MATCH($G299,Exercícios!$B$7:$B$206,0)),"")</f>
        <v/>
      </c>
      <c r="K299" s="28"/>
      <c r="L299" s="28"/>
      <c r="M299" s="27"/>
      <c r="N299" s="28"/>
      <c r="O299" s="28"/>
      <c r="P299" s="28"/>
      <c r="Q299" s="26" t="n">
        <f aca="false">IFERROR($K299*$L299,"")</f>
        <v>0</v>
      </c>
      <c r="R299" s="44" t="n">
        <f aca="false">IF(OR($O299="",$P299=""),0,$O299*$P299)</f>
        <v>0</v>
      </c>
      <c r="S299" s="27"/>
      <c r="T299" s="27"/>
      <c r="U299" s="40" t="n">
        <f aca="false">IF($A299="",0,IF(AND(OR($E299=Atleta!$C$4,$E299="Equipe (todos)"),$A299&gt;=Atleta!$C$5),MAX($U$7:U298)+1,0))</f>
        <v>0</v>
      </c>
    </row>
    <row r="300" customFormat="false" ht="15" hidden="false" customHeight="false" outlineLevel="0" collapsed="false">
      <c r="A300" s="29"/>
      <c r="B300" s="40" t="n">
        <f aca="false">IF($A300="",0,INT(($A300-Macrociclo!$C$11)/7)+1)</f>
        <v>0</v>
      </c>
      <c r="C300" s="28"/>
      <c r="D300" s="28"/>
      <c r="E300" s="27"/>
      <c r="F300" s="28"/>
      <c r="G300" s="27"/>
      <c r="H300" s="26" t="str">
        <f aca="false">IFERROR(INDEX(Exercícios!$C$7:$C$206,MATCH($G300,Exercícios!$B$7:$B$206,0)),"")</f>
        <v/>
      </c>
      <c r="I300" s="26" t="str">
        <f aca="false">IFERROR(INDEX(Exercícios!$D$7:$D$206,MATCH($G300,Exercícios!$B$7:$B$206,0)),"")</f>
        <v/>
      </c>
      <c r="J300" s="26" t="str">
        <f aca="false">IFERROR(INDEX(Exercícios!$E$7:$E$206,MATCH($G300,Exercícios!$B$7:$B$206,0)),"")</f>
        <v/>
      </c>
      <c r="K300" s="28"/>
      <c r="L300" s="28"/>
      <c r="M300" s="27"/>
      <c r="N300" s="28"/>
      <c r="O300" s="28"/>
      <c r="P300" s="28"/>
      <c r="Q300" s="26" t="n">
        <f aca="false">IFERROR($K300*$L300,"")</f>
        <v>0</v>
      </c>
      <c r="R300" s="44" t="n">
        <f aca="false">IF(OR($O300="",$P300=""),0,$O300*$P300)</f>
        <v>0</v>
      </c>
      <c r="S300" s="27"/>
      <c r="T300" s="27"/>
      <c r="U300" s="40" t="n">
        <f aca="false">IF($A300="",0,IF(AND(OR($E300=Atleta!$C$4,$E300="Equipe (todos)"),$A300&gt;=Atleta!$C$5),MAX($U$7:U299)+1,0))</f>
        <v>0</v>
      </c>
    </row>
    <row r="301" customFormat="false" ht="15" hidden="false" customHeight="false" outlineLevel="0" collapsed="false">
      <c r="A301" s="29"/>
      <c r="B301" s="40" t="n">
        <f aca="false">IF($A301="",0,INT(($A301-Macrociclo!$C$11)/7)+1)</f>
        <v>0</v>
      </c>
      <c r="C301" s="28"/>
      <c r="D301" s="28"/>
      <c r="E301" s="27"/>
      <c r="F301" s="28"/>
      <c r="G301" s="27"/>
      <c r="H301" s="26" t="str">
        <f aca="false">IFERROR(INDEX(Exercícios!$C$7:$C$206,MATCH($G301,Exercícios!$B$7:$B$206,0)),"")</f>
        <v/>
      </c>
      <c r="I301" s="26" t="str">
        <f aca="false">IFERROR(INDEX(Exercícios!$D$7:$D$206,MATCH($G301,Exercícios!$B$7:$B$206,0)),"")</f>
        <v/>
      </c>
      <c r="J301" s="26" t="str">
        <f aca="false">IFERROR(INDEX(Exercícios!$E$7:$E$206,MATCH($G301,Exercícios!$B$7:$B$206,0)),"")</f>
        <v/>
      </c>
      <c r="K301" s="28"/>
      <c r="L301" s="28"/>
      <c r="M301" s="27"/>
      <c r="N301" s="28"/>
      <c r="O301" s="28"/>
      <c r="P301" s="28"/>
      <c r="Q301" s="26" t="n">
        <f aca="false">IFERROR($K301*$L301,"")</f>
        <v>0</v>
      </c>
      <c r="R301" s="44" t="n">
        <f aca="false">IF(OR($O301="",$P301=""),0,$O301*$P301)</f>
        <v>0</v>
      </c>
      <c r="S301" s="27"/>
      <c r="T301" s="27"/>
      <c r="U301" s="40" t="n">
        <f aca="false">IF($A301="",0,IF(AND(OR($E301=Atleta!$C$4,$E301="Equipe (todos)"),$A301&gt;=Atleta!$C$5),MAX($U$7:U300)+1,0))</f>
        <v>0</v>
      </c>
    </row>
    <row r="302" customFormat="false" ht="15" hidden="false" customHeight="false" outlineLevel="0" collapsed="false">
      <c r="A302" s="29"/>
      <c r="B302" s="40" t="n">
        <f aca="false">IF($A302="",0,INT(($A302-Macrociclo!$C$11)/7)+1)</f>
        <v>0</v>
      </c>
      <c r="C302" s="28"/>
      <c r="D302" s="28"/>
      <c r="E302" s="27"/>
      <c r="F302" s="28"/>
      <c r="G302" s="27"/>
      <c r="H302" s="26" t="str">
        <f aca="false">IFERROR(INDEX(Exercícios!$C$7:$C$206,MATCH($G302,Exercícios!$B$7:$B$206,0)),"")</f>
        <v/>
      </c>
      <c r="I302" s="26" t="str">
        <f aca="false">IFERROR(INDEX(Exercícios!$D$7:$D$206,MATCH($G302,Exercícios!$B$7:$B$206,0)),"")</f>
        <v/>
      </c>
      <c r="J302" s="26" t="str">
        <f aca="false">IFERROR(INDEX(Exercícios!$E$7:$E$206,MATCH($G302,Exercícios!$B$7:$B$206,0)),"")</f>
        <v/>
      </c>
      <c r="K302" s="28"/>
      <c r="L302" s="28"/>
      <c r="M302" s="27"/>
      <c r="N302" s="28"/>
      <c r="O302" s="28"/>
      <c r="P302" s="28"/>
      <c r="Q302" s="26" t="n">
        <f aca="false">IFERROR($K302*$L302,"")</f>
        <v>0</v>
      </c>
      <c r="R302" s="44" t="n">
        <f aca="false">IF(OR($O302="",$P302=""),0,$O302*$P302)</f>
        <v>0</v>
      </c>
      <c r="S302" s="27"/>
      <c r="T302" s="27"/>
      <c r="U302" s="40" t="n">
        <f aca="false">IF($A302="",0,IF(AND(OR($E302=Atleta!$C$4,$E302="Equipe (todos)"),$A302&gt;=Atleta!$C$5),MAX($U$7:U301)+1,0))</f>
        <v>0</v>
      </c>
    </row>
    <row r="303" customFormat="false" ht="15" hidden="false" customHeight="false" outlineLevel="0" collapsed="false">
      <c r="A303" s="29"/>
      <c r="B303" s="40" t="n">
        <f aca="false">IF($A303="",0,INT(($A303-Macrociclo!$C$11)/7)+1)</f>
        <v>0</v>
      </c>
      <c r="C303" s="28"/>
      <c r="D303" s="28"/>
      <c r="E303" s="27"/>
      <c r="F303" s="28"/>
      <c r="G303" s="27"/>
      <c r="H303" s="26" t="str">
        <f aca="false">IFERROR(INDEX(Exercícios!$C$7:$C$206,MATCH($G303,Exercícios!$B$7:$B$206,0)),"")</f>
        <v/>
      </c>
      <c r="I303" s="26" t="str">
        <f aca="false">IFERROR(INDEX(Exercícios!$D$7:$D$206,MATCH($G303,Exercícios!$B$7:$B$206,0)),"")</f>
        <v/>
      </c>
      <c r="J303" s="26" t="str">
        <f aca="false">IFERROR(INDEX(Exercícios!$E$7:$E$206,MATCH($G303,Exercícios!$B$7:$B$206,0)),"")</f>
        <v/>
      </c>
      <c r="K303" s="28"/>
      <c r="L303" s="28"/>
      <c r="M303" s="27"/>
      <c r="N303" s="28"/>
      <c r="O303" s="28"/>
      <c r="P303" s="28"/>
      <c r="Q303" s="26" t="n">
        <f aca="false">IFERROR($K303*$L303,"")</f>
        <v>0</v>
      </c>
      <c r="R303" s="44" t="n">
        <f aca="false">IF(OR($O303="",$P303=""),0,$O303*$P303)</f>
        <v>0</v>
      </c>
      <c r="S303" s="27"/>
      <c r="T303" s="27"/>
      <c r="U303" s="40" t="n">
        <f aca="false">IF($A303="",0,IF(AND(OR($E303=Atleta!$C$4,$E303="Equipe (todos)"),$A303&gt;=Atleta!$C$5),MAX($U$7:U302)+1,0))</f>
        <v>0</v>
      </c>
    </row>
    <row r="304" customFormat="false" ht="15" hidden="false" customHeight="false" outlineLevel="0" collapsed="false">
      <c r="A304" s="29"/>
      <c r="B304" s="40" t="n">
        <f aca="false">IF($A304="",0,INT(($A304-Macrociclo!$C$11)/7)+1)</f>
        <v>0</v>
      </c>
      <c r="C304" s="28"/>
      <c r="D304" s="28"/>
      <c r="E304" s="27"/>
      <c r="F304" s="28"/>
      <c r="G304" s="27"/>
      <c r="H304" s="26" t="str">
        <f aca="false">IFERROR(INDEX(Exercícios!$C$7:$C$206,MATCH($G304,Exercícios!$B$7:$B$206,0)),"")</f>
        <v/>
      </c>
      <c r="I304" s="26" t="str">
        <f aca="false">IFERROR(INDEX(Exercícios!$D$7:$D$206,MATCH($G304,Exercícios!$B$7:$B$206,0)),"")</f>
        <v/>
      </c>
      <c r="J304" s="26" t="str">
        <f aca="false">IFERROR(INDEX(Exercícios!$E$7:$E$206,MATCH($G304,Exercícios!$B$7:$B$206,0)),"")</f>
        <v/>
      </c>
      <c r="K304" s="28"/>
      <c r="L304" s="28"/>
      <c r="M304" s="27"/>
      <c r="N304" s="28"/>
      <c r="O304" s="28"/>
      <c r="P304" s="28"/>
      <c r="Q304" s="26" t="n">
        <f aca="false">IFERROR($K304*$L304,"")</f>
        <v>0</v>
      </c>
      <c r="R304" s="44" t="n">
        <f aca="false">IF(OR($O304="",$P304=""),0,$O304*$P304)</f>
        <v>0</v>
      </c>
      <c r="S304" s="27"/>
      <c r="T304" s="27"/>
      <c r="U304" s="40" t="n">
        <f aca="false">IF($A304="",0,IF(AND(OR($E304=Atleta!$C$4,$E304="Equipe (todos)"),$A304&gt;=Atleta!$C$5),MAX($U$7:U303)+1,0))</f>
        <v>0</v>
      </c>
    </row>
    <row r="305" customFormat="false" ht="15" hidden="false" customHeight="false" outlineLevel="0" collapsed="false">
      <c r="A305" s="29"/>
      <c r="B305" s="40" t="n">
        <f aca="false">IF($A305="",0,INT(($A305-Macrociclo!$C$11)/7)+1)</f>
        <v>0</v>
      </c>
      <c r="C305" s="28"/>
      <c r="D305" s="28"/>
      <c r="E305" s="27"/>
      <c r="F305" s="28"/>
      <c r="G305" s="27"/>
      <c r="H305" s="26" t="str">
        <f aca="false">IFERROR(INDEX(Exercícios!$C$7:$C$206,MATCH($G305,Exercícios!$B$7:$B$206,0)),"")</f>
        <v/>
      </c>
      <c r="I305" s="26" t="str">
        <f aca="false">IFERROR(INDEX(Exercícios!$D$7:$D$206,MATCH($G305,Exercícios!$B$7:$B$206,0)),"")</f>
        <v/>
      </c>
      <c r="J305" s="26" t="str">
        <f aca="false">IFERROR(INDEX(Exercícios!$E$7:$E$206,MATCH($G305,Exercícios!$B$7:$B$206,0)),"")</f>
        <v/>
      </c>
      <c r="K305" s="28"/>
      <c r="L305" s="28"/>
      <c r="M305" s="27"/>
      <c r="N305" s="28"/>
      <c r="O305" s="28"/>
      <c r="P305" s="28"/>
      <c r="Q305" s="26" t="n">
        <f aca="false">IFERROR($K305*$L305,"")</f>
        <v>0</v>
      </c>
      <c r="R305" s="44" t="n">
        <f aca="false">IF(OR($O305="",$P305=""),0,$O305*$P305)</f>
        <v>0</v>
      </c>
      <c r="S305" s="27"/>
      <c r="T305" s="27"/>
      <c r="U305" s="40" t="n">
        <f aca="false">IF($A305="",0,IF(AND(OR($E305=Atleta!$C$4,$E305="Equipe (todos)"),$A305&gt;=Atleta!$C$5),MAX($U$7:U304)+1,0))</f>
        <v>0</v>
      </c>
    </row>
    <row r="306" customFormat="false" ht="15" hidden="false" customHeight="false" outlineLevel="0" collapsed="false">
      <c r="A306" s="29"/>
      <c r="B306" s="40" t="n">
        <f aca="false">IF($A306="",0,INT(($A306-Macrociclo!$C$11)/7)+1)</f>
        <v>0</v>
      </c>
      <c r="C306" s="28"/>
      <c r="D306" s="28"/>
      <c r="E306" s="27"/>
      <c r="F306" s="28"/>
      <c r="G306" s="27"/>
      <c r="H306" s="26" t="str">
        <f aca="false">IFERROR(INDEX(Exercícios!$C$7:$C$206,MATCH($G306,Exercícios!$B$7:$B$206,0)),"")</f>
        <v/>
      </c>
      <c r="I306" s="26" t="str">
        <f aca="false">IFERROR(INDEX(Exercícios!$D$7:$D$206,MATCH($G306,Exercícios!$B$7:$B$206,0)),"")</f>
        <v/>
      </c>
      <c r="J306" s="26" t="str">
        <f aca="false">IFERROR(INDEX(Exercícios!$E$7:$E$206,MATCH($G306,Exercícios!$B$7:$B$206,0)),"")</f>
        <v/>
      </c>
      <c r="K306" s="28"/>
      <c r="L306" s="28"/>
      <c r="M306" s="27"/>
      <c r="N306" s="28"/>
      <c r="O306" s="28"/>
      <c r="P306" s="28"/>
      <c r="Q306" s="26" t="n">
        <f aca="false">IFERROR($K306*$L306,"")</f>
        <v>0</v>
      </c>
      <c r="R306" s="44" t="n">
        <f aca="false">IF(OR($O306="",$P306=""),0,$O306*$P306)</f>
        <v>0</v>
      </c>
      <c r="S306" s="27"/>
      <c r="T306" s="27"/>
      <c r="U306" s="40" t="n">
        <f aca="false">IF($A306="",0,IF(AND(OR($E306=Atleta!$C$4,$E306="Equipe (todos)"),$A306&gt;=Atleta!$C$5),MAX($U$7:U305)+1,0))</f>
        <v>0</v>
      </c>
    </row>
    <row r="307" customFormat="false" ht="15" hidden="false" customHeight="false" outlineLevel="0" collapsed="false">
      <c r="A307" s="29"/>
      <c r="B307" s="40" t="n">
        <f aca="false">IF($A307="",0,INT(($A307-Macrociclo!$C$11)/7)+1)</f>
        <v>0</v>
      </c>
      <c r="C307" s="28"/>
      <c r="D307" s="28"/>
      <c r="E307" s="27"/>
      <c r="F307" s="28"/>
      <c r="G307" s="27"/>
      <c r="H307" s="26" t="str">
        <f aca="false">IFERROR(INDEX(Exercícios!$C$7:$C$206,MATCH($G307,Exercícios!$B$7:$B$206,0)),"")</f>
        <v/>
      </c>
      <c r="I307" s="26" t="str">
        <f aca="false">IFERROR(INDEX(Exercícios!$D$7:$D$206,MATCH($G307,Exercícios!$B$7:$B$206,0)),"")</f>
        <v/>
      </c>
      <c r="J307" s="26" t="str">
        <f aca="false">IFERROR(INDEX(Exercícios!$E$7:$E$206,MATCH($G307,Exercícios!$B$7:$B$206,0)),"")</f>
        <v/>
      </c>
      <c r="K307" s="28"/>
      <c r="L307" s="28"/>
      <c r="M307" s="27"/>
      <c r="N307" s="28"/>
      <c r="O307" s="28"/>
      <c r="P307" s="28"/>
      <c r="Q307" s="26" t="n">
        <f aca="false">IFERROR($K307*$L307,"")</f>
        <v>0</v>
      </c>
      <c r="R307" s="44" t="n">
        <f aca="false">IF(OR($O307="",$P307=""),0,$O307*$P307)</f>
        <v>0</v>
      </c>
      <c r="S307" s="27"/>
      <c r="T307" s="27"/>
      <c r="U307" s="40" t="n">
        <f aca="false">IF($A307="",0,IF(AND(OR($E307=Atleta!$C$4,$E307="Equipe (todos)"),$A307&gt;=Atleta!$C$5),MAX($U$7:U306)+1,0))</f>
        <v>0</v>
      </c>
    </row>
    <row r="308" customFormat="false" ht="15" hidden="false" customHeight="false" outlineLevel="0" collapsed="false">
      <c r="A308" s="29"/>
      <c r="B308" s="40" t="n">
        <f aca="false">IF($A308="",0,INT(($A308-Macrociclo!$C$11)/7)+1)</f>
        <v>0</v>
      </c>
      <c r="C308" s="28"/>
      <c r="D308" s="28"/>
      <c r="E308" s="27"/>
      <c r="F308" s="28"/>
      <c r="G308" s="27"/>
      <c r="H308" s="26" t="str">
        <f aca="false">IFERROR(INDEX(Exercícios!$C$7:$C$206,MATCH($G308,Exercícios!$B$7:$B$206,0)),"")</f>
        <v/>
      </c>
      <c r="I308" s="26" t="str">
        <f aca="false">IFERROR(INDEX(Exercícios!$D$7:$D$206,MATCH($G308,Exercícios!$B$7:$B$206,0)),"")</f>
        <v/>
      </c>
      <c r="J308" s="26" t="str">
        <f aca="false">IFERROR(INDEX(Exercícios!$E$7:$E$206,MATCH($G308,Exercícios!$B$7:$B$206,0)),"")</f>
        <v/>
      </c>
      <c r="K308" s="28"/>
      <c r="L308" s="28"/>
      <c r="M308" s="27"/>
      <c r="N308" s="28"/>
      <c r="O308" s="28"/>
      <c r="P308" s="28"/>
      <c r="Q308" s="26" t="n">
        <f aca="false">IFERROR($K308*$L308,"")</f>
        <v>0</v>
      </c>
      <c r="R308" s="44" t="n">
        <f aca="false">IF(OR($O308="",$P308=""),0,$O308*$P308)</f>
        <v>0</v>
      </c>
      <c r="S308" s="27"/>
      <c r="T308" s="27"/>
      <c r="U308" s="40" t="n">
        <f aca="false">IF($A308="",0,IF(AND(OR($E308=Atleta!$C$4,$E308="Equipe (todos)"),$A308&gt;=Atleta!$C$5),MAX($U$7:U307)+1,0))</f>
        <v>0</v>
      </c>
    </row>
    <row r="309" customFormat="false" ht="15" hidden="false" customHeight="false" outlineLevel="0" collapsed="false">
      <c r="A309" s="29"/>
      <c r="B309" s="40" t="n">
        <f aca="false">IF($A309="",0,INT(($A309-Macrociclo!$C$11)/7)+1)</f>
        <v>0</v>
      </c>
      <c r="C309" s="28"/>
      <c r="D309" s="28"/>
      <c r="E309" s="27"/>
      <c r="F309" s="28"/>
      <c r="G309" s="27"/>
      <c r="H309" s="26" t="str">
        <f aca="false">IFERROR(INDEX(Exercícios!$C$7:$C$206,MATCH($G309,Exercícios!$B$7:$B$206,0)),"")</f>
        <v/>
      </c>
      <c r="I309" s="26" t="str">
        <f aca="false">IFERROR(INDEX(Exercícios!$D$7:$D$206,MATCH($G309,Exercícios!$B$7:$B$206,0)),"")</f>
        <v/>
      </c>
      <c r="J309" s="26" t="str">
        <f aca="false">IFERROR(INDEX(Exercícios!$E$7:$E$206,MATCH($G309,Exercícios!$B$7:$B$206,0)),"")</f>
        <v/>
      </c>
      <c r="K309" s="28"/>
      <c r="L309" s="28"/>
      <c r="M309" s="27"/>
      <c r="N309" s="28"/>
      <c r="O309" s="28"/>
      <c r="P309" s="28"/>
      <c r="Q309" s="26" t="n">
        <f aca="false">IFERROR($K309*$L309,"")</f>
        <v>0</v>
      </c>
      <c r="R309" s="44" t="n">
        <f aca="false">IF(OR($O309="",$P309=""),0,$O309*$P309)</f>
        <v>0</v>
      </c>
      <c r="S309" s="27"/>
      <c r="T309" s="27"/>
      <c r="U309" s="40" t="n">
        <f aca="false">IF($A309="",0,IF(AND(OR($E309=Atleta!$C$4,$E309="Equipe (todos)"),$A309&gt;=Atleta!$C$5),MAX($U$7:U308)+1,0))</f>
        <v>0</v>
      </c>
    </row>
    <row r="310" customFormat="false" ht="15" hidden="false" customHeight="false" outlineLevel="0" collapsed="false">
      <c r="A310" s="29"/>
      <c r="B310" s="40" t="n">
        <f aca="false">IF($A310="",0,INT(($A310-Macrociclo!$C$11)/7)+1)</f>
        <v>0</v>
      </c>
      <c r="C310" s="28"/>
      <c r="D310" s="28"/>
      <c r="E310" s="27"/>
      <c r="F310" s="28"/>
      <c r="G310" s="27"/>
      <c r="H310" s="26" t="str">
        <f aca="false">IFERROR(INDEX(Exercícios!$C$7:$C$206,MATCH($G310,Exercícios!$B$7:$B$206,0)),"")</f>
        <v/>
      </c>
      <c r="I310" s="26" t="str">
        <f aca="false">IFERROR(INDEX(Exercícios!$D$7:$D$206,MATCH($G310,Exercícios!$B$7:$B$206,0)),"")</f>
        <v/>
      </c>
      <c r="J310" s="26" t="str">
        <f aca="false">IFERROR(INDEX(Exercícios!$E$7:$E$206,MATCH($G310,Exercícios!$B$7:$B$206,0)),"")</f>
        <v/>
      </c>
      <c r="K310" s="28"/>
      <c r="L310" s="28"/>
      <c r="M310" s="27"/>
      <c r="N310" s="28"/>
      <c r="O310" s="28"/>
      <c r="P310" s="28"/>
      <c r="Q310" s="26" t="n">
        <f aca="false">IFERROR($K310*$L310,"")</f>
        <v>0</v>
      </c>
      <c r="R310" s="44" t="n">
        <f aca="false">IF(OR($O310="",$P310=""),0,$O310*$P310)</f>
        <v>0</v>
      </c>
      <c r="S310" s="27"/>
      <c r="T310" s="27"/>
      <c r="U310" s="40" t="n">
        <f aca="false">IF($A310="",0,IF(AND(OR($E310=Atleta!$C$4,$E310="Equipe (todos)"),$A310&gt;=Atleta!$C$5),MAX($U$7:U309)+1,0))</f>
        <v>0</v>
      </c>
    </row>
    <row r="311" customFormat="false" ht="15" hidden="false" customHeight="false" outlineLevel="0" collapsed="false">
      <c r="A311" s="29"/>
      <c r="B311" s="40" t="n">
        <f aca="false">IF($A311="",0,INT(($A311-Macrociclo!$C$11)/7)+1)</f>
        <v>0</v>
      </c>
      <c r="C311" s="28"/>
      <c r="D311" s="28"/>
      <c r="E311" s="27"/>
      <c r="F311" s="28"/>
      <c r="G311" s="27"/>
      <c r="H311" s="26" t="str">
        <f aca="false">IFERROR(INDEX(Exercícios!$C$7:$C$206,MATCH($G311,Exercícios!$B$7:$B$206,0)),"")</f>
        <v/>
      </c>
      <c r="I311" s="26" t="str">
        <f aca="false">IFERROR(INDEX(Exercícios!$D$7:$D$206,MATCH($G311,Exercícios!$B$7:$B$206,0)),"")</f>
        <v/>
      </c>
      <c r="J311" s="26" t="str">
        <f aca="false">IFERROR(INDEX(Exercícios!$E$7:$E$206,MATCH($G311,Exercícios!$B$7:$B$206,0)),"")</f>
        <v/>
      </c>
      <c r="K311" s="28"/>
      <c r="L311" s="28"/>
      <c r="M311" s="27"/>
      <c r="N311" s="28"/>
      <c r="O311" s="28"/>
      <c r="P311" s="28"/>
      <c r="Q311" s="26" t="n">
        <f aca="false">IFERROR($K311*$L311,"")</f>
        <v>0</v>
      </c>
      <c r="R311" s="44" t="n">
        <f aca="false">IF(OR($O311="",$P311=""),0,$O311*$P311)</f>
        <v>0</v>
      </c>
      <c r="S311" s="27"/>
      <c r="T311" s="27"/>
      <c r="U311" s="40" t="n">
        <f aca="false">IF($A311="",0,IF(AND(OR($E311=Atleta!$C$4,$E311="Equipe (todos)"),$A311&gt;=Atleta!$C$5),MAX($U$7:U310)+1,0))</f>
        <v>0</v>
      </c>
    </row>
    <row r="312" customFormat="false" ht="15" hidden="false" customHeight="false" outlineLevel="0" collapsed="false">
      <c r="A312" s="29"/>
      <c r="B312" s="40" t="n">
        <f aca="false">IF($A312="",0,INT(($A312-Macrociclo!$C$11)/7)+1)</f>
        <v>0</v>
      </c>
      <c r="C312" s="28"/>
      <c r="D312" s="28"/>
      <c r="E312" s="27"/>
      <c r="F312" s="28"/>
      <c r="G312" s="27"/>
      <c r="H312" s="26" t="str">
        <f aca="false">IFERROR(INDEX(Exercícios!$C$7:$C$206,MATCH($G312,Exercícios!$B$7:$B$206,0)),"")</f>
        <v/>
      </c>
      <c r="I312" s="26" t="str">
        <f aca="false">IFERROR(INDEX(Exercícios!$D$7:$D$206,MATCH($G312,Exercícios!$B$7:$B$206,0)),"")</f>
        <v/>
      </c>
      <c r="J312" s="26" t="str">
        <f aca="false">IFERROR(INDEX(Exercícios!$E$7:$E$206,MATCH($G312,Exercícios!$B$7:$B$206,0)),"")</f>
        <v/>
      </c>
      <c r="K312" s="28"/>
      <c r="L312" s="28"/>
      <c r="M312" s="27"/>
      <c r="N312" s="28"/>
      <c r="O312" s="28"/>
      <c r="P312" s="28"/>
      <c r="Q312" s="26" t="n">
        <f aca="false">IFERROR($K312*$L312,"")</f>
        <v>0</v>
      </c>
      <c r="R312" s="44" t="n">
        <f aca="false">IF(OR($O312="",$P312=""),0,$O312*$P312)</f>
        <v>0</v>
      </c>
      <c r="S312" s="27"/>
      <c r="T312" s="27"/>
      <c r="U312" s="40" t="n">
        <f aca="false">IF($A312="",0,IF(AND(OR($E312=Atleta!$C$4,$E312="Equipe (todos)"),$A312&gt;=Atleta!$C$5),MAX($U$7:U311)+1,0))</f>
        <v>0</v>
      </c>
    </row>
    <row r="313" customFormat="false" ht="15" hidden="false" customHeight="false" outlineLevel="0" collapsed="false">
      <c r="A313" s="29"/>
      <c r="B313" s="40" t="n">
        <f aca="false">IF($A313="",0,INT(($A313-Macrociclo!$C$11)/7)+1)</f>
        <v>0</v>
      </c>
      <c r="C313" s="28"/>
      <c r="D313" s="28"/>
      <c r="E313" s="27"/>
      <c r="F313" s="28"/>
      <c r="G313" s="27"/>
      <c r="H313" s="26" t="str">
        <f aca="false">IFERROR(INDEX(Exercícios!$C$7:$C$206,MATCH($G313,Exercícios!$B$7:$B$206,0)),"")</f>
        <v/>
      </c>
      <c r="I313" s="26" t="str">
        <f aca="false">IFERROR(INDEX(Exercícios!$D$7:$D$206,MATCH($G313,Exercícios!$B$7:$B$206,0)),"")</f>
        <v/>
      </c>
      <c r="J313" s="26" t="str">
        <f aca="false">IFERROR(INDEX(Exercícios!$E$7:$E$206,MATCH($G313,Exercícios!$B$7:$B$206,0)),"")</f>
        <v/>
      </c>
      <c r="K313" s="28"/>
      <c r="L313" s="28"/>
      <c r="M313" s="27"/>
      <c r="N313" s="28"/>
      <c r="O313" s="28"/>
      <c r="P313" s="28"/>
      <c r="Q313" s="26" t="n">
        <f aca="false">IFERROR($K313*$L313,"")</f>
        <v>0</v>
      </c>
      <c r="R313" s="44" t="n">
        <f aca="false">IF(OR($O313="",$P313=""),0,$O313*$P313)</f>
        <v>0</v>
      </c>
      <c r="S313" s="27"/>
      <c r="T313" s="27"/>
      <c r="U313" s="40" t="n">
        <f aca="false">IF($A313="",0,IF(AND(OR($E313=Atleta!$C$4,$E313="Equipe (todos)"),$A313&gt;=Atleta!$C$5),MAX($U$7:U312)+1,0))</f>
        <v>0</v>
      </c>
    </row>
    <row r="314" customFormat="false" ht="15" hidden="false" customHeight="false" outlineLevel="0" collapsed="false">
      <c r="A314" s="29"/>
      <c r="B314" s="40" t="n">
        <f aca="false">IF($A314="",0,INT(($A314-Macrociclo!$C$11)/7)+1)</f>
        <v>0</v>
      </c>
      <c r="C314" s="28"/>
      <c r="D314" s="28"/>
      <c r="E314" s="27"/>
      <c r="F314" s="28"/>
      <c r="G314" s="27"/>
      <c r="H314" s="26" t="str">
        <f aca="false">IFERROR(INDEX(Exercícios!$C$7:$C$206,MATCH($G314,Exercícios!$B$7:$B$206,0)),"")</f>
        <v/>
      </c>
      <c r="I314" s="26" t="str">
        <f aca="false">IFERROR(INDEX(Exercícios!$D$7:$D$206,MATCH($G314,Exercícios!$B$7:$B$206,0)),"")</f>
        <v/>
      </c>
      <c r="J314" s="26" t="str">
        <f aca="false">IFERROR(INDEX(Exercícios!$E$7:$E$206,MATCH($G314,Exercícios!$B$7:$B$206,0)),"")</f>
        <v/>
      </c>
      <c r="K314" s="28"/>
      <c r="L314" s="28"/>
      <c r="M314" s="27"/>
      <c r="N314" s="28"/>
      <c r="O314" s="28"/>
      <c r="P314" s="28"/>
      <c r="Q314" s="26" t="n">
        <f aca="false">IFERROR($K314*$L314,"")</f>
        <v>0</v>
      </c>
      <c r="R314" s="44" t="n">
        <f aca="false">IF(OR($O314="",$P314=""),0,$O314*$P314)</f>
        <v>0</v>
      </c>
      <c r="S314" s="27"/>
      <c r="T314" s="27"/>
      <c r="U314" s="40" t="n">
        <f aca="false">IF($A314="",0,IF(AND(OR($E314=Atleta!$C$4,$E314="Equipe (todos)"),$A314&gt;=Atleta!$C$5),MAX($U$7:U313)+1,0))</f>
        <v>0</v>
      </c>
    </row>
    <row r="315" customFormat="false" ht="15" hidden="false" customHeight="false" outlineLevel="0" collapsed="false">
      <c r="A315" s="29"/>
      <c r="B315" s="40" t="n">
        <f aca="false">IF($A315="",0,INT(($A315-Macrociclo!$C$11)/7)+1)</f>
        <v>0</v>
      </c>
      <c r="C315" s="28"/>
      <c r="D315" s="28"/>
      <c r="E315" s="27"/>
      <c r="F315" s="28"/>
      <c r="G315" s="27"/>
      <c r="H315" s="26" t="str">
        <f aca="false">IFERROR(INDEX(Exercícios!$C$7:$C$206,MATCH($G315,Exercícios!$B$7:$B$206,0)),"")</f>
        <v/>
      </c>
      <c r="I315" s="26" t="str">
        <f aca="false">IFERROR(INDEX(Exercícios!$D$7:$D$206,MATCH($G315,Exercícios!$B$7:$B$206,0)),"")</f>
        <v/>
      </c>
      <c r="J315" s="26" t="str">
        <f aca="false">IFERROR(INDEX(Exercícios!$E$7:$E$206,MATCH($G315,Exercícios!$B$7:$B$206,0)),"")</f>
        <v/>
      </c>
      <c r="K315" s="28"/>
      <c r="L315" s="28"/>
      <c r="M315" s="27"/>
      <c r="N315" s="28"/>
      <c r="O315" s="28"/>
      <c r="P315" s="28"/>
      <c r="Q315" s="26" t="n">
        <f aca="false">IFERROR($K315*$L315,"")</f>
        <v>0</v>
      </c>
      <c r="R315" s="44" t="n">
        <f aca="false">IF(OR($O315="",$P315=""),0,$O315*$P315)</f>
        <v>0</v>
      </c>
      <c r="S315" s="27"/>
      <c r="T315" s="27"/>
      <c r="U315" s="40" t="n">
        <f aca="false">IF($A315="",0,IF(AND(OR($E315=Atleta!$C$4,$E315="Equipe (todos)"),$A315&gt;=Atleta!$C$5),MAX($U$7:U314)+1,0))</f>
        <v>0</v>
      </c>
    </row>
    <row r="316" customFormat="false" ht="15" hidden="false" customHeight="false" outlineLevel="0" collapsed="false">
      <c r="A316" s="29"/>
      <c r="B316" s="40" t="n">
        <f aca="false">IF($A316="",0,INT(($A316-Macrociclo!$C$11)/7)+1)</f>
        <v>0</v>
      </c>
      <c r="C316" s="28"/>
      <c r="D316" s="28"/>
      <c r="E316" s="27"/>
      <c r="F316" s="28"/>
      <c r="G316" s="27"/>
      <c r="H316" s="26" t="str">
        <f aca="false">IFERROR(INDEX(Exercícios!$C$7:$C$206,MATCH($G316,Exercícios!$B$7:$B$206,0)),"")</f>
        <v/>
      </c>
      <c r="I316" s="26" t="str">
        <f aca="false">IFERROR(INDEX(Exercícios!$D$7:$D$206,MATCH($G316,Exercícios!$B$7:$B$206,0)),"")</f>
        <v/>
      </c>
      <c r="J316" s="26" t="str">
        <f aca="false">IFERROR(INDEX(Exercícios!$E$7:$E$206,MATCH($G316,Exercícios!$B$7:$B$206,0)),"")</f>
        <v/>
      </c>
      <c r="K316" s="28"/>
      <c r="L316" s="28"/>
      <c r="M316" s="27"/>
      <c r="N316" s="28"/>
      <c r="O316" s="28"/>
      <c r="P316" s="28"/>
      <c r="Q316" s="26" t="n">
        <f aca="false">IFERROR($K316*$L316,"")</f>
        <v>0</v>
      </c>
      <c r="R316" s="44" t="n">
        <f aca="false">IF(OR($O316="",$P316=""),0,$O316*$P316)</f>
        <v>0</v>
      </c>
      <c r="S316" s="27"/>
      <c r="T316" s="27"/>
      <c r="U316" s="40" t="n">
        <f aca="false">IF($A316="",0,IF(AND(OR($E316=Atleta!$C$4,$E316="Equipe (todos)"),$A316&gt;=Atleta!$C$5),MAX($U$7:U315)+1,0))</f>
        <v>0</v>
      </c>
    </row>
    <row r="317" customFormat="false" ht="15" hidden="false" customHeight="false" outlineLevel="0" collapsed="false">
      <c r="A317" s="29"/>
      <c r="B317" s="40" t="n">
        <f aca="false">IF($A317="",0,INT(($A317-Macrociclo!$C$11)/7)+1)</f>
        <v>0</v>
      </c>
      <c r="C317" s="28"/>
      <c r="D317" s="28"/>
      <c r="E317" s="27"/>
      <c r="F317" s="28"/>
      <c r="G317" s="27"/>
      <c r="H317" s="26" t="str">
        <f aca="false">IFERROR(INDEX(Exercícios!$C$7:$C$206,MATCH($G317,Exercícios!$B$7:$B$206,0)),"")</f>
        <v/>
      </c>
      <c r="I317" s="26" t="str">
        <f aca="false">IFERROR(INDEX(Exercícios!$D$7:$D$206,MATCH($G317,Exercícios!$B$7:$B$206,0)),"")</f>
        <v/>
      </c>
      <c r="J317" s="26" t="str">
        <f aca="false">IFERROR(INDEX(Exercícios!$E$7:$E$206,MATCH($G317,Exercícios!$B$7:$B$206,0)),"")</f>
        <v/>
      </c>
      <c r="K317" s="28"/>
      <c r="L317" s="28"/>
      <c r="M317" s="27"/>
      <c r="N317" s="28"/>
      <c r="O317" s="28"/>
      <c r="P317" s="28"/>
      <c r="Q317" s="26" t="n">
        <f aca="false">IFERROR($K317*$L317,"")</f>
        <v>0</v>
      </c>
      <c r="R317" s="44" t="n">
        <f aca="false">IF(OR($O317="",$P317=""),0,$O317*$P317)</f>
        <v>0</v>
      </c>
      <c r="S317" s="27"/>
      <c r="T317" s="27"/>
      <c r="U317" s="40" t="n">
        <f aca="false">IF($A317="",0,IF(AND(OR($E317=Atleta!$C$4,$E317="Equipe (todos)"),$A317&gt;=Atleta!$C$5),MAX($U$7:U316)+1,0))</f>
        <v>0</v>
      </c>
    </row>
    <row r="318" customFormat="false" ht="15" hidden="false" customHeight="false" outlineLevel="0" collapsed="false">
      <c r="A318" s="29"/>
      <c r="B318" s="40" t="n">
        <f aca="false">IF($A318="",0,INT(($A318-Macrociclo!$C$11)/7)+1)</f>
        <v>0</v>
      </c>
      <c r="C318" s="28"/>
      <c r="D318" s="28"/>
      <c r="E318" s="27"/>
      <c r="F318" s="28"/>
      <c r="G318" s="27"/>
      <c r="H318" s="26" t="str">
        <f aca="false">IFERROR(INDEX(Exercícios!$C$7:$C$206,MATCH($G318,Exercícios!$B$7:$B$206,0)),"")</f>
        <v/>
      </c>
      <c r="I318" s="26" t="str">
        <f aca="false">IFERROR(INDEX(Exercícios!$D$7:$D$206,MATCH($G318,Exercícios!$B$7:$B$206,0)),"")</f>
        <v/>
      </c>
      <c r="J318" s="26" t="str">
        <f aca="false">IFERROR(INDEX(Exercícios!$E$7:$E$206,MATCH($G318,Exercícios!$B$7:$B$206,0)),"")</f>
        <v/>
      </c>
      <c r="K318" s="28"/>
      <c r="L318" s="28"/>
      <c r="M318" s="27"/>
      <c r="N318" s="28"/>
      <c r="O318" s="28"/>
      <c r="P318" s="28"/>
      <c r="Q318" s="26" t="n">
        <f aca="false">IFERROR($K318*$L318,"")</f>
        <v>0</v>
      </c>
      <c r="R318" s="44" t="n">
        <f aca="false">IF(OR($O318="",$P318=""),0,$O318*$P318)</f>
        <v>0</v>
      </c>
      <c r="S318" s="27"/>
      <c r="T318" s="27"/>
      <c r="U318" s="40" t="n">
        <f aca="false">IF($A318="",0,IF(AND(OR($E318=Atleta!$C$4,$E318="Equipe (todos)"),$A318&gt;=Atleta!$C$5),MAX($U$7:U317)+1,0))</f>
        <v>0</v>
      </c>
    </row>
    <row r="319" customFormat="false" ht="15" hidden="false" customHeight="false" outlineLevel="0" collapsed="false">
      <c r="A319" s="29"/>
      <c r="B319" s="40" t="n">
        <f aca="false">IF($A319="",0,INT(($A319-Macrociclo!$C$11)/7)+1)</f>
        <v>0</v>
      </c>
      <c r="C319" s="28"/>
      <c r="D319" s="28"/>
      <c r="E319" s="27"/>
      <c r="F319" s="28"/>
      <c r="G319" s="27"/>
      <c r="H319" s="26" t="str">
        <f aca="false">IFERROR(INDEX(Exercícios!$C$7:$C$206,MATCH($G319,Exercícios!$B$7:$B$206,0)),"")</f>
        <v/>
      </c>
      <c r="I319" s="26" t="str">
        <f aca="false">IFERROR(INDEX(Exercícios!$D$7:$D$206,MATCH($G319,Exercícios!$B$7:$B$206,0)),"")</f>
        <v/>
      </c>
      <c r="J319" s="26" t="str">
        <f aca="false">IFERROR(INDEX(Exercícios!$E$7:$E$206,MATCH($G319,Exercícios!$B$7:$B$206,0)),"")</f>
        <v/>
      </c>
      <c r="K319" s="28"/>
      <c r="L319" s="28"/>
      <c r="M319" s="27"/>
      <c r="N319" s="28"/>
      <c r="O319" s="28"/>
      <c r="P319" s="28"/>
      <c r="Q319" s="26" t="n">
        <f aca="false">IFERROR($K319*$L319,"")</f>
        <v>0</v>
      </c>
      <c r="R319" s="44" t="n">
        <f aca="false">IF(OR($O319="",$P319=""),0,$O319*$P319)</f>
        <v>0</v>
      </c>
      <c r="S319" s="27"/>
      <c r="T319" s="27"/>
      <c r="U319" s="40" t="n">
        <f aca="false">IF($A319="",0,IF(AND(OR($E319=Atleta!$C$4,$E319="Equipe (todos)"),$A319&gt;=Atleta!$C$5),MAX($U$7:U318)+1,0))</f>
        <v>0</v>
      </c>
    </row>
    <row r="320" customFormat="false" ht="15" hidden="false" customHeight="false" outlineLevel="0" collapsed="false">
      <c r="A320" s="29"/>
      <c r="B320" s="40" t="n">
        <f aca="false">IF($A320="",0,INT(($A320-Macrociclo!$C$11)/7)+1)</f>
        <v>0</v>
      </c>
      <c r="C320" s="28"/>
      <c r="D320" s="28"/>
      <c r="E320" s="27"/>
      <c r="F320" s="28"/>
      <c r="G320" s="27"/>
      <c r="H320" s="26" t="str">
        <f aca="false">IFERROR(INDEX(Exercícios!$C$7:$C$206,MATCH($G320,Exercícios!$B$7:$B$206,0)),"")</f>
        <v/>
      </c>
      <c r="I320" s="26" t="str">
        <f aca="false">IFERROR(INDEX(Exercícios!$D$7:$D$206,MATCH($G320,Exercícios!$B$7:$B$206,0)),"")</f>
        <v/>
      </c>
      <c r="J320" s="26" t="str">
        <f aca="false">IFERROR(INDEX(Exercícios!$E$7:$E$206,MATCH($G320,Exercícios!$B$7:$B$206,0)),"")</f>
        <v/>
      </c>
      <c r="K320" s="28"/>
      <c r="L320" s="28"/>
      <c r="M320" s="27"/>
      <c r="N320" s="28"/>
      <c r="O320" s="28"/>
      <c r="P320" s="28"/>
      <c r="Q320" s="26" t="n">
        <f aca="false">IFERROR($K320*$L320,"")</f>
        <v>0</v>
      </c>
      <c r="R320" s="44" t="n">
        <f aca="false">IF(OR($O320="",$P320=""),0,$O320*$P320)</f>
        <v>0</v>
      </c>
      <c r="S320" s="27"/>
      <c r="T320" s="27"/>
      <c r="U320" s="40" t="n">
        <f aca="false">IF($A320="",0,IF(AND(OR($E320=Atleta!$C$4,$E320="Equipe (todos)"),$A320&gt;=Atleta!$C$5),MAX($U$7:U319)+1,0))</f>
        <v>0</v>
      </c>
    </row>
    <row r="321" customFormat="false" ht="15" hidden="false" customHeight="false" outlineLevel="0" collapsed="false">
      <c r="A321" s="29"/>
      <c r="B321" s="40" t="n">
        <f aca="false">IF($A321="",0,INT(($A321-Macrociclo!$C$11)/7)+1)</f>
        <v>0</v>
      </c>
      <c r="C321" s="28"/>
      <c r="D321" s="28"/>
      <c r="E321" s="27"/>
      <c r="F321" s="28"/>
      <c r="G321" s="27"/>
      <c r="H321" s="26" t="str">
        <f aca="false">IFERROR(INDEX(Exercícios!$C$7:$C$206,MATCH($G321,Exercícios!$B$7:$B$206,0)),"")</f>
        <v/>
      </c>
      <c r="I321" s="26" t="str">
        <f aca="false">IFERROR(INDEX(Exercícios!$D$7:$D$206,MATCH($G321,Exercícios!$B$7:$B$206,0)),"")</f>
        <v/>
      </c>
      <c r="J321" s="26" t="str">
        <f aca="false">IFERROR(INDEX(Exercícios!$E$7:$E$206,MATCH($G321,Exercícios!$B$7:$B$206,0)),"")</f>
        <v/>
      </c>
      <c r="K321" s="28"/>
      <c r="L321" s="28"/>
      <c r="M321" s="27"/>
      <c r="N321" s="28"/>
      <c r="O321" s="28"/>
      <c r="P321" s="28"/>
      <c r="Q321" s="26" t="n">
        <f aca="false">IFERROR($K321*$L321,"")</f>
        <v>0</v>
      </c>
      <c r="R321" s="44" t="n">
        <f aca="false">IF(OR($O321="",$P321=""),0,$O321*$P321)</f>
        <v>0</v>
      </c>
      <c r="S321" s="27"/>
      <c r="T321" s="27"/>
      <c r="U321" s="40" t="n">
        <f aca="false">IF($A321="",0,IF(AND(OR($E321=Atleta!$C$4,$E321="Equipe (todos)"),$A321&gt;=Atleta!$C$5),MAX($U$7:U320)+1,0))</f>
        <v>0</v>
      </c>
    </row>
    <row r="322" customFormat="false" ht="15" hidden="false" customHeight="false" outlineLevel="0" collapsed="false">
      <c r="A322" s="29"/>
      <c r="B322" s="40" t="n">
        <f aca="false">IF($A322="",0,INT(($A322-Macrociclo!$C$11)/7)+1)</f>
        <v>0</v>
      </c>
      <c r="C322" s="28"/>
      <c r="D322" s="28"/>
      <c r="E322" s="27"/>
      <c r="F322" s="28"/>
      <c r="G322" s="27"/>
      <c r="H322" s="26" t="str">
        <f aca="false">IFERROR(INDEX(Exercícios!$C$7:$C$206,MATCH($G322,Exercícios!$B$7:$B$206,0)),"")</f>
        <v/>
      </c>
      <c r="I322" s="26" t="str">
        <f aca="false">IFERROR(INDEX(Exercícios!$D$7:$D$206,MATCH($G322,Exercícios!$B$7:$B$206,0)),"")</f>
        <v/>
      </c>
      <c r="J322" s="26" t="str">
        <f aca="false">IFERROR(INDEX(Exercícios!$E$7:$E$206,MATCH($G322,Exercícios!$B$7:$B$206,0)),"")</f>
        <v/>
      </c>
      <c r="K322" s="28"/>
      <c r="L322" s="28"/>
      <c r="M322" s="27"/>
      <c r="N322" s="28"/>
      <c r="O322" s="28"/>
      <c r="P322" s="28"/>
      <c r="Q322" s="26" t="n">
        <f aca="false">IFERROR($K322*$L322,"")</f>
        <v>0</v>
      </c>
      <c r="R322" s="44" t="n">
        <f aca="false">IF(OR($O322="",$P322=""),0,$O322*$P322)</f>
        <v>0</v>
      </c>
      <c r="S322" s="27"/>
      <c r="T322" s="27"/>
      <c r="U322" s="40" t="n">
        <f aca="false">IF($A322="",0,IF(AND(OR($E322=Atleta!$C$4,$E322="Equipe (todos)"),$A322&gt;=Atleta!$C$5),MAX($U$7:U321)+1,0))</f>
        <v>0</v>
      </c>
    </row>
    <row r="323" customFormat="false" ht="15" hidden="false" customHeight="false" outlineLevel="0" collapsed="false">
      <c r="A323" s="29"/>
      <c r="B323" s="40" t="n">
        <f aca="false">IF($A323="",0,INT(($A323-Macrociclo!$C$11)/7)+1)</f>
        <v>0</v>
      </c>
      <c r="C323" s="28"/>
      <c r="D323" s="28"/>
      <c r="E323" s="27"/>
      <c r="F323" s="28"/>
      <c r="G323" s="27"/>
      <c r="H323" s="26" t="str">
        <f aca="false">IFERROR(INDEX(Exercícios!$C$7:$C$206,MATCH($G323,Exercícios!$B$7:$B$206,0)),"")</f>
        <v/>
      </c>
      <c r="I323" s="26" t="str">
        <f aca="false">IFERROR(INDEX(Exercícios!$D$7:$D$206,MATCH($G323,Exercícios!$B$7:$B$206,0)),"")</f>
        <v/>
      </c>
      <c r="J323" s="26" t="str">
        <f aca="false">IFERROR(INDEX(Exercícios!$E$7:$E$206,MATCH($G323,Exercícios!$B$7:$B$206,0)),"")</f>
        <v/>
      </c>
      <c r="K323" s="28"/>
      <c r="L323" s="28"/>
      <c r="M323" s="27"/>
      <c r="N323" s="28"/>
      <c r="O323" s="28"/>
      <c r="P323" s="28"/>
      <c r="Q323" s="26" t="n">
        <f aca="false">IFERROR($K323*$L323,"")</f>
        <v>0</v>
      </c>
      <c r="R323" s="44" t="n">
        <f aca="false">IF(OR($O323="",$P323=""),0,$O323*$P323)</f>
        <v>0</v>
      </c>
      <c r="S323" s="27"/>
      <c r="T323" s="27"/>
      <c r="U323" s="40" t="n">
        <f aca="false">IF($A323="",0,IF(AND(OR($E323=Atleta!$C$4,$E323="Equipe (todos)"),$A323&gt;=Atleta!$C$5),MAX($U$7:U322)+1,0))</f>
        <v>0</v>
      </c>
    </row>
    <row r="324" customFormat="false" ht="15" hidden="false" customHeight="false" outlineLevel="0" collapsed="false">
      <c r="A324" s="29"/>
      <c r="B324" s="40" t="n">
        <f aca="false">IF($A324="",0,INT(($A324-Macrociclo!$C$11)/7)+1)</f>
        <v>0</v>
      </c>
      <c r="C324" s="28"/>
      <c r="D324" s="28"/>
      <c r="E324" s="27"/>
      <c r="F324" s="28"/>
      <c r="G324" s="27"/>
      <c r="H324" s="26" t="str">
        <f aca="false">IFERROR(INDEX(Exercícios!$C$7:$C$206,MATCH($G324,Exercícios!$B$7:$B$206,0)),"")</f>
        <v/>
      </c>
      <c r="I324" s="26" t="str">
        <f aca="false">IFERROR(INDEX(Exercícios!$D$7:$D$206,MATCH($G324,Exercícios!$B$7:$B$206,0)),"")</f>
        <v/>
      </c>
      <c r="J324" s="26" t="str">
        <f aca="false">IFERROR(INDEX(Exercícios!$E$7:$E$206,MATCH($G324,Exercícios!$B$7:$B$206,0)),"")</f>
        <v/>
      </c>
      <c r="K324" s="28"/>
      <c r="L324" s="28"/>
      <c r="M324" s="27"/>
      <c r="N324" s="28"/>
      <c r="O324" s="28"/>
      <c r="P324" s="28"/>
      <c r="Q324" s="26" t="n">
        <f aca="false">IFERROR($K324*$L324,"")</f>
        <v>0</v>
      </c>
      <c r="R324" s="44" t="n">
        <f aca="false">IF(OR($O324="",$P324=""),0,$O324*$P324)</f>
        <v>0</v>
      </c>
      <c r="S324" s="27"/>
      <c r="T324" s="27"/>
      <c r="U324" s="40" t="n">
        <f aca="false">IF($A324="",0,IF(AND(OR($E324=Atleta!$C$4,$E324="Equipe (todos)"),$A324&gt;=Atleta!$C$5),MAX($U$7:U323)+1,0))</f>
        <v>0</v>
      </c>
    </row>
    <row r="325" customFormat="false" ht="15" hidden="false" customHeight="false" outlineLevel="0" collapsed="false">
      <c r="A325" s="29"/>
      <c r="B325" s="40" t="n">
        <f aca="false">IF($A325="",0,INT(($A325-Macrociclo!$C$11)/7)+1)</f>
        <v>0</v>
      </c>
      <c r="C325" s="28"/>
      <c r="D325" s="28"/>
      <c r="E325" s="27"/>
      <c r="F325" s="28"/>
      <c r="G325" s="27"/>
      <c r="H325" s="26" t="str">
        <f aca="false">IFERROR(INDEX(Exercícios!$C$7:$C$206,MATCH($G325,Exercícios!$B$7:$B$206,0)),"")</f>
        <v/>
      </c>
      <c r="I325" s="26" t="str">
        <f aca="false">IFERROR(INDEX(Exercícios!$D$7:$D$206,MATCH($G325,Exercícios!$B$7:$B$206,0)),"")</f>
        <v/>
      </c>
      <c r="J325" s="26" t="str">
        <f aca="false">IFERROR(INDEX(Exercícios!$E$7:$E$206,MATCH($G325,Exercícios!$B$7:$B$206,0)),"")</f>
        <v/>
      </c>
      <c r="K325" s="28"/>
      <c r="L325" s="28"/>
      <c r="M325" s="27"/>
      <c r="N325" s="28"/>
      <c r="O325" s="28"/>
      <c r="P325" s="28"/>
      <c r="Q325" s="26" t="n">
        <f aca="false">IFERROR($K325*$L325,"")</f>
        <v>0</v>
      </c>
      <c r="R325" s="44" t="n">
        <f aca="false">IF(OR($O325="",$P325=""),0,$O325*$P325)</f>
        <v>0</v>
      </c>
      <c r="S325" s="27"/>
      <c r="T325" s="27"/>
      <c r="U325" s="40" t="n">
        <f aca="false">IF($A325="",0,IF(AND(OR($E325=Atleta!$C$4,$E325="Equipe (todos)"),$A325&gt;=Atleta!$C$5),MAX($U$7:U324)+1,0))</f>
        <v>0</v>
      </c>
    </row>
    <row r="326" customFormat="false" ht="15" hidden="false" customHeight="false" outlineLevel="0" collapsed="false">
      <c r="A326" s="29"/>
      <c r="B326" s="40" t="n">
        <f aca="false">IF($A326="",0,INT(($A326-Macrociclo!$C$11)/7)+1)</f>
        <v>0</v>
      </c>
      <c r="C326" s="28"/>
      <c r="D326" s="28"/>
      <c r="E326" s="27"/>
      <c r="F326" s="28"/>
      <c r="G326" s="27"/>
      <c r="H326" s="26" t="str">
        <f aca="false">IFERROR(INDEX(Exercícios!$C$7:$C$206,MATCH($G326,Exercícios!$B$7:$B$206,0)),"")</f>
        <v/>
      </c>
      <c r="I326" s="26" t="str">
        <f aca="false">IFERROR(INDEX(Exercícios!$D$7:$D$206,MATCH($G326,Exercícios!$B$7:$B$206,0)),"")</f>
        <v/>
      </c>
      <c r="J326" s="26" t="str">
        <f aca="false">IFERROR(INDEX(Exercícios!$E$7:$E$206,MATCH($G326,Exercícios!$B$7:$B$206,0)),"")</f>
        <v/>
      </c>
      <c r="K326" s="28"/>
      <c r="L326" s="28"/>
      <c r="M326" s="27"/>
      <c r="N326" s="28"/>
      <c r="O326" s="28"/>
      <c r="P326" s="28"/>
      <c r="Q326" s="26" t="n">
        <f aca="false">IFERROR($K326*$L326,"")</f>
        <v>0</v>
      </c>
      <c r="R326" s="44" t="n">
        <f aca="false">IF(OR($O326="",$P326=""),0,$O326*$P326)</f>
        <v>0</v>
      </c>
      <c r="S326" s="27"/>
      <c r="T326" s="27"/>
      <c r="U326" s="40" t="n">
        <f aca="false">IF($A326="",0,IF(AND(OR($E326=Atleta!$C$4,$E326="Equipe (todos)"),$A326&gt;=Atleta!$C$5),MAX($U$7:U325)+1,0))</f>
        <v>0</v>
      </c>
    </row>
    <row r="327" customFormat="false" ht="15" hidden="false" customHeight="false" outlineLevel="0" collapsed="false">
      <c r="A327" s="29"/>
      <c r="B327" s="40" t="n">
        <f aca="false">IF($A327="",0,INT(($A327-Macrociclo!$C$11)/7)+1)</f>
        <v>0</v>
      </c>
      <c r="C327" s="28"/>
      <c r="D327" s="28"/>
      <c r="E327" s="27"/>
      <c r="F327" s="28"/>
      <c r="G327" s="27"/>
      <c r="H327" s="26" t="str">
        <f aca="false">IFERROR(INDEX(Exercícios!$C$7:$C$206,MATCH($G327,Exercícios!$B$7:$B$206,0)),"")</f>
        <v/>
      </c>
      <c r="I327" s="26" t="str">
        <f aca="false">IFERROR(INDEX(Exercícios!$D$7:$D$206,MATCH($G327,Exercícios!$B$7:$B$206,0)),"")</f>
        <v/>
      </c>
      <c r="J327" s="26" t="str">
        <f aca="false">IFERROR(INDEX(Exercícios!$E$7:$E$206,MATCH($G327,Exercícios!$B$7:$B$206,0)),"")</f>
        <v/>
      </c>
      <c r="K327" s="28"/>
      <c r="L327" s="28"/>
      <c r="M327" s="27"/>
      <c r="N327" s="28"/>
      <c r="O327" s="28"/>
      <c r="P327" s="28"/>
      <c r="Q327" s="26" t="n">
        <f aca="false">IFERROR($K327*$L327,"")</f>
        <v>0</v>
      </c>
      <c r="R327" s="44" t="n">
        <f aca="false">IF(OR($O327="",$P327=""),0,$O327*$P327)</f>
        <v>0</v>
      </c>
      <c r="S327" s="27"/>
      <c r="T327" s="27"/>
      <c r="U327" s="40" t="n">
        <f aca="false">IF($A327="",0,IF(AND(OR($E327=Atleta!$C$4,$E327="Equipe (todos)"),$A327&gt;=Atleta!$C$5),MAX($U$7:U326)+1,0))</f>
        <v>0</v>
      </c>
    </row>
    <row r="328" customFormat="false" ht="15" hidden="false" customHeight="false" outlineLevel="0" collapsed="false">
      <c r="A328" s="29"/>
      <c r="B328" s="40" t="n">
        <f aca="false">IF($A328="",0,INT(($A328-Macrociclo!$C$11)/7)+1)</f>
        <v>0</v>
      </c>
      <c r="C328" s="28"/>
      <c r="D328" s="28"/>
      <c r="E328" s="27"/>
      <c r="F328" s="28"/>
      <c r="G328" s="27"/>
      <c r="H328" s="26" t="str">
        <f aca="false">IFERROR(INDEX(Exercícios!$C$7:$C$206,MATCH($G328,Exercícios!$B$7:$B$206,0)),"")</f>
        <v/>
      </c>
      <c r="I328" s="26" t="str">
        <f aca="false">IFERROR(INDEX(Exercícios!$D$7:$D$206,MATCH($G328,Exercícios!$B$7:$B$206,0)),"")</f>
        <v/>
      </c>
      <c r="J328" s="26" t="str">
        <f aca="false">IFERROR(INDEX(Exercícios!$E$7:$E$206,MATCH($G328,Exercícios!$B$7:$B$206,0)),"")</f>
        <v/>
      </c>
      <c r="K328" s="28"/>
      <c r="L328" s="28"/>
      <c r="M328" s="27"/>
      <c r="N328" s="28"/>
      <c r="O328" s="28"/>
      <c r="P328" s="28"/>
      <c r="Q328" s="26" t="n">
        <f aca="false">IFERROR($K328*$L328,"")</f>
        <v>0</v>
      </c>
      <c r="R328" s="44" t="n">
        <f aca="false">IF(OR($O328="",$P328=""),0,$O328*$P328)</f>
        <v>0</v>
      </c>
      <c r="S328" s="27"/>
      <c r="T328" s="27"/>
      <c r="U328" s="40" t="n">
        <f aca="false">IF($A328="",0,IF(AND(OR($E328=Atleta!$C$4,$E328="Equipe (todos)"),$A328&gt;=Atleta!$C$5),MAX($U$7:U327)+1,0))</f>
        <v>0</v>
      </c>
    </row>
    <row r="329" customFormat="false" ht="15" hidden="false" customHeight="false" outlineLevel="0" collapsed="false">
      <c r="A329" s="29"/>
      <c r="B329" s="40" t="n">
        <f aca="false">IF($A329="",0,INT(($A329-Macrociclo!$C$11)/7)+1)</f>
        <v>0</v>
      </c>
      <c r="C329" s="28"/>
      <c r="D329" s="28"/>
      <c r="E329" s="27"/>
      <c r="F329" s="28"/>
      <c r="G329" s="27"/>
      <c r="H329" s="26" t="str">
        <f aca="false">IFERROR(INDEX(Exercícios!$C$7:$C$206,MATCH($G329,Exercícios!$B$7:$B$206,0)),"")</f>
        <v/>
      </c>
      <c r="I329" s="26" t="str">
        <f aca="false">IFERROR(INDEX(Exercícios!$D$7:$D$206,MATCH($G329,Exercícios!$B$7:$B$206,0)),"")</f>
        <v/>
      </c>
      <c r="J329" s="26" t="str">
        <f aca="false">IFERROR(INDEX(Exercícios!$E$7:$E$206,MATCH($G329,Exercícios!$B$7:$B$206,0)),"")</f>
        <v/>
      </c>
      <c r="K329" s="28"/>
      <c r="L329" s="28"/>
      <c r="M329" s="27"/>
      <c r="N329" s="28"/>
      <c r="O329" s="28"/>
      <c r="P329" s="28"/>
      <c r="Q329" s="26" t="n">
        <f aca="false">IFERROR($K329*$L329,"")</f>
        <v>0</v>
      </c>
      <c r="R329" s="44" t="n">
        <f aca="false">IF(OR($O329="",$P329=""),0,$O329*$P329)</f>
        <v>0</v>
      </c>
      <c r="S329" s="27"/>
      <c r="T329" s="27"/>
      <c r="U329" s="40" t="n">
        <f aca="false">IF($A329="",0,IF(AND(OR($E329=Atleta!$C$4,$E329="Equipe (todos)"),$A329&gt;=Atleta!$C$5),MAX($U$7:U328)+1,0))</f>
        <v>0</v>
      </c>
    </row>
    <row r="330" customFormat="false" ht="15" hidden="false" customHeight="false" outlineLevel="0" collapsed="false">
      <c r="A330" s="29"/>
      <c r="B330" s="40" t="n">
        <f aca="false">IF($A330="",0,INT(($A330-Macrociclo!$C$11)/7)+1)</f>
        <v>0</v>
      </c>
      <c r="C330" s="28"/>
      <c r="D330" s="28"/>
      <c r="E330" s="27"/>
      <c r="F330" s="28"/>
      <c r="G330" s="27"/>
      <c r="H330" s="26" t="str">
        <f aca="false">IFERROR(INDEX(Exercícios!$C$7:$C$206,MATCH($G330,Exercícios!$B$7:$B$206,0)),"")</f>
        <v/>
      </c>
      <c r="I330" s="26" t="str">
        <f aca="false">IFERROR(INDEX(Exercícios!$D$7:$D$206,MATCH($G330,Exercícios!$B$7:$B$206,0)),"")</f>
        <v/>
      </c>
      <c r="J330" s="26" t="str">
        <f aca="false">IFERROR(INDEX(Exercícios!$E$7:$E$206,MATCH($G330,Exercícios!$B$7:$B$206,0)),"")</f>
        <v/>
      </c>
      <c r="K330" s="28"/>
      <c r="L330" s="28"/>
      <c r="M330" s="27"/>
      <c r="N330" s="28"/>
      <c r="O330" s="28"/>
      <c r="P330" s="28"/>
      <c r="Q330" s="26" t="n">
        <f aca="false">IFERROR($K330*$L330,"")</f>
        <v>0</v>
      </c>
      <c r="R330" s="44" t="n">
        <f aca="false">IF(OR($O330="",$P330=""),0,$O330*$P330)</f>
        <v>0</v>
      </c>
      <c r="S330" s="27"/>
      <c r="T330" s="27"/>
      <c r="U330" s="40" t="n">
        <f aca="false">IF($A330="",0,IF(AND(OR($E330=Atleta!$C$4,$E330="Equipe (todos)"),$A330&gt;=Atleta!$C$5),MAX($U$7:U329)+1,0))</f>
        <v>0</v>
      </c>
    </row>
    <row r="331" customFormat="false" ht="15" hidden="false" customHeight="false" outlineLevel="0" collapsed="false">
      <c r="A331" s="29"/>
      <c r="B331" s="40" t="n">
        <f aca="false">IF($A331="",0,INT(($A331-Macrociclo!$C$11)/7)+1)</f>
        <v>0</v>
      </c>
      <c r="C331" s="28"/>
      <c r="D331" s="28"/>
      <c r="E331" s="27"/>
      <c r="F331" s="28"/>
      <c r="G331" s="27"/>
      <c r="H331" s="26" t="str">
        <f aca="false">IFERROR(INDEX(Exercícios!$C$7:$C$206,MATCH($G331,Exercícios!$B$7:$B$206,0)),"")</f>
        <v/>
      </c>
      <c r="I331" s="26" t="str">
        <f aca="false">IFERROR(INDEX(Exercícios!$D$7:$D$206,MATCH($G331,Exercícios!$B$7:$B$206,0)),"")</f>
        <v/>
      </c>
      <c r="J331" s="26" t="str">
        <f aca="false">IFERROR(INDEX(Exercícios!$E$7:$E$206,MATCH($G331,Exercícios!$B$7:$B$206,0)),"")</f>
        <v/>
      </c>
      <c r="K331" s="28"/>
      <c r="L331" s="28"/>
      <c r="M331" s="27"/>
      <c r="N331" s="28"/>
      <c r="O331" s="28"/>
      <c r="P331" s="28"/>
      <c r="Q331" s="26" t="n">
        <f aca="false">IFERROR($K331*$L331,"")</f>
        <v>0</v>
      </c>
      <c r="R331" s="44" t="n">
        <f aca="false">IF(OR($O331="",$P331=""),0,$O331*$P331)</f>
        <v>0</v>
      </c>
      <c r="S331" s="27"/>
      <c r="T331" s="27"/>
      <c r="U331" s="40" t="n">
        <f aca="false">IF($A331="",0,IF(AND(OR($E331=Atleta!$C$4,$E331="Equipe (todos)"),$A331&gt;=Atleta!$C$5),MAX($U$7:U330)+1,0))</f>
        <v>0</v>
      </c>
    </row>
    <row r="332" customFormat="false" ht="15" hidden="false" customHeight="false" outlineLevel="0" collapsed="false">
      <c r="A332" s="29"/>
      <c r="B332" s="40" t="n">
        <f aca="false">IF($A332="",0,INT(($A332-Macrociclo!$C$11)/7)+1)</f>
        <v>0</v>
      </c>
      <c r="C332" s="28"/>
      <c r="D332" s="28"/>
      <c r="E332" s="27"/>
      <c r="F332" s="28"/>
      <c r="G332" s="27"/>
      <c r="H332" s="26" t="str">
        <f aca="false">IFERROR(INDEX(Exercícios!$C$7:$C$206,MATCH($G332,Exercícios!$B$7:$B$206,0)),"")</f>
        <v/>
      </c>
      <c r="I332" s="26" t="str">
        <f aca="false">IFERROR(INDEX(Exercícios!$D$7:$D$206,MATCH($G332,Exercícios!$B$7:$B$206,0)),"")</f>
        <v/>
      </c>
      <c r="J332" s="26" t="str">
        <f aca="false">IFERROR(INDEX(Exercícios!$E$7:$E$206,MATCH($G332,Exercícios!$B$7:$B$206,0)),"")</f>
        <v/>
      </c>
      <c r="K332" s="28"/>
      <c r="L332" s="28"/>
      <c r="M332" s="27"/>
      <c r="N332" s="28"/>
      <c r="O332" s="28"/>
      <c r="P332" s="28"/>
      <c r="Q332" s="26" t="n">
        <f aca="false">IFERROR($K332*$L332,"")</f>
        <v>0</v>
      </c>
      <c r="R332" s="44" t="n">
        <f aca="false">IF(OR($O332="",$P332=""),0,$O332*$P332)</f>
        <v>0</v>
      </c>
      <c r="S332" s="27"/>
      <c r="T332" s="27"/>
      <c r="U332" s="40" t="n">
        <f aca="false">IF($A332="",0,IF(AND(OR($E332=Atleta!$C$4,$E332="Equipe (todos)"),$A332&gt;=Atleta!$C$5),MAX($U$7:U331)+1,0))</f>
        <v>0</v>
      </c>
    </row>
    <row r="333" customFormat="false" ht="15" hidden="false" customHeight="false" outlineLevel="0" collapsed="false">
      <c r="A333" s="29"/>
      <c r="B333" s="40" t="n">
        <f aca="false">IF($A333="",0,INT(($A333-Macrociclo!$C$11)/7)+1)</f>
        <v>0</v>
      </c>
      <c r="C333" s="28"/>
      <c r="D333" s="28"/>
      <c r="E333" s="27"/>
      <c r="F333" s="28"/>
      <c r="G333" s="27"/>
      <c r="H333" s="26" t="str">
        <f aca="false">IFERROR(INDEX(Exercícios!$C$7:$C$206,MATCH($G333,Exercícios!$B$7:$B$206,0)),"")</f>
        <v/>
      </c>
      <c r="I333" s="26" t="str">
        <f aca="false">IFERROR(INDEX(Exercícios!$D$7:$D$206,MATCH($G333,Exercícios!$B$7:$B$206,0)),"")</f>
        <v/>
      </c>
      <c r="J333" s="26" t="str">
        <f aca="false">IFERROR(INDEX(Exercícios!$E$7:$E$206,MATCH($G333,Exercícios!$B$7:$B$206,0)),"")</f>
        <v/>
      </c>
      <c r="K333" s="28"/>
      <c r="L333" s="28"/>
      <c r="M333" s="27"/>
      <c r="N333" s="28"/>
      <c r="O333" s="28"/>
      <c r="P333" s="28"/>
      <c r="Q333" s="26" t="n">
        <f aca="false">IFERROR($K333*$L333,"")</f>
        <v>0</v>
      </c>
      <c r="R333" s="44" t="n">
        <f aca="false">IF(OR($O333="",$P333=""),0,$O333*$P333)</f>
        <v>0</v>
      </c>
      <c r="S333" s="27"/>
      <c r="T333" s="27"/>
      <c r="U333" s="40" t="n">
        <f aca="false">IF($A333="",0,IF(AND(OR($E333=Atleta!$C$4,$E333="Equipe (todos)"),$A333&gt;=Atleta!$C$5),MAX($U$7:U332)+1,0))</f>
        <v>0</v>
      </c>
    </row>
    <row r="334" customFormat="false" ht="15" hidden="false" customHeight="false" outlineLevel="0" collapsed="false">
      <c r="A334" s="29"/>
      <c r="B334" s="40" t="n">
        <f aca="false">IF($A334="",0,INT(($A334-Macrociclo!$C$11)/7)+1)</f>
        <v>0</v>
      </c>
      <c r="C334" s="28"/>
      <c r="D334" s="28"/>
      <c r="E334" s="27"/>
      <c r="F334" s="28"/>
      <c r="G334" s="27"/>
      <c r="H334" s="26" t="str">
        <f aca="false">IFERROR(INDEX(Exercícios!$C$7:$C$206,MATCH($G334,Exercícios!$B$7:$B$206,0)),"")</f>
        <v/>
      </c>
      <c r="I334" s="26" t="str">
        <f aca="false">IFERROR(INDEX(Exercícios!$D$7:$D$206,MATCH($G334,Exercícios!$B$7:$B$206,0)),"")</f>
        <v/>
      </c>
      <c r="J334" s="26" t="str">
        <f aca="false">IFERROR(INDEX(Exercícios!$E$7:$E$206,MATCH($G334,Exercícios!$B$7:$B$206,0)),"")</f>
        <v/>
      </c>
      <c r="K334" s="28"/>
      <c r="L334" s="28"/>
      <c r="M334" s="27"/>
      <c r="N334" s="28"/>
      <c r="O334" s="28"/>
      <c r="P334" s="28"/>
      <c r="Q334" s="26" t="n">
        <f aca="false">IFERROR($K334*$L334,"")</f>
        <v>0</v>
      </c>
      <c r="R334" s="44" t="n">
        <f aca="false">IF(OR($O334="",$P334=""),0,$O334*$P334)</f>
        <v>0</v>
      </c>
      <c r="S334" s="27"/>
      <c r="T334" s="27"/>
      <c r="U334" s="40" t="n">
        <f aca="false">IF($A334="",0,IF(AND(OR($E334=Atleta!$C$4,$E334="Equipe (todos)"),$A334&gt;=Atleta!$C$5),MAX($U$7:U333)+1,0))</f>
        <v>0</v>
      </c>
    </row>
    <row r="335" customFormat="false" ht="15" hidden="false" customHeight="false" outlineLevel="0" collapsed="false">
      <c r="A335" s="29"/>
      <c r="B335" s="40" t="n">
        <f aca="false">IF($A335="",0,INT(($A335-Macrociclo!$C$11)/7)+1)</f>
        <v>0</v>
      </c>
      <c r="C335" s="28"/>
      <c r="D335" s="28"/>
      <c r="E335" s="27"/>
      <c r="F335" s="28"/>
      <c r="G335" s="27"/>
      <c r="H335" s="26" t="str">
        <f aca="false">IFERROR(INDEX(Exercícios!$C$7:$C$206,MATCH($G335,Exercícios!$B$7:$B$206,0)),"")</f>
        <v/>
      </c>
      <c r="I335" s="26" t="str">
        <f aca="false">IFERROR(INDEX(Exercícios!$D$7:$D$206,MATCH($G335,Exercícios!$B$7:$B$206,0)),"")</f>
        <v/>
      </c>
      <c r="J335" s="26" t="str">
        <f aca="false">IFERROR(INDEX(Exercícios!$E$7:$E$206,MATCH($G335,Exercícios!$B$7:$B$206,0)),"")</f>
        <v/>
      </c>
      <c r="K335" s="28"/>
      <c r="L335" s="28"/>
      <c r="M335" s="27"/>
      <c r="N335" s="28"/>
      <c r="O335" s="28"/>
      <c r="P335" s="28"/>
      <c r="Q335" s="26" t="n">
        <f aca="false">IFERROR($K335*$L335,"")</f>
        <v>0</v>
      </c>
      <c r="R335" s="44" t="n">
        <f aca="false">IF(OR($O335="",$P335=""),0,$O335*$P335)</f>
        <v>0</v>
      </c>
      <c r="S335" s="27"/>
      <c r="T335" s="27"/>
      <c r="U335" s="40" t="n">
        <f aca="false">IF($A335="",0,IF(AND(OR($E335=Atleta!$C$4,$E335="Equipe (todos)"),$A335&gt;=Atleta!$C$5),MAX($U$7:U334)+1,0))</f>
        <v>0</v>
      </c>
    </row>
    <row r="336" customFormat="false" ht="15" hidden="false" customHeight="false" outlineLevel="0" collapsed="false">
      <c r="A336" s="29"/>
      <c r="B336" s="40" t="n">
        <f aca="false">IF($A336="",0,INT(($A336-Macrociclo!$C$11)/7)+1)</f>
        <v>0</v>
      </c>
      <c r="C336" s="28"/>
      <c r="D336" s="28"/>
      <c r="E336" s="27"/>
      <c r="F336" s="28"/>
      <c r="G336" s="27"/>
      <c r="H336" s="26" t="str">
        <f aca="false">IFERROR(INDEX(Exercícios!$C$7:$C$206,MATCH($G336,Exercícios!$B$7:$B$206,0)),"")</f>
        <v/>
      </c>
      <c r="I336" s="26" t="str">
        <f aca="false">IFERROR(INDEX(Exercícios!$D$7:$D$206,MATCH($G336,Exercícios!$B$7:$B$206,0)),"")</f>
        <v/>
      </c>
      <c r="J336" s="26" t="str">
        <f aca="false">IFERROR(INDEX(Exercícios!$E$7:$E$206,MATCH($G336,Exercícios!$B$7:$B$206,0)),"")</f>
        <v/>
      </c>
      <c r="K336" s="28"/>
      <c r="L336" s="28"/>
      <c r="M336" s="27"/>
      <c r="N336" s="28"/>
      <c r="O336" s="28"/>
      <c r="P336" s="28"/>
      <c r="Q336" s="26" t="n">
        <f aca="false">IFERROR($K336*$L336,"")</f>
        <v>0</v>
      </c>
      <c r="R336" s="44" t="n">
        <f aca="false">IF(OR($O336="",$P336=""),0,$O336*$P336)</f>
        <v>0</v>
      </c>
      <c r="S336" s="27"/>
      <c r="T336" s="27"/>
      <c r="U336" s="40" t="n">
        <f aca="false">IF($A336="",0,IF(AND(OR($E336=Atleta!$C$4,$E336="Equipe (todos)"),$A336&gt;=Atleta!$C$5),MAX($U$7:U335)+1,0))</f>
        <v>0</v>
      </c>
    </row>
    <row r="337" customFormat="false" ht="15" hidden="false" customHeight="false" outlineLevel="0" collapsed="false">
      <c r="A337" s="29"/>
      <c r="B337" s="40" t="n">
        <f aca="false">IF($A337="",0,INT(($A337-Macrociclo!$C$11)/7)+1)</f>
        <v>0</v>
      </c>
      <c r="C337" s="28"/>
      <c r="D337" s="28"/>
      <c r="E337" s="27"/>
      <c r="F337" s="28"/>
      <c r="G337" s="27"/>
      <c r="H337" s="26" t="str">
        <f aca="false">IFERROR(INDEX(Exercícios!$C$7:$C$206,MATCH($G337,Exercícios!$B$7:$B$206,0)),"")</f>
        <v/>
      </c>
      <c r="I337" s="26" t="str">
        <f aca="false">IFERROR(INDEX(Exercícios!$D$7:$D$206,MATCH($G337,Exercícios!$B$7:$B$206,0)),"")</f>
        <v/>
      </c>
      <c r="J337" s="26" t="str">
        <f aca="false">IFERROR(INDEX(Exercícios!$E$7:$E$206,MATCH($G337,Exercícios!$B$7:$B$206,0)),"")</f>
        <v/>
      </c>
      <c r="K337" s="28"/>
      <c r="L337" s="28"/>
      <c r="M337" s="27"/>
      <c r="N337" s="28"/>
      <c r="O337" s="28"/>
      <c r="P337" s="28"/>
      <c r="Q337" s="26" t="n">
        <f aca="false">IFERROR($K337*$L337,"")</f>
        <v>0</v>
      </c>
      <c r="R337" s="44" t="n">
        <f aca="false">IF(OR($O337="",$P337=""),0,$O337*$P337)</f>
        <v>0</v>
      </c>
      <c r="S337" s="27"/>
      <c r="T337" s="27"/>
      <c r="U337" s="40" t="n">
        <f aca="false">IF($A337="",0,IF(AND(OR($E337=Atleta!$C$4,$E337="Equipe (todos)"),$A337&gt;=Atleta!$C$5),MAX($U$7:U336)+1,0))</f>
        <v>0</v>
      </c>
    </row>
    <row r="338" customFormat="false" ht="15" hidden="false" customHeight="false" outlineLevel="0" collapsed="false">
      <c r="A338" s="29"/>
      <c r="B338" s="40" t="n">
        <f aca="false">IF($A338="",0,INT(($A338-Macrociclo!$C$11)/7)+1)</f>
        <v>0</v>
      </c>
      <c r="C338" s="28"/>
      <c r="D338" s="28"/>
      <c r="E338" s="27"/>
      <c r="F338" s="28"/>
      <c r="G338" s="27"/>
      <c r="H338" s="26" t="str">
        <f aca="false">IFERROR(INDEX(Exercícios!$C$7:$C$206,MATCH($G338,Exercícios!$B$7:$B$206,0)),"")</f>
        <v/>
      </c>
      <c r="I338" s="26" t="str">
        <f aca="false">IFERROR(INDEX(Exercícios!$D$7:$D$206,MATCH($G338,Exercícios!$B$7:$B$206,0)),"")</f>
        <v/>
      </c>
      <c r="J338" s="26" t="str">
        <f aca="false">IFERROR(INDEX(Exercícios!$E$7:$E$206,MATCH($G338,Exercícios!$B$7:$B$206,0)),"")</f>
        <v/>
      </c>
      <c r="K338" s="28"/>
      <c r="L338" s="28"/>
      <c r="M338" s="27"/>
      <c r="N338" s="28"/>
      <c r="O338" s="28"/>
      <c r="P338" s="28"/>
      <c r="Q338" s="26" t="n">
        <f aca="false">IFERROR($K338*$L338,"")</f>
        <v>0</v>
      </c>
      <c r="R338" s="44" t="n">
        <f aca="false">IF(OR($O338="",$P338=""),0,$O338*$P338)</f>
        <v>0</v>
      </c>
      <c r="S338" s="27"/>
      <c r="T338" s="27"/>
      <c r="U338" s="40" t="n">
        <f aca="false">IF($A338="",0,IF(AND(OR($E338=Atleta!$C$4,$E338="Equipe (todos)"),$A338&gt;=Atleta!$C$5),MAX($U$7:U337)+1,0))</f>
        <v>0</v>
      </c>
    </row>
    <row r="339" customFormat="false" ht="15" hidden="false" customHeight="false" outlineLevel="0" collapsed="false">
      <c r="A339" s="29"/>
      <c r="B339" s="40" t="n">
        <f aca="false">IF($A339="",0,INT(($A339-Macrociclo!$C$11)/7)+1)</f>
        <v>0</v>
      </c>
      <c r="C339" s="28"/>
      <c r="D339" s="28"/>
      <c r="E339" s="27"/>
      <c r="F339" s="28"/>
      <c r="G339" s="27"/>
      <c r="H339" s="26" t="str">
        <f aca="false">IFERROR(INDEX(Exercícios!$C$7:$C$206,MATCH($G339,Exercícios!$B$7:$B$206,0)),"")</f>
        <v/>
      </c>
      <c r="I339" s="26" t="str">
        <f aca="false">IFERROR(INDEX(Exercícios!$D$7:$D$206,MATCH($G339,Exercícios!$B$7:$B$206,0)),"")</f>
        <v/>
      </c>
      <c r="J339" s="26" t="str">
        <f aca="false">IFERROR(INDEX(Exercícios!$E$7:$E$206,MATCH($G339,Exercícios!$B$7:$B$206,0)),"")</f>
        <v/>
      </c>
      <c r="K339" s="28"/>
      <c r="L339" s="28"/>
      <c r="M339" s="27"/>
      <c r="N339" s="28"/>
      <c r="O339" s="28"/>
      <c r="P339" s="28"/>
      <c r="Q339" s="26" t="n">
        <f aca="false">IFERROR($K339*$L339,"")</f>
        <v>0</v>
      </c>
      <c r="R339" s="44" t="n">
        <f aca="false">IF(OR($O339="",$P339=""),0,$O339*$P339)</f>
        <v>0</v>
      </c>
      <c r="S339" s="27"/>
      <c r="T339" s="27"/>
      <c r="U339" s="40" t="n">
        <f aca="false">IF($A339="",0,IF(AND(OR($E339=Atleta!$C$4,$E339="Equipe (todos)"),$A339&gt;=Atleta!$C$5),MAX($U$7:U338)+1,0))</f>
        <v>0</v>
      </c>
    </row>
    <row r="340" customFormat="false" ht="15" hidden="false" customHeight="false" outlineLevel="0" collapsed="false">
      <c r="A340" s="29"/>
      <c r="B340" s="40" t="n">
        <f aca="false">IF($A340="",0,INT(($A340-Macrociclo!$C$11)/7)+1)</f>
        <v>0</v>
      </c>
      <c r="C340" s="28"/>
      <c r="D340" s="28"/>
      <c r="E340" s="27"/>
      <c r="F340" s="28"/>
      <c r="G340" s="27"/>
      <c r="H340" s="26" t="str">
        <f aca="false">IFERROR(INDEX(Exercícios!$C$7:$C$206,MATCH($G340,Exercícios!$B$7:$B$206,0)),"")</f>
        <v/>
      </c>
      <c r="I340" s="26" t="str">
        <f aca="false">IFERROR(INDEX(Exercícios!$D$7:$D$206,MATCH($G340,Exercícios!$B$7:$B$206,0)),"")</f>
        <v/>
      </c>
      <c r="J340" s="26" t="str">
        <f aca="false">IFERROR(INDEX(Exercícios!$E$7:$E$206,MATCH($G340,Exercícios!$B$7:$B$206,0)),"")</f>
        <v/>
      </c>
      <c r="K340" s="28"/>
      <c r="L340" s="28"/>
      <c r="M340" s="27"/>
      <c r="N340" s="28"/>
      <c r="O340" s="28"/>
      <c r="P340" s="28"/>
      <c r="Q340" s="26" t="n">
        <f aca="false">IFERROR($K340*$L340,"")</f>
        <v>0</v>
      </c>
      <c r="R340" s="44" t="n">
        <f aca="false">IF(OR($O340="",$P340=""),0,$O340*$P340)</f>
        <v>0</v>
      </c>
      <c r="S340" s="27"/>
      <c r="T340" s="27"/>
      <c r="U340" s="40" t="n">
        <f aca="false">IF($A340="",0,IF(AND(OR($E340=Atleta!$C$4,$E340="Equipe (todos)"),$A340&gt;=Atleta!$C$5),MAX($U$7:U339)+1,0))</f>
        <v>0</v>
      </c>
    </row>
    <row r="341" customFormat="false" ht="15" hidden="false" customHeight="false" outlineLevel="0" collapsed="false">
      <c r="A341" s="29"/>
      <c r="B341" s="40" t="n">
        <f aca="false">IF($A341="",0,INT(($A341-Macrociclo!$C$11)/7)+1)</f>
        <v>0</v>
      </c>
      <c r="C341" s="28"/>
      <c r="D341" s="28"/>
      <c r="E341" s="27"/>
      <c r="F341" s="28"/>
      <c r="G341" s="27"/>
      <c r="H341" s="26" t="str">
        <f aca="false">IFERROR(INDEX(Exercícios!$C$7:$C$206,MATCH($G341,Exercícios!$B$7:$B$206,0)),"")</f>
        <v/>
      </c>
      <c r="I341" s="26" t="str">
        <f aca="false">IFERROR(INDEX(Exercícios!$D$7:$D$206,MATCH($G341,Exercícios!$B$7:$B$206,0)),"")</f>
        <v/>
      </c>
      <c r="J341" s="26" t="str">
        <f aca="false">IFERROR(INDEX(Exercícios!$E$7:$E$206,MATCH($G341,Exercícios!$B$7:$B$206,0)),"")</f>
        <v/>
      </c>
      <c r="K341" s="28"/>
      <c r="L341" s="28"/>
      <c r="M341" s="27"/>
      <c r="N341" s="28"/>
      <c r="O341" s="28"/>
      <c r="P341" s="28"/>
      <c r="Q341" s="26" t="n">
        <f aca="false">IFERROR($K341*$L341,"")</f>
        <v>0</v>
      </c>
      <c r="R341" s="44" t="n">
        <f aca="false">IF(OR($O341="",$P341=""),0,$O341*$P341)</f>
        <v>0</v>
      </c>
      <c r="S341" s="27"/>
      <c r="T341" s="27"/>
      <c r="U341" s="40" t="n">
        <f aca="false">IF($A341="",0,IF(AND(OR($E341=Atleta!$C$4,$E341="Equipe (todos)"),$A341&gt;=Atleta!$C$5),MAX($U$7:U340)+1,0))</f>
        <v>0</v>
      </c>
    </row>
    <row r="342" customFormat="false" ht="15" hidden="false" customHeight="false" outlineLevel="0" collapsed="false">
      <c r="A342" s="29"/>
      <c r="B342" s="40" t="n">
        <f aca="false">IF($A342="",0,INT(($A342-Macrociclo!$C$11)/7)+1)</f>
        <v>0</v>
      </c>
      <c r="C342" s="28"/>
      <c r="D342" s="28"/>
      <c r="E342" s="27"/>
      <c r="F342" s="28"/>
      <c r="G342" s="27"/>
      <c r="H342" s="26" t="str">
        <f aca="false">IFERROR(INDEX(Exercícios!$C$7:$C$206,MATCH($G342,Exercícios!$B$7:$B$206,0)),"")</f>
        <v/>
      </c>
      <c r="I342" s="26" t="str">
        <f aca="false">IFERROR(INDEX(Exercícios!$D$7:$D$206,MATCH($G342,Exercícios!$B$7:$B$206,0)),"")</f>
        <v/>
      </c>
      <c r="J342" s="26" t="str">
        <f aca="false">IFERROR(INDEX(Exercícios!$E$7:$E$206,MATCH($G342,Exercícios!$B$7:$B$206,0)),"")</f>
        <v/>
      </c>
      <c r="K342" s="28"/>
      <c r="L342" s="28"/>
      <c r="M342" s="27"/>
      <c r="N342" s="28"/>
      <c r="O342" s="28"/>
      <c r="P342" s="28"/>
      <c r="Q342" s="26" t="n">
        <f aca="false">IFERROR($K342*$L342,"")</f>
        <v>0</v>
      </c>
      <c r="R342" s="44" t="n">
        <f aca="false">IF(OR($O342="",$P342=""),0,$O342*$P342)</f>
        <v>0</v>
      </c>
      <c r="S342" s="27"/>
      <c r="T342" s="27"/>
      <c r="U342" s="40" t="n">
        <f aca="false">IF($A342="",0,IF(AND(OR($E342=Atleta!$C$4,$E342="Equipe (todos)"),$A342&gt;=Atleta!$C$5),MAX($U$7:U341)+1,0))</f>
        <v>0</v>
      </c>
    </row>
    <row r="343" customFormat="false" ht="15" hidden="false" customHeight="false" outlineLevel="0" collapsed="false">
      <c r="A343" s="29"/>
      <c r="B343" s="40" t="n">
        <f aca="false">IF($A343="",0,INT(($A343-Macrociclo!$C$11)/7)+1)</f>
        <v>0</v>
      </c>
      <c r="C343" s="28"/>
      <c r="D343" s="28"/>
      <c r="E343" s="27"/>
      <c r="F343" s="28"/>
      <c r="G343" s="27"/>
      <c r="H343" s="26" t="str">
        <f aca="false">IFERROR(INDEX(Exercícios!$C$7:$C$206,MATCH($G343,Exercícios!$B$7:$B$206,0)),"")</f>
        <v/>
      </c>
      <c r="I343" s="26" t="str">
        <f aca="false">IFERROR(INDEX(Exercícios!$D$7:$D$206,MATCH($G343,Exercícios!$B$7:$B$206,0)),"")</f>
        <v/>
      </c>
      <c r="J343" s="26" t="str">
        <f aca="false">IFERROR(INDEX(Exercícios!$E$7:$E$206,MATCH($G343,Exercícios!$B$7:$B$206,0)),"")</f>
        <v/>
      </c>
      <c r="K343" s="28"/>
      <c r="L343" s="28"/>
      <c r="M343" s="27"/>
      <c r="N343" s="28"/>
      <c r="O343" s="28"/>
      <c r="P343" s="28"/>
      <c r="Q343" s="26" t="n">
        <f aca="false">IFERROR($K343*$L343,"")</f>
        <v>0</v>
      </c>
      <c r="R343" s="44" t="n">
        <f aca="false">IF(OR($O343="",$P343=""),0,$O343*$P343)</f>
        <v>0</v>
      </c>
      <c r="S343" s="27"/>
      <c r="T343" s="27"/>
      <c r="U343" s="40" t="n">
        <f aca="false">IF($A343="",0,IF(AND(OR($E343=Atleta!$C$4,$E343="Equipe (todos)"),$A343&gt;=Atleta!$C$5),MAX($U$7:U342)+1,0))</f>
        <v>0</v>
      </c>
    </row>
    <row r="344" customFormat="false" ht="15" hidden="false" customHeight="false" outlineLevel="0" collapsed="false">
      <c r="A344" s="29"/>
      <c r="B344" s="40" t="n">
        <f aca="false">IF($A344="",0,INT(($A344-Macrociclo!$C$11)/7)+1)</f>
        <v>0</v>
      </c>
      <c r="C344" s="28"/>
      <c r="D344" s="28"/>
      <c r="E344" s="27"/>
      <c r="F344" s="28"/>
      <c r="G344" s="27"/>
      <c r="H344" s="26" t="str">
        <f aca="false">IFERROR(INDEX(Exercícios!$C$7:$C$206,MATCH($G344,Exercícios!$B$7:$B$206,0)),"")</f>
        <v/>
      </c>
      <c r="I344" s="26" t="str">
        <f aca="false">IFERROR(INDEX(Exercícios!$D$7:$D$206,MATCH($G344,Exercícios!$B$7:$B$206,0)),"")</f>
        <v/>
      </c>
      <c r="J344" s="26" t="str">
        <f aca="false">IFERROR(INDEX(Exercícios!$E$7:$E$206,MATCH($G344,Exercícios!$B$7:$B$206,0)),"")</f>
        <v/>
      </c>
      <c r="K344" s="28"/>
      <c r="L344" s="28"/>
      <c r="M344" s="27"/>
      <c r="N344" s="28"/>
      <c r="O344" s="28"/>
      <c r="P344" s="28"/>
      <c r="Q344" s="26" t="n">
        <f aca="false">IFERROR($K344*$L344,"")</f>
        <v>0</v>
      </c>
      <c r="R344" s="44" t="n">
        <f aca="false">IF(OR($O344="",$P344=""),0,$O344*$P344)</f>
        <v>0</v>
      </c>
      <c r="S344" s="27"/>
      <c r="T344" s="27"/>
      <c r="U344" s="40" t="n">
        <f aca="false">IF($A344="",0,IF(AND(OR($E344=Atleta!$C$4,$E344="Equipe (todos)"),$A344&gt;=Atleta!$C$5),MAX($U$7:U343)+1,0))</f>
        <v>0</v>
      </c>
    </row>
    <row r="345" customFormat="false" ht="15" hidden="false" customHeight="false" outlineLevel="0" collapsed="false">
      <c r="A345" s="29"/>
      <c r="B345" s="40" t="n">
        <f aca="false">IF($A345="",0,INT(($A345-Macrociclo!$C$11)/7)+1)</f>
        <v>0</v>
      </c>
      <c r="C345" s="28"/>
      <c r="D345" s="28"/>
      <c r="E345" s="27"/>
      <c r="F345" s="28"/>
      <c r="G345" s="27"/>
      <c r="H345" s="26" t="str">
        <f aca="false">IFERROR(INDEX(Exercícios!$C$7:$C$206,MATCH($G345,Exercícios!$B$7:$B$206,0)),"")</f>
        <v/>
      </c>
      <c r="I345" s="26" t="str">
        <f aca="false">IFERROR(INDEX(Exercícios!$D$7:$D$206,MATCH($G345,Exercícios!$B$7:$B$206,0)),"")</f>
        <v/>
      </c>
      <c r="J345" s="26" t="str">
        <f aca="false">IFERROR(INDEX(Exercícios!$E$7:$E$206,MATCH($G345,Exercícios!$B$7:$B$206,0)),"")</f>
        <v/>
      </c>
      <c r="K345" s="28"/>
      <c r="L345" s="28"/>
      <c r="M345" s="27"/>
      <c r="N345" s="28"/>
      <c r="O345" s="28"/>
      <c r="P345" s="28"/>
      <c r="Q345" s="26" t="n">
        <f aca="false">IFERROR($K345*$L345,"")</f>
        <v>0</v>
      </c>
      <c r="R345" s="44" t="n">
        <f aca="false">IF(OR($O345="",$P345=""),0,$O345*$P345)</f>
        <v>0</v>
      </c>
      <c r="S345" s="27"/>
      <c r="T345" s="27"/>
      <c r="U345" s="40" t="n">
        <f aca="false">IF($A345="",0,IF(AND(OR($E345=Atleta!$C$4,$E345="Equipe (todos)"),$A345&gt;=Atleta!$C$5),MAX($U$7:U344)+1,0))</f>
        <v>0</v>
      </c>
    </row>
    <row r="346" customFormat="false" ht="15" hidden="false" customHeight="false" outlineLevel="0" collapsed="false">
      <c r="A346" s="29"/>
      <c r="B346" s="40" t="n">
        <f aca="false">IF($A346="",0,INT(($A346-Macrociclo!$C$11)/7)+1)</f>
        <v>0</v>
      </c>
      <c r="C346" s="28"/>
      <c r="D346" s="28"/>
      <c r="E346" s="27"/>
      <c r="F346" s="28"/>
      <c r="G346" s="27"/>
      <c r="H346" s="26" t="str">
        <f aca="false">IFERROR(INDEX(Exercícios!$C$7:$C$206,MATCH($G346,Exercícios!$B$7:$B$206,0)),"")</f>
        <v/>
      </c>
      <c r="I346" s="26" t="str">
        <f aca="false">IFERROR(INDEX(Exercícios!$D$7:$D$206,MATCH($G346,Exercícios!$B$7:$B$206,0)),"")</f>
        <v/>
      </c>
      <c r="J346" s="26" t="str">
        <f aca="false">IFERROR(INDEX(Exercícios!$E$7:$E$206,MATCH($G346,Exercícios!$B$7:$B$206,0)),"")</f>
        <v/>
      </c>
      <c r="K346" s="28"/>
      <c r="L346" s="28"/>
      <c r="M346" s="27"/>
      <c r="N346" s="28"/>
      <c r="O346" s="28"/>
      <c r="P346" s="28"/>
      <c r="Q346" s="26" t="n">
        <f aca="false">IFERROR($K346*$L346,"")</f>
        <v>0</v>
      </c>
      <c r="R346" s="44" t="n">
        <f aca="false">IF(OR($O346="",$P346=""),0,$O346*$P346)</f>
        <v>0</v>
      </c>
      <c r="S346" s="27"/>
      <c r="T346" s="27"/>
      <c r="U346" s="40" t="n">
        <f aca="false">IF($A346="",0,IF(AND(OR($E346=Atleta!$C$4,$E346="Equipe (todos)"),$A346&gt;=Atleta!$C$5),MAX($U$7:U345)+1,0))</f>
        <v>0</v>
      </c>
    </row>
    <row r="347" customFormat="false" ht="15" hidden="false" customHeight="false" outlineLevel="0" collapsed="false">
      <c r="A347" s="29"/>
      <c r="B347" s="40" t="n">
        <f aca="false">IF($A347="",0,INT(($A347-Macrociclo!$C$11)/7)+1)</f>
        <v>0</v>
      </c>
      <c r="C347" s="28"/>
      <c r="D347" s="28"/>
      <c r="E347" s="27"/>
      <c r="F347" s="28"/>
      <c r="G347" s="27"/>
      <c r="H347" s="26" t="str">
        <f aca="false">IFERROR(INDEX(Exercícios!$C$7:$C$206,MATCH($G347,Exercícios!$B$7:$B$206,0)),"")</f>
        <v/>
      </c>
      <c r="I347" s="26" t="str">
        <f aca="false">IFERROR(INDEX(Exercícios!$D$7:$D$206,MATCH($G347,Exercícios!$B$7:$B$206,0)),"")</f>
        <v/>
      </c>
      <c r="J347" s="26" t="str">
        <f aca="false">IFERROR(INDEX(Exercícios!$E$7:$E$206,MATCH($G347,Exercícios!$B$7:$B$206,0)),"")</f>
        <v/>
      </c>
      <c r="K347" s="28"/>
      <c r="L347" s="28"/>
      <c r="M347" s="27"/>
      <c r="N347" s="28"/>
      <c r="O347" s="28"/>
      <c r="P347" s="28"/>
      <c r="Q347" s="26" t="n">
        <f aca="false">IFERROR($K347*$L347,"")</f>
        <v>0</v>
      </c>
      <c r="R347" s="44" t="n">
        <f aca="false">IF(OR($O347="",$P347=""),0,$O347*$P347)</f>
        <v>0</v>
      </c>
      <c r="S347" s="27"/>
      <c r="T347" s="27"/>
      <c r="U347" s="40" t="n">
        <f aca="false">IF($A347="",0,IF(AND(OR($E347=Atleta!$C$4,$E347="Equipe (todos)"),$A347&gt;=Atleta!$C$5),MAX($U$7:U346)+1,0))</f>
        <v>0</v>
      </c>
    </row>
    <row r="348" customFormat="false" ht="15" hidden="false" customHeight="false" outlineLevel="0" collapsed="false">
      <c r="A348" s="29"/>
      <c r="B348" s="40" t="n">
        <f aca="false">IF($A348="",0,INT(($A348-Macrociclo!$C$11)/7)+1)</f>
        <v>0</v>
      </c>
      <c r="C348" s="28"/>
      <c r="D348" s="28"/>
      <c r="E348" s="27"/>
      <c r="F348" s="28"/>
      <c r="G348" s="27"/>
      <c r="H348" s="26" t="str">
        <f aca="false">IFERROR(INDEX(Exercícios!$C$7:$C$206,MATCH($G348,Exercícios!$B$7:$B$206,0)),"")</f>
        <v/>
      </c>
      <c r="I348" s="26" t="str">
        <f aca="false">IFERROR(INDEX(Exercícios!$D$7:$D$206,MATCH($G348,Exercícios!$B$7:$B$206,0)),"")</f>
        <v/>
      </c>
      <c r="J348" s="26" t="str">
        <f aca="false">IFERROR(INDEX(Exercícios!$E$7:$E$206,MATCH($G348,Exercícios!$B$7:$B$206,0)),"")</f>
        <v/>
      </c>
      <c r="K348" s="28"/>
      <c r="L348" s="28"/>
      <c r="M348" s="27"/>
      <c r="N348" s="28"/>
      <c r="O348" s="28"/>
      <c r="P348" s="28"/>
      <c r="Q348" s="26" t="n">
        <f aca="false">IFERROR($K348*$L348,"")</f>
        <v>0</v>
      </c>
      <c r="R348" s="44" t="n">
        <f aca="false">IF(OR($O348="",$P348=""),0,$O348*$P348)</f>
        <v>0</v>
      </c>
      <c r="S348" s="27"/>
      <c r="T348" s="27"/>
      <c r="U348" s="40" t="n">
        <f aca="false">IF($A348="",0,IF(AND(OR($E348=Atleta!$C$4,$E348="Equipe (todos)"),$A348&gt;=Atleta!$C$5),MAX($U$7:U347)+1,0))</f>
        <v>0</v>
      </c>
    </row>
    <row r="349" customFormat="false" ht="15" hidden="false" customHeight="false" outlineLevel="0" collapsed="false">
      <c r="A349" s="29"/>
      <c r="B349" s="40" t="n">
        <f aca="false">IF($A349="",0,INT(($A349-Macrociclo!$C$11)/7)+1)</f>
        <v>0</v>
      </c>
      <c r="C349" s="28"/>
      <c r="D349" s="28"/>
      <c r="E349" s="27"/>
      <c r="F349" s="28"/>
      <c r="G349" s="27"/>
      <c r="H349" s="26" t="str">
        <f aca="false">IFERROR(INDEX(Exercícios!$C$7:$C$206,MATCH($G349,Exercícios!$B$7:$B$206,0)),"")</f>
        <v/>
      </c>
      <c r="I349" s="26" t="str">
        <f aca="false">IFERROR(INDEX(Exercícios!$D$7:$D$206,MATCH($G349,Exercícios!$B$7:$B$206,0)),"")</f>
        <v/>
      </c>
      <c r="J349" s="26" t="str">
        <f aca="false">IFERROR(INDEX(Exercícios!$E$7:$E$206,MATCH($G349,Exercícios!$B$7:$B$206,0)),"")</f>
        <v/>
      </c>
      <c r="K349" s="28"/>
      <c r="L349" s="28"/>
      <c r="M349" s="27"/>
      <c r="N349" s="28"/>
      <c r="O349" s="28"/>
      <c r="P349" s="28"/>
      <c r="Q349" s="26" t="n">
        <f aca="false">IFERROR($K349*$L349,"")</f>
        <v>0</v>
      </c>
      <c r="R349" s="44" t="n">
        <f aca="false">IF(OR($O349="",$P349=""),0,$O349*$P349)</f>
        <v>0</v>
      </c>
      <c r="S349" s="27"/>
      <c r="T349" s="27"/>
      <c r="U349" s="40" t="n">
        <f aca="false">IF($A349="",0,IF(AND(OR($E349=Atleta!$C$4,$E349="Equipe (todos)"),$A349&gt;=Atleta!$C$5),MAX($U$7:U348)+1,0))</f>
        <v>0</v>
      </c>
    </row>
    <row r="350" customFormat="false" ht="15" hidden="false" customHeight="false" outlineLevel="0" collapsed="false">
      <c r="A350" s="29"/>
      <c r="B350" s="40" t="n">
        <f aca="false">IF($A350="",0,INT(($A350-Macrociclo!$C$11)/7)+1)</f>
        <v>0</v>
      </c>
      <c r="C350" s="28"/>
      <c r="D350" s="28"/>
      <c r="E350" s="27"/>
      <c r="F350" s="28"/>
      <c r="G350" s="27"/>
      <c r="H350" s="26" t="str">
        <f aca="false">IFERROR(INDEX(Exercícios!$C$7:$C$206,MATCH($G350,Exercícios!$B$7:$B$206,0)),"")</f>
        <v/>
      </c>
      <c r="I350" s="26" t="str">
        <f aca="false">IFERROR(INDEX(Exercícios!$D$7:$D$206,MATCH($G350,Exercícios!$B$7:$B$206,0)),"")</f>
        <v/>
      </c>
      <c r="J350" s="26" t="str">
        <f aca="false">IFERROR(INDEX(Exercícios!$E$7:$E$206,MATCH($G350,Exercícios!$B$7:$B$206,0)),"")</f>
        <v/>
      </c>
      <c r="K350" s="28"/>
      <c r="L350" s="28"/>
      <c r="M350" s="27"/>
      <c r="N350" s="28"/>
      <c r="O350" s="28"/>
      <c r="P350" s="28"/>
      <c r="Q350" s="26" t="n">
        <f aca="false">IFERROR($K350*$L350,"")</f>
        <v>0</v>
      </c>
      <c r="R350" s="44" t="n">
        <f aca="false">IF(OR($O350="",$P350=""),0,$O350*$P350)</f>
        <v>0</v>
      </c>
      <c r="S350" s="27"/>
      <c r="T350" s="27"/>
      <c r="U350" s="40" t="n">
        <f aca="false">IF($A350="",0,IF(AND(OR($E350=Atleta!$C$4,$E350="Equipe (todos)"),$A350&gt;=Atleta!$C$5),MAX($U$7:U349)+1,0))</f>
        <v>0</v>
      </c>
    </row>
    <row r="351" customFormat="false" ht="15" hidden="false" customHeight="false" outlineLevel="0" collapsed="false">
      <c r="A351" s="29"/>
      <c r="B351" s="40" t="n">
        <f aca="false">IF($A351="",0,INT(($A351-Macrociclo!$C$11)/7)+1)</f>
        <v>0</v>
      </c>
      <c r="C351" s="28"/>
      <c r="D351" s="28"/>
      <c r="E351" s="27"/>
      <c r="F351" s="28"/>
      <c r="G351" s="27"/>
      <c r="H351" s="26" t="str">
        <f aca="false">IFERROR(INDEX(Exercícios!$C$7:$C$206,MATCH($G351,Exercícios!$B$7:$B$206,0)),"")</f>
        <v/>
      </c>
      <c r="I351" s="26" t="str">
        <f aca="false">IFERROR(INDEX(Exercícios!$D$7:$D$206,MATCH($G351,Exercícios!$B$7:$B$206,0)),"")</f>
        <v/>
      </c>
      <c r="J351" s="26" t="str">
        <f aca="false">IFERROR(INDEX(Exercícios!$E$7:$E$206,MATCH($G351,Exercícios!$B$7:$B$206,0)),"")</f>
        <v/>
      </c>
      <c r="K351" s="28"/>
      <c r="L351" s="28"/>
      <c r="M351" s="27"/>
      <c r="N351" s="28"/>
      <c r="O351" s="28"/>
      <c r="P351" s="28"/>
      <c r="Q351" s="26" t="n">
        <f aca="false">IFERROR($K351*$L351,"")</f>
        <v>0</v>
      </c>
      <c r="R351" s="44" t="n">
        <f aca="false">IF(OR($O351="",$P351=""),0,$O351*$P351)</f>
        <v>0</v>
      </c>
      <c r="S351" s="27"/>
      <c r="T351" s="27"/>
      <c r="U351" s="40" t="n">
        <f aca="false">IF($A351="",0,IF(AND(OR($E351=Atleta!$C$4,$E351="Equipe (todos)"),$A351&gt;=Atleta!$C$5),MAX($U$7:U350)+1,0))</f>
        <v>0</v>
      </c>
    </row>
    <row r="352" customFormat="false" ht="15" hidden="false" customHeight="false" outlineLevel="0" collapsed="false">
      <c r="A352" s="29"/>
      <c r="B352" s="40" t="n">
        <f aca="false">IF($A352="",0,INT(($A352-Macrociclo!$C$11)/7)+1)</f>
        <v>0</v>
      </c>
      <c r="C352" s="28"/>
      <c r="D352" s="28"/>
      <c r="E352" s="27"/>
      <c r="F352" s="28"/>
      <c r="G352" s="27"/>
      <c r="H352" s="26" t="str">
        <f aca="false">IFERROR(INDEX(Exercícios!$C$7:$C$206,MATCH($G352,Exercícios!$B$7:$B$206,0)),"")</f>
        <v/>
      </c>
      <c r="I352" s="26" t="str">
        <f aca="false">IFERROR(INDEX(Exercícios!$D$7:$D$206,MATCH($G352,Exercícios!$B$7:$B$206,0)),"")</f>
        <v/>
      </c>
      <c r="J352" s="26" t="str">
        <f aca="false">IFERROR(INDEX(Exercícios!$E$7:$E$206,MATCH($G352,Exercícios!$B$7:$B$206,0)),"")</f>
        <v/>
      </c>
      <c r="K352" s="28"/>
      <c r="L352" s="28"/>
      <c r="M352" s="27"/>
      <c r="N352" s="28"/>
      <c r="O352" s="28"/>
      <c r="P352" s="28"/>
      <c r="Q352" s="26" t="n">
        <f aca="false">IFERROR($K352*$L352,"")</f>
        <v>0</v>
      </c>
      <c r="R352" s="44" t="n">
        <f aca="false">IF(OR($O352="",$P352=""),0,$O352*$P352)</f>
        <v>0</v>
      </c>
      <c r="S352" s="27"/>
      <c r="T352" s="27"/>
      <c r="U352" s="40" t="n">
        <f aca="false">IF($A352="",0,IF(AND(OR($E352=Atleta!$C$4,$E352="Equipe (todos)"),$A352&gt;=Atleta!$C$5),MAX($U$7:U351)+1,0))</f>
        <v>0</v>
      </c>
    </row>
    <row r="353" customFormat="false" ht="15" hidden="false" customHeight="false" outlineLevel="0" collapsed="false">
      <c r="A353" s="29"/>
      <c r="B353" s="40" t="n">
        <f aca="false">IF($A353="",0,INT(($A353-Macrociclo!$C$11)/7)+1)</f>
        <v>0</v>
      </c>
      <c r="C353" s="28"/>
      <c r="D353" s="28"/>
      <c r="E353" s="27"/>
      <c r="F353" s="28"/>
      <c r="G353" s="27"/>
      <c r="H353" s="26" t="str">
        <f aca="false">IFERROR(INDEX(Exercícios!$C$7:$C$206,MATCH($G353,Exercícios!$B$7:$B$206,0)),"")</f>
        <v/>
      </c>
      <c r="I353" s="26" t="str">
        <f aca="false">IFERROR(INDEX(Exercícios!$D$7:$D$206,MATCH($G353,Exercícios!$B$7:$B$206,0)),"")</f>
        <v/>
      </c>
      <c r="J353" s="26" t="str">
        <f aca="false">IFERROR(INDEX(Exercícios!$E$7:$E$206,MATCH($G353,Exercícios!$B$7:$B$206,0)),"")</f>
        <v/>
      </c>
      <c r="K353" s="28"/>
      <c r="L353" s="28"/>
      <c r="M353" s="27"/>
      <c r="N353" s="28"/>
      <c r="O353" s="28"/>
      <c r="P353" s="28"/>
      <c r="Q353" s="26" t="n">
        <f aca="false">IFERROR($K353*$L353,"")</f>
        <v>0</v>
      </c>
      <c r="R353" s="44" t="n">
        <f aca="false">IF(OR($O353="",$P353=""),0,$O353*$P353)</f>
        <v>0</v>
      </c>
      <c r="S353" s="27"/>
      <c r="T353" s="27"/>
      <c r="U353" s="40" t="n">
        <f aca="false">IF($A353="",0,IF(AND(OR($E353=Atleta!$C$4,$E353="Equipe (todos)"),$A353&gt;=Atleta!$C$5),MAX($U$7:U352)+1,0))</f>
        <v>0</v>
      </c>
    </row>
    <row r="354" customFormat="false" ht="15" hidden="false" customHeight="false" outlineLevel="0" collapsed="false">
      <c r="A354" s="29"/>
      <c r="B354" s="40" t="n">
        <f aca="false">IF($A354="",0,INT(($A354-Macrociclo!$C$11)/7)+1)</f>
        <v>0</v>
      </c>
      <c r="C354" s="28"/>
      <c r="D354" s="28"/>
      <c r="E354" s="27"/>
      <c r="F354" s="28"/>
      <c r="G354" s="27"/>
      <c r="H354" s="26" t="str">
        <f aca="false">IFERROR(INDEX(Exercícios!$C$7:$C$206,MATCH($G354,Exercícios!$B$7:$B$206,0)),"")</f>
        <v/>
      </c>
      <c r="I354" s="26" t="str">
        <f aca="false">IFERROR(INDEX(Exercícios!$D$7:$D$206,MATCH($G354,Exercícios!$B$7:$B$206,0)),"")</f>
        <v/>
      </c>
      <c r="J354" s="26" t="str">
        <f aca="false">IFERROR(INDEX(Exercícios!$E$7:$E$206,MATCH($G354,Exercícios!$B$7:$B$206,0)),"")</f>
        <v/>
      </c>
      <c r="K354" s="28"/>
      <c r="L354" s="28"/>
      <c r="M354" s="27"/>
      <c r="N354" s="28"/>
      <c r="O354" s="28"/>
      <c r="P354" s="28"/>
      <c r="Q354" s="26" t="n">
        <f aca="false">IFERROR($K354*$L354,"")</f>
        <v>0</v>
      </c>
      <c r="R354" s="44" t="n">
        <f aca="false">IF(OR($O354="",$P354=""),0,$O354*$P354)</f>
        <v>0</v>
      </c>
      <c r="S354" s="27"/>
      <c r="T354" s="27"/>
      <c r="U354" s="40" t="n">
        <f aca="false">IF($A354="",0,IF(AND(OR($E354=Atleta!$C$4,$E354="Equipe (todos)"),$A354&gt;=Atleta!$C$5),MAX($U$7:U353)+1,0))</f>
        <v>0</v>
      </c>
    </row>
    <row r="355" customFormat="false" ht="15" hidden="false" customHeight="false" outlineLevel="0" collapsed="false">
      <c r="A355" s="29"/>
      <c r="B355" s="40" t="n">
        <f aca="false">IF($A355="",0,INT(($A355-Macrociclo!$C$11)/7)+1)</f>
        <v>0</v>
      </c>
      <c r="C355" s="28"/>
      <c r="D355" s="28"/>
      <c r="E355" s="27"/>
      <c r="F355" s="28"/>
      <c r="G355" s="27"/>
      <c r="H355" s="26" t="str">
        <f aca="false">IFERROR(INDEX(Exercícios!$C$7:$C$206,MATCH($G355,Exercícios!$B$7:$B$206,0)),"")</f>
        <v/>
      </c>
      <c r="I355" s="26" t="str">
        <f aca="false">IFERROR(INDEX(Exercícios!$D$7:$D$206,MATCH($G355,Exercícios!$B$7:$B$206,0)),"")</f>
        <v/>
      </c>
      <c r="J355" s="26" t="str">
        <f aca="false">IFERROR(INDEX(Exercícios!$E$7:$E$206,MATCH($G355,Exercícios!$B$7:$B$206,0)),"")</f>
        <v/>
      </c>
      <c r="K355" s="28"/>
      <c r="L355" s="28"/>
      <c r="M355" s="27"/>
      <c r="N355" s="28"/>
      <c r="O355" s="28"/>
      <c r="P355" s="28"/>
      <c r="Q355" s="26" t="n">
        <f aca="false">IFERROR($K355*$L355,"")</f>
        <v>0</v>
      </c>
      <c r="R355" s="44" t="n">
        <f aca="false">IF(OR($O355="",$P355=""),0,$O355*$P355)</f>
        <v>0</v>
      </c>
      <c r="S355" s="27"/>
      <c r="T355" s="27"/>
      <c r="U355" s="40" t="n">
        <f aca="false">IF($A355="",0,IF(AND(OR($E355=Atleta!$C$4,$E355="Equipe (todos)"),$A355&gt;=Atleta!$C$5),MAX($U$7:U354)+1,0))</f>
        <v>0</v>
      </c>
    </row>
    <row r="356" customFormat="false" ht="15" hidden="false" customHeight="false" outlineLevel="0" collapsed="false">
      <c r="A356" s="29"/>
      <c r="B356" s="40" t="n">
        <f aca="false">IF($A356="",0,INT(($A356-Macrociclo!$C$11)/7)+1)</f>
        <v>0</v>
      </c>
      <c r="C356" s="28"/>
      <c r="D356" s="28"/>
      <c r="E356" s="27"/>
      <c r="F356" s="28"/>
      <c r="G356" s="27"/>
      <c r="H356" s="26" t="str">
        <f aca="false">IFERROR(INDEX(Exercícios!$C$7:$C$206,MATCH($G356,Exercícios!$B$7:$B$206,0)),"")</f>
        <v/>
      </c>
      <c r="I356" s="26" t="str">
        <f aca="false">IFERROR(INDEX(Exercícios!$D$7:$D$206,MATCH($G356,Exercícios!$B$7:$B$206,0)),"")</f>
        <v/>
      </c>
      <c r="J356" s="26" t="str">
        <f aca="false">IFERROR(INDEX(Exercícios!$E$7:$E$206,MATCH($G356,Exercícios!$B$7:$B$206,0)),"")</f>
        <v/>
      </c>
      <c r="K356" s="28"/>
      <c r="L356" s="28"/>
      <c r="M356" s="27"/>
      <c r="N356" s="28"/>
      <c r="O356" s="28"/>
      <c r="P356" s="28"/>
      <c r="Q356" s="26" t="n">
        <f aca="false">IFERROR($K356*$L356,"")</f>
        <v>0</v>
      </c>
      <c r="R356" s="44" t="n">
        <f aca="false">IF(OR($O356="",$P356=""),0,$O356*$P356)</f>
        <v>0</v>
      </c>
      <c r="S356" s="27"/>
      <c r="T356" s="27"/>
      <c r="U356" s="40" t="n">
        <f aca="false">IF($A356="",0,IF(AND(OR($E356=Atleta!$C$4,$E356="Equipe (todos)"),$A356&gt;=Atleta!$C$5),MAX($U$7:U355)+1,0))</f>
        <v>0</v>
      </c>
    </row>
    <row r="357" customFormat="false" ht="15" hidden="false" customHeight="false" outlineLevel="0" collapsed="false">
      <c r="A357" s="29"/>
      <c r="B357" s="40" t="n">
        <f aca="false">IF($A357="",0,INT(($A357-Macrociclo!$C$11)/7)+1)</f>
        <v>0</v>
      </c>
      <c r="C357" s="28"/>
      <c r="D357" s="28"/>
      <c r="E357" s="27"/>
      <c r="F357" s="28"/>
      <c r="G357" s="27"/>
      <c r="H357" s="26" t="str">
        <f aca="false">IFERROR(INDEX(Exercícios!$C$7:$C$206,MATCH($G357,Exercícios!$B$7:$B$206,0)),"")</f>
        <v/>
      </c>
      <c r="I357" s="26" t="str">
        <f aca="false">IFERROR(INDEX(Exercícios!$D$7:$D$206,MATCH($G357,Exercícios!$B$7:$B$206,0)),"")</f>
        <v/>
      </c>
      <c r="J357" s="26" t="str">
        <f aca="false">IFERROR(INDEX(Exercícios!$E$7:$E$206,MATCH($G357,Exercícios!$B$7:$B$206,0)),"")</f>
        <v/>
      </c>
      <c r="K357" s="28"/>
      <c r="L357" s="28"/>
      <c r="M357" s="27"/>
      <c r="N357" s="28"/>
      <c r="O357" s="28"/>
      <c r="P357" s="28"/>
      <c r="Q357" s="26" t="n">
        <f aca="false">IFERROR($K357*$L357,"")</f>
        <v>0</v>
      </c>
      <c r="R357" s="44" t="n">
        <f aca="false">IF(OR($O357="",$P357=""),0,$O357*$P357)</f>
        <v>0</v>
      </c>
      <c r="S357" s="27"/>
      <c r="T357" s="27"/>
      <c r="U357" s="40" t="n">
        <f aca="false">IF($A357="",0,IF(AND(OR($E357=Atleta!$C$4,$E357="Equipe (todos)"),$A357&gt;=Atleta!$C$5),MAX($U$7:U356)+1,0))</f>
        <v>0</v>
      </c>
    </row>
    <row r="358" customFormat="false" ht="15" hidden="false" customHeight="false" outlineLevel="0" collapsed="false">
      <c r="A358" s="29"/>
      <c r="B358" s="40" t="n">
        <f aca="false">IF($A358="",0,INT(($A358-Macrociclo!$C$11)/7)+1)</f>
        <v>0</v>
      </c>
      <c r="C358" s="28"/>
      <c r="D358" s="28"/>
      <c r="E358" s="27"/>
      <c r="F358" s="28"/>
      <c r="G358" s="27"/>
      <c r="H358" s="26" t="str">
        <f aca="false">IFERROR(INDEX(Exercícios!$C$7:$C$206,MATCH($G358,Exercícios!$B$7:$B$206,0)),"")</f>
        <v/>
      </c>
      <c r="I358" s="26" t="str">
        <f aca="false">IFERROR(INDEX(Exercícios!$D$7:$D$206,MATCH($G358,Exercícios!$B$7:$B$206,0)),"")</f>
        <v/>
      </c>
      <c r="J358" s="26" t="str">
        <f aca="false">IFERROR(INDEX(Exercícios!$E$7:$E$206,MATCH($G358,Exercícios!$B$7:$B$206,0)),"")</f>
        <v/>
      </c>
      <c r="K358" s="28"/>
      <c r="L358" s="28"/>
      <c r="M358" s="27"/>
      <c r="N358" s="28"/>
      <c r="O358" s="28"/>
      <c r="P358" s="28"/>
      <c r="Q358" s="26" t="n">
        <f aca="false">IFERROR($K358*$L358,"")</f>
        <v>0</v>
      </c>
      <c r="R358" s="44" t="n">
        <f aca="false">IF(OR($O358="",$P358=""),0,$O358*$P358)</f>
        <v>0</v>
      </c>
      <c r="S358" s="27"/>
      <c r="T358" s="27"/>
      <c r="U358" s="40" t="n">
        <f aca="false">IF($A358="",0,IF(AND(OR($E358=Atleta!$C$4,$E358="Equipe (todos)"),$A358&gt;=Atleta!$C$5),MAX($U$7:U357)+1,0))</f>
        <v>0</v>
      </c>
    </row>
    <row r="359" customFormat="false" ht="15" hidden="false" customHeight="false" outlineLevel="0" collapsed="false">
      <c r="A359" s="29"/>
      <c r="B359" s="40" t="n">
        <f aca="false">IF($A359="",0,INT(($A359-Macrociclo!$C$11)/7)+1)</f>
        <v>0</v>
      </c>
      <c r="C359" s="28"/>
      <c r="D359" s="28"/>
      <c r="E359" s="27"/>
      <c r="F359" s="28"/>
      <c r="G359" s="27"/>
      <c r="H359" s="26" t="str">
        <f aca="false">IFERROR(INDEX(Exercícios!$C$7:$C$206,MATCH($G359,Exercícios!$B$7:$B$206,0)),"")</f>
        <v/>
      </c>
      <c r="I359" s="26" t="str">
        <f aca="false">IFERROR(INDEX(Exercícios!$D$7:$D$206,MATCH($G359,Exercícios!$B$7:$B$206,0)),"")</f>
        <v/>
      </c>
      <c r="J359" s="26" t="str">
        <f aca="false">IFERROR(INDEX(Exercícios!$E$7:$E$206,MATCH($G359,Exercícios!$B$7:$B$206,0)),"")</f>
        <v/>
      </c>
      <c r="K359" s="28"/>
      <c r="L359" s="28"/>
      <c r="M359" s="27"/>
      <c r="N359" s="28"/>
      <c r="O359" s="28"/>
      <c r="P359" s="28"/>
      <c r="Q359" s="26" t="n">
        <f aca="false">IFERROR($K359*$L359,"")</f>
        <v>0</v>
      </c>
      <c r="R359" s="44" t="n">
        <f aca="false">IF(OR($O359="",$P359=""),0,$O359*$P359)</f>
        <v>0</v>
      </c>
      <c r="S359" s="27"/>
      <c r="T359" s="27"/>
      <c r="U359" s="40" t="n">
        <f aca="false">IF($A359="",0,IF(AND(OR($E359=Atleta!$C$4,$E359="Equipe (todos)"),$A359&gt;=Atleta!$C$5),MAX($U$7:U358)+1,0))</f>
        <v>0</v>
      </c>
    </row>
    <row r="360" customFormat="false" ht="15" hidden="false" customHeight="false" outlineLevel="0" collapsed="false">
      <c r="A360" s="29"/>
      <c r="B360" s="40" t="n">
        <f aca="false">IF($A360="",0,INT(($A360-Macrociclo!$C$11)/7)+1)</f>
        <v>0</v>
      </c>
      <c r="C360" s="28"/>
      <c r="D360" s="28"/>
      <c r="E360" s="27"/>
      <c r="F360" s="28"/>
      <c r="G360" s="27"/>
      <c r="H360" s="26" t="str">
        <f aca="false">IFERROR(INDEX(Exercícios!$C$7:$C$206,MATCH($G360,Exercícios!$B$7:$B$206,0)),"")</f>
        <v/>
      </c>
      <c r="I360" s="26" t="str">
        <f aca="false">IFERROR(INDEX(Exercícios!$D$7:$D$206,MATCH($G360,Exercícios!$B$7:$B$206,0)),"")</f>
        <v/>
      </c>
      <c r="J360" s="26" t="str">
        <f aca="false">IFERROR(INDEX(Exercícios!$E$7:$E$206,MATCH($G360,Exercícios!$B$7:$B$206,0)),"")</f>
        <v/>
      </c>
      <c r="K360" s="28"/>
      <c r="L360" s="28"/>
      <c r="M360" s="27"/>
      <c r="N360" s="28"/>
      <c r="O360" s="28"/>
      <c r="P360" s="28"/>
      <c r="Q360" s="26" t="n">
        <f aca="false">IFERROR($K360*$L360,"")</f>
        <v>0</v>
      </c>
      <c r="R360" s="44" t="n">
        <f aca="false">IF(OR($O360="",$P360=""),0,$O360*$P360)</f>
        <v>0</v>
      </c>
      <c r="S360" s="27"/>
      <c r="T360" s="27"/>
      <c r="U360" s="40" t="n">
        <f aca="false">IF($A360="",0,IF(AND(OR($E360=Atleta!$C$4,$E360="Equipe (todos)"),$A360&gt;=Atleta!$C$5),MAX($U$7:U359)+1,0))</f>
        <v>0</v>
      </c>
    </row>
    <row r="361" customFormat="false" ht="15" hidden="false" customHeight="false" outlineLevel="0" collapsed="false">
      <c r="A361" s="29"/>
      <c r="B361" s="40" t="n">
        <f aca="false">IF($A361="",0,INT(($A361-Macrociclo!$C$11)/7)+1)</f>
        <v>0</v>
      </c>
      <c r="C361" s="28"/>
      <c r="D361" s="28"/>
      <c r="E361" s="27"/>
      <c r="F361" s="28"/>
      <c r="G361" s="27"/>
      <c r="H361" s="26" t="str">
        <f aca="false">IFERROR(INDEX(Exercícios!$C$7:$C$206,MATCH($G361,Exercícios!$B$7:$B$206,0)),"")</f>
        <v/>
      </c>
      <c r="I361" s="26" t="str">
        <f aca="false">IFERROR(INDEX(Exercícios!$D$7:$D$206,MATCH($G361,Exercícios!$B$7:$B$206,0)),"")</f>
        <v/>
      </c>
      <c r="J361" s="26" t="str">
        <f aca="false">IFERROR(INDEX(Exercícios!$E$7:$E$206,MATCH($G361,Exercícios!$B$7:$B$206,0)),"")</f>
        <v/>
      </c>
      <c r="K361" s="28"/>
      <c r="L361" s="28"/>
      <c r="M361" s="27"/>
      <c r="N361" s="28"/>
      <c r="O361" s="28"/>
      <c r="P361" s="28"/>
      <c r="Q361" s="26" t="n">
        <f aca="false">IFERROR($K361*$L361,"")</f>
        <v>0</v>
      </c>
      <c r="R361" s="44" t="n">
        <f aca="false">IF(OR($O361="",$P361=""),0,$O361*$P361)</f>
        <v>0</v>
      </c>
      <c r="S361" s="27"/>
      <c r="T361" s="27"/>
      <c r="U361" s="40" t="n">
        <f aca="false">IF($A361="",0,IF(AND(OR($E361=Atleta!$C$4,$E361="Equipe (todos)"),$A361&gt;=Atleta!$C$5),MAX($U$7:U360)+1,0))</f>
        <v>0</v>
      </c>
    </row>
    <row r="362" customFormat="false" ht="15" hidden="false" customHeight="false" outlineLevel="0" collapsed="false">
      <c r="A362" s="29"/>
      <c r="B362" s="40" t="n">
        <f aca="false">IF($A362="",0,INT(($A362-Macrociclo!$C$11)/7)+1)</f>
        <v>0</v>
      </c>
      <c r="C362" s="28"/>
      <c r="D362" s="28"/>
      <c r="E362" s="27"/>
      <c r="F362" s="28"/>
      <c r="G362" s="27"/>
      <c r="H362" s="26" t="str">
        <f aca="false">IFERROR(INDEX(Exercícios!$C$7:$C$206,MATCH($G362,Exercícios!$B$7:$B$206,0)),"")</f>
        <v/>
      </c>
      <c r="I362" s="26" t="str">
        <f aca="false">IFERROR(INDEX(Exercícios!$D$7:$D$206,MATCH($G362,Exercícios!$B$7:$B$206,0)),"")</f>
        <v/>
      </c>
      <c r="J362" s="26" t="str">
        <f aca="false">IFERROR(INDEX(Exercícios!$E$7:$E$206,MATCH($G362,Exercícios!$B$7:$B$206,0)),"")</f>
        <v/>
      </c>
      <c r="K362" s="28"/>
      <c r="L362" s="28"/>
      <c r="M362" s="27"/>
      <c r="N362" s="28"/>
      <c r="O362" s="28"/>
      <c r="P362" s="28"/>
      <c r="Q362" s="26" t="n">
        <f aca="false">IFERROR($K362*$L362,"")</f>
        <v>0</v>
      </c>
      <c r="R362" s="44" t="n">
        <f aca="false">IF(OR($O362="",$P362=""),0,$O362*$P362)</f>
        <v>0</v>
      </c>
      <c r="S362" s="27"/>
      <c r="T362" s="27"/>
      <c r="U362" s="40" t="n">
        <f aca="false">IF($A362="",0,IF(AND(OR($E362=Atleta!$C$4,$E362="Equipe (todos)"),$A362&gt;=Atleta!$C$5),MAX($U$7:U361)+1,0))</f>
        <v>0</v>
      </c>
    </row>
    <row r="363" customFormat="false" ht="15" hidden="false" customHeight="false" outlineLevel="0" collapsed="false">
      <c r="A363" s="29"/>
      <c r="B363" s="40" t="n">
        <f aca="false">IF($A363="",0,INT(($A363-Macrociclo!$C$11)/7)+1)</f>
        <v>0</v>
      </c>
      <c r="C363" s="28"/>
      <c r="D363" s="28"/>
      <c r="E363" s="27"/>
      <c r="F363" s="28"/>
      <c r="G363" s="27"/>
      <c r="H363" s="26" t="str">
        <f aca="false">IFERROR(INDEX(Exercícios!$C$7:$C$206,MATCH($G363,Exercícios!$B$7:$B$206,0)),"")</f>
        <v/>
      </c>
      <c r="I363" s="26" t="str">
        <f aca="false">IFERROR(INDEX(Exercícios!$D$7:$D$206,MATCH($G363,Exercícios!$B$7:$B$206,0)),"")</f>
        <v/>
      </c>
      <c r="J363" s="26" t="str">
        <f aca="false">IFERROR(INDEX(Exercícios!$E$7:$E$206,MATCH($G363,Exercícios!$B$7:$B$206,0)),"")</f>
        <v/>
      </c>
      <c r="K363" s="28"/>
      <c r="L363" s="28"/>
      <c r="M363" s="27"/>
      <c r="N363" s="28"/>
      <c r="O363" s="28"/>
      <c r="P363" s="28"/>
      <c r="Q363" s="26" t="n">
        <f aca="false">IFERROR($K363*$L363,"")</f>
        <v>0</v>
      </c>
      <c r="R363" s="44" t="n">
        <f aca="false">IF(OR($O363="",$P363=""),0,$O363*$P363)</f>
        <v>0</v>
      </c>
      <c r="S363" s="27"/>
      <c r="T363" s="27"/>
      <c r="U363" s="40" t="n">
        <f aca="false">IF($A363="",0,IF(AND(OR($E363=Atleta!$C$4,$E363="Equipe (todos)"),$A363&gt;=Atleta!$C$5),MAX($U$7:U362)+1,0))</f>
        <v>0</v>
      </c>
    </row>
    <row r="364" customFormat="false" ht="15" hidden="false" customHeight="false" outlineLevel="0" collapsed="false">
      <c r="A364" s="29"/>
      <c r="B364" s="40" t="n">
        <f aca="false">IF($A364="",0,INT(($A364-Macrociclo!$C$11)/7)+1)</f>
        <v>0</v>
      </c>
      <c r="C364" s="28"/>
      <c r="D364" s="28"/>
      <c r="E364" s="27"/>
      <c r="F364" s="28"/>
      <c r="G364" s="27"/>
      <c r="H364" s="26" t="str">
        <f aca="false">IFERROR(INDEX(Exercícios!$C$7:$C$206,MATCH($G364,Exercícios!$B$7:$B$206,0)),"")</f>
        <v/>
      </c>
      <c r="I364" s="26" t="str">
        <f aca="false">IFERROR(INDEX(Exercícios!$D$7:$D$206,MATCH($G364,Exercícios!$B$7:$B$206,0)),"")</f>
        <v/>
      </c>
      <c r="J364" s="26" t="str">
        <f aca="false">IFERROR(INDEX(Exercícios!$E$7:$E$206,MATCH($G364,Exercícios!$B$7:$B$206,0)),"")</f>
        <v/>
      </c>
      <c r="K364" s="28"/>
      <c r="L364" s="28"/>
      <c r="M364" s="27"/>
      <c r="N364" s="28"/>
      <c r="O364" s="28"/>
      <c r="P364" s="28"/>
      <c r="Q364" s="26" t="n">
        <f aca="false">IFERROR($K364*$L364,"")</f>
        <v>0</v>
      </c>
      <c r="R364" s="44" t="n">
        <f aca="false">IF(OR($O364="",$P364=""),0,$O364*$P364)</f>
        <v>0</v>
      </c>
      <c r="S364" s="27"/>
      <c r="T364" s="27"/>
      <c r="U364" s="40" t="n">
        <f aca="false">IF($A364="",0,IF(AND(OR($E364=Atleta!$C$4,$E364="Equipe (todos)"),$A364&gt;=Atleta!$C$5),MAX($U$7:U363)+1,0))</f>
        <v>0</v>
      </c>
    </row>
    <row r="365" customFormat="false" ht="15" hidden="false" customHeight="false" outlineLevel="0" collapsed="false">
      <c r="A365" s="29"/>
      <c r="B365" s="40" t="n">
        <f aca="false">IF($A365="",0,INT(($A365-Macrociclo!$C$11)/7)+1)</f>
        <v>0</v>
      </c>
      <c r="C365" s="28"/>
      <c r="D365" s="28"/>
      <c r="E365" s="27"/>
      <c r="F365" s="28"/>
      <c r="G365" s="27"/>
      <c r="H365" s="26" t="str">
        <f aca="false">IFERROR(INDEX(Exercícios!$C$7:$C$206,MATCH($G365,Exercícios!$B$7:$B$206,0)),"")</f>
        <v/>
      </c>
      <c r="I365" s="26" t="str">
        <f aca="false">IFERROR(INDEX(Exercícios!$D$7:$D$206,MATCH($G365,Exercícios!$B$7:$B$206,0)),"")</f>
        <v/>
      </c>
      <c r="J365" s="26" t="str">
        <f aca="false">IFERROR(INDEX(Exercícios!$E$7:$E$206,MATCH($G365,Exercícios!$B$7:$B$206,0)),"")</f>
        <v/>
      </c>
      <c r="K365" s="28"/>
      <c r="L365" s="28"/>
      <c r="M365" s="27"/>
      <c r="N365" s="28"/>
      <c r="O365" s="28"/>
      <c r="P365" s="28"/>
      <c r="Q365" s="26" t="n">
        <f aca="false">IFERROR($K365*$L365,"")</f>
        <v>0</v>
      </c>
      <c r="R365" s="44" t="n">
        <f aca="false">IF(OR($O365="",$P365=""),0,$O365*$P365)</f>
        <v>0</v>
      </c>
      <c r="S365" s="27"/>
      <c r="T365" s="27"/>
      <c r="U365" s="40" t="n">
        <f aca="false">IF($A365="",0,IF(AND(OR($E365=Atleta!$C$4,$E365="Equipe (todos)"),$A365&gt;=Atleta!$C$5),MAX($U$7:U364)+1,0))</f>
        <v>0</v>
      </c>
    </row>
    <row r="366" customFormat="false" ht="15" hidden="false" customHeight="false" outlineLevel="0" collapsed="false">
      <c r="A366" s="29"/>
      <c r="B366" s="40" t="n">
        <f aca="false">IF($A366="",0,INT(($A366-Macrociclo!$C$11)/7)+1)</f>
        <v>0</v>
      </c>
      <c r="C366" s="28"/>
      <c r="D366" s="28"/>
      <c r="E366" s="27"/>
      <c r="F366" s="28"/>
      <c r="G366" s="27"/>
      <c r="H366" s="26" t="str">
        <f aca="false">IFERROR(INDEX(Exercícios!$C$7:$C$206,MATCH($G366,Exercícios!$B$7:$B$206,0)),"")</f>
        <v/>
      </c>
      <c r="I366" s="26" t="str">
        <f aca="false">IFERROR(INDEX(Exercícios!$D$7:$D$206,MATCH($G366,Exercícios!$B$7:$B$206,0)),"")</f>
        <v/>
      </c>
      <c r="J366" s="26" t="str">
        <f aca="false">IFERROR(INDEX(Exercícios!$E$7:$E$206,MATCH($G366,Exercícios!$B$7:$B$206,0)),"")</f>
        <v/>
      </c>
      <c r="K366" s="28"/>
      <c r="L366" s="28"/>
      <c r="M366" s="27"/>
      <c r="N366" s="28"/>
      <c r="O366" s="28"/>
      <c r="P366" s="28"/>
      <c r="Q366" s="26" t="n">
        <f aca="false">IFERROR($K366*$L366,"")</f>
        <v>0</v>
      </c>
      <c r="R366" s="44" t="n">
        <f aca="false">IF(OR($O366="",$P366=""),0,$O366*$P366)</f>
        <v>0</v>
      </c>
      <c r="S366" s="27"/>
      <c r="T366" s="27"/>
      <c r="U366" s="40" t="n">
        <f aca="false">IF($A366="",0,IF(AND(OR($E366=Atleta!$C$4,$E366="Equipe (todos)"),$A366&gt;=Atleta!$C$5),MAX($U$7:U365)+1,0))</f>
        <v>0</v>
      </c>
    </row>
    <row r="367" customFormat="false" ht="15" hidden="false" customHeight="false" outlineLevel="0" collapsed="false">
      <c r="A367" s="29"/>
      <c r="B367" s="40" t="n">
        <f aca="false">IF($A367="",0,INT(($A367-Macrociclo!$C$11)/7)+1)</f>
        <v>0</v>
      </c>
      <c r="C367" s="28"/>
      <c r="D367" s="28"/>
      <c r="E367" s="27"/>
      <c r="F367" s="28"/>
      <c r="G367" s="27"/>
      <c r="H367" s="26" t="str">
        <f aca="false">IFERROR(INDEX(Exercícios!$C$7:$C$206,MATCH($G367,Exercícios!$B$7:$B$206,0)),"")</f>
        <v/>
      </c>
      <c r="I367" s="26" t="str">
        <f aca="false">IFERROR(INDEX(Exercícios!$D$7:$D$206,MATCH($G367,Exercícios!$B$7:$B$206,0)),"")</f>
        <v/>
      </c>
      <c r="J367" s="26" t="str">
        <f aca="false">IFERROR(INDEX(Exercícios!$E$7:$E$206,MATCH($G367,Exercícios!$B$7:$B$206,0)),"")</f>
        <v/>
      </c>
      <c r="K367" s="28"/>
      <c r="L367" s="28"/>
      <c r="M367" s="27"/>
      <c r="N367" s="28"/>
      <c r="O367" s="28"/>
      <c r="P367" s="28"/>
      <c r="Q367" s="26" t="n">
        <f aca="false">IFERROR($K367*$L367,"")</f>
        <v>0</v>
      </c>
      <c r="R367" s="44" t="n">
        <f aca="false">IF(OR($O367="",$P367=""),0,$O367*$P367)</f>
        <v>0</v>
      </c>
      <c r="S367" s="27"/>
      <c r="T367" s="27"/>
      <c r="U367" s="40" t="n">
        <f aca="false">IF($A367="",0,IF(AND(OR($E367=Atleta!$C$4,$E367="Equipe (todos)"),$A367&gt;=Atleta!$C$5),MAX($U$7:U366)+1,0))</f>
        <v>0</v>
      </c>
    </row>
    <row r="368" customFormat="false" ht="15" hidden="false" customHeight="false" outlineLevel="0" collapsed="false">
      <c r="A368" s="29"/>
      <c r="B368" s="40" t="n">
        <f aca="false">IF($A368="",0,INT(($A368-Macrociclo!$C$11)/7)+1)</f>
        <v>0</v>
      </c>
      <c r="C368" s="28"/>
      <c r="D368" s="28"/>
      <c r="E368" s="27"/>
      <c r="F368" s="28"/>
      <c r="G368" s="27"/>
      <c r="H368" s="26" t="str">
        <f aca="false">IFERROR(INDEX(Exercícios!$C$7:$C$206,MATCH($G368,Exercícios!$B$7:$B$206,0)),"")</f>
        <v/>
      </c>
      <c r="I368" s="26" t="str">
        <f aca="false">IFERROR(INDEX(Exercícios!$D$7:$D$206,MATCH($G368,Exercícios!$B$7:$B$206,0)),"")</f>
        <v/>
      </c>
      <c r="J368" s="26" t="str">
        <f aca="false">IFERROR(INDEX(Exercícios!$E$7:$E$206,MATCH($G368,Exercícios!$B$7:$B$206,0)),"")</f>
        <v/>
      </c>
      <c r="K368" s="28"/>
      <c r="L368" s="28"/>
      <c r="M368" s="27"/>
      <c r="N368" s="28"/>
      <c r="O368" s="28"/>
      <c r="P368" s="28"/>
      <c r="Q368" s="26" t="n">
        <f aca="false">IFERROR($K368*$L368,"")</f>
        <v>0</v>
      </c>
      <c r="R368" s="44" t="n">
        <f aca="false">IF(OR($O368="",$P368=""),0,$O368*$P368)</f>
        <v>0</v>
      </c>
      <c r="S368" s="27"/>
      <c r="T368" s="27"/>
      <c r="U368" s="40" t="n">
        <f aca="false">IF($A368="",0,IF(AND(OR($E368=Atleta!$C$4,$E368="Equipe (todos)"),$A368&gt;=Atleta!$C$5),MAX($U$7:U367)+1,0))</f>
        <v>0</v>
      </c>
    </row>
    <row r="369" customFormat="false" ht="15" hidden="false" customHeight="false" outlineLevel="0" collapsed="false">
      <c r="A369" s="29"/>
      <c r="B369" s="40" t="n">
        <f aca="false">IF($A369="",0,INT(($A369-Macrociclo!$C$11)/7)+1)</f>
        <v>0</v>
      </c>
      <c r="C369" s="28"/>
      <c r="D369" s="28"/>
      <c r="E369" s="27"/>
      <c r="F369" s="28"/>
      <c r="G369" s="27"/>
      <c r="H369" s="26" t="str">
        <f aca="false">IFERROR(INDEX(Exercícios!$C$7:$C$206,MATCH($G369,Exercícios!$B$7:$B$206,0)),"")</f>
        <v/>
      </c>
      <c r="I369" s="26" t="str">
        <f aca="false">IFERROR(INDEX(Exercícios!$D$7:$D$206,MATCH($G369,Exercícios!$B$7:$B$206,0)),"")</f>
        <v/>
      </c>
      <c r="J369" s="26" t="str">
        <f aca="false">IFERROR(INDEX(Exercícios!$E$7:$E$206,MATCH($G369,Exercícios!$B$7:$B$206,0)),"")</f>
        <v/>
      </c>
      <c r="K369" s="28"/>
      <c r="L369" s="28"/>
      <c r="M369" s="27"/>
      <c r="N369" s="28"/>
      <c r="O369" s="28"/>
      <c r="P369" s="28"/>
      <c r="Q369" s="26" t="n">
        <f aca="false">IFERROR($K369*$L369,"")</f>
        <v>0</v>
      </c>
      <c r="R369" s="44" t="n">
        <f aca="false">IF(OR($O369="",$P369=""),0,$O369*$P369)</f>
        <v>0</v>
      </c>
      <c r="S369" s="27"/>
      <c r="T369" s="27"/>
      <c r="U369" s="40" t="n">
        <f aca="false">IF($A369="",0,IF(AND(OR($E369=Atleta!$C$4,$E369="Equipe (todos)"),$A369&gt;=Atleta!$C$5),MAX($U$7:U368)+1,0))</f>
        <v>0</v>
      </c>
    </row>
    <row r="370" customFormat="false" ht="15" hidden="false" customHeight="false" outlineLevel="0" collapsed="false">
      <c r="A370" s="29"/>
      <c r="B370" s="40" t="n">
        <f aca="false">IF($A370="",0,INT(($A370-Macrociclo!$C$11)/7)+1)</f>
        <v>0</v>
      </c>
      <c r="C370" s="28"/>
      <c r="D370" s="28"/>
      <c r="E370" s="27"/>
      <c r="F370" s="28"/>
      <c r="G370" s="27"/>
      <c r="H370" s="26" t="str">
        <f aca="false">IFERROR(INDEX(Exercícios!$C$7:$C$206,MATCH($G370,Exercícios!$B$7:$B$206,0)),"")</f>
        <v/>
      </c>
      <c r="I370" s="26" t="str">
        <f aca="false">IFERROR(INDEX(Exercícios!$D$7:$D$206,MATCH($G370,Exercícios!$B$7:$B$206,0)),"")</f>
        <v/>
      </c>
      <c r="J370" s="26" t="str">
        <f aca="false">IFERROR(INDEX(Exercícios!$E$7:$E$206,MATCH($G370,Exercícios!$B$7:$B$206,0)),"")</f>
        <v/>
      </c>
      <c r="K370" s="28"/>
      <c r="L370" s="28"/>
      <c r="M370" s="27"/>
      <c r="N370" s="28"/>
      <c r="O370" s="28"/>
      <c r="P370" s="28"/>
      <c r="Q370" s="26" t="n">
        <f aca="false">IFERROR($K370*$L370,"")</f>
        <v>0</v>
      </c>
      <c r="R370" s="44" t="n">
        <f aca="false">IF(OR($O370="",$P370=""),0,$O370*$P370)</f>
        <v>0</v>
      </c>
      <c r="S370" s="27"/>
      <c r="T370" s="27"/>
      <c r="U370" s="40" t="n">
        <f aca="false">IF($A370="",0,IF(AND(OR($E370=Atleta!$C$4,$E370="Equipe (todos)"),$A370&gt;=Atleta!$C$5),MAX($U$7:U369)+1,0))</f>
        <v>0</v>
      </c>
    </row>
    <row r="371" customFormat="false" ht="15" hidden="false" customHeight="false" outlineLevel="0" collapsed="false">
      <c r="A371" s="29"/>
      <c r="B371" s="40" t="n">
        <f aca="false">IF($A371="",0,INT(($A371-Macrociclo!$C$11)/7)+1)</f>
        <v>0</v>
      </c>
      <c r="C371" s="28"/>
      <c r="D371" s="28"/>
      <c r="E371" s="27"/>
      <c r="F371" s="28"/>
      <c r="G371" s="27"/>
      <c r="H371" s="26" t="str">
        <f aca="false">IFERROR(INDEX(Exercícios!$C$7:$C$206,MATCH($G371,Exercícios!$B$7:$B$206,0)),"")</f>
        <v/>
      </c>
      <c r="I371" s="26" t="str">
        <f aca="false">IFERROR(INDEX(Exercícios!$D$7:$D$206,MATCH($G371,Exercícios!$B$7:$B$206,0)),"")</f>
        <v/>
      </c>
      <c r="J371" s="26" t="str">
        <f aca="false">IFERROR(INDEX(Exercícios!$E$7:$E$206,MATCH($G371,Exercícios!$B$7:$B$206,0)),"")</f>
        <v/>
      </c>
      <c r="K371" s="28"/>
      <c r="L371" s="28"/>
      <c r="M371" s="27"/>
      <c r="N371" s="28"/>
      <c r="O371" s="28"/>
      <c r="P371" s="28"/>
      <c r="Q371" s="26" t="n">
        <f aca="false">IFERROR($K371*$L371,"")</f>
        <v>0</v>
      </c>
      <c r="R371" s="44" t="n">
        <f aca="false">IF(OR($O371="",$P371=""),0,$O371*$P371)</f>
        <v>0</v>
      </c>
      <c r="S371" s="27"/>
      <c r="T371" s="27"/>
      <c r="U371" s="40" t="n">
        <f aca="false">IF($A371="",0,IF(AND(OR($E371=Atleta!$C$4,$E371="Equipe (todos)"),$A371&gt;=Atleta!$C$5),MAX($U$7:U370)+1,0))</f>
        <v>0</v>
      </c>
    </row>
    <row r="372" customFormat="false" ht="15" hidden="false" customHeight="false" outlineLevel="0" collapsed="false">
      <c r="A372" s="29"/>
      <c r="B372" s="40" t="n">
        <f aca="false">IF($A372="",0,INT(($A372-Macrociclo!$C$11)/7)+1)</f>
        <v>0</v>
      </c>
      <c r="C372" s="28"/>
      <c r="D372" s="28"/>
      <c r="E372" s="27"/>
      <c r="F372" s="28"/>
      <c r="G372" s="27"/>
      <c r="H372" s="26" t="str">
        <f aca="false">IFERROR(INDEX(Exercícios!$C$7:$C$206,MATCH($G372,Exercícios!$B$7:$B$206,0)),"")</f>
        <v/>
      </c>
      <c r="I372" s="26" t="str">
        <f aca="false">IFERROR(INDEX(Exercícios!$D$7:$D$206,MATCH($G372,Exercícios!$B$7:$B$206,0)),"")</f>
        <v/>
      </c>
      <c r="J372" s="26" t="str">
        <f aca="false">IFERROR(INDEX(Exercícios!$E$7:$E$206,MATCH($G372,Exercícios!$B$7:$B$206,0)),"")</f>
        <v/>
      </c>
      <c r="K372" s="28"/>
      <c r="L372" s="28"/>
      <c r="M372" s="27"/>
      <c r="N372" s="28"/>
      <c r="O372" s="28"/>
      <c r="P372" s="28"/>
      <c r="Q372" s="26" t="n">
        <f aca="false">IFERROR($K372*$L372,"")</f>
        <v>0</v>
      </c>
      <c r="R372" s="44" t="n">
        <f aca="false">IF(OR($O372="",$P372=""),0,$O372*$P372)</f>
        <v>0</v>
      </c>
      <c r="S372" s="27"/>
      <c r="T372" s="27"/>
      <c r="U372" s="40" t="n">
        <f aca="false">IF($A372="",0,IF(AND(OR($E372=Atleta!$C$4,$E372="Equipe (todos)"),$A372&gt;=Atleta!$C$5),MAX($U$7:U371)+1,0))</f>
        <v>0</v>
      </c>
    </row>
    <row r="373" customFormat="false" ht="15" hidden="false" customHeight="false" outlineLevel="0" collapsed="false">
      <c r="A373" s="29"/>
      <c r="B373" s="40" t="n">
        <f aca="false">IF($A373="",0,INT(($A373-Macrociclo!$C$11)/7)+1)</f>
        <v>0</v>
      </c>
      <c r="C373" s="28"/>
      <c r="D373" s="28"/>
      <c r="E373" s="27"/>
      <c r="F373" s="28"/>
      <c r="G373" s="27"/>
      <c r="H373" s="26" t="str">
        <f aca="false">IFERROR(INDEX(Exercícios!$C$7:$C$206,MATCH($G373,Exercícios!$B$7:$B$206,0)),"")</f>
        <v/>
      </c>
      <c r="I373" s="26" t="str">
        <f aca="false">IFERROR(INDEX(Exercícios!$D$7:$D$206,MATCH($G373,Exercícios!$B$7:$B$206,0)),"")</f>
        <v/>
      </c>
      <c r="J373" s="26" t="str">
        <f aca="false">IFERROR(INDEX(Exercícios!$E$7:$E$206,MATCH($G373,Exercícios!$B$7:$B$206,0)),"")</f>
        <v/>
      </c>
      <c r="K373" s="28"/>
      <c r="L373" s="28"/>
      <c r="M373" s="27"/>
      <c r="N373" s="28"/>
      <c r="O373" s="28"/>
      <c r="P373" s="28"/>
      <c r="Q373" s="26" t="n">
        <f aca="false">IFERROR($K373*$L373,"")</f>
        <v>0</v>
      </c>
      <c r="R373" s="44" t="n">
        <f aca="false">IF(OR($O373="",$P373=""),0,$O373*$P373)</f>
        <v>0</v>
      </c>
      <c r="S373" s="27"/>
      <c r="T373" s="27"/>
      <c r="U373" s="40" t="n">
        <f aca="false">IF($A373="",0,IF(AND(OR($E373=Atleta!$C$4,$E373="Equipe (todos)"),$A373&gt;=Atleta!$C$5),MAX($U$7:U372)+1,0))</f>
        <v>0</v>
      </c>
    </row>
    <row r="374" customFormat="false" ht="15" hidden="false" customHeight="false" outlineLevel="0" collapsed="false">
      <c r="A374" s="29"/>
      <c r="B374" s="40" t="n">
        <f aca="false">IF($A374="",0,INT(($A374-Macrociclo!$C$11)/7)+1)</f>
        <v>0</v>
      </c>
      <c r="C374" s="28"/>
      <c r="D374" s="28"/>
      <c r="E374" s="27"/>
      <c r="F374" s="28"/>
      <c r="G374" s="27"/>
      <c r="H374" s="26" t="str">
        <f aca="false">IFERROR(INDEX(Exercícios!$C$7:$C$206,MATCH($G374,Exercícios!$B$7:$B$206,0)),"")</f>
        <v/>
      </c>
      <c r="I374" s="26" t="str">
        <f aca="false">IFERROR(INDEX(Exercícios!$D$7:$D$206,MATCH($G374,Exercícios!$B$7:$B$206,0)),"")</f>
        <v/>
      </c>
      <c r="J374" s="26" t="str">
        <f aca="false">IFERROR(INDEX(Exercícios!$E$7:$E$206,MATCH($G374,Exercícios!$B$7:$B$206,0)),"")</f>
        <v/>
      </c>
      <c r="K374" s="28"/>
      <c r="L374" s="28"/>
      <c r="M374" s="27"/>
      <c r="N374" s="28"/>
      <c r="O374" s="28"/>
      <c r="P374" s="28"/>
      <c r="Q374" s="26" t="n">
        <f aca="false">IFERROR($K374*$L374,"")</f>
        <v>0</v>
      </c>
      <c r="R374" s="44" t="n">
        <f aca="false">IF(OR($O374="",$P374=""),0,$O374*$P374)</f>
        <v>0</v>
      </c>
      <c r="S374" s="27"/>
      <c r="T374" s="27"/>
      <c r="U374" s="40" t="n">
        <f aca="false">IF($A374="",0,IF(AND(OR($E374=Atleta!$C$4,$E374="Equipe (todos)"),$A374&gt;=Atleta!$C$5),MAX($U$7:U373)+1,0))</f>
        <v>0</v>
      </c>
    </row>
    <row r="375" customFormat="false" ht="15" hidden="false" customHeight="false" outlineLevel="0" collapsed="false">
      <c r="A375" s="29"/>
      <c r="B375" s="40" t="n">
        <f aca="false">IF($A375="",0,INT(($A375-Macrociclo!$C$11)/7)+1)</f>
        <v>0</v>
      </c>
      <c r="C375" s="28"/>
      <c r="D375" s="28"/>
      <c r="E375" s="27"/>
      <c r="F375" s="28"/>
      <c r="G375" s="27"/>
      <c r="H375" s="26" t="str">
        <f aca="false">IFERROR(INDEX(Exercícios!$C$7:$C$206,MATCH($G375,Exercícios!$B$7:$B$206,0)),"")</f>
        <v/>
      </c>
      <c r="I375" s="26" t="str">
        <f aca="false">IFERROR(INDEX(Exercícios!$D$7:$D$206,MATCH($G375,Exercícios!$B$7:$B$206,0)),"")</f>
        <v/>
      </c>
      <c r="J375" s="26" t="str">
        <f aca="false">IFERROR(INDEX(Exercícios!$E$7:$E$206,MATCH($G375,Exercícios!$B$7:$B$206,0)),"")</f>
        <v/>
      </c>
      <c r="K375" s="28"/>
      <c r="L375" s="28"/>
      <c r="M375" s="27"/>
      <c r="N375" s="28"/>
      <c r="O375" s="28"/>
      <c r="P375" s="28"/>
      <c r="Q375" s="26" t="n">
        <f aca="false">IFERROR($K375*$L375,"")</f>
        <v>0</v>
      </c>
      <c r="R375" s="44" t="n">
        <f aca="false">IF(OR($O375="",$P375=""),0,$O375*$P375)</f>
        <v>0</v>
      </c>
      <c r="S375" s="27"/>
      <c r="T375" s="27"/>
      <c r="U375" s="40" t="n">
        <f aca="false">IF($A375="",0,IF(AND(OR($E375=Atleta!$C$4,$E375="Equipe (todos)"),$A375&gt;=Atleta!$C$5),MAX($U$7:U374)+1,0))</f>
        <v>0</v>
      </c>
    </row>
    <row r="376" customFormat="false" ht="15" hidden="false" customHeight="false" outlineLevel="0" collapsed="false">
      <c r="A376" s="29"/>
      <c r="B376" s="40" t="n">
        <f aca="false">IF($A376="",0,INT(($A376-Macrociclo!$C$11)/7)+1)</f>
        <v>0</v>
      </c>
      <c r="C376" s="28"/>
      <c r="D376" s="28"/>
      <c r="E376" s="27"/>
      <c r="F376" s="28"/>
      <c r="G376" s="27"/>
      <c r="H376" s="26" t="str">
        <f aca="false">IFERROR(INDEX(Exercícios!$C$7:$C$206,MATCH($G376,Exercícios!$B$7:$B$206,0)),"")</f>
        <v/>
      </c>
      <c r="I376" s="26" t="str">
        <f aca="false">IFERROR(INDEX(Exercícios!$D$7:$D$206,MATCH($G376,Exercícios!$B$7:$B$206,0)),"")</f>
        <v/>
      </c>
      <c r="J376" s="26" t="str">
        <f aca="false">IFERROR(INDEX(Exercícios!$E$7:$E$206,MATCH($G376,Exercícios!$B$7:$B$206,0)),"")</f>
        <v/>
      </c>
      <c r="K376" s="28"/>
      <c r="L376" s="28"/>
      <c r="M376" s="27"/>
      <c r="N376" s="28"/>
      <c r="O376" s="28"/>
      <c r="P376" s="28"/>
      <c r="Q376" s="26" t="n">
        <f aca="false">IFERROR($K376*$L376,"")</f>
        <v>0</v>
      </c>
      <c r="R376" s="44" t="n">
        <f aca="false">IF(OR($O376="",$P376=""),0,$O376*$P376)</f>
        <v>0</v>
      </c>
      <c r="S376" s="27"/>
      <c r="T376" s="27"/>
      <c r="U376" s="40" t="n">
        <f aca="false">IF($A376="",0,IF(AND(OR($E376=Atleta!$C$4,$E376="Equipe (todos)"),$A376&gt;=Atleta!$C$5),MAX($U$7:U375)+1,0))</f>
        <v>0</v>
      </c>
    </row>
    <row r="377" customFormat="false" ht="15" hidden="false" customHeight="false" outlineLevel="0" collapsed="false">
      <c r="A377" s="29"/>
      <c r="B377" s="40" t="n">
        <f aca="false">IF($A377="",0,INT(($A377-Macrociclo!$C$11)/7)+1)</f>
        <v>0</v>
      </c>
      <c r="C377" s="28"/>
      <c r="D377" s="28"/>
      <c r="E377" s="27"/>
      <c r="F377" s="28"/>
      <c r="G377" s="27"/>
      <c r="H377" s="26" t="str">
        <f aca="false">IFERROR(INDEX(Exercícios!$C$7:$C$206,MATCH($G377,Exercícios!$B$7:$B$206,0)),"")</f>
        <v/>
      </c>
      <c r="I377" s="26" t="str">
        <f aca="false">IFERROR(INDEX(Exercícios!$D$7:$D$206,MATCH($G377,Exercícios!$B$7:$B$206,0)),"")</f>
        <v/>
      </c>
      <c r="J377" s="26" t="str">
        <f aca="false">IFERROR(INDEX(Exercícios!$E$7:$E$206,MATCH($G377,Exercícios!$B$7:$B$206,0)),"")</f>
        <v/>
      </c>
      <c r="K377" s="28"/>
      <c r="L377" s="28"/>
      <c r="M377" s="27"/>
      <c r="N377" s="28"/>
      <c r="O377" s="28"/>
      <c r="P377" s="28"/>
      <c r="Q377" s="26" t="n">
        <f aca="false">IFERROR($K377*$L377,"")</f>
        <v>0</v>
      </c>
      <c r="R377" s="44" t="n">
        <f aca="false">IF(OR($O377="",$P377=""),0,$O377*$P377)</f>
        <v>0</v>
      </c>
      <c r="S377" s="27"/>
      <c r="T377" s="27"/>
      <c r="U377" s="40" t="n">
        <f aca="false">IF($A377="",0,IF(AND(OR($E377=Atleta!$C$4,$E377="Equipe (todos)"),$A377&gt;=Atleta!$C$5),MAX($U$7:U376)+1,0))</f>
        <v>0</v>
      </c>
    </row>
    <row r="378" customFormat="false" ht="15" hidden="false" customHeight="false" outlineLevel="0" collapsed="false">
      <c r="A378" s="29"/>
      <c r="B378" s="40" t="n">
        <f aca="false">IF($A378="",0,INT(($A378-Macrociclo!$C$11)/7)+1)</f>
        <v>0</v>
      </c>
      <c r="C378" s="28"/>
      <c r="D378" s="28"/>
      <c r="E378" s="27"/>
      <c r="F378" s="28"/>
      <c r="G378" s="27"/>
      <c r="H378" s="26" t="str">
        <f aca="false">IFERROR(INDEX(Exercícios!$C$7:$C$206,MATCH($G378,Exercícios!$B$7:$B$206,0)),"")</f>
        <v/>
      </c>
      <c r="I378" s="26" t="str">
        <f aca="false">IFERROR(INDEX(Exercícios!$D$7:$D$206,MATCH($G378,Exercícios!$B$7:$B$206,0)),"")</f>
        <v/>
      </c>
      <c r="J378" s="26" t="str">
        <f aca="false">IFERROR(INDEX(Exercícios!$E$7:$E$206,MATCH($G378,Exercícios!$B$7:$B$206,0)),"")</f>
        <v/>
      </c>
      <c r="K378" s="28"/>
      <c r="L378" s="28"/>
      <c r="M378" s="27"/>
      <c r="N378" s="28"/>
      <c r="O378" s="28"/>
      <c r="P378" s="28"/>
      <c r="Q378" s="26" t="n">
        <f aca="false">IFERROR($K378*$L378,"")</f>
        <v>0</v>
      </c>
      <c r="R378" s="44" t="n">
        <f aca="false">IF(OR($O378="",$P378=""),0,$O378*$P378)</f>
        <v>0</v>
      </c>
      <c r="S378" s="27"/>
      <c r="T378" s="27"/>
      <c r="U378" s="40" t="n">
        <f aca="false">IF($A378="",0,IF(AND(OR($E378=Atleta!$C$4,$E378="Equipe (todos)"),$A378&gt;=Atleta!$C$5),MAX($U$7:U377)+1,0))</f>
        <v>0</v>
      </c>
    </row>
    <row r="379" customFormat="false" ht="15" hidden="false" customHeight="false" outlineLevel="0" collapsed="false">
      <c r="A379" s="29"/>
      <c r="B379" s="40" t="n">
        <f aca="false">IF($A379="",0,INT(($A379-Macrociclo!$C$11)/7)+1)</f>
        <v>0</v>
      </c>
      <c r="C379" s="28"/>
      <c r="D379" s="28"/>
      <c r="E379" s="27"/>
      <c r="F379" s="28"/>
      <c r="G379" s="27"/>
      <c r="H379" s="26" t="str">
        <f aca="false">IFERROR(INDEX(Exercícios!$C$7:$C$206,MATCH($G379,Exercícios!$B$7:$B$206,0)),"")</f>
        <v/>
      </c>
      <c r="I379" s="26" t="str">
        <f aca="false">IFERROR(INDEX(Exercícios!$D$7:$D$206,MATCH($G379,Exercícios!$B$7:$B$206,0)),"")</f>
        <v/>
      </c>
      <c r="J379" s="26" t="str">
        <f aca="false">IFERROR(INDEX(Exercícios!$E$7:$E$206,MATCH($G379,Exercícios!$B$7:$B$206,0)),"")</f>
        <v/>
      </c>
      <c r="K379" s="28"/>
      <c r="L379" s="28"/>
      <c r="M379" s="27"/>
      <c r="N379" s="28"/>
      <c r="O379" s="28"/>
      <c r="P379" s="28"/>
      <c r="Q379" s="26" t="n">
        <f aca="false">IFERROR($K379*$L379,"")</f>
        <v>0</v>
      </c>
      <c r="R379" s="44" t="n">
        <f aca="false">IF(OR($O379="",$P379=""),0,$O379*$P379)</f>
        <v>0</v>
      </c>
      <c r="S379" s="27"/>
      <c r="T379" s="27"/>
      <c r="U379" s="40" t="n">
        <f aca="false">IF($A379="",0,IF(AND(OR($E379=Atleta!$C$4,$E379="Equipe (todos)"),$A379&gt;=Atleta!$C$5),MAX($U$7:U378)+1,0))</f>
        <v>0</v>
      </c>
    </row>
    <row r="380" customFormat="false" ht="15" hidden="false" customHeight="false" outlineLevel="0" collapsed="false">
      <c r="A380" s="29"/>
      <c r="B380" s="40" t="n">
        <f aca="false">IF($A380="",0,INT(($A380-Macrociclo!$C$11)/7)+1)</f>
        <v>0</v>
      </c>
      <c r="C380" s="28"/>
      <c r="D380" s="28"/>
      <c r="E380" s="27"/>
      <c r="F380" s="28"/>
      <c r="G380" s="27"/>
      <c r="H380" s="26" t="str">
        <f aca="false">IFERROR(INDEX(Exercícios!$C$7:$C$206,MATCH($G380,Exercícios!$B$7:$B$206,0)),"")</f>
        <v/>
      </c>
      <c r="I380" s="26" t="str">
        <f aca="false">IFERROR(INDEX(Exercícios!$D$7:$D$206,MATCH($G380,Exercícios!$B$7:$B$206,0)),"")</f>
        <v/>
      </c>
      <c r="J380" s="26" t="str">
        <f aca="false">IFERROR(INDEX(Exercícios!$E$7:$E$206,MATCH($G380,Exercícios!$B$7:$B$206,0)),"")</f>
        <v/>
      </c>
      <c r="K380" s="28"/>
      <c r="L380" s="28"/>
      <c r="M380" s="27"/>
      <c r="N380" s="28"/>
      <c r="O380" s="28"/>
      <c r="P380" s="28"/>
      <c r="Q380" s="26" t="n">
        <f aca="false">IFERROR($K380*$L380,"")</f>
        <v>0</v>
      </c>
      <c r="R380" s="44" t="n">
        <f aca="false">IF(OR($O380="",$P380=""),0,$O380*$P380)</f>
        <v>0</v>
      </c>
      <c r="S380" s="27"/>
      <c r="T380" s="27"/>
      <c r="U380" s="40" t="n">
        <f aca="false">IF($A380="",0,IF(AND(OR($E380=Atleta!$C$4,$E380="Equipe (todos)"),$A380&gt;=Atleta!$C$5),MAX($U$7:U379)+1,0))</f>
        <v>0</v>
      </c>
    </row>
    <row r="381" customFormat="false" ht="15" hidden="false" customHeight="false" outlineLevel="0" collapsed="false">
      <c r="A381" s="29"/>
      <c r="B381" s="40" t="n">
        <f aca="false">IF($A381="",0,INT(($A381-Macrociclo!$C$11)/7)+1)</f>
        <v>0</v>
      </c>
      <c r="C381" s="28"/>
      <c r="D381" s="28"/>
      <c r="E381" s="27"/>
      <c r="F381" s="28"/>
      <c r="G381" s="27"/>
      <c r="H381" s="26" t="str">
        <f aca="false">IFERROR(INDEX(Exercícios!$C$7:$C$206,MATCH($G381,Exercícios!$B$7:$B$206,0)),"")</f>
        <v/>
      </c>
      <c r="I381" s="26" t="str">
        <f aca="false">IFERROR(INDEX(Exercícios!$D$7:$D$206,MATCH($G381,Exercícios!$B$7:$B$206,0)),"")</f>
        <v/>
      </c>
      <c r="J381" s="26" t="str">
        <f aca="false">IFERROR(INDEX(Exercícios!$E$7:$E$206,MATCH($G381,Exercícios!$B$7:$B$206,0)),"")</f>
        <v/>
      </c>
      <c r="K381" s="28"/>
      <c r="L381" s="28"/>
      <c r="M381" s="27"/>
      <c r="N381" s="28"/>
      <c r="O381" s="28"/>
      <c r="P381" s="28"/>
      <c r="Q381" s="26" t="n">
        <f aca="false">IFERROR($K381*$L381,"")</f>
        <v>0</v>
      </c>
      <c r="R381" s="44" t="n">
        <f aca="false">IF(OR($O381="",$P381=""),0,$O381*$P381)</f>
        <v>0</v>
      </c>
      <c r="S381" s="27"/>
      <c r="T381" s="27"/>
      <c r="U381" s="40" t="n">
        <f aca="false">IF($A381="",0,IF(AND(OR($E381=Atleta!$C$4,$E381="Equipe (todos)"),$A381&gt;=Atleta!$C$5),MAX($U$7:U380)+1,0))</f>
        <v>0</v>
      </c>
    </row>
    <row r="382" customFormat="false" ht="15" hidden="false" customHeight="false" outlineLevel="0" collapsed="false">
      <c r="A382" s="29"/>
      <c r="B382" s="40" t="n">
        <f aca="false">IF($A382="",0,INT(($A382-Macrociclo!$C$11)/7)+1)</f>
        <v>0</v>
      </c>
      <c r="C382" s="28"/>
      <c r="D382" s="28"/>
      <c r="E382" s="27"/>
      <c r="F382" s="28"/>
      <c r="G382" s="27"/>
      <c r="H382" s="26" t="str">
        <f aca="false">IFERROR(INDEX(Exercícios!$C$7:$C$206,MATCH($G382,Exercícios!$B$7:$B$206,0)),"")</f>
        <v/>
      </c>
      <c r="I382" s="26" t="str">
        <f aca="false">IFERROR(INDEX(Exercícios!$D$7:$D$206,MATCH($G382,Exercícios!$B$7:$B$206,0)),"")</f>
        <v/>
      </c>
      <c r="J382" s="26" t="str">
        <f aca="false">IFERROR(INDEX(Exercícios!$E$7:$E$206,MATCH($G382,Exercícios!$B$7:$B$206,0)),"")</f>
        <v/>
      </c>
      <c r="K382" s="28"/>
      <c r="L382" s="28"/>
      <c r="M382" s="27"/>
      <c r="N382" s="28"/>
      <c r="O382" s="28"/>
      <c r="P382" s="28"/>
      <c r="Q382" s="26" t="n">
        <f aca="false">IFERROR($K382*$L382,"")</f>
        <v>0</v>
      </c>
      <c r="R382" s="44" t="n">
        <f aca="false">IF(OR($O382="",$P382=""),0,$O382*$P382)</f>
        <v>0</v>
      </c>
      <c r="S382" s="27"/>
      <c r="T382" s="27"/>
      <c r="U382" s="40" t="n">
        <f aca="false">IF($A382="",0,IF(AND(OR($E382=Atleta!$C$4,$E382="Equipe (todos)"),$A382&gt;=Atleta!$C$5),MAX($U$7:U381)+1,0))</f>
        <v>0</v>
      </c>
    </row>
    <row r="383" customFormat="false" ht="15" hidden="false" customHeight="false" outlineLevel="0" collapsed="false">
      <c r="A383" s="29"/>
      <c r="B383" s="40" t="n">
        <f aca="false">IF($A383="",0,INT(($A383-Macrociclo!$C$11)/7)+1)</f>
        <v>0</v>
      </c>
      <c r="C383" s="28"/>
      <c r="D383" s="28"/>
      <c r="E383" s="27"/>
      <c r="F383" s="28"/>
      <c r="G383" s="27"/>
      <c r="H383" s="26" t="str">
        <f aca="false">IFERROR(INDEX(Exercícios!$C$7:$C$206,MATCH($G383,Exercícios!$B$7:$B$206,0)),"")</f>
        <v/>
      </c>
      <c r="I383" s="26" t="str">
        <f aca="false">IFERROR(INDEX(Exercícios!$D$7:$D$206,MATCH($G383,Exercícios!$B$7:$B$206,0)),"")</f>
        <v/>
      </c>
      <c r="J383" s="26" t="str">
        <f aca="false">IFERROR(INDEX(Exercícios!$E$7:$E$206,MATCH($G383,Exercícios!$B$7:$B$206,0)),"")</f>
        <v/>
      </c>
      <c r="K383" s="28"/>
      <c r="L383" s="28"/>
      <c r="M383" s="27"/>
      <c r="N383" s="28"/>
      <c r="O383" s="28"/>
      <c r="P383" s="28"/>
      <c r="Q383" s="26" t="n">
        <f aca="false">IFERROR($K383*$L383,"")</f>
        <v>0</v>
      </c>
      <c r="R383" s="44" t="n">
        <f aca="false">IF(OR($O383="",$P383=""),0,$O383*$P383)</f>
        <v>0</v>
      </c>
      <c r="S383" s="27"/>
      <c r="T383" s="27"/>
      <c r="U383" s="40" t="n">
        <f aca="false">IF($A383="",0,IF(AND(OR($E383=Atleta!$C$4,$E383="Equipe (todos)"),$A383&gt;=Atleta!$C$5),MAX($U$7:U382)+1,0))</f>
        <v>0</v>
      </c>
    </row>
    <row r="384" customFormat="false" ht="15" hidden="false" customHeight="false" outlineLevel="0" collapsed="false">
      <c r="A384" s="29"/>
      <c r="B384" s="40" t="n">
        <f aca="false">IF($A384="",0,INT(($A384-Macrociclo!$C$11)/7)+1)</f>
        <v>0</v>
      </c>
      <c r="C384" s="28"/>
      <c r="D384" s="28"/>
      <c r="E384" s="27"/>
      <c r="F384" s="28"/>
      <c r="G384" s="27"/>
      <c r="H384" s="26" t="str">
        <f aca="false">IFERROR(INDEX(Exercícios!$C$7:$C$206,MATCH($G384,Exercícios!$B$7:$B$206,0)),"")</f>
        <v/>
      </c>
      <c r="I384" s="26" t="str">
        <f aca="false">IFERROR(INDEX(Exercícios!$D$7:$D$206,MATCH($G384,Exercícios!$B$7:$B$206,0)),"")</f>
        <v/>
      </c>
      <c r="J384" s="26" t="str">
        <f aca="false">IFERROR(INDEX(Exercícios!$E$7:$E$206,MATCH($G384,Exercícios!$B$7:$B$206,0)),"")</f>
        <v/>
      </c>
      <c r="K384" s="28"/>
      <c r="L384" s="28"/>
      <c r="M384" s="27"/>
      <c r="N384" s="28"/>
      <c r="O384" s="28"/>
      <c r="P384" s="28"/>
      <c r="Q384" s="26" t="n">
        <f aca="false">IFERROR($K384*$L384,"")</f>
        <v>0</v>
      </c>
      <c r="R384" s="44" t="n">
        <f aca="false">IF(OR($O384="",$P384=""),0,$O384*$P384)</f>
        <v>0</v>
      </c>
      <c r="S384" s="27"/>
      <c r="T384" s="27"/>
      <c r="U384" s="40" t="n">
        <f aca="false">IF($A384="",0,IF(AND(OR($E384=Atleta!$C$4,$E384="Equipe (todos)"),$A384&gt;=Atleta!$C$5),MAX($U$7:U383)+1,0))</f>
        <v>0</v>
      </c>
    </row>
    <row r="385" customFormat="false" ht="15" hidden="false" customHeight="false" outlineLevel="0" collapsed="false">
      <c r="A385" s="29"/>
      <c r="B385" s="40" t="n">
        <f aca="false">IF($A385="",0,INT(($A385-Macrociclo!$C$11)/7)+1)</f>
        <v>0</v>
      </c>
      <c r="C385" s="28"/>
      <c r="D385" s="28"/>
      <c r="E385" s="27"/>
      <c r="F385" s="28"/>
      <c r="G385" s="27"/>
      <c r="H385" s="26" t="str">
        <f aca="false">IFERROR(INDEX(Exercícios!$C$7:$C$206,MATCH($G385,Exercícios!$B$7:$B$206,0)),"")</f>
        <v/>
      </c>
      <c r="I385" s="26" t="str">
        <f aca="false">IFERROR(INDEX(Exercícios!$D$7:$D$206,MATCH($G385,Exercícios!$B$7:$B$206,0)),"")</f>
        <v/>
      </c>
      <c r="J385" s="26" t="str">
        <f aca="false">IFERROR(INDEX(Exercícios!$E$7:$E$206,MATCH($G385,Exercícios!$B$7:$B$206,0)),"")</f>
        <v/>
      </c>
      <c r="K385" s="28"/>
      <c r="L385" s="28"/>
      <c r="M385" s="27"/>
      <c r="N385" s="28"/>
      <c r="O385" s="28"/>
      <c r="P385" s="28"/>
      <c r="Q385" s="26" t="n">
        <f aca="false">IFERROR($K385*$L385,"")</f>
        <v>0</v>
      </c>
      <c r="R385" s="44" t="n">
        <f aca="false">IF(OR($O385="",$P385=""),0,$O385*$P385)</f>
        <v>0</v>
      </c>
      <c r="S385" s="27"/>
      <c r="T385" s="27"/>
      <c r="U385" s="40" t="n">
        <f aca="false">IF($A385="",0,IF(AND(OR($E385=Atleta!$C$4,$E385="Equipe (todos)"),$A385&gt;=Atleta!$C$5),MAX($U$7:U384)+1,0))</f>
        <v>0</v>
      </c>
    </row>
    <row r="386" customFormat="false" ht="15" hidden="false" customHeight="false" outlineLevel="0" collapsed="false">
      <c r="A386" s="29"/>
      <c r="B386" s="40" t="n">
        <f aca="false">IF($A386="",0,INT(($A386-Macrociclo!$C$11)/7)+1)</f>
        <v>0</v>
      </c>
      <c r="C386" s="28"/>
      <c r="D386" s="28"/>
      <c r="E386" s="27"/>
      <c r="F386" s="28"/>
      <c r="G386" s="27"/>
      <c r="H386" s="26" t="str">
        <f aca="false">IFERROR(INDEX(Exercícios!$C$7:$C$206,MATCH($G386,Exercícios!$B$7:$B$206,0)),"")</f>
        <v/>
      </c>
      <c r="I386" s="26" t="str">
        <f aca="false">IFERROR(INDEX(Exercícios!$D$7:$D$206,MATCH($G386,Exercícios!$B$7:$B$206,0)),"")</f>
        <v/>
      </c>
      <c r="J386" s="26" t="str">
        <f aca="false">IFERROR(INDEX(Exercícios!$E$7:$E$206,MATCH($G386,Exercícios!$B$7:$B$206,0)),"")</f>
        <v/>
      </c>
      <c r="K386" s="28"/>
      <c r="L386" s="28"/>
      <c r="M386" s="27"/>
      <c r="N386" s="28"/>
      <c r="O386" s="28"/>
      <c r="P386" s="28"/>
      <c r="Q386" s="26" t="n">
        <f aca="false">IFERROR($K386*$L386,"")</f>
        <v>0</v>
      </c>
      <c r="R386" s="44" t="n">
        <f aca="false">IF(OR($O386="",$P386=""),0,$O386*$P386)</f>
        <v>0</v>
      </c>
      <c r="S386" s="27"/>
      <c r="T386" s="27"/>
      <c r="U386" s="40" t="n">
        <f aca="false">IF($A386="",0,IF(AND(OR($E386=Atleta!$C$4,$E386="Equipe (todos)"),$A386&gt;=Atleta!$C$5),MAX($U$7:U385)+1,0))</f>
        <v>0</v>
      </c>
    </row>
    <row r="387" customFormat="false" ht="15" hidden="false" customHeight="false" outlineLevel="0" collapsed="false">
      <c r="A387" s="29"/>
      <c r="B387" s="40" t="n">
        <f aca="false">IF($A387="",0,INT(($A387-Macrociclo!$C$11)/7)+1)</f>
        <v>0</v>
      </c>
      <c r="C387" s="28"/>
      <c r="D387" s="28"/>
      <c r="E387" s="27"/>
      <c r="F387" s="28"/>
      <c r="G387" s="27"/>
      <c r="H387" s="26" t="str">
        <f aca="false">IFERROR(INDEX(Exercícios!$C$7:$C$206,MATCH($G387,Exercícios!$B$7:$B$206,0)),"")</f>
        <v/>
      </c>
      <c r="I387" s="26" t="str">
        <f aca="false">IFERROR(INDEX(Exercícios!$D$7:$D$206,MATCH($G387,Exercícios!$B$7:$B$206,0)),"")</f>
        <v/>
      </c>
      <c r="J387" s="26" t="str">
        <f aca="false">IFERROR(INDEX(Exercícios!$E$7:$E$206,MATCH($G387,Exercícios!$B$7:$B$206,0)),"")</f>
        <v/>
      </c>
      <c r="K387" s="28"/>
      <c r="L387" s="28"/>
      <c r="M387" s="27"/>
      <c r="N387" s="28"/>
      <c r="O387" s="28"/>
      <c r="P387" s="28"/>
      <c r="Q387" s="26" t="n">
        <f aca="false">IFERROR($K387*$L387,"")</f>
        <v>0</v>
      </c>
      <c r="R387" s="44" t="n">
        <f aca="false">IF(OR($O387="",$P387=""),0,$O387*$P387)</f>
        <v>0</v>
      </c>
      <c r="S387" s="27"/>
      <c r="T387" s="27"/>
      <c r="U387" s="40" t="n">
        <f aca="false">IF($A387="",0,IF(AND(OR($E387=Atleta!$C$4,$E387="Equipe (todos)"),$A387&gt;=Atleta!$C$5),MAX($U$7:U386)+1,0))</f>
        <v>0</v>
      </c>
    </row>
    <row r="388" customFormat="false" ht="15" hidden="false" customHeight="false" outlineLevel="0" collapsed="false">
      <c r="A388" s="29"/>
      <c r="B388" s="40" t="n">
        <f aca="false">IF($A388="",0,INT(($A388-Macrociclo!$C$11)/7)+1)</f>
        <v>0</v>
      </c>
      <c r="C388" s="28"/>
      <c r="D388" s="28"/>
      <c r="E388" s="27"/>
      <c r="F388" s="28"/>
      <c r="G388" s="27"/>
      <c r="H388" s="26" t="str">
        <f aca="false">IFERROR(INDEX(Exercícios!$C$7:$C$206,MATCH($G388,Exercícios!$B$7:$B$206,0)),"")</f>
        <v/>
      </c>
      <c r="I388" s="26" t="str">
        <f aca="false">IFERROR(INDEX(Exercícios!$D$7:$D$206,MATCH($G388,Exercícios!$B$7:$B$206,0)),"")</f>
        <v/>
      </c>
      <c r="J388" s="26" t="str">
        <f aca="false">IFERROR(INDEX(Exercícios!$E$7:$E$206,MATCH($G388,Exercícios!$B$7:$B$206,0)),"")</f>
        <v/>
      </c>
      <c r="K388" s="28"/>
      <c r="L388" s="28"/>
      <c r="M388" s="27"/>
      <c r="N388" s="28"/>
      <c r="O388" s="28"/>
      <c r="P388" s="28"/>
      <c r="Q388" s="26" t="n">
        <f aca="false">IFERROR($K388*$L388,"")</f>
        <v>0</v>
      </c>
      <c r="R388" s="44" t="n">
        <f aca="false">IF(OR($O388="",$P388=""),0,$O388*$P388)</f>
        <v>0</v>
      </c>
      <c r="S388" s="27"/>
      <c r="T388" s="27"/>
      <c r="U388" s="40" t="n">
        <f aca="false">IF($A388="",0,IF(AND(OR($E388=Atleta!$C$4,$E388="Equipe (todos)"),$A388&gt;=Atleta!$C$5),MAX($U$7:U387)+1,0))</f>
        <v>0</v>
      </c>
    </row>
    <row r="389" customFormat="false" ht="15" hidden="false" customHeight="false" outlineLevel="0" collapsed="false">
      <c r="A389" s="29"/>
      <c r="B389" s="40" t="n">
        <f aca="false">IF($A389="",0,INT(($A389-Macrociclo!$C$11)/7)+1)</f>
        <v>0</v>
      </c>
      <c r="C389" s="28"/>
      <c r="D389" s="28"/>
      <c r="E389" s="27"/>
      <c r="F389" s="28"/>
      <c r="G389" s="27"/>
      <c r="H389" s="26" t="str">
        <f aca="false">IFERROR(INDEX(Exercícios!$C$7:$C$206,MATCH($G389,Exercícios!$B$7:$B$206,0)),"")</f>
        <v/>
      </c>
      <c r="I389" s="26" t="str">
        <f aca="false">IFERROR(INDEX(Exercícios!$D$7:$D$206,MATCH($G389,Exercícios!$B$7:$B$206,0)),"")</f>
        <v/>
      </c>
      <c r="J389" s="26" t="str">
        <f aca="false">IFERROR(INDEX(Exercícios!$E$7:$E$206,MATCH($G389,Exercícios!$B$7:$B$206,0)),"")</f>
        <v/>
      </c>
      <c r="K389" s="28"/>
      <c r="L389" s="28"/>
      <c r="M389" s="27"/>
      <c r="N389" s="28"/>
      <c r="O389" s="28"/>
      <c r="P389" s="28"/>
      <c r="Q389" s="26" t="n">
        <f aca="false">IFERROR($K389*$L389,"")</f>
        <v>0</v>
      </c>
      <c r="R389" s="44" t="n">
        <f aca="false">IF(OR($O389="",$P389=""),0,$O389*$P389)</f>
        <v>0</v>
      </c>
      <c r="S389" s="27"/>
      <c r="T389" s="27"/>
      <c r="U389" s="40" t="n">
        <f aca="false">IF($A389="",0,IF(AND(OR($E389=Atleta!$C$4,$E389="Equipe (todos)"),$A389&gt;=Atleta!$C$5),MAX($U$7:U388)+1,0))</f>
        <v>0</v>
      </c>
    </row>
    <row r="390" customFormat="false" ht="15" hidden="false" customHeight="false" outlineLevel="0" collapsed="false">
      <c r="A390" s="29"/>
      <c r="B390" s="40" t="n">
        <f aca="false">IF($A390="",0,INT(($A390-Macrociclo!$C$11)/7)+1)</f>
        <v>0</v>
      </c>
      <c r="C390" s="28"/>
      <c r="D390" s="28"/>
      <c r="E390" s="27"/>
      <c r="F390" s="28"/>
      <c r="G390" s="27"/>
      <c r="H390" s="26" t="str">
        <f aca="false">IFERROR(INDEX(Exercícios!$C$7:$C$206,MATCH($G390,Exercícios!$B$7:$B$206,0)),"")</f>
        <v/>
      </c>
      <c r="I390" s="26" t="str">
        <f aca="false">IFERROR(INDEX(Exercícios!$D$7:$D$206,MATCH($G390,Exercícios!$B$7:$B$206,0)),"")</f>
        <v/>
      </c>
      <c r="J390" s="26" t="str">
        <f aca="false">IFERROR(INDEX(Exercícios!$E$7:$E$206,MATCH($G390,Exercícios!$B$7:$B$206,0)),"")</f>
        <v/>
      </c>
      <c r="K390" s="28"/>
      <c r="L390" s="28"/>
      <c r="M390" s="27"/>
      <c r="N390" s="28"/>
      <c r="O390" s="28"/>
      <c r="P390" s="28"/>
      <c r="Q390" s="26" t="n">
        <f aca="false">IFERROR($K390*$L390,"")</f>
        <v>0</v>
      </c>
      <c r="R390" s="44" t="n">
        <f aca="false">IF(OR($O390="",$P390=""),0,$O390*$P390)</f>
        <v>0</v>
      </c>
      <c r="S390" s="27"/>
      <c r="T390" s="27"/>
      <c r="U390" s="40" t="n">
        <f aca="false">IF($A390="",0,IF(AND(OR($E390=Atleta!$C$4,$E390="Equipe (todos)"),$A390&gt;=Atleta!$C$5),MAX($U$7:U389)+1,0))</f>
        <v>0</v>
      </c>
    </row>
    <row r="391" customFormat="false" ht="15" hidden="false" customHeight="false" outlineLevel="0" collapsed="false">
      <c r="A391" s="29"/>
      <c r="B391" s="40" t="n">
        <f aca="false">IF($A391="",0,INT(($A391-Macrociclo!$C$11)/7)+1)</f>
        <v>0</v>
      </c>
      <c r="C391" s="28"/>
      <c r="D391" s="28"/>
      <c r="E391" s="27"/>
      <c r="F391" s="28"/>
      <c r="G391" s="27"/>
      <c r="H391" s="26" t="str">
        <f aca="false">IFERROR(INDEX(Exercícios!$C$7:$C$206,MATCH($G391,Exercícios!$B$7:$B$206,0)),"")</f>
        <v/>
      </c>
      <c r="I391" s="26" t="str">
        <f aca="false">IFERROR(INDEX(Exercícios!$D$7:$D$206,MATCH($G391,Exercícios!$B$7:$B$206,0)),"")</f>
        <v/>
      </c>
      <c r="J391" s="26" t="str">
        <f aca="false">IFERROR(INDEX(Exercícios!$E$7:$E$206,MATCH($G391,Exercícios!$B$7:$B$206,0)),"")</f>
        <v/>
      </c>
      <c r="K391" s="28"/>
      <c r="L391" s="28"/>
      <c r="M391" s="27"/>
      <c r="N391" s="28"/>
      <c r="O391" s="28"/>
      <c r="P391" s="28"/>
      <c r="Q391" s="26" t="n">
        <f aca="false">IFERROR($K391*$L391,"")</f>
        <v>0</v>
      </c>
      <c r="R391" s="44" t="n">
        <f aca="false">IF(OR($O391="",$P391=""),0,$O391*$P391)</f>
        <v>0</v>
      </c>
      <c r="S391" s="27"/>
      <c r="T391" s="27"/>
      <c r="U391" s="40" t="n">
        <f aca="false">IF($A391="",0,IF(AND(OR($E391=Atleta!$C$4,$E391="Equipe (todos)"),$A391&gt;=Atleta!$C$5),MAX($U$7:U390)+1,0))</f>
        <v>0</v>
      </c>
    </row>
    <row r="392" customFormat="false" ht="15" hidden="false" customHeight="false" outlineLevel="0" collapsed="false">
      <c r="A392" s="29"/>
      <c r="B392" s="40" t="n">
        <f aca="false">IF($A392="",0,INT(($A392-Macrociclo!$C$11)/7)+1)</f>
        <v>0</v>
      </c>
      <c r="C392" s="28"/>
      <c r="D392" s="28"/>
      <c r="E392" s="27"/>
      <c r="F392" s="28"/>
      <c r="G392" s="27"/>
      <c r="H392" s="26" t="str">
        <f aca="false">IFERROR(INDEX(Exercícios!$C$7:$C$206,MATCH($G392,Exercícios!$B$7:$B$206,0)),"")</f>
        <v/>
      </c>
      <c r="I392" s="26" t="str">
        <f aca="false">IFERROR(INDEX(Exercícios!$D$7:$D$206,MATCH($G392,Exercícios!$B$7:$B$206,0)),"")</f>
        <v/>
      </c>
      <c r="J392" s="26" t="str">
        <f aca="false">IFERROR(INDEX(Exercícios!$E$7:$E$206,MATCH($G392,Exercícios!$B$7:$B$206,0)),"")</f>
        <v/>
      </c>
      <c r="K392" s="28"/>
      <c r="L392" s="28"/>
      <c r="M392" s="27"/>
      <c r="N392" s="28"/>
      <c r="O392" s="28"/>
      <c r="P392" s="28"/>
      <c r="Q392" s="26" t="n">
        <f aca="false">IFERROR($K392*$L392,"")</f>
        <v>0</v>
      </c>
      <c r="R392" s="44" t="n">
        <f aca="false">IF(OR($O392="",$P392=""),0,$O392*$P392)</f>
        <v>0</v>
      </c>
      <c r="S392" s="27"/>
      <c r="T392" s="27"/>
      <c r="U392" s="40" t="n">
        <f aca="false">IF($A392="",0,IF(AND(OR($E392=Atleta!$C$4,$E392="Equipe (todos)"),$A392&gt;=Atleta!$C$5),MAX($U$7:U391)+1,0))</f>
        <v>0</v>
      </c>
    </row>
    <row r="393" customFormat="false" ht="15" hidden="false" customHeight="false" outlineLevel="0" collapsed="false">
      <c r="A393" s="29"/>
      <c r="B393" s="40" t="n">
        <f aca="false">IF($A393="",0,INT(($A393-Macrociclo!$C$11)/7)+1)</f>
        <v>0</v>
      </c>
      <c r="C393" s="28"/>
      <c r="D393" s="28"/>
      <c r="E393" s="27"/>
      <c r="F393" s="28"/>
      <c r="G393" s="27"/>
      <c r="H393" s="26" t="str">
        <f aca="false">IFERROR(INDEX(Exercícios!$C$7:$C$206,MATCH($G393,Exercícios!$B$7:$B$206,0)),"")</f>
        <v/>
      </c>
      <c r="I393" s="26" t="str">
        <f aca="false">IFERROR(INDEX(Exercícios!$D$7:$D$206,MATCH($G393,Exercícios!$B$7:$B$206,0)),"")</f>
        <v/>
      </c>
      <c r="J393" s="26" t="str">
        <f aca="false">IFERROR(INDEX(Exercícios!$E$7:$E$206,MATCH($G393,Exercícios!$B$7:$B$206,0)),"")</f>
        <v/>
      </c>
      <c r="K393" s="28"/>
      <c r="L393" s="28"/>
      <c r="M393" s="27"/>
      <c r="N393" s="28"/>
      <c r="O393" s="28"/>
      <c r="P393" s="28"/>
      <c r="Q393" s="26" t="n">
        <f aca="false">IFERROR($K393*$L393,"")</f>
        <v>0</v>
      </c>
      <c r="R393" s="44" t="n">
        <f aca="false">IF(OR($O393="",$P393=""),0,$O393*$P393)</f>
        <v>0</v>
      </c>
      <c r="S393" s="27"/>
      <c r="T393" s="27"/>
      <c r="U393" s="40" t="n">
        <f aca="false">IF($A393="",0,IF(AND(OR($E393=Atleta!$C$4,$E393="Equipe (todos)"),$A393&gt;=Atleta!$C$5),MAX($U$7:U392)+1,0))</f>
        <v>0</v>
      </c>
    </row>
    <row r="394" customFormat="false" ht="15" hidden="false" customHeight="false" outlineLevel="0" collapsed="false">
      <c r="A394" s="29"/>
      <c r="B394" s="40" t="n">
        <f aca="false">IF($A394="",0,INT(($A394-Macrociclo!$C$11)/7)+1)</f>
        <v>0</v>
      </c>
      <c r="C394" s="28"/>
      <c r="D394" s="28"/>
      <c r="E394" s="27"/>
      <c r="F394" s="28"/>
      <c r="G394" s="27"/>
      <c r="H394" s="26" t="str">
        <f aca="false">IFERROR(INDEX(Exercícios!$C$7:$C$206,MATCH($G394,Exercícios!$B$7:$B$206,0)),"")</f>
        <v/>
      </c>
      <c r="I394" s="26" t="str">
        <f aca="false">IFERROR(INDEX(Exercícios!$D$7:$D$206,MATCH($G394,Exercícios!$B$7:$B$206,0)),"")</f>
        <v/>
      </c>
      <c r="J394" s="26" t="str">
        <f aca="false">IFERROR(INDEX(Exercícios!$E$7:$E$206,MATCH($G394,Exercícios!$B$7:$B$206,0)),"")</f>
        <v/>
      </c>
      <c r="K394" s="28"/>
      <c r="L394" s="28"/>
      <c r="M394" s="27"/>
      <c r="N394" s="28"/>
      <c r="O394" s="28"/>
      <c r="P394" s="28"/>
      <c r="Q394" s="26" t="n">
        <f aca="false">IFERROR($K394*$L394,"")</f>
        <v>0</v>
      </c>
      <c r="R394" s="44" t="n">
        <f aca="false">IF(OR($O394="",$P394=""),0,$O394*$P394)</f>
        <v>0</v>
      </c>
      <c r="S394" s="27"/>
      <c r="T394" s="27"/>
      <c r="U394" s="40" t="n">
        <f aca="false">IF($A394="",0,IF(AND(OR($E394=Atleta!$C$4,$E394="Equipe (todos)"),$A394&gt;=Atleta!$C$5),MAX($U$7:U393)+1,0))</f>
        <v>0</v>
      </c>
    </row>
    <row r="395" customFormat="false" ht="15" hidden="false" customHeight="false" outlineLevel="0" collapsed="false">
      <c r="A395" s="29"/>
      <c r="B395" s="40" t="n">
        <f aca="false">IF($A395="",0,INT(($A395-Macrociclo!$C$11)/7)+1)</f>
        <v>0</v>
      </c>
      <c r="C395" s="28"/>
      <c r="D395" s="28"/>
      <c r="E395" s="27"/>
      <c r="F395" s="28"/>
      <c r="G395" s="27"/>
      <c r="H395" s="26" t="str">
        <f aca="false">IFERROR(INDEX(Exercícios!$C$7:$C$206,MATCH($G395,Exercícios!$B$7:$B$206,0)),"")</f>
        <v/>
      </c>
      <c r="I395" s="26" t="str">
        <f aca="false">IFERROR(INDEX(Exercícios!$D$7:$D$206,MATCH($G395,Exercícios!$B$7:$B$206,0)),"")</f>
        <v/>
      </c>
      <c r="J395" s="26" t="str">
        <f aca="false">IFERROR(INDEX(Exercícios!$E$7:$E$206,MATCH($G395,Exercícios!$B$7:$B$206,0)),"")</f>
        <v/>
      </c>
      <c r="K395" s="28"/>
      <c r="L395" s="28"/>
      <c r="M395" s="27"/>
      <c r="N395" s="28"/>
      <c r="O395" s="28"/>
      <c r="P395" s="28"/>
      <c r="Q395" s="26" t="n">
        <f aca="false">IFERROR($K395*$L395,"")</f>
        <v>0</v>
      </c>
      <c r="R395" s="44" t="n">
        <f aca="false">IF(OR($O395="",$P395=""),0,$O395*$P395)</f>
        <v>0</v>
      </c>
      <c r="S395" s="27"/>
      <c r="T395" s="27"/>
      <c r="U395" s="40" t="n">
        <f aca="false">IF($A395="",0,IF(AND(OR($E395=Atleta!$C$4,$E395="Equipe (todos)"),$A395&gt;=Atleta!$C$5),MAX($U$7:U394)+1,0))</f>
        <v>0</v>
      </c>
    </row>
    <row r="396" customFormat="false" ht="15" hidden="false" customHeight="false" outlineLevel="0" collapsed="false">
      <c r="A396" s="29"/>
      <c r="B396" s="40" t="n">
        <f aca="false">IF($A396="",0,INT(($A396-Macrociclo!$C$11)/7)+1)</f>
        <v>0</v>
      </c>
      <c r="C396" s="28"/>
      <c r="D396" s="28"/>
      <c r="E396" s="27"/>
      <c r="F396" s="28"/>
      <c r="G396" s="27"/>
      <c r="H396" s="26" t="str">
        <f aca="false">IFERROR(INDEX(Exercícios!$C$7:$C$206,MATCH($G396,Exercícios!$B$7:$B$206,0)),"")</f>
        <v/>
      </c>
      <c r="I396" s="26" t="str">
        <f aca="false">IFERROR(INDEX(Exercícios!$D$7:$D$206,MATCH($G396,Exercícios!$B$7:$B$206,0)),"")</f>
        <v/>
      </c>
      <c r="J396" s="26" t="str">
        <f aca="false">IFERROR(INDEX(Exercícios!$E$7:$E$206,MATCH($G396,Exercícios!$B$7:$B$206,0)),"")</f>
        <v/>
      </c>
      <c r="K396" s="28"/>
      <c r="L396" s="28"/>
      <c r="M396" s="27"/>
      <c r="N396" s="28"/>
      <c r="O396" s="28"/>
      <c r="P396" s="28"/>
      <c r="Q396" s="26" t="n">
        <f aca="false">IFERROR($K396*$L396,"")</f>
        <v>0</v>
      </c>
      <c r="R396" s="44" t="n">
        <f aca="false">IF(OR($O396="",$P396=""),0,$O396*$P396)</f>
        <v>0</v>
      </c>
      <c r="S396" s="27"/>
      <c r="T396" s="27"/>
      <c r="U396" s="40" t="n">
        <f aca="false">IF($A396="",0,IF(AND(OR($E396=Atleta!$C$4,$E396="Equipe (todos)"),$A396&gt;=Atleta!$C$5),MAX($U$7:U395)+1,0))</f>
        <v>0</v>
      </c>
    </row>
    <row r="397" customFormat="false" ht="15" hidden="false" customHeight="false" outlineLevel="0" collapsed="false">
      <c r="A397" s="29"/>
      <c r="B397" s="40" t="n">
        <f aca="false">IF($A397="",0,INT(($A397-Macrociclo!$C$11)/7)+1)</f>
        <v>0</v>
      </c>
      <c r="C397" s="28"/>
      <c r="D397" s="28"/>
      <c r="E397" s="27"/>
      <c r="F397" s="28"/>
      <c r="G397" s="27"/>
      <c r="H397" s="26" t="str">
        <f aca="false">IFERROR(INDEX(Exercícios!$C$7:$C$206,MATCH($G397,Exercícios!$B$7:$B$206,0)),"")</f>
        <v/>
      </c>
      <c r="I397" s="26" t="str">
        <f aca="false">IFERROR(INDEX(Exercícios!$D$7:$D$206,MATCH($G397,Exercícios!$B$7:$B$206,0)),"")</f>
        <v/>
      </c>
      <c r="J397" s="26" t="str">
        <f aca="false">IFERROR(INDEX(Exercícios!$E$7:$E$206,MATCH($G397,Exercícios!$B$7:$B$206,0)),"")</f>
        <v/>
      </c>
      <c r="K397" s="28"/>
      <c r="L397" s="28"/>
      <c r="M397" s="27"/>
      <c r="N397" s="28"/>
      <c r="O397" s="28"/>
      <c r="P397" s="28"/>
      <c r="Q397" s="26" t="n">
        <f aca="false">IFERROR($K397*$L397,"")</f>
        <v>0</v>
      </c>
      <c r="R397" s="44" t="n">
        <f aca="false">IF(OR($O397="",$P397=""),0,$O397*$P397)</f>
        <v>0</v>
      </c>
      <c r="S397" s="27"/>
      <c r="T397" s="27"/>
      <c r="U397" s="40" t="n">
        <f aca="false">IF($A397="",0,IF(AND(OR($E397=Atleta!$C$4,$E397="Equipe (todos)"),$A397&gt;=Atleta!$C$5),MAX($U$7:U396)+1,0))</f>
        <v>0</v>
      </c>
    </row>
    <row r="398" customFormat="false" ht="15" hidden="false" customHeight="false" outlineLevel="0" collapsed="false">
      <c r="A398" s="29"/>
      <c r="B398" s="40" t="n">
        <f aca="false">IF($A398="",0,INT(($A398-Macrociclo!$C$11)/7)+1)</f>
        <v>0</v>
      </c>
      <c r="C398" s="28"/>
      <c r="D398" s="28"/>
      <c r="E398" s="27"/>
      <c r="F398" s="28"/>
      <c r="G398" s="27"/>
      <c r="H398" s="26" t="str">
        <f aca="false">IFERROR(INDEX(Exercícios!$C$7:$C$206,MATCH($G398,Exercícios!$B$7:$B$206,0)),"")</f>
        <v/>
      </c>
      <c r="I398" s="26" t="str">
        <f aca="false">IFERROR(INDEX(Exercícios!$D$7:$D$206,MATCH($G398,Exercícios!$B$7:$B$206,0)),"")</f>
        <v/>
      </c>
      <c r="J398" s="26" t="str">
        <f aca="false">IFERROR(INDEX(Exercícios!$E$7:$E$206,MATCH($G398,Exercícios!$B$7:$B$206,0)),"")</f>
        <v/>
      </c>
      <c r="K398" s="28"/>
      <c r="L398" s="28"/>
      <c r="M398" s="27"/>
      <c r="N398" s="28"/>
      <c r="O398" s="28"/>
      <c r="P398" s="28"/>
      <c r="Q398" s="26" t="n">
        <f aca="false">IFERROR($K398*$L398,"")</f>
        <v>0</v>
      </c>
      <c r="R398" s="44" t="n">
        <f aca="false">IF(OR($O398="",$P398=""),0,$O398*$P398)</f>
        <v>0</v>
      </c>
      <c r="S398" s="27"/>
      <c r="T398" s="27"/>
      <c r="U398" s="40" t="n">
        <f aca="false">IF($A398="",0,IF(AND(OR($E398=Atleta!$C$4,$E398="Equipe (todos)"),$A398&gt;=Atleta!$C$5),MAX($U$7:U397)+1,0))</f>
        <v>0</v>
      </c>
    </row>
    <row r="399" customFormat="false" ht="15" hidden="false" customHeight="false" outlineLevel="0" collapsed="false">
      <c r="A399" s="29"/>
      <c r="B399" s="40" t="n">
        <f aca="false">IF($A399="",0,INT(($A399-Macrociclo!$C$11)/7)+1)</f>
        <v>0</v>
      </c>
      <c r="C399" s="28"/>
      <c r="D399" s="28"/>
      <c r="E399" s="27"/>
      <c r="F399" s="28"/>
      <c r="G399" s="27"/>
      <c r="H399" s="26" t="str">
        <f aca="false">IFERROR(INDEX(Exercícios!$C$7:$C$206,MATCH($G399,Exercícios!$B$7:$B$206,0)),"")</f>
        <v/>
      </c>
      <c r="I399" s="26" t="str">
        <f aca="false">IFERROR(INDEX(Exercícios!$D$7:$D$206,MATCH($G399,Exercícios!$B$7:$B$206,0)),"")</f>
        <v/>
      </c>
      <c r="J399" s="26" t="str">
        <f aca="false">IFERROR(INDEX(Exercícios!$E$7:$E$206,MATCH($G399,Exercícios!$B$7:$B$206,0)),"")</f>
        <v/>
      </c>
      <c r="K399" s="28"/>
      <c r="L399" s="28"/>
      <c r="M399" s="27"/>
      <c r="N399" s="28"/>
      <c r="O399" s="28"/>
      <c r="P399" s="28"/>
      <c r="Q399" s="26" t="n">
        <f aca="false">IFERROR($K399*$L399,"")</f>
        <v>0</v>
      </c>
      <c r="R399" s="44" t="n">
        <f aca="false">IF(OR($O399="",$P399=""),0,$O399*$P399)</f>
        <v>0</v>
      </c>
      <c r="S399" s="27"/>
      <c r="T399" s="27"/>
      <c r="U399" s="40" t="n">
        <f aca="false">IF($A399="",0,IF(AND(OR($E399=Atleta!$C$4,$E399="Equipe (todos)"),$A399&gt;=Atleta!$C$5),MAX($U$7:U398)+1,0))</f>
        <v>0</v>
      </c>
    </row>
    <row r="400" customFormat="false" ht="15" hidden="false" customHeight="false" outlineLevel="0" collapsed="false">
      <c r="A400" s="29"/>
      <c r="B400" s="40" t="n">
        <f aca="false">IF($A400="",0,INT(($A400-Macrociclo!$C$11)/7)+1)</f>
        <v>0</v>
      </c>
      <c r="C400" s="28"/>
      <c r="D400" s="28"/>
      <c r="E400" s="27"/>
      <c r="F400" s="28"/>
      <c r="G400" s="27"/>
      <c r="H400" s="26" t="str">
        <f aca="false">IFERROR(INDEX(Exercícios!$C$7:$C$206,MATCH($G400,Exercícios!$B$7:$B$206,0)),"")</f>
        <v/>
      </c>
      <c r="I400" s="26" t="str">
        <f aca="false">IFERROR(INDEX(Exercícios!$D$7:$D$206,MATCH($G400,Exercícios!$B$7:$B$206,0)),"")</f>
        <v/>
      </c>
      <c r="J400" s="26" t="str">
        <f aca="false">IFERROR(INDEX(Exercícios!$E$7:$E$206,MATCH($G400,Exercícios!$B$7:$B$206,0)),"")</f>
        <v/>
      </c>
      <c r="K400" s="28"/>
      <c r="L400" s="28"/>
      <c r="M400" s="27"/>
      <c r="N400" s="28"/>
      <c r="O400" s="28"/>
      <c r="P400" s="28"/>
      <c r="Q400" s="26" t="n">
        <f aca="false">IFERROR($K400*$L400,"")</f>
        <v>0</v>
      </c>
      <c r="R400" s="44" t="n">
        <f aca="false">IF(OR($O400="",$P400=""),0,$O400*$P400)</f>
        <v>0</v>
      </c>
      <c r="S400" s="27"/>
      <c r="T400" s="27"/>
      <c r="U400" s="40" t="n">
        <f aca="false">IF($A400="",0,IF(AND(OR($E400=Atleta!$C$4,$E400="Equipe (todos)"),$A400&gt;=Atleta!$C$5),MAX($U$7:U399)+1,0))</f>
        <v>0</v>
      </c>
    </row>
    <row r="401" customFormat="false" ht="15" hidden="false" customHeight="false" outlineLevel="0" collapsed="false">
      <c r="A401" s="29"/>
      <c r="B401" s="40" t="n">
        <f aca="false">IF($A401="",0,INT(($A401-Macrociclo!$C$11)/7)+1)</f>
        <v>0</v>
      </c>
      <c r="C401" s="28"/>
      <c r="D401" s="28"/>
      <c r="E401" s="27"/>
      <c r="F401" s="28"/>
      <c r="G401" s="27"/>
      <c r="H401" s="26" t="str">
        <f aca="false">IFERROR(INDEX(Exercícios!$C$7:$C$206,MATCH($G401,Exercícios!$B$7:$B$206,0)),"")</f>
        <v/>
      </c>
      <c r="I401" s="26" t="str">
        <f aca="false">IFERROR(INDEX(Exercícios!$D$7:$D$206,MATCH($G401,Exercícios!$B$7:$B$206,0)),"")</f>
        <v/>
      </c>
      <c r="J401" s="26" t="str">
        <f aca="false">IFERROR(INDEX(Exercícios!$E$7:$E$206,MATCH($G401,Exercícios!$B$7:$B$206,0)),"")</f>
        <v/>
      </c>
      <c r="K401" s="28"/>
      <c r="L401" s="28"/>
      <c r="M401" s="27"/>
      <c r="N401" s="28"/>
      <c r="O401" s="28"/>
      <c r="P401" s="28"/>
      <c r="Q401" s="26" t="n">
        <f aca="false">IFERROR($K401*$L401,"")</f>
        <v>0</v>
      </c>
      <c r="R401" s="44" t="n">
        <f aca="false">IF(OR($O401="",$P401=""),0,$O401*$P401)</f>
        <v>0</v>
      </c>
      <c r="S401" s="27"/>
      <c r="T401" s="27"/>
      <c r="U401" s="40" t="n">
        <f aca="false">IF($A401="",0,IF(AND(OR($E401=Atleta!$C$4,$E401="Equipe (todos)"),$A401&gt;=Atleta!$C$5),MAX($U$7:U400)+1,0))</f>
        <v>0</v>
      </c>
    </row>
    <row r="402" customFormat="false" ht="15" hidden="false" customHeight="false" outlineLevel="0" collapsed="false">
      <c r="A402" s="29"/>
      <c r="B402" s="40" t="n">
        <f aca="false">IF($A402="",0,INT(($A402-Macrociclo!$C$11)/7)+1)</f>
        <v>0</v>
      </c>
      <c r="C402" s="28"/>
      <c r="D402" s="28"/>
      <c r="E402" s="27"/>
      <c r="F402" s="28"/>
      <c r="G402" s="27"/>
      <c r="H402" s="26" t="str">
        <f aca="false">IFERROR(INDEX(Exercícios!$C$7:$C$206,MATCH($G402,Exercícios!$B$7:$B$206,0)),"")</f>
        <v/>
      </c>
      <c r="I402" s="26" t="str">
        <f aca="false">IFERROR(INDEX(Exercícios!$D$7:$D$206,MATCH($G402,Exercícios!$B$7:$B$206,0)),"")</f>
        <v/>
      </c>
      <c r="J402" s="26" t="str">
        <f aca="false">IFERROR(INDEX(Exercícios!$E$7:$E$206,MATCH($G402,Exercícios!$B$7:$B$206,0)),"")</f>
        <v/>
      </c>
      <c r="K402" s="28"/>
      <c r="L402" s="28"/>
      <c r="M402" s="27"/>
      <c r="N402" s="28"/>
      <c r="O402" s="28"/>
      <c r="P402" s="28"/>
      <c r="Q402" s="26" t="n">
        <f aca="false">IFERROR($K402*$L402,"")</f>
        <v>0</v>
      </c>
      <c r="R402" s="44" t="n">
        <f aca="false">IF(OR($O402="",$P402=""),0,$O402*$P402)</f>
        <v>0</v>
      </c>
      <c r="S402" s="27"/>
      <c r="T402" s="27"/>
      <c r="U402" s="40" t="n">
        <f aca="false">IF($A402="",0,IF(AND(OR($E402=Atleta!$C$4,$E402="Equipe (todos)"),$A402&gt;=Atleta!$C$5),MAX($U$7:U401)+1,0))</f>
        <v>0</v>
      </c>
    </row>
    <row r="403" customFormat="false" ht="15" hidden="false" customHeight="false" outlineLevel="0" collapsed="false">
      <c r="A403" s="29"/>
      <c r="B403" s="40" t="n">
        <f aca="false">IF($A403="",0,INT(($A403-Macrociclo!$C$11)/7)+1)</f>
        <v>0</v>
      </c>
      <c r="C403" s="28"/>
      <c r="D403" s="28"/>
      <c r="E403" s="27"/>
      <c r="F403" s="28"/>
      <c r="G403" s="27"/>
      <c r="H403" s="26" t="str">
        <f aca="false">IFERROR(INDEX(Exercícios!$C$7:$C$206,MATCH($G403,Exercícios!$B$7:$B$206,0)),"")</f>
        <v/>
      </c>
      <c r="I403" s="26" t="str">
        <f aca="false">IFERROR(INDEX(Exercícios!$D$7:$D$206,MATCH($G403,Exercícios!$B$7:$B$206,0)),"")</f>
        <v/>
      </c>
      <c r="J403" s="26" t="str">
        <f aca="false">IFERROR(INDEX(Exercícios!$E$7:$E$206,MATCH($G403,Exercícios!$B$7:$B$206,0)),"")</f>
        <v/>
      </c>
      <c r="K403" s="28"/>
      <c r="L403" s="28"/>
      <c r="M403" s="27"/>
      <c r="N403" s="28"/>
      <c r="O403" s="28"/>
      <c r="P403" s="28"/>
      <c r="Q403" s="26" t="n">
        <f aca="false">IFERROR($K403*$L403,"")</f>
        <v>0</v>
      </c>
      <c r="R403" s="44" t="n">
        <f aca="false">IF(OR($O403="",$P403=""),0,$O403*$P403)</f>
        <v>0</v>
      </c>
      <c r="S403" s="27"/>
      <c r="T403" s="27"/>
      <c r="U403" s="40" t="n">
        <f aca="false">IF($A403="",0,IF(AND(OR($E403=Atleta!$C$4,$E403="Equipe (todos)"),$A403&gt;=Atleta!$C$5),MAX($U$7:U402)+1,0))</f>
        <v>0</v>
      </c>
    </row>
    <row r="404" customFormat="false" ht="15" hidden="false" customHeight="false" outlineLevel="0" collapsed="false">
      <c r="A404" s="29"/>
      <c r="B404" s="40" t="n">
        <f aca="false">IF($A404="",0,INT(($A404-Macrociclo!$C$11)/7)+1)</f>
        <v>0</v>
      </c>
      <c r="C404" s="28"/>
      <c r="D404" s="28"/>
      <c r="E404" s="27"/>
      <c r="F404" s="28"/>
      <c r="G404" s="27"/>
      <c r="H404" s="26" t="str">
        <f aca="false">IFERROR(INDEX(Exercícios!$C$7:$C$206,MATCH($G404,Exercícios!$B$7:$B$206,0)),"")</f>
        <v/>
      </c>
      <c r="I404" s="26" t="str">
        <f aca="false">IFERROR(INDEX(Exercícios!$D$7:$D$206,MATCH($G404,Exercícios!$B$7:$B$206,0)),"")</f>
        <v/>
      </c>
      <c r="J404" s="26" t="str">
        <f aca="false">IFERROR(INDEX(Exercícios!$E$7:$E$206,MATCH($G404,Exercícios!$B$7:$B$206,0)),"")</f>
        <v/>
      </c>
      <c r="K404" s="28"/>
      <c r="L404" s="28"/>
      <c r="M404" s="27"/>
      <c r="N404" s="28"/>
      <c r="O404" s="28"/>
      <c r="P404" s="28"/>
      <c r="Q404" s="26" t="n">
        <f aca="false">IFERROR($K404*$L404,"")</f>
        <v>0</v>
      </c>
      <c r="R404" s="44" t="n">
        <f aca="false">IF(OR($O404="",$P404=""),0,$O404*$P404)</f>
        <v>0</v>
      </c>
      <c r="S404" s="27"/>
      <c r="T404" s="27"/>
      <c r="U404" s="40" t="n">
        <f aca="false">IF($A404="",0,IF(AND(OR($E404=Atleta!$C$4,$E404="Equipe (todos)"),$A404&gt;=Atleta!$C$5),MAX($U$7:U403)+1,0))</f>
        <v>0</v>
      </c>
    </row>
    <row r="405" customFormat="false" ht="15" hidden="false" customHeight="false" outlineLevel="0" collapsed="false">
      <c r="A405" s="29"/>
      <c r="B405" s="40" t="n">
        <f aca="false">IF($A405="",0,INT(($A405-Macrociclo!$C$11)/7)+1)</f>
        <v>0</v>
      </c>
      <c r="C405" s="28"/>
      <c r="D405" s="28"/>
      <c r="E405" s="27"/>
      <c r="F405" s="28"/>
      <c r="G405" s="27"/>
      <c r="H405" s="26" t="str">
        <f aca="false">IFERROR(INDEX(Exercícios!$C$7:$C$206,MATCH($G405,Exercícios!$B$7:$B$206,0)),"")</f>
        <v/>
      </c>
      <c r="I405" s="26" t="str">
        <f aca="false">IFERROR(INDEX(Exercícios!$D$7:$D$206,MATCH($G405,Exercícios!$B$7:$B$206,0)),"")</f>
        <v/>
      </c>
      <c r="J405" s="26" t="str">
        <f aca="false">IFERROR(INDEX(Exercícios!$E$7:$E$206,MATCH($G405,Exercícios!$B$7:$B$206,0)),"")</f>
        <v/>
      </c>
      <c r="K405" s="28"/>
      <c r="L405" s="28"/>
      <c r="M405" s="27"/>
      <c r="N405" s="28"/>
      <c r="O405" s="28"/>
      <c r="P405" s="28"/>
      <c r="Q405" s="26" t="n">
        <f aca="false">IFERROR($K405*$L405,"")</f>
        <v>0</v>
      </c>
      <c r="R405" s="44" t="n">
        <f aca="false">IF(OR($O405="",$P405=""),0,$O405*$P405)</f>
        <v>0</v>
      </c>
      <c r="S405" s="27"/>
      <c r="T405" s="27"/>
      <c r="U405" s="40" t="n">
        <f aca="false">IF($A405="",0,IF(AND(OR($E405=Atleta!$C$4,$E405="Equipe (todos)"),$A405&gt;=Atleta!$C$5),MAX($U$7:U404)+1,0))</f>
        <v>0</v>
      </c>
    </row>
    <row r="406" customFormat="false" ht="15" hidden="false" customHeight="false" outlineLevel="0" collapsed="false">
      <c r="A406" s="29"/>
      <c r="B406" s="40" t="n">
        <f aca="false">IF($A406="",0,INT(($A406-Macrociclo!$C$11)/7)+1)</f>
        <v>0</v>
      </c>
      <c r="C406" s="28"/>
      <c r="D406" s="28"/>
      <c r="E406" s="27"/>
      <c r="F406" s="28"/>
      <c r="G406" s="27"/>
      <c r="H406" s="26" t="str">
        <f aca="false">IFERROR(INDEX(Exercícios!$C$7:$C$206,MATCH($G406,Exercícios!$B$7:$B$206,0)),"")</f>
        <v/>
      </c>
      <c r="I406" s="26" t="str">
        <f aca="false">IFERROR(INDEX(Exercícios!$D$7:$D$206,MATCH($G406,Exercícios!$B$7:$B$206,0)),"")</f>
        <v/>
      </c>
      <c r="J406" s="26" t="str">
        <f aca="false">IFERROR(INDEX(Exercícios!$E$7:$E$206,MATCH($G406,Exercícios!$B$7:$B$206,0)),"")</f>
        <v/>
      </c>
      <c r="K406" s="28"/>
      <c r="L406" s="28"/>
      <c r="M406" s="27"/>
      <c r="N406" s="28"/>
      <c r="O406" s="28"/>
      <c r="P406" s="28"/>
      <c r="Q406" s="26" t="n">
        <f aca="false">IFERROR($K406*$L406,"")</f>
        <v>0</v>
      </c>
      <c r="R406" s="44" t="n">
        <f aca="false">IF(OR($O406="",$P406=""),0,$O406*$P406)</f>
        <v>0</v>
      </c>
      <c r="S406" s="27"/>
      <c r="T406" s="27"/>
      <c r="U406" s="40" t="n">
        <f aca="false">IF($A406="",0,IF(AND(OR($E406=Atleta!$C$4,$E406="Equipe (todos)"),$A406&gt;=Atleta!$C$5),MAX($U$7:U405)+1,0))</f>
        <v>0</v>
      </c>
    </row>
    <row r="407" customFormat="false" ht="15" hidden="false" customHeight="false" outlineLevel="0" collapsed="false">
      <c r="A407" s="29"/>
      <c r="B407" s="40" t="n">
        <f aca="false">IF($A407="",0,INT(($A407-Macrociclo!$C$11)/7)+1)</f>
        <v>0</v>
      </c>
      <c r="C407" s="28"/>
      <c r="D407" s="28"/>
      <c r="E407" s="27"/>
      <c r="F407" s="28"/>
      <c r="G407" s="27"/>
      <c r="H407" s="26" t="str">
        <f aca="false">IFERROR(INDEX(Exercícios!$C$7:$C$206,MATCH($G407,Exercícios!$B$7:$B$206,0)),"")</f>
        <v/>
      </c>
      <c r="I407" s="26" t="str">
        <f aca="false">IFERROR(INDEX(Exercícios!$D$7:$D$206,MATCH($G407,Exercícios!$B$7:$B$206,0)),"")</f>
        <v/>
      </c>
      <c r="J407" s="26" t="str">
        <f aca="false">IFERROR(INDEX(Exercícios!$E$7:$E$206,MATCH($G407,Exercícios!$B$7:$B$206,0)),"")</f>
        <v/>
      </c>
      <c r="K407" s="28"/>
      <c r="L407" s="28"/>
      <c r="M407" s="27"/>
      <c r="N407" s="28"/>
      <c r="O407" s="28"/>
      <c r="P407" s="28"/>
      <c r="Q407" s="26" t="n">
        <f aca="false">IFERROR($K407*$L407,"")</f>
        <v>0</v>
      </c>
      <c r="R407" s="44" t="n">
        <f aca="false">IF(OR($O407="",$P407=""),0,$O407*$P407)</f>
        <v>0</v>
      </c>
      <c r="S407" s="27"/>
      <c r="T407" s="27"/>
      <c r="U407" s="40" t="n">
        <f aca="false">IF($A407="",0,IF(AND(OR($E407=Atleta!$C$4,$E407="Equipe (todos)"),$A407&gt;=Atleta!$C$5),MAX($U$7:U406)+1,0))</f>
        <v>0</v>
      </c>
    </row>
    <row r="408" customFormat="false" ht="15" hidden="false" customHeight="false" outlineLevel="0" collapsed="false">
      <c r="A408" s="29"/>
      <c r="B408" s="40" t="n">
        <f aca="false">IF($A408="",0,INT(($A408-Macrociclo!$C$11)/7)+1)</f>
        <v>0</v>
      </c>
      <c r="C408" s="28"/>
      <c r="D408" s="28"/>
      <c r="E408" s="27"/>
      <c r="F408" s="28"/>
      <c r="G408" s="27"/>
      <c r="H408" s="26" t="str">
        <f aca="false">IFERROR(INDEX(Exercícios!$C$7:$C$206,MATCH($G408,Exercícios!$B$7:$B$206,0)),"")</f>
        <v/>
      </c>
      <c r="I408" s="26" t="str">
        <f aca="false">IFERROR(INDEX(Exercícios!$D$7:$D$206,MATCH($G408,Exercícios!$B$7:$B$206,0)),"")</f>
        <v/>
      </c>
      <c r="J408" s="26" t="str">
        <f aca="false">IFERROR(INDEX(Exercícios!$E$7:$E$206,MATCH($G408,Exercícios!$B$7:$B$206,0)),"")</f>
        <v/>
      </c>
      <c r="K408" s="28"/>
      <c r="L408" s="28"/>
      <c r="M408" s="27"/>
      <c r="N408" s="28"/>
      <c r="O408" s="28"/>
      <c r="P408" s="28"/>
      <c r="Q408" s="26" t="n">
        <f aca="false">IFERROR($K408*$L408,"")</f>
        <v>0</v>
      </c>
      <c r="R408" s="44" t="n">
        <f aca="false">IF(OR($O408="",$P408=""),0,$O408*$P408)</f>
        <v>0</v>
      </c>
      <c r="S408" s="27"/>
      <c r="T408" s="27"/>
      <c r="U408" s="40" t="n">
        <f aca="false">IF($A408="",0,IF(AND(OR($E408=Atleta!$C$4,$E408="Equipe (todos)"),$A408&gt;=Atleta!$C$5),MAX($U$7:U407)+1,0))</f>
        <v>0</v>
      </c>
    </row>
    <row r="409" customFormat="false" ht="15" hidden="false" customHeight="false" outlineLevel="0" collapsed="false">
      <c r="A409" s="29"/>
      <c r="B409" s="40" t="n">
        <f aca="false">IF($A409="",0,INT(($A409-Macrociclo!$C$11)/7)+1)</f>
        <v>0</v>
      </c>
      <c r="C409" s="28"/>
      <c r="D409" s="28"/>
      <c r="E409" s="27"/>
      <c r="F409" s="28"/>
      <c r="G409" s="27"/>
      <c r="H409" s="26" t="str">
        <f aca="false">IFERROR(INDEX(Exercícios!$C$7:$C$206,MATCH($G409,Exercícios!$B$7:$B$206,0)),"")</f>
        <v/>
      </c>
      <c r="I409" s="26" t="str">
        <f aca="false">IFERROR(INDEX(Exercícios!$D$7:$D$206,MATCH($G409,Exercícios!$B$7:$B$206,0)),"")</f>
        <v/>
      </c>
      <c r="J409" s="26" t="str">
        <f aca="false">IFERROR(INDEX(Exercícios!$E$7:$E$206,MATCH($G409,Exercícios!$B$7:$B$206,0)),"")</f>
        <v/>
      </c>
      <c r="K409" s="28"/>
      <c r="L409" s="28"/>
      <c r="M409" s="27"/>
      <c r="N409" s="28"/>
      <c r="O409" s="28"/>
      <c r="P409" s="28"/>
      <c r="Q409" s="26" t="n">
        <f aca="false">IFERROR($K409*$L409,"")</f>
        <v>0</v>
      </c>
      <c r="R409" s="44" t="n">
        <f aca="false">IF(OR($O409="",$P409=""),0,$O409*$P409)</f>
        <v>0</v>
      </c>
      <c r="S409" s="27"/>
      <c r="T409" s="27"/>
      <c r="U409" s="40" t="n">
        <f aca="false">IF($A409="",0,IF(AND(OR($E409=Atleta!$C$4,$E409="Equipe (todos)"),$A409&gt;=Atleta!$C$5),MAX($U$7:U408)+1,0))</f>
        <v>0</v>
      </c>
    </row>
    <row r="410" customFormat="false" ht="15" hidden="false" customHeight="false" outlineLevel="0" collapsed="false">
      <c r="A410" s="29"/>
      <c r="B410" s="40" t="n">
        <f aca="false">IF($A410="",0,INT(($A410-Macrociclo!$C$11)/7)+1)</f>
        <v>0</v>
      </c>
      <c r="C410" s="28"/>
      <c r="D410" s="28"/>
      <c r="E410" s="27"/>
      <c r="F410" s="28"/>
      <c r="G410" s="27"/>
      <c r="H410" s="26" t="str">
        <f aca="false">IFERROR(INDEX(Exercícios!$C$7:$C$206,MATCH($G410,Exercícios!$B$7:$B$206,0)),"")</f>
        <v/>
      </c>
      <c r="I410" s="26" t="str">
        <f aca="false">IFERROR(INDEX(Exercícios!$D$7:$D$206,MATCH($G410,Exercícios!$B$7:$B$206,0)),"")</f>
        <v/>
      </c>
      <c r="J410" s="26" t="str">
        <f aca="false">IFERROR(INDEX(Exercícios!$E$7:$E$206,MATCH($G410,Exercícios!$B$7:$B$206,0)),"")</f>
        <v/>
      </c>
      <c r="K410" s="28"/>
      <c r="L410" s="28"/>
      <c r="M410" s="27"/>
      <c r="N410" s="28"/>
      <c r="O410" s="28"/>
      <c r="P410" s="28"/>
      <c r="Q410" s="26" t="n">
        <f aca="false">IFERROR($K410*$L410,"")</f>
        <v>0</v>
      </c>
      <c r="R410" s="44" t="n">
        <f aca="false">IF(OR($O410="",$P410=""),0,$O410*$P410)</f>
        <v>0</v>
      </c>
      <c r="S410" s="27"/>
      <c r="T410" s="27"/>
      <c r="U410" s="40" t="n">
        <f aca="false">IF($A410="",0,IF(AND(OR($E410=Atleta!$C$4,$E410="Equipe (todos)"),$A410&gt;=Atleta!$C$5),MAX($U$7:U409)+1,0))</f>
        <v>0</v>
      </c>
    </row>
    <row r="411" customFormat="false" ht="15" hidden="false" customHeight="false" outlineLevel="0" collapsed="false">
      <c r="A411" s="29"/>
      <c r="B411" s="40" t="n">
        <f aca="false">IF($A411="",0,INT(($A411-Macrociclo!$C$11)/7)+1)</f>
        <v>0</v>
      </c>
      <c r="C411" s="28"/>
      <c r="D411" s="28"/>
      <c r="E411" s="27"/>
      <c r="F411" s="28"/>
      <c r="G411" s="27"/>
      <c r="H411" s="26" t="str">
        <f aca="false">IFERROR(INDEX(Exercícios!$C$7:$C$206,MATCH($G411,Exercícios!$B$7:$B$206,0)),"")</f>
        <v/>
      </c>
      <c r="I411" s="26" t="str">
        <f aca="false">IFERROR(INDEX(Exercícios!$D$7:$D$206,MATCH($G411,Exercícios!$B$7:$B$206,0)),"")</f>
        <v/>
      </c>
      <c r="J411" s="26" t="str">
        <f aca="false">IFERROR(INDEX(Exercícios!$E$7:$E$206,MATCH($G411,Exercícios!$B$7:$B$206,0)),"")</f>
        <v/>
      </c>
      <c r="K411" s="28"/>
      <c r="L411" s="28"/>
      <c r="M411" s="27"/>
      <c r="N411" s="28"/>
      <c r="O411" s="28"/>
      <c r="P411" s="28"/>
      <c r="Q411" s="26" t="n">
        <f aca="false">IFERROR($K411*$L411,"")</f>
        <v>0</v>
      </c>
      <c r="R411" s="44" t="n">
        <f aca="false">IF(OR($O411="",$P411=""),0,$O411*$P411)</f>
        <v>0</v>
      </c>
      <c r="S411" s="27"/>
      <c r="T411" s="27"/>
      <c r="U411" s="40" t="n">
        <f aca="false">IF($A411="",0,IF(AND(OR($E411=Atleta!$C$4,$E411="Equipe (todos)"),$A411&gt;=Atleta!$C$5),MAX($U$7:U410)+1,0))</f>
        <v>0</v>
      </c>
    </row>
    <row r="412" customFormat="false" ht="15" hidden="false" customHeight="false" outlineLevel="0" collapsed="false">
      <c r="A412" s="29"/>
      <c r="B412" s="40" t="n">
        <f aca="false">IF($A412="",0,INT(($A412-Macrociclo!$C$11)/7)+1)</f>
        <v>0</v>
      </c>
      <c r="C412" s="28"/>
      <c r="D412" s="28"/>
      <c r="E412" s="27"/>
      <c r="F412" s="28"/>
      <c r="G412" s="27"/>
      <c r="H412" s="26" t="str">
        <f aca="false">IFERROR(INDEX(Exercícios!$C$7:$C$206,MATCH($G412,Exercícios!$B$7:$B$206,0)),"")</f>
        <v/>
      </c>
      <c r="I412" s="26" t="str">
        <f aca="false">IFERROR(INDEX(Exercícios!$D$7:$D$206,MATCH($G412,Exercícios!$B$7:$B$206,0)),"")</f>
        <v/>
      </c>
      <c r="J412" s="26" t="str">
        <f aca="false">IFERROR(INDEX(Exercícios!$E$7:$E$206,MATCH($G412,Exercícios!$B$7:$B$206,0)),"")</f>
        <v/>
      </c>
      <c r="K412" s="28"/>
      <c r="L412" s="28"/>
      <c r="M412" s="27"/>
      <c r="N412" s="28"/>
      <c r="O412" s="28"/>
      <c r="P412" s="28"/>
      <c r="Q412" s="26" t="n">
        <f aca="false">IFERROR($K412*$L412,"")</f>
        <v>0</v>
      </c>
      <c r="R412" s="44" t="n">
        <f aca="false">IF(OR($O412="",$P412=""),0,$O412*$P412)</f>
        <v>0</v>
      </c>
      <c r="S412" s="27"/>
      <c r="T412" s="27"/>
      <c r="U412" s="40" t="n">
        <f aca="false">IF($A412="",0,IF(AND(OR($E412=Atleta!$C$4,$E412="Equipe (todos)"),$A412&gt;=Atleta!$C$5),MAX($U$7:U411)+1,0))</f>
        <v>0</v>
      </c>
    </row>
    <row r="413" customFormat="false" ht="15" hidden="false" customHeight="false" outlineLevel="0" collapsed="false">
      <c r="A413" s="29"/>
      <c r="B413" s="40" t="n">
        <f aca="false">IF($A413="",0,INT(($A413-Macrociclo!$C$11)/7)+1)</f>
        <v>0</v>
      </c>
      <c r="C413" s="28"/>
      <c r="D413" s="28"/>
      <c r="E413" s="27"/>
      <c r="F413" s="28"/>
      <c r="G413" s="27"/>
      <c r="H413" s="26" t="str">
        <f aca="false">IFERROR(INDEX(Exercícios!$C$7:$C$206,MATCH($G413,Exercícios!$B$7:$B$206,0)),"")</f>
        <v/>
      </c>
      <c r="I413" s="26" t="str">
        <f aca="false">IFERROR(INDEX(Exercícios!$D$7:$D$206,MATCH($G413,Exercícios!$B$7:$B$206,0)),"")</f>
        <v/>
      </c>
      <c r="J413" s="26" t="str">
        <f aca="false">IFERROR(INDEX(Exercícios!$E$7:$E$206,MATCH($G413,Exercícios!$B$7:$B$206,0)),"")</f>
        <v/>
      </c>
      <c r="K413" s="28"/>
      <c r="L413" s="28"/>
      <c r="M413" s="27"/>
      <c r="N413" s="28"/>
      <c r="O413" s="28"/>
      <c r="P413" s="28"/>
      <c r="Q413" s="26" t="n">
        <f aca="false">IFERROR($K413*$L413,"")</f>
        <v>0</v>
      </c>
      <c r="R413" s="44" t="n">
        <f aca="false">IF(OR($O413="",$P413=""),0,$O413*$P413)</f>
        <v>0</v>
      </c>
      <c r="S413" s="27"/>
      <c r="T413" s="27"/>
      <c r="U413" s="40" t="n">
        <f aca="false">IF($A413="",0,IF(AND(OR($E413=Atleta!$C$4,$E413="Equipe (todos)"),$A413&gt;=Atleta!$C$5),MAX($U$7:U412)+1,0))</f>
        <v>0</v>
      </c>
    </row>
    <row r="414" customFormat="false" ht="15" hidden="false" customHeight="false" outlineLevel="0" collapsed="false">
      <c r="A414" s="29"/>
      <c r="B414" s="40" t="n">
        <f aca="false">IF($A414="",0,INT(($A414-Macrociclo!$C$11)/7)+1)</f>
        <v>0</v>
      </c>
      <c r="C414" s="28"/>
      <c r="D414" s="28"/>
      <c r="E414" s="27"/>
      <c r="F414" s="28"/>
      <c r="G414" s="27"/>
      <c r="H414" s="26" t="str">
        <f aca="false">IFERROR(INDEX(Exercícios!$C$7:$C$206,MATCH($G414,Exercícios!$B$7:$B$206,0)),"")</f>
        <v/>
      </c>
      <c r="I414" s="26" t="str">
        <f aca="false">IFERROR(INDEX(Exercícios!$D$7:$D$206,MATCH($G414,Exercícios!$B$7:$B$206,0)),"")</f>
        <v/>
      </c>
      <c r="J414" s="26" t="str">
        <f aca="false">IFERROR(INDEX(Exercícios!$E$7:$E$206,MATCH($G414,Exercícios!$B$7:$B$206,0)),"")</f>
        <v/>
      </c>
      <c r="K414" s="28"/>
      <c r="L414" s="28"/>
      <c r="M414" s="27"/>
      <c r="N414" s="28"/>
      <c r="O414" s="28"/>
      <c r="P414" s="28"/>
      <c r="Q414" s="26" t="n">
        <f aca="false">IFERROR($K414*$L414,"")</f>
        <v>0</v>
      </c>
      <c r="R414" s="44" t="n">
        <f aca="false">IF(OR($O414="",$P414=""),0,$O414*$P414)</f>
        <v>0</v>
      </c>
      <c r="S414" s="27"/>
      <c r="T414" s="27"/>
      <c r="U414" s="40" t="n">
        <f aca="false">IF($A414="",0,IF(AND(OR($E414=Atleta!$C$4,$E414="Equipe (todos)"),$A414&gt;=Atleta!$C$5),MAX($U$7:U413)+1,0))</f>
        <v>0</v>
      </c>
    </row>
    <row r="415" customFormat="false" ht="15" hidden="false" customHeight="false" outlineLevel="0" collapsed="false">
      <c r="A415" s="29"/>
      <c r="B415" s="40" t="n">
        <f aca="false">IF($A415="",0,INT(($A415-Macrociclo!$C$11)/7)+1)</f>
        <v>0</v>
      </c>
      <c r="C415" s="28"/>
      <c r="D415" s="28"/>
      <c r="E415" s="27"/>
      <c r="F415" s="28"/>
      <c r="G415" s="27"/>
      <c r="H415" s="26" t="str">
        <f aca="false">IFERROR(INDEX(Exercícios!$C$7:$C$206,MATCH($G415,Exercícios!$B$7:$B$206,0)),"")</f>
        <v/>
      </c>
      <c r="I415" s="26" t="str">
        <f aca="false">IFERROR(INDEX(Exercícios!$D$7:$D$206,MATCH($G415,Exercícios!$B$7:$B$206,0)),"")</f>
        <v/>
      </c>
      <c r="J415" s="26" t="str">
        <f aca="false">IFERROR(INDEX(Exercícios!$E$7:$E$206,MATCH($G415,Exercícios!$B$7:$B$206,0)),"")</f>
        <v/>
      </c>
      <c r="K415" s="28"/>
      <c r="L415" s="28"/>
      <c r="M415" s="27"/>
      <c r="N415" s="28"/>
      <c r="O415" s="28"/>
      <c r="P415" s="28"/>
      <c r="Q415" s="26" t="n">
        <f aca="false">IFERROR($K415*$L415,"")</f>
        <v>0</v>
      </c>
      <c r="R415" s="44" t="n">
        <f aca="false">IF(OR($O415="",$P415=""),0,$O415*$P415)</f>
        <v>0</v>
      </c>
      <c r="S415" s="27"/>
      <c r="T415" s="27"/>
      <c r="U415" s="40" t="n">
        <f aca="false">IF($A415="",0,IF(AND(OR($E415=Atleta!$C$4,$E415="Equipe (todos)"),$A415&gt;=Atleta!$C$5),MAX($U$7:U414)+1,0))</f>
        <v>0</v>
      </c>
    </row>
    <row r="416" customFormat="false" ht="15" hidden="false" customHeight="false" outlineLevel="0" collapsed="false">
      <c r="A416" s="29"/>
      <c r="B416" s="40" t="n">
        <f aca="false">IF($A416="",0,INT(($A416-Macrociclo!$C$11)/7)+1)</f>
        <v>0</v>
      </c>
      <c r="C416" s="28"/>
      <c r="D416" s="28"/>
      <c r="E416" s="27"/>
      <c r="F416" s="28"/>
      <c r="G416" s="27"/>
      <c r="H416" s="26" t="str">
        <f aca="false">IFERROR(INDEX(Exercícios!$C$7:$C$206,MATCH($G416,Exercícios!$B$7:$B$206,0)),"")</f>
        <v/>
      </c>
      <c r="I416" s="26" t="str">
        <f aca="false">IFERROR(INDEX(Exercícios!$D$7:$D$206,MATCH($G416,Exercícios!$B$7:$B$206,0)),"")</f>
        <v/>
      </c>
      <c r="J416" s="26" t="str">
        <f aca="false">IFERROR(INDEX(Exercícios!$E$7:$E$206,MATCH($G416,Exercícios!$B$7:$B$206,0)),"")</f>
        <v/>
      </c>
      <c r="K416" s="28"/>
      <c r="L416" s="28"/>
      <c r="M416" s="27"/>
      <c r="N416" s="28"/>
      <c r="O416" s="28"/>
      <c r="P416" s="28"/>
      <c r="Q416" s="26" t="n">
        <f aca="false">IFERROR($K416*$L416,"")</f>
        <v>0</v>
      </c>
      <c r="R416" s="44" t="n">
        <f aca="false">IF(OR($O416="",$P416=""),0,$O416*$P416)</f>
        <v>0</v>
      </c>
      <c r="S416" s="27"/>
      <c r="T416" s="27"/>
      <c r="U416" s="40" t="n">
        <f aca="false">IF($A416="",0,IF(AND(OR($E416=Atleta!$C$4,$E416="Equipe (todos)"),$A416&gt;=Atleta!$C$5),MAX($U$7:U415)+1,0))</f>
        <v>0</v>
      </c>
    </row>
    <row r="417" customFormat="false" ht="15" hidden="false" customHeight="false" outlineLevel="0" collapsed="false">
      <c r="A417" s="29"/>
      <c r="B417" s="40" t="n">
        <f aca="false">IF($A417="",0,INT(($A417-Macrociclo!$C$11)/7)+1)</f>
        <v>0</v>
      </c>
      <c r="C417" s="28"/>
      <c r="D417" s="28"/>
      <c r="E417" s="27"/>
      <c r="F417" s="28"/>
      <c r="G417" s="27"/>
      <c r="H417" s="26" t="str">
        <f aca="false">IFERROR(INDEX(Exercícios!$C$7:$C$206,MATCH($G417,Exercícios!$B$7:$B$206,0)),"")</f>
        <v/>
      </c>
      <c r="I417" s="26" t="str">
        <f aca="false">IFERROR(INDEX(Exercícios!$D$7:$D$206,MATCH($G417,Exercícios!$B$7:$B$206,0)),"")</f>
        <v/>
      </c>
      <c r="J417" s="26" t="str">
        <f aca="false">IFERROR(INDEX(Exercícios!$E$7:$E$206,MATCH($G417,Exercícios!$B$7:$B$206,0)),"")</f>
        <v/>
      </c>
      <c r="K417" s="28"/>
      <c r="L417" s="28"/>
      <c r="M417" s="27"/>
      <c r="N417" s="28"/>
      <c r="O417" s="28"/>
      <c r="P417" s="28"/>
      <c r="Q417" s="26" t="n">
        <f aca="false">IFERROR($K417*$L417,"")</f>
        <v>0</v>
      </c>
      <c r="R417" s="44" t="n">
        <f aca="false">IF(OR($O417="",$P417=""),0,$O417*$P417)</f>
        <v>0</v>
      </c>
      <c r="S417" s="27"/>
      <c r="T417" s="27"/>
      <c r="U417" s="40" t="n">
        <f aca="false">IF($A417="",0,IF(AND(OR($E417=Atleta!$C$4,$E417="Equipe (todos)"),$A417&gt;=Atleta!$C$5),MAX($U$7:U416)+1,0))</f>
        <v>0</v>
      </c>
    </row>
    <row r="418" customFormat="false" ht="15" hidden="false" customHeight="false" outlineLevel="0" collapsed="false">
      <c r="A418" s="29"/>
      <c r="B418" s="40" t="n">
        <f aca="false">IF($A418="",0,INT(($A418-Macrociclo!$C$11)/7)+1)</f>
        <v>0</v>
      </c>
      <c r="C418" s="28"/>
      <c r="D418" s="28"/>
      <c r="E418" s="27"/>
      <c r="F418" s="28"/>
      <c r="G418" s="27"/>
      <c r="H418" s="26" t="str">
        <f aca="false">IFERROR(INDEX(Exercícios!$C$7:$C$206,MATCH($G418,Exercícios!$B$7:$B$206,0)),"")</f>
        <v/>
      </c>
      <c r="I418" s="26" t="str">
        <f aca="false">IFERROR(INDEX(Exercícios!$D$7:$D$206,MATCH($G418,Exercícios!$B$7:$B$206,0)),"")</f>
        <v/>
      </c>
      <c r="J418" s="26" t="str">
        <f aca="false">IFERROR(INDEX(Exercícios!$E$7:$E$206,MATCH($G418,Exercícios!$B$7:$B$206,0)),"")</f>
        <v/>
      </c>
      <c r="K418" s="28"/>
      <c r="L418" s="28"/>
      <c r="M418" s="27"/>
      <c r="N418" s="28"/>
      <c r="O418" s="28"/>
      <c r="P418" s="28"/>
      <c r="Q418" s="26" t="n">
        <f aca="false">IFERROR($K418*$L418,"")</f>
        <v>0</v>
      </c>
      <c r="R418" s="44" t="n">
        <f aca="false">IF(OR($O418="",$P418=""),0,$O418*$P418)</f>
        <v>0</v>
      </c>
      <c r="S418" s="27"/>
      <c r="T418" s="27"/>
      <c r="U418" s="40" t="n">
        <f aca="false">IF($A418="",0,IF(AND(OR($E418=Atleta!$C$4,$E418="Equipe (todos)"),$A418&gt;=Atleta!$C$5),MAX($U$7:U417)+1,0))</f>
        <v>0</v>
      </c>
    </row>
    <row r="419" customFormat="false" ht="15" hidden="false" customHeight="false" outlineLevel="0" collapsed="false">
      <c r="A419" s="29"/>
      <c r="B419" s="40" t="n">
        <f aca="false">IF($A419="",0,INT(($A419-Macrociclo!$C$11)/7)+1)</f>
        <v>0</v>
      </c>
      <c r="C419" s="28"/>
      <c r="D419" s="28"/>
      <c r="E419" s="27"/>
      <c r="F419" s="28"/>
      <c r="G419" s="27"/>
      <c r="H419" s="26" t="str">
        <f aca="false">IFERROR(INDEX(Exercícios!$C$7:$C$206,MATCH($G419,Exercícios!$B$7:$B$206,0)),"")</f>
        <v/>
      </c>
      <c r="I419" s="26" t="str">
        <f aca="false">IFERROR(INDEX(Exercícios!$D$7:$D$206,MATCH($G419,Exercícios!$B$7:$B$206,0)),"")</f>
        <v/>
      </c>
      <c r="J419" s="26" t="str">
        <f aca="false">IFERROR(INDEX(Exercícios!$E$7:$E$206,MATCH($G419,Exercícios!$B$7:$B$206,0)),"")</f>
        <v/>
      </c>
      <c r="K419" s="28"/>
      <c r="L419" s="28"/>
      <c r="M419" s="27"/>
      <c r="N419" s="28"/>
      <c r="O419" s="28"/>
      <c r="P419" s="28"/>
      <c r="Q419" s="26" t="n">
        <f aca="false">IFERROR($K419*$L419,"")</f>
        <v>0</v>
      </c>
      <c r="R419" s="44" t="n">
        <f aca="false">IF(OR($O419="",$P419=""),0,$O419*$P419)</f>
        <v>0</v>
      </c>
      <c r="S419" s="27"/>
      <c r="T419" s="27"/>
      <c r="U419" s="40" t="n">
        <f aca="false">IF($A419="",0,IF(AND(OR($E419=Atleta!$C$4,$E419="Equipe (todos)"),$A419&gt;=Atleta!$C$5),MAX($U$7:U418)+1,0))</f>
        <v>0</v>
      </c>
    </row>
    <row r="420" customFormat="false" ht="15" hidden="false" customHeight="false" outlineLevel="0" collapsed="false">
      <c r="A420" s="29"/>
      <c r="B420" s="40" t="n">
        <f aca="false">IF($A420="",0,INT(($A420-Macrociclo!$C$11)/7)+1)</f>
        <v>0</v>
      </c>
      <c r="C420" s="28"/>
      <c r="D420" s="28"/>
      <c r="E420" s="27"/>
      <c r="F420" s="28"/>
      <c r="G420" s="27"/>
      <c r="H420" s="26" t="str">
        <f aca="false">IFERROR(INDEX(Exercícios!$C$7:$C$206,MATCH($G420,Exercícios!$B$7:$B$206,0)),"")</f>
        <v/>
      </c>
      <c r="I420" s="26" t="str">
        <f aca="false">IFERROR(INDEX(Exercícios!$D$7:$D$206,MATCH($G420,Exercícios!$B$7:$B$206,0)),"")</f>
        <v/>
      </c>
      <c r="J420" s="26" t="str">
        <f aca="false">IFERROR(INDEX(Exercícios!$E$7:$E$206,MATCH($G420,Exercícios!$B$7:$B$206,0)),"")</f>
        <v/>
      </c>
      <c r="K420" s="28"/>
      <c r="L420" s="28"/>
      <c r="M420" s="27"/>
      <c r="N420" s="28"/>
      <c r="O420" s="28"/>
      <c r="P420" s="28"/>
      <c r="Q420" s="26" t="n">
        <f aca="false">IFERROR($K420*$L420,"")</f>
        <v>0</v>
      </c>
      <c r="R420" s="44" t="n">
        <f aca="false">IF(OR($O420="",$P420=""),0,$O420*$P420)</f>
        <v>0</v>
      </c>
      <c r="S420" s="27"/>
      <c r="T420" s="27"/>
      <c r="U420" s="40" t="n">
        <f aca="false">IF($A420="",0,IF(AND(OR($E420=Atleta!$C$4,$E420="Equipe (todos)"),$A420&gt;=Atleta!$C$5),MAX($U$7:U419)+1,0))</f>
        <v>0</v>
      </c>
    </row>
    <row r="421" customFormat="false" ht="15" hidden="false" customHeight="false" outlineLevel="0" collapsed="false">
      <c r="A421" s="29"/>
      <c r="B421" s="40" t="n">
        <f aca="false">IF($A421="",0,INT(($A421-Macrociclo!$C$11)/7)+1)</f>
        <v>0</v>
      </c>
      <c r="C421" s="28"/>
      <c r="D421" s="28"/>
      <c r="E421" s="27"/>
      <c r="F421" s="28"/>
      <c r="G421" s="27"/>
      <c r="H421" s="26" t="str">
        <f aca="false">IFERROR(INDEX(Exercícios!$C$7:$C$206,MATCH($G421,Exercícios!$B$7:$B$206,0)),"")</f>
        <v/>
      </c>
      <c r="I421" s="26" t="str">
        <f aca="false">IFERROR(INDEX(Exercícios!$D$7:$D$206,MATCH($G421,Exercícios!$B$7:$B$206,0)),"")</f>
        <v/>
      </c>
      <c r="J421" s="26" t="str">
        <f aca="false">IFERROR(INDEX(Exercícios!$E$7:$E$206,MATCH($G421,Exercícios!$B$7:$B$206,0)),"")</f>
        <v/>
      </c>
      <c r="K421" s="28"/>
      <c r="L421" s="28"/>
      <c r="M421" s="27"/>
      <c r="N421" s="28"/>
      <c r="O421" s="28"/>
      <c r="P421" s="28"/>
      <c r="Q421" s="26" t="n">
        <f aca="false">IFERROR($K421*$L421,"")</f>
        <v>0</v>
      </c>
      <c r="R421" s="44" t="n">
        <f aca="false">IF(OR($O421="",$P421=""),0,$O421*$P421)</f>
        <v>0</v>
      </c>
      <c r="S421" s="27"/>
      <c r="T421" s="27"/>
      <c r="U421" s="40" t="n">
        <f aca="false">IF($A421="",0,IF(AND(OR($E421=Atleta!$C$4,$E421="Equipe (todos)"),$A421&gt;=Atleta!$C$5),MAX($U$7:U420)+1,0))</f>
        <v>0</v>
      </c>
    </row>
    <row r="422" customFormat="false" ht="15" hidden="false" customHeight="false" outlineLevel="0" collapsed="false">
      <c r="A422" s="29"/>
      <c r="B422" s="40" t="n">
        <f aca="false">IF($A422="",0,INT(($A422-Macrociclo!$C$11)/7)+1)</f>
        <v>0</v>
      </c>
      <c r="C422" s="28"/>
      <c r="D422" s="28"/>
      <c r="E422" s="27"/>
      <c r="F422" s="28"/>
      <c r="G422" s="27"/>
      <c r="H422" s="26" t="str">
        <f aca="false">IFERROR(INDEX(Exercícios!$C$7:$C$206,MATCH($G422,Exercícios!$B$7:$B$206,0)),"")</f>
        <v/>
      </c>
      <c r="I422" s="26" t="str">
        <f aca="false">IFERROR(INDEX(Exercícios!$D$7:$D$206,MATCH($G422,Exercícios!$B$7:$B$206,0)),"")</f>
        <v/>
      </c>
      <c r="J422" s="26" t="str">
        <f aca="false">IFERROR(INDEX(Exercícios!$E$7:$E$206,MATCH($G422,Exercícios!$B$7:$B$206,0)),"")</f>
        <v/>
      </c>
      <c r="K422" s="28"/>
      <c r="L422" s="28"/>
      <c r="M422" s="27"/>
      <c r="N422" s="28"/>
      <c r="O422" s="28"/>
      <c r="P422" s="28"/>
      <c r="Q422" s="26" t="n">
        <f aca="false">IFERROR($K422*$L422,"")</f>
        <v>0</v>
      </c>
      <c r="R422" s="44" t="n">
        <f aca="false">IF(OR($O422="",$P422=""),0,$O422*$P422)</f>
        <v>0</v>
      </c>
      <c r="S422" s="27"/>
      <c r="T422" s="27"/>
      <c r="U422" s="40" t="n">
        <f aca="false">IF($A422="",0,IF(AND(OR($E422=Atleta!$C$4,$E422="Equipe (todos)"),$A422&gt;=Atleta!$C$5),MAX($U$7:U421)+1,0))</f>
        <v>0</v>
      </c>
    </row>
    <row r="423" customFormat="false" ht="15" hidden="false" customHeight="false" outlineLevel="0" collapsed="false">
      <c r="A423" s="29"/>
      <c r="B423" s="40" t="n">
        <f aca="false">IF($A423="",0,INT(($A423-Macrociclo!$C$11)/7)+1)</f>
        <v>0</v>
      </c>
      <c r="C423" s="28"/>
      <c r="D423" s="28"/>
      <c r="E423" s="27"/>
      <c r="F423" s="28"/>
      <c r="G423" s="27"/>
      <c r="H423" s="26" t="str">
        <f aca="false">IFERROR(INDEX(Exercícios!$C$7:$C$206,MATCH($G423,Exercícios!$B$7:$B$206,0)),"")</f>
        <v/>
      </c>
      <c r="I423" s="26" t="str">
        <f aca="false">IFERROR(INDEX(Exercícios!$D$7:$D$206,MATCH($G423,Exercícios!$B$7:$B$206,0)),"")</f>
        <v/>
      </c>
      <c r="J423" s="26" t="str">
        <f aca="false">IFERROR(INDEX(Exercícios!$E$7:$E$206,MATCH($G423,Exercícios!$B$7:$B$206,0)),"")</f>
        <v/>
      </c>
      <c r="K423" s="28"/>
      <c r="L423" s="28"/>
      <c r="M423" s="27"/>
      <c r="N423" s="28"/>
      <c r="O423" s="28"/>
      <c r="P423" s="28"/>
      <c r="Q423" s="26" t="n">
        <f aca="false">IFERROR($K423*$L423,"")</f>
        <v>0</v>
      </c>
      <c r="R423" s="44" t="n">
        <f aca="false">IF(OR($O423="",$P423=""),0,$O423*$P423)</f>
        <v>0</v>
      </c>
      <c r="S423" s="27"/>
      <c r="T423" s="27"/>
      <c r="U423" s="40" t="n">
        <f aca="false">IF($A423="",0,IF(AND(OR($E423=Atleta!$C$4,$E423="Equipe (todos)"),$A423&gt;=Atleta!$C$5),MAX($U$7:U422)+1,0))</f>
        <v>0</v>
      </c>
    </row>
    <row r="424" customFormat="false" ht="15" hidden="false" customHeight="false" outlineLevel="0" collapsed="false">
      <c r="A424" s="29"/>
      <c r="B424" s="40" t="n">
        <f aca="false">IF($A424="",0,INT(($A424-Macrociclo!$C$11)/7)+1)</f>
        <v>0</v>
      </c>
      <c r="C424" s="28"/>
      <c r="D424" s="28"/>
      <c r="E424" s="27"/>
      <c r="F424" s="28"/>
      <c r="G424" s="27"/>
      <c r="H424" s="26" t="str">
        <f aca="false">IFERROR(INDEX(Exercícios!$C$7:$C$206,MATCH($G424,Exercícios!$B$7:$B$206,0)),"")</f>
        <v/>
      </c>
      <c r="I424" s="26" t="str">
        <f aca="false">IFERROR(INDEX(Exercícios!$D$7:$D$206,MATCH($G424,Exercícios!$B$7:$B$206,0)),"")</f>
        <v/>
      </c>
      <c r="J424" s="26" t="str">
        <f aca="false">IFERROR(INDEX(Exercícios!$E$7:$E$206,MATCH($G424,Exercícios!$B$7:$B$206,0)),"")</f>
        <v/>
      </c>
      <c r="K424" s="28"/>
      <c r="L424" s="28"/>
      <c r="M424" s="27"/>
      <c r="N424" s="28"/>
      <c r="O424" s="28"/>
      <c r="P424" s="28"/>
      <c r="Q424" s="26" t="n">
        <f aca="false">IFERROR($K424*$L424,"")</f>
        <v>0</v>
      </c>
      <c r="R424" s="44" t="n">
        <f aca="false">IF(OR($O424="",$P424=""),0,$O424*$P424)</f>
        <v>0</v>
      </c>
      <c r="S424" s="27"/>
      <c r="T424" s="27"/>
      <c r="U424" s="40" t="n">
        <f aca="false">IF($A424="",0,IF(AND(OR($E424=Atleta!$C$4,$E424="Equipe (todos)"),$A424&gt;=Atleta!$C$5),MAX($U$7:U423)+1,0))</f>
        <v>0</v>
      </c>
    </row>
    <row r="425" customFormat="false" ht="15" hidden="false" customHeight="false" outlineLevel="0" collapsed="false">
      <c r="A425" s="29"/>
      <c r="B425" s="40" t="n">
        <f aca="false">IF($A425="",0,INT(($A425-Macrociclo!$C$11)/7)+1)</f>
        <v>0</v>
      </c>
      <c r="C425" s="28"/>
      <c r="D425" s="28"/>
      <c r="E425" s="27"/>
      <c r="F425" s="28"/>
      <c r="G425" s="27"/>
      <c r="H425" s="26" t="str">
        <f aca="false">IFERROR(INDEX(Exercícios!$C$7:$C$206,MATCH($G425,Exercícios!$B$7:$B$206,0)),"")</f>
        <v/>
      </c>
      <c r="I425" s="26" t="str">
        <f aca="false">IFERROR(INDEX(Exercícios!$D$7:$D$206,MATCH($G425,Exercícios!$B$7:$B$206,0)),"")</f>
        <v/>
      </c>
      <c r="J425" s="26" t="str">
        <f aca="false">IFERROR(INDEX(Exercícios!$E$7:$E$206,MATCH($G425,Exercícios!$B$7:$B$206,0)),"")</f>
        <v/>
      </c>
      <c r="K425" s="28"/>
      <c r="L425" s="28"/>
      <c r="M425" s="27"/>
      <c r="N425" s="28"/>
      <c r="O425" s="28"/>
      <c r="P425" s="28"/>
      <c r="Q425" s="26" t="n">
        <f aca="false">IFERROR($K425*$L425,"")</f>
        <v>0</v>
      </c>
      <c r="R425" s="44" t="n">
        <f aca="false">IF(OR($O425="",$P425=""),0,$O425*$P425)</f>
        <v>0</v>
      </c>
      <c r="S425" s="27"/>
      <c r="T425" s="27"/>
      <c r="U425" s="40" t="n">
        <f aca="false">IF($A425="",0,IF(AND(OR($E425=Atleta!$C$4,$E425="Equipe (todos)"),$A425&gt;=Atleta!$C$5),MAX($U$7:U424)+1,0))</f>
        <v>0</v>
      </c>
    </row>
    <row r="426" customFormat="false" ht="15" hidden="false" customHeight="false" outlineLevel="0" collapsed="false">
      <c r="A426" s="29"/>
      <c r="B426" s="40" t="n">
        <f aca="false">IF($A426="",0,INT(($A426-Macrociclo!$C$11)/7)+1)</f>
        <v>0</v>
      </c>
      <c r="C426" s="28"/>
      <c r="D426" s="28"/>
      <c r="E426" s="27"/>
      <c r="F426" s="28"/>
      <c r="G426" s="27"/>
      <c r="H426" s="26" t="str">
        <f aca="false">IFERROR(INDEX(Exercícios!$C$7:$C$206,MATCH($G426,Exercícios!$B$7:$B$206,0)),"")</f>
        <v/>
      </c>
      <c r="I426" s="26" t="str">
        <f aca="false">IFERROR(INDEX(Exercícios!$D$7:$D$206,MATCH($G426,Exercícios!$B$7:$B$206,0)),"")</f>
        <v/>
      </c>
      <c r="J426" s="26" t="str">
        <f aca="false">IFERROR(INDEX(Exercícios!$E$7:$E$206,MATCH($G426,Exercícios!$B$7:$B$206,0)),"")</f>
        <v/>
      </c>
      <c r="K426" s="28"/>
      <c r="L426" s="28"/>
      <c r="M426" s="27"/>
      <c r="N426" s="28"/>
      <c r="O426" s="28"/>
      <c r="P426" s="28"/>
      <c r="Q426" s="26" t="n">
        <f aca="false">IFERROR($K426*$L426,"")</f>
        <v>0</v>
      </c>
      <c r="R426" s="44" t="n">
        <f aca="false">IF(OR($O426="",$P426=""),0,$O426*$P426)</f>
        <v>0</v>
      </c>
      <c r="S426" s="27"/>
      <c r="T426" s="27"/>
      <c r="U426" s="40" t="n">
        <f aca="false">IF($A426="",0,IF(AND(OR($E426=Atleta!$C$4,$E426="Equipe (todos)"),$A426&gt;=Atleta!$C$5),MAX($U$7:U425)+1,0))</f>
        <v>0</v>
      </c>
    </row>
    <row r="427" customFormat="false" ht="15" hidden="false" customHeight="false" outlineLevel="0" collapsed="false">
      <c r="A427" s="29"/>
      <c r="B427" s="40" t="n">
        <f aca="false">IF($A427="",0,INT(($A427-Macrociclo!$C$11)/7)+1)</f>
        <v>0</v>
      </c>
      <c r="C427" s="28"/>
      <c r="D427" s="28"/>
      <c r="E427" s="27"/>
      <c r="F427" s="28"/>
      <c r="G427" s="27"/>
      <c r="H427" s="26" t="str">
        <f aca="false">IFERROR(INDEX(Exercícios!$C$7:$C$206,MATCH($G427,Exercícios!$B$7:$B$206,0)),"")</f>
        <v/>
      </c>
      <c r="I427" s="26" t="str">
        <f aca="false">IFERROR(INDEX(Exercícios!$D$7:$D$206,MATCH($G427,Exercícios!$B$7:$B$206,0)),"")</f>
        <v/>
      </c>
      <c r="J427" s="26" t="str">
        <f aca="false">IFERROR(INDEX(Exercícios!$E$7:$E$206,MATCH($G427,Exercícios!$B$7:$B$206,0)),"")</f>
        <v/>
      </c>
      <c r="K427" s="28"/>
      <c r="L427" s="28"/>
      <c r="M427" s="27"/>
      <c r="N427" s="28"/>
      <c r="O427" s="28"/>
      <c r="P427" s="28"/>
      <c r="Q427" s="26" t="n">
        <f aca="false">IFERROR($K427*$L427,"")</f>
        <v>0</v>
      </c>
      <c r="R427" s="44" t="n">
        <f aca="false">IF(OR($O427="",$P427=""),0,$O427*$P427)</f>
        <v>0</v>
      </c>
      <c r="S427" s="27"/>
      <c r="T427" s="27"/>
      <c r="U427" s="40" t="n">
        <f aca="false">IF($A427="",0,IF(AND(OR($E427=Atleta!$C$4,$E427="Equipe (todos)"),$A427&gt;=Atleta!$C$5),MAX($U$7:U426)+1,0))</f>
        <v>0</v>
      </c>
    </row>
    <row r="428" customFormat="false" ht="15" hidden="false" customHeight="false" outlineLevel="0" collapsed="false">
      <c r="A428" s="29"/>
      <c r="B428" s="40" t="n">
        <f aca="false">IF($A428="",0,INT(($A428-Macrociclo!$C$11)/7)+1)</f>
        <v>0</v>
      </c>
      <c r="C428" s="28"/>
      <c r="D428" s="28"/>
      <c r="E428" s="27"/>
      <c r="F428" s="28"/>
      <c r="G428" s="27"/>
      <c r="H428" s="26" t="str">
        <f aca="false">IFERROR(INDEX(Exercícios!$C$7:$C$206,MATCH($G428,Exercícios!$B$7:$B$206,0)),"")</f>
        <v/>
      </c>
      <c r="I428" s="26" t="str">
        <f aca="false">IFERROR(INDEX(Exercícios!$D$7:$D$206,MATCH($G428,Exercícios!$B$7:$B$206,0)),"")</f>
        <v/>
      </c>
      <c r="J428" s="26" t="str">
        <f aca="false">IFERROR(INDEX(Exercícios!$E$7:$E$206,MATCH($G428,Exercícios!$B$7:$B$206,0)),"")</f>
        <v/>
      </c>
      <c r="K428" s="28"/>
      <c r="L428" s="28"/>
      <c r="M428" s="27"/>
      <c r="N428" s="28"/>
      <c r="O428" s="28"/>
      <c r="P428" s="28"/>
      <c r="Q428" s="26" t="n">
        <f aca="false">IFERROR($K428*$L428,"")</f>
        <v>0</v>
      </c>
      <c r="R428" s="44" t="n">
        <f aca="false">IF(OR($O428="",$P428=""),0,$O428*$P428)</f>
        <v>0</v>
      </c>
      <c r="S428" s="27"/>
      <c r="T428" s="27"/>
      <c r="U428" s="40" t="n">
        <f aca="false">IF($A428="",0,IF(AND(OR($E428=Atleta!$C$4,$E428="Equipe (todos)"),$A428&gt;=Atleta!$C$5),MAX($U$7:U427)+1,0))</f>
        <v>0</v>
      </c>
    </row>
    <row r="429" customFormat="false" ht="15" hidden="false" customHeight="false" outlineLevel="0" collapsed="false">
      <c r="A429" s="29"/>
      <c r="B429" s="40" t="n">
        <f aca="false">IF($A429="",0,INT(($A429-Macrociclo!$C$11)/7)+1)</f>
        <v>0</v>
      </c>
      <c r="C429" s="28"/>
      <c r="D429" s="28"/>
      <c r="E429" s="27"/>
      <c r="F429" s="28"/>
      <c r="G429" s="27"/>
      <c r="H429" s="26" t="str">
        <f aca="false">IFERROR(INDEX(Exercícios!$C$7:$C$206,MATCH($G429,Exercícios!$B$7:$B$206,0)),"")</f>
        <v/>
      </c>
      <c r="I429" s="26" t="str">
        <f aca="false">IFERROR(INDEX(Exercícios!$D$7:$D$206,MATCH($G429,Exercícios!$B$7:$B$206,0)),"")</f>
        <v/>
      </c>
      <c r="J429" s="26" t="str">
        <f aca="false">IFERROR(INDEX(Exercícios!$E$7:$E$206,MATCH($G429,Exercícios!$B$7:$B$206,0)),"")</f>
        <v/>
      </c>
      <c r="K429" s="28"/>
      <c r="L429" s="28"/>
      <c r="M429" s="27"/>
      <c r="N429" s="28"/>
      <c r="O429" s="28"/>
      <c r="P429" s="28"/>
      <c r="Q429" s="26" t="n">
        <f aca="false">IFERROR($K429*$L429,"")</f>
        <v>0</v>
      </c>
      <c r="R429" s="44" t="n">
        <f aca="false">IF(OR($O429="",$P429=""),0,$O429*$P429)</f>
        <v>0</v>
      </c>
      <c r="S429" s="27"/>
      <c r="T429" s="27"/>
      <c r="U429" s="40" t="n">
        <f aca="false">IF($A429="",0,IF(AND(OR($E429=Atleta!$C$4,$E429="Equipe (todos)"),$A429&gt;=Atleta!$C$5),MAX($U$7:U428)+1,0))</f>
        <v>0</v>
      </c>
    </row>
    <row r="430" customFormat="false" ht="15" hidden="false" customHeight="false" outlineLevel="0" collapsed="false">
      <c r="A430" s="29"/>
      <c r="B430" s="40" t="n">
        <f aca="false">IF($A430="",0,INT(($A430-Macrociclo!$C$11)/7)+1)</f>
        <v>0</v>
      </c>
      <c r="C430" s="28"/>
      <c r="D430" s="28"/>
      <c r="E430" s="27"/>
      <c r="F430" s="28"/>
      <c r="G430" s="27"/>
      <c r="H430" s="26" t="str">
        <f aca="false">IFERROR(INDEX(Exercícios!$C$7:$C$206,MATCH($G430,Exercícios!$B$7:$B$206,0)),"")</f>
        <v/>
      </c>
      <c r="I430" s="26" t="str">
        <f aca="false">IFERROR(INDEX(Exercícios!$D$7:$D$206,MATCH($G430,Exercícios!$B$7:$B$206,0)),"")</f>
        <v/>
      </c>
      <c r="J430" s="26" t="str">
        <f aca="false">IFERROR(INDEX(Exercícios!$E$7:$E$206,MATCH($G430,Exercícios!$B$7:$B$206,0)),"")</f>
        <v/>
      </c>
      <c r="K430" s="28"/>
      <c r="L430" s="28"/>
      <c r="M430" s="27"/>
      <c r="N430" s="28"/>
      <c r="O430" s="28"/>
      <c r="P430" s="28"/>
      <c r="Q430" s="26" t="n">
        <f aca="false">IFERROR($K430*$L430,"")</f>
        <v>0</v>
      </c>
      <c r="R430" s="44" t="n">
        <f aca="false">IF(OR($O430="",$P430=""),0,$O430*$P430)</f>
        <v>0</v>
      </c>
      <c r="S430" s="27"/>
      <c r="T430" s="27"/>
      <c r="U430" s="40" t="n">
        <f aca="false">IF($A430="",0,IF(AND(OR($E430=Atleta!$C$4,$E430="Equipe (todos)"),$A430&gt;=Atleta!$C$5),MAX($U$7:U429)+1,0))</f>
        <v>0</v>
      </c>
    </row>
    <row r="431" customFormat="false" ht="15" hidden="false" customHeight="false" outlineLevel="0" collapsed="false">
      <c r="A431" s="29"/>
      <c r="B431" s="40" t="n">
        <f aca="false">IF($A431="",0,INT(($A431-Macrociclo!$C$11)/7)+1)</f>
        <v>0</v>
      </c>
      <c r="C431" s="28"/>
      <c r="D431" s="28"/>
      <c r="E431" s="27"/>
      <c r="F431" s="28"/>
      <c r="G431" s="27"/>
      <c r="H431" s="26" t="str">
        <f aca="false">IFERROR(INDEX(Exercícios!$C$7:$C$206,MATCH($G431,Exercícios!$B$7:$B$206,0)),"")</f>
        <v/>
      </c>
      <c r="I431" s="26" t="str">
        <f aca="false">IFERROR(INDEX(Exercícios!$D$7:$D$206,MATCH($G431,Exercícios!$B$7:$B$206,0)),"")</f>
        <v/>
      </c>
      <c r="J431" s="26" t="str">
        <f aca="false">IFERROR(INDEX(Exercícios!$E$7:$E$206,MATCH($G431,Exercícios!$B$7:$B$206,0)),"")</f>
        <v/>
      </c>
      <c r="K431" s="28"/>
      <c r="L431" s="28"/>
      <c r="M431" s="27"/>
      <c r="N431" s="28"/>
      <c r="O431" s="28"/>
      <c r="P431" s="28"/>
      <c r="Q431" s="26" t="n">
        <f aca="false">IFERROR($K431*$L431,"")</f>
        <v>0</v>
      </c>
      <c r="R431" s="44" t="n">
        <f aca="false">IF(OR($O431="",$P431=""),0,$O431*$P431)</f>
        <v>0</v>
      </c>
      <c r="S431" s="27"/>
      <c r="T431" s="27"/>
      <c r="U431" s="40" t="n">
        <f aca="false">IF($A431="",0,IF(AND(OR($E431=Atleta!$C$4,$E431="Equipe (todos)"),$A431&gt;=Atleta!$C$5),MAX($U$7:U430)+1,0))</f>
        <v>0</v>
      </c>
    </row>
    <row r="432" customFormat="false" ht="15" hidden="false" customHeight="false" outlineLevel="0" collapsed="false">
      <c r="A432" s="29"/>
      <c r="B432" s="40" t="n">
        <f aca="false">IF($A432="",0,INT(($A432-Macrociclo!$C$11)/7)+1)</f>
        <v>0</v>
      </c>
      <c r="C432" s="28"/>
      <c r="D432" s="28"/>
      <c r="E432" s="27"/>
      <c r="F432" s="28"/>
      <c r="G432" s="27"/>
      <c r="H432" s="26" t="str">
        <f aca="false">IFERROR(INDEX(Exercícios!$C$7:$C$206,MATCH($G432,Exercícios!$B$7:$B$206,0)),"")</f>
        <v/>
      </c>
      <c r="I432" s="26" t="str">
        <f aca="false">IFERROR(INDEX(Exercícios!$D$7:$D$206,MATCH($G432,Exercícios!$B$7:$B$206,0)),"")</f>
        <v/>
      </c>
      <c r="J432" s="26" t="str">
        <f aca="false">IFERROR(INDEX(Exercícios!$E$7:$E$206,MATCH($G432,Exercícios!$B$7:$B$206,0)),"")</f>
        <v/>
      </c>
      <c r="K432" s="28"/>
      <c r="L432" s="28"/>
      <c r="M432" s="27"/>
      <c r="N432" s="28"/>
      <c r="O432" s="28"/>
      <c r="P432" s="28"/>
      <c r="Q432" s="26" t="n">
        <f aca="false">IFERROR($K432*$L432,"")</f>
        <v>0</v>
      </c>
      <c r="R432" s="44" t="n">
        <f aca="false">IF(OR($O432="",$P432=""),0,$O432*$P432)</f>
        <v>0</v>
      </c>
      <c r="S432" s="27"/>
      <c r="T432" s="27"/>
      <c r="U432" s="40" t="n">
        <f aca="false">IF($A432="",0,IF(AND(OR($E432=Atleta!$C$4,$E432="Equipe (todos)"),$A432&gt;=Atleta!$C$5),MAX($U$7:U431)+1,0))</f>
        <v>0</v>
      </c>
    </row>
    <row r="433" customFormat="false" ht="15" hidden="false" customHeight="false" outlineLevel="0" collapsed="false">
      <c r="A433" s="29"/>
      <c r="B433" s="40" t="n">
        <f aca="false">IF($A433="",0,INT(($A433-Macrociclo!$C$11)/7)+1)</f>
        <v>0</v>
      </c>
      <c r="C433" s="28"/>
      <c r="D433" s="28"/>
      <c r="E433" s="27"/>
      <c r="F433" s="28"/>
      <c r="G433" s="27"/>
      <c r="H433" s="26" t="str">
        <f aca="false">IFERROR(INDEX(Exercícios!$C$7:$C$206,MATCH($G433,Exercícios!$B$7:$B$206,0)),"")</f>
        <v/>
      </c>
      <c r="I433" s="26" t="str">
        <f aca="false">IFERROR(INDEX(Exercícios!$D$7:$D$206,MATCH($G433,Exercícios!$B$7:$B$206,0)),"")</f>
        <v/>
      </c>
      <c r="J433" s="26" t="str">
        <f aca="false">IFERROR(INDEX(Exercícios!$E$7:$E$206,MATCH($G433,Exercícios!$B$7:$B$206,0)),"")</f>
        <v/>
      </c>
      <c r="K433" s="28"/>
      <c r="L433" s="28"/>
      <c r="M433" s="27"/>
      <c r="N433" s="28"/>
      <c r="O433" s="28"/>
      <c r="P433" s="28"/>
      <c r="Q433" s="26" t="n">
        <f aca="false">IFERROR($K433*$L433,"")</f>
        <v>0</v>
      </c>
      <c r="R433" s="44" t="n">
        <f aca="false">IF(OR($O433="",$P433=""),0,$O433*$P433)</f>
        <v>0</v>
      </c>
      <c r="S433" s="27"/>
      <c r="T433" s="27"/>
      <c r="U433" s="40" t="n">
        <f aca="false">IF($A433="",0,IF(AND(OR($E433=Atleta!$C$4,$E433="Equipe (todos)"),$A433&gt;=Atleta!$C$5),MAX($U$7:U432)+1,0))</f>
        <v>0</v>
      </c>
    </row>
    <row r="434" customFormat="false" ht="15" hidden="false" customHeight="false" outlineLevel="0" collapsed="false">
      <c r="A434" s="29"/>
      <c r="B434" s="40" t="n">
        <f aca="false">IF($A434="",0,INT(($A434-Macrociclo!$C$11)/7)+1)</f>
        <v>0</v>
      </c>
      <c r="C434" s="28"/>
      <c r="D434" s="28"/>
      <c r="E434" s="27"/>
      <c r="F434" s="28"/>
      <c r="G434" s="27"/>
      <c r="H434" s="26" t="str">
        <f aca="false">IFERROR(INDEX(Exercícios!$C$7:$C$206,MATCH($G434,Exercícios!$B$7:$B$206,0)),"")</f>
        <v/>
      </c>
      <c r="I434" s="26" t="str">
        <f aca="false">IFERROR(INDEX(Exercícios!$D$7:$D$206,MATCH($G434,Exercícios!$B$7:$B$206,0)),"")</f>
        <v/>
      </c>
      <c r="J434" s="26" t="str">
        <f aca="false">IFERROR(INDEX(Exercícios!$E$7:$E$206,MATCH($G434,Exercícios!$B$7:$B$206,0)),"")</f>
        <v/>
      </c>
      <c r="K434" s="28"/>
      <c r="L434" s="28"/>
      <c r="M434" s="27"/>
      <c r="N434" s="28"/>
      <c r="O434" s="28"/>
      <c r="P434" s="28"/>
      <c r="Q434" s="26" t="n">
        <f aca="false">IFERROR($K434*$L434,"")</f>
        <v>0</v>
      </c>
      <c r="R434" s="44" t="n">
        <f aca="false">IF(OR($O434="",$P434=""),0,$O434*$P434)</f>
        <v>0</v>
      </c>
      <c r="S434" s="27"/>
      <c r="T434" s="27"/>
      <c r="U434" s="40" t="n">
        <f aca="false">IF($A434="",0,IF(AND(OR($E434=Atleta!$C$4,$E434="Equipe (todos)"),$A434&gt;=Atleta!$C$5),MAX($U$7:U433)+1,0))</f>
        <v>0</v>
      </c>
    </row>
    <row r="435" customFormat="false" ht="15" hidden="false" customHeight="false" outlineLevel="0" collapsed="false">
      <c r="A435" s="29"/>
      <c r="B435" s="40" t="n">
        <f aca="false">IF($A435="",0,INT(($A435-Macrociclo!$C$11)/7)+1)</f>
        <v>0</v>
      </c>
      <c r="C435" s="28"/>
      <c r="D435" s="28"/>
      <c r="E435" s="27"/>
      <c r="F435" s="28"/>
      <c r="G435" s="27"/>
      <c r="H435" s="26" t="str">
        <f aca="false">IFERROR(INDEX(Exercícios!$C$7:$C$206,MATCH($G435,Exercícios!$B$7:$B$206,0)),"")</f>
        <v/>
      </c>
      <c r="I435" s="26" t="str">
        <f aca="false">IFERROR(INDEX(Exercícios!$D$7:$D$206,MATCH($G435,Exercícios!$B$7:$B$206,0)),"")</f>
        <v/>
      </c>
      <c r="J435" s="26" t="str">
        <f aca="false">IFERROR(INDEX(Exercícios!$E$7:$E$206,MATCH($G435,Exercícios!$B$7:$B$206,0)),"")</f>
        <v/>
      </c>
      <c r="K435" s="28"/>
      <c r="L435" s="28"/>
      <c r="M435" s="27"/>
      <c r="N435" s="28"/>
      <c r="O435" s="28"/>
      <c r="P435" s="28"/>
      <c r="Q435" s="26" t="n">
        <f aca="false">IFERROR($K435*$L435,"")</f>
        <v>0</v>
      </c>
      <c r="R435" s="44" t="n">
        <f aca="false">IF(OR($O435="",$P435=""),0,$O435*$P435)</f>
        <v>0</v>
      </c>
      <c r="S435" s="27"/>
      <c r="T435" s="27"/>
      <c r="U435" s="40" t="n">
        <f aca="false">IF($A435="",0,IF(AND(OR($E435=Atleta!$C$4,$E435="Equipe (todos)"),$A435&gt;=Atleta!$C$5),MAX($U$7:U434)+1,0))</f>
        <v>0</v>
      </c>
    </row>
    <row r="436" customFormat="false" ht="15" hidden="false" customHeight="false" outlineLevel="0" collapsed="false">
      <c r="A436" s="29"/>
      <c r="B436" s="40" t="n">
        <f aca="false">IF($A436="",0,INT(($A436-Macrociclo!$C$11)/7)+1)</f>
        <v>0</v>
      </c>
      <c r="C436" s="28"/>
      <c r="D436" s="28"/>
      <c r="E436" s="27"/>
      <c r="F436" s="28"/>
      <c r="G436" s="27"/>
      <c r="H436" s="26" t="str">
        <f aca="false">IFERROR(INDEX(Exercícios!$C$7:$C$206,MATCH($G436,Exercícios!$B$7:$B$206,0)),"")</f>
        <v/>
      </c>
      <c r="I436" s="26" t="str">
        <f aca="false">IFERROR(INDEX(Exercícios!$D$7:$D$206,MATCH($G436,Exercícios!$B$7:$B$206,0)),"")</f>
        <v/>
      </c>
      <c r="J436" s="26" t="str">
        <f aca="false">IFERROR(INDEX(Exercícios!$E$7:$E$206,MATCH($G436,Exercícios!$B$7:$B$206,0)),"")</f>
        <v/>
      </c>
      <c r="K436" s="28"/>
      <c r="L436" s="28"/>
      <c r="M436" s="27"/>
      <c r="N436" s="28"/>
      <c r="O436" s="28"/>
      <c r="P436" s="28"/>
      <c r="Q436" s="26" t="n">
        <f aca="false">IFERROR($K436*$L436,"")</f>
        <v>0</v>
      </c>
      <c r="R436" s="44" t="n">
        <f aca="false">IF(OR($O436="",$P436=""),0,$O436*$P436)</f>
        <v>0</v>
      </c>
      <c r="S436" s="27"/>
      <c r="T436" s="27"/>
      <c r="U436" s="40" t="n">
        <f aca="false">IF($A436="",0,IF(AND(OR($E436=Atleta!$C$4,$E436="Equipe (todos)"),$A436&gt;=Atleta!$C$5),MAX($U$7:U435)+1,0))</f>
        <v>0</v>
      </c>
    </row>
    <row r="437" customFormat="false" ht="15" hidden="false" customHeight="false" outlineLevel="0" collapsed="false">
      <c r="A437" s="29"/>
      <c r="B437" s="40" t="n">
        <f aca="false">IF($A437="",0,INT(($A437-Macrociclo!$C$11)/7)+1)</f>
        <v>0</v>
      </c>
      <c r="C437" s="28"/>
      <c r="D437" s="28"/>
      <c r="E437" s="27"/>
      <c r="F437" s="28"/>
      <c r="G437" s="27"/>
      <c r="H437" s="26" t="str">
        <f aca="false">IFERROR(INDEX(Exercícios!$C$7:$C$206,MATCH($G437,Exercícios!$B$7:$B$206,0)),"")</f>
        <v/>
      </c>
      <c r="I437" s="26" t="str">
        <f aca="false">IFERROR(INDEX(Exercícios!$D$7:$D$206,MATCH($G437,Exercícios!$B$7:$B$206,0)),"")</f>
        <v/>
      </c>
      <c r="J437" s="26" t="str">
        <f aca="false">IFERROR(INDEX(Exercícios!$E$7:$E$206,MATCH($G437,Exercícios!$B$7:$B$206,0)),"")</f>
        <v/>
      </c>
      <c r="K437" s="28"/>
      <c r="L437" s="28"/>
      <c r="M437" s="27"/>
      <c r="N437" s="28"/>
      <c r="O437" s="28"/>
      <c r="P437" s="28"/>
      <c r="Q437" s="26" t="n">
        <f aca="false">IFERROR($K437*$L437,"")</f>
        <v>0</v>
      </c>
      <c r="R437" s="44" t="n">
        <f aca="false">IF(OR($O437="",$P437=""),0,$O437*$P437)</f>
        <v>0</v>
      </c>
      <c r="S437" s="27"/>
      <c r="T437" s="27"/>
      <c r="U437" s="40" t="n">
        <f aca="false">IF($A437="",0,IF(AND(OR($E437=Atleta!$C$4,$E437="Equipe (todos)"),$A437&gt;=Atleta!$C$5),MAX($U$7:U436)+1,0))</f>
        <v>0</v>
      </c>
    </row>
    <row r="438" customFormat="false" ht="15" hidden="false" customHeight="false" outlineLevel="0" collapsed="false">
      <c r="A438" s="29"/>
      <c r="B438" s="40" t="n">
        <f aca="false">IF($A438="",0,INT(($A438-Macrociclo!$C$11)/7)+1)</f>
        <v>0</v>
      </c>
      <c r="C438" s="28"/>
      <c r="D438" s="28"/>
      <c r="E438" s="27"/>
      <c r="F438" s="28"/>
      <c r="G438" s="27"/>
      <c r="H438" s="26" t="str">
        <f aca="false">IFERROR(INDEX(Exercícios!$C$7:$C$206,MATCH($G438,Exercícios!$B$7:$B$206,0)),"")</f>
        <v/>
      </c>
      <c r="I438" s="26" t="str">
        <f aca="false">IFERROR(INDEX(Exercícios!$D$7:$D$206,MATCH($G438,Exercícios!$B$7:$B$206,0)),"")</f>
        <v/>
      </c>
      <c r="J438" s="26" t="str">
        <f aca="false">IFERROR(INDEX(Exercícios!$E$7:$E$206,MATCH($G438,Exercícios!$B$7:$B$206,0)),"")</f>
        <v/>
      </c>
      <c r="K438" s="28"/>
      <c r="L438" s="28"/>
      <c r="M438" s="27"/>
      <c r="N438" s="28"/>
      <c r="O438" s="28"/>
      <c r="P438" s="28"/>
      <c r="Q438" s="26" t="n">
        <f aca="false">IFERROR($K438*$L438,"")</f>
        <v>0</v>
      </c>
      <c r="R438" s="44" t="n">
        <f aca="false">IF(OR($O438="",$P438=""),0,$O438*$P438)</f>
        <v>0</v>
      </c>
      <c r="S438" s="27"/>
      <c r="T438" s="27"/>
      <c r="U438" s="40" t="n">
        <f aca="false">IF($A438="",0,IF(AND(OR($E438=Atleta!$C$4,$E438="Equipe (todos)"),$A438&gt;=Atleta!$C$5),MAX($U$7:U437)+1,0))</f>
        <v>0</v>
      </c>
    </row>
    <row r="439" customFormat="false" ht="15" hidden="false" customHeight="false" outlineLevel="0" collapsed="false">
      <c r="A439" s="29"/>
      <c r="B439" s="40" t="n">
        <f aca="false">IF($A439="",0,INT(($A439-Macrociclo!$C$11)/7)+1)</f>
        <v>0</v>
      </c>
      <c r="C439" s="28"/>
      <c r="D439" s="28"/>
      <c r="E439" s="27"/>
      <c r="F439" s="28"/>
      <c r="G439" s="27"/>
      <c r="H439" s="26" t="str">
        <f aca="false">IFERROR(INDEX(Exercícios!$C$7:$C$206,MATCH($G439,Exercícios!$B$7:$B$206,0)),"")</f>
        <v/>
      </c>
      <c r="I439" s="26" t="str">
        <f aca="false">IFERROR(INDEX(Exercícios!$D$7:$D$206,MATCH($G439,Exercícios!$B$7:$B$206,0)),"")</f>
        <v/>
      </c>
      <c r="J439" s="26" t="str">
        <f aca="false">IFERROR(INDEX(Exercícios!$E$7:$E$206,MATCH($G439,Exercícios!$B$7:$B$206,0)),"")</f>
        <v/>
      </c>
      <c r="K439" s="28"/>
      <c r="L439" s="28"/>
      <c r="M439" s="27"/>
      <c r="N439" s="28"/>
      <c r="O439" s="28"/>
      <c r="P439" s="28"/>
      <c r="Q439" s="26" t="n">
        <f aca="false">IFERROR($K439*$L439,"")</f>
        <v>0</v>
      </c>
      <c r="R439" s="44" t="n">
        <f aca="false">IF(OR($O439="",$P439=""),0,$O439*$P439)</f>
        <v>0</v>
      </c>
      <c r="S439" s="27"/>
      <c r="T439" s="27"/>
      <c r="U439" s="40" t="n">
        <f aca="false">IF($A439="",0,IF(AND(OR($E439=Atleta!$C$4,$E439="Equipe (todos)"),$A439&gt;=Atleta!$C$5),MAX($U$7:U438)+1,0))</f>
        <v>0</v>
      </c>
    </row>
    <row r="440" customFormat="false" ht="15" hidden="false" customHeight="false" outlineLevel="0" collapsed="false">
      <c r="A440" s="29"/>
      <c r="B440" s="40" t="n">
        <f aca="false">IF($A440="",0,INT(($A440-Macrociclo!$C$11)/7)+1)</f>
        <v>0</v>
      </c>
      <c r="C440" s="28"/>
      <c r="D440" s="28"/>
      <c r="E440" s="27"/>
      <c r="F440" s="28"/>
      <c r="G440" s="27"/>
      <c r="H440" s="26" t="str">
        <f aca="false">IFERROR(INDEX(Exercícios!$C$7:$C$206,MATCH($G440,Exercícios!$B$7:$B$206,0)),"")</f>
        <v/>
      </c>
      <c r="I440" s="26" t="str">
        <f aca="false">IFERROR(INDEX(Exercícios!$D$7:$D$206,MATCH($G440,Exercícios!$B$7:$B$206,0)),"")</f>
        <v/>
      </c>
      <c r="J440" s="26" t="str">
        <f aca="false">IFERROR(INDEX(Exercícios!$E$7:$E$206,MATCH($G440,Exercícios!$B$7:$B$206,0)),"")</f>
        <v/>
      </c>
      <c r="K440" s="28"/>
      <c r="L440" s="28"/>
      <c r="M440" s="27"/>
      <c r="N440" s="28"/>
      <c r="O440" s="28"/>
      <c r="P440" s="28"/>
      <c r="Q440" s="26" t="n">
        <f aca="false">IFERROR($K440*$L440,"")</f>
        <v>0</v>
      </c>
      <c r="R440" s="44" t="n">
        <f aca="false">IF(OR($O440="",$P440=""),0,$O440*$P440)</f>
        <v>0</v>
      </c>
      <c r="S440" s="27"/>
      <c r="T440" s="27"/>
      <c r="U440" s="40" t="n">
        <f aca="false">IF($A440="",0,IF(AND(OR($E440=Atleta!$C$4,$E440="Equipe (todos)"),$A440&gt;=Atleta!$C$5),MAX($U$7:U439)+1,0))</f>
        <v>0</v>
      </c>
    </row>
    <row r="441" customFormat="false" ht="15" hidden="false" customHeight="false" outlineLevel="0" collapsed="false">
      <c r="A441" s="29"/>
      <c r="B441" s="40" t="n">
        <f aca="false">IF($A441="",0,INT(($A441-Macrociclo!$C$11)/7)+1)</f>
        <v>0</v>
      </c>
      <c r="C441" s="28"/>
      <c r="D441" s="28"/>
      <c r="E441" s="27"/>
      <c r="F441" s="28"/>
      <c r="G441" s="27"/>
      <c r="H441" s="26" t="str">
        <f aca="false">IFERROR(INDEX(Exercícios!$C$7:$C$206,MATCH($G441,Exercícios!$B$7:$B$206,0)),"")</f>
        <v/>
      </c>
      <c r="I441" s="26" t="str">
        <f aca="false">IFERROR(INDEX(Exercícios!$D$7:$D$206,MATCH($G441,Exercícios!$B$7:$B$206,0)),"")</f>
        <v/>
      </c>
      <c r="J441" s="26" t="str">
        <f aca="false">IFERROR(INDEX(Exercícios!$E$7:$E$206,MATCH($G441,Exercícios!$B$7:$B$206,0)),"")</f>
        <v/>
      </c>
      <c r="K441" s="28"/>
      <c r="L441" s="28"/>
      <c r="M441" s="27"/>
      <c r="N441" s="28"/>
      <c r="O441" s="28"/>
      <c r="P441" s="28"/>
      <c r="Q441" s="26" t="n">
        <f aca="false">IFERROR($K441*$L441,"")</f>
        <v>0</v>
      </c>
      <c r="R441" s="44" t="n">
        <f aca="false">IF(OR($O441="",$P441=""),0,$O441*$P441)</f>
        <v>0</v>
      </c>
      <c r="S441" s="27"/>
      <c r="T441" s="27"/>
      <c r="U441" s="40" t="n">
        <f aca="false">IF($A441="",0,IF(AND(OR($E441=Atleta!$C$4,$E441="Equipe (todos)"),$A441&gt;=Atleta!$C$5),MAX($U$7:U440)+1,0))</f>
        <v>0</v>
      </c>
    </row>
    <row r="442" customFormat="false" ht="15" hidden="false" customHeight="false" outlineLevel="0" collapsed="false">
      <c r="A442" s="29"/>
      <c r="B442" s="40" t="n">
        <f aca="false">IF($A442="",0,INT(($A442-Macrociclo!$C$11)/7)+1)</f>
        <v>0</v>
      </c>
      <c r="C442" s="28"/>
      <c r="D442" s="28"/>
      <c r="E442" s="27"/>
      <c r="F442" s="28"/>
      <c r="G442" s="27"/>
      <c r="H442" s="26" t="str">
        <f aca="false">IFERROR(INDEX(Exercícios!$C$7:$C$206,MATCH($G442,Exercícios!$B$7:$B$206,0)),"")</f>
        <v/>
      </c>
      <c r="I442" s="26" t="str">
        <f aca="false">IFERROR(INDEX(Exercícios!$D$7:$D$206,MATCH($G442,Exercícios!$B$7:$B$206,0)),"")</f>
        <v/>
      </c>
      <c r="J442" s="26" t="str">
        <f aca="false">IFERROR(INDEX(Exercícios!$E$7:$E$206,MATCH($G442,Exercícios!$B$7:$B$206,0)),"")</f>
        <v/>
      </c>
      <c r="K442" s="28"/>
      <c r="L442" s="28"/>
      <c r="M442" s="27"/>
      <c r="N442" s="28"/>
      <c r="O442" s="28"/>
      <c r="P442" s="28"/>
      <c r="Q442" s="26" t="n">
        <f aca="false">IFERROR($K442*$L442,"")</f>
        <v>0</v>
      </c>
      <c r="R442" s="44" t="n">
        <f aca="false">IF(OR($O442="",$P442=""),0,$O442*$P442)</f>
        <v>0</v>
      </c>
      <c r="S442" s="27"/>
      <c r="T442" s="27"/>
      <c r="U442" s="40" t="n">
        <f aca="false">IF($A442="",0,IF(AND(OR($E442=Atleta!$C$4,$E442="Equipe (todos)"),$A442&gt;=Atleta!$C$5),MAX($U$7:U441)+1,0))</f>
        <v>0</v>
      </c>
    </row>
    <row r="443" customFormat="false" ht="15" hidden="false" customHeight="false" outlineLevel="0" collapsed="false">
      <c r="A443" s="29"/>
      <c r="B443" s="40" t="n">
        <f aca="false">IF($A443="",0,INT(($A443-Macrociclo!$C$11)/7)+1)</f>
        <v>0</v>
      </c>
      <c r="C443" s="28"/>
      <c r="D443" s="28"/>
      <c r="E443" s="27"/>
      <c r="F443" s="28"/>
      <c r="G443" s="27"/>
      <c r="H443" s="26" t="str">
        <f aca="false">IFERROR(INDEX(Exercícios!$C$7:$C$206,MATCH($G443,Exercícios!$B$7:$B$206,0)),"")</f>
        <v/>
      </c>
      <c r="I443" s="26" t="str">
        <f aca="false">IFERROR(INDEX(Exercícios!$D$7:$D$206,MATCH($G443,Exercícios!$B$7:$B$206,0)),"")</f>
        <v/>
      </c>
      <c r="J443" s="26" t="str">
        <f aca="false">IFERROR(INDEX(Exercícios!$E$7:$E$206,MATCH($G443,Exercícios!$B$7:$B$206,0)),"")</f>
        <v/>
      </c>
      <c r="K443" s="28"/>
      <c r="L443" s="28"/>
      <c r="M443" s="27"/>
      <c r="N443" s="28"/>
      <c r="O443" s="28"/>
      <c r="P443" s="28"/>
      <c r="Q443" s="26" t="n">
        <f aca="false">IFERROR($K443*$L443,"")</f>
        <v>0</v>
      </c>
      <c r="R443" s="44" t="n">
        <f aca="false">IF(OR($O443="",$P443=""),0,$O443*$P443)</f>
        <v>0</v>
      </c>
      <c r="S443" s="27"/>
      <c r="T443" s="27"/>
      <c r="U443" s="40" t="n">
        <f aca="false">IF($A443="",0,IF(AND(OR($E443=Atleta!$C$4,$E443="Equipe (todos)"),$A443&gt;=Atleta!$C$5),MAX($U$7:U442)+1,0))</f>
        <v>0</v>
      </c>
    </row>
    <row r="444" customFormat="false" ht="15" hidden="false" customHeight="false" outlineLevel="0" collapsed="false">
      <c r="A444" s="29"/>
      <c r="B444" s="40" t="n">
        <f aca="false">IF($A444="",0,INT(($A444-Macrociclo!$C$11)/7)+1)</f>
        <v>0</v>
      </c>
      <c r="C444" s="28"/>
      <c r="D444" s="28"/>
      <c r="E444" s="27"/>
      <c r="F444" s="28"/>
      <c r="G444" s="27"/>
      <c r="H444" s="26" t="str">
        <f aca="false">IFERROR(INDEX(Exercícios!$C$7:$C$206,MATCH($G444,Exercícios!$B$7:$B$206,0)),"")</f>
        <v/>
      </c>
      <c r="I444" s="26" t="str">
        <f aca="false">IFERROR(INDEX(Exercícios!$D$7:$D$206,MATCH($G444,Exercícios!$B$7:$B$206,0)),"")</f>
        <v/>
      </c>
      <c r="J444" s="26" t="str">
        <f aca="false">IFERROR(INDEX(Exercícios!$E$7:$E$206,MATCH($G444,Exercícios!$B$7:$B$206,0)),"")</f>
        <v/>
      </c>
      <c r="K444" s="28"/>
      <c r="L444" s="28"/>
      <c r="M444" s="27"/>
      <c r="N444" s="28"/>
      <c r="O444" s="28"/>
      <c r="P444" s="28"/>
      <c r="Q444" s="26" t="n">
        <f aca="false">IFERROR($K444*$L444,"")</f>
        <v>0</v>
      </c>
      <c r="R444" s="44" t="n">
        <f aca="false">IF(OR($O444="",$P444=""),0,$O444*$P444)</f>
        <v>0</v>
      </c>
      <c r="S444" s="27"/>
      <c r="T444" s="27"/>
      <c r="U444" s="40" t="n">
        <f aca="false">IF($A444="",0,IF(AND(OR($E444=Atleta!$C$4,$E444="Equipe (todos)"),$A444&gt;=Atleta!$C$5),MAX($U$7:U443)+1,0))</f>
        <v>0</v>
      </c>
    </row>
    <row r="445" customFormat="false" ht="15" hidden="false" customHeight="false" outlineLevel="0" collapsed="false">
      <c r="A445" s="29"/>
      <c r="B445" s="40" t="n">
        <f aca="false">IF($A445="",0,INT(($A445-Macrociclo!$C$11)/7)+1)</f>
        <v>0</v>
      </c>
      <c r="C445" s="28"/>
      <c r="D445" s="28"/>
      <c r="E445" s="27"/>
      <c r="F445" s="28"/>
      <c r="G445" s="27"/>
      <c r="H445" s="26" t="str">
        <f aca="false">IFERROR(INDEX(Exercícios!$C$7:$C$206,MATCH($G445,Exercícios!$B$7:$B$206,0)),"")</f>
        <v/>
      </c>
      <c r="I445" s="26" t="str">
        <f aca="false">IFERROR(INDEX(Exercícios!$D$7:$D$206,MATCH($G445,Exercícios!$B$7:$B$206,0)),"")</f>
        <v/>
      </c>
      <c r="J445" s="26" t="str">
        <f aca="false">IFERROR(INDEX(Exercícios!$E$7:$E$206,MATCH($G445,Exercícios!$B$7:$B$206,0)),"")</f>
        <v/>
      </c>
      <c r="K445" s="28"/>
      <c r="L445" s="28"/>
      <c r="M445" s="27"/>
      <c r="N445" s="28"/>
      <c r="O445" s="28"/>
      <c r="P445" s="28"/>
      <c r="Q445" s="26" t="n">
        <f aca="false">IFERROR($K445*$L445,"")</f>
        <v>0</v>
      </c>
      <c r="R445" s="44" t="n">
        <f aca="false">IF(OR($O445="",$P445=""),0,$O445*$P445)</f>
        <v>0</v>
      </c>
      <c r="S445" s="27"/>
      <c r="T445" s="27"/>
      <c r="U445" s="40" t="n">
        <f aca="false">IF($A445="",0,IF(AND(OR($E445=Atleta!$C$4,$E445="Equipe (todos)"),$A445&gt;=Atleta!$C$5),MAX($U$7:U444)+1,0))</f>
        <v>0</v>
      </c>
    </row>
    <row r="446" customFormat="false" ht="15" hidden="false" customHeight="false" outlineLevel="0" collapsed="false">
      <c r="A446" s="29"/>
      <c r="B446" s="40" t="n">
        <f aca="false">IF($A446="",0,INT(($A446-Macrociclo!$C$11)/7)+1)</f>
        <v>0</v>
      </c>
      <c r="C446" s="28"/>
      <c r="D446" s="28"/>
      <c r="E446" s="27"/>
      <c r="F446" s="28"/>
      <c r="G446" s="27"/>
      <c r="H446" s="26" t="str">
        <f aca="false">IFERROR(INDEX(Exercícios!$C$7:$C$206,MATCH($G446,Exercícios!$B$7:$B$206,0)),"")</f>
        <v/>
      </c>
      <c r="I446" s="26" t="str">
        <f aca="false">IFERROR(INDEX(Exercícios!$D$7:$D$206,MATCH($G446,Exercícios!$B$7:$B$206,0)),"")</f>
        <v/>
      </c>
      <c r="J446" s="26" t="str">
        <f aca="false">IFERROR(INDEX(Exercícios!$E$7:$E$206,MATCH($G446,Exercícios!$B$7:$B$206,0)),"")</f>
        <v/>
      </c>
      <c r="K446" s="28"/>
      <c r="L446" s="28"/>
      <c r="M446" s="27"/>
      <c r="N446" s="28"/>
      <c r="O446" s="28"/>
      <c r="P446" s="28"/>
      <c r="Q446" s="26" t="n">
        <f aca="false">IFERROR($K446*$L446,"")</f>
        <v>0</v>
      </c>
      <c r="R446" s="44" t="n">
        <f aca="false">IF(OR($O446="",$P446=""),0,$O446*$P446)</f>
        <v>0</v>
      </c>
      <c r="S446" s="27"/>
      <c r="T446" s="27"/>
      <c r="U446" s="40" t="n">
        <f aca="false">IF($A446="",0,IF(AND(OR($E446=Atleta!$C$4,$E446="Equipe (todos)"),$A446&gt;=Atleta!$C$5),MAX($U$7:U445)+1,0))</f>
        <v>0</v>
      </c>
    </row>
    <row r="447" customFormat="false" ht="15" hidden="false" customHeight="false" outlineLevel="0" collapsed="false">
      <c r="A447" s="29"/>
      <c r="B447" s="40" t="n">
        <f aca="false">IF($A447="",0,INT(($A447-Macrociclo!$C$11)/7)+1)</f>
        <v>0</v>
      </c>
      <c r="C447" s="28"/>
      <c r="D447" s="28"/>
      <c r="E447" s="27"/>
      <c r="F447" s="28"/>
      <c r="G447" s="27"/>
      <c r="H447" s="26" t="str">
        <f aca="false">IFERROR(INDEX(Exercícios!$C$7:$C$206,MATCH($G447,Exercícios!$B$7:$B$206,0)),"")</f>
        <v/>
      </c>
      <c r="I447" s="26" t="str">
        <f aca="false">IFERROR(INDEX(Exercícios!$D$7:$D$206,MATCH($G447,Exercícios!$B$7:$B$206,0)),"")</f>
        <v/>
      </c>
      <c r="J447" s="26" t="str">
        <f aca="false">IFERROR(INDEX(Exercícios!$E$7:$E$206,MATCH($G447,Exercícios!$B$7:$B$206,0)),"")</f>
        <v/>
      </c>
      <c r="K447" s="28"/>
      <c r="L447" s="28"/>
      <c r="M447" s="27"/>
      <c r="N447" s="28"/>
      <c r="O447" s="28"/>
      <c r="P447" s="28"/>
      <c r="Q447" s="26" t="n">
        <f aca="false">IFERROR($K447*$L447,"")</f>
        <v>0</v>
      </c>
      <c r="R447" s="44" t="n">
        <f aca="false">IF(OR($O447="",$P447=""),0,$O447*$P447)</f>
        <v>0</v>
      </c>
      <c r="S447" s="27"/>
      <c r="T447" s="27"/>
      <c r="U447" s="40" t="n">
        <f aca="false">IF($A447="",0,IF(AND(OR($E447=Atleta!$C$4,$E447="Equipe (todos)"),$A447&gt;=Atleta!$C$5),MAX($U$7:U446)+1,0))</f>
        <v>0</v>
      </c>
    </row>
    <row r="448" customFormat="false" ht="15" hidden="false" customHeight="false" outlineLevel="0" collapsed="false">
      <c r="A448" s="29"/>
      <c r="B448" s="40" t="n">
        <f aca="false">IF($A448="",0,INT(($A448-Macrociclo!$C$11)/7)+1)</f>
        <v>0</v>
      </c>
      <c r="C448" s="28"/>
      <c r="D448" s="28"/>
      <c r="E448" s="27"/>
      <c r="F448" s="28"/>
      <c r="G448" s="27"/>
      <c r="H448" s="26" t="str">
        <f aca="false">IFERROR(INDEX(Exercícios!$C$7:$C$206,MATCH($G448,Exercícios!$B$7:$B$206,0)),"")</f>
        <v/>
      </c>
      <c r="I448" s="26" t="str">
        <f aca="false">IFERROR(INDEX(Exercícios!$D$7:$D$206,MATCH($G448,Exercícios!$B$7:$B$206,0)),"")</f>
        <v/>
      </c>
      <c r="J448" s="26" t="str">
        <f aca="false">IFERROR(INDEX(Exercícios!$E$7:$E$206,MATCH($G448,Exercícios!$B$7:$B$206,0)),"")</f>
        <v/>
      </c>
      <c r="K448" s="28"/>
      <c r="L448" s="28"/>
      <c r="M448" s="27"/>
      <c r="N448" s="28"/>
      <c r="O448" s="28"/>
      <c r="P448" s="28"/>
      <c r="Q448" s="26" t="n">
        <f aca="false">IFERROR($K448*$L448,"")</f>
        <v>0</v>
      </c>
      <c r="R448" s="44" t="n">
        <f aca="false">IF(OR($O448="",$P448=""),0,$O448*$P448)</f>
        <v>0</v>
      </c>
      <c r="S448" s="27"/>
      <c r="T448" s="27"/>
      <c r="U448" s="40" t="n">
        <f aca="false">IF($A448="",0,IF(AND(OR($E448=Atleta!$C$4,$E448="Equipe (todos)"),$A448&gt;=Atleta!$C$5),MAX($U$7:U447)+1,0))</f>
        <v>0</v>
      </c>
    </row>
    <row r="449" customFormat="false" ht="15" hidden="false" customHeight="false" outlineLevel="0" collapsed="false">
      <c r="A449" s="29"/>
      <c r="B449" s="40" t="n">
        <f aca="false">IF($A449="",0,INT(($A449-Macrociclo!$C$11)/7)+1)</f>
        <v>0</v>
      </c>
      <c r="C449" s="28"/>
      <c r="D449" s="28"/>
      <c r="E449" s="27"/>
      <c r="F449" s="28"/>
      <c r="G449" s="27"/>
      <c r="H449" s="26" t="str">
        <f aca="false">IFERROR(INDEX(Exercícios!$C$7:$C$206,MATCH($G449,Exercícios!$B$7:$B$206,0)),"")</f>
        <v/>
      </c>
      <c r="I449" s="26" t="str">
        <f aca="false">IFERROR(INDEX(Exercícios!$D$7:$D$206,MATCH($G449,Exercícios!$B$7:$B$206,0)),"")</f>
        <v/>
      </c>
      <c r="J449" s="26" t="str">
        <f aca="false">IFERROR(INDEX(Exercícios!$E$7:$E$206,MATCH($G449,Exercícios!$B$7:$B$206,0)),"")</f>
        <v/>
      </c>
      <c r="K449" s="28"/>
      <c r="L449" s="28"/>
      <c r="M449" s="27"/>
      <c r="N449" s="28"/>
      <c r="O449" s="28"/>
      <c r="P449" s="28"/>
      <c r="Q449" s="26" t="n">
        <f aca="false">IFERROR($K449*$L449,"")</f>
        <v>0</v>
      </c>
      <c r="R449" s="44" t="n">
        <f aca="false">IF(OR($O449="",$P449=""),0,$O449*$P449)</f>
        <v>0</v>
      </c>
      <c r="S449" s="27"/>
      <c r="T449" s="27"/>
      <c r="U449" s="40" t="n">
        <f aca="false">IF($A449="",0,IF(AND(OR($E449=Atleta!$C$4,$E449="Equipe (todos)"),$A449&gt;=Atleta!$C$5),MAX($U$7:U448)+1,0))</f>
        <v>0</v>
      </c>
    </row>
    <row r="450" customFormat="false" ht="15" hidden="false" customHeight="false" outlineLevel="0" collapsed="false">
      <c r="A450" s="29"/>
      <c r="B450" s="40" t="n">
        <f aca="false">IF($A450="",0,INT(($A450-Macrociclo!$C$11)/7)+1)</f>
        <v>0</v>
      </c>
      <c r="C450" s="28"/>
      <c r="D450" s="28"/>
      <c r="E450" s="27"/>
      <c r="F450" s="28"/>
      <c r="G450" s="27"/>
      <c r="H450" s="26" t="str">
        <f aca="false">IFERROR(INDEX(Exercícios!$C$7:$C$206,MATCH($G450,Exercícios!$B$7:$B$206,0)),"")</f>
        <v/>
      </c>
      <c r="I450" s="26" t="str">
        <f aca="false">IFERROR(INDEX(Exercícios!$D$7:$D$206,MATCH($G450,Exercícios!$B$7:$B$206,0)),"")</f>
        <v/>
      </c>
      <c r="J450" s="26" t="str">
        <f aca="false">IFERROR(INDEX(Exercícios!$E$7:$E$206,MATCH($G450,Exercícios!$B$7:$B$206,0)),"")</f>
        <v/>
      </c>
      <c r="K450" s="28"/>
      <c r="L450" s="28"/>
      <c r="M450" s="27"/>
      <c r="N450" s="28"/>
      <c r="O450" s="28"/>
      <c r="P450" s="28"/>
      <c r="Q450" s="26" t="n">
        <f aca="false">IFERROR($K450*$L450,"")</f>
        <v>0</v>
      </c>
      <c r="R450" s="44" t="n">
        <f aca="false">IF(OR($O450="",$P450=""),0,$O450*$P450)</f>
        <v>0</v>
      </c>
      <c r="S450" s="27"/>
      <c r="T450" s="27"/>
      <c r="U450" s="40" t="n">
        <f aca="false">IF($A450="",0,IF(AND(OR($E450=Atleta!$C$4,$E450="Equipe (todos)"),$A450&gt;=Atleta!$C$5),MAX($U$7:U449)+1,0))</f>
        <v>0</v>
      </c>
    </row>
    <row r="451" customFormat="false" ht="15" hidden="false" customHeight="false" outlineLevel="0" collapsed="false">
      <c r="A451" s="29"/>
      <c r="B451" s="40" t="n">
        <f aca="false">IF($A451="",0,INT(($A451-Macrociclo!$C$11)/7)+1)</f>
        <v>0</v>
      </c>
      <c r="C451" s="28"/>
      <c r="D451" s="28"/>
      <c r="E451" s="27"/>
      <c r="F451" s="28"/>
      <c r="G451" s="27"/>
      <c r="H451" s="26" t="str">
        <f aca="false">IFERROR(INDEX(Exercícios!$C$7:$C$206,MATCH($G451,Exercícios!$B$7:$B$206,0)),"")</f>
        <v/>
      </c>
      <c r="I451" s="26" t="str">
        <f aca="false">IFERROR(INDEX(Exercícios!$D$7:$D$206,MATCH($G451,Exercícios!$B$7:$B$206,0)),"")</f>
        <v/>
      </c>
      <c r="J451" s="26" t="str">
        <f aca="false">IFERROR(INDEX(Exercícios!$E$7:$E$206,MATCH($G451,Exercícios!$B$7:$B$206,0)),"")</f>
        <v/>
      </c>
      <c r="K451" s="28"/>
      <c r="L451" s="28"/>
      <c r="M451" s="27"/>
      <c r="N451" s="28"/>
      <c r="O451" s="28"/>
      <c r="P451" s="28"/>
      <c r="Q451" s="26" t="n">
        <f aca="false">IFERROR($K451*$L451,"")</f>
        <v>0</v>
      </c>
      <c r="R451" s="44" t="n">
        <f aca="false">IF(OR($O451="",$P451=""),0,$O451*$P451)</f>
        <v>0</v>
      </c>
      <c r="S451" s="27"/>
      <c r="T451" s="27"/>
      <c r="U451" s="40" t="n">
        <f aca="false">IF($A451="",0,IF(AND(OR($E451=Atleta!$C$4,$E451="Equipe (todos)"),$A451&gt;=Atleta!$C$5),MAX($U$7:U450)+1,0))</f>
        <v>0</v>
      </c>
    </row>
    <row r="452" customFormat="false" ht="15" hidden="false" customHeight="false" outlineLevel="0" collapsed="false">
      <c r="A452" s="29"/>
      <c r="B452" s="40" t="n">
        <f aca="false">IF($A452="",0,INT(($A452-Macrociclo!$C$11)/7)+1)</f>
        <v>0</v>
      </c>
      <c r="C452" s="28"/>
      <c r="D452" s="28"/>
      <c r="E452" s="27"/>
      <c r="F452" s="28"/>
      <c r="G452" s="27"/>
      <c r="H452" s="26" t="str">
        <f aca="false">IFERROR(INDEX(Exercícios!$C$7:$C$206,MATCH($G452,Exercícios!$B$7:$B$206,0)),"")</f>
        <v/>
      </c>
      <c r="I452" s="26" t="str">
        <f aca="false">IFERROR(INDEX(Exercícios!$D$7:$D$206,MATCH($G452,Exercícios!$B$7:$B$206,0)),"")</f>
        <v/>
      </c>
      <c r="J452" s="26" t="str">
        <f aca="false">IFERROR(INDEX(Exercícios!$E$7:$E$206,MATCH($G452,Exercícios!$B$7:$B$206,0)),"")</f>
        <v/>
      </c>
      <c r="K452" s="28"/>
      <c r="L452" s="28"/>
      <c r="M452" s="27"/>
      <c r="N452" s="28"/>
      <c r="O452" s="28"/>
      <c r="P452" s="28"/>
      <c r="Q452" s="26" t="n">
        <f aca="false">IFERROR($K452*$L452,"")</f>
        <v>0</v>
      </c>
      <c r="R452" s="44" t="n">
        <f aca="false">IF(OR($O452="",$P452=""),0,$O452*$P452)</f>
        <v>0</v>
      </c>
      <c r="S452" s="27"/>
      <c r="T452" s="27"/>
      <c r="U452" s="40" t="n">
        <f aca="false">IF($A452="",0,IF(AND(OR($E452=Atleta!$C$4,$E452="Equipe (todos)"),$A452&gt;=Atleta!$C$5),MAX($U$7:U451)+1,0))</f>
        <v>0</v>
      </c>
    </row>
    <row r="453" customFormat="false" ht="15" hidden="false" customHeight="false" outlineLevel="0" collapsed="false">
      <c r="A453" s="29"/>
      <c r="B453" s="40" t="n">
        <f aca="false">IF($A453="",0,INT(($A453-Macrociclo!$C$11)/7)+1)</f>
        <v>0</v>
      </c>
      <c r="C453" s="28"/>
      <c r="D453" s="28"/>
      <c r="E453" s="27"/>
      <c r="F453" s="28"/>
      <c r="G453" s="27"/>
      <c r="H453" s="26" t="str">
        <f aca="false">IFERROR(INDEX(Exercícios!$C$7:$C$206,MATCH($G453,Exercícios!$B$7:$B$206,0)),"")</f>
        <v/>
      </c>
      <c r="I453" s="26" t="str">
        <f aca="false">IFERROR(INDEX(Exercícios!$D$7:$D$206,MATCH($G453,Exercícios!$B$7:$B$206,0)),"")</f>
        <v/>
      </c>
      <c r="J453" s="26" t="str">
        <f aca="false">IFERROR(INDEX(Exercícios!$E$7:$E$206,MATCH($G453,Exercícios!$B$7:$B$206,0)),"")</f>
        <v/>
      </c>
      <c r="K453" s="28"/>
      <c r="L453" s="28"/>
      <c r="M453" s="27"/>
      <c r="N453" s="28"/>
      <c r="O453" s="28"/>
      <c r="P453" s="28"/>
      <c r="Q453" s="26" t="n">
        <f aca="false">IFERROR($K453*$L453,"")</f>
        <v>0</v>
      </c>
      <c r="R453" s="44" t="n">
        <f aca="false">IF(OR($O453="",$P453=""),0,$O453*$P453)</f>
        <v>0</v>
      </c>
      <c r="S453" s="27"/>
      <c r="T453" s="27"/>
      <c r="U453" s="40" t="n">
        <f aca="false">IF($A453="",0,IF(AND(OR($E453=Atleta!$C$4,$E453="Equipe (todos)"),$A453&gt;=Atleta!$C$5),MAX($U$7:U452)+1,0))</f>
        <v>0</v>
      </c>
    </row>
    <row r="454" customFormat="false" ht="15" hidden="false" customHeight="false" outlineLevel="0" collapsed="false">
      <c r="A454" s="29"/>
      <c r="B454" s="40" t="n">
        <f aca="false">IF($A454="",0,INT(($A454-Macrociclo!$C$11)/7)+1)</f>
        <v>0</v>
      </c>
      <c r="C454" s="28"/>
      <c r="D454" s="28"/>
      <c r="E454" s="27"/>
      <c r="F454" s="28"/>
      <c r="G454" s="27"/>
      <c r="H454" s="26" t="str">
        <f aca="false">IFERROR(INDEX(Exercícios!$C$7:$C$206,MATCH($G454,Exercícios!$B$7:$B$206,0)),"")</f>
        <v/>
      </c>
      <c r="I454" s="26" t="str">
        <f aca="false">IFERROR(INDEX(Exercícios!$D$7:$D$206,MATCH($G454,Exercícios!$B$7:$B$206,0)),"")</f>
        <v/>
      </c>
      <c r="J454" s="26" t="str">
        <f aca="false">IFERROR(INDEX(Exercícios!$E$7:$E$206,MATCH($G454,Exercícios!$B$7:$B$206,0)),"")</f>
        <v/>
      </c>
      <c r="K454" s="28"/>
      <c r="L454" s="28"/>
      <c r="M454" s="27"/>
      <c r="N454" s="28"/>
      <c r="O454" s="28"/>
      <c r="P454" s="28"/>
      <c r="Q454" s="26" t="n">
        <f aca="false">IFERROR($K454*$L454,"")</f>
        <v>0</v>
      </c>
      <c r="R454" s="44" t="n">
        <f aca="false">IF(OR($O454="",$P454=""),0,$O454*$P454)</f>
        <v>0</v>
      </c>
      <c r="S454" s="27"/>
      <c r="T454" s="27"/>
      <c r="U454" s="40" t="n">
        <f aca="false">IF($A454="",0,IF(AND(OR($E454=Atleta!$C$4,$E454="Equipe (todos)"),$A454&gt;=Atleta!$C$5),MAX($U$7:U453)+1,0))</f>
        <v>0</v>
      </c>
    </row>
    <row r="455" customFormat="false" ht="15" hidden="false" customHeight="false" outlineLevel="0" collapsed="false">
      <c r="A455" s="29"/>
      <c r="B455" s="40" t="n">
        <f aca="false">IF($A455="",0,INT(($A455-Macrociclo!$C$11)/7)+1)</f>
        <v>0</v>
      </c>
      <c r="C455" s="28"/>
      <c r="D455" s="28"/>
      <c r="E455" s="27"/>
      <c r="F455" s="28"/>
      <c r="G455" s="27"/>
      <c r="H455" s="26" t="str">
        <f aca="false">IFERROR(INDEX(Exercícios!$C$7:$C$206,MATCH($G455,Exercícios!$B$7:$B$206,0)),"")</f>
        <v/>
      </c>
      <c r="I455" s="26" t="str">
        <f aca="false">IFERROR(INDEX(Exercícios!$D$7:$D$206,MATCH($G455,Exercícios!$B$7:$B$206,0)),"")</f>
        <v/>
      </c>
      <c r="J455" s="26" t="str">
        <f aca="false">IFERROR(INDEX(Exercícios!$E$7:$E$206,MATCH($G455,Exercícios!$B$7:$B$206,0)),"")</f>
        <v/>
      </c>
      <c r="K455" s="28"/>
      <c r="L455" s="28"/>
      <c r="M455" s="27"/>
      <c r="N455" s="28"/>
      <c r="O455" s="28"/>
      <c r="P455" s="28"/>
      <c r="Q455" s="26" t="n">
        <f aca="false">IFERROR($K455*$L455,"")</f>
        <v>0</v>
      </c>
      <c r="R455" s="44" t="n">
        <f aca="false">IF(OR($O455="",$P455=""),0,$O455*$P455)</f>
        <v>0</v>
      </c>
      <c r="S455" s="27"/>
      <c r="T455" s="27"/>
      <c r="U455" s="40" t="n">
        <f aca="false">IF($A455="",0,IF(AND(OR($E455=Atleta!$C$4,$E455="Equipe (todos)"),$A455&gt;=Atleta!$C$5),MAX($U$7:U454)+1,0))</f>
        <v>0</v>
      </c>
    </row>
    <row r="456" customFormat="false" ht="15" hidden="false" customHeight="false" outlineLevel="0" collapsed="false">
      <c r="A456" s="29"/>
      <c r="B456" s="40" t="n">
        <f aca="false">IF($A456="",0,INT(($A456-Macrociclo!$C$11)/7)+1)</f>
        <v>0</v>
      </c>
      <c r="C456" s="28"/>
      <c r="D456" s="28"/>
      <c r="E456" s="27"/>
      <c r="F456" s="28"/>
      <c r="G456" s="27"/>
      <c r="H456" s="26" t="str">
        <f aca="false">IFERROR(INDEX(Exercícios!$C$7:$C$206,MATCH($G456,Exercícios!$B$7:$B$206,0)),"")</f>
        <v/>
      </c>
      <c r="I456" s="26" t="str">
        <f aca="false">IFERROR(INDEX(Exercícios!$D$7:$D$206,MATCH($G456,Exercícios!$B$7:$B$206,0)),"")</f>
        <v/>
      </c>
      <c r="J456" s="26" t="str">
        <f aca="false">IFERROR(INDEX(Exercícios!$E$7:$E$206,MATCH($G456,Exercícios!$B$7:$B$206,0)),"")</f>
        <v/>
      </c>
      <c r="K456" s="28"/>
      <c r="L456" s="28"/>
      <c r="M456" s="27"/>
      <c r="N456" s="28"/>
      <c r="O456" s="28"/>
      <c r="P456" s="28"/>
      <c r="Q456" s="26" t="n">
        <f aca="false">IFERROR($K456*$L456,"")</f>
        <v>0</v>
      </c>
      <c r="R456" s="44" t="n">
        <f aca="false">IF(OR($O456="",$P456=""),0,$O456*$P456)</f>
        <v>0</v>
      </c>
      <c r="S456" s="27"/>
      <c r="T456" s="27"/>
      <c r="U456" s="40" t="n">
        <f aca="false">IF($A456="",0,IF(AND(OR($E456=Atleta!$C$4,$E456="Equipe (todos)"),$A456&gt;=Atleta!$C$5),MAX($U$7:U455)+1,0))</f>
        <v>0</v>
      </c>
    </row>
    <row r="457" customFormat="false" ht="15" hidden="false" customHeight="false" outlineLevel="0" collapsed="false">
      <c r="A457" s="29"/>
      <c r="B457" s="40" t="n">
        <f aca="false">IF($A457="",0,INT(($A457-Macrociclo!$C$11)/7)+1)</f>
        <v>0</v>
      </c>
      <c r="C457" s="28"/>
      <c r="D457" s="28"/>
      <c r="E457" s="27"/>
      <c r="F457" s="28"/>
      <c r="G457" s="27"/>
      <c r="H457" s="26" t="str">
        <f aca="false">IFERROR(INDEX(Exercícios!$C$7:$C$206,MATCH($G457,Exercícios!$B$7:$B$206,0)),"")</f>
        <v/>
      </c>
      <c r="I457" s="26" t="str">
        <f aca="false">IFERROR(INDEX(Exercícios!$D$7:$D$206,MATCH($G457,Exercícios!$B$7:$B$206,0)),"")</f>
        <v/>
      </c>
      <c r="J457" s="26" t="str">
        <f aca="false">IFERROR(INDEX(Exercícios!$E$7:$E$206,MATCH($G457,Exercícios!$B$7:$B$206,0)),"")</f>
        <v/>
      </c>
      <c r="K457" s="28"/>
      <c r="L457" s="28"/>
      <c r="M457" s="27"/>
      <c r="N457" s="28"/>
      <c r="O457" s="28"/>
      <c r="P457" s="28"/>
      <c r="Q457" s="26" t="n">
        <f aca="false">IFERROR($K457*$L457,"")</f>
        <v>0</v>
      </c>
      <c r="R457" s="44" t="n">
        <f aca="false">IF(OR($O457="",$P457=""),0,$O457*$P457)</f>
        <v>0</v>
      </c>
      <c r="S457" s="27"/>
      <c r="T457" s="27"/>
      <c r="U457" s="40" t="n">
        <f aca="false">IF($A457="",0,IF(AND(OR($E457=Atleta!$C$4,$E457="Equipe (todos)"),$A457&gt;=Atleta!$C$5),MAX($U$7:U456)+1,0))</f>
        <v>0</v>
      </c>
    </row>
    <row r="458" customFormat="false" ht="15" hidden="false" customHeight="false" outlineLevel="0" collapsed="false">
      <c r="A458" s="29"/>
      <c r="B458" s="40" t="n">
        <f aca="false">IF($A458="",0,INT(($A458-Macrociclo!$C$11)/7)+1)</f>
        <v>0</v>
      </c>
      <c r="C458" s="28"/>
      <c r="D458" s="28"/>
      <c r="E458" s="27"/>
      <c r="F458" s="28"/>
      <c r="G458" s="27"/>
      <c r="H458" s="26" t="str">
        <f aca="false">IFERROR(INDEX(Exercícios!$C$7:$C$206,MATCH($G458,Exercícios!$B$7:$B$206,0)),"")</f>
        <v/>
      </c>
      <c r="I458" s="26" t="str">
        <f aca="false">IFERROR(INDEX(Exercícios!$D$7:$D$206,MATCH($G458,Exercícios!$B$7:$B$206,0)),"")</f>
        <v/>
      </c>
      <c r="J458" s="26" t="str">
        <f aca="false">IFERROR(INDEX(Exercícios!$E$7:$E$206,MATCH($G458,Exercícios!$B$7:$B$206,0)),"")</f>
        <v/>
      </c>
      <c r="K458" s="28"/>
      <c r="L458" s="28"/>
      <c r="M458" s="27"/>
      <c r="N458" s="28"/>
      <c r="O458" s="28"/>
      <c r="P458" s="28"/>
      <c r="Q458" s="26" t="n">
        <f aca="false">IFERROR($K458*$L458,"")</f>
        <v>0</v>
      </c>
      <c r="R458" s="44" t="n">
        <f aca="false">IF(OR($O458="",$P458=""),0,$O458*$P458)</f>
        <v>0</v>
      </c>
      <c r="S458" s="27"/>
      <c r="T458" s="27"/>
      <c r="U458" s="40" t="n">
        <f aca="false">IF($A458="",0,IF(AND(OR($E458=Atleta!$C$4,$E458="Equipe (todos)"),$A458&gt;=Atleta!$C$5),MAX($U$7:U457)+1,0))</f>
        <v>0</v>
      </c>
    </row>
    <row r="459" customFormat="false" ht="15" hidden="false" customHeight="false" outlineLevel="0" collapsed="false">
      <c r="A459" s="29"/>
      <c r="B459" s="40" t="n">
        <f aca="false">IF($A459="",0,INT(($A459-Macrociclo!$C$11)/7)+1)</f>
        <v>0</v>
      </c>
      <c r="C459" s="28"/>
      <c r="D459" s="28"/>
      <c r="E459" s="27"/>
      <c r="F459" s="28"/>
      <c r="G459" s="27"/>
      <c r="H459" s="26" t="str">
        <f aca="false">IFERROR(INDEX(Exercícios!$C$7:$C$206,MATCH($G459,Exercícios!$B$7:$B$206,0)),"")</f>
        <v/>
      </c>
      <c r="I459" s="26" t="str">
        <f aca="false">IFERROR(INDEX(Exercícios!$D$7:$D$206,MATCH($G459,Exercícios!$B$7:$B$206,0)),"")</f>
        <v/>
      </c>
      <c r="J459" s="26" t="str">
        <f aca="false">IFERROR(INDEX(Exercícios!$E$7:$E$206,MATCH($G459,Exercícios!$B$7:$B$206,0)),"")</f>
        <v/>
      </c>
      <c r="K459" s="28"/>
      <c r="L459" s="28"/>
      <c r="M459" s="27"/>
      <c r="N459" s="28"/>
      <c r="O459" s="28"/>
      <c r="P459" s="28"/>
      <c r="Q459" s="26" t="n">
        <f aca="false">IFERROR($K459*$L459,"")</f>
        <v>0</v>
      </c>
      <c r="R459" s="44" t="n">
        <f aca="false">IF(OR($O459="",$P459=""),0,$O459*$P459)</f>
        <v>0</v>
      </c>
      <c r="S459" s="27"/>
      <c r="T459" s="27"/>
      <c r="U459" s="40" t="n">
        <f aca="false">IF($A459="",0,IF(AND(OR($E459=Atleta!$C$4,$E459="Equipe (todos)"),$A459&gt;=Atleta!$C$5),MAX($U$7:U458)+1,0))</f>
        <v>0</v>
      </c>
    </row>
    <row r="460" customFormat="false" ht="15" hidden="false" customHeight="false" outlineLevel="0" collapsed="false">
      <c r="A460" s="29"/>
      <c r="B460" s="40" t="n">
        <f aca="false">IF($A460="",0,INT(($A460-Macrociclo!$C$11)/7)+1)</f>
        <v>0</v>
      </c>
      <c r="C460" s="28"/>
      <c r="D460" s="28"/>
      <c r="E460" s="27"/>
      <c r="F460" s="28"/>
      <c r="G460" s="27"/>
      <c r="H460" s="26" t="str">
        <f aca="false">IFERROR(INDEX(Exercícios!$C$7:$C$206,MATCH($G460,Exercícios!$B$7:$B$206,0)),"")</f>
        <v/>
      </c>
      <c r="I460" s="26" t="str">
        <f aca="false">IFERROR(INDEX(Exercícios!$D$7:$D$206,MATCH($G460,Exercícios!$B$7:$B$206,0)),"")</f>
        <v/>
      </c>
      <c r="J460" s="26" t="str">
        <f aca="false">IFERROR(INDEX(Exercícios!$E$7:$E$206,MATCH($G460,Exercícios!$B$7:$B$206,0)),"")</f>
        <v/>
      </c>
      <c r="K460" s="28"/>
      <c r="L460" s="28"/>
      <c r="M460" s="27"/>
      <c r="N460" s="28"/>
      <c r="O460" s="28"/>
      <c r="P460" s="28"/>
      <c r="Q460" s="26" t="n">
        <f aca="false">IFERROR($K460*$L460,"")</f>
        <v>0</v>
      </c>
      <c r="R460" s="44" t="n">
        <f aca="false">IF(OR($O460="",$P460=""),0,$O460*$P460)</f>
        <v>0</v>
      </c>
      <c r="S460" s="27"/>
      <c r="T460" s="27"/>
      <c r="U460" s="40" t="n">
        <f aca="false">IF($A460="",0,IF(AND(OR($E460=Atleta!$C$4,$E460="Equipe (todos)"),$A460&gt;=Atleta!$C$5),MAX($U$7:U459)+1,0))</f>
        <v>0</v>
      </c>
    </row>
    <row r="461" customFormat="false" ht="15" hidden="false" customHeight="false" outlineLevel="0" collapsed="false">
      <c r="A461" s="29"/>
      <c r="B461" s="40" t="n">
        <f aca="false">IF($A461="",0,INT(($A461-Macrociclo!$C$11)/7)+1)</f>
        <v>0</v>
      </c>
      <c r="C461" s="28"/>
      <c r="D461" s="28"/>
      <c r="E461" s="27"/>
      <c r="F461" s="28"/>
      <c r="G461" s="27"/>
      <c r="H461" s="26" t="str">
        <f aca="false">IFERROR(INDEX(Exercícios!$C$7:$C$206,MATCH($G461,Exercícios!$B$7:$B$206,0)),"")</f>
        <v/>
      </c>
      <c r="I461" s="26" t="str">
        <f aca="false">IFERROR(INDEX(Exercícios!$D$7:$D$206,MATCH($G461,Exercícios!$B$7:$B$206,0)),"")</f>
        <v/>
      </c>
      <c r="J461" s="26" t="str">
        <f aca="false">IFERROR(INDEX(Exercícios!$E$7:$E$206,MATCH($G461,Exercícios!$B$7:$B$206,0)),"")</f>
        <v/>
      </c>
      <c r="K461" s="28"/>
      <c r="L461" s="28"/>
      <c r="M461" s="27"/>
      <c r="N461" s="28"/>
      <c r="O461" s="28"/>
      <c r="P461" s="28"/>
      <c r="Q461" s="26" t="n">
        <f aca="false">IFERROR($K461*$L461,"")</f>
        <v>0</v>
      </c>
      <c r="R461" s="44" t="n">
        <f aca="false">IF(OR($O461="",$P461=""),0,$O461*$P461)</f>
        <v>0</v>
      </c>
      <c r="S461" s="27"/>
      <c r="T461" s="27"/>
      <c r="U461" s="40" t="n">
        <f aca="false">IF($A461="",0,IF(AND(OR($E461=Atleta!$C$4,$E461="Equipe (todos)"),$A461&gt;=Atleta!$C$5),MAX($U$7:U460)+1,0))</f>
        <v>0</v>
      </c>
    </row>
    <row r="462" customFormat="false" ht="15" hidden="false" customHeight="false" outlineLevel="0" collapsed="false">
      <c r="A462" s="29"/>
      <c r="B462" s="40" t="n">
        <f aca="false">IF($A462="",0,INT(($A462-Macrociclo!$C$11)/7)+1)</f>
        <v>0</v>
      </c>
      <c r="C462" s="28"/>
      <c r="D462" s="28"/>
      <c r="E462" s="27"/>
      <c r="F462" s="28"/>
      <c r="G462" s="27"/>
      <c r="H462" s="26" t="str">
        <f aca="false">IFERROR(INDEX(Exercícios!$C$7:$C$206,MATCH($G462,Exercícios!$B$7:$B$206,0)),"")</f>
        <v/>
      </c>
      <c r="I462" s="26" t="str">
        <f aca="false">IFERROR(INDEX(Exercícios!$D$7:$D$206,MATCH($G462,Exercícios!$B$7:$B$206,0)),"")</f>
        <v/>
      </c>
      <c r="J462" s="26" t="str">
        <f aca="false">IFERROR(INDEX(Exercícios!$E$7:$E$206,MATCH($G462,Exercícios!$B$7:$B$206,0)),"")</f>
        <v/>
      </c>
      <c r="K462" s="28"/>
      <c r="L462" s="28"/>
      <c r="M462" s="27"/>
      <c r="N462" s="28"/>
      <c r="O462" s="28"/>
      <c r="P462" s="28"/>
      <c r="Q462" s="26" t="n">
        <f aca="false">IFERROR($K462*$L462,"")</f>
        <v>0</v>
      </c>
      <c r="R462" s="44" t="n">
        <f aca="false">IF(OR($O462="",$P462=""),0,$O462*$P462)</f>
        <v>0</v>
      </c>
      <c r="S462" s="27"/>
      <c r="T462" s="27"/>
      <c r="U462" s="40" t="n">
        <f aca="false">IF($A462="",0,IF(AND(OR($E462=Atleta!$C$4,$E462="Equipe (todos)"),$A462&gt;=Atleta!$C$5),MAX($U$7:U461)+1,0))</f>
        <v>0</v>
      </c>
    </row>
    <row r="463" customFormat="false" ht="15" hidden="false" customHeight="false" outlineLevel="0" collapsed="false">
      <c r="A463" s="29"/>
      <c r="B463" s="40" t="n">
        <f aca="false">IF($A463="",0,INT(($A463-Macrociclo!$C$11)/7)+1)</f>
        <v>0</v>
      </c>
      <c r="C463" s="28"/>
      <c r="D463" s="28"/>
      <c r="E463" s="27"/>
      <c r="F463" s="28"/>
      <c r="G463" s="27"/>
      <c r="H463" s="26" t="str">
        <f aca="false">IFERROR(INDEX(Exercícios!$C$7:$C$206,MATCH($G463,Exercícios!$B$7:$B$206,0)),"")</f>
        <v/>
      </c>
      <c r="I463" s="26" t="str">
        <f aca="false">IFERROR(INDEX(Exercícios!$D$7:$D$206,MATCH($G463,Exercícios!$B$7:$B$206,0)),"")</f>
        <v/>
      </c>
      <c r="J463" s="26" t="str">
        <f aca="false">IFERROR(INDEX(Exercícios!$E$7:$E$206,MATCH($G463,Exercícios!$B$7:$B$206,0)),"")</f>
        <v/>
      </c>
      <c r="K463" s="28"/>
      <c r="L463" s="28"/>
      <c r="M463" s="27"/>
      <c r="N463" s="28"/>
      <c r="O463" s="28"/>
      <c r="P463" s="28"/>
      <c r="Q463" s="26" t="n">
        <f aca="false">IFERROR($K463*$L463,"")</f>
        <v>0</v>
      </c>
      <c r="R463" s="44" t="n">
        <f aca="false">IF(OR($O463="",$P463=""),0,$O463*$P463)</f>
        <v>0</v>
      </c>
      <c r="S463" s="27"/>
      <c r="T463" s="27"/>
      <c r="U463" s="40" t="n">
        <f aca="false">IF($A463="",0,IF(AND(OR($E463=Atleta!$C$4,$E463="Equipe (todos)"),$A463&gt;=Atleta!$C$5),MAX($U$7:U462)+1,0))</f>
        <v>0</v>
      </c>
    </row>
    <row r="464" customFormat="false" ht="15" hidden="false" customHeight="false" outlineLevel="0" collapsed="false">
      <c r="A464" s="29"/>
      <c r="B464" s="40" t="n">
        <f aca="false">IF($A464="",0,INT(($A464-Macrociclo!$C$11)/7)+1)</f>
        <v>0</v>
      </c>
      <c r="C464" s="28"/>
      <c r="D464" s="28"/>
      <c r="E464" s="27"/>
      <c r="F464" s="28"/>
      <c r="G464" s="27"/>
      <c r="H464" s="26" t="str">
        <f aca="false">IFERROR(INDEX(Exercícios!$C$7:$C$206,MATCH($G464,Exercícios!$B$7:$B$206,0)),"")</f>
        <v/>
      </c>
      <c r="I464" s="26" t="str">
        <f aca="false">IFERROR(INDEX(Exercícios!$D$7:$D$206,MATCH($G464,Exercícios!$B$7:$B$206,0)),"")</f>
        <v/>
      </c>
      <c r="J464" s="26" t="str">
        <f aca="false">IFERROR(INDEX(Exercícios!$E$7:$E$206,MATCH($G464,Exercícios!$B$7:$B$206,0)),"")</f>
        <v/>
      </c>
      <c r="K464" s="28"/>
      <c r="L464" s="28"/>
      <c r="M464" s="27"/>
      <c r="N464" s="28"/>
      <c r="O464" s="28"/>
      <c r="P464" s="28"/>
      <c r="Q464" s="26" t="n">
        <f aca="false">IFERROR($K464*$L464,"")</f>
        <v>0</v>
      </c>
      <c r="R464" s="44" t="n">
        <f aca="false">IF(OR($O464="",$P464=""),0,$O464*$P464)</f>
        <v>0</v>
      </c>
      <c r="S464" s="27"/>
      <c r="T464" s="27"/>
      <c r="U464" s="40" t="n">
        <f aca="false">IF($A464="",0,IF(AND(OR($E464=Atleta!$C$4,$E464="Equipe (todos)"),$A464&gt;=Atleta!$C$5),MAX($U$7:U463)+1,0))</f>
        <v>0</v>
      </c>
    </row>
    <row r="465" customFormat="false" ht="15" hidden="false" customHeight="false" outlineLevel="0" collapsed="false">
      <c r="A465" s="29"/>
      <c r="B465" s="40" t="n">
        <f aca="false">IF($A465="",0,INT(($A465-Macrociclo!$C$11)/7)+1)</f>
        <v>0</v>
      </c>
      <c r="C465" s="28"/>
      <c r="D465" s="28"/>
      <c r="E465" s="27"/>
      <c r="F465" s="28"/>
      <c r="G465" s="27"/>
      <c r="H465" s="26" t="str">
        <f aca="false">IFERROR(INDEX(Exercícios!$C$7:$C$206,MATCH($G465,Exercícios!$B$7:$B$206,0)),"")</f>
        <v/>
      </c>
      <c r="I465" s="26" t="str">
        <f aca="false">IFERROR(INDEX(Exercícios!$D$7:$D$206,MATCH($G465,Exercícios!$B$7:$B$206,0)),"")</f>
        <v/>
      </c>
      <c r="J465" s="26" t="str">
        <f aca="false">IFERROR(INDEX(Exercícios!$E$7:$E$206,MATCH($G465,Exercícios!$B$7:$B$206,0)),"")</f>
        <v/>
      </c>
      <c r="K465" s="28"/>
      <c r="L465" s="28"/>
      <c r="M465" s="27"/>
      <c r="N465" s="28"/>
      <c r="O465" s="28"/>
      <c r="P465" s="28"/>
      <c r="Q465" s="26" t="n">
        <f aca="false">IFERROR($K465*$L465,"")</f>
        <v>0</v>
      </c>
      <c r="R465" s="44" t="n">
        <f aca="false">IF(OR($O465="",$P465=""),0,$O465*$P465)</f>
        <v>0</v>
      </c>
      <c r="S465" s="27"/>
      <c r="T465" s="27"/>
      <c r="U465" s="40" t="n">
        <f aca="false">IF($A465="",0,IF(AND(OR($E465=Atleta!$C$4,$E465="Equipe (todos)"),$A465&gt;=Atleta!$C$5),MAX($U$7:U464)+1,0))</f>
        <v>0</v>
      </c>
    </row>
    <row r="466" customFormat="false" ht="15" hidden="false" customHeight="false" outlineLevel="0" collapsed="false">
      <c r="A466" s="29"/>
      <c r="B466" s="40" t="n">
        <f aca="false">IF($A466="",0,INT(($A466-Macrociclo!$C$11)/7)+1)</f>
        <v>0</v>
      </c>
      <c r="C466" s="28"/>
      <c r="D466" s="28"/>
      <c r="E466" s="27"/>
      <c r="F466" s="28"/>
      <c r="G466" s="27"/>
      <c r="H466" s="26" t="str">
        <f aca="false">IFERROR(INDEX(Exercícios!$C$7:$C$206,MATCH($G466,Exercícios!$B$7:$B$206,0)),"")</f>
        <v/>
      </c>
      <c r="I466" s="26" t="str">
        <f aca="false">IFERROR(INDEX(Exercícios!$D$7:$D$206,MATCH($G466,Exercícios!$B$7:$B$206,0)),"")</f>
        <v/>
      </c>
      <c r="J466" s="26" t="str">
        <f aca="false">IFERROR(INDEX(Exercícios!$E$7:$E$206,MATCH($G466,Exercícios!$B$7:$B$206,0)),"")</f>
        <v/>
      </c>
      <c r="K466" s="28"/>
      <c r="L466" s="28"/>
      <c r="M466" s="27"/>
      <c r="N466" s="28"/>
      <c r="O466" s="28"/>
      <c r="P466" s="28"/>
      <c r="Q466" s="26" t="n">
        <f aca="false">IFERROR($K466*$L466,"")</f>
        <v>0</v>
      </c>
      <c r="R466" s="44" t="n">
        <f aca="false">IF(OR($O466="",$P466=""),0,$O466*$P466)</f>
        <v>0</v>
      </c>
      <c r="S466" s="27"/>
      <c r="T466" s="27"/>
      <c r="U466" s="40" t="n">
        <f aca="false">IF($A466="",0,IF(AND(OR($E466=Atleta!$C$4,$E466="Equipe (todos)"),$A466&gt;=Atleta!$C$5),MAX($U$7:U465)+1,0))</f>
        <v>0</v>
      </c>
    </row>
    <row r="467" customFormat="false" ht="15" hidden="false" customHeight="false" outlineLevel="0" collapsed="false">
      <c r="A467" s="29"/>
      <c r="B467" s="40" t="n">
        <f aca="false">IF($A467="",0,INT(($A467-Macrociclo!$C$11)/7)+1)</f>
        <v>0</v>
      </c>
      <c r="C467" s="28"/>
      <c r="D467" s="28"/>
      <c r="E467" s="27"/>
      <c r="F467" s="28"/>
      <c r="G467" s="27"/>
      <c r="H467" s="26" t="str">
        <f aca="false">IFERROR(INDEX(Exercícios!$C$7:$C$206,MATCH($G467,Exercícios!$B$7:$B$206,0)),"")</f>
        <v/>
      </c>
      <c r="I467" s="26" t="str">
        <f aca="false">IFERROR(INDEX(Exercícios!$D$7:$D$206,MATCH($G467,Exercícios!$B$7:$B$206,0)),"")</f>
        <v/>
      </c>
      <c r="J467" s="26" t="str">
        <f aca="false">IFERROR(INDEX(Exercícios!$E$7:$E$206,MATCH($G467,Exercícios!$B$7:$B$206,0)),"")</f>
        <v/>
      </c>
      <c r="K467" s="28"/>
      <c r="L467" s="28"/>
      <c r="M467" s="27"/>
      <c r="N467" s="28"/>
      <c r="O467" s="28"/>
      <c r="P467" s="28"/>
      <c r="Q467" s="26" t="n">
        <f aca="false">IFERROR($K467*$L467,"")</f>
        <v>0</v>
      </c>
      <c r="R467" s="44" t="n">
        <f aca="false">IF(OR($O467="",$P467=""),0,$O467*$P467)</f>
        <v>0</v>
      </c>
      <c r="S467" s="27"/>
      <c r="T467" s="27"/>
      <c r="U467" s="40" t="n">
        <f aca="false">IF($A467="",0,IF(AND(OR($E467=Atleta!$C$4,$E467="Equipe (todos)"),$A467&gt;=Atleta!$C$5),MAX($U$7:U466)+1,0))</f>
        <v>0</v>
      </c>
    </row>
    <row r="468" customFormat="false" ht="15" hidden="false" customHeight="false" outlineLevel="0" collapsed="false">
      <c r="A468" s="29"/>
      <c r="B468" s="40" t="n">
        <f aca="false">IF($A468="",0,INT(($A468-Macrociclo!$C$11)/7)+1)</f>
        <v>0</v>
      </c>
      <c r="C468" s="28"/>
      <c r="D468" s="28"/>
      <c r="E468" s="27"/>
      <c r="F468" s="28"/>
      <c r="G468" s="27"/>
      <c r="H468" s="26" t="str">
        <f aca="false">IFERROR(INDEX(Exercícios!$C$7:$C$206,MATCH($G468,Exercícios!$B$7:$B$206,0)),"")</f>
        <v/>
      </c>
      <c r="I468" s="26" t="str">
        <f aca="false">IFERROR(INDEX(Exercícios!$D$7:$D$206,MATCH($G468,Exercícios!$B$7:$B$206,0)),"")</f>
        <v/>
      </c>
      <c r="J468" s="26" t="str">
        <f aca="false">IFERROR(INDEX(Exercícios!$E$7:$E$206,MATCH($G468,Exercícios!$B$7:$B$206,0)),"")</f>
        <v/>
      </c>
      <c r="K468" s="28"/>
      <c r="L468" s="28"/>
      <c r="M468" s="27"/>
      <c r="N468" s="28"/>
      <c r="O468" s="28"/>
      <c r="P468" s="28"/>
      <c r="Q468" s="26" t="n">
        <f aca="false">IFERROR($K468*$L468,"")</f>
        <v>0</v>
      </c>
      <c r="R468" s="44" t="n">
        <f aca="false">IF(OR($O468="",$P468=""),0,$O468*$P468)</f>
        <v>0</v>
      </c>
      <c r="S468" s="27"/>
      <c r="T468" s="27"/>
      <c r="U468" s="40" t="n">
        <f aca="false">IF($A468="",0,IF(AND(OR($E468=Atleta!$C$4,$E468="Equipe (todos)"),$A468&gt;=Atleta!$C$5),MAX($U$7:U467)+1,0))</f>
        <v>0</v>
      </c>
    </row>
    <row r="469" customFormat="false" ht="15" hidden="false" customHeight="false" outlineLevel="0" collapsed="false">
      <c r="A469" s="29"/>
      <c r="B469" s="40" t="n">
        <f aca="false">IF($A469="",0,INT(($A469-Macrociclo!$C$11)/7)+1)</f>
        <v>0</v>
      </c>
      <c r="C469" s="28"/>
      <c r="D469" s="28"/>
      <c r="E469" s="27"/>
      <c r="F469" s="28"/>
      <c r="G469" s="27"/>
      <c r="H469" s="26" t="str">
        <f aca="false">IFERROR(INDEX(Exercícios!$C$7:$C$206,MATCH($G469,Exercícios!$B$7:$B$206,0)),"")</f>
        <v/>
      </c>
      <c r="I469" s="26" t="str">
        <f aca="false">IFERROR(INDEX(Exercícios!$D$7:$D$206,MATCH($G469,Exercícios!$B$7:$B$206,0)),"")</f>
        <v/>
      </c>
      <c r="J469" s="26" t="str">
        <f aca="false">IFERROR(INDEX(Exercícios!$E$7:$E$206,MATCH($G469,Exercícios!$B$7:$B$206,0)),"")</f>
        <v/>
      </c>
      <c r="K469" s="28"/>
      <c r="L469" s="28"/>
      <c r="M469" s="27"/>
      <c r="N469" s="28"/>
      <c r="O469" s="28"/>
      <c r="P469" s="28"/>
      <c r="Q469" s="26" t="n">
        <f aca="false">IFERROR($K469*$L469,"")</f>
        <v>0</v>
      </c>
      <c r="R469" s="44" t="n">
        <f aca="false">IF(OR($O469="",$P469=""),0,$O469*$P469)</f>
        <v>0</v>
      </c>
      <c r="S469" s="27"/>
      <c r="T469" s="27"/>
      <c r="U469" s="40" t="n">
        <f aca="false">IF($A469="",0,IF(AND(OR($E469=Atleta!$C$4,$E469="Equipe (todos)"),$A469&gt;=Atleta!$C$5),MAX($U$7:U468)+1,0))</f>
        <v>0</v>
      </c>
    </row>
    <row r="470" customFormat="false" ht="15" hidden="false" customHeight="false" outlineLevel="0" collapsed="false">
      <c r="A470" s="29"/>
      <c r="B470" s="40" t="n">
        <f aca="false">IF($A470="",0,INT(($A470-Macrociclo!$C$11)/7)+1)</f>
        <v>0</v>
      </c>
      <c r="C470" s="28"/>
      <c r="D470" s="28"/>
      <c r="E470" s="27"/>
      <c r="F470" s="28"/>
      <c r="G470" s="27"/>
      <c r="H470" s="26" t="str">
        <f aca="false">IFERROR(INDEX(Exercícios!$C$7:$C$206,MATCH($G470,Exercícios!$B$7:$B$206,0)),"")</f>
        <v/>
      </c>
      <c r="I470" s="26" t="str">
        <f aca="false">IFERROR(INDEX(Exercícios!$D$7:$D$206,MATCH($G470,Exercícios!$B$7:$B$206,0)),"")</f>
        <v/>
      </c>
      <c r="J470" s="26" t="str">
        <f aca="false">IFERROR(INDEX(Exercícios!$E$7:$E$206,MATCH($G470,Exercícios!$B$7:$B$206,0)),"")</f>
        <v/>
      </c>
      <c r="K470" s="28"/>
      <c r="L470" s="28"/>
      <c r="M470" s="27"/>
      <c r="N470" s="28"/>
      <c r="O470" s="28"/>
      <c r="P470" s="28"/>
      <c r="Q470" s="26" t="n">
        <f aca="false">IFERROR($K470*$L470,"")</f>
        <v>0</v>
      </c>
      <c r="R470" s="44" t="n">
        <f aca="false">IF(OR($O470="",$P470=""),0,$O470*$P470)</f>
        <v>0</v>
      </c>
      <c r="S470" s="27"/>
      <c r="T470" s="27"/>
      <c r="U470" s="40" t="n">
        <f aca="false">IF($A470="",0,IF(AND(OR($E470=Atleta!$C$4,$E470="Equipe (todos)"),$A470&gt;=Atleta!$C$5),MAX($U$7:U469)+1,0))</f>
        <v>0</v>
      </c>
    </row>
    <row r="471" customFormat="false" ht="15" hidden="false" customHeight="false" outlineLevel="0" collapsed="false">
      <c r="A471" s="29"/>
      <c r="B471" s="40" t="n">
        <f aca="false">IF($A471="",0,INT(($A471-Macrociclo!$C$11)/7)+1)</f>
        <v>0</v>
      </c>
      <c r="C471" s="28"/>
      <c r="D471" s="28"/>
      <c r="E471" s="27"/>
      <c r="F471" s="28"/>
      <c r="G471" s="27"/>
      <c r="H471" s="26" t="str">
        <f aca="false">IFERROR(INDEX(Exercícios!$C$7:$C$206,MATCH($G471,Exercícios!$B$7:$B$206,0)),"")</f>
        <v/>
      </c>
      <c r="I471" s="26" t="str">
        <f aca="false">IFERROR(INDEX(Exercícios!$D$7:$D$206,MATCH($G471,Exercícios!$B$7:$B$206,0)),"")</f>
        <v/>
      </c>
      <c r="J471" s="26" t="str">
        <f aca="false">IFERROR(INDEX(Exercícios!$E$7:$E$206,MATCH($G471,Exercícios!$B$7:$B$206,0)),"")</f>
        <v/>
      </c>
      <c r="K471" s="28"/>
      <c r="L471" s="28"/>
      <c r="M471" s="27"/>
      <c r="N471" s="28"/>
      <c r="O471" s="28"/>
      <c r="P471" s="28"/>
      <c r="Q471" s="26" t="n">
        <f aca="false">IFERROR($K471*$L471,"")</f>
        <v>0</v>
      </c>
      <c r="R471" s="44" t="n">
        <f aca="false">IF(OR($O471="",$P471=""),0,$O471*$P471)</f>
        <v>0</v>
      </c>
      <c r="S471" s="27"/>
      <c r="T471" s="27"/>
      <c r="U471" s="40" t="n">
        <f aca="false">IF($A471="",0,IF(AND(OR($E471=Atleta!$C$4,$E471="Equipe (todos)"),$A471&gt;=Atleta!$C$5),MAX($U$7:U470)+1,0))</f>
        <v>0</v>
      </c>
    </row>
    <row r="472" customFormat="false" ht="15" hidden="false" customHeight="false" outlineLevel="0" collapsed="false">
      <c r="A472" s="29"/>
      <c r="B472" s="40" t="n">
        <f aca="false">IF($A472="",0,INT(($A472-Macrociclo!$C$11)/7)+1)</f>
        <v>0</v>
      </c>
      <c r="C472" s="28"/>
      <c r="D472" s="28"/>
      <c r="E472" s="27"/>
      <c r="F472" s="28"/>
      <c r="G472" s="27"/>
      <c r="H472" s="26" t="str">
        <f aca="false">IFERROR(INDEX(Exercícios!$C$7:$C$206,MATCH($G472,Exercícios!$B$7:$B$206,0)),"")</f>
        <v/>
      </c>
      <c r="I472" s="26" t="str">
        <f aca="false">IFERROR(INDEX(Exercícios!$D$7:$D$206,MATCH($G472,Exercícios!$B$7:$B$206,0)),"")</f>
        <v/>
      </c>
      <c r="J472" s="26" t="str">
        <f aca="false">IFERROR(INDEX(Exercícios!$E$7:$E$206,MATCH($G472,Exercícios!$B$7:$B$206,0)),"")</f>
        <v/>
      </c>
      <c r="K472" s="28"/>
      <c r="L472" s="28"/>
      <c r="M472" s="27"/>
      <c r="N472" s="28"/>
      <c r="O472" s="28"/>
      <c r="P472" s="28"/>
      <c r="Q472" s="26" t="n">
        <f aca="false">IFERROR($K472*$L472,"")</f>
        <v>0</v>
      </c>
      <c r="R472" s="44" t="n">
        <f aca="false">IF(OR($O472="",$P472=""),0,$O472*$P472)</f>
        <v>0</v>
      </c>
      <c r="S472" s="27"/>
      <c r="T472" s="27"/>
      <c r="U472" s="40" t="n">
        <f aca="false">IF($A472="",0,IF(AND(OR($E472=Atleta!$C$4,$E472="Equipe (todos)"),$A472&gt;=Atleta!$C$5),MAX($U$7:U471)+1,0))</f>
        <v>0</v>
      </c>
    </row>
    <row r="473" customFormat="false" ht="15" hidden="false" customHeight="false" outlineLevel="0" collapsed="false">
      <c r="A473" s="29"/>
      <c r="B473" s="40" t="n">
        <f aca="false">IF($A473="",0,INT(($A473-Macrociclo!$C$11)/7)+1)</f>
        <v>0</v>
      </c>
      <c r="C473" s="28"/>
      <c r="D473" s="28"/>
      <c r="E473" s="27"/>
      <c r="F473" s="28"/>
      <c r="G473" s="27"/>
      <c r="H473" s="26" t="str">
        <f aca="false">IFERROR(INDEX(Exercícios!$C$7:$C$206,MATCH($G473,Exercícios!$B$7:$B$206,0)),"")</f>
        <v/>
      </c>
      <c r="I473" s="26" t="str">
        <f aca="false">IFERROR(INDEX(Exercícios!$D$7:$D$206,MATCH($G473,Exercícios!$B$7:$B$206,0)),"")</f>
        <v/>
      </c>
      <c r="J473" s="26" t="str">
        <f aca="false">IFERROR(INDEX(Exercícios!$E$7:$E$206,MATCH($G473,Exercícios!$B$7:$B$206,0)),"")</f>
        <v/>
      </c>
      <c r="K473" s="28"/>
      <c r="L473" s="28"/>
      <c r="M473" s="27"/>
      <c r="N473" s="28"/>
      <c r="O473" s="28"/>
      <c r="P473" s="28"/>
      <c r="Q473" s="26" t="n">
        <f aca="false">IFERROR($K473*$L473,"")</f>
        <v>0</v>
      </c>
      <c r="R473" s="44" t="n">
        <f aca="false">IF(OR($O473="",$P473=""),0,$O473*$P473)</f>
        <v>0</v>
      </c>
      <c r="S473" s="27"/>
      <c r="T473" s="27"/>
      <c r="U473" s="40" t="n">
        <f aca="false">IF($A473="",0,IF(AND(OR($E473=Atleta!$C$4,$E473="Equipe (todos)"),$A473&gt;=Atleta!$C$5),MAX($U$7:U472)+1,0))</f>
        <v>0</v>
      </c>
    </row>
    <row r="474" customFormat="false" ht="15" hidden="false" customHeight="false" outlineLevel="0" collapsed="false">
      <c r="A474" s="29"/>
      <c r="B474" s="40" t="n">
        <f aca="false">IF($A474="",0,INT(($A474-Macrociclo!$C$11)/7)+1)</f>
        <v>0</v>
      </c>
      <c r="C474" s="28"/>
      <c r="D474" s="28"/>
      <c r="E474" s="27"/>
      <c r="F474" s="28"/>
      <c r="G474" s="27"/>
      <c r="H474" s="26" t="str">
        <f aca="false">IFERROR(INDEX(Exercícios!$C$7:$C$206,MATCH($G474,Exercícios!$B$7:$B$206,0)),"")</f>
        <v/>
      </c>
      <c r="I474" s="26" t="str">
        <f aca="false">IFERROR(INDEX(Exercícios!$D$7:$D$206,MATCH($G474,Exercícios!$B$7:$B$206,0)),"")</f>
        <v/>
      </c>
      <c r="J474" s="26" t="str">
        <f aca="false">IFERROR(INDEX(Exercícios!$E$7:$E$206,MATCH($G474,Exercícios!$B$7:$B$206,0)),"")</f>
        <v/>
      </c>
      <c r="K474" s="28"/>
      <c r="L474" s="28"/>
      <c r="M474" s="27"/>
      <c r="N474" s="28"/>
      <c r="O474" s="28"/>
      <c r="P474" s="28"/>
      <c r="Q474" s="26" t="n">
        <f aca="false">IFERROR($K474*$L474,"")</f>
        <v>0</v>
      </c>
      <c r="R474" s="44" t="n">
        <f aca="false">IF(OR($O474="",$P474=""),0,$O474*$P474)</f>
        <v>0</v>
      </c>
      <c r="S474" s="27"/>
      <c r="T474" s="27"/>
      <c r="U474" s="40" t="n">
        <f aca="false">IF($A474="",0,IF(AND(OR($E474=Atleta!$C$4,$E474="Equipe (todos)"),$A474&gt;=Atleta!$C$5),MAX($U$7:U473)+1,0))</f>
        <v>0</v>
      </c>
    </row>
    <row r="475" customFormat="false" ht="15" hidden="false" customHeight="false" outlineLevel="0" collapsed="false">
      <c r="A475" s="29"/>
      <c r="B475" s="40" t="n">
        <f aca="false">IF($A475="",0,INT(($A475-Macrociclo!$C$11)/7)+1)</f>
        <v>0</v>
      </c>
      <c r="C475" s="28"/>
      <c r="D475" s="28"/>
      <c r="E475" s="27"/>
      <c r="F475" s="28"/>
      <c r="G475" s="27"/>
      <c r="H475" s="26" t="str">
        <f aca="false">IFERROR(INDEX(Exercícios!$C$7:$C$206,MATCH($G475,Exercícios!$B$7:$B$206,0)),"")</f>
        <v/>
      </c>
      <c r="I475" s="26" t="str">
        <f aca="false">IFERROR(INDEX(Exercícios!$D$7:$D$206,MATCH($G475,Exercícios!$B$7:$B$206,0)),"")</f>
        <v/>
      </c>
      <c r="J475" s="26" t="str">
        <f aca="false">IFERROR(INDEX(Exercícios!$E$7:$E$206,MATCH($G475,Exercícios!$B$7:$B$206,0)),"")</f>
        <v/>
      </c>
      <c r="K475" s="28"/>
      <c r="L475" s="28"/>
      <c r="M475" s="27"/>
      <c r="N475" s="28"/>
      <c r="O475" s="28"/>
      <c r="P475" s="28"/>
      <c r="Q475" s="26" t="n">
        <f aca="false">IFERROR($K475*$L475,"")</f>
        <v>0</v>
      </c>
      <c r="R475" s="44" t="n">
        <f aca="false">IF(OR($O475="",$P475=""),0,$O475*$P475)</f>
        <v>0</v>
      </c>
      <c r="S475" s="27"/>
      <c r="T475" s="27"/>
      <c r="U475" s="40" t="n">
        <f aca="false">IF($A475="",0,IF(AND(OR($E475=Atleta!$C$4,$E475="Equipe (todos)"),$A475&gt;=Atleta!$C$5),MAX($U$7:U474)+1,0))</f>
        <v>0</v>
      </c>
    </row>
    <row r="476" customFormat="false" ht="15" hidden="false" customHeight="false" outlineLevel="0" collapsed="false">
      <c r="A476" s="29"/>
      <c r="B476" s="40" t="n">
        <f aca="false">IF($A476="",0,INT(($A476-Macrociclo!$C$11)/7)+1)</f>
        <v>0</v>
      </c>
      <c r="C476" s="28"/>
      <c r="D476" s="28"/>
      <c r="E476" s="27"/>
      <c r="F476" s="28"/>
      <c r="G476" s="27"/>
      <c r="H476" s="26" t="str">
        <f aca="false">IFERROR(INDEX(Exercícios!$C$7:$C$206,MATCH($G476,Exercícios!$B$7:$B$206,0)),"")</f>
        <v/>
      </c>
      <c r="I476" s="26" t="str">
        <f aca="false">IFERROR(INDEX(Exercícios!$D$7:$D$206,MATCH($G476,Exercícios!$B$7:$B$206,0)),"")</f>
        <v/>
      </c>
      <c r="J476" s="26" t="str">
        <f aca="false">IFERROR(INDEX(Exercícios!$E$7:$E$206,MATCH($G476,Exercícios!$B$7:$B$206,0)),"")</f>
        <v/>
      </c>
      <c r="K476" s="28"/>
      <c r="L476" s="28"/>
      <c r="M476" s="27"/>
      <c r="N476" s="28"/>
      <c r="O476" s="28"/>
      <c r="P476" s="28"/>
      <c r="Q476" s="26" t="n">
        <f aca="false">IFERROR($K476*$L476,"")</f>
        <v>0</v>
      </c>
      <c r="R476" s="44" t="n">
        <f aca="false">IF(OR($O476="",$P476=""),0,$O476*$P476)</f>
        <v>0</v>
      </c>
      <c r="S476" s="27"/>
      <c r="T476" s="27"/>
      <c r="U476" s="40" t="n">
        <f aca="false">IF($A476="",0,IF(AND(OR($E476=Atleta!$C$4,$E476="Equipe (todos)"),$A476&gt;=Atleta!$C$5),MAX($U$7:U475)+1,0))</f>
        <v>0</v>
      </c>
    </row>
    <row r="477" customFormat="false" ht="15" hidden="false" customHeight="false" outlineLevel="0" collapsed="false">
      <c r="A477" s="29"/>
      <c r="B477" s="40" t="n">
        <f aca="false">IF($A477="",0,INT(($A477-Macrociclo!$C$11)/7)+1)</f>
        <v>0</v>
      </c>
      <c r="C477" s="28"/>
      <c r="D477" s="28"/>
      <c r="E477" s="27"/>
      <c r="F477" s="28"/>
      <c r="G477" s="27"/>
      <c r="H477" s="26" t="str">
        <f aca="false">IFERROR(INDEX(Exercícios!$C$7:$C$206,MATCH($G477,Exercícios!$B$7:$B$206,0)),"")</f>
        <v/>
      </c>
      <c r="I477" s="26" t="str">
        <f aca="false">IFERROR(INDEX(Exercícios!$D$7:$D$206,MATCH($G477,Exercícios!$B$7:$B$206,0)),"")</f>
        <v/>
      </c>
      <c r="J477" s="26" t="str">
        <f aca="false">IFERROR(INDEX(Exercícios!$E$7:$E$206,MATCH($G477,Exercícios!$B$7:$B$206,0)),"")</f>
        <v/>
      </c>
      <c r="K477" s="28"/>
      <c r="L477" s="28"/>
      <c r="M477" s="27"/>
      <c r="N477" s="28"/>
      <c r="O477" s="28"/>
      <c r="P477" s="28"/>
      <c r="Q477" s="26" t="n">
        <f aca="false">IFERROR($K477*$L477,"")</f>
        <v>0</v>
      </c>
      <c r="R477" s="44" t="n">
        <f aca="false">IF(OR($O477="",$P477=""),0,$O477*$P477)</f>
        <v>0</v>
      </c>
      <c r="S477" s="27"/>
      <c r="T477" s="27"/>
      <c r="U477" s="40" t="n">
        <f aca="false">IF($A477="",0,IF(AND(OR($E477=Atleta!$C$4,$E477="Equipe (todos)"),$A477&gt;=Atleta!$C$5),MAX($U$7:U476)+1,0))</f>
        <v>0</v>
      </c>
    </row>
    <row r="478" customFormat="false" ht="15" hidden="false" customHeight="false" outlineLevel="0" collapsed="false">
      <c r="A478" s="29"/>
      <c r="B478" s="40" t="n">
        <f aca="false">IF($A478="",0,INT(($A478-Macrociclo!$C$11)/7)+1)</f>
        <v>0</v>
      </c>
      <c r="C478" s="28"/>
      <c r="D478" s="28"/>
      <c r="E478" s="27"/>
      <c r="F478" s="28"/>
      <c r="G478" s="27"/>
      <c r="H478" s="26" t="str">
        <f aca="false">IFERROR(INDEX(Exercícios!$C$7:$C$206,MATCH($G478,Exercícios!$B$7:$B$206,0)),"")</f>
        <v/>
      </c>
      <c r="I478" s="26" t="str">
        <f aca="false">IFERROR(INDEX(Exercícios!$D$7:$D$206,MATCH($G478,Exercícios!$B$7:$B$206,0)),"")</f>
        <v/>
      </c>
      <c r="J478" s="26" t="str">
        <f aca="false">IFERROR(INDEX(Exercícios!$E$7:$E$206,MATCH($G478,Exercícios!$B$7:$B$206,0)),"")</f>
        <v/>
      </c>
      <c r="K478" s="28"/>
      <c r="L478" s="28"/>
      <c r="M478" s="27"/>
      <c r="N478" s="28"/>
      <c r="O478" s="28"/>
      <c r="P478" s="28"/>
      <c r="Q478" s="26" t="n">
        <f aca="false">IFERROR($K478*$L478,"")</f>
        <v>0</v>
      </c>
      <c r="R478" s="44" t="n">
        <f aca="false">IF(OR($O478="",$P478=""),0,$O478*$P478)</f>
        <v>0</v>
      </c>
      <c r="S478" s="27"/>
      <c r="T478" s="27"/>
      <c r="U478" s="40" t="n">
        <f aca="false">IF($A478="",0,IF(AND(OR($E478=Atleta!$C$4,$E478="Equipe (todos)"),$A478&gt;=Atleta!$C$5),MAX($U$7:U477)+1,0))</f>
        <v>0</v>
      </c>
    </row>
    <row r="479" customFormat="false" ht="15" hidden="false" customHeight="false" outlineLevel="0" collapsed="false">
      <c r="A479" s="29"/>
      <c r="B479" s="40" t="n">
        <f aca="false">IF($A479="",0,INT(($A479-Macrociclo!$C$11)/7)+1)</f>
        <v>0</v>
      </c>
      <c r="C479" s="28"/>
      <c r="D479" s="28"/>
      <c r="E479" s="27"/>
      <c r="F479" s="28"/>
      <c r="G479" s="27"/>
      <c r="H479" s="26" t="str">
        <f aca="false">IFERROR(INDEX(Exercícios!$C$7:$C$206,MATCH($G479,Exercícios!$B$7:$B$206,0)),"")</f>
        <v/>
      </c>
      <c r="I479" s="26" t="str">
        <f aca="false">IFERROR(INDEX(Exercícios!$D$7:$D$206,MATCH($G479,Exercícios!$B$7:$B$206,0)),"")</f>
        <v/>
      </c>
      <c r="J479" s="26" t="str">
        <f aca="false">IFERROR(INDEX(Exercícios!$E$7:$E$206,MATCH($G479,Exercícios!$B$7:$B$206,0)),"")</f>
        <v/>
      </c>
      <c r="K479" s="28"/>
      <c r="L479" s="28"/>
      <c r="M479" s="27"/>
      <c r="N479" s="28"/>
      <c r="O479" s="28"/>
      <c r="P479" s="28"/>
      <c r="Q479" s="26" t="n">
        <f aca="false">IFERROR($K479*$L479,"")</f>
        <v>0</v>
      </c>
      <c r="R479" s="44" t="n">
        <f aca="false">IF(OR($O479="",$P479=""),0,$O479*$P479)</f>
        <v>0</v>
      </c>
      <c r="S479" s="27"/>
      <c r="T479" s="27"/>
      <c r="U479" s="40" t="n">
        <f aca="false">IF($A479="",0,IF(AND(OR($E479=Atleta!$C$4,$E479="Equipe (todos)"),$A479&gt;=Atleta!$C$5),MAX($U$7:U478)+1,0))</f>
        <v>0</v>
      </c>
    </row>
    <row r="480" customFormat="false" ht="15" hidden="false" customHeight="false" outlineLevel="0" collapsed="false">
      <c r="A480" s="29"/>
      <c r="B480" s="40" t="n">
        <f aca="false">IF($A480="",0,INT(($A480-Macrociclo!$C$11)/7)+1)</f>
        <v>0</v>
      </c>
      <c r="C480" s="28"/>
      <c r="D480" s="28"/>
      <c r="E480" s="27"/>
      <c r="F480" s="28"/>
      <c r="G480" s="27"/>
      <c r="H480" s="26" t="str">
        <f aca="false">IFERROR(INDEX(Exercícios!$C$7:$C$206,MATCH($G480,Exercícios!$B$7:$B$206,0)),"")</f>
        <v/>
      </c>
      <c r="I480" s="26" t="str">
        <f aca="false">IFERROR(INDEX(Exercícios!$D$7:$D$206,MATCH($G480,Exercícios!$B$7:$B$206,0)),"")</f>
        <v/>
      </c>
      <c r="J480" s="26" t="str">
        <f aca="false">IFERROR(INDEX(Exercícios!$E$7:$E$206,MATCH($G480,Exercícios!$B$7:$B$206,0)),"")</f>
        <v/>
      </c>
      <c r="K480" s="28"/>
      <c r="L480" s="28"/>
      <c r="M480" s="27"/>
      <c r="N480" s="28"/>
      <c r="O480" s="28"/>
      <c r="P480" s="28"/>
      <c r="Q480" s="26" t="n">
        <f aca="false">IFERROR($K480*$L480,"")</f>
        <v>0</v>
      </c>
      <c r="R480" s="44" t="n">
        <f aca="false">IF(OR($O480="",$P480=""),0,$O480*$P480)</f>
        <v>0</v>
      </c>
      <c r="S480" s="27"/>
      <c r="T480" s="27"/>
      <c r="U480" s="40" t="n">
        <f aca="false">IF($A480="",0,IF(AND(OR($E480=Atleta!$C$4,$E480="Equipe (todos)"),$A480&gt;=Atleta!$C$5),MAX($U$7:U479)+1,0))</f>
        <v>0</v>
      </c>
    </row>
    <row r="481" customFormat="false" ht="15" hidden="false" customHeight="false" outlineLevel="0" collapsed="false">
      <c r="A481" s="29"/>
      <c r="B481" s="40" t="n">
        <f aca="false">IF($A481="",0,INT(($A481-Macrociclo!$C$11)/7)+1)</f>
        <v>0</v>
      </c>
      <c r="C481" s="28"/>
      <c r="D481" s="28"/>
      <c r="E481" s="27"/>
      <c r="F481" s="28"/>
      <c r="G481" s="27"/>
      <c r="H481" s="26" t="str">
        <f aca="false">IFERROR(INDEX(Exercícios!$C$7:$C$206,MATCH($G481,Exercícios!$B$7:$B$206,0)),"")</f>
        <v/>
      </c>
      <c r="I481" s="26" t="str">
        <f aca="false">IFERROR(INDEX(Exercícios!$D$7:$D$206,MATCH($G481,Exercícios!$B$7:$B$206,0)),"")</f>
        <v/>
      </c>
      <c r="J481" s="26" t="str">
        <f aca="false">IFERROR(INDEX(Exercícios!$E$7:$E$206,MATCH($G481,Exercícios!$B$7:$B$206,0)),"")</f>
        <v/>
      </c>
      <c r="K481" s="28"/>
      <c r="L481" s="28"/>
      <c r="M481" s="27"/>
      <c r="N481" s="28"/>
      <c r="O481" s="28"/>
      <c r="P481" s="28"/>
      <c r="Q481" s="26" t="n">
        <f aca="false">IFERROR($K481*$L481,"")</f>
        <v>0</v>
      </c>
      <c r="R481" s="44" t="n">
        <f aca="false">IF(OR($O481="",$P481=""),0,$O481*$P481)</f>
        <v>0</v>
      </c>
      <c r="S481" s="27"/>
      <c r="T481" s="27"/>
      <c r="U481" s="40" t="n">
        <f aca="false">IF($A481="",0,IF(AND(OR($E481=Atleta!$C$4,$E481="Equipe (todos)"),$A481&gt;=Atleta!$C$5),MAX($U$7:U480)+1,0))</f>
        <v>0</v>
      </c>
    </row>
    <row r="482" customFormat="false" ht="15" hidden="false" customHeight="false" outlineLevel="0" collapsed="false">
      <c r="A482" s="29"/>
      <c r="B482" s="40" t="n">
        <f aca="false">IF($A482="",0,INT(($A482-Macrociclo!$C$11)/7)+1)</f>
        <v>0</v>
      </c>
      <c r="C482" s="28"/>
      <c r="D482" s="28"/>
      <c r="E482" s="27"/>
      <c r="F482" s="28"/>
      <c r="G482" s="27"/>
      <c r="H482" s="26" t="str">
        <f aca="false">IFERROR(INDEX(Exercícios!$C$7:$C$206,MATCH($G482,Exercícios!$B$7:$B$206,0)),"")</f>
        <v/>
      </c>
      <c r="I482" s="26" t="str">
        <f aca="false">IFERROR(INDEX(Exercícios!$D$7:$D$206,MATCH($G482,Exercícios!$B$7:$B$206,0)),"")</f>
        <v/>
      </c>
      <c r="J482" s="26" t="str">
        <f aca="false">IFERROR(INDEX(Exercícios!$E$7:$E$206,MATCH($G482,Exercícios!$B$7:$B$206,0)),"")</f>
        <v/>
      </c>
      <c r="K482" s="28"/>
      <c r="L482" s="28"/>
      <c r="M482" s="27"/>
      <c r="N482" s="28"/>
      <c r="O482" s="28"/>
      <c r="P482" s="28"/>
      <c r="Q482" s="26" t="n">
        <f aca="false">IFERROR($K482*$L482,"")</f>
        <v>0</v>
      </c>
      <c r="R482" s="44" t="n">
        <f aca="false">IF(OR($O482="",$P482=""),0,$O482*$P482)</f>
        <v>0</v>
      </c>
      <c r="S482" s="27"/>
      <c r="T482" s="27"/>
      <c r="U482" s="40" t="n">
        <f aca="false">IF($A482="",0,IF(AND(OR($E482=Atleta!$C$4,$E482="Equipe (todos)"),$A482&gt;=Atleta!$C$5),MAX($U$7:U481)+1,0))</f>
        <v>0</v>
      </c>
    </row>
    <row r="483" customFormat="false" ht="15" hidden="false" customHeight="false" outlineLevel="0" collapsed="false">
      <c r="A483" s="29"/>
      <c r="B483" s="40" t="n">
        <f aca="false">IF($A483="",0,INT(($A483-Macrociclo!$C$11)/7)+1)</f>
        <v>0</v>
      </c>
      <c r="C483" s="28"/>
      <c r="D483" s="28"/>
      <c r="E483" s="27"/>
      <c r="F483" s="28"/>
      <c r="G483" s="27"/>
      <c r="H483" s="26" t="str">
        <f aca="false">IFERROR(INDEX(Exercícios!$C$7:$C$206,MATCH($G483,Exercícios!$B$7:$B$206,0)),"")</f>
        <v/>
      </c>
      <c r="I483" s="26" t="str">
        <f aca="false">IFERROR(INDEX(Exercícios!$D$7:$D$206,MATCH($G483,Exercícios!$B$7:$B$206,0)),"")</f>
        <v/>
      </c>
      <c r="J483" s="26" t="str">
        <f aca="false">IFERROR(INDEX(Exercícios!$E$7:$E$206,MATCH($G483,Exercícios!$B$7:$B$206,0)),"")</f>
        <v/>
      </c>
      <c r="K483" s="28"/>
      <c r="L483" s="28"/>
      <c r="M483" s="27"/>
      <c r="N483" s="28"/>
      <c r="O483" s="28"/>
      <c r="P483" s="28"/>
      <c r="Q483" s="26" t="n">
        <f aca="false">IFERROR($K483*$L483,"")</f>
        <v>0</v>
      </c>
      <c r="R483" s="44" t="n">
        <f aca="false">IF(OR($O483="",$P483=""),0,$O483*$P483)</f>
        <v>0</v>
      </c>
      <c r="S483" s="27"/>
      <c r="T483" s="27"/>
      <c r="U483" s="40" t="n">
        <f aca="false">IF($A483="",0,IF(AND(OR($E483=Atleta!$C$4,$E483="Equipe (todos)"),$A483&gt;=Atleta!$C$5),MAX($U$7:U482)+1,0))</f>
        <v>0</v>
      </c>
    </row>
    <row r="484" customFormat="false" ht="15" hidden="false" customHeight="false" outlineLevel="0" collapsed="false">
      <c r="A484" s="29"/>
      <c r="B484" s="40" t="n">
        <f aca="false">IF($A484="",0,INT(($A484-Macrociclo!$C$11)/7)+1)</f>
        <v>0</v>
      </c>
      <c r="C484" s="28"/>
      <c r="D484" s="28"/>
      <c r="E484" s="27"/>
      <c r="F484" s="28"/>
      <c r="G484" s="27"/>
      <c r="H484" s="26" t="str">
        <f aca="false">IFERROR(INDEX(Exercícios!$C$7:$C$206,MATCH($G484,Exercícios!$B$7:$B$206,0)),"")</f>
        <v/>
      </c>
      <c r="I484" s="26" t="str">
        <f aca="false">IFERROR(INDEX(Exercícios!$D$7:$D$206,MATCH($G484,Exercícios!$B$7:$B$206,0)),"")</f>
        <v/>
      </c>
      <c r="J484" s="26" t="str">
        <f aca="false">IFERROR(INDEX(Exercícios!$E$7:$E$206,MATCH($G484,Exercícios!$B$7:$B$206,0)),"")</f>
        <v/>
      </c>
      <c r="K484" s="28"/>
      <c r="L484" s="28"/>
      <c r="M484" s="27"/>
      <c r="N484" s="28"/>
      <c r="O484" s="28"/>
      <c r="P484" s="28"/>
      <c r="Q484" s="26" t="n">
        <f aca="false">IFERROR($K484*$L484,"")</f>
        <v>0</v>
      </c>
      <c r="R484" s="44" t="n">
        <f aca="false">IF(OR($O484="",$P484=""),0,$O484*$P484)</f>
        <v>0</v>
      </c>
      <c r="S484" s="27"/>
      <c r="T484" s="27"/>
      <c r="U484" s="40" t="n">
        <f aca="false">IF($A484="",0,IF(AND(OR($E484=Atleta!$C$4,$E484="Equipe (todos)"),$A484&gt;=Atleta!$C$5),MAX($U$7:U483)+1,0))</f>
        <v>0</v>
      </c>
    </row>
    <row r="485" customFormat="false" ht="15" hidden="false" customHeight="false" outlineLevel="0" collapsed="false">
      <c r="A485" s="29"/>
      <c r="B485" s="40" t="n">
        <f aca="false">IF($A485="",0,INT(($A485-Macrociclo!$C$11)/7)+1)</f>
        <v>0</v>
      </c>
      <c r="C485" s="28"/>
      <c r="D485" s="28"/>
      <c r="E485" s="27"/>
      <c r="F485" s="28"/>
      <c r="G485" s="27"/>
      <c r="H485" s="26" t="str">
        <f aca="false">IFERROR(INDEX(Exercícios!$C$7:$C$206,MATCH($G485,Exercícios!$B$7:$B$206,0)),"")</f>
        <v/>
      </c>
      <c r="I485" s="26" t="str">
        <f aca="false">IFERROR(INDEX(Exercícios!$D$7:$D$206,MATCH($G485,Exercícios!$B$7:$B$206,0)),"")</f>
        <v/>
      </c>
      <c r="J485" s="26" t="str">
        <f aca="false">IFERROR(INDEX(Exercícios!$E$7:$E$206,MATCH($G485,Exercícios!$B$7:$B$206,0)),"")</f>
        <v/>
      </c>
      <c r="K485" s="28"/>
      <c r="L485" s="28"/>
      <c r="M485" s="27"/>
      <c r="N485" s="28"/>
      <c r="O485" s="28"/>
      <c r="P485" s="28"/>
      <c r="Q485" s="26" t="n">
        <f aca="false">IFERROR($K485*$L485,"")</f>
        <v>0</v>
      </c>
      <c r="R485" s="44" t="n">
        <f aca="false">IF(OR($O485="",$P485=""),0,$O485*$P485)</f>
        <v>0</v>
      </c>
      <c r="S485" s="27"/>
      <c r="T485" s="27"/>
      <c r="U485" s="40" t="n">
        <f aca="false">IF($A485="",0,IF(AND(OR($E485=Atleta!$C$4,$E485="Equipe (todos)"),$A485&gt;=Atleta!$C$5),MAX($U$7:U484)+1,0))</f>
        <v>0</v>
      </c>
    </row>
    <row r="486" customFormat="false" ht="15" hidden="false" customHeight="false" outlineLevel="0" collapsed="false">
      <c r="A486" s="29"/>
      <c r="B486" s="40" t="n">
        <f aca="false">IF($A486="",0,INT(($A486-Macrociclo!$C$11)/7)+1)</f>
        <v>0</v>
      </c>
      <c r="C486" s="28"/>
      <c r="D486" s="28"/>
      <c r="E486" s="27"/>
      <c r="F486" s="28"/>
      <c r="G486" s="27"/>
      <c r="H486" s="26" t="str">
        <f aca="false">IFERROR(INDEX(Exercícios!$C$7:$C$206,MATCH($G486,Exercícios!$B$7:$B$206,0)),"")</f>
        <v/>
      </c>
      <c r="I486" s="26" t="str">
        <f aca="false">IFERROR(INDEX(Exercícios!$D$7:$D$206,MATCH($G486,Exercícios!$B$7:$B$206,0)),"")</f>
        <v/>
      </c>
      <c r="J486" s="26" t="str">
        <f aca="false">IFERROR(INDEX(Exercícios!$E$7:$E$206,MATCH($G486,Exercícios!$B$7:$B$206,0)),"")</f>
        <v/>
      </c>
      <c r="K486" s="28"/>
      <c r="L486" s="28"/>
      <c r="M486" s="27"/>
      <c r="N486" s="28"/>
      <c r="O486" s="28"/>
      <c r="P486" s="28"/>
      <c r="Q486" s="26" t="n">
        <f aca="false">IFERROR($K486*$L486,"")</f>
        <v>0</v>
      </c>
      <c r="R486" s="44" t="n">
        <f aca="false">IF(OR($O486="",$P486=""),0,$O486*$P486)</f>
        <v>0</v>
      </c>
      <c r="S486" s="27"/>
      <c r="T486" s="27"/>
      <c r="U486" s="40" t="n">
        <f aca="false">IF($A486="",0,IF(AND(OR($E486=Atleta!$C$4,$E486="Equipe (todos)"),$A486&gt;=Atleta!$C$5),MAX($U$7:U485)+1,0))</f>
        <v>0</v>
      </c>
    </row>
    <row r="487" customFormat="false" ht="15" hidden="false" customHeight="false" outlineLevel="0" collapsed="false">
      <c r="A487" s="29"/>
      <c r="B487" s="40" t="n">
        <f aca="false">IF($A487="",0,INT(($A487-Macrociclo!$C$11)/7)+1)</f>
        <v>0</v>
      </c>
      <c r="C487" s="28"/>
      <c r="D487" s="28"/>
      <c r="E487" s="27"/>
      <c r="F487" s="28"/>
      <c r="G487" s="27"/>
      <c r="H487" s="26" t="str">
        <f aca="false">IFERROR(INDEX(Exercícios!$C$7:$C$206,MATCH($G487,Exercícios!$B$7:$B$206,0)),"")</f>
        <v/>
      </c>
      <c r="I487" s="26" t="str">
        <f aca="false">IFERROR(INDEX(Exercícios!$D$7:$D$206,MATCH($G487,Exercícios!$B$7:$B$206,0)),"")</f>
        <v/>
      </c>
      <c r="J487" s="26" t="str">
        <f aca="false">IFERROR(INDEX(Exercícios!$E$7:$E$206,MATCH($G487,Exercícios!$B$7:$B$206,0)),"")</f>
        <v/>
      </c>
      <c r="K487" s="28"/>
      <c r="L487" s="28"/>
      <c r="M487" s="27"/>
      <c r="N487" s="28"/>
      <c r="O487" s="28"/>
      <c r="P487" s="28"/>
      <c r="Q487" s="26" t="n">
        <f aca="false">IFERROR($K487*$L487,"")</f>
        <v>0</v>
      </c>
      <c r="R487" s="44" t="n">
        <f aca="false">IF(OR($O487="",$P487=""),0,$O487*$P487)</f>
        <v>0</v>
      </c>
      <c r="S487" s="27"/>
      <c r="T487" s="27"/>
      <c r="U487" s="40" t="n">
        <f aca="false">IF($A487="",0,IF(AND(OR($E487=Atleta!$C$4,$E487="Equipe (todos)"),$A487&gt;=Atleta!$C$5),MAX($U$7:U486)+1,0))</f>
        <v>0</v>
      </c>
    </row>
    <row r="488" customFormat="false" ht="15" hidden="false" customHeight="false" outlineLevel="0" collapsed="false">
      <c r="A488" s="29"/>
      <c r="B488" s="40" t="n">
        <f aca="false">IF($A488="",0,INT(($A488-Macrociclo!$C$11)/7)+1)</f>
        <v>0</v>
      </c>
      <c r="C488" s="28"/>
      <c r="D488" s="28"/>
      <c r="E488" s="27"/>
      <c r="F488" s="28"/>
      <c r="G488" s="27"/>
      <c r="H488" s="26" t="str">
        <f aca="false">IFERROR(INDEX(Exercícios!$C$7:$C$206,MATCH($G488,Exercícios!$B$7:$B$206,0)),"")</f>
        <v/>
      </c>
      <c r="I488" s="26" t="str">
        <f aca="false">IFERROR(INDEX(Exercícios!$D$7:$D$206,MATCH($G488,Exercícios!$B$7:$B$206,0)),"")</f>
        <v/>
      </c>
      <c r="J488" s="26" t="str">
        <f aca="false">IFERROR(INDEX(Exercícios!$E$7:$E$206,MATCH($G488,Exercícios!$B$7:$B$206,0)),"")</f>
        <v/>
      </c>
      <c r="K488" s="28"/>
      <c r="L488" s="28"/>
      <c r="M488" s="27"/>
      <c r="N488" s="28"/>
      <c r="O488" s="28"/>
      <c r="P488" s="28"/>
      <c r="Q488" s="26" t="n">
        <f aca="false">IFERROR($K488*$L488,"")</f>
        <v>0</v>
      </c>
      <c r="R488" s="44" t="n">
        <f aca="false">IF(OR($O488="",$P488=""),0,$O488*$P488)</f>
        <v>0</v>
      </c>
      <c r="S488" s="27"/>
      <c r="T488" s="27"/>
      <c r="U488" s="40" t="n">
        <f aca="false">IF($A488="",0,IF(AND(OR($E488=Atleta!$C$4,$E488="Equipe (todos)"),$A488&gt;=Atleta!$C$5),MAX($U$7:U487)+1,0))</f>
        <v>0</v>
      </c>
    </row>
    <row r="489" customFormat="false" ht="15" hidden="false" customHeight="false" outlineLevel="0" collapsed="false">
      <c r="A489" s="29"/>
      <c r="B489" s="40" t="n">
        <f aca="false">IF($A489="",0,INT(($A489-Macrociclo!$C$11)/7)+1)</f>
        <v>0</v>
      </c>
      <c r="C489" s="28"/>
      <c r="D489" s="28"/>
      <c r="E489" s="27"/>
      <c r="F489" s="28"/>
      <c r="G489" s="27"/>
      <c r="H489" s="26" t="str">
        <f aca="false">IFERROR(INDEX(Exercícios!$C$7:$C$206,MATCH($G489,Exercícios!$B$7:$B$206,0)),"")</f>
        <v/>
      </c>
      <c r="I489" s="26" t="str">
        <f aca="false">IFERROR(INDEX(Exercícios!$D$7:$D$206,MATCH($G489,Exercícios!$B$7:$B$206,0)),"")</f>
        <v/>
      </c>
      <c r="J489" s="26" t="str">
        <f aca="false">IFERROR(INDEX(Exercícios!$E$7:$E$206,MATCH($G489,Exercícios!$B$7:$B$206,0)),"")</f>
        <v/>
      </c>
      <c r="K489" s="28"/>
      <c r="L489" s="28"/>
      <c r="M489" s="27"/>
      <c r="N489" s="28"/>
      <c r="O489" s="28"/>
      <c r="P489" s="28"/>
      <c r="Q489" s="26" t="n">
        <f aca="false">IFERROR($K489*$L489,"")</f>
        <v>0</v>
      </c>
      <c r="R489" s="44" t="n">
        <f aca="false">IF(OR($O489="",$P489=""),0,$O489*$P489)</f>
        <v>0</v>
      </c>
      <c r="S489" s="27"/>
      <c r="T489" s="27"/>
      <c r="U489" s="40" t="n">
        <f aca="false">IF($A489="",0,IF(AND(OR($E489=Atleta!$C$4,$E489="Equipe (todos)"),$A489&gt;=Atleta!$C$5),MAX($U$7:U488)+1,0))</f>
        <v>0</v>
      </c>
    </row>
    <row r="490" customFormat="false" ht="15" hidden="false" customHeight="false" outlineLevel="0" collapsed="false">
      <c r="A490" s="29"/>
      <c r="B490" s="40" t="n">
        <f aca="false">IF($A490="",0,INT(($A490-Macrociclo!$C$11)/7)+1)</f>
        <v>0</v>
      </c>
      <c r="C490" s="28"/>
      <c r="D490" s="28"/>
      <c r="E490" s="27"/>
      <c r="F490" s="28"/>
      <c r="G490" s="27"/>
      <c r="H490" s="26" t="str">
        <f aca="false">IFERROR(INDEX(Exercícios!$C$7:$C$206,MATCH($G490,Exercícios!$B$7:$B$206,0)),"")</f>
        <v/>
      </c>
      <c r="I490" s="26" t="str">
        <f aca="false">IFERROR(INDEX(Exercícios!$D$7:$D$206,MATCH($G490,Exercícios!$B$7:$B$206,0)),"")</f>
        <v/>
      </c>
      <c r="J490" s="26" t="str">
        <f aca="false">IFERROR(INDEX(Exercícios!$E$7:$E$206,MATCH($G490,Exercícios!$B$7:$B$206,0)),"")</f>
        <v/>
      </c>
      <c r="K490" s="28"/>
      <c r="L490" s="28"/>
      <c r="M490" s="27"/>
      <c r="N490" s="28"/>
      <c r="O490" s="28"/>
      <c r="P490" s="28"/>
      <c r="Q490" s="26" t="n">
        <f aca="false">IFERROR($K490*$L490,"")</f>
        <v>0</v>
      </c>
      <c r="R490" s="44" t="n">
        <f aca="false">IF(OR($O490="",$P490=""),0,$O490*$P490)</f>
        <v>0</v>
      </c>
      <c r="S490" s="27"/>
      <c r="T490" s="27"/>
      <c r="U490" s="40" t="n">
        <f aca="false">IF($A490="",0,IF(AND(OR($E490=Atleta!$C$4,$E490="Equipe (todos)"),$A490&gt;=Atleta!$C$5),MAX($U$7:U489)+1,0))</f>
        <v>0</v>
      </c>
    </row>
    <row r="491" customFormat="false" ht="15" hidden="false" customHeight="false" outlineLevel="0" collapsed="false">
      <c r="A491" s="29"/>
      <c r="B491" s="40" t="n">
        <f aca="false">IF($A491="",0,INT(($A491-Macrociclo!$C$11)/7)+1)</f>
        <v>0</v>
      </c>
      <c r="C491" s="28"/>
      <c r="D491" s="28"/>
      <c r="E491" s="27"/>
      <c r="F491" s="28"/>
      <c r="G491" s="27"/>
      <c r="H491" s="26" t="str">
        <f aca="false">IFERROR(INDEX(Exercícios!$C$7:$C$206,MATCH($G491,Exercícios!$B$7:$B$206,0)),"")</f>
        <v/>
      </c>
      <c r="I491" s="26" t="str">
        <f aca="false">IFERROR(INDEX(Exercícios!$D$7:$D$206,MATCH($G491,Exercícios!$B$7:$B$206,0)),"")</f>
        <v/>
      </c>
      <c r="J491" s="26" t="str">
        <f aca="false">IFERROR(INDEX(Exercícios!$E$7:$E$206,MATCH($G491,Exercícios!$B$7:$B$206,0)),"")</f>
        <v/>
      </c>
      <c r="K491" s="28"/>
      <c r="L491" s="28"/>
      <c r="M491" s="27"/>
      <c r="N491" s="28"/>
      <c r="O491" s="28"/>
      <c r="P491" s="28"/>
      <c r="Q491" s="26" t="n">
        <f aca="false">IFERROR($K491*$L491,"")</f>
        <v>0</v>
      </c>
      <c r="R491" s="44" t="n">
        <f aca="false">IF(OR($O491="",$P491=""),0,$O491*$P491)</f>
        <v>0</v>
      </c>
      <c r="S491" s="27"/>
      <c r="T491" s="27"/>
      <c r="U491" s="40" t="n">
        <f aca="false">IF($A491="",0,IF(AND(OR($E491=Atleta!$C$4,$E491="Equipe (todos)"),$A491&gt;=Atleta!$C$5),MAX($U$7:U490)+1,0))</f>
        <v>0</v>
      </c>
    </row>
    <row r="492" customFormat="false" ht="15" hidden="false" customHeight="false" outlineLevel="0" collapsed="false">
      <c r="A492" s="29"/>
      <c r="B492" s="40" t="n">
        <f aca="false">IF($A492="",0,INT(($A492-Macrociclo!$C$11)/7)+1)</f>
        <v>0</v>
      </c>
      <c r="C492" s="28"/>
      <c r="D492" s="28"/>
      <c r="E492" s="27"/>
      <c r="F492" s="28"/>
      <c r="G492" s="27"/>
      <c r="H492" s="26" t="str">
        <f aca="false">IFERROR(INDEX(Exercícios!$C$7:$C$206,MATCH($G492,Exercícios!$B$7:$B$206,0)),"")</f>
        <v/>
      </c>
      <c r="I492" s="26" t="str">
        <f aca="false">IFERROR(INDEX(Exercícios!$D$7:$D$206,MATCH($G492,Exercícios!$B$7:$B$206,0)),"")</f>
        <v/>
      </c>
      <c r="J492" s="26" t="str">
        <f aca="false">IFERROR(INDEX(Exercícios!$E$7:$E$206,MATCH($G492,Exercícios!$B$7:$B$206,0)),"")</f>
        <v/>
      </c>
      <c r="K492" s="28"/>
      <c r="L492" s="28"/>
      <c r="M492" s="27"/>
      <c r="N492" s="28"/>
      <c r="O492" s="28"/>
      <c r="P492" s="28"/>
      <c r="Q492" s="26" t="n">
        <f aca="false">IFERROR($K492*$L492,"")</f>
        <v>0</v>
      </c>
      <c r="R492" s="44" t="n">
        <f aca="false">IF(OR($O492="",$P492=""),0,$O492*$P492)</f>
        <v>0</v>
      </c>
      <c r="S492" s="27"/>
      <c r="T492" s="27"/>
      <c r="U492" s="40" t="n">
        <f aca="false">IF($A492="",0,IF(AND(OR($E492=Atleta!$C$4,$E492="Equipe (todos)"),$A492&gt;=Atleta!$C$5),MAX($U$7:U491)+1,0))</f>
        <v>0</v>
      </c>
    </row>
    <row r="493" customFormat="false" ht="15" hidden="false" customHeight="false" outlineLevel="0" collapsed="false">
      <c r="A493" s="29"/>
      <c r="B493" s="40" t="n">
        <f aca="false">IF($A493="",0,INT(($A493-Macrociclo!$C$11)/7)+1)</f>
        <v>0</v>
      </c>
      <c r="C493" s="28"/>
      <c r="D493" s="28"/>
      <c r="E493" s="27"/>
      <c r="F493" s="28"/>
      <c r="G493" s="27"/>
      <c r="H493" s="26" t="str">
        <f aca="false">IFERROR(INDEX(Exercícios!$C$7:$C$206,MATCH($G493,Exercícios!$B$7:$B$206,0)),"")</f>
        <v/>
      </c>
      <c r="I493" s="26" t="str">
        <f aca="false">IFERROR(INDEX(Exercícios!$D$7:$D$206,MATCH($G493,Exercícios!$B$7:$B$206,0)),"")</f>
        <v/>
      </c>
      <c r="J493" s="26" t="str">
        <f aca="false">IFERROR(INDEX(Exercícios!$E$7:$E$206,MATCH($G493,Exercícios!$B$7:$B$206,0)),"")</f>
        <v/>
      </c>
      <c r="K493" s="28"/>
      <c r="L493" s="28"/>
      <c r="M493" s="27"/>
      <c r="N493" s="28"/>
      <c r="O493" s="28"/>
      <c r="P493" s="28"/>
      <c r="Q493" s="26" t="n">
        <f aca="false">IFERROR($K493*$L493,"")</f>
        <v>0</v>
      </c>
      <c r="R493" s="44" t="n">
        <f aca="false">IF(OR($O493="",$P493=""),0,$O493*$P493)</f>
        <v>0</v>
      </c>
      <c r="S493" s="27"/>
      <c r="T493" s="27"/>
      <c r="U493" s="40" t="n">
        <f aca="false">IF($A493="",0,IF(AND(OR($E493=Atleta!$C$4,$E493="Equipe (todos)"),$A493&gt;=Atleta!$C$5),MAX($U$7:U492)+1,0))</f>
        <v>0</v>
      </c>
    </row>
    <row r="494" customFormat="false" ht="15" hidden="false" customHeight="false" outlineLevel="0" collapsed="false">
      <c r="A494" s="29"/>
      <c r="B494" s="40" t="n">
        <f aca="false">IF($A494="",0,INT(($A494-Macrociclo!$C$11)/7)+1)</f>
        <v>0</v>
      </c>
      <c r="C494" s="28"/>
      <c r="D494" s="28"/>
      <c r="E494" s="27"/>
      <c r="F494" s="28"/>
      <c r="G494" s="27"/>
      <c r="H494" s="26" t="str">
        <f aca="false">IFERROR(INDEX(Exercícios!$C$7:$C$206,MATCH($G494,Exercícios!$B$7:$B$206,0)),"")</f>
        <v/>
      </c>
      <c r="I494" s="26" t="str">
        <f aca="false">IFERROR(INDEX(Exercícios!$D$7:$D$206,MATCH($G494,Exercícios!$B$7:$B$206,0)),"")</f>
        <v/>
      </c>
      <c r="J494" s="26" t="str">
        <f aca="false">IFERROR(INDEX(Exercícios!$E$7:$E$206,MATCH($G494,Exercícios!$B$7:$B$206,0)),"")</f>
        <v/>
      </c>
      <c r="K494" s="28"/>
      <c r="L494" s="28"/>
      <c r="M494" s="27"/>
      <c r="N494" s="28"/>
      <c r="O494" s="28"/>
      <c r="P494" s="28"/>
      <c r="Q494" s="26" t="n">
        <f aca="false">IFERROR($K494*$L494,"")</f>
        <v>0</v>
      </c>
      <c r="R494" s="44" t="n">
        <f aca="false">IF(OR($O494="",$P494=""),0,$O494*$P494)</f>
        <v>0</v>
      </c>
      <c r="S494" s="27"/>
      <c r="T494" s="27"/>
      <c r="U494" s="40" t="n">
        <f aca="false">IF($A494="",0,IF(AND(OR($E494=Atleta!$C$4,$E494="Equipe (todos)"),$A494&gt;=Atleta!$C$5),MAX($U$7:U493)+1,0))</f>
        <v>0</v>
      </c>
    </row>
    <row r="495" customFormat="false" ht="15" hidden="false" customHeight="false" outlineLevel="0" collapsed="false">
      <c r="A495" s="29"/>
      <c r="B495" s="40" t="n">
        <f aca="false">IF($A495="",0,INT(($A495-Macrociclo!$C$11)/7)+1)</f>
        <v>0</v>
      </c>
      <c r="C495" s="28"/>
      <c r="D495" s="28"/>
      <c r="E495" s="27"/>
      <c r="F495" s="28"/>
      <c r="G495" s="27"/>
      <c r="H495" s="26" t="str">
        <f aca="false">IFERROR(INDEX(Exercícios!$C$7:$C$206,MATCH($G495,Exercícios!$B$7:$B$206,0)),"")</f>
        <v/>
      </c>
      <c r="I495" s="26" t="str">
        <f aca="false">IFERROR(INDEX(Exercícios!$D$7:$D$206,MATCH($G495,Exercícios!$B$7:$B$206,0)),"")</f>
        <v/>
      </c>
      <c r="J495" s="26" t="str">
        <f aca="false">IFERROR(INDEX(Exercícios!$E$7:$E$206,MATCH($G495,Exercícios!$B$7:$B$206,0)),"")</f>
        <v/>
      </c>
      <c r="K495" s="28"/>
      <c r="L495" s="28"/>
      <c r="M495" s="27"/>
      <c r="N495" s="28"/>
      <c r="O495" s="28"/>
      <c r="P495" s="28"/>
      <c r="Q495" s="26" t="n">
        <f aca="false">IFERROR($K495*$L495,"")</f>
        <v>0</v>
      </c>
      <c r="R495" s="44" t="n">
        <f aca="false">IF(OR($O495="",$P495=""),0,$O495*$P495)</f>
        <v>0</v>
      </c>
      <c r="S495" s="27"/>
      <c r="T495" s="27"/>
      <c r="U495" s="40" t="n">
        <f aca="false">IF($A495="",0,IF(AND(OR($E495=Atleta!$C$4,$E495="Equipe (todos)"),$A495&gt;=Atleta!$C$5),MAX($U$7:U494)+1,0))</f>
        <v>0</v>
      </c>
    </row>
    <row r="496" customFormat="false" ht="15" hidden="false" customHeight="false" outlineLevel="0" collapsed="false">
      <c r="A496" s="29"/>
      <c r="B496" s="40" t="n">
        <f aca="false">IF($A496="",0,INT(($A496-Macrociclo!$C$11)/7)+1)</f>
        <v>0</v>
      </c>
      <c r="C496" s="28"/>
      <c r="D496" s="28"/>
      <c r="E496" s="27"/>
      <c r="F496" s="28"/>
      <c r="G496" s="27"/>
      <c r="H496" s="26" t="str">
        <f aca="false">IFERROR(INDEX(Exercícios!$C$7:$C$206,MATCH($G496,Exercícios!$B$7:$B$206,0)),"")</f>
        <v/>
      </c>
      <c r="I496" s="26" t="str">
        <f aca="false">IFERROR(INDEX(Exercícios!$D$7:$D$206,MATCH($G496,Exercícios!$B$7:$B$206,0)),"")</f>
        <v/>
      </c>
      <c r="J496" s="26" t="str">
        <f aca="false">IFERROR(INDEX(Exercícios!$E$7:$E$206,MATCH($G496,Exercícios!$B$7:$B$206,0)),"")</f>
        <v/>
      </c>
      <c r="K496" s="28"/>
      <c r="L496" s="28"/>
      <c r="M496" s="27"/>
      <c r="N496" s="28"/>
      <c r="O496" s="28"/>
      <c r="P496" s="28"/>
      <c r="Q496" s="26" t="n">
        <f aca="false">IFERROR($K496*$L496,"")</f>
        <v>0</v>
      </c>
      <c r="R496" s="44" t="n">
        <f aca="false">IF(OR($O496="",$P496=""),0,$O496*$P496)</f>
        <v>0</v>
      </c>
      <c r="S496" s="27"/>
      <c r="T496" s="27"/>
      <c r="U496" s="40" t="n">
        <f aca="false">IF($A496="",0,IF(AND(OR($E496=Atleta!$C$4,$E496="Equipe (todos)"),$A496&gt;=Atleta!$C$5),MAX($U$7:U495)+1,0))</f>
        <v>0</v>
      </c>
    </row>
    <row r="497" customFormat="false" ht="15" hidden="false" customHeight="false" outlineLevel="0" collapsed="false">
      <c r="A497" s="29"/>
      <c r="B497" s="40" t="n">
        <f aca="false">IF($A497="",0,INT(($A497-Macrociclo!$C$11)/7)+1)</f>
        <v>0</v>
      </c>
      <c r="C497" s="28"/>
      <c r="D497" s="28"/>
      <c r="E497" s="27"/>
      <c r="F497" s="28"/>
      <c r="G497" s="27"/>
      <c r="H497" s="26" t="str">
        <f aca="false">IFERROR(INDEX(Exercícios!$C$7:$C$206,MATCH($G497,Exercícios!$B$7:$B$206,0)),"")</f>
        <v/>
      </c>
      <c r="I497" s="26" t="str">
        <f aca="false">IFERROR(INDEX(Exercícios!$D$7:$D$206,MATCH($G497,Exercícios!$B$7:$B$206,0)),"")</f>
        <v/>
      </c>
      <c r="J497" s="26" t="str">
        <f aca="false">IFERROR(INDEX(Exercícios!$E$7:$E$206,MATCH($G497,Exercícios!$B$7:$B$206,0)),"")</f>
        <v/>
      </c>
      <c r="K497" s="28"/>
      <c r="L497" s="28"/>
      <c r="M497" s="27"/>
      <c r="N497" s="28"/>
      <c r="O497" s="28"/>
      <c r="P497" s="28"/>
      <c r="Q497" s="26" t="n">
        <f aca="false">IFERROR($K497*$L497,"")</f>
        <v>0</v>
      </c>
      <c r="R497" s="44" t="n">
        <f aca="false">IF(OR($O497="",$P497=""),0,$O497*$P497)</f>
        <v>0</v>
      </c>
      <c r="S497" s="27"/>
      <c r="T497" s="27"/>
      <c r="U497" s="40" t="n">
        <f aca="false">IF($A497="",0,IF(AND(OR($E497=Atleta!$C$4,$E497="Equipe (todos)"),$A497&gt;=Atleta!$C$5),MAX($U$7:U496)+1,0))</f>
        <v>0</v>
      </c>
    </row>
    <row r="498" customFormat="false" ht="15" hidden="false" customHeight="false" outlineLevel="0" collapsed="false">
      <c r="A498" s="29"/>
      <c r="B498" s="40" t="n">
        <f aca="false">IF($A498="",0,INT(($A498-Macrociclo!$C$11)/7)+1)</f>
        <v>0</v>
      </c>
      <c r="C498" s="28"/>
      <c r="D498" s="28"/>
      <c r="E498" s="27"/>
      <c r="F498" s="28"/>
      <c r="G498" s="27"/>
      <c r="H498" s="26" t="str">
        <f aca="false">IFERROR(INDEX(Exercícios!$C$7:$C$206,MATCH($G498,Exercícios!$B$7:$B$206,0)),"")</f>
        <v/>
      </c>
      <c r="I498" s="26" t="str">
        <f aca="false">IFERROR(INDEX(Exercícios!$D$7:$D$206,MATCH($G498,Exercícios!$B$7:$B$206,0)),"")</f>
        <v/>
      </c>
      <c r="J498" s="26" t="str">
        <f aca="false">IFERROR(INDEX(Exercícios!$E$7:$E$206,MATCH($G498,Exercícios!$B$7:$B$206,0)),"")</f>
        <v/>
      </c>
      <c r="K498" s="28"/>
      <c r="L498" s="28"/>
      <c r="M498" s="27"/>
      <c r="N498" s="28"/>
      <c r="O498" s="28"/>
      <c r="P498" s="28"/>
      <c r="Q498" s="26" t="n">
        <f aca="false">IFERROR($K498*$L498,"")</f>
        <v>0</v>
      </c>
      <c r="R498" s="44" t="n">
        <f aca="false">IF(OR($O498="",$P498=""),0,$O498*$P498)</f>
        <v>0</v>
      </c>
      <c r="S498" s="27"/>
      <c r="T498" s="27"/>
      <c r="U498" s="40" t="n">
        <f aca="false">IF($A498="",0,IF(AND(OR($E498=Atleta!$C$4,$E498="Equipe (todos)"),$A498&gt;=Atleta!$C$5),MAX($U$7:U497)+1,0))</f>
        <v>0</v>
      </c>
    </row>
    <row r="499" customFormat="false" ht="15" hidden="false" customHeight="false" outlineLevel="0" collapsed="false">
      <c r="A499" s="29"/>
      <c r="B499" s="40" t="n">
        <f aca="false">IF($A499="",0,INT(($A499-Macrociclo!$C$11)/7)+1)</f>
        <v>0</v>
      </c>
      <c r="C499" s="28"/>
      <c r="D499" s="28"/>
      <c r="E499" s="27"/>
      <c r="F499" s="28"/>
      <c r="G499" s="27"/>
      <c r="H499" s="26" t="str">
        <f aca="false">IFERROR(INDEX(Exercícios!$C$7:$C$206,MATCH($G499,Exercícios!$B$7:$B$206,0)),"")</f>
        <v/>
      </c>
      <c r="I499" s="26" t="str">
        <f aca="false">IFERROR(INDEX(Exercícios!$D$7:$D$206,MATCH($G499,Exercícios!$B$7:$B$206,0)),"")</f>
        <v/>
      </c>
      <c r="J499" s="26" t="str">
        <f aca="false">IFERROR(INDEX(Exercícios!$E$7:$E$206,MATCH($G499,Exercícios!$B$7:$B$206,0)),"")</f>
        <v/>
      </c>
      <c r="K499" s="28"/>
      <c r="L499" s="28"/>
      <c r="M499" s="27"/>
      <c r="N499" s="28"/>
      <c r="O499" s="28"/>
      <c r="P499" s="28"/>
      <c r="Q499" s="26" t="n">
        <f aca="false">IFERROR($K499*$L499,"")</f>
        <v>0</v>
      </c>
      <c r="R499" s="44" t="n">
        <f aca="false">IF(OR($O499="",$P499=""),0,$O499*$P499)</f>
        <v>0</v>
      </c>
      <c r="S499" s="27"/>
      <c r="T499" s="27"/>
      <c r="U499" s="40" t="n">
        <f aca="false">IF($A499="",0,IF(AND(OR($E499=Atleta!$C$4,$E499="Equipe (todos)"),$A499&gt;=Atleta!$C$5),MAX($U$7:U498)+1,0))</f>
        <v>0</v>
      </c>
    </row>
    <row r="500" customFormat="false" ht="15" hidden="false" customHeight="false" outlineLevel="0" collapsed="false">
      <c r="A500" s="29"/>
      <c r="B500" s="40" t="n">
        <f aca="false">IF($A500="",0,INT(($A500-Macrociclo!$C$11)/7)+1)</f>
        <v>0</v>
      </c>
      <c r="C500" s="28"/>
      <c r="D500" s="28"/>
      <c r="E500" s="27"/>
      <c r="F500" s="28"/>
      <c r="G500" s="27"/>
      <c r="H500" s="26" t="str">
        <f aca="false">IFERROR(INDEX(Exercícios!$C$7:$C$206,MATCH($G500,Exercícios!$B$7:$B$206,0)),"")</f>
        <v/>
      </c>
      <c r="I500" s="26" t="str">
        <f aca="false">IFERROR(INDEX(Exercícios!$D$7:$D$206,MATCH($G500,Exercícios!$B$7:$B$206,0)),"")</f>
        <v/>
      </c>
      <c r="J500" s="26" t="str">
        <f aca="false">IFERROR(INDEX(Exercícios!$E$7:$E$206,MATCH($G500,Exercícios!$B$7:$B$206,0)),"")</f>
        <v/>
      </c>
      <c r="K500" s="28"/>
      <c r="L500" s="28"/>
      <c r="M500" s="27"/>
      <c r="N500" s="28"/>
      <c r="O500" s="28"/>
      <c r="P500" s="28"/>
      <c r="Q500" s="26" t="n">
        <f aca="false">IFERROR($K500*$L500,"")</f>
        <v>0</v>
      </c>
      <c r="R500" s="44" t="n">
        <f aca="false">IF(OR($O500="",$P500=""),0,$O500*$P500)</f>
        <v>0</v>
      </c>
      <c r="S500" s="27"/>
      <c r="T500" s="27"/>
      <c r="U500" s="40" t="n">
        <f aca="false">IF($A500="",0,IF(AND(OR($E500=Atleta!$C$4,$E500="Equipe (todos)"),$A500&gt;=Atleta!$C$5),MAX($U$7:U499)+1,0))</f>
        <v>0</v>
      </c>
    </row>
    <row r="501" customFormat="false" ht="15" hidden="false" customHeight="false" outlineLevel="0" collapsed="false">
      <c r="A501" s="29"/>
      <c r="B501" s="40" t="n">
        <f aca="false">IF($A501="",0,INT(($A501-Macrociclo!$C$11)/7)+1)</f>
        <v>0</v>
      </c>
      <c r="C501" s="28"/>
      <c r="D501" s="28"/>
      <c r="E501" s="27"/>
      <c r="F501" s="28"/>
      <c r="G501" s="27"/>
      <c r="H501" s="26" t="str">
        <f aca="false">IFERROR(INDEX(Exercícios!$C$7:$C$206,MATCH($G501,Exercícios!$B$7:$B$206,0)),"")</f>
        <v/>
      </c>
      <c r="I501" s="26" t="str">
        <f aca="false">IFERROR(INDEX(Exercícios!$D$7:$D$206,MATCH($G501,Exercícios!$B$7:$B$206,0)),"")</f>
        <v/>
      </c>
      <c r="J501" s="26" t="str">
        <f aca="false">IFERROR(INDEX(Exercícios!$E$7:$E$206,MATCH($G501,Exercícios!$B$7:$B$206,0)),"")</f>
        <v/>
      </c>
      <c r="K501" s="28"/>
      <c r="L501" s="28"/>
      <c r="M501" s="27"/>
      <c r="N501" s="28"/>
      <c r="O501" s="28"/>
      <c r="P501" s="28"/>
      <c r="Q501" s="26" t="n">
        <f aca="false">IFERROR($K501*$L501,"")</f>
        <v>0</v>
      </c>
      <c r="R501" s="44" t="n">
        <f aca="false">IF(OR($O501="",$P501=""),0,$O501*$P501)</f>
        <v>0</v>
      </c>
      <c r="S501" s="27"/>
      <c r="T501" s="27"/>
      <c r="U501" s="40" t="n">
        <f aca="false">IF($A501="",0,IF(AND(OR($E501=Atleta!$C$4,$E501="Equipe (todos)"),$A501&gt;=Atleta!$C$5),MAX($U$7:U500)+1,0))</f>
        <v>0</v>
      </c>
    </row>
    <row r="502" customFormat="false" ht="15" hidden="false" customHeight="false" outlineLevel="0" collapsed="false">
      <c r="A502" s="29"/>
      <c r="B502" s="40" t="n">
        <f aca="false">IF($A502="",0,INT(($A502-Macrociclo!$C$11)/7)+1)</f>
        <v>0</v>
      </c>
      <c r="C502" s="28"/>
      <c r="D502" s="28"/>
      <c r="E502" s="27"/>
      <c r="F502" s="28"/>
      <c r="G502" s="27"/>
      <c r="H502" s="26" t="str">
        <f aca="false">IFERROR(INDEX(Exercícios!$C$7:$C$206,MATCH($G502,Exercícios!$B$7:$B$206,0)),"")</f>
        <v/>
      </c>
      <c r="I502" s="26" t="str">
        <f aca="false">IFERROR(INDEX(Exercícios!$D$7:$D$206,MATCH($G502,Exercícios!$B$7:$B$206,0)),"")</f>
        <v/>
      </c>
      <c r="J502" s="26" t="str">
        <f aca="false">IFERROR(INDEX(Exercícios!$E$7:$E$206,MATCH($G502,Exercícios!$B$7:$B$206,0)),"")</f>
        <v/>
      </c>
      <c r="K502" s="28"/>
      <c r="L502" s="28"/>
      <c r="M502" s="27"/>
      <c r="N502" s="28"/>
      <c r="O502" s="28"/>
      <c r="P502" s="28"/>
      <c r="Q502" s="26" t="n">
        <f aca="false">IFERROR($K502*$L502,"")</f>
        <v>0</v>
      </c>
      <c r="R502" s="44" t="n">
        <f aca="false">IF(OR($O502="",$P502=""),0,$O502*$P502)</f>
        <v>0</v>
      </c>
      <c r="S502" s="27"/>
      <c r="T502" s="27"/>
      <c r="U502" s="40" t="n">
        <f aca="false">IF($A502="",0,IF(AND(OR($E502=Atleta!$C$4,$E502="Equipe (todos)"),$A502&gt;=Atleta!$C$5),MAX($U$7:U501)+1,0))</f>
        <v>0</v>
      </c>
    </row>
    <row r="503" customFormat="false" ht="15" hidden="false" customHeight="false" outlineLevel="0" collapsed="false">
      <c r="A503" s="29"/>
      <c r="B503" s="40" t="n">
        <f aca="false">IF($A503="",0,INT(($A503-Macrociclo!$C$11)/7)+1)</f>
        <v>0</v>
      </c>
      <c r="C503" s="28"/>
      <c r="D503" s="28"/>
      <c r="E503" s="27"/>
      <c r="F503" s="28"/>
      <c r="G503" s="27"/>
      <c r="H503" s="26" t="str">
        <f aca="false">IFERROR(INDEX(Exercícios!$C$7:$C$206,MATCH($G503,Exercícios!$B$7:$B$206,0)),"")</f>
        <v/>
      </c>
      <c r="I503" s="26" t="str">
        <f aca="false">IFERROR(INDEX(Exercícios!$D$7:$D$206,MATCH($G503,Exercícios!$B$7:$B$206,0)),"")</f>
        <v/>
      </c>
      <c r="J503" s="26" t="str">
        <f aca="false">IFERROR(INDEX(Exercícios!$E$7:$E$206,MATCH($G503,Exercícios!$B$7:$B$206,0)),"")</f>
        <v/>
      </c>
      <c r="K503" s="28"/>
      <c r="L503" s="28"/>
      <c r="M503" s="27"/>
      <c r="N503" s="28"/>
      <c r="O503" s="28"/>
      <c r="P503" s="28"/>
      <c r="Q503" s="26" t="n">
        <f aca="false">IFERROR($K503*$L503,"")</f>
        <v>0</v>
      </c>
      <c r="R503" s="44" t="n">
        <f aca="false">IF(OR($O503="",$P503=""),0,$O503*$P503)</f>
        <v>0</v>
      </c>
      <c r="S503" s="27"/>
      <c r="T503" s="27"/>
      <c r="U503" s="40" t="n">
        <f aca="false">IF($A503="",0,IF(AND(OR($E503=Atleta!$C$4,$E503="Equipe (todos)"),$A503&gt;=Atleta!$C$5),MAX($U$7:U502)+1,0))</f>
        <v>0</v>
      </c>
    </row>
    <row r="504" customFormat="false" ht="15" hidden="false" customHeight="false" outlineLevel="0" collapsed="false">
      <c r="A504" s="29"/>
      <c r="B504" s="40" t="n">
        <f aca="false">IF($A504="",0,INT(($A504-Macrociclo!$C$11)/7)+1)</f>
        <v>0</v>
      </c>
      <c r="C504" s="28"/>
      <c r="D504" s="28"/>
      <c r="E504" s="27"/>
      <c r="F504" s="28"/>
      <c r="G504" s="27"/>
      <c r="H504" s="26" t="str">
        <f aca="false">IFERROR(INDEX(Exercícios!$C$7:$C$206,MATCH($G504,Exercícios!$B$7:$B$206,0)),"")</f>
        <v/>
      </c>
      <c r="I504" s="26" t="str">
        <f aca="false">IFERROR(INDEX(Exercícios!$D$7:$D$206,MATCH($G504,Exercícios!$B$7:$B$206,0)),"")</f>
        <v/>
      </c>
      <c r="J504" s="26" t="str">
        <f aca="false">IFERROR(INDEX(Exercícios!$E$7:$E$206,MATCH($G504,Exercícios!$B$7:$B$206,0)),"")</f>
        <v/>
      </c>
      <c r="K504" s="28"/>
      <c r="L504" s="28"/>
      <c r="M504" s="27"/>
      <c r="N504" s="28"/>
      <c r="O504" s="28"/>
      <c r="P504" s="28"/>
      <c r="Q504" s="26" t="n">
        <f aca="false">IFERROR($K504*$L504,"")</f>
        <v>0</v>
      </c>
      <c r="R504" s="44" t="n">
        <f aca="false">IF(OR($O504="",$P504=""),0,$O504*$P504)</f>
        <v>0</v>
      </c>
      <c r="S504" s="27"/>
      <c r="T504" s="27"/>
      <c r="U504" s="40" t="n">
        <f aca="false">IF($A504="",0,IF(AND(OR($E504=Atleta!$C$4,$E504="Equipe (todos)"),$A504&gt;=Atleta!$C$5),MAX($U$7:U503)+1,0))</f>
        <v>0</v>
      </c>
    </row>
    <row r="505" customFormat="false" ht="15" hidden="false" customHeight="false" outlineLevel="0" collapsed="false">
      <c r="A505" s="29"/>
      <c r="B505" s="40" t="n">
        <f aca="false">IF($A505="",0,INT(($A505-Macrociclo!$C$11)/7)+1)</f>
        <v>0</v>
      </c>
      <c r="C505" s="28"/>
      <c r="D505" s="28"/>
      <c r="E505" s="27"/>
      <c r="F505" s="28"/>
      <c r="G505" s="27"/>
      <c r="H505" s="26" t="str">
        <f aca="false">IFERROR(INDEX(Exercícios!$C$7:$C$206,MATCH($G505,Exercícios!$B$7:$B$206,0)),"")</f>
        <v/>
      </c>
      <c r="I505" s="26" t="str">
        <f aca="false">IFERROR(INDEX(Exercícios!$D$7:$D$206,MATCH($G505,Exercícios!$B$7:$B$206,0)),"")</f>
        <v/>
      </c>
      <c r="J505" s="26" t="str">
        <f aca="false">IFERROR(INDEX(Exercícios!$E$7:$E$206,MATCH($G505,Exercícios!$B$7:$B$206,0)),"")</f>
        <v/>
      </c>
      <c r="K505" s="28"/>
      <c r="L505" s="28"/>
      <c r="M505" s="27"/>
      <c r="N505" s="28"/>
      <c r="O505" s="28"/>
      <c r="P505" s="28"/>
      <c r="Q505" s="26" t="n">
        <f aca="false">IFERROR($K505*$L505,"")</f>
        <v>0</v>
      </c>
      <c r="R505" s="44" t="n">
        <f aca="false">IF(OR($O505="",$P505=""),0,$O505*$P505)</f>
        <v>0</v>
      </c>
      <c r="S505" s="27"/>
      <c r="T505" s="27"/>
      <c r="U505" s="40" t="n">
        <f aca="false">IF($A505="",0,IF(AND(OR($E505=Atleta!$C$4,$E505="Equipe (todos)"),$A505&gt;=Atleta!$C$5),MAX($U$7:U504)+1,0))</f>
        <v>0</v>
      </c>
    </row>
    <row r="506" customFormat="false" ht="15" hidden="false" customHeight="false" outlineLevel="0" collapsed="false">
      <c r="A506" s="29"/>
      <c r="B506" s="40" t="n">
        <f aca="false">IF($A506="",0,INT(($A506-Macrociclo!$C$11)/7)+1)</f>
        <v>0</v>
      </c>
      <c r="C506" s="28"/>
      <c r="D506" s="28"/>
      <c r="E506" s="27"/>
      <c r="F506" s="28"/>
      <c r="G506" s="27"/>
      <c r="H506" s="26" t="str">
        <f aca="false">IFERROR(INDEX(Exercícios!$C$7:$C$206,MATCH($G506,Exercícios!$B$7:$B$206,0)),"")</f>
        <v/>
      </c>
      <c r="I506" s="26" t="str">
        <f aca="false">IFERROR(INDEX(Exercícios!$D$7:$D$206,MATCH($G506,Exercícios!$B$7:$B$206,0)),"")</f>
        <v/>
      </c>
      <c r="J506" s="26" t="str">
        <f aca="false">IFERROR(INDEX(Exercícios!$E$7:$E$206,MATCH($G506,Exercícios!$B$7:$B$206,0)),"")</f>
        <v/>
      </c>
      <c r="K506" s="28"/>
      <c r="L506" s="28"/>
      <c r="M506" s="27"/>
      <c r="N506" s="28"/>
      <c r="O506" s="28"/>
      <c r="P506" s="28"/>
      <c r="Q506" s="26" t="n">
        <f aca="false">IFERROR($K506*$L506,"")</f>
        <v>0</v>
      </c>
      <c r="R506" s="44" t="n">
        <f aca="false">IF(OR($O506="",$P506=""),0,$O506*$P506)</f>
        <v>0</v>
      </c>
      <c r="S506" s="27"/>
      <c r="T506" s="27"/>
      <c r="U506" s="40" t="n">
        <f aca="false">IF($A506="",0,IF(AND(OR($E506=Atleta!$C$4,$E506="Equipe (todos)"),$A506&gt;=Atleta!$C$5),MAX($U$7:U505)+1,0))</f>
        <v>0</v>
      </c>
    </row>
    <row r="507" customFormat="false" ht="15" hidden="false" customHeight="false" outlineLevel="0" collapsed="false">
      <c r="A507" s="29"/>
      <c r="B507" s="40" t="n">
        <f aca="false">IF($A507="",0,INT(($A507-Macrociclo!$C$11)/7)+1)</f>
        <v>0</v>
      </c>
      <c r="C507" s="28"/>
      <c r="D507" s="28"/>
      <c r="E507" s="27"/>
      <c r="F507" s="28"/>
      <c r="G507" s="27"/>
      <c r="H507" s="26" t="str">
        <f aca="false">IFERROR(INDEX(Exercícios!$C$7:$C$206,MATCH($G507,Exercícios!$B$7:$B$206,0)),"")</f>
        <v/>
      </c>
      <c r="I507" s="26" t="str">
        <f aca="false">IFERROR(INDEX(Exercícios!$D$7:$D$206,MATCH($G507,Exercícios!$B$7:$B$206,0)),"")</f>
        <v/>
      </c>
      <c r="J507" s="26" t="str">
        <f aca="false">IFERROR(INDEX(Exercícios!$E$7:$E$206,MATCH($G507,Exercícios!$B$7:$B$206,0)),"")</f>
        <v/>
      </c>
      <c r="K507" s="28"/>
      <c r="L507" s="28"/>
      <c r="M507" s="27"/>
      <c r="N507" s="28"/>
      <c r="O507" s="28"/>
      <c r="P507" s="28"/>
      <c r="Q507" s="26" t="n">
        <f aca="false">IFERROR($K507*$L507,"")</f>
        <v>0</v>
      </c>
      <c r="R507" s="44" t="n">
        <f aca="false">IF(OR($O507="",$P507=""),0,$O507*$P507)</f>
        <v>0</v>
      </c>
      <c r="S507" s="27"/>
      <c r="T507" s="27"/>
      <c r="U507" s="40" t="n">
        <f aca="false">IF($A507="",0,IF(AND(OR($E507=Atleta!$C$4,$E507="Equipe (todos)"),$A507&gt;=Atleta!$C$5),MAX($U$7:U506)+1,0))</f>
        <v>0</v>
      </c>
    </row>
  </sheetData>
  <autoFilter ref="A7:T507"/>
  <mergeCells count="21">
    <mergeCell ref="A1:T1"/>
    <mergeCell ref="A2:T2"/>
    <mergeCell ref="A3:T3"/>
    <mergeCell ref="B4:C4"/>
    <mergeCell ref="E4:F4"/>
    <mergeCell ref="G4:H4"/>
    <mergeCell ref="I4:J4"/>
    <mergeCell ref="K4:L4"/>
    <mergeCell ref="M4:N4"/>
    <mergeCell ref="O4:P4"/>
    <mergeCell ref="Q4:R4"/>
    <mergeCell ref="S4:T4"/>
    <mergeCell ref="E5:F5"/>
    <mergeCell ref="G5:H5"/>
    <mergeCell ref="I5:J5"/>
    <mergeCell ref="K5:L5"/>
    <mergeCell ref="M5:N5"/>
    <mergeCell ref="O5:P5"/>
    <mergeCell ref="Q5:R5"/>
    <mergeCell ref="S5:T5"/>
    <mergeCell ref="A6:T6"/>
  </mergeCells>
  <dataValidations count="5">
    <dataValidation allowBlank="true" errorStyle="stop" operator="between" showDropDown="false" showErrorMessage="false" showInputMessage="false" sqref="D8:D507" type="list">
      <formula1>Listas!$X$5:$X$16</formula1>
      <formula2>0</formula2>
    </dataValidation>
    <dataValidation allowBlank="true" errorStyle="stop" operator="between" showDropDown="false" showErrorMessage="false" showInputMessage="false" sqref="E8:E507" type="list">
      <formula1>Listas!$AN$5:$AN$45</formula1>
      <formula2>0</formula2>
    </dataValidation>
    <dataValidation allowBlank="true" errorStyle="stop" operator="between" showDropDown="false" showErrorMessage="false" showInputMessage="false" sqref="F8:F507" type="list">
      <formula1>Listas!$H$5:$H$16</formula1>
      <formula2>0</formula2>
    </dataValidation>
    <dataValidation allowBlank="true" errorStyle="stop" operator="between" showDropDown="false" showErrorMessage="false" showInputMessage="false" sqref="G8:G507" type="list">
      <formula1>Exercícios!$B$7:$B$206</formula1>
      <formula2>0</formula2>
    </dataValidation>
    <dataValidation allowBlank="true" errorStyle="stop" operator="between" showDropDown="false" showErrorMessage="false" showInputMessage="false" sqref="P8:P507" type="list">
      <formula1>Listas!$N$5:$N$16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true"/>
  </sheetPr>
  <dimension ref="A1:AG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7"/>
    <col collapsed="false" customWidth="true" hidden="false" outlineLevel="0" max="7" min="7" style="0" width="44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9" min="17" style="0" width="15"/>
    <col collapsed="false" customWidth="true" hidden="false" outlineLevel="0" max="20" min="20" style="0" width="16"/>
    <col collapsed="false" customWidth="true" hidden="false" outlineLevel="0" max="21" min="21" style="0" width="7"/>
    <col collapsed="false" customWidth="true" hidden="false" outlineLevel="0" max="22" min="22" style="0" width="8"/>
    <col collapsed="false" customWidth="true" hidden="false" outlineLevel="0" max="24" min="23" style="0" width="10"/>
    <col collapsed="false" customWidth="true" hidden="false" outlineLevel="0" max="25" min="25" style="0" width="13"/>
    <col collapsed="false" customWidth="true" hidden="false" outlineLevel="0" max="26" min="26" style="0" width="26"/>
    <col collapsed="false" customWidth="true" hidden="false" outlineLevel="0" max="27" min="27" style="0" width="24"/>
    <col collapsed="false" customWidth="true" hidden="false" outlineLevel="0" max="28" min="28" style="0" width="26"/>
    <col collapsed="false" customWidth="true" hidden="false" outlineLevel="0" max="29" min="29" style="0" width="3"/>
    <col collapsed="false" customWidth="true" hidden="false" outlineLevel="0" max="30" min="30" style="0" width="9"/>
    <col collapsed="false" customWidth="true" hidden="false" outlineLevel="0" max="31" min="31" style="0" width="15"/>
    <col collapsed="false" customWidth="true" hidden="false" outlineLevel="0" max="33" min="32" style="0" width="13"/>
  </cols>
  <sheetData>
    <row r="1" customFormat="false" ht="30" hidden="false" customHeight="true" outlineLevel="0" collapsed="false">
      <c r="A1" s="1" t="s">
        <v>1158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.75" hidden="false" customHeight="true" outlineLevel="0" collapsed="false">
      <c r="A2" s="2" t="s">
        <v>1159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9.5" hidden="false" customHeight="true" outlineLevel="0" collapsed="false">
      <c r="A3" s="3" t="s">
        <v>1160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25.5" hidden="false" customHeight="true" outlineLevel="0" collapsed="false">
      <c r="A4" s="47" t="s">
        <v>1161</v>
      </c>
      <c r="C4" s="88" t="s">
        <v>164</v>
      </c>
      <c r="D4" s="88"/>
      <c r="E4" s="88"/>
      <c r="F4" s="88"/>
      <c r="H4" s="127" t="s">
        <v>1162</v>
      </c>
      <c r="I4" s="127"/>
      <c r="J4" s="127"/>
      <c r="K4" s="127" t="s">
        <v>1163</v>
      </c>
      <c r="L4" s="127"/>
      <c r="M4" s="127"/>
      <c r="N4" s="127" t="s">
        <v>1164</v>
      </c>
      <c r="O4" s="127"/>
      <c r="P4" s="127"/>
      <c r="Q4" s="128" t="s">
        <v>1165</v>
      </c>
      <c r="R4" s="128"/>
      <c r="S4" s="128"/>
      <c r="T4" s="128" t="s">
        <v>1166</v>
      </c>
      <c r="U4" s="128"/>
      <c r="V4" s="128"/>
      <c r="W4" s="136" t="s">
        <v>1167</v>
      </c>
      <c r="X4" s="136"/>
      <c r="Y4" s="136"/>
    </row>
    <row r="5" customFormat="false" ht="30" hidden="false" customHeight="true" outlineLevel="0" collapsed="false">
      <c r="A5" s="47" t="s">
        <v>1168</v>
      </c>
      <c r="C5" s="97" t="n">
        <v>1</v>
      </c>
      <c r="D5" s="97"/>
      <c r="H5" s="129" t="n">
        <f aca="false">COUNTIFS($B$8:$B$407,$C$5)</f>
        <v>23</v>
      </c>
      <c r="I5" s="129"/>
      <c r="J5" s="129"/>
      <c r="K5" s="129" t="n">
        <f aca="false">SUMIFS($J$8:$J$407,$B$8:$B$407,$C$5)</f>
        <v>78</v>
      </c>
      <c r="L5" s="129"/>
      <c r="M5" s="129"/>
      <c r="N5" s="130" t="n">
        <f aca="false">SUMIFS($X$8:$X$407,$B$8:$B$407,$C$5)</f>
        <v>722</v>
      </c>
      <c r="O5" s="130"/>
      <c r="P5" s="130"/>
      <c r="Q5" s="131" t="n">
        <f aca="false">SUMIFS($Y$8:$Y$407,$B$8:$B$407,$C$5)</f>
        <v>11641</v>
      </c>
      <c r="R5" s="131"/>
      <c r="S5" s="131"/>
      <c r="T5" s="137" t="n">
        <f aca="false">IFERROR(SUMPRODUCT(($B$8:$B$407=$C$5)*$X$8:$X$407*$L$8:$L$407)/SUMPRODUCT(($B$8:$B$407=$C$5)*$X$8:$X$407*($L$8:$L$407&lt;&gt;"")),0)</f>
        <v>0.610082304526749</v>
      </c>
      <c r="U5" s="137"/>
      <c r="V5" s="137"/>
      <c r="W5" s="138" t="n">
        <f aca="false">SUMIFS($X$8:$X$407,$B$8:$B$407,$C$5,$H$8:$H$407,"Pliometria")</f>
        <v>60</v>
      </c>
      <c r="X5" s="138"/>
      <c r="Y5" s="138"/>
    </row>
    <row r="6" customFormat="false" ht="19.5" hidden="false" customHeight="true" outlineLevel="0" collapsed="false">
      <c r="A6" s="17" t="s">
        <v>1169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D6" s="3" t="s">
        <v>1170</v>
      </c>
      <c r="AE6" s="3"/>
      <c r="AF6" s="3"/>
      <c r="AG6" s="3"/>
    </row>
    <row r="7" customFormat="false" ht="31.5" hidden="false" customHeight="true" outlineLevel="0" collapsed="false">
      <c r="A7" s="25" t="s">
        <v>294</v>
      </c>
      <c r="B7" s="25" t="s">
        <v>1171</v>
      </c>
      <c r="C7" s="25" t="s">
        <v>766</v>
      </c>
      <c r="D7" s="25" t="s">
        <v>988</v>
      </c>
      <c r="E7" s="25" t="s">
        <v>1106</v>
      </c>
      <c r="F7" s="25" t="s">
        <v>768</v>
      </c>
      <c r="G7" s="25" t="s">
        <v>416</v>
      </c>
      <c r="H7" s="25" t="s">
        <v>419</v>
      </c>
      <c r="I7" s="25" t="s">
        <v>990</v>
      </c>
      <c r="J7" s="25" t="s">
        <v>1107</v>
      </c>
      <c r="K7" s="25" t="s">
        <v>1172</v>
      </c>
      <c r="L7" s="25" t="s">
        <v>1173</v>
      </c>
      <c r="M7" s="25" t="s">
        <v>1174</v>
      </c>
      <c r="N7" s="25" t="s">
        <v>1175</v>
      </c>
      <c r="O7" s="25" t="s">
        <v>1176</v>
      </c>
      <c r="P7" s="25" t="s">
        <v>1177</v>
      </c>
      <c r="Q7" s="25" t="s">
        <v>1178</v>
      </c>
      <c r="R7" s="25" t="s">
        <v>1179</v>
      </c>
      <c r="S7" s="25" t="s">
        <v>1180</v>
      </c>
      <c r="T7" s="25" t="s">
        <v>1181</v>
      </c>
      <c r="U7" s="25" t="s">
        <v>1182</v>
      </c>
      <c r="V7" s="25" t="s">
        <v>1183</v>
      </c>
      <c r="W7" s="25" t="s">
        <v>1110</v>
      </c>
      <c r="X7" s="25" t="s">
        <v>1184</v>
      </c>
      <c r="Y7" s="25" t="s">
        <v>1185</v>
      </c>
      <c r="Z7" s="25" t="s">
        <v>1186</v>
      </c>
      <c r="AA7" s="25" t="s">
        <v>162</v>
      </c>
      <c r="AB7" s="25" t="s">
        <v>1187</v>
      </c>
      <c r="AD7" s="25" t="s">
        <v>1173</v>
      </c>
      <c r="AE7" s="25" t="s">
        <v>1188</v>
      </c>
      <c r="AF7" s="25" t="s">
        <v>1189</v>
      </c>
      <c r="AG7" s="25" t="s">
        <v>1190</v>
      </c>
    </row>
    <row r="8" customFormat="false" ht="15" hidden="false" customHeight="false" outlineLevel="0" collapsed="false">
      <c r="A8" s="29" t="n">
        <v>46272</v>
      </c>
      <c r="B8" s="33" t="n">
        <f aca="false">IF($A8="",0,INT(($A8-'Bloco Base'!$C$5)/7)+1)</f>
        <v>1</v>
      </c>
      <c r="C8" s="28" t="s">
        <v>937</v>
      </c>
      <c r="D8" s="28" t="s">
        <v>233</v>
      </c>
      <c r="E8" s="27" t="s">
        <v>1117</v>
      </c>
      <c r="F8" s="28" t="n">
        <v>1</v>
      </c>
      <c r="G8" s="139" t="s">
        <v>600</v>
      </c>
      <c r="H8" s="27" t="s">
        <v>994</v>
      </c>
      <c r="I8" s="28" t="s">
        <v>168</v>
      </c>
      <c r="J8" s="28" t="n">
        <v>1</v>
      </c>
      <c r="K8" s="28" t="n">
        <v>8</v>
      </c>
      <c r="L8" s="71"/>
      <c r="M8" s="35" t="str">
        <f aca="false">IF($AB8="","",IFERROR(INDEX('Força 1RM'!$Q$8:$Y$47,MATCH(IF($E8="Equipe (todos)",$C$4,$E8),'Força 1RM'!$P$8:$P$47,0),MATCH($AB8,'Força 1RM'!$Q$7:$Y$7,0)),""))</f>
        <v/>
      </c>
      <c r="N8" s="30" t="n">
        <f aca="false">IFERROR(IF(OR($L8="",$M8="",$M8=0),0,ROUND($L8*$M8*2,0)/2),0)</f>
        <v>0</v>
      </c>
      <c r="O8" s="32"/>
      <c r="P8" s="42" t="str">
        <f aca="false">IFERROR(IF(OR($L8="",$I8="—",$I8=""),"",IF($I8="Agachamento",INDEX($AE$8:$AE$20,MATCH($L8,$AD$8:$AD$20,1)),IF($I8="Supino",INDEX($AF$8:$AF$20,MATCH($L8,$AD$8:$AD$20,1)),IF($I8="Terra",INDEX($AG$8:$AG$20,MATCH($L8,$AD$8:$AD$20,1)),"")))),"")</f>
        <v/>
      </c>
      <c r="Q8" s="45"/>
      <c r="R8" s="71"/>
      <c r="S8" s="71"/>
      <c r="T8" s="69" t="str">
        <f aca="false">IF(OR($R8="",$S8=""),"",IF($S8&gt;$R8,"Acima do limite","Dentro do limite"))</f>
        <v/>
      </c>
      <c r="U8" s="28"/>
      <c r="V8" s="28"/>
      <c r="W8" s="28" t="n">
        <v>0</v>
      </c>
      <c r="X8" s="140" t="n">
        <f aca="false">IFERROR(IF(OR($J8="",$K8=""),0,$J8*$K8),0)</f>
        <v>8</v>
      </c>
      <c r="Y8" s="44" t="n">
        <f aca="false">IFERROR(IF($X8=0,0,$X8*IF($O8="",$N8,$O8)),0)</f>
        <v>0</v>
      </c>
      <c r="Z8" s="60" t="str">
        <f aca="false">IF($L8="","",IF($L8&lt;0.5,"Balística / Velocidade (&lt;50%)",IF($L8&lt;0.7,"Velocidade-Força (50–69%)",IF($L8&lt;0.8,"Força-Velocidade (70–79%)",IF($L8&lt;0.9,"Força Máxima (80–89%)","Força Máxima Alta (≥90%)")))))</f>
        <v/>
      </c>
      <c r="AA8" s="27"/>
      <c r="AB8" s="27"/>
      <c r="AD8" s="71" t="n">
        <v>0.4</v>
      </c>
      <c r="AE8" s="141" t="n">
        <v>1.09</v>
      </c>
      <c r="AF8" s="141" t="n">
        <v>0.94</v>
      </c>
      <c r="AG8" s="141" t="n">
        <v>1.05</v>
      </c>
    </row>
    <row r="9" customFormat="false" ht="15" hidden="false" customHeight="false" outlineLevel="0" collapsed="false">
      <c r="A9" s="29" t="n">
        <v>46272</v>
      </c>
      <c r="B9" s="33" t="n">
        <f aca="false">IF($A9="",0,INT(($A9-'Bloco Base'!$C$5)/7)+1)</f>
        <v>1</v>
      </c>
      <c r="C9" s="28" t="s">
        <v>937</v>
      </c>
      <c r="D9" s="28" t="s">
        <v>233</v>
      </c>
      <c r="E9" s="27" t="s">
        <v>1117</v>
      </c>
      <c r="F9" s="28" t="n">
        <v>2</v>
      </c>
      <c r="G9" s="139" t="s">
        <v>616</v>
      </c>
      <c r="H9" s="27" t="s">
        <v>1191</v>
      </c>
      <c r="I9" s="28" t="s">
        <v>168</v>
      </c>
      <c r="J9" s="28" t="n">
        <v>5</v>
      </c>
      <c r="K9" s="28" t="n">
        <v>3</v>
      </c>
      <c r="L9" s="71" t="n">
        <v>0.55</v>
      </c>
      <c r="M9" s="35" t="n">
        <f aca="false">IF($AB9="","",IFERROR(INDEX('Força 1RM'!$Q$8:$Y$47,MATCH(IF($E9="Equipe (todos)",$C$4,$E9),'Força 1RM'!$P$8:$P$47,0),MATCH($AB9,'Força 1RM'!$Q$7:$Y$7,0)),""))</f>
        <v>92.5</v>
      </c>
      <c r="N9" s="30" t="n">
        <f aca="false">IFERROR(IF(OR($L9="",$M9="",$M9=0),0,ROUND($L9*$M9*2,0)/2),0)</f>
        <v>51</v>
      </c>
      <c r="O9" s="32"/>
      <c r="P9" s="42" t="str">
        <f aca="false">IFERROR(IF(OR($L9="",$I9="—",$I9=""),"",IF($I9="Agachamento",INDEX($AE$8:$AE$20,MATCH($L9,$AD$8:$AD$20,1)),IF($I9="Supino",INDEX($AF$8:$AF$20,MATCH($L9,$AD$8:$AD$20,1)),IF($I9="Terra",INDEX($AG$8:$AG$20,MATCH($L9,$AD$8:$AD$20,1)),"")))),"")</f>
        <v/>
      </c>
      <c r="Q9" s="45"/>
      <c r="R9" s="71" t="n">
        <v>0.1</v>
      </c>
      <c r="S9" s="71"/>
      <c r="T9" s="69" t="str">
        <f aca="false">IF(OR($R9="",$S9=""),"",IF($S9&gt;$R9,"Acima do limite","Dentro do limite"))</f>
        <v/>
      </c>
      <c r="U9" s="28"/>
      <c r="V9" s="28"/>
      <c r="W9" s="28" t="n">
        <v>180</v>
      </c>
      <c r="X9" s="140" t="n">
        <f aca="false">IFERROR(IF(OR($J9="",$K9=""),0,$J9*$K9),0)</f>
        <v>15</v>
      </c>
      <c r="Y9" s="44" t="n">
        <f aca="false">IFERROR(IF($X9=0,0,$X9*IF($O9="",$N9,$O9)),0)</f>
        <v>765</v>
      </c>
      <c r="Z9" s="60" t="str">
        <f aca="false">IF($L9="","",IF($L9&lt;0.5,"Balística / Velocidade (&lt;50%)",IF($L9&lt;0.7,"Velocidade-Força (50–69%)",IF($L9&lt;0.8,"Força-Velocidade (70–79%)",IF($L9&lt;0.9,"Força Máxima (80–89%)","Força Máxima Alta (≥90%)")))))</f>
        <v>Velocidade-Força (50–69%)</v>
      </c>
      <c r="AA9" s="27"/>
      <c r="AB9" s="27" t="s">
        <v>953</v>
      </c>
      <c r="AD9" s="71" t="n">
        <v>0.45</v>
      </c>
      <c r="AE9" s="141" t="n">
        <v>1.02</v>
      </c>
      <c r="AF9" s="141" t="n">
        <v>0.86</v>
      </c>
      <c r="AG9" s="141" t="n">
        <v>0.98</v>
      </c>
    </row>
    <row r="10" customFormat="false" ht="15" hidden="false" customHeight="false" outlineLevel="0" collapsed="false">
      <c r="A10" s="29" t="n">
        <v>46272</v>
      </c>
      <c r="B10" s="33" t="n">
        <f aca="false">IF($A10="",0,INT(($A10-'Bloco Base'!$C$5)/7)+1)</f>
        <v>1</v>
      </c>
      <c r="C10" s="28" t="s">
        <v>937</v>
      </c>
      <c r="D10" s="28" t="s">
        <v>233</v>
      </c>
      <c r="E10" s="27" t="s">
        <v>1117</v>
      </c>
      <c r="F10" s="28" t="n">
        <v>3</v>
      </c>
      <c r="G10" s="139" t="s">
        <v>688</v>
      </c>
      <c r="H10" s="27" t="s">
        <v>537</v>
      </c>
      <c r="I10" s="28" t="s">
        <v>692</v>
      </c>
      <c r="J10" s="28" t="n">
        <v>4</v>
      </c>
      <c r="K10" s="28" t="n">
        <v>8</v>
      </c>
      <c r="L10" s="71" t="n">
        <v>0.65</v>
      </c>
      <c r="M10" s="35" t="n">
        <f aca="false">IF($AB10="","",IFERROR(INDEX('Força 1RM'!$Q$8:$Y$47,MATCH(IF($E10="Equipe (todos)",$C$4,$E10),'Força 1RM'!$P$8:$P$47,0),MATCH($AB10,'Força 1RM'!$Q$7:$Y$7,0)),""))</f>
        <v>160</v>
      </c>
      <c r="N10" s="30" t="n">
        <f aca="false">IFERROR(IF(OR($L10="",$M10="",$M10=0),0,ROUND($L10*$M10*2,0)/2),0)</f>
        <v>104</v>
      </c>
      <c r="O10" s="32"/>
      <c r="P10" s="42" t="n">
        <f aca="false">IFERROR(IF(OR($L10="",$I10="—",$I10=""),"",IF($I10="Agachamento",INDEX($AE$8:$AE$20,MATCH($L10,$AD$8:$AD$20,1)),IF($I10="Supino",INDEX($AF$8:$AF$20,MATCH($L10,$AD$8:$AD$20,1)),IF($I10="Terra",INDEX($AG$8:$AG$20,MATCH($L10,$AD$8:$AD$20,1)),"")))),"")</f>
        <v>0.75</v>
      </c>
      <c r="Q10" s="45"/>
      <c r="R10" s="71" t="n">
        <v>0.15</v>
      </c>
      <c r="S10" s="71"/>
      <c r="T10" s="69" t="str">
        <f aca="false">IF(OR($R10="",$S10=""),"",IF($S10&gt;$R10,"Acima do limite","Dentro do limite"))</f>
        <v/>
      </c>
      <c r="U10" s="28"/>
      <c r="V10" s="28"/>
      <c r="W10" s="28" t="n">
        <v>180</v>
      </c>
      <c r="X10" s="140" t="n">
        <f aca="false">IFERROR(IF(OR($J10="",$K10=""),0,$J10*$K10),0)</f>
        <v>32</v>
      </c>
      <c r="Y10" s="44" t="n">
        <f aca="false">IFERROR(IF($X10=0,0,$X10*IF($O10="",$N10,$O10)),0)</f>
        <v>3328</v>
      </c>
      <c r="Z10" s="60" t="str">
        <f aca="false">IF($L10="","",IF($L10&lt;0.5,"Balística / Velocidade (&lt;50%)",IF($L10&lt;0.7,"Velocidade-Força (50–69%)",IF($L10&lt;0.8,"Força-Velocidade (70–79%)",IF($L10&lt;0.9,"Força Máxima (80–89%)","Força Máxima Alta (≥90%)")))))</f>
        <v>Velocidade-Força (50–69%)</v>
      </c>
      <c r="AA10" s="27"/>
      <c r="AB10" s="27" t="s">
        <v>688</v>
      </c>
      <c r="AD10" s="71" t="n">
        <v>0.5</v>
      </c>
      <c r="AE10" s="141" t="n">
        <v>0.96</v>
      </c>
      <c r="AF10" s="141" t="n">
        <v>0.79</v>
      </c>
      <c r="AG10" s="141" t="n">
        <v>0.9</v>
      </c>
    </row>
    <row r="11" customFormat="false" ht="15" hidden="false" customHeight="false" outlineLevel="0" collapsed="false">
      <c r="A11" s="29" t="n">
        <v>46272</v>
      </c>
      <c r="B11" s="33" t="n">
        <f aca="false">IF($A11="",0,INT(($A11-'Bloco Base'!$C$5)/7)+1)</f>
        <v>1</v>
      </c>
      <c r="C11" s="28" t="s">
        <v>937</v>
      </c>
      <c r="D11" s="28" t="s">
        <v>233</v>
      </c>
      <c r="E11" s="27" t="s">
        <v>1117</v>
      </c>
      <c r="F11" s="28" t="n">
        <v>4</v>
      </c>
      <c r="G11" s="139" t="s">
        <v>701</v>
      </c>
      <c r="H11" s="27" t="s">
        <v>537</v>
      </c>
      <c r="I11" s="28" t="s">
        <v>1000</v>
      </c>
      <c r="J11" s="28" t="n">
        <v>4</v>
      </c>
      <c r="K11" s="28" t="n">
        <v>8</v>
      </c>
      <c r="L11" s="71" t="n">
        <v>0.6</v>
      </c>
      <c r="M11" s="35" t="n">
        <f aca="false">IF($AB11="","",IFERROR(INDEX('Força 1RM'!$Q$8:$Y$47,MATCH(IF($E11="Equipe (todos)",$C$4,$E11),'Força 1RM'!$P$8:$P$47,0),MATCH($AB11,'Força 1RM'!$Q$7:$Y$7,0)),""))</f>
        <v>125</v>
      </c>
      <c r="N11" s="30" t="n">
        <f aca="false">IFERROR(IF(OR($L11="",$M11="",$M11=0),0,ROUND($L11*$M11*2,0)/2),0)</f>
        <v>75</v>
      </c>
      <c r="O11" s="32"/>
      <c r="P11" s="42" t="n">
        <f aca="false">IFERROR(IF(OR($L11="",$I11="—",$I11=""),"",IF($I11="Agachamento",INDEX($AE$8:$AE$20,MATCH($L11,$AD$8:$AD$20,1)),IF($I11="Supino",INDEX($AF$8:$AF$20,MATCH($L11,$AD$8:$AD$20,1)),IF($I11="Terra",INDEX($AG$8:$AG$20,MATCH($L11,$AD$8:$AD$20,1)),"")))),"")</f>
        <v>0.76</v>
      </c>
      <c r="Q11" s="45"/>
      <c r="R11" s="71" t="n">
        <v>0.2</v>
      </c>
      <c r="S11" s="71"/>
      <c r="T11" s="69" t="str">
        <f aca="false">IF(OR($R11="",$S11=""),"",IF($S11&gt;$R11,"Acima do limite","Dentro do limite"))</f>
        <v/>
      </c>
      <c r="U11" s="28"/>
      <c r="V11" s="28"/>
      <c r="W11" s="28" t="n">
        <v>120</v>
      </c>
      <c r="X11" s="140" t="n">
        <f aca="false">IFERROR(IF(OR($J11="",$K11=""),0,$J11*$K11),0)</f>
        <v>32</v>
      </c>
      <c r="Y11" s="44" t="n">
        <f aca="false">IFERROR(IF($X11=0,0,$X11*IF($O11="",$N11,$O11)),0)</f>
        <v>2400</v>
      </c>
      <c r="Z11" s="60" t="str">
        <f aca="false">IF($L11="","",IF($L11&lt;0.5,"Balística / Velocidade (&lt;50%)",IF($L11&lt;0.7,"Velocidade-Força (50–69%)",IF($L11&lt;0.8,"Força-Velocidade (70–79%)",IF($L11&lt;0.9,"Força Máxima (80–89%)","Força Máxima Alta (≥90%)")))))</f>
        <v>Velocidade-Força (50–69%)</v>
      </c>
      <c r="AA11" s="27"/>
      <c r="AB11" s="27" t="s">
        <v>701</v>
      </c>
      <c r="AD11" s="71" t="n">
        <v>0.55</v>
      </c>
      <c r="AE11" s="141" t="n">
        <v>0.89</v>
      </c>
      <c r="AF11" s="141" t="n">
        <v>0.72</v>
      </c>
      <c r="AG11" s="141" t="n">
        <v>0.83</v>
      </c>
    </row>
    <row r="12" customFormat="false" ht="15" hidden="false" customHeight="false" outlineLevel="0" collapsed="false">
      <c r="A12" s="29" t="n">
        <v>46272</v>
      </c>
      <c r="B12" s="33" t="n">
        <f aca="false">IF($A12="",0,INT(($A12-'Bloco Base'!$C$5)/7)+1)</f>
        <v>1</v>
      </c>
      <c r="C12" s="28" t="s">
        <v>937</v>
      </c>
      <c r="D12" s="28" t="s">
        <v>233</v>
      </c>
      <c r="E12" s="27" t="s">
        <v>1117</v>
      </c>
      <c r="F12" s="28" t="n">
        <v>5</v>
      </c>
      <c r="G12" s="139" t="s">
        <v>708</v>
      </c>
      <c r="H12" s="27" t="s">
        <v>537</v>
      </c>
      <c r="I12" s="28" t="s">
        <v>168</v>
      </c>
      <c r="J12" s="28" t="n">
        <v>3</v>
      </c>
      <c r="K12" s="28" t="n">
        <v>10</v>
      </c>
      <c r="L12" s="71"/>
      <c r="M12" s="35" t="str">
        <f aca="false">IF($AB12="","",IFERROR(INDEX('Força 1RM'!$Q$8:$Y$47,MATCH(IF($E12="Equipe (todos)",$C$4,$E12),'Força 1RM'!$P$8:$P$47,0),MATCH($AB12,'Força 1RM'!$Q$7:$Y$7,0)),""))</f>
        <v/>
      </c>
      <c r="N12" s="30" t="n">
        <f aca="false">IFERROR(IF(OR($L12="",$M12="",$M12=0),0,ROUND($L12*$M12*2,0)/2),0)</f>
        <v>0</v>
      </c>
      <c r="O12" s="32"/>
      <c r="P12" s="42" t="str">
        <f aca="false">IFERROR(IF(OR($L12="",$I12="—",$I12=""),"",IF($I12="Agachamento",INDEX($AE$8:$AE$20,MATCH($L12,$AD$8:$AD$20,1)),IF($I12="Supino",INDEX($AF$8:$AF$20,MATCH($L12,$AD$8:$AD$20,1)),IF($I12="Terra",INDEX($AG$8:$AG$20,MATCH($L12,$AD$8:$AD$20,1)),"")))),"")</f>
        <v/>
      </c>
      <c r="Q12" s="45"/>
      <c r="R12" s="71"/>
      <c r="S12" s="71"/>
      <c r="T12" s="69" t="str">
        <f aca="false">IF(OR($R12="",$S12=""),"",IF($S12&gt;$R12,"Acima do limite","Dentro do limite"))</f>
        <v/>
      </c>
      <c r="U12" s="28"/>
      <c r="V12" s="28"/>
      <c r="W12" s="28" t="n">
        <v>90</v>
      </c>
      <c r="X12" s="140" t="n">
        <f aca="false">IFERROR(IF(OR($J12="",$K12=""),0,$J12*$K12),0)</f>
        <v>30</v>
      </c>
      <c r="Y12" s="44" t="n">
        <f aca="false">IFERROR(IF($X12=0,0,$X12*IF($O12="",$N12,$O12)),0)</f>
        <v>0</v>
      </c>
      <c r="Z12" s="60" t="str">
        <f aca="false">IF($L12="","",IF($L12&lt;0.5,"Balística / Velocidade (&lt;50%)",IF($L12&lt;0.7,"Velocidade-Força (50–69%)",IF($L12&lt;0.8,"Força-Velocidade (70–79%)",IF($L12&lt;0.9,"Força Máxima (80–89%)","Força Máxima Alta (≥90%)")))))</f>
        <v/>
      </c>
      <c r="AA12" s="27"/>
      <c r="AB12" s="27"/>
      <c r="AD12" s="71" t="n">
        <v>0.6</v>
      </c>
      <c r="AE12" s="141" t="n">
        <v>0.83</v>
      </c>
      <c r="AF12" s="141" t="n">
        <v>0.65</v>
      </c>
      <c r="AG12" s="141" t="n">
        <v>0.76</v>
      </c>
    </row>
    <row r="13" customFormat="false" ht="15" hidden="false" customHeight="false" outlineLevel="0" collapsed="false">
      <c r="A13" s="29" t="n">
        <v>46272</v>
      </c>
      <c r="B13" s="33" t="n">
        <f aca="false">IF($A13="",0,INT(($A13-'Bloco Base'!$C$5)/7)+1)</f>
        <v>1</v>
      </c>
      <c r="C13" s="28" t="s">
        <v>937</v>
      </c>
      <c r="D13" s="28" t="s">
        <v>233</v>
      </c>
      <c r="E13" s="27" t="s">
        <v>1117</v>
      </c>
      <c r="F13" s="28" t="n">
        <v>6</v>
      </c>
      <c r="G13" s="139" t="s">
        <v>592</v>
      </c>
      <c r="H13" s="27" t="s">
        <v>1004</v>
      </c>
      <c r="I13" s="28" t="s">
        <v>168</v>
      </c>
      <c r="J13" s="28" t="n">
        <v>3</v>
      </c>
      <c r="K13" s="28" t="n">
        <v>10</v>
      </c>
      <c r="L13" s="71"/>
      <c r="M13" s="35" t="str">
        <f aca="false">IF($AB13="","",IFERROR(INDEX('Força 1RM'!$Q$8:$Y$47,MATCH(IF($E13="Equipe (todos)",$C$4,$E13),'Força 1RM'!$P$8:$P$47,0),MATCH($AB13,'Força 1RM'!$Q$7:$Y$7,0)),""))</f>
        <v/>
      </c>
      <c r="N13" s="30" t="n">
        <f aca="false">IFERROR(IF(OR($L13="",$M13="",$M13=0),0,ROUND($L13*$M13*2,0)/2),0)</f>
        <v>0</v>
      </c>
      <c r="O13" s="32"/>
      <c r="P13" s="42" t="str">
        <f aca="false">IFERROR(IF(OR($L13="",$I13="—",$I13=""),"",IF($I13="Agachamento",INDEX($AE$8:$AE$20,MATCH($L13,$AD$8:$AD$20,1)),IF($I13="Supino",INDEX($AF$8:$AF$20,MATCH($L13,$AD$8:$AD$20,1)),IF($I13="Terra",INDEX($AG$8:$AG$20,MATCH($L13,$AD$8:$AD$20,1)),"")))),"")</f>
        <v/>
      </c>
      <c r="Q13" s="45"/>
      <c r="R13" s="71"/>
      <c r="S13" s="71"/>
      <c r="T13" s="69" t="str">
        <f aca="false">IF(OR($R13="",$S13=""),"",IF($S13&gt;$R13,"Acima do limite","Dentro do limite"))</f>
        <v/>
      </c>
      <c r="U13" s="28"/>
      <c r="V13" s="28"/>
      <c r="W13" s="28" t="n">
        <v>60</v>
      </c>
      <c r="X13" s="140" t="n">
        <f aca="false">IFERROR(IF(OR($J13="",$K13=""),0,$J13*$K13),0)</f>
        <v>30</v>
      </c>
      <c r="Y13" s="44" t="n">
        <f aca="false">IFERROR(IF($X13=0,0,$X13*IF($O13="",$N13,$O13)),0)</f>
        <v>0</v>
      </c>
      <c r="Z13" s="60" t="str">
        <f aca="false">IF($L13="","",IF($L13&lt;0.5,"Balística / Velocidade (&lt;50%)",IF($L13&lt;0.7,"Velocidade-Força (50–69%)",IF($L13&lt;0.8,"Força-Velocidade (70–79%)",IF($L13&lt;0.9,"Força Máxima (80–89%)","Força Máxima Alta (≥90%)")))))</f>
        <v/>
      </c>
      <c r="AA13" s="27"/>
      <c r="AB13" s="27"/>
      <c r="AD13" s="71" t="n">
        <v>0.65</v>
      </c>
      <c r="AE13" s="141" t="n">
        <v>0.75</v>
      </c>
      <c r="AF13" s="141" t="n">
        <v>0.58</v>
      </c>
      <c r="AG13" s="141" t="n">
        <v>0.69</v>
      </c>
    </row>
    <row r="14" customFormat="false" ht="15" hidden="false" customHeight="false" outlineLevel="0" collapsed="false">
      <c r="A14" s="29" t="n">
        <v>46272</v>
      </c>
      <c r="B14" s="33" t="n">
        <f aca="false">IF($A14="",0,INT(($A14-'Bloco Base'!$C$5)/7)+1)</f>
        <v>1</v>
      </c>
      <c r="C14" s="28" t="s">
        <v>937</v>
      </c>
      <c r="D14" s="28" t="s">
        <v>233</v>
      </c>
      <c r="E14" s="27" t="s">
        <v>1117</v>
      </c>
      <c r="F14" s="28" t="n">
        <v>7</v>
      </c>
      <c r="G14" s="139" t="s">
        <v>1006</v>
      </c>
      <c r="H14" s="27" t="s">
        <v>776</v>
      </c>
      <c r="I14" s="28" t="s">
        <v>168</v>
      </c>
      <c r="J14" s="28" t="n">
        <v>3</v>
      </c>
      <c r="K14" s="28" t="n">
        <v>25</v>
      </c>
      <c r="L14" s="71"/>
      <c r="M14" s="35" t="str">
        <f aca="false">IF($AB14="","",IFERROR(INDEX('Força 1RM'!$Q$8:$Y$47,MATCH(IF($E14="Equipe (todos)",$C$4,$E14),'Força 1RM'!$P$8:$P$47,0),MATCH($AB14,'Força 1RM'!$Q$7:$Y$7,0)),""))</f>
        <v/>
      </c>
      <c r="N14" s="30" t="n">
        <f aca="false">IFERROR(IF(OR($L14="",$M14="",$M14=0),0,ROUND($L14*$M14*2,0)/2),0)</f>
        <v>0</v>
      </c>
      <c r="O14" s="32"/>
      <c r="P14" s="42" t="str">
        <f aca="false">IFERROR(IF(OR($L14="",$I14="—",$I14=""),"",IF($I14="Agachamento",INDEX($AE$8:$AE$20,MATCH($L14,$AD$8:$AD$20,1)),IF($I14="Supino",INDEX($AF$8:$AF$20,MATCH($L14,$AD$8:$AD$20,1)),IF($I14="Terra",INDEX($AG$8:$AG$20,MATCH($L14,$AD$8:$AD$20,1)),"")))),"")</f>
        <v/>
      </c>
      <c r="Q14" s="45"/>
      <c r="R14" s="71"/>
      <c r="S14" s="71"/>
      <c r="T14" s="69" t="str">
        <f aca="false">IF(OR($R14="",$S14=""),"",IF($S14&gt;$R14,"Acima do limite","Dentro do limite"))</f>
        <v/>
      </c>
      <c r="U14" s="28"/>
      <c r="V14" s="28"/>
      <c r="W14" s="28" t="n">
        <v>45</v>
      </c>
      <c r="X14" s="140" t="n">
        <f aca="false">IFERROR(IF(OR($J14="",$K14=""),0,$J14*$K14),0)</f>
        <v>75</v>
      </c>
      <c r="Y14" s="44" t="n">
        <f aca="false">IFERROR(IF($X14=0,0,$X14*IF($O14="",$N14,$O14)),0)</f>
        <v>0</v>
      </c>
      <c r="Z14" s="60" t="str">
        <f aca="false">IF($L14="","",IF($L14&lt;0.5,"Balística / Velocidade (&lt;50%)",IF($L14&lt;0.7,"Velocidade-Força (50–69%)",IF($L14&lt;0.8,"Força-Velocidade (70–79%)",IF($L14&lt;0.9,"Força Máxima (80–89%)","Força Máxima Alta (≥90%)")))))</f>
        <v/>
      </c>
      <c r="AA14" s="27"/>
      <c r="AB14" s="27"/>
      <c r="AD14" s="71" t="n">
        <v>0.7</v>
      </c>
      <c r="AE14" s="141" t="n">
        <v>0.68</v>
      </c>
      <c r="AF14" s="141" t="n">
        <v>0.51</v>
      </c>
      <c r="AG14" s="141" t="n">
        <v>0.62</v>
      </c>
    </row>
    <row r="15" customFormat="false" ht="15" hidden="false" customHeight="false" outlineLevel="0" collapsed="false">
      <c r="A15" s="29" t="n">
        <v>46274</v>
      </c>
      <c r="B15" s="33" t="n">
        <f aca="false">IF($A15="",0,INT(($A15-'Bloco Base'!$C$5)/7)+1)</f>
        <v>1</v>
      </c>
      <c r="C15" s="28" t="s">
        <v>937</v>
      </c>
      <c r="D15" s="28" t="s">
        <v>1192</v>
      </c>
      <c r="E15" s="27" t="s">
        <v>1117</v>
      </c>
      <c r="F15" s="28" t="n">
        <v>1</v>
      </c>
      <c r="G15" s="139" t="s">
        <v>587</v>
      </c>
      <c r="H15" s="27" t="s">
        <v>1004</v>
      </c>
      <c r="I15" s="28" t="s">
        <v>168</v>
      </c>
      <c r="J15" s="28" t="n">
        <v>3</v>
      </c>
      <c r="K15" s="28" t="n">
        <v>10</v>
      </c>
      <c r="L15" s="71"/>
      <c r="M15" s="35" t="str">
        <f aca="false">IF($AB15="","",IFERROR(INDEX('Força 1RM'!$Q$8:$Y$47,MATCH(IF($E15="Equipe (todos)",$C$4,$E15),'Força 1RM'!$P$8:$P$47,0),MATCH($AB15,'Força 1RM'!$Q$7:$Y$7,0)),""))</f>
        <v/>
      </c>
      <c r="N15" s="30" t="n">
        <f aca="false">IFERROR(IF(OR($L15="",$M15="",$M15=0),0,ROUND($L15*$M15*2,0)/2),0)</f>
        <v>0</v>
      </c>
      <c r="O15" s="32"/>
      <c r="P15" s="42" t="str">
        <f aca="false">IFERROR(IF(OR($L15="",$I15="—",$I15=""),"",IF($I15="Agachamento",INDEX($AE$8:$AE$20,MATCH($L15,$AD$8:$AD$20,1)),IF($I15="Supino",INDEX($AF$8:$AF$20,MATCH($L15,$AD$8:$AD$20,1)),IF($I15="Terra",INDEX($AG$8:$AG$20,MATCH($L15,$AD$8:$AD$20,1)),"")))),"")</f>
        <v/>
      </c>
      <c r="Q15" s="45"/>
      <c r="R15" s="71"/>
      <c r="S15" s="71"/>
      <c r="T15" s="69" t="str">
        <f aca="false">IF(OR($R15="",$S15=""),"",IF($S15&gt;$R15,"Acima do limite","Dentro do limite"))</f>
        <v/>
      </c>
      <c r="U15" s="28"/>
      <c r="V15" s="28"/>
      <c r="W15" s="28" t="n">
        <v>60</v>
      </c>
      <c r="X15" s="140" t="n">
        <f aca="false">IFERROR(IF(OR($J15="",$K15=""),0,$J15*$K15),0)</f>
        <v>30</v>
      </c>
      <c r="Y15" s="44" t="n">
        <f aca="false">IFERROR(IF($X15=0,0,$X15*IF($O15="",$N15,$O15)),0)</f>
        <v>0</v>
      </c>
      <c r="Z15" s="60" t="str">
        <f aca="false">IF($L15="","",IF($L15&lt;0.5,"Balística / Velocidade (&lt;50%)",IF($L15&lt;0.7,"Velocidade-Força (50–69%)",IF($L15&lt;0.8,"Força-Velocidade (70–79%)",IF($L15&lt;0.9,"Força Máxima (80–89%)","Força Máxima Alta (≥90%)")))))</f>
        <v/>
      </c>
      <c r="AA15" s="27"/>
      <c r="AB15" s="27"/>
      <c r="AD15" s="71" t="n">
        <v>0.75</v>
      </c>
      <c r="AE15" s="141" t="n">
        <v>0.62</v>
      </c>
      <c r="AF15" s="141" t="n">
        <v>0.44</v>
      </c>
      <c r="AG15" s="141" t="n">
        <v>0.55</v>
      </c>
    </row>
    <row r="16" customFormat="false" ht="15" hidden="false" customHeight="false" outlineLevel="0" collapsed="false">
      <c r="A16" s="29" t="n">
        <v>46274</v>
      </c>
      <c r="B16" s="33" t="n">
        <f aca="false">IF($A16="",0,INT(($A16-'Bloco Base'!$C$5)/7)+1)</f>
        <v>1</v>
      </c>
      <c r="C16" s="28" t="s">
        <v>937</v>
      </c>
      <c r="D16" s="28" t="s">
        <v>1192</v>
      </c>
      <c r="E16" s="27" t="s">
        <v>1117</v>
      </c>
      <c r="F16" s="28" t="n">
        <v>2</v>
      </c>
      <c r="G16" s="139" t="s">
        <v>1013</v>
      </c>
      <c r="H16" s="27" t="s">
        <v>558</v>
      </c>
      <c r="I16" s="28" t="s">
        <v>168</v>
      </c>
      <c r="J16" s="28" t="n">
        <v>5</v>
      </c>
      <c r="K16" s="28" t="n">
        <v>5</v>
      </c>
      <c r="L16" s="71"/>
      <c r="M16" s="35" t="str">
        <f aca="false">IF($AB16="","",IFERROR(INDEX('Força 1RM'!$Q$8:$Y$47,MATCH(IF($E16="Equipe (todos)",$C$4,$E16),'Força 1RM'!$P$8:$P$47,0),MATCH($AB16,'Força 1RM'!$Q$7:$Y$7,0)),""))</f>
        <v/>
      </c>
      <c r="N16" s="30" t="n">
        <f aca="false">IFERROR(IF(OR($L16="",$M16="",$M16=0),0,ROUND($L16*$M16*2,0)/2),0)</f>
        <v>0</v>
      </c>
      <c r="O16" s="32"/>
      <c r="P16" s="42" t="str">
        <f aca="false">IFERROR(IF(OR($L16="",$I16="—",$I16=""),"",IF($I16="Agachamento",INDEX($AE$8:$AE$20,MATCH($L16,$AD$8:$AD$20,1)),IF($I16="Supino",INDEX($AF$8:$AF$20,MATCH($L16,$AD$8:$AD$20,1)),IF($I16="Terra",INDEX($AG$8:$AG$20,MATCH($L16,$AD$8:$AD$20,1)),"")))),"")</f>
        <v/>
      </c>
      <c r="Q16" s="45"/>
      <c r="R16" s="71"/>
      <c r="S16" s="71"/>
      <c r="T16" s="69" t="str">
        <f aca="false">IF(OR($R16="",$S16=""),"",IF($S16&gt;$R16,"Acima do limite","Dentro do limite"))</f>
        <v/>
      </c>
      <c r="U16" s="28"/>
      <c r="V16" s="28"/>
      <c r="W16" s="28" t="n">
        <v>120</v>
      </c>
      <c r="X16" s="140" t="n">
        <f aca="false">IFERROR(IF(OR($J16="",$K16=""),0,$J16*$K16),0)</f>
        <v>25</v>
      </c>
      <c r="Y16" s="44" t="n">
        <f aca="false">IFERROR(IF($X16=0,0,$X16*IF($O16="",$N16,$O16)),0)</f>
        <v>0</v>
      </c>
      <c r="Z16" s="60" t="str">
        <f aca="false">IF($L16="","",IF($L16&lt;0.5,"Balística / Velocidade (&lt;50%)",IF($L16&lt;0.7,"Velocidade-Força (50–69%)",IF($L16&lt;0.8,"Força-Velocidade (70–79%)",IF($L16&lt;0.9,"Força Máxima (80–89%)","Força Máxima Alta (≥90%)")))))</f>
        <v/>
      </c>
      <c r="AA16" s="27"/>
      <c r="AB16" s="27"/>
      <c r="AD16" s="71" t="n">
        <v>0.8</v>
      </c>
      <c r="AE16" s="141" t="n">
        <v>0.55</v>
      </c>
      <c r="AF16" s="141" t="n">
        <v>0.37</v>
      </c>
      <c r="AG16" s="141" t="n">
        <v>0.48</v>
      </c>
    </row>
    <row r="17" customFormat="false" ht="15" hidden="false" customHeight="false" outlineLevel="0" collapsed="false">
      <c r="A17" s="29" t="n">
        <v>46274</v>
      </c>
      <c r="B17" s="33" t="n">
        <f aca="false">IF($A17="",0,INT(($A17-'Bloco Base'!$C$5)/7)+1)</f>
        <v>1</v>
      </c>
      <c r="C17" s="28" t="s">
        <v>937</v>
      </c>
      <c r="D17" s="28" t="s">
        <v>1192</v>
      </c>
      <c r="E17" s="27" t="s">
        <v>1117</v>
      </c>
      <c r="F17" s="28" t="n">
        <v>3</v>
      </c>
      <c r="G17" s="139" t="s">
        <v>562</v>
      </c>
      <c r="H17" s="27" t="s">
        <v>558</v>
      </c>
      <c r="I17" s="28" t="s">
        <v>168</v>
      </c>
      <c r="J17" s="28" t="n">
        <v>4</v>
      </c>
      <c r="K17" s="28" t="n">
        <v>5</v>
      </c>
      <c r="L17" s="71"/>
      <c r="M17" s="35" t="str">
        <f aca="false">IF($AB17="","",IFERROR(INDEX('Força 1RM'!$Q$8:$Y$47,MATCH(IF($E17="Equipe (todos)",$C$4,$E17),'Força 1RM'!$P$8:$P$47,0),MATCH($AB17,'Força 1RM'!$Q$7:$Y$7,0)),""))</f>
        <v/>
      </c>
      <c r="N17" s="30" t="n">
        <f aca="false">IFERROR(IF(OR($L17="",$M17="",$M17=0),0,ROUND($L17*$M17*2,0)/2),0)</f>
        <v>0</v>
      </c>
      <c r="O17" s="32"/>
      <c r="P17" s="42" t="str">
        <f aca="false">IFERROR(IF(OR($L17="",$I17="—",$I17=""),"",IF($I17="Agachamento",INDEX($AE$8:$AE$20,MATCH($L17,$AD$8:$AD$20,1)),IF($I17="Supino",INDEX($AF$8:$AF$20,MATCH($L17,$AD$8:$AD$20,1)),IF($I17="Terra",INDEX($AG$8:$AG$20,MATCH($L17,$AD$8:$AD$20,1)),"")))),"")</f>
        <v/>
      </c>
      <c r="Q17" s="45"/>
      <c r="R17" s="71"/>
      <c r="S17" s="71"/>
      <c r="T17" s="69" t="str">
        <f aca="false">IF(OR($R17="",$S17=""),"",IF($S17&gt;$R17,"Acima do limite","Dentro do limite"))</f>
        <v/>
      </c>
      <c r="U17" s="28"/>
      <c r="V17" s="28"/>
      <c r="W17" s="28" t="n">
        <v>120</v>
      </c>
      <c r="X17" s="140" t="n">
        <f aca="false">IFERROR(IF(OR($J17="",$K17=""),0,$J17*$K17),0)</f>
        <v>20</v>
      </c>
      <c r="Y17" s="44" t="n">
        <f aca="false">IFERROR(IF($X17=0,0,$X17*IF($O17="",$N17,$O17)),0)</f>
        <v>0</v>
      </c>
      <c r="Z17" s="60" t="str">
        <f aca="false">IF($L17="","",IF($L17&lt;0.5,"Balística / Velocidade (&lt;50%)",IF($L17&lt;0.7,"Velocidade-Força (50–69%)",IF($L17&lt;0.8,"Força-Velocidade (70–79%)",IF($L17&lt;0.9,"Força Máxima (80–89%)","Força Máxima Alta (≥90%)")))))</f>
        <v/>
      </c>
      <c r="AA17" s="27"/>
      <c r="AB17" s="27"/>
      <c r="AD17" s="71" t="n">
        <v>0.85</v>
      </c>
      <c r="AE17" s="141" t="n">
        <v>0.47</v>
      </c>
      <c r="AF17" s="141" t="n">
        <v>0.31</v>
      </c>
      <c r="AG17" s="141" t="n">
        <v>0.41</v>
      </c>
    </row>
    <row r="18" customFormat="false" ht="15" hidden="false" customHeight="false" outlineLevel="0" collapsed="false">
      <c r="A18" s="29" t="n">
        <v>46274</v>
      </c>
      <c r="B18" s="33" t="n">
        <f aca="false">IF($A18="",0,INT(($A18-'Bloco Base'!$C$5)/7)+1)</f>
        <v>1</v>
      </c>
      <c r="C18" s="28" t="s">
        <v>937</v>
      </c>
      <c r="D18" s="28" t="s">
        <v>1192</v>
      </c>
      <c r="E18" s="27" t="s">
        <v>1117</v>
      </c>
      <c r="F18" s="28" t="n">
        <v>4</v>
      </c>
      <c r="G18" s="139" t="s">
        <v>644</v>
      </c>
      <c r="H18" s="27" t="s">
        <v>537</v>
      </c>
      <c r="I18" s="28" t="s">
        <v>1017</v>
      </c>
      <c r="J18" s="28" t="n">
        <v>4</v>
      </c>
      <c r="K18" s="28" t="n">
        <v>10</v>
      </c>
      <c r="L18" s="71" t="n">
        <v>0.65</v>
      </c>
      <c r="M18" s="35" t="n">
        <f aca="false">IF($AB18="","",IFERROR(INDEX('Força 1RM'!$Q$8:$Y$47,MATCH(IF($E18="Equipe (todos)",$C$4,$E18),'Força 1RM'!$P$8:$P$47,0),MATCH($AB18,'Força 1RM'!$Q$7:$Y$7,0)),""))</f>
        <v>72.5</v>
      </c>
      <c r="N18" s="30" t="n">
        <f aca="false">IFERROR(IF(OR($L18="",$M18="",$M18=0),0,ROUND($L18*$M18*2,0)/2),0)</f>
        <v>47</v>
      </c>
      <c r="O18" s="32"/>
      <c r="P18" s="42" t="n">
        <f aca="false">IFERROR(IF(OR($L18="",$I18="—",$I18=""),"",IF($I18="Agachamento",INDEX($AE$8:$AE$20,MATCH($L18,$AD$8:$AD$20,1)),IF($I18="Supino",INDEX($AF$8:$AF$20,MATCH($L18,$AD$8:$AD$20,1)),IF($I18="Terra",INDEX($AG$8:$AG$20,MATCH($L18,$AD$8:$AD$20,1)),"")))),"")</f>
        <v>0.58</v>
      </c>
      <c r="Q18" s="45"/>
      <c r="R18" s="71" t="n">
        <v>0.2</v>
      </c>
      <c r="S18" s="71"/>
      <c r="T18" s="69" t="str">
        <f aca="false">IF(OR($R18="",$S18=""),"",IF($S18&gt;$R18,"Acima do limite","Dentro do limite"))</f>
        <v/>
      </c>
      <c r="U18" s="28"/>
      <c r="V18" s="28"/>
      <c r="W18" s="28" t="n">
        <v>120</v>
      </c>
      <c r="X18" s="140" t="n">
        <f aca="false">IFERROR(IF(OR($J18="",$K18=""),0,$J18*$K18),0)</f>
        <v>40</v>
      </c>
      <c r="Y18" s="44" t="n">
        <f aca="false">IFERROR(IF($X18=0,0,$X18*IF($O18="",$N18,$O18)),0)</f>
        <v>1880</v>
      </c>
      <c r="Z18" s="60" t="str">
        <f aca="false">IF($L18="","",IF($L18&lt;0.5,"Balística / Velocidade (&lt;50%)",IF($L18&lt;0.7,"Velocidade-Força (50–69%)",IF($L18&lt;0.8,"Força-Velocidade (70–79%)",IF($L18&lt;0.9,"Força Máxima (80–89%)","Força Máxima Alta (≥90%)")))))</f>
        <v>Velocidade-Força (50–69%)</v>
      </c>
      <c r="AA18" s="27"/>
      <c r="AB18" s="27" t="s">
        <v>644</v>
      </c>
      <c r="AD18" s="71" t="n">
        <v>0.9</v>
      </c>
      <c r="AE18" s="141" t="n">
        <v>0.4</v>
      </c>
      <c r="AF18" s="141" t="n">
        <v>0.24</v>
      </c>
      <c r="AG18" s="141" t="n">
        <v>0.35</v>
      </c>
    </row>
    <row r="19" customFormat="false" ht="15" hidden="false" customHeight="false" outlineLevel="0" collapsed="false">
      <c r="A19" s="29" t="n">
        <v>46274</v>
      </c>
      <c r="B19" s="33" t="n">
        <f aca="false">IF($A19="",0,INT(($A19-'Bloco Base'!$C$5)/7)+1)</f>
        <v>1</v>
      </c>
      <c r="C19" s="28" t="s">
        <v>937</v>
      </c>
      <c r="D19" s="28" t="s">
        <v>1192</v>
      </c>
      <c r="E19" s="27" t="s">
        <v>1117</v>
      </c>
      <c r="F19" s="28" t="n">
        <v>5</v>
      </c>
      <c r="G19" s="139" t="s">
        <v>656</v>
      </c>
      <c r="H19" s="27" t="s">
        <v>537</v>
      </c>
      <c r="I19" s="28" t="s">
        <v>168</v>
      </c>
      <c r="J19" s="28" t="n">
        <v>4</v>
      </c>
      <c r="K19" s="28" t="n">
        <v>10</v>
      </c>
      <c r="L19" s="71" t="n">
        <v>0.65</v>
      </c>
      <c r="M19" s="35" t="str">
        <f aca="false">IF($AB19="","",IFERROR(INDEX('Força 1RM'!$Q$8:$Y$47,MATCH(IF($E19="Equipe (todos)",$C$4,$E19),'Força 1RM'!$P$8:$P$47,0),MATCH($AB19,'Força 1RM'!$Q$7:$Y$7,0)),""))</f>
        <v/>
      </c>
      <c r="N19" s="30" t="n">
        <f aca="false">IFERROR(IF(OR($L19="",$M19="",$M19=0),0,ROUND($L19*$M19*2,0)/2),0)</f>
        <v>0</v>
      </c>
      <c r="O19" s="32"/>
      <c r="P19" s="42" t="str">
        <f aca="false">IFERROR(IF(OR($L19="",$I19="—",$I19=""),"",IF($I19="Agachamento",INDEX($AE$8:$AE$20,MATCH($L19,$AD$8:$AD$20,1)),IF($I19="Supino",INDEX($AF$8:$AF$20,MATCH($L19,$AD$8:$AD$20,1)),IF($I19="Terra",INDEX($AG$8:$AG$20,MATCH($L19,$AD$8:$AD$20,1)),"")))),"")</f>
        <v/>
      </c>
      <c r="Q19" s="45"/>
      <c r="R19" s="71" t="n">
        <v>0.2</v>
      </c>
      <c r="S19" s="71"/>
      <c r="T19" s="69" t="str">
        <f aca="false">IF(OR($R19="",$S19=""),"",IF($S19&gt;$R19,"Acima do limite","Dentro do limite"))</f>
        <v/>
      </c>
      <c r="U19" s="28"/>
      <c r="V19" s="28"/>
      <c r="W19" s="28" t="n">
        <v>120</v>
      </c>
      <c r="X19" s="140" t="n">
        <f aca="false">IFERROR(IF(OR($J19="",$K19=""),0,$J19*$K19),0)</f>
        <v>40</v>
      </c>
      <c r="Y19" s="44" t="n">
        <f aca="false">IFERROR(IF($X19=0,0,$X19*IF($O19="",$N19,$O19)),0)</f>
        <v>0</v>
      </c>
      <c r="Z19" s="60" t="str">
        <f aca="false">IF($L19="","",IF($L19&lt;0.5,"Balística / Velocidade (&lt;50%)",IF($L19&lt;0.7,"Velocidade-Força (50–69%)",IF($L19&lt;0.8,"Força-Velocidade (70–79%)",IF($L19&lt;0.9,"Força Máxima (80–89%)","Força Máxima Alta (≥90%)")))))</f>
        <v>Velocidade-Força (50–69%)</v>
      </c>
      <c r="AA19" s="27"/>
      <c r="AB19" s="27"/>
      <c r="AD19" s="71" t="n">
        <v>0.95</v>
      </c>
      <c r="AE19" s="141" t="n">
        <v>0.36</v>
      </c>
      <c r="AF19" s="141" t="n">
        <v>0.2</v>
      </c>
      <c r="AG19" s="141" t="n">
        <v>0.29</v>
      </c>
    </row>
    <row r="20" customFormat="false" ht="15" hidden="false" customHeight="false" outlineLevel="0" collapsed="false">
      <c r="A20" s="29" t="n">
        <v>46274</v>
      </c>
      <c r="B20" s="33" t="n">
        <f aca="false">IF($A20="",0,INT(($A20-'Bloco Base'!$C$5)/7)+1)</f>
        <v>1</v>
      </c>
      <c r="C20" s="28" t="s">
        <v>937</v>
      </c>
      <c r="D20" s="28" t="s">
        <v>1192</v>
      </c>
      <c r="E20" s="27" t="s">
        <v>1117</v>
      </c>
      <c r="F20" s="28" t="n">
        <v>6</v>
      </c>
      <c r="G20" s="139" t="s">
        <v>636</v>
      </c>
      <c r="H20" s="27" t="s">
        <v>792</v>
      </c>
      <c r="I20" s="28" t="s">
        <v>168</v>
      </c>
      <c r="J20" s="28" t="n">
        <v>3</v>
      </c>
      <c r="K20" s="28" t="n">
        <v>8</v>
      </c>
      <c r="L20" s="71"/>
      <c r="M20" s="35" t="str">
        <f aca="false">IF($AB20="","",IFERROR(INDEX('Força 1RM'!$Q$8:$Y$47,MATCH(IF($E20="Equipe (todos)",$C$4,$E20),'Força 1RM'!$P$8:$P$47,0),MATCH($AB20,'Força 1RM'!$Q$7:$Y$7,0)),""))</f>
        <v/>
      </c>
      <c r="N20" s="30" t="n">
        <f aca="false">IFERROR(IF(OR($L20="",$M20="",$M20=0),0,ROUND($L20*$M20*2,0)/2),0)</f>
        <v>0</v>
      </c>
      <c r="O20" s="32"/>
      <c r="P20" s="42" t="str">
        <f aca="false">IFERROR(IF(OR($L20="",$I20="—",$I20=""),"",IF($I20="Agachamento",INDEX($AE$8:$AE$20,MATCH($L20,$AD$8:$AD$20,1)),IF($I20="Supino",INDEX($AF$8:$AF$20,MATCH($L20,$AD$8:$AD$20,1)),IF($I20="Terra",INDEX($AG$8:$AG$20,MATCH($L20,$AD$8:$AD$20,1)),"")))),"")</f>
        <v/>
      </c>
      <c r="Q20" s="45"/>
      <c r="R20" s="71"/>
      <c r="S20" s="71"/>
      <c r="T20" s="69" t="str">
        <f aca="false">IF(OR($R20="",$S20=""),"",IF($S20&gt;$R20,"Acima do limite","Dentro do limite"))</f>
        <v/>
      </c>
      <c r="U20" s="28"/>
      <c r="V20" s="28"/>
      <c r="W20" s="28" t="n">
        <v>90</v>
      </c>
      <c r="X20" s="140" t="n">
        <f aca="false">IFERROR(IF(OR($J20="",$K20=""),0,$J20*$K20),0)</f>
        <v>24</v>
      </c>
      <c r="Y20" s="44" t="n">
        <f aca="false">IFERROR(IF($X20=0,0,$X20*IF($O20="",$N20,$O20)),0)</f>
        <v>0</v>
      </c>
      <c r="Z20" s="60" t="str">
        <f aca="false">IF($L20="","",IF($L20&lt;0.5,"Balística / Velocidade (&lt;50%)",IF($L20&lt;0.7,"Velocidade-Força (50–69%)",IF($L20&lt;0.8,"Força-Velocidade (70–79%)",IF($L20&lt;0.9,"Força Máxima (80–89%)","Força Máxima Alta (≥90%)")))))</f>
        <v/>
      </c>
      <c r="AA20" s="27"/>
      <c r="AB20" s="27"/>
      <c r="AD20" s="71" t="n">
        <v>1</v>
      </c>
      <c r="AE20" s="141" t="n">
        <v>0.32</v>
      </c>
      <c r="AF20" s="141" t="n">
        <v>0.17</v>
      </c>
      <c r="AG20" s="141" t="n">
        <v>0.24</v>
      </c>
    </row>
    <row r="21" customFormat="false" ht="15" hidden="false" customHeight="false" outlineLevel="0" collapsed="false">
      <c r="A21" s="29" t="n">
        <v>46274</v>
      </c>
      <c r="B21" s="33" t="n">
        <f aca="false">IF($A21="",0,INT(($A21-'Bloco Base'!$C$5)/7)+1)</f>
        <v>1</v>
      </c>
      <c r="C21" s="28" t="s">
        <v>937</v>
      </c>
      <c r="D21" s="28" t="s">
        <v>1192</v>
      </c>
      <c r="E21" s="27" t="s">
        <v>1117</v>
      </c>
      <c r="F21" s="28" t="n">
        <v>7</v>
      </c>
      <c r="G21" s="139" t="s">
        <v>1022</v>
      </c>
      <c r="H21" s="27" t="s">
        <v>776</v>
      </c>
      <c r="I21" s="28" t="s">
        <v>168</v>
      </c>
      <c r="J21" s="28" t="n">
        <v>3</v>
      </c>
      <c r="K21" s="28" t="n">
        <v>25</v>
      </c>
      <c r="L21" s="71"/>
      <c r="M21" s="35" t="str">
        <f aca="false">IF($AB21="","",IFERROR(INDEX('Força 1RM'!$Q$8:$Y$47,MATCH(IF($E21="Equipe (todos)",$C$4,$E21),'Força 1RM'!$P$8:$P$47,0),MATCH($AB21,'Força 1RM'!$Q$7:$Y$7,0)),""))</f>
        <v/>
      </c>
      <c r="N21" s="30" t="n">
        <f aca="false">IFERROR(IF(OR($L21="",$M21="",$M21=0),0,ROUND($L21*$M21*2,0)/2),0)</f>
        <v>0</v>
      </c>
      <c r="O21" s="32"/>
      <c r="P21" s="42" t="str">
        <f aca="false">IFERROR(IF(OR($L21="",$I21="—",$I21=""),"",IF($I21="Agachamento",INDEX($AE$8:$AE$20,MATCH($L21,$AD$8:$AD$20,1)),IF($I21="Supino",INDEX($AF$8:$AF$20,MATCH($L21,$AD$8:$AD$20,1)),IF($I21="Terra",INDEX($AG$8:$AG$20,MATCH($L21,$AD$8:$AD$20,1)),"")))),"")</f>
        <v/>
      </c>
      <c r="Q21" s="45"/>
      <c r="R21" s="71"/>
      <c r="S21" s="71"/>
      <c r="T21" s="69" t="str">
        <f aca="false">IF(OR($R21="",$S21=""),"",IF($S21&gt;$R21,"Acima do limite","Dentro do limite"))</f>
        <v/>
      </c>
      <c r="U21" s="28"/>
      <c r="V21" s="28"/>
      <c r="W21" s="28" t="n">
        <v>45</v>
      </c>
      <c r="X21" s="140" t="n">
        <f aca="false">IFERROR(IF(OR($J21="",$K21=""),0,$J21*$K21),0)</f>
        <v>75</v>
      </c>
      <c r="Y21" s="44" t="n">
        <f aca="false">IFERROR(IF($X21=0,0,$X21*IF($O21="",$N21,$O21)),0)</f>
        <v>0</v>
      </c>
      <c r="Z21" s="60" t="str">
        <f aca="false">IF($L21="","",IF($L21&lt;0.5,"Balística / Velocidade (&lt;50%)",IF($L21&lt;0.7,"Velocidade-Força (50–69%)",IF($L21&lt;0.8,"Força-Velocidade (70–79%)",IF($L21&lt;0.9,"Força Máxima (80–89%)","Força Máxima Alta (≥90%)")))))</f>
        <v/>
      </c>
      <c r="AA21" s="27"/>
      <c r="AB21" s="27"/>
    </row>
    <row r="22" customFormat="false" ht="15" hidden="false" customHeight="true" outlineLevel="0" collapsed="false">
      <c r="A22" s="29" t="n">
        <v>46276</v>
      </c>
      <c r="B22" s="33" t="n">
        <f aca="false">IF($A22="",0,INT(($A22-'Bloco Base'!$C$5)/7)+1)</f>
        <v>1</v>
      </c>
      <c r="C22" s="28" t="s">
        <v>937</v>
      </c>
      <c r="D22" s="28" t="s">
        <v>1193</v>
      </c>
      <c r="E22" s="27" t="s">
        <v>1117</v>
      </c>
      <c r="F22" s="28" t="n">
        <v>1</v>
      </c>
      <c r="G22" s="139" t="s">
        <v>600</v>
      </c>
      <c r="H22" s="27" t="s">
        <v>994</v>
      </c>
      <c r="I22" s="28" t="s">
        <v>168</v>
      </c>
      <c r="J22" s="28" t="n">
        <v>1</v>
      </c>
      <c r="K22" s="28" t="n">
        <v>8</v>
      </c>
      <c r="L22" s="71"/>
      <c r="M22" s="35" t="str">
        <f aca="false">IF($AB22="","",IFERROR(INDEX('Força 1RM'!$Q$8:$Y$47,MATCH(IF($E22="Equipe (todos)",$C$4,$E22),'Força 1RM'!$P$8:$P$47,0),MATCH($AB22,'Força 1RM'!$Q$7:$Y$7,0)),""))</f>
        <v/>
      </c>
      <c r="N22" s="30" t="n">
        <f aca="false">IFERROR(IF(OR($L22="",$M22="",$M22=0),0,ROUND($L22*$M22*2,0)/2),0)</f>
        <v>0</v>
      </c>
      <c r="O22" s="32"/>
      <c r="P22" s="42" t="str">
        <f aca="false">IFERROR(IF(OR($L22="",$I22="—",$I22=""),"",IF($I22="Agachamento",INDEX($AE$8:$AE$20,MATCH($L22,$AD$8:$AD$20,1)),IF($I22="Supino",INDEX($AF$8:$AF$20,MATCH($L22,$AD$8:$AD$20,1)),IF($I22="Terra",INDEX($AG$8:$AG$20,MATCH($L22,$AD$8:$AD$20,1)),"")))),"")</f>
        <v/>
      </c>
      <c r="Q22" s="45"/>
      <c r="R22" s="71"/>
      <c r="S22" s="71"/>
      <c r="T22" s="69" t="str">
        <f aca="false">IF(OR($R22="",$S22=""),"",IF($S22&gt;$R22,"Acima do limite","Dentro do limite"))</f>
        <v/>
      </c>
      <c r="U22" s="28"/>
      <c r="V22" s="28"/>
      <c r="W22" s="28" t="n">
        <v>0</v>
      </c>
      <c r="X22" s="140" t="n">
        <f aca="false">IFERROR(IF(OR($J22="",$K22=""),0,$J22*$K22),0)</f>
        <v>8</v>
      </c>
      <c r="Y22" s="44" t="n">
        <f aca="false">IFERROR(IF($X22=0,0,$X22*IF($O22="",$N22,$O22)),0)</f>
        <v>0</v>
      </c>
      <c r="Z22" s="60" t="str">
        <f aca="false">IF($L22="","",IF($L22&lt;0.5,"Balística / Velocidade (&lt;50%)",IF($L22&lt;0.7,"Velocidade-Força (50–69%)",IF($L22&lt;0.8,"Força-Velocidade (70–79%)",IF($L22&lt;0.9,"Força Máxima (80–89%)","Força Máxima Alta (≥90%)")))))</f>
        <v/>
      </c>
      <c r="AA22" s="27"/>
      <c r="AB22" s="27"/>
      <c r="AD22" s="142" t="s">
        <v>1194</v>
      </c>
      <c r="AE22" s="142"/>
      <c r="AF22" s="142"/>
      <c r="AG22" s="142"/>
    </row>
    <row r="23" customFormat="false" ht="15" hidden="false" customHeight="false" outlineLevel="0" collapsed="false">
      <c r="A23" s="29" t="n">
        <v>46276</v>
      </c>
      <c r="B23" s="33" t="n">
        <f aca="false">IF($A23="",0,INT(($A23-'Bloco Base'!$C$5)/7)+1)</f>
        <v>1</v>
      </c>
      <c r="C23" s="28" t="s">
        <v>937</v>
      </c>
      <c r="D23" s="28" t="s">
        <v>1193</v>
      </c>
      <c r="E23" s="27" t="s">
        <v>1117</v>
      </c>
      <c r="F23" s="28" t="n">
        <v>2</v>
      </c>
      <c r="G23" s="139" t="s">
        <v>623</v>
      </c>
      <c r="H23" s="27" t="s">
        <v>1191</v>
      </c>
      <c r="I23" s="28" t="s">
        <v>168</v>
      </c>
      <c r="J23" s="28" t="n">
        <v>4</v>
      </c>
      <c r="K23" s="28" t="n">
        <v>3</v>
      </c>
      <c r="L23" s="71" t="n">
        <v>0.5</v>
      </c>
      <c r="M23" s="35" t="n">
        <f aca="false">IF($AB23="","",IFERROR(INDEX('Força 1RM'!$Q$8:$Y$47,MATCH(IF($E23="Equipe (todos)",$C$4,$E23),'Força 1RM'!$P$8:$P$47,0),MATCH($AB23,'Força 1RM'!$Q$7:$Y$7,0)),""))</f>
        <v>117.5</v>
      </c>
      <c r="N23" s="30" t="n">
        <f aca="false">IFERROR(IF(OR($L23="",$M23="",$M23=0),0,ROUND($L23*$M23*2,0)/2),0)</f>
        <v>59</v>
      </c>
      <c r="O23" s="32"/>
      <c r="P23" s="42" t="str">
        <f aca="false">IFERROR(IF(OR($L23="",$I23="—",$I23=""),"",IF($I23="Agachamento",INDEX($AE$8:$AE$20,MATCH($L23,$AD$8:$AD$20,1)),IF($I23="Supino",INDEX($AF$8:$AF$20,MATCH($L23,$AD$8:$AD$20,1)),IF($I23="Terra",INDEX($AG$8:$AG$20,MATCH($L23,$AD$8:$AD$20,1)),"")))),"")</f>
        <v/>
      </c>
      <c r="Q23" s="45"/>
      <c r="R23" s="71" t="n">
        <v>0.1</v>
      </c>
      <c r="S23" s="71"/>
      <c r="T23" s="69" t="str">
        <f aca="false">IF(OR($R23="",$S23=""),"",IF($S23&gt;$R23,"Acima do limite","Dentro do limite"))</f>
        <v/>
      </c>
      <c r="U23" s="28"/>
      <c r="V23" s="28"/>
      <c r="W23" s="28" t="n">
        <v>150</v>
      </c>
      <c r="X23" s="140" t="n">
        <f aca="false">IFERROR(IF(OR($J23="",$K23=""),0,$J23*$K23),0)</f>
        <v>12</v>
      </c>
      <c r="Y23" s="44" t="n">
        <f aca="false">IFERROR(IF($X23=0,0,$X23*IF($O23="",$N23,$O23)),0)</f>
        <v>708</v>
      </c>
      <c r="Z23" s="60" t="str">
        <f aca="false">IF($L23="","",IF($L23&lt;0.5,"Balística / Velocidade (&lt;50%)",IF($L23&lt;0.7,"Velocidade-Força (50–69%)",IF($L23&lt;0.8,"Força-Velocidade (70–79%)",IF($L23&lt;0.9,"Força Máxima (80–89%)","Força Máxima Alta (≥90%)")))))</f>
        <v>Velocidade-Força (50–69%)</v>
      </c>
      <c r="AA23" s="27"/>
      <c r="AB23" s="27" t="s">
        <v>620</v>
      </c>
      <c r="AD23" s="142"/>
      <c r="AE23" s="142"/>
      <c r="AF23" s="142"/>
      <c r="AG23" s="142"/>
    </row>
    <row r="24" customFormat="false" ht="15" hidden="false" customHeight="false" outlineLevel="0" collapsed="false">
      <c r="A24" s="29" t="n">
        <v>46276</v>
      </c>
      <c r="B24" s="33" t="n">
        <f aca="false">IF($A24="",0,INT(($A24-'Bloco Base'!$C$5)/7)+1)</f>
        <v>1</v>
      </c>
      <c r="C24" s="28" t="s">
        <v>937</v>
      </c>
      <c r="D24" s="28" t="s">
        <v>1193</v>
      </c>
      <c r="E24" s="27" t="s">
        <v>1117</v>
      </c>
      <c r="F24" s="28" t="n">
        <v>3</v>
      </c>
      <c r="G24" s="139" t="s">
        <v>698</v>
      </c>
      <c r="H24" s="27" t="s">
        <v>1191</v>
      </c>
      <c r="I24" s="28" t="s">
        <v>692</v>
      </c>
      <c r="J24" s="28" t="n">
        <v>4</v>
      </c>
      <c r="K24" s="28" t="n">
        <v>8</v>
      </c>
      <c r="L24" s="71" t="n">
        <v>0.5</v>
      </c>
      <c r="M24" s="35" t="n">
        <f aca="false">IF($AB24="","",IFERROR(INDEX('Força 1RM'!$Q$8:$Y$47,MATCH(IF($E24="Equipe (todos)",$C$4,$E24),'Força 1RM'!$P$8:$P$47,0),MATCH($AB24,'Força 1RM'!$Q$7:$Y$7,0)),""))</f>
        <v>160</v>
      </c>
      <c r="N24" s="30" t="n">
        <f aca="false">IFERROR(IF(OR($L24="",$M24="",$M24=0),0,ROUND($L24*$M24*2,0)/2),0)</f>
        <v>80</v>
      </c>
      <c r="O24" s="32"/>
      <c r="P24" s="42" t="n">
        <f aca="false">IFERROR(IF(OR($L24="",$I24="—",$I24=""),"",IF($I24="Agachamento",INDEX($AE$8:$AE$20,MATCH($L24,$AD$8:$AD$20,1)),IF($I24="Supino",INDEX($AF$8:$AF$20,MATCH($L24,$AD$8:$AD$20,1)),IF($I24="Terra",INDEX($AG$8:$AG$20,MATCH($L24,$AD$8:$AD$20,1)),"")))),"")</f>
        <v>0.96</v>
      </c>
      <c r="Q24" s="45"/>
      <c r="R24" s="71" t="n">
        <v>0.15</v>
      </c>
      <c r="S24" s="71"/>
      <c r="T24" s="69" t="str">
        <f aca="false">IF(OR($R24="",$S24=""),"",IF($S24&gt;$R24,"Acima do limite","Dentro do limite"))</f>
        <v/>
      </c>
      <c r="U24" s="28"/>
      <c r="V24" s="28"/>
      <c r="W24" s="28" t="n">
        <v>150</v>
      </c>
      <c r="X24" s="140" t="n">
        <f aca="false">IFERROR(IF(OR($J24="",$K24=""),0,$J24*$K24),0)</f>
        <v>32</v>
      </c>
      <c r="Y24" s="44" t="n">
        <f aca="false">IFERROR(IF($X24=0,0,$X24*IF($O24="",$N24,$O24)),0)</f>
        <v>2560</v>
      </c>
      <c r="Z24" s="60" t="str">
        <f aca="false">IF($L24="","",IF($L24&lt;0.5,"Balística / Velocidade (&lt;50%)",IF($L24&lt;0.7,"Velocidade-Força (50–69%)",IF($L24&lt;0.8,"Força-Velocidade (70–79%)",IF($L24&lt;0.9,"Força Máxima (80–89%)","Força Máxima Alta (≥90%)")))))</f>
        <v>Velocidade-Força (50–69%)</v>
      </c>
      <c r="AA24" s="27"/>
      <c r="AB24" s="27" t="s">
        <v>688</v>
      </c>
      <c r="AD24" s="142"/>
      <c r="AE24" s="142"/>
      <c r="AF24" s="142"/>
      <c r="AG24" s="142"/>
    </row>
    <row r="25" customFormat="false" ht="15" hidden="false" customHeight="false" outlineLevel="0" collapsed="false">
      <c r="A25" s="29" t="n">
        <v>46276</v>
      </c>
      <c r="B25" s="33" t="n">
        <f aca="false">IF($A25="",0,INT(($A25-'Bloco Base'!$C$5)/7)+1)</f>
        <v>1</v>
      </c>
      <c r="C25" s="28" t="s">
        <v>937</v>
      </c>
      <c r="D25" s="28" t="s">
        <v>1193</v>
      </c>
      <c r="E25" s="27" t="s">
        <v>1117</v>
      </c>
      <c r="F25" s="28" t="n">
        <v>4</v>
      </c>
      <c r="G25" s="139" t="s">
        <v>728</v>
      </c>
      <c r="H25" s="27" t="s">
        <v>1004</v>
      </c>
      <c r="I25" s="28" t="s">
        <v>168</v>
      </c>
      <c r="J25" s="28" t="n">
        <v>3</v>
      </c>
      <c r="K25" s="28" t="n">
        <v>10</v>
      </c>
      <c r="L25" s="71"/>
      <c r="M25" s="35" t="str">
        <f aca="false">IF($AB25="","",IFERROR(INDEX('Força 1RM'!$Q$8:$Y$47,MATCH(IF($E25="Equipe (todos)",$C$4,$E25),'Força 1RM'!$P$8:$P$47,0),MATCH($AB25,'Força 1RM'!$Q$7:$Y$7,0)),""))</f>
        <v/>
      </c>
      <c r="N25" s="30" t="n">
        <f aca="false">IFERROR(IF(OR($L25="",$M25="",$M25=0),0,ROUND($L25*$M25*2,0)/2),0)</f>
        <v>0</v>
      </c>
      <c r="O25" s="32"/>
      <c r="P25" s="42" t="str">
        <f aca="false">IFERROR(IF(OR($L25="",$I25="—",$I25=""),"",IF($I25="Agachamento",INDEX($AE$8:$AE$20,MATCH($L25,$AD$8:$AD$20,1)),IF($I25="Supino",INDEX($AF$8:$AF$20,MATCH($L25,$AD$8:$AD$20,1)),IF($I25="Terra",INDEX($AG$8:$AG$20,MATCH($L25,$AD$8:$AD$20,1)),"")))),"")</f>
        <v/>
      </c>
      <c r="Q25" s="45"/>
      <c r="R25" s="71"/>
      <c r="S25" s="71"/>
      <c r="T25" s="69" t="str">
        <f aca="false">IF(OR($R25="",$S25=""),"",IF($S25&gt;$R25,"Acima do limite","Dentro do limite"))</f>
        <v/>
      </c>
      <c r="U25" s="28"/>
      <c r="V25" s="28"/>
      <c r="W25" s="28" t="n">
        <v>60</v>
      </c>
      <c r="X25" s="140" t="n">
        <f aca="false">IFERROR(IF(OR($J25="",$K25=""),0,$J25*$K25),0)</f>
        <v>30</v>
      </c>
      <c r="Y25" s="44" t="n">
        <f aca="false">IFERROR(IF($X25=0,0,$X25*IF($O25="",$N25,$O25)),0)</f>
        <v>0</v>
      </c>
      <c r="Z25" s="60" t="str">
        <f aca="false">IF($L25="","",IF($L25&lt;0.5,"Balística / Velocidade (&lt;50%)",IF($L25&lt;0.7,"Velocidade-Força (50–69%)",IF($L25&lt;0.8,"Força-Velocidade (70–79%)",IF($L25&lt;0.9,"Força Máxima (80–89%)","Força Máxima Alta (≥90%)")))))</f>
        <v/>
      </c>
      <c r="AA25" s="27"/>
      <c r="AB25" s="27"/>
      <c r="AD25" s="142"/>
      <c r="AE25" s="142"/>
      <c r="AF25" s="142"/>
      <c r="AG25" s="142"/>
    </row>
    <row r="26" customFormat="false" ht="15" hidden="false" customHeight="false" outlineLevel="0" collapsed="false">
      <c r="A26" s="29" t="n">
        <v>46276</v>
      </c>
      <c r="B26" s="33" t="n">
        <f aca="false">IF($A26="",0,INT(($A26-'Bloco Base'!$C$5)/7)+1)</f>
        <v>1</v>
      </c>
      <c r="C26" s="28" t="s">
        <v>937</v>
      </c>
      <c r="D26" s="28" t="s">
        <v>1193</v>
      </c>
      <c r="E26" s="27" t="s">
        <v>1117</v>
      </c>
      <c r="F26" s="28" t="n">
        <v>5</v>
      </c>
      <c r="G26" s="139" t="s">
        <v>1030</v>
      </c>
      <c r="H26" s="27" t="s">
        <v>537</v>
      </c>
      <c r="I26" s="28" t="s">
        <v>168</v>
      </c>
      <c r="J26" s="28" t="n">
        <v>3</v>
      </c>
      <c r="K26" s="28" t="n">
        <v>10</v>
      </c>
      <c r="L26" s="71"/>
      <c r="M26" s="35" t="str">
        <f aca="false">IF($AB26="","",IFERROR(INDEX('Força 1RM'!$Q$8:$Y$47,MATCH(IF($E26="Equipe (todos)",$C$4,$E26),'Força 1RM'!$P$8:$P$47,0),MATCH($AB26,'Força 1RM'!$Q$7:$Y$7,0)),""))</f>
        <v/>
      </c>
      <c r="N26" s="30" t="n">
        <f aca="false">IFERROR(IF(OR($L26="",$M26="",$M26=0),0,ROUND($L26*$M26*2,0)/2),0)</f>
        <v>0</v>
      </c>
      <c r="O26" s="32"/>
      <c r="P26" s="42" t="str">
        <f aca="false">IFERROR(IF(OR($L26="",$I26="—",$I26=""),"",IF($I26="Agachamento",INDEX($AE$8:$AE$20,MATCH($L26,$AD$8:$AD$20,1)),IF($I26="Supino",INDEX($AF$8:$AF$20,MATCH($L26,$AD$8:$AD$20,1)),IF($I26="Terra",INDEX($AG$8:$AG$20,MATCH($L26,$AD$8:$AD$20,1)),"")))),"")</f>
        <v/>
      </c>
      <c r="Q26" s="45"/>
      <c r="R26" s="71"/>
      <c r="S26" s="71"/>
      <c r="T26" s="69" t="str">
        <f aca="false">IF(OR($R26="",$S26=""),"",IF($S26&gt;$R26,"Acima do limite","Dentro do limite"))</f>
        <v/>
      </c>
      <c r="U26" s="28"/>
      <c r="V26" s="28"/>
      <c r="W26" s="28" t="n">
        <v>90</v>
      </c>
      <c r="X26" s="140" t="n">
        <f aca="false">IFERROR(IF(OR($J26="",$K26=""),0,$J26*$K26),0)</f>
        <v>30</v>
      </c>
      <c r="Y26" s="44" t="n">
        <f aca="false">IFERROR(IF($X26=0,0,$X26*IF($O26="",$N26,$O26)),0)</f>
        <v>0</v>
      </c>
      <c r="Z26" s="60" t="str">
        <f aca="false">IF($L26="","",IF($L26&lt;0.5,"Balística / Velocidade (&lt;50%)",IF($L26&lt;0.7,"Velocidade-Força (50–69%)",IF($L26&lt;0.8,"Força-Velocidade (70–79%)",IF($L26&lt;0.9,"Força Máxima (80–89%)","Força Máxima Alta (≥90%)")))))</f>
        <v/>
      </c>
      <c r="AA26" s="27"/>
      <c r="AB26" s="27"/>
      <c r="AD26" s="142"/>
      <c r="AE26" s="142"/>
      <c r="AF26" s="142"/>
      <c r="AG26" s="142"/>
    </row>
    <row r="27" customFormat="false" ht="15" hidden="false" customHeight="false" outlineLevel="0" collapsed="false">
      <c r="A27" s="29" t="n">
        <v>46276</v>
      </c>
      <c r="B27" s="33" t="n">
        <f aca="false">IF($A27="",0,INT(($A27-'Bloco Base'!$C$5)/7)+1)</f>
        <v>1</v>
      </c>
      <c r="C27" s="28" t="s">
        <v>937</v>
      </c>
      <c r="D27" s="28" t="s">
        <v>1193</v>
      </c>
      <c r="E27" s="27" t="s">
        <v>1117</v>
      </c>
      <c r="F27" s="28" t="n">
        <v>6</v>
      </c>
      <c r="G27" s="139" t="s">
        <v>632</v>
      </c>
      <c r="H27" s="27" t="s">
        <v>558</v>
      </c>
      <c r="I27" s="28" t="s">
        <v>168</v>
      </c>
      <c r="J27" s="28" t="n">
        <v>3</v>
      </c>
      <c r="K27" s="28" t="n">
        <v>5</v>
      </c>
      <c r="L27" s="71"/>
      <c r="M27" s="35" t="str">
        <f aca="false">IF($AB27="","",IFERROR(INDEX('Força 1RM'!$Q$8:$Y$47,MATCH(IF($E27="Equipe (todos)",$C$4,$E27),'Força 1RM'!$P$8:$P$47,0),MATCH($AB27,'Força 1RM'!$Q$7:$Y$7,0)),""))</f>
        <v/>
      </c>
      <c r="N27" s="30" t="n">
        <f aca="false">IFERROR(IF(OR($L27="",$M27="",$M27=0),0,ROUND($L27*$M27*2,0)/2),0)</f>
        <v>0</v>
      </c>
      <c r="O27" s="32"/>
      <c r="P27" s="42" t="str">
        <f aca="false">IFERROR(IF(OR($L27="",$I27="—",$I27=""),"",IF($I27="Agachamento",INDEX($AE$8:$AE$20,MATCH($L27,$AD$8:$AD$20,1)),IF($I27="Supino",INDEX($AF$8:$AF$20,MATCH($L27,$AD$8:$AD$20,1)),IF($I27="Terra",INDEX($AG$8:$AG$20,MATCH($L27,$AD$8:$AD$20,1)),"")))),"")</f>
        <v/>
      </c>
      <c r="Q27" s="45"/>
      <c r="R27" s="71"/>
      <c r="S27" s="71"/>
      <c r="T27" s="69" t="str">
        <f aca="false">IF(OR($R27="",$S27=""),"",IF($S27&gt;$R27,"Acima do limite","Dentro do limite"))</f>
        <v/>
      </c>
      <c r="U27" s="28"/>
      <c r="V27" s="28"/>
      <c r="W27" s="28" t="n">
        <v>120</v>
      </c>
      <c r="X27" s="140" t="n">
        <f aca="false">IFERROR(IF(OR($J27="",$K27=""),0,$J27*$K27),0)</f>
        <v>15</v>
      </c>
      <c r="Y27" s="44" t="n">
        <f aca="false">IFERROR(IF($X27=0,0,$X27*IF($O27="",$N27,$O27)),0)</f>
        <v>0</v>
      </c>
      <c r="Z27" s="60" t="str">
        <f aca="false">IF($L27="","",IF($L27&lt;0.5,"Balística / Velocidade (&lt;50%)",IF($L27&lt;0.7,"Velocidade-Força (50–69%)",IF($L27&lt;0.8,"Força-Velocidade (70–79%)",IF($L27&lt;0.9,"Força Máxima (80–89%)","Força Máxima Alta (≥90%)")))))</f>
        <v/>
      </c>
      <c r="AA27" s="27"/>
      <c r="AB27" s="27"/>
      <c r="AD27" s="142"/>
      <c r="AE27" s="142"/>
      <c r="AF27" s="142"/>
      <c r="AG27" s="142"/>
    </row>
    <row r="28" customFormat="false" ht="15" hidden="false" customHeight="false" outlineLevel="0" collapsed="false">
      <c r="A28" s="29" t="n">
        <v>46276</v>
      </c>
      <c r="B28" s="33" t="n">
        <f aca="false">IF($A28="",0,INT(($A28-'Bloco Base'!$C$5)/7)+1)</f>
        <v>1</v>
      </c>
      <c r="C28" s="28" t="s">
        <v>937</v>
      </c>
      <c r="D28" s="28" t="s">
        <v>1193</v>
      </c>
      <c r="E28" s="27" t="s">
        <v>1117</v>
      </c>
      <c r="F28" s="28" t="n">
        <v>7</v>
      </c>
      <c r="G28" s="139" t="s">
        <v>664</v>
      </c>
      <c r="H28" s="27" t="s">
        <v>537</v>
      </c>
      <c r="I28" s="28" t="s">
        <v>168</v>
      </c>
      <c r="J28" s="28" t="n">
        <v>4</v>
      </c>
      <c r="K28" s="28" t="n">
        <v>10</v>
      </c>
      <c r="L28" s="71" t="n">
        <v>0.65</v>
      </c>
      <c r="M28" s="35" t="str">
        <f aca="false">IF($AB28="","",IFERROR(INDEX('Força 1RM'!$Q$8:$Y$47,MATCH(IF($E28="Equipe (todos)",$C$4,$E28),'Força 1RM'!$P$8:$P$47,0),MATCH($AB28,'Força 1RM'!$Q$7:$Y$7,0)),""))</f>
        <v/>
      </c>
      <c r="N28" s="30" t="n">
        <f aca="false">IFERROR(IF(OR($L28="",$M28="",$M28=0),0,ROUND($L28*$M28*2,0)/2),0)</f>
        <v>0</v>
      </c>
      <c r="O28" s="32"/>
      <c r="P28" s="42" t="str">
        <f aca="false">IFERROR(IF(OR($L28="",$I28="—",$I28=""),"",IF($I28="Agachamento",INDEX($AE$8:$AE$20,MATCH($L28,$AD$8:$AD$20,1)),IF($I28="Supino",INDEX($AF$8:$AF$20,MATCH($L28,$AD$8:$AD$20,1)),IF($I28="Terra",INDEX($AG$8:$AG$20,MATCH($L28,$AD$8:$AD$20,1)),"")))),"")</f>
        <v/>
      </c>
      <c r="Q28" s="45"/>
      <c r="R28" s="71" t="n">
        <v>0.2</v>
      </c>
      <c r="S28" s="71"/>
      <c r="T28" s="69" t="str">
        <f aca="false">IF(OR($R28="",$S28=""),"",IF($S28&gt;$R28,"Acima do limite","Dentro do limite"))</f>
        <v/>
      </c>
      <c r="U28" s="28"/>
      <c r="V28" s="28"/>
      <c r="W28" s="28" t="n">
        <v>120</v>
      </c>
      <c r="X28" s="140" t="n">
        <f aca="false">IFERROR(IF(OR($J28="",$K28=""),0,$J28*$K28),0)</f>
        <v>40</v>
      </c>
      <c r="Y28" s="44" t="n">
        <f aca="false">IFERROR(IF($X28=0,0,$X28*IF($O28="",$N28,$O28)),0)</f>
        <v>0</v>
      </c>
      <c r="Z28" s="60" t="str">
        <f aca="false">IF($L28="","",IF($L28&lt;0.5,"Balística / Velocidade (&lt;50%)",IF($L28&lt;0.7,"Velocidade-Força (50–69%)",IF($L28&lt;0.8,"Força-Velocidade (70–79%)",IF($L28&lt;0.9,"Força Máxima (80–89%)","Força Máxima Alta (≥90%)")))))</f>
        <v>Velocidade-Força (50–69%)</v>
      </c>
      <c r="AA28" s="27"/>
      <c r="AB28" s="27"/>
    </row>
    <row r="29" customFormat="false" ht="15" hidden="false" customHeight="false" outlineLevel="0" collapsed="false">
      <c r="A29" s="29" t="n">
        <v>46276</v>
      </c>
      <c r="B29" s="33" t="n">
        <f aca="false">IF($A29="",0,INT(($A29-'Bloco Base'!$C$5)/7)+1)</f>
        <v>1</v>
      </c>
      <c r="C29" s="28" t="s">
        <v>937</v>
      </c>
      <c r="D29" s="28" t="s">
        <v>1193</v>
      </c>
      <c r="E29" s="27" t="s">
        <v>1117</v>
      </c>
      <c r="F29" s="28" t="n">
        <v>8</v>
      </c>
      <c r="G29" s="139" t="s">
        <v>566</v>
      </c>
      <c r="H29" s="27" t="s">
        <v>480</v>
      </c>
      <c r="I29" s="28" t="s">
        <v>168</v>
      </c>
      <c r="J29" s="28" t="n">
        <v>4</v>
      </c>
      <c r="K29" s="28" t="n">
        <v>1</v>
      </c>
      <c r="L29" s="71"/>
      <c r="M29" s="35" t="str">
        <f aca="false">IF($AB29="","",IFERROR(INDEX('Força 1RM'!$Q$8:$Y$47,MATCH(IF($E29="Equipe (todos)",$C$4,$E29),'Força 1RM'!$P$8:$P$47,0),MATCH($AB29,'Força 1RM'!$Q$7:$Y$7,0)),""))</f>
        <v/>
      </c>
      <c r="N29" s="30" t="n">
        <f aca="false">IFERROR(IF(OR($L29="",$M29="",$M29=0),0,ROUND($L29*$M29*2,0)/2),0)</f>
        <v>0</v>
      </c>
      <c r="O29" s="32"/>
      <c r="P29" s="42" t="str">
        <f aca="false">IFERROR(IF(OR($L29="",$I29="—",$I29=""),"",IF($I29="Agachamento",INDEX($AE$8:$AE$20,MATCH($L29,$AD$8:$AD$20,1)),IF($I29="Supino",INDEX($AF$8:$AF$20,MATCH($L29,$AD$8:$AD$20,1)),IF($I29="Terra",INDEX($AG$8:$AG$20,MATCH($L29,$AD$8:$AD$20,1)),"")))),"")</f>
        <v/>
      </c>
      <c r="Q29" s="45"/>
      <c r="R29" s="71"/>
      <c r="S29" s="71"/>
      <c r="T29" s="69" t="str">
        <f aca="false">IF(OR($R29="",$S29=""),"",IF($S29&gt;$R29,"Acima do limite","Dentro do limite"))</f>
        <v/>
      </c>
      <c r="U29" s="28"/>
      <c r="V29" s="28"/>
      <c r="W29" s="28" t="n">
        <v>120</v>
      </c>
      <c r="X29" s="140" t="n">
        <f aca="false">IFERROR(IF(OR($J29="",$K29=""),0,$J29*$K29),0)</f>
        <v>4</v>
      </c>
      <c r="Y29" s="44" t="n">
        <f aca="false">IFERROR(IF($X29=0,0,$X29*IF($O29="",$N29,$O29)),0)</f>
        <v>0</v>
      </c>
      <c r="Z29" s="60" t="str">
        <f aca="false">IF($L29="","",IF($L29&lt;0.5,"Balística / Velocidade (&lt;50%)",IF($L29&lt;0.7,"Velocidade-Força (50–69%)",IF($L29&lt;0.8,"Força-Velocidade (70–79%)",IF($L29&lt;0.9,"Força Máxima (80–89%)","Força Máxima Alta (≥90%)")))))</f>
        <v/>
      </c>
      <c r="AA29" s="27"/>
      <c r="AB29" s="27"/>
    </row>
    <row r="30" customFormat="false" ht="15" hidden="false" customHeight="false" outlineLevel="0" collapsed="false">
      <c r="A30" s="29" t="n">
        <v>46276</v>
      </c>
      <c r="B30" s="33" t="n">
        <f aca="false">IF($A30="",0,INT(($A30-'Bloco Base'!$C$5)/7)+1)</f>
        <v>1</v>
      </c>
      <c r="C30" s="28" t="s">
        <v>937</v>
      </c>
      <c r="D30" s="28" t="s">
        <v>1193</v>
      </c>
      <c r="E30" s="27" t="s">
        <v>1117</v>
      </c>
      <c r="F30" s="28" t="n">
        <v>9</v>
      </c>
      <c r="G30" s="139" t="s">
        <v>748</v>
      </c>
      <c r="H30" s="27" t="s">
        <v>776</v>
      </c>
      <c r="I30" s="28" t="s">
        <v>168</v>
      </c>
      <c r="J30" s="28" t="n">
        <v>3</v>
      </c>
      <c r="K30" s="28" t="n">
        <v>25</v>
      </c>
      <c r="L30" s="71"/>
      <c r="M30" s="35" t="str">
        <f aca="false">IF($AB30="","",IFERROR(INDEX('Força 1RM'!$Q$8:$Y$47,MATCH(IF($E30="Equipe (todos)",$C$4,$E30),'Força 1RM'!$P$8:$P$47,0),MATCH($AB30,'Força 1RM'!$Q$7:$Y$7,0)),""))</f>
        <v/>
      </c>
      <c r="N30" s="30" t="n">
        <f aca="false">IFERROR(IF(OR($L30="",$M30="",$M30=0),0,ROUND($L30*$M30*2,0)/2),0)</f>
        <v>0</v>
      </c>
      <c r="O30" s="32"/>
      <c r="P30" s="42" t="str">
        <f aca="false">IFERROR(IF(OR($L30="",$I30="—",$I30=""),"",IF($I30="Agachamento",INDEX($AE$8:$AE$20,MATCH($L30,$AD$8:$AD$20,1)),IF($I30="Supino",INDEX($AF$8:$AF$20,MATCH($L30,$AD$8:$AD$20,1)),IF($I30="Terra",INDEX($AG$8:$AG$20,MATCH($L30,$AD$8:$AD$20,1)),"")))),"")</f>
        <v/>
      </c>
      <c r="Q30" s="45"/>
      <c r="R30" s="71"/>
      <c r="S30" s="71"/>
      <c r="T30" s="69" t="str">
        <f aca="false">IF(OR($R30="",$S30=""),"",IF($S30&gt;$R30,"Acima do limite","Dentro do limite"))</f>
        <v/>
      </c>
      <c r="U30" s="28"/>
      <c r="V30" s="28"/>
      <c r="W30" s="28" t="n">
        <v>45</v>
      </c>
      <c r="X30" s="140" t="n">
        <f aca="false">IFERROR(IF(OR($J30="",$K30=""),0,$J30*$K30),0)</f>
        <v>75</v>
      </c>
      <c r="Y30" s="44" t="n">
        <f aca="false">IFERROR(IF($X30=0,0,$X30*IF($O30="",$N30,$O30)),0)</f>
        <v>0</v>
      </c>
      <c r="Z30" s="60" t="str">
        <f aca="false">IF($L30="","",IF($L30&lt;0.5,"Balística / Velocidade (&lt;50%)",IF($L30&lt;0.7,"Velocidade-Força (50–69%)",IF($L30&lt;0.8,"Força-Velocidade (70–79%)",IF($L30&lt;0.9,"Força Máxima (80–89%)","Força Máxima Alta (≥90%)")))))</f>
        <v/>
      </c>
      <c r="AA30" s="27"/>
      <c r="AB30" s="27"/>
    </row>
    <row r="31" customFormat="false" ht="15" hidden="false" customHeight="false" outlineLevel="0" collapsed="false">
      <c r="A31" s="29" t="n">
        <v>46279</v>
      </c>
      <c r="B31" s="33" t="n">
        <f aca="false">IF($A31="",0,INT(($A31-'Bloco Base'!$C$5)/7)+1)</f>
        <v>2</v>
      </c>
      <c r="C31" s="28" t="s">
        <v>937</v>
      </c>
      <c r="D31" s="28" t="s">
        <v>233</v>
      </c>
      <c r="E31" s="27" t="s">
        <v>1117</v>
      </c>
      <c r="F31" s="28" t="n">
        <v>1</v>
      </c>
      <c r="G31" s="139" t="s">
        <v>600</v>
      </c>
      <c r="H31" s="27" t="s">
        <v>994</v>
      </c>
      <c r="I31" s="28" t="s">
        <v>168</v>
      </c>
      <c r="J31" s="28" t="n">
        <v>1</v>
      </c>
      <c r="K31" s="28" t="n">
        <v>8</v>
      </c>
      <c r="L31" s="71"/>
      <c r="M31" s="35" t="str">
        <f aca="false">IF($AB31="","",IFERROR(INDEX('Força 1RM'!$Q$8:$Y$47,MATCH(IF($E31="Equipe (todos)",$C$4,$E31),'Força 1RM'!$P$8:$P$47,0),MATCH($AB31,'Força 1RM'!$Q$7:$Y$7,0)),""))</f>
        <v/>
      </c>
      <c r="N31" s="30" t="n">
        <f aca="false">IFERROR(IF(OR($L31="",$M31="",$M31=0),0,ROUND($L31*$M31*2,0)/2),0)</f>
        <v>0</v>
      </c>
      <c r="O31" s="32"/>
      <c r="P31" s="42" t="str">
        <f aca="false">IFERROR(IF(OR($L31="",$I31="—",$I31=""),"",IF($I31="Agachamento",INDEX($AE$8:$AE$20,MATCH($L31,$AD$8:$AD$20,1)),IF($I31="Supino",INDEX($AF$8:$AF$20,MATCH($L31,$AD$8:$AD$20,1)),IF($I31="Terra",INDEX($AG$8:$AG$20,MATCH($L31,$AD$8:$AD$20,1)),"")))),"")</f>
        <v/>
      </c>
      <c r="Q31" s="45"/>
      <c r="R31" s="71"/>
      <c r="S31" s="71"/>
      <c r="T31" s="69" t="str">
        <f aca="false">IF(OR($R31="",$S31=""),"",IF($S31&gt;$R31,"Acima do limite","Dentro do limite"))</f>
        <v/>
      </c>
      <c r="U31" s="28"/>
      <c r="V31" s="28"/>
      <c r="W31" s="28" t="n">
        <v>0</v>
      </c>
      <c r="X31" s="140" t="n">
        <f aca="false">IFERROR(IF(OR($J31="",$K31=""),0,$J31*$K31),0)</f>
        <v>8</v>
      </c>
      <c r="Y31" s="44" t="n">
        <f aca="false">IFERROR(IF($X31=0,0,$X31*IF($O31="",$N31,$O31)),0)</f>
        <v>0</v>
      </c>
      <c r="Z31" s="60" t="str">
        <f aca="false">IF($L31="","",IF($L31&lt;0.5,"Balística / Velocidade (&lt;50%)",IF($L31&lt;0.7,"Velocidade-Força (50–69%)",IF($L31&lt;0.8,"Força-Velocidade (70–79%)",IF($L31&lt;0.9,"Força Máxima (80–89%)","Força Máxima Alta (≥90%)")))))</f>
        <v/>
      </c>
      <c r="AA31" s="27"/>
      <c r="AB31" s="27"/>
    </row>
    <row r="32" customFormat="false" ht="15" hidden="false" customHeight="false" outlineLevel="0" collapsed="false">
      <c r="A32" s="29" t="n">
        <v>46279</v>
      </c>
      <c r="B32" s="33" t="n">
        <f aca="false">IF($A32="",0,INT(($A32-'Bloco Base'!$C$5)/7)+1)</f>
        <v>2</v>
      </c>
      <c r="C32" s="28" t="s">
        <v>937</v>
      </c>
      <c r="D32" s="28" t="s">
        <v>233</v>
      </c>
      <c r="E32" s="27" t="s">
        <v>1117</v>
      </c>
      <c r="F32" s="28" t="n">
        <v>2</v>
      </c>
      <c r="G32" s="139" t="s">
        <v>616</v>
      </c>
      <c r="H32" s="27" t="s">
        <v>1191</v>
      </c>
      <c r="I32" s="28" t="s">
        <v>168</v>
      </c>
      <c r="J32" s="28" t="n">
        <v>4</v>
      </c>
      <c r="K32" s="28" t="n">
        <v>4</v>
      </c>
      <c r="L32" s="71" t="n">
        <v>0.7</v>
      </c>
      <c r="M32" s="35" t="n">
        <f aca="false">IF($AB32="","",IFERROR(INDEX('Força 1RM'!$Q$8:$Y$47,MATCH(IF($E32="Equipe (todos)",$C$4,$E32),'Força 1RM'!$P$8:$P$47,0),MATCH($AB32,'Força 1RM'!$Q$7:$Y$7,0)),""))</f>
        <v>92.5</v>
      </c>
      <c r="N32" s="30" t="n">
        <f aca="false">IFERROR(IF(OR($L32="",$M32="",$M32=0),0,ROUND($L32*$M32*2,0)/2),0)</f>
        <v>65</v>
      </c>
      <c r="O32" s="32"/>
      <c r="P32" s="42" t="str">
        <f aca="false">IFERROR(IF(OR($L32="",$I32="—",$I32=""),"",IF($I32="Agachamento",INDEX($AE$8:$AE$20,MATCH($L32,$AD$8:$AD$20,1)),IF($I32="Supino",INDEX($AF$8:$AF$20,MATCH($L32,$AD$8:$AD$20,1)),IF($I32="Terra",INDEX($AG$8:$AG$20,MATCH($L32,$AD$8:$AD$20,1)),"")))),"")</f>
        <v/>
      </c>
      <c r="Q32" s="45"/>
      <c r="R32" s="71" t="n">
        <v>0.1</v>
      </c>
      <c r="S32" s="71"/>
      <c r="T32" s="69" t="str">
        <f aca="false">IF(OR($R32="",$S32=""),"",IF($S32&gt;$R32,"Acima do limite","Dentro do limite"))</f>
        <v/>
      </c>
      <c r="U32" s="28"/>
      <c r="V32" s="28"/>
      <c r="W32" s="28" t="n">
        <v>180</v>
      </c>
      <c r="X32" s="140" t="n">
        <f aca="false">IFERROR(IF(OR($J32="",$K32=""),0,$J32*$K32),0)</f>
        <v>16</v>
      </c>
      <c r="Y32" s="44" t="n">
        <f aca="false">IFERROR(IF($X32=0,0,$X32*IF($O32="",$N32,$O32)),0)</f>
        <v>1040</v>
      </c>
      <c r="Z32" s="60" t="str">
        <f aca="false">IF($L32="","",IF($L32&lt;0.5,"Balística / Velocidade (&lt;50%)",IF($L32&lt;0.7,"Velocidade-Força (50–69%)",IF($L32&lt;0.8,"Força-Velocidade (70–79%)",IF($L32&lt;0.9,"Força Máxima (80–89%)","Força Máxima Alta (≥90%)")))))</f>
        <v>Força-Velocidade (70–79%)</v>
      </c>
      <c r="AA32" s="27"/>
      <c r="AB32" s="27" t="s">
        <v>953</v>
      </c>
    </row>
    <row r="33" customFormat="false" ht="15" hidden="false" customHeight="false" outlineLevel="0" collapsed="false">
      <c r="A33" s="29" t="n">
        <v>46279</v>
      </c>
      <c r="B33" s="33" t="n">
        <f aca="false">IF($A33="",0,INT(($A33-'Bloco Base'!$C$5)/7)+1)</f>
        <v>2</v>
      </c>
      <c r="C33" s="28" t="s">
        <v>937</v>
      </c>
      <c r="D33" s="28" t="s">
        <v>233</v>
      </c>
      <c r="E33" s="27" t="s">
        <v>1117</v>
      </c>
      <c r="F33" s="28" t="n">
        <v>3</v>
      </c>
      <c r="G33" s="139" t="s">
        <v>688</v>
      </c>
      <c r="H33" s="27" t="s">
        <v>537</v>
      </c>
      <c r="I33" s="28" t="s">
        <v>692</v>
      </c>
      <c r="J33" s="28" t="n">
        <v>4</v>
      </c>
      <c r="K33" s="28" t="n">
        <v>6</v>
      </c>
      <c r="L33" s="71" t="n">
        <v>0.75</v>
      </c>
      <c r="M33" s="35" t="n">
        <f aca="false">IF($AB33="","",IFERROR(INDEX('Força 1RM'!$Q$8:$Y$47,MATCH(IF($E33="Equipe (todos)",$C$4,$E33),'Força 1RM'!$P$8:$P$47,0),MATCH($AB33,'Força 1RM'!$Q$7:$Y$7,0)),""))</f>
        <v>160</v>
      </c>
      <c r="N33" s="30" t="n">
        <f aca="false">IFERROR(IF(OR($L33="",$M33="",$M33=0),0,ROUND($L33*$M33*2,0)/2),0)</f>
        <v>120</v>
      </c>
      <c r="O33" s="32"/>
      <c r="P33" s="42" t="n">
        <f aca="false">IFERROR(IF(OR($L33="",$I33="—",$I33=""),"",IF($I33="Agachamento",INDEX($AE$8:$AE$20,MATCH($L33,$AD$8:$AD$20,1)),IF($I33="Supino",INDEX($AF$8:$AF$20,MATCH($L33,$AD$8:$AD$20,1)),IF($I33="Terra",INDEX($AG$8:$AG$20,MATCH($L33,$AD$8:$AD$20,1)),"")))),"")</f>
        <v>0.62</v>
      </c>
      <c r="Q33" s="45"/>
      <c r="R33" s="71" t="n">
        <v>0.15</v>
      </c>
      <c r="S33" s="71"/>
      <c r="T33" s="69" t="str">
        <f aca="false">IF(OR($R33="",$S33=""),"",IF($S33&gt;$R33,"Acima do limite","Dentro do limite"))</f>
        <v/>
      </c>
      <c r="U33" s="28"/>
      <c r="V33" s="28"/>
      <c r="W33" s="28" t="n">
        <v>180</v>
      </c>
      <c r="X33" s="140" t="n">
        <f aca="false">IFERROR(IF(OR($J33="",$K33=""),0,$J33*$K33),0)</f>
        <v>24</v>
      </c>
      <c r="Y33" s="44" t="n">
        <f aca="false">IFERROR(IF($X33=0,0,$X33*IF($O33="",$N33,$O33)),0)</f>
        <v>2880</v>
      </c>
      <c r="Z33" s="60" t="str">
        <f aca="false">IF($L33="","",IF($L33&lt;0.5,"Balística / Velocidade (&lt;50%)",IF($L33&lt;0.7,"Velocidade-Força (50–69%)",IF($L33&lt;0.8,"Força-Velocidade (70–79%)",IF($L33&lt;0.9,"Força Máxima (80–89%)","Força Máxima Alta (≥90%)")))))</f>
        <v>Força-Velocidade (70–79%)</v>
      </c>
      <c r="AA33" s="27"/>
      <c r="AB33" s="27" t="s">
        <v>688</v>
      </c>
    </row>
    <row r="34" customFormat="false" ht="15" hidden="false" customHeight="false" outlineLevel="0" collapsed="false">
      <c r="A34" s="29" t="n">
        <v>46279</v>
      </c>
      <c r="B34" s="33" t="n">
        <f aca="false">IF($A34="",0,INT(($A34-'Bloco Base'!$C$5)/7)+1)</f>
        <v>2</v>
      </c>
      <c r="C34" s="28" t="s">
        <v>937</v>
      </c>
      <c r="D34" s="28" t="s">
        <v>233</v>
      </c>
      <c r="E34" s="27" t="s">
        <v>1117</v>
      </c>
      <c r="F34" s="28" t="n">
        <v>4</v>
      </c>
      <c r="G34" s="139" t="s">
        <v>701</v>
      </c>
      <c r="H34" s="27" t="s">
        <v>537</v>
      </c>
      <c r="I34" s="28" t="s">
        <v>1000</v>
      </c>
      <c r="J34" s="28" t="n">
        <v>4</v>
      </c>
      <c r="K34" s="28" t="n">
        <v>8</v>
      </c>
      <c r="L34" s="71" t="n">
        <v>0.65</v>
      </c>
      <c r="M34" s="35" t="n">
        <f aca="false">IF($AB34="","",IFERROR(INDEX('Força 1RM'!$Q$8:$Y$47,MATCH(IF($E34="Equipe (todos)",$C$4,$E34),'Força 1RM'!$P$8:$P$47,0),MATCH($AB34,'Força 1RM'!$Q$7:$Y$7,0)),""))</f>
        <v>125</v>
      </c>
      <c r="N34" s="30" t="n">
        <f aca="false">IFERROR(IF(OR($L34="",$M34="",$M34=0),0,ROUND($L34*$M34*2,0)/2),0)</f>
        <v>81.5</v>
      </c>
      <c r="O34" s="32"/>
      <c r="P34" s="42" t="n">
        <f aca="false">IFERROR(IF(OR($L34="",$I34="—",$I34=""),"",IF($I34="Agachamento",INDEX($AE$8:$AE$20,MATCH($L34,$AD$8:$AD$20,1)),IF($I34="Supino",INDEX($AF$8:$AF$20,MATCH($L34,$AD$8:$AD$20,1)),IF($I34="Terra",INDEX($AG$8:$AG$20,MATCH($L34,$AD$8:$AD$20,1)),"")))),"")</f>
        <v>0.69</v>
      </c>
      <c r="Q34" s="45"/>
      <c r="R34" s="71" t="n">
        <v>0.2</v>
      </c>
      <c r="S34" s="71"/>
      <c r="T34" s="69" t="str">
        <f aca="false">IF(OR($R34="",$S34=""),"",IF($S34&gt;$R34,"Acima do limite","Dentro do limite"))</f>
        <v/>
      </c>
      <c r="U34" s="28"/>
      <c r="V34" s="28"/>
      <c r="W34" s="28" t="n">
        <v>120</v>
      </c>
      <c r="X34" s="140" t="n">
        <f aca="false">IFERROR(IF(OR($J34="",$K34=""),0,$J34*$K34),0)</f>
        <v>32</v>
      </c>
      <c r="Y34" s="44" t="n">
        <f aca="false">IFERROR(IF($X34=0,0,$X34*IF($O34="",$N34,$O34)),0)</f>
        <v>2608</v>
      </c>
      <c r="Z34" s="60" t="str">
        <f aca="false">IF($L34="","",IF($L34&lt;0.5,"Balística / Velocidade (&lt;50%)",IF($L34&lt;0.7,"Velocidade-Força (50–69%)",IF($L34&lt;0.8,"Força-Velocidade (70–79%)",IF($L34&lt;0.9,"Força Máxima (80–89%)","Força Máxima Alta (≥90%)")))))</f>
        <v>Velocidade-Força (50–69%)</v>
      </c>
      <c r="AA34" s="27"/>
      <c r="AB34" s="27" t="s">
        <v>701</v>
      </c>
    </row>
    <row r="35" customFormat="false" ht="15" hidden="false" customHeight="false" outlineLevel="0" collapsed="false">
      <c r="A35" s="29" t="n">
        <v>46279</v>
      </c>
      <c r="B35" s="33" t="n">
        <f aca="false">IF($A35="",0,INT(($A35-'Bloco Base'!$C$5)/7)+1)</f>
        <v>2</v>
      </c>
      <c r="C35" s="28" t="s">
        <v>937</v>
      </c>
      <c r="D35" s="28" t="s">
        <v>233</v>
      </c>
      <c r="E35" s="27" t="s">
        <v>1117</v>
      </c>
      <c r="F35" s="28" t="n">
        <v>5</v>
      </c>
      <c r="G35" s="139" t="s">
        <v>708</v>
      </c>
      <c r="H35" s="27" t="s">
        <v>537</v>
      </c>
      <c r="I35" s="28" t="s">
        <v>168</v>
      </c>
      <c r="J35" s="28" t="n">
        <v>3</v>
      </c>
      <c r="K35" s="28" t="n">
        <v>10</v>
      </c>
      <c r="L35" s="71"/>
      <c r="M35" s="35" t="str">
        <f aca="false">IF($AB35="","",IFERROR(INDEX('Força 1RM'!$Q$8:$Y$47,MATCH(IF($E35="Equipe (todos)",$C$4,$E35),'Força 1RM'!$P$8:$P$47,0),MATCH($AB35,'Força 1RM'!$Q$7:$Y$7,0)),""))</f>
        <v/>
      </c>
      <c r="N35" s="30" t="n">
        <f aca="false">IFERROR(IF(OR($L35="",$M35="",$M35=0),0,ROUND($L35*$M35*2,0)/2),0)</f>
        <v>0</v>
      </c>
      <c r="O35" s="32"/>
      <c r="P35" s="42" t="str">
        <f aca="false">IFERROR(IF(OR($L35="",$I35="—",$I35=""),"",IF($I35="Agachamento",INDEX($AE$8:$AE$20,MATCH($L35,$AD$8:$AD$20,1)),IF($I35="Supino",INDEX($AF$8:$AF$20,MATCH($L35,$AD$8:$AD$20,1)),IF($I35="Terra",INDEX($AG$8:$AG$20,MATCH($L35,$AD$8:$AD$20,1)),"")))),"")</f>
        <v/>
      </c>
      <c r="Q35" s="45"/>
      <c r="R35" s="71"/>
      <c r="S35" s="71"/>
      <c r="T35" s="69" t="str">
        <f aca="false">IF(OR($R35="",$S35=""),"",IF($S35&gt;$R35,"Acima do limite","Dentro do limite"))</f>
        <v/>
      </c>
      <c r="U35" s="28"/>
      <c r="V35" s="28"/>
      <c r="W35" s="28" t="n">
        <v>90</v>
      </c>
      <c r="X35" s="140" t="n">
        <f aca="false">IFERROR(IF(OR($J35="",$K35=""),0,$J35*$K35),0)</f>
        <v>30</v>
      </c>
      <c r="Y35" s="44" t="n">
        <f aca="false">IFERROR(IF($X35=0,0,$X35*IF($O35="",$N35,$O35)),0)</f>
        <v>0</v>
      </c>
      <c r="Z35" s="60" t="str">
        <f aca="false">IF($L35="","",IF($L35&lt;0.5,"Balística / Velocidade (&lt;50%)",IF($L35&lt;0.7,"Velocidade-Força (50–69%)",IF($L35&lt;0.8,"Força-Velocidade (70–79%)",IF($L35&lt;0.9,"Força Máxima (80–89%)","Força Máxima Alta (≥90%)")))))</f>
        <v/>
      </c>
      <c r="AA35" s="27"/>
      <c r="AB35" s="27"/>
    </row>
    <row r="36" customFormat="false" ht="15" hidden="false" customHeight="false" outlineLevel="0" collapsed="false">
      <c r="A36" s="29" t="n">
        <v>46279</v>
      </c>
      <c r="B36" s="33" t="n">
        <f aca="false">IF($A36="",0,INT(($A36-'Bloco Base'!$C$5)/7)+1)</f>
        <v>2</v>
      </c>
      <c r="C36" s="28" t="s">
        <v>937</v>
      </c>
      <c r="D36" s="28" t="s">
        <v>233</v>
      </c>
      <c r="E36" s="27" t="s">
        <v>1117</v>
      </c>
      <c r="F36" s="28" t="n">
        <v>6</v>
      </c>
      <c r="G36" s="139" t="s">
        <v>592</v>
      </c>
      <c r="H36" s="27" t="s">
        <v>1004</v>
      </c>
      <c r="I36" s="28" t="s">
        <v>168</v>
      </c>
      <c r="J36" s="28" t="n">
        <v>3</v>
      </c>
      <c r="K36" s="28" t="n">
        <v>10</v>
      </c>
      <c r="L36" s="71"/>
      <c r="M36" s="35" t="str">
        <f aca="false">IF($AB36="","",IFERROR(INDEX('Força 1RM'!$Q$8:$Y$47,MATCH(IF($E36="Equipe (todos)",$C$4,$E36),'Força 1RM'!$P$8:$P$47,0),MATCH($AB36,'Força 1RM'!$Q$7:$Y$7,0)),""))</f>
        <v/>
      </c>
      <c r="N36" s="30" t="n">
        <f aca="false">IFERROR(IF(OR($L36="",$M36="",$M36=0),0,ROUND($L36*$M36*2,0)/2),0)</f>
        <v>0</v>
      </c>
      <c r="O36" s="32"/>
      <c r="P36" s="42" t="str">
        <f aca="false">IFERROR(IF(OR($L36="",$I36="—",$I36=""),"",IF($I36="Agachamento",INDEX($AE$8:$AE$20,MATCH($L36,$AD$8:$AD$20,1)),IF($I36="Supino",INDEX($AF$8:$AF$20,MATCH($L36,$AD$8:$AD$20,1)),IF($I36="Terra",INDEX($AG$8:$AG$20,MATCH($L36,$AD$8:$AD$20,1)),"")))),"")</f>
        <v/>
      </c>
      <c r="Q36" s="45"/>
      <c r="R36" s="71"/>
      <c r="S36" s="71"/>
      <c r="T36" s="69" t="str">
        <f aca="false">IF(OR($R36="",$S36=""),"",IF($S36&gt;$R36,"Acima do limite","Dentro do limite"))</f>
        <v/>
      </c>
      <c r="U36" s="28"/>
      <c r="V36" s="28"/>
      <c r="W36" s="28" t="n">
        <v>60</v>
      </c>
      <c r="X36" s="140" t="n">
        <f aca="false">IFERROR(IF(OR($J36="",$K36=""),0,$J36*$K36),0)</f>
        <v>30</v>
      </c>
      <c r="Y36" s="44" t="n">
        <f aca="false">IFERROR(IF($X36=0,0,$X36*IF($O36="",$N36,$O36)),0)</f>
        <v>0</v>
      </c>
      <c r="Z36" s="60" t="str">
        <f aca="false">IF($L36="","",IF($L36&lt;0.5,"Balística / Velocidade (&lt;50%)",IF($L36&lt;0.7,"Velocidade-Força (50–69%)",IF($L36&lt;0.8,"Força-Velocidade (70–79%)",IF($L36&lt;0.9,"Força Máxima (80–89%)","Força Máxima Alta (≥90%)")))))</f>
        <v/>
      </c>
      <c r="AA36" s="27"/>
      <c r="AB36" s="27"/>
    </row>
    <row r="37" customFormat="false" ht="15" hidden="false" customHeight="false" outlineLevel="0" collapsed="false">
      <c r="A37" s="29" t="n">
        <v>46279</v>
      </c>
      <c r="B37" s="33" t="n">
        <f aca="false">IF($A37="",0,INT(($A37-'Bloco Base'!$C$5)/7)+1)</f>
        <v>2</v>
      </c>
      <c r="C37" s="28" t="s">
        <v>937</v>
      </c>
      <c r="D37" s="28" t="s">
        <v>233</v>
      </c>
      <c r="E37" s="27" t="s">
        <v>1117</v>
      </c>
      <c r="F37" s="28" t="n">
        <v>7</v>
      </c>
      <c r="G37" s="139" t="s">
        <v>1006</v>
      </c>
      <c r="H37" s="27" t="s">
        <v>776</v>
      </c>
      <c r="I37" s="28" t="s">
        <v>168</v>
      </c>
      <c r="J37" s="28" t="n">
        <v>3</v>
      </c>
      <c r="K37" s="28" t="n">
        <v>25</v>
      </c>
      <c r="L37" s="71"/>
      <c r="M37" s="35" t="str">
        <f aca="false">IF($AB37="","",IFERROR(INDEX('Força 1RM'!$Q$8:$Y$47,MATCH(IF($E37="Equipe (todos)",$C$4,$E37),'Força 1RM'!$P$8:$P$47,0),MATCH($AB37,'Força 1RM'!$Q$7:$Y$7,0)),""))</f>
        <v/>
      </c>
      <c r="N37" s="30" t="n">
        <f aca="false">IFERROR(IF(OR($L37="",$M37="",$M37=0),0,ROUND($L37*$M37*2,0)/2),0)</f>
        <v>0</v>
      </c>
      <c r="O37" s="32"/>
      <c r="P37" s="42" t="str">
        <f aca="false">IFERROR(IF(OR($L37="",$I37="—",$I37=""),"",IF($I37="Agachamento",INDEX($AE$8:$AE$20,MATCH($L37,$AD$8:$AD$20,1)),IF($I37="Supino",INDEX($AF$8:$AF$20,MATCH($L37,$AD$8:$AD$20,1)),IF($I37="Terra",INDEX($AG$8:$AG$20,MATCH($L37,$AD$8:$AD$20,1)),"")))),"")</f>
        <v/>
      </c>
      <c r="Q37" s="45"/>
      <c r="R37" s="71"/>
      <c r="S37" s="71"/>
      <c r="T37" s="69" t="str">
        <f aca="false">IF(OR($R37="",$S37=""),"",IF($S37&gt;$R37,"Acima do limite","Dentro do limite"))</f>
        <v/>
      </c>
      <c r="U37" s="28"/>
      <c r="V37" s="28"/>
      <c r="W37" s="28" t="n">
        <v>45</v>
      </c>
      <c r="X37" s="140" t="n">
        <f aca="false">IFERROR(IF(OR($J37="",$K37=""),0,$J37*$K37),0)</f>
        <v>75</v>
      </c>
      <c r="Y37" s="44" t="n">
        <f aca="false">IFERROR(IF($X37=0,0,$X37*IF($O37="",$N37,$O37)),0)</f>
        <v>0</v>
      </c>
      <c r="Z37" s="60" t="str">
        <f aca="false">IF($L37="","",IF($L37&lt;0.5,"Balística / Velocidade (&lt;50%)",IF($L37&lt;0.7,"Velocidade-Força (50–69%)",IF($L37&lt;0.8,"Força-Velocidade (70–79%)",IF($L37&lt;0.9,"Força Máxima (80–89%)","Força Máxima Alta (≥90%)")))))</f>
        <v/>
      </c>
      <c r="AA37" s="27"/>
      <c r="AB37" s="27"/>
    </row>
    <row r="38" customFormat="false" ht="15" hidden="false" customHeight="false" outlineLevel="0" collapsed="false">
      <c r="A38" s="29" t="n">
        <v>46281</v>
      </c>
      <c r="B38" s="33" t="n">
        <f aca="false">IF($A38="",0,INT(($A38-'Bloco Base'!$C$5)/7)+1)</f>
        <v>2</v>
      </c>
      <c r="C38" s="28" t="s">
        <v>937</v>
      </c>
      <c r="D38" s="28" t="s">
        <v>1192</v>
      </c>
      <c r="E38" s="27" t="s">
        <v>1117</v>
      </c>
      <c r="F38" s="28" t="n">
        <v>1</v>
      </c>
      <c r="G38" s="139" t="s">
        <v>587</v>
      </c>
      <c r="H38" s="27" t="s">
        <v>1004</v>
      </c>
      <c r="I38" s="28" t="s">
        <v>168</v>
      </c>
      <c r="J38" s="28" t="n">
        <v>3</v>
      </c>
      <c r="K38" s="28" t="n">
        <v>10</v>
      </c>
      <c r="L38" s="71"/>
      <c r="M38" s="35" t="str">
        <f aca="false">IF($AB38="","",IFERROR(INDEX('Força 1RM'!$Q$8:$Y$47,MATCH(IF($E38="Equipe (todos)",$C$4,$E38),'Força 1RM'!$P$8:$P$47,0),MATCH($AB38,'Força 1RM'!$Q$7:$Y$7,0)),""))</f>
        <v/>
      </c>
      <c r="N38" s="30" t="n">
        <f aca="false">IFERROR(IF(OR($L38="",$M38="",$M38=0),0,ROUND($L38*$M38*2,0)/2),0)</f>
        <v>0</v>
      </c>
      <c r="O38" s="32"/>
      <c r="P38" s="42" t="str">
        <f aca="false">IFERROR(IF(OR($L38="",$I38="—",$I38=""),"",IF($I38="Agachamento",INDEX($AE$8:$AE$20,MATCH($L38,$AD$8:$AD$20,1)),IF($I38="Supino",INDEX($AF$8:$AF$20,MATCH($L38,$AD$8:$AD$20,1)),IF($I38="Terra",INDEX($AG$8:$AG$20,MATCH($L38,$AD$8:$AD$20,1)),"")))),"")</f>
        <v/>
      </c>
      <c r="Q38" s="45"/>
      <c r="R38" s="71"/>
      <c r="S38" s="71"/>
      <c r="T38" s="69" t="str">
        <f aca="false">IF(OR($R38="",$S38=""),"",IF($S38&gt;$R38,"Acima do limite","Dentro do limite"))</f>
        <v/>
      </c>
      <c r="U38" s="28"/>
      <c r="V38" s="28"/>
      <c r="W38" s="28" t="n">
        <v>60</v>
      </c>
      <c r="X38" s="140" t="n">
        <f aca="false">IFERROR(IF(OR($J38="",$K38=""),0,$J38*$K38),0)</f>
        <v>30</v>
      </c>
      <c r="Y38" s="44" t="n">
        <f aca="false">IFERROR(IF($X38=0,0,$X38*IF($O38="",$N38,$O38)),0)</f>
        <v>0</v>
      </c>
      <c r="Z38" s="60" t="str">
        <f aca="false">IF($L38="","",IF($L38&lt;0.5,"Balística / Velocidade (&lt;50%)",IF($L38&lt;0.7,"Velocidade-Força (50–69%)",IF($L38&lt;0.8,"Força-Velocidade (70–79%)",IF($L38&lt;0.9,"Força Máxima (80–89%)","Força Máxima Alta (≥90%)")))))</f>
        <v/>
      </c>
      <c r="AA38" s="27"/>
      <c r="AB38" s="27"/>
    </row>
    <row r="39" customFormat="false" ht="15" hidden="false" customHeight="false" outlineLevel="0" collapsed="false">
      <c r="A39" s="29" t="n">
        <v>46281</v>
      </c>
      <c r="B39" s="33" t="n">
        <f aca="false">IF($A39="",0,INT(($A39-'Bloco Base'!$C$5)/7)+1)</f>
        <v>2</v>
      </c>
      <c r="C39" s="28" t="s">
        <v>937</v>
      </c>
      <c r="D39" s="28" t="s">
        <v>1192</v>
      </c>
      <c r="E39" s="27" t="s">
        <v>1117</v>
      </c>
      <c r="F39" s="28" t="n">
        <v>2</v>
      </c>
      <c r="G39" s="139" t="s">
        <v>553</v>
      </c>
      <c r="H39" s="27" t="s">
        <v>792</v>
      </c>
      <c r="I39" s="28" t="s">
        <v>692</v>
      </c>
      <c r="J39" s="28" t="n">
        <v>4</v>
      </c>
      <c r="K39" s="28" t="n">
        <v>4</v>
      </c>
      <c r="L39" s="71" t="n">
        <v>0.2</v>
      </c>
      <c r="M39" s="35" t="n">
        <f aca="false">IF($AB39="","",IFERROR(INDEX('Força 1RM'!$Q$8:$Y$47,MATCH(IF($E39="Equipe (todos)",$C$4,$E39),'Força 1RM'!$P$8:$P$47,0),MATCH($AB39,'Força 1RM'!$Q$7:$Y$7,0)),""))</f>
        <v>160</v>
      </c>
      <c r="N39" s="30" t="n">
        <f aca="false">IFERROR(IF(OR($L39="",$M39="",$M39=0),0,ROUND($L39*$M39*2,0)/2),0)</f>
        <v>32</v>
      </c>
      <c r="O39" s="32"/>
      <c r="P39" s="42" t="str">
        <f aca="false">IFERROR(IF(OR($L39="",$I39="—",$I39=""),"",IF($I39="Agachamento",INDEX($AE$8:$AE$20,MATCH($L39,$AD$8:$AD$20,1)),IF($I39="Supino",INDEX($AF$8:$AF$20,MATCH($L39,$AD$8:$AD$20,1)),IF($I39="Terra",INDEX($AG$8:$AG$20,MATCH($L39,$AD$8:$AD$20,1)),"")))),"")</f>
        <v/>
      </c>
      <c r="Q39" s="45"/>
      <c r="R39" s="71" t="n">
        <v>0.1</v>
      </c>
      <c r="S39" s="71"/>
      <c r="T39" s="69" t="str">
        <f aca="false">IF(OR($R39="",$S39=""),"",IF($S39&gt;$R39,"Acima do limite","Dentro do limite"))</f>
        <v/>
      </c>
      <c r="U39" s="28"/>
      <c r="V39" s="28"/>
      <c r="W39" s="28" t="n">
        <v>180</v>
      </c>
      <c r="X39" s="140" t="n">
        <f aca="false">IFERROR(IF(OR($J39="",$K39=""),0,$J39*$K39),0)</f>
        <v>16</v>
      </c>
      <c r="Y39" s="44" t="n">
        <f aca="false">IFERROR(IF($X39=0,0,$X39*IF($O39="",$N39,$O39)),0)</f>
        <v>512</v>
      </c>
      <c r="Z39" s="60" t="str">
        <f aca="false">IF($L39="","",IF($L39&lt;0.5,"Balística / Velocidade (&lt;50%)",IF($L39&lt;0.7,"Velocidade-Força (50–69%)",IF($L39&lt;0.8,"Força-Velocidade (70–79%)",IF($L39&lt;0.9,"Força Máxima (80–89%)","Força Máxima Alta (≥90%)")))))</f>
        <v>Balística / Velocidade (&lt;50%)</v>
      </c>
      <c r="AA39" s="27"/>
      <c r="AB39" s="27" t="s">
        <v>688</v>
      </c>
    </row>
    <row r="40" customFormat="false" ht="15" hidden="false" customHeight="false" outlineLevel="0" collapsed="false">
      <c r="A40" s="29" t="n">
        <v>46281</v>
      </c>
      <c r="B40" s="33" t="n">
        <f aca="false">IF($A40="",0,INT(($A40-'Bloco Base'!$C$5)/7)+1)</f>
        <v>2</v>
      </c>
      <c r="C40" s="28" t="s">
        <v>937</v>
      </c>
      <c r="D40" s="28" t="s">
        <v>1192</v>
      </c>
      <c r="E40" s="27" t="s">
        <v>1117</v>
      </c>
      <c r="F40" s="28" t="n">
        <v>3</v>
      </c>
      <c r="G40" s="139" t="s">
        <v>1013</v>
      </c>
      <c r="H40" s="27" t="s">
        <v>558</v>
      </c>
      <c r="I40" s="28" t="s">
        <v>168</v>
      </c>
      <c r="J40" s="28" t="n">
        <v>7</v>
      </c>
      <c r="K40" s="28" t="n">
        <v>5</v>
      </c>
      <c r="L40" s="71"/>
      <c r="M40" s="35" t="str">
        <f aca="false">IF($AB40="","",IFERROR(INDEX('Força 1RM'!$Q$8:$Y$47,MATCH(IF($E40="Equipe (todos)",$C$4,$E40),'Força 1RM'!$P$8:$P$47,0),MATCH($AB40,'Força 1RM'!$Q$7:$Y$7,0)),""))</f>
        <v/>
      </c>
      <c r="N40" s="30" t="n">
        <f aca="false">IFERROR(IF(OR($L40="",$M40="",$M40=0),0,ROUND($L40*$M40*2,0)/2),0)</f>
        <v>0</v>
      </c>
      <c r="O40" s="32"/>
      <c r="P40" s="42" t="str">
        <f aca="false">IFERROR(IF(OR($L40="",$I40="—",$I40=""),"",IF($I40="Agachamento",INDEX($AE$8:$AE$20,MATCH($L40,$AD$8:$AD$20,1)),IF($I40="Supino",INDEX($AF$8:$AF$20,MATCH($L40,$AD$8:$AD$20,1)),IF($I40="Terra",INDEX($AG$8:$AG$20,MATCH($L40,$AD$8:$AD$20,1)),"")))),"")</f>
        <v/>
      </c>
      <c r="Q40" s="45"/>
      <c r="R40" s="71"/>
      <c r="S40" s="71"/>
      <c r="T40" s="69" t="str">
        <f aca="false">IF(OR($R40="",$S40=""),"",IF($S40&gt;$R40,"Acima do limite","Dentro do limite"))</f>
        <v/>
      </c>
      <c r="U40" s="28"/>
      <c r="V40" s="28"/>
      <c r="W40" s="28" t="n">
        <v>120</v>
      </c>
      <c r="X40" s="140" t="n">
        <f aca="false">IFERROR(IF(OR($J40="",$K40=""),0,$J40*$K40),0)</f>
        <v>35</v>
      </c>
      <c r="Y40" s="44" t="n">
        <f aca="false">IFERROR(IF($X40=0,0,$X40*IF($O40="",$N40,$O40)),0)</f>
        <v>0</v>
      </c>
      <c r="Z40" s="60" t="str">
        <f aca="false">IF($L40="","",IF($L40&lt;0.5,"Balística / Velocidade (&lt;50%)",IF($L40&lt;0.7,"Velocidade-Força (50–69%)",IF($L40&lt;0.8,"Força-Velocidade (70–79%)",IF($L40&lt;0.9,"Força Máxima (80–89%)","Força Máxima Alta (≥90%)")))))</f>
        <v/>
      </c>
      <c r="AA40" s="27"/>
      <c r="AB40" s="27"/>
    </row>
    <row r="41" customFormat="false" ht="15" hidden="false" customHeight="false" outlineLevel="0" collapsed="false">
      <c r="A41" s="29" t="n">
        <v>46281</v>
      </c>
      <c r="B41" s="33" t="n">
        <f aca="false">IF($A41="",0,INT(($A41-'Bloco Base'!$C$5)/7)+1)</f>
        <v>2</v>
      </c>
      <c r="C41" s="28" t="s">
        <v>937</v>
      </c>
      <c r="D41" s="28" t="s">
        <v>1192</v>
      </c>
      <c r="E41" s="27" t="s">
        <v>1117</v>
      </c>
      <c r="F41" s="28" t="n">
        <v>4</v>
      </c>
      <c r="G41" s="139" t="s">
        <v>562</v>
      </c>
      <c r="H41" s="27" t="s">
        <v>558</v>
      </c>
      <c r="I41" s="28" t="s">
        <v>168</v>
      </c>
      <c r="J41" s="28" t="n">
        <v>6</v>
      </c>
      <c r="K41" s="28" t="n">
        <v>5</v>
      </c>
      <c r="L41" s="71"/>
      <c r="M41" s="35" t="str">
        <f aca="false">IF($AB41="","",IFERROR(INDEX('Força 1RM'!$Q$8:$Y$47,MATCH(IF($E41="Equipe (todos)",$C$4,$E41),'Força 1RM'!$P$8:$P$47,0),MATCH($AB41,'Força 1RM'!$Q$7:$Y$7,0)),""))</f>
        <v/>
      </c>
      <c r="N41" s="30" t="n">
        <f aca="false">IFERROR(IF(OR($L41="",$M41="",$M41=0),0,ROUND($L41*$M41*2,0)/2),0)</f>
        <v>0</v>
      </c>
      <c r="O41" s="32"/>
      <c r="P41" s="42" t="str">
        <f aca="false">IFERROR(IF(OR($L41="",$I41="—",$I41=""),"",IF($I41="Agachamento",INDEX($AE$8:$AE$20,MATCH($L41,$AD$8:$AD$20,1)),IF($I41="Supino",INDEX($AF$8:$AF$20,MATCH($L41,$AD$8:$AD$20,1)),IF($I41="Terra",INDEX($AG$8:$AG$20,MATCH($L41,$AD$8:$AD$20,1)),"")))),"")</f>
        <v/>
      </c>
      <c r="Q41" s="45"/>
      <c r="R41" s="71"/>
      <c r="S41" s="71"/>
      <c r="T41" s="69" t="str">
        <f aca="false">IF(OR($R41="",$S41=""),"",IF($S41&gt;$R41,"Acima do limite","Dentro do limite"))</f>
        <v/>
      </c>
      <c r="U41" s="28"/>
      <c r="V41" s="28"/>
      <c r="W41" s="28" t="n">
        <v>120</v>
      </c>
      <c r="X41" s="140" t="n">
        <f aca="false">IFERROR(IF(OR($J41="",$K41=""),0,$J41*$K41),0)</f>
        <v>30</v>
      </c>
      <c r="Y41" s="44" t="n">
        <f aca="false">IFERROR(IF($X41=0,0,$X41*IF($O41="",$N41,$O41)),0)</f>
        <v>0</v>
      </c>
      <c r="Z41" s="60" t="str">
        <f aca="false">IF($L41="","",IF($L41&lt;0.5,"Balística / Velocidade (&lt;50%)",IF($L41&lt;0.7,"Velocidade-Força (50–69%)",IF($L41&lt;0.8,"Força-Velocidade (70–79%)",IF($L41&lt;0.9,"Força Máxima (80–89%)","Força Máxima Alta (≥90%)")))))</f>
        <v/>
      </c>
      <c r="AA41" s="27"/>
      <c r="AB41" s="27"/>
    </row>
    <row r="42" customFormat="false" ht="15" hidden="false" customHeight="false" outlineLevel="0" collapsed="false">
      <c r="A42" s="29" t="n">
        <v>46281</v>
      </c>
      <c r="B42" s="33" t="n">
        <f aca="false">IF($A42="",0,INT(($A42-'Bloco Base'!$C$5)/7)+1)</f>
        <v>2</v>
      </c>
      <c r="C42" s="28" t="s">
        <v>937</v>
      </c>
      <c r="D42" s="28" t="s">
        <v>1192</v>
      </c>
      <c r="E42" s="27" t="s">
        <v>1117</v>
      </c>
      <c r="F42" s="28" t="n">
        <v>5</v>
      </c>
      <c r="G42" s="139" t="s">
        <v>644</v>
      </c>
      <c r="H42" s="27" t="s">
        <v>537</v>
      </c>
      <c r="I42" s="28" t="s">
        <v>1017</v>
      </c>
      <c r="J42" s="28" t="n">
        <v>4</v>
      </c>
      <c r="K42" s="28" t="n">
        <v>8</v>
      </c>
      <c r="L42" s="71" t="n">
        <v>0.7</v>
      </c>
      <c r="M42" s="35" t="n">
        <f aca="false">IF($AB42="","",IFERROR(INDEX('Força 1RM'!$Q$8:$Y$47,MATCH(IF($E42="Equipe (todos)",$C$4,$E42),'Força 1RM'!$P$8:$P$47,0),MATCH($AB42,'Força 1RM'!$Q$7:$Y$7,0)),""))</f>
        <v>72.5</v>
      </c>
      <c r="N42" s="30" t="n">
        <f aca="false">IFERROR(IF(OR($L42="",$M42="",$M42=0),0,ROUND($L42*$M42*2,0)/2),0)</f>
        <v>51</v>
      </c>
      <c r="O42" s="32"/>
      <c r="P42" s="42" t="n">
        <f aca="false">IFERROR(IF(OR($L42="",$I42="—",$I42=""),"",IF($I42="Agachamento",INDEX($AE$8:$AE$20,MATCH($L42,$AD$8:$AD$20,1)),IF($I42="Supino",INDEX($AF$8:$AF$20,MATCH($L42,$AD$8:$AD$20,1)),IF($I42="Terra",INDEX($AG$8:$AG$20,MATCH($L42,$AD$8:$AD$20,1)),"")))),"")</f>
        <v>0.51</v>
      </c>
      <c r="Q42" s="45"/>
      <c r="R42" s="71" t="n">
        <v>0.2</v>
      </c>
      <c r="S42" s="71"/>
      <c r="T42" s="69" t="str">
        <f aca="false">IF(OR($R42="",$S42=""),"",IF($S42&gt;$R42,"Acima do limite","Dentro do limite"))</f>
        <v/>
      </c>
      <c r="U42" s="28"/>
      <c r="V42" s="28"/>
      <c r="W42" s="28" t="n">
        <v>120</v>
      </c>
      <c r="X42" s="140" t="n">
        <f aca="false">IFERROR(IF(OR($J42="",$K42=""),0,$J42*$K42),0)</f>
        <v>32</v>
      </c>
      <c r="Y42" s="44" t="n">
        <f aca="false">IFERROR(IF($X42=0,0,$X42*IF($O42="",$N42,$O42)),0)</f>
        <v>1632</v>
      </c>
      <c r="Z42" s="60" t="str">
        <f aca="false">IF($L42="","",IF($L42&lt;0.5,"Balística / Velocidade (&lt;50%)",IF($L42&lt;0.7,"Velocidade-Força (50–69%)",IF($L42&lt;0.8,"Força-Velocidade (70–79%)",IF($L42&lt;0.9,"Força Máxima (80–89%)","Força Máxima Alta (≥90%)")))))</f>
        <v>Força-Velocidade (70–79%)</v>
      </c>
      <c r="AA42" s="27"/>
      <c r="AB42" s="27" t="s">
        <v>644</v>
      </c>
    </row>
    <row r="43" customFormat="false" ht="15" hidden="false" customHeight="false" outlineLevel="0" collapsed="false">
      <c r="A43" s="29" t="n">
        <v>46281</v>
      </c>
      <c r="B43" s="33" t="n">
        <f aca="false">IF($A43="",0,INT(($A43-'Bloco Base'!$C$5)/7)+1)</f>
        <v>2</v>
      </c>
      <c r="C43" s="28" t="s">
        <v>937</v>
      </c>
      <c r="D43" s="28" t="s">
        <v>1192</v>
      </c>
      <c r="E43" s="27" t="s">
        <v>1117</v>
      </c>
      <c r="F43" s="28" t="n">
        <v>6</v>
      </c>
      <c r="G43" s="139" t="s">
        <v>656</v>
      </c>
      <c r="H43" s="27" t="s">
        <v>537</v>
      </c>
      <c r="I43" s="28" t="s">
        <v>168</v>
      </c>
      <c r="J43" s="28" t="n">
        <v>4</v>
      </c>
      <c r="K43" s="28" t="n">
        <v>8</v>
      </c>
      <c r="L43" s="71" t="n">
        <v>0.7</v>
      </c>
      <c r="M43" s="35" t="str">
        <f aca="false">IF($AB43="","",IFERROR(INDEX('Força 1RM'!$Q$8:$Y$47,MATCH(IF($E43="Equipe (todos)",$C$4,$E43),'Força 1RM'!$P$8:$P$47,0),MATCH($AB43,'Força 1RM'!$Q$7:$Y$7,0)),""))</f>
        <v/>
      </c>
      <c r="N43" s="30" t="n">
        <f aca="false">IFERROR(IF(OR($L43="",$M43="",$M43=0),0,ROUND($L43*$M43*2,0)/2),0)</f>
        <v>0</v>
      </c>
      <c r="O43" s="32"/>
      <c r="P43" s="42" t="str">
        <f aca="false">IFERROR(IF(OR($L43="",$I43="—",$I43=""),"",IF($I43="Agachamento",INDEX($AE$8:$AE$20,MATCH($L43,$AD$8:$AD$20,1)),IF($I43="Supino",INDEX($AF$8:$AF$20,MATCH($L43,$AD$8:$AD$20,1)),IF($I43="Terra",INDEX($AG$8:$AG$20,MATCH($L43,$AD$8:$AD$20,1)),"")))),"")</f>
        <v/>
      </c>
      <c r="Q43" s="45"/>
      <c r="R43" s="71" t="n">
        <v>0.2</v>
      </c>
      <c r="S43" s="71"/>
      <c r="T43" s="69" t="str">
        <f aca="false">IF(OR($R43="",$S43=""),"",IF($S43&gt;$R43,"Acima do limite","Dentro do limite"))</f>
        <v/>
      </c>
      <c r="U43" s="28"/>
      <c r="V43" s="28"/>
      <c r="W43" s="28" t="n">
        <v>120</v>
      </c>
      <c r="X43" s="140" t="n">
        <f aca="false">IFERROR(IF(OR($J43="",$K43=""),0,$J43*$K43),0)</f>
        <v>32</v>
      </c>
      <c r="Y43" s="44" t="n">
        <f aca="false">IFERROR(IF($X43=0,0,$X43*IF($O43="",$N43,$O43)),0)</f>
        <v>0</v>
      </c>
      <c r="Z43" s="60" t="str">
        <f aca="false">IF($L43="","",IF($L43&lt;0.5,"Balística / Velocidade (&lt;50%)",IF($L43&lt;0.7,"Velocidade-Força (50–69%)",IF($L43&lt;0.8,"Força-Velocidade (70–79%)",IF($L43&lt;0.9,"Força Máxima (80–89%)","Força Máxima Alta (≥90%)")))))</f>
        <v>Força-Velocidade (70–79%)</v>
      </c>
      <c r="AA43" s="27"/>
      <c r="AB43" s="27"/>
    </row>
    <row r="44" customFormat="false" ht="15" hidden="false" customHeight="false" outlineLevel="0" collapsed="false">
      <c r="A44" s="29" t="n">
        <v>46281</v>
      </c>
      <c r="B44" s="33" t="n">
        <f aca="false">IF($A44="",0,INT(($A44-'Bloco Base'!$C$5)/7)+1)</f>
        <v>2</v>
      </c>
      <c r="C44" s="28" t="s">
        <v>937</v>
      </c>
      <c r="D44" s="28" t="s">
        <v>1192</v>
      </c>
      <c r="E44" s="27" t="s">
        <v>1117</v>
      </c>
      <c r="F44" s="28" t="n">
        <v>7</v>
      </c>
      <c r="G44" s="139" t="s">
        <v>636</v>
      </c>
      <c r="H44" s="27" t="s">
        <v>792</v>
      </c>
      <c r="I44" s="28" t="s">
        <v>168</v>
      </c>
      <c r="J44" s="28" t="n">
        <v>3</v>
      </c>
      <c r="K44" s="28" t="n">
        <v>8</v>
      </c>
      <c r="L44" s="71"/>
      <c r="M44" s="35" t="str">
        <f aca="false">IF($AB44="","",IFERROR(INDEX('Força 1RM'!$Q$8:$Y$47,MATCH(IF($E44="Equipe (todos)",$C$4,$E44),'Força 1RM'!$P$8:$P$47,0),MATCH($AB44,'Força 1RM'!$Q$7:$Y$7,0)),""))</f>
        <v/>
      </c>
      <c r="N44" s="30" t="n">
        <f aca="false">IFERROR(IF(OR($L44="",$M44="",$M44=0),0,ROUND($L44*$M44*2,0)/2),0)</f>
        <v>0</v>
      </c>
      <c r="O44" s="32"/>
      <c r="P44" s="42" t="str">
        <f aca="false">IFERROR(IF(OR($L44="",$I44="—",$I44=""),"",IF($I44="Agachamento",INDEX($AE$8:$AE$20,MATCH($L44,$AD$8:$AD$20,1)),IF($I44="Supino",INDEX($AF$8:$AF$20,MATCH($L44,$AD$8:$AD$20,1)),IF($I44="Terra",INDEX($AG$8:$AG$20,MATCH($L44,$AD$8:$AD$20,1)),"")))),"")</f>
        <v/>
      </c>
      <c r="Q44" s="45"/>
      <c r="R44" s="71"/>
      <c r="S44" s="71"/>
      <c r="T44" s="69" t="str">
        <f aca="false">IF(OR($R44="",$S44=""),"",IF($S44&gt;$R44,"Acima do limite","Dentro do limite"))</f>
        <v/>
      </c>
      <c r="U44" s="28"/>
      <c r="V44" s="28"/>
      <c r="W44" s="28" t="n">
        <v>90</v>
      </c>
      <c r="X44" s="140" t="n">
        <f aca="false">IFERROR(IF(OR($J44="",$K44=""),0,$J44*$K44),0)</f>
        <v>24</v>
      </c>
      <c r="Y44" s="44" t="n">
        <f aca="false">IFERROR(IF($X44=0,0,$X44*IF($O44="",$N44,$O44)),0)</f>
        <v>0</v>
      </c>
      <c r="Z44" s="60" t="str">
        <f aca="false">IF($L44="","",IF($L44&lt;0.5,"Balística / Velocidade (&lt;50%)",IF($L44&lt;0.7,"Velocidade-Força (50–69%)",IF($L44&lt;0.8,"Força-Velocidade (70–79%)",IF($L44&lt;0.9,"Força Máxima (80–89%)","Força Máxima Alta (≥90%)")))))</f>
        <v/>
      </c>
      <c r="AA44" s="27"/>
      <c r="AB44" s="27"/>
    </row>
    <row r="45" customFormat="false" ht="15" hidden="false" customHeight="false" outlineLevel="0" collapsed="false">
      <c r="A45" s="29" t="n">
        <v>46281</v>
      </c>
      <c r="B45" s="33" t="n">
        <f aca="false">IF($A45="",0,INT(($A45-'Bloco Base'!$C$5)/7)+1)</f>
        <v>2</v>
      </c>
      <c r="C45" s="28" t="s">
        <v>937</v>
      </c>
      <c r="D45" s="28" t="s">
        <v>1192</v>
      </c>
      <c r="E45" s="27" t="s">
        <v>1117</v>
      </c>
      <c r="F45" s="28" t="n">
        <v>8</v>
      </c>
      <c r="G45" s="139" t="s">
        <v>1022</v>
      </c>
      <c r="H45" s="27" t="s">
        <v>776</v>
      </c>
      <c r="I45" s="28" t="s">
        <v>168</v>
      </c>
      <c r="J45" s="28" t="n">
        <v>3</v>
      </c>
      <c r="K45" s="28" t="n">
        <v>25</v>
      </c>
      <c r="L45" s="71"/>
      <c r="M45" s="35" t="str">
        <f aca="false">IF($AB45="","",IFERROR(INDEX('Força 1RM'!$Q$8:$Y$47,MATCH(IF($E45="Equipe (todos)",$C$4,$E45),'Força 1RM'!$P$8:$P$47,0),MATCH($AB45,'Força 1RM'!$Q$7:$Y$7,0)),""))</f>
        <v/>
      </c>
      <c r="N45" s="30" t="n">
        <f aca="false">IFERROR(IF(OR($L45="",$M45="",$M45=0),0,ROUND($L45*$M45*2,0)/2),0)</f>
        <v>0</v>
      </c>
      <c r="O45" s="32"/>
      <c r="P45" s="42" t="str">
        <f aca="false">IFERROR(IF(OR($L45="",$I45="—",$I45=""),"",IF($I45="Agachamento",INDEX($AE$8:$AE$20,MATCH($L45,$AD$8:$AD$20,1)),IF($I45="Supino",INDEX($AF$8:$AF$20,MATCH($L45,$AD$8:$AD$20,1)),IF($I45="Terra",INDEX($AG$8:$AG$20,MATCH($L45,$AD$8:$AD$20,1)),"")))),"")</f>
        <v/>
      </c>
      <c r="Q45" s="45"/>
      <c r="R45" s="71"/>
      <c r="S45" s="71"/>
      <c r="T45" s="69" t="str">
        <f aca="false">IF(OR($R45="",$S45=""),"",IF($S45&gt;$R45,"Acima do limite","Dentro do limite"))</f>
        <v/>
      </c>
      <c r="U45" s="28"/>
      <c r="V45" s="28"/>
      <c r="W45" s="28" t="n">
        <v>45</v>
      </c>
      <c r="X45" s="140" t="n">
        <f aca="false">IFERROR(IF(OR($J45="",$K45=""),0,$J45*$K45),0)</f>
        <v>75</v>
      </c>
      <c r="Y45" s="44" t="n">
        <f aca="false">IFERROR(IF($X45=0,0,$X45*IF($O45="",$N45,$O45)),0)</f>
        <v>0</v>
      </c>
      <c r="Z45" s="60" t="str">
        <f aca="false">IF($L45="","",IF($L45&lt;0.5,"Balística / Velocidade (&lt;50%)",IF($L45&lt;0.7,"Velocidade-Força (50–69%)",IF($L45&lt;0.8,"Força-Velocidade (70–79%)",IF($L45&lt;0.9,"Força Máxima (80–89%)","Força Máxima Alta (≥90%)")))))</f>
        <v/>
      </c>
      <c r="AA45" s="27"/>
      <c r="AB45" s="27"/>
    </row>
    <row r="46" customFormat="false" ht="15" hidden="false" customHeight="false" outlineLevel="0" collapsed="false">
      <c r="A46" s="29" t="n">
        <v>46283</v>
      </c>
      <c r="B46" s="33" t="n">
        <f aca="false">IF($A46="",0,INT(($A46-'Bloco Base'!$C$5)/7)+1)</f>
        <v>2</v>
      </c>
      <c r="C46" s="28" t="s">
        <v>937</v>
      </c>
      <c r="D46" s="28" t="s">
        <v>1193</v>
      </c>
      <c r="E46" s="27" t="s">
        <v>1117</v>
      </c>
      <c r="F46" s="28" t="n">
        <v>1</v>
      </c>
      <c r="G46" s="139" t="s">
        <v>600</v>
      </c>
      <c r="H46" s="27" t="s">
        <v>994</v>
      </c>
      <c r="I46" s="28" t="s">
        <v>168</v>
      </c>
      <c r="J46" s="28" t="n">
        <v>1</v>
      </c>
      <c r="K46" s="28" t="n">
        <v>8</v>
      </c>
      <c r="L46" s="71"/>
      <c r="M46" s="35" t="str">
        <f aca="false">IF($AB46="","",IFERROR(INDEX('Força 1RM'!$Q$8:$Y$47,MATCH(IF($E46="Equipe (todos)",$C$4,$E46),'Força 1RM'!$P$8:$P$47,0),MATCH($AB46,'Força 1RM'!$Q$7:$Y$7,0)),""))</f>
        <v/>
      </c>
      <c r="N46" s="30" t="n">
        <f aca="false">IFERROR(IF(OR($L46="",$M46="",$M46=0),0,ROUND($L46*$M46*2,0)/2),0)</f>
        <v>0</v>
      </c>
      <c r="O46" s="32"/>
      <c r="P46" s="42" t="str">
        <f aca="false">IFERROR(IF(OR($L46="",$I46="—",$I46=""),"",IF($I46="Agachamento",INDEX($AE$8:$AE$20,MATCH($L46,$AD$8:$AD$20,1)),IF($I46="Supino",INDEX($AF$8:$AF$20,MATCH($L46,$AD$8:$AD$20,1)),IF($I46="Terra",INDEX($AG$8:$AG$20,MATCH($L46,$AD$8:$AD$20,1)),"")))),"")</f>
        <v/>
      </c>
      <c r="Q46" s="45"/>
      <c r="R46" s="71"/>
      <c r="S46" s="71"/>
      <c r="T46" s="69" t="str">
        <f aca="false">IF(OR($R46="",$S46=""),"",IF($S46&gt;$R46,"Acima do limite","Dentro do limite"))</f>
        <v/>
      </c>
      <c r="U46" s="28"/>
      <c r="V46" s="28"/>
      <c r="W46" s="28" t="n">
        <v>0</v>
      </c>
      <c r="X46" s="140" t="n">
        <f aca="false">IFERROR(IF(OR($J46="",$K46=""),0,$J46*$K46),0)</f>
        <v>8</v>
      </c>
      <c r="Y46" s="44" t="n">
        <f aca="false">IFERROR(IF($X46=0,0,$X46*IF($O46="",$N46,$O46)),0)</f>
        <v>0</v>
      </c>
      <c r="Z46" s="60" t="str">
        <f aca="false">IF($L46="","",IF($L46&lt;0.5,"Balística / Velocidade (&lt;50%)",IF($L46&lt;0.7,"Velocidade-Força (50–69%)",IF($L46&lt;0.8,"Força-Velocidade (70–79%)",IF($L46&lt;0.9,"Força Máxima (80–89%)","Força Máxima Alta (≥90%)")))))</f>
        <v/>
      </c>
      <c r="AA46" s="27"/>
      <c r="AB46" s="27"/>
    </row>
    <row r="47" customFormat="false" ht="15" hidden="false" customHeight="false" outlineLevel="0" collapsed="false">
      <c r="A47" s="29" t="n">
        <v>46283</v>
      </c>
      <c r="B47" s="33" t="n">
        <f aca="false">IF($A47="",0,INT(($A47-'Bloco Base'!$C$5)/7)+1)</f>
        <v>2</v>
      </c>
      <c r="C47" s="28" t="s">
        <v>937</v>
      </c>
      <c r="D47" s="28" t="s">
        <v>1193</v>
      </c>
      <c r="E47" s="27" t="s">
        <v>1117</v>
      </c>
      <c r="F47" s="28" t="n">
        <v>2</v>
      </c>
      <c r="G47" s="139" t="s">
        <v>623</v>
      </c>
      <c r="H47" s="27" t="s">
        <v>1191</v>
      </c>
      <c r="I47" s="28" t="s">
        <v>168</v>
      </c>
      <c r="J47" s="28" t="n">
        <v>4</v>
      </c>
      <c r="K47" s="28" t="n">
        <v>3</v>
      </c>
      <c r="L47" s="71" t="n">
        <v>0.65</v>
      </c>
      <c r="M47" s="35" t="n">
        <f aca="false">IF($AB47="","",IFERROR(INDEX('Força 1RM'!$Q$8:$Y$47,MATCH(IF($E47="Equipe (todos)",$C$4,$E47),'Força 1RM'!$P$8:$P$47,0),MATCH($AB47,'Força 1RM'!$Q$7:$Y$7,0)),""))</f>
        <v>117.5</v>
      </c>
      <c r="N47" s="30" t="n">
        <f aca="false">IFERROR(IF(OR($L47="",$M47="",$M47=0),0,ROUND($L47*$M47*2,0)/2),0)</f>
        <v>76.5</v>
      </c>
      <c r="O47" s="32"/>
      <c r="P47" s="42" t="str">
        <f aca="false">IFERROR(IF(OR($L47="",$I47="—",$I47=""),"",IF($I47="Agachamento",INDEX($AE$8:$AE$20,MATCH($L47,$AD$8:$AD$20,1)),IF($I47="Supino",INDEX($AF$8:$AF$20,MATCH($L47,$AD$8:$AD$20,1)),IF($I47="Terra",INDEX($AG$8:$AG$20,MATCH($L47,$AD$8:$AD$20,1)),"")))),"")</f>
        <v/>
      </c>
      <c r="Q47" s="45"/>
      <c r="R47" s="71" t="n">
        <v>0.1</v>
      </c>
      <c r="S47" s="71"/>
      <c r="T47" s="69" t="str">
        <f aca="false">IF(OR($R47="",$S47=""),"",IF($S47&gt;$R47,"Acima do limite","Dentro do limite"))</f>
        <v/>
      </c>
      <c r="U47" s="28"/>
      <c r="V47" s="28"/>
      <c r="W47" s="28" t="n">
        <v>150</v>
      </c>
      <c r="X47" s="140" t="n">
        <f aca="false">IFERROR(IF(OR($J47="",$K47=""),0,$J47*$K47),0)</f>
        <v>12</v>
      </c>
      <c r="Y47" s="44" t="n">
        <f aca="false">IFERROR(IF($X47=0,0,$X47*IF($O47="",$N47,$O47)),0)</f>
        <v>918</v>
      </c>
      <c r="Z47" s="60" t="str">
        <f aca="false">IF($L47="","",IF($L47&lt;0.5,"Balística / Velocidade (&lt;50%)",IF($L47&lt;0.7,"Velocidade-Força (50–69%)",IF($L47&lt;0.8,"Força-Velocidade (70–79%)",IF($L47&lt;0.9,"Força Máxima (80–89%)","Força Máxima Alta (≥90%)")))))</f>
        <v>Velocidade-Força (50–69%)</v>
      </c>
      <c r="AA47" s="27"/>
      <c r="AB47" s="27" t="s">
        <v>620</v>
      </c>
    </row>
    <row r="48" customFormat="false" ht="15" hidden="false" customHeight="false" outlineLevel="0" collapsed="false">
      <c r="A48" s="29" t="n">
        <v>46283</v>
      </c>
      <c r="B48" s="33" t="n">
        <f aca="false">IF($A48="",0,INT(($A48-'Bloco Base'!$C$5)/7)+1)</f>
        <v>2</v>
      </c>
      <c r="C48" s="28" t="s">
        <v>937</v>
      </c>
      <c r="D48" s="28" t="s">
        <v>1193</v>
      </c>
      <c r="E48" s="27" t="s">
        <v>1117</v>
      </c>
      <c r="F48" s="28" t="n">
        <v>3</v>
      </c>
      <c r="G48" s="139" t="s">
        <v>698</v>
      </c>
      <c r="H48" s="27" t="s">
        <v>1191</v>
      </c>
      <c r="I48" s="28" t="s">
        <v>692</v>
      </c>
      <c r="J48" s="28" t="n">
        <v>4</v>
      </c>
      <c r="K48" s="28" t="n">
        <v>6</v>
      </c>
      <c r="L48" s="71" t="n">
        <v>0.6</v>
      </c>
      <c r="M48" s="35" t="n">
        <f aca="false">IF($AB48="","",IFERROR(INDEX('Força 1RM'!$Q$8:$Y$47,MATCH(IF($E48="Equipe (todos)",$C$4,$E48),'Força 1RM'!$P$8:$P$47,0),MATCH($AB48,'Força 1RM'!$Q$7:$Y$7,0)),""))</f>
        <v>160</v>
      </c>
      <c r="N48" s="30" t="n">
        <f aca="false">IFERROR(IF(OR($L48="",$M48="",$M48=0),0,ROUND($L48*$M48*2,0)/2),0)</f>
        <v>96</v>
      </c>
      <c r="O48" s="32"/>
      <c r="P48" s="42" t="n">
        <f aca="false">IFERROR(IF(OR($L48="",$I48="—",$I48=""),"",IF($I48="Agachamento",INDEX($AE$8:$AE$20,MATCH($L48,$AD$8:$AD$20,1)),IF($I48="Supino",INDEX($AF$8:$AF$20,MATCH($L48,$AD$8:$AD$20,1)),IF($I48="Terra",INDEX($AG$8:$AG$20,MATCH($L48,$AD$8:$AD$20,1)),"")))),"")</f>
        <v>0.83</v>
      </c>
      <c r="Q48" s="45"/>
      <c r="R48" s="71" t="n">
        <v>0.15</v>
      </c>
      <c r="S48" s="71"/>
      <c r="T48" s="69" t="str">
        <f aca="false">IF(OR($R48="",$S48=""),"",IF($S48&gt;$R48,"Acima do limite","Dentro do limite"))</f>
        <v/>
      </c>
      <c r="U48" s="28"/>
      <c r="V48" s="28"/>
      <c r="W48" s="28" t="n">
        <v>150</v>
      </c>
      <c r="X48" s="140" t="n">
        <f aca="false">IFERROR(IF(OR($J48="",$K48=""),0,$J48*$K48),0)</f>
        <v>24</v>
      </c>
      <c r="Y48" s="44" t="n">
        <f aca="false">IFERROR(IF($X48=0,0,$X48*IF($O48="",$N48,$O48)),0)</f>
        <v>2304</v>
      </c>
      <c r="Z48" s="60" t="str">
        <f aca="false">IF($L48="","",IF($L48&lt;0.5,"Balística / Velocidade (&lt;50%)",IF($L48&lt;0.7,"Velocidade-Força (50–69%)",IF($L48&lt;0.8,"Força-Velocidade (70–79%)",IF($L48&lt;0.9,"Força Máxima (80–89%)","Força Máxima Alta (≥90%)")))))</f>
        <v>Velocidade-Força (50–69%)</v>
      </c>
      <c r="AA48" s="27"/>
      <c r="AB48" s="27" t="s">
        <v>688</v>
      </c>
    </row>
    <row r="49" customFormat="false" ht="15" hidden="false" customHeight="false" outlineLevel="0" collapsed="false">
      <c r="A49" s="29" t="n">
        <v>46283</v>
      </c>
      <c r="B49" s="33" t="n">
        <f aca="false">IF($A49="",0,INT(($A49-'Bloco Base'!$C$5)/7)+1)</f>
        <v>2</v>
      </c>
      <c r="C49" s="28" t="s">
        <v>937</v>
      </c>
      <c r="D49" s="28" t="s">
        <v>1193</v>
      </c>
      <c r="E49" s="27" t="s">
        <v>1117</v>
      </c>
      <c r="F49" s="28" t="n">
        <v>4</v>
      </c>
      <c r="G49" s="139" t="s">
        <v>728</v>
      </c>
      <c r="H49" s="27" t="s">
        <v>1004</v>
      </c>
      <c r="I49" s="28" t="s">
        <v>168</v>
      </c>
      <c r="J49" s="28" t="n">
        <v>3</v>
      </c>
      <c r="K49" s="28" t="n">
        <v>10</v>
      </c>
      <c r="L49" s="71"/>
      <c r="M49" s="35" t="str">
        <f aca="false">IF($AB49="","",IFERROR(INDEX('Força 1RM'!$Q$8:$Y$47,MATCH(IF($E49="Equipe (todos)",$C$4,$E49),'Força 1RM'!$P$8:$P$47,0),MATCH($AB49,'Força 1RM'!$Q$7:$Y$7,0)),""))</f>
        <v/>
      </c>
      <c r="N49" s="30" t="n">
        <f aca="false">IFERROR(IF(OR($L49="",$M49="",$M49=0),0,ROUND($L49*$M49*2,0)/2),0)</f>
        <v>0</v>
      </c>
      <c r="O49" s="32"/>
      <c r="P49" s="42" t="str">
        <f aca="false">IFERROR(IF(OR($L49="",$I49="—",$I49=""),"",IF($I49="Agachamento",INDEX($AE$8:$AE$20,MATCH($L49,$AD$8:$AD$20,1)),IF($I49="Supino",INDEX($AF$8:$AF$20,MATCH($L49,$AD$8:$AD$20,1)),IF($I49="Terra",INDEX($AG$8:$AG$20,MATCH($L49,$AD$8:$AD$20,1)),"")))),"")</f>
        <v/>
      </c>
      <c r="Q49" s="45"/>
      <c r="R49" s="71"/>
      <c r="S49" s="71"/>
      <c r="T49" s="69" t="str">
        <f aca="false">IF(OR($R49="",$S49=""),"",IF($S49&gt;$R49,"Acima do limite","Dentro do limite"))</f>
        <v/>
      </c>
      <c r="U49" s="28"/>
      <c r="V49" s="28"/>
      <c r="W49" s="28" t="n">
        <v>60</v>
      </c>
      <c r="X49" s="140" t="n">
        <f aca="false">IFERROR(IF(OR($J49="",$K49=""),0,$J49*$K49),0)</f>
        <v>30</v>
      </c>
      <c r="Y49" s="44" t="n">
        <f aca="false">IFERROR(IF($X49=0,0,$X49*IF($O49="",$N49,$O49)),0)</f>
        <v>0</v>
      </c>
      <c r="Z49" s="60" t="str">
        <f aca="false">IF($L49="","",IF($L49&lt;0.5,"Balística / Velocidade (&lt;50%)",IF($L49&lt;0.7,"Velocidade-Força (50–69%)",IF($L49&lt;0.8,"Força-Velocidade (70–79%)",IF($L49&lt;0.9,"Força Máxima (80–89%)","Força Máxima Alta (≥90%)")))))</f>
        <v/>
      </c>
      <c r="AA49" s="27"/>
      <c r="AB49" s="27"/>
    </row>
    <row r="50" customFormat="false" ht="15" hidden="false" customHeight="false" outlineLevel="0" collapsed="false">
      <c r="A50" s="29" t="n">
        <v>46283</v>
      </c>
      <c r="B50" s="33" t="n">
        <f aca="false">IF($A50="",0,INT(($A50-'Bloco Base'!$C$5)/7)+1)</f>
        <v>2</v>
      </c>
      <c r="C50" s="28" t="s">
        <v>937</v>
      </c>
      <c r="D50" s="28" t="s">
        <v>1193</v>
      </c>
      <c r="E50" s="27" t="s">
        <v>1117</v>
      </c>
      <c r="F50" s="28" t="n">
        <v>5</v>
      </c>
      <c r="G50" s="139" t="s">
        <v>1030</v>
      </c>
      <c r="H50" s="27" t="s">
        <v>537</v>
      </c>
      <c r="I50" s="28" t="s">
        <v>168</v>
      </c>
      <c r="J50" s="28" t="n">
        <v>3</v>
      </c>
      <c r="K50" s="28" t="n">
        <v>10</v>
      </c>
      <c r="L50" s="71"/>
      <c r="M50" s="35" t="str">
        <f aca="false">IF($AB50="","",IFERROR(INDEX('Força 1RM'!$Q$8:$Y$47,MATCH(IF($E50="Equipe (todos)",$C$4,$E50),'Força 1RM'!$P$8:$P$47,0),MATCH($AB50,'Força 1RM'!$Q$7:$Y$7,0)),""))</f>
        <v/>
      </c>
      <c r="N50" s="30" t="n">
        <f aca="false">IFERROR(IF(OR($L50="",$M50="",$M50=0),0,ROUND($L50*$M50*2,0)/2),0)</f>
        <v>0</v>
      </c>
      <c r="O50" s="32"/>
      <c r="P50" s="42" t="str">
        <f aca="false">IFERROR(IF(OR($L50="",$I50="—",$I50=""),"",IF($I50="Agachamento",INDEX($AE$8:$AE$20,MATCH($L50,$AD$8:$AD$20,1)),IF($I50="Supino",INDEX($AF$8:$AF$20,MATCH($L50,$AD$8:$AD$20,1)),IF($I50="Terra",INDEX($AG$8:$AG$20,MATCH($L50,$AD$8:$AD$20,1)),"")))),"")</f>
        <v/>
      </c>
      <c r="Q50" s="45"/>
      <c r="R50" s="71"/>
      <c r="S50" s="71"/>
      <c r="T50" s="69" t="str">
        <f aca="false">IF(OR($R50="",$S50=""),"",IF($S50&gt;$R50,"Acima do limite","Dentro do limite"))</f>
        <v/>
      </c>
      <c r="U50" s="28"/>
      <c r="V50" s="28"/>
      <c r="W50" s="28" t="n">
        <v>90</v>
      </c>
      <c r="X50" s="140" t="n">
        <f aca="false">IFERROR(IF(OR($J50="",$K50=""),0,$J50*$K50),0)</f>
        <v>30</v>
      </c>
      <c r="Y50" s="44" t="n">
        <f aca="false">IFERROR(IF($X50=0,0,$X50*IF($O50="",$N50,$O50)),0)</f>
        <v>0</v>
      </c>
      <c r="Z50" s="60" t="str">
        <f aca="false">IF($L50="","",IF($L50&lt;0.5,"Balística / Velocidade (&lt;50%)",IF($L50&lt;0.7,"Velocidade-Força (50–69%)",IF($L50&lt;0.8,"Força-Velocidade (70–79%)",IF($L50&lt;0.9,"Força Máxima (80–89%)","Força Máxima Alta (≥90%)")))))</f>
        <v/>
      </c>
      <c r="AA50" s="27"/>
      <c r="AB50" s="27"/>
    </row>
    <row r="51" customFormat="false" ht="15" hidden="false" customHeight="false" outlineLevel="0" collapsed="false">
      <c r="A51" s="29" t="n">
        <v>46283</v>
      </c>
      <c r="B51" s="33" t="n">
        <f aca="false">IF($A51="",0,INT(($A51-'Bloco Base'!$C$5)/7)+1)</f>
        <v>2</v>
      </c>
      <c r="C51" s="28" t="s">
        <v>937</v>
      </c>
      <c r="D51" s="28" t="s">
        <v>1193</v>
      </c>
      <c r="E51" s="27" t="s">
        <v>1117</v>
      </c>
      <c r="F51" s="28" t="n">
        <v>6</v>
      </c>
      <c r="G51" s="139" t="s">
        <v>632</v>
      </c>
      <c r="H51" s="27" t="s">
        <v>558</v>
      </c>
      <c r="I51" s="28" t="s">
        <v>168</v>
      </c>
      <c r="J51" s="28" t="n">
        <v>4</v>
      </c>
      <c r="K51" s="28" t="n">
        <v>5</v>
      </c>
      <c r="L51" s="71"/>
      <c r="M51" s="35" t="str">
        <f aca="false">IF($AB51="","",IFERROR(INDEX('Força 1RM'!$Q$8:$Y$47,MATCH(IF($E51="Equipe (todos)",$C$4,$E51),'Força 1RM'!$P$8:$P$47,0),MATCH($AB51,'Força 1RM'!$Q$7:$Y$7,0)),""))</f>
        <v/>
      </c>
      <c r="N51" s="30" t="n">
        <f aca="false">IFERROR(IF(OR($L51="",$M51="",$M51=0),0,ROUND($L51*$M51*2,0)/2),0)</f>
        <v>0</v>
      </c>
      <c r="O51" s="32"/>
      <c r="P51" s="42" t="str">
        <f aca="false">IFERROR(IF(OR($L51="",$I51="—",$I51=""),"",IF($I51="Agachamento",INDEX($AE$8:$AE$20,MATCH($L51,$AD$8:$AD$20,1)),IF($I51="Supino",INDEX($AF$8:$AF$20,MATCH($L51,$AD$8:$AD$20,1)),IF($I51="Terra",INDEX($AG$8:$AG$20,MATCH($L51,$AD$8:$AD$20,1)),"")))),"")</f>
        <v/>
      </c>
      <c r="Q51" s="45"/>
      <c r="R51" s="71"/>
      <c r="S51" s="71"/>
      <c r="T51" s="69" t="str">
        <f aca="false">IF(OR($R51="",$S51=""),"",IF($S51&gt;$R51,"Acima do limite","Dentro do limite"))</f>
        <v/>
      </c>
      <c r="U51" s="28"/>
      <c r="V51" s="28"/>
      <c r="W51" s="28" t="n">
        <v>120</v>
      </c>
      <c r="X51" s="140" t="n">
        <f aca="false">IFERROR(IF(OR($J51="",$K51=""),0,$J51*$K51),0)</f>
        <v>20</v>
      </c>
      <c r="Y51" s="44" t="n">
        <f aca="false">IFERROR(IF($X51=0,0,$X51*IF($O51="",$N51,$O51)),0)</f>
        <v>0</v>
      </c>
      <c r="Z51" s="60" t="str">
        <f aca="false">IF($L51="","",IF($L51&lt;0.5,"Balística / Velocidade (&lt;50%)",IF($L51&lt;0.7,"Velocidade-Força (50–69%)",IF($L51&lt;0.8,"Força-Velocidade (70–79%)",IF($L51&lt;0.9,"Força Máxima (80–89%)","Força Máxima Alta (≥90%)")))))</f>
        <v/>
      </c>
      <c r="AA51" s="27"/>
      <c r="AB51" s="27"/>
    </row>
    <row r="52" customFormat="false" ht="15" hidden="false" customHeight="false" outlineLevel="0" collapsed="false">
      <c r="A52" s="29" t="n">
        <v>46283</v>
      </c>
      <c r="B52" s="33" t="n">
        <f aca="false">IF($A52="",0,INT(($A52-'Bloco Base'!$C$5)/7)+1)</f>
        <v>2</v>
      </c>
      <c r="C52" s="28" t="s">
        <v>937</v>
      </c>
      <c r="D52" s="28" t="s">
        <v>1193</v>
      </c>
      <c r="E52" s="27" t="s">
        <v>1117</v>
      </c>
      <c r="F52" s="28" t="n">
        <v>7</v>
      </c>
      <c r="G52" s="139" t="s">
        <v>664</v>
      </c>
      <c r="H52" s="27" t="s">
        <v>537</v>
      </c>
      <c r="I52" s="28" t="s">
        <v>168</v>
      </c>
      <c r="J52" s="28" t="n">
        <v>4</v>
      </c>
      <c r="K52" s="28" t="n">
        <v>8</v>
      </c>
      <c r="L52" s="71" t="n">
        <v>0.7</v>
      </c>
      <c r="M52" s="35" t="str">
        <f aca="false">IF($AB52="","",IFERROR(INDEX('Força 1RM'!$Q$8:$Y$47,MATCH(IF($E52="Equipe (todos)",$C$4,$E52),'Força 1RM'!$P$8:$P$47,0),MATCH($AB52,'Força 1RM'!$Q$7:$Y$7,0)),""))</f>
        <v/>
      </c>
      <c r="N52" s="30" t="n">
        <f aca="false">IFERROR(IF(OR($L52="",$M52="",$M52=0),0,ROUND($L52*$M52*2,0)/2),0)</f>
        <v>0</v>
      </c>
      <c r="O52" s="32"/>
      <c r="P52" s="42" t="str">
        <f aca="false">IFERROR(IF(OR($L52="",$I52="—",$I52=""),"",IF($I52="Agachamento",INDEX($AE$8:$AE$20,MATCH($L52,$AD$8:$AD$20,1)),IF($I52="Supino",INDEX($AF$8:$AF$20,MATCH($L52,$AD$8:$AD$20,1)),IF($I52="Terra",INDEX($AG$8:$AG$20,MATCH($L52,$AD$8:$AD$20,1)),"")))),"")</f>
        <v/>
      </c>
      <c r="Q52" s="45"/>
      <c r="R52" s="71" t="n">
        <v>0.2</v>
      </c>
      <c r="S52" s="71"/>
      <c r="T52" s="69" t="str">
        <f aca="false">IF(OR($R52="",$S52=""),"",IF($S52&gt;$R52,"Acima do limite","Dentro do limite"))</f>
        <v/>
      </c>
      <c r="U52" s="28"/>
      <c r="V52" s="28"/>
      <c r="W52" s="28" t="n">
        <v>120</v>
      </c>
      <c r="X52" s="140" t="n">
        <f aca="false">IFERROR(IF(OR($J52="",$K52=""),0,$J52*$K52),0)</f>
        <v>32</v>
      </c>
      <c r="Y52" s="44" t="n">
        <f aca="false">IFERROR(IF($X52=0,0,$X52*IF($O52="",$N52,$O52)),0)</f>
        <v>0</v>
      </c>
      <c r="Z52" s="60" t="str">
        <f aca="false">IF($L52="","",IF($L52&lt;0.5,"Balística / Velocidade (&lt;50%)",IF($L52&lt;0.7,"Velocidade-Força (50–69%)",IF($L52&lt;0.8,"Força-Velocidade (70–79%)",IF($L52&lt;0.9,"Força Máxima (80–89%)","Força Máxima Alta (≥90%)")))))</f>
        <v>Força-Velocidade (70–79%)</v>
      </c>
      <c r="AA52" s="27"/>
      <c r="AB52" s="27"/>
    </row>
    <row r="53" customFormat="false" ht="15" hidden="false" customHeight="false" outlineLevel="0" collapsed="false">
      <c r="A53" s="29" t="n">
        <v>46283</v>
      </c>
      <c r="B53" s="33" t="n">
        <f aca="false">IF($A53="",0,INT(($A53-'Bloco Base'!$C$5)/7)+1)</f>
        <v>2</v>
      </c>
      <c r="C53" s="28" t="s">
        <v>937</v>
      </c>
      <c r="D53" s="28" t="s">
        <v>1193</v>
      </c>
      <c r="E53" s="27" t="s">
        <v>1117</v>
      </c>
      <c r="F53" s="28" t="n">
        <v>8</v>
      </c>
      <c r="G53" s="139" t="s">
        <v>566</v>
      </c>
      <c r="H53" s="27" t="s">
        <v>480</v>
      </c>
      <c r="I53" s="28" t="s">
        <v>168</v>
      </c>
      <c r="J53" s="28" t="n">
        <v>6</v>
      </c>
      <c r="K53" s="28" t="n">
        <v>1</v>
      </c>
      <c r="L53" s="71"/>
      <c r="M53" s="35" t="str">
        <f aca="false">IF($AB53="","",IFERROR(INDEX('Força 1RM'!$Q$8:$Y$47,MATCH(IF($E53="Equipe (todos)",$C$4,$E53),'Força 1RM'!$P$8:$P$47,0),MATCH($AB53,'Força 1RM'!$Q$7:$Y$7,0)),""))</f>
        <v/>
      </c>
      <c r="N53" s="30" t="n">
        <f aca="false">IFERROR(IF(OR($L53="",$M53="",$M53=0),0,ROUND($L53*$M53*2,0)/2),0)</f>
        <v>0</v>
      </c>
      <c r="O53" s="32"/>
      <c r="P53" s="42" t="str">
        <f aca="false">IFERROR(IF(OR($L53="",$I53="—",$I53=""),"",IF($I53="Agachamento",INDEX($AE$8:$AE$20,MATCH($L53,$AD$8:$AD$20,1)),IF($I53="Supino",INDEX($AF$8:$AF$20,MATCH($L53,$AD$8:$AD$20,1)),IF($I53="Terra",INDEX($AG$8:$AG$20,MATCH($L53,$AD$8:$AD$20,1)),"")))),"")</f>
        <v/>
      </c>
      <c r="Q53" s="45"/>
      <c r="R53" s="71"/>
      <c r="S53" s="71"/>
      <c r="T53" s="69" t="str">
        <f aca="false">IF(OR($R53="",$S53=""),"",IF($S53&gt;$R53,"Acima do limite","Dentro do limite"))</f>
        <v/>
      </c>
      <c r="U53" s="28"/>
      <c r="V53" s="28"/>
      <c r="W53" s="28" t="n">
        <v>120</v>
      </c>
      <c r="X53" s="140" t="n">
        <f aca="false">IFERROR(IF(OR($J53="",$K53=""),0,$J53*$K53),0)</f>
        <v>6</v>
      </c>
      <c r="Y53" s="44" t="n">
        <f aca="false">IFERROR(IF($X53=0,0,$X53*IF($O53="",$N53,$O53)),0)</f>
        <v>0</v>
      </c>
      <c r="Z53" s="60" t="str">
        <f aca="false">IF($L53="","",IF($L53&lt;0.5,"Balística / Velocidade (&lt;50%)",IF($L53&lt;0.7,"Velocidade-Força (50–69%)",IF($L53&lt;0.8,"Força-Velocidade (70–79%)",IF($L53&lt;0.9,"Força Máxima (80–89%)","Força Máxima Alta (≥90%)")))))</f>
        <v/>
      </c>
      <c r="AA53" s="27"/>
      <c r="AB53" s="27"/>
    </row>
    <row r="54" customFormat="false" ht="15" hidden="false" customHeight="false" outlineLevel="0" collapsed="false">
      <c r="A54" s="29" t="n">
        <v>46283</v>
      </c>
      <c r="B54" s="33" t="n">
        <f aca="false">IF($A54="",0,INT(($A54-'Bloco Base'!$C$5)/7)+1)</f>
        <v>2</v>
      </c>
      <c r="C54" s="28" t="s">
        <v>937</v>
      </c>
      <c r="D54" s="28" t="s">
        <v>1193</v>
      </c>
      <c r="E54" s="27" t="s">
        <v>1117</v>
      </c>
      <c r="F54" s="28" t="n">
        <v>9</v>
      </c>
      <c r="G54" s="139" t="s">
        <v>748</v>
      </c>
      <c r="H54" s="27" t="s">
        <v>776</v>
      </c>
      <c r="I54" s="28" t="s">
        <v>168</v>
      </c>
      <c r="J54" s="28" t="n">
        <v>3</v>
      </c>
      <c r="K54" s="28" t="n">
        <v>25</v>
      </c>
      <c r="L54" s="71"/>
      <c r="M54" s="35" t="str">
        <f aca="false">IF($AB54="","",IFERROR(INDEX('Força 1RM'!$Q$8:$Y$47,MATCH(IF($E54="Equipe (todos)",$C$4,$E54),'Força 1RM'!$P$8:$P$47,0),MATCH($AB54,'Força 1RM'!$Q$7:$Y$7,0)),""))</f>
        <v/>
      </c>
      <c r="N54" s="30" t="n">
        <f aca="false">IFERROR(IF(OR($L54="",$M54="",$M54=0),0,ROUND($L54*$M54*2,0)/2),0)</f>
        <v>0</v>
      </c>
      <c r="O54" s="32"/>
      <c r="P54" s="42" t="str">
        <f aca="false">IFERROR(IF(OR($L54="",$I54="—",$I54=""),"",IF($I54="Agachamento",INDEX($AE$8:$AE$20,MATCH($L54,$AD$8:$AD$20,1)),IF($I54="Supino",INDEX($AF$8:$AF$20,MATCH($L54,$AD$8:$AD$20,1)),IF($I54="Terra",INDEX($AG$8:$AG$20,MATCH($L54,$AD$8:$AD$20,1)),"")))),"")</f>
        <v/>
      </c>
      <c r="Q54" s="45"/>
      <c r="R54" s="71"/>
      <c r="S54" s="71"/>
      <c r="T54" s="69" t="str">
        <f aca="false">IF(OR($R54="",$S54=""),"",IF($S54&gt;$R54,"Acima do limite","Dentro do limite"))</f>
        <v/>
      </c>
      <c r="U54" s="28"/>
      <c r="V54" s="28"/>
      <c r="W54" s="28" t="n">
        <v>45</v>
      </c>
      <c r="X54" s="140" t="n">
        <f aca="false">IFERROR(IF(OR($J54="",$K54=""),0,$J54*$K54),0)</f>
        <v>75</v>
      </c>
      <c r="Y54" s="44" t="n">
        <f aca="false">IFERROR(IF($X54=0,0,$X54*IF($O54="",$N54,$O54)),0)</f>
        <v>0</v>
      </c>
      <c r="Z54" s="60" t="str">
        <f aca="false">IF($L54="","",IF($L54&lt;0.5,"Balística / Velocidade (&lt;50%)",IF($L54&lt;0.7,"Velocidade-Força (50–69%)",IF($L54&lt;0.8,"Força-Velocidade (70–79%)",IF($L54&lt;0.9,"Força Máxima (80–89%)","Força Máxima Alta (≥90%)")))))</f>
        <v/>
      </c>
      <c r="AA54" s="27"/>
      <c r="AB54" s="27"/>
    </row>
    <row r="55" customFormat="false" ht="15" hidden="false" customHeight="false" outlineLevel="0" collapsed="false">
      <c r="A55" s="29" t="n">
        <v>46286</v>
      </c>
      <c r="B55" s="33" t="n">
        <f aca="false">IF($A55="",0,INT(($A55-'Bloco Base'!$C$5)/7)+1)</f>
        <v>3</v>
      </c>
      <c r="C55" s="28" t="s">
        <v>937</v>
      </c>
      <c r="D55" s="28" t="s">
        <v>233</v>
      </c>
      <c r="E55" s="27" t="s">
        <v>1117</v>
      </c>
      <c r="F55" s="28" t="n">
        <v>1</v>
      </c>
      <c r="G55" s="139" t="s">
        <v>600</v>
      </c>
      <c r="H55" s="27" t="s">
        <v>994</v>
      </c>
      <c r="I55" s="28" t="s">
        <v>168</v>
      </c>
      <c r="J55" s="28" t="n">
        <v>1</v>
      </c>
      <c r="K55" s="28" t="n">
        <v>8</v>
      </c>
      <c r="L55" s="71"/>
      <c r="M55" s="35" t="str">
        <f aca="false">IF($AB55="","",IFERROR(INDEX('Força 1RM'!$Q$8:$Y$47,MATCH(IF($E55="Equipe (todos)",$C$4,$E55),'Força 1RM'!$P$8:$P$47,0),MATCH($AB55,'Força 1RM'!$Q$7:$Y$7,0)),""))</f>
        <v/>
      </c>
      <c r="N55" s="30" t="n">
        <f aca="false">IFERROR(IF(OR($L55="",$M55="",$M55=0),0,ROUND($L55*$M55*2,0)/2),0)</f>
        <v>0</v>
      </c>
      <c r="O55" s="32"/>
      <c r="P55" s="42" t="str">
        <f aca="false">IFERROR(IF(OR($L55="",$I55="—",$I55=""),"",IF($I55="Agachamento",INDEX($AE$8:$AE$20,MATCH($L55,$AD$8:$AD$20,1)),IF($I55="Supino",INDEX($AF$8:$AF$20,MATCH($L55,$AD$8:$AD$20,1)),IF($I55="Terra",INDEX($AG$8:$AG$20,MATCH($L55,$AD$8:$AD$20,1)),"")))),"")</f>
        <v/>
      </c>
      <c r="Q55" s="45"/>
      <c r="R55" s="71"/>
      <c r="S55" s="71"/>
      <c r="T55" s="69" t="str">
        <f aca="false">IF(OR($R55="",$S55=""),"",IF($S55&gt;$R55,"Acima do limite","Dentro do limite"))</f>
        <v/>
      </c>
      <c r="U55" s="28"/>
      <c r="V55" s="28"/>
      <c r="W55" s="28" t="n">
        <v>0</v>
      </c>
      <c r="X55" s="140" t="n">
        <f aca="false">IFERROR(IF(OR($J55="",$K55=""),0,$J55*$K55),0)</f>
        <v>8</v>
      </c>
      <c r="Y55" s="44" t="n">
        <f aca="false">IFERROR(IF($X55=0,0,$X55*IF($O55="",$N55,$O55)),0)</f>
        <v>0</v>
      </c>
      <c r="Z55" s="60" t="str">
        <f aca="false">IF($L55="","",IF($L55&lt;0.5,"Balística / Velocidade (&lt;50%)",IF($L55&lt;0.7,"Velocidade-Força (50–69%)",IF($L55&lt;0.8,"Força-Velocidade (70–79%)",IF($L55&lt;0.9,"Força Máxima (80–89%)","Força Máxima Alta (≥90%)")))))</f>
        <v/>
      </c>
      <c r="AA55" s="27"/>
      <c r="AB55" s="27"/>
    </row>
    <row r="56" customFormat="false" ht="15" hidden="false" customHeight="false" outlineLevel="0" collapsed="false">
      <c r="A56" s="29" t="n">
        <v>46286</v>
      </c>
      <c r="B56" s="33" t="n">
        <f aca="false">IF($A56="",0,INT(($A56-'Bloco Base'!$C$5)/7)+1)</f>
        <v>3</v>
      </c>
      <c r="C56" s="28" t="s">
        <v>937</v>
      </c>
      <c r="D56" s="28" t="s">
        <v>233</v>
      </c>
      <c r="E56" s="27" t="s">
        <v>1117</v>
      </c>
      <c r="F56" s="28" t="n">
        <v>2</v>
      </c>
      <c r="G56" s="139" t="s">
        <v>616</v>
      </c>
      <c r="H56" s="27" t="s">
        <v>1191</v>
      </c>
      <c r="I56" s="28" t="s">
        <v>168</v>
      </c>
      <c r="J56" s="28" t="n">
        <v>5</v>
      </c>
      <c r="K56" s="28" t="n">
        <v>3</v>
      </c>
      <c r="L56" s="71" t="n">
        <v>0.75</v>
      </c>
      <c r="M56" s="35" t="n">
        <f aca="false">IF($AB56="","",IFERROR(INDEX('Força 1RM'!$Q$8:$Y$47,MATCH(IF($E56="Equipe (todos)",$C$4,$E56),'Força 1RM'!$P$8:$P$47,0),MATCH($AB56,'Força 1RM'!$Q$7:$Y$7,0)),""))</f>
        <v>92.5</v>
      </c>
      <c r="N56" s="30" t="n">
        <f aca="false">IFERROR(IF(OR($L56="",$M56="",$M56=0),0,ROUND($L56*$M56*2,0)/2),0)</f>
        <v>69.5</v>
      </c>
      <c r="O56" s="32"/>
      <c r="P56" s="42" t="str">
        <f aca="false">IFERROR(IF(OR($L56="",$I56="—",$I56=""),"",IF($I56="Agachamento",INDEX($AE$8:$AE$20,MATCH($L56,$AD$8:$AD$20,1)),IF($I56="Supino",INDEX($AF$8:$AF$20,MATCH($L56,$AD$8:$AD$20,1)),IF($I56="Terra",INDEX($AG$8:$AG$20,MATCH($L56,$AD$8:$AD$20,1)),"")))),"")</f>
        <v/>
      </c>
      <c r="Q56" s="45"/>
      <c r="R56" s="71" t="n">
        <v>0.1</v>
      </c>
      <c r="S56" s="71"/>
      <c r="T56" s="69" t="str">
        <f aca="false">IF(OR($R56="",$S56=""),"",IF($S56&gt;$R56,"Acima do limite","Dentro do limite"))</f>
        <v/>
      </c>
      <c r="U56" s="28"/>
      <c r="V56" s="28"/>
      <c r="W56" s="28" t="n">
        <v>180</v>
      </c>
      <c r="X56" s="140" t="n">
        <f aca="false">IFERROR(IF(OR($J56="",$K56=""),0,$J56*$K56),0)</f>
        <v>15</v>
      </c>
      <c r="Y56" s="44" t="n">
        <f aca="false">IFERROR(IF($X56=0,0,$X56*IF($O56="",$N56,$O56)),0)</f>
        <v>1042.5</v>
      </c>
      <c r="Z56" s="60" t="str">
        <f aca="false">IF($L56="","",IF($L56&lt;0.5,"Balística / Velocidade (&lt;50%)",IF($L56&lt;0.7,"Velocidade-Força (50–69%)",IF($L56&lt;0.8,"Força-Velocidade (70–79%)",IF($L56&lt;0.9,"Força Máxima (80–89%)","Força Máxima Alta (≥90%)")))))</f>
        <v>Força-Velocidade (70–79%)</v>
      </c>
      <c r="AA56" s="27"/>
      <c r="AB56" s="27" t="s">
        <v>953</v>
      </c>
    </row>
    <row r="57" customFormat="false" ht="15" hidden="false" customHeight="false" outlineLevel="0" collapsed="false">
      <c r="A57" s="29" t="n">
        <v>46286</v>
      </c>
      <c r="B57" s="33" t="n">
        <f aca="false">IF($A57="",0,INT(($A57-'Bloco Base'!$C$5)/7)+1)</f>
        <v>3</v>
      </c>
      <c r="C57" s="28" t="s">
        <v>937</v>
      </c>
      <c r="D57" s="28" t="s">
        <v>233</v>
      </c>
      <c r="E57" s="27" t="s">
        <v>1117</v>
      </c>
      <c r="F57" s="28" t="n">
        <v>3</v>
      </c>
      <c r="G57" s="139" t="s">
        <v>688</v>
      </c>
      <c r="H57" s="27" t="s">
        <v>537</v>
      </c>
      <c r="I57" s="28" t="s">
        <v>692</v>
      </c>
      <c r="J57" s="28" t="n">
        <v>5</v>
      </c>
      <c r="K57" s="28" t="n">
        <v>5</v>
      </c>
      <c r="L57" s="71" t="n">
        <v>0.8</v>
      </c>
      <c r="M57" s="35" t="n">
        <f aca="false">IF($AB57="","",IFERROR(INDEX('Força 1RM'!$Q$8:$Y$47,MATCH(IF($E57="Equipe (todos)",$C$4,$E57),'Força 1RM'!$P$8:$P$47,0),MATCH($AB57,'Força 1RM'!$Q$7:$Y$7,0)),""))</f>
        <v>160</v>
      </c>
      <c r="N57" s="30" t="n">
        <f aca="false">IFERROR(IF(OR($L57="",$M57="",$M57=0),0,ROUND($L57*$M57*2,0)/2),0)</f>
        <v>128</v>
      </c>
      <c r="O57" s="32"/>
      <c r="P57" s="42" t="n">
        <f aca="false">IFERROR(IF(OR($L57="",$I57="—",$I57=""),"",IF($I57="Agachamento",INDEX($AE$8:$AE$20,MATCH($L57,$AD$8:$AD$20,1)),IF($I57="Supino",INDEX($AF$8:$AF$20,MATCH($L57,$AD$8:$AD$20,1)),IF($I57="Terra",INDEX($AG$8:$AG$20,MATCH($L57,$AD$8:$AD$20,1)),"")))),"")</f>
        <v>0.55</v>
      </c>
      <c r="Q57" s="45"/>
      <c r="R57" s="71" t="n">
        <v>0.15</v>
      </c>
      <c r="S57" s="71"/>
      <c r="T57" s="69" t="str">
        <f aca="false">IF(OR($R57="",$S57=""),"",IF($S57&gt;$R57,"Acima do limite","Dentro do limite"))</f>
        <v/>
      </c>
      <c r="U57" s="28"/>
      <c r="V57" s="28"/>
      <c r="W57" s="28" t="n">
        <v>180</v>
      </c>
      <c r="X57" s="140" t="n">
        <f aca="false">IFERROR(IF(OR($J57="",$K57=""),0,$J57*$K57),0)</f>
        <v>25</v>
      </c>
      <c r="Y57" s="44" t="n">
        <f aca="false">IFERROR(IF($X57=0,0,$X57*IF($O57="",$N57,$O57)),0)</f>
        <v>3200</v>
      </c>
      <c r="Z57" s="60" t="str">
        <f aca="false">IF($L57="","",IF($L57&lt;0.5,"Balística / Velocidade (&lt;50%)",IF($L57&lt;0.7,"Velocidade-Força (50–69%)",IF($L57&lt;0.8,"Força-Velocidade (70–79%)",IF($L57&lt;0.9,"Força Máxima (80–89%)","Força Máxima Alta (≥90%)")))))</f>
        <v>Força Máxima (80–89%)</v>
      </c>
      <c r="AA57" s="27"/>
      <c r="AB57" s="27" t="s">
        <v>688</v>
      </c>
    </row>
    <row r="58" customFormat="false" ht="15" hidden="false" customHeight="false" outlineLevel="0" collapsed="false">
      <c r="A58" s="29" t="n">
        <v>46286</v>
      </c>
      <c r="B58" s="33" t="n">
        <f aca="false">IF($A58="",0,INT(($A58-'Bloco Base'!$C$5)/7)+1)</f>
        <v>3</v>
      </c>
      <c r="C58" s="28" t="s">
        <v>937</v>
      </c>
      <c r="D58" s="28" t="s">
        <v>233</v>
      </c>
      <c r="E58" s="27" t="s">
        <v>1117</v>
      </c>
      <c r="F58" s="28" t="n">
        <v>4</v>
      </c>
      <c r="G58" s="139" t="s">
        <v>701</v>
      </c>
      <c r="H58" s="27" t="s">
        <v>537</v>
      </c>
      <c r="I58" s="28" t="s">
        <v>1000</v>
      </c>
      <c r="J58" s="28" t="n">
        <v>4</v>
      </c>
      <c r="K58" s="28" t="n">
        <v>6</v>
      </c>
      <c r="L58" s="71" t="n">
        <v>0.7</v>
      </c>
      <c r="M58" s="35" t="n">
        <f aca="false">IF($AB58="","",IFERROR(INDEX('Força 1RM'!$Q$8:$Y$47,MATCH(IF($E58="Equipe (todos)",$C$4,$E58),'Força 1RM'!$P$8:$P$47,0),MATCH($AB58,'Força 1RM'!$Q$7:$Y$7,0)),""))</f>
        <v>125</v>
      </c>
      <c r="N58" s="30" t="n">
        <f aca="false">IFERROR(IF(OR($L58="",$M58="",$M58=0),0,ROUND($L58*$M58*2,0)/2),0)</f>
        <v>87.5</v>
      </c>
      <c r="O58" s="32"/>
      <c r="P58" s="42" t="n">
        <f aca="false">IFERROR(IF(OR($L58="",$I58="—",$I58=""),"",IF($I58="Agachamento",INDEX($AE$8:$AE$20,MATCH($L58,$AD$8:$AD$20,1)),IF($I58="Supino",INDEX($AF$8:$AF$20,MATCH($L58,$AD$8:$AD$20,1)),IF($I58="Terra",INDEX($AG$8:$AG$20,MATCH($L58,$AD$8:$AD$20,1)),"")))),"")</f>
        <v>0.62</v>
      </c>
      <c r="Q58" s="45"/>
      <c r="R58" s="71" t="n">
        <v>0.2</v>
      </c>
      <c r="S58" s="71"/>
      <c r="T58" s="69" t="str">
        <f aca="false">IF(OR($R58="",$S58=""),"",IF($S58&gt;$R58,"Acima do limite","Dentro do limite"))</f>
        <v/>
      </c>
      <c r="U58" s="28"/>
      <c r="V58" s="28"/>
      <c r="W58" s="28" t="n">
        <v>120</v>
      </c>
      <c r="X58" s="140" t="n">
        <f aca="false">IFERROR(IF(OR($J58="",$K58=""),0,$J58*$K58),0)</f>
        <v>24</v>
      </c>
      <c r="Y58" s="44" t="n">
        <f aca="false">IFERROR(IF($X58=0,0,$X58*IF($O58="",$N58,$O58)),0)</f>
        <v>2100</v>
      </c>
      <c r="Z58" s="60" t="str">
        <f aca="false">IF($L58="","",IF($L58&lt;0.5,"Balística / Velocidade (&lt;50%)",IF($L58&lt;0.7,"Velocidade-Força (50–69%)",IF($L58&lt;0.8,"Força-Velocidade (70–79%)",IF($L58&lt;0.9,"Força Máxima (80–89%)","Força Máxima Alta (≥90%)")))))</f>
        <v>Força-Velocidade (70–79%)</v>
      </c>
      <c r="AA58" s="27"/>
      <c r="AB58" s="27" t="s">
        <v>701</v>
      </c>
    </row>
    <row r="59" customFormat="false" ht="15" hidden="false" customHeight="false" outlineLevel="0" collapsed="false">
      <c r="A59" s="29" t="n">
        <v>46286</v>
      </c>
      <c r="B59" s="33" t="n">
        <f aca="false">IF($A59="",0,INT(($A59-'Bloco Base'!$C$5)/7)+1)</f>
        <v>3</v>
      </c>
      <c r="C59" s="28" t="s">
        <v>937</v>
      </c>
      <c r="D59" s="28" t="s">
        <v>233</v>
      </c>
      <c r="E59" s="27" t="s">
        <v>1117</v>
      </c>
      <c r="F59" s="28" t="n">
        <v>5</v>
      </c>
      <c r="G59" s="139" t="s">
        <v>708</v>
      </c>
      <c r="H59" s="27" t="s">
        <v>537</v>
      </c>
      <c r="I59" s="28" t="s">
        <v>168</v>
      </c>
      <c r="J59" s="28" t="n">
        <v>3</v>
      </c>
      <c r="K59" s="28" t="n">
        <v>8</v>
      </c>
      <c r="L59" s="71"/>
      <c r="M59" s="35" t="str">
        <f aca="false">IF($AB59="","",IFERROR(INDEX('Força 1RM'!$Q$8:$Y$47,MATCH(IF($E59="Equipe (todos)",$C$4,$E59),'Força 1RM'!$P$8:$P$47,0),MATCH($AB59,'Força 1RM'!$Q$7:$Y$7,0)),""))</f>
        <v/>
      </c>
      <c r="N59" s="30" t="n">
        <f aca="false">IFERROR(IF(OR($L59="",$M59="",$M59=0),0,ROUND($L59*$M59*2,0)/2),0)</f>
        <v>0</v>
      </c>
      <c r="O59" s="32"/>
      <c r="P59" s="42" t="str">
        <f aca="false">IFERROR(IF(OR($L59="",$I59="—",$I59=""),"",IF($I59="Agachamento",INDEX($AE$8:$AE$20,MATCH($L59,$AD$8:$AD$20,1)),IF($I59="Supino",INDEX($AF$8:$AF$20,MATCH($L59,$AD$8:$AD$20,1)),IF($I59="Terra",INDEX($AG$8:$AG$20,MATCH($L59,$AD$8:$AD$20,1)),"")))),"")</f>
        <v/>
      </c>
      <c r="Q59" s="45"/>
      <c r="R59" s="71"/>
      <c r="S59" s="71"/>
      <c r="T59" s="69" t="str">
        <f aca="false">IF(OR($R59="",$S59=""),"",IF($S59&gt;$R59,"Acima do limite","Dentro do limite"))</f>
        <v/>
      </c>
      <c r="U59" s="28"/>
      <c r="V59" s="28"/>
      <c r="W59" s="28" t="n">
        <v>90</v>
      </c>
      <c r="X59" s="140" t="n">
        <f aca="false">IFERROR(IF(OR($J59="",$K59=""),0,$J59*$K59),0)</f>
        <v>24</v>
      </c>
      <c r="Y59" s="44" t="n">
        <f aca="false">IFERROR(IF($X59=0,0,$X59*IF($O59="",$N59,$O59)),0)</f>
        <v>0</v>
      </c>
      <c r="Z59" s="60" t="str">
        <f aca="false">IF($L59="","",IF($L59&lt;0.5,"Balística / Velocidade (&lt;50%)",IF($L59&lt;0.7,"Velocidade-Força (50–69%)",IF($L59&lt;0.8,"Força-Velocidade (70–79%)",IF($L59&lt;0.9,"Força Máxima (80–89%)","Força Máxima Alta (≥90%)")))))</f>
        <v/>
      </c>
      <c r="AA59" s="27"/>
      <c r="AB59" s="27"/>
    </row>
    <row r="60" customFormat="false" ht="15" hidden="false" customHeight="false" outlineLevel="0" collapsed="false">
      <c r="A60" s="29" t="n">
        <v>46286</v>
      </c>
      <c r="B60" s="33" t="n">
        <f aca="false">IF($A60="",0,INT(($A60-'Bloco Base'!$C$5)/7)+1)</f>
        <v>3</v>
      </c>
      <c r="C60" s="28" t="s">
        <v>937</v>
      </c>
      <c r="D60" s="28" t="s">
        <v>233</v>
      </c>
      <c r="E60" s="27" t="s">
        <v>1117</v>
      </c>
      <c r="F60" s="28" t="n">
        <v>6</v>
      </c>
      <c r="G60" s="139" t="s">
        <v>592</v>
      </c>
      <c r="H60" s="27" t="s">
        <v>1004</v>
      </c>
      <c r="I60" s="28" t="s">
        <v>168</v>
      </c>
      <c r="J60" s="28" t="n">
        <v>3</v>
      </c>
      <c r="K60" s="28" t="n">
        <v>8</v>
      </c>
      <c r="L60" s="71"/>
      <c r="M60" s="35" t="str">
        <f aca="false">IF($AB60="","",IFERROR(INDEX('Força 1RM'!$Q$8:$Y$47,MATCH(IF($E60="Equipe (todos)",$C$4,$E60),'Força 1RM'!$P$8:$P$47,0),MATCH($AB60,'Força 1RM'!$Q$7:$Y$7,0)),""))</f>
        <v/>
      </c>
      <c r="N60" s="30" t="n">
        <f aca="false">IFERROR(IF(OR($L60="",$M60="",$M60=0),0,ROUND($L60*$M60*2,0)/2),0)</f>
        <v>0</v>
      </c>
      <c r="O60" s="32"/>
      <c r="P60" s="42" t="str">
        <f aca="false">IFERROR(IF(OR($L60="",$I60="—",$I60=""),"",IF($I60="Agachamento",INDEX($AE$8:$AE$20,MATCH($L60,$AD$8:$AD$20,1)),IF($I60="Supino",INDEX($AF$8:$AF$20,MATCH($L60,$AD$8:$AD$20,1)),IF($I60="Terra",INDEX($AG$8:$AG$20,MATCH($L60,$AD$8:$AD$20,1)),"")))),"")</f>
        <v/>
      </c>
      <c r="Q60" s="45"/>
      <c r="R60" s="71"/>
      <c r="S60" s="71"/>
      <c r="T60" s="69" t="str">
        <f aca="false">IF(OR($R60="",$S60=""),"",IF($S60&gt;$R60,"Acima do limite","Dentro do limite"))</f>
        <v/>
      </c>
      <c r="U60" s="28"/>
      <c r="V60" s="28"/>
      <c r="W60" s="28" t="n">
        <v>60</v>
      </c>
      <c r="X60" s="140" t="n">
        <f aca="false">IFERROR(IF(OR($J60="",$K60=""),0,$J60*$K60),0)</f>
        <v>24</v>
      </c>
      <c r="Y60" s="44" t="n">
        <f aca="false">IFERROR(IF($X60=0,0,$X60*IF($O60="",$N60,$O60)),0)</f>
        <v>0</v>
      </c>
      <c r="Z60" s="60" t="str">
        <f aca="false">IF($L60="","",IF($L60&lt;0.5,"Balística / Velocidade (&lt;50%)",IF($L60&lt;0.7,"Velocidade-Força (50–69%)",IF($L60&lt;0.8,"Força-Velocidade (70–79%)",IF($L60&lt;0.9,"Força Máxima (80–89%)","Força Máxima Alta (≥90%)")))))</f>
        <v/>
      </c>
      <c r="AA60" s="27"/>
      <c r="AB60" s="27"/>
    </row>
    <row r="61" customFormat="false" ht="15" hidden="false" customHeight="false" outlineLevel="0" collapsed="false">
      <c r="A61" s="29" t="n">
        <v>46286</v>
      </c>
      <c r="B61" s="33" t="n">
        <f aca="false">IF($A61="",0,INT(($A61-'Bloco Base'!$C$5)/7)+1)</f>
        <v>3</v>
      </c>
      <c r="C61" s="28" t="s">
        <v>937</v>
      </c>
      <c r="D61" s="28" t="s">
        <v>233</v>
      </c>
      <c r="E61" s="27" t="s">
        <v>1117</v>
      </c>
      <c r="F61" s="28" t="n">
        <v>7</v>
      </c>
      <c r="G61" s="139" t="s">
        <v>1006</v>
      </c>
      <c r="H61" s="27" t="s">
        <v>776</v>
      </c>
      <c r="I61" s="28" t="s">
        <v>168</v>
      </c>
      <c r="J61" s="28" t="n">
        <v>3</v>
      </c>
      <c r="K61" s="28" t="n">
        <v>25</v>
      </c>
      <c r="L61" s="71"/>
      <c r="M61" s="35" t="str">
        <f aca="false">IF($AB61="","",IFERROR(INDEX('Força 1RM'!$Q$8:$Y$47,MATCH(IF($E61="Equipe (todos)",$C$4,$E61),'Força 1RM'!$P$8:$P$47,0),MATCH($AB61,'Força 1RM'!$Q$7:$Y$7,0)),""))</f>
        <v/>
      </c>
      <c r="N61" s="30" t="n">
        <f aca="false">IFERROR(IF(OR($L61="",$M61="",$M61=0),0,ROUND($L61*$M61*2,0)/2),0)</f>
        <v>0</v>
      </c>
      <c r="O61" s="32"/>
      <c r="P61" s="42" t="str">
        <f aca="false">IFERROR(IF(OR($L61="",$I61="—",$I61=""),"",IF($I61="Agachamento",INDEX($AE$8:$AE$20,MATCH($L61,$AD$8:$AD$20,1)),IF($I61="Supino",INDEX($AF$8:$AF$20,MATCH($L61,$AD$8:$AD$20,1)),IF($I61="Terra",INDEX($AG$8:$AG$20,MATCH($L61,$AD$8:$AD$20,1)),"")))),"")</f>
        <v/>
      </c>
      <c r="Q61" s="45"/>
      <c r="R61" s="71"/>
      <c r="S61" s="71"/>
      <c r="T61" s="69" t="str">
        <f aca="false">IF(OR($R61="",$S61=""),"",IF($S61&gt;$R61,"Acima do limite","Dentro do limite"))</f>
        <v/>
      </c>
      <c r="U61" s="28"/>
      <c r="V61" s="28"/>
      <c r="W61" s="28" t="n">
        <v>45</v>
      </c>
      <c r="X61" s="140" t="n">
        <f aca="false">IFERROR(IF(OR($J61="",$K61=""),0,$J61*$K61),0)</f>
        <v>75</v>
      </c>
      <c r="Y61" s="44" t="n">
        <f aca="false">IFERROR(IF($X61=0,0,$X61*IF($O61="",$N61,$O61)),0)</f>
        <v>0</v>
      </c>
      <c r="Z61" s="60" t="str">
        <f aca="false">IF($L61="","",IF($L61&lt;0.5,"Balística / Velocidade (&lt;50%)",IF($L61&lt;0.7,"Velocidade-Força (50–69%)",IF($L61&lt;0.8,"Força-Velocidade (70–79%)",IF($L61&lt;0.9,"Força Máxima (80–89%)","Força Máxima Alta (≥90%)")))))</f>
        <v/>
      </c>
      <c r="AA61" s="27"/>
      <c r="AB61" s="27"/>
    </row>
    <row r="62" customFormat="false" ht="15" hidden="false" customHeight="false" outlineLevel="0" collapsed="false">
      <c r="A62" s="29" t="n">
        <v>46288</v>
      </c>
      <c r="B62" s="33" t="n">
        <f aca="false">IF($A62="",0,INT(($A62-'Bloco Base'!$C$5)/7)+1)</f>
        <v>3</v>
      </c>
      <c r="C62" s="28" t="s">
        <v>937</v>
      </c>
      <c r="D62" s="28" t="s">
        <v>1192</v>
      </c>
      <c r="E62" s="27" t="s">
        <v>1117</v>
      </c>
      <c r="F62" s="28" t="n">
        <v>1</v>
      </c>
      <c r="G62" s="139" t="s">
        <v>587</v>
      </c>
      <c r="H62" s="27" t="s">
        <v>1004</v>
      </c>
      <c r="I62" s="28" t="s">
        <v>168</v>
      </c>
      <c r="J62" s="28" t="n">
        <v>3</v>
      </c>
      <c r="K62" s="28" t="n">
        <v>8</v>
      </c>
      <c r="L62" s="71"/>
      <c r="M62" s="35" t="str">
        <f aca="false">IF($AB62="","",IFERROR(INDEX('Força 1RM'!$Q$8:$Y$47,MATCH(IF($E62="Equipe (todos)",$C$4,$E62),'Força 1RM'!$P$8:$P$47,0),MATCH($AB62,'Força 1RM'!$Q$7:$Y$7,0)),""))</f>
        <v/>
      </c>
      <c r="N62" s="30" t="n">
        <f aca="false">IFERROR(IF(OR($L62="",$M62="",$M62=0),0,ROUND($L62*$M62*2,0)/2),0)</f>
        <v>0</v>
      </c>
      <c r="O62" s="32"/>
      <c r="P62" s="42" t="str">
        <f aca="false">IFERROR(IF(OR($L62="",$I62="—",$I62=""),"",IF($I62="Agachamento",INDEX($AE$8:$AE$20,MATCH($L62,$AD$8:$AD$20,1)),IF($I62="Supino",INDEX($AF$8:$AF$20,MATCH($L62,$AD$8:$AD$20,1)),IF($I62="Terra",INDEX($AG$8:$AG$20,MATCH($L62,$AD$8:$AD$20,1)),"")))),"")</f>
        <v/>
      </c>
      <c r="Q62" s="45"/>
      <c r="R62" s="71"/>
      <c r="S62" s="71"/>
      <c r="T62" s="69" t="str">
        <f aca="false">IF(OR($R62="",$S62=""),"",IF($S62&gt;$R62,"Acima do limite","Dentro do limite"))</f>
        <v/>
      </c>
      <c r="U62" s="28"/>
      <c r="V62" s="28"/>
      <c r="W62" s="28" t="n">
        <v>60</v>
      </c>
      <c r="X62" s="140" t="n">
        <f aca="false">IFERROR(IF(OR($J62="",$K62=""),0,$J62*$K62),0)</f>
        <v>24</v>
      </c>
      <c r="Y62" s="44" t="n">
        <f aca="false">IFERROR(IF($X62=0,0,$X62*IF($O62="",$N62,$O62)),0)</f>
        <v>0</v>
      </c>
      <c r="Z62" s="60" t="str">
        <f aca="false">IF($L62="","",IF($L62&lt;0.5,"Balística / Velocidade (&lt;50%)",IF($L62&lt;0.7,"Velocidade-Força (50–69%)",IF($L62&lt;0.8,"Força-Velocidade (70–79%)",IF($L62&lt;0.9,"Força Máxima (80–89%)","Força Máxima Alta (≥90%)")))))</f>
        <v/>
      </c>
      <c r="AA62" s="27"/>
      <c r="AB62" s="27"/>
    </row>
    <row r="63" customFormat="false" ht="15" hidden="false" customHeight="false" outlineLevel="0" collapsed="false">
      <c r="A63" s="29" t="n">
        <v>46288</v>
      </c>
      <c r="B63" s="33" t="n">
        <f aca="false">IF($A63="",0,INT(($A63-'Bloco Base'!$C$5)/7)+1)</f>
        <v>3</v>
      </c>
      <c r="C63" s="28" t="s">
        <v>937</v>
      </c>
      <c r="D63" s="28" t="s">
        <v>1192</v>
      </c>
      <c r="E63" s="27" t="s">
        <v>1117</v>
      </c>
      <c r="F63" s="28" t="n">
        <v>2</v>
      </c>
      <c r="G63" s="139" t="s">
        <v>553</v>
      </c>
      <c r="H63" s="27" t="s">
        <v>792</v>
      </c>
      <c r="I63" s="28" t="s">
        <v>692</v>
      </c>
      <c r="J63" s="28" t="n">
        <v>4</v>
      </c>
      <c r="K63" s="28" t="n">
        <v>4</v>
      </c>
      <c r="L63" s="71" t="n">
        <v>0.25</v>
      </c>
      <c r="M63" s="35" t="n">
        <f aca="false">IF($AB63="","",IFERROR(INDEX('Força 1RM'!$Q$8:$Y$47,MATCH(IF($E63="Equipe (todos)",$C$4,$E63),'Força 1RM'!$P$8:$P$47,0),MATCH($AB63,'Força 1RM'!$Q$7:$Y$7,0)),""))</f>
        <v>160</v>
      </c>
      <c r="N63" s="30" t="n">
        <f aca="false">IFERROR(IF(OR($L63="",$M63="",$M63=0),0,ROUND($L63*$M63*2,0)/2),0)</f>
        <v>40</v>
      </c>
      <c r="O63" s="32"/>
      <c r="P63" s="42" t="str">
        <f aca="false">IFERROR(IF(OR($L63="",$I63="—",$I63=""),"",IF($I63="Agachamento",INDEX($AE$8:$AE$20,MATCH($L63,$AD$8:$AD$20,1)),IF($I63="Supino",INDEX($AF$8:$AF$20,MATCH($L63,$AD$8:$AD$20,1)),IF($I63="Terra",INDEX($AG$8:$AG$20,MATCH($L63,$AD$8:$AD$20,1)),"")))),"")</f>
        <v/>
      </c>
      <c r="Q63" s="45"/>
      <c r="R63" s="71" t="n">
        <v>0.1</v>
      </c>
      <c r="S63" s="71"/>
      <c r="T63" s="69" t="str">
        <f aca="false">IF(OR($R63="",$S63=""),"",IF($S63&gt;$R63,"Acima do limite","Dentro do limite"))</f>
        <v/>
      </c>
      <c r="U63" s="28"/>
      <c r="V63" s="28"/>
      <c r="W63" s="28" t="n">
        <v>180</v>
      </c>
      <c r="X63" s="140" t="n">
        <f aca="false">IFERROR(IF(OR($J63="",$K63=""),0,$J63*$K63),0)</f>
        <v>16</v>
      </c>
      <c r="Y63" s="44" t="n">
        <f aca="false">IFERROR(IF($X63=0,0,$X63*IF($O63="",$N63,$O63)),0)</f>
        <v>640</v>
      </c>
      <c r="Z63" s="60" t="str">
        <f aca="false">IF($L63="","",IF($L63&lt;0.5,"Balística / Velocidade (&lt;50%)",IF($L63&lt;0.7,"Velocidade-Força (50–69%)",IF($L63&lt;0.8,"Força-Velocidade (70–79%)",IF($L63&lt;0.9,"Força Máxima (80–89%)","Força Máxima Alta (≥90%)")))))</f>
        <v>Balística / Velocidade (&lt;50%)</v>
      </c>
      <c r="AA63" s="27"/>
      <c r="AB63" s="27" t="s">
        <v>688</v>
      </c>
    </row>
    <row r="64" customFormat="false" ht="15" hidden="false" customHeight="false" outlineLevel="0" collapsed="false">
      <c r="A64" s="29" t="n">
        <v>46288</v>
      </c>
      <c r="B64" s="33" t="n">
        <f aca="false">IF($A64="",0,INT(($A64-'Bloco Base'!$C$5)/7)+1)</f>
        <v>3</v>
      </c>
      <c r="C64" s="28" t="s">
        <v>937</v>
      </c>
      <c r="D64" s="28" t="s">
        <v>1192</v>
      </c>
      <c r="E64" s="27" t="s">
        <v>1117</v>
      </c>
      <c r="F64" s="28" t="n">
        <v>3</v>
      </c>
      <c r="G64" s="139" t="s">
        <v>1013</v>
      </c>
      <c r="H64" s="27" t="s">
        <v>558</v>
      </c>
      <c r="I64" s="28" t="s">
        <v>168</v>
      </c>
      <c r="J64" s="28" t="n">
        <v>10</v>
      </c>
      <c r="K64" s="28" t="n">
        <v>5</v>
      </c>
      <c r="L64" s="71"/>
      <c r="M64" s="35" t="str">
        <f aca="false">IF($AB64="","",IFERROR(INDEX('Força 1RM'!$Q$8:$Y$47,MATCH(IF($E64="Equipe (todos)",$C$4,$E64),'Força 1RM'!$P$8:$P$47,0),MATCH($AB64,'Força 1RM'!$Q$7:$Y$7,0)),""))</f>
        <v/>
      </c>
      <c r="N64" s="30" t="n">
        <f aca="false">IFERROR(IF(OR($L64="",$M64="",$M64=0),0,ROUND($L64*$M64*2,0)/2),0)</f>
        <v>0</v>
      </c>
      <c r="O64" s="32"/>
      <c r="P64" s="42" t="str">
        <f aca="false">IFERROR(IF(OR($L64="",$I64="—",$I64=""),"",IF($I64="Agachamento",INDEX($AE$8:$AE$20,MATCH($L64,$AD$8:$AD$20,1)),IF($I64="Supino",INDEX($AF$8:$AF$20,MATCH($L64,$AD$8:$AD$20,1)),IF($I64="Terra",INDEX($AG$8:$AG$20,MATCH($L64,$AD$8:$AD$20,1)),"")))),"")</f>
        <v/>
      </c>
      <c r="Q64" s="45"/>
      <c r="R64" s="71"/>
      <c r="S64" s="71"/>
      <c r="T64" s="69" t="str">
        <f aca="false">IF(OR($R64="",$S64=""),"",IF($S64&gt;$R64,"Acima do limite","Dentro do limite"))</f>
        <v/>
      </c>
      <c r="U64" s="28"/>
      <c r="V64" s="28"/>
      <c r="W64" s="28" t="n">
        <v>120</v>
      </c>
      <c r="X64" s="140" t="n">
        <f aca="false">IFERROR(IF(OR($J64="",$K64=""),0,$J64*$K64),0)</f>
        <v>50</v>
      </c>
      <c r="Y64" s="44" t="n">
        <f aca="false">IFERROR(IF($X64=0,0,$X64*IF($O64="",$N64,$O64)),0)</f>
        <v>0</v>
      </c>
      <c r="Z64" s="60" t="str">
        <f aca="false">IF($L64="","",IF($L64&lt;0.5,"Balística / Velocidade (&lt;50%)",IF($L64&lt;0.7,"Velocidade-Força (50–69%)",IF($L64&lt;0.8,"Força-Velocidade (70–79%)",IF($L64&lt;0.9,"Força Máxima (80–89%)","Força Máxima Alta (≥90%)")))))</f>
        <v/>
      </c>
      <c r="AA64" s="27"/>
      <c r="AB64" s="27"/>
    </row>
    <row r="65" customFormat="false" ht="15" hidden="false" customHeight="false" outlineLevel="0" collapsed="false">
      <c r="A65" s="29" t="n">
        <v>46288</v>
      </c>
      <c r="B65" s="33" t="n">
        <f aca="false">IF($A65="",0,INT(($A65-'Bloco Base'!$C$5)/7)+1)</f>
        <v>3</v>
      </c>
      <c r="C65" s="28" t="s">
        <v>937</v>
      </c>
      <c r="D65" s="28" t="s">
        <v>1192</v>
      </c>
      <c r="E65" s="27" t="s">
        <v>1117</v>
      </c>
      <c r="F65" s="28" t="n">
        <v>4</v>
      </c>
      <c r="G65" s="139" t="s">
        <v>562</v>
      </c>
      <c r="H65" s="27" t="s">
        <v>558</v>
      </c>
      <c r="I65" s="28" t="s">
        <v>168</v>
      </c>
      <c r="J65" s="28" t="n">
        <v>8</v>
      </c>
      <c r="K65" s="28" t="n">
        <v>5</v>
      </c>
      <c r="L65" s="71"/>
      <c r="M65" s="35" t="str">
        <f aca="false">IF($AB65="","",IFERROR(INDEX('Força 1RM'!$Q$8:$Y$47,MATCH(IF($E65="Equipe (todos)",$C$4,$E65),'Força 1RM'!$P$8:$P$47,0),MATCH($AB65,'Força 1RM'!$Q$7:$Y$7,0)),""))</f>
        <v/>
      </c>
      <c r="N65" s="30" t="n">
        <f aca="false">IFERROR(IF(OR($L65="",$M65="",$M65=0),0,ROUND($L65*$M65*2,0)/2),0)</f>
        <v>0</v>
      </c>
      <c r="O65" s="32"/>
      <c r="P65" s="42" t="str">
        <f aca="false">IFERROR(IF(OR($L65="",$I65="—",$I65=""),"",IF($I65="Agachamento",INDEX($AE$8:$AE$20,MATCH($L65,$AD$8:$AD$20,1)),IF($I65="Supino",INDEX($AF$8:$AF$20,MATCH($L65,$AD$8:$AD$20,1)),IF($I65="Terra",INDEX($AG$8:$AG$20,MATCH($L65,$AD$8:$AD$20,1)),"")))),"")</f>
        <v/>
      </c>
      <c r="Q65" s="45"/>
      <c r="R65" s="71"/>
      <c r="S65" s="71"/>
      <c r="T65" s="69" t="str">
        <f aca="false">IF(OR($R65="",$S65=""),"",IF($S65&gt;$R65,"Acima do limite","Dentro do limite"))</f>
        <v/>
      </c>
      <c r="U65" s="28"/>
      <c r="V65" s="28"/>
      <c r="W65" s="28" t="n">
        <v>120</v>
      </c>
      <c r="X65" s="140" t="n">
        <f aca="false">IFERROR(IF(OR($J65="",$K65=""),0,$J65*$K65),0)</f>
        <v>40</v>
      </c>
      <c r="Y65" s="44" t="n">
        <f aca="false">IFERROR(IF($X65=0,0,$X65*IF($O65="",$N65,$O65)),0)</f>
        <v>0</v>
      </c>
      <c r="Z65" s="60" t="str">
        <f aca="false">IF($L65="","",IF($L65&lt;0.5,"Balística / Velocidade (&lt;50%)",IF($L65&lt;0.7,"Velocidade-Força (50–69%)",IF($L65&lt;0.8,"Força-Velocidade (70–79%)",IF($L65&lt;0.9,"Força Máxima (80–89%)","Força Máxima Alta (≥90%)")))))</f>
        <v/>
      </c>
      <c r="AA65" s="27"/>
      <c r="AB65" s="27"/>
    </row>
    <row r="66" customFormat="false" ht="15" hidden="false" customHeight="false" outlineLevel="0" collapsed="false">
      <c r="A66" s="29" t="n">
        <v>46288</v>
      </c>
      <c r="B66" s="33" t="n">
        <f aca="false">IF($A66="",0,INT(($A66-'Bloco Base'!$C$5)/7)+1)</f>
        <v>3</v>
      </c>
      <c r="C66" s="28" t="s">
        <v>937</v>
      </c>
      <c r="D66" s="28" t="s">
        <v>1192</v>
      </c>
      <c r="E66" s="27" t="s">
        <v>1117</v>
      </c>
      <c r="F66" s="28" t="n">
        <v>5</v>
      </c>
      <c r="G66" s="139" t="s">
        <v>644</v>
      </c>
      <c r="H66" s="27" t="s">
        <v>537</v>
      </c>
      <c r="I66" s="28" t="s">
        <v>1017</v>
      </c>
      <c r="J66" s="28" t="n">
        <v>4</v>
      </c>
      <c r="K66" s="28" t="n">
        <v>8</v>
      </c>
      <c r="L66" s="71" t="n">
        <v>0.75</v>
      </c>
      <c r="M66" s="35" t="n">
        <f aca="false">IF($AB66="","",IFERROR(INDEX('Força 1RM'!$Q$8:$Y$47,MATCH(IF($E66="Equipe (todos)",$C$4,$E66),'Força 1RM'!$P$8:$P$47,0),MATCH($AB66,'Força 1RM'!$Q$7:$Y$7,0)),""))</f>
        <v>72.5</v>
      </c>
      <c r="N66" s="30" t="n">
        <f aca="false">IFERROR(IF(OR($L66="",$M66="",$M66=0),0,ROUND($L66*$M66*2,0)/2),0)</f>
        <v>54.5</v>
      </c>
      <c r="O66" s="32"/>
      <c r="P66" s="42" t="n">
        <f aca="false">IFERROR(IF(OR($L66="",$I66="—",$I66=""),"",IF($I66="Agachamento",INDEX($AE$8:$AE$20,MATCH($L66,$AD$8:$AD$20,1)),IF($I66="Supino",INDEX($AF$8:$AF$20,MATCH($L66,$AD$8:$AD$20,1)),IF($I66="Terra",INDEX($AG$8:$AG$20,MATCH($L66,$AD$8:$AD$20,1)),"")))),"")</f>
        <v>0.44</v>
      </c>
      <c r="Q66" s="45"/>
      <c r="R66" s="71" t="n">
        <v>0.2</v>
      </c>
      <c r="S66" s="71"/>
      <c r="T66" s="69" t="str">
        <f aca="false">IF(OR($R66="",$S66=""),"",IF($S66&gt;$R66,"Acima do limite","Dentro do limite"))</f>
        <v/>
      </c>
      <c r="U66" s="28"/>
      <c r="V66" s="28"/>
      <c r="W66" s="28" t="n">
        <v>120</v>
      </c>
      <c r="X66" s="140" t="n">
        <f aca="false">IFERROR(IF(OR($J66="",$K66=""),0,$J66*$K66),0)</f>
        <v>32</v>
      </c>
      <c r="Y66" s="44" t="n">
        <f aca="false">IFERROR(IF($X66=0,0,$X66*IF($O66="",$N66,$O66)),0)</f>
        <v>1744</v>
      </c>
      <c r="Z66" s="60" t="str">
        <f aca="false">IF($L66="","",IF($L66&lt;0.5,"Balística / Velocidade (&lt;50%)",IF($L66&lt;0.7,"Velocidade-Força (50–69%)",IF($L66&lt;0.8,"Força-Velocidade (70–79%)",IF($L66&lt;0.9,"Força Máxima (80–89%)","Força Máxima Alta (≥90%)")))))</f>
        <v>Força-Velocidade (70–79%)</v>
      </c>
      <c r="AA66" s="27"/>
      <c r="AB66" s="27" t="s">
        <v>644</v>
      </c>
    </row>
    <row r="67" customFormat="false" ht="15" hidden="false" customHeight="false" outlineLevel="0" collapsed="false">
      <c r="A67" s="29" t="n">
        <v>46288</v>
      </c>
      <c r="B67" s="33" t="n">
        <f aca="false">IF($A67="",0,INT(($A67-'Bloco Base'!$C$5)/7)+1)</f>
        <v>3</v>
      </c>
      <c r="C67" s="28" t="s">
        <v>937</v>
      </c>
      <c r="D67" s="28" t="s">
        <v>1192</v>
      </c>
      <c r="E67" s="27" t="s">
        <v>1117</v>
      </c>
      <c r="F67" s="28" t="n">
        <v>6</v>
      </c>
      <c r="G67" s="139" t="s">
        <v>656</v>
      </c>
      <c r="H67" s="27" t="s">
        <v>537</v>
      </c>
      <c r="I67" s="28" t="s">
        <v>168</v>
      </c>
      <c r="J67" s="28" t="n">
        <v>4</v>
      </c>
      <c r="K67" s="28" t="n">
        <v>8</v>
      </c>
      <c r="L67" s="71" t="n">
        <v>0.75</v>
      </c>
      <c r="M67" s="35" t="str">
        <f aca="false">IF($AB67="","",IFERROR(INDEX('Força 1RM'!$Q$8:$Y$47,MATCH(IF($E67="Equipe (todos)",$C$4,$E67),'Força 1RM'!$P$8:$P$47,0),MATCH($AB67,'Força 1RM'!$Q$7:$Y$7,0)),""))</f>
        <v/>
      </c>
      <c r="N67" s="30" t="n">
        <f aca="false">IFERROR(IF(OR($L67="",$M67="",$M67=0),0,ROUND($L67*$M67*2,0)/2),0)</f>
        <v>0</v>
      </c>
      <c r="O67" s="32"/>
      <c r="P67" s="42" t="str">
        <f aca="false">IFERROR(IF(OR($L67="",$I67="—",$I67=""),"",IF($I67="Agachamento",INDEX($AE$8:$AE$20,MATCH($L67,$AD$8:$AD$20,1)),IF($I67="Supino",INDEX($AF$8:$AF$20,MATCH($L67,$AD$8:$AD$20,1)),IF($I67="Terra",INDEX($AG$8:$AG$20,MATCH($L67,$AD$8:$AD$20,1)),"")))),"")</f>
        <v/>
      </c>
      <c r="Q67" s="45"/>
      <c r="R67" s="71" t="n">
        <v>0.2</v>
      </c>
      <c r="S67" s="71"/>
      <c r="T67" s="69" t="str">
        <f aca="false">IF(OR($R67="",$S67=""),"",IF($S67&gt;$R67,"Acima do limite","Dentro do limite"))</f>
        <v/>
      </c>
      <c r="U67" s="28"/>
      <c r="V67" s="28"/>
      <c r="W67" s="28" t="n">
        <v>120</v>
      </c>
      <c r="X67" s="140" t="n">
        <f aca="false">IFERROR(IF(OR($J67="",$K67=""),0,$J67*$K67),0)</f>
        <v>32</v>
      </c>
      <c r="Y67" s="44" t="n">
        <f aca="false">IFERROR(IF($X67=0,0,$X67*IF($O67="",$N67,$O67)),0)</f>
        <v>0</v>
      </c>
      <c r="Z67" s="60" t="str">
        <f aca="false">IF($L67="","",IF($L67&lt;0.5,"Balística / Velocidade (&lt;50%)",IF($L67&lt;0.7,"Velocidade-Força (50–69%)",IF($L67&lt;0.8,"Força-Velocidade (70–79%)",IF($L67&lt;0.9,"Força Máxima (80–89%)","Força Máxima Alta (≥90%)")))))</f>
        <v>Força-Velocidade (70–79%)</v>
      </c>
      <c r="AA67" s="27"/>
      <c r="AB67" s="27"/>
    </row>
    <row r="68" customFormat="false" ht="15" hidden="false" customHeight="false" outlineLevel="0" collapsed="false">
      <c r="A68" s="29" t="n">
        <v>46288</v>
      </c>
      <c r="B68" s="33" t="n">
        <f aca="false">IF($A68="",0,INT(($A68-'Bloco Base'!$C$5)/7)+1)</f>
        <v>3</v>
      </c>
      <c r="C68" s="28" t="s">
        <v>937</v>
      </c>
      <c r="D68" s="28" t="s">
        <v>1192</v>
      </c>
      <c r="E68" s="27" t="s">
        <v>1117</v>
      </c>
      <c r="F68" s="28" t="n">
        <v>7</v>
      </c>
      <c r="G68" s="139" t="s">
        <v>636</v>
      </c>
      <c r="H68" s="27" t="s">
        <v>792</v>
      </c>
      <c r="I68" s="28" t="s">
        <v>168</v>
      </c>
      <c r="J68" s="28" t="n">
        <v>3</v>
      </c>
      <c r="K68" s="28" t="n">
        <v>8</v>
      </c>
      <c r="L68" s="71"/>
      <c r="M68" s="35" t="str">
        <f aca="false">IF($AB68="","",IFERROR(INDEX('Força 1RM'!$Q$8:$Y$47,MATCH(IF($E68="Equipe (todos)",$C$4,$E68),'Força 1RM'!$P$8:$P$47,0),MATCH($AB68,'Força 1RM'!$Q$7:$Y$7,0)),""))</f>
        <v/>
      </c>
      <c r="N68" s="30" t="n">
        <f aca="false">IFERROR(IF(OR($L68="",$M68="",$M68=0),0,ROUND($L68*$M68*2,0)/2),0)</f>
        <v>0</v>
      </c>
      <c r="O68" s="32"/>
      <c r="P68" s="42" t="str">
        <f aca="false">IFERROR(IF(OR($L68="",$I68="—",$I68=""),"",IF($I68="Agachamento",INDEX($AE$8:$AE$20,MATCH($L68,$AD$8:$AD$20,1)),IF($I68="Supino",INDEX($AF$8:$AF$20,MATCH($L68,$AD$8:$AD$20,1)),IF($I68="Terra",INDEX($AG$8:$AG$20,MATCH($L68,$AD$8:$AD$20,1)),"")))),"")</f>
        <v/>
      </c>
      <c r="Q68" s="45"/>
      <c r="R68" s="71"/>
      <c r="S68" s="71"/>
      <c r="T68" s="69" t="str">
        <f aca="false">IF(OR($R68="",$S68=""),"",IF($S68&gt;$R68,"Acima do limite","Dentro do limite"))</f>
        <v/>
      </c>
      <c r="U68" s="28"/>
      <c r="V68" s="28"/>
      <c r="W68" s="28" t="n">
        <v>90</v>
      </c>
      <c r="X68" s="140" t="n">
        <f aca="false">IFERROR(IF(OR($J68="",$K68=""),0,$J68*$K68),0)</f>
        <v>24</v>
      </c>
      <c r="Y68" s="44" t="n">
        <f aca="false">IFERROR(IF($X68=0,0,$X68*IF($O68="",$N68,$O68)),0)</f>
        <v>0</v>
      </c>
      <c r="Z68" s="60" t="str">
        <f aca="false">IF($L68="","",IF($L68&lt;0.5,"Balística / Velocidade (&lt;50%)",IF($L68&lt;0.7,"Velocidade-Força (50–69%)",IF($L68&lt;0.8,"Força-Velocidade (70–79%)",IF($L68&lt;0.9,"Força Máxima (80–89%)","Força Máxima Alta (≥90%)")))))</f>
        <v/>
      </c>
      <c r="AA68" s="27"/>
      <c r="AB68" s="27"/>
    </row>
    <row r="69" customFormat="false" ht="15" hidden="false" customHeight="false" outlineLevel="0" collapsed="false">
      <c r="A69" s="29" t="n">
        <v>46288</v>
      </c>
      <c r="B69" s="33" t="n">
        <f aca="false">IF($A69="",0,INT(($A69-'Bloco Base'!$C$5)/7)+1)</f>
        <v>3</v>
      </c>
      <c r="C69" s="28" t="s">
        <v>937</v>
      </c>
      <c r="D69" s="28" t="s">
        <v>1192</v>
      </c>
      <c r="E69" s="27" t="s">
        <v>1117</v>
      </c>
      <c r="F69" s="28" t="n">
        <v>8</v>
      </c>
      <c r="G69" s="139" t="s">
        <v>1022</v>
      </c>
      <c r="H69" s="27" t="s">
        <v>776</v>
      </c>
      <c r="I69" s="28" t="s">
        <v>168</v>
      </c>
      <c r="J69" s="28" t="n">
        <v>3</v>
      </c>
      <c r="K69" s="28" t="n">
        <v>25</v>
      </c>
      <c r="L69" s="71"/>
      <c r="M69" s="35" t="str">
        <f aca="false">IF($AB69="","",IFERROR(INDEX('Força 1RM'!$Q$8:$Y$47,MATCH(IF($E69="Equipe (todos)",$C$4,$E69),'Força 1RM'!$P$8:$P$47,0),MATCH($AB69,'Força 1RM'!$Q$7:$Y$7,0)),""))</f>
        <v/>
      </c>
      <c r="N69" s="30" t="n">
        <f aca="false">IFERROR(IF(OR($L69="",$M69="",$M69=0),0,ROUND($L69*$M69*2,0)/2),0)</f>
        <v>0</v>
      </c>
      <c r="O69" s="32"/>
      <c r="P69" s="42" t="str">
        <f aca="false">IFERROR(IF(OR($L69="",$I69="—",$I69=""),"",IF($I69="Agachamento",INDEX($AE$8:$AE$20,MATCH($L69,$AD$8:$AD$20,1)),IF($I69="Supino",INDEX($AF$8:$AF$20,MATCH($L69,$AD$8:$AD$20,1)),IF($I69="Terra",INDEX($AG$8:$AG$20,MATCH($L69,$AD$8:$AD$20,1)),"")))),"")</f>
        <v/>
      </c>
      <c r="Q69" s="45"/>
      <c r="R69" s="71"/>
      <c r="S69" s="71"/>
      <c r="T69" s="69" t="str">
        <f aca="false">IF(OR($R69="",$S69=""),"",IF($S69&gt;$R69,"Acima do limite","Dentro do limite"))</f>
        <v/>
      </c>
      <c r="U69" s="28"/>
      <c r="V69" s="28"/>
      <c r="W69" s="28" t="n">
        <v>45</v>
      </c>
      <c r="X69" s="140" t="n">
        <f aca="false">IFERROR(IF(OR($J69="",$K69=""),0,$J69*$K69),0)</f>
        <v>75</v>
      </c>
      <c r="Y69" s="44" t="n">
        <f aca="false">IFERROR(IF($X69=0,0,$X69*IF($O69="",$N69,$O69)),0)</f>
        <v>0</v>
      </c>
      <c r="Z69" s="60" t="str">
        <f aca="false">IF($L69="","",IF($L69&lt;0.5,"Balística / Velocidade (&lt;50%)",IF($L69&lt;0.7,"Velocidade-Força (50–69%)",IF($L69&lt;0.8,"Força-Velocidade (70–79%)",IF($L69&lt;0.9,"Força Máxima (80–89%)","Força Máxima Alta (≥90%)")))))</f>
        <v/>
      </c>
      <c r="AA69" s="27"/>
      <c r="AB69" s="27"/>
    </row>
    <row r="70" customFormat="false" ht="15" hidden="false" customHeight="false" outlineLevel="0" collapsed="false">
      <c r="A70" s="29" t="n">
        <v>46290</v>
      </c>
      <c r="B70" s="33" t="n">
        <f aca="false">IF($A70="",0,INT(($A70-'Bloco Base'!$C$5)/7)+1)</f>
        <v>3</v>
      </c>
      <c r="C70" s="28" t="s">
        <v>937</v>
      </c>
      <c r="D70" s="28" t="s">
        <v>1193</v>
      </c>
      <c r="E70" s="27" t="s">
        <v>1117</v>
      </c>
      <c r="F70" s="28" t="n">
        <v>1</v>
      </c>
      <c r="G70" s="139" t="s">
        <v>600</v>
      </c>
      <c r="H70" s="27" t="s">
        <v>994</v>
      </c>
      <c r="I70" s="28" t="s">
        <v>168</v>
      </c>
      <c r="J70" s="28" t="n">
        <v>1</v>
      </c>
      <c r="K70" s="28" t="n">
        <v>8</v>
      </c>
      <c r="L70" s="71"/>
      <c r="M70" s="35" t="str">
        <f aca="false">IF($AB70="","",IFERROR(INDEX('Força 1RM'!$Q$8:$Y$47,MATCH(IF($E70="Equipe (todos)",$C$4,$E70),'Força 1RM'!$P$8:$P$47,0),MATCH($AB70,'Força 1RM'!$Q$7:$Y$7,0)),""))</f>
        <v/>
      </c>
      <c r="N70" s="30" t="n">
        <f aca="false">IFERROR(IF(OR($L70="",$M70="",$M70=0),0,ROUND($L70*$M70*2,0)/2),0)</f>
        <v>0</v>
      </c>
      <c r="O70" s="32"/>
      <c r="P70" s="42" t="str">
        <f aca="false">IFERROR(IF(OR($L70="",$I70="—",$I70=""),"",IF($I70="Agachamento",INDEX($AE$8:$AE$20,MATCH($L70,$AD$8:$AD$20,1)),IF($I70="Supino",INDEX($AF$8:$AF$20,MATCH($L70,$AD$8:$AD$20,1)),IF($I70="Terra",INDEX($AG$8:$AG$20,MATCH($L70,$AD$8:$AD$20,1)),"")))),"")</f>
        <v/>
      </c>
      <c r="Q70" s="45"/>
      <c r="R70" s="71"/>
      <c r="S70" s="71"/>
      <c r="T70" s="69" t="str">
        <f aca="false">IF(OR($R70="",$S70=""),"",IF($S70&gt;$R70,"Acima do limite","Dentro do limite"))</f>
        <v/>
      </c>
      <c r="U70" s="28"/>
      <c r="V70" s="28"/>
      <c r="W70" s="28" t="n">
        <v>0</v>
      </c>
      <c r="X70" s="140" t="n">
        <f aca="false">IFERROR(IF(OR($J70="",$K70=""),0,$J70*$K70),0)</f>
        <v>8</v>
      </c>
      <c r="Y70" s="44" t="n">
        <f aca="false">IFERROR(IF($X70=0,0,$X70*IF($O70="",$N70,$O70)),0)</f>
        <v>0</v>
      </c>
      <c r="Z70" s="60" t="str">
        <f aca="false">IF($L70="","",IF($L70&lt;0.5,"Balística / Velocidade (&lt;50%)",IF($L70&lt;0.7,"Velocidade-Força (50–69%)",IF($L70&lt;0.8,"Força-Velocidade (70–79%)",IF($L70&lt;0.9,"Força Máxima (80–89%)","Força Máxima Alta (≥90%)")))))</f>
        <v/>
      </c>
      <c r="AA70" s="27"/>
      <c r="AB70" s="27"/>
    </row>
    <row r="71" customFormat="false" ht="15" hidden="false" customHeight="false" outlineLevel="0" collapsed="false">
      <c r="A71" s="29" t="n">
        <v>46290</v>
      </c>
      <c r="B71" s="33" t="n">
        <f aca="false">IF($A71="",0,INT(($A71-'Bloco Base'!$C$5)/7)+1)</f>
        <v>3</v>
      </c>
      <c r="C71" s="28" t="s">
        <v>937</v>
      </c>
      <c r="D71" s="28" t="s">
        <v>1193</v>
      </c>
      <c r="E71" s="27" t="s">
        <v>1117</v>
      </c>
      <c r="F71" s="28" t="n">
        <v>2</v>
      </c>
      <c r="G71" s="139" t="s">
        <v>623</v>
      </c>
      <c r="H71" s="27" t="s">
        <v>1191</v>
      </c>
      <c r="I71" s="28" t="s">
        <v>168</v>
      </c>
      <c r="J71" s="28" t="n">
        <v>4</v>
      </c>
      <c r="K71" s="28" t="n">
        <v>3</v>
      </c>
      <c r="L71" s="71" t="n">
        <v>0.7</v>
      </c>
      <c r="M71" s="35" t="n">
        <f aca="false">IF($AB71="","",IFERROR(INDEX('Força 1RM'!$Q$8:$Y$47,MATCH(IF($E71="Equipe (todos)",$C$4,$E71),'Força 1RM'!$P$8:$P$47,0),MATCH($AB71,'Força 1RM'!$Q$7:$Y$7,0)),""))</f>
        <v>117.5</v>
      </c>
      <c r="N71" s="30" t="n">
        <f aca="false">IFERROR(IF(OR($L71="",$M71="",$M71=0),0,ROUND($L71*$M71*2,0)/2),0)</f>
        <v>82.5</v>
      </c>
      <c r="O71" s="32"/>
      <c r="P71" s="42" t="str">
        <f aca="false">IFERROR(IF(OR($L71="",$I71="—",$I71=""),"",IF($I71="Agachamento",INDEX($AE$8:$AE$20,MATCH($L71,$AD$8:$AD$20,1)),IF($I71="Supino",INDEX($AF$8:$AF$20,MATCH($L71,$AD$8:$AD$20,1)),IF($I71="Terra",INDEX($AG$8:$AG$20,MATCH($L71,$AD$8:$AD$20,1)),"")))),"")</f>
        <v/>
      </c>
      <c r="Q71" s="45"/>
      <c r="R71" s="71" t="n">
        <v>0.1</v>
      </c>
      <c r="S71" s="71"/>
      <c r="T71" s="69" t="str">
        <f aca="false">IF(OR($R71="",$S71=""),"",IF($S71&gt;$R71,"Acima do limite","Dentro do limite"))</f>
        <v/>
      </c>
      <c r="U71" s="28"/>
      <c r="V71" s="28"/>
      <c r="W71" s="28" t="n">
        <v>150</v>
      </c>
      <c r="X71" s="140" t="n">
        <f aca="false">IFERROR(IF(OR($J71="",$K71=""),0,$J71*$K71),0)</f>
        <v>12</v>
      </c>
      <c r="Y71" s="44" t="n">
        <f aca="false">IFERROR(IF($X71=0,0,$X71*IF($O71="",$N71,$O71)),0)</f>
        <v>990</v>
      </c>
      <c r="Z71" s="60" t="str">
        <f aca="false">IF($L71="","",IF($L71&lt;0.5,"Balística / Velocidade (&lt;50%)",IF($L71&lt;0.7,"Velocidade-Força (50–69%)",IF($L71&lt;0.8,"Força-Velocidade (70–79%)",IF($L71&lt;0.9,"Força Máxima (80–89%)","Força Máxima Alta (≥90%)")))))</f>
        <v>Força-Velocidade (70–79%)</v>
      </c>
      <c r="AA71" s="27"/>
      <c r="AB71" s="27" t="s">
        <v>620</v>
      </c>
    </row>
    <row r="72" customFormat="false" ht="15" hidden="false" customHeight="false" outlineLevel="0" collapsed="false">
      <c r="A72" s="29" t="n">
        <v>46290</v>
      </c>
      <c r="B72" s="33" t="n">
        <f aca="false">IF($A72="",0,INT(($A72-'Bloco Base'!$C$5)/7)+1)</f>
        <v>3</v>
      </c>
      <c r="C72" s="28" t="s">
        <v>937</v>
      </c>
      <c r="D72" s="28" t="s">
        <v>1193</v>
      </c>
      <c r="E72" s="27" t="s">
        <v>1117</v>
      </c>
      <c r="F72" s="28" t="n">
        <v>3</v>
      </c>
      <c r="G72" s="139" t="s">
        <v>698</v>
      </c>
      <c r="H72" s="27" t="s">
        <v>1191</v>
      </c>
      <c r="I72" s="28" t="s">
        <v>692</v>
      </c>
      <c r="J72" s="28" t="n">
        <v>4</v>
      </c>
      <c r="K72" s="28" t="n">
        <v>5</v>
      </c>
      <c r="L72" s="71" t="n">
        <v>0.65</v>
      </c>
      <c r="M72" s="35" t="n">
        <f aca="false">IF($AB72="","",IFERROR(INDEX('Força 1RM'!$Q$8:$Y$47,MATCH(IF($E72="Equipe (todos)",$C$4,$E72),'Força 1RM'!$P$8:$P$47,0),MATCH($AB72,'Força 1RM'!$Q$7:$Y$7,0)),""))</f>
        <v>160</v>
      </c>
      <c r="N72" s="30" t="n">
        <f aca="false">IFERROR(IF(OR($L72="",$M72="",$M72=0),0,ROUND($L72*$M72*2,0)/2),0)</f>
        <v>104</v>
      </c>
      <c r="O72" s="32"/>
      <c r="P72" s="42" t="n">
        <f aca="false">IFERROR(IF(OR($L72="",$I72="—",$I72=""),"",IF($I72="Agachamento",INDEX($AE$8:$AE$20,MATCH($L72,$AD$8:$AD$20,1)),IF($I72="Supino",INDEX($AF$8:$AF$20,MATCH($L72,$AD$8:$AD$20,1)),IF($I72="Terra",INDEX($AG$8:$AG$20,MATCH($L72,$AD$8:$AD$20,1)),"")))),"")</f>
        <v>0.75</v>
      </c>
      <c r="Q72" s="45"/>
      <c r="R72" s="71" t="n">
        <v>0.15</v>
      </c>
      <c r="S72" s="71"/>
      <c r="T72" s="69" t="str">
        <f aca="false">IF(OR($R72="",$S72=""),"",IF($S72&gt;$R72,"Acima do limite","Dentro do limite"))</f>
        <v/>
      </c>
      <c r="U72" s="28"/>
      <c r="V72" s="28"/>
      <c r="W72" s="28" t="n">
        <v>150</v>
      </c>
      <c r="X72" s="140" t="n">
        <f aca="false">IFERROR(IF(OR($J72="",$K72=""),0,$J72*$K72),0)</f>
        <v>20</v>
      </c>
      <c r="Y72" s="44" t="n">
        <f aca="false">IFERROR(IF($X72=0,0,$X72*IF($O72="",$N72,$O72)),0)</f>
        <v>2080</v>
      </c>
      <c r="Z72" s="60" t="str">
        <f aca="false">IF($L72="","",IF($L72&lt;0.5,"Balística / Velocidade (&lt;50%)",IF($L72&lt;0.7,"Velocidade-Força (50–69%)",IF($L72&lt;0.8,"Força-Velocidade (70–79%)",IF($L72&lt;0.9,"Força Máxima (80–89%)","Força Máxima Alta (≥90%)")))))</f>
        <v>Velocidade-Força (50–69%)</v>
      </c>
      <c r="AA72" s="27"/>
      <c r="AB72" s="27" t="s">
        <v>688</v>
      </c>
    </row>
    <row r="73" customFormat="false" ht="15" hidden="false" customHeight="false" outlineLevel="0" collapsed="false">
      <c r="A73" s="29" t="n">
        <v>46290</v>
      </c>
      <c r="B73" s="33" t="n">
        <f aca="false">IF($A73="",0,INT(($A73-'Bloco Base'!$C$5)/7)+1)</f>
        <v>3</v>
      </c>
      <c r="C73" s="28" t="s">
        <v>937</v>
      </c>
      <c r="D73" s="28" t="s">
        <v>1193</v>
      </c>
      <c r="E73" s="27" t="s">
        <v>1117</v>
      </c>
      <c r="F73" s="28" t="n">
        <v>4</v>
      </c>
      <c r="G73" s="139" t="s">
        <v>728</v>
      </c>
      <c r="H73" s="27" t="s">
        <v>1004</v>
      </c>
      <c r="I73" s="28" t="s">
        <v>168</v>
      </c>
      <c r="J73" s="28" t="n">
        <v>3</v>
      </c>
      <c r="K73" s="28" t="n">
        <v>8</v>
      </c>
      <c r="L73" s="71"/>
      <c r="M73" s="35" t="str">
        <f aca="false">IF($AB73="","",IFERROR(INDEX('Força 1RM'!$Q$8:$Y$47,MATCH(IF($E73="Equipe (todos)",$C$4,$E73),'Força 1RM'!$P$8:$P$47,0),MATCH($AB73,'Força 1RM'!$Q$7:$Y$7,0)),""))</f>
        <v/>
      </c>
      <c r="N73" s="30" t="n">
        <f aca="false">IFERROR(IF(OR($L73="",$M73="",$M73=0),0,ROUND($L73*$M73*2,0)/2),0)</f>
        <v>0</v>
      </c>
      <c r="O73" s="32"/>
      <c r="P73" s="42" t="str">
        <f aca="false">IFERROR(IF(OR($L73="",$I73="—",$I73=""),"",IF($I73="Agachamento",INDEX($AE$8:$AE$20,MATCH($L73,$AD$8:$AD$20,1)),IF($I73="Supino",INDEX($AF$8:$AF$20,MATCH($L73,$AD$8:$AD$20,1)),IF($I73="Terra",INDEX($AG$8:$AG$20,MATCH($L73,$AD$8:$AD$20,1)),"")))),"")</f>
        <v/>
      </c>
      <c r="Q73" s="45"/>
      <c r="R73" s="71"/>
      <c r="S73" s="71"/>
      <c r="T73" s="69" t="str">
        <f aca="false">IF(OR($R73="",$S73=""),"",IF($S73&gt;$R73,"Acima do limite","Dentro do limite"))</f>
        <v/>
      </c>
      <c r="U73" s="28"/>
      <c r="V73" s="28"/>
      <c r="W73" s="28" t="n">
        <v>60</v>
      </c>
      <c r="X73" s="140" t="n">
        <f aca="false">IFERROR(IF(OR($J73="",$K73=""),0,$J73*$K73),0)</f>
        <v>24</v>
      </c>
      <c r="Y73" s="44" t="n">
        <f aca="false">IFERROR(IF($X73=0,0,$X73*IF($O73="",$N73,$O73)),0)</f>
        <v>0</v>
      </c>
      <c r="Z73" s="60" t="str">
        <f aca="false">IF($L73="","",IF($L73&lt;0.5,"Balística / Velocidade (&lt;50%)",IF($L73&lt;0.7,"Velocidade-Força (50–69%)",IF($L73&lt;0.8,"Força-Velocidade (70–79%)",IF($L73&lt;0.9,"Força Máxima (80–89%)","Força Máxima Alta (≥90%)")))))</f>
        <v/>
      </c>
      <c r="AA73" s="27"/>
      <c r="AB73" s="27"/>
    </row>
    <row r="74" customFormat="false" ht="15" hidden="false" customHeight="false" outlineLevel="0" collapsed="false">
      <c r="A74" s="29" t="n">
        <v>46290</v>
      </c>
      <c r="B74" s="33" t="n">
        <f aca="false">IF($A74="",0,INT(($A74-'Bloco Base'!$C$5)/7)+1)</f>
        <v>3</v>
      </c>
      <c r="C74" s="28" t="s">
        <v>937</v>
      </c>
      <c r="D74" s="28" t="s">
        <v>1193</v>
      </c>
      <c r="E74" s="27" t="s">
        <v>1117</v>
      </c>
      <c r="F74" s="28" t="n">
        <v>5</v>
      </c>
      <c r="G74" s="139" t="s">
        <v>1030</v>
      </c>
      <c r="H74" s="27" t="s">
        <v>537</v>
      </c>
      <c r="I74" s="28" t="s">
        <v>168</v>
      </c>
      <c r="J74" s="28" t="n">
        <v>3</v>
      </c>
      <c r="K74" s="28" t="n">
        <v>8</v>
      </c>
      <c r="L74" s="71"/>
      <c r="M74" s="35" t="str">
        <f aca="false">IF($AB74="","",IFERROR(INDEX('Força 1RM'!$Q$8:$Y$47,MATCH(IF($E74="Equipe (todos)",$C$4,$E74),'Força 1RM'!$P$8:$P$47,0),MATCH($AB74,'Força 1RM'!$Q$7:$Y$7,0)),""))</f>
        <v/>
      </c>
      <c r="N74" s="30" t="n">
        <f aca="false">IFERROR(IF(OR($L74="",$M74="",$M74=0),0,ROUND($L74*$M74*2,0)/2),0)</f>
        <v>0</v>
      </c>
      <c r="O74" s="32"/>
      <c r="P74" s="42" t="str">
        <f aca="false">IFERROR(IF(OR($L74="",$I74="—",$I74=""),"",IF($I74="Agachamento",INDEX($AE$8:$AE$20,MATCH($L74,$AD$8:$AD$20,1)),IF($I74="Supino",INDEX($AF$8:$AF$20,MATCH($L74,$AD$8:$AD$20,1)),IF($I74="Terra",INDEX($AG$8:$AG$20,MATCH($L74,$AD$8:$AD$20,1)),"")))),"")</f>
        <v/>
      </c>
      <c r="Q74" s="45"/>
      <c r="R74" s="71"/>
      <c r="S74" s="71"/>
      <c r="T74" s="69" t="str">
        <f aca="false">IF(OR($R74="",$S74=""),"",IF($S74&gt;$R74,"Acima do limite","Dentro do limite"))</f>
        <v/>
      </c>
      <c r="U74" s="28"/>
      <c r="V74" s="28"/>
      <c r="W74" s="28" t="n">
        <v>90</v>
      </c>
      <c r="X74" s="140" t="n">
        <f aca="false">IFERROR(IF(OR($J74="",$K74=""),0,$J74*$K74),0)</f>
        <v>24</v>
      </c>
      <c r="Y74" s="44" t="n">
        <f aca="false">IFERROR(IF($X74=0,0,$X74*IF($O74="",$N74,$O74)),0)</f>
        <v>0</v>
      </c>
      <c r="Z74" s="60" t="str">
        <f aca="false">IF($L74="","",IF($L74&lt;0.5,"Balística / Velocidade (&lt;50%)",IF($L74&lt;0.7,"Velocidade-Força (50–69%)",IF($L74&lt;0.8,"Força-Velocidade (70–79%)",IF($L74&lt;0.9,"Força Máxima (80–89%)","Força Máxima Alta (≥90%)")))))</f>
        <v/>
      </c>
      <c r="AA74" s="27"/>
      <c r="AB74" s="27"/>
    </row>
    <row r="75" customFormat="false" ht="15" hidden="false" customHeight="false" outlineLevel="0" collapsed="false">
      <c r="A75" s="29" t="n">
        <v>46290</v>
      </c>
      <c r="B75" s="33" t="n">
        <f aca="false">IF($A75="",0,INT(($A75-'Bloco Base'!$C$5)/7)+1)</f>
        <v>3</v>
      </c>
      <c r="C75" s="28" t="s">
        <v>937</v>
      </c>
      <c r="D75" s="28" t="s">
        <v>1193</v>
      </c>
      <c r="E75" s="27" t="s">
        <v>1117</v>
      </c>
      <c r="F75" s="28" t="n">
        <v>6</v>
      </c>
      <c r="G75" s="139" t="s">
        <v>632</v>
      </c>
      <c r="H75" s="27" t="s">
        <v>558</v>
      </c>
      <c r="I75" s="28" t="s">
        <v>168</v>
      </c>
      <c r="J75" s="28" t="n">
        <v>6</v>
      </c>
      <c r="K75" s="28" t="n">
        <v>5</v>
      </c>
      <c r="L75" s="71"/>
      <c r="M75" s="35" t="str">
        <f aca="false">IF($AB75="","",IFERROR(INDEX('Força 1RM'!$Q$8:$Y$47,MATCH(IF($E75="Equipe (todos)",$C$4,$E75),'Força 1RM'!$P$8:$P$47,0),MATCH($AB75,'Força 1RM'!$Q$7:$Y$7,0)),""))</f>
        <v/>
      </c>
      <c r="N75" s="30" t="n">
        <f aca="false">IFERROR(IF(OR($L75="",$M75="",$M75=0),0,ROUND($L75*$M75*2,0)/2),0)</f>
        <v>0</v>
      </c>
      <c r="O75" s="32"/>
      <c r="P75" s="42" t="str">
        <f aca="false">IFERROR(IF(OR($L75="",$I75="—",$I75=""),"",IF($I75="Agachamento",INDEX($AE$8:$AE$20,MATCH($L75,$AD$8:$AD$20,1)),IF($I75="Supino",INDEX($AF$8:$AF$20,MATCH($L75,$AD$8:$AD$20,1)),IF($I75="Terra",INDEX($AG$8:$AG$20,MATCH($L75,$AD$8:$AD$20,1)),"")))),"")</f>
        <v/>
      </c>
      <c r="Q75" s="45"/>
      <c r="R75" s="71"/>
      <c r="S75" s="71"/>
      <c r="T75" s="69" t="str">
        <f aca="false">IF(OR($R75="",$S75=""),"",IF($S75&gt;$R75,"Acima do limite","Dentro do limite"))</f>
        <v/>
      </c>
      <c r="U75" s="28"/>
      <c r="V75" s="28"/>
      <c r="W75" s="28" t="n">
        <v>120</v>
      </c>
      <c r="X75" s="140" t="n">
        <f aca="false">IFERROR(IF(OR($J75="",$K75=""),0,$J75*$K75),0)</f>
        <v>30</v>
      </c>
      <c r="Y75" s="44" t="n">
        <f aca="false">IFERROR(IF($X75=0,0,$X75*IF($O75="",$N75,$O75)),0)</f>
        <v>0</v>
      </c>
      <c r="Z75" s="60" t="str">
        <f aca="false">IF($L75="","",IF($L75&lt;0.5,"Balística / Velocidade (&lt;50%)",IF($L75&lt;0.7,"Velocidade-Força (50–69%)",IF($L75&lt;0.8,"Força-Velocidade (70–79%)",IF($L75&lt;0.9,"Força Máxima (80–89%)","Força Máxima Alta (≥90%)")))))</f>
        <v/>
      </c>
      <c r="AA75" s="27"/>
      <c r="AB75" s="27"/>
    </row>
    <row r="76" customFormat="false" ht="15" hidden="false" customHeight="false" outlineLevel="0" collapsed="false">
      <c r="A76" s="29" t="n">
        <v>46290</v>
      </c>
      <c r="B76" s="33" t="n">
        <f aca="false">IF($A76="",0,INT(($A76-'Bloco Base'!$C$5)/7)+1)</f>
        <v>3</v>
      </c>
      <c r="C76" s="28" t="s">
        <v>937</v>
      </c>
      <c r="D76" s="28" t="s">
        <v>1193</v>
      </c>
      <c r="E76" s="27" t="s">
        <v>1117</v>
      </c>
      <c r="F76" s="28" t="n">
        <v>7</v>
      </c>
      <c r="G76" s="139" t="s">
        <v>664</v>
      </c>
      <c r="H76" s="27" t="s">
        <v>537</v>
      </c>
      <c r="I76" s="28" t="s">
        <v>168</v>
      </c>
      <c r="J76" s="28" t="n">
        <v>4</v>
      </c>
      <c r="K76" s="28" t="n">
        <v>8</v>
      </c>
      <c r="L76" s="71" t="n">
        <v>0.75</v>
      </c>
      <c r="M76" s="35" t="str">
        <f aca="false">IF($AB76="","",IFERROR(INDEX('Força 1RM'!$Q$8:$Y$47,MATCH(IF($E76="Equipe (todos)",$C$4,$E76),'Força 1RM'!$P$8:$P$47,0),MATCH($AB76,'Força 1RM'!$Q$7:$Y$7,0)),""))</f>
        <v/>
      </c>
      <c r="N76" s="30" t="n">
        <f aca="false">IFERROR(IF(OR($L76="",$M76="",$M76=0),0,ROUND($L76*$M76*2,0)/2),0)</f>
        <v>0</v>
      </c>
      <c r="O76" s="32"/>
      <c r="P76" s="42" t="str">
        <f aca="false">IFERROR(IF(OR($L76="",$I76="—",$I76=""),"",IF($I76="Agachamento",INDEX($AE$8:$AE$20,MATCH($L76,$AD$8:$AD$20,1)),IF($I76="Supino",INDEX($AF$8:$AF$20,MATCH($L76,$AD$8:$AD$20,1)),IF($I76="Terra",INDEX($AG$8:$AG$20,MATCH($L76,$AD$8:$AD$20,1)),"")))),"")</f>
        <v/>
      </c>
      <c r="Q76" s="45"/>
      <c r="R76" s="71" t="n">
        <v>0.2</v>
      </c>
      <c r="S76" s="71"/>
      <c r="T76" s="69" t="str">
        <f aca="false">IF(OR($R76="",$S76=""),"",IF($S76&gt;$R76,"Acima do limite","Dentro do limite"))</f>
        <v/>
      </c>
      <c r="U76" s="28"/>
      <c r="V76" s="28"/>
      <c r="W76" s="28" t="n">
        <v>120</v>
      </c>
      <c r="X76" s="140" t="n">
        <f aca="false">IFERROR(IF(OR($J76="",$K76=""),0,$J76*$K76),0)</f>
        <v>32</v>
      </c>
      <c r="Y76" s="44" t="n">
        <f aca="false">IFERROR(IF($X76=0,0,$X76*IF($O76="",$N76,$O76)),0)</f>
        <v>0</v>
      </c>
      <c r="Z76" s="60" t="str">
        <f aca="false">IF($L76="","",IF($L76&lt;0.5,"Balística / Velocidade (&lt;50%)",IF($L76&lt;0.7,"Velocidade-Força (50–69%)",IF($L76&lt;0.8,"Força-Velocidade (70–79%)",IF($L76&lt;0.9,"Força Máxima (80–89%)","Força Máxima Alta (≥90%)")))))</f>
        <v>Força-Velocidade (70–79%)</v>
      </c>
      <c r="AA76" s="27"/>
      <c r="AB76" s="27"/>
    </row>
    <row r="77" customFormat="false" ht="15" hidden="false" customHeight="false" outlineLevel="0" collapsed="false">
      <c r="A77" s="29" t="n">
        <v>46290</v>
      </c>
      <c r="B77" s="33" t="n">
        <f aca="false">IF($A77="",0,INT(($A77-'Bloco Base'!$C$5)/7)+1)</f>
        <v>3</v>
      </c>
      <c r="C77" s="28" t="s">
        <v>937</v>
      </c>
      <c r="D77" s="28" t="s">
        <v>1193</v>
      </c>
      <c r="E77" s="27" t="s">
        <v>1117</v>
      </c>
      <c r="F77" s="28" t="n">
        <v>8</v>
      </c>
      <c r="G77" s="139" t="s">
        <v>748</v>
      </c>
      <c r="H77" s="27" t="s">
        <v>776</v>
      </c>
      <c r="I77" s="28" t="s">
        <v>168</v>
      </c>
      <c r="J77" s="28" t="n">
        <v>3</v>
      </c>
      <c r="K77" s="28" t="n">
        <v>25</v>
      </c>
      <c r="L77" s="71"/>
      <c r="M77" s="35" t="str">
        <f aca="false">IF($AB77="","",IFERROR(INDEX('Força 1RM'!$Q$8:$Y$47,MATCH(IF($E77="Equipe (todos)",$C$4,$E77),'Força 1RM'!$P$8:$P$47,0),MATCH($AB77,'Força 1RM'!$Q$7:$Y$7,0)),""))</f>
        <v/>
      </c>
      <c r="N77" s="30" t="n">
        <f aca="false">IFERROR(IF(OR($L77="",$M77="",$M77=0),0,ROUND($L77*$M77*2,0)/2),0)</f>
        <v>0</v>
      </c>
      <c r="O77" s="32"/>
      <c r="P77" s="42" t="str">
        <f aca="false">IFERROR(IF(OR($L77="",$I77="—",$I77=""),"",IF($I77="Agachamento",INDEX($AE$8:$AE$20,MATCH($L77,$AD$8:$AD$20,1)),IF($I77="Supino",INDEX($AF$8:$AF$20,MATCH($L77,$AD$8:$AD$20,1)),IF($I77="Terra",INDEX($AG$8:$AG$20,MATCH($L77,$AD$8:$AD$20,1)),"")))),"")</f>
        <v/>
      </c>
      <c r="Q77" s="45"/>
      <c r="R77" s="71"/>
      <c r="S77" s="71"/>
      <c r="T77" s="69" t="str">
        <f aca="false">IF(OR($R77="",$S77=""),"",IF($S77&gt;$R77,"Acima do limite","Dentro do limite"))</f>
        <v/>
      </c>
      <c r="U77" s="28"/>
      <c r="V77" s="28"/>
      <c r="W77" s="28" t="n">
        <v>45</v>
      </c>
      <c r="X77" s="140" t="n">
        <f aca="false">IFERROR(IF(OR($J77="",$K77=""),0,$J77*$K77),0)</f>
        <v>75</v>
      </c>
      <c r="Y77" s="44" t="n">
        <f aca="false">IFERROR(IF($X77=0,0,$X77*IF($O77="",$N77,$O77)),0)</f>
        <v>0</v>
      </c>
      <c r="Z77" s="60" t="str">
        <f aca="false">IF($L77="","",IF($L77&lt;0.5,"Balística / Velocidade (&lt;50%)",IF($L77&lt;0.7,"Velocidade-Força (50–69%)",IF($L77&lt;0.8,"Força-Velocidade (70–79%)",IF($L77&lt;0.9,"Força Máxima (80–89%)","Força Máxima Alta (≥90%)")))))</f>
        <v/>
      </c>
      <c r="AA77" s="27"/>
      <c r="AB77" s="27"/>
    </row>
    <row r="78" customFormat="false" ht="15" hidden="false" customHeight="false" outlineLevel="0" collapsed="false">
      <c r="A78" s="29" t="n">
        <v>46293</v>
      </c>
      <c r="B78" s="33" t="n">
        <f aca="false">IF($A78="",0,INT(($A78-'Bloco Base'!$C$5)/7)+1)</f>
        <v>4</v>
      </c>
      <c r="C78" s="28" t="s">
        <v>956</v>
      </c>
      <c r="D78" s="28" t="s">
        <v>233</v>
      </c>
      <c r="E78" s="27" t="s">
        <v>1117</v>
      </c>
      <c r="F78" s="28" t="n">
        <v>1</v>
      </c>
      <c r="G78" s="139" t="s">
        <v>600</v>
      </c>
      <c r="H78" s="27" t="s">
        <v>994</v>
      </c>
      <c r="I78" s="28" t="s">
        <v>168</v>
      </c>
      <c r="J78" s="28" t="n">
        <v>1</v>
      </c>
      <c r="K78" s="28" t="n">
        <v>8</v>
      </c>
      <c r="L78" s="71"/>
      <c r="M78" s="35" t="str">
        <f aca="false">IF($AB78="","",IFERROR(INDEX('Força 1RM'!$Q$8:$Y$47,MATCH(IF($E78="Equipe (todos)",$C$4,$E78),'Força 1RM'!$P$8:$P$47,0),MATCH($AB78,'Força 1RM'!$Q$7:$Y$7,0)),""))</f>
        <v/>
      </c>
      <c r="N78" s="30" t="n">
        <f aca="false">IFERROR(IF(OR($L78="",$M78="",$M78=0),0,ROUND($L78*$M78*2,0)/2),0)</f>
        <v>0</v>
      </c>
      <c r="O78" s="32"/>
      <c r="P78" s="42" t="str">
        <f aca="false">IFERROR(IF(OR($L78="",$I78="—",$I78=""),"",IF($I78="Agachamento",INDEX($AE$8:$AE$20,MATCH($L78,$AD$8:$AD$20,1)),IF($I78="Supino",INDEX($AF$8:$AF$20,MATCH($L78,$AD$8:$AD$20,1)),IF($I78="Terra",INDEX($AG$8:$AG$20,MATCH($L78,$AD$8:$AD$20,1)),"")))),"")</f>
        <v/>
      </c>
      <c r="Q78" s="45"/>
      <c r="R78" s="71"/>
      <c r="S78" s="71"/>
      <c r="T78" s="69" t="str">
        <f aca="false">IF(OR($R78="",$S78=""),"",IF($S78&gt;$R78,"Acima do limite","Dentro do limite"))</f>
        <v/>
      </c>
      <c r="U78" s="28"/>
      <c r="V78" s="28"/>
      <c r="W78" s="28" t="n">
        <v>0</v>
      </c>
      <c r="X78" s="140" t="n">
        <f aca="false">IFERROR(IF(OR($J78="",$K78=""),0,$J78*$K78),0)</f>
        <v>8</v>
      </c>
      <c r="Y78" s="44" t="n">
        <f aca="false">IFERROR(IF($X78=0,0,$X78*IF($O78="",$N78,$O78)),0)</f>
        <v>0</v>
      </c>
      <c r="Z78" s="60" t="str">
        <f aca="false">IF($L78="","",IF($L78&lt;0.5,"Balística / Velocidade (&lt;50%)",IF($L78&lt;0.7,"Velocidade-Força (50–69%)",IF($L78&lt;0.8,"Força-Velocidade (70–79%)",IF($L78&lt;0.9,"Força Máxima (80–89%)","Força Máxima Alta (≥90%)")))))</f>
        <v/>
      </c>
      <c r="AA78" s="27"/>
      <c r="AB78" s="27"/>
    </row>
    <row r="79" customFormat="false" ht="15" hidden="false" customHeight="false" outlineLevel="0" collapsed="false">
      <c r="A79" s="29" t="n">
        <v>46293</v>
      </c>
      <c r="B79" s="33" t="n">
        <f aca="false">IF($A79="",0,INT(($A79-'Bloco Base'!$C$5)/7)+1)</f>
        <v>4</v>
      </c>
      <c r="C79" s="28" t="s">
        <v>956</v>
      </c>
      <c r="D79" s="28" t="s">
        <v>233</v>
      </c>
      <c r="E79" s="27" t="s">
        <v>1117</v>
      </c>
      <c r="F79" s="28" t="n">
        <v>2</v>
      </c>
      <c r="G79" s="139" t="s">
        <v>616</v>
      </c>
      <c r="H79" s="27" t="s">
        <v>1191</v>
      </c>
      <c r="I79" s="28" t="s">
        <v>168</v>
      </c>
      <c r="J79" s="28" t="n">
        <v>3</v>
      </c>
      <c r="K79" s="28" t="n">
        <v>3</v>
      </c>
      <c r="L79" s="71" t="n">
        <v>0.6</v>
      </c>
      <c r="M79" s="35" t="n">
        <f aca="false">IF($AB79="","",IFERROR(INDEX('Força 1RM'!$Q$8:$Y$47,MATCH(IF($E79="Equipe (todos)",$C$4,$E79),'Força 1RM'!$P$8:$P$47,0),MATCH($AB79,'Força 1RM'!$Q$7:$Y$7,0)),""))</f>
        <v>92.5</v>
      </c>
      <c r="N79" s="30" t="n">
        <f aca="false">IFERROR(IF(OR($L79="",$M79="",$M79=0),0,ROUND($L79*$M79*2,0)/2),0)</f>
        <v>55.5</v>
      </c>
      <c r="O79" s="32"/>
      <c r="P79" s="42" t="str">
        <f aca="false">IFERROR(IF(OR($L79="",$I79="—",$I79=""),"",IF($I79="Agachamento",INDEX($AE$8:$AE$20,MATCH($L79,$AD$8:$AD$20,1)),IF($I79="Supino",INDEX($AF$8:$AF$20,MATCH($L79,$AD$8:$AD$20,1)),IF($I79="Terra",INDEX($AG$8:$AG$20,MATCH($L79,$AD$8:$AD$20,1)),"")))),"")</f>
        <v/>
      </c>
      <c r="Q79" s="45"/>
      <c r="R79" s="71" t="n">
        <v>0.1</v>
      </c>
      <c r="S79" s="71"/>
      <c r="T79" s="69" t="str">
        <f aca="false">IF(OR($R79="",$S79=""),"",IF($S79&gt;$R79,"Acima do limite","Dentro do limite"))</f>
        <v/>
      </c>
      <c r="U79" s="28"/>
      <c r="V79" s="28"/>
      <c r="W79" s="28" t="n">
        <v>180</v>
      </c>
      <c r="X79" s="140" t="n">
        <f aca="false">IFERROR(IF(OR($J79="",$K79=""),0,$J79*$K79),0)</f>
        <v>9</v>
      </c>
      <c r="Y79" s="44" t="n">
        <f aca="false">IFERROR(IF($X79=0,0,$X79*IF($O79="",$N79,$O79)),0)</f>
        <v>499.5</v>
      </c>
      <c r="Z79" s="60" t="str">
        <f aca="false">IF($L79="","",IF($L79&lt;0.5,"Balística / Velocidade (&lt;50%)",IF($L79&lt;0.7,"Velocidade-Força (50–69%)",IF($L79&lt;0.8,"Força-Velocidade (70–79%)",IF($L79&lt;0.9,"Força Máxima (80–89%)","Força Máxima Alta (≥90%)")))))</f>
        <v>Velocidade-Força (50–69%)</v>
      </c>
      <c r="AA79" s="27"/>
      <c r="AB79" s="27" t="s">
        <v>953</v>
      </c>
    </row>
    <row r="80" customFormat="false" ht="15" hidden="false" customHeight="false" outlineLevel="0" collapsed="false">
      <c r="A80" s="29" t="n">
        <v>46293</v>
      </c>
      <c r="B80" s="33" t="n">
        <f aca="false">IF($A80="",0,INT(($A80-'Bloco Base'!$C$5)/7)+1)</f>
        <v>4</v>
      </c>
      <c r="C80" s="28" t="s">
        <v>956</v>
      </c>
      <c r="D80" s="28" t="s">
        <v>233</v>
      </c>
      <c r="E80" s="27" t="s">
        <v>1117</v>
      </c>
      <c r="F80" s="28" t="n">
        <v>3</v>
      </c>
      <c r="G80" s="139" t="s">
        <v>688</v>
      </c>
      <c r="H80" s="27" t="s">
        <v>537</v>
      </c>
      <c r="I80" s="28" t="s">
        <v>692</v>
      </c>
      <c r="J80" s="28" t="n">
        <v>3</v>
      </c>
      <c r="K80" s="28" t="n">
        <v>5</v>
      </c>
      <c r="L80" s="71" t="n">
        <v>0.7</v>
      </c>
      <c r="M80" s="35" t="n">
        <f aca="false">IF($AB80="","",IFERROR(INDEX('Força 1RM'!$Q$8:$Y$47,MATCH(IF($E80="Equipe (todos)",$C$4,$E80),'Força 1RM'!$P$8:$P$47,0),MATCH($AB80,'Força 1RM'!$Q$7:$Y$7,0)),""))</f>
        <v>160</v>
      </c>
      <c r="N80" s="30" t="n">
        <f aca="false">IFERROR(IF(OR($L80="",$M80="",$M80=0),0,ROUND($L80*$M80*2,0)/2),0)</f>
        <v>112</v>
      </c>
      <c r="O80" s="32"/>
      <c r="P80" s="42" t="n">
        <f aca="false">IFERROR(IF(OR($L80="",$I80="—",$I80=""),"",IF($I80="Agachamento",INDEX($AE$8:$AE$20,MATCH($L80,$AD$8:$AD$20,1)),IF($I80="Supino",INDEX($AF$8:$AF$20,MATCH($L80,$AD$8:$AD$20,1)),IF($I80="Terra",INDEX($AG$8:$AG$20,MATCH($L80,$AD$8:$AD$20,1)),"")))),"")</f>
        <v>0.68</v>
      </c>
      <c r="Q80" s="45"/>
      <c r="R80" s="71" t="n">
        <v>0.15</v>
      </c>
      <c r="S80" s="71"/>
      <c r="T80" s="69" t="str">
        <f aca="false">IF(OR($R80="",$S80=""),"",IF($S80&gt;$R80,"Acima do limite","Dentro do limite"))</f>
        <v/>
      </c>
      <c r="U80" s="28"/>
      <c r="V80" s="28"/>
      <c r="W80" s="28" t="n">
        <v>180</v>
      </c>
      <c r="X80" s="140" t="n">
        <f aca="false">IFERROR(IF(OR($J80="",$K80=""),0,$J80*$K80),0)</f>
        <v>15</v>
      </c>
      <c r="Y80" s="44" t="n">
        <f aca="false">IFERROR(IF($X80=0,0,$X80*IF($O80="",$N80,$O80)),0)</f>
        <v>1680</v>
      </c>
      <c r="Z80" s="60" t="str">
        <f aca="false">IF($L80="","",IF($L80&lt;0.5,"Balística / Velocidade (&lt;50%)",IF($L80&lt;0.7,"Velocidade-Força (50–69%)",IF($L80&lt;0.8,"Força-Velocidade (70–79%)",IF($L80&lt;0.9,"Força Máxima (80–89%)","Força Máxima Alta (≥90%)")))))</f>
        <v>Força-Velocidade (70–79%)</v>
      </c>
      <c r="AA80" s="27"/>
      <c r="AB80" s="27" t="s">
        <v>688</v>
      </c>
    </row>
    <row r="81" customFormat="false" ht="15" hidden="false" customHeight="false" outlineLevel="0" collapsed="false">
      <c r="A81" s="29" t="n">
        <v>46293</v>
      </c>
      <c r="B81" s="33" t="n">
        <f aca="false">IF($A81="",0,INT(($A81-'Bloco Base'!$C$5)/7)+1)</f>
        <v>4</v>
      </c>
      <c r="C81" s="28" t="s">
        <v>956</v>
      </c>
      <c r="D81" s="28" t="s">
        <v>233</v>
      </c>
      <c r="E81" s="27" t="s">
        <v>1117</v>
      </c>
      <c r="F81" s="28" t="n">
        <v>4</v>
      </c>
      <c r="G81" s="139" t="s">
        <v>701</v>
      </c>
      <c r="H81" s="27" t="s">
        <v>537</v>
      </c>
      <c r="I81" s="28" t="s">
        <v>1000</v>
      </c>
      <c r="J81" s="28" t="n">
        <v>3</v>
      </c>
      <c r="K81" s="28" t="n">
        <v>6</v>
      </c>
      <c r="L81" s="71" t="n">
        <v>0.6</v>
      </c>
      <c r="M81" s="35" t="n">
        <f aca="false">IF($AB81="","",IFERROR(INDEX('Força 1RM'!$Q$8:$Y$47,MATCH(IF($E81="Equipe (todos)",$C$4,$E81),'Força 1RM'!$P$8:$P$47,0),MATCH($AB81,'Força 1RM'!$Q$7:$Y$7,0)),""))</f>
        <v>125</v>
      </c>
      <c r="N81" s="30" t="n">
        <f aca="false">IFERROR(IF(OR($L81="",$M81="",$M81=0),0,ROUND($L81*$M81*2,0)/2),0)</f>
        <v>75</v>
      </c>
      <c r="O81" s="32"/>
      <c r="P81" s="42" t="n">
        <f aca="false">IFERROR(IF(OR($L81="",$I81="—",$I81=""),"",IF($I81="Agachamento",INDEX($AE$8:$AE$20,MATCH($L81,$AD$8:$AD$20,1)),IF($I81="Supino",INDEX($AF$8:$AF$20,MATCH($L81,$AD$8:$AD$20,1)),IF($I81="Terra",INDEX($AG$8:$AG$20,MATCH($L81,$AD$8:$AD$20,1)),"")))),"")</f>
        <v>0.76</v>
      </c>
      <c r="Q81" s="45"/>
      <c r="R81" s="71" t="n">
        <v>0.2</v>
      </c>
      <c r="S81" s="71"/>
      <c r="T81" s="69" t="str">
        <f aca="false">IF(OR($R81="",$S81=""),"",IF($S81&gt;$R81,"Acima do limite","Dentro do limite"))</f>
        <v/>
      </c>
      <c r="U81" s="28"/>
      <c r="V81" s="28"/>
      <c r="W81" s="28" t="n">
        <v>120</v>
      </c>
      <c r="X81" s="140" t="n">
        <f aca="false">IFERROR(IF(OR($J81="",$K81=""),0,$J81*$K81),0)</f>
        <v>18</v>
      </c>
      <c r="Y81" s="44" t="n">
        <f aca="false">IFERROR(IF($X81=0,0,$X81*IF($O81="",$N81,$O81)),0)</f>
        <v>1350</v>
      </c>
      <c r="Z81" s="60" t="str">
        <f aca="false">IF($L81="","",IF($L81&lt;0.5,"Balística / Velocidade (&lt;50%)",IF($L81&lt;0.7,"Velocidade-Força (50–69%)",IF($L81&lt;0.8,"Força-Velocidade (70–79%)",IF($L81&lt;0.9,"Força Máxima (80–89%)","Força Máxima Alta (≥90%)")))))</f>
        <v>Velocidade-Força (50–69%)</v>
      </c>
      <c r="AA81" s="27"/>
      <c r="AB81" s="27" t="s">
        <v>701</v>
      </c>
    </row>
    <row r="82" customFormat="false" ht="15" hidden="false" customHeight="false" outlineLevel="0" collapsed="false">
      <c r="A82" s="29" t="n">
        <v>46293</v>
      </c>
      <c r="B82" s="33" t="n">
        <f aca="false">IF($A82="",0,INT(($A82-'Bloco Base'!$C$5)/7)+1)</f>
        <v>4</v>
      </c>
      <c r="C82" s="28" t="s">
        <v>956</v>
      </c>
      <c r="D82" s="28" t="s">
        <v>233</v>
      </c>
      <c r="E82" s="27" t="s">
        <v>1117</v>
      </c>
      <c r="F82" s="28" t="n">
        <v>5</v>
      </c>
      <c r="G82" s="139" t="s">
        <v>708</v>
      </c>
      <c r="H82" s="27" t="s">
        <v>537</v>
      </c>
      <c r="I82" s="28" t="s">
        <v>168</v>
      </c>
      <c r="J82" s="28" t="n">
        <v>2</v>
      </c>
      <c r="K82" s="28" t="n">
        <v>8</v>
      </c>
      <c r="L82" s="71"/>
      <c r="M82" s="35" t="str">
        <f aca="false">IF($AB82="","",IFERROR(INDEX('Força 1RM'!$Q$8:$Y$47,MATCH(IF($E82="Equipe (todos)",$C$4,$E82),'Força 1RM'!$P$8:$P$47,0),MATCH($AB82,'Força 1RM'!$Q$7:$Y$7,0)),""))</f>
        <v/>
      </c>
      <c r="N82" s="30" t="n">
        <f aca="false">IFERROR(IF(OR($L82="",$M82="",$M82=0),0,ROUND($L82*$M82*2,0)/2),0)</f>
        <v>0</v>
      </c>
      <c r="O82" s="32"/>
      <c r="P82" s="42" t="str">
        <f aca="false">IFERROR(IF(OR($L82="",$I82="—",$I82=""),"",IF($I82="Agachamento",INDEX($AE$8:$AE$20,MATCH($L82,$AD$8:$AD$20,1)),IF($I82="Supino",INDEX($AF$8:$AF$20,MATCH($L82,$AD$8:$AD$20,1)),IF($I82="Terra",INDEX($AG$8:$AG$20,MATCH($L82,$AD$8:$AD$20,1)),"")))),"")</f>
        <v/>
      </c>
      <c r="Q82" s="45"/>
      <c r="R82" s="71"/>
      <c r="S82" s="71"/>
      <c r="T82" s="69" t="str">
        <f aca="false">IF(OR($R82="",$S82=""),"",IF($S82&gt;$R82,"Acima do limite","Dentro do limite"))</f>
        <v/>
      </c>
      <c r="U82" s="28"/>
      <c r="V82" s="28"/>
      <c r="W82" s="28" t="n">
        <v>90</v>
      </c>
      <c r="X82" s="140" t="n">
        <f aca="false">IFERROR(IF(OR($J82="",$K82=""),0,$J82*$K82),0)</f>
        <v>16</v>
      </c>
      <c r="Y82" s="44" t="n">
        <f aca="false">IFERROR(IF($X82=0,0,$X82*IF($O82="",$N82,$O82)),0)</f>
        <v>0</v>
      </c>
      <c r="Z82" s="60" t="str">
        <f aca="false">IF($L82="","",IF($L82&lt;0.5,"Balística / Velocidade (&lt;50%)",IF($L82&lt;0.7,"Velocidade-Força (50–69%)",IF($L82&lt;0.8,"Força-Velocidade (70–79%)",IF($L82&lt;0.9,"Força Máxima (80–89%)","Força Máxima Alta (≥90%)")))))</f>
        <v/>
      </c>
      <c r="AA82" s="27"/>
      <c r="AB82" s="27"/>
    </row>
    <row r="83" customFormat="false" ht="15" hidden="false" customHeight="false" outlineLevel="0" collapsed="false">
      <c r="A83" s="29" t="n">
        <v>46293</v>
      </c>
      <c r="B83" s="33" t="n">
        <f aca="false">IF($A83="",0,INT(($A83-'Bloco Base'!$C$5)/7)+1)</f>
        <v>4</v>
      </c>
      <c r="C83" s="28" t="s">
        <v>956</v>
      </c>
      <c r="D83" s="28" t="s">
        <v>233</v>
      </c>
      <c r="E83" s="27" t="s">
        <v>1117</v>
      </c>
      <c r="F83" s="28" t="n">
        <v>6</v>
      </c>
      <c r="G83" s="139" t="s">
        <v>592</v>
      </c>
      <c r="H83" s="27" t="s">
        <v>1004</v>
      </c>
      <c r="I83" s="28" t="s">
        <v>168</v>
      </c>
      <c r="J83" s="28" t="n">
        <v>2</v>
      </c>
      <c r="K83" s="28" t="n">
        <v>10</v>
      </c>
      <c r="L83" s="71"/>
      <c r="M83" s="35" t="str">
        <f aca="false">IF($AB83="","",IFERROR(INDEX('Força 1RM'!$Q$8:$Y$47,MATCH(IF($E83="Equipe (todos)",$C$4,$E83),'Força 1RM'!$P$8:$P$47,0),MATCH($AB83,'Força 1RM'!$Q$7:$Y$7,0)),""))</f>
        <v/>
      </c>
      <c r="N83" s="30" t="n">
        <f aca="false">IFERROR(IF(OR($L83="",$M83="",$M83=0),0,ROUND($L83*$M83*2,0)/2),0)</f>
        <v>0</v>
      </c>
      <c r="O83" s="32"/>
      <c r="P83" s="42" t="str">
        <f aca="false">IFERROR(IF(OR($L83="",$I83="—",$I83=""),"",IF($I83="Agachamento",INDEX($AE$8:$AE$20,MATCH($L83,$AD$8:$AD$20,1)),IF($I83="Supino",INDEX($AF$8:$AF$20,MATCH($L83,$AD$8:$AD$20,1)),IF($I83="Terra",INDEX($AG$8:$AG$20,MATCH($L83,$AD$8:$AD$20,1)),"")))),"")</f>
        <v/>
      </c>
      <c r="Q83" s="45"/>
      <c r="R83" s="71"/>
      <c r="S83" s="71"/>
      <c r="T83" s="69" t="str">
        <f aca="false">IF(OR($R83="",$S83=""),"",IF($S83&gt;$R83,"Acima do limite","Dentro do limite"))</f>
        <v/>
      </c>
      <c r="U83" s="28"/>
      <c r="V83" s="28"/>
      <c r="W83" s="28" t="n">
        <v>60</v>
      </c>
      <c r="X83" s="140" t="n">
        <f aca="false">IFERROR(IF(OR($J83="",$K83=""),0,$J83*$K83),0)</f>
        <v>20</v>
      </c>
      <c r="Y83" s="44" t="n">
        <f aca="false">IFERROR(IF($X83=0,0,$X83*IF($O83="",$N83,$O83)),0)</f>
        <v>0</v>
      </c>
      <c r="Z83" s="60" t="str">
        <f aca="false">IF($L83="","",IF($L83&lt;0.5,"Balística / Velocidade (&lt;50%)",IF($L83&lt;0.7,"Velocidade-Força (50–69%)",IF($L83&lt;0.8,"Força-Velocidade (70–79%)",IF($L83&lt;0.9,"Força Máxima (80–89%)","Força Máxima Alta (≥90%)")))))</f>
        <v/>
      </c>
      <c r="AA83" s="27"/>
      <c r="AB83" s="27"/>
    </row>
    <row r="84" customFormat="false" ht="15" hidden="false" customHeight="false" outlineLevel="0" collapsed="false">
      <c r="A84" s="29" t="n">
        <v>46293</v>
      </c>
      <c r="B84" s="33" t="n">
        <f aca="false">IF($A84="",0,INT(($A84-'Bloco Base'!$C$5)/7)+1)</f>
        <v>4</v>
      </c>
      <c r="C84" s="28" t="s">
        <v>956</v>
      </c>
      <c r="D84" s="28" t="s">
        <v>233</v>
      </c>
      <c r="E84" s="27" t="s">
        <v>1117</v>
      </c>
      <c r="F84" s="28" t="n">
        <v>7</v>
      </c>
      <c r="G84" s="139" t="s">
        <v>1006</v>
      </c>
      <c r="H84" s="27" t="s">
        <v>776</v>
      </c>
      <c r="I84" s="28" t="s">
        <v>168</v>
      </c>
      <c r="J84" s="28" t="n">
        <v>3</v>
      </c>
      <c r="K84" s="28" t="n">
        <v>20</v>
      </c>
      <c r="L84" s="71"/>
      <c r="M84" s="35" t="str">
        <f aca="false">IF($AB84="","",IFERROR(INDEX('Força 1RM'!$Q$8:$Y$47,MATCH(IF($E84="Equipe (todos)",$C$4,$E84),'Força 1RM'!$P$8:$P$47,0),MATCH($AB84,'Força 1RM'!$Q$7:$Y$7,0)),""))</f>
        <v/>
      </c>
      <c r="N84" s="30" t="n">
        <f aca="false">IFERROR(IF(OR($L84="",$M84="",$M84=0),0,ROUND($L84*$M84*2,0)/2),0)</f>
        <v>0</v>
      </c>
      <c r="O84" s="32"/>
      <c r="P84" s="42" t="str">
        <f aca="false">IFERROR(IF(OR($L84="",$I84="—",$I84=""),"",IF($I84="Agachamento",INDEX($AE$8:$AE$20,MATCH($L84,$AD$8:$AD$20,1)),IF($I84="Supino",INDEX($AF$8:$AF$20,MATCH($L84,$AD$8:$AD$20,1)),IF($I84="Terra",INDEX($AG$8:$AG$20,MATCH($L84,$AD$8:$AD$20,1)),"")))),"")</f>
        <v/>
      </c>
      <c r="Q84" s="45"/>
      <c r="R84" s="71"/>
      <c r="S84" s="71"/>
      <c r="T84" s="69" t="str">
        <f aca="false">IF(OR($R84="",$S84=""),"",IF($S84&gt;$R84,"Acima do limite","Dentro do limite"))</f>
        <v/>
      </c>
      <c r="U84" s="28"/>
      <c r="V84" s="28"/>
      <c r="W84" s="28" t="n">
        <v>45</v>
      </c>
      <c r="X84" s="140" t="n">
        <f aca="false">IFERROR(IF(OR($J84="",$K84=""),0,$J84*$K84),0)</f>
        <v>60</v>
      </c>
      <c r="Y84" s="44" t="n">
        <f aca="false">IFERROR(IF($X84=0,0,$X84*IF($O84="",$N84,$O84)),0)</f>
        <v>0</v>
      </c>
      <c r="Z84" s="60" t="str">
        <f aca="false">IF($L84="","",IF($L84&lt;0.5,"Balística / Velocidade (&lt;50%)",IF($L84&lt;0.7,"Velocidade-Força (50–69%)",IF($L84&lt;0.8,"Força-Velocidade (70–79%)",IF($L84&lt;0.9,"Força Máxima (80–89%)","Força Máxima Alta (≥90%)")))))</f>
        <v/>
      </c>
      <c r="AA84" s="27"/>
      <c r="AB84" s="27"/>
    </row>
    <row r="85" customFormat="false" ht="15" hidden="false" customHeight="false" outlineLevel="0" collapsed="false">
      <c r="A85" s="29" t="n">
        <v>46295</v>
      </c>
      <c r="B85" s="33" t="n">
        <f aca="false">IF($A85="",0,INT(($A85-'Bloco Base'!$C$5)/7)+1)</f>
        <v>4</v>
      </c>
      <c r="C85" s="28" t="s">
        <v>956</v>
      </c>
      <c r="D85" s="28" t="s">
        <v>1192</v>
      </c>
      <c r="E85" s="27" t="s">
        <v>1117</v>
      </c>
      <c r="F85" s="28" t="n">
        <v>1</v>
      </c>
      <c r="G85" s="139" t="s">
        <v>587</v>
      </c>
      <c r="H85" s="27" t="s">
        <v>1004</v>
      </c>
      <c r="I85" s="28" t="s">
        <v>168</v>
      </c>
      <c r="J85" s="28" t="n">
        <v>2</v>
      </c>
      <c r="K85" s="28" t="n">
        <v>10</v>
      </c>
      <c r="L85" s="71"/>
      <c r="M85" s="35" t="str">
        <f aca="false">IF($AB85="","",IFERROR(INDEX('Força 1RM'!$Q$8:$Y$47,MATCH(IF($E85="Equipe (todos)",$C$4,$E85),'Força 1RM'!$P$8:$P$47,0),MATCH($AB85,'Força 1RM'!$Q$7:$Y$7,0)),""))</f>
        <v/>
      </c>
      <c r="N85" s="30" t="n">
        <f aca="false">IFERROR(IF(OR($L85="",$M85="",$M85=0),0,ROUND($L85*$M85*2,0)/2),0)</f>
        <v>0</v>
      </c>
      <c r="O85" s="32"/>
      <c r="P85" s="42" t="str">
        <f aca="false">IFERROR(IF(OR($L85="",$I85="—",$I85=""),"",IF($I85="Agachamento",INDEX($AE$8:$AE$20,MATCH($L85,$AD$8:$AD$20,1)),IF($I85="Supino",INDEX($AF$8:$AF$20,MATCH($L85,$AD$8:$AD$20,1)),IF($I85="Terra",INDEX($AG$8:$AG$20,MATCH($L85,$AD$8:$AD$20,1)),"")))),"")</f>
        <v/>
      </c>
      <c r="Q85" s="45"/>
      <c r="R85" s="71"/>
      <c r="S85" s="71"/>
      <c r="T85" s="69" t="str">
        <f aca="false">IF(OR($R85="",$S85=""),"",IF($S85&gt;$R85,"Acima do limite","Dentro do limite"))</f>
        <v/>
      </c>
      <c r="U85" s="28"/>
      <c r="V85" s="28"/>
      <c r="W85" s="28" t="n">
        <v>60</v>
      </c>
      <c r="X85" s="140" t="n">
        <f aca="false">IFERROR(IF(OR($J85="",$K85=""),0,$J85*$K85),0)</f>
        <v>20</v>
      </c>
      <c r="Y85" s="44" t="n">
        <f aca="false">IFERROR(IF($X85=0,0,$X85*IF($O85="",$N85,$O85)),0)</f>
        <v>0</v>
      </c>
      <c r="Z85" s="60" t="str">
        <f aca="false">IF($L85="","",IF($L85&lt;0.5,"Balística / Velocidade (&lt;50%)",IF($L85&lt;0.7,"Velocidade-Força (50–69%)",IF($L85&lt;0.8,"Força-Velocidade (70–79%)",IF($L85&lt;0.9,"Força Máxima (80–89%)","Força Máxima Alta (≥90%)")))))</f>
        <v/>
      </c>
      <c r="AA85" s="27"/>
      <c r="AB85" s="27"/>
    </row>
    <row r="86" customFormat="false" ht="15" hidden="false" customHeight="false" outlineLevel="0" collapsed="false">
      <c r="A86" s="29" t="n">
        <v>46295</v>
      </c>
      <c r="B86" s="33" t="n">
        <f aca="false">IF($A86="",0,INT(($A86-'Bloco Base'!$C$5)/7)+1)</f>
        <v>4</v>
      </c>
      <c r="C86" s="28" t="s">
        <v>956</v>
      </c>
      <c r="D86" s="28" t="s">
        <v>1192</v>
      </c>
      <c r="E86" s="27" t="s">
        <v>1117</v>
      </c>
      <c r="F86" s="28" t="n">
        <v>2</v>
      </c>
      <c r="G86" s="139" t="s">
        <v>553</v>
      </c>
      <c r="H86" s="27" t="s">
        <v>792</v>
      </c>
      <c r="I86" s="28" t="s">
        <v>692</v>
      </c>
      <c r="J86" s="28" t="n">
        <v>3</v>
      </c>
      <c r="K86" s="28" t="n">
        <v>3</v>
      </c>
      <c r="L86" s="71" t="n">
        <v>0.2</v>
      </c>
      <c r="M86" s="35" t="n">
        <f aca="false">IF($AB86="","",IFERROR(INDEX('Força 1RM'!$Q$8:$Y$47,MATCH(IF($E86="Equipe (todos)",$C$4,$E86),'Força 1RM'!$P$8:$P$47,0),MATCH($AB86,'Força 1RM'!$Q$7:$Y$7,0)),""))</f>
        <v>160</v>
      </c>
      <c r="N86" s="30" t="n">
        <f aca="false">IFERROR(IF(OR($L86="",$M86="",$M86=0),0,ROUND($L86*$M86*2,0)/2),0)</f>
        <v>32</v>
      </c>
      <c r="O86" s="32"/>
      <c r="P86" s="42" t="str">
        <f aca="false">IFERROR(IF(OR($L86="",$I86="—",$I86=""),"",IF($I86="Agachamento",INDEX($AE$8:$AE$20,MATCH($L86,$AD$8:$AD$20,1)),IF($I86="Supino",INDEX($AF$8:$AF$20,MATCH($L86,$AD$8:$AD$20,1)),IF($I86="Terra",INDEX($AG$8:$AG$20,MATCH($L86,$AD$8:$AD$20,1)),"")))),"")</f>
        <v/>
      </c>
      <c r="Q86" s="45"/>
      <c r="R86" s="71" t="n">
        <v>0.1</v>
      </c>
      <c r="S86" s="71"/>
      <c r="T86" s="69" t="str">
        <f aca="false">IF(OR($R86="",$S86=""),"",IF($S86&gt;$R86,"Acima do limite","Dentro do limite"))</f>
        <v/>
      </c>
      <c r="U86" s="28"/>
      <c r="V86" s="28"/>
      <c r="W86" s="28" t="n">
        <v>180</v>
      </c>
      <c r="X86" s="140" t="n">
        <f aca="false">IFERROR(IF(OR($J86="",$K86=""),0,$J86*$K86),0)</f>
        <v>9</v>
      </c>
      <c r="Y86" s="44" t="n">
        <f aca="false">IFERROR(IF($X86=0,0,$X86*IF($O86="",$N86,$O86)),0)</f>
        <v>288</v>
      </c>
      <c r="Z86" s="60" t="str">
        <f aca="false">IF($L86="","",IF($L86&lt;0.5,"Balística / Velocidade (&lt;50%)",IF($L86&lt;0.7,"Velocidade-Força (50–69%)",IF($L86&lt;0.8,"Força-Velocidade (70–79%)",IF($L86&lt;0.9,"Força Máxima (80–89%)","Força Máxima Alta (≥90%)")))))</f>
        <v>Balística / Velocidade (&lt;50%)</v>
      </c>
      <c r="AA86" s="27"/>
      <c r="AB86" s="27" t="s">
        <v>688</v>
      </c>
    </row>
    <row r="87" customFormat="false" ht="15" hidden="false" customHeight="false" outlineLevel="0" collapsed="false">
      <c r="A87" s="29" t="n">
        <v>46295</v>
      </c>
      <c r="B87" s="33" t="n">
        <f aca="false">IF($A87="",0,INT(($A87-'Bloco Base'!$C$5)/7)+1)</f>
        <v>4</v>
      </c>
      <c r="C87" s="28" t="s">
        <v>956</v>
      </c>
      <c r="D87" s="28" t="s">
        <v>1192</v>
      </c>
      <c r="E87" s="27" t="s">
        <v>1117</v>
      </c>
      <c r="F87" s="28" t="n">
        <v>3</v>
      </c>
      <c r="G87" s="139" t="s">
        <v>1013</v>
      </c>
      <c r="H87" s="27" t="s">
        <v>558</v>
      </c>
      <c r="I87" s="28" t="s">
        <v>168</v>
      </c>
      <c r="J87" s="28" t="n">
        <v>4</v>
      </c>
      <c r="K87" s="28" t="n">
        <v>5</v>
      </c>
      <c r="L87" s="71"/>
      <c r="M87" s="35" t="str">
        <f aca="false">IF($AB87="","",IFERROR(INDEX('Força 1RM'!$Q$8:$Y$47,MATCH(IF($E87="Equipe (todos)",$C$4,$E87),'Força 1RM'!$P$8:$P$47,0),MATCH($AB87,'Força 1RM'!$Q$7:$Y$7,0)),""))</f>
        <v/>
      </c>
      <c r="N87" s="30" t="n">
        <f aca="false">IFERROR(IF(OR($L87="",$M87="",$M87=0),0,ROUND($L87*$M87*2,0)/2),0)</f>
        <v>0</v>
      </c>
      <c r="O87" s="32"/>
      <c r="P87" s="42" t="str">
        <f aca="false">IFERROR(IF(OR($L87="",$I87="—",$I87=""),"",IF($I87="Agachamento",INDEX($AE$8:$AE$20,MATCH($L87,$AD$8:$AD$20,1)),IF($I87="Supino",INDEX($AF$8:$AF$20,MATCH($L87,$AD$8:$AD$20,1)),IF($I87="Terra",INDEX($AG$8:$AG$20,MATCH($L87,$AD$8:$AD$20,1)),"")))),"")</f>
        <v/>
      </c>
      <c r="Q87" s="45"/>
      <c r="R87" s="71"/>
      <c r="S87" s="71"/>
      <c r="T87" s="69" t="str">
        <f aca="false">IF(OR($R87="",$S87=""),"",IF($S87&gt;$R87,"Acima do limite","Dentro do limite"))</f>
        <v/>
      </c>
      <c r="U87" s="28"/>
      <c r="V87" s="28"/>
      <c r="W87" s="28" t="n">
        <v>120</v>
      </c>
      <c r="X87" s="140" t="n">
        <f aca="false">IFERROR(IF(OR($J87="",$K87=""),0,$J87*$K87),0)</f>
        <v>20</v>
      </c>
      <c r="Y87" s="44" t="n">
        <f aca="false">IFERROR(IF($X87=0,0,$X87*IF($O87="",$N87,$O87)),0)</f>
        <v>0</v>
      </c>
      <c r="Z87" s="60" t="str">
        <f aca="false">IF($L87="","",IF($L87&lt;0.5,"Balística / Velocidade (&lt;50%)",IF($L87&lt;0.7,"Velocidade-Força (50–69%)",IF($L87&lt;0.8,"Força-Velocidade (70–79%)",IF($L87&lt;0.9,"Força Máxima (80–89%)","Força Máxima Alta (≥90%)")))))</f>
        <v/>
      </c>
      <c r="AA87" s="27"/>
      <c r="AB87" s="27"/>
    </row>
    <row r="88" customFormat="false" ht="15" hidden="false" customHeight="false" outlineLevel="0" collapsed="false">
      <c r="A88" s="29" t="n">
        <v>46295</v>
      </c>
      <c r="B88" s="33" t="n">
        <f aca="false">IF($A88="",0,INT(($A88-'Bloco Base'!$C$5)/7)+1)</f>
        <v>4</v>
      </c>
      <c r="C88" s="28" t="s">
        <v>956</v>
      </c>
      <c r="D88" s="28" t="s">
        <v>1192</v>
      </c>
      <c r="E88" s="27" t="s">
        <v>1117</v>
      </c>
      <c r="F88" s="28" t="n">
        <v>4</v>
      </c>
      <c r="G88" s="139" t="s">
        <v>562</v>
      </c>
      <c r="H88" s="27" t="s">
        <v>558</v>
      </c>
      <c r="I88" s="28" t="s">
        <v>168</v>
      </c>
      <c r="J88" s="28" t="n">
        <v>3</v>
      </c>
      <c r="K88" s="28" t="n">
        <v>5</v>
      </c>
      <c r="L88" s="71"/>
      <c r="M88" s="35" t="str">
        <f aca="false">IF($AB88="","",IFERROR(INDEX('Força 1RM'!$Q$8:$Y$47,MATCH(IF($E88="Equipe (todos)",$C$4,$E88),'Força 1RM'!$P$8:$P$47,0),MATCH($AB88,'Força 1RM'!$Q$7:$Y$7,0)),""))</f>
        <v/>
      </c>
      <c r="N88" s="30" t="n">
        <f aca="false">IFERROR(IF(OR($L88="",$M88="",$M88=0),0,ROUND($L88*$M88*2,0)/2),0)</f>
        <v>0</v>
      </c>
      <c r="O88" s="32"/>
      <c r="P88" s="42" t="str">
        <f aca="false">IFERROR(IF(OR($L88="",$I88="—",$I88=""),"",IF($I88="Agachamento",INDEX($AE$8:$AE$20,MATCH($L88,$AD$8:$AD$20,1)),IF($I88="Supino",INDEX($AF$8:$AF$20,MATCH($L88,$AD$8:$AD$20,1)),IF($I88="Terra",INDEX($AG$8:$AG$20,MATCH($L88,$AD$8:$AD$20,1)),"")))),"")</f>
        <v/>
      </c>
      <c r="Q88" s="45"/>
      <c r="R88" s="71"/>
      <c r="S88" s="71"/>
      <c r="T88" s="69" t="str">
        <f aca="false">IF(OR($R88="",$S88=""),"",IF($S88&gt;$R88,"Acima do limite","Dentro do limite"))</f>
        <v/>
      </c>
      <c r="U88" s="28"/>
      <c r="V88" s="28"/>
      <c r="W88" s="28" t="n">
        <v>120</v>
      </c>
      <c r="X88" s="140" t="n">
        <f aca="false">IFERROR(IF(OR($J88="",$K88=""),0,$J88*$K88),0)</f>
        <v>15</v>
      </c>
      <c r="Y88" s="44" t="n">
        <f aca="false">IFERROR(IF($X88=0,0,$X88*IF($O88="",$N88,$O88)),0)</f>
        <v>0</v>
      </c>
      <c r="Z88" s="60" t="str">
        <f aca="false">IF($L88="","",IF($L88&lt;0.5,"Balística / Velocidade (&lt;50%)",IF($L88&lt;0.7,"Velocidade-Força (50–69%)",IF($L88&lt;0.8,"Força-Velocidade (70–79%)",IF($L88&lt;0.9,"Força Máxima (80–89%)","Força Máxima Alta (≥90%)")))))</f>
        <v/>
      </c>
      <c r="AA88" s="27"/>
      <c r="AB88" s="27"/>
    </row>
    <row r="89" customFormat="false" ht="15" hidden="false" customHeight="false" outlineLevel="0" collapsed="false">
      <c r="A89" s="29" t="n">
        <v>46295</v>
      </c>
      <c r="B89" s="33" t="n">
        <f aca="false">IF($A89="",0,INT(($A89-'Bloco Base'!$C$5)/7)+1)</f>
        <v>4</v>
      </c>
      <c r="C89" s="28" t="s">
        <v>956</v>
      </c>
      <c r="D89" s="28" t="s">
        <v>1192</v>
      </c>
      <c r="E89" s="27" t="s">
        <v>1117</v>
      </c>
      <c r="F89" s="28" t="n">
        <v>5</v>
      </c>
      <c r="G89" s="139" t="s">
        <v>644</v>
      </c>
      <c r="H89" s="27" t="s">
        <v>537</v>
      </c>
      <c r="I89" s="28" t="s">
        <v>1017</v>
      </c>
      <c r="J89" s="28" t="n">
        <v>3</v>
      </c>
      <c r="K89" s="28" t="n">
        <v>8</v>
      </c>
      <c r="L89" s="71" t="n">
        <v>0.65</v>
      </c>
      <c r="M89" s="35" t="n">
        <f aca="false">IF($AB89="","",IFERROR(INDEX('Força 1RM'!$Q$8:$Y$47,MATCH(IF($E89="Equipe (todos)",$C$4,$E89),'Força 1RM'!$P$8:$P$47,0),MATCH($AB89,'Força 1RM'!$Q$7:$Y$7,0)),""))</f>
        <v>72.5</v>
      </c>
      <c r="N89" s="30" t="n">
        <f aca="false">IFERROR(IF(OR($L89="",$M89="",$M89=0),0,ROUND($L89*$M89*2,0)/2),0)</f>
        <v>47</v>
      </c>
      <c r="O89" s="32"/>
      <c r="P89" s="42" t="n">
        <f aca="false">IFERROR(IF(OR($L89="",$I89="—",$I89=""),"",IF($I89="Agachamento",INDEX($AE$8:$AE$20,MATCH($L89,$AD$8:$AD$20,1)),IF($I89="Supino",INDEX($AF$8:$AF$20,MATCH($L89,$AD$8:$AD$20,1)),IF($I89="Terra",INDEX($AG$8:$AG$20,MATCH($L89,$AD$8:$AD$20,1)),"")))),"")</f>
        <v>0.58</v>
      </c>
      <c r="Q89" s="45"/>
      <c r="R89" s="71" t="n">
        <v>0.2</v>
      </c>
      <c r="S89" s="71"/>
      <c r="T89" s="69" t="str">
        <f aca="false">IF(OR($R89="",$S89=""),"",IF($S89&gt;$R89,"Acima do limite","Dentro do limite"))</f>
        <v/>
      </c>
      <c r="U89" s="28"/>
      <c r="V89" s="28"/>
      <c r="W89" s="28" t="n">
        <v>120</v>
      </c>
      <c r="X89" s="140" t="n">
        <f aca="false">IFERROR(IF(OR($J89="",$K89=""),0,$J89*$K89),0)</f>
        <v>24</v>
      </c>
      <c r="Y89" s="44" t="n">
        <f aca="false">IFERROR(IF($X89=0,0,$X89*IF($O89="",$N89,$O89)),0)</f>
        <v>1128</v>
      </c>
      <c r="Z89" s="60" t="str">
        <f aca="false">IF($L89="","",IF($L89&lt;0.5,"Balística / Velocidade (&lt;50%)",IF($L89&lt;0.7,"Velocidade-Força (50–69%)",IF($L89&lt;0.8,"Força-Velocidade (70–79%)",IF($L89&lt;0.9,"Força Máxima (80–89%)","Força Máxima Alta (≥90%)")))))</f>
        <v>Velocidade-Força (50–69%)</v>
      </c>
      <c r="AA89" s="27"/>
      <c r="AB89" s="27" t="s">
        <v>644</v>
      </c>
    </row>
    <row r="90" customFormat="false" ht="15" hidden="false" customHeight="false" outlineLevel="0" collapsed="false">
      <c r="A90" s="29" t="n">
        <v>46295</v>
      </c>
      <c r="B90" s="33" t="n">
        <f aca="false">IF($A90="",0,INT(($A90-'Bloco Base'!$C$5)/7)+1)</f>
        <v>4</v>
      </c>
      <c r="C90" s="28" t="s">
        <v>956</v>
      </c>
      <c r="D90" s="28" t="s">
        <v>1192</v>
      </c>
      <c r="E90" s="27" t="s">
        <v>1117</v>
      </c>
      <c r="F90" s="28" t="n">
        <v>6</v>
      </c>
      <c r="G90" s="139" t="s">
        <v>656</v>
      </c>
      <c r="H90" s="27" t="s">
        <v>537</v>
      </c>
      <c r="I90" s="28" t="s">
        <v>168</v>
      </c>
      <c r="J90" s="28" t="n">
        <v>3</v>
      </c>
      <c r="K90" s="28" t="n">
        <v>8</v>
      </c>
      <c r="L90" s="71" t="n">
        <v>0.65</v>
      </c>
      <c r="M90" s="35" t="str">
        <f aca="false">IF($AB90="","",IFERROR(INDEX('Força 1RM'!$Q$8:$Y$47,MATCH(IF($E90="Equipe (todos)",$C$4,$E90),'Força 1RM'!$P$8:$P$47,0),MATCH($AB90,'Força 1RM'!$Q$7:$Y$7,0)),""))</f>
        <v/>
      </c>
      <c r="N90" s="30" t="n">
        <f aca="false">IFERROR(IF(OR($L90="",$M90="",$M90=0),0,ROUND($L90*$M90*2,0)/2),0)</f>
        <v>0</v>
      </c>
      <c r="O90" s="32"/>
      <c r="P90" s="42" t="str">
        <f aca="false">IFERROR(IF(OR($L90="",$I90="—",$I90=""),"",IF($I90="Agachamento",INDEX($AE$8:$AE$20,MATCH($L90,$AD$8:$AD$20,1)),IF($I90="Supino",INDEX($AF$8:$AF$20,MATCH($L90,$AD$8:$AD$20,1)),IF($I90="Terra",INDEX($AG$8:$AG$20,MATCH($L90,$AD$8:$AD$20,1)),"")))),"")</f>
        <v/>
      </c>
      <c r="Q90" s="45"/>
      <c r="R90" s="71" t="n">
        <v>0.2</v>
      </c>
      <c r="S90" s="71"/>
      <c r="T90" s="69" t="str">
        <f aca="false">IF(OR($R90="",$S90=""),"",IF($S90&gt;$R90,"Acima do limite","Dentro do limite"))</f>
        <v/>
      </c>
      <c r="U90" s="28"/>
      <c r="V90" s="28"/>
      <c r="W90" s="28" t="n">
        <v>120</v>
      </c>
      <c r="X90" s="140" t="n">
        <f aca="false">IFERROR(IF(OR($J90="",$K90=""),0,$J90*$K90),0)</f>
        <v>24</v>
      </c>
      <c r="Y90" s="44" t="n">
        <f aca="false">IFERROR(IF($X90=0,0,$X90*IF($O90="",$N90,$O90)),0)</f>
        <v>0</v>
      </c>
      <c r="Z90" s="60" t="str">
        <f aca="false">IF($L90="","",IF($L90&lt;0.5,"Balística / Velocidade (&lt;50%)",IF($L90&lt;0.7,"Velocidade-Força (50–69%)",IF($L90&lt;0.8,"Força-Velocidade (70–79%)",IF($L90&lt;0.9,"Força Máxima (80–89%)","Força Máxima Alta (≥90%)")))))</f>
        <v>Velocidade-Força (50–69%)</v>
      </c>
      <c r="AA90" s="27"/>
      <c r="AB90" s="27"/>
    </row>
    <row r="91" customFormat="false" ht="15" hidden="false" customHeight="false" outlineLevel="0" collapsed="false">
      <c r="A91" s="29" t="n">
        <v>46295</v>
      </c>
      <c r="B91" s="33" t="n">
        <f aca="false">IF($A91="",0,INT(($A91-'Bloco Base'!$C$5)/7)+1)</f>
        <v>4</v>
      </c>
      <c r="C91" s="28" t="s">
        <v>956</v>
      </c>
      <c r="D91" s="28" t="s">
        <v>1192</v>
      </c>
      <c r="E91" s="27" t="s">
        <v>1117</v>
      </c>
      <c r="F91" s="28" t="n">
        <v>7</v>
      </c>
      <c r="G91" s="139" t="s">
        <v>636</v>
      </c>
      <c r="H91" s="27" t="s">
        <v>792</v>
      </c>
      <c r="I91" s="28" t="s">
        <v>168</v>
      </c>
      <c r="J91" s="28" t="n">
        <v>3</v>
      </c>
      <c r="K91" s="28" t="n">
        <v>8</v>
      </c>
      <c r="L91" s="71"/>
      <c r="M91" s="35" t="str">
        <f aca="false">IF($AB91="","",IFERROR(INDEX('Força 1RM'!$Q$8:$Y$47,MATCH(IF($E91="Equipe (todos)",$C$4,$E91),'Força 1RM'!$P$8:$P$47,0),MATCH($AB91,'Força 1RM'!$Q$7:$Y$7,0)),""))</f>
        <v/>
      </c>
      <c r="N91" s="30" t="n">
        <f aca="false">IFERROR(IF(OR($L91="",$M91="",$M91=0),0,ROUND($L91*$M91*2,0)/2),0)</f>
        <v>0</v>
      </c>
      <c r="O91" s="32"/>
      <c r="P91" s="42" t="str">
        <f aca="false">IFERROR(IF(OR($L91="",$I91="—",$I91=""),"",IF($I91="Agachamento",INDEX($AE$8:$AE$20,MATCH($L91,$AD$8:$AD$20,1)),IF($I91="Supino",INDEX($AF$8:$AF$20,MATCH($L91,$AD$8:$AD$20,1)),IF($I91="Terra",INDEX($AG$8:$AG$20,MATCH($L91,$AD$8:$AD$20,1)),"")))),"")</f>
        <v/>
      </c>
      <c r="Q91" s="45"/>
      <c r="R91" s="71"/>
      <c r="S91" s="71"/>
      <c r="T91" s="69" t="str">
        <f aca="false">IF(OR($R91="",$S91=""),"",IF($S91&gt;$R91,"Acima do limite","Dentro do limite"))</f>
        <v/>
      </c>
      <c r="U91" s="28"/>
      <c r="V91" s="28"/>
      <c r="W91" s="28" t="n">
        <v>90</v>
      </c>
      <c r="X91" s="140" t="n">
        <f aca="false">IFERROR(IF(OR($J91="",$K91=""),0,$J91*$K91),0)</f>
        <v>24</v>
      </c>
      <c r="Y91" s="44" t="n">
        <f aca="false">IFERROR(IF($X91=0,0,$X91*IF($O91="",$N91,$O91)),0)</f>
        <v>0</v>
      </c>
      <c r="Z91" s="60" t="str">
        <f aca="false">IF($L91="","",IF($L91&lt;0.5,"Balística / Velocidade (&lt;50%)",IF($L91&lt;0.7,"Velocidade-Força (50–69%)",IF($L91&lt;0.8,"Força-Velocidade (70–79%)",IF($L91&lt;0.9,"Força Máxima (80–89%)","Força Máxima Alta (≥90%)")))))</f>
        <v/>
      </c>
      <c r="AA91" s="27"/>
      <c r="AB91" s="27"/>
    </row>
    <row r="92" customFormat="false" ht="15" hidden="false" customHeight="false" outlineLevel="0" collapsed="false">
      <c r="A92" s="29" t="n">
        <v>46295</v>
      </c>
      <c r="B92" s="33" t="n">
        <f aca="false">IF($A92="",0,INT(($A92-'Bloco Base'!$C$5)/7)+1)</f>
        <v>4</v>
      </c>
      <c r="C92" s="28" t="s">
        <v>956</v>
      </c>
      <c r="D92" s="28" t="s">
        <v>1192</v>
      </c>
      <c r="E92" s="27" t="s">
        <v>1117</v>
      </c>
      <c r="F92" s="28" t="n">
        <v>8</v>
      </c>
      <c r="G92" s="139" t="s">
        <v>1022</v>
      </c>
      <c r="H92" s="27" t="s">
        <v>776</v>
      </c>
      <c r="I92" s="28" t="s">
        <v>168</v>
      </c>
      <c r="J92" s="28" t="n">
        <v>3</v>
      </c>
      <c r="K92" s="28" t="n">
        <v>20</v>
      </c>
      <c r="L92" s="71"/>
      <c r="M92" s="35" t="str">
        <f aca="false">IF($AB92="","",IFERROR(INDEX('Força 1RM'!$Q$8:$Y$47,MATCH(IF($E92="Equipe (todos)",$C$4,$E92),'Força 1RM'!$P$8:$P$47,0),MATCH($AB92,'Força 1RM'!$Q$7:$Y$7,0)),""))</f>
        <v/>
      </c>
      <c r="N92" s="30" t="n">
        <f aca="false">IFERROR(IF(OR($L92="",$M92="",$M92=0),0,ROUND($L92*$M92*2,0)/2),0)</f>
        <v>0</v>
      </c>
      <c r="O92" s="32"/>
      <c r="P92" s="42" t="str">
        <f aca="false">IFERROR(IF(OR($L92="",$I92="—",$I92=""),"",IF($I92="Agachamento",INDEX($AE$8:$AE$20,MATCH($L92,$AD$8:$AD$20,1)),IF($I92="Supino",INDEX($AF$8:$AF$20,MATCH($L92,$AD$8:$AD$20,1)),IF($I92="Terra",INDEX($AG$8:$AG$20,MATCH($L92,$AD$8:$AD$20,1)),"")))),"")</f>
        <v/>
      </c>
      <c r="Q92" s="45"/>
      <c r="R92" s="71"/>
      <c r="S92" s="71"/>
      <c r="T92" s="69" t="str">
        <f aca="false">IF(OR($R92="",$S92=""),"",IF($S92&gt;$R92,"Acima do limite","Dentro do limite"))</f>
        <v/>
      </c>
      <c r="U92" s="28"/>
      <c r="V92" s="28"/>
      <c r="W92" s="28" t="n">
        <v>45</v>
      </c>
      <c r="X92" s="140" t="n">
        <f aca="false">IFERROR(IF(OR($J92="",$K92=""),0,$J92*$K92),0)</f>
        <v>60</v>
      </c>
      <c r="Y92" s="44" t="n">
        <f aca="false">IFERROR(IF($X92=0,0,$X92*IF($O92="",$N92,$O92)),0)</f>
        <v>0</v>
      </c>
      <c r="Z92" s="60" t="str">
        <f aca="false">IF($L92="","",IF($L92&lt;0.5,"Balística / Velocidade (&lt;50%)",IF($L92&lt;0.7,"Velocidade-Força (50–69%)",IF($L92&lt;0.8,"Força-Velocidade (70–79%)",IF($L92&lt;0.9,"Força Máxima (80–89%)","Força Máxima Alta (≥90%)")))))</f>
        <v/>
      </c>
      <c r="AA92" s="27"/>
      <c r="AB92" s="27"/>
    </row>
    <row r="93" customFormat="false" ht="15" hidden="false" customHeight="false" outlineLevel="0" collapsed="false">
      <c r="A93" s="29" t="n">
        <v>46297</v>
      </c>
      <c r="B93" s="33" t="n">
        <f aca="false">IF($A93="",0,INT(($A93-'Bloco Base'!$C$5)/7)+1)</f>
        <v>4</v>
      </c>
      <c r="C93" s="28" t="s">
        <v>956</v>
      </c>
      <c r="D93" s="28" t="s">
        <v>1193</v>
      </c>
      <c r="E93" s="27" t="s">
        <v>1117</v>
      </c>
      <c r="F93" s="28" t="n">
        <v>1</v>
      </c>
      <c r="G93" s="139" t="s">
        <v>600</v>
      </c>
      <c r="H93" s="27" t="s">
        <v>994</v>
      </c>
      <c r="I93" s="28" t="s">
        <v>168</v>
      </c>
      <c r="J93" s="28" t="n">
        <v>1</v>
      </c>
      <c r="K93" s="28" t="n">
        <v>8</v>
      </c>
      <c r="L93" s="71"/>
      <c r="M93" s="35" t="str">
        <f aca="false">IF($AB93="","",IFERROR(INDEX('Força 1RM'!$Q$8:$Y$47,MATCH(IF($E93="Equipe (todos)",$C$4,$E93),'Força 1RM'!$P$8:$P$47,0),MATCH($AB93,'Força 1RM'!$Q$7:$Y$7,0)),""))</f>
        <v/>
      </c>
      <c r="N93" s="30" t="n">
        <f aca="false">IFERROR(IF(OR($L93="",$M93="",$M93=0),0,ROUND($L93*$M93*2,0)/2),0)</f>
        <v>0</v>
      </c>
      <c r="O93" s="32"/>
      <c r="P93" s="42" t="str">
        <f aca="false">IFERROR(IF(OR($L93="",$I93="—",$I93=""),"",IF($I93="Agachamento",INDEX($AE$8:$AE$20,MATCH($L93,$AD$8:$AD$20,1)),IF($I93="Supino",INDEX($AF$8:$AF$20,MATCH($L93,$AD$8:$AD$20,1)),IF($I93="Terra",INDEX($AG$8:$AG$20,MATCH($L93,$AD$8:$AD$20,1)),"")))),"")</f>
        <v/>
      </c>
      <c r="Q93" s="45"/>
      <c r="R93" s="71"/>
      <c r="S93" s="71"/>
      <c r="T93" s="69" t="str">
        <f aca="false">IF(OR($R93="",$S93=""),"",IF($S93&gt;$R93,"Acima do limite","Dentro do limite"))</f>
        <v/>
      </c>
      <c r="U93" s="28"/>
      <c r="V93" s="28"/>
      <c r="W93" s="28" t="n">
        <v>0</v>
      </c>
      <c r="X93" s="140" t="n">
        <f aca="false">IFERROR(IF(OR($J93="",$K93=""),0,$J93*$K93),0)</f>
        <v>8</v>
      </c>
      <c r="Y93" s="44" t="n">
        <f aca="false">IFERROR(IF($X93=0,0,$X93*IF($O93="",$N93,$O93)),0)</f>
        <v>0</v>
      </c>
      <c r="Z93" s="60" t="str">
        <f aca="false">IF($L93="","",IF($L93&lt;0.5,"Balística / Velocidade (&lt;50%)",IF($L93&lt;0.7,"Velocidade-Força (50–69%)",IF($L93&lt;0.8,"Força-Velocidade (70–79%)",IF($L93&lt;0.9,"Força Máxima (80–89%)","Força Máxima Alta (≥90%)")))))</f>
        <v/>
      </c>
      <c r="AA93" s="27"/>
      <c r="AB93" s="27"/>
    </row>
    <row r="94" customFormat="false" ht="15" hidden="false" customHeight="false" outlineLevel="0" collapsed="false">
      <c r="A94" s="29" t="n">
        <v>46297</v>
      </c>
      <c r="B94" s="33" t="n">
        <f aca="false">IF($A94="",0,INT(($A94-'Bloco Base'!$C$5)/7)+1)</f>
        <v>4</v>
      </c>
      <c r="C94" s="28" t="s">
        <v>956</v>
      </c>
      <c r="D94" s="28" t="s">
        <v>1193</v>
      </c>
      <c r="E94" s="27" t="s">
        <v>1117</v>
      </c>
      <c r="F94" s="28" t="n">
        <v>2</v>
      </c>
      <c r="G94" s="139" t="s">
        <v>623</v>
      </c>
      <c r="H94" s="27" t="s">
        <v>1191</v>
      </c>
      <c r="I94" s="28" t="s">
        <v>168</v>
      </c>
      <c r="J94" s="28" t="n">
        <v>3</v>
      </c>
      <c r="K94" s="28" t="n">
        <v>3</v>
      </c>
      <c r="L94" s="71" t="n">
        <v>0.55</v>
      </c>
      <c r="M94" s="35" t="n">
        <f aca="false">IF($AB94="","",IFERROR(INDEX('Força 1RM'!$Q$8:$Y$47,MATCH(IF($E94="Equipe (todos)",$C$4,$E94),'Força 1RM'!$P$8:$P$47,0),MATCH($AB94,'Força 1RM'!$Q$7:$Y$7,0)),""))</f>
        <v>117.5</v>
      </c>
      <c r="N94" s="30" t="n">
        <f aca="false">IFERROR(IF(OR($L94="",$M94="",$M94=0),0,ROUND($L94*$M94*2,0)/2),0)</f>
        <v>64.5</v>
      </c>
      <c r="O94" s="32"/>
      <c r="P94" s="42" t="str">
        <f aca="false">IFERROR(IF(OR($L94="",$I94="—",$I94=""),"",IF($I94="Agachamento",INDEX($AE$8:$AE$20,MATCH($L94,$AD$8:$AD$20,1)),IF($I94="Supino",INDEX($AF$8:$AF$20,MATCH($L94,$AD$8:$AD$20,1)),IF($I94="Terra",INDEX($AG$8:$AG$20,MATCH($L94,$AD$8:$AD$20,1)),"")))),"")</f>
        <v/>
      </c>
      <c r="Q94" s="45"/>
      <c r="R94" s="71" t="n">
        <v>0.1</v>
      </c>
      <c r="S94" s="71"/>
      <c r="T94" s="69" t="str">
        <f aca="false">IF(OR($R94="",$S94=""),"",IF($S94&gt;$R94,"Acima do limite","Dentro do limite"))</f>
        <v/>
      </c>
      <c r="U94" s="28"/>
      <c r="V94" s="28"/>
      <c r="W94" s="28" t="n">
        <v>150</v>
      </c>
      <c r="X94" s="140" t="n">
        <f aca="false">IFERROR(IF(OR($J94="",$K94=""),0,$J94*$K94),0)</f>
        <v>9</v>
      </c>
      <c r="Y94" s="44" t="n">
        <f aca="false">IFERROR(IF($X94=0,0,$X94*IF($O94="",$N94,$O94)),0)</f>
        <v>580.5</v>
      </c>
      <c r="Z94" s="60" t="str">
        <f aca="false">IF($L94="","",IF($L94&lt;0.5,"Balística / Velocidade (&lt;50%)",IF($L94&lt;0.7,"Velocidade-Força (50–69%)",IF($L94&lt;0.8,"Força-Velocidade (70–79%)",IF($L94&lt;0.9,"Força Máxima (80–89%)","Força Máxima Alta (≥90%)")))))</f>
        <v>Velocidade-Força (50–69%)</v>
      </c>
      <c r="AA94" s="27"/>
      <c r="AB94" s="27" t="s">
        <v>620</v>
      </c>
    </row>
    <row r="95" customFormat="false" ht="15" hidden="false" customHeight="false" outlineLevel="0" collapsed="false">
      <c r="A95" s="29" t="n">
        <v>46297</v>
      </c>
      <c r="B95" s="33" t="n">
        <f aca="false">IF($A95="",0,INT(($A95-'Bloco Base'!$C$5)/7)+1)</f>
        <v>4</v>
      </c>
      <c r="C95" s="28" t="s">
        <v>956</v>
      </c>
      <c r="D95" s="28" t="s">
        <v>1193</v>
      </c>
      <c r="E95" s="27" t="s">
        <v>1117</v>
      </c>
      <c r="F95" s="28" t="n">
        <v>3</v>
      </c>
      <c r="G95" s="139" t="s">
        <v>698</v>
      </c>
      <c r="H95" s="27" t="s">
        <v>1191</v>
      </c>
      <c r="I95" s="28" t="s">
        <v>692</v>
      </c>
      <c r="J95" s="28" t="n">
        <v>3</v>
      </c>
      <c r="K95" s="28" t="n">
        <v>5</v>
      </c>
      <c r="L95" s="71" t="n">
        <v>0.55</v>
      </c>
      <c r="M95" s="35" t="n">
        <f aca="false">IF($AB95="","",IFERROR(INDEX('Força 1RM'!$Q$8:$Y$47,MATCH(IF($E95="Equipe (todos)",$C$4,$E95),'Força 1RM'!$P$8:$P$47,0),MATCH($AB95,'Força 1RM'!$Q$7:$Y$7,0)),""))</f>
        <v>160</v>
      </c>
      <c r="N95" s="30" t="n">
        <f aca="false">IFERROR(IF(OR($L95="",$M95="",$M95=0),0,ROUND($L95*$M95*2,0)/2),0)</f>
        <v>88</v>
      </c>
      <c r="O95" s="32"/>
      <c r="P95" s="42" t="n">
        <f aca="false">IFERROR(IF(OR($L95="",$I95="—",$I95=""),"",IF($I95="Agachamento",INDEX($AE$8:$AE$20,MATCH($L95,$AD$8:$AD$20,1)),IF($I95="Supino",INDEX($AF$8:$AF$20,MATCH($L95,$AD$8:$AD$20,1)),IF($I95="Terra",INDEX($AG$8:$AG$20,MATCH($L95,$AD$8:$AD$20,1)),"")))),"")</f>
        <v>0.89</v>
      </c>
      <c r="Q95" s="45"/>
      <c r="R95" s="71" t="n">
        <v>0.15</v>
      </c>
      <c r="S95" s="71"/>
      <c r="T95" s="69" t="str">
        <f aca="false">IF(OR($R95="",$S95=""),"",IF($S95&gt;$R95,"Acima do limite","Dentro do limite"))</f>
        <v/>
      </c>
      <c r="U95" s="28"/>
      <c r="V95" s="28"/>
      <c r="W95" s="28" t="n">
        <v>150</v>
      </c>
      <c r="X95" s="140" t="n">
        <f aca="false">IFERROR(IF(OR($J95="",$K95=""),0,$J95*$K95),0)</f>
        <v>15</v>
      </c>
      <c r="Y95" s="44" t="n">
        <f aca="false">IFERROR(IF($X95=0,0,$X95*IF($O95="",$N95,$O95)),0)</f>
        <v>1320</v>
      </c>
      <c r="Z95" s="60" t="str">
        <f aca="false">IF($L95="","",IF($L95&lt;0.5,"Balística / Velocidade (&lt;50%)",IF($L95&lt;0.7,"Velocidade-Força (50–69%)",IF($L95&lt;0.8,"Força-Velocidade (70–79%)",IF($L95&lt;0.9,"Força Máxima (80–89%)","Força Máxima Alta (≥90%)")))))</f>
        <v>Velocidade-Força (50–69%)</v>
      </c>
      <c r="AA95" s="27"/>
      <c r="AB95" s="27" t="s">
        <v>688</v>
      </c>
    </row>
    <row r="96" customFormat="false" ht="15" hidden="false" customHeight="false" outlineLevel="0" collapsed="false">
      <c r="A96" s="29" t="n">
        <v>46297</v>
      </c>
      <c r="B96" s="33" t="n">
        <f aca="false">IF($A96="",0,INT(($A96-'Bloco Base'!$C$5)/7)+1)</f>
        <v>4</v>
      </c>
      <c r="C96" s="28" t="s">
        <v>956</v>
      </c>
      <c r="D96" s="28" t="s">
        <v>1193</v>
      </c>
      <c r="E96" s="27" t="s">
        <v>1117</v>
      </c>
      <c r="F96" s="28" t="n">
        <v>4</v>
      </c>
      <c r="G96" s="139" t="s">
        <v>728</v>
      </c>
      <c r="H96" s="27" t="s">
        <v>1004</v>
      </c>
      <c r="I96" s="28" t="s">
        <v>168</v>
      </c>
      <c r="J96" s="28" t="n">
        <v>2</v>
      </c>
      <c r="K96" s="28" t="n">
        <v>10</v>
      </c>
      <c r="L96" s="71"/>
      <c r="M96" s="35" t="str">
        <f aca="false">IF($AB96="","",IFERROR(INDEX('Força 1RM'!$Q$8:$Y$47,MATCH(IF($E96="Equipe (todos)",$C$4,$E96),'Força 1RM'!$P$8:$P$47,0),MATCH($AB96,'Força 1RM'!$Q$7:$Y$7,0)),""))</f>
        <v/>
      </c>
      <c r="N96" s="30" t="n">
        <f aca="false">IFERROR(IF(OR($L96="",$M96="",$M96=0),0,ROUND($L96*$M96*2,0)/2),0)</f>
        <v>0</v>
      </c>
      <c r="O96" s="32"/>
      <c r="P96" s="42" t="str">
        <f aca="false">IFERROR(IF(OR($L96="",$I96="—",$I96=""),"",IF($I96="Agachamento",INDEX($AE$8:$AE$20,MATCH($L96,$AD$8:$AD$20,1)),IF($I96="Supino",INDEX($AF$8:$AF$20,MATCH($L96,$AD$8:$AD$20,1)),IF($I96="Terra",INDEX($AG$8:$AG$20,MATCH($L96,$AD$8:$AD$20,1)),"")))),"")</f>
        <v/>
      </c>
      <c r="Q96" s="45"/>
      <c r="R96" s="71"/>
      <c r="S96" s="71"/>
      <c r="T96" s="69" t="str">
        <f aca="false">IF(OR($R96="",$S96=""),"",IF($S96&gt;$R96,"Acima do limite","Dentro do limite"))</f>
        <v/>
      </c>
      <c r="U96" s="28"/>
      <c r="V96" s="28"/>
      <c r="W96" s="28" t="n">
        <v>60</v>
      </c>
      <c r="X96" s="140" t="n">
        <f aca="false">IFERROR(IF(OR($J96="",$K96=""),0,$J96*$K96),0)</f>
        <v>20</v>
      </c>
      <c r="Y96" s="44" t="n">
        <f aca="false">IFERROR(IF($X96=0,0,$X96*IF($O96="",$N96,$O96)),0)</f>
        <v>0</v>
      </c>
      <c r="Z96" s="60" t="str">
        <f aca="false">IF($L96="","",IF($L96&lt;0.5,"Balística / Velocidade (&lt;50%)",IF($L96&lt;0.7,"Velocidade-Força (50–69%)",IF($L96&lt;0.8,"Força-Velocidade (70–79%)",IF($L96&lt;0.9,"Força Máxima (80–89%)","Força Máxima Alta (≥90%)")))))</f>
        <v/>
      </c>
      <c r="AA96" s="27"/>
      <c r="AB96" s="27"/>
    </row>
    <row r="97" customFormat="false" ht="15" hidden="false" customHeight="false" outlineLevel="0" collapsed="false">
      <c r="A97" s="29" t="n">
        <v>46297</v>
      </c>
      <c r="B97" s="33" t="n">
        <f aca="false">IF($A97="",0,INT(($A97-'Bloco Base'!$C$5)/7)+1)</f>
        <v>4</v>
      </c>
      <c r="C97" s="28" t="s">
        <v>956</v>
      </c>
      <c r="D97" s="28" t="s">
        <v>1193</v>
      </c>
      <c r="E97" s="27" t="s">
        <v>1117</v>
      </c>
      <c r="F97" s="28" t="n">
        <v>5</v>
      </c>
      <c r="G97" s="139" t="s">
        <v>1030</v>
      </c>
      <c r="H97" s="27" t="s">
        <v>537</v>
      </c>
      <c r="I97" s="28" t="s">
        <v>168</v>
      </c>
      <c r="J97" s="28" t="n">
        <v>2</v>
      </c>
      <c r="K97" s="28" t="n">
        <v>8</v>
      </c>
      <c r="L97" s="71"/>
      <c r="M97" s="35" t="str">
        <f aca="false">IF($AB97="","",IFERROR(INDEX('Força 1RM'!$Q$8:$Y$47,MATCH(IF($E97="Equipe (todos)",$C$4,$E97),'Força 1RM'!$P$8:$P$47,0),MATCH($AB97,'Força 1RM'!$Q$7:$Y$7,0)),""))</f>
        <v/>
      </c>
      <c r="N97" s="30" t="n">
        <f aca="false">IFERROR(IF(OR($L97="",$M97="",$M97=0),0,ROUND($L97*$M97*2,0)/2),0)</f>
        <v>0</v>
      </c>
      <c r="O97" s="32"/>
      <c r="P97" s="42" t="str">
        <f aca="false">IFERROR(IF(OR($L97="",$I97="—",$I97=""),"",IF($I97="Agachamento",INDEX($AE$8:$AE$20,MATCH($L97,$AD$8:$AD$20,1)),IF($I97="Supino",INDEX($AF$8:$AF$20,MATCH($L97,$AD$8:$AD$20,1)),IF($I97="Terra",INDEX($AG$8:$AG$20,MATCH($L97,$AD$8:$AD$20,1)),"")))),"")</f>
        <v/>
      </c>
      <c r="Q97" s="45"/>
      <c r="R97" s="71"/>
      <c r="S97" s="71"/>
      <c r="T97" s="69" t="str">
        <f aca="false">IF(OR($R97="",$S97=""),"",IF($S97&gt;$R97,"Acima do limite","Dentro do limite"))</f>
        <v/>
      </c>
      <c r="U97" s="28"/>
      <c r="V97" s="28"/>
      <c r="W97" s="28" t="n">
        <v>90</v>
      </c>
      <c r="X97" s="140" t="n">
        <f aca="false">IFERROR(IF(OR($J97="",$K97=""),0,$J97*$K97),0)</f>
        <v>16</v>
      </c>
      <c r="Y97" s="44" t="n">
        <f aca="false">IFERROR(IF($X97=0,0,$X97*IF($O97="",$N97,$O97)),0)</f>
        <v>0</v>
      </c>
      <c r="Z97" s="60" t="str">
        <f aca="false">IF($L97="","",IF($L97&lt;0.5,"Balística / Velocidade (&lt;50%)",IF($L97&lt;0.7,"Velocidade-Força (50–69%)",IF($L97&lt;0.8,"Força-Velocidade (70–79%)",IF($L97&lt;0.9,"Força Máxima (80–89%)","Força Máxima Alta (≥90%)")))))</f>
        <v/>
      </c>
      <c r="AA97" s="27"/>
      <c r="AB97" s="27"/>
    </row>
    <row r="98" customFormat="false" ht="15" hidden="false" customHeight="false" outlineLevel="0" collapsed="false">
      <c r="A98" s="29" t="n">
        <v>46297</v>
      </c>
      <c r="B98" s="33" t="n">
        <f aca="false">IF($A98="",0,INT(($A98-'Bloco Base'!$C$5)/7)+1)</f>
        <v>4</v>
      </c>
      <c r="C98" s="28" t="s">
        <v>956</v>
      </c>
      <c r="D98" s="28" t="s">
        <v>1193</v>
      </c>
      <c r="E98" s="27" t="s">
        <v>1117</v>
      </c>
      <c r="F98" s="28" t="n">
        <v>6</v>
      </c>
      <c r="G98" s="139" t="s">
        <v>632</v>
      </c>
      <c r="H98" s="27" t="s">
        <v>558</v>
      </c>
      <c r="I98" s="28" t="s">
        <v>168</v>
      </c>
      <c r="J98" s="28" t="n">
        <v>2</v>
      </c>
      <c r="K98" s="28" t="n">
        <v>5</v>
      </c>
      <c r="L98" s="71"/>
      <c r="M98" s="35" t="str">
        <f aca="false">IF($AB98="","",IFERROR(INDEX('Força 1RM'!$Q$8:$Y$47,MATCH(IF($E98="Equipe (todos)",$C$4,$E98),'Força 1RM'!$P$8:$P$47,0),MATCH($AB98,'Força 1RM'!$Q$7:$Y$7,0)),""))</f>
        <v/>
      </c>
      <c r="N98" s="30" t="n">
        <f aca="false">IFERROR(IF(OR($L98="",$M98="",$M98=0),0,ROUND($L98*$M98*2,0)/2),0)</f>
        <v>0</v>
      </c>
      <c r="O98" s="32"/>
      <c r="P98" s="42" t="str">
        <f aca="false">IFERROR(IF(OR($L98="",$I98="—",$I98=""),"",IF($I98="Agachamento",INDEX($AE$8:$AE$20,MATCH($L98,$AD$8:$AD$20,1)),IF($I98="Supino",INDEX($AF$8:$AF$20,MATCH($L98,$AD$8:$AD$20,1)),IF($I98="Terra",INDEX($AG$8:$AG$20,MATCH($L98,$AD$8:$AD$20,1)),"")))),"")</f>
        <v/>
      </c>
      <c r="Q98" s="45"/>
      <c r="R98" s="71"/>
      <c r="S98" s="71"/>
      <c r="T98" s="69" t="str">
        <f aca="false">IF(OR($R98="",$S98=""),"",IF($S98&gt;$R98,"Acima do limite","Dentro do limite"))</f>
        <v/>
      </c>
      <c r="U98" s="28"/>
      <c r="V98" s="28"/>
      <c r="W98" s="28" t="n">
        <v>120</v>
      </c>
      <c r="X98" s="140" t="n">
        <f aca="false">IFERROR(IF(OR($J98="",$K98=""),0,$J98*$K98),0)</f>
        <v>10</v>
      </c>
      <c r="Y98" s="44" t="n">
        <f aca="false">IFERROR(IF($X98=0,0,$X98*IF($O98="",$N98,$O98)),0)</f>
        <v>0</v>
      </c>
      <c r="Z98" s="60" t="str">
        <f aca="false">IF($L98="","",IF($L98&lt;0.5,"Balística / Velocidade (&lt;50%)",IF($L98&lt;0.7,"Velocidade-Força (50–69%)",IF($L98&lt;0.8,"Força-Velocidade (70–79%)",IF($L98&lt;0.9,"Força Máxima (80–89%)","Força Máxima Alta (≥90%)")))))</f>
        <v/>
      </c>
      <c r="AA98" s="27"/>
      <c r="AB98" s="27"/>
    </row>
    <row r="99" customFormat="false" ht="15" hidden="false" customHeight="false" outlineLevel="0" collapsed="false">
      <c r="A99" s="29" t="n">
        <v>46297</v>
      </c>
      <c r="B99" s="33" t="n">
        <f aca="false">IF($A99="",0,INT(($A99-'Bloco Base'!$C$5)/7)+1)</f>
        <v>4</v>
      </c>
      <c r="C99" s="28" t="s">
        <v>956</v>
      </c>
      <c r="D99" s="28" t="s">
        <v>1193</v>
      </c>
      <c r="E99" s="27" t="s">
        <v>1117</v>
      </c>
      <c r="F99" s="28" t="n">
        <v>7</v>
      </c>
      <c r="G99" s="139" t="s">
        <v>664</v>
      </c>
      <c r="H99" s="27" t="s">
        <v>537</v>
      </c>
      <c r="I99" s="28" t="s">
        <v>168</v>
      </c>
      <c r="J99" s="28" t="n">
        <v>3</v>
      </c>
      <c r="K99" s="28" t="n">
        <v>8</v>
      </c>
      <c r="L99" s="71" t="n">
        <v>0.65</v>
      </c>
      <c r="M99" s="35" t="str">
        <f aca="false">IF($AB99="","",IFERROR(INDEX('Força 1RM'!$Q$8:$Y$47,MATCH(IF($E99="Equipe (todos)",$C$4,$E99),'Força 1RM'!$P$8:$P$47,0),MATCH($AB99,'Força 1RM'!$Q$7:$Y$7,0)),""))</f>
        <v/>
      </c>
      <c r="N99" s="30" t="n">
        <f aca="false">IFERROR(IF(OR($L99="",$M99="",$M99=0),0,ROUND($L99*$M99*2,0)/2),0)</f>
        <v>0</v>
      </c>
      <c r="O99" s="32"/>
      <c r="P99" s="42" t="str">
        <f aca="false">IFERROR(IF(OR($L99="",$I99="—",$I99=""),"",IF($I99="Agachamento",INDEX($AE$8:$AE$20,MATCH($L99,$AD$8:$AD$20,1)),IF($I99="Supino",INDEX($AF$8:$AF$20,MATCH($L99,$AD$8:$AD$20,1)),IF($I99="Terra",INDEX($AG$8:$AG$20,MATCH($L99,$AD$8:$AD$20,1)),"")))),"")</f>
        <v/>
      </c>
      <c r="Q99" s="45"/>
      <c r="R99" s="71" t="n">
        <v>0.2</v>
      </c>
      <c r="S99" s="71"/>
      <c r="T99" s="69" t="str">
        <f aca="false">IF(OR($R99="",$S99=""),"",IF($S99&gt;$R99,"Acima do limite","Dentro do limite"))</f>
        <v/>
      </c>
      <c r="U99" s="28"/>
      <c r="V99" s="28"/>
      <c r="W99" s="28" t="n">
        <v>120</v>
      </c>
      <c r="X99" s="140" t="n">
        <f aca="false">IFERROR(IF(OR($J99="",$K99=""),0,$J99*$K99),0)</f>
        <v>24</v>
      </c>
      <c r="Y99" s="44" t="n">
        <f aca="false">IFERROR(IF($X99=0,0,$X99*IF($O99="",$N99,$O99)),0)</f>
        <v>0</v>
      </c>
      <c r="Z99" s="60" t="str">
        <f aca="false">IF($L99="","",IF($L99&lt;0.5,"Balística / Velocidade (&lt;50%)",IF($L99&lt;0.7,"Velocidade-Força (50–69%)",IF($L99&lt;0.8,"Força-Velocidade (70–79%)",IF($L99&lt;0.9,"Força Máxima (80–89%)","Força Máxima Alta (≥90%)")))))</f>
        <v>Velocidade-Força (50–69%)</v>
      </c>
      <c r="AA99" s="27"/>
      <c r="AB99" s="27"/>
    </row>
    <row r="100" customFormat="false" ht="15" hidden="false" customHeight="false" outlineLevel="0" collapsed="false">
      <c r="A100" s="29" t="n">
        <v>46297</v>
      </c>
      <c r="B100" s="33" t="n">
        <f aca="false">IF($A100="",0,INT(($A100-'Bloco Base'!$C$5)/7)+1)</f>
        <v>4</v>
      </c>
      <c r="C100" s="28" t="s">
        <v>956</v>
      </c>
      <c r="D100" s="28" t="s">
        <v>1193</v>
      </c>
      <c r="E100" s="27" t="s">
        <v>1117</v>
      </c>
      <c r="F100" s="28" t="n">
        <v>8</v>
      </c>
      <c r="G100" s="139" t="s">
        <v>566</v>
      </c>
      <c r="H100" s="27" t="s">
        <v>480</v>
      </c>
      <c r="I100" s="28" t="s">
        <v>168</v>
      </c>
      <c r="J100" s="28" t="n">
        <v>4</v>
      </c>
      <c r="K100" s="28" t="n">
        <v>1</v>
      </c>
      <c r="L100" s="71"/>
      <c r="M100" s="35" t="str">
        <f aca="false">IF($AB100="","",IFERROR(INDEX('Força 1RM'!$Q$8:$Y$47,MATCH(IF($E100="Equipe (todos)",$C$4,$E100),'Força 1RM'!$P$8:$P$47,0),MATCH($AB100,'Força 1RM'!$Q$7:$Y$7,0)),""))</f>
        <v/>
      </c>
      <c r="N100" s="30" t="n">
        <f aca="false">IFERROR(IF(OR($L100="",$M100="",$M100=0),0,ROUND($L100*$M100*2,0)/2),0)</f>
        <v>0</v>
      </c>
      <c r="O100" s="32"/>
      <c r="P100" s="42" t="str">
        <f aca="false">IFERROR(IF(OR($L100="",$I100="—",$I100=""),"",IF($I100="Agachamento",INDEX($AE$8:$AE$20,MATCH($L100,$AD$8:$AD$20,1)),IF($I100="Supino",INDEX($AF$8:$AF$20,MATCH($L100,$AD$8:$AD$20,1)),IF($I100="Terra",INDEX($AG$8:$AG$20,MATCH($L100,$AD$8:$AD$20,1)),"")))),"")</f>
        <v/>
      </c>
      <c r="Q100" s="45"/>
      <c r="R100" s="71"/>
      <c r="S100" s="71"/>
      <c r="T100" s="69" t="str">
        <f aca="false">IF(OR($R100="",$S100=""),"",IF($S100&gt;$R100,"Acima do limite","Dentro do limite"))</f>
        <v/>
      </c>
      <c r="U100" s="28"/>
      <c r="V100" s="28"/>
      <c r="W100" s="28" t="n">
        <v>120</v>
      </c>
      <c r="X100" s="140" t="n">
        <f aca="false">IFERROR(IF(OR($J100="",$K100=""),0,$J100*$K100),0)</f>
        <v>4</v>
      </c>
      <c r="Y100" s="44" t="n">
        <f aca="false">IFERROR(IF($X100=0,0,$X100*IF($O100="",$N100,$O100)),0)</f>
        <v>0</v>
      </c>
      <c r="Z100" s="60" t="str">
        <f aca="false">IF($L100="","",IF($L100&lt;0.5,"Balística / Velocidade (&lt;50%)",IF($L100&lt;0.7,"Velocidade-Força (50–69%)",IF($L100&lt;0.8,"Força-Velocidade (70–79%)",IF($L100&lt;0.9,"Força Máxima (80–89%)","Força Máxima Alta (≥90%)")))))</f>
        <v/>
      </c>
      <c r="AA100" s="27"/>
      <c r="AB100" s="27"/>
    </row>
    <row r="101" customFormat="false" ht="15" hidden="false" customHeight="false" outlineLevel="0" collapsed="false">
      <c r="A101" s="29" t="n">
        <v>46297</v>
      </c>
      <c r="B101" s="33" t="n">
        <f aca="false">IF($A101="",0,INT(($A101-'Bloco Base'!$C$5)/7)+1)</f>
        <v>4</v>
      </c>
      <c r="C101" s="28" t="s">
        <v>956</v>
      </c>
      <c r="D101" s="28" t="s">
        <v>1193</v>
      </c>
      <c r="E101" s="27" t="s">
        <v>1117</v>
      </c>
      <c r="F101" s="28" t="n">
        <v>9</v>
      </c>
      <c r="G101" s="139" t="s">
        <v>748</v>
      </c>
      <c r="H101" s="27" t="s">
        <v>776</v>
      </c>
      <c r="I101" s="28" t="s">
        <v>168</v>
      </c>
      <c r="J101" s="28" t="n">
        <v>3</v>
      </c>
      <c r="K101" s="28" t="n">
        <v>20</v>
      </c>
      <c r="L101" s="71"/>
      <c r="M101" s="35" t="str">
        <f aca="false">IF($AB101="","",IFERROR(INDEX('Força 1RM'!$Q$8:$Y$47,MATCH(IF($E101="Equipe (todos)",$C$4,$E101),'Força 1RM'!$P$8:$P$47,0),MATCH($AB101,'Força 1RM'!$Q$7:$Y$7,0)),""))</f>
        <v/>
      </c>
      <c r="N101" s="30" t="n">
        <f aca="false">IFERROR(IF(OR($L101="",$M101="",$M101=0),0,ROUND($L101*$M101*2,0)/2),0)</f>
        <v>0</v>
      </c>
      <c r="O101" s="32"/>
      <c r="P101" s="42" t="str">
        <f aca="false">IFERROR(IF(OR($L101="",$I101="—",$I101=""),"",IF($I101="Agachamento",INDEX($AE$8:$AE$20,MATCH($L101,$AD$8:$AD$20,1)),IF($I101="Supino",INDEX($AF$8:$AF$20,MATCH($L101,$AD$8:$AD$20,1)),IF($I101="Terra",INDEX($AG$8:$AG$20,MATCH($L101,$AD$8:$AD$20,1)),"")))),"")</f>
        <v/>
      </c>
      <c r="Q101" s="45"/>
      <c r="R101" s="71"/>
      <c r="S101" s="71"/>
      <c r="T101" s="69" t="str">
        <f aca="false">IF(OR($R101="",$S101=""),"",IF($S101&gt;$R101,"Acima do limite","Dentro do limite"))</f>
        <v/>
      </c>
      <c r="U101" s="28"/>
      <c r="V101" s="28"/>
      <c r="W101" s="28" t="n">
        <v>45</v>
      </c>
      <c r="X101" s="140" t="n">
        <f aca="false">IFERROR(IF(OR($J101="",$K101=""),0,$J101*$K101),0)</f>
        <v>60</v>
      </c>
      <c r="Y101" s="44" t="n">
        <f aca="false">IFERROR(IF($X101=0,0,$X101*IF($O101="",$N101,$O101)),0)</f>
        <v>0</v>
      </c>
      <c r="Z101" s="60" t="str">
        <f aca="false">IF($L101="","",IF($L101&lt;0.5,"Balística / Velocidade (&lt;50%)",IF($L101&lt;0.7,"Velocidade-Força (50–69%)",IF($L101&lt;0.8,"Força-Velocidade (70–79%)",IF($L101&lt;0.9,"Força Máxima (80–89%)","Força Máxima Alta (≥90%)")))))</f>
        <v/>
      </c>
      <c r="AA101" s="27"/>
      <c r="AB101" s="27"/>
    </row>
    <row r="102" customFormat="false" ht="15" hidden="false" customHeight="false" outlineLevel="0" collapsed="false">
      <c r="A102" s="29" t="n">
        <v>46300</v>
      </c>
      <c r="B102" s="33" t="n">
        <f aca="false">IF($A102="",0,INT(($A102-'Bloco Base'!$C$5)/7)+1)</f>
        <v>5</v>
      </c>
      <c r="C102" s="28" t="s">
        <v>963</v>
      </c>
      <c r="D102" s="28" t="s">
        <v>233</v>
      </c>
      <c r="E102" s="27" t="s">
        <v>1117</v>
      </c>
      <c r="F102" s="28" t="n">
        <v>1</v>
      </c>
      <c r="G102" s="139" t="s">
        <v>600</v>
      </c>
      <c r="H102" s="27" t="s">
        <v>994</v>
      </c>
      <c r="I102" s="28" t="s">
        <v>168</v>
      </c>
      <c r="J102" s="28" t="n">
        <v>1</v>
      </c>
      <c r="K102" s="28" t="n">
        <v>8</v>
      </c>
      <c r="L102" s="71"/>
      <c r="M102" s="35" t="str">
        <f aca="false">IF($AB102="","",IFERROR(INDEX('Força 1RM'!$Q$8:$Y$47,MATCH(IF($E102="Equipe (todos)",$C$4,$E102),'Força 1RM'!$P$8:$P$47,0),MATCH($AB102,'Força 1RM'!$Q$7:$Y$7,0)),""))</f>
        <v/>
      </c>
      <c r="N102" s="30" t="n">
        <f aca="false">IFERROR(IF(OR($L102="",$M102="",$M102=0),0,ROUND($L102*$M102*2,0)/2),0)</f>
        <v>0</v>
      </c>
      <c r="O102" s="32"/>
      <c r="P102" s="42" t="str">
        <f aca="false">IFERROR(IF(OR($L102="",$I102="—",$I102=""),"",IF($I102="Agachamento",INDEX($AE$8:$AE$20,MATCH($L102,$AD$8:$AD$20,1)),IF($I102="Supino",INDEX($AF$8:$AF$20,MATCH($L102,$AD$8:$AD$20,1)),IF($I102="Terra",INDEX($AG$8:$AG$20,MATCH($L102,$AD$8:$AD$20,1)),"")))),"")</f>
        <v/>
      </c>
      <c r="Q102" s="45"/>
      <c r="R102" s="71"/>
      <c r="S102" s="71"/>
      <c r="T102" s="69" t="str">
        <f aca="false">IF(OR($R102="",$S102=""),"",IF($S102&gt;$R102,"Acima do limite","Dentro do limite"))</f>
        <v/>
      </c>
      <c r="U102" s="28"/>
      <c r="V102" s="28"/>
      <c r="W102" s="28" t="n">
        <v>0</v>
      </c>
      <c r="X102" s="140" t="n">
        <f aca="false">IFERROR(IF(OR($J102="",$K102=""),0,$J102*$K102),0)</f>
        <v>8</v>
      </c>
      <c r="Y102" s="44" t="n">
        <f aca="false">IFERROR(IF($X102=0,0,$X102*IF($O102="",$N102,$O102)),0)</f>
        <v>0</v>
      </c>
      <c r="Z102" s="60" t="str">
        <f aca="false">IF($L102="","",IF($L102&lt;0.5,"Balística / Velocidade (&lt;50%)",IF($L102&lt;0.7,"Velocidade-Força (50–69%)",IF($L102&lt;0.8,"Força-Velocidade (70–79%)",IF($L102&lt;0.9,"Força Máxima (80–89%)","Força Máxima Alta (≥90%)")))))</f>
        <v/>
      </c>
      <c r="AA102" s="27"/>
      <c r="AB102" s="27"/>
    </row>
    <row r="103" customFormat="false" ht="15" hidden="false" customHeight="false" outlineLevel="0" collapsed="false">
      <c r="A103" s="29" t="n">
        <v>46300</v>
      </c>
      <c r="B103" s="33" t="n">
        <f aca="false">IF($A103="",0,INT(($A103-'Bloco Base'!$C$5)/7)+1)</f>
        <v>5</v>
      </c>
      <c r="C103" s="28" t="s">
        <v>963</v>
      </c>
      <c r="D103" s="28" t="s">
        <v>233</v>
      </c>
      <c r="E103" s="27" t="s">
        <v>1117</v>
      </c>
      <c r="F103" s="28" t="n">
        <v>2</v>
      </c>
      <c r="G103" s="139" t="s">
        <v>616</v>
      </c>
      <c r="H103" s="27" t="s">
        <v>1191</v>
      </c>
      <c r="I103" s="28" t="s">
        <v>168</v>
      </c>
      <c r="J103" s="28" t="n">
        <v>5</v>
      </c>
      <c r="K103" s="28" t="n">
        <v>2</v>
      </c>
      <c r="L103" s="71" t="n">
        <v>0.82</v>
      </c>
      <c r="M103" s="35" t="n">
        <f aca="false">IF($AB103="","",IFERROR(INDEX('Força 1RM'!$Q$8:$Y$47,MATCH(IF($E103="Equipe (todos)",$C$4,$E103),'Força 1RM'!$P$8:$P$47,0),MATCH($AB103,'Força 1RM'!$Q$7:$Y$7,0)),""))</f>
        <v>92.5</v>
      </c>
      <c r="N103" s="30" t="n">
        <f aca="false">IFERROR(IF(OR($L103="",$M103="",$M103=0),0,ROUND($L103*$M103*2,0)/2),0)</f>
        <v>76</v>
      </c>
      <c r="O103" s="32"/>
      <c r="P103" s="42" t="str">
        <f aca="false">IFERROR(IF(OR($L103="",$I103="—",$I103=""),"",IF($I103="Agachamento",INDEX($AE$8:$AE$20,MATCH($L103,$AD$8:$AD$20,1)),IF($I103="Supino",INDEX($AF$8:$AF$20,MATCH($L103,$AD$8:$AD$20,1)),IF($I103="Terra",INDEX($AG$8:$AG$20,MATCH($L103,$AD$8:$AD$20,1)),"")))),"")</f>
        <v/>
      </c>
      <c r="Q103" s="45"/>
      <c r="R103" s="71" t="n">
        <v>0.1</v>
      </c>
      <c r="S103" s="71"/>
      <c r="T103" s="69" t="str">
        <f aca="false">IF(OR($R103="",$S103=""),"",IF($S103&gt;$R103,"Acima do limite","Dentro do limite"))</f>
        <v/>
      </c>
      <c r="U103" s="28"/>
      <c r="V103" s="28"/>
      <c r="W103" s="28" t="n">
        <v>180</v>
      </c>
      <c r="X103" s="140" t="n">
        <f aca="false">IFERROR(IF(OR($J103="",$K103=""),0,$J103*$K103),0)</f>
        <v>10</v>
      </c>
      <c r="Y103" s="44" t="n">
        <f aca="false">IFERROR(IF($X103=0,0,$X103*IF($O103="",$N103,$O103)),0)</f>
        <v>760</v>
      </c>
      <c r="Z103" s="60" t="str">
        <f aca="false">IF($L103="","",IF($L103&lt;0.5,"Balística / Velocidade (&lt;50%)",IF($L103&lt;0.7,"Velocidade-Força (50–69%)",IF($L103&lt;0.8,"Força-Velocidade (70–79%)",IF($L103&lt;0.9,"Força Máxima (80–89%)","Força Máxima Alta (≥90%)")))))</f>
        <v>Força Máxima (80–89%)</v>
      </c>
      <c r="AA103" s="27"/>
      <c r="AB103" s="27" t="s">
        <v>953</v>
      </c>
    </row>
    <row r="104" customFormat="false" ht="15" hidden="false" customHeight="false" outlineLevel="0" collapsed="false">
      <c r="A104" s="29" t="n">
        <v>46300</v>
      </c>
      <c r="B104" s="33" t="n">
        <f aca="false">IF($A104="",0,INT(($A104-'Bloco Base'!$C$5)/7)+1)</f>
        <v>5</v>
      </c>
      <c r="C104" s="28" t="s">
        <v>963</v>
      </c>
      <c r="D104" s="28" t="s">
        <v>233</v>
      </c>
      <c r="E104" s="27" t="s">
        <v>1117</v>
      </c>
      <c r="F104" s="28" t="n">
        <v>3</v>
      </c>
      <c r="G104" s="139" t="s">
        <v>688</v>
      </c>
      <c r="H104" s="27" t="s">
        <v>537</v>
      </c>
      <c r="I104" s="28" t="s">
        <v>692</v>
      </c>
      <c r="J104" s="28" t="n">
        <v>5</v>
      </c>
      <c r="K104" s="28" t="n">
        <v>4</v>
      </c>
      <c r="L104" s="71" t="n">
        <v>0.85</v>
      </c>
      <c r="M104" s="35" t="n">
        <f aca="false">IF($AB104="","",IFERROR(INDEX('Força 1RM'!$Q$8:$Y$47,MATCH(IF($E104="Equipe (todos)",$C$4,$E104),'Força 1RM'!$P$8:$P$47,0),MATCH($AB104,'Força 1RM'!$Q$7:$Y$7,0)),""))</f>
        <v>160</v>
      </c>
      <c r="N104" s="30" t="n">
        <f aca="false">IFERROR(IF(OR($L104="",$M104="",$M104=0),0,ROUND($L104*$M104*2,0)/2),0)</f>
        <v>136</v>
      </c>
      <c r="O104" s="32"/>
      <c r="P104" s="42" t="n">
        <f aca="false">IFERROR(IF(OR($L104="",$I104="—",$I104=""),"",IF($I104="Agachamento",INDEX($AE$8:$AE$20,MATCH($L104,$AD$8:$AD$20,1)),IF($I104="Supino",INDEX($AF$8:$AF$20,MATCH($L104,$AD$8:$AD$20,1)),IF($I104="Terra",INDEX($AG$8:$AG$20,MATCH($L104,$AD$8:$AD$20,1)),"")))),"")</f>
        <v>0.47</v>
      </c>
      <c r="Q104" s="45"/>
      <c r="R104" s="71" t="n">
        <v>0.1</v>
      </c>
      <c r="S104" s="71"/>
      <c r="T104" s="69" t="str">
        <f aca="false">IF(OR($R104="",$S104=""),"",IF($S104&gt;$R104,"Acima do limite","Dentro do limite"))</f>
        <v/>
      </c>
      <c r="U104" s="28"/>
      <c r="V104" s="28"/>
      <c r="W104" s="28" t="n">
        <v>180</v>
      </c>
      <c r="X104" s="140" t="n">
        <f aca="false">IFERROR(IF(OR($J104="",$K104=""),0,$J104*$K104),0)</f>
        <v>20</v>
      </c>
      <c r="Y104" s="44" t="n">
        <f aca="false">IFERROR(IF($X104=0,0,$X104*IF($O104="",$N104,$O104)),0)</f>
        <v>2720</v>
      </c>
      <c r="Z104" s="60" t="str">
        <f aca="false">IF($L104="","",IF($L104&lt;0.5,"Balística / Velocidade (&lt;50%)",IF($L104&lt;0.7,"Velocidade-Força (50–69%)",IF($L104&lt;0.8,"Força-Velocidade (70–79%)",IF($L104&lt;0.9,"Força Máxima (80–89%)","Força Máxima Alta (≥90%)")))))</f>
        <v>Força Máxima (80–89%)</v>
      </c>
      <c r="AA104" s="27"/>
      <c r="AB104" s="27" t="s">
        <v>688</v>
      </c>
    </row>
    <row r="105" customFormat="false" ht="15" hidden="false" customHeight="false" outlineLevel="0" collapsed="false">
      <c r="A105" s="29" t="n">
        <v>46300</v>
      </c>
      <c r="B105" s="33" t="n">
        <f aca="false">IF($A105="",0,INT(($A105-'Bloco Base'!$C$5)/7)+1)</f>
        <v>5</v>
      </c>
      <c r="C105" s="28" t="s">
        <v>963</v>
      </c>
      <c r="D105" s="28" t="s">
        <v>233</v>
      </c>
      <c r="E105" s="27" t="s">
        <v>1117</v>
      </c>
      <c r="F105" s="28" t="n">
        <v>4</v>
      </c>
      <c r="G105" s="139" t="s">
        <v>701</v>
      </c>
      <c r="H105" s="27" t="s">
        <v>537</v>
      </c>
      <c r="I105" s="28" t="s">
        <v>1000</v>
      </c>
      <c r="J105" s="28" t="n">
        <v>4</v>
      </c>
      <c r="K105" s="28" t="n">
        <v>6</v>
      </c>
      <c r="L105" s="71" t="n">
        <v>0.72</v>
      </c>
      <c r="M105" s="35" t="n">
        <f aca="false">IF($AB105="","",IFERROR(INDEX('Força 1RM'!$Q$8:$Y$47,MATCH(IF($E105="Equipe (todos)",$C$4,$E105),'Força 1RM'!$P$8:$P$47,0),MATCH($AB105,'Força 1RM'!$Q$7:$Y$7,0)),""))</f>
        <v>125</v>
      </c>
      <c r="N105" s="30" t="n">
        <f aca="false">IFERROR(IF(OR($L105="",$M105="",$M105=0),0,ROUND($L105*$M105*2,0)/2),0)</f>
        <v>90</v>
      </c>
      <c r="O105" s="32"/>
      <c r="P105" s="42" t="n">
        <f aca="false">IFERROR(IF(OR($L105="",$I105="—",$I105=""),"",IF($I105="Agachamento",INDEX($AE$8:$AE$20,MATCH($L105,$AD$8:$AD$20,1)),IF($I105="Supino",INDEX($AF$8:$AF$20,MATCH($L105,$AD$8:$AD$20,1)),IF($I105="Terra",INDEX($AG$8:$AG$20,MATCH($L105,$AD$8:$AD$20,1)),"")))),"")</f>
        <v>0.62</v>
      </c>
      <c r="Q105" s="45"/>
      <c r="R105" s="71" t="n">
        <v>0.15</v>
      </c>
      <c r="S105" s="71"/>
      <c r="T105" s="69" t="str">
        <f aca="false">IF(OR($R105="",$S105=""),"",IF($S105&gt;$R105,"Acima do limite","Dentro do limite"))</f>
        <v/>
      </c>
      <c r="U105" s="28"/>
      <c r="V105" s="28"/>
      <c r="W105" s="28" t="n">
        <v>120</v>
      </c>
      <c r="X105" s="140" t="n">
        <f aca="false">IFERROR(IF(OR($J105="",$K105=""),0,$J105*$K105),0)</f>
        <v>24</v>
      </c>
      <c r="Y105" s="44" t="n">
        <f aca="false">IFERROR(IF($X105=0,0,$X105*IF($O105="",$N105,$O105)),0)</f>
        <v>2160</v>
      </c>
      <c r="Z105" s="60" t="str">
        <f aca="false">IF($L105="","",IF($L105&lt;0.5,"Balística / Velocidade (&lt;50%)",IF($L105&lt;0.7,"Velocidade-Força (50–69%)",IF($L105&lt;0.8,"Força-Velocidade (70–79%)",IF($L105&lt;0.9,"Força Máxima (80–89%)","Força Máxima Alta (≥90%)")))))</f>
        <v>Força-Velocidade (70–79%)</v>
      </c>
      <c r="AA105" s="27"/>
      <c r="AB105" s="27" t="s">
        <v>701</v>
      </c>
    </row>
    <row r="106" customFormat="false" ht="15" hidden="false" customHeight="false" outlineLevel="0" collapsed="false">
      <c r="A106" s="29" t="n">
        <v>46300</v>
      </c>
      <c r="B106" s="33" t="n">
        <f aca="false">IF($A106="",0,INT(($A106-'Bloco Base'!$C$5)/7)+1)</f>
        <v>5</v>
      </c>
      <c r="C106" s="28" t="s">
        <v>963</v>
      </c>
      <c r="D106" s="28" t="s">
        <v>233</v>
      </c>
      <c r="E106" s="27" t="s">
        <v>1117</v>
      </c>
      <c r="F106" s="28" t="n">
        <v>5</v>
      </c>
      <c r="G106" s="139" t="s">
        <v>708</v>
      </c>
      <c r="H106" s="27" t="s">
        <v>537</v>
      </c>
      <c r="I106" s="28" t="s">
        <v>168</v>
      </c>
      <c r="J106" s="28" t="n">
        <v>3</v>
      </c>
      <c r="K106" s="28" t="n">
        <v>8</v>
      </c>
      <c r="L106" s="71"/>
      <c r="M106" s="35" t="str">
        <f aca="false">IF($AB106="","",IFERROR(INDEX('Força 1RM'!$Q$8:$Y$47,MATCH(IF($E106="Equipe (todos)",$C$4,$E106),'Força 1RM'!$P$8:$P$47,0),MATCH($AB106,'Força 1RM'!$Q$7:$Y$7,0)),""))</f>
        <v/>
      </c>
      <c r="N106" s="30" t="n">
        <f aca="false">IFERROR(IF(OR($L106="",$M106="",$M106=0),0,ROUND($L106*$M106*2,0)/2),0)</f>
        <v>0</v>
      </c>
      <c r="O106" s="32"/>
      <c r="P106" s="42" t="str">
        <f aca="false">IFERROR(IF(OR($L106="",$I106="—",$I106=""),"",IF($I106="Agachamento",INDEX($AE$8:$AE$20,MATCH($L106,$AD$8:$AD$20,1)),IF($I106="Supino",INDEX($AF$8:$AF$20,MATCH($L106,$AD$8:$AD$20,1)),IF($I106="Terra",INDEX($AG$8:$AG$20,MATCH($L106,$AD$8:$AD$20,1)),"")))),"")</f>
        <v/>
      </c>
      <c r="Q106" s="45"/>
      <c r="R106" s="71"/>
      <c r="S106" s="71"/>
      <c r="T106" s="69" t="str">
        <f aca="false">IF(OR($R106="",$S106=""),"",IF($S106&gt;$R106,"Acima do limite","Dentro do limite"))</f>
        <v/>
      </c>
      <c r="U106" s="28"/>
      <c r="V106" s="28"/>
      <c r="W106" s="28" t="n">
        <v>90</v>
      </c>
      <c r="X106" s="140" t="n">
        <f aca="false">IFERROR(IF(OR($J106="",$K106=""),0,$J106*$K106),0)</f>
        <v>24</v>
      </c>
      <c r="Y106" s="44" t="n">
        <f aca="false">IFERROR(IF($X106=0,0,$X106*IF($O106="",$N106,$O106)),0)</f>
        <v>0</v>
      </c>
      <c r="Z106" s="60" t="str">
        <f aca="false">IF($L106="","",IF($L106&lt;0.5,"Balística / Velocidade (&lt;50%)",IF($L106&lt;0.7,"Velocidade-Força (50–69%)",IF($L106&lt;0.8,"Força-Velocidade (70–79%)",IF($L106&lt;0.9,"Força Máxima (80–89%)","Força Máxima Alta (≥90%)")))))</f>
        <v/>
      </c>
      <c r="AA106" s="27"/>
      <c r="AB106" s="27"/>
    </row>
    <row r="107" customFormat="false" ht="15" hidden="false" customHeight="false" outlineLevel="0" collapsed="false">
      <c r="A107" s="29" t="n">
        <v>46300</v>
      </c>
      <c r="B107" s="33" t="n">
        <f aca="false">IF($A107="",0,INT(($A107-'Bloco Base'!$C$5)/7)+1)</f>
        <v>5</v>
      </c>
      <c r="C107" s="28" t="s">
        <v>963</v>
      </c>
      <c r="D107" s="28" t="s">
        <v>233</v>
      </c>
      <c r="E107" s="27" t="s">
        <v>1117</v>
      </c>
      <c r="F107" s="28" t="n">
        <v>6</v>
      </c>
      <c r="G107" s="139" t="s">
        <v>592</v>
      </c>
      <c r="H107" s="27" t="s">
        <v>1004</v>
      </c>
      <c r="I107" s="28" t="s">
        <v>168</v>
      </c>
      <c r="J107" s="28" t="n">
        <v>3</v>
      </c>
      <c r="K107" s="28" t="n">
        <v>8</v>
      </c>
      <c r="L107" s="71"/>
      <c r="M107" s="35" t="str">
        <f aca="false">IF($AB107="","",IFERROR(INDEX('Força 1RM'!$Q$8:$Y$47,MATCH(IF($E107="Equipe (todos)",$C$4,$E107),'Força 1RM'!$P$8:$P$47,0),MATCH($AB107,'Força 1RM'!$Q$7:$Y$7,0)),""))</f>
        <v/>
      </c>
      <c r="N107" s="30" t="n">
        <f aca="false">IFERROR(IF(OR($L107="",$M107="",$M107=0),0,ROUND($L107*$M107*2,0)/2),0)</f>
        <v>0</v>
      </c>
      <c r="O107" s="32"/>
      <c r="P107" s="42" t="str">
        <f aca="false">IFERROR(IF(OR($L107="",$I107="—",$I107=""),"",IF($I107="Agachamento",INDEX($AE$8:$AE$20,MATCH($L107,$AD$8:$AD$20,1)),IF($I107="Supino",INDEX($AF$8:$AF$20,MATCH($L107,$AD$8:$AD$20,1)),IF($I107="Terra",INDEX($AG$8:$AG$20,MATCH($L107,$AD$8:$AD$20,1)),"")))),"")</f>
        <v/>
      </c>
      <c r="Q107" s="45"/>
      <c r="R107" s="71"/>
      <c r="S107" s="71"/>
      <c r="T107" s="69" t="str">
        <f aca="false">IF(OR($R107="",$S107=""),"",IF($S107&gt;$R107,"Acima do limite","Dentro do limite"))</f>
        <v/>
      </c>
      <c r="U107" s="28"/>
      <c r="V107" s="28"/>
      <c r="W107" s="28" t="n">
        <v>60</v>
      </c>
      <c r="X107" s="140" t="n">
        <f aca="false">IFERROR(IF(OR($J107="",$K107=""),0,$J107*$K107),0)</f>
        <v>24</v>
      </c>
      <c r="Y107" s="44" t="n">
        <f aca="false">IFERROR(IF($X107=0,0,$X107*IF($O107="",$N107,$O107)),0)</f>
        <v>0</v>
      </c>
      <c r="Z107" s="60" t="str">
        <f aca="false">IF($L107="","",IF($L107&lt;0.5,"Balística / Velocidade (&lt;50%)",IF($L107&lt;0.7,"Velocidade-Força (50–69%)",IF($L107&lt;0.8,"Força-Velocidade (70–79%)",IF($L107&lt;0.9,"Força Máxima (80–89%)","Força Máxima Alta (≥90%)")))))</f>
        <v/>
      </c>
      <c r="AA107" s="27"/>
      <c r="AB107" s="27"/>
    </row>
    <row r="108" customFormat="false" ht="15" hidden="false" customHeight="false" outlineLevel="0" collapsed="false">
      <c r="A108" s="29" t="n">
        <v>46300</v>
      </c>
      <c r="B108" s="33" t="n">
        <f aca="false">IF($A108="",0,INT(($A108-'Bloco Base'!$C$5)/7)+1)</f>
        <v>5</v>
      </c>
      <c r="C108" s="28" t="s">
        <v>963</v>
      </c>
      <c r="D108" s="28" t="s">
        <v>233</v>
      </c>
      <c r="E108" s="27" t="s">
        <v>1117</v>
      </c>
      <c r="F108" s="28" t="n">
        <v>7</v>
      </c>
      <c r="G108" s="139" t="s">
        <v>1006</v>
      </c>
      <c r="H108" s="27" t="s">
        <v>776</v>
      </c>
      <c r="I108" s="28" t="s">
        <v>168</v>
      </c>
      <c r="J108" s="28" t="n">
        <v>3</v>
      </c>
      <c r="K108" s="28" t="n">
        <v>20</v>
      </c>
      <c r="L108" s="71"/>
      <c r="M108" s="35" t="str">
        <f aca="false">IF($AB108="","",IFERROR(INDEX('Força 1RM'!$Q$8:$Y$47,MATCH(IF($E108="Equipe (todos)",$C$4,$E108),'Força 1RM'!$P$8:$P$47,0),MATCH($AB108,'Força 1RM'!$Q$7:$Y$7,0)),""))</f>
        <v/>
      </c>
      <c r="N108" s="30" t="n">
        <f aca="false">IFERROR(IF(OR($L108="",$M108="",$M108=0),0,ROUND($L108*$M108*2,0)/2),0)</f>
        <v>0</v>
      </c>
      <c r="O108" s="32"/>
      <c r="P108" s="42" t="str">
        <f aca="false">IFERROR(IF(OR($L108="",$I108="—",$I108=""),"",IF($I108="Agachamento",INDEX($AE$8:$AE$20,MATCH($L108,$AD$8:$AD$20,1)),IF($I108="Supino",INDEX($AF$8:$AF$20,MATCH($L108,$AD$8:$AD$20,1)),IF($I108="Terra",INDEX($AG$8:$AG$20,MATCH($L108,$AD$8:$AD$20,1)),"")))),"")</f>
        <v/>
      </c>
      <c r="Q108" s="45"/>
      <c r="R108" s="71"/>
      <c r="S108" s="71"/>
      <c r="T108" s="69" t="str">
        <f aca="false">IF(OR($R108="",$S108=""),"",IF($S108&gt;$R108,"Acima do limite","Dentro do limite"))</f>
        <v/>
      </c>
      <c r="U108" s="28"/>
      <c r="V108" s="28"/>
      <c r="W108" s="28" t="n">
        <v>45</v>
      </c>
      <c r="X108" s="140" t="n">
        <f aca="false">IFERROR(IF(OR($J108="",$K108=""),0,$J108*$K108),0)</f>
        <v>60</v>
      </c>
      <c r="Y108" s="44" t="n">
        <f aca="false">IFERROR(IF($X108=0,0,$X108*IF($O108="",$N108,$O108)),0)</f>
        <v>0</v>
      </c>
      <c r="Z108" s="60" t="str">
        <f aca="false">IF($L108="","",IF($L108&lt;0.5,"Balística / Velocidade (&lt;50%)",IF($L108&lt;0.7,"Velocidade-Força (50–69%)",IF($L108&lt;0.8,"Força-Velocidade (70–79%)",IF($L108&lt;0.9,"Força Máxima (80–89%)","Força Máxima Alta (≥90%)")))))</f>
        <v/>
      </c>
      <c r="AA108" s="27"/>
      <c r="AB108" s="27"/>
    </row>
    <row r="109" customFormat="false" ht="15" hidden="false" customHeight="false" outlineLevel="0" collapsed="false">
      <c r="A109" s="29" t="n">
        <v>46302</v>
      </c>
      <c r="B109" s="33" t="n">
        <f aca="false">IF($A109="",0,INT(($A109-'Bloco Base'!$C$5)/7)+1)</f>
        <v>5</v>
      </c>
      <c r="C109" s="28" t="s">
        <v>963</v>
      </c>
      <c r="D109" s="28" t="s">
        <v>1192</v>
      </c>
      <c r="E109" s="27" t="s">
        <v>1117</v>
      </c>
      <c r="F109" s="28" t="n">
        <v>1</v>
      </c>
      <c r="G109" s="139" t="s">
        <v>587</v>
      </c>
      <c r="H109" s="27" t="s">
        <v>1004</v>
      </c>
      <c r="I109" s="28" t="s">
        <v>168</v>
      </c>
      <c r="J109" s="28" t="n">
        <v>3</v>
      </c>
      <c r="K109" s="28" t="n">
        <v>8</v>
      </c>
      <c r="L109" s="71"/>
      <c r="M109" s="35" t="str">
        <f aca="false">IF($AB109="","",IFERROR(INDEX('Força 1RM'!$Q$8:$Y$47,MATCH(IF($E109="Equipe (todos)",$C$4,$E109),'Força 1RM'!$P$8:$P$47,0),MATCH($AB109,'Força 1RM'!$Q$7:$Y$7,0)),""))</f>
        <v/>
      </c>
      <c r="N109" s="30" t="n">
        <f aca="false">IFERROR(IF(OR($L109="",$M109="",$M109=0),0,ROUND($L109*$M109*2,0)/2),0)</f>
        <v>0</v>
      </c>
      <c r="O109" s="32"/>
      <c r="P109" s="42" t="str">
        <f aca="false">IFERROR(IF(OR($L109="",$I109="—",$I109=""),"",IF($I109="Agachamento",INDEX($AE$8:$AE$20,MATCH($L109,$AD$8:$AD$20,1)),IF($I109="Supino",INDEX($AF$8:$AF$20,MATCH($L109,$AD$8:$AD$20,1)),IF($I109="Terra",INDEX($AG$8:$AG$20,MATCH($L109,$AD$8:$AD$20,1)),"")))),"")</f>
        <v/>
      </c>
      <c r="Q109" s="45"/>
      <c r="R109" s="71"/>
      <c r="S109" s="71"/>
      <c r="T109" s="69" t="str">
        <f aca="false">IF(OR($R109="",$S109=""),"",IF($S109&gt;$R109,"Acima do limite","Dentro do limite"))</f>
        <v/>
      </c>
      <c r="U109" s="28"/>
      <c r="V109" s="28"/>
      <c r="W109" s="28" t="n">
        <v>60</v>
      </c>
      <c r="X109" s="140" t="n">
        <f aca="false">IFERROR(IF(OR($J109="",$K109=""),0,$J109*$K109),0)</f>
        <v>24</v>
      </c>
      <c r="Y109" s="44" t="n">
        <f aca="false">IFERROR(IF($X109=0,0,$X109*IF($O109="",$N109,$O109)),0)</f>
        <v>0</v>
      </c>
      <c r="Z109" s="60" t="str">
        <f aca="false">IF($L109="","",IF($L109&lt;0.5,"Balística / Velocidade (&lt;50%)",IF($L109&lt;0.7,"Velocidade-Força (50–69%)",IF($L109&lt;0.8,"Força-Velocidade (70–79%)",IF($L109&lt;0.9,"Força Máxima (80–89%)","Força Máxima Alta (≥90%)")))))</f>
        <v/>
      </c>
      <c r="AA109" s="27"/>
      <c r="AB109" s="27"/>
    </row>
    <row r="110" customFormat="false" ht="15" hidden="false" customHeight="false" outlineLevel="0" collapsed="false">
      <c r="A110" s="29" t="n">
        <v>46302</v>
      </c>
      <c r="B110" s="33" t="n">
        <f aca="false">IF($A110="",0,INT(($A110-'Bloco Base'!$C$5)/7)+1)</f>
        <v>5</v>
      </c>
      <c r="C110" s="28" t="s">
        <v>963</v>
      </c>
      <c r="D110" s="28" t="s">
        <v>1192</v>
      </c>
      <c r="E110" s="27" t="s">
        <v>1117</v>
      </c>
      <c r="F110" s="28" t="n">
        <v>2</v>
      </c>
      <c r="G110" s="139" t="s">
        <v>553</v>
      </c>
      <c r="H110" s="27" t="s">
        <v>792</v>
      </c>
      <c r="I110" s="28" t="s">
        <v>692</v>
      </c>
      <c r="J110" s="28" t="n">
        <v>5</v>
      </c>
      <c r="K110" s="28" t="n">
        <v>4</v>
      </c>
      <c r="L110" s="71" t="n">
        <v>0.3</v>
      </c>
      <c r="M110" s="35" t="n">
        <f aca="false">IF($AB110="","",IFERROR(INDEX('Força 1RM'!$Q$8:$Y$47,MATCH(IF($E110="Equipe (todos)",$C$4,$E110),'Força 1RM'!$P$8:$P$47,0),MATCH($AB110,'Força 1RM'!$Q$7:$Y$7,0)),""))</f>
        <v>160</v>
      </c>
      <c r="N110" s="30" t="n">
        <f aca="false">IFERROR(IF(OR($L110="",$M110="",$M110=0),0,ROUND($L110*$M110*2,0)/2),0)</f>
        <v>48</v>
      </c>
      <c r="O110" s="32"/>
      <c r="P110" s="42" t="str">
        <f aca="false">IFERROR(IF(OR($L110="",$I110="—",$I110=""),"",IF($I110="Agachamento",INDEX($AE$8:$AE$20,MATCH($L110,$AD$8:$AD$20,1)),IF($I110="Supino",INDEX($AF$8:$AF$20,MATCH($L110,$AD$8:$AD$20,1)),IF($I110="Terra",INDEX($AG$8:$AG$20,MATCH($L110,$AD$8:$AD$20,1)),"")))),"")</f>
        <v/>
      </c>
      <c r="Q110" s="45"/>
      <c r="R110" s="71" t="n">
        <v>0.1</v>
      </c>
      <c r="S110" s="71"/>
      <c r="T110" s="69" t="str">
        <f aca="false">IF(OR($R110="",$S110=""),"",IF($S110&gt;$R110,"Acima do limite","Dentro do limite"))</f>
        <v/>
      </c>
      <c r="U110" s="28"/>
      <c r="V110" s="28"/>
      <c r="W110" s="28" t="n">
        <v>180</v>
      </c>
      <c r="X110" s="140" t="n">
        <f aca="false">IFERROR(IF(OR($J110="",$K110=""),0,$J110*$K110),0)</f>
        <v>20</v>
      </c>
      <c r="Y110" s="44" t="n">
        <f aca="false">IFERROR(IF($X110=0,0,$X110*IF($O110="",$N110,$O110)),0)</f>
        <v>960</v>
      </c>
      <c r="Z110" s="60" t="str">
        <f aca="false">IF($L110="","",IF($L110&lt;0.5,"Balística / Velocidade (&lt;50%)",IF($L110&lt;0.7,"Velocidade-Força (50–69%)",IF($L110&lt;0.8,"Força-Velocidade (70–79%)",IF($L110&lt;0.9,"Força Máxima (80–89%)","Força Máxima Alta (≥90%)")))))</f>
        <v>Balística / Velocidade (&lt;50%)</v>
      </c>
      <c r="AA110" s="27"/>
      <c r="AB110" s="27" t="s">
        <v>688</v>
      </c>
    </row>
    <row r="111" customFormat="false" ht="15" hidden="false" customHeight="false" outlineLevel="0" collapsed="false">
      <c r="A111" s="29" t="n">
        <v>46302</v>
      </c>
      <c r="B111" s="33" t="n">
        <f aca="false">IF($A111="",0,INT(($A111-'Bloco Base'!$C$5)/7)+1)</f>
        <v>5</v>
      </c>
      <c r="C111" s="28" t="s">
        <v>963</v>
      </c>
      <c r="D111" s="28" t="s">
        <v>1192</v>
      </c>
      <c r="E111" s="27" t="s">
        <v>1117</v>
      </c>
      <c r="F111" s="28" t="n">
        <v>3</v>
      </c>
      <c r="G111" s="139" t="s">
        <v>1013</v>
      </c>
      <c r="H111" s="27" t="s">
        <v>558</v>
      </c>
      <c r="I111" s="28" t="s">
        <v>168</v>
      </c>
      <c r="J111" s="28" t="n">
        <v>7</v>
      </c>
      <c r="K111" s="28" t="n">
        <v>5</v>
      </c>
      <c r="L111" s="71"/>
      <c r="M111" s="35" t="str">
        <f aca="false">IF($AB111="","",IFERROR(INDEX('Força 1RM'!$Q$8:$Y$47,MATCH(IF($E111="Equipe (todos)",$C$4,$E111),'Força 1RM'!$P$8:$P$47,0),MATCH($AB111,'Força 1RM'!$Q$7:$Y$7,0)),""))</f>
        <v/>
      </c>
      <c r="N111" s="30" t="n">
        <f aca="false">IFERROR(IF(OR($L111="",$M111="",$M111=0),0,ROUND($L111*$M111*2,0)/2),0)</f>
        <v>0</v>
      </c>
      <c r="O111" s="32"/>
      <c r="P111" s="42" t="str">
        <f aca="false">IFERROR(IF(OR($L111="",$I111="—",$I111=""),"",IF($I111="Agachamento",INDEX($AE$8:$AE$20,MATCH($L111,$AD$8:$AD$20,1)),IF($I111="Supino",INDEX($AF$8:$AF$20,MATCH($L111,$AD$8:$AD$20,1)),IF($I111="Terra",INDEX($AG$8:$AG$20,MATCH($L111,$AD$8:$AD$20,1)),"")))),"")</f>
        <v/>
      </c>
      <c r="Q111" s="45"/>
      <c r="R111" s="71"/>
      <c r="S111" s="71"/>
      <c r="T111" s="69" t="str">
        <f aca="false">IF(OR($R111="",$S111=""),"",IF($S111&gt;$R111,"Acima do limite","Dentro do limite"))</f>
        <v/>
      </c>
      <c r="U111" s="28"/>
      <c r="V111" s="28"/>
      <c r="W111" s="28" t="n">
        <v>120</v>
      </c>
      <c r="X111" s="140" t="n">
        <f aca="false">IFERROR(IF(OR($J111="",$K111=""),0,$J111*$K111),0)</f>
        <v>35</v>
      </c>
      <c r="Y111" s="44" t="n">
        <f aca="false">IFERROR(IF($X111=0,0,$X111*IF($O111="",$N111,$O111)),0)</f>
        <v>0</v>
      </c>
      <c r="Z111" s="60" t="str">
        <f aca="false">IF($L111="","",IF($L111&lt;0.5,"Balística / Velocidade (&lt;50%)",IF($L111&lt;0.7,"Velocidade-Força (50–69%)",IF($L111&lt;0.8,"Força-Velocidade (70–79%)",IF($L111&lt;0.9,"Força Máxima (80–89%)","Força Máxima Alta (≥90%)")))))</f>
        <v/>
      </c>
      <c r="AA111" s="27"/>
      <c r="AB111" s="27"/>
    </row>
    <row r="112" customFormat="false" ht="15" hidden="false" customHeight="false" outlineLevel="0" collapsed="false">
      <c r="A112" s="29" t="n">
        <v>46302</v>
      </c>
      <c r="B112" s="33" t="n">
        <f aca="false">IF($A112="",0,INT(($A112-'Bloco Base'!$C$5)/7)+1)</f>
        <v>5</v>
      </c>
      <c r="C112" s="28" t="s">
        <v>963</v>
      </c>
      <c r="D112" s="28" t="s">
        <v>1192</v>
      </c>
      <c r="E112" s="27" t="s">
        <v>1117</v>
      </c>
      <c r="F112" s="28" t="n">
        <v>4</v>
      </c>
      <c r="G112" s="139" t="s">
        <v>562</v>
      </c>
      <c r="H112" s="27" t="s">
        <v>558</v>
      </c>
      <c r="I112" s="28" t="s">
        <v>168</v>
      </c>
      <c r="J112" s="28" t="n">
        <v>6</v>
      </c>
      <c r="K112" s="28" t="n">
        <v>5</v>
      </c>
      <c r="L112" s="71"/>
      <c r="M112" s="35" t="str">
        <f aca="false">IF($AB112="","",IFERROR(INDEX('Força 1RM'!$Q$8:$Y$47,MATCH(IF($E112="Equipe (todos)",$C$4,$E112),'Força 1RM'!$P$8:$P$47,0),MATCH($AB112,'Força 1RM'!$Q$7:$Y$7,0)),""))</f>
        <v/>
      </c>
      <c r="N112" s="30" t="n">
        <f aca="false">IFERROR(IF(OR($L112="",$M112="",$M112=0),0,ROUND($L112*$M112*2,0)/2),0)</f>
        <v>0</v>
      </c>
      <c r="O112" s="32"/>
      <c r="P112" s="42" t="str">
        <f aca="false">IFERROR(IF(OR($L112="",$I112="—",$I112=""),"",IF($I112="Agachamento",INDEX($AE$8:$AE$20,MATCH($L112,$AD$8:$AD$20,1)),IF($I112="Supino",INDEX($AF$8:$AF$20,MATCH($L112,$AD$8:$AD$20,1)),IF($I112="Terra",INDEX($AG$8:$AG$20,MATCH($L112,$AD$8:$AD$20,1)),"")))),"")</f>
        <v/>
      </c>
      <c r="Q112" s="45"/>
      <c r="R112" s="71"/>
      <c r="S112" s="71"/>
      <c r="T112" s="69" t="str">
        <f aca="false">IF(OR($R112="",$S112=""),"",IF($S112&gt;$R112,"Acima do limite","Dentro do limite"))</f>
        <v/>
      </c>
      <c r="U112" s="28"/>
      <c r="V112" s="28"/>
      <c r="W112" s="28" t="n">
        <v>120</v>
      </c>
      <c r="X112" s="140" t="n">
        <f aca="false">IFERROR(IF(OR($J112="",$K112=""),0,$J112*$K112),0)</f>
        <v>30</v>
      </c>
      <c r="Y112" s="44" t="n">
        <f aca="false">IFERROR(IF($X112=0,0,$X112*IF($O112="",$N112,$O112)),0)</f>
        <v>0</v>
      </c>
      <c r="Z112" s="60" t="str">
        <f aca="false">IF($L112="","",IF($L112&lt;0.5,"Balística / Velocidade (&lt;50%)",IF($L112&lt;0.7,"Velocidade-Força (50–69%)",IF($L112&lt;0.8,"Força-Velocidade (70–79%)",IF($L112&lt;0.9,"Força Máxima (80–89%)","Força Máxima Alta (≥90%)")))))</f>
        <v/>
      </c>
      <c r="AA112" s="27"/>
      <c r="AB112" s="27"/>
    </row>
    <row r="113" customFormat="false" ht="15" hidden="false" customHeight="false" outlineLevel="0" collapsed="false">
      <c r="A113" s="29" t="n">
        <v>46302</v>
      </c>
      <c r="B113" s="33" t="n">
        <f aca="false">IF($A113="",0,INT(($A113-'Bloco Base'!$C$5)/7)+1)</f>
        <v>5</v>
      </c>
      <c r="C113" s="28" t="s">
        <v>963</v>
      </c>
      <c r="D113" s="28" t="s">
        <v>1192</v>
      </c>
      <c r="E113" s="27" t="s">
        <v>1117</v>
      </c>
      <c r="F113" s="28" t="n">
        <v>5</v>
      </c>
      <c r="G113" s="139" t="s">
        <v>644</v>
      </c>
      <c r="H113" s="27" t="s">
        <v>537</v>
      </c>
      <c r="I113" s="28" t="s">
        <v>1017</v>
      </c>
      <c r="J113" s="28" t="n">
        <v>4</v>
      </c>
      <c r="K113" s="28" t="n">
        <v>6</v>
      </c>
      <c r="L113" s="71" t="n">
        <v>0.8</v>
      </c>
      <c r="M113" s="35" t="n">
        <f aca="false">IF($AB113="","",IFERROR(INDEX('Força 1RM'!$Q$8:$Y$47,MATCH(IF($E113="Equipe (todos)",$C$4,$E113),'Força 1RM'!$P$8:$P$47,0),MATCH($AB113,'Força 1RM'!$Q$7:$Y$7,0)),""))</f>
        <v>72.5</v>
      </c>
      <c r="N113" s="30" t="n">
        <f aca="false">IFERROR(IF(OR($L113="",$M113="",$M113=0),0,ROUND($L113*$M113*2,0)/2),0)</f>
        <v>58</v>
      </c>
      <c r="O113" s="32"/>
      <c r="P113" s="42" t="n">
        <f aca="false">IFERROR(IF(OR($L113="",$I113="—",$I113=""),"",IF($I113="Agachamento",INDEX($AE$8:$AE$20,MATCH($L113,$AD$8:$AD$20,1)),IF($I113="Supino",INDEX($AF$8:$AF$20,MATCH($L113,$AD$8:$AD$20,1)),IF($I113="Terra",INDEX($AG$8:$AG$20,MATCH($L113,$AD$8:$AD$20,1)),"")))),"")</f>
        <v>0.37</v>
      </c>
      <c r="Q113" s="45"/>
      <c r="R113" s="71" t="n">
        <v>0.15</v>
      </c>
      <c r="S113" s="71"/>
      <c r="T113" s="69" t="str">
        <f aca="false">IF(OR($R113="",$S113=""),"",IF($S113&gt;$R113,"Acima do limite","Dentro do limite"))</f>
        <v/>
      </c>
      <c r="U113" s="28"/>
      <c r="V113" s="28"/>
      <c r="W113" s="28" t="n">
        <v>120</v>
      </c>
      <c r="X113" s="140" t="n">
        <f aca="false">IFERROR(IF(OR($J113="",$K113=""),0,$J113*$K113),0)</f>
        <v>24</v>
      </c>
      <c r="Y113" s="44" t="n">
        <f aca="false">IFERROR(IF($X113=0,0,$X113*IF($O113="",$N113,$O113)),0)</f>
        <v>1392</v>
      </c>
      <c r="Z113" s="60" t="str">
        <f aca="false">IF($L113="","",IF($L113&lt;0.5,"Balística / Velocidade (&lt;50%)",IF($L113&lt;0.7,"Velocidade-Força (50–69%)",IF($L113&lt;0.8,"Força-Velocidade (70–79%)",IF($L113&lt;0.9,"Força Máxima (80–89%)","Força Máxima Alta (≥90%)")))))</f>
        <v>Força Máxima (80–89%)</v>
      </c>
      <c r="AA113" s="27"/>
      <c r="AB113" s="27" t="s">
        <v>644</v>
      </c>
    </row>
    <row r="114" customFormat="false" ht="15" hidden="false" customHeight="false" outlineLevel="0" collapsed="false">
      <c r="A114" s="29" t="n">
        <v>46302</v>
      </c>
      <c r="B114" s="33" t="n">
        <f aca="false">IF($A114="",0,INT(($A114-'Bloco Base'!$C$5)/7)+1)</f>
        <v>5</v>
      </c>
      <c r="C114" s="28" t="s">
        <v>963</v>
      </c>
      <c r="D114" s="28" t="s">
        <v>1192</v>
      </c>
      <c r="E114" s="27" t="s">
        <v>1117</v>
      </c>
      <c r="F114" s="28" t="n">
        <v>6</v>
      </c>
      <c r="G114" s="139" t="s">
        <v>656</v>
      </c>
      <c r="H114" s="27" t="s">
        <v>537</v>
      </c>
      <c r="I114" s="28" t="s">
        <v>168</v>
      </c>
      <c r="J114" s="28" t="n">
        <v>4</v>
      </c>
      <c r="K114" s="28" t="n">
        <v>6</v>
      </c>
      <c r="L114" s="71" t="n">
        <v>0.8</v>
      </c>
      <c r="M114" s="35" t="str">
        <f aca="false">IF($AB114="","",IFERROR(INDEX('Força 1RM'!$Q$8:$Y$47,MATCH(IF($E114="Equipe (todos)",$C$4,$E114),'Força 1RM'!$P$8:$P$47,0),MATCH($AB114,'Força 1RM'!$Q$7:$Y$7,0)),""))</f>
        <v/>
      </c>
      <c r="N114" s="30" t="n">
        <f aca="false">IFERROR(IF(OR($L114="",$M114="",$M114=0),0,ROUND($L114*$M114*2,0)/2),0)</f>
        <v>0</v>
      </c>
      <c r="O114" s="32"/>
      <c r="P114" s="42" t="str">
        <f aca="false">IFERROR(IF(OR($L114="",$I114="—",$I114=""),"",IF($I114="Agachamento",INDEX($AE$8:$AE$20,MATCH($L114,$AD$8:$AD$20,1)),IF($I114="Supino",INDEX($AF$8:$AF$20,MATCH($L114,$AD$8:$AD$20,1)),IF($I114="Terra",INDEX($AG$8:$AG$20,MATCH($L114,$AD$8:$AD$20,1)),"")))),"")</f>
        <v/>
      </c>
      <c r="Q114" s="45"/>
      <c r="R114" s="71" t="n">
        <v>0.15</v>
      </c>
      <c r="S114" s="71"/>
      <c r="T114" s="69" t="str">
        <f aca="false">IF(OR($R114="",$S114=""),"",IF($S114&gt;$R114,"Acima do limite","Dentro do limite"))</f>
        <v/>
      </c>
      <c r="U114" s="28"/>
      <c r="V114" s="28"/>
      <c r="W114" s="28" t="n">
        <v>120</v>
      </c>
      <c r="X114" s="140" t="n">
        <f aca="false">IFERROR(IF(OR($J114="",$K114=""),0,$J114*$K114),0)</f>
        <v>24</v>
      </c>
      <c r="Y114" s="44" t="n">
        <f aca="false">IFERROR(IF($X114=0,0,$X114*IF($O114="",$N114,$O114)),0)</f>
        <v>0</v>
      </c>
      <c r="Z114" s="60" t="str">
        <f aca="false">IF($L114="","",IF($L114&lt;0.5,"Balística / Velocidade (&lt;50%)",IF($L114&lt;0.7,"Velocidade-Força (50–69%)",IF($L114&lt;0.8,"Força-Velocidade (70–79%)",IF($L114&lt;0.9,"Força Máxima (80–89%)","Força Máxima Alta (≥90%)")))))</f>
        <v>Força Máxima (80–89%)</v>
      </c>
      <c r="AA114" s="27"/>
      <c r="AB114" s="27"/>
    </row>
    <row r="115" customFormat="false" ht="15" hidden="false" customHeight="false" outlineLevel="0" collapsed="false">
      <c r="A115" s="29" t="n">
        <v>46302</v>
      </c>
      <c r="B115" s="33" t="n">
        <f aca="false">IF($A115="",0,INT(($A115-'Bloco Base'!$C$5)/7)+1)</f>
        <v>5</v>
      </c>
      <c r="C115" s="28" t="s">
        <v>963</v>
      </c>
      <c r="D115" s="28" t="s">
        <v>1192</v>
      </c>
      <c r="E115" s="27" t="s">
        <v>1117</v>
      </c>
      <c r="F115" s="28" t="n">
        <v>7</v>
      </c>
      <c r="G115" s="139" t="s">
        <v>636</v>
      </c>
      <c r="H115" s="27" t="s">
        <v>792</v>
      </c>
      <c r="I115" s="28" t="s">
        <v>168</v>
      </c>
      <c r="J115" s="28" t="n">
        <v>3</v>
      </c>
      <c r="K115" s="28" t="n">
        <v>8</v>
      </c>
      <c r="L115" s="71"/>
      <c r="M115" s="35" t="str">
        <f aca="false">IF($AB115="","",IFERROR(INDEX('Força 1RM'!$Q$8:$Y$47,MATCH(IF($E115="Equipe (todos)",$C$4,$E115),'Força 1RM'!$P$8:$P$47,0),MATCH($AB115,'Força 1RM'!$Q$7:$Y$7,0)),""))</f>
        <v/>
      </c>
      <c r="N115" s="30" t="n">
        <f aca="false">IFERROR(IF(OR($L115="",$M115="",$M115=0),0,ROUND($L115*$M115*2,0)/2),0)</f>
        <v>0</v>
      </c>
      <c r="O115" s="32"/>
      <c r="P115" s="42" t="str">
        <f aca="false">IFERROR(IF(OR($L115="",$I115="—",$I115=""),"",IF($I115="Agachamento",INDEX($AE$8:$AE$20,MATCH($L115,$AD$8:$AD$20,1)),IF($I115="Supino",INDEX($AF$8:$AF$20,MATCH($L115,$AD$8:$AD$20,1)),IF($I115="Terra",INDEX($AG$8:$AG$20,MATCH($L115,$AD$8:$AD$20,1)),"")))),"")</f>
        <v/>
      </c>
      <c r="Q115" s="45"/>
      <c r="R115" s="71"/>
      <c r="S115" s="71"/>
      <c r="T115" s="69" t="str">
        <f aca="false">IF(OR($R115="",$S115=""),"",IF($S115&gt;$R115,"Acima do limite","Dentro do limite"))</f>
        <v/>
      </c>
      <c r="U115" s="28"/>
      <c r="V115" s="28"/>
      <c r="W115" s="28" t="n">
        <v>90</v>
      </c>
      <c r="X115" s="140" t="n">
        <f aca="false">IFERROR(IF(OR($J115="",$K115=""),0,$J115*$K115),0)</f>
        <v>24</v>
      </c>
      <c r="Y115" s="44" t="n">
        <f aca="false">IFERROR(IF($X115=0,0,$X115*IF($O115="",$N115,$O115)),0)</f>
        <v>0</v>
      </c>
      <c r="Z115" s="60" t="str">
        <f aca="false">IF($L115="","",IF($L115&lt;0.5,"Balística / Velocidade (&lt;50%)",IF($L115&lt;0.7,"Velocidade-Força (50–69%)",IF($L115&lt;0.8,"Força-Velocidade (70–79%)",IF($L115&lt;0.9,"Força Máxima (80–89%)","Força Máxima Alta (≥90%)")))))</f>
        <v/>
      </c>
      <c r="AA115" s="27"/>
      <c r="AB115" s="27"/>
    </row>
    <row r="116" customFormat="false" ht="15" hidden="false" customHeight="false" outlineLevel="0" collapsed="false">
      <c r="A116" s="29" t="n">
        <v>46302</v>
      </c>
      <c r="B116" s="33" t="n">
        <f aca="false">IF($A116="",0,INT(($A116-'Bloco Base'!$C$5)/7)+1)</f>
        <v>5</v>
      </c>
      <c r="C116" s="28" t="s">
        <v>963</v>
      </c>
      <c r="D116" s="28" t="s">
        <v>1192</v>
      </c>
      <c r="E116" s="27" t="s">
        <v>1117</v>
      </c>
      <c r="F116" s="28" t="n">
        <v>8</v>
      </c>
      <c r="G116" s="139" t="s">
        <v>1022</v>
      </c>
      <c r="H116" s="27" t="s">
        <v>776</v>
      </c>
      <c r="I116" s="28" t="s">
        <v>168</v>
      </c>
      <c r="J116" s="28" t="n">
        <v>3</v>
      </c>
      <c r="K116" s="28" t="n">
        <v>20</v>
      </c>
      <c r="L116" s="71"/>
      <c r="M116" s="35" t="str">
        <f aca="false">IF($AB116="","",IFERROR(INDEX('Força 1RM'!$Q$8:$Y$47,MATCH(IF($E116="Equipe (todos)",$C$4,$E116),'Força 1RM'!$P$8:$P$47,0),MATCH($AB116,'Força 1RM'!$Q$7:$Y$7,0)),""))</f>
        <v/>
      </c>
      <c r="N116" s="30" t="n">
        <f aca="false">IFERROR(IF(OR($L116="",$M116="",$M116=0),0,ROUND($L116*$M116*2,0)/2),0)</f>
        <v>0</v>
      </c>
      <c r="O116" s="32"/>
      <c r="P116" s="42" t="str">
        <f aca="false">IFERROR(IF(OR($L116="",$I116="—",$I116=""),"",IF($I116="Agachamento",INDEX($AE$8:$AE$20,MATCH($L116,$AD$8:$AD$20,1)),IF($I116="Supino",INDEX($AF$8:$AF$20,MATCH($L116,$AD$8:$AD$20,1)),IF($I116="Terra",INDEX($AG$8:$AG$20,MATCH($L116,$AD$8:$AD$20,1)),"")))),"")</f>
        <v/>
      </c>
      <c r="Q116" s="45"/>
      <c r="R116" s="71"/>
      <c r="S116" s="71"/>
      <c r="T116" s="69" t="str">
        <f aca="false">IF(OR($R116="",$S116=""),"",IF($S116&gt;$R116,"Acima do limite","Dentro do limite"))</f>
        <v/>
      </c>
      <c r="U116" s="28"/>
      <c r="V116" s="28"/>
      <c r="W116" s="28" t="n">
        <v>45</v>
      </c>
      <c r="X116" s="140" t="n">
        <f aca="false">IFERROR(IF(OR($J116="",$K116=""),0,$J116*$K116),0)</f>
        <v>60</v>
      </c>
      <c r="Y116" s="44" t="n">
        <f aca="false">IFERROR(IF($X116=0,0,$X116*IF($O116="",$N116,$O116)),0)</f>
        <v>0</v>
      </c>
      <c r="Z116" s="60" t="str">
        <f aca="false">IF($L116="","",IF($L116&lt;0.5,"Balística / Velocidade (&lt;50%)",IF($L116&lt;0.7,"Velocidade-Força (50–69%)",IF($L116&lt;0.8,"Força-Velocidade (70–79%)",IF($L116&lt;0.9,"Força Máxima (80–89%)","Força Máxima Alta (≥90%)")))))</f>
        <v/>
      </c>
      <c r="AA116" s="27"/>
      <c r="AB116" s="27"/>
    </row>
    <row r="117" customFormat="false" ht="15" hidden="false" customHeight="false" outlineLevel="0" collapsed="false">
      <c r="A117" s="29" t="n">
        <v>46304</v>
      </c>
      <c r="B117" s="33" t="n">
        <f aca="false">IF($A117="",0,INT(($A117-'Bloco Base'!$C$5)/7)+1)</f>
        <v>5</v>
      </c>
      <c r="C117" s="28" t="s">
        <v>963</v>
      </c>
      <c r="D117" s="28" t="s">
        <v>1193</v>
      </c>
      <c r="E117" s="27" t="s">
        <v>1117</v>
      </c>
      <c r="F117" s="28" t="n">
        <v>1</v>
      </c>
      <c r="G117" s="139" t="s">
        <v>600</v>
      </c>
      <c r="H117" s="27" t="s">
        <v>994</v>
      </c>
      <c r="I117" s="28" t="s">
        <v>168</v>
      </c>
      <c r="J117" s="28" t="n">
        <v>1</v>
      </c>
      <c r="K117" s="28" t="n">
        <v>8</v>
      </c>
      <c r="L117" s="71"/>
      <c r="M117" s="35" t="str">
        <f aca="false">IF($AB117="","",IFERROR(INDEX('Força 1RM'!$Q$8:$Y$47,MATCH(IF($E117="Equipe (todos)",$C$4,$E117),'Força 1RM'!$P$8:$P$47,0),MATCH($AB117,'Força 1RM'!$Q$7:$Y$7,0)),""))</f>
        <v/>
      </c>
      <c r="N117" s="30" t="n">
        <f aca="false">IFERROR(IF(OR($L117="",$M117="",$M117=0),0,ROUND($L117*$M117*2,0)/2),0)</f>
        <v>0</v>
      </c>
      <c r="O117" s="32"/>
      <c r="P117" s="42" t="str">
        <f aca="false">IFERROR(IF(OR($L117="",$I117="—",$I117=""),"",IF($I117="Agachamento",INDEX($AE$8:$AE$20,MATCH($L117,$AD$8:$AD$20,1)),IF($I117="Supino",INDEX($AF$8:$AF$20,MATCH($L117,$AD$8:$AD$20,1)),IF($I117="Terra",INDEX($AG$8:$AG$20,MATCH($L117,$AD$8:$AD$20,1)),"")))),"")</f>
        <v/>
      </c>
      <c r="Q117" s="45"/>
      <c r="R117" s="71"/>
      <c r="S117" s="71"/>
      <c r="T117" s="69" t="str">
        <f aca="false">IF(OR($R117="",$S117=""),"",IF($S117&gt;$R117,"Acima do limite","Dentro do limite"))</f>
        <v/>
      </c>
      <c r="U117" s="28"/>
      <c r="V117" s="28"/>
      <c r="W117" s="28" t="n">
        <v>0</v>
      </c>
      <c r="X117" s="140" t="n">
        <f aca="false">IFERROR(IF(OR($J117="",$K117=""),0,$J117*$K117),0)</f>
        <v>8</v>
      </c>
      <c r="Y117" s="44" t="n">
        <f aca="false">IFERROR(IF($X117=0,0,$X117*IF($O117="",$N117,$O117)),0)</f>
        <v>0</v>
      </c>
      <c r="Z117" s="60" t="str">
        <f aca="false">IF($L117="","",IF($L117&lt;0.5,"Balística / Velocidade (&lt;50%)",IF($L117&lt;0.7,"Velocidade-Força (50–69%)",IF($L117&lt;0.8,"Força-Velocidade (70–79%)",IF($L117&lt;0.9,"Força Máxima (80–89%)","Força Máxima Alta (≥90%)")))))</f>
        <v/>
      </c>
      <c r="AA117" s="27"/>
      <c r="AB117" s="27"/>
    </row>
    <row r="118" customFormat="false" ht="15" hidden="false" customHeight="false" outlineLevel="0" collapsed="false">
      <c r="A118" s="29" t="n">
        <v>46304</v>
      </c>
      <c r="B118" s="33" t="n">
        <f aca="false">IF($A118="",0,INT(($A118-'Bloco Base'!$C$5)/7)+1)</f>
        <v>5</v>
      </c>
      <c r="C118" s="28" t="s">
        <v>963</v>
      </c>
      <c r="D118" s="28" t="s">
        <v>1193</v>
      </c>
      <c r="E118" s="27" t="s">
        <v>1117</v>
      </c>
      <c r="F118" s="28" t="n">
        <v>2</v>
      </c>
      <c r="G118" s="139" t="s">
        <v>623</v>
      </c>
      <c r="H118" s="27" t="s">
        <v>1191</v>
      </c>
      <c r="I118" s="28" t="s">
        <v>168</v>
      </c>
      <c r="J118" s="28" t="n">
        <v>4</v>
      </c>
      <c r="K118" s="28" t="n">
        <v>3</v>
      </c>
      <c r="L118" s="71" t="n">
        <v>0.78</v>
      </c>
      <c r="M118" s="35" t="n">
        <f aca="false">IF($AB118="","",IFERROR(INDEX('Força 1RM'!$Q$8:$Y$47,MATCH(IF($E118="Equipe (todos)",$C$4,$E118),'Força 1RM'!$P$8:$P$47,0),MATCH($AB118,'Força 1RM'!$Q$7:$Y$7,0)),""))</f>
        <v>117.5</v>
      </c>
      <c r="N118" s="30" t="n">
        <f aca="false">IFERROR(IF(OR($L118="",$M118="",$M118=0),0,ROUND($L118*$M118*2,0)/2),0)</f>
        <v>91.5</v>
      </c>
      <c r="O118" s="32"/>
      <c r="P118" s="42" t="str">
        <f aca="false">IFERROR(IF(OR($L118="",$I118="—",$I118=""),"",IF($I118="Agachamento",INDEX($AE$8:$AE$20,MATCH($L118,$AD$8:$AD$20,1)),IF($I118="Supino",INDEX($AF$8:$AF$20,MATCH($L118,$AD$8:$AD$20,1)),IF($I118="Terra",INDEX($AG$8:$AG$20,MATCH($L118,$AD$8:$AD$20,1)),"")))),"")</f>
        <v/>
      </c>
      <c r="Q118" s="45"/>
      <c r="R118" s="71" t="n">
        <v>0.1</v>
      </c>
      <c r="S118" s="71"/>
      <c r="T118" s="69" t="str">
        <f aca="false">IF(OR($R118="",$S118=""),"",IF($S118&gt;$R118,"Acima do limite","Dentro do limite"))</f>
        <v/>
      </c>
      <c r="U118" s="28"/>
      <c r="V118" s="28"/>
      <c r="W118" s="28" t="n">
        <v>150</v>
      </c>
      <c r="X118" s="140" t="n">
        <f aca="false">IFERROR(IF(OR($J118="",$K118=""),0,$J118*$K118),0)</f>
        <v>12</v>
      </c>
      <c r="Y118" s="44" t="n">
        <f aca="false">IFERROR(IF($X118=0,0,$X118*IF($O118="",$N118,$O118)),0)</f>
        <v>1098</v>
      </c>
      <c r="Z118" s="60" t="str">
        <f aca="false">IF($L118="","",IF($L118&lt;0.5,"Balística / Velocidade (&lt;50%)",IF($L118&lt;0.7,"Velocidade-Força (50–69%)",IF($L118&lt;0.8,"Força-Velocidade (70–79%)",IF($L118&lt;0.9,"Força Máxima (80–89%)","Força Máxima Alta (≥90%)")))))</f>
        <v>Força-Velocidade (70–79%)</v>
      </c>
      <c r="AA118" s="27"/>
      <c r="AB118" s="27" t="s">
        <v>620</v>
      </c>
    </row>
    <row r="119" customFormat="false" ht="15" hidden="false" customHeight="false" outlineLevel="0" collapsed="false">
      <c r="A119" s="29" t="n">
        <v>46304</v>
      </c>
      <c r="B119" s="33" t="n">
        <f aca="false">IF($A119="",0,INT(($A119-'Bloco Base'!$C$5)/7)+1)</f>
        <v>5</v>
      </c>
      <c r="C119" s="28" t="s">
        <v>963</v>
      </c>
      <c r="D119" s="28" t="s">
        <v>1193</v>
      </c>
      <c r="E119" s="27" t="s">
        <v>1117</v>
      </c>
      <c r="F119" s="28" t="n">
        <v>3</v>
      </c>
      <c r="G119" s="139" t="s">
        <v>698</v>
      </c>
      <c r="H119" s="27" t="s">
        <v>1191</v>
      </c>
      <c r="I119" s="28" t="s">
        <v>692</v>
      </c>
      <c r="J119" s="28" t="n">
        <v>4</v>
      </c>
      <c r="K119" s="28" t="n">
        <v>4</v>
      </c>
      <c r="L119" s="71" t="n">
        <v>0.7</v>
      </c>
      <c r="M119" s="35" t="n">
        <f aca="false">IF($AB119="","",IFERROR(INDEX('Força 1RM'!$Q$8:$Y$47,MATCH(IF($E119="Equipe (todos)",$C$4,$E119),'Força 1RM'!$P$8:$P$47,0),MATCH($AB119,'Força 1RM'!$Q$7:$Y$7,0)),""))</f>
        <v>160</v>
      </c>
      <c r="N119" s="30" t="n">
        <f aca="false">IFERROR(IF(OR($L119="",$M119="",$M119=0),0,ROUND($L119*$M119*2,0)/2),0)</f>
        <v>112</v>
      </c>
      <c r="O119" s="32"/>
      <c r="P119" s="42" t="n">
        <f aca="false">IFERROR(IF(OR($L119="",$I119="—",$I119=""),"",IF($I119="Agachamento",INDEX($AE$8:$AE$20,MATCH($L119,$AD$8:$AD$20,1)),IF($I119="Supino",INDEX($AF$8:$AF$20,MATCH($L119,$AD$8:$AD$20,1)),IF($I119="Terra",INDEX($AG$8:$AG$20,MATCH($L119,$AD$8:$AD$20,1)),"")))),"")</f>
        <v>0.68</v>
      </c>
      <c r="Q119" s="45"/>
      <c r="R119" s="71" t="n">
        <v>0.1</v>
      </c>
      <c r="S119" s="71"/>
      <c r="T119" s="69" t="str">
        <f aca="false">IF(OR($R119="",$S119=""),"",IF($S119&gt;$R119,"Acima do limite","Dentro do limite"))</f>
        <v/>
      </c>
      <c r="U119" s="28"/>
      <c r="V119" s="28"/>
      <c r="W119" s="28" t="n">
        <v>150</v>
      </c>
      <c r="X119" s="140" t="n">
        <f aca="false">IFERROR(IF(OR($J119="",$K119=""),0,$J119*$K119),0)</f>
        <v>16</v>
      </c>
      <c r="Y119" s="44" t="n">
        <f aca="false">IFERROR(IF($X119=0,0,$X119*IF($O119="",$N119,$O119)),0)</f>
        <v>1792</v>
      </c>
      <c r="Z119" s="60" t="str">
        <f aca="false">IF($L119="","",IF($L119&lt;0.5,"Balística / Velocidade (&lt;50%)",IF($L119&lt;0.7,"Velocidade-Força (50–69%)",IF($L119&lt;0.8,"Força-Velocidade (70–79%)",IF($L119&lt;0.9,"Força Máxima (80–89%)","Força Máxima Alta (≥90%)")))))</f>
        <v>Força-Velocidade (70–79%)</v>
      </c>
      <c r="AA119" s="27"/>
      <c r="AB119" s="27" t="s">
        <v>688</v>
      </c>
    </row>
    <row r="120" customFormat="false" ht="15" hidden="false" customHeight="false" outlineLevel="0" collapsed="false">
      <c r="A120" s="29" t="n">
        <v>46304</v>
      </c>
      <c r="B120" s="33" t="n">
        <f aca="false">IF($A120="",0,INT(($A120-'Bloco Base'!$C$5)/7)+1)</f>
        <v>5</v>
      </c>
      <c r="C120" s="28" t="s">
        <v>963</v>
      </c>
      <c r="D120" s="28" t="s">
        <v>1193</v>
      </c>
      <c r="E120" s="27" t="s">
        <v>1117</v>
      </c>
      <c r="F120" s="28" t="n">
        <v>4</v>
      </c>
      <c r="G120" s="139" t="s">
        <v>728</v>
      </c>
      <c r="H120" s="27" t="s">
        <v>1004</v>
      </c>
      <c r="I120" s="28" t="s">
        <v>168</v>
      </c>
      <c r="J120" s="28" t="n">
        <v>3</v>
      </c>
      <c r="K120" s="28" t="n">
        <v>8</v>
      </c>
      <c r="L120" s="71"/>
      <c r="M120" s="35" t="str">
        <f aca="false">IF($AB120="","",IFERROR(INDEX('Força 1RM'!$Q$8:$Y$47,MATCH(IF($E120="Equipe (todos)",$C$4,$E120),'Força 1RM'!$P$8:$P$47,0),MATCH($AB120,'Força 1RM'!$Q$7:$Y$7,0)),""))</f>
        <v/>
      </c>
      <c r="N120" s="30" t="n">
        <f aca="false">IFERROR(IF(OR($L120="",$M120="",$M120=0),0,ROUND($L120*$M120*2,0)/2),0)</f>
        <v>0</v>
      </c>
      <c r="O120" s="32"/>
      <c r="P120" s="42" t="str">
        <f aca="false">IFERROR(IF(OR($L120="",$I120="—",$I120=""),"",IF($I120="Agachamento",INDEX($AE$8:$AE$20,MATCH($L120,$AD$8:$AD$20,1)),IF($I120="Supino",INDEX($AF$8:$AF$20,MATCH($L120,$AD$8:$AD$20,1)),IF($I120="Terra",INDEX($AG$8:$AG$20,MATCH($L120,$AD$8:$AD$20,1)),"")))),"")</f>
        <v/>
      </c>
      <c r="Q120" s="45"/>
      <c r="R120" s="71"/>
      <c r="S120" s="71"/>
      <c r="T120" s="69" t="str">
        <f aca="false">IF(OR($R120="",$S120=""),"",IF($S120&gt;$R120,"Acima do limite","Dentro do limite"))</f>
        <v/>
      </c>
      <c r="U120" s="28"/>
      <c r="V120" s="28"/>
      <c r="W120" s="28" t="n">
        <v>60</v>
      </c>
      <c r="X120" s="140" t="n">
        <f aca="false">IFERROR(IF(OR($J120="",$K120=""),0,$J120*$K120),0)</f>
        <v>24</v>
      </c>
      <c r="Y120" s="44" t="n">
        <f aca="false">IFERROR(IF($X120=0,0,$X120*IF($O120="",$N120,$O120)),0)</f>
        <v>0</v>
      </c>
      <c r="Z120" s="60" t="str">
        <f aca="false">IF($L120="","",IF($L120&lt;0.5,"Balística / Velocidade (&lt;50%)",IF($L120&lt;0.7,"Velocidade-Força (50–69%)",IF($L120&lt;0.8,"Força-Velocidade (70–79%)",IF($L120&lt;0.9,"Força Máxima (80–89%)","Força Máxima Alta (≥90%)")))))</f>
        <v/>
      </c>
      <c r="AA120" s="27"/>
      <c r="AB120" s="27"/>
    </row>
    <row r="121" customFormat="false" ht="15" hidden="false" customHeight="false" outlineLevel="0" collapsed="false">
      <c r="A121" s="29" t="n">
        <v>46304</v>
      </c>
      <c r="B121" s="33" t="n">
        <f aca="false">IF($A121="",0,INT(($A121-'Bloco Base'!$C$5)/7)+1)</f>
        <v>5</v>
      </c>
      <c r="C121" s="28" t="s">
        <v>963</v>
      </c>
      <c r="D121" s="28" t="s">
        <v>1193</v>
      </c>
      <c r="E121" s="27" t="s">
        <v>1117</v>
      </c>
      <c r="F121" s="28" t="n">
        <v>5</v>
      </c>
      <c r="G121" s="139" t="s">
        <v>1030</v>
      </c>
      <c r="H121" s="27" t="s">
        <v>537</v>
      </c>
      <c r="I121" s="28" t="s">
        <v>168</v>
      </c>
      <c r="J121" s="28" t="n">
        <v>3</v>
      </c>
      <c r="K121" s="28" t="n">
        <v>8</v>
      </c>
      <c r="L121" s="71"/>
      <c r="M121" s="35" t="str">
        <f aca="false">IF($AB121="","",IFERROR(INDEX('Força 1RM'!$Q$8:$Y$47,MATCH(IF($E121="Equipe (todos)",$C$4,$E121),'Força 1RM'!$P$8:$P$47,0),MATCH($AB121,'Força 1RM'!$Q$7:$Y$7,0)),""))</f>
        <v/>
      </c>
      <c r="N121" s="30" t="n">
        <f aca="false">IFERROR(IF(OR($L121="",$M121="",$M121=0),0,ROUND($L121*$M121*2,0)/2),0)</f>
        <v>0</v>
      </c>
      <c r="O121" s="32"/>
      <c r="P121" s="42" t="str">
        <f aca="false">IFERROR(IF(OR($L121="",$I121="—",$I121=""),"",IF($I121="Agachamento",INDEX($AE$8:$AE$20,MATCH($L121,$AD$8:$AD$20,1)),IF($I121="Supino",INDEX($AF$8:$AF$20,MATCH($L121,$AD$8:$AD$20,1)),IF($I121="Terra",INDEX($AG$8:$AG$20,MATCH($L121,$AD$8:$AD$20,1)),"")))),"")</f>
        <v/>
      </c>
      <c r="Q121" s="45"/>
      <c r="R121" s="71"/>
      <c r="S121" s="71"/>
      <c r="T121" s="69" t="str">
        <f aca="false">IF(OR($R121="",$S121=""),"",IF($S121&gt;$R121,"Acima do limite","Dentro do limite"))</f>
        <v/>
      </c>
      <c r="U121" s="28"/>
      <c r="V121" s="28"/>
      <c r="W121" s="28" t="n">
        <v>90</v>
      </c>
      <c r="X121" s="140" t="n">
        <f aca="false">IFERROR(IF(OR($J121="",$K121=""),0,$J121*$K121),0)</f>
        <v>24</v>
      </c>
      <c r="Y121" s="44" t="n">
        <f aca="false">IFERROR(IF($X121=0,0,$X121*IF($O121="",$N121,$O121)),0)</f>
        <v>0</v>
      </c>
      <c r="Z121" s="60" t="str">
        <f aca="false">IF($L121="","",IF($L121&lt;0.5,"Balística / Velocidade (&lt;50%)",IF($L121&lt;0.7,"Velocidade-Força (50–69%)",IF($L121&lt;0.8,"Força-Velocidade (70–79%)",IF($L121&lt;0.9,"Força Máxima (80–89%)","Força Máxima Alta (≥90%)")))))</f>
        <v/>
      </c>
      <c r="AA121" s="27"/>
      <c r="AB121" s="27"/>
    </row>
    <row r="122" customFormat="false" ht="15" hidden="false" customHeight="false" outlineLevel="0" collapsed="false">
      <c r="A122" s="29" t="n">
        <v>46304</v>
      </c>
      <c r="B122" s="33" t="n">
        <f aca="false">IF($A122="",0,INT(($A122-'Bloco Base'!$C$5)/7)+1)</f>
        <v>5</v>
      </c>
      <c r="C122" s="28" t="s">
        <v>963</v>
      </c>
      <c r="D122" s="28" t="s">
        <v>1193</v>
      </c>
      <c r="E122" s="27" t="s">
        <v>1117</v>
      </c>
      <c r="F122" s="28" t="n">
        <v>6</v>
      </c>
      <c r="G122" s="139" t="s">
        <v>632</v>
      </c>
      <c r="H122" s="27" t="s">
        <v>558</v>
      </c>
      <c r="I122" s="28" t="s">
        <v>168</v>
      </c>
      <c r="J122" s="28" t="n">
        <v>4</v>
      </c>
      <c r="K122" s="28" t="n">
        <v>5</v>
      </c>
      <c r="L122" s="71"/>
      <c r="M122" s="35" t="str">
        <f aca="false">IF($AB122="","",IFERROR(INDEX('Força 1RM'!$Q$8:$Y$47,MATCH(IF($E122="Equipe (todos)",$C$4,$E122),'Força 1RM'!$P$8:$P$47,0),MATCH($AB122,'Força 1RM'!$Q$7:$Y$7,0)),""))</f>
        <v/>
      </c>
      <c r="N122" s="30" t="n">
        <f aca="false">IFERROR(IF(OR($L122="",$M122="",$M122=0),0,ROUND($L122*$M122*2,0)/2),0)</f>
        <v>0</v>
      </c>
      <c r="O122" s="32"/>
      <c r="P122" s="42" t="str">
        <f aca="false">IFERROR(IF(OR($L122="",$I122="—",$I122=""),"",IF($I122="Agachamento",INDEX($AE$8:$AE$20,MATCH($L122,$AD$8:$AD$20,1)),IF($I122="Supino",INDEX($AF$8:$AF$20,MATCH($L122,$AD$8:$AD$20,1)),IF($I122="Terra",INDEX($AG$8:$AG$20,MATCH($L122,$AD$8:$AD$20,1)),"")))),"")</f>
        <v/>
      </c>
      <c r="Q122" s="45"/>
      <c r="R122" s="71"/>
      <c r="S122" s="71"/>
      <c r="T122" s="69" t="str">
        <f aca="false">IF(OR($R122="",$S122=""),"",IF($S122&gt;$R122,"Acima do limite","Dentro do limite"))</f>
        <v/>
      </c>
      <c r="U122" s="28"/>
      <c r="V122" s="28"/>
      <c r="W122" s="28" t="n">
        <v>120</v>
      </c>
      <c r="X122" s="140" t="n">
        <f aca="false">IFERROR(IF(OR($J122="",$K122=""),0,$J122*$K122),0)</f>
        <v>20</v>
      </c>
      <c r="Y122" s="44" t="n">
        <f aca="false">IFERROR(IF($X122=0,0,$X122*IF($O122="",$N122,$O122)),0)</f>
        <v>0</v>
      </c>
      <c r="Z122" s="60" t="str">
        <f aca="false">IF($L122="","",IF($L122&lt;0.5,"Balística / Velocidade (&lt;50%)",IF($L122&lt;0.7,"Velocidade-Força (50–69%)",IF($L122&lt;0.8,"Força-Velocidade (70–79%)",IF($L122&lt;0.9,"Força Máxima (80–89%)","Força Máxima Alta (≥90%)")))))</f>
        <v/>
      </c>
      <c r="AA122" s="27"/>
      <c r="AB122" s="27"/>
    </row>
    <row r="123" customFormat="false" ht="15" hidden="false" customHeight="false" outlineLevel="0" collapsed="false">
      <c r="A123" s="29" t="n">
        <v>46304</v>
      </c>
      <c r="B123" s="33" t="n">
        <f aca="false">IF($A123="",0,INT(($A123-'Bloco Base'!$C$5)/7)+1)</f>
        <v>5</v>
      </c>
      <c r="C123" s="28" t="s">
        <v>963</v>
      </c>
      <c r="D123" s="28" t="s">
        <v>1193</v>
      </c>
      <c r="E123" s="27" t="s">
        <v>1117</v>
      </c>
      <c r="F123" s="28" t="n">
        <v>7</v>
      </c>
      <c r="G123" s="139" t="s">
        <v>664</v>
      </c>
      <c r="H123" s="27" t="s">
        <v>537</v>
      </c>
      <c r="I123" s="28" t="s">
        <v>168</v>
      </c>
      <c r="J123" s="28" t="n">
        <v>4</v>
      </c>
      <c r="K123" s="28" t="n">
        <v>6</v>
      </c>
      <c r="L123" s="71" t="n">
        <v>0.8</v>
      </c>
      <c r="M123" s="35" t="str">
        <f aca="false">IF($AB123="","",IFERROR(INDEX('Força 1RM'!$Q$8:$Y$47,MATCH(IF($E123="Equipe (todos)",$C$4,$E123),'Força 1RM'!$P$8:$P$47,0),MATCH($AB123,'Força 1RM'!$Q$7:$Y$7,0)),""))</f>
        <v/>
      </c>
      <c r="N123" s="30" t="n">
        <f aca="false">IFERROR(IF(OR($L123="",$M123="",$M123=0),0,ROUND($L123*$M123*2,0)/2),0)</f>
        <v>0</v>
      </c>
      <c r="O123" s="32"/>
      <c r="P123" s="42" t="str">
        <f aca="false">IFERROR(IF(OR($L123="",$I123="—",$I123=""),"",IF($I123="Agachamento",INDEX($AE$8:$AE$20,MATCH($L123,$AD$8:$AD$20,1)),IF($I123="Supino",INDEX($AF$8:$AF$20,MATCH($L123,$AD$8:$AD$20,1)),IF($I123="Terra",INDEX($AG$8:$AG$20,MATCH($L123,$AD$8:$AD$20,1)),"")))),"")</f>
        <v/>
      </c>
      <c r="Q123" s="45"/>
      <c r="R123" s="71" t="n">
        <v>0.15</v>
      </c>
      <c r="S123" s="71"/>
      <c r="T123" s="69" t="str">
        <f aca="false">IF(OR($R123="",$S123=""),"",IF($S123&gt;$R123,"Acima do limite","Dentro do limite"))</f>
        <v/>
      </c>
      <c r="U123" s="28"/>
      <c r="V123" s="28"/>
      <c r="W123" s="28" t="n">
        <v>120</v>
      </c>
      <c r="X123" s="140" t="n">
        <f aca="false">IFERROR(IF(OR($J123="",$K123=""),0,$J123*$K123),0)</f>
        <v>24</v>
      </c>
      <c r="Y123" s="44" t="n">
        <f aca="false">IFERROR(IF($X123=0,0,$X123*IF($O123="",$N123,$O123)),0)</f>
        <v>0</v>
      </c>
      <c r="Z123" s="60" t="str">
        <f aca="false">IF($L123="","",IF($L123&lt;0.5,"Balística / Velocidade (&lt;50%)",IF($L123&lt;0.7,"Velocidade-Força (50–69%)",IF($L123&lt;0.8,"Força-Velocidade (70–79%)",IF($L123&lt;0.9,"Força Máxima (80–89%)","Força Máxima Alta (≥90%)")))))</f>
        <v>Força Máxima (80–89%)</v>
      </c>
      <c r="AA123" s="27"/>
      <c r="AB123" s="27"/>
    </row>
    <row r="124" customFormat="false" ht="15" hidden="false" customHeight="false" outlineLevel="0" collapsed="false">
      <c r="A124" s="29" t="n">
        <v>46304</v>
      </c>
      <c r="B124" s="33" t="n">
        <f aca="false">IF($A124="",0,INT(($A124-'Bloco Base'!$C$5)/7)+1)</f>
        <v>5</v>
      </c>
      <c r="C124" s="28" t="s">
        <v>963</v>
      </c>
      <c r="D124" s="28" t="s">
        <v>1193</v>
      </c>
      <c r="E124" s="27" t="s">
        <v>1117</v>
      </c>
      <c r="F124" s="28" t="n">
        <v>8</v>
      </c>
      <c r="G124" s="139" t="s">
        <v>566</v>
      </c>
      <c r="H124" s="27" t="s">
        <v>480</v>
      </c>
      <c r="I124" s="28" t="s">
        <v>168</v>
      </c>
      <c r="J124" s="28" t="n">
        <v>6</v>
      </c>
      <c r="K124" s="28" t="n">
        <v>1</v>
      </c>
      <c r="L124" s="71"/>
      <c r="M124" s="35" t="str">
        <f aca="false">IF($AB124="","",IFERROR(INDEX('Força 1RM'!$Q$8:$Y$47,MATCH(IF($E124="Equipe (todos)",$C$4,$E124),'Força 1RM'!$P$8:$P$47,0),MATCH($AB124,'Força 1RM'!$Q$7:$Y$7,0)),""))</f>
        <v/>
      </c>
      <c r="N124" s="30" t="n">
        <f aca="false">IFERROR(IF(OR($L124="",$M124="",$M124=0),0,ROUND($L124*$M124*2,0)/2),0)</f>
        <v>0</v>
      </c>
      <c r="O124" s="32"/>
      <c r="P124" s="42" t="str">
        <f aca="false">IFERROR(IF(OR($L124="",$I124="—",$I124=""),"",IF($I124="Agachamento",INDEX($AE$8:$AE$20,MATCH($L124,$AD$8:$AD$20,1)),IF($I124="Supino",INDEX($AF$8:$AF$20,MATCH($L124,$AD$8:$AD$20,1)),IF($I124="Terra",INDEX($AG$8:$AG$20,MATCH($L124,$AD$8:$AD$20,1)),"")))),"")</f>
        <v/>
      </c>
      <c r="Q124" s="45"/>
      <c r="R124" s="71"/>
      <c r="S124" s="71"/>
      <c r="T124" s="69" t="str">
        <f aca="false">IF(OR($R124="",$S124=""),"",IF($S124&gt;$R124,"Acima do limite","Dentro do limite"))</f>
        <v/>
      </c>
      <c r="U124" s="28"/>
      <c r="V124" s="28"/>
      <c r="W124" s="28" t="n">
        <v>120</v>
      </c>
      <c r="X124" s="140" t="n">
        <f aca="false">IFERROR(IF(OR($J124="",$K124=""),0,$J124*$K124),0)</f>
        <v>6</v>
      </c>
      <c r="Y124" s="44" t="n">
        <f aca="false">IFERROR(IF($X124=0,0,$X124*IF($O124="",$N124,$O124)),0)</f>
        <v>0</v>
      </c>
      <c r="Z124" s="60" t="str">
        <f aca="false">IF($L124="","",IF($L124&lt;0.5,"Balística / Velocidade (&lt;50%)",IF($L124&lt;0.7,"Velocidade-Força (50–69%)",IF($L124&lt;0.8,"Força-Velocidade (70–79%)",IF($L124&lt;0.9,"Força Máxima (80–89%)","Força Máxima Alta (≥90%)")))))</f>
        <v/>
      </c>
      <c r="AA124" s="27"/>
      <c r="AB124" s="27"/>
    </row>
    <row r="125" customFormat="false" ht="15" hidden="false" customHeight="false" outlineLevel="0" collapsed="false">
      <c r="A125" s="29" t="n">
        <v>46304</v>
      </c>
      <c r="B125" s="33" t="n">
        <f aca="false">IF($A125="",0,INT(($A125-'Bloco Base'!$C$5)/7)+1)</f>
        <v>5</v>
      </c>
      <c r="C125" s="28" t="s">
        <v>963</v>
      </c>
      <c r="D125" s="28" t="s">
        <v>1193</v>
      </c>
      <c r="E125" s="27" t="s">
        <v>1117</v>
      </c>
      <c r="F125" s="28" t="n">
        <v>9</v>
      </c>
      <c r="G125" s="139" t="s">
        <v>748</v>
      </c>
      <c r="H125" s="27" t="s">
        <v>776</v>
      </c>
      <c r="I125" s="28" t="s">
        <v>168</v>
      </c>
      <c r="J125" s="28" t="n">
        <v>3</v>
      </c>
      <c r="K125" s="28" t="n">
        <v>20</v>
      </c>
      <c r="L125" s="71"/>
      <c r="M125" s="35" t="str">
        <f aca="false">IF($AB125="","",IFERROR(INDEX('Força 1RM'!$Q$8:$Y$47,MATCH(IF($E125="Equipe (todos)",$C$4,$E125),'Força 1RM'!$P$8:$P$47,0),MATCH($AB125,'Força 1RM'!$Q$7:$Y$7,0)),""))</f>
        <v/>
      </c>
      <c r="N125" s="30" t="n">
        <f aca="false">IFERROR(IF(OR($L125="",$M125="",$M125=0),0,ROUND($L125*$M125*2,0)/2),0)</f>
        <v>0</v>
      </c>
      <c r="O125" s="32"/>
      <c r="P125" s="42" t="str">
        <f aca="false">IFERROR(IF(OR($L125="",$I125="—",$I125=""),"",IF($I125="Agachamento",INDEX($AE$8:$AE$20,MATCH($L125,$AD$8:$AD$20,1)),IF($I125="Supino",INDEX($AF$8:$AF$20,MATCH($L125,$AD$8:$AD$20,1)),IF($I125="Terra",INDEX($AG$8:$AG$20,MATCH($L125,$AD$8:$AD$20,1)),"")))),"")</f>
        <v/>
      </c>
      <c r="Q125" s="45"/>
      <c r="R125" s="71"/>
      <c r="S125" s="71"/>
      <c r="T125" s="69" t="str">
        <f aca="false">IF(OR($R125="",$S125=""),"",IF($S125&gt;$R125,"Acima do limite","Dentro do limite"))</f>
        <v/>
      </c>
      <c r="U125" s="28"/>
      <c r="V125" s="28"/>
      <c r="W125" s="28" t="n">
        <v>45</v>
      </c>
      <c r="X125" s="140" t="n">
        <f aca="false">IFERROR(IF(OR($J125="",$K125=""),0,$J125*$K125),0)</f>
        <v>60</v>
      </c>
      <c r="Y125" s="44" t="n">
        <f aca="false">IFERROR(IF($X125=0,0,$X125*IF($O125="",$N125,$O125)),0)</f>
        <v>0</v>
      </c>
      <c r="Z125" s="60" t="str">
        <f aca="false">IF($L125="","",IF($L125&lt;0.5,"Balística / Velocidade (&lt;50%)",IF($L125&lt;0.7,"Velocidade-Força (50–69%)",IF($L125&lt;0.8,"Força-Velocidade (70–79%)",IF($L125&lt;0.9,"Força Máxima (80–89%)","Força Máxima Alta (≥90%)")))))</f>
        <v/>
      </c>
      <c r="AA125" s="27"/>
      <c r="AB125" s="27"/>
    </row>
    <row r="126" customFormat="false" ht="15" hidden="false" customHeight="false" outlineLevel="0" collapsed="false">
      <c r="A126" s="29" t="n">
        <v>46307</v>
      </c>
      <c r="B126" s="33" t="n">
        <f aca="false">IF($A126="",0,INT(($A126-'Bloco Base'!$C$5)/7)+1)</f>
        <v>6</v>
      </c>
      <c r="C126" s="28" t="s">
        <v>963</v>
      </c>
      <c r="D126" s="28" t="s">
        <v>233</v>
      </c>
      <c r="E126" s="27" t="s">
        <v>1117</v>
      </c>
      <c r="F126" s="28" t="n">
        <v>1</v>
      </c>
      <c r="G126" s="139" t="s">
        <v>600</v>
      </c>
      <c r="H126" s="27" t="s">
        <v>994</v>
      </c>
      <c r="I126" s="28" t="s">
        <v>168</v>
      </c>
      <c r="J126" s="28" t="n">
        <v>1</v>
      </c>
      <c r="K126" s="28" t="n">
        <v>8</v>
      </c>
      <c r="L126" s="71"/>
      <c r="M126" s="35" t="str">
        <f aca="false">IF($AB126="","",IFERROR(INDEX('Força 1RM'!$Q$8:$Y$47,MATCH(IF($E126="Equipe (todos)",$C$4,$E126),'Força 1RM'!$P$8:$P$47,0),MATCH($AB126,'Força 1RM'!$Q$7:$Y$7,0)),""))</f>
        <v/>
      </c>
      <c r="N126" s="30" t="n">
        <f aca="false">IFERROR(IF(OR($L126="",$M126="",$M126=0),0,ROUND($L126*$M126*2,0)/2),0)</f>
        <v>0</v>
      </c>
      <c r="O126" s="32"/>
      <c r="P126" s="42" t="str">
        <f aca="false">IFERROR(IF(OR($L126="",$I126="—",$I126=""),"",IF($I126="Agachamento",INDEX($AE$8:$AE$20,MATCH($L126,$AD$8:$AD$20,1)),IF($I126="Supino",INDEX($AF$8:$AF$20,MATCH($L126,$AD$8:$AD$20,1)),IF($I126="Terra",INDEX($AG$8:$AG$20,MATCH($L126,$AD$8:$AD$20,1)),"")))),"")</f>
        <v/>
      </c>
      <c r="Q126" s="45"/>
      <c r="R126" s="71"/>
      <c r="S126" s="71"/>
      <c r="T126" s="69" t="str">
        <f aca="false">IF(OR($R126="",$S126=""),"",IF($S126&gt;$R126,"Acima do limite","Dentro do limite"))</f>
        <v/>
      </c>
      <c r="U126" s="28"/>
      <c r="V126" s="28"/>
      <c r="W126" s="28" t="n">
        <v>0</v>
      </c>
      <c r="X126" s="140" t="n">
        <f aca="false">IFERROR(IF(OR($J126="",$K126=""),0,$J126*$K126),0)</f>
        <v>8</v>
      </c>
      <c r="Y126" s="44" t="n">
        <f aca="false">IFERROR(IF($X126=0,0,$X126*IF($O126="",$N126,$O126)),0)</f>
        <v>0</v>
      </c>
      <c r="Z126" s="60" t="str">
        <f aca="false">IF($L126="","",IF($L126&lt;0.5,"Balística / Velocidade (&lt;50%)",IF($L126&lt;0.7,"Velocidade-Força (50–69%)",IF($L126&lt;0.8,"Força-Velocidade (70–79%)",IF($L126&lt;0.9,"Força Máxima (80–89%)","Força Máxima Alta (≥90%)")))))</f>
        <v/>
      </c>
      <c r="AA126" s="27"/>
      <c r="AB126" s="27"/>
    </row>
    <row r="127" customFormat="false" ht="15" hidden="false" customHeight="false" outlineLevel="0" collapsed="false">
      <c r="A127" s="29" t="n">
        <v>46307</v>
      </c>
      <c r="B127" s="33" t="n">
        <f aca="false">IF($A127="",0,INT(($A127-'Bloco Base'!$C$5)/7)+1)</f>
        <v>6</v>
      </c>
      <c r="C127" s="28" t="s">
        <v>963</v>
      </c>
      <c r="D127" s="28" t="s">
        <v>233</v>
      </c>
      <c r="E127" s="27" t="s">
        <v>1117</v>
      </c>
      <c r="F127" s="28" t="n">
        <v>2</v>
      </c>
      <c r="G127" s="139" t="s">
        <v>616</v>
      </c>
      <c r="H127" s="27" t="s">
        <v>1191</v>
      </c>
      <c r="I127" s="28" t="s">
        <v>168</v>
      </c>
      <c r="J127" s="28" t="n">
        <v>4</v>
      </c>
      <c r="K127" s="28" t="n">
        <v>3</v>
      </c>
      <c r="L127" s="71" t="n">
        <v>0.95</v>
      </c>
      <c r="M127" s="35" t="n">
        <f aca="false">IF($AB127="","",IFERROR(INDEX('Força 1RM'!$Q$8:$Y$47,MATCH(IF($E127="Equipe (todos)",$C$4,$E127),'Força 1RM'!$P$8:$P$47,0),MATCH($AB127,'Força 1RM'!$Q$7:$Y$7,0)),""))</f>
        <v>92.5</v>
      </c>
      <c r="N127" s="30" t="n">
        <f aca="false">IFERROR(IF(OR($L127="",$M127="",$M127=0),0,ROUND($L127*$M127*2,0)/2),0)</f>
        <v>88</v>
      </c>
      <c r="O127" s="32"/>
      <c r="P127" s="42" t="str">
        <f aca="false">IFERROR(IF(OR($L127="",$I127="—",$I127=""),"",IF($I127="Agachamento",INDEX($AE$8:$AE$20,MATCH($L127,$AD$8:$AD$20,1)),IF($I127="Supino",INDEX($AF$8:$AF$20,MATCH($L127,$AD$8:$AD$20,1)),IF($I127="Terra",INDEX($AG$8:$AG$20,MATCH($L127,$AD$8:$AD$20,1)),"")))),"")</f>
        <v/>
      </c>
      <c r="Q127" s="45"/>
      <c r="R127" s="71" t="n">
        <v>0.1</v>
      </c>
      <c r="S127" s="71"/>
      <c r="T127" s="69" t="str">
        <f aca="false">IF(OR($R127="",$S127=""),"",IF($S127&gt;$R127,"Acima do limite","Dentro do limite"))</f>
        <v/>
      </c>
      <c r="U127" s="28"/>
      <c r="V127" s="28"/>
      <c r="W127" s="28" t="n">
        <v>180</v>
      </c>
      <c r="X127" s="140" t="n">
        <f aca="false">IFERROR(IF(OR($J127="",$K127=""),0,$J127*$K127),0)</f>
        <v>12</v>
      </c>
      <c r="Y127" s="44" t="n">
        <f aca="false">IFERROR(IF($X127=0,0,$X127*IF($O127="",$N127,$O127)),0)</f>
        <v>1056</v>
      </c>
      <c r="Z127" s="60" t="str">
        <f aca="false">IF($L127="","",IF($L127&lt;0.5,"Balística / Velocidade (&lt;50%)",IF($L127&lt;0.7,"Velocidade-Força (50–69%)",IF($L127&lt;0.8,"Força-Velocidade (70–79%)",IF($L127&lt;0.9,"Força Máxima (80–89%)","Força Máxima Alta (≥90%)")))))</f>
        <v>Força Máxima Alta (≥90%)</v>
      </c>
      <c r="AA127" s="27"/>
      <c r="AB127" s="27" t="s">
        <v>953</v>
      </c>
    </row>
    <row r="128" customFormat="false" ht="15" hidden="false" customHeight="false" outlineLevel="0" collapsed="false">
      <c r="A128" s="29" t="n">
        <v>46307</v>
      </c>
      <c r="B128" s="33" t="n">
        <f aca="false">IF($A128="",0,INT(($A128-'Bloco Base'!$C$5)/7)+1)</f>
        <v>6</v>
      </c>
      <c r="C128" s="28" t="s">
        <v>963</v>
      </c>
      <c r="D128" s="28" t="s">
        <v>233</v>
      </c>
      <c r="E128" s="27" t="s">
        <v>1117</v>
      </c>
      <c r="F128" s="28" t="n">
        <v>3</v>
      </c>
      <c r="G128" s="139" t="s">
        <v>688</v>
      </c>
      <c r="H128" s="27" t="s">
        <v>537</v>
      </c>
      <c r="I128" s="28" t="s">
        <v>692</v>
      </c>
      <c r="J128" s="28" t="n">
        <v>4</v>
      </c>
      <c r="K128" s="28" t="n">
        <v>3</v>
      </c>
      <c r="L128" s="71" t="n">
        <v>0.88</v>
      </c>
      <c r="M128" s="35" t="n">
        <f aca="false">IF($AB128="","",IFERROR(INDEX('Força 1RM'!$Q$8:$Y$47,MATCH(IF($E128="Equipe (todos)",$C$4,$E128),'Força 1RM'!$P$8:$P$47,0),MATCH($AB128,'Força 1RM'!$Q$7:$Y$7,0)),""))</f>
        <v>160</v>
      </c>
      <c r="N128" s="30" t="n">
        <f aca="false">IFERROR(IF(OR($L128="",$M128="",$M128=0),0,ROUND($L128*$M128*2,0)/2),0)</f>
        <v>141</v>
      </c>
      <c r="O128" s="32"/>
      <c r="P128" s="42" t="n">
        <f aca="false">IFERROR(IF(OR($L128="",$I128="—",$I128=""),"",IF($I128="Agachamento",INDEX($AE$8:$AE$20,MATCH($L128,$AD$8:$AD$20,1)),IF($I128="Supino",INDEX($AF$8:$AF$20,MATCH($L128,$AD$8:$AD$20,1)),IF($I128="Terra",INDEX($AG$8:$AG$20,MATCH($L128,$AD$8:$AD$20,1)),"")))),"")</f>
        <v>0.47</v>
      </c>
      <c r="Q128" s="45"/>
      <c r="R128" s="71" t="n">
        <v>0.1</v>
      </c>
      <c r="S128" s="71"/>
      <c r="T128" s="69" t="str">
        <f aca="false">IF(OR($R128="",$S128=""),"",IF($S128&gt;$R128,"Acima do limite","Dentro do limite"))</f>
        <v/>
      </c>
      <c r="U128" s="28"/>
      <c r="V128" s="28"/>
      <c r="W128" s="28" t="n">
        <v>180</v>
      </c>
      <c r="X128" s="140" t="n">
        <f aca="false">IFERROR(IF(OR($J128="",$K128=""),0,$J128*$K128),0)</f>
        <v>12</v>
      </c>
      <c r="Y128" s="44" t="n">
        <f aca="false">IFERROR(IF($X128=0,0,$X128*IF($O128="",$N128,$O128)),0)</f>
        <v>1692</v>
      </c>
      <c r="Z128" s="60" t="str">
        <f aca="false">IF($L128="","",IF($L128&lt;0.5,"Balística / Velocidade (&lt;50%)",IF($L128&lt;0.7,"Velocidade-Força (50–69%)",IF($L128&lt;0.8,"Força-Velocidade (70–79%)",IF($L128&lt;0.9,"Força Máxima (80–89%)","Força Máxima Alta (≥90%)")))))</f>
        <v>Força Máxima (80–89%)</v>
      </c>
      <c r="AA128" s="27"/>
      <c r="AB128" s="27" t="s">
        <v>688</v>
      </c>
    </row>
    <row r="129" customFormat="false" ht="15" hidden="false" customHeight="false" outlineLevel="0" collapsed="false">
      <c r="A129" s="29" t="n">
        <v>46307</v>
      </c>
      <c r="B129" s="33" t="n">
        <f aca="false">IF($A129="",0,INT(($A129-'Bloco Base'!$C$5)/7)+1)</f>
        <v>6</v>
      </c>
      <c r="C129" s="28" t="s">
        <v>963</v>
      </c>
      <c r="D129" s="28" t="s">
        <v>233</v>
      </c>
      <c r="E129" s="27" t="s">
        <v>1117</v>
      </c>
      <c r="F129" s="28" t="n">
        <v>4</v>
      </c>
      <c r="G129" s="139" t="s">
        <v>701</v>
      </c>
      <c r="H129" s="27" t="s">
        <v>537</v>
      </c>
      <c r="I129" s="28" t="s">
        <v>1000</v>
      </c>
      <c r="J129" s="28" t="n">
        <v>4</v>
      </c>
      <c r="K129" s="28" t="n">
        <v>5</v>
      </c>
      <c r="L129" s="71" t="n">
        <v>0.75</v>
      </c>
      <c r="M129" s="35" t="n">
        <f aca="false">IF($AB129="","",IFERROR(INDEX('Força 1RM'!$Q$8:$Y$47,MATCH(IF($E129="Equipe (todos)",$C$4,$E129),'Força 1RM'!$P$8:$P$47,0),MATCH($AB129,'Força 1RM'!$Q$7:$Y$7,0)),""))</f>
        <v>125</v>
      </c>
      <c r="N129" s="30" t="n">
        <f aca="false">IFERROR(IF(OR($L129="",$M129="",$M129=0),0,ROUND($L129*$M129*2,0)/2),0)</f>
        <v>94</v>
      </c>
      <c r="O129" s="32"/>
      <c r="P129" s="42" t="n">
        <f aca="false">IFERROR(IF(OR($L129="",$I129="—",$I129=""),"",IF($I129="Agachamento",INDEX($AE$8:$AE$20,MATCH($L129,$AD$8:$AD$20,1)),IF($I129="Supino",INDEX($AF$8:$AF$20,MATCH($L129,$AD$8:$AD$20,1)),IF($I129="Terra",INDEX($AG$8:$AG$20,MATCH($L129,$AD$8:$AD$20,1)),"")))),"")</f>
        <v>0.55</v>
      </c>
      <c r="Q129" s="45"/>
      <c r="R129" s="71" t="n">
        <v>0.15</v>
      </c>
      <c r="S129" s="71"/>
      <c r="T129" s="69" t="str">
        <f aca="false">IF(OR($R129="",$S129=""),"",IF($S129&gt;$R129,"Acima do limite","Dentro do limite"))</f>
        <v/>
      </c>
      <c r="U129" s="28"/>
      <c r="V129" s="28"/>
      <c r="W129" s="28" t="n">
        <v>120</v>
      </c>
      <c r="X129" s="140" t="n">
        <f aca="false">IFERROR(IF(OR($J129="",$K129=""),0,$J129*$K129),0)</f>
        <v>20</v>
      </c>
      <c r="Y129" s="44" t="n">
        <f aca="false">IFERROR(IF($X129=0,0,$X129*IF($O129="",$N129,$O129)),0)</f>
        <v>1880</v>
      </c>
      <c r="Z129" s="60" t="str">
        <f aca="false">IF($L129="","",IF($L129&lt;0.5,"Balística / Velocidade (&lt;50%)",IF($L129&lt;0.7,"Velocidade-Força (50–69%)",IF($L129&lt;0.8,"Força-Velocidade (70–79%)",IF($L129&lt;0.9,"Força Máxima (80–89%)","Força Máxima Alta (≥90%)")))))</f>
        <v>Força-Velocidade (70–79%)</v>
      </c>
      <c r="AA129" s="27"/>
      <c r="AB129" s="27" t="s">
        <v>701</v>
      </c>
    </row>
    <row r="130" customFormat="false" ht="15" hidden="false" customHeight="false" outlineLevel="0" collapsed="false">
      <c r="A130" s="29" t="n">
        <v>46307</v>
      </c>
      <c r="B130" s="33" t="n">
        <f aca="false">IF($A130="",0,INT(($A130-'Bloco Base'!$C$5)/7)+1)</f>
        <v>6</v>
      </c>
      <c r="C130" s="28" t="s">
        <v>963</v>
      </c>
      <c r="D130" s="28" t="s">
        <v>233</v>
      </c>
      <c r="E130" s="27" t="s">
        <v>1117</v>
      </c>
      <c r="F130" s="28" t="n">
        <v>5</v>
      </c>
      <c r="G130" s="139" t="s">
        <v>708</v>
      </c>
      <c r="H130" s="27" t="s">
        <v>537</v>
      </c>
      <c r="I130" s="28" t="s">
        <v>168</v>
      </c>
      <c r="J130" s="28" t="n">
        <v>3</v>
      </c>
      <c r="K130" s="28" t="n">
        <v>8</v>
      </c>
      <c r="L130" s="71"/>
      <c r="M130" s="35" t="str">
        <f aca="false">IF($AB130="","",IFERROR(INDEX('Força 1RM'!$Q$8:$Y$47,MATCH(IF($E130="Equipe (todos)",$C$4,$E130),'Força 1RM'!$P$8:$P$47,0),MATCH($AB130,'Força 1RM'!$Q$7:$Y$7,0)),""))</f>
        <v/>
      </c>
      <c r="N130" s="30" t="n">
        <f aca="false">IFERROR(IF(OR($L130="",$M130="",$M130=0),0,ROUND($L130*$M130*2,0)/2),0)</f>
        <v>0</v>
      </c>
      <c r="O130" s="32"/>
      <c r="P130" s="42" t="str">
        <f aca="false">IFERROR(IF(OR($L130="",$I130="—",$I130=""),"",IF($I130="Agachamento",INDEX($AE$8:$AE$20,MATCH($L130,$AD$8:$AD$20,1)),IF($I130="Supino",INDEX($AF$8:$AF$20,MATCH($L130,$AD$8:$AD$20,1)),IF($I130="Terra",INDEX($AG$8:$AG$20,MATCH($L130,$AD$8:$AD$20,1)),"")))),"")</f>
        <v/>
      </c>
      <c r="Q130" s="45"/>
      <c r="R130" s="71"/>
      <c r="S130" s="71"/>
      <c r="T130" s="69" t="str">
        <f aca="false">IF(OR($R130="",$S130=""),"",IF($S130&gt;$R130,"Acima do limite","Dentro do limite"))</f>
        <v/>
      </c>
      <c r="U130" s="28"/>
      <c r="V130" s="28"/>
      <c r="W130" s="28" t="n">
        <v>90</v>
      </c>
      <c r="X130" s="140" t="n">
        <f aca="false">IFERROR(IF(OR($J130="",$K130=""),0,$J130*$K130),0)</f>
        <v>24</v>
      </c>
      <c r="Y130" s="44" t="n">
        <f aca="false">IFERROR(IF($X130=0,0,$X130*IF($O130="",$N130,$O130)),0)</f>
        <v>0</v>
      </c>
      <c r="Z130" s="60" t="str">
        <f aca="false">IF($L130="","",IF($L130&lt;0.5,"Balística / Velocidade (&lt;50%)",IF($L130&lt;0.7,"Velocidade-Força (50–69%)",IF($L130&lt;0.8,"Força-Velocidade (70–79%)",IF($L130&lt;0.9,"Força Máxima (80–89%)","Força Máxima Alta (≥90%)")))))</f>
        <v/>
      </c>
      <c r="AA130" s="27"/>
      <c r="AB130" s="27"/>
    </row>
    <row r="131" customFormat="false" ht="15" hidden="false" customHeight="false" outlineLevel="0" collapsed="false">
      <c r="A131" s="29" t="n">
        <v>46307</v>
      </c>
      <c r="B131" s="33" t="n">
        <f aca="false">IF($A131="",0,INT(($A131-'Bloco Base'!$C$5)/7)+1)</f>
        <v>6</v>
      </c>
      <c r="C131" s="28" t="s">
        <v>963</v>
      </c>
      <c r="D131" s="28" t="s">
        <v>233</v>
      </c>
      <c r="E131" s="27" t="s">
        <v>1117</v>
      </c>
      <c r="F131" s="28" t="n">
        <v>6</v>
      </c>
      <c r="G131" s="139" t="s">
        <v>592</v>
      </c>
      <c r="H131" s="27" t="s">
        <v>1004</v>
      </c>
      <c r="I131" s="28" t="s">
        <v>168</v>
      </c>
      <c r="J131" s="28" t="n">
        <v>3</v>
      </c>
      <c r="K131" s="28" t="n">
        <v>8</v>
      </c>
      <c r="L131" s="71"/>
      <c r="M131" s="35" t="str">
        <f aca="false">IF($AB131="","",IFERROR(INDEX('Força 1RM'!$Q$8:$Y$47,MATCH(IF($E131="Equipe (todos)",$C$4,$E131),'Força 1RM'!$P$8:$P$47,0),MATCH($AB131,'Força 1RM'!$Q$7:$Y$7,0)),""))</f>
        <v/>
      </c>
      <c r="N131" s="30" t="n">
        <f aca="false">IFERROR(IF(OR($L131="",$M131="",$M131=0),0,ROUND($L131*$M131*2,0)/2),0)</f>
        <v>0</v>
      </c>
      <c r="O131" s="32"/>
      <c r="P131" s="42" t="str">
        <f aca="false">IFERROR(IF(OR($L131="",$I131="—",$I131=""),"",IF($I131="Agachamento",INDEX($AE$8:$AE$20,MATCH($L131,$AD$8:$AD$20,1)),IF($I131="Supino",INDEX($AF$8:$AF$20,MATCH($L131,$AD$8:$AD$20,1)),IF($I131="Terra",INDEX($AG$8:$AG$20,MATCH($L131,$AD$8:$AD$20,1)),"")))),"")</f>
        <v/>
      </c>
      <c r="Q131" s="45"/>
      <c r="R131" s="71"/>
      <c r="S131" s="71"/>
      <c r="T131" s="69" t="str">
        <f aca="false">IF(OR($R131="",$S131=""),"",IF($S131&gt;$R131,"Acima do limite","Dentro do limite"))</f>
        <v/>
      </c>
      <c r="U131" s="28"/>
      <c r="V131" s="28"/>
      <c r="W131" s="28" t="n">
        <v>60</v>
      </c>
      <c r="X131" s="140" t="n">
        <f aca="false">IFERROR(IF(OR($J131="",$K131=""),0,$J131*$K131),0)</f>
        <v>24</v>
      </c>
      <c r="Y131" s="44" t="n">
        <f aca="false">IFERROR(IF($X131=0,0,$X131*IF($O131="",$N131,$O131)),0)</f>
        <v>0</v>
      </c>
      <c r="Z131" s="60" t="str">
        <f aca="false">IF($L131="","",IF($L131&lt;0.5,"Balística / Velocidade (&lt;50%)",IF($L131&lt;0.7,"Velocidade-Força (50–69%)",IF($L131&lt;0.8,"Força-Velocidade (70–79%)",IF($L131&lt;0.9,"Força Máxima (80–89%)","Força Máxima Alta (≥90%)")))))</f>
        <v/>
      </c>
      <c r="AA131" s="27"/>
      <c r="AB131" s="27"/>
    </row>
    <row r="132" customFormat="false" ht="15" hidden="false" customHeight="false" outlineLevel="0" collapsed="false">
      <c r="A132" s="29" t="n">
        <v>46307</v>
      </c>
      <c r="B132" s="33" t="n">
        <f aca="false">IF($A132="",0,INT(($A132-'Bloco Base'!$C$5)/7)+1)</f>
        <v>6</v>
      </c>
      <c r="C132" s="28" t="s">
        <v>963</v>
      </c>
      <c r="D132" s="28" t="s">
        <v>233</v>
      </c>
      <c r="E132" s="27" t="s">
        <v>1117</v>
      </c>
      <c r="F132" s="28" t="n">
        <v>7</v>
      </c>
      <c r="G132" s="139" t="s">
        <v>1006</v>
      </c>
      <c r="H132" s="27" t="s">
        <v>776</v>
      </c>
      <c r="I132" s="28" t="s">
        <v>168</v>
      </c>
      <c r="J132" s="28" t="n">
        <v>3</v>
      </c>
      <c r="K132" s="28" t="n">
        <v>20</v>
      </c>
      <c r="L132" s="71"/>
      <c r="M132" s="35" t="str">
        <f aca="false">IF($AB132="","",IFERROR(INDEX('Força 1RM'!$Q$8:$Y$47,MATCH(IF($E132="Equipe (todos)",$C$4,$E132),'Força 1RM'!$P$8:$P$47,0),MATCH($AB132,'Força 1RM'!$Q$7:$Y$7,0)),""))</f>
        <v/>
      </c>
      <c r="N132" s="30" t="n">
        <f aca="false">IFERROR(IF(OR($L132="",$M132="",$M132=0),0,ROUND($L132*$M132*2,0)/2),0)</f>
        <v>0</v>
      </c>
      <c r="O132" s="32"/>
      <c r="P132" s="42" t="str">
        <f aca="false">IFERROR(IF(OR($L132="",$I132="—",$I132=""),"",IF($I132="Agachamento",INDEX($AE$8:$AE$20,MATCH($L132,$AD$8:$AD$20,1)),IF($I132="Supino",INDEX($AF$8:$AF$20,MATCH($L132,$AD$8:$AD$20,1)),IF($I132="Terra",INDEX($AG$8:$AG$20,MATCH($L132,$AD$8:$AD$20,1)),"")))),"")</f>
        <v/>
      </c>
      <c r="Q132" s="45"/>
      <c r="R132" s="71"/>
      <c r="S132" s="71"/>
      <c r="T132" s="69" t="str">
        <f aca="false">IF(OR($R132="",$S132=""),"",IF($S132&gt;$R132,"Acima do limite","Dentro do limite"))</f>
        <v/>
      </c>
      <c r="U132" s="28"/>
      <c r="V132" s="28"/>
      <c r="W132" s="28" t="n">
        <v>45</v>
      </c>
      <c r="X132" s="140" t="n">
        <f aca="false">IFERROR(IF(OR($J132="",$K132=""),0,$J132*$K132),0)</f>
        <v>60</v>
      </c>
      <c r="Y132" s="44" t="n">
        <f aca="false">IFERROR(IF($X132=0,0,$X132*IF($O132="",$N132,$O132)),0)</f>
        <v>0</v>
      </c>
      <c r="Z132" s="60" t="str">
        <f aca="false">IF($L132="","",IF($L132&lt;0.5,"Balística / Velocidade (&lt;50%)",IF($L132&lt;0.7,"Velocidade-Força (50–69%)",IF($L132&lt;0.8,"Força-Velocidade (70–79%)",IF($L132&lt;0.9,"Força Máxima (80–89%)","Força Máxima Alta (≥90%)")))))</f>
        <v/>
      </c>
      <c r="AA132" s="27"/>
      <c r="AB132" s="27"/>
    </row>
    <row r="133" customFormat="false" ht="15" hidden="false" customHeight="false" outlineLevel="0" collapsed="false">
      <c r="A133" s="29" t="n">
        <v>46309</v>
      </c>
      <c r="B133" s="33" t="n">
        <f aca="false">IF($A133="",0,INT(($A133-'Bloco Base'!$C$5)/7)+1)</f>
        <v>6</v>
      </c>
      <c r="C133" s="28" t="s">
        <v>963</v>
      </c>
      <c r="D133" s="28" t="s">
        <v>1192</v>
      </c>
      <c r="E133" s="27" t="s">
        <v>1117</v>
      </c>
      <c r="F133" s="28" t="n">
        <v>1</v>
      </c>
      <c r="G133" s="139" t="s">
        <v>587</v>
      </c>
      <c r="H133" s="27" t="s">
        <v>1004</v>
      </c>
      <c r="I133" s="28" t="s">
        <v>168</v>
      </c>
      <c r="J133" s="28" t="n">
        <v>3</v>
      </c>
      <c r="K133" s="28" t="n">
        <v>8</v>
      </c>
      <c r="L133" s="71"/>
      <c r="M133" s="35" t="str">
        <f aca="false">IF($AB133="","",IFERROR(INDEX('Força 1RM'!$Q$8:$Y$47,MATCH(IF($E133="Equipe (todos)",$C$4,$E133),'Força 1RM'!$P$8:$P$47,0),MATCH($AB133,'Força 1RM'!$Q$7:$Y$7,0)),""))</f>
        <v/>
      </c>
      <c r="N133" s="30" t="n">
        <f aca="false">IFERROR(IF(OR($L133="",$M133="",$M133=0),0,ROUND($L133*$M133*2,0)/2),0)</f>
        <v>0</v>
      </c>
      <c r="O133" s="32"/>
      <c r="P133" s="42" t="str">
        <f aca="false">IFERROR(IF(OR($L133="",$I133="—",$I133=""),"",IF($I133="Agachamento",INDEX($AE$8:$AE$20,MATCH($L133,$AD$8:$AD$20,1)),IF($I133="Supino",INDEX($AF$8:$AF$20,MATCH($L133,$AD$8:$AD$20,1)),IF($I133="Terra",INDEX($AG$8:$AG$20,MATCH($L133,$AD$8:$AD$20,1)),"")))),"")</f>
        <v/>
      </c>
      <c r="Q133" s="45"/>
      <c r="R133" s="71"/>
      <c r="S133" s="71"/>
      <c r="T133" s="69" t="str">
        <f aca="false">IF(OR($R133="",$S133=""),"",IF($S133&gt;$R133,"Acima do limite","Dentro do limite"))</f>
        <v/>
      </c>
      <c r="U133" s="28"/>
      <c r="V133" s="28"/>
      <c r="W133" s="28" t="n">
        <v>60</v>
      </c>
      <c r="X133" s="140" t="n">
        <f aca="false">IFERROR(IF(OR($J133="",$K133=""),0,$J133*$K133),0)</f>
        <v>24</v>
      </c>
      <c r="Y133" s="44" t="n">
        <f aca="false">IFERROR(IF($X133=0,0,$X133*IF($O133="",$N133,$O133)),0)</f>
        <v>0</v>
      </c>
      <c r="Z133" s="60" t="str">
        <f aca="false">IF($L133="","",IF($L133&lt;0.5,"Balística / Velocidade (&lt;50%)",IF($L133&lt;0.7,"Velocidade-Força (50–69%)",IF($L133&lt;0.8,"Força-Velocidade (70–79%)",IF($L133&lt;0.9,"Força Máxima (80–89%)","Força Máxima Alta (≥90%)")))))</f>
        <v/>
      </c>
      <c r="AA133" s="27"/>
      <c r="AB133" s="27"/>
    </row>
    <row r="134" customFormat="false" ht="15" hidden="false" customHeight="false" outlineLevel="0" collapsed="false">
      <c r="A134" s="29" t="n">
        <v>46309</v>
      </c>
      <c r="B134" s="33" t="n">
        <f aca="false">IF($A134="",0,INT(($A134-'Bloco Base'!$C$5)/7)+1)</f>
        <v>6</v>
      </c>
      <c r="C134" s="28" t="s">
        <v>963</v>
      </c>
      <c r="D134" s="28" t="s">
        <v>1192</v>
      </c>
      <c r="E134" s="27" t="s">
        <v>1117</v>
      </c>
      <c r="F134" s="28" t="n">
        <v>2</v>
      </c>
      <c r="G134" s="139" t="s">
        <v>553</v>
      </c>
      <c r="H134" s="27" t="s">
        <v>792</v>
      </c>
      <c r="I134" s="28" t="s">
        <v>692</v>
      </c>
      <c r="J134" s="28" t="n">
        <v>5</v>
      </c>
      <c r="K134" s="28" t="n">
        <v>4</v>
      </c>
      <c r="L134" s="71" t="n">
        <v>0.3</v>
      </c>
      <c r="M134" s="35" t="n">
        <f aca="false">IF($AB134="","",IFERROR(INDEX('Força 1RM'!$Q$8:$Y$47,MATCH(IF($E134="Equipe (todos)",$C$4,$E134),'Força 1RM'!$P$8:$P$47,0),MATCH($AB134,'Força 1RM'!$Q$7:$Y$7,0)),""))</f>
        <v>160</v>
      </c>
      <c r="N134" s="30" t="n">
        <f aca="false">IFERROR(IF(OR($L134="",$M134="",$M134=0),0,ROUND($L134*$M134*2,0)/2),0)</f>
        <v>48</v>
      </c>
      <c r="O134" s="32"/>
      <c r="P134" s="42" t="str">
        <f aca="false">IFERROR(IF(OR($L134="",$I134="—",$I134=""),"",IF($I134="Agachamento",INDEX($AE$8:$AE$20,MATCH($L134,$AD$8:$AD$20,1)),IF($I134="Supino",INDEX($AF$8:$AF$20,MATCH($L134,$AD$8:$AD$20,1)),IF($I134="Terra",INDEX($AG$8:$AG$20,MATCH($L134,$AD$8:$AD$20,1)),"")))),"")</f>
        <v/>
      </c>
      <c r="Q134" s="45"/>
      <c r="R134" s="71" t="n">
        <v>0.1</v>
      </c>
      <c r="S134" s="71"/>
      <c r="T134" s="69" t="str">
        <f aca="false">IF(OR($R134="",$S134=""),"",IF($S134&gt;$R134,"Acima do limite","Dentro do limite"))</f>
        <v/>
      </c>
      <c r="U134" s="28"/>
      <c r="V134" s="28"/>
      <c r="W134" s="28" t="n">
        <v>180</v>
      </c>
      <c r="X134" s="140" t="n">
        <f aca="false">IFERROR(IF(OR($J134="",$K134=""),0,$J134*$K134),0)</f>
        <v>20</v>
      </c>
      <c r="Y134" s="44" t="n">
        <f aca="false">IFERROR(IF($X134=0,0,$X134*IF($O134="",$N134,$O134)),0)</f>
        <v>960</v>
      </c>
      <c r="Z134" s="60" t="str">
        <f aca="false">IF($L134="","",IF($L134&lt;0.5,"Balística / Velocidade (&lt;50%)",IF($L134&lt;0.7,"Velocidade-Força (50–69%)",IF($L134&lt;0.8,"Força-Velocidade (70–79%)",IF($L134&lt;0.9,"Força Máxima (80–89%)","Força Máxima Alta (≥90%)")))))</f>
        <v>Balística / Velocidade (&lt;50%)</v>
      </c>
      <c r="AA134" s="27"/>
      <c r="AB134" s="27" t="s">
        <v>688</v>
      </c>
    </row>
    <row r="135" customFormat="false" ht="15" hidden="false" customHeight="false" outlineLevel="0" collapsed="false">
      <c r="A135" s="29" t="n">
        <v>46309</v>
      </c>
      <c r="B135" s="33" t="n">
        <f aca="false">IF($A135="",0,INT(($A135-'Bloco Base'!$C$5)/7)+1)</f>
        <v>6</v>
      </c>
      <c r="C135" s="28" t="s">
        <v>963</v>
      </c>
      <c r="D135" s="28" t="s">
        <v>1192</v>
      </c>
      <c r="E135" s="27" t="s">
        <v>1117</v>
      </c>
      <c r="F135" s="28" t="n">
        <v>3</v>
      </c>
      <c r="G135" s="139" t="s">
        <v>1013</v>
      </c>
      <c r="H135" s="27" t="s">
        <v>558</v>
      </c>
      <c r="I135" s="28" t="s">
        <v>168</v>
      </c>
      <c r="J135" s="28" t="n">
        <v>9</v>
      </c>
      <c r="K135" s="28" t="n">
        <v>5</v>
      </c>
      <c r="L135" s="71"/>
      <c r="M135" s="35" t="str">
        <f aca="false">IF($AB135="","",IFERROR(INDEX('Força 1RM'!$Q$8:$Y$47,MATCH(IF($E135="Equipe (todos)",$C$4,$E135),'Força 1RM'!$P$8:$P$47,0),MATCH($AB135,'Força 1RM'!$Q$7:$Y$7,0)),""))</f>
        <v/>
      </c>
      <c r="N135" s="30" t="n">
        <f aca="false">IFERROR(IF(OR($L135="",$M135="",$M135=0),0,ROUND($L135*$M135*2,0)/2),0)</f>
        <v>0</v>
      </c>
      <c r="O135" s="32"/>
      <c r="P135" s="42" t="str">
        <f aca="false">IFERROR(IF(OR($L135="",$I135="—",$I135=""),"",IF($I135="Agachamento",INDEX($AE$8:$AE$20,MATCH($L135,$AD$8:$AD$20,1)),IF($I135="Supino",INDEX($AF$8:$AF$20,MATCH($L135,$AD$8:$AD$20,1)),IF($I135="Terra",INDEX($AG$8:$AG$20,MATCH($L135,$AD$8:$AD$20,1)),"")))),"")</f>
        <v/>
      </c>
      <c r="Q135" s="45"/>
      <c r="R135" s="71"/>
      <c r="S135" s="71"/>
      <c r="T135" s="69" t="str">
        <f aca="false">IF(OR($R135="",$S135=""),"",IF($S135&gt;$R135,"Acima do limite","Dentro do limite"))</f>
        <v/>
      </c>
      <c r="U135" s="28"/>
      <c r="V135" s="28"/>
      <c r="W135" s="28" t="n">
        <v>120</v>
      </c>
      <c r="X135" s="140" t="n">
        <f aca="false">IFERROR(IF(OR($J135="",$K135=""),0,$J135*$K135),0)</f>
        <v>45</v>
      </c>
      <c r="Y135" s="44" t="n">
        <f aca="false">IFERROR(IF($X135=0,0,$X135*IF($O135="",$N135,$O135)),0)</f>
        <v>0</v>
      </c>
      <c r="Z135" s="60" t="str">
        <f aca="false">IF($L135="","",IF($L135&lt;0.5,"Balística / Velocidade (&lt;50%)",IF($L135&lt;0.7,"Velocidade-Força (50–69%)",IF($L135&lt;0.8,"Força-Velocidade (70–79%)",IF($L135&lt;0.9,"Força Máxima (80–89%)","Força Máxima Alta (≥90%)")))))</f>
        <v/>
      </c>
      <c r="AA135" s="27"/>
      <c r="AB135" s="27"/>
    </row>
    <row r="136" customFormat="false" ht="15" hidden="false" customHeight="false" outlineLevel="0" collapsed="false">
      <c r="A136" s="29" t="n">
        <v>46309</v>
      </c>
      <c r="B136" s="33" t="n">
        <f aca="false">IF($A136="",0,INT(($A136-'Bloco Base'!$C$5)/7)+1)</f>
        <v>6</v>
      </c>
      <c r="C136" s="28" t="s">
        <v>963</v>
      </c>
      <c r="D136" s="28" t="s">
        <v>1192</v>
      </c>
      <c r="E136" s="27" t="s">
        <v>1117</v>
      </c>
      <c r="F136" s="28" t="n">
        <v>4</v>
      </c>
      <c r="G136" s="139" t="s">
        <v>562</v>
      </c>
      <c r="H136" s="27" t="s">
        <v>558</v>
      </c>
      <c r="I136" s="28" t="s">
        <v>168</v>
      </c>
      <c r="J136" s="28" t="n">
        <v>8</v>
      </c>
      <c r="K136" s="28" t="n">
        <v>5</v>
      </c>
      <c r="L136" s="71"/>
      <c r="M136" s="35" t="str">
        <f aca="false">IF($AB136="","",IFERROR(INDEX('Força 1RM'!$Q$8:$Y$47,MATCH(IF($E136="Equipe (todos)",$C$4,$E136),'Força 1RM'!$P$8:$P$47,0),MATCH($AB136,'Força 1RM'!$Q$7:$Y$7,0)),""))</f>
        <v/>
      </c>
      <c r="N136" s="30" t="n">
        <f aca="false">IFERROR(IF(OR($L136="",$M136="",$M136=0),0,ROUND($L136*$M136*2,0)/2),0)</f>
        <v>0</v>
      </c>
      <c r="O136" s="32"/>
      <c r="P136" s="42" t="str">
        <f aca="false">IFERROR(IF(OR($L136="",$I136="—",$I136=""),"",IF($I136="Agachamento",INDEX($AE$8:$AE$20,MATCH($L136,$AD$8:$AD$20,1)),IF($I136="Supino",INDEX($AF$8:$AF$20,MATCH($L136,$AD$8:$AD$20,1)),IF($I136="Terra",INDEX($AG$8:$AG$20,MATCH($L136,$AD$8:$AD$20,1)),"")))),"")</f>
        <v/>
      </c>
      <c r="Q136" s="45"/>
      <c r="R136" s="71"/>
      <c r="S136" s="71"/>
      <c r="T136" s="69" t="str">
        <f aca="false">IF(OR($R136="",$S136=""),"",IF($S136&gt;$R136,"Acima do limite","Dentro do limite"))</f>
        <v/>
      </c>
      <c r="U136" s="28"/>
      <c r="V136" s="28"/>
      <c r="W136" s="28" t="n">
        <v>120</v>
      </c>
      <c r="X136" s="140" t="n">
        <f aca="false">IFERROR(IF(OR($J136="",$K136=""),0,$J136*$K136),0)</f>
        <v>40</v>
      </c>
      <c r="Y136" s="44" t="n">
        <f aca="false">IFERROR(IF($X136=0,0,$X136*IF($O136="",$N136,$O136)),0)</f>
        <v>0</v>
      </c>
      <c r="Z136" s="60" t="str">
        <f aca="false">IF($L136="","",IF($L136&lt;0.5,"Balística / Velocidade (&lt;50%)",IF($L136&lt;0.7,"Velocidade-Força (50–69%)",IF($L136&lt;0.8,"Força-Velocidade (70–79%)",IF($L136&lt;0.9,"Força Máxima (80–89%)","Força Máxima Alta (≥90%)")))))</f>
        <v/>
      </c>
      <c r="AA136" s="27"/>
      <c r="AB136" s="27"/>
    </row>
    <row r="137" customFormat="false" ht="15" hidden="false" customHeight="false" outlineLevel="0" collapsed="false">
      <c r="A137" s="29" t="n">
        <v>46309</v>
      </c>
      <c r="B137" s="33" t="n">
        <f aca="false">IF($A137="",0,INT(($A137-'Bloco Base'!$C$5)/7)+1)</f>
        <v>6</v>
      </c>
      <c r="C137" s="28" t="s">
        <v>963</v>
      </c>
      <c r="D137" s="28" t="s">
        <v>1192</v>
      </c>
      <c r="E137" s="27" t="s">
        <v>1117</v>
      </c>
      <c r="F137" s="28" t="n">
        <v>5</v>
      </c>
      <c r="G137" s="139" t="s">
        <v>644</v>
      </c>
      <c r="H137" s="27" t="s">
        <v>537</v>
      </c>
      <c r="I137" s="28" t="s">
        <v>1017</v>
      </c>
      <c r="J137" s="28" t="n">
        <v>4</v>
      </c>
      <c r="K137" s="28" t="n">
        <v>6</v>
      </c>
      <c r="L137" s="71" t="n">
        <v>0.82</v>
      </c>
      <c r="M137" s="35" t="n">
        <f aca="false">IF($AB137="","",IFERROR(INDEX('Força 1RM'!$Q$8:$Y$47,MATCH(IF($E137="Equipe (todos)",$C$4,$E137),'Força 1RM'!$P$8:$P$47,0),MATCH($AB137,'Força 1RM'!$Q$7:$Y$7,0)),""))</f>
        <v>72.5</v>
      </c>
      <c r="N137" s="30" t="n">
        <f aca="false">IFERROR(IF(OR($L137="",$M137="",$M137=0),0,ROUND($L137*$M137*2,0)/2),0)</f>
        <v>59.5</v>
      </c>
      <c r="O137" s="32"/>
      <c r="P137" s="42" t="n">
        <f aca="false">IFERROR(IF(OR($L137="",$I137="—",$I137=""),"",IF($I137="Agachamento",INDEX($AE$8:$AE$20,MATCH($L137,$AD$8:$AD$20,1)),IF($I137="Supino",INDEX($AF$8:$AF$20,MATCH($L137,$AD$8:$AD$20,1)),IF($I137="Terra",INDEX($AG$8:$AG$20,MATCH($L137,$AD$8:$AD$20,1)),"")))),"")</f>
        <v>0.37</v>
      </c>
      <c r="Q137" s="45"/>
      <c r="R137" s="71" t="n">
        <v>0.15</v>
      </c>
      <c r="S137" s="71"/>
      <c r="T137" s="69" t="str">
        <f aca="false">IF(OR($R137="",$S137=""),"",IF($S137&gt;$R137,"Acima do limite","Dentro do limite"))</f>
        <v/>
      </c>
      <c r="U137" s="28"/>
      <c r="V137" s="28"/>
      <c r="W137" s="28" t="n">
        <v>120</v>
      </c>
      <c r="X137" s="140" t="n">
        <f aca="false">IFERROR(IF(OR($J137="",$K137=""),0,$J137*$K137),0)</f>
        <v>24</v>
      </c>
      <c r="Y137" s="44" t="n">
        <f aca="false">IFERROR(IF($X137=0,0,$X137*IF($O137="",$N137,$O137)),0)</f>
        <v>1428</v>
      </c>
      <c r="Z137" s="60" t="str">
        <f aca="false">IF($L137="","",IF($L137&lt;0.5,"Balística / Velocidade (&lt;50%)",IF($L137&lt;0.7,"Velocidade-Força (50–69%)",IF($L137&lt;0.8,"Força-Velocidade (70–79%)",IF($L137&lt;0.9,"Força Máxima (80–89%)","Força Máxima Alta (≥90%)")))))</f>
        <v>Força Máxima (80–89%)</v>
      </c>
      <c r="AA137" s="27"/>
      <c r="AB137" s="27" t="s">
        <v>644</v>
      </c>
    </row>
    <row r="138" customFormat="false" ht="15" hidden="false" customHeight="false" outlineLevel="0" collapsed="false">
      <c r="A138" s="29" t="n">
        <v>46309</v>
      </c>
      <c r="B138" s="33" t="n">
        <f aca="false">IF($A138="",0,INT(($A138-'Bloco Base'!$C$5)/7)+1)</f>
        <v>6</v>
      </c>
      <c r="C138" s="28" t="s">
        <v>963</v>
      </c>
      <c r="D138" s="28" t="s">
        <v>1192</v>
      </c>
      <c r="E138" s="27" t="s">
        <v>1117</v>
      </c>
      <c r="F138" s="28" t="n">
        <v>6</v>
      </c>
      <c r="G138" s="139" t="s">
        <v>656</v>
      </c>
      <c r="H138" s="27" t="s">
        <v>537</v>
      </c>
      <c r="I138" s="28" t="s">
        <v>168</v>
      </c>
      <c r="J138" s="28" t="n">
        <v>4</v>
      </c>
      <c r="K138" s="28" t="n">
        <v>6</v>
      </c>
      <c r="L138" s="71" t="n">
        <v>0.82</v>
      </c>
      <c r="M138" s="35" t="str">
        <f aca="false">IF($AB138="","",IFERROR(INDEX('Força 1RM'!$Q$8:$Y$47,MATCH(IF($E138="Equipe (todos)",$C$4,$E138),'Força 1RM'!$P$8:$P$47,0),MATCH($AB138,'Força 1RM'!$Q$7:$Y$7,0)),""))</f>
        <v/>
      </c>
      <c r="N138" s="30" t="n">
        <f aca="false">IFERROR(IF(OR($L138="",$M138="",$M138=0),0,ROUND($L138*$M138*2,0)/2),0)</f>
        <v>0</v>
      </c>
      <c r="O138" s="32"/>
      <c r="P138" s="42" t="str">
        <f aca="false">IFERROR(IF(OR($L138="",$I138="—",$I138=""),"",IF($I138="Agachamento",INDEX($AE$8:$AE$20,MATCH($L138,$AD$8:$AD$20,1)),IF($I138="Supino",INDEX($AF$8:$AF$20,MATCH($L138,$AD$8:$AD$20,1)),IF($I138="Terra",INDEX($AG$8:$AG$20,MATCH($L138,$AD$8:$AD$20,1)),"")))),"")</f>
        <v/>
      </c>
      <c r="Q138" s="45"/>
      <c r="R138" s="71" t="n">
        <v>0.15</v>
      </c>
      <c r="S138" s="71"/>
      <c r="T138" s="69" t="str">
        <f aca="false">IF(OR($R138="",$S138=""),"",IF($S138&gt;$R138,"Acima do limite","Dentro do limite"))</f>
        <v/>
      </c>
      <c r="U138" s="28"/>
      <c r="V138" s="28"/>
      <c r="W138" s="28" t="n">
        <v>120</v>
      </c>
      <c r="X138" s="140" t="n">
        <f aca="false">IFERROR(IF(OR($J138="",$K138=""),0,$J138*$K138),0)</f>
        <v>24</v>
      </c>
      <c r="Y138" s="44" t="n">
        <f aca="false">IFERROR(IF($X138=0,0,$X138*IF($O138="",$N138,$O138)),0)</f>
        <v>0</v>
      </c>
      <c r="Z138" s="60" t="str">
        <f aca="false">IF($L138="","",IF($L138&lt;0.5,"Balística / Velocidade (&lt;50%)",IF($L138&lt;0.7,"Velocidade-Força (50–69%)",IF($L138&lt;0.8,"Força-Velocidade (70–79%)",IF($L138&lt;0.9,"Força Máxima (80–89%)","Força Máxima Alta (≥90%)")))))</f>
        <v>Força Máxima (80–89%)</v>
      </c>
      <c r="AA138" s="27"/>
      <c r="AB138" s="27"/>
    </row>
    <row r="139" customFormat="false" ht="15" hidden="false" customHeight="false" outlineLevel="0" collapsed="false">
      <c r="A139" s="29" t="n">
        <v>46309</v>
      </c>
      <c r="B139" s="33" t="n">
        <f aca="false">IF($A139="",0,INT(($A139-'Bloco Base'!$C$5)/7)+1)</f>
        <v>6</v>
      </c>
      <c r="C139" s="28" t="s">
        <v>963</v>
      </c>
      <c r="D139" s="28" t="s">
        <v>1192</v>
      </c>
      <c r="E139" s="27" t="s">
        <v>1117</v>
      </c>
      <c r="F139" s="28" t="n">
        <v>7</v>
      </c>
      <c r="G139" s="139" t="s">
        <v>636</v>
      </c>
      <c r="H139" s="27" t="s">
        <v>792</v>
      </c>
      <c r="I139" s="28" t="s">
        <v>168</v>
      </c>
      <c r="J139" s="28" t="n">
        <v>3</v>
      </c>
      <c r="K139" s="28" t="n">
        <v>8</v>
      </c>
      <c r="L139" s="71"/>
      <c r="M139" s="35" t="str">
        <f aca="false">IF($AB139="","",IFERROR(INDEX('Força 1RM'!$Q$8:$Y$47,MATCH(IF($E139="Equipe (todos)",$C$4,$E139),'Força 1RM'!$P$8:$P$47,0),MATCH($AB139,'Força 1RM'!$Q$7:$Y$7,0)),""))</f>
        <v/>
      </c>
      <c r="N139" s="30" t="n">
        <f aca="false">IFERROR(IF(OR($L139="",$M139="",$M139=0),0,ROUND($L139*$M139*2,0)/2),0)</f>
        <v>0</v>
      </c>
      <c r="O139" s="32"/>
      <c r="P139" s="42" t="str">
        <f aca="false">IFERROR(IF(OR($L139="",$I139="—",$I139=""),"",IF($I139="Agachamento",INDEX($AE$8:$AE$20,MATCH($L139,$AD$8:$AD$20,1)),IF($I139="Supino",INDEX($AF$8:$AF$20,MATCH($L139,$AD$8:$AD$20,1)),IF($I139="Terra",INDEX($AG$8:$AG$20,MATCH($L139,$AD$8:$AD$20,1)),"")))),"")</f>
        <v/>
      </c>
      <c r="Q139" s="45"/>
      <c r="R139" s="71"/>
      <c r="S139" s="71"/>
      <c r="T139" s="69" t="str">
        <f aca="false">IF(OR($R139="",$S139=""),"",IF($S139&gt;$R139,"Acima do limite","Dentro do limite"))</f>
        <v/>
      </c>
      <c r="U139" s="28"/>
      <c r="V139" s="28"/>
      <c r="W139" s="28" t="n">
        <v>90</v>
      </c>
      <c r="X139" s="140" t="n">
        <f aca="false">IFERROR(IF(OR($J139="",$K139=""),0,$J139*$K139),0)</f>
        <v>24</v>
      </c>
      <c r="Y139" s="44" t="n">
        <f aca="false">IFERROR(IF($X139=0,0,$X139*IF($O139="",$N139,$O139)),0)</f>
        <v>0</v>
      </c>
      <c r="Z139" s="60" t="str">
        <f aca="false">IF($L139="","",IF($L139&lt;0.5,"Balística / Velocidade (&lt;50%)",IF($L139&lt;0.7,"Velocidade-Força (50–69%)",IF($L139&lt;0.8,"Força-Velocidade (70–79%)",IF($L139&lt;0.9,"Força Máxima (80–89%)","Força Máxima Alta (≥90%)")))))</f>
        <v/>
      </c>
      <c r="AA139" s="27"/>
      <c r="AB139" s="27"/>
    </row>
    <row r="140" customFormat="false" ht="15" hidden="false" customHeight="false" outlineLevel="0" collapsed="false">
      <c r="A140" s="29" t="n">
        <v>46309</v>
      </c>
      <c r="B140" s="33" t="n">
        <f aca="false">IF($A140="",0,INT(($A140-'Bloco Base'!$C$5)/7)+1)</f>
        <v>6</v>
      </c>
      <c r="C140" s="28" t="s">
        <v>963</v>
      </c>
      <c r="D140" s="28" t="s">
        <v>1192</v>
      </c>
      <c r="E140" s="27" t="s">
        <v>1117</v>
      </c>
      <c r="F140" s="28" t="n">
        <v>8</v>
      </c>
      <c r="G140" s="139" t="s">
        <v>1022</v>
      </c>
      <c r="H140" s="27" t="s">
        <v>776</v>
      </c>
      <c r="I140" s="28" t="s">
        <v>168</v>
      </c>
      <c r="J140" s="28" t="n">
        <v>3</v>
      </c>
      <c r="K140" s="28" t="n">
        <v>20</v>
      </c>
      <c r="L140" s="71"/>
      <c r="M140" s="35" t="str">
        <f aca="false">IF($AB140="","",IFERROR(INDEX('Força 1RM'!$Q$8:$Y$47,MATCH(IF($E140="Equipe (todos)",$C$4,$E140),'Força 1RM'!$P$8:$P$47,0),MATCH($AB140,'Força 1RM'!$Q$7:$Y$7,0)),""))</f>
        <v/>
      </c>
      <c r="N140" s="30" t="n">
        <f aca="false">IFERROR(IF(OR($L140="",$M140="",$M140=0),0,ROUND($L140*$M140*2,0)/2),0)</f>
        <v>0</v>
      </c>
      <c r="O140" s="32"/>
      <c r="P140" s="42" t="str">
        <f aca="false">IFERROR(IF(OR($L140="",$I140="—",$I140=""),"",IF($I140="Agachamento",INDEX($AE$8:$AE$20,MATCH($L140,$AD$8:$AD$20,1)),IF($I140="Supino",INDEX($AF$8:$AF$20,MATCH($L140,$AD$8:$AD$20,1)),IF($I140="Terra",INDEX($AG$8:$AG$20,MATCH($L140,$AD$8:$AD$20,1)),"")))),"")</f>
        <v/>
      </c>
      <c r="Q140" s="45"/>
      <c r="R140" s="71"/>
      <c r="S140" s="71"/>
      <c r="T140" s="69" t="str">
        <f aca="false">IF(OR($R140="",$S140=""),"",IF($S140&gt;$R140,"Acima do limite","Dentro do limite"))</f>
        <v/>
      </c>
      <c r="U140" s="28"/>
      <c r="V140" s="28"/>
      <c r="W140" s="28" t="n">
        <v>45</v>
      </c>
      <c r="X140" s="140" t="n">
        <f aca="false">IFERROR(IF(OR($J140="",$K140=""),0,$J140*$K140),0)</f>
        <v>60</v>
      </c>
      <c r="Y140" s="44" t="n">
        <f aca="false">IFERROR(IF($X140=0,0,$X140*IF($O140="",$N140,$O140)),0)</f>
        <v>0</v>
      </c>
      <c r="Z140" s="60" t="str">
        <f aca="false">IF($L140="","",IF($L140&lt;0.5,"Balística / Velocidade (&lt;50%)",IF($L140&lt;0.7,"Velocidade-Força (50–69%)",IF($L140&lt;0.8,"Força-Velocidade (70–79%)",IF($L140&lt;0.9,"Força Máxima (80–89%)","Força Máxima Alta (≥90%)")))))</f>
        <v/>
      </c>
      <c r="AA140" s="27"/>
      <c r="AB140" s="27"/>
    </row>
    <row r="141" customFormat="false" ht="15" hidden="false" customHeight="false" outlineLevel="0" collapsed="false">
      <c r="A141" s="29" t="n">
        <v>46311</v>
      </c>
      <c r="B141" s="33" t="n">
        <f aca="false">IF($A141="",0,INT(($A141-'Bloco Base'!$C$5)/7)+1)</f>
        <v>6</v>
      </c>
      <c r="C141" s="28" t="s">
        <v>963</v>
      </c>
      <c r="D141" s="28" t="s">
        <v>1193</v>
      </c>
      <c r="E141" s="27" t="s">
        <v>1117</v>
      </c>
      <c r="F141" s="28" t="n">
        <v>1</v>
      </c>
      <c r="G141" s="139" t="s">
        <v>600</v>
      </c>
      <c r="H141" s="27" t="s">
        <v>994</v>
      </c>
      <c r="I141" s="28" t="s">
        <v>168</v>
      </c>
      <c r="J141" s="28" t="n">
        <v>1</v>
      </c>
      <c r="K141" s="28" t="n">
        <v>8</v>
      </c>
      <c r="L141" s="71"/>
      <c r="M141" s="35" t="str">
        <f aca="false">IF($AB141="","",IFERROR(INDEX('Força 1RM'!$Q$8:$Y$47,MATCH(IF($E141="Equipe (todos)",$C$4,$E141),'Força 1RM'!$P$8:$P$47,0),MATCH($AB141,'Força 1RM'!$Q$7:$Y$7,0)),""))</f>
        <v/>
      </c>
      <c r="N141" s="30" t="n">
        <f aca="false">IFERROR(IF(OR($L141="",$M141="",$M141=0),0,ROUND($L141*$M141*2,0)/2),0)</f>
        <v>0</v>
      </c>
      <c r="O141" s="32"/>
      <c r="P141" s="42" t="str">
        <f aca="false">IFERROR(IF(OR($L141="",$I141="—",$I141=""),"",IF($I141="Agachamento",INDEX($AE$8:$AE$20,MATCH($L141,$AD$8:$AD$20,1)),IF($I141="Supino",INDEX($AF$8:$AF$20,MATCH($L141,$AD$8:$AD$20,1)),IF($I141="Terra",INDEX($AG$8:$AG$20,MATCH($L141,$AD$8:$AD$20,1)),"")))),"")</f>
        <v/>
      </c>
      <c r="Q141" s="45"/>
      <c r="R141" s="71"/>
      <c r="S141" s="71"/>
      <c r="T141" s="69" t="str">
        <f aca="false">IF(OR($R141="",$S141=""),"",IF($S141&gt;$R141,"Acima do limite","Dentro do limite"))</f>
        <v/>
      </c>
      <c r="U141" s="28"/>
      <c r="V141" s="28"/>
      <c r="W141" s="28" t="n">
        <v>0</v>
      </c>
      <c r="X141" s="140" t="n">
        <f aca="false">IFERROR(IF(OR($J141="",$K141=""),0,$J141*$K141),0)</f>
        <v>8</v>
      </c>
      <c r="Y141" s="44" t="n">
        <f aca="false">IFERROR(IF($X141=0,0,$X141*IF($O141="",$N141,$O141)),0)</f>
        <v>0</v>
      </c>
      <c r="Z141" s="60" t="str">
        <f aca="false">IF($L141="","",IF($L141&lt;0.5,"Balística / Velocidade (&lt;50%)",IF($L141&lt;0.7,"Velocidade-Força (50–69%)",IF($L141&lt;0.8,"Força-Velocidade (70–79%)",IF($L141&lt;0.9,"Força Máxima (80–89%)","Força Máxima Alta (≥90%)")))))</f>
        <v/>
      </c>
      <c r="AA141" s="27"/>
      <c r="AB141" s="27"/>
    </row>
    <row r="142" customFormat="false" ht="15" hidden="false" customHeight="false" outlineLevel="0" collapsed="false">
      <c r="A142" s="29" t="n">
        <v>46311</v>
      </c>
      <c r="B142" s="33" t="n">
        <f aca="false">IF($A142="",0,INT(($A142-'Bloco Base'!$C$5)/7)+1)</f>
        <v>6</v>
      </c>
      <c r="C142" s="28" t="s">
        <v>963</v>
      </c>
      <c r="D142" s="28" t="s">
        <v>1193</v>
      </c>
      <c r="E142" s="27" t="s">
        <v>1117</v>
      </c>
      <c r="F142" s="28" t="n">
        <v>2</v>
      </c>
      <c r="G142" s="139" t="s">
        <v>623</v>
      </c>
      <c r="H142" s="27" t="s">
        <v>1191</v>
      </c>
      <c r="I142" s="28" t="s">
        <v>168</v>
      </c>
      <c r="J142" s="28" t="n">
        <v>4</v>
      </c>
      <c r="K142" s="28" t="n">
        <v>3</v>
      </c>
      <c r="L142" s="71" t="n">
        <v>0.85</v>
      </c>
      <c r="M142" s="35" t="n">
        <f aca="false">IF($AB142="","",IFERROR(INDEX('Força 1RM'!$Q$8:$Y$47,MATCH(IF($E142="Equipe (todos)",$C$4,$E142),'Força 1RM'!$P$8:$P$47,0),MATCH($AB142,'Força 1RM'!$Q$7:$Y$7,0)),""))</f>
        <v>117.5</v>
      </c>
      <c r="N142" s="30" t="n">
        <f aca="false">IFERROR(IF(OR($L142="",$M142="",$M142=0),0,ROUND($L142*$M142*2,0)/2),0)</f>
        <v>100</v>
      </c>
      <c r="O142" s="32"/>
      <c r="P142" s="42" t="str">
        <f aca="false">IFERROR(IF(OR($L142="",$I142="—",$I142=""),"",IF($I142="Agachamento",INDEX($AE$8:$AE$20,MATCH($L142,$AD$8:$AD$20,1)),IF($I142="Supino",INDEX($AF$8:$AF$20,MATCH($L142,$AD$8:$AD$20,1)),IF($I142="Terra",INDEX($AG$8:$AG$20,MATCH($L142,$AD$8:$AD$20,1)),"")))),"")</f>
        <v/>
      </c>
      <c r="Q142" s="45"/>
      <c r="R142" s="71" t="n">
        <v>0.1</v>
      </c>
      <c r="S142" s="71"/>
      <c r="T142" s="69" t="str">
        <f aca="false">IF(OR($R142="",$S142=""),"",IF($S142&gt;$R142,"Acima do limite","Dentro do limite"))</f>
        <v/>
      </c>
      <c r="U142" s="28"/>
      <c r="V142" s="28"/>
      <c r="W142" s="28" t="n">
        <v>150</v>
      </c>
      <c r="X142" s="140" t="n">
        <f aca="false">IFERROR(IF(OR($J142="",$K142=""),0,$J142*$K142),0)</f>
        <v>12</v>
      </c>
      <c r="Y142" s="44" t="n">
        <f aca="false">IFERROR(IF($X142=0,0,$X142*IF($O142="",$N142,$O142)),0)</f>
        <v>1200</v>
      </c>
      <c r="Z142" s="60" t="str">
        <f aca="false">IF($L142="","",IF($L142&lt;0.5,"Balística / Velocidade (&lt;50%)",IF($L142&lt;0.7,"Velocidade-Força (50–69%)",IF($L142&lt;0.8,"Força-Velocidade (70–79%)",IF($L142&lt;0.9,"Força Máxima (80–89%)","Força Máxima Alta (≥90%)")))))</f>
        <v>Força Máxima (80–89%)</v>
      </c>
      <c r="AA142" s="27"/>
      <c r="AB142" s="27" t="s">
        <v>620</v>
      </c>
    </row>
    <row r="143" customFormat="false" ht="15" hidden="false" customHeight="false" outlineLevel="0" collapsed="false">
      <c r="A143" s="29" t="n">
        <v>46311</v>
      </c>
      <c r="B143" s="33" t="n">
        <f aca="false">IF($A143="",0,INT(($A143-'Bloco Base'!$C$5)/7)+1)</f>
        <v>6</v>
      </c>
      <c r="C143" s="28" t="s">
        <v>963</v>
      </c>
      <c r="D143" s="28" t="s">
        <v>1193</v>
      </c>
      <c r="E143" s="27" t="s">
        <v>1117</v>
      </c>
      <c r="F143" s="28" t="n">
        <v>3</v>
      </c>
      <c r="G143" s="139" t="s">
        <v>698</v>
      </c>
      <c r="H143" s="27" t="s">
        <v>1191</v>
      </c>
      <c r="I143" s="28" t="s">
        <v>692</v>
      </c>
      <c r="J143" s="28" t="n">
        <v>4</v>
      </c>
      <c r="K143" s="28" t="n">
        <v>4</v>
      </c>
      <c r="L143" s="71" t="n">
        <v>0.72</v>
      </c>
      <c r="M143" s="35" t="n">
        <f aca="false">IF($AB143="","",IFERROR(INDEX('Força 1RM'!$Q$8:$Y$47,MATCH(IF($E143="Equipe (todos)",$C$4,$E143),'Força 1RM'!$P$8:$P$47,0),MATCH($AB143,'Força 1RM'!$Q$7:$Y$7,0)),""))</f>
        <v>160</v>
      </c>
      <c r="N143" s="30" t="n">
        <f aca="false">IFERROR(IF(OR($L143="",$M143="",$M143=0),0,ROUND($L143*$M143*2,0)/2),0)</f>
        <v>115</v>
      </c>
      <c r="O143" s="32"/>
      <c r="P143" s="42" t="n">
        <f aca="false">IFERROR(IF(OR($L143="",$I143="—",$I143=""),"",IF($I143="Agachamento",INDEX($AE$8:$AE$20,MATCH($L143,$AD$8:$AD$20,1)),IF($I143="Supino",INDEX($AF$8:$AF$20,MATCH($L143,$AD$8:$AD$20,1)),IF($I143="Terra",INDEX($AG$8:$AG$20,MATCH($L143,$AD$8:$AD$20,1)),"")))),"")</f>
        <v>0.68</v>
      </c>
      <c r="Q143" s="45"/>
      <c r="R143" s="71" t="n">
        <v>0.1</v>
      </c>
      <c r="S143" s="71"/>
      <c r="T143" s="69" t="str">
        <f aca="false">IF(OR($R143="",$S143=""),"",IF($S143&gt;$R143,"Acima do limite","Dentro do limite"))</f>
        <v/>
      </c>
      <c r="U143" s="28"/>
      <c r="V143" s="28"/>
      <c r="W143" s="28" t="n">
        <v>150</v>
      </c>
      <c r="X143" s="140" t="n">
        <f aca="false">IFERROR(IF(OR($J143="",$K143=""),0,$J143*$K143),0)</f>
        <v>16</v>
      </c>
      <c r="Y143" s="44" t="n">
        <f aca="false">IFERROR(IF($X143=0,0,$X143*IF($O143="",$N143,$O143)),0)</f>
        <v>1840</v>
      </c>
      <c r="Z143" s="60" t="str">
        <f aca="false">IF($L143="","",IF($L143&lt;0.5,"Balística / Velocidade (&lt;50%)",IF($L143&lt;0.7,"Velocidade-Força (50–69%)",IF($L143&lt;0.8,"Força-Velocidade (70–79%)",IF($L143&lt;0.9,"Força Máxima (80–89%)","Força Máxima Alta (≥90%)")))))</f>
        <v>Força-Velocidade (70–79%)</v>
      </c>
      <c r="AA143" s="27"/>
      <c r="AB143" s="27" t="s">
        <v>688</v>
      </c>
    </row>
    <row r="144" customFormat="false" ht="15" hidden="false" customHeight="false" outlineLevel="0" collapsed="false">
      <c r="A144" s="29" t="n">
        <v>46311</v>
      </c>
      <c r="B144" s="33" t="n">
        <f aca="false">IF($A144="",0,INT(($A144-'Bloco Base'!$C$5)/7)+1)</f>
        <v>6</v>
      </c>
      <c r="C144" s="28" t="s">
        <v>963</v>
      </c>
      <c r="D144" s="28" t="s">
        <v>1193</v>
      </c>
      <c r="E144" s="27" t="s">
        <v>1117</v>
      </c>
      <c r="F144" s="28" t="n">
        <v>4</v>
      </c>
      <c r="G144" s="139" t="s">
        <v>728</v>
      </c>
      <c r="H144" s="27" t="s">
        <v>1004</v>
      </c>
      <c r="I144" s="28" t="s">
        <v>168</v>
      </c>
      <c r="J144" s="28" t="n">
        <v>3</v>
      </c>
      <c r="K144" s="28" t="n">
        <v>8</v>
      </c>
      <c r="L144" s="71"/>
      <c r="M144" s="35" t="str">
        <f aca="false">IF($AB144="","",IFERROR(INDEX('Força 1RM'!$Q$8:$Y$47,MATCH(IF($E144="Equipe (todos)",$C$4,$E144),'Força 1RM'!$P$8:$P$47,0),MATCH($AB144,'Força 1RM'!$Q$7:$Y$7,0)),""))</f>
        <v/>
      </c>
      <c r="N144" s="30" t="n">
        <f aca="false">IFERROR(IF(OR($L144="",$M144="",$M144=0),0,ROUND($L144*$M144*2,0)/2),0)</f>
        <v>0</v>
      </c>
      <c r="O144" s="32"/>
      <c r="P144" s="42" t="str">
        <f aca="false">IFERROR(IF(OR($L144="",$I144="—",$I144=""),"",IF($I144="Agachamento",INDEX($AE$8:$AE$20,MATCH($L144,$AD$8:$AD$20,1)),IF($I144="Supino",INDEX($AF$8:$AF$20,MATCH($L144,$AD$8:$AD$20,1)),IF($I144="Terra",INDEX($AG$8:$AG$20,MATCH($L144,$AD$8:$AD$20,1)),"")))),"")</f>
        <v/>
      </c>
      <c r="Q144" s="45"/>
      <c r="R144" s="71"/>
      <c r="S144" s="71"/>
      <c r="T144" s="69" t="str">
        <f aca="false">IF(OR($R144="",$S144=""),"",IF($S144&gt;$R144,"Acima do limite","Dentro do limite"))</f>
        <v/>
      </c>
      <c r="U144" s="28"/>
      <c r="V144" s="28"/>
      <c r="W144" s="28" t="n">
        <v>60</v>
      </c>
      <c r="X144" s="140" t="n">
        <f aca="false">IFERROR(IF(OR($J144="",$K144=""),0,$J144*$K144),0)</f>
        <v>24</v>
      </c>
      <c r="Y144" s="44" t="n">
        <f aca="false">IFERROR(IF($X144=0,0,$X144*IF($O144="",$N144,$O144)),0)</f>
        <v>0</v>
      </c>
      <c r="Z144" s="60" t="str">
        <f aca="false">IF($L144="","",IF($L144&lt;0.5,"Balística / Velocidade (&lt;50%)",IF($L144&lt;0.7,"Velocidade-Força (50–69%)",IF($L144&lt;0.8,"Força-Velocidade (70–79%)",IF($L144&lt;0.9,"Força Máxima (80–89%)","Força Máxima Alta (≥90%)")))))</f>
        <v/>
      </c>
      <c r="AA144" s="27"/>
      <c r="AB144" s="27"/>
    </row>
    <row r="145" customFormat="false" ht="15" hidden="false" customHeight="false" outlineLevel="0" collapsed="false">
      <c r="A145" s="29" t="n">
        <v>46311</v>
      </c>
      <c r="B145" s="33" t="n">
        <f aca="false">IF($A145="",0,INT(($A145-'Bloco Base'!$C$5)/7)+1)</f>
        <v>6</v>
      </c>
      <c r="C145" s="28" t="s">
        <v>963</v>
      </c>
      <c r="D145" s="28" t="s">
        <v>1193</v>
      </c>
      <c r="E145" s="27" t="s">
        <v>1117</v>
      </c>
      <c r="F145" s="28" t="n">
        <v>5</v>
      </c>
      <c r="G145" s="139" t="s">
        <v>1030</v>
      </c>
      <c r="H145" s="27" t="s">
        <v>537</v>
      </c>
      <c r="I145" s="28" t="s">
        <v>168</v>
      </c>
      <c r="J145" s="28" t="n">
        <v>3</v>
      </c>
      <c r="K145" s="28" t="n">
        <v>8</v>
      </c>
      <c r="L145" s="71"/>
      <c r="M145" s="35" t="str">
        <f aca="false">IF($AB145="","",IFERROR(INDEX('Força 1RM'!$Q$8:$Y$47,MATCH(IF($E145="Equipe (todos)",$C$4,$E145),'Força 1RM'!$P$8:$P$47,0),MATCH($AB145,'Força 1RM'!$Q$7:$Y$7,0)),""))</f>
        <v/>
      </c>
      <c r="N145" s="30" t="n">
        <f aca="false">IFERROR(IF(OR($L145="",$M145="",$M145=0),0,ROUND($L145*$M145*2,0)/2),0)</f>
        <v>0</v>
      </c>
      <c r="O145" s="32"/>
      <c r="P145" s="42" t="str">
        <f aca="false">IFERROR(IF(OR($L145="",$I145="—",$I145=""),"",IF($I145="Agachamento",INDEX($AE$8:$AE$20,MATCH($L145,$AD$8:$AD$20,1)),IF($I145="Supino",INDEX($AF$8:$AF$20,MATCH($L145,$AD$8:$AD$20,1)),IF($I145="Terra",INDEX($AG$8:$AG$20,MATCH($L145,$AD$8:$AD$20,1)),"")))),"")</f>
        <v/>
      </c>
      <c r="Q145" s="45"/>
      <c r="R145" s="71"/>
      <c r="S145" s="71"/>
      <c r="T145" s="69" t="str">
        <f aca="false">IF(OR($R145="",$S145=""),"",IF($S145&gt;$R145,"Acima do limite","Dentro do limite"))</f>
        <v/>
      </c>
      <c r="U145" s="28"/>
      <c r="V145" s="28"/>
      <c r="W145" s="28" t="n">
        <v>90</v>
      </c>
      <c r="X145" s="140" t="n">
        <f aca="false">IFERROR(IF(OR($J145="",$K145=""),0,$J145*$K145),0)</f>
        <v>24</v>
      </c>
      <c r="Y145" s="44" t="n">
        <f aca="false">IFERROR(IF($X145=0,0,$X145*IF($O145="",$N145,$O145)),0)</f>
        <v>0</v>
      </c>
      <c r="Z145" s="60" t="str">
        <f aca="false">IF($L145="","",IF($L145&lt;0.5,"Balística / Velocidade (&lt;50%)",IF($L145&lt;0.7,"Velocidade-Força (50–69%)",IF($L145&lt;0.8,"Força-Velocidade (70–79%)",IF($L145&lt;0.9,"Força Máxima (80–89%)","Força Máxima Alta (≥90%)")))))</f>
        <v/>
      </c>
      <c r="AA145" s="27"/>
      <c r="AB145" s="27"/>
    </row>
    <row r="146" customFormat="false" ht="15" hidden="false" customHeight="false" outlineLevel="0" collapsed="false">
      <c r="A146" s="29" t="n">
        <v>46311</v>
      </c>
      <c r="B146" s="33" t="n">
        <f aca="false">IF($A146="",0,INT(($A146-'Bloco Base'!$C$5)/7)+1)</f>
        <v>6</v>
      </c>
      <c r="C146" s="28" t="s">
        <v>963</v>
      </c>
      <c r="D146" s="28" t="s">
        <v>1193</v>
      </c>
      <c r="E146" s="27" t="s">
        <v>1117</v>
      </c>
      <c r="F146" s="28" t="n">
        <v>6</v>
      </c>
      <c r="G146" s="139" t="s">
        <v>632</v>
      </c>
      <c r="H146" s="27" t="s">
        <v>558</v>
      </c>
      <c r="I146" s="28" t="s">
        <v>168</v>
      </c>
      <c r="J146" s="28" t="n">
        <v>6</v>
      </c>
      <c r="K146" s="28" t="n">
        <v>5</v>
      </c>
      <c r="L146" s="71"/>
      <c r="M146" s="35" t="str">
        <f aca="false">IF($AB146="","",IFERROR(INDEX('Força 1RM'!$Q$8:$Y$47,MATCH(IF($E146="Equipe (todos)",$C$4,$E146),'Força 1RM'!$P$8:$P$47,0),MATCH($AB146,'Força 1RM'!$Q$7:$Y$7,0)),""))</f>
        <v/>
      </c>
      <c r="N146" s="30" t="n">
        <f aca="false">IFERROR(IF(OR($L146="",$M146="",$M146=0),0,ROUND($L146*$M146*2,0)/2),0)</f>
        <v>0</v>
      </c>
      <c r="O146" s="32"/>
      <c r="P146" s="42" t="str">
        <f aca="false">IFERROR(IF(OR($L146="",$I146="—",$I146=""),"",IF($I146="Agachamento",INDEX($AE$8:$AE$20,MATCH($L146,$AD$8:$AD$20,1)),IF($I146="Supino",INDEX($AF$8:$AF$20,MATCH($L146,$AD$8:$AD$20,1)),IF($I146="Terra",INDEX($AG$8:$AG$20,MATCH($L146,$AD$8:$AD$20,1)),"")))),"")</f>
        <v/>
      </c>
      <c r="Q146" s="45"/>
      <c r="R146" s="71"/>
      <c r="S146" s="71"/>
      <c r="T146" s="69" t="str">
        <f aca="false">IF(OR($R146="",$S146=""),"",IF($S146&gt;$R146,"Acima do limite","Dentro do limite"))</f>
        <v/>
      </c>
      <c r="U146" s="28"/>
      <c r="V146" s="28"/>
      <c r="W146" s="28" t="n">
        <v>120</v>
      </c>
      <c r="X146" s="140" t="n">
        <f aca="false">IFERROR(IF(OR($J146="",$K146=""),0,$J146*$K146),0)</f>
        <v>30</v>
      </c>
      <c r="Y146" s="44" t="n">
        <f aca="false">IFERROR(IF($X146=0,0,$X146*IF($O146="",$N146,$O146)),0)</f>
        <v>0</v>
      </c>
      <c r="Z146" s="60" t="str">
        <f aca="false">IF($L146="","",IF($L146&lt;0.5,"Balística / Velocidade (&lt;50%)",IF($L146&lt;0.7,"Velocidade-Força (50–69%)",IF($L146&lt;0.8,"Força-Velocidade (70–79%)",IF($L146&lt;0.9,"Força Máxima (80–89%)","Força Máxima Alta (≥90%)")))))</f>
        <v/>
      </c>
      <c r="AA146" s="27"/>
      <c r="AB146" s="27"/>
    </row>
    <row r="147" customFormat="false" ht="15" hidden="false" customHeight="false" outlineLevel="0" collapsed="false">
      <c r="A147" s="29" t="n">
        <v>46311</v>
      </c>
      <c r="B147" s="33" t="n">
        <f aca="false">IF($A147="",0,INT(($A147-'Bloco Base'!$C$5)/7)+1)</f>
        <v>6</v>
      </c>
      <c r="C147" s="28" t="s">
        <v>963</v>
      </c>
      <c r="D147" s="28" t="s">
        <v>1193</v>
      </c>
      <c r="E147" s="27" t="s">
        <v>1117</v>
      </c>
      <c r="F147" s="28" t="n">
        <v>7</v>
      </c>
      <c r="G147" s="139" t="s">
        <v>664</v>
      </c>
      <c r="H147" s="27" t="s">
        <v>537</v>
      </c>
      <c r="I147" s="28" t="s">
        <v>168</v>
      </c>
      <c r="J147" s="28" t="n">
        <v>4</v>
      </c>
      <c r="K147" s="28" t="n">
        <v>6</v>
      </c>
      <c r="L147" s="71" t="n">
        <v>0.82</v>
      </c>
      <c r="M147" s="35" t="str">
        <f aca="false">IF($AB147="","",IFERROR(INDEX('Força 1RM'!$Q$8:$Y$47,MATCH(IF($E147="Equipe (todos)",$C$4,$E147),'Força 1RM'!$P$8:$P$47,0),MATCH($AB147,'Força 1RM'!$Q$7:$Y$7,0)),""))</f>
        <v/>
      </c>
      <c r="N147" s="30" t="n">
        <f aca="false">IFERROR(IF(OR($L147="",$M147="",$M147=0),0,ROUND($L147*$M147*2,0)/2),0)</f>
        <v>0</v>
      </c>
      <c r="O147" s="32"/>
      <c r="P147" s="42" t="str">
        <f aca="false">IFERROR(IF(OR($L147="",$I147="—",$I147=""),"",IF($I147="Agachamento",INDEX($AE$8:$AE$20,MATCH($L147,$AD$8:$AD$20,1)),IF($I147="Supino",INDEX($AF$8:$AF$20,MATCH($L147,$AD$8:$AD$20,1)),IF($I147="Terra",INDEX($AG$8:$AG$20,MATCH($L147,$AD$8:$AD$20,1)),"")))),"")</f>
        <v/>
      </c>
      <c r="Q147" s="45"/>
      <c r="R147" s="71" t="n">
        <v>0.15</v>
      </c>
      <c r="S147" s="71"/>
      <c r="T147" s="69" t="str">
        <f aca="false">IF(OR($R147="",$S147=""),"",IF($S147&gt;$R147,"Acima do limite","Dentro do limite"))</f>
        <v/>
      </c>
      <c r="U147" s="28"/>
      <c r="V147" s="28"/>
      <c r="W147" s="28" t="n">
        <v>120</v>
      </c>
      <c r="X147" s="140" t="n">
        <f aca="false">IFERROR(IF(OR($J147="",$K147=""),0,$J147*$K147),0)</f>
        <v>24</v>
      </c>
      <c r="Y147" s="44" t="n">
        <f aca="false">IFERROR(IF($X147=0,0,$X147*IF($O147="",$N147,$O147)),0)</f>
        <v>0</v>
      </c>
      <c r="Z147" s="60" t="str">
        <f aca="false">IF($L147="","",IF($L147&lt;0.5,"Balística / Velocidade (&lt;50%)",IF($L147&lt;0.7,"Velocidade-Força (50–69%)",IF($L147&lt;0.8,"Força-Velocidade (70–79%)",IF($L147&lt;0.9,"Força Máxima (80–89%)","Força Máxima Alta (≥90%)")))))</f>
        <v>Força Máxima (80–89%)</v>
      </c>
      <c r="AA147" s="27"/>
      <c r="AB147" s="27"/>
    </row>
    <row r="148" customFormat="false" ht="15" hidden="false" customHeight="false" outlineLevel="0" collapsed="false">
      <c r="A148" s="29" t="n">
        <v>46311</v>
      </c>
      <c r="B148" s="33" t="n">
        <f aca="false">IF($A148="",0,INT(($A148-'Bloco Base'!$C$5)/7)+1)</f>
        <v>6</v>
      </c>
      <c r="C148" s="28" t="s">
        <v>963</v>
      </c>
      <c r="D148" s="28" t="s">
        <v>1193</v>
      </c>
      <c r="E148" s="27" t="s">
        <v>1117</v>
      </c>
      <c r="F148" s="28" t="n">
        <v>8</v>
      </c>
      <c r="G148" s="139" t="s">
        <v>566</v>
      </c>
      <c r="H148" s="27" t="s">
        <v>480</v>
      </c>
      <c r="I148" s="28" t="s">
        <v>168</v>
      </c>
      <c r="J148" s="28" t="n">
        <v>6</v>
      </c>
      <c r="K148" s="28" t="n">
        <v>1</v>
      </c>
      <c r="L148" s="71"/>
      <c r="M148" s="35" t="str">
        <f aca="false">IF($AB148="","",IFERROR(INDEX('Força 1RM'!$Q$8:$Y$47,MATCH(IF($E148="Equipe (todos)",$C$4,$E148),'Força 1RM'!$P$8:$P$47,0),MATCH($AB148,'Força 1RM'!$Q$7:$Y$7,0)),""))</f>
        <v/>
      </c>
      <c r="N148" s="30" t="n">
        <f aca="false">IFERROR(IF(OR($L148="",$M148="",$M148=0),0,ROUND($L148*$M148*2,0)/2),0)</f>
        <v>0</v>
      </c>
      <c r="O148" s="32"/>
      <c r="P148" s="42" t="str">
        <f aca="false">IFERROR(IF(OR($L148="",$I148="—",$I148=""),"",IF($I148="Agachamento",INDEX($AE$8:$AE$20,MATCH($L148,$AD$8:$AD$20,1)),IF($I148="Supino",INDEX($AF$8:$AF$20,MATCH($L148,$AD$8:$AD$20,1)),IF($I148="Terra",INDEX($AG$8:$AG$20,MATCH($L148,$AD$8:$AD$20,1)),"")))),"")</f>
        <v/>
      </c>
      <c r="Q148" s="45"/>
      <c r="R148" s="71"/>
      <c r="S148" s="71"/>
      <c r="T148" s="69" t="str">
        <f aca="false">IF(OR($R148="",$S148=""),"",IF($S148&gt;$R148,"Acima do limite","Dentro do limite"))</f>
        <v/>
      </c>
      <c r="U148" s="28"/>
      <c r="V148" s="28"/>
      <c r="W148" s="28" t="n">
        <v>120</v>
      </c>
      <c r="X148" s="140" t="n">
        <f aca="false">IFERROR(IF(OR($J148="",$K148=""),0,$J148*$K148),0)</f>
        <v>6</v>
      </c>
      <c r="Y148" s="44" t="n">
        <f aca="false">IFERROR(IF($X148=0,0,$X148*IF($O148="",$N148,$O148)),0)</f>
        <v>0</v>
      </c>
      <c r="Z148" s="60" t="str">
        <f aca="false">IF($L148="","",IF($L148&lt;0.5,"Balística / Velocidade (&lt;50%)",IF($L148&lt;0.7,"Velocidade-Força (50–69%)",IF($L148&lt;0.8,"Força-Velocidade (70–79%)",IF($L148&lt;0.9,"Força Máxima (80–89%)","Força Máxima Alta (≥90%)")))))</f>
        <v/>
      </c>
      <c r="AA148" s="27"/>
      <c r="AB148" s="27"/>
    </row>
    <row r="149" customFormat="false" ht="15" hidden="false" customHeight="false" outlineLevel="0" collapsed="false">
      <c r="A149" s="29" t="n">
        <v>46311</v>
      </c>
      <c r="B149" s="33" t="n">
        <f aca="false">IF($A149="",0,INT(($A149-'Bloco Base'!$C$5)/7)+1)</f>
        <v>6</v>
      </c>
      <c r="C149" s="28" t="s">
        <v>963</v>
      </c>
      <c r="D149" s="28" t="s">
        <v>1193</v>
      </c>
      <c r="E149" s="27" t="s">
        <v>1117</v>
      </c>
      <c r="F149" s="28" t="n">
        <v>9</v>
      </c>
      <c r="G149" s="139" t="s">
        <v>748</v>
      </c>
      <c r="H149" s="27" t="s">
        <v>776</v>
      </c>
      <c r="I149" s="28" t="s">
        <v>168</v>
      </c>
      <c r="J149" s="28" t="n">
        <v>3</v>
      </c>
      <c r="K149" s="28" t="n">
        <v>20</v>
      </c>
      <c r="L149" s="71"/>
      <c r="M149" s="35" t="str">
        <f aca="false">IF($AB149="","",IFERROR(INDEX('Força 1RM'!$Q$8:$Y$47,MATCH(IF($E149="Equipe (todos)",$C$4,$E149),'Força 1RM'!$P$8:$P$47,0),MATCH($AB149,'Força 1RM'!$Q$7:$Y$7,0)),""))</f>
        <v/>
      </c>
      <c r="N149" s="30" t="n">
        <f aca="false">IFERROR(IF(OR($L149="",$M149="",$M149=0),0,ROUND($L149*$M149*2,0)/2),0)</f>
        <v>0</v>
      </c>
      <c r="O149" s="32"/>
      <c r="P149" s="42" t="str">
        <f aca="false">IFERROR(IF(OR($L149="",$I149="—",$I149=""),"",IF($I149="Agachamento",INDEX($AE$8:$AE$20,MATCH($L149,$AD$8:$AD$20,1)),IF($I149="Supino",INDEX($AF$8:$AF$20,MATCH($L149,$AD$8:$AD$20,1)),IF($I149="Terra",INDEX($AG$8:$AG$20,MATCH($L149,$AD$8:$AD$20,1)),"")))),"")</f>
        <v/>
      </c>
      <c r="Q149" s="45"/>
      <c r="R149" s="71"/>
      <c r="S149" s="71"/>
      <c r="T149" s="69" t="str">
        <f aca="false">IF(OR($R149="",$S149=""),"",IF($S149&gt;$R149,"Acima do limite","Dentro do limite"))</f>
        <v/>
      </c>
      <c r="U149" s="28"/>
      <c r="V149" s="28"/>
      <c r="W149" s="28" t="n">
        <v>45</v>
      </c>
      <c r="X149" s="140" t="n">
        <f aca="false">IFERROR(IF(OR($J149="",$K149=""),0,$J149*$K149),0)</f>
        <v>60</v>
      </c>
      <c r="Y149" s="44" t="n">
        <f aca="false">IFERROR(IF($X149=0,0,$X149*IF($O149="",$N149,$O149)),0)</f>
        <v>0</v>
      </c>
      <c r="Z149" s="60" t="str">
        <f aca="false">IF($L149="","",IF($L149&lt;0.5,"Balística / Velocidade (&lt;50%)",IF($L149&lt;0.7,"Velocidade-Força (50–69%)",IF($L149&lt;0.8,"Força-Velocidade (70–79%)",IF($L149&lt;0.9,"Força Máxima (80–89%)","Força Máxima Alta (≥90%)")))))</f>
        <v/>
      </c>
      <c r="AA149" s="27"/>
      <c r="AB149" s="27"/>
    </row>
    <row r="150" customFormat="false" ht="15" hidden="false" customHeight="false" outlineLevel="0" collapsed="false">
      <c r="A150" s="29" t="n">
        <v>46314</v>
      </c>
      <c r="B150" s="33" t="n">
        <f aca="false">IF($A150="",0,INT(($A150-'Bloco Base'!$C$5)/7)+1)</f>
        <v>7</v>
      </c>
      <c r="C150" s="28" t="s">
        <v>963</v>
      </c>
      <c r="D150" s="28" t="s">
        <v>233</v>
      </c>
      <c r="E150" s="27" t="s">
        <v>1117</v>
      </c>
      <c r="F150" s="28" t="n">
        <v>1</v>
      </c>
      <c r="G150" s="139" t="s">
        <v>600</v>
      </c>
      <c r="H150" s="27" t="s">
        <v>994</v>
      </c>
      <c r="I150" s="28" t="s">
        <v>168</v>
      </c>
      <c r="J150" s="28" t="n">
        <v>1</v>
      </c>
      <c r="K150" s="28" t="n">
        <v>8</v>
      </c>
      <c r="L150" s="71"/>
      <c r="M150" s="35" t="str">
        <f aca="false">IF($AB150="","",IFERROR(INDEX('Força 1RM'!$Q$8:$Y$47,MATCH(IF($E150="Equipe (todos)",$C$4,$E150),'Força 1RM'!$P$8:$P$47,0),MATCH($AB150,'Força 1RM'!$Q$7:$Y$7,0)),""))</f>
        <v/>
      </c>
      <c r="N150" s="30" t="n">
        <f aca="false">IFERROR(IF(OR($L150="",$M150="",$M150=0),0,ROUND($L150*$M150*2,0)/2),0)</f>
        <v>0</v>
      </c>
      <c r="O150" s="32"/>
      <c r="P150" s="42" t="str">
        <f aca="false">IFERROR(IF(OR($L150="",$I150="—",$I150=""),"",IF($I150="Agachamento",INDEX($AE$8:$AE$20,MATCH($L150,$AD$8:$AD$20,1)),IF($I150="Supino",INDEX($AF$8:$AF$20,MATCH($L150,$AD$8:$AD$20,1)),IF($I150="Terra",INDEX($AG$8:$AG$20,MATCH($L150,$AD$8:$AD$20,1)),"")))),"")</f>
        <v/>
      </c>
      <c r="Q150" s="45"/>
      <c r="R150" s="71"/>
      <c r="S150" s="71"/>
      <c r="T150" s="69" t="str">
        <f aca="false">IF(OR($R150="",$S150=""),"",IF($S150&gt;$R150,"Acima do limite","Dentro do limite"))</f>
        <v/>
      </c>
      <c r="U150" s="28"/>
      <c r="V150" s="28"/>
      <c r="W150" s="28" t="n">
        <v>0</v>
      </c>
      <c r="X150" s="140" t="n">
        <f aca="false">IFERROR(IF(OR($J150="",$K150=""),0,$J150*$K150),0)</f>
        <v>8</v>
      </c>
      <c r="Y150" s="44" t="n">
        <f aca="false">IFERROR(IF($X150=0,0,$X150*IF($O150="",$N150,$O150)),0)</f>
        <v>0</v>
      </c>
      <c r="Z150" s="60" t="str">
        <f aca="false">IF($L150="","",IF($L150&lt;0.5,"Balística / Velocidade (&lt;50%)",IF($L150&lt;0.7,"Velocidade-Força (50–69%)",IF($L150&lt;0.8,"Força-Velocidade (70–79%)",IF($L150&lt;0.9,"Força Máxima (80–89%)","Força Máxima Alta (≥90%)")))))</f>
        <v/>
      </c>
      <c r="AA150" s="27"/>
      <c r="AB150" s="27"/>
    </row>
    <row r="151" customFormat="false" ht="15" hidden="false" customHeight="false" outlineLevel="0" collapsed="false">
      <c r="A151" s="29" t="n">
        <v>46314</v>
      </c>
      <c r="B151" s="33" t="n">
        <f aca="false">IF($A151="",0,INT(($A151-'Bloco Base'!$C$5)/7)+1)</f>
        <v>7</v>
      </c>
      <c r="C151" s="28" t="s">
        <v>963</v>
      </c>
      <c r="D151" s="28" t="s">
        <v>233</v>
      </c>
      <c r="E151" s="27" t="s">
        <v>1117</v>
      </c>
      <c r="F151" s="28" t="n">
        <v>2</v>
      </c>
      <c r="G151" s="139" t="s">
        <v>616</v>
      </c>
      <c r="H151" s="27" t="s">
        <v>1191</v>
      </c>
      <c r="I151" s="28" t="s">
        <v>168</v>
      </c>
      <c r="J151" s="28" t="n">
        <v>6</v>
      </c>
      <c r="K151" s="28" t="n">
        <v>2</v>
      </c>
      <c r="L151" s="71" t="n">
        <v>0.88</v>
      </c>
      <c r="M151" s="35" t="n">
        <f aca="false">IF($AB151="","",IFERROR(INDEX('Força 1RM'!$Q$8:$Y$47,MATCH(IF($E151="Equipe (todos)",$C$4,$E151),'Força 1RM'!$P$8:$P$47,0),MATCH($AB151,'Força 1RM'!$Q$7:$Y$7,0)),""))</f>
        <v>92.5</v>
      </c>
      <c r="N151" s="30" t="n">
        <f aca="false">IFERROR(IF(OR($L151="",$M151="",$M151=0),0,ROUND($L151*$M151*2,0)/2),0)</f>
        <v>81.5</v>
      </c>
      <c r="O151" s="32"/>
      <c r="P151" s="42" t="str">
        <f aca="false">IFERROR(IF(OR($L151="",$I151="—",$I151=""),"",IF($I151="Agachamento",INDEX($AE$8:$AE$20,MATCH($L151,$AD$8:$AD$20,1)),IF($I151="Supino",INDEX($AF$8:$AF$20,MATCH($L151,$AD$8:$AD$20,1)),IF($I151="Terra",INDEX($AG$8:$AG$20,MATCH($L151,$AD$8:$AD$20,1)),"")))),"")</f>
        <v/>
      </c>
      <c r="Q151" s="45"/>
      <c r="R151" s="71" t="n">
        <v>0.1</v>
      </c>
      <c r="S151" s="71"/>
      <c r="T151" s="69" t="str">
        <f aca="false">IF(OR($R151="",$S151=""),"",IF($S151&gt;$R151,"Acima do limite","Dentro do limite"))</f>
        <v/>
      </c>
      <c r="U151" s="28"/>
      <c r="V151" s="28"/>
      <c r="W151" s="28" t="n">
        <v>180</v>
      </c>
      <c r="X151" s="140" t="n">
        <f aca="false">IFERROR(IF(OR($J151="",$K151=""),0,$J151*$K151),0)</f>
        <v>12</v>
      </c>
      <c r="Y151" s="44" t="n">
        <f aca="false">IFERROR(IF($X151=0,0,$X151*IF($O151="",$N151,$O151)),0)</f>
        <v>978</v>
      </c>
      <c r="Z151" s="60" t="str">
        <f aca="false">IF($L151="","",IF($L151&lt;0.5,"Balística / Velocidade (&lt;50%)",IF($L151&lt;0.7,"Velocidade-Força (50–69%)",IF($L151&lt;0.8,"Força-Velocidade (70–79%)",IF($L151&lt;0.9,"Força Máxima (80–89%)","Força Máxima Alta (≥90%)")))))</f>
        <v>Força Máxima (80–89%)</v>
      </c>
      <c r="AA151" s="27"/>
      <c r="AB151" s="27" t="s">
        <v>953</v>
      </c>
    </row>
    <row r="152" customFormat="false" ht="15" hidden="false" customHeight="false" outlineLevel="0" collapsed="false">
      <c r="A152" s="29" t="n">
        <v>46314</v>
      </c>
      <c r="B152" s="33" t="n">
        <f aca="false">IF($A152="",0,INT(($A152-'Bloco Base'!$C$5)/7)+1)</f>
        <v>7</v>
      </c>
      <c r="C152" s="28" t="s">
        <v>963</v>
      </c>
      <c r="D152" s="28" t="s">
        <v>233</v>
      </c>
      <c r="E152" s="27" t="s">
        <v>1117</v>
      </c>
      <c r="F152" s="28" t="n">
        <v>3</v>
      </c>
      <c r="G152" s="139" t="s">
        <v>688</v>
      </c>
      <c r="H152" s="27" t="s">
        <v>537</v>
      </c>
      <c r="I152" s="28" t="s">
        <v>692</v>
      </c>
      <c r="J152" s="28" t="n">
        <v>4</v>
      </c>
      <c r="K152" s="28" t="n">
        <v>3</v>
      </c>
      <c r="L152" s="71" t="n">
        <v>0.9</v>
      </c>
      <c r="M152" s="35" t="n">
        <f aca="false">IF($AB152="","",IFERROR(INDEX('Força 1RM'!$Q$8:$Y$47,MATCH(IF($E152="Equipe (todos)",$C$4,$E152),'Força 1RM'!$P$8:$P$47,0),MATCH($AB152,'Força 1RM'!$Q$7:$Y$7,0)),""))</f>
        <v>160</v>
      </c>
      <c r="N152" s="30" t="n">
        <f aca="false">IFERROR(IF(OR($L152="",$M152="",$M152=0),0,ROUND($L152*$M152*2,0)/2),0)</f>
        <v>144</v>
      </c>
      <c r="O152" s="32"/>
      <c r="P152" s="42" t="n">
        <f aca="false">IFERROR(IF(OR($L152="",$I152="—",$I152=""),"",IF($I152="Agachamento",INDEX($AE$8:$AE$20,MATCH($L152,$AD$8:$AD$20,1)),IF($I152="Supino",INDEX($AF$8:$AF$20,MATCH($L152,$AD$8:$AD$20,1)),IF($I152="Terra",INDEX($AG$8:$AG$20,MATCH($L152,$AD$8:$AD$20,1)),"")))),"")</f>
        <v>0.4</v>
      </c>
      <c r="Q152" s="45"/>
      <c r="R152" s="71" t="n">
        <v>0.1</v>
      </c>
      <c r="S152" s="71"/>
      <c r="T152" s="69" t="str">
        <f aca="false">IF(OR($R152="",$S152=""),"",IF($S152&gt;$R152,"Acima do limite","Dentro do limite"))</f>
        <v/>
      </c>
      <c r="U152" s="28"/>
      <c r="V152" s="28"/>
      <c r="W152" s="28" t="n">
        <v>180</v>
      </c>
      <c r="X152" s="140" t="n">
        <f aca="false">IFERROR(IF(OR($J152="",$K152=""),0,$J152*$K152),0)</f>
        <v>12</v>
      </c>
      <c r="Y152" s="44" t="n">
        <f aca="false">IFERROR(IF($X152=0,0,$X152*IF($O152="",$N152,$O152)),0)</f>
        <v>1728</v>
      </c>
      <c r="Z152" s="60" t="str">
        <f aca="false">IF($L152="","",IF($L152&lt;0.5,"Balística / Velocidade (&lt;50%)",IF($L152&lt;0.7,"Velocidade-Força (50–69%)",IF($L152&lt;0.8,"Força-Velocidade (70–79%)",IF($L152&lt;0.9,"Força Máxima (80–89%)","Força Máxima Alta (≥90%)")))))</f>
        <v>Força Máxima Alta (≥90%)</v>
      </c>
      <c r="AA152" s="27"/>
      <c r="AB152" s="27" t="s">
        <v>688</v>
      </c>
    </row>
    <row r="153" customFormat="false" ht="15" hidden="false" customHeight="false" outlineLevel="0" collapsed="false">
      <c r="A153" s="29" t="n">
        <v>46314</v>
      </c>
      <c r="B153" s="33" t="n">
        <f aca="false">IF($A153="",0,INT(($A153-'Bloco Base'!$C$5)/7)+1)</f>
        <v>7</v>
      </c>
      <c r="C153" s="28" t="s">
        <v>963</v>
      </c>
      <c r="D153" s="28" t="s">
        <v>233</v>
      </c>
      <c r="E153" s="27" t="s">
        <v>1117</v>
      </c>
      <c r="F153" s="28" t="n">
        <v>4</v>
      </c>
      <c r="G153" s="139" t="s">
        <v>701</v>
      </c>
      <c r="H153" s="27" t="s">
        <v>537</v>
      </c>
      <c r="I153" s="28" t="s">
        <v>1000</v>
      </c>
      <c r="J153" s="28" t="n">
        <v>4</v>
      </c>
      <c r="K153" s="28" t="n">
        <v>5</v>
      </c>
      <c r="L153" s="71" t="n">
        <v>0.78</v>
      </c>
      <c r="M153" s="35" t="n">
        <f aca="false">IF($AB153="","",IFERROR(INDEX('Força 1RM'!$Q$8:$Y$47,MATCH(IF($E153="Equipe (todos)",$C$4,$E153),'Força 1RM'!$P$8:$P$47,0),MATCH($AB153,'Força 1RM'!$Q$7:$Y$7,0)),""))</f>
        <v>125</v>
      </c>
      <c r="N153" s="30" t="n">
        <f aca="false">IFERROR(IF(OR($L153="",$M153="",$M153=0),0,ROUND($L153*$M153*2,0)/2),0)</f>
        <v>97.5</v>
      </c>
      <c r="O153" s="32"/>
      <c r="P153" s="42" t="n">
        <f aca="false">IFERROR(IF(OR($L153="",$I153="—",$I153=""),"",IF($I153="Agachamento",INDEX($AE$8:$AE$20,MATCH($L153,$AD$8:$AD$20,1)),IF($I153="Supino",INDEX($AF$8:$AF$20,MATCH($L153,$AD$8:$AD$20,1)),IF($I153="Terra",INDEX($AG$8:$AG$20,MATCH($L153,$AD$8:$AD$20,1)),"")))),"")</f>
        <v>0.55</v>
      </c>
      <c r="Q153" s="45"/>
      <c r="R153" s="71" t="n">
        <v>0.15</v>
      </c>
      <c r="S153" s="71"/>
      <c r="T153" s="69" t="str">
        <f aca="false">IF(OR($R153="",$S153=""),"",IF($S153&gt;$R153,"Acima do limite","Dentro do limite"))</f>
        <v/>
      </c>
      <c r="U153" s="28"/>
      <c r="V153" s="28"/>
      <c r="W153" s="28" t="n">
        <v>120</v>
      </c>
      <c r="X153" s="140" t="n">
        <f aca="false">IFERROR(IF(OR($J153="",$K153=""),0,$J153*$K153),0)</f>
        <v>20</v>
      </c>
      <c r="Y153" s="44" t="n">
        <f aca="false">IFERROR(IF($X153=0,0,$X153*IF($O153="",$N153,$O153)),0)</f>
        <v>1950</v>
      </c>
      <c r="Z153" s="60" t="str">
        <f aca="false">IF($L153="","",IF($L153&lt;0.5,"Balística / Velocidade (&lt;50%)",IF($L153&lt;0.7,"Velocidade-Força (50–69%)",IF($L153&lt;0.8,"Força-Velocidade (70–79%)",IF($L153&lt;0.9,"Força Máxima (80–89%)","Força Máxima Alta (≥90%)")))))</f>
        <v>Força-Velocidade (70–79%)</v>
      </c>
      <c r="AA153" s="27"/>
      <c r="AB153" s="27" t="s">
        <v>701</v>
      </c>
    </row>
    <row r="154" customFormat="false" ht="15" hidden="false" customHeight="false" outlineLevel="0" collapsed="false">
      <c r="A154" s="29" t="n">
        <v>46314</v>
      </c>
      <c r="B154" s="33" t="n">
        <f aca="false">IF($A154="",0,INT(($A154-'Bloco Base'!$C$5)/7)+1)</f>
        <v>7</v>
      </c>
      <c r="C154" s="28" t="s">
        <v>963</v>
      </c>
      <c r="D154" s="28" t="s">
        <v>233</v>
      </c>
      <c r="E154" s="27" t="s">
        <v>1117</v>
      </c>
      <c r="F154" s="28" t="n">
        <v>5</v>
      </c>
      <c r="G154" s="139" t="s">
        <v>708</v>
      </c>
      <c r="H154" s="27" t="s">
        <v>537</v>
      </c>
      <c r="I154" s="28" t="s">
        <v>168</v>
      </c>
      <c r="J154" s="28" t="n">
        <v>3</v>
      </c>
      <c r="K154" s="28" t="n">
        <v>6</v>
      </c>
      <c r="L154" s="71"/>
      <c r="M154" s="35" t="str">
        <f aca="false">IF($AB154="","",IFERROR(INDEX('Força 1RM'!$Q$8:$Y$47,MATCH(IF($E154="Equipe (todos)",$C$4,$E154),'Força 1RM'!$P$8:$P$47,0),MATCH($AB154,'Força 1RM'!$Q$7:$Y$7,0)),""))</f>
        <v/>
      </c>
      <c r="N154" s="30" t="n">
        <f aca="false">IFERROR(IF(OR($L154="",$M154="",$M154=0),0,ROUND($L154*$M154*2,0)/2),0)</f>
        <v>0</v>
      </c>
      <c r="O154" s="32"/>
      <c r="P154" s="42" t="str">
        <f aca="false">IFERROR(IF(OR($L154="",$I154="—",$I154=""),"",IF($I154="Agachamento",INDEX($AE$8:$AE$20,MATCH($L154,$AD$8:$AD$20,1)),IF($I154="Supino",INDEX($AF$8:$AF$20,MATCH($L154,$AD$8:$AD$20,1)),IF($I154="Terra",INDEX($AG$8:$AG$20,MATCH($L154,$AD$8:$AD$20,1)),"")))),"")</f>
        <v/>
      </c>
      <c r="Q154" s="45"/>
      <c r="R154" s="71"/>
      <c r="S154" s="71"/>
      <c r="T154" s="69" t="str">
        <f aca="false">IF(OR($R154="",$S154=""),"",IF($S154&gt;$R154,"Acima do limite","Dentro do limite"))</f>
        <v/>
      </c>
      <c r="U154" s="28"/>
      <c r="V154" s="28"/>
      <c r="W154" s="28" t="n">
        <v>90</v>
      </c>
      <c r="X154" s="140" t="n">
        <f aca="false">IFERROR(IF(OR($J154="",$K154=""),0,$J154*$K154),0)</f>
        <v>18</v>
      </c>
      <c r="Y154" s="44" t="n">
        <f aca="false">IFERROR(IF($X154=0,0,$X154*IF($O154="",$N154,$O154)),0)</f>
        <v>0</v>
      </c>
      <c r="Z154" s="60" t="str">
        <f aca="false">IF($L154="","",IF($L154&lt;0.5,"Balística / Velocidade (&lt;50%)",IF($L154&lt;0.7,"Velocidade-Força (50–69%)",IF($L154&lt;0.8,"Força-Velocidade (70–79%)",IF($L154&lt;0.9,"Força Máxima (80–89%)","Força Máxima Alta (≥90%)")))))</f>
        <v/>
      </c>
      <c r="AA154" s="27"/>
      <c r="AB154" s="27"/>
    </row>
    <row r="155" customFormat="false" ht="15" hidden="false" customHeight="false" outlineLevel="0" collapsed="false">
      <c r="A155" s="29" t="n">
        <v>46314</v>
      </c>
      <c r="B155" s="33" t="n">
        <f aca="false">IF($A155="",0,INT(($A155-'Bloco Base'!$C$5)/7)+1)</f>
        <v>7</v>
      </c>
      <c r="C155" s="28" t="s">
        <v>963</v>
      </c>
      <c r="D155" s="28" t="s">
        <v>233</v>
      </c>
      <c r="E155" s="27" t="s">
        <v>1117</v>
      </c>
      <c r="F155" s="28" t="n">
        <v>6</v>
      </c>
      <c r="G155" s="139" t="s">
        <v>592</v>
      </c>
      <c r="H155" s="27" t="s">
        <v>1004</v>
      </c>
      <c r="I155" s="28" t="s">
        <v>168</v>
      </c>
      <c r="J155" s="28" t="n">
        <v>3</v>
      </c>
      <c r="K155" s="28" t="n">
        <v>6</v>
      </c>
      <c r="L155" s="71"/>
      <c r="M155" s="35" t="str">
        <f aca="false">IF($AB155="","",IFERROR(INDEX('Força 1RM'!$Q$8:$Y$47,MATCH(IF($E155="Equipe (todos)",$C$4,$E155),'Força 1RM'!$P$8:$P$47,0),MATCH($AB155,'Força 1RM'!$Q$7:$Y$7,0)),""))</f>
        <v/>
      </c>
      <c r="N155" s="30" t="n">
        <f aca="false">IFERROR(IF(OR($L155="",$M155="",$M155=0),0,ROUND($L155*$M155*2,0)/2),0)</f>
        <v>0</v>
      </c>
      <c r="O155" s="32"/>
      <c r="P155" s="42" t="str">
        <f aca="false">IFERROR(IF(OR($L155="",$I155="—",$I155=""),"",IF($I155="Agachamento",INDEX($AE$8:$AE$20,MATCH($L155,$AD$8:$AD$20,1)),IF($I155="Supino",INDEX($AF$8:$AF$20,MATCH($L155,$AD$8:$AD$20,1)),IF($I155="Terra",INDEX($AG$8:$AG$20,MATCH($L155,$AD$8:$AD$20,1)),"")))),"")</f>
        <v/>
      </c>
      <c r="Q155" s="45"/>
      <c r="R155" s="71"/>
      <c r="S155" s="71"/>
      <c r="T155" s="69" t="str">
        <f aca="false">IF(OR($R155="",$S155=""),"",IF($S155&gt;$R155,"Acima do limite","Dentro do limite"))</f>
        <v/>
      </c>
      <c r="U155" s="28"/>
      <c r="V155" s="28"/>
      <c r="W155" s="28" t="n">
        <v>60</v>
      </c>
      <c r="X155" s="140" t="n">
        <f aca="false">IFERROR(IF(OR($J155="",$K155=""),0,$J155*$K155),0)</f>
        <v>18</v>
      </c>
      <c r="Y155" s="44" t="n">
        <f aca="false">IFERROR(IF($X155=0,0,$X155*IF($O155="",$N155,$O155)),0)</f>
        <v>0</v>
      </c>
      <c r="Z155" s="60" t="str">
        <f aca="false">IF($L155="","",IF($L155&lt;0.5,"Balística / Velocidade (&lt;50%)",IF($L155&lt;0.7,"Velocidade-Força (50–69%)",IF($L155&lt;0.8,"Força-Velocidade (70–79%)",IF($L155&lt;0.9,"Força Máxima (80–89%)","Força Máxima Alta (≥90%)")))))</f>
        <v/>
      </c>
      <c r="AA155" s="27"/>
      <c r="AB155" s="27"/>
    </row>
    <row r="156" customFormat="false" ht="15" hidden="false" customHeight="false" outlineLevel="0" collapsed="false">
      <c r="A156" s="29" t="n">
        <v>46314</v>
      </c>
      <c r="B156" s="33" t="n">
        <f aca="false">IF($A156="",0,INT(($A156-'Bloco Base'!$C$5)/7)+1)</f>
        <v>7</v>
      </c>
      <c r="C156" s="28" t="s">
        <v>963</v>
      </c>
      <c r="D156" s="28" t="s">
        <v>233</v>
      </c>
      <c r="E156" s="27" t="s">
        <v>1117</v>
      </c>
      <c r="F156" s="28" t="n">
        <v>7</v>
      </c>
      <c r="G156" s="139" t="s">
        <v>1006</v>
      </c>
      <c r="H156" s="27" t="s">
        <v>776</v>
      </c>
      <c r="I156" s="28" t="s">
        <v>168</v>
      </c>
      <c r="J156" s="28" t="n">
        <v>3</v>
      </c>
      <c r="K156" s="28" t="n">
        <v>20</v>
      </c>
      <c r="L156" s="71"/>
      <c r="M156" s="35" t="str">
        <f aca="false">IF($AB156="","",IFERROR(INDEX('Força 1RM'!$Q$8:$Y$47,MATCH(IF($E156="Equipe (todos)",$C$4,$E156),'Força 1RM'!$P$8:$P$47,0),MATCH($AB156,'Força 1RM'!$Q$7:$Y$7,0)),""))</f>
        <v/>
      </c>
      <c r="N156" s="30" t="n">
        <f aca="false">IFERROR(IF(OR($L156="",$M156="",$M156=0),0,ROUND($L156*$M156*2,0)/2),0)</f>
        <v>0</v>
      </c>
      <c r="O156" s="32"/>
      <c r="P156" s="42" t="str">
        <f aca="false">IFERROR(IF(OR($L156="",$I156="—",$I156=""),"",IF($I156="Agachamento",INDEX($AE$8:$AE$20,MATCH($L156,$AD$8:$AD$20,1)),IF($I156="Supino",INDEX($AF$8:$AF$20,MATCH($L156,$AD$8:$AD$20,1)),IF($I156="Terra",INDEX($AG$8:$AG$20,MATCH($L156,$AD$8:$AD$20,1)),"")))),"")</f>
        <v/>
      </c>
      <c r="Q156" s="45"/>
      <c r="R156" s="71"/>
      <c r="S156" s="71"/>
      <c r="T156" s="69" t="str">
        <f aca="false">IF(OR($R156="",$S156=""),"",IF($S156&gt;$R156,"Acima do limite","Dentro do limite"))</f>
        <v/>
      </c>
      <c r="U156" s="28"/>
      <c r="V156" s="28"/>
      <c r="W156" s="28" t="n">
        <v>45</v>
      </c>
      <c r="X156" s="140" t="n">
        <f aca="false">IFERROR(IF(OR($J156="",$K156=""),0,$J156*$K156),0)</f>
        <v>60</v>
      </c>
      <c r="Y156" s="44" t="n">
        <f aca="false">IFERROR(IF($X156=0,0,$X156*IF($O156="",$N156,$O156)),0)</f>
        <v>0</v>
      </c>
      <c r="Z156" s="60" t="str">
        <f aca="false">IF($L156="","",IF($L156&lt;0.5,"Balística / Velocidade (&lt;50%)",IF($L156&lt;0.7,"Velocidade-Força (50–69%)",IF($L156&lt;0.8,"Força-Velocidade (70–79%)",IF($L156&lt;0.9,"Força Máxima (80–89%)","Força Máxima Alta (≥90%)")))))</f>
        <v/>
      </c>
      <c r="AA156" s="27"/>
      <c r="AB156" s="27"/>
    </row>
    <row r="157" customFormat="false" ht="15" hidden="false" customHeight="false" outlineLevel="0" collapsed="false">
      <c r="A157" s="29" t="n">
        <v>46316</v>
      </c>
      <c r="B157" s="33" t="n">
        <f aca="false">IF($A157="",0,INT(($A157-'Bloco Base'!$C$5)/7)+1)</f>
        <v>7</v>
      </c>
      <c r="C157" s="28" t="s">
        <v>963</v>
      </c>
      <c r="D157" s="28" t="s">
        <v>1192</v>
      </c>
      <c r="E157" s="27" t="s">
        <v>1117</v>
      </c>
      <c r="F157" s="28" t="n">
        <v>1</v>
      </c>
      <c r="G157" s="139" t="s">
        <v>587</v>
      </c>
      <c r="H157" s="27" t="s">
        <v>1004</v>
      </c>
      <c r="I157" s="28" t="s">
        <v>168</v>
      </c>
      <c r="J157" s="28" t="n">
        <v>3</v>
      </c>
      <c r="K157" s="28" t="n">
        <v>6</v>
      </c>
      <c r="L157" s="71"/>
      <c r="M157" s="35" t="str">
        <f aca="false">IF($AB157="","",IFERROR(INDEX('Força 1RM'!$Q$8:$Y$47,MATCH(IF($E157="Equipe (todos)",$C$4,$E157),'Força 1RM'!$P$8:$P$47,0),MATCH($AB157,'Força 1RM'!$Q$7:$Y$7,0)),""))</f>
        <v/>
      </c>
      <c r="N157" s="30" t="n">
        <f aca="false">IFERROR(IF(OR($L157="",$M157="",$M157=0),0,ROUND($L157*$M157*2,0)/2),0)</f>
        <v>0</v>
      </c>
      <c r="O157" s="32"/>
      <c r="P157" s="42" t="str">
        <f aca="false">IFERROR(IF(OR($L157="",$I157="—",$I157=""),"",IF($I157="Agachamento",INDEX($AE$8:$AE$20,MATCH($L157,$AD$8:$AD$20,1)),IF($I157="Supino",INDEX($AF$8:$AF$20,MATCH($L157,$AD$8:$AD$20,1)),IF($I157="Terra",INDEX($AG$8:$AG$20,MATCH($L157,$AD$8:$AD$20,1)),"")))),"")</f>
        <v/>
      </c>
      <c r="Q157" s="45"/>
      <c r="R157" s="71"/>
      <c r="S157" s="71"/>
      <c r="T157" s="69" t="str">
        <f aca="false">IF(OR($R157="",$S157=""),"",IF($S157&gt;$R157,"Acima do limite","Dentro do limite"))</f>
        <v/>
      </c>
      <c r="U157" s="28"/>
      <c r="V157" s="28"/>
      <c r="W157" s="28" t="n">
        <v>60</v>
      </c>
      <c r="X157" s="140" t="n">
        <f aca="false">IFERROR(IF(OR($J157="",$K157=""),0,$J157*$K157),0)</f>
        <v>18</v>
      </c>
      <c r="Y157" s="44" t="n">
        <f aca="false">IFERROR(IF($X157=0,0,$X157*IF($O157="",$N157,$O157)),0)</f>
        <v>0</v>
      </c>
      <c r="Z157" s="60" t="str">
        <f aca="false">IF($L157="","",IF($L157&lt;0.5,"Balística / Velocidade (&lt;50%)",IF($L157&lt;0.7,"Velocidade-Força (50–69%)",IF($L157&lt;0.8,"Força-Velocidade (70–79%)",IF($L157&lt;0.9,"Força Máxima (80–89%)","Força Máxima Alta (≥90%)")))))</f>
        <v/>
      </c>
      <c r="AA157" s="27"/>
      <c r="AB157" s="27"/>
    </row>
    <row r="158" customFormat="false" ht="15" hidden="false" customHeight="false" outlineLevel="0" collapsed="false">
      <c r="A158" s="29" t="n">
        <v>46316</v>
      </c>
      <c r="B158" s="33" t="n">
        <f aca="false">IF($A158="",0,INT(($A158-'Bloco Base'!$C$5)/7)+1)</f>
        <v>7</v>
      </c>
      <c r="C158" s="28" t="s">
        <v>963</v>
      </c>
      <c r="D158" s="28" t="s">
        <v>1192</v>
      </c>
      <c r="E158" s="27" t="s">
        <v>1117</v>
      </c>
      <c r="F158" s="28" t="n">
        <v>2</v>
      </c>
      <c r="G158" s="139" t="s">
        <v>553</v>
      </c>
      <c r="H158" s="27" t="s">
        <v>792</v>
      </c>
      <c r="I158" s="28" t="s">
        <v>692</v>
      </c>
      <c r="J158" s="28" t="n">
        <v>5</v>
      </c>
      <c r="K158" s="28" t="n">
        <v>3</v>
      </c>
      <c r="L158" s="71" t="n">
        <v>0.35</v>
      </c>
      <c r="M158" s="35" t="n">
        <f aca="false">IF($AB158="","",IFERROR(INDEX('Força 1RM'!$Q$8:$Y$47,MATCH(IF($E158="Equipe (todos)",$C$4,$E158),'Força 1RM'!$P$8:$P$47,0),MATCH($AB158,'Força 1RM'!$Q$7:$Y$7,0)),""))</f>
        <v>160</v>
      </c>
      <c r="N158" s="30" t="n">
        <f aca="false">IFERROR(IF(OR($L158="",$M158="",$M158=0),0,ROUND($L158*$M158*2,0)/2),0)</f>
        <v>56</v>
      </c>
      <c r="O158" s="32"/>
      <c r="P158" s="42" t="str">
        <f aca="false">IFERROR(IF(OR($L158="",$I158="—",$I158=""),"",IF($I158="Agachamento",INDEX($AE$8:$AE$20,MATCH($L158,$AD$8:$AD$20,1)),IF($I158="Supino",INDEX($AF$8:$AF$20,MATCH($L158,$AD$8:$AD$20,1)),IF($I158="Terra",INDEX($AG$8:$AG$20,MATCH($L158,$AD$8:$AD$20,1)),"")))),"")</f>
        <v/>
      </c>
      <c r="Q158" s="45"/>
      <c r="R158" s="71" t="n">
        <v>0.1</v>
      </c>
      <c r="S158" s="71"/>
      <c r="T158" s="69" t="str">
        <f aca="false">IF(OR($R158="",$S158=""),"",IF($S158&gt;$R158,"Acima do limite","Dentro do limite"))</f>
        <v/>
      </c>
      <c r="U158" s="28"/>
      <c r="V158" s="28"/>
      <c r="W158" s="28" t="n">
        <v>180</v>
      </c>
      <c r="X158" s="140" t="n">
        <f aca="false">IFERROR(IF(OR($J158="",$K158=""),0,$J158*$K158),0)</f>
        <v>15</v>
      </c>
      <c r="Y158" s="44" t="n">
        <f aca="false">IFERROR(IF($X158=0,0,$X158*IF($O158="",$N158,$O158)),0)</f>
        <v>840</v>
      </c>
      <c r="Z158" s="60" t="str">
        <f aca="false">IF($L158="","",IF($L158&lt;0.5,"Balística / Velocidade (&lt;50%)",IF($L158&lt;0.7,"Velocidade-Força (50–69%)",IF($L158&lt;0.8,"Força-Velocidade (70–79%)",IF($L158&lt;0.9,"Força Máxima (80–89%)","Força Máxima Alta (≥90%)")))))</f>
        <v>Balística / Velocidade (&lt;50%)</v>
      </c>
      <c r="AA158" s="27"/>
      <c r="AB158" s="27" t="s">
        <v>688</v>
      </c>
    </row>
    <row r="159" customFormat="false" ht="15" hidden="false" customHeight="false" outlineLevel="0" collapsed="false">
      <c r="A159" s="29" t="n">
        <v>46316</v>
      </c>
      <c r="B159" s="33" t="n">
        <f aca="false">IF($A159="",0,INT(($A159-'Bloco Base'!$C$5)/7)+1)</f>
        <v>7</v>
      </c>
      <c r="C159" s="28" t="s">
        <v>963</v>
      </c>
      <c r="D159" s="28" t="s">
        <v>1192</v>
      </c>
      <c r="E159" s="27" t="s">
        <v>1117</v>
      </c>
      <c r="F159" s="28" t="n">
        <v>3</v>
      </c>
      <c r="G159" s="139" t="s">
        <v>1013</v>
      </c>
      <c r="H159" s="27" t="s">
        <v>558</v>
      </c>
      <c r="I159" s="28" t="s">
        <v>168</v>
      </c>
      <c r="J159" s="28" t="n">
        <v>11</v>
      </c>
      <c r="K159" s="28" t="n">
        <v>5</v>
      </c>
      <c r="L159" s="71"/>
      <c r="M159" s="35" t="str">
        <f aca="false">IF($AB159="","",IFERROR(INDEX('Força 1RM'!$Q$8:$Y$47,MATCH(IF($E159="Equipe (todos)",$C$4,$E159),'Força 1RM'!$P$8:$P$47,0),MATCH($AB159,'Força 1RM'!$Q$7:$Y$7,0)),""))</f>
        <v/>
      </c>
      <c r="N159" s="30" t="n">
        <f aca="false">IFERROR(IF(OR($L159="",$M159="",$M159=0),0,ROUND($L159*$M159*2,0)/2),0)</f>
        <v>0</v>
      </c>
      <c r="O159" s="32"/>
      <c r="P159" s="42" t="str">
        <f aca="false">IFERROR(IF(OR($L159="",$I159="—",$I159=""),"",IF($I159="Agachamento",INDEX($AE$8:$AE$20,MATCH($L159,$AD$8:$AD$20,1)),IF($I159="Supino",INDEX($AF$8:$AF$20,MATCH($L159,$AD$8:$AD$20,1)),IF($I159="Terra",INDEX($AG$8:$AG$20,MATCH($L159,$AD$8:$AD$20,1)),"")))),"")</f>
        <v/>
      </c>
      <c r="Q159" s="45"/>
      <c r="R159" s="71"/>
      <c r="S159" s="71"/>
      <c r="T159" s="69" t="str">
        <f aca="false">IF(OR($R159="",$S159=""),"",IF($S159&gt;$R159,"Acima do limite","Dentro do limite"))</f>
        <v/>
      </c>
      <c r="U159" s="28"/>
      <c r="V159" s="28"/>
      <c r="W159" s="28" t="n">
        <v>120</v>
      </c>
      <c r="X159" s="140" t="n">
        <f aca="false">IFERROR(IF(OR($J159="",$K159=""),0,$J159*$K159),0)</f>
        <v>55</v>
      </c>
      <c r="Y159" s="44" t="n">
        <f aca="false">IFERROR(IF($X159=0,0,$X159*IF($O159="",$N159,$O159)),0)</f>
        <v>0</v>
      </c>
      <c r="Z159" s="60" t="str">
        <f aca="false">IF($L159="","",IF($L159&lt;0.5,"Balística / Velocidade (&lt;50%)",IF($L159&lt;0.7,"Velocidade-Força (50–69%)",IF($L159&lt;0.8,"Força-Velocidade (70–79%)",IF($L159&lt;0.9,"Força Máxima (80–89%)","Força Máxima Alta (≥90%)")))))</f>
        <v/>
      </c>
      <c r="AA159" s="27"/>
      <c r="AB159" s="27"/>
    </row>
    <row r="160" customFormat="false" ht="15" hidden="false" customHeight="false" outlineLevel="0" collapsed="false">
      <c r="A160" s="29" t="n">
        <v>46316</v>
      </c>
      <c r="B160" s="33" t="n">
        <f aca="false">IF($A160="",0,INT(($A160-'Bloco Base'!$C$5)/7)+1)</f>
        <v>7</v>
      </c>
      <c r="C160" s="28" t="s">
        <v>963</v>
      </c>
      <c r="D160" s="28" t="s">
        <v>1192</v>
      </c>
      <c r="E160" s="27" t="s">
        <v>1117</v>
      </c>
      <c r="F160" s="28" t="n">
        <v>4</v>
      </c>
      <c r="G160" s="139" t="s">
        <v>562</v>
      </c>
      <c r="H160" s="27" t="s">
        <v>558</v>
      </c>
      <c r="I160" s="28" t="s">
        <v>168</v>
      </c>
      <c r="J160" s="28" t="n">
        <v>10</v>
      </c>
      <c r="K160" s="28" t="n">
        <v>5</v>
      </c>
      <c r="L160" s="71"/>
      <c r="M160" s="35" t="str">
        <f aca="false">IF($AB160="","",IFERROR(INDEX('Força 1RM'!$Q$8:$Y$47,MATCH(IF($E160="Equipe (todos)",$C$4,$E160),'Força 1RM'!$P$8:$P$47,0),MATCH($AB160,'Força 1RM'!$Q$7:$Y$7,0)),""))</f>
        <v/>
      </c>
      <c r="N160" s="30" t="n">
        <f aca="false">IFERROR(IF(OR($L160="",$M160="",$M160=0),0,ROUND($L160*$M160*2,0)/2),0)</f>
        <v>0</v>
      </c>
      <c r="O160" s="32"/>
      <c r="P160" s="42" t="str">
        <f aca="false">IFERROR(IF(OR($L160="",$I160="—",$I160=""),"",IF($I160="Agachamento",INDEX($AE$8:$AE$20,MATCH($L160,$AD$8:$AD$20,1)),IF($I160="Supino",INDEX($AF$8:$AF$20,MATCH($L160,$AD$8:$AD$20,1)),IF($I160="Terra",INDEX($AG$8:$AG$20,MATCH($L160,$AD$8:$AD$20,1)),"")))),"")</f>
        <v/>
      </c>
      <c r="Q160" s="45"/>
      <c r="R160" s="71"/>
      <c r="S160" s="71"/>
      <c r="T160" s="69" t="str">
        <f aca="false">IF(OR($R160="",$S160=""),"",IF($S160&gt;$R160,"Acima do limite","Dentro do limite"))</f>
        <v/>
      </c>
      <c r="U160" s="28"/>
      <c r="V160" s="28"/>
      <c r="W160" s="28" t="n">
        <v>120</v>
      </c>
      <c r="X160" s="140" t="n">
        <f aca="false">IFERROR(IF(OR($J160="",$K160=""),0,$J160*$K160),0)</f>
        <v>50</v>
      </c>
      <c r="Y160" s="44" t="n">
        <f aca="false">IFERROR(IF($X160=0,0,$X160*IF($O160="",$N160,$O160)),0)</f>
        <v>0</v>
      </c>
      <c r="Z160" s="60" t="str">
        <f aca="false">IF($L160="","",IF($L160&lt;0.5,"Balística / Velocidade (&lt;50%)",IF($L160&lt;0.7,"Velocidade-Força (50–69%)",IF($L160&lt;0.8,"Força-Velocidade (70–79%)",IF($L160&lt;0.9,"Força Máxima (80–89%)","Força Máxima Alta (≥90%)")))))</f>
        <v/>
      </c>
      <c r="AA160" s="27"/>
      <c r="AB160" s="27"/>
    </row>
    <row r="161" customFormat="false" ht="15" hidden="false" customHeight="false" outlineLevel="0" collapsed="false">
      <c r="A161" s="29" t="n">
        <v>46316</v>
      </c>
      <c r="B161" s="33" t="n">
        <f aca="false">IF($A161="",0,INT(($A161-'Bloco Base'!$C$5)/7)+1)</f>
        <v>7</v>
      </c>
      <c r="C161" s="28" t="s">
        <v>963</v>
      </c>
      <c r="D161" s="28" t="s">
        <v>1192</v>
      </c>
      <c r="E161" s="27" t="s">
        <v>1117</v>
      </c>
      <c r="F161" s="28" t="n">
        <v>5</v>
      </c>
      <c r="G161" s="139" t="s">
        <v>644</v>
      </c>
      <c r="H161" s="27" t="s">
        <v>537</v>
      </c>
      <c r="I161" s="28" t="s">
        <v>1017</v>
      </c>
      <c r="J161" s="28" t="n">
        <v>4</v>
      </c>
      <c r="K161" s="28" t="n">
        <v>5</v>
      </c>
      <c r="L161" s="71" t="n">
        <v>0.85</v>
      </c>
      <c r="M161" s="35" t="n">
        <f aca="false">IF($AB161="","",IFERROR(INDEX('Força 1RM'!$Q$8:$Y$47,MATCH(IF($E161="Equipe (todos)",$C$4,$E161),'Força 1RM'!$P$8:$P$47,0),MATCH($AB161,'Força 1RM'!$Q$7:$Y$7,0)),""))</f>
        <v>72.5</v>
      </c>
      <c r="N161" s="30" t="n">
        <f aca="false">IFERROR(IF(OR($L161="",$M161="",$M161=0),0,ROUND($L161*$M161*2,0)/2),0)</f>
        <v>61.5</v>
      </c>
      <c r="O161" s="32"/>
      <c r="P161" s="42" t="n">
        <f aca="false">IFERROR(IF(OR($L161="",$I161="—",$I161=""),"",IF($I161="Agachamento",INDEX($AE$8:$AE$20,MATCH($L161,$AD$8:$AD$20,1)),IF($I161="Supino",INDEX($AF$8:$AF$20,MATCH($L161,$AD$8:$AD$20,1)),IF($I161="Terra",INDEX($AG$8:$AG$20,MATCH($L161,$AD$8:$AD$20,1)),"")))),"")</f>
        <v>0.31</v>
      </c>
      <c r="Q161" s="45"/>
      <c r="R161" s="71" t="n">
        <v>0.15</v>
      </c>
      <c r="S161" s="71"/>
      <c r="T161" s="69" t="str">
        <f aca="false">IF(OR($R161="",$S161=""),"",IF($S161&gt;$R161,"Acima do limite","Dentro do limite"))</f>
        <v/>
      </c>
      <c r="U161" s="28"/>
      <c r="V161" s="28"/>
      <c r="W161" s="28" t="n">
        <v>120</v>
      </c>
      <c r="X161" s="140" t="n">
        <f aca="false">IFERROR(IF(OR($J161="",$K161=""),0,$J161*$K161),0)</f>
        <v>20</v>
      </c>
      <c r="Y161" s="44" t="n">
        <f aca="false">IFERROR(IF($X161=0,0,$X161*IF($O161="",$N161,$O161)),0)</f>
        <v>1230</v>
      </c>
      <c r="Z161" s="60" t="str">
        <f aca="false">IF($L161="","",IF($L161&lt;0.5,"Balística / Velocidade (&lt;50%)",IF($L161&lt;0.7,"Velocidade-Força (50–69%)",IF($L161&lt;0.8,"Força-Velocidade (70–79%)",IF($L161&lt;0.9,"Força Máxima (80–89%)","Força Máxima Alta (≥90%)")))))</f>
        <v>Força Máxima (80–89%)</v>
      </c>
      <c r="AA161" s="27"/>
      <c r="AB161" s="27" t="s">
        <v>644</v>
      </c>
    </row>
    <row r="162" customFormat="false" ht="15" hidden="false" customHeight="false" outlineLevel="0" collapsed="false">
      <c r="A162" s="29" t="n">
        <v>46316</v>
      </c>
      <c r="B162" s="33" t="n">
        <f aca="false">IF($A162="",0,INT(($A162-'Bloco Base'!$C$5)/7)+1)</f>
        <v>7</v>
      </c>
      <c r="C162" s="28" t="s">
        <v>963</v>
      </c>
      <c r="D162" s="28" t="s">
        <v>1192</v>
      </c>
      <c r="E162" s="27" t="s">
        <v>1117</v>
      </c>
      <c r="F162" s="28" t="n">
        <v>6</v>
      </c>
      <c r="G162" s="139" t="s">
        <v>656</v>
      </c>
      <c r="H162" s="27" t="s">
        <v>537</v>
      </c>
      <c r="I162" s="28" t="s">
        <v>168</v>
      </c>
      <c r="J162" s="28" t="n">
        <v>4</v>
      </c>
      <c r="K162" s="28" t="n">
        <v>5</v>
      </c>
      <c r="L162" s="71" t="n">
        <v>0.85</v>
      </c>
      <c r="M162" s="35" t="str">
        <f aca="false">IF($AB162="","",IFERROR(INDEX('Força 1RM'!$Q$8:$Y$47,MATCH(IF($E162="Equipe (todos)",$C$4,$E162),'Força 1RM'!$P$8:$P$47,0),MATCH($AB162,'Força 1RM'!$Q$7:$Y$7,0)),""))</f>
        <v/>
      </c>
      <c r="N162" s="30" t="n">
        <f aca="false">IFERROR(IF(OR($L162="",$M162="",$M162=0),0,ROUND($L162*$M162*2,0)/2),0)</f>
        <v>0</v>
      </c>
      <c r="O162" s="32"/>
      <c r="P162" s="42" t="str">
        <f aca="false">IFERROR(IF(OR($L162="",$I162="—",$I162=""),"",IF($I162="Agachamento",INDEX($AE$8:$AE$20,MATCH($L162,$AD$8:$AD$20,1)),IF($I162="Supino",INDEX($AF$8:$AF$20,MATCH($L162,$AD$8:$AD$20,1)),IF($I162="Terra",INDEX($AG$8:$AG$20,MATCH($L162,$AD$8:$AD$20,1)),"")))),"")</f>
        <v/>
      </c>
      <c r="Q162" s="45"/>
      <c r="R162" s="71" t="n">
        <v>0.15</v>
      </c>
      <c r="S162" s="71"/>
      <c r="T162" s="69" t="str">
        <f aca="false">IF(OR($R162="",$S162=""),"",IF($S162&gt;$R162,"Acima do limite","Dentro do limite"))</f>
        <v/>
      </c>
      <c r="U162" s="28"/>
      <c r="V162" s="28"/>
      <c r="W162" s="28" t="n">
        <v>120</v>
      </c>
      <c r="X162" s="140" t="n">
        <f aca="false">IFERROR(IF(OR($J162="",$K162=""),0,$J162*$K162),0)</f>
        <v>20</v>
      </c>
      <c r="Y162" s="44" t="n">
        <f aca="false">IFERROR(IF($X162=0,0,$X162*IF($O162="",$N162,$O162)),0)</f>
        <v>0</v>
      </c>
      <c r="Z162" s="60" t="str">
        <f aca="false">IF($L162="","",IF($L162&lt;0.5,"Balística / Velocidade (&lt;50%)",IF($L162&lt;0.7,"Velocidade-Força (50–69%)",IF($L162&lt;0.8,"Força-Velocidade (70–79%)",IF($L162&lt;0.9,"Força Máxima (80–89%)","Força Máxima Alta (≥90%)")))))</f>
        <v>Força Máxima (80–89%)</v>
      </c>
      <c r="AA162" s="27"/>
      <c r="AB162" s="27"/>
    </row>
    <row r="163" customFormat="false" ht="15" hidden="false" customHeight="false" outlineLevel="0" collapsed="false">
      <c r="A163" s="29" t="n">
        <v>46316</v>
      </c>
      <c r="B163" s="33" t="n">
        <f aca="false">IF($A163="",0,INT(($A163-'Bloco Base'!$C$5)/7)+1)</f>
        <v>7</v>
      </c>
      <c r="C163" s="28" t="s">
        <v>963</v>
      </c>
      <c r="D163" s="28" t="s">
        <v>1192</v>
      </c>
      <c r="E163" s="27" t="s">
        <v>1117</v>
      </c>
      <c r="F163" s="28" t="n">
        <v>7</v>
      </c>
      <c r="G163" s="139" t="s">
        <v>636</v>
      </c>
      <c r="H163" s="27" t="s">
        <v>792</v>
      </c>
      <c r="I163" s="28" t="s">
        <v>168</v>
      </c>
      <c r="J163" s="28" t="n">
        <v>3</v>
      </c>
      <c r="K163" s="28" t="n">
        <v>8</v>
      </c>
      <c r="L163" s="71"/>
      <c r="M163" s="35" t="str">
        <f aca="false">IF($AB163="","",IFERROR(INDEX('Força 1RM'!$Q$8:$Y$47,MATCH(IF($E163="Equipe (todos)",$C$4,$E163),'Força 1RM'!$P$8:$P$47,0),MATCH($AB163,'Força 1RM'!$Q$7:$Y$7,0)),""))</f>
        <v/>
      </c>
      <c r="N163" s="30" t="n">
        <f aca="false">IFERROR(IF(OR($L163="",$M163="",$M163=0),0,ROUND($L163*$M163*2,0)/2),0)</f>
        <v>0</v>
      </c>
      <c r="O163" s="32"/>
      <c r="P163" s="42" t="str">
        <f aca="false">IFERROR(IF(OR($L163="",$I163="—",$I163=""),"",IF($I163="Agachamento",INDEX($AE$8:$AE$20,MATCH($L163,$AD$8:$AD$20,1)),IF($I163="Supino",INDEX($AF$8:$AF$20,MATCH($L163,$AD$8:$AD$20,1)),IF($I163="Terra",INDEX($AG$8:$AG$20,MATCH($L163,$AD$8:$AD$20,1)),"")))),"")</f>
        <v/>
      </c>
      <c r="Q163" s="45"/>
      <c r="R163" s="71"/>
      <c r="S163" s="71"/>
      <c r="T163" s="69" t="str">
        <f aca="false">IF(OR($R163="",$S163=""),"",IF($S163&gt;$R163,"Acima do limite","Dentro do limite"))</f>
        <v/>
      </c>
      <c r="U163" s="28"/>
      <c r="V163" s="28"/>
      <c r="W163" s="28" t="n">
        <v>90</v>
      </c>
      <c r="X163" s="140" t="n">
        <f aca="false">IFERROR(IF(OR($J163="",$K163=""),0,$J163*$K163),0)</f>
        <v>24</v>
      </c>
      <c r="Y163" s="44" t="n">
        <f aca="false">IFERROR(IF($X163=0,0,$X163*IF($O163="",$N163,$O163)),0)</f>
        <v>0</v>
      </c>
      <c r="Z163" s="60" t="str">
        <f aca="false">IF($L163="","",IF($L163&lt;0.5,"Balística / Velocidade (&lt;50%)",IF($L163&lt;0.7,"Velocidade-Força (50–69%)",IF($L163&lt;0.8,"Força-Velocidade (70–79%)",IF($L163&lt;0.9,"Força Máxima (80–89%)","Força Máxima Alta (≥90%)")))))</f>
        <v/>
      </c>
      <c r="AA163" s="27"/>
      <c r="AB163" s="27"/>
    </row>
    <row r="164" customFormat="false" ht="15" hidden="false" customHeight="false" outlineLevel="0" collapsed="false">
      <c r="A164" s="29" t="n">
        <v>46316</v>
      </c>
      <c r="B164" s="33" t="n">
        <f aca="false">IF($A164="",0,INT(($A164-'Bloco Base'!$C$5)/7)+1)</f>
        <v>7</v>
      </c>
      <c r="C164" s="28" t="s">
        <v>963</v>
      </c>
      <c r="D164" s="28" t="s">
        <v>1192</v>
      </c>
      <c r="E164" s="27" t="s">
        <v>1117</v>
      </c>
      <c r="F164" s="28" t="n">
        <v>8</v>
      </c>
      <c r="G164" s="139" t="s">
        <v>1022</v>
      </c>
      <c r="H164" s="27" t="s">
        <v>776</v>
      </c>
      <c r="I164" s="28" t="s">
        <v>168</v>
      </c>
      <c r="J164" s="28" t="n">
        <v>3</v>
      </c>
      <c r="K164" s="28" t="n">
        <v>20</v>
      </c>
      <c r="L164" s="71"/>
      <c r="M164" s="35" t="str">
        <f aca="false">IF($AB164="","",IFERROR(INDEX('Força 1RM'!$Q$8:$Y$47,MATCH(IF($E164="Equipe (todos)",$C$4,$E164),'Força 1RM'!$P$8:$P$47,0),MATCH($AB164,'Força 1RM'!$Q$7:$Y$7,0)),""))</f>
        <v/>
      </c>
      <c r="N164" s="30" t="n">
        <f aca="false">IFERROR(IF(OR($L164="",$M164="",$M164=0),0,ROUND($L164*$M164*2,0)/2),0)</f>
        <v>0</v>
      </c>
      <c r="O164" s="32"/>
      <c r="P164" s="42" t="str">
        <f aca="false">IFERROR(IF(OR($L164="",$I164="—",$I164=""),"",IF($I164="Agachamento",INDEX($AE$8:$AE$20,MATCH($L164,$AD$8:$AD$20,1)),IF($I164="Supino",INDEX($AF$8:$AF$20,MATCH($L164,$AD$8:$AD$20,1)),IF($I164="Terra",INDEX($AG$8:$AG$20,MATCH($L164,$AD$8:$AD$20,1)),"")))),"")</f>
        <v/>
      </c>
      <c r="Q164" s="45"/>
      <c r="R164" s="71"/>
      <c r="S164" s="71"/>
      <c r="T164" s="69" t="str">
        <f aca="false">IF(OR($R164="",$S164=""),"",IF($S164&gt;$R164,"Acima do limite","Dentro do limite"))</f>
        <v/>
      </c>
      <c r="U164" s="28"/>
      <c r="V164" s="28"/>
      <c r="W164" s="28" t="n">
        <v>45</v>
      </c>
      <c r="X164" s="140" t="n">
        <f aca="false">IFERROR(IF(OR($J164="",$K164=""),0,$J164*$K164),0)</f>
        <v>60</v>
      </c>
      <c r="Y164" s="44" t="n">
        <f aca="false">IFERROR(IF($X164=0,0,$X164*IF($O164="",$N164,$O164)),0)</f>
        <v>0</v>
      </c>
      <c r="Z164" s="60" t="str">
        <f aca="false">IF($L164="","",IF($L164&lt;0.5,"Balística / Velocidade (&lt;50%)",IF($L164&lt;0.7,"Velocidade-Força (50–69%)",IF($L164&lt;0.8,"Força-Velocidade (70–79%)",IF($L164&lt;0.9,"Força Máxima (80–89%)","Força Máxima Alta (≥90%)")))))</f>
        <v/>
      </c>
      <c r="AA164" s="27"/>
      <c r="AB164" s="27"/>
    </row>
    <row r="165" customFormat="false" ht="15" hidden="false" customHeight="false" outlineLevel="0" collapsed="false">
      <c r="A165" s="29" t="n">
        <v>46318</v>
      </c>
      <c r="B165" s="33" t="n">
        <f aca="false">IF($A165="",0,INT(($A165-'Bloco Base'!$C$5)/7)+1)</f>
        <v>7</v>
      </c>
      <c r="C165" s="28" t="s">
        <v>963</v>
      </c>
      <c r="D165" s="28" t="s">
        <v>1193</v>
      </c>
      <c r="E165" s="27" t="s">
        <v>1117</v>
      </c>
      <c r="F165" s="28" t="n">
        <v>1</v>
      </c>
      <c r="G165" s="139" t="s">
        <v>600</v>
      </c>
      <c r="H165" s="27" t="s">
        <v>994</v>
      </c>
      <c r="I165" s="28" t="s">
        <v>168</v>
      </c>
      <c r="J165" s="28" t="n">
        <v>1</v>
      </c>
      <c r="K165" s="28" t="n">
        <v>8</v>
      </c>
      <c r="L165" s="71"/>
      <c r="M165" s="35" t="str">
        <f aca="false">IF($AB165="","",IFERROR(INDEX('Força 1RM'!$Q$8:$Y$47,MATCH(IF($E165="Equipe (todos)",$C$4,$E165),'Força 1RM'!$P$8:$P$47,0),MATCH($AB165,'Força 1RM'!$Q$7:$Y$7,0)),""))</f>
        <v/>
      </c>
      <c r="N165" s="30" t="n">
        <f aca="false">IFERROR(IF(OR($L165="",$M165="",$M165=0),0,ROUND($L165*$M165*2,0)/2),0)</f>
        <v>0</v>
      </c>
      <c r="O165" s="32"/>
      <c r="P165" s="42" t="str">
        <f aca="false">IFERROR(IF(OR($L165="",$I165="—",$I165=""),"",IF($I165="Agachamento",INDEX($AE$8:$AE$20,MATCH($L165,$AD$8:$AD$20,1)),IF($I165="Supino",INDEX($AF$8:$AF$20,MATCH($L165,$AD$8:$AD$20,1)),IF($I165="Terra",INDEX($AG$8:$AG$20,MATCH($L165,$AD$8:$AD$20,1)),"")))),"")</f>
        <v/>
      </c>
      <c r="Q165" s="45"/>
      <c r="R165" s="71"/>
      <c r="S165" s="71"/>
      <c r="T165" s="69" t="str">
        <f aca="false">IF(OR($R165="",$S165=""),"",IF($S165&gt;$R165,"Acima do limite","Dentro do limite"))</f>
        <v/>
      </c>
      <c r="U165" s="28"/>
      <c r="V165" s="28"/>
      <c r="W165" s="28" t="n">
        <v>0</v>
      </c>
      <c r="X165" s="140" t="n">
        <f aca="false">IFERROR(IF(OR($J165="",$K165=""),0,$J165*$K165),0)</f>
        <v>8</v>
      </c>
      <c r="Y165" s="44" t="n">
        <f aca="false">IFERROR(IF($X165=0,0,$X165*IF($O165="",$N165,$O165)),0)</f>
        <v>0</v>
      </c>
      <c r="Z165" s="60" t="str">
        <f aca="false">IF($L165="","",IF($L165&lt;0.5,"Balística / Velocidade (&lt;50%)",IF($L165&lt;0.7,"Velocidade-Força (50–69%)",IF($L165&lt;0.8,"Força-Velocidade (70–79%)",IF($L165&lt;0.9,"Força Máxima (80–89%)","Força Máxima Alta (≥90%)")))))</f>
        <v/>
      </c>
      <c r="AA165" s="27"/>
      <c r="AB165" s="27"/>
    </row>
    <row r="166" customFormat="false" ht="15" hidden="false" customHeight="false" outlineLevel="0" collapsed="false">
      <c r="A166" s="29" t="n">
        <v>46318</v>
      </c>
      <c r="B166" s="33" t="n">
        <f aca="false">IF($A166="",0,INT(($A166-'Bloco Base'!$C$5)/7)+1)</f>
        <v>7</v>
      </c>
      <c r="C166" s="28" t="s">
        <v>963</v>
      </c>
      <c r="D166" s="28" t="s">
        <v>1193</v>
      </c>
      <c r="E166" s="27" t="s">
        <v>1117</v>
      </c>
      <c r="F166" s="28" t="n">
        <v>2</v>
      </c>
      <c r="G166" s="139" t="s">
        <v>623</v>
      </c>
      <c r="H166" s="27" t="s">
        <v>1191</v>
      </c>
      <c r="I166" s="28" t="s">
        <v>168</v>
      </c>
      <c r="J166" s="28" t="n">
        <v>5</v>
      </c>
      <c r="K166" s="28" t="n">
        <v>2</v>
      </c>
      <c r="L166" s="71" t="n">
        <v>0.85</v>
      </c>
      <c r="M166" s="35" t="n">
        <f aca="false">IF($AB166="","",IFERROR(INDEX('Força 1RM'!$Q$8:$Y$47,MATCH(IF($E166="Equipe (todos)",$C$4,$E166),'Força 1RM'!$P$8:$P$47,0),MATCH($AB166,'Força 1RM'!$Q$7:$Y$7,0)),""))</f>
        <v>117.5</v>
      </c>
      <c r="N166" s="30" t="n">
        <f aca="false">IFERROR(IF(OR($L166="",$M166="",$M166=0),0,ROUND($L166*$M166*2,0)/2),0)</f>
        <v>100</v>
      </c>
      <c r="O166" s="32"/>
      <c r="P166" s="42" t="str">
        <f aca="false">IFERROR(IF(OR($L166="",$I166="—",$I166=""),"",IF($I166="Agachamento",INDEX($AE$8:$AE$20,MATCH($L166,$AD$8:$AD$20,1)),IF($I166="Supino",INDEX($AF$8:$AF$20,MATCH($L166,$AD$8:$AD$20,1)),IF($I166="Terra",INDEX($AG$8:$AG$20,MATCH($L166,$AD$8:$AD$20,1)),"")))),"")</f>
        <v/>
      </c>
      <c r="Q166" s="45"/>
      <c r="R166" s="71" t="n">
        <v>0.1</v>
      </c>
      <c r="S166" s="71"/>
      <c r="T166" s="69" t="str">
        <f aca="false">IF(OR($R166="",$S166=""),"",IF($S166&gt;$R166,"Acima do limite","Dentro do limite"))</f>
        <v/>
      </c>
      <c r="U166" s="28"/>
      <c r="V166" s="28"/>
      <c r="W166" s="28" t="n">
        <v>150</v>
      </c>
      <c r="X166" s="140" t="n">
        <f aca="false">IFERROR(IF(OR($J166="",$K166=""),0,$J166*$K166),0)</f>
        <v>10</v>
      </c>
      <c r="Y166" s="44" t="n">
        <f aca="false">IFERROR(IF($X166=0,0,$X166*IF($O166="",$N166,$O166)),0)</f>
        <v>1000</v>
      </c>
      <c r="Z166" s="60" t="str">
        <f aca="false">IF($L166="","",IF($L166&lt;0.5,"Balística / Velocidade (&lt;50%)",IF($L166&lt;0.7,"Velocidade-Força (50–69%)",IF($L166&lt;0.8,"Força-Velocidade (70–79%)",IF($L166&lt;0.9,"Força Máxima (80–89%)","Força Máxima Alta (≥90%)")))))</f>
        <v>Força Máxima (80–89%)</v>
      </c>
      <c r="AA166" s="27"/>
      <c r="AB166" s="27" t="s">
        <v>620</v>
      </c>
    </row>
    <row r="167" customFormat="false" ht="15" hidden="false" customHeight="false" outlineLevel="0" collapsed="false">
      <c r="A167" s="29" t="n">
        <v>46318</v>
      </c>
      <c r="B167" s="33" t="n">
        <f aca="false">IF($A167="",0,INT(($A167-'Bloco Base'!$C$5)/7)+1)</f>
        <v>7</v>
      </c>
      <c r="C167" s="28" t="s">
        <v>963</v>
      </c>
      <c r="D167" s="28" t="s">
        <v>1193</v>
      </c>
      <c r="E167" s="27" t="s">
        <v>1117</v>
      </c>
      <c r="F167" s="28" t="n">
        <v>3</v>
      </c>
      <c r="G167" s="139" t="s">
        <v>698</v>
      </c>
      <c r="H167" s="27" t="s">
        <v>1191</v>
      </c>
      <c r="I167" s="28" t="s">
        <v>692</v>
      </c>
      <c r="J167" s="28" t="n">
        <v>4</v>
      </c>
      <c r="K167" s="28" t="n">
        <v>3</v>
      </c>
      <c r="L167" s="71" t="n">
        <v>0.75</v>
      </c>
      <c r="M167" s="35" t="n">
        <f aca="false">IF($AB167="","",IFERROR(INDEX('Força 1RM'!$Q$8:$Y$47,MATCH(IF($E167="Equipe (todos)",$C$4,$E167),'Força 1RM'!$P$8:$P$47,0),MATCH($AB167,'Força 1RM'!$Q$7:$Y$7,0)),""))</f>
        <v>160</v>
      </c>
      <c r="N167" s="30" t="n">
        <f aca="false">IFERROR(IF(OR($L167="",$M167="",$M167=0),0,ROUND($L167*$M167*2,0)/2),0)</f>
        <v>120</v>
      </c>
      <c r="O167" s="32"/>
      <c r="P167" s="42" t="n">
        <f aca="false">IFERROR(IF(OR($L167="",$I167="—",$I167=""),"",IF($I167="Agachamento",INDEX($AE$8:$AE$20,MATCH($L167,$AD$8:$AD$20,1)),IF($I167="Supino",INDEX($AF$8:$AF$20,MATCH($L167,$AD$8:$AD$20,1)),IF($I167="Terra",INDEX($AG$8:$AG$20,MATCH($L167,$AD$8:$AD$20,1)),"")))),"")</f>
        <v>0.62</v>
      </c>
      <c r="Q167" s="45"/>
      <c r="R167" s="71" t="n">
        <v>0.1</v>
      </c>
      <c r="S167" s="71"/>
      <c r="T167" s="69" t="str">
        <f aca="false">IF(OR($R167="",$S167=""),"",IF($S167&gt;$R167,"Acima do limite","Dentro do limite"))</f>
        <v/>
      </c>
      <c r="U167" s="28"/>
      <c r="V167" s="28"/>
      <c r="W167" s="28" t="n">
        <v>150</v>
      </c>
      <c r="X167" s="140" t="n">
        <f aca="false">IFERROR(IF(OR($J167="",$K167=""),0,$J167*$K167),0)</f>
        <v>12</v>
      </c>
      <c r="Y167" s="44" t="n">
        <f aca="false">IFERROR(IF($X167=0,0,$X167*IF($O167="",$N167,$O167)),0)</f>
        <v>1440</v>
      </c>
      <c r="Z167" s="60" t="str">
        <f aca="false">IF($L167="","",IF($L167&lt;0.5,"Balística / Velocidade (&lt;50%)",IF($L167&lt;0.7,"Velocidade-Força (50–69%)",IF($L167&lt;0.8,"Força-Velocidade (70–79%)",IF($L167&lt;0.9,"Força Máxima (80–89%)","Força Máxima Alta (≥90%)")))))</f>
        <v>Força-Velocidade (70–79%)</v>
      </c>
      <c r="AA167" s="27"/>
      <c r="AB167" s="27" t="s">
        <v>688</v>
      </c>
    </row>
    <row r="168" customFormat="false" ht="15" hidden="false" customHeight="false" outlineLevel="0" collapsed="false">
      <c r="A168" s="29" t="n">
        <v>46318</v>
      </c>
      <c r="B168" s="33" t="n">
        <f aca="false">IF($A168="",0,INT(($A168-'Bloco Base'!$C$5)/7)+1)</f>
        <v>7</v>
      </c>
      <c r="C168" s="28" t="s">
        <v>963</v>
      </c>
      <c r="D168" s="28" t="s">
        <v>1193</v>
      </c>
      <c r="E168" s="27" t="s">
        <v>1117</v>
      </c>
      <c r="F168" s="28" t="n">
        <v>4</v>
      </c>
      <c r="G168" s="139" t="s">
        <v>728</v>
      </c>
      <c r="H168" s="27" t="s">
        <v>1004</v>
      </c>
      <c r="I168" s="28" t="s">
        <v>168</v>
      </c>
      <c r="J168" s="28" t="n">
        <v>3</v>
      </c>
      <c r="K168" s="28" t="n">
        <v>6</v>
      </c>
      <c r="L168" s="71"/>
      <c r="M168" s="35" t="str">
        <f aca="false">IF($AB168="","",IFERROR(INDEX('Força 1RM'!$Q$8:$Y$47,MATCH(IF($E168="Equipe (todos)",$C$4,$E168),'Força 1RM'!$P$8:$P$47,0),MATCH($AB168,'Força 1RM'!$Q$7:$Y$7,0)),""))</f>
        <v/>
      </c>
      <c r="N168" s="30" t="n">
        <f aca="false">IFERROR(IF(OR($L168="",$M168="",$M168=0),0,ROUND($L168*$M168*2,0)/2),0)</f>
        <v>0</v>
      </c>
      <c r="O168" s="32"/>
      <c r="P168" s="42" t="str">
        <f aca="false">IFERROR(IF(OR($L168="",$I168="—",$I168=""),"",IF($I168="Agachamento",INDEX($AE$8:$AE$20,MATCH($L168,$AD$8:$AD$20,1)),IF($I168="Supino",INDEX($AF$8:$AF$20,MATCH($L168,$AD$8:$AD$20,1)),IF($I168="Terra",INDEX($AG$8:$AG$20,MATCH($L168,$AD$8:$AD$20,1)),"")))),"")</f>
        <v/>
      </c>
      <c r="Q168" s="45"/>
      <c r="R168" s="71"/>
      <c r="S168" s="71"/>
      <c r="T168" s="69" t="str">
        <f aca="false">IF(OR($R168="",$S168=""),"",IF($S168&gt;$R168,"Acima do limite","Dentro do limite"))</f>
        <v/>
      </c>
      <c r="U168" s="28"/>
      <c r="V168" s="28"/>
      <c r="W168" s="28" t="n">
        <v>60</v>
      </c>
      <c r="X168" s="140" t="n">
        <f aca="false">IFERROR(IF(OR($J168="",$K168=""),0,$J168*$K168),0)</f>
        <v>18</v>
      </c>
      <c r="Y168" s="44" t="n">
        <f aca="false">IFERROR(IF($X168=0,0,$X168*IF($O168="",$N168,$O168)),0)</f>
        <v>0</v>
      </c>
      <c r="Z168" s="60" t="str">
        <f aca="false">IF($L168="","",IF($L168&lt;0.5,"Balística / Velocidade (&lt;50%)",IF($L168&lt;0.7,"Velocidade-Força (50–69%)",IF($L168&lt;0.8,"Força-Velocidade (70–79%)",IF($L168&lt;0.9,"Força Máxima (80–89%)","Força Máxima Alta (≥90%)")))))</f>
        <v/>
      </c>
      <c r="AA168" s="27"/>
      <c r="AB168" s="27"/>
    </row>
    <row r="169" customFormat="false" ht="15" hidden="false" customHeight="false" outlineLevel="0" collapsed="false">
      <c r="A169" s="29" t="n">
        <v>46318</v>
      </c>
      <c r="B169" s="33" t="n">
        <f aca="false">IF($A169="",0,INT(($A169-'Bloco Base'!$C$5)/7)+1)</f>
        <v>7</v>
      </c>
      <c r="C169" s="28" t="s">
        <v>963</v>
      </c>
      <c r="D169" s="28" t="s">
        <v>1193</v>
      </c>
      <c r="E169" s="27" t="s">
        <v>1117</v>
      </c>
      <c r="F169" s="28" t="n">
        <v>5</v>
      </c>
      <c r="G169" s="139" t="s">
        <v>1030</v>
      </c>
      <c r="H169" s="27" t="s">
        <v>537</v>
      </c>
      <c r="I169" s="28" t="s">
        <v>168</v>
      </c>
      <c r="J169" s="28" t="n">
        <v>3</v>
      </c>
      <c r="K169" s="28" t="n">
        <v>6</v>
      </c>
      <c r="L169" s="71"/>
      <c r="M169" s="35" t="str">
        <f aca="false">IF($AB169="","",IFERROR(INDEX('Força 1RM'!$Q$8:$Y$47,MATCH(IF($E169="Equipe (todos)",$C$4,$E169),'Força 1RM'!$P$8:$P$47,0),MATCH($AB169,'Força 1RM'!$Q$7:$Y$7,0)),""))</f>
        <v/>
      </c>
      <c r="N169" s="30" t="n">
        <f aca="false">IFERROR(IF(OR($L169="",$M169="",$M169=0),0,ROUND($L169*$M169*2,0)/2),0)</f>
        <v>0</v>
      </c>
      <c r="O169" s="32"/>
      <c r="P169" s="42" t="str">
        <f aca="false">IFERROR(IF(OR($L169="",$I169="—",$I169=""),"",IF($I169="Agachamento",INDEX($AE$8:$AE$20,MATCH($L169,$AD$8:$AD$20,1)),IF($I169="Supino",INDEX($AF$8:$AF$20,MATCH($L169,$AD$8:$AD$20,1)),IF($I169="Terra",INDEX($AG$8:$AG$20,MATCH($L169,$AD$8:$AD$20,1)),"")))),"")</f>
        <v/>
      </c>
      <c r="Q169" s="45"/>
      <c r="R169" s="71"/>
      <c r="S169" s="71"/>
      <c r="T169" s="69" t="str">
        <f aca="false">IF(OR($R169="",$S169=""),"",IF($S169&gt;$R169,"Acima do limite","Dentro do limite"))</f>
        <v/>
      </c>
      <c r="U169" s="28"/>
      <c r="V169" s="28"/>
      <c r="W169" s="28" t="n">
        <v>90</v>
      </c>
      <c r="X169" s="140" t="n">
        <f aca="false">IFERROR(IF(OR($J169="",$K169=""),0,$J169*$K169),0)</f>
        <v>18</v>
      </c>
      <c r="Y169" s="44" t="n">
        <f aca="false">IFERROR(IF($X169=0,0,$X169*IF($O169="",$N169,$O169)),0)</f>
        <v>0</v>
      </c>
      <c r="Z169" s="60" t="str">
        <f aca="false">IF($L169="","",IF($L169&lt;0.5,"Balística / Velocidade (&lt;50%)",IF($L169&lt;0.7,"Velocidade-Força (50–69%)",IF($L169&lt;0.8,"Força-Velocidade (70–79%)",IF($L169&lt;0.9,"Força Máxima (80–89%)","Força Máxima Alta (≥90%)")))))</f>
        <v/>
      </c>
      <c r="AA169" s="27"/>
      <c r="AB169" s="27"/>
    </row>
    <row r="170" customFormat="false" ht="15" hidden="false" customHeight="false" outlineLevel="0" collapsed="false">
      <c r="A170" s="29" t="n">
        <v>46318</v>
      </c>
      <c r="B170" s="33" t="n">
        <f aca="false">IF($A170="",0,INT(($A170-'Bloco Base'!$C$5)/7)+1)</f>
        <v>7</v>
      </c>
      <c r="C170" s="28" t="s">
        <v>963</v>
      </c>
      <c r="D170" s="28" t="s">
        <v>1193</v>
      </c>
      <c r="E170" s="27" t="s">
        <v>1117</v>
      </c>
      <c r="F170" s="28" t="n">
        <v>6</v>
      </c>
      <c r="G170" s="139" t="s">
        <v>632</v>
      </c>
      <c r="H170" s="27" t="s">
        <v>558</v>
      </c>
      <c r="I170" s="28" t="s">
        <v>168</v>
      </c>
      <c r="J170" s="28" t="n">
        <v>7</v>
      </c>
      <c r="K170" s="28" t="n">
        <v>5</v>
      </c>
      <c r="L170" s="71"/>
      <c r="M170" s="35" t="str">
        <f aca="false">IF($AB170="","",IFERROR(INDEX('Força 1RM'!$Q$8:$Y$47,MATCH(IF($E170="Equipe (todos)",$C$4,$E170),'Força 1RM'!$P$8:$P$47,0),MATCH($AB170,'Força 1RM'!$Q$7:$Y$7,0)),""))</f>
        <v/>
      </c>
      <c r="N170" s="30" t="n">
        <f aca="false">IFERROR(IF(OR($L170="",$M170="",$M170=0),0,ROUND($L170*$M170*2,0)/2),0)</f>
        <v>0</v>
      </c>
      <c r="O170" s="32"/>
      <c r="P170" s="42" t="str">
        <f aca="false">IFERROR(IF(OR($L170="",$I170="—",$I170=""),"",IF($I170="Agachamento",INDEX($AE$8:$AE$20,MATCH($L170,$AD$8:$AD$20,1)),IF($I170="Supino",INDEX($AF$8:$AF$20,MATCH($L170,$AD$8:$AD$20,1)),IF($I170="Terra",INDEX($AG$8:$AG$20,MATCH($L170,$AD$8:$AD$20,1)),"")))),"")</f>
        <v/>
      </c>
      <c r="Q170" s="45"/>
      <c r="R170" s="71"/>
      <c r="S170" s="71"/>
      <c r="T170" s="69" t="str">
        <f aca="false">IF(OR($R170="",$S170=""),"",IF($S170&gt;$R170,"Acima do limite","Dentro do limite"))</f>
        <v/>
      </c>
      <c r="U170" s="28"/>
      <c r="V170" s="28"/>
      <c r="W170" s="28" t="n">
        <v>120</v>
      </c>
      <c r="X170" s="140" t="n">
        <f aca="false">IFERROR(IF(OR($J170="",$K170=""),0,$J170*$K170),0)</f>
        <v>35</v>
      </c>
      <c r="Y170" s="44" t="n">
        <f aca="false">IFERROR(IF($X170=0,0,$X170*IF($O170="",$N170,$O170)),0)</f>
        <v>0</v>
      </c>
      <c r="Z170" s="60" t="str">
        <f aca="false">IF($L170="","",IF($L170&lt;0.5,"Balística / Velocidade (&lt;50%)",IF($L170&lt;0.7,"Velocidade-Força (50–69%)",IF($L170&lt;0.8,"Força-Velocidade (70–79%)",IF($L170&lt;0.9,"Força Máxima (80–89%)","Força Máxima Alta (≥90%)")))))</f>
        <v/>
      </c>
      <c r="AA170" s="27"/>
      <c r="AB170" s="27"/>
    </row>
    <row r="171" customFormat="false" ht="15" hidden="false" customHeight="false" outlineLevel="0" collapsed="false">
      <c r="A171" s="29" t="n">
        <v>46318</v>
      </c>
      <c r="B171" s="33" t="n">
        <f aca="false">IF($A171="",0,INT(($A171-'Bloco Base'!$C$5)/7)+1)</f>
        <v>7</v>
      </c>
      <c r="C171" s="28" t="s">
        <v>963</v>
      </c>
      <c r="D171" s="28" t="s">
        <v>1193</v>
      </c>
      <c r="E171" s="27" t="s">
        <v>1117</v>
      </c>
      <c r="F171" s="28" t="n">
        <v>7</v>
      </c>
      <c r="G171" s="139" t="s">
        <v>664</v>
      </c>
      <c r="H171" s="27" t="s">
        <v>537</v>
      </c>
      <c r="I171" s="28" t="s">
        <v>168</v>
      </c>
      <c r="J171" s="28" t="n">
        <v>4</v>
      </c>
      <c r="K171" s="28" t="n">
        <v>5</v>
      </c>
      <c r="L171" s="71" t="n">
        <v>0.85</v>
      </c>
      <c r="M171" s="35" t="str">
        <f aca="false">IF($AB171="","",IFERROR(INDEX('Força 1RM'!$Q$8:$Y$47,MATCH(IF($E171="Equipe (todos)",$C$4,$E171),'Força 1RM'!$P$8:$P$47,0),MATCH($AB171,'Força 1RM'!$Q$7:$Y$7,0)),""))</f>
        <v/>
      </c>
      <c r="N171" s="30" t="n">
        <f aca="false">IFERROR(IF(OR($L171="",$M171="",$M171=0),0,ROUND($L171*$M171*2,0)/2),0)</f>
        <v>0</v>
      </c>
      <c r="O171" s="32"/>
      <c r="P171" s="42" t="str">
        <f aca="false">IFERROR(IF(OR($L171="",$I171="—",$I171=""),"",IF($I171="Agachamento",INDEX($AE$8:$AE$20,MATCH($L171,$AD$8:$AD$20,1)),IF($I171="Supino",INDEX($AF$8:$AF$20,MATCH($L171,$AD$8:$AD$20,1)),IF($I171="Terra",INDEX($AG$8:$AG$20,MATCH($L171,$AD$8:$AD$20,1)),"")))),"")</f>
        <v/>
      </c>
      <c r="Q171" s="45"/>
      <c r="R171" s="71" t="n">
        <v>0.15</v>
      </c>
      <c r="S171" s="71"/>
      <c r="T171" s="69" t="str">
        <f aca="false">IF(OR($R171="",$S171=""),"",IF($S171&gt;$R171,"Acima do limite","Dentro do limite"))</f>
        <v/>
      </c>
      <c r="U171" s="28"/>
      <c r="V171" s="28"/>
      <c r="W171" s="28" t="n">
        <v>120</v>
      </c>
      <c r="X171" s="140" t="n">
        <f aca="false">IFERROR(IF(OR($J171="",$K171=""),0,$J171*$K171),0)</f>
        <v>20</v>
      </c>
      <c r="Y171" s="44" t="n">
        <f aca="false">IFERROR(IF($X171=0,0,$X171*IF($O171="",$N171,$O171)),0)</f>
        <v>0</v>
      </c>
      <c r="Z171" s="60" t="str">
        <f aca="false">IF($L171="","",IF($L171&lt;0.5,"Balística / Velocidade (&lt;50%)",IF($L171&lt;0.7,"Velocidade-Força (50–69%)",IF($L171&lt;0.8,"Força-Velocidade (70–79%)",IF($L171&lt;0.9,"Força Máxima (80–89%)","Força Máxima Alta (≥90%)")))))</f>
        <v>Força Máxima (80–89%)</v>
      </c>
      <c r="AA171" s="27"/>
      <c r="AB171" s="27"/>
    </row>
    <row r="172" customFormat="false" ht="15" hidden="false" customHeight="false" outlineLevel="0" collapsed="false">
      <c r="A172" s="29" t="n">
        <v>46318</v>
      </c>
      <c r="B172" s="33" t="n">
        <f aca="false">IF($A172="",0,INT(($A172-'Bloco Base'!$C$5)/7)+1)</f>
        <v>7</v>
      </c>
      <c r="C172" s="28" t="s">
        <v>963</v>
      </c>
      <c r="D172" s="28" t="s">
        <v>1193</v>
      </c>
      <c r="E172" s="27" t="s">
        <v>1117</v>
      </c>
      <c r="F172" s="28" t="n">
        <v>8</v>
      </c>
      <c r="G172" s="139" t="s">
        <v>748</v>
      </c>
      <c r="H172" s="27" t="s">
        <v>776</v>
      </c>
      <c r="I172" s="28" t="s">
        <v>168</v>
      </c>
      <c r="J172" s="28" t="n">
        <v>3</v>
      </c>
      <c r="K172" s="28" t="n">
        <v>20</v>
      </c>
      <c r="L172" s="71"/>
      <c r="M172" s="35" t="str">
        <f aca="false">IF($AB172="","",IFERROR(INDEX('Força 1RM'!$Q$8:$Y$47,MATCH(IF($E172="Equipe (todos)",$C$4,$E172),'Força 1RM'!$P$8:$P$47,0),MATCH($AB172,'Força 1RM'!$Q$7:$Y$7,0)),""))</f>
        <v/>
      </c>
      <c r="N172" s="30" t="n">
        <f aca="false">IFERROR(IF(OR($L172="",$M172="",$M172=0),0,ROUND($L172*$M172*2,0)/2),0)</f>
        <v>0</v>
      </c>
      <c r="O172" s="32"/>
      <c r="P172" s="42" t="str">
        <f aca="false">IFERROR(IF(OR($L172="",$I172="—",$I172=""),"",IF($I172="Agachamento",INDEX($AE$8:$AE$20,MATCH($L172,$AD$8:$AD$20,1)),IF($I172="Supino",INDEX($AF$8:$AF$20,MATCH($L172,$AD$8:$AD$20,1)),IF($I172="Terra",INDEX($AG$8:$AG$20,MATCH($L172,$AD$8:$AD$20,1)),"")))),"")</f>
        <v/>
      </c>
      <c r="Q172" s="45"/>
      <c r="R172" s="71"/>
      <c r="S172" s="71"/>
      <c r="T172" s="69" t="str">
        <f aca="false">IF(OR($R172="",$S172=""),"",IF($S172&gt;$R172,"Acima do limite","Dentro do limite"))</f>
        <v/>
      </c>
      <c r="U172" s="28"/>
      <c r="V172" s="28"/>
      <c r="W172" s="28" t="n">
        <v>45</v>
      </c>
      <c r="X172" s="140" t="n">
        <f aca="false">IFERROR(IF(OR($J172="",$K172=""),0,$J172*$K172),0)</f>
        <v>60</v>
      </c>
      <c r="Y172" s="44" t="n">
        <f aca="false">IFERROR(IF($X172=0,0,$X172*IF($O172="",$N172,$O172)),0)</f>
        <v>0</v>
      </c>
      <c r="Z172" s="60" t="str">
        <f aca="false">IF($L172="","",IF($L172&lt;0.5,"Balística / Velocidade (&lt;50%)",IF($L172&lt;0.7,"Velocidade-Força (50–69%)",IF($L172&lt;0.8,"Força-Velocidade (70–79%)",IF($L172&lt;0.9,"Força Máxima (80–89%)","Força Máxima Alta (≥90%)")))))</f>
        <v/>
      </c>
      <c r="AA172" s="27"/>
      <c r="AB172" s="27"/>
    </row>
    <row r="173" customFormat="false" ht="15" hidden="false" customHeight="false" outlineLevel="0" collapsed="false">
      <c r="A173" s="29" t="n">
        <v>46321</v>
      </c>
      <c r="B173" s="33" t="n">
        <f aca="false">IF($A173="",0,INT(($A173-'Bloco Base'!$C$5)/7)+1)</f>
        <v>8</v>
      </c>
      <c r="C173" s="28" t="s">
        <v>979</v>
      </c>
      <c r="D173" s="28" t="s">
        <v>233</v>
      </c>
      <c r="E173" s="27" t="s">
        <v>1117</v>
      </c>
      <c r="F173" s="28" t="n">
        <v>1</v>
      </c>
      <c r="G173" s="139" t="s">
        <v>600</v>
      </c>
      <c r="H173" s="27" t="s">
        <v>994</v>
      </c>
      <c r="I173" s="28" t="s">
        <v>168</v>
      </c>
      <c r="J173" s="28" t="n">
        <v>1</v>
      </c>
      <c r="K173" s="28" t="n">
        <v>8</v>
      </c>
      <c r="L173" s="71"/>
      <c r="M173" s="35" t="str">
        <f aca="false">IF($AB173="","",IFERROR(INDEX('Força 1RM'!$Q$8:$Y$47,MATCH(IF($E173="Equipe (todos)",$C$4,$E173),'Força 1RM'!$P$8:$P$47,0),MATCH($AB173,'Força 1RM'!$Q$7:$Y$7,0)),""))</f>
        <v/>
      </c>
      <c r="N173" s="30" t="n">
        <f aca="false">IFERROR(IF(OR($L173="",$M173="",$M173=0),0,ROUND($L173*$M173*2,0)/2),0)</f>
        <v>0</v>
      </c>
      <c r="O173" s="32"/>
      <c r="P173" s="42" t="str">
        <f aca="false">IFERROR(IF(OR($L173="",$I173="—",$I173=""),"",IF($I173="Agachamento",INDEX($AE$8:$AE$20,MATCH($L173,$AD$8:$AD$20,1)),IF($I173="Supino",INDEX($AF$8:$AF$20,MATCH($L173,$AD$8:$AD$20,1)),IF($I173="Terra",INDEX($AG$8:$AG$20,MATCH($L173,$AD$8:$AD$20,1)),"")))),"")</f>
        <v/>
      </c>
      <c r="Q173" s="45"/>
      <c r="R173" s="71"/>
      <c r="S173" s="71"/>
      <c r="T173" s="69" t="str">
        <f aca="false">IF(OR($R173="",$S173=""),"",IF($S173&gt;$R173,"Acima do limite","Dentro do limite"))</f>
        <v/>
      </c>
      <c r="U173" s="28"/>
      <c r="V173" s="28"/>
      <c r="W173" s="28" t="n">
        <v>0</v>
      </c>
      <c r="X173" s="140" t="n">
        <f aca="false">IFERROR(IF(OR($J173="",$K173=""),0,$J173*$K173),0)</f>
        <v>8</v>
      </c>
      <c r="Y173" s="44" t="n">
        <f aca="false">IFERROR(IF($X173=0,0,$X173*IF($O173="",$N173,$O173)),0)</f>
        <v>0</v>
      </c>
      <c r="Z173" s="60" t="str">
        <f aca="false">IF($L173="","",IF($L173&lt;0.5,"Balística / Velocidade (&lt;50%)",IF($L173&lt;0.7,"Velocidade-Força (50–69%)",IF($L173&lt;0.8,"Força-Velocidade (70–79%)",IF($L173&lt;0.9,"Força Máxima (80–89%)","Força Máxima Alta (≥90%)")))))</f>
        <v/>
      </c>
      <c r="AA173" s="27"/>
      <c r="AB173" s="27"/>
    </row>
    <row r="174" customFormat="false" ht="15" hidden="false" customHeight="false" outlineLevel="0" collapsed="false">
      <c r="A174" s="29" t="n">
        <v>46321</v>
      </c>
      <c r="B174" s="33" t="n">
        <f aca="false">IF($A174="",0,INT(($A174-'Bloco Base'!$C$5)/7)+1)</f>
        <v>8</v>
      </c>
      <c r="C174" s="28" t="s">
        <v>979</v>
      </c>
      <c r="D174" s="28" t="s">
        <v>233</v>
      </c>
      <c r="E174" s="27" t="s">
        <v>1117</v>
      </c>
      <c r="F174" s="28" t="n">
        <v>2</v>
      </c>
      <c r="G174" s="139" t="s">
        <v>616</v>
      </c>
      <c r="H174" s="27" t="s">
        <v>1191</v>
      </c>
      <c r="I174" s="28" t="s">
        <v>168</v>
      </c>
      <c r="J174" s="28" t="n">
        <v>4</v>
      </c>
      <c r="K174" s="28" t="n">
        <v>2</v>
      </c>
      <c r="L174" s="71" t="n">
        <v>0.9</v>
      </c>
      <c r="M174" s="35" t="n">
        <f aca="false">IF($AB174="","",IFERROR(INDEX('Força 1RM'!$Q$8:$Y$47,MATCH(IF($E174="Equipe (todos)",$C$4,$E174),'Força 1RM'!$P$8:$P$47,0),MATCH($AB174,'Força 1RM'!$Q$7:$Y$7,0)),""))</f>
        <v>92.5</v>
      </c>
      <c r="N174" s="30" t="n">
        <f aca="false">IFERROR(IF(OR($L174="",$M174="",$M174=0),0,ROUND($L174*$M174*2,0)/2),0)</f>
        <v>83.5</v>
      </c>
      <c r="O174" s="32"/>
      <c r="P174" s="42" t="str">
        <f aca="false">IFERROR(IF(OR($L174="",$I174="—",$I174=""),"",IF($I174="Agachamento",INDEX($AE$8:$AE$20,MATCH($L174,$AD$8:$AD$20,1)),IF($I174="Supino",INDEX($AF$8:$AF$20,MATCH($L174,$AD$8:$AD$20,1)),IF($I174="Terra",INDEX($AG$8:$AG$20,MATCH($L174,$AD$8:$AD$20,1)),"")))),"")</f>
        <v/>
      </c>
      <c r="Q174" s="45"/>
      <c r="R174" s="71" t="n">
        <v>0.1</v>
      </c>
      <c r="S174" s="71"/>
      <c r="T174" s="69" t="str">
        <f aca="false">IF(OR($R174="",$S174=""),"",IF($S174&gt;$R174,"Acima do limite","Dentro do limite"))</f>
        <v/>
      </c>
      <c r="U174" s="28"/>
      <c r="V174" s="28"/>
      <c r="W174" s="28" t="n">
        <v>180</v>
      </c>
      <c r="X174" s="140" t="n">
        <f aca="false">IFERROR(IF(OR($J174="",$K174=""),0,$J174*$K174),0)</f>
        <v>8</v>
      </c>
      <c r="Y174" s="44" t="n">
        <f aca="false">IFERROR(IF($X174=0,0,$X174*IF($O174="",$N174,$O174)),0)</f>
        <v>668</v>
      </c>
      <c r="Z174" s="60" t="str">
        <f aca="false">IF($L174="","",IF($L174&lt;0.5,"Balística / Velocidade (&lt;50%)",IF($L174&lt;0.7,"Velocidade-Força (50–69%)",IF($L174&lt;0.8,"Força-Velocidade (70–79%)",IF($L174&lt;0.9,"Força Máxima (80–89%)","Força Máxima Alta (≥90%)")))))</f>
        <v>Força Máxima Alta (≥90%)</v>
      </c>
      <c r="AA174" s="27"/>
      <c r="AB174" s="27" t="s">
        <v>953</v>
      </c>
    </row>
    <row r="175" customFormat="false" ht="15" hidden="false" customHeight="false" outlineLevel="0" collapsed="false">
      <c r="A175" s="29" t="n">
        <v>46321</v>
      </c>
      <c r="B175" s="33" t="n">
        <f aca="false">IF($A175="",0,INT(($A175-'Bloco Base'!$C$5)/7)+1)</f>
        <v>8</v>
      </c>
      <c r="C175" s="28" t="s">
        <v>979</v>
      </c>
      <c r="D175" s="28" t="s">
        <v>233</v>
      </c>
      <c r="E175" s="27" t="s">
        <v>1117</v>
      </c>
      <c r="F175" s="28" t="n">
        <v>3</v>
      </c>
      <c r="G175" s="139" t="s">
        <v>688</v>
      </c>
      <c r="H175" s="27" t="s">
        <v>537</v>
      </c>
      <c r="I175" s="28" t="s">
        <v>692</v>
      </c>
      <c r="J175" s="28" t="n">
        <v>3</v>
      </c>
      <c r="K175" s="28" t="n">
        <v>2</v>
      </c>
      <c r="L175" s="71" t="n">
        <v>0.92</v>
      </c>
      <c r="M175" s="35" t="n">
        <f aca="false">IF($AB175="","",IFERROR(INDEX('Força 1RM'!$Q$8:$Y$47,MATCH(IF($E175="Equipe (todos)",$C$4,$E175),'Força 1RM'!$P$8:$P$47,0),MATCH($AB175,'Força 1RM'!$Q$7:$Y$7,0)),""))</f>
        <v>160</v>
      </c>
      <c r="N175" s="30" t="n">
        <f aca="false">IFERROR(IF(OR($L175="",$M175="",$M175=0),0,ROUND($L175*$M175*2,0)/2),0)</f>
        <v>147</v>
      </c>
      <c r="O175" s="32"/>
      <c r="P175" s="42" t="n">
        <f aca="false">IFERROR(IF(OR($L175="",$I175="—",$I175=""),"",IF($I175="Agachamento",INDEX($AE$8:$AE$20,MATCH($L175,$AD$8:$AD$20,1)),IF($I175="Supino",INDEX($AF$8:$AF$20,MATCH($L175,$AD$8:$AD$20,1)),IF($I175="Terra",INDEX($AG$8:$AG$20,MATCH($L175,$AD$8:$AD$20,1)),"")))),"")</f>
        <v>0.4</v>
      </c>
      <c r="Q175" s="45"/>
      <c r="R175" s="71" t="n">
        <v>0.1</v>
      </c>
      <c r="S175" s="71"/>
      <c r="T175" s="69" t="str">
        <f aca="false">IF(OR($R175="",$S175=""),"",IF($S175&gt;$R175,"Acima do limite","Dentro do limite"))</f>
        <v/>
      </c>
      <c r="U175" s="28"/>
      <c r="V175" s="28"/>
      <c r="W175" s="28" t="n">
        <v>180</v>
      </c>
      <c r="X175" s="140" t="n">
        <f aca="false">IFERROR(IF(OR($J175="",$K175=""),0,$J175*$K175),0)</f>
        <v>6</v>
      </c>
      <c r="Y175" s="44" t="n">
        <f aca="false">IFERROR(IF($X175=0,0,$X175*IF($O175="",$N175,$O175)),0)</f>
        <v>882</v>
      </c>
      <c r="Z175" s="60" t="str">
        <f aca="false">IF($L175="","",IF($L175&lt;0.5,"Balística / Velocidade (&lt;50%)",IF($L175&lt;0.7,"Velocidade-Força (50–69%)",IF($L175&lt;0.8,"Força-Velocidade (70–79%)",IF($L175&lt;0.9,"Força Máxima (80–89%)","Força Máxima Alta (≥90%)")))))</f>
        <v>Força Máxima Alta (≥90%)</v>
      </c>
      <c r="AA175" s="27"/>
      <c r="AB175" s="27" t="s">
        <v>688</v>
      </c>
    </row>
    <row r="176" customFormat="false" ht="15" hidden="false" customHeight="false" outlineLevel="0" collapsed="false">
      <c r="A176" s="29" t="n">
        <v>46321</v>
      </c>
      <c r="B176" s="33" t="n">
        <f aca="false">IF($A176="",0,INT(($A176-'Bloco Base'!$C$5)/7)+1)</f>
        <v>8</v>
      </c>
      <c r="C176" s="28" t="s">
        <v>979</v>
      </c>
      <c r="D176" s="28" t="s">
        <v>233</v>
      </c>
      <c r="E176" s="27" t="s">
        <v>1117</v>
      </c>
      <c r="F176" s="28" t="n">
        <v>4</v>
      </c>
      <c r="G176" s="139" t="s">
        <v>701</v>
      </c>
      <c r="H176" s="27" t="s">
        <v>537</v>
      </c>
      <c r="I176" s="28" t="s">
        <v>1000</v>
      </c>
      <c r="J176" s="28" t="n">
        <v>3</v>
      </c>
      <c r="K176" s="28" t="n">
        <v>4</v>
      </c>
      <c r="L176" s="71" t="n">
        <v>0.75</v>
      </c>
      <c r="M176" s="35" t="n">
        <f aca="false">IF($AB176="","",IFERROR(INDEX('Força 1RM'!$Q$8:$Y$47,MATCH(IF($E176="Equipe (todos)",$C$4,$E176),'Força 1RM'!$P$8:$P$47,0),MATCH($AB176,'Força 1RM'!$Q$7:$Y$7,0)),""))</f>
        <v>125</v>
      </c>
      <c r="N176" s="30" t="n">
        <f aca="false">IFERROR(IF(OR($L176="",$M176="",$M176=0),0,ROUND($L176*$M176*2,0)/2),0)</f>
        <v>94</v>
      </c>
      <c r="O176" s="32"/>
      <c r="P176" s="42" t="n">
        <f aca="false">IFERROR(IF(OR($L176="",$I176="—",$I176=""),"",IF($I176="Agachamento",INDEX($AE$8:$AE$20,MATCH($L176,$AD$8:$AD$20,1)),IF($I176="Supino",INDEX($AF$8:$AF$20,MATCH($L176,$AD$8:$AD$20,1)),IF($I176="Terra",INDEX($AG$8:$AG$20,MATCH($L176,$AD$8:$AD$20,1)),"")))),"")</f>
        <v>0.55</v>
      </c>
      <c r="Q176" s="45"/>
      <c r="R176" s="71" t="n">
        <v>0.15</v>
      </c>
      <c r="S176" s="71"/>
      <c r="T176" s="69" t="str">
        <f aca="false">IF(OR($R176="",$S176=""),"",IF($S176&gt;$R176,"Acima do limite","Dentro do limite"))</f>
        <v/>
      </c>
      <c r="U176" s="28"/>
      <c r="V176" s="28"/>
      <c r="W176" s="28" t="n">
        <v>120</v>
      </c>
      <c r="X176" s="140" t="n">
        <f aca="false">IFERROR(IF(OR($J176="",$K176=""),0,$J176*$K176),0)</f>
        <v>12</v>
      </c>
      <c r="Y176" s="44" t="n">
        <f aca="false">IFERROR(IF($X176=0,0,$X176*IF($O176="",$N176,$O176)),0)</f>
        <v>1128</v>
      </c>
      <c r="Z176" s="60" t="str">
        <f aca="false">IF($L176="","",IF($L176&lt;0.5,"Balística / Velocidade (&lt;50%)",IF($L176&lt;0.7,"Velocidade-Força (50–69%)",IF($L176&lt;0.8,"Força-Velocidade (70–79%)",IF($L176&lt;0.9,"Força Máxima (80–89%)","Força Máxima Alta (≥90%)")))))</f>
        <v>Força-Velocidade (70–79%)</v>
      </c>
      <c r="AA176" s="27"/>
      <c r="AB176" s="27" t="s">
        <v>701</v>
      </c>
    </row>
    <row r="177" customFormat="false" ht="15" hidden="false" customHeight="false" outlineLevel="0" collapsed="false">
      <c r="A177" s="29" t="n">
        <v>46321</v>
      </c>
      <c r="B177" s="33" t="n">
        <f aca="false">IF($A177="",0,INT(($A177-'Bloco Base'!$C$5)/7)+1)</f>
        <v>8</v>
      </c>
      <c r="C177" s="28" t="s">
        <v>979</v>
      </c>
      <c r="D177" s="28" t="s">
        <v>233</v>
      </c>
      <c r="E177" s="27" t="s">
        <v>1117</v>
      </c>
      <c r="F177" s="28" t="n">
        <v>5</v>
      </c>
      <c r="G177" s="139" t="s">
        <v>708</v>
      </c>
      <c r="H177" s="27" t="s">
        <v>537</v>
      </c>
      <c r="I177" s="28" t="s">
        <v>168</v>
      </c>
      <c r="J177" s="28" t="n">
        <v>2</v>
      </c>
      <c r="K177" s="28" t="n">
        <v>6</v>
      </c>
      <c r="L177" s="71"/>
      <c r="M177" s="35" t="str">
        <f aca="false">IF($AB177="","",IFERROR(INDEX('Força 1RM'!$Q$8:$Y$47,MATCH(IF($E177="Equipe (todos)",$C$4,$E177),'Força 1RM'!$P$8:$P$47,0),MATCH($AB177,'Força 1RM'!$Q$7:$Y$7,0)),""))</f>
        <v/>
      </c>
      <c r="N177" s="30" t="n">
        <f aca="false">IFERROR(IF(OR($L177="",$M177="",$M177=0),0,ROUND($L177*$M177*2,0)/2),0)</f>
        <v>0</v>
      </c>
      <c r="O177" s="32"/>
      <c r="P177" s="42" t="str">
        <f aca="false">IFERROR(IF(OR($L177="",$I177="—",$I177=""),"",IF($I177="Agachamento",INDEX($AE$8:$AE$20,MATCH($L177,$AD$8:$AD$20,1)),IF($I177="Supino",INDEX($AF$8:$AF$20,MATCH($L177,$AD$8:$AD$20,1)),IF($I177="Terra",INDEX($AG$8:$AG$20,MATCH($L177,$AD$8:$AD$20,1)),"")))),"")</f>
        <v/>
      </c>
      <c r="Q177" s="45"/>
      <c r="R177" s="71"/>
      <c r="S177" s="71"/>
      <c r="T177" s="69" t="str">
        <f aca="false">IF(OR($R177="",$S177=""),"",IF($S177&gt;$R177,"Acima do limite","Dentro do limite"))</f>
        <v/>
      </c>
      <c r="U177" s="28"/>
      <c r="V177" s="28"/>
      <c r="W177" s="28" t="n">
        <v>90</v>
      </c>
      <c r="X177" s="140" t="n">
        <f aca="false">IFERROR(IF(OR($J177="",$K177=""),0,$J177*$K177),0)</f>
        <v>12</v>
      </c>
      <c r="Y177" s="44" t="n">
        <f aca="false">IFERROR(IF($X177=0,0,$X177*IF($O177="",$N177,$O177)),0)</f>
        <v>0</v>
      </c>
      <c r="Z177" s="60" t="str">
        <f aca="false">IF($L177="","",IF($L177&lt;0.5,"Balística / Velocidade (&lt;50%)",IF($L177&lt;0.7,"Velocidade-Força (50–69%)",IF($L177&lt;0.8,"Força-Velocidade (70–79%)",IF($L177&lt;0.9,"Força Máxima (80–89%)","Força Máxima Alta (≥90%)")))))</f>
        <v/>
      </c>
      <c r="AA177" s="27"/>
      <c r="AB177" s="27"/>
    </row>
    <row r="178" customFormat="false" ht="15" hidden="false" customHeight="false" outlineLevel="0" collapsed="false">
      <c r="A178" s="29" t="n">
        <v>46321</v>
      </c>
      <c r="B178" s="33" t="n">
        <f aca="false">IF($A178="",0,INT(($A178-'Bloco Base'!$C$5)/7)+1)</f>
        <v>8</v>
      </c>
      <c r="C178" s="28" t="s">
        <v>979</v>
      </c>
      <c r="D178" s="28" t="s">
        <v>233</v>
      </c>
      <c r="E178" s="27" t="s">
        <v>1117</v>
      </c>
      <c r="F178" s="28" t="n">
        <v>6</v>
      </c>
      <c r="G178" s="139" t="s">
        <v>592</v>
      </c>
      <c r="H178" s="27" t="s">
        <v>1004</v>
      </c>
      <c r="I178" s="28" t="s">
        <v>168</v>
      </c>
      <c r="J178" s="28" t="n">
        <v>2</v>
      </c>
      <c r="K178" s="28" t="n">
        <v>8</v>
      </c>
      <c r="L178" s="71"/>
      <c r="M178" s="35" t="str">
        <f aca="false">IF($AB178="","",IFERROR(INDEX('Força 1RM'!$Q$8:$Y$47,MATCH(IF($E178="Equipe (todos)",$C$4,$E178),'Força 1RM'!$P$8:$P$47,0),MATCH($AB178,'Força 1RM'!$Q$7:$Y$7,0)),""))</f>
        <v/>
      </c>
      <c r="N178" s="30" t="n">
        <f aca="false">IFERROR(IF(OR($L178="",$M178="",$M178=0),0,ROUND($L178*$M178*2,0)/2),0)</f>
        <v>0</v>
      </c>
      <c r="O178" s="32"/>
      <c r="P178" s="42" t="str">
        <f aca="false">IFERROR(IF(OR($L178="",$I178="—",$I178=""),"",IF($I178="Agachamento",INDEX($AE$8:$AE$20,MATCH($L178,$AD$8:$AD$20,1)),IF($I178="Supino",INDEX($AF$8:$AF$20,MATCH($L178,$AD$8:$AD$20,1)),IF($I178="Terra",INDEX($AG$8:$AG$20,MATCH($L178,$AD$8:$AD$20,1)),"")))),"")</f>
        <v/>
      </c>
      <c r="Q178" s="45"/>
      <c r="R178" s="71"/>
      <c r="S178" s="71"/>
      <c r="T178" s="69" t="str">
        <f aca="false">IF(OR($R178="",$S178=""),"",IF($S178&gt;$R178,"Acima do limite","Dentro do limite"))</f>
        <v/>
      </c>
      <c r="U178" s="28"/>
      <c r="V178" s="28"/>
      <c r="W178" s="28" t="n">
        <v>60</v>
      </c>
      <c r="X178" s="140" t="n">
        <f aca="false">IFERROR(IF(OR($J178="",$K178=""),0,$J178*$K178),0)</f>
        <v>16</v>
      </c>
      <c r="Y178" s="44" t="n">
        <f aca="false">IFERROR(IF($X178=0,0,$X178*IF($O178="",$N178,$O178)),0)</f>
        <v>0</v>
      </c>
      <c r="Z178" s="60" t="str">
        <f aca="false">IF($L178="","",IF($L178&lt;0.5,"Balística / Velocidade (&lt;50%)",IF($L178&lt;0.7,"Velocidade-Força (50–69%)",IF($L178&lt;0.8,"Força-Velocidade (70–79%)",IF($L178&lt;0.9,"Força Máxima (80–89%)","Força Máxima Alta (≥90%)")))))</f>
        <v/>
      </c>
      <c r="AA178" s="27"/>
      <c r="AB178" s="27"/>
    </row>
    <row r="179" customFormat="false" ht="15" hidden="false" customHeight="false" outlineLevel="0" collapsed="false">
      <c r="A179" s="29" t="n">
        <v>46321</v>
      </c>
      <c r="B179" s="33" t="n">
        <f aca="false">IF($A179="",0,INT(($A179-'Bloco Base'!$C$5)/7)+1)</f>
        <v>8</v>
      </c>
      <c r="C179" s="28" t="s">
        <v>979</v>
      </c>
      <c r="D179" s="28" t="s">
        <v>233</v>
      </c>
      <c r="E179" s="27" t="s">
        <v>1117</v>
      </c>
      <c r="F179" s="28" t="n">
        <v>7</v>
      </c>
      <c r="G179" s="139" t="s">
        <v>1006</v>
      </c>
      <c r="H179" s="27" t="s">
        <v>776</v>
      </c>
      <c r="I179" s="28" t="s">
        <v>168</v>
      </c>
      <c r="J179" s="28" t="n">
        <v>3</v>
      </c>
      <c r="K179" s="28" t="n">
        <v>15</v>
      </c>
      <c r="L179" s="71"/>
      <c r="M179" s="35" t="str">
        <f aca="false">IF($AB179="","",IFERROR(INDEX('Força 1RM'!$Q$8:$Y$47,MATCH(IF($E179="Equipe (todos)",$C$4,$E179),'Força 1RM'!$P$8:$P$47,0),MATCH($AB179,'Força 1RM'!$Q$7:$Y$7,0)),""))</f>
        <v/>
      </c>
      <c r="N179" s="30" t="n">
        <f aca="false">IFERROR(IF(OR($L179="",$M179="",$M179=0),0,ROUND($L179*$M179*2,0)/2),0)</f>
        <v>0</v>
      </c>
      <c r="O179" s="32"/>
      <c r="P179" s="42" t="str">
        <f aca="false">IFERROR(IF(OR($L179="",$I179="—",$I179=""),"",IF($I179="Agachamento",INDEX($AE$8:$AE$20,MATCH($L179,$AD$8:$AD$20,1)),IF($I179="Supino",INDEX($AF$8:$AF$20,MATCH($L179,$AD$8:$AD$20,1)),IF($I179="Terra",INDEX($AG$8:$AG$20,MATCH($L179,$AD$8:$AD$20,1)),"")))),"")</f>
        <v/>
      </c>
      <c r="Q179" s="45"/>
      <c r="R179" s="71"/>
      <c r="S179" s="71"/>
      <c r="T179" s="69" t="str">
        <f aca="false">IF(OR($R179="",$S179=""),"",IF($S179&gt;$R179,"Acima do limite","Dentro do limite"))</f>
        <v/>
      </c>
      <c r="U179" s="28"/>
      <c r="V179" s="28"/>
      <c r="W179" s="28" t="n">
        <v>45</v>
      </c>
      <c r="X179" s="140" t="n">
        <f aca="false">IFERROR(IF(OR($J179="",$K179=""),0,$J179*$K179),0)</f>
        <v>45</v>
      </c>
      <c r="Y179" s="44" t="n">
        <f aca="false">IFERROR(IF($X179=0,0,$X179*IF($O179="",$N179,$O179)),0)</f>
        <v>0</v>
      </c>
      <c r="Z179" s="60" t="str">
        <f aca="false">IF($L179="","",IF($L179&lt;0.5,"Balística / Velocidade (&lt;50%)",IF($L179&lt;0.7,"Velocidade-Força (50–69%)",IF($L179&lt;0.8,"Força-Velocidade (70–79%)",IF($L179&lt;0.9,"Força Máxima (80–89%)","Força Máxima Alta (≥90%)")))))</f>
        <v/>
      </c>
      <c r="AA179" s="27"/>
      <c r="AB179" s="27"/>
    </row>
    <row r="180" customFormat="false" ht="15" hidden="false" customHeight="false" outlineLevel="0" collapsed="false">
      <c r="A180" s="29" t="n">
        <v>46323</v>
      </c>
      <c r="B180" s="33" t="n">
        <f aca="false">IF($A180="",0,INT(($A180-'Bloco Base'!$C$5)/7)+1)</f>
        <v>8</v>
      </c>
      <c r="C180" s="28" t="s">
        <v>979</v>
      </c>
      <c r="D180" s="28" t="s">
        <v>1192</v>
      </c>
      <c r="E180" s="27" t="s">
        <v>1117</v>
      </c>
      <c r="F180" s="28" t="n">
        <v>1</v>
      </c>
      <c r="G180" s="139" t="s">
        <v>587</v>
      </c>
      <c r="H180" s="27" t="s">
        <v>1004</v>
      </c>
      <c r="I180" s="28" t="s">
        <v>168</v>
      </c>
      <c r="J180" s="28" t="n">
        <v>2</v>
      </c>
      <c r="K180" s="28" t="n">
        <v>8</v>
      </c>
      <c r="L180" s="71"/>
      <c r="M180" s="35" t="str">
        <f aca="false">IF($AB180="","",IFERROR(INDEX('Força 1RM'!$Q$8:$Y$47,MATCH(IF($E180="Equipe (todos)",$C$4,$E180),'Força 1RM'!$P$8:$P$47,0),MATCH($AB180,'Força 1RM'!$Q$7:$Y$7,0)),""))</f>
        <v/>
      </c>
      <c r="N180" s="30" t="n">
        <f aca="false">IFERROR(IF(OR($L180="",$M180="",$M180=0),0,ROUND($L180*$M180*2,0)/2),0)</f>
        <v>0</v>
      </c>
      <c r="O180" s="32"/>
      <c r="P180" s="42" t="str">
        <f aca="false">IFERROR(IF(OR($L180="",$I180="—",$I180=""),"",IF($I180="Agachamento",INDEX($AE$8:$AE$20,MATCH($L180,$AD$8:$AD$20,1)),IF($I180="Supino",INDEX($AF$8:$AF$20,MATCH($L180,$AD$8:$AD$20,1)),IF($I180="Terra",INDEX($AG$8:$AG$20,MATCH($L180,$AD$8:$AD$20,1)),"")))),"")</f>
        <v/>
      </c>
      <c r="Q180" s="45"/>
      <c r="R180" s="71"/>
      <c r="S180" s="71"/>
      <c r="T180" s="69" t="str">
        <f aca="false">IF(OR($R180="",$S180=""),"",IF($S180&gt;$R180,"Acima do limite","Dentro do limite"))</f>
        <v/>
      </c>
      <c r="U180" s="28"/>
      <c r="V180" s="28"/>
      <c r="W180" s="28" t="n">
        <v>60</v>
      </c>
      <c r="X180" s="140" t="n">
        <f aca="false">IFERROR(IF(OR($J180="",$K180=""),0,$J180*$K180),0)</f>
        <v>16</v>
      </c>
      <c r="Y180" s="44" t="n">
        <f aca="false">IFERROR(IF($X180=0,0,$X180*IF($O180="",$N180,$O180)),0)</f>
        <v>0</v>
      </c>
      <c r="Z180" s="60" t="str">
        <f aca="false">IF($L180="","",IF($L180&lt;0.5,"Balística / Velocidade (&lt;50%)",IF($L180&lt;0.7,"Velocidade-Força (50–69%)",IF($L180&lt;0.8,"Força-Velocidade (70–79%)",IF($L180&lt;0.9,"Força Máxima (80–89%)","Força Máxima Alta (≥90%)")))))</f>
        <v/>
      </c>
      <c r="AA180" s="27"/>
      <c r="AB180" s="27"/>
    </row>
    <row r="181" customFormat="false" ht="15" hidden="false" customHeight="false" outlineLevel="0" collapsed="false">
      <c r="A181" s="29" t="n">
        <v>46323</v>
      </c>
      <c r="B181" s="33" t="n">
        <f aca="false">IF($A181="",0,INT(($A181-'Bloco Base'!$C$5)/7)+1)</f>
        <v>8</v>
      </c>
      <c r="C181" s="28" t="s">
        <v>979</v>
      </c>
      <c r="D181" s="28" t="s">
        <v>1192</v>
      </c>
      <c r="E181" s="27" t="s">
        <v>1117</v>
      </c>
      <c r="F181" s="28" t="n">
        <v>2</v>
      </c>
      <c r="G181" s="139" t="s">
        <v>553</v>
      </c>
      <c r="H181" s="27" t="s">
        <v>792</v>
      </c>
      <c r="I181" s="28" t="s">
        <v>692</v>
      </c>
      <c r="J181" s="28" t="n">
        <v>4</v>
      </c>
      <c r="K181" s="28" t="n">
        <v>3</v>
      </c>
      <c r="L181" s="71" t="n">
        <v>0.3</v>
      </c>
      <c r="M181" s="35" t="n">
        <f aca="false">IF($AB181="","",IFERROR(INDEX('Força 1RM'!$Q$8:$Y$47,MATCH(IF($E181="Equipe (todos)",$C$4,$E181),'Força 1RM'!$P$8:$P$47,0),MATCH($AB181,'Força 1RM'!$Q$7:$Y$7,0)),""))</f>
        <v>160</v>
      </c>
      <c r="N181" s="30" t="n">
        <f aca="false">IFERROR(IF(OR($L181="",$M181="",$M181=0),0,ROUND($L181*$M181*2,0)/2),0)</f>
        <v>48</v>
      </c>
      <c r="O181" s="32"/>
      <c r="P181" s="42" t="str">
        <f aca="false">IFERROR(IF(OR($L181="",$I181="—",$I181=""),"",IF($I181="Agachamento",INDEX($AE$8:$AE$20,MATCH($L181,$AD$8:$AD$20,1)),IF($I181="Supino",INDEX($AF$8:$AF$20,MATCH($L181,$AD$8:$AD$20,1)),IF($I181="Terra",INDEX($AG$8:$AG$20,MATCH($L181,$AD$8:$AD$20,1)),"")))),"")</f>
        <v/>
      </c>
      <c r="Q181" s="45"/>
      <c r="R181" s="71" t="n">
        <v>0.1</v>
      </c>
      <c r="S181" s="71"/>
      <c r="T181" s="69" t="str">
        <f aca="false">IF(OR($R181="",$S181=""),"",IF($S181&gt;$R181,"Acima do limite","Dentro do limite"))</f>
        <v/>
      </c>
      <c r="U181" s="28"/>
      <c r="V181" s="28"/>
      <c r="W181" s="28" t="n">
        <v>180</v>
      </c>
      <c r="X181" s="140" t="n">
        <f aca="false">IFERROR(IF(OR($J181="",$K181=""),0,$J181*$K181),0)</f>
        <v>12</v>
      </c>
      <c r="Y181" s="44" t="n">
        <f aca="false">IFERROR(IF($X181=0,0,$X181*IF($O181="",$N181,$O181)),0)</f>
        <v>576</v>
      </c>
      <c r="Z181" s="60" t="str">
        <f aca="false">IF($L181="","",IF($L181&lt;0.5,"Balística / Velocidade (&lt;50%)",IF($L181&lt;0.7,"Velocidade-Força (50–69%)",IF($L181&lt;0.8,"Força-Velocidade (70–79%)",IF($L181&lt;0.9,"Força Máxima (80–89%)","Força Máxima Alta (≥90%)")))))</f>
        <v>Balística / Velocidade (&lt;50%)</v>
      </c>
      <c r="AA181" s="27"/>
      <c r="AB181" s="27" t="s">
        <v>688</v>
      </c>
    </row>
    <row r="182" customFormat="false" ht="15" hidden="false" customHeight="false" outlineLevel="0" collapsed="false">
      <c r="A182" s="29" t="n">
        <v>46323</v>
      </c>
      <c r="B182" s="33" t="n">
        <f aca="false">IF($A182="",0,INT(($A182-'Bloco Base'!$C$5)/7)+1)</f>
        <v>8</v>
      </c>
      <c r="C182" s="28" t="s">
        <v>979</v>
      </c>
      <c r="D182" s="28" t="s">
        <v>1192</v>
      </c>
      <c r="E182" s="27" t="s">
        <v>1117</v>
      </c>
      <c r="F182" s="28" t="n">
        <v>3</v>
      </c>
      <c r="G182" s="139" t="s">
        <v>1013</v>
      </c>
      <c r="H182" s="27" t="s">
        <v>558</v>
      </c>
      <c r="I182" s="28" t="s">
        <v>168</v>
      </c>
      <c r="J182" s="28" t="n">
        <v>6</v>
      </c>
      <c r="K182" s="28" t="n">
        <v>5</v>
      </c>
      <c r="L182" s="71"/>
      <c r="M182" s="35" t="str">
        <f aca="false">IF($AB182="","",IFERROR(INDEX('Força 1RM'!$Q$8:$Y$47,MATCH(IF($E182="Equipe (todos)",$C$4,$E182),'Força 1RM'!$P$8:$P$47,0),MATCH($AB182,'Força 1RM'!$Q$7:$Y$7,0)),""))</f>
        <v/>
      </c>
      <c r="N182" s="30" t="n">
        <f aca="false">IFERROR(IF(OR($L182="",$M182="",$M182=0),0,ROUND($L182*$M182*2,0)/2),0)</f>
        <v>0</v>
      </c>
      <c r="O182" s="32"/>
      <c r="P182" s="42" t="str">
        <f aca="false">IFERROR(IF(OR($L182="",$I182="—",$I182=""),"",IF($I182="Agachamento",INDEX($AE$8:$AE$20,MATCH($L182,$AD$8:$AD$20,1)),IF($I182="Supino",INDEX($AF$8:$AF$20,MATCH($L182,$AD$8:$AD$20,1)),IF($I182="Terra",INDEX($AG$8:$AG$20,MATCH($L182,$AD$8:$AD$20,1)),"")))),"")</f>
        <v/>
      </c>
      <c r="Q182" s="45"/>
      <c r="R182" s="71"/>
      <c r="S182" s="71"/>
      <c r="T182" s="69" t="str">
        <f aca="false">IF(OR($R182="",$S182=""),"",IF($S182&gt;$R182,"Acima do limite","Dentro do limite"))</f>
        <v/>
      </c>
      <c r="U182" s="28"/>
      <c r="V182" s="28"/>
      <c r="W182" s="28" t="n">
        <v>120</v>
      </c>
      <c r="X182" s="140" t="n">
        <f aca="false">IFERROR(IF(OR($J182="",$K182=""),0,$J182*$K182),0)</f>
        <v>30</v>
      </c>
      <c r="Y182" s="44" t="n">
        <f aca="false">IFERROR(IF($X182=0,0,$X182*IF($O182="",$N182,$O182)),0)</f>
        <v>0</v>
      </c>
      <c r="Z182" s="60" t="str">
        <f aca="false">IF($L182="","",IF($L182&lt;0.5,"Balística / Velocidade (&lt;50%)",IF($L182&lt;0.7,"Velocidade-Força (50–69%)",IF($L182&lt;0.8,"Força-Velocidade (70–79%)",IF($L182&lt;0.9,"Força Máxima (80–89%)","Força Máxima Alta (≥90%)")))))</f>
        <v/>
      </c>
      <c r="AA182" s="27"/>
      <c r="AB182" s="27"/>
    </row>
    <row r="183" customFormat="false" ht="15" hidden="false" customHeight="false" outlineLevel="0" collapsed="false">
      <c r="A183" s="29" t="n">
        <v>46323</v>
      </c>
      <c r="B183" s="33" t="n">
        <f aca="false">IF($A183="",0,INT(($A183-'Bloco Base'!$C$5)/7)+1)</f>
        <v>8</v>
      </c>
      <c r="C183" s="28" t="s">
        <v>979</v>
      </c>
      <c r="D183" s="28" t="s">
        <v>1192</v>
      </c>
      <c r="E183" s="27" t="s">
        <v>1117</v>
      </c>
      <c r="F183" s="28" t="n">
        <v>4</v>
      </c>
      <c r="G183" s="139" t="s">
        <v>562</v>
      </c>
      <c r="H183" s="27" t="s">
        <v>558</v>
      </c>
      <c r="I183" s="28" t="s">
        <v>168</v>
      </c>
      <c r="J183" s="28" t="n">
        <v>5</v>
      </c>
      <c r="K183" s="28" t="n">
        <v>5</v>
      </c>
      <c r="L183" s="71"/>
      <c r="M183" s="35" t="str">
        <f aca="false">IF($AB183="","",IFERROR(INDEX('Força 1RM'!$Q$8:$Y$47,MATCH(IF($E183="Equipe (todos)",$C$4,$E183),'Força 1RM'!$P$8:$P$47,0),MATCH($AB183,'Força 1RM'!$Q$7:$Y$7,0)),""))</f>
        <v/>
      </c>
      <c r="N183" s="30" t="n">
        <f aca="false">IFERROR(IF(OR($L183="",$M183="",$M183=0),0,ROUND($L183*$M183*2,0)/2),0)</f>
        <v>0</v>
      </c>
      <c r="O183" s="32"/>
      <c r="P183" s="42" t="str">
        <f aca="false">IFERROR(IF(OR($L183="",$I183="—",$I183=""),"",IF($I183="Agachamento",INDEX($AE$8:$AE$20,MATCH($L183,$AD$8:$AD$20,1)),IF($I183="Supino",INDEX($AF$8:$AF$20,MATCH($L183,$AD$8:$AD$20,1)),IF($I183="Terra",INDEX($AG$8:$AG$20,MATCH($L183,$AD$8:$AD$20,1)),"")))),"")</f>
        <v/>
      </c>
      <c r="Q183" s="45"/>
      <c r="R183" s="71"/>
      <c r="S183" s="71"/>
      <c r="T183" s="69" t="str">
        <f aca="false">IF(OR($R183="",$S183=""),"",IF($S183&gt;$R183,"Acima do limite","Dentro do limite"))</f>
        <v/>
      </c>
      <c r="U183" s="28"/>
      <c r="V183" s="28"/>
      <c r="W183" s="28" t="n">
        <v>120</v>
      </c>
      <c r="X183" s="140" t="n">
        <f aca="false">IFERROR(IF(OR($J183="",$K183=""),0,$J183*$K183),0)</f>
        <v>25</v>
      </c>
      <c r="Y183" s="44" t="n">
        <f aca="false">IFERROR(IF($X183=0,0,$X183*IF($O183="",$N183,$O183)),0)</f>
        <v>0</v>
      </c>
      <c r="Z183" s="60" t="str">
        <f aca="false">IF($L183="","",IF($L183&lt;0.5,"Balística / Velocidade (&lt;50%)",IF($L183&lt;0.7,"Velocidade-Força (50–69%)",IF($L183&lt;0.8,"Força-Velocidade (70–79%)",IF($L183&lt;0.9,"Força Máxima (80–89%)","Força Máxima Alta (≥90%)")))))</f>
        <v/>
      </c>
      <c r="AA183" s="27"/>
      <c r="AB183" s="27"/>
    </row>
    <row r="184" customFormat="false" ht="15" hidden="false" customHeight="false" outlineLevel="0" collapsed="false">
      <c r="A184" s="29" t="n">
        <v>46323</v>
      </c>
      <c r="B184" s="33" t="n">
        <f aca="false">IF($A184="",0,INT(($A184-'Bloco Base'!$C$5)/7)+1)</f>
        <v>8</v>
      </c>
      <c r="C184" s="28" t="s">
        <v>979</v>
      </c>
      <c r="D184" s="28" t="s">
        <v>1192</v>
      </c>
      <c r="E184" s="27" t="s">
        <v>1117</v>
      </c>
      <c r="F184" s="28" t="n">
        <v>5</v>
      </c>
      <c r="G184" s="139" t="s">
        <v>644</v>
      </c>
      <c r="H184" s="27" t="s">
        <v>537</v>
      </c>
      <c r="I184" s="28" t="s">
        <v>1017</v>
      </c>
      <c r="J184" s="28" t="n">
        <v>3</v>
      </c>
      <c r="K184" s="28" t="n">
        <v>5</v>
      </c>
      <c r="L184" s="71" t="n">
        <v>0.85</v>
      </c>
      <c r="M184" s="35" t="n">
        <f aca="false">IF($AB184="","",IFERROR(INDEX('Força 1RM'!$Q$8:$Y$47,MATCH(IF($E184="Equipe (todos)",$C$4,$E184),'Força 1RM'!$P$8:$P$47,0),MATCH($AB184,'Força 1RM'!$Q$7:$Y$7,0)),""))</f>
        <v>72.5</v>
      </c>
      <c r="N184" s="30" t="n">
        <f aca="false">IFERROR(IF(OR($L184="",$M184="",$M184=0),0,ROUND($L184*$M184*2,0)/2),0)</f>
        <v>61.5</v>
      </c>
      <c r="O184" s="32"/>
      <c r="P184" s="42" t="n">
        <f aca="false">IFERROR(IF(OR($L184="",$I184="—",$I184=""),"",IF($I184="Agachamento",INDEX($AE$8:$AE$20,MATCH($L184,$AD$8:$AD$20,1)),IF($I184="Supino",INDEX($AF$8:$AF$20,MATCH($L184,$AD$8:$AD$20,1)),IF($I184="Terra",INDEX($AG$8:$AG$20,MATCH($L184,$AD$8:$AD$20,1)),"")))),"")</f>
        <v>0.31</v>
      </c>
      <c r="Q184" s="45"/>
      <c r="R184" s="71" t="n">
        <v>0.15</v>
      </c>
      <c r="S184" s="71"/>
      <c r="T184" s="69" t="str">
        <f aca="false">IF(OR($R184="",$S184=""),"",IF($S184&gt;$R184,"Acima do limite","Dentro do limite"))</f>
        <v/>
      </c>
      <c r="U184" s="28"/>
      <c r="V184" s="28"/>
      <c r="W184" s="28" t="n">
        <v>120</v>
      </c>
      <c r="X184" s="140" t="n">
        <f aca="false">IFERROR(IF(OR($J184="",$K184=""),0,$J184*$K184),0)</f>
        <v>15</v>
      </c>
      <c r="Y184" s="44" t="n">
        <f aca="false">IFERROR(IF($X184=0,0,$X184*IF($O184="",$N184,$O184)),0)</f>
        <v>922.5</v>
      </c>
      <c r="Z184" s="60" t="str">
        <f aca="false">IF($L184="","",IF($L184&lt;0.5,"Balística / Velocidade (&lt;50%)",IF($L184&lt;0.7,"Velocidade-Força (50–69%)",IF($L184&lt;0.8,"Força-Velocidade (70–79%)",IF($L184&lt;0.9,"Força Máxima (80–89%)","Força Máxima Alta (≥90%)")))))</f>
        <v>Força Máxima (80–89%)</v>
      </c>
      <c r="AA184" s="27"/>
      <c r="AB184" s="27" t="s">
        <v>644</v>
      </c>
    </row>
    <row r="185" customFormat="false" ht="15" hidden="false" customHeight="false" outlineLevel="0" collapsed="false">
      <c r="A185" s="29" t="n">
        <v>46323</v>
      </c>
      <c r="B185" s="33" t="n">
        <f aca="false">IF($A185="",0,INT(($A185-'Bloco Base'!$C$5)/7)+1)</f>
        <v>8</v>
      </c>
      <c r="C185" s="28" t="s">
        <v>979</v>
      </c>
      <c r="D185" s="28" t="s">
        <v>1192</v>
      </c>
      <c r="E185" s="27" t="s">
        <v>1117</v>
      </c>
      <c r="F185" s="28" t="n">
        <v>6</v>
      </c>
      <c r="G185" s="139" t="s">
        <v>656</v>
      </c>
      <c r="H185" s="27" t="s">
        <v>537</v>
      </c>
      <c r="I185" s="28" t="s">
        <v>168</v>
      </c>
      <c r="J185" s="28" t="n">
        <v>3</v>
      </c>
      <c r="K185" s="28" t="n">
        <v>5</v>
      </c>
      <c r="L185" s="71" t="n">
        <v>0.85</v>
      </c>
      <c r="M185" s="35" t="str">
        <f aca="false">IF($AB185="","",IFERROR(INDEX('Força 1RM'!$Q$8:$Y$47,MATCH(IF($E185="Equipe (todos)",$C$4,$E185),'Força 1RM'!$P$8:$P$47,0),MATCH($AB185,'Força 1RM'!$Q$7:$Y$7,0)),""))</f>
        <v/>
      </c>
      <c r="N185" s="30" t="n">
        <f aca="false">IFERROR(IF(OR($L185="",$M185="",$M185=0),0,ROUND($L185*$M185*2,0)/2),0)</f>
        <v>0</v>
      </c>
      <c r="O185" s="32"/>
      <c r="P185" s="42" t="str">
        <f aca="false">IFERROR(IF(OR($L185="",$I185="—",$I185=""),"",IF($I185="Agachamento",INDEX($AE$8:$AE$20,MATCH($L185,$AD$8:$AD$20,1)),IF($I185="Supino",INDEX($AF$8:$AF$20,MATCH($L185,$AD$8:$AD$20,1)),IF($I185="Terra",INDEX($AG$8:$AG$20,MATCH($L185,$AD$8:$AD$20,1)),"")))),"")</f>
        <v/>
      </c>
      <c r="Q185" s="45"/>
      <c r="R185" s="71" t="n">
        <v>0.15</v>
      </c>
      <c r="S185" s="71"/>
      <c r="T185" s="69" t="str">
        <f aca="false">IF(OR($R185="",$S185=""),"",IF($S185&gt;$R185,"Acima do limite","Dentro do limite"))</f>
        <v/>
      </c>
      <c r="U185" s="28"/>
      <c r="V185" s="28"/>
      <c r="W185" s="28" t="n">
        <v>120</v>
      </c>
      <c r="X185" s="140" t="n">
        <f aca="false">IFERROR(IF(OR($J185="",$K185=""),0,$J185*$K185),0)</f>
        <v>15</v>
      </c>
      <c r="Y185" s="44" t="n">
        <f aca="false">IFERROR(IF($X185=0,0,$X185*IF($O185="",$N185,$O185)),0)</f>
        <v>0</v>
      </c>
      <c r="Z185" s="60" t="str">
        <f aca="false">IF($L185="","",IF($L185&lt;0.5,"Balística / Velocidade (&lt;50%)",IF($L185&lt;0.7,"Velocidade-Força (50–69%)",IF($L185&lt;0.8,"Força-Velocidade (70–79%)",IF($L185&lt;0.9,"Força Máxima (80–89%)","Força Máxima Alta (≥90%)")))))</f>
        <v>Força Máxima (80–89%)</v>
      </c>
      <c r="AA185" s="27"/>
      <c r="AB185" s="27"/>
    </row>
    <row r="186" customFormat="false" ht="15" hidden="false" customHeight="false" outlineLevel="0" collapsed="false">
      <c r="A186" s="29" t="n">
        <v>46323</v>
      </c>
      <c r="B186" s="33" t="n">
        <f aca="false">IF($A186="",0,INT(($A186-'Bloco Base'!$C$5)/7)+1)</f>
        <v>8</v>
      </c>
      <c r="C186" s="28" t="s">
        <v>979</v>
      </c>
      <c r="D186" s="28" t="s">
        <v>1192</v>
      </c>
      <c r="E186" s="27" t="s">
        <v>1117</v>
      </c>
      <c r="F186" s="28" t="n">
        <v>7</v>
      </c>
      <c r="G186" s="139" t="s">
        <v>636</v>
      </c>
      <c r="H186" s="27" t="s">
        <v>792</v>
      </c>
      <c r="I186" s="28" t="s">
        <v>168</v>
      </c>
      <c r="J186" s="28" t="n">
        <v>3</v>
      </c>
      <c r="K186" s="28" t="n">
        <v>8</v>
      </c>
      <c r="L186" s="71"/>
      <c r="M186" s="35" t="str">
        <f aca="false">IF($AB186="","",IFERROR(INDEX('Força 1RM'!$Q$8:$Y$47,MATCH(IF($E186="Equipe (todos)",$C$4,$E186),'Força 1RM'!$P$8:$P$47,0),MATCH($AB186,'Força 1RM'!$Q$7:$Y$7,0)),""))</f>
        <v/>
      </c>
      <c r="N186" s="30" t="n">
        <f aca="false">IFERROR(IF(OR($L186="",$M186="",$M186=0),0,ROUND($L186*$M186*2,0)/2),0)</f>
        <v>0</v>
      </c>
      <c r="O186" s="32"/>
      <c r="P186" s="42" t="str">
        <f aca="false">IFERROR(IF(OR($L186="",$I186="—",$I186=""),"",IF($I186="Agachamento",INDEX($AE$8:$AE$20,MATCH($L186,$AD$8:$AD$20,1)),IF($I186="Supino",INDEX($AF$8:$AF$20,MATCH($L186,$AD$8:$AD$20,1)),IF($I186="Terra",INDEX($AG$8:$AG$20,MATCH($L186,$AD$8:$AD$20,1)),"")))),"")</f>
        <v/>
      </c>
      <c r="Q186" s="45"/>
      <c r="R186" s="71"/>
      <c r="S186" s="71"/>
      <c r="T186" s="69" t="str">
        <f aca="false">IF(OR($R186="",$S186=""),"",IF($S186&gt;$R186,"Acima do limite","Dentro do limite"))</f>
        <v/>
      </c>
      <c r="U186" s="28"/>
      <c r="V186" s="28"/>
      <c r="W186" s="28" t="n">
        <v>90</v>
      </c>
      <c r="X186" s="140" t="n">
        <f aca="false">IFERROR(IF(OR($J186="",$K186=""),0,$J186*$K186),0)</f>
        <v>24</v>
      </c>
      <c r="Y186" s="44" t="n">
        <f aca="false">IFERROR(IF($X186=0,0,$X186*IF($O186="",$N186,$O186)),0)</f>
        <v>0</v>
      </c>
      <c r="Z186" s="60" t="str">
        <f aca="false">IF($L186="","",IF($L186&lt;0.5,"Balística / Velocidade (&lt;50%)",IF($L186&lt;0.7,"Velocidade-Força (50–69%)",IF($L186&lt;0.8,"Força-Velocidade (70–79%)",IF($L186&lt;0.9,"Força Máxima (80–89%)","Força Máxima Alta (≥90%)")))))</f>
        <v/>
      </c>
      <c r="AA186" s="27"/>
      <c r="AB186" s="27"/>
    </row>
    <row r="187" customFormat="false" ht="15" hidden="false" customHeight="false" outlineLevel="0" collapsed="false">
      <c r="A187" s="29" t="n">
        <v>46323</v>
      </c>
      <c r="B187" s="33" t="n">
        <f aca="false">IF($A187="",0,INT(($A187-'Bloco Base'!$C$5)/7)+1)</f>
        <v>8</v>
      </c>
      <c r="C187" s="28" t="s">
        <v>979</v>
      </c>
      <c r="D187" s="28" t="s">
        <v>1192</v>
      </c>
      <c r="E187" s="27" t="s">
        <v>1117</v>
      </c>
      <c r="F187" s="28" t="n">
        <v>8</v>
      </c>
      <c r="G187" s="139" t="s">
        <v>1022</v>
      </c>
      <c r="H187" s="27" t="s">
        <v>776</v>
      </c>
      <c r="I187" s="28" t="s">
        <v>168</v>
      </c>
      <c r="J187" s="28" t="n">
        <v>3</v>
      </c>
      <c r="K187" s="28" t="n">
        <v>15</v>
      </c>
      <c r="L187" s="71"/>
      <c r="M187" s="35" t="str">
        <f aca="false">IF($AB187="","",IFERROR(INDEX('Força 1RM'!$Q$8:$Y$47,MATCH(IF($E187="Equipe (todos)",$C$4,$E187),'Força 1RM'!$P$8:$P$47,0),MATCH($AB187,'Força 1RM'!$Q$7:$Y$7,0)),""))</f>
        <v/>
      </c>
      <c r="N187" s="30" t="n">
        <f aca="false">IFERROR(IF(OR($L187="",$M187="",$M187=0),0,ROUND($L187*$M187*2,0)/2),0)</f>
        <v>0</v>
      </c>
      <c r="O187" s="32"/>
      <c r="P187" s="42" t="str">
        <f aca="false">IFERROR(IF(OR($L187="",$I187="—",$I187=""),"",IF($I187="Agachamento",INDEX($AE$8:$AE$20,MATCH($L187,$AD$8:$AD$20,1)),IF($I187="Supino",INDEX($AF$8:$AF$20,MATCH($L187,$AD$8:$AD$20,1)),IF($I187="Terra",INDEX($AG$8:$AG$20,MATCH($L187,$AD$8:$AD$20,1)),"")))),"")</f>
        <v/>
      </c>
      <c r="Q187" s="45"/>
      <c r="R187" s="71"/>
      <c r="S187" s="71"/>
      <c r="T187" s="69" t="str">
        <f aca="false">IF(OR($R187="",$S187=""),"",IF($S187&gt;$R187,"Acima do limite","Dentro do limite"))</f>
        <v/>
      </c>
      <c r="U187" s="28"/>
      <c r="V187" s="28"/>
      <c r="W187" s="28" t="n">
        <v>45</v>
      </c>
      <c r="X187" s="140" t="n">
        <f aca="false">IFERROR(IF(OR($J187="",$K187=""),0,$J187*$K187),0)</f>
        <v>45</v>
      </c>
      <c r="Y187" s="44" t="n">
        <f aca="false">IFERROR(IF($X187=0,0,$X187*IF($O187="",$N187,$O187)),0)</f>
        <v>0</v>
      </c>
      <c r="Z187" s="60" t="str">
        <f aca="false">IF($L187="","",IF($L187&lt;0.5,"Balística / Velocidade (&lt;50%)",IF($L187&lt;0.7,"Velocidade-Força (50–69%)",IF($L187&lt;0.8,"Força-Velocidade (70–79%)",IF($L187&lt;0.9,"Força Máxima (80–89%)","Força Máxima Alta (≥90%)")))))</f>
        <v/>
      </c>
      <c r="AA187" s="27"/>
      <c r="AB187" s="27"/>
    </row>
    <row r="188" customFormat="false" ht="15" hidden="false" customHeight="false" outlineLevel="0" collapsed="false">
      <c r="A188" s="29" t="n">
        <v>46325</v>
      </c>
      <c r="B188" s="33" t="n">
        <f aca="false">IF($A188="",0,INT(($A188-'Bloco Base'!$C$5)/7)+1)</f>
        <v>8</v>
      </c>
      <c r="C188" s="28" t="s">
        <v>979</v>
      </c>
      <c r="D188" s="28" t="s">
        <v>1193</v>
      </c>
      <c r="E188" s="27" t="s">
        <v>1117</v>
      </c>
      <c r="F188" s="28" t="n">
        <v>1</v>
      </c>
      <c r="G188" s="139" t="s">
        <v>600</v>
      </c>
      <c r="H188" s="27" t="s">
        <v>994</v>
      </c>
      <c r="I188" s="28" t="s">
        <v>168</v>
      </c>
      <c r="J188" s="28" t="n">
        <v>1</v>
      </c>
      <c r="K188" s="28" t="n">
        <v>8</v>
      </c>
      <c r="L188" s="71"/>
      <c r="M188" s="35" t="str">
        <f aca="false">IF($AB188="","",IFERROR(INDEX('Força 1RM'!$Q$8:$Y$47,MATCH(IF($E188="Equipe (todos)",$C$4,$E188),'Força 1RM'!$P$8:$P$47,0),MATCH($AB188,'Força 1RM'!$Q$7:$Y$7,0)),""))</f>
        <v/>
      </c>
      <c r="N188" s="30" t="n">
        <f aca="false">IFERROR(IF(OR($L188="",$M188="",$M188=0),0,ROUND($L188*$M188*2,0)/2),0)</f>
        <v>0</v>
      </c>
      <c r="O188" s="32"/>
      <c r="P188" s="42" t="str">
        <f aca="false">IFERROR(IF(OR($L188="",$I188="—",$I188=""),"",IF($I188="Agachamento",INDEX($AE$8:$AE$20,MATCH($L188,$AD$8:$AD$20,1)),IF($I188="Supino",INDEX($AF$8:$AF$20,MATCH($L188,$AD$8:$AD$20,1)),IF($I188="Terra",INDEX($AG$8:$AG$20,MATCH($L188,$AD$8:$AD$20,1)),"")))),"")</f>
        <v/>
      </c>
      <c r="Q188" s="45"/>
      <c r="R188" s="71"/>
      <c r="S188" s="71"/>
      <c r="T188" s="69" t="str">
        <f aca="false">IF(OR($R188="",$S188=""),"",IF($S188&gt;$R188,"Acima do limite","Dentro do limite"))</f>
        <v/>
      </c>
      <c r="U188" s="28"/>
      <c r="V188" s="28"/>
      <c r="W188" s="28" t="n">
        <v>0</v>
      </c>
      <c r="X188" s="140" t="n">
        <f aca="false">IFERROR(IF(OR($J188="",$K188=""),0,$J188*$K188),0)</f>
        <v>8</v>
      </c>
      <c r="Y188" s="44" t="n">
        <f aca="false">IFERROR(IF($X188=0,0,$X188*IF($O188="",$N188,$O188)),0)</f>
        <v>0</v>
      </c>
      <c r="Z188" s="60" t="str">
        <f aca="false">IF($L188="","",IF($L188&lt;0.5,"Balística / Velocidade (&lt;50%)",IF($L188&lt;0.7,"Velocidade-Força (50–69%)",IF($L188&lt;0.8,"Força-Velocidade (70–79%)",IF($L188&lt;0.9,"Força Máxima (80–89%)","Força Máxima Alta (≥90%)")))))</f>
        <v/>
      </c>
      <c r="AA188" s="27"/>
      <c r="AB188" s="27"/>
    </row>
    <row r="189" customFormat="false" ht="15" hidden="false" customHeight="false" outlineLevel="0" collapsed="false">
      <c r="A189" s="29" t="n">
        <v>46325</v>
      </c>
      <c r="B189" s="33" t="n">
        <f aca="false">IF($A189="",0,INT(($A189-'Bloco Base'!$C$5)/7)+1)</f>
        <v>8</v>
      </c>
      <c r="C189" s="28" t="s">
        <v>979</v>
      </c>
      <c r="D189" s="28" t="s">
        <v>1193</v>
      </c>
      <c r="E189" s="27" t="s">
        <v>1117</v>
      </c>
      <c r="F189" s="28" t="n">
        <v>2</v>
      </c>
      <c r="G189" s="139" t="s">
        <v>623</v>
      </c>
      <c r="H189" s="27" t="s">
        <v>1191</v>
      </c>
      <c r="I189" s="28" t="s">
        <v>168</v>
      </c>
      <c r="J189" s="28" t="n">
        <v>3</v>
      </c>
      <c r="K189" s="28" t="n">
        <v>2</v>
      </c>
      <c r="L189" s="71" t="n">
        <v>0.85</v>
      </c>
      <c r="M189" s="35" t="n">
        <f aca="false">IF($AB189="","",IFERROR(INDEX('Força 1RM'!$Q$8:$Y$47,MATCH(IF($E189="Equipe (todos)",$C$4,$E189),'Força 1RM'!$P$8:$P$47,0),MATCH($AB189,'Força 1RM'!$Q$7:$Y$7,0)),""))</f>
        <v>117.5</v>
      </c>
      <c r="N189" s="30" t="n">
        <f aca="false">IFERROR(IF(OR($L189="",$M189="",$M189=0),0,ROUND($L189*$M189*2,0)/2),0)</f>
        <v>100</v>
      </c>
      <c r="O189" s="32"/>
      <c r="P189" s="42" t="str">
        <f aca="false">IFERROR(IF(OR($L189="",$I189="—",$I189=""),"",IF($I189="Agachamento",INDEX($AE$8:$AE$20,MATCH($L189,$AD$8:$AD$20,1)),IF($I189="Supino",INDEX($AF$8:$AF$20,MATCH($L189,$AD$8:$AD$20,1)),IF($I189="Terra",INDEX($AG$8:$AG$20,MATCH($L189,$AD$8:$AD$20,1)),"")))),"")</f>
        <v/>
      </c>
      <c r="Q189" s="45"/>
      <c r="R189" s="71" t="n">
        <v>0.1</v>
      </c>
      <c r="S189" s="71"/>
      <c r="T189" s="69" t="str">
        <f aca="false">IF(OR($R189="",$S189=""),"",IF($S189&gt;$R189,"Acima do limite","Dentro do limite"))</f>
        <v/>
      </c>
      <c r="U189" s="28"/>
      <c r="V189" s="28"/>
      <c r="W189" s="28" t="n">
        <v>150</v>
      </c>
      <c r="X189" s="140" t="n">
        <f aca="false">IFERROR(IF(OR($J189="",$K189=""),0,$J189*$K189),0)</f>
        <v>6</v>
      </c>
      <c r="Y189" s="44" t="n">
        <f aca="false">IFERROR(IF($X189=0,0,$X189*IF($O189="",$N189,$O189)),0)</f>
        <v>600</v>
      </c>
      <c r="Z189" s="60" t="str">
        <f aca="false">IF($L189="","",IF($L189&lt;0.5,"Balística / Velocidade (&lt;50%)",IF($L189&lt;0.7,"Velocidade-Força (50–69%)",IF($L189&lt;0.8,"Força-Velocidade (70–79%)",IF($L189&lt;0.9,"Força Máxima (80–89%)","Força Máxima Alta (≥90%)")))))</f>
        <v>Força Máxima (80–89%)</v>
      </c>
      <c r="AA189" s="27"/>
      <c r="AB189" s="27" t="s">
        <v>620</v>
      </c>
    </row>
    <row r="190" customFormat="false" ht="15" hidden="false" customHeight="false" outlineLevel="0" collapsed="false">
      <c r="A190" s="29" t="n">
        <v>46325</v>
      </c>
      <c r="B190" s="33" t="n">
        <f aca="false">IF($A190="",0,INT(($A190-'Bloco Base'!$C$5)/7)+1)</f>
        <v>8</v>
      </c>
      <c r="C190" s="28" t="s">
        <v>979</v>
      </c>
      <c r="D190" s="28" t="s">
        <v>1193</v>
      </c>
      <c r="E190" s="27" t="s">
        <v>1117</v>
      </c>
      <c r="F190" s="28" t="n">
        <v>3</v>
      </c>
      <c r="G190" s="139" t="s">
        <v>698</v>
      </c>
      <c r="H190" s="27" t="s">
        <v>1191</v>
      </c>
      <c r="I190" s="28" t="s">
        <v>692</v>
      </c>
      <c r="J190" s="28" t="n">
        <v>3</v>
      </c>
      <c r="K190" s="28" t="n">
        <v>3</v>
      </c>
      <c r="L190" s="71" t="n">
        <v>0.75</v>
      </c>
      <c r="M190" s="35" t="n">
        <f aca="false">IF($AB190="","",IFERROR(INDEX('Força 1RM'!$Q$8:$Y$47,MATCH(IF($E190="Equipe (todos)",$C$4,$E190),'Força 1RM'!$P$8:$P$47,0),MATCH($AB190,'Força 1RM'!$Q$7:$Y$7,0)),""))</f>
        <v>160</v>
      </c>
      <c r="N190" s="30" t="n">
        <f aca="false">IFERROR(IF(OR($L190="",$M190="",$M190=0),0,ROUND($L190*$M190*2,0)/2),0)</f>
        <v>120</v>
      </c>
      <c r="O190" s="32"/>
      <c r="P190" s="42" t="n">
        <f aca="false">IFERROR(IF(OR($L190="",$I190="—",$I190=""),"",IF($I190="Agachamento",INDEX($AE$8:$AE$20,MATCH($L190,$AD$8:$AD$20,1)),IF($I190="Supino",INDEX($AF$8:$AF$20,MATCH($L190,$AD$8:$AD$20,1)),IF($I190="Terra",INDEX($AG$8:$AG$20,MATCH($L190,$AD$8:$AD$20,1)),"")))),"")</f>
        <v>0.62</v>
      </c>
      <c r="Q190" s="45"/>
      <c r="R190" s="71" t="n">
        <v>0.1</v>
      </c>
      <c r="S190" s="71"/>
      <c r="T190" s="69" t="str">
        <f aca="false">IF(OR($R190="",$S190=""),"",IF($S190&gt;$R190,"Acima do limite","Dentro do limite"))</f>
        <v/>
      </c>
      <c r="U190" s="28"/>
      <c r="V190" s="28"/>
      <c r="W190" s="28" t="n">
        <v>150</v>
      </c>
      <c r="X190" s="140" t="n">
        <f aca="false">IFERROR(IF(OR($J190="",$K190=""),0,$J190*$K190),0)</f>
        <v>9</v>
      </c>
      <c r="Y190" s="44" t="n">
        <f aca="false">IFERROR(IF($X190=0,0,$X190*IF($O190="",$N190,$O190)),0)</f>
        <v>1080</v>
      </c>
      <c r="Z190" s="60" t="str">
        <f aca="false">IF($L190="","",IF($L190&lt;0.5,"Balística / Velocidade (&lt;50%)",IF($L190&lt;0.7,"Velocidade-Força (50–69%)",IF($L190&lt;0.8,"Força-Velocidade (70–79%)",IF($L190&lt;0.9,"Força Máxima (80–89%)","Força Máxima Alta (≥90%)")))))</f>
        <v>Força-Velocidade (70–79%)</v>
      </c>
      <c r="AA190" s="27"/>
      <c r="AB190" s="27" t="s">
        <v>688</v>
      </c>
    </row>
    <row r="191" customFormat="false" ht="15" hidden="false" customHeight="false" outlineLevel="0" collapsed="false">
      <c r="A191" s="29" t="n">
        <v>46325</v>
      </c>
      <c r="B191" s="33" t="n">
        <f aca="false">IF($A191="",0,INT(($A191-'Bloco Base'!$C$5)/7)+1)</f>
        <v>8</v>
      </c>
      <c r="C191" s="28" t="s">
        <v>979</v>
      </c>
      <c r="D191" s="28" t="s">
        <v>1193</v>
      </c>
      <c r="E191" s="27" t="s">
        <v>1117</v>
      </c>
      <c r="F191" s="28" t="n">
        <v>4</v>
      </c>
      <c r="G191" s="139" t="s">
        <v>728</v>
      </c>
      <c r="H191" s="27" t="s">
        <v>1004</v>
      </c>
      <c r="I191" s="28" t="s">
        <v>168</v>
      </c>
      <c r="J191" s="28" t="n">
        <v>2</v>
      </c>
      <c r="K191" s="28" t="n">
        <v>8</v>
      </c>
      <c r="L191" s="71"/>
      <c r="M191" s="35" t="str">
        <f aca="false">IF($AB191="","",IFERROR(INDEX('Força 1RM'!$Q$8:$Y$47,MATCH(IF($E191="Equipe (todos)",$C$4,$E191),'Força 1RM'!$P$8:$P$47,0),MATCH($AB191,'Força 1RM'!$Q$7:$Y$7,0)),""))</f>
        <v/>
      </c>
      <c r="N191" s="30" t="n">
        <f aca="false">IFERROR(IF(OR($L191="",$M191="",$M191=0),0,ROUND($L191*$M191*2,0)/2),0)</f>
        <v>0</v>
      </c>
      <c r="O191" s="32"/>
      <c r="P191" s="42" t="str">
        <f aca="false">IFERROR(IF(OR($L191="",$I191="—",$I191=""),"",IF($I191="Agachamento",INDEX($AE$8:$AE$20,MATCH($L191,$AD$8:$AD$20,1)),IF($I191="Supino",INDEX($AF$8:$AF$20,MATCH($L191,$AD$8:$AD$20,1)),IF($I191="Terra",INDEX($AG$8:$AG$20,MATCH($L191,$AD$8:$AD$20,1)),"")))),"")</f>
        <v/>
      </c>
      <c r="Q191" s="45"/>
      <c r="R191" s="71"/>
      <c r="S191" s="71"/>
      <c r="T191" s="69" t="str">
        <f aca="false">IF(OR($R191="",$S191=""),"",IF($S191&gt;$R191,"Acima do limite","Dentro do limite"))</f>
        <v/>
      </c>
      <c r="U191" s="28"/>
      <c r="V191" s="28"/>
      <c r="W191" s="28" t="n">
        <v>60</v>
      </c>
      <c r="X191" s="140" t="n">
        <f aca="false">IFERROR(IF(OR($J191="",$K191=""),0,$J191*$K191),0)</f>
        <v>16</v>
      </c>
      <c r="Y191" s="44" t="n">
        <f aca="false">IFERROR(IF($X191=0,0,$X191*IF($O191="",$N191,$O191)),0)</f>
        <v>0</v>
      </c>
      <c r="Z191" s="60" t="str">
        <f aca="false">IF($L191="","",IF($L191&lt;0.5,"Balística / Velocidade (&lt;50%)",IF($L191&lt;0.7,"Velocidade-Força (50–69%)",IF($L191&lt;0.8,"Força-Velocidade (70–79%)",IF($L191&lt;0.9,"Força Máxima (80–89%)","Força Máxima Alta (≥90%)")))))</f>
        <v/>
      </c>
      <c r="AA191" s="27"/>
      <c r="AB191" s="27"/>
    </row>
    <row r="192" customFormat="false" ht="15" hidden="false" customHeight="false" outlineLevel="0" collapsed="false">
      <c r="A192" s="29" t="n">
        <v>46325</v>
      </c>
      <c r="B192" s="33" t="n">
        <f aca="false">IF($A192="",0,INT(($A192-'Bloco Base'!$C$5)/7)+1)</f>
        <v>8</v>
      </c>
      <c r="C192" s="28" t="s">
        <v>979</v>
      </c>
      <c r="D192" s="28" t="s">
        <v>1193</v>
      </c>
      <c r="E192" s="27" t="s">
        <v>1117</v>
      </c>
      <c r="F192" s="28" t="n">
        <v>5</v>
      </c>
      <c r="G192" s="139" t="s">
        <v>1030</v>
      </c>
      <c r="H192" s="27" t="s">
        <v>537</v>
      </c>
      <c r="I192" s="28" t="s">
        <v>168</v>
      </c>
      <c r="J192" s="28" t="n">
        <v>2</v>
      </c>
      <c r="K192" s="28" t="n">
        <v>6</v>
      </c>
      <c r="L192" s="71"/>
      <c r="M192" s="35" t="str">
        <f aca="false">IF($AB192="","",IFERROR(INDEX('Força 1RM'!$Q$8:$Y$47,MATCH(IF($E192="Equipe (todos)",$C$4,$E192),'Força 1RM'!$P$8:$P$47,0),MATCH($AB192,'Força 1RM'!$Q$7:$Y$7,0)),""))</f>
        <v/>
      </c>
      <c r="N192" s="30" t="n">
        <f aca="false">IFERROR(IF(OR($L192="",$M192="",$M192=0),0,ROUND($L192*$M192*2,0)/2),0)</f>
        <v>0</v>
      </c>
      <c r="O192" s="32"/>
      <c r="P192" s="42" t="str">
        <f aca="false">IFERROR(IF(OR($L192="",$I192="—",$I192=""),"",IF($I192="Agachamento",INDEX($AE$8:$AE$20,MATCH($L192,$AD$8:$AD$20,1)),IF($I192="Supino",INDEX($AF$8:$AF$20,MATCH($L192,$AD$8:$AD$20,1)),IF($I192="Terra",INDEX($AG$8:$AG$20,MATCH($L192,$AD$8:$AD$20,1)),"")))),"")</f>
        <v/>
      </c>
      <c r="Q192" s="45"/>
      <c r="R192" s="71"/>
      <c r="S192" s="71"/>
      <c r="T192" s="69" t="str">
        <f aca="false">IF(OR($R192="",$S192=""),"",IF($S192&gt;$R192,"Acima do limite","Dentro do limite"))</f>
        <v/>
      </c>
      <c r="U192" s="28"/>
      <c r="V192" s="28"/>
      <c r="W192" s="28" t="n">
        <v>90</v>
      </c>
      <c r="X192" s="140" t="n">
        <f aca="false">IFERROR(IF(OR($J192="",$K192=""),0,$J192*$K192),0)</f>
        <v>12</v>
      </c>
      <c r="Y192" s="44" t="n">
        <f aca="false">IFERROR(IF($X192=0,0,$X192*IF($O192="",$N192,$O192)),0)</f>
        <v>0</v>
      </c>
      <c r="Z192" s="60" t="str">
        <f aca="false">IF($L192="","",IF($L192&lt;0.5,"Balística / Velocidade (&lt;50%)",IF($L192&lt;0.7,"Velocidade-Força (50–69%)",IF($L192&lt;0.8,"Força-Velocidade (70–79%)",IF($L192&lt;0.9,"Força Máxima (80–89%)","Força Máxima Alta (≥90%)")))))</f>
        <v/>
      </c>
      <c r="AA192" s="27"/>
      <c r="AB192" s="27"/>
    </row>
    <row r="193" customFormat="false" ht="15" hidden="false" customHeight="false" outlineLevel="0" collapsed="false">
      <c r="A193" s="29" t="n">
        <v>46325</v>
      </c>
      <c r="B193" s="33" t="n">
        <f aca="false">IF($A193="",0,INT(($A193-'Bloco Base'!$C$5)/7)+1)</f>
        <v>8</v>
      </c>
      <c r="C193" s="28" t="s">
        <v>979</v>
      </c>
      <c r="D193" s="28" t="s">
        <v>1193</v>
      </c>
      <c r="E193" s="27" t="s">
        <v>1117</v>
      </c>
      <c r="F193" s="28" t="n">
        <v>6</v>
      </c>
      <c r="G193" s="139" t="s">
        <v>632</v>
      </c>
      <c r="H193" s="27" t="s">
        <v>558</v>
      </c>
      <c r="I193" s="28" t="s">
        <v>168</v>
      </c>
      <c r="J193" s="28" t="n">
        <v>4</v>
      </c>
      <c r="K193" s="28" t="n">
        <v>5</v>
      </c>
      <c r="L193" s="71"/>
      <c r="M193" s="35" t="str">
        <f aca="false">IF($AB193="","",IFERROR(INDEX('Força 1RM'!$Q$8:$Y$47,MATCH(IF($E193="Equipe (todos)",$C$4,$E193),'Força 1RM'!$P$8:$P$47,0),MATCH($AB193,'Força 1RM'!$Q$7:$Y$7,0)),""))</f>
        <v/>
      </c>
      <c r="N193" s="30" t="n">
        <f aca="false">IFERROR(IF(OR($L193="",$M193="",$M193=0),0,ROUND($L193*$M193*2,0)/2),0)</f>
        <v>0</v>
      </c>
      <c r="O193" s="32"/>
      <c r="P193" s="42" t="str">
        <f aca="false">IFERROR(IF(OR($L193="",$I193="—",$I193=""),"",IF($I193="Agachamento",INDEX($AE$8:$AE$20,MATCH($L193,$AD$8:$AD$20,1)),IF($I193="Supino",INDEX($AF$8:$AF$20,MATCH($L193,$AD$8:$AD$20,1)),IF($I193="Terra",INDEX($AG$8:$AG$20,MATCH($L193,$AD$8:$AD$20,1)),"")))),"")</f>
        <v/>
      </c>
      <c r="Q193" s="45"/>
      <c r="R193" s="71"/>
      <c r="S193" s="71"/>
      <c r="T193" s="69" t="str">
        <f aca="false">IF(OR($R193="",$S193=""),"",IF($S193&gt;$R193,"Acima do limite","Dentro do limite"))</f>
        <v/>
      </c>
      <c r="U193" s="28"/>
      <c r="V193" s="28"/>
      <c r="W193" s="28" t="n">
        <v>120</v>
      </c>
      <c r="X193" s="140" t="n">
        <f aca="false">IFERROR(IF(OR($J193="",$K193=""),0,$J193*$K193),0)</f>
        <v>20</v>
      </c>
      <c r="Y193" s="44" t="n">
        <f aca="false">IFERROR(IF($X193=0,0,$X193*IF($O193="",$N193,$O193)),0)</f>
        <v>0</v>
      </c>
      <c r="Z193" s="60" t="str">
        <f aca="false">IF($L193="","",IF($L193&lt;0.5,"Balística / Velocidade (&lt;50%)",IF($L193&lt;0.7,"Velocidade-Força (50–69%)",IF($L193&lt;0.8,"Força-Velocidade (70–79%)",IF($L193&lt;0.9,"Força Máxima (80–89%)","Força Máxima Alta (≥90%)")))))</f>
        <v/>
      </c>
      <c r="AA193" s="27"/>
      <c r="AB193" s="27"/>
    </row>
    <row r="194" customFormat="false" ht="15" hidden="false" customHeight="false" outlineLevel="0" collapsed="false">
      <c r="A194" s="29" t="n">
        <v>46325</v>
      </c>
      <c r="B194" s="33" t="n">
        <f aca="false">IF($A194="",0,INT(($A194-'Bloco Base'!$C$5)/7)+1)</f>
        <v>8</v>
      </c>
      <c r="C194" s="28" t="s">
        <v>979</v>
      </c>
      <c r="D194" s="28" t="s">
        <v>1193</v>
      </c>
      <c r="E194" s="27" t="s">
        <v>1117</v>
      </c>
      <c r="F194" s="28" t="n">
        <v>7</v>
      </c>
      <c r="G194" s="139" t="s">
        <v>664</v>
      </c>
      <c r="H194" s="27" t="s">
        <v>537</v>
      </c>
      <c r="I194" s="28" t="s">
        <v>168</v>
      </c>
      <c r="J194" s="28" t="n">
        <v>3</v>
      </c>
      <c r="K194" s="28" t="n">
        <v>5</v>
      </c>
      <c r="L194" s="71" t="n">
        <v>0.85</v>
      </c>
      <c r="M194" s="35" t="str">
        <f aca="false">IF($AB194="","",IFERROR(INDEX('Força 1RM'!$Q$8:$Y$47,MATCH(IF($E194="Equipe (todos)",$C$4,$E194),'Força 1RM'!$P$8:$P$47,0),MATCH($AB194,'Força 1RM'!$Q$7:$Y$7,0)),""))</f>
        <v/>
      </c>
      <c r="N194" s="30" t="n">
        <f aca="false">IFERROR(IF(OR($L194="",$M194="",$M194=0),0,ROUND($L194*$M194*2,0)/2),0)</f>
        <v>0</v>
      </c>
      <c r="O194" s="32"/>
      <c r="P194" s="42" t="str">
        <f aca="false">IFERROR(IF(OR($L194="",$I194="—",$I194=""),"",IF($I194="Agachamento",INDEX($AE$8:$AE$20,MATCH($L194,$AD$8:$AD$20,1)),IF($I194="Supino",INDEX($AF$8:$AF$20,MATCH($L194,$AD$8:$AD$20,1)),IF($I194="Terra",INDEX($AG$8:$AG$20,MATCH($L194,$AD$8:$AD$20,1)),"")))),"")</f>
        <v/>
      </c>
      <c r="Q194" s="45"/>
      <c r="R194" s="71" t="n">
        <v>0.15</v>
      </c>
      <c r="S194" s="71"/>
      <c r="T194" s="69" t="str">
        <f aca="false">IF(OR($R194="",$S194=""),"",IF($S194&gt;$R194,"Acima do limite","Dentro do limite"))</f>
        <v/>
      </c>
      <c r="U194" s="28"/>
      <c r="V194" s="28"/>
      <c r="W194" s="28" t="n">
        <v>120</v>
      </c>
      <c r="X194" s="140" t="n">
        <f aca="false">IFERROR(IF(OR($J194="",$K194=""),0,$J194*$K194),0)</f>
        <v>15</v>
      </c>
      <c r="Y194" s="44" t="n">
        <f aca="false">IFERROR(IF($X194=0,0,$X194*IF($O194="",$N194,$O194)),0)</f>
        <v>0</v>
      </c>
      <c r="Z194" s="60" t="str">
        <f aca="false">IF($L194="","",IF($L194&lt;0.5,"Balística / Velocidade (&lt;50%)",IF($L194&lt;0.7,"Velocidade-Força (50–69%)",IF($L194&lt;0.8,"Força-Velocidade (70–79%)",IF($L194&lt;0.9,"Força Máxima (80–89%)","Força Máxima Alta (≥90%)")))))</f>
        <v>Força Máxima (80–89%)</v>
      </c>
      <c r="AA194" s="27"/>
      <c r="AB194" s="27"/>
    </row>
    <row r="195" customFormat="false" ht="15" hidden="false" customHeight="false" outlineLevel="0" collapsed="false">
      <c r="A195" s="29" t="n">
        <v>46325</v>
      </c>
      <c r="B195" s="33" t="n">
        <f aca="false">IF($A195="",0,INT(($A195-'Bloco Base'!$C$5)/7)+1)</f>
        <v>8</v>
      </c>
      <c r="C195" s="28" t="s">
        <v>979</v>
      </c>
      <c r="D195" s="28" t="s">
        <v>1193</v>
      </c>
      <c r="E195" s="27" t="s">
        <v>1117</v>
      </c>
      <c r="F195" s="28" t="n">
        <v>8</v>
      </c>
      <c r="G195" s="139" t="s">
        <v>566</v>
      </c>
      <c r="H195" s="27" t="s">
        <v>480</v>
      </c>
      <c r="I195" s="28" t="s">
        <v>168</v>
      </c>
      <c r="J195" s="28" t="n">
        <v>4</v>
      </c>
      <c r="K195" s="28" t="n">
        <v>1</v>
      </c>
      <c r="L195" s="71"/>
      <c r="M195" s="35" t="str">
        <f aca="false">IF($AB195="","",IFERROR(INDEX('Força 1RM'!$Q$8:$Y$47,MATCH(IF($E195="Equipe (todos)",$C$4,$E195),'Força 1RM'!$P$8:$P$47,0),MATCH($AB195,'Força 1RM'!$Q$7:$Y$7,0)),""))</f>
        <v/>
      </c>
      <c r="N195" s="30" t="n">
        <f aca="false">IFERROR(IF(OR($L195="",$M195="",$M195=0),0,ROUND($L195*$M195*2,0)/2),0)</f>
        <v>0</v>
      </c>
      <c r="O195" s="32"/>
      <c r="P195" s="42" t="str">
        <f aca="false">IFERROR(IF(OR($L195="",$I195="—",$I195=""),"",IF($I195="Agachamento",INDEX($AE$8:$AE$20,MATCH($L195,$AD$8:$AD$20,1)),IF($I195="Supino",INDEX($AF$8:$AF$20,MATCH($L195,$AD$8:$AD$20,1)),IF($I195="Terra",INDEX($AG$8:$AG$20,MATCH($L195,$AD$8:$AD$20,1)),"")))),"")</f>
        <v/>
      </c>
      <c r="Q195" s="45"/>
      <c r="R195" s="71"/>
      <c r="S195" s="71"/>
      <c r="T195" s="69" t="str">
        <f aca="false">IF(OR($R195="",$S195=""),"",IF($S195&gt;$R195,"Acima do limite","Dentro do limite"))</f>
        <v/>
      </c>
      <c r="U195" s="28"/>
      <c r="V195" s="28"/>
      <c r="W195" s="28" t="n">
        <v>120</v>
      </c>
      <c r="X195" s="140" t="n">
        <f aca="false">IFERROR(IF(OR($J195="",$K195=""),0,$J195*$K195),0)</f>
        <v>4</v>
      </c>
      <c r="Y195" s="44" t="n">
        <f aca="false">IFERROR(IF($X195=0,0,$X195*IF($O195="",$N195,$O195)),0)</f>
        <v>0</v>
      </c>
      <c r="Z195" s="60" t="str">
        <f aca="false">IF($L195="","",IF($L195&lt;0.5,"Balística / Velocidade (&lt;50%)",IF($L195&lt;0.7,"Velocidade-Força (50–69%)",IF($L195&lt;0.8,"Força-Velocidade (70–79%)",IF($L195&lt;0.9,"Força Máxima (80–89%)","Força Máxima Alta (≥90%)")))))</f>
        <v/>
      </c>
      <c r="AA195" s="27"/>
      <c r="AB195" s="27"/>
    </row>
    <row r="196" customFormat="false" ht="15" hidden="false" customHeight="false" outlineLevel="0" collapsed="false">
      <c r="A196" s="29" t="n">
        <v>46325</v>
      </c>
      <c r="B196" s="33" t="n">
        <f aca="false">IF($A196="",0,INT(($A196-'Bloco Base'!$C$5)/7)+1)</f>
        <v>8</v>
      </c>
      <c r="C196" s="28" t="s">
        <v>979</v>
      </c>
      <c r="D196" s="28" t="s">
        <v>1193</v>
      </c>
      <c r="E196" s="27" t="s">
        <v>1117</v>
      </c>
      <c r="F196" s="28" t="n">
        <v>9</v>
      </c>
      <c r="G196" s="139" t="s">
        <v>748</v>
      </c>
      <c r="H196" s="27" t="s">
        <v>776</v>
      </c>
      <c r="I196" s="28" t="s">
        <v>168</v>
      </c>
      <c r="J196" s="28" t="n">
        <v>3</v>
      </c>
      <c r="K196" s="28" t="n">
        <v>15</v>
      </c>
      <c r="L196" s="71"/>
      <c r="M196" s="35" t="str">
        <f aca="false">IF($AB196="","",IFERROR(INDEX('Força 1RM'!$Q$8:$Y$47,MATCH(IF($E196="Equipe (todos)",$C$4,$E196),'Força 1RM'!$P$8:$P$47,0),MATCH($AB196,'Força 1RM'!$Q$7:$Y$7,0)),""))</f>
        <v/>
      </c>
      <c r="N196" s="30" t="n">
        <f aca="false">IFERROR(IF(OR($L196="",$M196="",$M196=0),0,ROUND($L196*$M196*2,0)/2),0)</f>
        <v>0</v>
      </c>
      <c r="O196" s="32"/>
      <c r="P196" s="42" t="str">
        <f aca="false">IFERROR(IF(OR($L196="",$I196="—",$I196=""),"",IF($I196="Agachamento",INDEX($AE$8:$AE$20,MATCH($L196,$AD$8:$AD$20,1)),IF($I196="Supino",INDEX($AF$8:$AF$20,MATCH($L196,$AD$8:$AD$20,1)),IF($I196="Terra",INDEX($AG$8:$AG$20,MATCH($L196,$AD$8:$AD$20,1)),"")))),"")</f>
        <v/>
      </c>
      <c r="Q196" s="45"/>
      <c r="R196" s="71"/>
      <c r="S196" s="71"/>
      <c r="T196" s="69" t="str">
        <f aca="false">IF(OR($R196="",$S196=""),"",IF($S196&gt;$R196,"Acima do limite","Dentro do limite"))</f>
        <v/>
      </c>
      <c r="U196" s="28"/>
      <c r="V196" s="28"/>
      <c r="W196" s="28" t="n">
        <v>45</v>
      </c>
      <c r="X196" s="140" t="n">
        <f aca="false">IFERROR(IF(OR($J196="",$K196=""),0,$J196*$K196),0)</f>
        <v>45</v>
      </c>
      <c r="Y196" s="44" t="n">
        <f aca="false">IFERROR(IF($X196=0,0,$X196*IF($O196="",$N196,$O196)),0)</f>
        <v>0</v>
      </c>
      <c r="Z196" s="60" t="str">
        <f aca="false">IF($L196="","",IF($L196&lt;0.5,"Balística / Velocidade (&lt;50%)",IF($L196&lt;0.7,"Velocidade-Força (50–69%)",IF($L196&lt;0.8,"Força-Velocidade (70–79%)",IF($L196&lt;0.9,"Força Máxima (80–89%)","Força Máxima Alta (≥90%)")))))</f>
        <v/>
      </c>
      <c r="AA196" s="27"/>
      <c r="AB196" s="27"/>
    </row>
    <row r="197" customFormat="false" ht="15" hidden="false" customHeight="false" outlineLevel="0" collapsed="false">
      <c r="A197" s="29"/>
      <c r="B197" s="33" t="n">
        <f aca="false">IF($A197="",0,INT(($A197-'Bloco Base'!$C$5)/7)+1)</f>
        <v>0</v>
      </c>
      <c r="C197" s="28"/>
      <c r="D197" s="28"/>
      <c r="E197" s="27"/>
      <c r="F197" s="28"/>
      <c r="G197" s="139"/>
      <c r="H197" s="27"/>
      <c r="I197" s="28"/>
      <c r="J197" s="28"/>
      <c r="K197" s="28"/>
      <c r="L197" s="71"/>
      <c r="M197" s="35" t="str">
        <f aca="false">IF($AB197="","",IFERROR(INDEX('Força 1RM'!$Q$8:$Y$47,MATCH(IF($E197="Equipe (todos)",$C$4,$E197),'Força 1RM'!$P$8:$P$47,0),MATCH($AB197,'Força 1RM'!$Q$7:$Y$7,0)),""))</f>
        <v/>
      </c>
      <c r="N197" s="30" t="n">
        <f aca="false">IFERROR(IF(OR($L197="",$M197="",$M197=0),0,ROUND($L197*$M197*2,0)/2),0)</f>
        <v>0</v>
      </c>
      <c r="O197" s="32"/>
      <c r="P197" s="42" t="str">
        <f aca="false">IFERROR(IF(OR($L197="",$I197="—",$I197=""),"",IF($I197="Agachamento",INDEX($AE$8:$AE$20,MATCH($L197,$AD$8:$AD$20,1)),IF($I197="Supino",INDEX($AF$8:$AF$20,MATCH($L197,$AD$8:$AD$20,1)),IF($I197="Terra",INDEX($AG$8:$AG$20,MATCH($L197,$AD$8:$AD$20,1)),"")))),"")</f>
        <v/>
      </c>
      <c r="Q197" s="45"/>
      <c r="R197" s="71"/>
      <c r="S197" s="71"/>
      <c r="T197" s="69" t="str">
        <f aca="false">IF(OR($R197="",$S197=""),"",IF($S197&gt;$R197,"Acima do limite","Dentro do limite"))</f>
        <v/>
      </c>
      <c r="U197" s="28"/>
      <c r="V197" s="28"/>
      <c r="W197" s="28"/>
      <c r="X197" s="140" t="n">
        <f aca="false">IFERROR(IF(OR($J197="",$K197=""),0,$J197*$K197),0)</f>
        <v>0</v>
      </c>
      <c r="Y197" s="44" t="n">
        <f aca="false">IFERROR(IF($X197=0,0,$X197*IF($O197="",$N197,$O197)),0)</f>
        <v>0</v>
      </c>
      <c r="Z197" s="60" t="str">
        <f aca="false">IF($L197="","",IF($L197&lt;0.5,"Balística / Velocidade (&lt;50%)",IF($L197&lt;0.7,"Velocidade-Força (50–69%)",IF($L197&lt;0.8,"Força-Velocidade (70–79%)",IF($L197&lt;0.9,"Força Máxima (80–89%)","Força Máxima Alta (≥90%)")))))</f>
        <v/>
      </c>
      <c r="AA197" s="27"/>
      <c r="AB197" s="27"/>
    </row>
    <row r="198" customFormat="false" ht="15" hidden="false" customHeight="false" outlineLevel="0" collapsed="false">
      <c r="A198" s="29"/>
      <c r="B198" s="33" t="n">
        <f aca="false">IF($A198="",0,INT(($A198-'Bloco Base'!$C$5)/7)+1)</f>
        <v>0</v>
      </c>
      <c r="C198" s="28"/>
      <c r="D198" s="28"/>
      <c r="E198" s="27"/>
      <c r="F198" s="28"/>
      <c r="G198" s="139"/>
      <c r="H198" s="27"/>
      <c r="I198" s="28"/>
      <c r="J198" s="28"/>
      <c r="K198" s="28"/>
      <c r="L198" s="71"/>
      <c r="M198" s="35" t="str">
        <f aca="false">IF($AB198="","",IFERROR(INDEX('Força 1RM'!$Q$8:$Y$47,MATCH(IF($E198="Equipe (todos)",$C$4,$E198),'Força 1RM'!$P$8:$P$47,0),MATCH($AB198,'Força 1RM'!$Q$7:$Y$7,0)),""))</f>
        <v/>
      </c>
      <c r="N198" s="30" t="n">
        <f aca="false">IFERROR(IF(OR($L198="",$M198="",$M198=0),0,ROUND($L198*$M198*2,0)/2),0)</f>
        <v>0</v>
      </c>
      <c r="O198" s="32"/>
      <c r="P198" s="42" t="str">
        <f aca="false">IFERROR(IF(OR($L198="",$I198="—",$I198=""),"",IF($I198="Agachamento",INDEX($AE$8:$AE$20,MATCH($L198,$AD$8:$AD$20,1)),IF($I198="Supino",INDEX($AF$8:$AF$20,MATCH($L198,$AD$8:$AD$20,1)),IF($I198="Terra",INDEX($AG$8:$AG$20,MATCH($L198,$AD$8:$AD$20,1)),"")))),"")</f>
        <v/>
      </c>
      <c r="Q198" s="45"/>
      <c r="R198" s="71"/>
      <c r="S198" s="71"/>
      <c r="T198" s="69" t="str">
        <f aca="false">IF(OR($R198="",$S198=""),"",IF($S198&gt;$R198,"Acima do limite","Dentro do limite"))</f>
        <v/>
      </c>
      <c r="U198" s="28"/>
      <c r="V198" s="28"/>
      <c r="W198" s="28"/>
      <c r="X198" s="140" t="n">
        <f aca="false">IFERROR(IF(OR($J198="",$K198=""),0,$J198*$K198),0)</f>
        <v>0</v>
      </c>
      <c r="Y198" s="44" t="n">
        <f aca="false">IFERROR(IF($X198=0,0,$X198*IF($O198="",$N198,$O198)),0)</f>
        <v>0</v>
      </c>
      <c r="Z198" s="60" t="str">
        <f aca="false">IF($L198="","",IF($L198&lt;0.5,"Balística / Velocidade (&lt;50%)",IF($L198&lt;0.7,"Velocidade-Força (50–69%)",IF($L198&lt;0.8,"Força-Velocidade (70–79%)",IF($L198&lt;0.9,"Força Máxima (80–89%)","Força Máxima Alta (≥90%)")))))</f>
        <v/>
      </c>
      <c r="AA198" s="27"/>
      <c r="AB198" s="27"/>
    </row>
    <row r="199" customFormat="false" ht="15" hidden="false" customHeight="false" outlineLevel="0" collapsed="false">
      <c r="A199" s="29"/>
      <c r="B199" s="33" t="n">
        <f aca="false">IF($A199="",0,INT(($A199-'Bloco Base'!$C$5)/7)+1)</f>
        <v>0</v>
      </c>
      <c r="C199" s="28"/>
      <c r="D199" s="28"/>
      <c r="E199" s="27"/>
      <c r="F199" s="28"/>
      <c r="G199" s="139"/>
      <c r="H199" s="27"/>
      <c r="I199" s="28"/>
      <c r="J199" s="28"/>
      <c r="K199" s="28"/>
      <c r="L199" s="71"/>
      <c r="M199" s="35" t="str">
        <f aca="false">IF($AB199="","",IFERROR(INDEX('Força 1RM'!$Q$8:$Y$47,MATCH(IF($E199="Equipe (todos)",$C$4,$E199),'Força 1RM'!$P$8:$P$47,0),MATCH($AB199,'Força 1RM'!$Q$7:$Y$7,0)),""))</f>
        <v/>
      </c>
      <c r="N199" s="30" t="n">
        <f aca="false">IFERROR(IF(OR($L199="",$M199="",$M199=0),0,ROUND($L199*$M199*2,0)/2),0)</f>
        <v>0</v>
      </c>
      <c r="O199" s="32"/>
      <c r="P199" s="42" t="str">
        <f aca="false">IFERROR(IF(OR($L199="",$I199="—",$I199=""),"",IF($I199="Agachamento",INDEX($AE$8:$AE$20,MATCH($L199,$AD$8:$AD$20,1)),IF($I199="Supino",INDEX($AF$8:$AF$20,MATCH($L199,$AD$8:$AD$20,1)),IF($I199="Terra",INDEX($AG$8:$AG$20,MATCH($L199,$AD$8:$AD$20,1)),"")))),"")</f>
        <v/>
      </c>
      <c r="Q199" s="45"/>
      <c r="R199" s="71"/>
      <c r="S199" s="71"/>
      <c r="T199" s="69" t="str">
        <f aca="false">IF(OR($R199="",$S199=""),"",IF($S199&gt;$R199,"Acima do limite","Dentro do limite"))</f>
        <v/>
      </c>
      <c r="U199" s="28"/>
      <c r="V199" s="28"/>
      <c r="W199" s="28"/>
      <c r="X199" s="140" t="n">
        <f aca="false">IFERROR(IF(OR($J199="",$K199=""),0,$J199*$K199),0)</f>
        <v>0</v>
      </c>
      <c r="Y199" s="44" t="n">
        <f aca="false">IFERROR(IF($X199=0,0,$X199*IF($O199="",$N199,$O199)),0)</f>
        <v>0</v>
      </c>
      <c r="Z199" s="60" t="str">
        <f aca="false">IF($L199="","",IF($L199&lt;0.5,"Balística / Velocidade (&lt;50%)",IF($L199&lt;0.7,"Velocidade-Força (50–69%)",IF($L199&lt;0.8,"Força-Velocidade (70–79%)",IF($L199&lt;0.9,"Força Máxima (80–89%)","Força Máxima Alta (≥90%)")))))</f>
        <v/>
      </c>
      <c r="AA199" s="27"/>
      <c r="AB199" s="27"/>
    </row>
    <row r="200" customFormat="false" ht="15" hidden="false" customHeight="false" outlineLevel="0" collapsed="false">
      <c r="A200" s="29"/>
      <c r="B200" s="33" t="n">
        <f aca="false">IF($A200="",0,INT(($A200-'Bloco Base'!$C$5)/7)+1)</f>
        <v>0</v>
      </c>
      <c r="C200" s="28"/>
      <c r="D200" s="28"/>
      <c r="E200" s="27"/>
      <c r="F200" s="28"/>
      <c r="G200" s="139"/>
      <c r="H200" s="27"/>
      <c r="I200" s="28"/>
      <c r="J200" s="28"/>
      <c r="K200" s="28"/>
      <c r="L200" s="71"/>
      <c r="M200" s="35" t="str">
        <f aca="false">IF($AB200="","",IFERROR(INDEX('Força 1RM'!$Q$8:$Y$47,MATCH(IF($E200="Equipe (todos)",$C$4,$E200),'Força 1RM'!$P$8:$P$47,0),MATCH($AB200,'Força 1RM'!$Q$7:$Y$7,0)),""))</f>
        <v/>
      </c>
      <c r="N200" s="30" t="n">
        <f aca="false">IFERROR(IF(OR($L200="",$M200="",$M200=0),0,ROUND($L200*$M200*2,0)/2),0)</f>
        <v>0</v>
      </c>
      <c r="O200" s="32"/>
      <c r="P200" s="42" t="str">
        <f aca="false">IFERROR(IF(OR($L200="",$I200="—",$I200=""),"",IF($I200="Agachamento",INDEX($AE$8:$AE$20,MATCH($L200,$AD$8:$AD$20,1)),IF($I200="Supino",INDEX($AF$8:$AF$20,MATCH($L200,$AD$8:$AD$20,1)),IF($I200="Terra",INDEX($AG$8:$AG$20,MATCH($L200,$AD$8:$AD$20,1)),"")))),"")</f>
        <v/>
      </c>
      <c r="Q200" s="45"/>
      <c r="R200" s="71"/>
      <c r="S200" s="71"/>
      <c r="T200" s="69" t="str">
        <f aca="false">IF(OR($R200="",$S200=""),"",IF($S200&gt;$R200,"Acima do limite","Dentro do limite"))</f>
        <v/>
      </c>
      <c r="U200" s="28"/>
      <c r="V200" s="28"/>
      <c r="W200" s="28"/>
      <c r="X200" s="140" t="n">
        <f aca="false">IFERROR(IF(OR($J200="",$K200=""),0,$J200*$K200),0)</f>
        <v>0</v>
      </c>
      <c r="Y200" s="44" t="n">
        <f aca="false">IFERROR(IF($X200=0,0,$X200*IF($O200="",$N200,$O200)),0)</f>
        <v>0</v>
      </c>
      <c r="Z200" s="60" t="str">
        <f aca="false">IF($L200="","",IF($L200&lt;0.5,"Balística / Velocidade (&lt;50%)",IF($L200&lt;0.7,"Velocidade-Força (50–69%)",IF($L200&lt;0.8,"Força-Velocidade (70–79%)",IF($L200&lt;0.9,"Força Máxima (80–89%)","Força Máxima Alta (≥90%)")))))</f>
        <v/>
      </c>
      <c r="AA200" s="27"/>
      <c r="AB200" s="27"/>
    </row>
    <row r="201" customFormat="false" ht="15" hidden="false" customHeight="false" outlineLevel="0" collapsed="false">
      <c r="A201" s="29"/>
      <c r="B201" s="33" t="n">
        <f aca="false">IF($A201="",0,INT(($A201-'Bloco Base'!$C$5)/7)+1)</f>
        <v>0</v>
      </c>
      <c r="C201" s="28"/>
      <c r="D201" s="28"/>
      <c r="E201" s="27"/>
      <c r="F201" s="28"/>
      <c r="G201" s="139"/>
      <c r="H201" s="27"/>
      <c r="I201" s="28"/>
      <c r="J201" s="28"/>
      <c r="K201" s="28"/>
      <c r="L201" s="71"/>
      <c r="M201" s="35" t="str">
        <f aca="false">IF($AB201="","",IFERROR(INDEX('Força 1RM'!$Q$8:$Y$47,MATCH(IF($E201="Equipe (todos)",$C$4,$E201),'Força 1RM'!$P$8:$P$47,0),MATCH($AB201,'Força 1RM'!$Q$7:$Y$7,0)),""))</f>
        <v/>
      </c>
      <c r="N201" s="30" t="n">
        <f aca="false">IFERROR(IF(OR($L201="",$M201="",$M201=0),0,ROUND($L201*$M201*2,0)/2),0)</f>
        <v>0</v>
      </c>
      <c r="O201" s="32"/>
      <c r="P201" s="42" t="str">
        <f aca="false">IFERROR(IF(OR($L201="",$I201="—",$I201=""),"",IF($I201="Agachamento",INDEX($AE$8:$AE$20,MATCH($L201,$AD$8:$AD$20,1)),IF($I201="Supino",INDEX($AF$8:$AF$20,MATCH($L201,$AD$8:$AD$20,1)),IF($I201="Terra",INDEX($AG$8:$AG$20,MATCH($L201,$AD$8:$AD$20,1)),"")))),"")</f>
        <v/>
      </c>
      <c r="Q201" s="45"/>
      <c r="R201" s="71"/>
      <c r="S201" s="71"/>
      <c r="T201" s="69" t="str">
        <f aca="false">IF(OR($R201="",$S201=""),"",IF($S201&gt;$R201,"Acima do limite","Dentro do limite"))</f>
        <v/>
      </c>
      <c r="U201" s="28"/>
      <c r="V201" s="28"/>
      <c r="W201" s="28"/>
      <c r="X201" s="140" t="n">
        <f aca="false">IFERROR(IF(OR($J201="",$K201=""),0,$J201*$K201),0)</f>
        <v>0</v>
      </c>
      <c r="Y201" s="44" t="n">
        <f aca="false">IFERROR(IF($X201=0,0,$X201*IF($O201="",$N201,$O201)),0)</f>
        <v>0</v>
      </c>
      <c r="Z201" s="60" t="str">
        <f aca="false">IF($L201="","",IF($L201&lt;0.5,"Balística / Velocidade (&lt;50%)",IF($L201&lt;0.7,"Velocidade-Força (50–69%)",IF($L201&lt;0.8,"Força-Velocidade (70–79%)",IF($L201&lt;0.9,"Força Máxima (80–89%)","Força Máxima Alta (≥90%)")))))</f>
        <v/>
      </c>
      <c r="AA201" s="27"/>
      <c r="AB201" s="27"/>
    </row>
    <row r="202" customFormat="false" ht="15" hidden="false" customHeight="false" outlineLevel="0" collapsed="false">
      <c r="A202" s="29"/>
      <c r="B202" s="33" t="n">
        <f aca="false">IF($A202="",0,INT(($A202-'Bloco Base'!$C$5)/7)+1)</f>
        <v>0</v>
      </c>
      <c r="C202" s="28"/>
      <c r="D202" s="28"/>
      <c r="E202" s="27"/>
      <c r="F202" s="28"/>
      <c r="G202" s="139"/>
      <c r="H202" s="27"/>
      <c r="I202" s="28"/>
      <c r="J202" s="28"/>
      <c r="K202" s="28"/>
      <c r="L202" s="71"/>
      <c r="M202" s="35" t="str">
        <f aca="false">IF($AB202="","",IFERROR(INDEX('Força 1RM'!$Q$8:$Y$47,MATCH(IF($E202="Equipe (todos)",$C$4,$E202),'Força 1RM'!$P$8:$P$47,0),MATCH($AB202,'Força 1RM'!$Q$7:$Y$7,0)),""))</f>
        <v/>
      </c>
      <c r="N202" s="30" t="n">
        <f aca="false">IFERROR(IF(OR($L202="",$M202="",$M202=0),0,ROUND($L202*$M202*2,0)/2),0)</f>
        <v>0</v>
      </c>
      <c r="O202" s="32"/>
      <c r="P202" s="42" t="str">
        <f aca="false">IFERROR(IF(OR($L202="",$I202="—",$I202=""),"",IF($I202="Agachamento",INDEX($AE$8:$AE$20,MATCH($L202,$AD$8:$AD$20,1)),IF($I202="Supino",INDEX($AF$8:$AF$20,MATCH($L202,$AD$8:$AD$20,1)),IF($I202="Terra",INDEX($AG$8:$AG$20,MATCH($L202,$AD$8:$AD$20,1)),"")))),"")</f>
        <v/>
      </c>
      <c r="Q202" s="45"/>
      <c r="R202" s="71"/>
      <c r="S202" s="71"/>
      <c r="T202" s="69" t="str">
        <f aca="false">IF(OR($R202="",$S202=""),"",IF($S202&gt;$R202,"Acima do limite","Dentro do limite"))</f>
        <v/>
      </c>
      <c r="U202" s="28"/>
      <c r="V202" s="28"/>
      <c r="W202" s="28"/>
      <c r="X202" s="140" t="n">
        <f aca="false">IFERROR(IF(OR($J202="",$K202=""),0,$J202*$K202),0)</f>
        <v>0</v>
      </c>
      <c r="Y202" s="44" t="n">
        <f aca="false">IFERROR(IF($X202=0,0,$X202*IF($O202="",$N202,$O202)),0)</f>
        <v>0</v>
      </c>
      <c r="Z202" s="60" t="str">
        <f aca="false">IF($L202="","",IF($L202&lt;0.5,"Balística / Velocidade (&lt;50%)",IF($L202&lt;0.7,"Velocidade-Força (50–69%)",IF($L202&lt;0.8,"Força-Velocidade (70–79%)",IF($L202&lt;0.9,"Força Máxima (80–89%)","Força Máxima Alta (≥90%)")))))</f>
        <v/>
      </c>
      <c r="AA202" s="27"/>
      <c r="AB202" s="27"/>
    </row>
    <row r="203" customFormat="false" ht="15" hidden="false" customHeight="false" outlineLevel="0" collapsed="false">
      <c r="A203" s="29"/>
      <c r="B203" s="33" t="n">
        <f aca="false">IF($A203="",0,INT(($A203-'Bloco Base'!$C$5)/7)+1)</f>
        <v>0</v>
      </c>
      <c r="C203" s="28"/>
      <c r="D203" s="28"/>
      <c r="E203" s="27"/>
      <c r="F203" s="28"/>
      <c r="G203" s="139"/>
      <c r="H203" s="27"/>
      <c r="I203" s="28"/>
      <c r="J203" s="28"/>
      <c r="K203" s="28"/>
      <c r="L203" s="71"/>
      <c r="M203" s="35" t="str">
        <f aca="false">IF($AB203="","",IFERROR(INDEX('Força 1RM'!$Q$8:$Y$47,MATCH(IF($E203="Equipe (todos)",$C$4,$E203),'Força 1RM'!$P$8:$P$47,0),MATCH($AB203,'Força 1RM'!$Q$7:$Y$7,0)),""))</f>
        <v/>
      </c>
      <c r="N203" s="30" t="n">
        <f aca="false">IFERROR(IF(OR($L203="",$M203="",$M203=0),0,ROUND($L203*$M203*2,0)/2),0)</f>
        <v>0</v>
      </c>
      <c r="O203" s="32"/>
      <c r="P203" s="42" t="str">
        <f aca="false">IFERROR(IF(OR($L203="",$I203="—",$I203=""),"",IF($I203="Agachamento",INDEX($AE$8:$AE$20,MATCH($L203,$AD$8:$AD$20,1)),IF($I203="Supino",INDEX($AF$8:$AF$20,MATCH($L203,$AD$8:$AD$20,1)),IF($I203="Terra",INDEX($AG$8:$AG$20,MATCH($L203,$AD$8:$AD$20,1)),"")))),"")</f>
        <v/>
      </c>
      <c r="Q203" s="45"/>
      <c r="R203" s="71"/>
      <c r="S203" s="71"/>
      <c r="T203" s="69" t="str">
        <f aca="false">IF(OR($R203="",$S203=""),"",IF($S203&gt;$R203,"Acima do limite","Dentro do limite"))</f>
        <v/>
      </c>
      <c r="U203" s="28"/>
      <c r="V203" s="28"/>
      <c r="W203" s="28"/>
      <c r="X203" s="140" t="n">
        <f aca="false">IFERROR(IF(OR($J203="",$K203=""),0,$J203*$K203),0)</f>
        <v>0</v>
      </c>
      <c r="Y203" s="44" t="n">
        <f aca="false">IFERROR(IF($X203=0,0,$X203*IF($O203="",$N203,$O203)),0)</f>
        <v>0</v>
      </c>
      <c r="Z203" s="60" t="str">
        <f aca="false">IF($L203="","",IF($L203&lt;0.5,"Balística / Velocidade (&lt;50%)",IF($L203&lt;0.7,"Velocidade-Força (50–69%)",IF($L203&lt;0.8,"Força-Velocidade (70–79%)",IF($L203&lt;0.9,"Força Máxima (80–89%)","Força Máxima Alta (≥90%)")))))</f>
        <v/>
      </c>
      <c r="AA203" s="27"/>
      <c r="AB203" s="27"/>
    </row>
    <row r="204" customFormat="false" ht="15" hidden="false" customHeight="false" outlineLevel="0" collapsed="false">
      <c r="A204" s="29"/>
      <c r="B204" s="33" t="n">
        <f aca="false">IF($A204="",0,INT(($A204-'Bloco Base'!$C$5)/7)+1)</f>
        <v>0</v>
      </c>
      <c r="C204" s="28"/>
      <c r="D204" s="28"/>
      <c r="E204" s="27"/>
      <c r="F204" s="28"/>
      <c r="G204" s="139"/>
      <c r="H204" s="27"/>
      <c r="I204" s="28"/>
      <c r="J204" s="28"/>
      <c r="K204" s="28"/>
      <c r="L204" s="71"/>
      <c r="M204" s="35" t="str">
        <f aca="false">IF($AB204="","",IFERROR(INDEX('Força 1RM'!$Q$8:$Y$47,MATCH(IF($E204="Equipe (todos)",$C$4,$E204),'Força 1RM'!$P$8:$P$47,0),MATCH($AB204,'Força 1RM'!$Q$7:$Y$7,0)),""))</f>
        <v/>
      </c>
      <c r="N204" s="30" t="n">
        <f aca="false">IFERROR(IF(OR($L204="",$M204="",$M204=0),0,ROUND($L204*$M204*2,0)/2),0)</f>
        <v>0</v>
      </c>
      <c r="O204" s="32"/>
      <c r="P204" s="42" t="str">
        <f aca="false">IFERROR(IF(OR($L204="",$I204="—",$I204=""),"",IF($I204="Agachamento",INDEX($AE$8:$AE$20,MATCH($L204,$AD$8:$AD$20,1)),IF($I204="Supino",INDEX($AF$8:$AF$20,MATCH($L204,$AD$8:$AD$20,1)),IF($I204="Terra",INDEX($AG$8:$AG$20,MATCH($L204,$AD$8:$AD$20,1)),"")))),"")</f>
        <v/>
      </c>
      <c r="Q204" s="45"/>
      <c r="R204" s="71"/>
      <c r="S204" s="71"/>
      <c r="T204" s="69" t="str">
        <f aca="false">IF(OR($R204="",$S204=""),"",IF($S204&gt;$R204,"Acima do limite","Dentro do limite"))</f>
        <v/>
      </c>
      <c r="U204" s="28"/>
      <c r="V204" s="28"/>
      <c r="W204" s="28"/>
      <c r="X204" s="140" t="n">
        <f aca="false">IFERROR(IF(OR($J204="",$K204=""),0,$J204*$K204),0)</f>
        <v>0</v>
      </c>
      <c r="Y204" s="44" t="n">
        <f aca="false">IFERROR(IF($X204=0,0,$X204*IF($O204="",$N204,$O204)),0)</f>
        <v>0</v>
      </c>
      <c r="Z204" s="60" t="str">
        <f aca="false">IF($L204="","",IF($L204&lt;0.5,"Balística / Velocidade (&lt;50%)",IF($L204&lt;0.7,"Velocidade-Força (50–69%)",IF($L204&lt;0.8,"Força-Velocidade (70–79%)",IF($L204&lt;0.9,"Força Máxima (80–89%)","Força Máxima Alta (≥90%)")))))</f>
        <v/>
      </c>
      <c r="AA204" s="27"/>
      <c r="AB204" s="27"/>
    </row>
    <row r="205" customFormat="false" ht="15" hidden="false" customHeight="false" outlineLevel="0" collapsed="false">
      <c r="A205" s="29"/>
      <c r="B205" s="33" t="n">
        <f aca="false">IF($A205="",0,INT(($A205-'Bloco Base'!$C$5)/7)+1)</f>
        <v>0</v>
      </c>
      <c r="C205" s="28"/>
      <c r="D205" s="28"/>
      <c r="E205" s="27"/>
      <c r="F205" s="28"/>
      <c r="G205" s="139"/>
      <c r="H205" s="27"/>
      <c r="I205" s="28"/>
      <c r="J205" s="28"/>
      <c r="K205" s="28"/>
      <c r="L205" s="71"/>
      <c r="M205" s="35" t="str">
        <f aca="false">IF($AB205="","",IFERROR(INDEX('Força 1RM'!$Q$8:$Y$47,MATCH(IF($E205="Equipe (todos)",$C$4,$E205),'Força 1RM'!$P$8:$P$47,0),MATCH($AB205,'Força 1RM'!$Q$7:$Y$7,0)),""))</f>
        <v/>
      </c>
      <c r="N205" s="30" t="n">
        <f aca="false">IFERROR(IF(OR($L205="",$M205="",$M205=0),0,ROUND($L205*$M205*2,0)/2),0)</f>
        <v>0</v>
      </c>
      <c r="O205" s="32"/>
      <c r="P205" s="42" t="str">
        <f aca="false">IFERROR(IF(OR($L205="",$I205="—",$I205=""),"",IF($I205="Agachamento",INDEX($AE$8:$AE$20,MATCH($L205,$AD$8:$AD$20,1)),IF($I205="Supino",INDEX($AF$8:$AF$20,MATCH($L205,$AD$8:$AD$20,1)),IF($I205="Terra",INDEX($AG$8:$AG$20,MATCH($L205,$AD$8:$AD$20,1)),"")))),"")</f>
        <v/>
      </c>
      <c r="Q205" s="45"/>
      <c r="R205" s="71"/>
      <c r="S205" s="71"/>
      <c r="T205" s="69" t="str">
        <f aca="false">IF(OR($R205="",$S205=""),"",IF($S205&gt;$R205,"Acima do limite","Dentro do limite"))</f>
        <v/>
      </c>
      <c r="U205" s="28"/>
      <c r="V205" s="28"/>
      <c r="W205" s="28"/>
      <c r="X205" s="140" t="n">
        <f aca="false">IFERROR(IF(OR($J205="",$K205=""),0,$J205*$K205),0)</f>
        <v>0</v>
      </c>
      <c r="Y205" s="44" t="n">
        <f aca="false">IFERROR(IF($X205=0,0,$X205*IF($O205="",$N205,$O205)),0)</f>
        <v>0</v>
      </c>
      <c r="Z205" s="60" t="str">
        <f aca="false">IF($L205="","",IF($L205&lt;0.5,"Balística / Velocidade (&lt;50%)",IF($L205&lt;0.7,"Velocidade-Força (50–69%)",IF($L205&lt;0.8,"Força-Velocidade (70–79%)",IF($L205&lt;0.9,"Força Máxima (80–89%)","Força Máxima Alta (≥90%)")))))</f>
        <v/>
      </c>
      <c r="AA205" s="27"/>
      <c r="AB205" s="27"/>
    </row>
    <row r="206" customFormat="false" ht="15" hidden="false" customHeight="false" outlineLevel="0" collapsed="false">
      <c r="A206" s="29"/>
      <c r="B206" s="33" t="n">
        <f aca="false">IF($A206="",0,INT(($A206-'Bloco Base'!$C$5)/7)+1)</f>
        <v>0</v>
      </c>
      <c r="C206" s="28"/>
      <c r="D206" s="28"/>
      <c r="E206" s="27"/>
      <c r="F206" s="28"/>
      <c r="G206" s="139"/>
      <c r="H206" s="27"/>
      <c r="I206" s="28"/>
      <c r="J206" s="28"/>
      <c r="K206" s="28"/>
      <c r="L206" s="71"/>
      <c r="M206" s="35" t="str">
        <f aca="false">IF($AB206="","",IFERROR(INDEX('Força 1RM'!$Q$8:$Y$47,MATCH(IF($E206="Equipe (todos)",$C$4,$E206),'Força 1RM'!$P$8:$P$47,0),MATCH($AB206,'Força 1RM'!$Q$7:$Y$7,0)),""))</f>
        <v/>
      </c>
      <c r="N206" s="30" t="n">
        <f aca="false">IFERROR(IF(OR($L206="",$M206="",$M206=0),0,ROUND($L206*$M206*2,0)/2),0)</f>
        <v>0</v>
      </c>
      <c r="O206" s="32"/>
      <c r="P206" s="42" t="str">
        <f aca="false">IFERROR(IF(OR($L206="",$I206="—",$I206=""),"",IF($I206="Agachamento",INDEX($AE$8:$AE$20,MATCH($L206,$AD$8:$AD$20,1)),IF($I206="Supino",INDEX($AF$8:$AF$20,MATCH($L206,$AD$8:$AD$20,1)),IF($I206="Terra",INDEX($AG$8:$AG$20,MATCH($L206,$AD$8:$AD$20,1)),"")))),"")</f>
        <v/>
      </c>
      <c r="Q206" s="45"/>
      <c r="R206" s="71"/>
      <c r="S206" s="71"/>
      <c r="T206" s="69" t="str">
        <f aca="false">IF(OR($R206="",$S206=""),"",IF($S206&gt;$R206,"Acima do limite","Dentro do limite"))</f>
        <v/>
      </c>
      <c r="U206" s="28"/>
      <c r="V206" s="28"/>
      <c r="W206" s="28"/>
      <c r="X206" s="140" t="n">
        <f aca="false">IFERROR(IF(OR($J206="",$K206=""),0,$J206*$K206),0)</f>
        <v>0</v>
      </c>
      <c r="Y206" s="44" t="n">
        <f aca="false">IFERROR(IF($X206=0,0,$X206*IF($O206="",$N206,$O206)),0)</f>
        <v>0</v>
      </c>
      <c r="Z206" s="60" t="str">
        <f aca="false">IF($L206="","",IF($L206&lt;0.5,"Balística / Velocidade (&lt;50%)",IF($L206&lt;0.7,"Velocidade-Força (50–69%)",IF($L206&lt;0.8,"Força-Velocidade (70–79%)",IF($L206&lt;0.9,"Força Máxima (80–89%)","Força Máxima Alta (≥90%)")))))</f>
        <v/>
      </c>
      <c r="AA206" s="27"/>
      <c r="AB206" s="27"/>
    </row>
    <row r="207" customFormat="false" ht="15" hidden="false" customHeight="false" outlineLevel="0" collapsed="false">
      <c r="A207" s="29"/>
      <c r="B207" s="33" t="n">
        <f aca="false">IF($A207="",0,INT(($A207-'Bloco Base'!$C$5)/7)+1)</f>
        <v>0</v>
      </c>
      <c r="C207" s="28"/>
      <c r="D207" s="28"/>
      <c r="E207" s="27"/>
      <c r="F207" s="28"/>
      <c r="G207" s="139"/>
      <c r="H207" s="27"/>
      <c r="I207" s="28"/>
      <c r="J207" s="28"/>
      <c r="K207" s="28"/>
      <c r="L207" s="71"/>
      <c r="M207" s="35" t="str">
        <f aca="false">IF($AB207="","",IFERROR(INDEX('Força 1RM'!$Q$8:$Y$47,MATCH(IF($E207="Equipe (todos)",$C$4,$E207),'Força 1RM'!$P$8:$P$47,0),MATCH($AB207,'Força 1RM'!$Q$7:$Y$7,0)),""))</f>
        <v/>
      </c>
      <c r="N207" s="30" t="n">
        <f aca="false">IFERROR(IF(OR($L207="",$M207="",$M207=0),0,ROUND($L207*$M207*2,0)/2),0)</f>
        <v>0</v>
      </c>
      <c r="O207" s="32"/>
      <c r="P207" s="42" t="str">
        <f aca="false">IFERROR(IF(OR($L207="",$I207="—",$I207=""),"",IF($I207="Agachamento",INDEX($AE$8:$AE$20,MATCH($L207,$AD$8:$AD$20,1)),IF($I207="Supino",INDEX($AF$8:$AF$20,MATCH($L207,$AD$8:$AD$20,1)),IF($I207="Terra",INDEX($AG$8:$AG$20,MATCH($L207,$AD$8:$AD$20,1)),"")))),"")</f>
        <v/>
      </c>
      <c r="Q207" s="45"/>
      <c r="R207" s="71"/>
      <c r="S207" s="71"/>
      <c r="T207" s="69" t="str">
        <f aca="false">IF(OR($R207="",$S207=""),"",IF($S207&gt;$R207,"Acima do limite","Dentro do limite"))</f>
        <v/>
      </c>
      <c r="U207" s="28"/>
      <c r="V207" s="28"/>
      <c r="W207" s="28"/>
      <c r="X207" s="140" t="n">
        <f aca="false">IFERROR(IF(OR($J207="",$K207=""),0,$J207*$K207),0)</f>
        <v>0</v>
      </c>
      <c r="Y207" s="44" t="n">
        <f aca="false">IFERROR(IF($X207=0,0,$X207*IF($O207="",$N207,$O207)),0)</f>
        <v>0</v>
      </c>
      <c r="Z207" s="60" t="str">
        <f aca="false">IF($L207="","",IF($L207&lt;0.5,"Balística / Velocidade (&lt;50%)",IF($L207&lt;0.7,"Velocidade-Força (50–69%)",IF($L207&lt;0.8,"Força-Velocidade (70–79%)",IF($L207&lt;0.9,"Força Máxima (80–89%)","Força Máxima Alta (≥90%)")))))</f>
        <v/>
      </c>
      <c r="AA207" s="27"/>
      <c r="AB207" s="27"/>
    </row>
    <row r="208" customFormat="false" ht="15" hidden="false" customHeight="false" outlineLevel="0" collapsed="false">
      <c r="A208" s="29"/>
      <c r="B208" s="33" t="n">
        <f aca="false">IF($A208="",0,INT(($A208-'Bloco Base'!$C$5)/7)+1)</f>
        <v>0</v>
      </c>
      <c r="C208" s="28"/>
      <c r="D208" s="28"/>
      <c r="E208" s="27"/>
      <c r="F208" s="28"/>
      <c r="G208" s="139"/>
      <c r="H208" s="27"/>
      <c r="I208" s="28"/>
      <c r="J208" s="28"/>
      <c r="K208" s="28"/>
      <c r="L208" s="71"/>
      <c r="M208" s="35" t="str">
        <f aca="false">IF($AB208="","",IFERROR(INDEX('Força 1RM'!$Q$8:$Y$47,MATCH(IF($E208="Equipe (todos)",$C$4,$E208),'Força 1RM'!$P$8:$P$47,0),MATCH($AB208,'Força 1RM'!$Q$7:$Y$7,0)),""))</f>
        <v/>
      </c>
      <c r="N208" s="30" t="n">
        <f aca="false">IFERROR(IF(OR($L208="",$M208="",$M208=0),0,ROUND($L208*$M208*2,0)/2),0)</f>
        <v>0</v>
      </c>
      <c r="O208" s="32"/>
      <c r="P208" s="42" t="str">
        <f aca="false">IFERROR(IF(OR($L208="",$I208="—",$I208=""),"",IF($I208="Agachamento",INDEX($AE$8:$AE$20,MATCH($L208,$AD$8:$AD$20,1)),IF($I208="Supino",INDEX($AF$8:$AF$20,MATCH($L208,$AD$8:$AD$20,1)),IF($I208="Terra",INDEX($AG$8:$AG$20,MATCH($L208,$AD$8:$AD$20,1)),"")))),"")</f>
        <v/>
      </c>
      <c r="Q208" s="45"/>
      <c r="R208" s="71"/>
      <c r="S208" s="71"/>
      <c r="T208" s="69" t="str">
        <f aca="false">IF(OR($R208="",$S208=""),"",IF($S208&gt;$R208,"Acima do limite","Dentro do limite"))</f>
        <v/>
      </c>
      <c r="U208" s="28"/>
      <c r="V208" s="28"/>
      <c r="W208" s="28"/>
      <c r="X208" s="140" t="n">
        <f aca="false">IFERROR(IF(OR($J208="",$K208=""),0,$J208*$K208),0)</f>
        <v>0</v>
      </c>
      <c r="Y208" s="44" t="n">
        <f aca="false">IFERROR(IF($X208=0,0,$X208*IF($O208="",$N208,$O208)),0)</f>
        <v>0</v>
      </c>
      <c r="Z208" s="60" t="str">
        <f aca="false">IF($L208="","",IF($L208&lt;0.5,"Balística / Velocidade (&lt;50%)",IF($L208&lt;0.7,"Velocidade-Força (50–69%)",IF($L208&lt;0.8,"Força-Velocidade (70–79%)",IF($L208&lt;0.9,"Força Máxima (80–89%)","Força Máxima Alta (≥90%)")))))</f>
        <v/>
      </c>
      <c r="AA208" s="27"/>
      <c r="AB208" s="27"/>
    </row>
    <row r="209" customFormat="false" ht="15" hidden="false" customHeight="false" outlineLevel="0" collapsed="false">
      <c r="A209" s="29"/>
      <c r="B209" s="33" t="n">
        <f aca="false">IF($A209="",0,INT(($A209-'Bloco Base'!$C$5)/7)+1)</f>
        <v>0</v>
      </c>
      <c r="C209" s="28"/>
      <c r="D209" s="28"/>
      <c r="E209" s="27"/>
      <c r="F209" s="28"/>
      <c r="G209" s="139"/>
      <c r="H209" s="27"/>
      <c r="I209" s="28"/>
      <c r="J209" s="28"/>
      <c r="K209" s="28"/>
      <c r="L209" s="71"/>
      <c r="M209" s="35" t="str">
        <f aca="false">IF($AB209="","",IFERROR(INDEX('Força 1RM'!$Q$8:$Y$47,MATCH(IF($E209="Equipe (todos)",$C$4,$E209),'Força 1RM'!$P$8:$P$47,0),MATCH($AB209,'Força 1RM'!$Q$7:$Y$7,0)),""))</f>
        <v/>
      </c>
      <c r="N209" s="30" t="n">
        <f aca="false">IFERROR(IF(OR($L209="",$M209="",$M209=0),0,ROUND($L209*$M209*2,0)/2),0)</f>
        <v>0</v>
      </c>
      <c r="O209" s="32"/>
      <c r="P209" s="42" t="str">
        <f aca="false">IFERROR(IF(OR($L209="",$I209="—",$I209=""),"",IF($I209="Agachamento",INDEX($AE$8:$AE$20,MATCH($L209,$AD$8:$AD$20,1)),IF($I209="Supino",INDEX($AF$8:$AF$20,MATCH($L209,$AD$8:$AD$20,1)),IF($I209="Terra",INDEX($AG$8:$AG$20,MATCH($L209,$AD$8:$AD$20,1)),"")))),"")</f>
        <v/>
      </c>
      <c r="Q209" s="45"/>
      <c r="R209" s="71"/>
      <c r="S209" s="71"/>
      <c r="T209" s="69" t="str">
        <f aca="false">IF(OR($R209="",$S209=""),"",IF($S209&gt;$R209,"Acima do limite","Dentro do limite"))</f>
        <v/>
      </c>
      <c r="U209" s="28"/>
      <c r="V209" s="28"/>
      <c r="W209" s="28"/>
      <c r="X209" s="140" t="n">
        <f aca="false">IFERROR(IF(OR($J209="",$K209=""),0,$J209*$K209),0)</f>
        <v>0</v>
      </c>
      <c r="Y209" s="44" t="n">
        <f aca="false">IFERROR(IF($X209=0,0,$X209*IF($O209="",$N209,$O209)),0)</f>
        <v>0</v>
      </c>
      <c r="Z209" s="60" t="str">
        <f aca="false">IF($L209="","",IF($L209&lt;0.5,"Balística / Velocidade (&lt;50%)",IF($L209&lt;0.7,"Velocidade-Força (50–69%)",IF($L209&lt;0.8,"Força-Velocidade (70–79%)",IF($L209&lt;0.9,"Força Máxima (80–89%)","Força Máxima Alta (≥90%)")))))</f>
        <v/>
      </c>
      <c r="AA209" s="27"/>
      <c r="AB209" s="27"/>
    </row>
    <row r="210" customFormat="false" ht="15" hidden="false" customHeight="false" outlineLevel="0" collapsed="false">
      <c r="A210" s="29"/>
      <c r="B210" s="33" t="n">
        <f aca="false">IF($A210="",0,INT(($A210-'Bloco Base'!$C$5)/7)+1)</f>
        <v>0</v>
      </c>
      <c r="C210" s="28"/>
      <c r="D210" s="28"/>
      <c r="E210" s="27"/>
      <c r="F210" s="28"/>
      <c r="G210" s="139"/>
      <c r="H210" s="27"/>
      <c r="I210" s="28"/>
      <c r="J210" s="28"/>
      <c r="K210" s="28"/>
      <c r="L210" s="71"/>
      <c r="M210" s="35" t="str">
        <f aca="false">IF($AB210="","",IFERROR(INDEX('Força 1RM'!$Q$8:$Y$47,MATCH(IF($E210="Equipe (todos)",$C$4,$E210),'Força 1RM'!$P$8:$P$47,0),MATCH($AB210,'Força 1RM'!$Q$7:$Y$7,0)),""))</f>
        <v/>
      </c>
      <c r="N210" s="30" t="n">
        <f aca="false">IFERROR(IF(OR($L210="",$M210="",$M210=0),0,ROUND($L210*$M210*2,0)/2),0)</f>
        <v>0</v>
      </c>
      <c r="O210" s="32"/>
      <c r="P210" s="42" t="str">
        <f aca="false">IFERROR(IF(OR($L210="",$I210="—",$I210=""),"",IF($I210="Agachamento",INDEX($AE$8:$AE$20,MATCH($L210,$AD$8:$AD$20,1)),IF($I210="Supino",INDEX($AF$8:$AF$20,MATCH($L210,$AD$8:$AD$20,1)),IF($I210="Terra",INDEX($AG$8:$AG$20,MATCH($L210,$AD$8:$AD$20,1)),"")))),"")</f>
        <v/>
      </c>
      <c r="Q210" s="45"/>
      <c r="R210" s="71"/>
      <c r="S210" s="71"/>
      <c r="T210" s="69" t="str">
        <f aca="false">IF(OR($R210="",$S210=""),"",IF($S210&gt;$R210,"Acima do limite","Dentro do limite"))</f>
        <v/>
      </c>
      <c r="U210" s="28"/>
      <c r="V210" s="28"/>
      <c r="W210" s="28"/>
      <c r="X210" s="140" t="n">
        <f aca="false">IFERROR(IF(OR($J210="",$K210=""),0,$J210*$K210),0)</f>
        <v>0</v>
      </c>
      <c r="Y210" s="44" t="n">
        <f aca="false">IFERROR(IF($X210=0,0,$X210*IF($O210="",$N210,$O210)),0)</f>
        <v>0</v>
      </c>
      <c r="Z210" s="60" t="str">
        <f aca="false">IF($L210="","",IF($L210&lt;0.5,"Balística / Velocidade (&lt;50%)",IF($L210&lt;0.7,"Velocidade-Força (50–69%)",IF($L210&lt;0.8,"Força-Velocidade (70–79%)",IF($L210&lt;0.9,"Força Máxima (80–89%)","Força Máxima Alta (≥90%)")))))</f>
        <v/>
      </c>
      <c r="AA210" s="27"/>
      <c r="AB210" s="27"/>
    </row>
    <row r="211" customFormat="false" ht="15" hidden="false" customHeight="false" outlineLevel="0" collapsed="false">
      <c r="A211" s="29"/>
      <c r="B211" s="33" t="n">
        <f aca="false">IF($A211="",0,INT(($A211-'Bloco Base'!$C$5)/7)+1)</f>
        <v>0</v>
      </c>
      <c r="C211" s="28"/>
      <c r="D211" s="28"/>
      <c r="E211" s="27"/>
      <c r="F211" s="28"/>
      <c r="G211" s="139"/>
      <c r="H211" s="27"/>
      <c r="I211" s="28"/>
      <c r="J211" s="28"/>
      <c r="K211" s="28"/>
      <c r="L211" s="71"/>
      <c r="M211" s="35" t="str">
        <f aca="false">IF($AB211="","",IFERROR(INDEX('Força 1RM'!$Q$8:$Y$47,MATCH(IF($E211="Equipe (todos)",$C$4,$E211),'Força 1RM'!$P$8:$P$47,0),MATCH($AB211,'Força 1RM'!$Q$7:$Y$7,0)),""))</f>
        <v/>
      </c>
      <c r="N211" s="30" t="n">
        <f aca="false">IFERROR(IF(OR($L211="",$M211="",$M211=0),0,ROUND($L211*$M211*2,0)/2),0)</f>
        <v>0</v>
      </c>
      <c r="O211" s="32"/>
      <c r="P211" s="42" t="str">
        <f aca="false">IFERROR(IF(OR($L211="",$I211="—",$I211=""),"",IF($I211="Agachamento",INDEX($AE$8:$AE$20,MATCH($L211,$AD$8:$AD$20,1)),IF($I211="Supino",INDEX($AF$8:$AF$20,MATCH($L211,$AD$8:$AD$20,1)),IF($I211="Terra",INDEX($AG$8:$AG$20,MATCH($L211,$AD$8:$AD$20,1)),"")))),"")</f>
        <v/>
      </c>
      <c r="Q211" s="45"/>
      <c r="R211" s="71"/>
      <c r="S211" s="71"/>
      <c r="T211" s="69" t="str">
        <f aca="false">IF(OR($R211="",$S211=""),"",IF($S211&gt;$R211,"Acima do limite","Dentro do limite"))</f>
        <v/>
      </c>
      <c r="U211" s="28"/>
      <c r="V211" s="28"/>
      <c r="W211" s="28"/>
      <c r="X211" s="140" t="n">
        <f aca="false">IFERROR(IF(OR($J211="",$K211=""),0,$J211*$K211),0)</f>
        <v>0</v>
      </c>
      <c r="Y211" s="44" t="n">
        <f aca="false">IFERROR(IF($X211=0,0,$X211*IF($O211="",$N211,$O211)),0)</f>
        <v>0</v>
      </c>
      <c r="Z211" s="60" t="str">
        <f aca="false">IF($L211="","",IF($L211&lt;0.5,"Balística / Velocidade (&lt;50%)",IF($L211&lt;0.7,"Velocidade-Força (50–69%)",IF($L211&lt;0.8,"Força-Velocidade (70–79%)",IF($L211&lt;0.9,"Força Máxima (80–89%)","Força Máxima Alta (≥90%)")))))</f>
        <v/>
      </c>
      <c r="AA211" s="27"/>
      <c r="AB211" s="27"/>
    </row>
    <row r="212" customFormat="false" ht="15" hidden="false" customHeight="false" outlineLevel="0" collapsed="false">
      <c r="A212" s="29"/>
      <c r="B212" s="33" t="n">
        <f aca="false">IF($A212="",0,INT(($A212-'Bloco Base'!$C$5)/7)+1)</f>
        <v>0</v>
      </c>
      <c r="C212" s="28"/>
      <c r="D212" s="28"/>
      <c r="E212" s="27"/>
      <c r="F212" s="28"/>
      <c r="G212" s="139"/>
      <c r="H212" s="27"/>
      <c r="I212" s="28"/>
      <c r="J212" s="28"/>
      <c r="K212" s="28"/>
      <c r="L212" s="71"/>
      <c r="M212" s="35" t="str">
        <f aca="false">IF($AB212="","",IFERROR(INDEX('Força 1RM'!$Q$8:$Y$47,MATCH(IF($E212="Equipe (todos)",$C$4,$E212),'Força 1RM'!$P$8:$P$47,0),MATCH($AB212,'Força 1RM'!$Q$7:$Y$7,0)),""))</f>
        <v/>
      </c>
      <c r="N212" s="30" t="n">
        <f aca="false">IFERROR(IF(OR($L212="",$M212="",$M212=0),0,ROUND($L212*$M212*2,0)/2),0)</f>
        <v>0</v>
      </c>
      <c r="O212" s="32"/>
      <c r="P212" s="42" t="str">
        <f aca="false">IFERROR(IF(OR($L212="",$I212="—",$I212=""),"",IF($I212="Agachamento",INDEX($AE$8:$AE$20,MATCH($L212,$AD$8:$AD$20,1)),IF($I212="Supino",INDEX($AF$8:$AF$20,MATCH($L212,$AD$8:$AD$20,1)),IF($I212="Terra",INDEX($AG$8:$AG$20,MATCH($L212,$AD$8:$AD$20,1)),"")))),"")</f>
        <v/>
      </c>
      <c r="Q212" s="45"/>
      <c r="R212" s="71"/>
      <c r="S212" s="71"/>
      <c r="T212" s="69" t="str">
        <f aca="false">IF(OR($R212="",$S212=""),"",IF($S212&gt;$R212,"Acima do limite","Dentro do limite"))</f>
        <v/>
      </c>
      <c r="U212" s="28"/>
      <c r="V212" s="28"/>
      <c r="W212" s="28"/>
      <c r="X212" s="140" t="n">
        <f aca="false">IFERROR(IF(OR($J212="",$K212=""),0,$J212*$K212),0)</f>
        <v>0</v>
      </c>
      <c r="Y212" s="44" t="n">
        <f aca="false">IFERROR(IF($X212=0,0,$X212*IF($O212="",$N212,$O212)),0)</f>
        <v>0</v>
      </c>
      <c r="Z212" s="60" t="str">
        <f aca="false">IF($L212="","",IF($L212&lt;0.5,"Balística / Velocidade (&lt;50%)",IF($L212&lt;0.7,"Velocidade-Força (50–69%)",IF($L212&lt;0.8,"Força-Velocidade (70–79%)",IF($L212&lt;0.9,"Força Máxima (80–89%)","Força Máxima Alta (≥90%)")))))</f>
        <v/>
      </c>
      <c r="AA212" s="27"/>
      <c r="AB212" s="27"/>
    </row>
    <row r="213" customFormat="false" ht="15" hidden="false" customHeight="false" outlineLevel="0" collapsed="false">
      <c r="A213" s="29"/>
      <c r="B213" s="33" t="n">
        <f aca="false">IF($A213="",0,INT(($A213-'Bloco Base'!$C$5)/7)+1)</f>
        <v>0</v>
      </c>
      <c r="C213" s="28"/>
      <c r="D213" s="28"/>
      <c r="E213" s="27"/>
      <c r="F213" s="28"/>
      <c r="G213" s="139"/>
      <c r="H213" s="27"/>
      <c r="I213" s="28"/>
      <c r="J213" s="28"/>
      <c r="K213" s="28"/>
      <c r="L213" s="71"/>
      <c r="M213" s="35" t="str">
        <f aca="false">IF($AB213="","",IFERROR(INDEX('Força 1RM'!$Q$8:$Y$47,MATCH(IF($E213="Equipe (todos)",$C$4,$E213),'Força 1RM'!$P$8:$P$47,0),MATCH($AB213,'Força 1RM'!$Q$7:$Y$7,0)),""))</f>
        <v/>
      </c>
      <c r="N213" s="30" t="n">
        <f aca="false">IFERROR(IF(OR($L213="",$M213="",$M213=0),0,ROUND($L213*$M213*2,0)/2),0)</f>
        <v>0</v>
      </c>
      <c r="O213" s="32"/>
      <c r="P213" s="42" t="str">
        <f aca="false">IFERROR(IF(OR($L213="",$I213="—",$I213=""),"",IF($I213="Agachamento",INDEX($AE$8:$AE$20,MATCH($L213,$AD$8:$AD$20,1)),IF($I213="Supino",INDEX($AF$8:$AF$20,MATCH($L213,$AD$8:$AD$20,1)),IF($I213="Terra",INDEX($AG$8:$AG$20,MATCH($L213,$AD$8:$AD$20,1)),"")))),"")</f>
        <v/>
      </c>
      <c r="Q213" s="45"/>
      <c r="R213" s="71"/>
      <c r="S213" s="71"/>
      <c r="T213" s="69" t="str">
        <f aca="false">IF(OR($R213="",$S213=""),"",IF($S213&gt;$R213,"Acima do limite","Dentro do limite"))</f>
        <v/>
      </c>
      <c r="U213" s="28"/>
      <c r="V213" s="28"/>
      <c r="W213" s="28"/>
      <c r="X213" s="140" t="n">
        <f aca="false">IFERROR(IF(OR($J213="",$K213=""),0,$J213*$K213),0)</f>
        <v>0</v>
      </c>
      <c r="Y213" s="44" t="n">
        <f aca="false">IFERROR(IF($X213=0,0,$X213*IF($O213="",$N213,$O213)),0)</f>
        <v>0</v>
      </c>
      <c r="Z213" s="60" t="str">
        <f aca="false">IF($L213="","",IF($L213&lt;0.5,"Balística / Velocidade (&lt;50%)",IF($L213&lt;0.7,"Velocidade-Força (50–69%)",IF($L213&lt;0.8,"Força-Velocidade (70–79%)",IF($L213&lt;0.9,"Força Máxima (80–89%)","Força Máxima Alta (≥90%)")))))</f>
        <v/>
      </c>
      <c r="AA213" s="27"/>
      <c r="AB213" s="27"/>
    </row>
    <row r="214" customFormat="false" ht="15" hidden="false" customHeight="false" outlineLevel="0" collapsed="false">
      <c r="A214" s="29"/>
      <c r="B214" s="33" t="n">
        <f aca="false">IF($A214="",0,INT(($A214-'Bloco Base'!$C$5)/7)+1)</f>
        <v>0</v>
      </c>
      <c r="C214" s="28"/>
      <c r="D214" s="28"/>
      <c r="E214" s="27"/>
      <c r="F214" s="28"/>
      <c r="G214" s="139"/>
      <c r="H214" s="27"/>
      <c r="I214" s="28"/>
      <c r="J214" s="28"/>
      <c r="K214" s="28"/>
      <c r="L214" s="71"/>
      <c r="M214" s="35" t="str">
        <f aca="false">IF($AB214="","",IFERROR(INDEX('Força 1RM'!$Q$8:$Y$47,MATCH(IF($E214="Equipe (todos)",$C$4,$E214),'Força 1RM'!$P$8:$P$47,0),MATCH($AB214,'Força 1RM'!$Q$7:$Y$7,0)),""))</f>
        <v/>
      </c>
      <c r="N214" s="30" t="n">
        <f aca="false">IFERROR(IF(OR($L214="",$M214="",$M214=0),0,ROUND($L214*$M214*2,0)/2),0)</f>
        <v>0</v>
      </c>
      <c r="O214" s="32"/>
      <c r="P214" s="42" t="str">
        <f aca="false">IFERROR(IF(OR($L214="",$I214="—",$I214=""),"",IF($I214="Agachamento",INDEX($AE$8:$AE$20,MATCH($L214,$AD$8:$AD$20,1)),IF($I214="Supino",INDEX($AF$8:$AF$20,MATCH($L214,$AD$8:$AD$20,1)),IF($I214="Terra",INDEX($AG$8:$AG$20,MATCH($L214,$AD$8:$AD$20,1)),"")))),"")</f>
        <v/>
      </c>
      <c r="Q214" s="45"/>
      <c r="R214" s="71"/>
      <c r="S214" s="71"/>
      <c r="T214" s="69" t="str">
        <f aca="false">IF(OR($R214="",$S214=""),"",IF($S214&gt;$R214,"Acima do limite","Dentro do limite"))</f>
        <v/>
      </c>
      <c r="U214" s="28"/>
      <c r="V214" s="28"/>
      <c r="W214" s="28"/>
      <c r="X214" s="140" t="n">
        <f aca="false">IFERROR(IF(OR($J214="",$K214=""),0,$J214*$K214),0)</f>
        <v>0</v>
      </c>
      <c r="Y214" s="44" t="n">
        <f aca="false">IFERROR(IF($X214=0,0,$X214*IF($O214="",$N214,$O214)),0)</f>
        <v>0</v>
      </c>
      <c r="Z214" s="60" t="str">
        <f aca="false">IF($L214="","",IF($L214&lt;0.5,"Balística / Velocidade (&lt;50%)",IF($L214&lt;0.7,"Velocidade-Força (50–69%)",IF($L214&lt;0.8,"Força-Velocidade (70–79%)",IF($L214&lt;0.9,"Força Máxima (80–89%)","Força Máxima Alta (≥90%)")))))</f>
        <v/>
      </c>
      <c r="AA214" s="27"/>
      <c r="AB214" s="27"/>
    </row>
    <row r="215" customFormat="false" ht="15" hidden="false" customHeight="false" outlineLevel="0" collapsed="false">
      <c r="A215" s="29"/>
      <c r="B215" s="33" t="n">
        <f aca="false">IF($A215="",0,INT(($A215-'Bloco Base'!$C$5)/7)+1)</f>
        <v>0</v>
      </c>
      <c r="C215" s="28"/>
      <c r="D215" s="28"/>
      <c r="E215" s="27"/>
      <c r="F215" s="28"/>
      <c r="G215" s="139"/>
      <c r="H215" s="27"/>
      <c r="I215" s="28"/>
      <c r="J215" s="28"/>
      <c r="K215" s="28"/>
      <c r="L215" s="71"/>
      <c r="M215" s="35" t="str">
        <f aca="false">IF($AB215="","",IFERROR(INDEX('Força 1RM'!$Q$8:$Y$47,MATCH(IF($E215="Equipe (todos)",$C$4,$E215),'Força 1RM'!$P$8:$P$47,0),MATCH($AB215,'Força 1RM'!$Q$7:$Y$7,0)),""))</f>
        <v/>
      </c>
      <c r="N215" s="30" t="n">
        <f aca="false">IFERROR(IF(OR($L215="",$M215="",$M215=0),0,ROUND($L215*$M215*2,0)/2),0)</f>
        <v>0</v>
      </c>
      <c r="O215" s="32"/>
      <c r="P215" s="42" t="str">
        <f aca="false">IFERROR(IF(OR($L215="",$I215="—",$I215=""),"",IF($I215="Agachamento",INDEX($AE$8:$AE$20,MATCH($L215,$AD$8:$AD$20,1)),IF($I215="Supino",INDEX($AF$8:$AF$20,MATCH($L215,$AD$8:$AD$20,1)),IF($I215="Terra",INDEX($AG$8:$AG$20,MATCH($L215,$AD$8:$AD$20,1)),"")))),"")</f>
        <v/>
      </c>
      <c r="Q215" s="45"/>
      <c r="R215" s="71"/>
      <c r="S215" s="71"/>
      <c r="T215" s="69" t="str">
        <f aca="false">IF(OR($R215="",$S215=""),"",IF($S215&gt;$R215,"Acima do limite","Dentro do limite"))</f>
        <v/>
      </c>
      <c r="U215" s="28"/>
      <c r="V215" s="28"/>
      <c r="W215" s="28"/>
      <c r="X215" s="140" t="n">
        <f aca="false">IFERROR(IF(OR($J215="",$K215=""),0,$J215*$K215),0)</f>
        <v>0</v>
      </c>
      <c r="Y215" s="44" t="n">
        <f aca="false">IFERROR(IF($X215=0,0,$X215*IF($O215="",$N215,$O215)),0)</f>
        <v>0</v>
      </c>
      <c r="Z215" s="60" t="str">
        <f aca="false">IF($L215="","",IF($L215&lt;0.5,"Balística / Velocidade (&lt;50%)",IF($L215&lt;0.7,"Velocidade-Força (50–69%)",IF($L215&lt;0.8,"Força-Velocidade (70–79%)",IF($L215&lt;0.9,"Força Máxima (80–89%)","Força Máxima Alta (≥90%)")))))</f>
        <v/>
      </c>
      <c r="AA215" s="27"/>
      <c r="AB215" s="27"/>
    </row>
    <row r="216" customFormat="false" ht="15" hidden="false" customHeight="false" outlineLevel="0" collapsed="false">
      <c r="A216" s="29"/>
      <c r="B216" s="33" t="n">
        <f aca="false">IF($A216="",0,INT(($A216-'Bloco Base'!$C$5)/7)+1)</f>
        <v>0</v>
      </c>
      <c r="C216" s="28"/>
      <c r="D216" s="28"/>
      <c r="E216" s="27"/>
      <c r="F216" s="28"/>
      <c r="G216" s="139"/>
      <c r="H216" s="27"/>
      <c r="I216" s="28"/>
      <c r="J216" s="28"/>
      <c r="K216" s="28"/>
      <c r="L216" s="71"/>
      <c r="M216" s="35" t="str">
        <f aca="false">IF($AB216="","",IFERROR(INDEX('Força 1RM'!$Q$8:$Y$47,MATCH(IF($E216="Equipe (todos)",$C$4,$E216),'Força 1RM'!$P$8:$P$47,0),MATCH($AB216,'Força 1RM'!$Q$7:$Y$7,0)),""))</f>
        <v/>
      </c>
      <c r="N216" s="30" t="n">
        <f aca="false">IFERROR(IF(OR($L216="",$M216="",$M216=0),0,ROUND($L216*$M216*2,0)/2),0)</f>
        <v>0</v>
      </c>
      <c r="O216" s="32"/>
      <c r="P216" s="42" t="str">
        <f aca="false">IFERROR(IF(OR($L216="",$I216="—",$I216=""),"",IF($I216="Agachamento",INDEX($AE$8:$AE$20,MATCH($L216,$AD$8:$AD$20,1)),IF($I216="Supino",INDEX($AF$8:$AF$20,MATCH($L216,$AD$8:$AD$20,1)),IF($I216="Terra",INDEX($AG$8:$AG$20,MATCH($L216,$AD$8:$AD$20,1)),"")))),"")</f>
        <v/>
      </c>
      <c r="Q216" s="45"/>
      <c r="R216" s="71"/>
      <c r="S216" s="71"/>
      <c r="T216" s="69" t="str">
        <f aca="false">IF(OR($R216="",$S216=""),"",IF($S216&gt;$R216,"Acima do limite","Dentro do limite"))</f>
        <v/>
      </c>
      <c r="U216" s="28"/>
      <c r="V216" s="28"/>
      <c r="W216" s="28"/>
      <c r="X216" s="140" t="n">
        <f aca="false">IFERROR(IF(OR($J216="",$K216=""),0,$J216*$K216),0)</f>
        <v>0</v>
      </c>
      <c r="Y216" s="44" t="n">
        <f aca="false">IFERROR(IF($X216=0,0,$X216*IF($O216="",$N216,$O216)),0)</f>
        <v>0</v>
      </c>
      <c r="Z216" s="60" t="str">
        <f aca="false">IF($L216="","",IF($L216&lt;0.5,"Balística / Velocidade (&lt;50%)",IF($L216&lt;0.7,"Velocidade-Força (50–69%)",IF($L216&lt;0.8,"Força-Velocidade (70–79%)",IF($L216&lt;0.9,"Força Máxima (80–89%)","Força Máxima Alta (≥90%)")))))</f>
        <v/>
      </c>
      <c r="AA216" s="27"/>
      <c r="AB216" s="27"/>
    </row>
    <row r="217" customFormat="false" ht="15" hidden="false" customHeight="false" outlineLevel="0" collapsed="false">
      <c r="A217" s="29"/>
      <c r="B217" s="33" t="n">
        <f aca="false">IF($A217="",0,INT(($A217-'Bloco Base'!$C$5)/7)+1)</f>
        <v>0</v>
      </c>
      <c r="C217" s="28"/>
      <c r="D217" s="28"/>
      <c r="E217" s="27"/>
      <c r="F217" s="28"/>
      <c r="G217" s="139"/>
      <c r="H217" s="27"/>
      <c r="I217" s="28"/>
      <c r="J217" s="28"/>
      <c r="K217" s="28"/>
      <c r="L217" s="71"/>
      <c r="M217" s="35" t="str">
        <f aca="false">IF($AB217="","",IFERROR(INDEX('Força 1RM'!$Q$8:$Y$47,MATCH(IF($E217="Equipe (todos)",$C$4,$E217),'Força 1RM'!$P$8:$P$47,0),MATCH($AB217,'Força 1RM'!$Q$7:$Y$7,0)),""))</f>
        <v/>
      </c>
      <c r="N217" s="30" t="n">
        <f aca="false">IFERROR(IF(OR($L217="",$M217="",$M217=0),0,ROUND($L217*$M217*2,0)/2),0)</f>
        <v>0</v>
      </c>
      <c r="O217" s="32"/>
      <c r="P217" s="42" t="str">
        <f aca="false">IFERROR(IF(OR($L217="",$I217="—",$I217=""),"",IF($I217="Agachamento",INDEX($AE$8:$AE$20,MATCH($L217,$AD$8:$AD$20,1)),IF($I217="Supino",INDEX($AF$8:$AF$20,MATCH($L217,$AD$8:$AD$20,1)),IF($I217="Terra",INDEX($AG$8:$AG$20,MATCH($L217,$AD$8:$AD$20,1)),"")))),"")</f>
        <v/>
      </c>
      <c r="Q217" s="45"/>
      <c r="R217" s="71"/>
      <c r="S217" s="71"/>
      <c r="T217" s="69" t="str">
        <f aca="false">IF(OR($R217="",$S217=""),"",IF($S217&gt;$R217,"Acima do limite","Dentro do limite"))</f>
        <v/>
      </c>
      <c r="U217" s="28"/>
      <c r="V217" s="28"/>
      <c r="W217" s="28"/>
      <c r="X217" s="140" t="n">
        <f aca="false">IFERROR(IF(OR($J217="",$K217=""),0,$J217*$K217),0)</f>
        <v>0</v>
      </c>
      <c r="Y217" s="44" t="n">
        <f aca="false">IFERROR(IF($X217=0,0,$X217*IF($O217="",$N217,$O217)),0)</f>
        <v>0</v>
      </c>
      <c r="Z217" s="60" t="str">
        <f aca="false">IF($L217="","",IF($L217&lt;0.5,"Balística / Velocidade (&lt;50%)",IF($L217&lt;0.7,"Velocidade-Força (50–69%)",IF($L217&lt;0.8,"Força-Velocidade (70–79%)",IF($L217&lt;0.9,"Força Máxima (80–89%)","Força Máxima Alta (≥90%)")))))</f>
        <v/>
      </c>
      <c r="AA217" s="27"/>
      <c r="AB217" s="27"/>
    </row>
    <row r="218" customFormat="false" ht="15" hidden="false" customHeight="false" outlineLevel="0" collapsed="false">
      <c r="A218" s="29"/>
      <c r="B218" s="33" t="n">
        <f aca="false">IF($A218="",0,INT(($A218-'Bloco Base'!$C$5)/7)+1)</f>
        <v>0</v>
      </c>
      <c r="C218" s="28"/>
      <c r="D218" s="28"/>
      <c r="E218" s="27"/>
      <c r="F218" s="28"/>
      <c r="G218" s="139"/>
      <c r="H218" s="27"/>
      <c r="I218" s="28"/>
      <c r="J218" s="28"/>
      <c r="K218" s="28"/>
      <c r="L218" s="71"/>
      <c r="M218" s="35" t="str">
        <f aca="false">IF($AB218="","",IFERROR(INDEX('Força 1RM'!$Q$8:$Y$47,MATCH(IF($E218="Equipe (todos)",$C$4,$E218),'Força 1RM'!$P$8:$P$47,0),MATCH($AB218,'Força 1RM'!$Q$7:$Y$7,0)),""))</f>
        <v/>
      </c>
      <c r="N218" s="30" t="n">
        <f aca="false">IFERROR(IF(OR($L218="",$M218="",$M218=0),0,ROUND($L218*$M218*2,0)/2),0)</f>
        <v>0</v>
      </c>
      <c r="O218" s="32"/>
      <c r="P218" s="42" t="str">
        <f aca="false">IFERROR(IF(OR($L218="",$I218="—",$I218=""),"",IF($I218="Agachamento",INDEX($AE$8:$AE$20,MATCH($L218,$AD$8:$AD$20,1)),IF($I218="Supino",INDEX($AF$8:$AF$20,MATCH($L218,$AD$8:$AD$20,1)),IF($I218="Terra",INDEX($AG$8:$AG$20,MATCH($L218,$AD$8:$AD$20,1)),"")))),"")</f>
        <v/>
      </c>
      <c r="Q218" s="45"/>
      <c r="R218" s="71"/>
      <c r="S218" s="71"/>
      <c r="T218" s="69" t="str">
        <f aca="false">IF(OR($R218="",$S218=""),"",IF($S218&gt;$R218,"Acima do limite","Dentro do limite"))</f>
        <v/>
      </c>
      <c r="U218" s="28"/>
      <c r="V218" s="28"/>
      <c r="W218" s="28"/>
      <c r="X218" s="140" t="n">
        <f aca="false">IFERROR(IF(OR($J218="",$K218=""),0,$J218*$K218),0)</f>
        <v>0</v>
      </c>
      <c r="Y218" s="44" t="n">
        <f aca="false">IFERROR(IF($X218=0,0,$X218*IF($O218="",$N218,$O218)),0)</f>
        <v>0</v>
      </c>
      <c r="Z218" s="60" t="str">
        <f aca="false">IF($L218="","",IF($L218&lt;0.5,"Balística / Velocidade (&lt;50%)",IF($L218&lt;0.7,"Velocidade-Força (50–69%)",IF($L218&lt;0.8,"Força-Velocidade (70–79%)",IF($L218&lt;0.9,"Força Máxima (80–89%)","Força Máxima Alta (≥90%)")))))</f>
        <v/>
      </c>
      <c r="AA218" s="27"/>
      <c r="AB218" s="27"/>
    </row>
    <row r="219" customFormat="false" ht="15" hidden="false" customHeight="false" outlineLevel="0" collapsed="false">
      <c r="A219" s="29"/>
      <c r="B219" s="33" t="n">
        <f aca="false">IF($A219="",0,INT(($A219-'Bloco Base'!$C$5)/7)+1)</f>
        <v>0</v>
      </c>
      <c r="C219" s="28"/>
      <c r="D219" s="28"/>
      <c r="E219" s="27"/>
      <c r="F219" s="28"/>
      <c r="G219" s="139"/>
      <c r="H219" s="27"/>
      <c r="I219" s="28"/>
      <c r="J219" s="28"/>
      <c r="K219" s="28"/>
      <c r="L219" s="71"/>
      <c r="M219" s="35" t="str">
        <f aca="false">IF($AB219="","",IFERROR(INDEX('Força 1RM'!$Q$8:$Y$47,MATCH(IF($E219="Equipe (todos)",$C$4,$E219),'Força 1RM'!$P$8:$P$47,0),MATCH($AB219,'Força 1RM'!$Q$7:$Y$7,0)),""))</f>
        <v/>
      </c>
      <c r="N219" s="30" t="n">
        <f aca="false">IFERROR(IF(OR($L219="",$M219="",$M219=0),0,ROUND($L219*$M219*2,0)/2),0)</f>
        <v>0</v>
      </c>
      <c r="O219" s="32"/>
      <c r="P219" s="42" t="str">
        <f aca="false">IFERROR(IF(OR($L219="",$I219="—",$I219=""),"",IF($I219="Agachamento",INDEX($AE$8:$AE$20,MATCH($L219,$AD$8:$AD$20,1)),IF($I219="Supino",INDEX($AF$8:$AF$20,MATCH($L219,$AD$8:$AD$20,1)),IF($I219="Terra",INDEX($AG$8:$AG$20,MATCH($L219,$AD$8:$AD$20,1)),"")))),"")</f>
        <v/>
      </c>
      <c r="Q219" s="45"/>
      <c r="R219" s="71"/>
      <c r="S219" s="71"/>
      <c r="T219" s="69" t="str">
        <f aca="false">IF(OR($R219="",$S219=""),"",IF($S219&gt;$R219,"Acima do limite","Dentro do limite"))</f>
        <v/>
      </c>
      <c r="U219" s="28"/>
      <c r="V219" s="28"/>
      <c r="W219" s="28"/>
      <c r="X219" s="140" t="n">
        <f aca="false">IFERROR(IF(OR($J219="",$K219=""),0,$J219*$K219),0)</f>
        <v>0</v>
      </c>
      <c r="Y219" s="44" t="n">
        <f aca="false">IFERROR(IF($X219=0,0,$X219*IF($O219="",$N219,$O219)),0)</f>
        <v>0</v>
      </c>
      <c r="Z219" s="60" t="str">
        <f aca="false">IF($L219="","",IF($L219&lt;0.5,"Balística / Velocidade (&lt;50%)",IF($L219&lt;0.7,"Velocidade-Força (50–69%)",IF($L219&lt;0.8,"Força-Velocidade (70–79%)",IF($L219&lt;0.9,"Força Máxima (80–89%)","Força Máxima Alta (≥90%)")))))</f>
        <v/>
      </c>
      <c r="AA219" s="27"/>
      <c r="AB219" s="27"/>
    </row>
    <row r="220" customFormat="false" ht="15" hidden="false" customHeight="false" outlineLevel="0" collapsed="false">
      <c r="A220" s="29"/>
      <c r="B220" s="33" t="n">
        <f aca="false">IF($A220="",0,INT(($A220-'Bloco Base'!$C$5)/7)+1)</f>
        <v>0</v>
      </c>
      <c r="C220" s="28"/>
      <c r="D220" s="28"/>
      <c r="E220" s="27"/>
      <c r="F220" s="28"/>
      <c r="G220" s="139"/>
      <c r="H220" s="27"/>
      <c r="I220" s="28"/>
      <c r="J220" s="28"/>
      <c r="K220" s="28"/>
      <c r="L220" s="71"/>
      <c r="M220" s="35" t="str">
        <f aca="false">IF($AB220="","",IFERROR(INDEX('Força 1RM'!$Q$8:$Y$47,MATCH(IF($E220="Equipe (todos)",$C$4,$E220),'Força 1RM'!$P$8:$P$47,0),MATCH($AB220,'Força 1RM'!$Q$7:$Y$7,0)),""))</f>
        <v/>
      </c>
      <c r="N220" s="30" t="n">
        <f aca="false">IFERROR(IF(OR($L220="",$M220="",$M220=0),0,ROUND($L220*$M220*2,0)/2),0)</f>
        <v>0</v>
      </c>
      <c r="O220" s="32"/>
      <c r="P220" s="42" t="str">
        <f aca="false">IFERROR(IF(OR($L220="",$I220="—",$I220=""),"",IF($I220="Agachamento",INDEX($AE$8:$AE$20,MATCH($L220,$AD$8:$AD$20,1)),IF($I220="Supino",INDEX($AF$8:$AF$20,MATCH($L220,$AD$8:$AD$20,1)),IF($I220="Terra",INDEX($AG$8:$AG$20,MATCH($L220,$AD$8:$AD$20,1)),"")))),"")</f>
        <v/>
      </c>
      <c r="Q220" s="45"/>
      <c r="R220" s="71"/>
      <c r="S220" s="71"/>
      <c r="T220" s="69" t="str">
        <f aca="false">IF(OR($R220="",$S220=""),"",IF($S220&gt;$R220,"Acima do limite","Dentro do limite"))</f>
        <v/>
      </c>
      <c r="U220" s="28"/>
      <c r="V220" s="28"/>
      <c r="W220" s="28"/>
      <c r="X220" s="140" t="n">
        <f aca="false">IFERROR(IF(OR($J220="",$K220=""),0,$J220*$K220),0)</f>
        <v>0</v>
      </c>
      <c r="Y220" s="44" t="n">
        <f aca="false">IFERROR(IF($X220=0,0,$X220*IF($O220="",$N220,$O220)),0)</f>
        <v>0</v>
      </c>
      <c r="Z220" s="60" t="str">
        <f aca="false">IF($L220="","",IF($L220&lt;0.5,"Balística / Velocidade (&lt;50%)",IF($L220&lt;0.7,"Velocidade-Força (50–69%)",IF($L220&lt;0.8,"Força-Velocidade (70–79%)",IF($L220&lt;0.9,"Força Máxima (80–89%)","Força Máxima Alta (≥90%)")))))</f>
        <v/>
      </c>
      <c r="AA220" s="27"/>
      <c r="AB220" s="27"/>
    </row>
    <row r="221" customFormat="false" ht="15" hidden="false" customHeight="false" outlineLevel="0" collapsed="false">
      <c r="A221" s="29"/>
      <c r="B221" s="33" t="n">
        <f aca="false">IF($A221="",0,INT(($A221-'Bloco Base'!$C$5)/7)+1)</f>
        <v>0</v>
      </c>
      <c r="C221" s="28"/>
      <c r="D221" s="28"/>
      <c r="E221" s="27"/>
      <c r="F221" s="28"/>
      <c r="G221" s="139"/>
      <c r="H221" s="27"/>
      <c r="I221" s="28"/>
      <c r="J221" s="28"/>
      <c r="K221" s="28"/>
      <c r="L221" s="71"/>
      <c r="M221" s="35" t="str">
        <f aca="false">IF($AB221="","",IFERROR(INDEX('Força 1RM'!$Q$8:$Y$47,MATCH(IF($E221="Equipe (todos)",$C$4,$E221),'Força 1RM'!$P$8:$P$47,0),MATCH($AB221,'Força 1RM'!$Q$7:$Y$7,0)),""))</f>
        <v/>
      </c>
      <c r="N221" s="30" t="n">
        <f aca="false">IFERROR(IF(OR($L221="",$M221="",$M221=0),0,ROUND($L221*$M221*2,0)/2),0)</f>
        <v>0</v>
      </c>
      <c r="O221" s="32"/>
      <c r="P221" s="42" t="str">
        <f aca="false">IFERROR(IF(OR($L221="",$I221="—",$I221=""),"",IF($I221="Agachamento",INDEX($AE$8:$AE$20,MATCH($L221,$AD$8:$AD$20,1)),IF($I221="Supino",INDEX($AF$8:$AF$20,MATCH($L221,$AD$8:$AD$20,1)),IF($I221="Terra",INDEX($AG$8:$AG$20,MATCH($L221,$AD$8:$AD$20,1)),"")))),"")</f>
        <v/>
      </c>
      <c r="Q221" s="45"/>
      <c r="R221" s="71"/>
      <c r="S221" s="71"/>
      <c r="T221" s="69" t="str">
        <f aca="false">IF(OR($R221="",$S221=""),"",IF($S221&gt;$R221,"Acima do limite","Dentro do limite"))</f>
        <v/>
      </c>
      <c r="U221" s="28"/>
      <c r="V221" s="28"/>
      <c r="W221" s="28"/>
      <c r="X221" s="140" t="n">
        <f aca="false">IFERROR(IF(OR($J221="",$K221=""),0,$J221*$K221),0)</f>
        <v>0</v>
      </c>
      <c r="Y221" s="44" t="n">
        <f aca="false">IFERROR(IF($X221=0,0,$X221*IF($O221="",$N221,$O221)),0)</f>
        <v>0</v>
      </c>
      <c r="Z221" s="60" t="str">
        <f aca="false">IF($L221="","",IF($L221&lt;0.5,"Balística / Velocidade (&lt;50%)",IF($L221&lt;0.7,"Velocidade-Força (50–69%)",IF($L221&lt;0.8,"Força-Velocidade (70–79%)",IF($L221&lt;0.9,"Força Máxima (80–89%)","Força Máxima Alta (≥90%)")))))</f>
        <v/>
      </c>
      <c r="AA221" s="27"/>
      <c r="AB221" s="27"/>
    </row>
    <row r="222" customFormat="false" ht="15" hidden="false" customHeight="false" outlineLevel="0" collapsed="false">
      <c r="A222" s="29"/>
      <c r="B222" s="33" t="n">
        <f aca="false">IF($A222="",0,INT(($A222-'Bloco Base'!$C$5)/7)+1)</f>
        <v>0</v>
      </c>
      <c r="C222" s="28"/>
      <c r="D222" s="28"/>
      <c r="E222" s="27"/>
      <c r="F222" s="28"/>
      <c r="G222" s="139"/>
      <c r="H222" s="27"/>
      <c r="I222" s="28"/>
      <c r="J222" s="28"/>
      <c r="K222" s="28"/>
      <c r="L222" s="71"/>
      <c r="M222" s="35" t="str">
        <f aca="false">IF($AB222="","",IFERROR(INDEX('Força 1RM'!$Q$8:$Y$47,MATCH(IF($E222="Equipe (todos)",$C$4,$E222),'Força 1RM'!$P$8:$P$47,0),MATCH($AB222,'Força 1RM'!$Q$7:$Y$7,0)),""))</f>
        <v/>
      </c>
      <c r="N222" s="30" t="n">
        <f aca="false">IFERROR(IF(OR($L222="",$M222="",$M222=0),0,ROUND($L222*$M222*2,0)/2),0)</f>
        <v>0</v>
      </c>
      <c r="O222" s="32"/>
      <c r="P222" s="42" t="str">
        <f aca="false">IFERROR(IF(OR($L222="",$I222="—",$I222=""),"",IF($I222="Agachamento",INDEX($AE$8:$AE$20,MATCH($L222,$AD$8:$AD$20,1)),IF($I222="Supino",INDEX($AF$8:$AF$20,MATCH($L222,$AD$8:$AD$20,1)),IF($I222="Terra",INDEX($AG$8:$AG$20,MATCH($L222,$AD$8:$AD$20,1)),"")))),"")</f>
        <v/>
      </c>
      <c r="Q222" s="45"/>
      <c r="R222" s="71"/>
      <c r="S222" s="71"/>
      <c r="T222" s="69" t="str">
        <f aca="false">IF(OR($R222="",$S222=""),"",IF($S222&gt;$R222,"Acima do limite","Dentro do limite"))</f>
        <v/>
      </c>
      <c r="U222" s="28"/>
      <c r="V222" s="28"/>
      <c r="W222" s="28"/>
      <c r="X222" s="140" t="n">
        <f aca="false">IFERROR(IF(OR($J222="",$K222=""),0,$J222*$K222),0)</f>
        <v>0</v>
      </c>
      <c r="Y222" s="44" t="n">
        <f aca="false">IFERROR(IF($X222=0,0,$X222*IF($O222="",$N222,$O222)),0)</f>
        <v>0</v>
      </c>
      <c r="Z222" s="60" t="str">
        <f aca="false">IF($L222="","",IF($L222&lt;0.5,"Balística / Velocidade (&lt;50%)",IF($L222&lt;0.7,"Velocidade-Força (50–69%)",IF($L222&lt;0.8,"Força-Velocidade (70–79%)",IF($L222&lt;0.9,"Força Máxima (80–89%)","Força Máxima Alta (≥90%)")))))</f>
        <v/>
      </c>
      <c r="AA222" s="27"/>
      <c r="AB222" s="27"/>
    </row>
    <row r="223" customFormat="false" ht="15" hidden="false" customHeight="false" outlineLevel="0" collapsed="false">
      <c r="A223" s="29"/>
      <c r="B223" s="33" t="n">
        <f aca="false">IF($A223="",0,INT(($A223-'Bloco Base'!$C$5)/7)+1)</f>
        <v>0</v>
      </c>
      <c r="C223" s="28"/>
      <c r="D223" s="28"/>
      <c r="E223" s="27"/>
      <c r="F223" s="28"/>
      <c r="G223" s="139"/>
      <c r="H223" s="27"/>
      <c r="I223" s="28"/>
      <c r="J223" s="28"/>
      <c r="K223" s="28"/>
      <c r="L223" s="71"/>
      <c r="M223" s="35" t="str">
        <f aca="false">IF($AB223="","",IFERROR(INDEX('Força 1RM'!$Q$8:$Y$47,MATCH(IF($E223="Equipe (todos)",$C$4,$E223),'Força 1RM'!$P$8:$P$47,0),MATCH($AB223,'Força 1RM'!$Q$7:$Y$7,0)),""))</f>
        <v/>
      </c>
      <c r="N223" s="30" t="n">
        <f aca="false">IFERROR(IF(OR($L223="",$M223="",$M223=0),0,ROUND($L223*$M223*2,0)/2),0)</f>
        <v>0</v>
      </c>
      <c r="O223" s="32"/>
      <c r="P223" s="42" t="str">
        <f aca="false">IFERROR(IF(OR($L223="",$I223="—",$I223=""),"",IF($I223="Agachamento",INDEX($AE$8:$AE$20,MATCH($L223,$AD$8:$AD$20,1)),IF($I223="Supino",INDEX($AF$8:$AF$20,MATCH($L223,$AD$8:$AD$20,1)),IF($I223="Terra",INDEX($AG$8:$AG$20,MATCH($L223,$AD$8:$AD$20,1)),"")))),"")</f>
        <v/>
      </c>
      <c r="Q223" s="45"/>
      <c r="R223" s="71"/>
      <c r="S223" s="71"/>
      <c r="T223" s="69" t="str">
        <f aca="false">IF(OR($R223="",$S223=""),"",IF($S223&gt;$R223,"Acima do limite","Dentro do limite"))</f>
        <v/>
      </c>
      <c r="U223" s="28"/>
      <c r="V223" s="28"/>
      <c r="W223" s="28"/>
      <c r="X223" s="140" t="n">
        <f aca="false">IFERROR(IF(OR($J223="",$K223=""),0,$J223*$K223),0)</f>
        <v>0</v>
      </c>
      <c r="Y223" s="44" t="n">
        <f aca="false">IFERROR(IF($X223=0,0,$X223*IF($O223="",$N223,$O223)),0)</f>
        <v>0</v>
      </c>
      <c r="Z223" s="60" t="str">
        <f aca="false">IF($L223="","",IF($L223&lt;0.5,"Balística / Velocidade (&lt;50%)",IF($L223&lt;0.7,"Velocidade-Força (50–69%)",IF($L223&lt;0.8,"Força-Velocidade (70–79%)",IF($L223&lt;0.9,"Força Máxima (80–89%)","Força Máxima Alta (≥90%)")))))</f>
        <v/>
      </c>
      <c r="AA223" s="27"/>
      <c r="AB223" s="27"/>
    </row>
    <row r="224" customFormat="false" ht="15" hidden="false" customHeight="false" outlineLevel="0" collapsed="false">
      <c r="A224" s="29"/>
      <c r="B224" s="33" t="n">
        <f aca="false">IF($A224="",0,INT(($A224-'Bloco Base'!$C$5)/7)+1)</f>
        <v>0</v>
      </c>
      <c r="C224" s="28"/>
      <c r="D224" s="28"/>
      <c r="E224" s="27"/>
      <c r="F224" s="28"/>
      <c r="G224" s="139"/>
      <c r="H224" s="27"/>
      <c r="I224" s="28"/>
      <c r="J224" s="28"/>
      <c r="K224" s="28"/>
      <c r="L224" s="71"/>
      <c r="M224" s="35" t="str">
        <f aca="false">IF($AB224="","",IFERROR(INDEX('Força 1RM'!$Q$8:$Y$47,MATCH(IF($E224="Equipe (todos)",$C$4,$E224),'Força 1RM'!$P$8:$P$47,0),MATCH($AB224,'Força 1RM'!$Q$7:$Y$7,0)),""))</f>
        <v/>
      </c>
      <c r="N224" s="30" t="n">
        <f aca="false">IFERROR(IF(OR($L224="",$M224="",$M224=0),0,ROUND($L224*$M224*2,0)/2),0)</f>
        <v>0</v>
      </c>
      <c r="O224" s="32"/>
      <c r="P224" s="42" t="str">
        <f aca="false">IFERROR(IF(OR($L224="",$I224="—",$I224=""),"",IF($I224="Agachamento",INDEX($AE$8:$AE$20,MATCH($L224,$AD$8:$AD$20,1)),IF($I224="Supino",INDEX($AF$8:$AF$20,MATCH($L224,$AD$8:$AD$20,1)),IF($I224="Terra",INDEX($AG$8:$AG$20,MATCH($L224,$AD$8:$AD$20,1)),"")))),"")</f>
        <v/>
      </c>
      <c r="Q224" s="45"/>
      <c r="R224" s="71"/>
      <c r="S224" s="71"/>
      <c r="T224" s="69" t="str">
        <f aca="false">IF(OR($R224="",$S224=""),"",IF($S224&gt;$R224,"Acima do limite","Dentro do limite"))</f>
        <v/>
      </c>
      <c r="U224" s="28"/>
      <c r="V224" s="28"/>
      <c r="W224" s="28"/>
      <c r="X224" s="140" t="n">
        <f aca="false">IFERROR(IF(OR($J224="",$K224=""),0,$J224*$K224),0)</f>
        <v>0</v>
      </c>
      <c r="Y224" s="44" t="n">
        <f aca="false">IFERROR(IF($X224=0,0,$X224*IF($O224="",$N224,$O224)),0)</f>
        <v>0</v>
      </c>
      <c r="Z224" s="60" t="str">
        <f aca="false">IF($L224="","",IF($L224&lt;0.5,"Balística / Velocidade (&lt;50%)",IF($L224&lt;0.7,"Velocidade-Força (50–69%)",IF($L224&lt;0.8,"Força-Velocidade (70–79%)",IF($L224&lt;0.9,"Força Máxima (80–89%)","Força Máxima Alta (≥90%)")))))</f>
        <v/>
      </c>
      <c r="AA224" s="27"/>
      <c r="AB224" s="27"/>
    </row>
    <row r="225" customFormat="false" ht="15" hidden="false" customHeight="false" outlineLevel="0" collapsed="false">
      <c r="A225" s="29"/>
      <c r="B225" s="33" t="n">
        <f aca="false">IF($A225="",0,INT(($A225-'Bloco Base'!$C$5)/7)+1)</f>
        <v>0</v>
      </c>
      <c r="C225" s="28"/>
      <c r="D225" s="28"/>
      <c r="E225" s="27"/>
      <c r="F225" s="28"/>
      <c r="G225" s="139"/>
      <c r="H225" s="27"/>
      <c r="I225" s="28"/>
      <c r="J225" s="28"/>
      <c r="K225" s="28"/>
      <c r="L225" s="71"/>
      <c r="M225" s="35" t="str">
        <f aca="false">IF($AB225="","",IFERROR(INDEX('Força 1RM'!$Q$8:$Y$47,MATCH(IF($E225="Equipe (todos)",$C$4,$E225),'Força 1RM'!$P$8:$P$47,0),MATCH($AB225,'Força 1RM'!$Q$7:$Y$7,0)),""))</f>
        <v/>
      </c>
      <c r="N225" s="30" t="n">
        <f aca="false">IFERROR(IF(OR($L225="",$M225="",$M225=0),0,ROUND($L225*$M225*2,0)/2),0)</f>
        <v>0</v>
      </c>
      <c r="O225" s="32"/>
      <c r="P225" s="42" t="str">
        <f aca="false">IFERROR(IF(OR($L225="",$I225="—",$I225=""),"",IF($I225="Agachamento",INDEX($AE$8:$AE$20,MATCH($L225,$AD$8:$AD$20,1)),IF($I225="Supino",INDEX($AF$8:$AF$20,MATCH($L225,$AD$8:$AD$20,1)),IF($I225="Terra",INDEX($AG$8:$AG$20,MATCH($L225,$AD$8:$AD$20,1)),"")))),"")</f>
        <v/>
      </c>
      <c r="Q225" s="45"/>
      <c r="R225" s="71"/>
      <c r="S225" s="71"/>
      <c r="T225" s="69" t="str">
        <f aca="false">IF(OR($R225="",$S225=""),"",IF($S225&gt;$R225,"Acima do limite","Dentro do limite"))</f>
        <v/>
      </c>
      <c r="U225" s="28"/>
      <c r="V225" s="28"/>
      <c r="W225" s="28"/>
      <c r="X225" s="140" t="n">
        <f aca="false">IFERROR(IF(OR($J225="",$K225=""),0,$J225*$K225),0)</f>
        <v>0</v>
      </c>
      <c r="Y225" s="44" t="n">
        <f aca="false">IFERROR(IF($X225=0,0,$X225*IF($O225="",$N225,$O225)),0)</f>
        <v>0</v>
      </c>
      <c r="Z225" s="60" t="str">
        <f aca="false">IF($L225="","",IF($L225&lt;0.5,"Balística / Velocidade (&lt;50%)",IF($L225&lt;0.7,"Velocidade-Força (50–69%)",IF($L225&lt;0.8,"Força-Velocidade (70–79%)",IF($L225&lt;0.9,"Força Máxima (80–89%)","Força Máxima Alta (≥90%)")))))</f>
        <v/>
      </c>
      <c r="AA225" s="27"/>
      <c r="AB225" s="27"/>
    </row>
    <row r="226" customFormat="false" ht="15" hidden="false" customHeight="false" outlineLevel="0" collapsed="false">
      <c r="A226" s="29"/>
      <c r="B226" s="33" t="n">
        <f aca="false">IF($A226="",0,INT(($A226-'Bloco Base'!$C$5)/7)+1)</f>
        <v>0</v>
      </c>
      <c r="C226" s="28"/>
      <c r="D226" s="28"/>
      <c r="E226" s="27"/>
      <c r="F226" s="28"/>
      <c r="G226" s="139"/>
      <c r="H226" s="27"/>
      <c r="I226" s="28"/>
      <c r="J226" s="28"/>
      <c r="K226" s="28"/>
      <c r="L226" s="71"/>
      <c r="M226" s="35" t="str">
        <f aca="false">IF($AB226="","",IFERROR(INDEX('Força 1RM'!$Q$8:$Y$47,MATCH(IF($E226="Equipe (todos)",$C$4,$E226),'Força 1RM'!$P$8:$P$47,0),MATCH($AB226,'Força 1RM'!$Q$7:$Y$7,0)),""))</f>
        <v/>
      </c>
      <c r="N226" s="30" t="n">
        <f aca="false">IFERROR(IF(OR($L226="",$M226="",$M226=0),0,ROUND($L226*$M226*2,0)/2),0)</f>
        <v>0</v>
      </c>
      <c r="O226" s="32"/>
      <c r="P226" s="42" t="str">
        <f aca="false">IFERROR(IF(OR($L226="",$I226="—",$I226=""),"",IF($I226="Agachamento",INDEX($AE$8:$AE$20,MATCH($L226,$AD$8:$AD$20,1)),IF($I226="Supino",INDEX($AF$8:$AF$20,MATCH($L226,$AD$8:$AD$20,1)),IF($I226="Terra",INDEX($AG$8:$AG$20,MATCH($L226,$AD$8:$AD$20,1)),"")))),"")</f>
        <v/>
      </c>
      <c r="Q226" s="45"/>
      <c r="R226" s="71"/>
      <c r="S226" s="71"/>
      <c r="T226" s="69" t="str">
        <f aca="false">IF(OR($R226="",$S226=""),"",IF($S226&gt;$R226,"Acima do limite","Dentro do limite"))</f>
        <v/>
      </c>
      <c r="U226" s="28"/>
      <c r="V226" s="28"/>
      <c r="W226" s="28"/>
      <c r="X226" s="140" t="n">
        <f aca="false">IFERROR(IF(OR($J226="",$K226=""),0,$J226*$K226),0)</f>
        <v>0</v>
      </c>
      <c r="Y226" s="44" t="n">
        <f aca="false">IFERROR(IF($X226=0,0,$X226*IF($O226="",$N226,$O226)),0)</f>
        <v>0</v>
      </c>
      <c r="Z226" s="60" t="str">
        <f aca="false">IF($L226="","",IF($L226&lt;0.5,"Balística / Velocidade (&lt;50%)",IF($L226&lt;0.7,"Velocidade-Força (50–69%)",IF($L226&lt;0.8,"Força-Velocidade (70–79%)",IF($L226&lt;0.9,"Força Máxima (80–89%)","Força Máxima Alta (≥90%)")))))</f>
        <v/>
      </c>
      <c r="AA226" s="27"/>
      <c r="AB226" s="27"/>
    </row>
    <row r="227" customFormat="false" ht="15" hidden="false" customHeight="false" outlineLevel="0" collapsed="false">
      <c r="A227" s="29"/>
      <c r="B227" s="33" t="n">
        <f aca="false">IF($A227="",0,INT(($A227-'Bloco Base'!$C$5)/7)+1)</f>
        <v>0</v>
      </c>
      <c r="C227" s="28"/>
      <c r="D227" s="28"/>
      <c r="E227" s="27"/>
      <c r="F227" s="28"/>
      <c r="G227" s="139"/>
      <c r="H227" s="27"/>
      <c r="I227" s="28"/>
      <c r="J227" s="28"/>
      <c r="K227" s="28"/>
      <c r="L227" s="71"/>
      <c r="M227" s="35" t="str">
        <f aca="false">IF($AB227="","",IFERROR(INDEX('Força 1RM'!$Q$8:$Y$47,MATCH(IF($E227="Equipe (todos)",$C$4,$E227),'Força 1RM'!$P$8:$P$47,0),MATCH($AB227,'Força 1RM'!$Q$7:$Y$7,0)),""))</f>
        <v/>
      </c>
      <c r="N227" s="30" t="n">
        <f aca="false">IFERROR(IF(OR($L227="",$M227="",$M227=0),0,ROUND($L227*$M227*2,0)/2),0)</f>
        <v>0</v>
      </c>
      <c r="O227" s="32"/>
      <c r="P227" s="42" t="str">
        <f aca="false">IFERROR(IF(OR($L227="",$I227="—",$I227=""),"",IF($I227="Agachamento",INDEX($AE$8:$AE$20,MATCH($L227,$AD$8:$AD$20,1)),IF($I227="Supino",INDEX($AF$8:$AF$20,MATCH($L227,$AD$8:$AD$20,1)),IF($I227="Terra",INDEX($AG$8:$AG$20,MATCH($L227,$AD$8:$AD$20,1)),"")))),"")</f>
        <v/>
      </c>
      <c r="Q227" s="45"/>
      <c r="R227" s="71"/>
      <c r="S227" s="71"/>
      <c r="T227" s="69" t="str">
        <f aca="false">IF(OR($R227="",$S227=""),"",IF($S227&gt;$R227,"Acima do limite","Dentro do limite"))</f>
        <v/>
      </c>
      <c r="U227" s="28"/>
      <c r="V227" s="28"/>
      <c r="W227" s="28"/>
      <c r="X227" s="140" t="n">
        <f aca="false">IFERROR(IF(OR($J227="",$K227=""),0,$J227*$K227),0)</f>
        <v>0</v>
      </c>
      <c r="Y227" s="44" t="n">
        <f aca="false">IFERROR(IF($X227=0,0,$X227*IF($O227="",$N227,$O227)),0)</f>
        <v>0</v>
      </c>
      <c r="Z227" s="60" t="str">
        <f aca="false">IF($L227="","",IF($L227&lt;0.5,"Balística / Velocidade (&lt;50%)",IF($L227&lt;0.7,"Velocidade-Força (50–69%)",IF($L227&lt;0.8,"Força-Velocidade (70–79%)",IF($L227&lt;0.9,"Força Máxima (80–89%)","Força Máxima Alta (≥90%)")))))</f>
        <v/>
      </c>
      <c r="AA227" s="27"/>
      <c r="AB227" s="27"/>
    </row>
    <row r="228" customFormat="false" ht="15" hidden="false" customHeight="false" outlineLevel="0" collapsed="false">
      <c r="A228" s="29"/>
      <c r="B228" s="33" t="n">
        <f aca="false">IF($A228="",0,INT(($A228-'Bloco Base'!$C$5)/7)+1)</f>
        <v>0</v>
      </c>
      <c r="C228" s="28"/>
      <c r="D228" s="28"/>
      <c r="E228" s="27"/>
      <c r="F228" s="28"/>
      <c r="G228" s="139"/>
      <c r="H228" s="27"/>
      <c r="I228" s="28"/>
      <c r="J228" s="28"/>
      <c r="K228" s="28"/>
      <c r="L228" s="71"/>
      <c r="M228" s="35" t="str">
        <f aca="false">IF($AB228="","",IFERROR(INDEX('Força 1RM'!$Q$8:$Y$47,MATCH(IF($E228="Equipe (todos)",$C$4,$E228),'Força 1RM'!$P$8:$P$47,0),MATCH($AB228,'Força 1RM'!$Q$7:$Y$7,0)),""))</f>
        <v/>
      </c>
      <c r="N228" s="30" t="n">
        <f aca="false">IFERROR(IF(OR($L228="",$M228="",$M228=0),0,ROUND($L228*$M228*2,0)/2),0)</f>
        <v>0</v>
      </c>
      <c r="O228" s="32"/>
      <c r="P228" s="42" t="str">
        <f aca="false">IFERROR(IF(OR($L228="",$I228="—",$I228=""),"",IF($I228="Agachamento",INDEX($AE$8:$AE$20,MATCH($L228,$AD$8:$AD$20,1)),IF($I228="Supino",INDEX($AF$8:$AF$20,MATCH($L228,$AD$8:$AD$20,1)),IF($I228="Terra",INDEX($AG$8:$AG$20,MATCH($L228,$AD$8:$AD$20,1)),"")))),"")</f>
        <v/>
      </c>
      <c r="Q228" s="45"/>
      <c r="R228" s="71"/>
      <c r="S228" s="71"/>
      <c r="T228" s="69" t="str">
        <f aca="false">IF(OR($R228="",$S228=""),"",IF($S228&gt;$R228,"Acima do limite","Dentro do limite"))</f>
        <v/>
      </c>
      <c r="U228" s="28"/>
      <c r="V228" s="28"/>
      <c r="W228" s="28"/>
      <c r="X228" s="140" t="n">
        <f aca="false">IFERROR(IF(OR($J228="",$K228=""),0,$J228*$K228),0)</f>
        <v>0</v>
      </c>
      <c r="Y228" s="44" t="n">
        <f aca="false">IFERROR(IF($X228=0,0,$X228*IF($O228="",$N228,$O228)),0)</f>
        <v>0</v>
      </c>
      <c r="Z228" s="60" t="str">
        <f aca="false">IF($L228="","",IF($L228&lt;0.5,"Balística / Velocidade (&lt;50%)",IF($L228&lt;0.7,"Velocidade-Força (50–69%)",IF($L228&lt;0.8,"Força-Velocidade (70–79%)",IF($L228&lt;0.9,"Força Máxima (80–89%)","Força Máxima Alta (≥90%)")))))</f>
        <v/>
      </c>
      <c r="AA228" s="27"/>
      <c r="AB228" s="27"/>
    </row>
    <row r="229" customFormat="false" ht="15" hidden="false" customHeight="false" outlineLevel="0" collapsed="false">
      <c r="A229" s="29"/>
      <c r="B229" s="33" t="n">
        <f aca="false">IF($A229="",0,INT(($A229-'Bloco Base'!$C$5)/7)+1)</f>
        <v>0</v>
      </c>
      <c r="C229" s="28"/>
      <c r="D229" s="28"/>
      <c r="E229" s="27"/>
      <c r="F229" s="28"/>
      <c r="G229" s="139"/>
      <c r="H229" s="27"/>
      <c r="I229" s="28"/>
      <c r="J229" s="28"/>
      <c r="K229" s="28"/>
      <c r="L229" s="71"/>
      <c r="M229" s="35" t="str">
        <f aca="false">IF($AB229="","",IFERROR(INDEX('Força 1RM'!$Q$8:$Y$47,MATCH(IF($E229="Equipe (todos)",$C$4,$E229),'Força 1RM'!$P$8:$P$47,0),MATCH($AB229,'Força 1RM'!$Q$7:$Y$7,0)),""))</f>
        <v/>
      </c>
      <c r="N229" s="30" t="n">
        <f aca="false">IFERROR(IF(OR($L229="",$M229="",$M229=0),0,ROUND($L229*$M229*2,0)/2),0)</f>
        <v>0</v>
      </c>
      <c r="O229" s="32"/>
      <c r="P229" s="42" t="str">
        <f aca="false">IFERROR(IF(OR($L229="",$I229="—",$I229=""),"",IF($I229="Agachamento",INDEX($AE$8:$AE$20,MATCH($L229,$AD$8:$AD$20,1)),IF($I229="Supino",INDEX($AF$8:$AF$20,MATCH($L229,$AD$8:$AD$20,1)),IF($I229="Terra",INDEX($AG$8:$AG$20,MATCH($L229,$AD$8:$AD$20,1)),"")))),"")</f>
        <v/>
      </c>
      <c r="Q229" s="45"/>
      <c r="R229" s="71"/>
      <c r="S229" s="71"/>
      <c r="T229" s="69" t="str">
        <f aca="false">IF(OR($R229="",$S229=""),"",IF($S229&gt;$R229,"Acima do limite","Dentro do limite"))</f>
        <v/>
      </c>
      <c r="U229" s="28"/>
      <c r="V229" s="28"/>
      <c r="W229" s="28"/>
      <c r="X229" s="140" t="n">
        <f aca="false">IFERROR(IF(OR($J229="",$K229=""),0,$J229*$K229),0)</f>
        <v>0</v>
      </c>
      <c r="Y229" s="44" t="n">
        <f aca="false">IFERROR(IF($X229=0,0,$X229*IF($O229="",$N229,$O229)),0)</f>
        <v>0</v>
      </c>
      <c r="Z229" s="60" t="str">
        <f aca="false">IF($L229="","",IF($L229&lt;0.5,"Balística / Velocidade (&lt;50%)",IF($L229&lt;0.7,"Velocidade-Força (50–69%)",IF($L229&lt;0.8,"Força-Velocidade (70–79%)",IF($L229&lt;0.9,"Força Máxima (80–89%)","Força Máxima Alta (≥90%)")))))</f>
        <v/>
      </c>
      <c r="AA229" s="27"/>
      <c r="AB229" s="27"/>
    </row>
    <row r="230" customFormat="false" ht="15" hidden="false" customHeight="false" outlineLevel="0" collapsed="false">
      <c r="A230" s="29"/>
      <c r="B230" s="33" t="n">
        <f aca="false">IF($A230="",0,INT(($A230-'Bloco Base'!$C$5)/7)+1)</f>
        <v>0</v>
      </c>
      <c r="C230" s="28"/>
      <c r="D230" s="28"/>
      <c r="E230" s="27"/>
      <c r="F230" s="28"/>
      <c r="G230" s="139"/>
      <c r="H230" s="27"/>
      <c r="I230" s="28"/>
      <c r="J230" s="28"/>
      <c r="K230" s="28"/>
      <c r="L230" s="71"/>
      <c r="M230" s="35" t="str">
        <f aca="false">IF($AB230="","",IFERROR(INDEX('Força 1RM'!$Q$8:$Y$47,MATCH(IF($E230="Equipe (todos)",$C$4,$E230),'Força 1RM'!$P$8:$P$47,0),MATCH($AB230,'Força 1RM'!$Q$7:$Y$7,0)),""))</f>
        <v/>
      </c>
      <c r="N230" s="30" t="n">
        <f aca="false">IFERROR(IF(OR($L230="",$M230="",$M230=0),0,ROUND($L230*$M230*2,0)/2),0)</f>
        <v>0</v>
      </c>
      <c r="O230" s="32"/>
      <c r="P230" s="42" t="str">
        <f aca="false">IFERROR(IF(OR($L230="",$I230="—",$I230=""),"",IF($I230="Agachamento",INDEX($AE$8:$AE$20,MATCH($L230,$AD$8:$AD$20,1)),IF($I230="Supino",INDEX($AF$8:$AF$20,MATCH($L230,$AD$8:$AD$20,1)),IF($I230="Terra",INDEX($AG$8:$AG$20,MATCH($L230,$AD$8:$AD$20,1)),"")))),"")</f>
        <v/>
      </c>
      <c r="Q230" s="45"/>
      <c r="R230" s="71"/>
      <c r="S230" s="71"/>
      <c r="T230" s="69" t="str">
        <f aca="false">IF(OR($R230="",$S230=""),"",IF($S230&gt;$R230,"Acima do limite","Dentro do limite"))</f>
        <v/>
      </c>
      <c r="U230" s="28"/>
      <c r="V230" s="28"/>
      <c r="W230" s="28"/>
      <c r="X230" s="140" t="n">
        <f aca="false">IFERROR(IF(OR($J230="",$K230=""),0,$J230*$K230),0)</f>
        <v>0</v>
      </c>
      <c r="Y230" s="44" t="n">
        <f aca="false">IFERROR(IF($X230=0,0,$X230*IF($O230="",$N230,$O230)),0)</f>
        <v>0</v>
      </c>
      <c r="Z230" s="60" t="str">
        <f aca="false">IF($L230="","",IF($L230&lt;0.5,"Balística / Velocidade (&lt;50%)",IF($L230&lt;0.7,"Velocidade-Força (50–69%)",IF($L230&lt;0.8,"Força-Velocidade (70–79%)",IF($L230&lt;0.9,"Força Máxima (80–89%)","Força Máxima Alta (≥90%)")))))</f>
        <v/>
      </c>
      <c r="AA230" s="27"/>
      <c r="AB230" s="27"/>
    </row>
    <row r="231" customFormat="false" ht="15" hidden="false" customHeight="false" outlineLevel="0" collapsed="false">
      <c r="A231" s="29"/>
      <c r="B231" s="33" t="n">
        <f aca="false">IF($A231="",0,INT(($A231-'Bloco Base'!$C$5)/7)+1)</f>
        <v>0</v>
      </c>
      <c r="C231" s="28"/>
      <c r="D231" s="28"/>
      <c r="E231" s="27"/>
      <c r="F231" s="28"/>
      <c r="G231" s="139"/>
      <c r="H231" s="27"/>
      <c r="I231" s="28"/>
      <c r="J231" s="28"/>
      <c r="K231" s="28"/>
      <c r="L231" s="71"/>
      <c r="M231" s="35" t="str">
        <f aca="false">IF($AB231="","",IFERROR(INDEX('Força 1RM'!$Q$8:$Y$47,MATCH(IF($E231="Equipe (todos)",$C$4,$E231),'Força 1RM'!$P$8:$P$47,0),MATCH($AB231,'Força 1RM'!$Q$7:$Y$7,0)),""))</f>
        <v/>
      </c>
      <c r="N231" s="30" t="n">
        <f aca="false">IFERROR(IF(OR($L231="",$M231="",$M231=0),0,ROUND($L231*$M231*2,0)/2),0)</f>
        <v>0</v>
      </c>
      <c r="O231" s="32"/>
      <c r="P231" s="42" t="str">
        <f aca="false">IFERROR(IF(OR($L231="",$I231="—",$I231=""),"",IF($I231="Agachamento",INDEX($AE$8:$AE$20,MATCH($L231,$AD$8:$AD$20,1)),IF($I231="Supino",INDEX($AF$8:$AF$20,MATCH($L231,$AD$8:$AD$20,1)),IF($I231="Terra",INDEX($AG$8:$AG$20,MATCH($L231,$AD$8:$AD$20,1)),"")))),"")</f>
        <v/>
      </c>
      <c r="Q231" s="45"/>
      <c r="R231" s="71"/>
      <c r="S231" s="71"/>
      <c r="T231" s="69" t="str">
        <f aca="false">IF(OR($R231="",$S231=""),"",IF($S231&gt;$R231,"Acima do limite","Dentro do limite"))</f>
        <v/>
      </c>
      <c r="U231" s="28"/>
      <c r="V231" s="28"/>
      <c r="W231" s="28"/>
      <c r="X231" s="140" t="n">
        <f aca="false">IFERROR(IF(OR($J231="",$K231=""),0,$J231*$K231),0)</f>
        <v>0</v>
      </c>
      <c r="Y231" s="44" t="n">
        <f aca="false">IFERROR(IF($X231=0,0,$X231*IF($O231="",$N231,$O231)),0)</f>
        <v>0</v>
      </c>
      <c r="Z231" s="60" t="str">
        <f aca="false">IF($L231="","",IF($L231&lt;0.5,"Balística / Velocidade (&lt;50%)",IF($L231&lt;0.7,"Velocidade-Força (50–69%)",IF($L231&lt;0.8,"Força-Velocidade (70–79%)",IF($L231&lt;0.9,"Força Máxima (80–89%)","Força Máxima Alta (≥90%)")))))</f>
        <v/>
      </c>
      <c r="AA231" s="27"/>
      <c r="AB231" s="27"/>
    </row>
    <row r="232" customFormat="false" ht="15" hidden="false" customHeight="false" outlineLevel="0" collapsed="false">
      <c r="A232" s="29"/>
      <c r="B232" s="33" t="n">
        <f aca="false">IF($A232="",0,INT(($A232-'Bloco Base'!$C$5)/7)+1)</f>
        <v>0</v>
      </c>
      <c r="C232" s="28"/>
      <c r="D232" s="28"/>
      <c r="E232" s="27"/>
      <c r="F232" s="28"/>
      <c r="G232" s="139"/>
      <c r="H232" s="27"/>
      <c r="I232" s="28"/>
      <c r="J232" s="28"/>
      <c r="K232" s="28"/>
      <c r="L232" s="71"/>
      <c r="M232" s="35" t="str">
        <f aca="false">IF($AB232="","",IFERROR(INDEX('Força 1RM'!$Q$8:$Y$47,MATCH(IF($E232="Equipe (todos)",$C$4,$E232),'Força 1RM'!$P$8:$P$47,0),MATCH($AB232,'Força 1RM'!$Q$7:$Y$7,0)),""))</f>
        <v/>
      </c>
      <c r="N232" s="30" t="n">
        <f aca="false">IFERROR(IF(OR($L232="",$M232="",$M232=0),0,ROUND($L232*$M232*2,0)/2),0)</f>
        <v>0</v>
      </c>
      <c r="O232" s="32"/>
      <c r="P232" s="42" t="str">
        <f aca="false">IFERROR(IF(OR($L232="",$I232="—",$I232=""),"",IF($I232="Agachamento",INDEX($AE$8:$AE$20,MATCH($L232,$AD$8:$AD$20,1)),IF($I232="Supino",INDEX($AF$8:$AF$20,MATCH($L232,$AD$8:$AD$20,1)),IF($I232="Terra",INDEX($AG$8:$AG$20,MATCH($L232,$AD$8:$AD$20,1)),"")))),"")</f>
        <v/>
      </c>
      <c r="Q232" s="45"/>
      <c r="R232" s="71"/>
      <c r="S232" s="71"/>
      <c r="T232" s="69" t="str">
        <f aca="false">IF(OR($R232="",$S232=""),"",IF($S232&gt;$R232,"Acima do limite","Dentro do limite"))</f>
        <v/>
      </c>
      <c r="U232" s="28"/>
      <c r="V232" s="28"/>
      <c r="W232" s="28"/>
      <c r="X232" s="140" t="n">
        <f aca="false">IFERROR(IF(OR($J232="",$K232=""),0,$J232*$K232),0)</f>
        <v>0</v>
      </c>
      <c r="Y232" s="44" t="n">
        <f aca="false">IFERROR(IF($X232=0,0,$X232*IF($O232="",$N232,$O232)),0)</f>
        <v>0</v>
      </c>
      <c r="Z232" s="60" t="str">
        <f aca="false">IF($L232="","",IF($L232&lt;0.5,"Balística / Velocidade (&lt;50%)",IF($L232&lt;0.7,"Velocidade-Força (50–69%)",IF($L232&lt;0.8,"Força-Velocidade (70–79%)",IF($L232&lt;0.9,"Força Máxima (80–89%)","Força Máxima Alta (≥90%)")))))</f>
        <v/>
      </c>
      <c r="AA232" s="27"/>
      <c r="AB232" s="27"/>
    </row>
    <row r="233" customFormat="false" ht="15" hidden="false" customHeight="false" outlineLevel="0" collapsed="false">
      <c r="A233" s="29"/>
      <c r="B233" s="33" t="n">
        <f aca="false">IF($A233="",0,INT(($A233-'Bloco Base'!$C$5)/7)+1)</f>
        <v>0</v>
      </c>
      <c r="C233" s="28"/>
      <c r="D233" s="28"/>
      <c r="E233" s="27"/>
      <c r="F233" s="28"/>
      <c r="G233" s="139"/>
      <c r="H233" s="27"/>
      <c r="I233" s="28"/>
      <c r="J233" s="28"/>
      <c r="K233" s="28"/>
      <c r="L233" s="71"/>
      <c r="M233" s="35" t="str">
        <f aca="false">IF($AB233="","",IFERROR(INDEX('Força 1RM'!$Q$8:$Y$47,MATCH(IF($E233="Equipe (todos)",$C$4,$E233),'Força 1RM'!$P$8:$P$47,0),MATCH($AB233,'Força 1RM'!$Q$7:$Y$7,0)),""))</f>
        <v/>
      </c>
      <c r="N233" s="30" t="n">
        <f aca="false">IFERROR(IF(OR($L233="",$M233="",$M233=0),0,ROUND($L233*$M233*2,0)/2),0)</f>
        <v>0</v>
      </c>
      <c r="O233" s="32"/>
      <c r="P233" s="42" t="str">
        <f aca="false">IFERROR(IF(OR($L233="",$I233="—",$I233=""),"",IF($I233="Agachamento",INDEX($AE$8:$AE$20,MATCH($L233,$AD$8:$AD$20,1)),IF($I233="Supino",INDEX($AF$8:$AF$20,MATCH($L233,$AD$8:$AD$20,1)),IF($I233="Terra",INDEX($AG$8:$AG$20,MATCH($L233,$AD$8:$AD$20,1)),"")))),"")</f>
        <v/>
      </c>
      <c r="Q233" s="45"/>
      <c r="R233" s="71"/>
      <c r="S233" s="71"/>
      <c r="T233" s="69" t="str">
        <f aca="false">IF(OR($R233="",$S233=""),"",IF($S233&gt;$R233,"Acima do limite","Dentro do limite"))</f>
        <v/>
      </c>
      <c r="U233" s="28"/>
      <c r="V233" s="28"/>
      <c r="W233" s="28"/>
      <c r="X233" s="140" t="n">
        <f aca="false">IFERROR(IF(OR($J233="",$K233=""),0,$J233*$K233),0)</f>
        <v>0</v>
      </c>
      <c r="Y233" s="44" t="n">
        <f aca="false">IFERROR(IF($X233=0,0,$X233*IF($O233="",$N233,$O233)),0)</f>
        <v>0</v>
      </c>
      <c r="Z233" s="60" t="str">
        <f aca="false">IF($L233="","",IF($L233&lt;0.5,"Balística / Velocidade (&lt;50%)",IF($L233&lt;0.7,"Velocidade-Força (50–69%)",IF($L233&lt;0.8,"Força-Velocidade (70–79%)",IF($L233&lt;0.9,"Força Máxima (80–89%)","Força Máxima Alta (≥90%)")))))</f>
        <v/>
      </c>
      <c r="AA233" s="27"/>
      <c r="AB233" s="27"/>
    </row>
    <row r="234" customFormat="false" ht="15" hidden="false" customHeight="false" outlineLevel="0" collapsed="false">
      <c r="A234" s="29"/>
      <c r="B234" s="33" t="n">
        <f aca="false">IF($A234="",0,INT(($A234-'Bloco Base'!$C$5)/7)+1)</f>
        <v>0</v>
      </c>
      <c r="C234" s="28"/>
      <c r="D234" s="28"/>
      <c r="E234" s="27"/>
      <c r="F234" s="28"/>
      <c r="G234" s="139"/>
      <c r="H234" s="27"/>
      <c r="I234" s="28"/>
      <c r="J234" s="28"/>
      <c r="K234" s="28"/>
      <c r="L234" s="71"/>
      <c r="M234" s="35" t="str">
        <f aca="false">IF($AB234="","",IFERROR(INDEX('Força 1RM'!$Q$8:$Y$47,MATCH(IF($E234="Equipe (todos)",$C$4,$E234),'Força 1RM'!$P$8:$P$47,0),MATCH($AB234,'Força 1RM'!$Q$7:$Y$7,0)),""))</f>
        <v/>
      </c>
      <c r="N234" s="30" t="n">
        <f aca="false">IFERROR(IF(OR($L234="",$M234="",$M234=0),0,ROUND($L234*$M234*2,0)/2),0)</f>
        <v>0</v>
      </c>
      <c r="O234" s="32"/>
      <c r="P234" s="42" t="str">
        <f aca="false">IFERROR(IF(OR($L234="",$I234="—",$I234=""),"",IF($I234="Agachamento",INDEX($AE$8:$AE$20,MATCH($L234,$AD$8:$AD$20,1)),IF($I234="Supino",INDEX($AF$8:$AF$20,MATCH($L234,$AD$8:$AD$20,1)),IF($I234="Terra",INDEX($AG$8:$AG$20,MATCH($L234,$AD$8:$AD$20,1)),"")))),"")</f>
        <v/>
      </c>
      <c r="Q234" s="45"/>
      <c r="R234" s="71"/>
      <c r="S234" s="71"/>
      <c r="T234" s="69" t="str">
        <f aca="false">IF(OR($R234="",$S234=""),"",IF($S234&gt;$R234,"Acima do limite","Dentro do limite"))</f>
        <v/>
      </c>
      <c r="U234" s="28"/>
      <c r="V234" s="28"/>
      <c r="W234" s="28"/>
      <c r="X234" s="140" t="n">
        <f aca="false">IFERROR(IF(OR($J234="",$K234=""),0,$J234*$K234),0)</f>
        <v>0</v>
      </c>
      <c r="Y234" s="44" t="n">
        <f aca="false">IFERROR(IF($X234=0,0,$X234*IF($O234="",$N234,$O234)),0)</f>
        <v>0</v>
      </c>
      <c r="Z234" s="60" t="str">
        <f aca="false">IF($L234="","",IF($L234&lt;0.5,"Balística / Velocidade (&lt;50%)",IF($L234&lt;0.7,"Velocidade-Força (50–69%)",IF($L234&lt;0.8,"Força-Velocidade (70–79%)",IF($L234&lt;0.9,"Força Máxima (80–89%)","Força Máxima Alta (≥90%)")))))</f>
        <v/>
      </c>
      <c r="AA234" s="27"/>
      <c r="AB234" s="27"/>
    </row>
    <row r="235" customFormat="false" ht="15" hidden="false" customHeight="false" outlineLevel="0" collapsed="false">
      <c r="A235" s="29"/>
      <c r="B235" s="33" t="n">
        <f aca="false">IF($A235="",0,INT(($A235-'Bloco Base'!$C$5)/7)+1)</f>
        <v>0</v>
      </c>
      <c r="C235" s="28"/>
      <c r="D235" s="28"/>
      <c r="E235" s="27"/>
      <c r="F235" s="28"/>
      <c r="G235" s="139"/>
      <c r="H235" s="27"/>
      <c r="I235" s="28"/>
      <c r="J235" s="28"/>
      <c r="K235" s="28"/>
      <c r="L235" s="71"/>
      <c r="M235" s="35" t="str">
        <f aca="false">IF($AB235="","",IFERROR(INDEX('Força 1RM'!$Q$8:$Y$47,MATCH(IF($E235="Equipe (todos)",$C$4,$E235),'Força 1RM'!$P$8:$P$47,0),MATCH($AB235,'Força 1RM'!$Q$7:$Y$7,0)),""))</f>
        <v/>
      </c>
      <c r="N235" s="30" t="n">
        <f aca="false">IFERROR(IF(OR($L235="",$M235="",$M235=0),0,ROUND($L235*$M235*2,0)/2),0)</f>
        <v>0</v>
      </c>
      <c r="O235" s="32"/>
      <c r="P235" s="42" t="str">
        <f aca="false">IFERROR(IF(OR($L235="",$I235="—",$I235=""),"",IF($I235="Agachamento",INDEX($AE$8:$AE$20,MATCH($L235,$AD$8:$AD$20,1)),IF($I235="Supino",INDEX($AF$8:$AF$20,MATCH($L235,$AD$8:$AD$20,1)),IF($I235="Terra",INDEX($AG$8:$AG$20,MATCH($L235,$AD$8:$AD$20,1)),"")))),"")</f>
        <v/>
      </c>
      <c r="Q235" s="45"/>
      <c r="R235" s="71"/>
      <c r="S235" s="71"/>
      <c r="T235" s="69" t="str">
        <f aca="false">IF(OR($R235="",$S235=""),"",IF($S235&gt;$R235,"Acima do limite","Dentro do limite"))</f>
        <v/>
      </c>
      <c r="U235" s="28"/>
      <c r="V235" s="28"/>
      <c r="W235" s="28"/>
      <c r="X235" s="140" t="n">
        <f aca="false">IFERROR(IF(OR($J235="",$K235=""),0,$J235*$K235),0)</f>
        <v>0</v>
      </c>
      <c r="Y235" s="44" t="n">
        <f aca="false">IFERROR(IF($X235=0,0,$X235*IF($O235="",$N235,$O235)),0)</f>
        <v>0</v>
      </c>
      <c r="Z235" s="60" t="str">
        <f aca="false">IF($L235="","",IF($L235&lt;0.5,"Balística / Velocidade (&lt;50%)",IF($L235&lt;0.7,"Velocidade-Força (50–69%)",IF($L235&lt;0.8,"Força-Velocidade (70–79%)",IF($L235&lt;0.9,"Força Máxima (80–89%)","Força Máxima Alta (≥90%)")))))</f>
        <v/>
      </c>
      <c r="AA235" s="27"/>
      <c r="AB235" s="27"/>
    </row>
    <row r="236" customFormat="false" ht="15" hidden="false" customHeight="false" outlineLevel="0" collapsed="false">
      <c r="A236" s="29"/>
      <c r="B236" s="33" t="n">
        <f aca="false">IF($A236="",0,INT(($A236-'Bloco Base'!$C$5)/7)+1)</f>
        <v>0</v>
      </c>
      <c r="C236" s="28"/>
      <c r="D236" s="28"/>
      <c r="E236" s="27"/>
      <c r="F236" s="28"/>
      <c r="G236" s="139"/>
      <c r="H236" s="27"/>
      <c r="I236" s="28"/>
      <c r="J236" s="28"/>
      <c r="K236" s="28"/>
      <c r="L236" s="71"/>
      <c r="M236" s="35" t="str">
        <f aca="false">IF($AB236="","",IFERROR(INDEX('Força 1RM'!$Q$8:$Y$47,MATCH(IF($E236="Equipe (todos)",$C$4,$E236),'Força 1RM'!$P$8:$P$47,0),MATCH($AB236,'Força 1RM'!$Q$7:$Y$7,0)),""))</f>
        <v/>
      </c>
      <c r="N236" s="30" t="n">
        <f aca="false">IFERROR(IF(OR($L236="",$M236="",$M236=0),0,ROUND($L236*$M236*2,0)/2),0)</f>
        <v>0</v>
      </c>
      <c r="O236" s="32"/>
      <c r="P236" s="42" t="str">
        <f aca="false">IFERROR(IF(OR($L236="",$I236="—",$I236=""),"",IF($I236="Agachamento",INDEX($AE$8:$AE$20,MATCH($L236,$AD$8:$AD$20,1)),IF($I236="Supino",INDEX($AF$8:$AF$20,MATCH($L236,$AD$8:$AD$20,1)),IF($I236="Terra",INDEX($AG$8:$AG$20,MATCH($L236,$AD$8:$AD$20,1)),"")))),"")</f>
        <v/>
      </c>
      <c r="Q236" s="45"/>
      <c r="R236" s="71"/>
      <c r="S236" s="71"/>
      <c r="T236" s="69" t="str">
        <f aca="false">IF(OR($R236="",$S236=""),"",IF($S236&gt;$R236,"Acima do limite","Dentro do limite"))</f>
        <v/>
      </c>
      <c r="U236" s="28"/>
      <c r="V236" s="28"/>
      <c r="W236" s="28"/>
      <c r="X236" s="140" t="n">
        <f aca="false">IFERROR(IF(OR($J236="",$K236=""),0,$J236*$K236),0)</f>
        <v>0</v>
      </c>
      <c r="Y236" s="44" t="n">
        <f aca="false">IFERROR(IF($X236=0,0,$X236*IF($O236="",$N236,$O236)),0)</f>
        <v>0</v>
      </c>
      <c r="Z236" s="60" t="str">
        <f aca="false">IF($L236="","",IF($L236&lt;0.5,"Balística / Velocidade (&lt;50%)",IF($L236&lt;0.7,"Velocidade-Força (50–69%)",IF($L236&lt;0.8,"Força-Velocidade (70–79%)",IF($L236&lt;0.9,"Força Máxima (80–89%)","Força Máxima Alta (≥90%)")))))</f>
        <v/>
      </c>
      <c r="AA236" s="27"/>
      <c r="AB236" s="27"/>
    </row>
    <row r="237" customFormat="false" ht="15" hidden="false" customHeight="false" outlineLevel="0" collapsed="false">
      <c r="A237" s="29"/>
      <c r="B237" s="33" t="n">
        <f aca="false">IF($A237="",0,INT(($A237-'Bloco Base'!$C$5)/7)+1)</f>
        <v>0</v>
      </c>
      <c r="C237" s="28"/>
      <c r="D237" s="28"/>
      <c r="E237" s="27"/>
      <c r="F237" s="28"/>
      <c r="G237" s="139"/>
      <c r="H237" s="27"/>
      <c r="I237" s="28"/>
      <c r="J237" s="28"/>
      <c r="K237" s="28"/>
      <c r="L237" s="71"/>
      <c r="M237" s="35" t="str">
        <f aca="false">IF($AB237="","",IFERROR(INDEX('Força 1RM'!$Q$8:$Y$47,MATCH(IF($E237="Equipe (todos)",$C$4,$E237),'Força 1RM'!$P$8:$P$47,0),MATCH($AB237,'Força 1RM'!$Q$7:$Y$7,0)),""))</f>
        <v/>
      </c>
      <c r="N237" s="30" t="n">
        <f aca="false">IFERROR(IF(OR($L237="",$M237="",$M237=0),0,ROUND($L237*$M237*2,0)/2),0)</f>
        <v>0</v>
      </c>
      <c r="O237" s="32"/>
      <c r="P237" s="42" t="str">
        <f aca="false">IFERROR(IF(OR($L237="",$I237="—",$I237=""),"",IF($I237="Agachamento",INDEX($AE$8:$AE$20,MATCH($L237,$AD$8:$AD$20,1)),IF($I237="Supino",INDEX($AF$8:$AF$20,MATCH($L237,$AD$8:$AD$20,1)),IF($I237="Terra",INDEX($AG$8:$AG$20,MATCH($L237,$AD$8:$AD$20,1)),"")))),"")</f>
        <v/>
      </c>
      <c r="Q237" s="45"/>
      <c r="R237" s="71"/>
      <c r="S237" s="71"/>
      <c r="T237" s="69" t="str">
        <f aca="false">IF(OR($R237="",$S237=""),"",IF($S237&gt;$R237,"Acima do limite","Dentro do limite"))</f>
        <v/>
      </c>
      <c r="U237" s="28"/>
      <c r="V237" s="28"/>
      <c r="W237" s="28"/>
      <c r="X237" s="140" t="n">
        <f aca="false">IFERROR(IF(OR($J237="",$K237=""),0,$J237*$K237),0)</f>
        <v>0</v>
      </c>
      <c r="Y237" s="44" t="n">
        <f aca="false">IFERROR(IF($X237=0,0,$X237*IF($O237="",$N237,$O237)),0)</f>
        <v>0</v>
      </c>
      <c r="Z237" s="60" t="str">
        <f aca="false">IF($L237="","",IF($L237&lt;0.5,"Balística / Velocidade (&lt;50%)",IF($L237&lt;0.7,"Velocidade-Força (50–69%)",IF($L237&lt;0.8,"Força-Velocidade (70–79%)",IF($L237&lt;0.9,"Força Máxima (80–89%)","Força Máxima Alta (≥90%)")))))</f>
        <v/>
      </c>
      <c r="AA237" s="27"/>
      <c r="AB237" s="27"/>
    </row>
    <row r="238" customFormat="false" ht="15" hidden="false" customHeight="false" outlineLevel="0" collapsed="false">
      <c r="A238" s="29"/>
      <c r="B238" s="33" t="n">
        <f aca="false">IF($A238="",0,INT(($A238-'Bloco Base'!$C$5)/7)+1)</f>
        <v>0</v>
      </c>
      <c r="C238" s="28"/>
      <c r="D238" s="28"/>
      <c r="E238" s="27"/>
      <c r="F238" s="28"/>
      <c r="G238" s="139"/>
      <c r="H238" s="27"/>
      <c r="I238" s="28"/>
      <c r="J238" s="28"/>
      <c r="K238" s="28"/>
      <c r="L238" s="71"/>
      <c r="M238" s="35" t="str">
        <f aca="false">IF($AB238="","",IFERROR(INDEX('Força 1RM'!$Q$8:$Y$47,MATCH(IF($E238="Equipe (todos)",$C$4,$E238),'Força 1RM'!$P$8:$P$47,0),MATCH($AB238,'Força 1RM'!$Q$7:$Y$7,0)),""))</f>
        <v/>
      </c>
      <c r="N238" s="30" t="n">
        <f aca="false">IFERROR(IF(OR($L238="",$M238="",$M238=0),0,ROUND($L238*$M238*2,0)/2),0)</f>
        <v>0</v>
      </c>
      <c r="O238" s="32"/>
      <c r="P238" s="42" t="str">
        <f aca="false">IFERROR(IF(OR($L238="",$I238="—",$I238=""),"",IF($I238="Agachamento",INDEX($AE$8:$AE$20,MATCH($L238,$AD$8:$AD$20,1)),IF($I238="Supino",INDEX($AF$8:$AF$20,MATCH($L238,$AD$8:$AD$20,1)),IF($I238="Terra",INDEX($AG$8:$AG$20,MATCH($L238,$AD$8:$AD$20,1)),"")))),"")</f>
        <v/>
      </c>
      <c r="Q238" s="45"/>
      <c r="R238" s="71"/>
      <c r="S238" s="71"/>
      <c r="T238" s="69" t="str">
        <f aca="false">IF(OR($R238="",$S238=""),"",IF($S238&gt;$R238,"Acima do limite","Dentro do limite"))</f>
        <v/>
      </c>
      <c r="U238" s="28"/>
      <c r="V238" s="28"/>
      <c r="W238" s="28"/>
      <c r="X238" s="140" t="n">
        <f aca="false">IFERROR(IF(OR($J238="",$K238=""),0,$J238*$K238),0)</f>
        <v>0</v>
      </c>
      <c r="Y238" s="44" t="n">
        <f aca="false">IFERROR(IF($X238=0,0,$X238*IF($O238="",$N238,$O238)),0)</f>
        <v>0</v>
      </c>
      <c r="Z238" s="60" t="str">
        <f aca="false">IF($L238="","",IF($L238&lt;0.5,"Balística / Velocidade (&lt;50%)",IF($L238&lt;0.7,"Velocidade-Força (50–69%)",IF($L238&lt;0.8,"Força-Velocidade (70–79%)",IF($L238&lt;0.9,"Força Máxima (80–89%)","Força Máxima Alta (≥90%)")))))</f>
        <v/>
      </c>
      <c r="AA238" s="27"/>
      <c r="AB238" s="27"/>
    </row>
    <row r="239" customFormat="false" ht="15" hidden="false" customHeight="false" outlineLevel="0" collapsed="false">
      <c r="A239" s="29"/>
      <c r="B239" s="33" t="n">
        <f aca="false">IF($A239="",0,INT(($A239-'Bloco Base'!$C$5)/7)+1)</f>
        <v>0</v>
      </c>
      <c r="C239" s="28"/>
      <c r="D239" s="28"/>
      <c r="E239" s="27"/>
      <c r="F239" s="28"/>
      <c r="G239" s="139"/>
      <c r="H239" s="27"/>
      <c r="I239" s="28"/>
      <c r="J239" s="28"/>
      <c r="K239" s="28"/>
      <c r="L239" s="71"/>
      <c r="M239" s="35" t="str">
        <f aca="false">IF($AB239="","",IFERROR(INDEX('Força 1RM'!$Q$8:$Y$47,MATCH(IF($E239="Equipe (todos)",$C$4,$E239),'Força 1RM'!$P$8:$P$47,0),MATCH($AB239,'Força 1RM'!$Q$7:$Y$7,0)),""))</f>
        <v/>
      </c>
      <c r="N239" s="30" t="n">
        <f aca="false">IFERROR(IF(OR($L239="",$M239="",$M239=0),0,ROUND($L239*$M239*2,0)/2),0)</f>
        <v>0</v>
      </c>
      <c r="O239" s="32"/>
      <c r="P239" s="42" t="str">
        <f aca="false">IFERROR(IF(OR($L239="",$I239="—",$I239=""),"",IF($I239="Agachamento",INDEX($AE$8:$AE$20,MATCH($L239,$AD$8:$AD$20,1)),IF($I239="Supino",INDEX($AF$8:$AF$20,MATCH($L239,$AD$8:$AD$20,1)),IF($I239="Terra",INDEX($AG$8:$AG$20,MATCH($L239,$AD$8:$AD$20,1)),"")))),"")</f>
        <v/>
      </c>
      <c r="Q239" s="45"/>
      <c r="R239" s="71"/>
      <c r="S239" s="71"/>
      <c r="T239" s="69" t="str">
        <f aca="false">IF(OR($R239="",$S239=""),"",IF($S239&gt;$R239,"Acima do limite","Dentro do limite"))</f>
        <v/>
      </c>
      <c r="U239" s="28"/>
      <c r="V239" s="28"/>
      <c r="W239" s="28"/>
      <c r="X239" s="140" t="n">
        <f aca="false">IFERROR(IF(OR($J239="",$K239=""),0,$J239*$K239),0)</f>
        <v>0</v>
      </c>
      <c r="Y239" s="44" t="n">
        <f aca="false">IFERROR(IF($X239=0,0,$X239*IF($O239="",$N239,$O239)),0)</f>
        <v>0</v>
      </c>
      <c r="Z239" s="60" t="str">
        <f aca="false">IF($L239="","",IF($L239&lt;0.5,"Balística / Velocidade (&lt;50%)",IF($L239&lt;0.7,"Velocidade-Força (50–69%)",IF($L239&lt;0.8,"Força-Velocidade (70–79%)",IF($L239&lt;0.9,"Força Máxima (80–89%)","Força Máxima Alta (≥90%)")))))</f>
        <v/>
      </c>
      <c r="AA239" s="27"/>
      <c r="AB239" s="27"/>
    </row>
    <row r="240" customFormat="false" ht="15" hidden="false" customHeight="false" outlineLevel="0" collapsed="false">
      <c r="A240" s="29"/>
      <c r="B240" s="33" t="n">
        <f aca="false">IF($A240="",0,INT(($A240-'Bloco Base'!$C$5)/7)+1)</f>
        <v>0</v>
      </c>
      <c r="C240" s="28"/>
      <c r="D240" s="28"/>
      <c r="E240" s="27"/>
      <c r="F240" s="28"/>
      <c r="G240" s="139"/>
      <c r="H240" s="27"/>
      <c r="I240" s="28"/>
      <c r="J240" s="28"/>
      <c r="K240" s="28"/>
      <c r="L240" s="71"/>
      <c r="M240" s="35" t="str">
        <f aca="false">IF($AB240="","",IFERROR(INDEX('Força 1RM'!$Q$8:$Y$47,MATCH(IF($E240="Equipe (todos)",$C$4,$E240),'Força 1RM'!$P$8:$P$47,0),MATCH($AB240,'Força 1RM'!$Q$7:$Y$7,0)),""))</f>
        <v/>
      </c>
      <c r="N240" s="30" t="n">
        <f aca="false">IFERROR(IF(OR($L240="",$M240="",$M240=0),0,ROUND($L240*$M240*2,0)/2),0)</f>
        <v>0</v>
      </c>
      <c r="O240" s="32"/>
      <c r="P240" s="42" t="str">
        <f aca="false">IFERROR(IF(OR($L240="",$I240="—",$I240=""),"",IF($I240="Agachamento",INDEX($AE$8:$AE$20,MATCH($L240,$AD$8:$AD$20,1)),IF($I240="Supino",INDEX($AF$8:$AF$20,MATCH($L240,$AD$8:$AD$20,1)),IF($I240="Terra",INDEX($AG$8:$AG$20,MATCH($L240,$AD$8:$AD$20,1)),"")))),"")</f>
        <v/>
      </c>
      <c r="Q240" s="45"/>
      <c r="R240" s="71"/>
      <c r="S240" s="71"/>
      <c r="T240" s="69" t="str">
        <f aca="false">IF(OR($R240="",$S240=""),"",IF($S240&gt;$R240,"Acima do limite","Dentro do limite"))</f>
        <v/>
      </c>
      <c r="U240" s="28"/>
      <c r="V240" s="28"/>
      <c r="W240" s="28"/>
      <c r="X240" s="140" t="n">
        <f aca="false">IFERROR(IF(OR($J240="",$K240=""),0,$J240*$K240),0)</f>
        <v>0</v>
      </c>
      <c r="Y240" s="44" t="n">
        <f aca="false">IFERROR(IF($X240=0,0,$X240*IF($O240="",$N240,$O240)),0)</f>
        <v>0</v>
      </c>
      <c r="Z240" s="60" t="str">
        <f aca="false">IF($L240="","",IF($L240&lt;0.5,"Balística / Velocidade (&lt;50%)",IF($L240&lt;0.7,"Velocidade-Força (50–69%)",IF($L240&lt;0.8,"Força-Velocidade (70–79%)",IF($L240&lt;0.9,"Força Máxima (80–89%)","Força Máxima Alta (≥90%)")))))</f>
        <v/>
      </c>
      <c r="AA240" s="27"/>
      <c r="AB240" s="27"/>
    </row>
    <row r="241" customFormat="false" ht="15" hidden="false" customHeight="false" outlineLevel="0" collapsed="false">
      <c r="A241" s="29"/>
      <c r="B241" s="33" t="n">
        <f aca="false">IF($A241="",0,INT(($A241-'Bloco Base'!$C$5)/7)+1)</f>
        <v>0</v>
      </c>
      <c r="C241" s="28"/>
      <c r="D241" s="28"/>
      <c r="E241" s="27"/>
      <c r="F241" s="28"/>
      <c r="G241" s="139"/>
      <c r="H241" s="27"/>
      <c r="I241" s="28"/>
      <c r="J241" s="28"/>
      <c r="K241" s="28"/>
      <c r="L241" s="71"/>
      <c r="M241" s="35" t="str">
        <f aca="false">IF($AB241="","",IFERROR(INDEX('Força 1RM'!$Q$8:$Y$47,MATCH(IF($E241="Equipe (todos)",$C$4,$E241),'Força 1RM'!$P$8:$P$47,0),MATCH($AB241,'Força 1RM'!$Q$7:$Y$7,0)),""))</f>
        <v/>
      </c>
      <c r="N241" s="30" t="n">
        <f aca="false">IFERROR(IF(OR($L241="",$M241="",$M241=0),0,ROUND($L241*$M241*2,0)/2),0)</f>
        <v>0</v>
      </c>
      <c r="O241" s="32"/>
      <c r="P241" s="42" t="str">
        <f aca="false">IFERROR(IF(OR($L241="",$I241="—",$I241=""),"",IF($I241="Agachamento",INDEX($AE$8:$AE$20,MATCH($L241,$AD$8:$AD$20,1)),IF($I241="Supino",INDEX($AF$8:$AF$20,MATCH($L241,$AD$8:$AD$20,1)),IF($I241="Terra",INDEX($AG$8:$AG$20,MATCH($L241,$AD$8:$AD$20,1)),"")))),"")</f>
        <v/>
      </c>
      <c r="Q241" s="45"/>
      <c r="R241" s="71"/>
      <c r="S241" s="71"/>
      <c r="T241" s="69" t="str">
        <f aca="false">IF(OR($R241="",$S241=""),"",IF($S241&gt;$R241,"Acima do limite","Dentro do limite"))</f>
        <v/>
      </c>
      <c r="U241" s="28"/>
      <c r="V241" s="28"/>
      <c r="W241" s="28"/>
      <c r="X241" s="140" t="n">
        <f aca="false">IFERROR(IF(OR($J241="",$K241=""),0,$J241*$K241),0)</f>
        <v>0</v>
      </c>
      <c r="Y241" s="44" t="n">
        <f aca="false">IFERROR(IF($X241=0,0,$X241*IF($O241="",$N241,$O241)),0)</f>
        <v>0</v>
      </c>
      <c r="Z241" s="60" t="str">
        <f aca="false">IF($L241="","",IF($L241&lt;0.5,"Balística / Velocidade (&lt;50%)",IF($L241&lt;0.7,"Velocidade-Força (50–69%)",IF($L241&lt;0.8,"Força-Velocidade (70–79%)",IF($L241&lt;0.9,"Força Máxima (80–89%)","Força Máxima Alta (≥90%)")))))</f>
        <v/>
      </c>
      <c r="AA241" s="27"/>
      <c r="AB241" s="27"/>
    </row>
    <row r="242" customFormat="false" ht="15" hidden="false" customHeight="false" outlineLevel="0" collapsed="false">
      <c r="A242" s="29"/>
      <c r="B242" s="33" t="n">
        <f aca="false">IF($A242="",0,INT(($A242-'Bloco Base'!$C$5)/7)+1)</f>
        <v>0</v>
      </c>
      <c r="C242" s="28"/>
      <c r="D242" s="28"/>
      <c r="E242" s="27"/>
      <c r="F242" s="28"/>
      <c r="G242" s="139"/>
      <c r="H242" s="27"/>
      <c r="I242" s="28"/>
      <c r="J242" s="28"/>
      <c r="K242" s="28"/>
      <c r="L242" s="71"/>
      <c r="M242" s="35" t="str">
        <f aca="false">IF($AB242="","",IFERROR(INDEX('Força 1RM'!$Q$8:$Y$47,MATCH(IF($E242="Equipe (todos)",$C$4,$E242),'Força 1RM'!$P$8:$P$47,0),MATCH($AB242,'Força 1RM'!$Q$7:$Y$7,0)),""))</f>
        <v/>
      </c>
      <c r="N242" s="30" t="n">
        <f aca="false">IFERROR(IF(OR($L242="",$M242="",$M242=0),0,ROUND($L242*$M242*2,0)/2),0)</f>
        <v>0</v>
      </c>
      <c r="O242" s="32"/>
      <c r="P242" s="42" t="str">
        <f aca="false">IFERROR(IF(OR($L242="",$I242="—",$I242=""),"",IF($I242="Agachamento",INDEX($AE$8:$AE$20,MATCH($L242,$AD$8:$AD$20,1)),IF($I242="Supino",INDEX($AF$8:$AF$20,MATCH($L242,$AD$8:$AD$20,1)),IF($I242="Terra",INDEX($AG$8:$AG$20,MATCH($L242,$AD$8:$AD$20,1)),"")))),"")</f>
        <v/>
      </c>
      <c r="Q242" s="45"/>
      <c r="R242" s="71"/>
      <c r="S242" s="71"/>
      <c r="T242" s="69" t="str">
        <f aca="false">IF(OR($R242="",$S242=""),"",IF($S242&gt;$R242,"Acima do limite","Dentro do limite"))</f>
        <v/>
      </c>
      <c r="U242" s="28"/>
      <c r="V242" s="28"/>
      <c r="W242" s="28"/>
      <c r="X242" s="140" t="n">
        <f aca="false">IFERROR(IF(OR($J242="",$K242=""),0,$J242*$K242),0)</f>
        <v>0</v>
      </c>
      <c r="Y242" s="44" t="n">
        <f aca="false">IFERROR(IF($X242=0,0,$X242*IF($O242="",$N242,$O242)),0)</f>
        <v>0</v>
      </c>
      <c r="Z242" s="60" t="str">
        <f aca="false">IF($L242="","",IF($L242&lt;0.5,"Balística / Velocidade (&lt;50%)",IF($L242&lt;0.7,"Velocidade-Força (50–69%)",IF($L242&lt;0.8,"Força-Velocidade (70–79%)",IF($L242&lt;0.9,"Força Máxima (80–89%)","Força Máxima Alta (≥90%)")))))</f>
        <v/>
      </c>
      <c r="AA242" s="27"/>
      <c r="AB242" s="27"/>
    </row>
    <row r="243" customFormat="false" ht="15" hidden="false" customHeight="false" outlineLevel="0" collapsed="false">
      <c r="A243" s="29"/>
      <c r="B243" s="33" t="n">
        <f aca="false">IF($A243="",0,INT(($A243-'Bloco Base'!$C$5)/7)+1)</f>
        <v>0</v>
      </c>
      <c r="C243" s="28"/>
      <c r="D243" s="28"/>
      <c r="E243" s="27"/>
      <c r="F243" s="28"/>
      <c r="G243" s="139"/>
      <c r="H243" s="27"/>
      <c r="I243" s="28"/>
      <c r="J243" s="28"/>
      <c r="K243" s="28"/>
      <c r="L243" s="71"/>
      <c r="M243" s="35" t="str">
        <f aca="false">IF($AB243="","",IFERROR(INDEX('Força 1RM'!$Q$8:$Y$47,MATCH(IF($E243="Equipe (todos)",$C$4,$E243),'Força 1RM'!$P$8:$P$47,0),MATCH($AB243,'Força 1RM'!$Q$7:$Y$7,0)),""))</f>
        <v/>
      </c>
      <c r="N243" s="30" t="n">
        <f aca="false">IFERROR(IF(OR($L243="",$M243="",$M243=0),0,ROUND($L243*$M243*2,0)/2),0)</f>
        <v>0</v>
      </c>
      <c r="O243" s="32"/>
      <c r="P243" s="42" t="str">
        <f aca="false">IFERROR(IF(OR($L243="",$I243="—",$I243=""),"",IF($I243="Agachamento",INDEX($AE$8:$AE$20,MATCH($L243,$AD$8:$AD$20,1)),IF($I243="Supino",INDEX($AF$8:$AF$20,MATCH($L243,$AD$8:$AD$20,1)),IF($I243="Terra",INDEX($AG$8:$AG$20,MATCH($L243,$AD$8:$AD$20,1)),"")))),"")</f>
        <v/>
      </c>
      <c r="Q243" s="45"/>
      <c r="R243" s="71"/>
      <c r="S243" s="71"/>
      <c r="T243" s="69" t="str">
        <f aca="false">IF(OR($R243="",$S243=""),"",IF($S243&gt;$R243,"Acima do limite","Dentro do limite"))</f>
        <v/>
      </c>
      <c r="U243" s="28"/>
      <c r="V243" s="28"/>
      <c r="W243" s="28"/>
      <c r="X243" s="140" t="n">
        <f aca="false">IFERROR(IF(OR($J243="",$K243=""),0,$J243*$K243),0)</f>
        <v>0</v>
      </c>
      <c r="Y243" s="44" t="n">
        <f aca="false">IFERROR(IF($X243=0,0,$X243*IF($O243="",$N243,$O243)),0)</f>
        <v>0</v>
      </c>
      <c r="Z243" s="60" t="str">
        <f aca="false">IF($L243="","",IF($L243&lt;0.5,"Balística / Velocidade (&lt;50%)",IF($L243&lt;0.7,"Velocidade-Força (50–69%)",IF($L243&lt;0.8,"Força-Velocidade (70–79%)",IF($L243&lt;0.9,"Força Máxima (80–89%)","Força Máxima Alta (≥90%)")))))</f>
        <v/>
      </c>
      <c r="AA243" s="27"/>
      <c r="AB243" s="27"/>
    </row>
    <row r="244" customFormat="false" ht="15" hidden="false" customHeight="false" outlineLevel="0" collapsed="false">
      <c r="A244" s="29"/>
      <c r="B244" s="33" t="n">
        <f aca="false">IF($A244="",0,INT(($A244-'Bloco Base'!$C$5)/7)+1)</f>
        <v>0</v>
      </c>
      <c r="C244" s="28"/>
      <c r="D244" s="28"/>
      <c r="E244" s="27"/>
      <c r="F244" s="28"/>
      <c r="G244" s="139"/>
      <c r="H244" s="27"/>
      <c r="I244" s="28"/>
      <c r="J244" s="28"/>
      <c r="K244" s="28"/>
      <c r="L244" s="71"/>
      <c r="M244" s="35" t="str">
        <f aca="false">IF($AB244="","",IFERROR(INDEX('Força 1RM'!$Q$8:$Y$47,MATCH(IF($E244="Equipe (todos)",$C$4,$E244),'Força 1RM'!$P$8:$P$47,0),MATCH($AB244,'Força 1RM'!$Q$7:$Y$7,0)),""))</f>
        <v/>
      </c>
      <c r="N244" s="30" t="n">
        <f aca="false">IFERROR(IF(OR($L244="",$M244="",$M244=0),0,ROUND($L244*$M244*2,0)/2),0)</f>
        <v>0</v>
      </c>
      <c r="O244" s="32"/>
      <c r="P244" s="42" t="str">
        <f aca="false">IFERROR(IF(OR($L244="",$I244="—",$I244=""),"",IF($I244="Agachamento",INDEX($AE$8:$AE$20,MATCH($L244,$AD$8:$AD$20,1)),IF($I244="Supino",INDEX($AF$8:$AF$20,MATCH($L244,$AD$8:$AD$20,1)),IF($I244="Terra",INDEX($AG$8:$AG$20,MATCH($L244,$AD$8:$AD$20,1)),"")))),"")</f>
        <v/>
      </c>
      <c r="Q244" s="45"/>
      <c r="R244" s="71"/>
      <c r="S244" s="71"/>
      <c r="T244" s="69" t="str">
        <f aca="false">IF(OR($R244="",$S244=""),"",IF($S244&gt;$R244,"Acima do limite","Dentro do limite"))</f>
        <v/>
      </c>
      <c r="U244" s="28"/>
      <c r="V244" s="28"/>
      <c r="W244" s="28"/>
      <c r="X244" s="140" t="n">
        <f aca="false">IFERROR(IF(OR($J244="",$K244=""),0,$J244*$K244),0)</f>
        <v>0</v>
      </c>
      <c r="Y244" s="44" t="n">
        <f aca="false">IFERROR(IF($X244=0,0,$X244*IF($O244="",$N244,$O244)),0)</f>
        <v>0</v>
      </c>
      <c r="Z244" s="60" t="str">
        <f aca="false">IF($L244="","",IF($L244&lt;0.5,"Balística / Velocidade (&lt;50%)",IF($L244&lt;0.7,"Velocidade-Força (50–69%)",IF($L244&lt;0.8,"Força-Velocidade (70–79%)",IF($L244&lt;0.9,"Força Máxima (80–89%)","Força Máxima Alta (≥90%)")))))</f>
        <v/>
      </c>
      <c r="AA244" s="27"/>
      <c r="AB244" s="27"/>
    </row>
    <row r="245" customFormat="false" ht="15" hidden="false" customHeight="false" outlineLevel="0" collapsed="false">
      <c r="A245" s="29"/>
      <c r="B245" s="33" t="n">
        <f aca="false">IF($A245="",0,INT(($A245-'Bloco Base'!$C$5)/7)+1)</f>
        <v>0</v>
      </c>
      <c r="C245" s="28"/>
      <c r="D245" s="28"/>
      <c r="E245" s="27"/>
      <c r="F245" s="28"/>
      <c r="G245" s="139"/>
      <c r="H245" s="27"/>
      <c r="I245" s="28"/>
      <c r="J245" s="28"/>
      <c r="K245" s="28"/>
      <c r="L245" s="71"/>
      <c r="M245" s="35" t="str">
        <f aca="false">IF($AB245="","",IFERROR(INDEX('Força 1RM'!$Q$8:$Y$47,MATCH(IF($E245="Equipe (todos)",$C$4,$E245),'Força 1RM'!$P$8:$P$47,0),MATCH($AB245,'Força 1RM'!$Q$7:$Y$7,0)),""))</f>
        <v/>
      </c>
      <c r="N245" s="30" t="n">
        <f aca="false">IFERROR(IF(OR($L245="",$M245="",$M245=0),0,ROUND($L245*$M245*2,0)/2),0)</f>
        <v>0</v>
      </c>
      <c r="O245" s="32"/>
      <c r="P245" s="42" t="str">
        <f aca="false">IFERROR(IF(OR($L245="",$I245="—",$I245=""),"",IF($I245="Agachamento",INDEX($AE$8:$AE$20,MATCH($L245,$AD$8:$AD$20,1)),IF($I245="Supino",INDEX($AF$8:$AF$20,MATCH($L245,$AD$8:$AD$20,1)),IF($I245="Terra",INDEX($AG$8:$AG$20,MATCH($L245,$AD$8:$AD$20,1)),"")))),"")</f>
        <v/>
      </c>
      <c r="Q245" s="45"/>
      <c r="R245" s="71"/>
      <c r="S245" s="71"/>
      <c r="T245" s="69" t="str">
        <f aca="false">IF(OR($R245="",$S245=""),"",IF($S245&gt;$R245,"Acima do limite","Dentro do limite"))</f>
        <v/>
      </c>
      <c r="U245" s="28"/>
      <c r="V245" s="28"/>
      <c r="W245" s="28"/>
      <c r="X245" s="140" t="n">
        <f aca="false">IFERROR(IF(OR($J245="",$K245=""),0,$J245*$K245),0)</f>
        <v>0</v>
      </c>
      <c r="Y245" s="44" t="n">
        <f aca="false">IFERROR(IF($X245=0,0,$X245*IF($O245="",$N245,$O245)),0)</f>
        <v>0</v>
      </c>
      <c r="Z245" s="60" t="str">
        <f aca="false">IF($L245="","",IF($L245&lt;0.5,"Balística / Velocidade (&lt;50%)",IF($L245&lt;0.7,"Velocidade-Força (50–69%)",IF($L245&lt;0.8,"Força-Velocidade (70–79%)",IF($L245&lt;0.9,"Força Máxima (80–89%)","Força Máxima Alta (≥90%)")))))</f>
        <v/>
      </c>
      <c r="AA245" s="27"/>
      <c r="AB245" s="27"/>
    </row>
    <row r="246" customFormat="false" ht="15" hidden="false" customHeight="false" outlineLevel="0" collapsed="false">
      <c r="A246" s="29"/>
      <c r="B246" s="33" t="n">
        <f aca="false">IF($A246="",0,INT(($A246-'Bloco Base'!$C$5)/7)+1)</f>
        <v>0</v>
      </c>
      <c r="C246" s="28"/>
      <c r="D246" s="28"/>
      <c r="E246" s="27"/>
      <c r="F246" s="28"/>
      <c r="G246" s="139"/>
      <c r="H246" s="27"/>
      <c r="I246" s="28"/>
      <c r="J246" s="28"/>
      <c r="K246" s="28"/>
      <c r="L246" s="71"/>
      <c r="M246" s="35" t="str">
        <f aca="false">IF($AB246="","",IFERROR(INDEX('Força 1RM'!$Q$8:$Y$47,MATCH(IF($E246="Equipe (todos)",$C$4,$E246),'Força 1RM'!$P$8:$P$47,0),MATCH($AB246,'Força 1RM'!$Q$7:$Y$7,0)),""))</f>
        <v/>
      </c>
      <c r="N246" s="30" t="n">
        <f aca="false">IFERROR(IF(OR($L246="",$M246="",$M246=0),0,ROUND($L246*$M246*2,0)/2),0)</f>
        <v>0</v>
      </c>
      <c r="O246" s="32"/>
      <c r="P246" s="42" t="str">
        <f aca="false">IFERROR(IF(OR($L246="",$I246="—",$I246=""),"",IF($I246="Agachamento",INDEX($AE$8:$AE$20,MATCH($L246,$AD$8:$AD$20,1)),IF($I246="Supino",INDEX($AF$8:$AF$20,MATCH($L246,$AD$8:$AD$20,1)),IF($I246="Terra",INDEX($AG$8:$AG$20,MATCH($L246,$AD$8:$AD$20,1)),"")))),"")</f>
        <v/>
      </c>
      <c r="Q246" s="45"/>
      <c r="R246" s="71"/>
      <c r="S246" s="71"/>
      <c r="T246" s="69" t="str">
        <f aca="false">IF(OR($R246="",$S246=""),"",IF($S246&gt;$R246,"Acima do limite","Dentro do limite"))</f>
        <v/>
      </c>
      <c r="U246" s="28"/>
      <c r="V246" s="28"/>
      <c r="W246" s="28"/>
      <c r="X246" s="140" t="n">
        <f aca="false">IFERROR(IF(OR($J246="",$K246=""),0,$J246*$K246),0)</f>
        <v>0</v>
      </c>
      <c r="Y246" s="44" t="n">
        <f aca="false">IFERROR(IF($X246=0,0,$X246*IF($O246="",$N246,$O246)),0)</f>
        <v>0</v>
      </c>
      <c r="Z246" s="60" t="str">
        <f aca="false">IF($L246="","",IF($L246&lt;0.5,"Balística / Velocidade (&lt;50%)",IF($L246&lt;0.7,"Velocidade-Força (50–69%)",IF($L246&lt;0.8,"Força-Velocidade (70–79%)",IF($L246&lt;0.9,"Força Máxima (80–89%)","Força Máxima Alta (≥90%)")))))</f>
        <v/>
      </c>
      <c r="AA246" s="27"/>
      <c r="AB246" s="27"/>
    </row>
    <row r="247" customFormat="false" ht="15" hidden="false" customHeight="false" outlineLevel="0" collapsed="false">
      <c r="A247" s="29"/>
      <c r="B247" s="33" t="n">
        <f aca="false">IF($A247="",0,INT(($A247-'Bloco Base'!$C$5)/7)+1)</f>
        <v>0</v>
      </c>
      <c r="C247" s="28"/>
      <c r="D247" s="28"/>
      <c r="E247" s="27"/>
      <c r="F247" s="28"/>
      <c r="G247" s="139"/>
      <c r="H247" s="27"/>
      <c r="I247" s="28"/>
      <c r="J247" s="28"/>
      <c r="K247" s="28"/>
      <c r="L247" s="71"/>
      <c r="M247" s="35" t="str">
        <f aca="false">IF($AB247="","",IFERROR(INDEX('Força 1RM'!$Q$8:$Y$47,MATCH(IF($E247="Equipe (todos)",$C$4,$E247),'Força 1RM'!$P$8:$P$47,0),MATCH($AB247,'Força 1RM'!$Q$7:$Y$7,0)),""))</f>
        <v/>
      </c>
      <c r="N247" s="30" t="n">
        <f aca="false">IFERROR(IF(OR($L247="",$M247="",$M247=0),0,ROUND($L247*$M247*2,0)/2),0)</f>
        <v>0</v>
      </c>
      <c r="O247" s="32"/>
      <c r="P247" s="42" t="str">
        <f aca="false">IFERROR(IF(OR($L247="",$I247="—",$I247=""),"",IF($I247="Agachamento",INDEX($AE$8:$AE$20,MATCH($L247,$AD$8:$AD$20,1)),IF($I247="Supino",INDEX($AF$8:$AF$20,MATCH($L247,$AD$8:$AD$20,1)),IF($I247="Terra",INDEX($AG$8:$AG$20,MATCH($L247,$AD$8:$AD$20,1)),"")))),"")</f>
        <v/>
      </c>
      <c r="Q247" s="45"/>
      <c r="R247" s="71"/>
      <c r="S247" s="71"/>
      <c r="T247" s="69" t="str">
        <f aca="false">IF(OR($R247="",$S247=""),"",IF($S247&gt;$R247,"Acima do limite","Dentro do limite"))</f>
        <v/>
      </c>
      <c r="U247" s="28"/>
      <c r="V247" s="28"/>
      <c r="W247" s="28"/>
      <c r="X247" s="140" t="n">
        <f aca="false">IFERROR(IF(OR($J247="",$K247=""),0,$J247*$K247),0)</f>
        <v>0</v>
      </c>
      <c r="Y247" s="44" t="n">
        <f aca="false">IFERROR(IF($X247=0,0,$X247*IF($O247="",$N247,$O247)),0)</f>
        <v>0</v>
      </c>
      <c r="Z247" s="60" t="str">
        <f aca="false">IF($L247="","",IF($L247&lt;0.5,"Balística / Velocidade (&lt;50%)",IF($L247&lt;0.7,"Velocidade-Força (50–69%)",IF($L247&lt;0.8,"Força-Velocidade (70–79%)",IF($L247&lt;0.9,"Força Máxima (80–89%)","Força Máxima Alta (≥90%)")))))</f>
        <v/>
      </c>
      <c r="AA247" s="27"/>
      <c r="AB247" s="27"/>
    </row>
    <row r="248" customFormat="false" ht="15" hidden="false" customHeight="false" outlineLevel="0" collapsed="false">
      <c r="A248" s="29"/>
      <c r="B248" s="33" t="n">
        <f aca="false">IF($A248="",0,INT(($A248-'Bloco Base'!$C$5)/7)+1)</f>
        <v>0</v>
      </c>
      <c r="C248" s="28"/>
      <c r="D248" s="28"/>
      <c r="E248" s="27"/>
      <c r="F248" s="28"/>
      <c r="G248" s="139"/>
      <c r="H248" s="27"/>
      <c r="I248" s="28"/>
      <c r="J248" s="28"/>
      <c r="K248" s="28"/>
      <c r="L248" s="71"/>
      <c r="M248" s="35" t="str">
        <f aca="false">IF($AB248="","",IFERROR(INDEX('Força 1RM'!$Q$8:$Y$47,MATCH(IF($E248="Equipe (todos)",$C$4,$E248),'Força 1RM'!$P$8:$P$47,0),MATCH($AB248,'Força 1RM'!$Q$7:$Y$7,0)),""))</f>
        <v/>
      </c>
      <c r="N248" s="30" t="n">
        <f aca="false">IFERROR(IF(OR($L248="",$M248="",$M248=0),0,ROUND($L248*$M248*2,0)/2),0)</f>
        <v>0</v>
      </c>
      <c r="O248" s="32"/>
      <c r="P248" s="42" t="str">
        <f aca="false">IFERROR(IF(OR($L248="",$I248="—",$I248=""),"",IF($I248="Agachamento",INDEX($AE$8:$AE$20,MATCH($L248,$AD$8:$AD$20,1)),IF($I248="Supino",INDEX($AF$8:$AF$20,MATCH($L248,$AD$8:$AD$20,1)),IF($I248="Terra",INDEX($AG$8:$AG$20,MATCH($L248,$AD$8:$AD$20,1)),"")))),"")</f>
        <v/>
      </c>
      <c r="Q248" s="45"/>
      <c r="R248" s="71"/>
      <c r="S248" s="71"/>
      <c r="T248" s="69" t="str">
        <f aca="false">IF(OR($R248="",$S248=""),"",IF($S248&gt;$R248,"Acima do limite","Dentro do limite"))</f>
        <v/>
      </c>
      <c r="U248" s="28"/>
      <c r="V248" s="28"/>
      <c r="W248" s="28"/>
      <c r="X248" s="140" t="n">
        <f aca="false">IFERROR(IF(OR($J248="",$K248=""),0,$J248*$K248),0)</f>
        <v>0</v>
      </c>
      <c r="Y248" s="44" t="n">
        <f aca="false">IFERROR(IF($X248=0,0,$X248*IF($O248="",$N248,$O248)),0)</f>
        <v>0</v>
      </c>
      <c r="Z248" s="60" t="str">
        <f aca="false">IF($L248="","",IF($L248&lt;0.5,"Balística / Velocidade (&lt;50%)",IF($L248&lt;0.7,"Velocidade-Força (50–69%)",IF($L248&lt;0.8,"Força-Velocidade (70–79%)",IF($L248&lt;0.9,"Força Máxima (80–89%)","Força Máxima Alta (≥90%)")))))</f>
        <v/>
      </c>
      <c r="AA248" s="27"/>
      <c r="AB248" s="27"/>
    </row>
    <row r="249" customFormat="false" ht="15" hidden="false" customHeight="false" outlineLevel="0" collapsed="false">
      <c r="A249" s="29"/>
      <c r="B249" s="33" t="n">
        <f aca="false">IF($A249="",0,INT(($A249-'Bloco Base'!$C$5)/7)+1)</f>
        <v>0</v>
      </c>
      <c r="C249" s="28"/>
      <c r="D249" s="28"/>
      <c r="E249" s="27"/>
      <c r="F249" s="28"/>
      <c r="G249" s="139"/>
      <c r="H249" s="27"/>
      <c r="I249" s="28"/>
      <c r="J249" s="28"/>
      <c r="K249" s="28"/>
      <c r="L249" s="71"/>
      <c r="M249" s="35" t="str">
        <f aca="false">IF($AB249="","",IFERROR(INDEX('Força 1RM'!$Q$8:$Y$47,MATCH(IF($E249="Equipe (todos)",$C$4,$E249),'Força 1RM'!$P$8:$P$47,0),MATCH($AB249,'Força 1RM'!$Q$7:$Y$7,0)),""))</f>
        <v/>
      </c>
      <c r="N249" s="30" t="n">
        <f aca="false">IFERROR(IF(OR($L249="",$M249="",$M249=0),0,ROUND($L249*$M249*2,0)/2),0)</f>
        <v>0</v>
      </c>
      <c r="O249" s="32"/>
      <c r="P249" s="42" t="str">
        <f aca="false">IFERROR(IF(OR($L249="",$I249="—",$I249=""),"",IF($I249="Agachamento",INDEX($AE$8:$AE$20,MATCH($L249,$AD$8:$AD$20,1)),IF($I249="Supino",INDEX($AF$8:$AF$20,MATCH($L249,$AD$8:$AD$20,1)),IF($I249="Terra",INDEX($AG$8:$AG$20,MATCH($L249,$AD$8:$AD$20,1)),"")))),"")</f>
        <v/>
      </c>
      <c r="Q249" s="45"/>
      <c r="R249" s="71"/>
      <c r="S249" s="71"/>
      <c r="T249" s="69" t="str">
        <f aca="false">IF(OR($R249="",$S249=""),"",IF($S249&gt;$R249,"Acima do limite","Dentro do limite"))</f>
        <v/>
      </c>
      <c r="U249" s="28"/>
      <c r="V249" s="28"/>
      <c r="W249" s="28"/>
      <c r="X249" s="140" t="n">
        <f aca="false">IFERROR(IF(OR($J249="",$K249=""),0,$J249*$K249),0)</f>
        <v>0</v>
      </c>
      <c r="Y249" s="44" t="n">
        <f aca="false">IFERROR(IF($X249=0,0,$X249*IF($O249="",$N249,$O249)),0)</f>
        <v>0</v>
      </c>
      <c r="Z249" s="60" t="str">
        <f aca="false">IF($L249="","",IF($L249&lt;0.5,"Balística / Velocidade (&lt;50%)",IF($L249&lt;0.7,"Velocidade-Força (50–69%)",IF($L249&lt;0.8,"Força-Velocidade (70–79%)",IF($L249&lt;0.9,"Força Máxima (80–89%)","Força Máxima Alta (≥90%)")))))</f>
        <v/>
      </c>
      <c r="AA249" s="27"/>
      <c r="AB249" s="27"/>
    </row>
    <row r="250" customFormat="false" ht="15" hidden="false" customHeight="false" outlineLevel="0" collapsed="false">
      <c r="A250" s="29"/>
      <c r="B250" s="33" t="n">
        <f aca="false">IF($A250="",0,INT(($A250-'Bloco Base'!$C$5)/7)+1)</f>
        <v>0</v>
      </c>
      <c r="C250" s="28"/>
      <c r="D250" s="28"/>
      <c r="E250" s="27"/>
      <c r="F250" s="28"/>
      <c r="G250" s="139"/>
      <c r="H250" s="27"/>
      <c r="I250" s="28"/>
      <c r="J250" s="28"/>
      <c r="K250" s="28"/>
      <c r="L250" s="71"/>
      <c r="M250" s="35" t="str">
        <f aca="false">IF($AB250="","",IFERROR(INDEX('Força 1RM'!$Q$8:$Y$47,MATCH(IF($E250="Equipe (todos)",$C$4,$E250),'Força 1RM'!$P$8:$P$47,0),MATCH($AB250,'Força 1RM'!$Q$7:$Y$7,0)),""))</f>
        <v/>
      </c>
      <c r="N250" s="30" t="n">
        <f aca="false">IFERROR(IF(OR($L250="",$M250="",$M250=0),0,ROUND($L250*$M250*2,0)/2),0)</f>
        <v>0</v>
      </c>
      <c r="O250" s="32"/>
      <c r="P250" s="42" t="str">
        <f aca="false">IFERROR(IF(OR($L250="",$I250="—",$I250=""),"",IF($I250="Agachamento",INDEX($AE$8:$AE$20,MATCH($L250,$AD$8:$AD$20,1)),IF($I250="Supino",INDEX($AF$8:$AF$20,MATCH($L250,$AD$8:$AD$20,1)),IF($I250="Terra",INDEX($AG$8:$AG$20,MATCH($L250,$AD$8:$AD$20,1)),"")))),"")</f>
        <v/>
      </c>
      <c r="Q250" s="45"/>
      <c r="R250" s="71"/>
      <c r="S250" s="71"/>
      <c r="T250" s="69" t="str">
        <f aca="false">IF(OR($R250="",$S250=""),"",IF($S250&gt;$R250,"Acima do limite","Dentro do limite"))</f>
        <v/>
      </c>
      <c r="U250" s="28"/>
      <c r="V250" s="28"/>
      <c r="W250" s="28"/>
      <c r="X250" s="140" t="n">
        <f aca="false">IFERROR(IF(OR($J250="",$K250=""),0,$J250*$K250),0)</f>
        <v>0</v>
      </c>
      <c r="Y250" s="44" t="n">
        <f aca="false">IFERROR(IF($X250=0,0,$X250*IF($O250="",$N250,$O250)),0)</f>
        <v>0</v>
      </c>
      <c r="Z250" s="60" t="str">
        <f aca="false">IF($L250="","",IF($L250&lt;0.5,"Balística / Velocidade (&lt;50%)",IF($L250&lt;0.7,"Velocidade-Força (50–69%)",IF($L250&lt;0.8,"Força-Velocidade (70–79%)",IF($L250&lt;0.9,"Força Máxima (80–89%)","Força Máxima Alta (≥90%)")))))</f>
        <v/>
      </c>
      <c r="AA250" s="27"/>
      <c r="AB250" s="27"/>
    </row>
    <row r="251" customFormat="false" ht="15" hidden="false" customHeight="false" outlineLevel="0" collapsed="false">
      <c r="A251" s="29"/>
      <c r="B251" s="33" t="n">
        <f aca="false">IF($A251="",0,INT(($A251-'Bloco Base'!$C$5)/7)+1)</f>
        <v>0</v>
      </c>
      <c r="C251" s="28"/>
      <c r="D251" s="28"/>
      <c r="E251" s="27"/>
      <c r="F251" s="28"/>
      <c r="G251" s="139"/>
      <c r="H251" s="27"/>
      <c r="I251" s="28"/>
      <c r="J251" s="28"/>
      <c r="K251" s="28"/>
      <c r="L251" s="71"/>
      <c r="M251" s="35" t="str">
        <f aca="false">IF($AB251="","",IFERROR(INDEX('Força 1RM'!$Q$8:$Y$47,MATCH(IF($E251="Equipe (todos)",$C$4,$E251),'Força 1RM'!$P$8:$P$47,0),MATCH($AB251,'Força 1RM'!$Q$7:$Y$7,0)),""))</f>
        <v/>
      </c>
      <c r="N251" s="30" t="n">
        <f aca="false">IFERROR(IF(OR($L251="",$M251="",$M251=0),0,ROUND($L251*$M251*2,0)/2),0)</f>
        <v>0</v>
      </c>
      <c r="O251" s="32"/>
      <c r="P251" s="42" t="str">
        <f aca="false">IFERROR(IF(OR($L251="",$I251="—",$I251=""),"",IF($I251="Agachamento",INDEX($AE$8:$AE$20,MATCH($L251,$AD$8:$AD$20,1)),IF($I251="Supino",INDEX($AF$8:$AF$20,MATCH($L251,$AD$8:$AD$20,1)),IF($I251="Terra",INDEX($AG$8:$AG$20,MATCH($L251,$AD$8:$AD$20,1)),"")))),"")</f>
        <v/>
      </c>
      <c r="Q251" s="45"/>
      <c r="R251" s="71"/>
      <c r="S251" s="71"/>
      <c r="T251" s="69" t="str">
        <f aca="false">IF(OR($R251="",$S251=""),"",IF($S251&gt;$R251,"Acima do limite","Dentro do limite"))</f>
        <v/>
      </c>
      <c r="U251" s="28"/>
      <c r="V251" s="28"/>
      <c r="W251" s="28"/>
      <c r="X251" s="140" t="n">
        <f aca="false">IFERROR(IF(OR($J251="",$K251=""),0,$J251*$K251),0)</f>
        <v>0</v>
      </c>
      <c r="Y251" s="44" t="n">
        <f aca="false">IFERROR(IF($X251=0,0,$X251*IF($O251="",$N251,$O251)),0)</f>
        <v>0</v>
      </c>
      <c r="Z251" s="60" t="str">
        <f aca="false">IF($L251="","",IF($L251&lt;0.5,"Balística / Velocidade (&lt;50%)",IF($L251&lt;0.7,"Velocidade-Força (50–69%)",IF($L251&lt;0.8,"Força-Velocidade (70–79%)",IF($L251&lt;0.9,"Força Máxima (80–89%)","Força Máxima Alta (≥90%)")))))</f>
        <v/>
      </c>
      <c r="AA251" s="27"/>
      <c r="AB251" s="27"/>
    </row>
    <row r="252" customFormat="false" ht="15" hidden="false" customHeight="false" outlineLevel="0" collapsed="false">
      <c r="A252" s="29"/>
      <c r="B252" s="33" t="n">
        <f aca="false">IF($A252="",0,INT(($A252-'Bloco Base'!$C$5)/7)+1)</f>
        <v>0</v>
      </c>
      <c r="C252" s="28"/>
      <c r="D252" s="28"/>
      <c r="E252" s="27"/>
      <c r="F252" s="28"/>
      <c r="G252" s="139"/>
      <c r="H252" s="27"/>
      <c r="I252" s="28"/>
      <c r="J252" s="28"/>
      <c r="K252" s="28"/>
      <c r="L252" s="71"/>
      <c r="M252" s="35" t="str">
        <f aca="false">IF($AB252="","",IFERROR(INDEX('Força 1RM'!$Q$8:$Y$47,MATCH(IF($E252="Equipe (todos)",$C$4,$E252),'Força 1RM'!$P$8:$P$47,0),MATCH($AB252,'Força 1RM'!$Q$7:$Y$7,0)),""))</f>
        <v/>
      </c>
      <c r="N252" s="30" t="n">
        <f aca="false">IFERROR(IF(OR($L252="",$M252="",$M252=0),0,ROUND($L252*$M252*2,0)/2),0)</f>
        <v>0</v>
      </c>
      <c r="O252" s="32"/>
      <c r="P252" s="42" t="str">
        <f aca="false">IFERROR(IF(OR($L252="",$I252="—",$I252=""),"",IF($I252="Agachamento",INDEX($AE$8:$AE$20,MATCH($L252,$AD$8:$AD$20,1)),IF($I252="Supino",INDEX($AF$8:$AF$20,MATCH($L252,$AD$8:$AD$20,1)),IF($I252="Terra",INDEX($AG$8:$AG$20,MATCH($L252,$AD$8:$AD$20,1)),"")))),"")</f>
        <v/>
      </c>
      <c r="Q252" s="45"/>
      <c r="R252" s="71"/>
      <c r="S252" s="71"/>
      <c r="T252" s="69" t="str">
        <f aca="false">IF(OR($R252="",$S252=""),"",IF($S252&gt;$R252,"Acima do limite","Dentro do limite"))</f>
        <v/>
      </c>
      <c r="U252" s="28"/>
      <c r="V252" s="28"/>
      <c r="W252" s="28"/>
      <c r="X252" s="140" t="n">
        <f aca="false">IFERROR(IF(OR($J252="",$K252=""),0,$J252*$K252),0)</f>
        <v>0</v>
      </c>
      <c r="Y252" s="44" t="n">
        <f aca="false">IFERROR(IF($X252=0,0,$X252*IF($O252="",$N252,$O252)),0)</f>
        <v>0</v>
      </c>
      <c r="Z252" s="60" t="str">
        <f aca="false">IF($L252="","",IF($L252&lt;0.5,"Balística / Velocidade (&lt;50%)",IF($L252&lt;0.7,"Velocidade-Força (50–69%)",IF($L252&lt;0.8,"Força-Velocidade (70–79%)",IF($L252&lt;0.9,"Força Máxima (80–89%)","Força Máxima Alta (≥90%)")))))</f>
        <v/>
      </c>
      <c r="AA252" s="27"/>
      <c r="AB252" s="27"/>
    </row>
    <row r="253" customFormat="false" ht="15" hidden="false" customHeight="false" outlineLevel="0" collapsed="false">
      <c r="A253" s="29"/>
      <c r="B253" s="33" t="n">
        <f aca="false">IF($A253="",0,INT(($A253-'Bloco Base'!$C$5)/7)+1)</f>
        <v>0</v>
      </c>
      <c r="C253" s="28"/>
      <c r="D253" s="28"/>
      <c r="E253" s="27"/>
      <c r="F253" s="28"/>
      <c r="G253" s="139"/>
      <c r="H253" s="27"/>
      <c r="I253" s="28"/>
      <c r="J253" s="28"/>
      <c r="K253" s="28"/>
      <c r="L253" s="71"/>
      <c r="M253" s="35" t="str">
        <f aca="false">IF($AB253="","",IFERROR(INDEX('Força 1RM'!$Q$8:$Y$47,MATCH(IF($E253="Equipe (todos)",$C$4,$E253),'Força 1RM'!$P$8:$P$47,0),MATCH($AB253,'Força 1RM'!$Q$7:$Y$7,0)),""))</f>
        <v/>
      </c>
      <c r="N253" s="30" t="n">
        <f aca="false">IFERROR(IF(OR($L253="",$M253="",$M253=0),0,ROUND($L253*$M253*2,0)/2),0)</f>
        <v>0</v>
      </c>
      <c r="O253" s="32"/>
      <c r="P253" s="42" t="str">
        <f aca="false">IFERROR(IF(OR($L253="",$I253="—",$I253=""),"",IF($I253="Agachamento",INDEX($AE$8:$AE$20,MATCH($L253,$AD$8:$AD$20,1)),IF($I253="Supino",INDEX($AF$8:$AF$20,MATCH($L253,$AD$8:$AD$20,1)),IF($I253="Terra",INDEX($AG$8:$AG$20,MATCH($L253,$AD$8:$AD$20,1)),"")))),"")</f>
        <v/>
      </c>
      <c r="Q253" s="45"/>
      <c r="R253" s="71"/>
      <c r="S253" s="71"/>
      <c r="T253" s="69" t="str">
        <f aca="false">IF(OR($R253="",$S253=""),"",IF($S253&gt;$R253,"Acima do limite","Dentro do limite"))</f>
        <v/>
      </c>
      <c r="U253" s="28"/>
      <c r="V253" s="28"/>
      <c r="W253" s="28"/>
      <c r="X253" s="140" t="n">
        <f aca="false">IFERROR(IF(OR($J253="",$K253=""),0,$J253*$K253),0)</f>
        <v>0</v>
      </c>
      <c r="Y253" s="44" t="n">
        <f aca="false">IFERROR(IF($X253=0,0,$X253*IF($O253="",$N253,$O253)),0)</f>
        <v>0</v>
      </c>
      <c r="Z253" s="60" t="str">
        <f aca="false">IF($L253="","",IF($L253&lt;0.5,"Balística / Velocidade (&lt;50%)",IF($L253&lt;0.7,"Velocidade-Força (50–69%)",IF($L253&lt;0.8,"Força-Velocidade (70–79%)",IF($L253&lt;0.9,"Força Máxima (80–89%)","Força Máxima Alta (≥90%)")))))</f>
        <v/>
      </c>
      <c r="AA253" s="27"/>
      <c r="AB253" s="27"/>
    </row>
    <row r="254" customFormat="false" ht="15" hidden="false" customHeight="false" outlineLevel="0" collapsed="false">
      <c r="A254" s="29"/>
      <c r="B254" s="33" t="n">
        <f aca="false">IF($A254="",0,INT(($A254-'Bloco Base'!$C$5)/7)+1)</f>
        <v>0</v>
      </c>
      <c r="C254" s="28"/>
      <c r="D254" s="28"/>
      <c r="E254" s="27"/>
      <c r="F254" s="28"/>
      <c r="G254" s="139"/>
      <c r="H254" s="27"/>
      <c r="I254" s="28"/>
      <c r="J254" s="28"/>
      <c r="K254" s="28"/>
      <c r="L254" s="71"/>
      <c r="M254" s="35" t="str">
        <f aca="false">IF($AB254="","",IFERROR(INDEX('Força 1RM'!$Q$8:$Y$47,MATCH(IF($E254="Equipe (todos)",$C$4,$E254),'Força 1RM'!$P$8:$P$47,0),MATCH($AB254,'Força 1RM'!$Q$7:$Y$7,0)),""))</f>
        <v/>
      </c>
      <c r="N254" s="30" t="n">
        <f aca="false">IFERROR(IF(OR($L254="",$M254="",$M254=0),0,ROUND($L254*$M254*2,0)/2),0)</f>
        <v>0</v>
      </c>
      <c r="O254" s="32"/>
      <c r="P254" s="42" t="str">
        <f aca="false">IFERROR(IF(OR($L254="",$I254="—",$I254=""),"",IF($I254="Agachamento",INDEX($AE$8:$AE$20,MATCH($L254,$AD$8:$AD$20,1)),IF($I254="Supino",INDEX($AF$8:$AF$20,MATCH($L254,$AD$8:$AD$20,1)),IF($I254="Terra",INDEX($AG$8:$AG$20,MATCH($L254,$AD$8:$AD$20,1)),"")))),"")</f>
        <v/>
      </c>
      <c r="Q254" s="45"/>
      <c r="R254" s="71"/>
      <c r="S254" s="71"/>
      <c r="T254" s="69" t="str">
        <f aca="false">IF(OR($R254="",$S254=""),"",IF($S254&gt;$R254,"Acima do limite","Dentro do limite"))</f>
        <v/>
      </c>
      <c r="U254" s="28"/>
      <c r="V254" s="28"/>
      <c r="W254" s="28"/>
      <c r="X254" s="140" t="n">
        <f aca="false">IFERROR(IF(OR($J254="",$K254=""),0,$J254*$K254),0)</f>
        <v>0</v>
      </c>
      <c r="Y254" s="44" t="n">
        <f aca="false">IFERROR(IF($X254=0,0,$X254*IF($O254="",$N254,$O254)),0)</f>
        <v>0</v>
      </c>
      <c r="Z254" s="60" t="str">
        <f aca="false">IF($L254="","",IF($L254&lt;0.5,"Balística / Velocidade (&lt;50%)",IF($L254&lt;0.7,"Velocidade-Força (50–69%)",IF($L254&lt;0.8,"Força-Velocidade (70–79%)",IF($L254&lt;0.9,"Força Máxima (80–89%)","Força Máxima Alta (≥90%)")))))</f>
        <v/>
      </c>
      <c r="AA254" s="27"/>
      <c r="AB254" s="27"/>
    </row>
    <row r="255" customFormat="false" ht="15" hidden="false" customHeight="false" outlineLevel="0" collapsed="false">
      <c r="A255" s="29"/>
      <c r="B255" s="33" t="n">
        <f aca="false">IF($A255="",0,INT(($A255-'Bloco Base'!$C$5)/7)+1)</f>
        <v>0</v>
      </c>
      <c r="C255" s="28"/>
      <c r="D255" s="28"/>
      <c r="E255" s="27"/>
      <c r="F255" s="28"/>
      <c r="G255" s="139"/>
      <c r="H255" s="27"/>
      <c r="I255" s="28"/>
      <c r="J255" s="28"/>
      <c r="K255" s="28"/>
      <c r="L255" s="71"/>
      <c r="M255" s="35" t="str">
        <f aca="false">IF($AB255="","",IFERROR(INDEX('Força 1RM'!$Q$8:$Y$47,MATCH(IF($E255="Equipe (todos)",$C$4,$E255),'Força 1RM'!$P$8:$P$47,0),MATCH($AB255,'Força 1RM'!$Q$7:$Y$7,0)),""))</f>
        <v/>
      </c>
      <c r="N255" s="30" t="n">
        <f aca="false">IFERROR(IF(OR($L255="",$M255="",$M255=0),0,ROUND($L255*$M255*2,0)/2),0)</f>
        <v>0</v>
      </c>
      <c r="O255" s="32"/>
      <c r="P255" s="42" t="str">
        <f aca="false">IFERROR(IF(OR($L255="",$I255="—",$I255=""),"",IF($I255="Agachamento",INDEX($AE$8:$AE$20,MATCH($L255,$AD$8:$AD$20,1)),IF($I255="Supino",INDEX($AF$8:$AF$20,MATCH($L255,$AD$8:$AD$20,1)),IF($I255="Terra",INDEX($AG$8:$AG$20,MATCH($L255,$AD$8:$AD$20,1)),"")))),"")</f>
        <v/>
      </c>
      <c r="Q255" s="45"/>
      <c r="R255" s="71"/>
      <c r="S255" s="71"/>
      <c r="T255" s="69" t="str">
        <f aca="false">IF(OR($R255="",$S255=""),"",IF($S255&gt;$R255,"Acima do limite","Dentro do limite"))</f>
        <v/>
      </c>
      <c r="U255" s="28"/>
      <c r="V255" s="28"/>
      <c r="W255" s="28"/>
      <c r="X255" s="140" t="n">
        <f aca="false">IFERROR(IF(OR($J255="",$K255=""),0,$J255*$K255),0)</f>
        <v>0</v>
      </c>
      <c r="Y255" s="44" t="n">
        <f aca="false">IFERROR(IF($X255=0,0,$X255*IF($O255="",$N255,$O255)),0)</f>
        <v>0</v>
      </c>
      <c r="Z255" s="60" t="str">
        <f aca="false">IF($L255="","",IF($L255&lt;0.5,"Balística / Velocidade (&lt;50%)",IF($L255&lt;0.7,"Velocidade-Força (50–69%)",IF($L255&lt;0.8,"Força-Velocidade (70–79%)",IF($L255&lt;0.9,"Força Máxima (80–89%)","Força Máxima Alta (≥90%)")))))</f>
        <v/>
      </c>
      <c r="AA255" s="27"/>
      <c r="AB255" s="27"/>
    </row>
    <row r="256" customFormat="false" ht="15" hidden="false" customHeight="false" outlineLevel="0" collapsed="false">
      <c r="A256" s="29"/>
      <c r="B256" s="33" t="n">
        <f aca="false">IF($A256="",0,INT(($A256-'Bloco Base'!$C$5)/7)+1)</f>
        <v>0</v>
      </c>
      <c r="C256" s="28"/>
      <c r="D256" s="28"/>
      <c r="E256" s="27"/>
      <c r="F256" s="28"/>
      <c r="G256" s="139"/>
      <c r="H256" s="27"/>
      <c r="I256" s="28"/>
      <c r="J256" s="28"/>
      <c r="K256" s="28"/>
      <c r="L256" s="71"/>
      <c r="M256" s="35" t="str">
        <f aca="false">IF($AB256="","",IFERROR(INDEX('Força 1RM'!$Q$8:$Y$47,MATCH(IF($E256="Equipe (todos)",$C$4,$E256),'Força 1RM'!$P$8:$P$47,0),MATCH($AB256,'Força 1RM'!$Q$7:$Y$7,0)),""))</f>
        <v/>
      </c>
      <c r="N256" s="30" t="n">
        <f aca="false">IFERROR(IF(OR($L256="",$M256="",$M256=0),0,ROUND($L256*$M256*2,0)/2),0)</f>
        <v>0</v>
      </c>
      <c r="O256" s="32"/>
      <c r="P256" s="42" t="str">
        <f aca="false">IFERROR(IF(OR($L256="",$I256="—",$I256=""),"",IF($I256="Agachamento",INDEX($AE$8:$AE$20,MATCH($L256,$AD$8:$AD$20,1)),IF($I256="Supino",INDEX($AF$8:$AF$20,MATCH($L256,$AD$8:$AD$20,1)),IF($I256="Terra",INDEX($AG$8:$AG$20,MATCH($L256,$AD$8:$AD$20,1)),"")))),"")</f>
        <v/>
      </c>
      <c r="Q256" s="45"/>
      <c r="R256" s="71"/>
      <c r="S256" s="71"/>
      <c r="T256" s="69" t="str">
        <f aca="false">IF(OR($R256="",$S256=""),"",IF($S256&gt;$R256,"Acima do limite","Dentro do limite"))</f>
        <v/>
      </c>
      <c r="U256" s="28"/>
      <c r="V256" s="28"/>
      <c r="W256" s="28"/>
      <c r="X256" s="140" t="n">
        <f aca="false">IFERROR(IF(OR($J256="",$K256=""),0,$J256*$K256),0)</f>
        <v>0</v>
      </c>
      <c r="Y256" s="44" t="n">
        <f aca="false">IFERROR(IF($X256=0,0,$X256*IF($O256="",$N256,$O256)),0)</f>
        <v>0</v>
      </c>
      <c r="Z256" s="60" t="str">
        <f aca="false">IF($L256="","",IF($L256&lt;0.5,"Balística / Velocidade (&lt;50%)",IF($L256&lt;0.7,"Velocidade-Força (50–69%)",IF($L256&lt;0.8,"Força-Velocidade (70–79%)",IF($L256&lt;0.9,"Força Máxima (80–89%)","Força Máxima Alta (≥90%)")))))</f>
        <v/>
      </c>
      <c r="AA256" s="27"/>
      <c r="AB256" s="27"/>
    </row>
    <row r="257" customFormat="false" ht="15" hidden="false" customHeight="false" outlineLevel="0" collapsed="false">
      <c r="A257" s="29"/>
      <c r="B257" s="33" t="n">
        <f aca="false">IF($A257="",0,INT(($A257-'Bloco Base'!$C$5)/7)+1)</f>
        <v>0</v>
      </c>
      <c r="C257" s="28"/>
      <c r="D257" s="28"/>
      <c r="E257" s="27"/>
      <c r="F257" s="28"/>
      <c r="G257" s="139"/>
      <c r="H257" s="27"/>
      <c r="I257" s="28"/>
      <c r="J257" s="28"/>
      <c r="K257" s="28"/>
      <c r="L257" s="71"/>
      <c r="M257" s="35" t="str">
        <f aca="false">IF($AB257="","",IFERROR(INDEX('Força 1RM'!$Q$8:$Y$47,MATCH(IF($E257="Equipe (todos)",$C$4,$E257),'Força 1RM'!$P$8:$P$47,0),MATCH($AB257,'Força 1RM'!$Q$7:$Y$7,0)),""))</f>
        <v/>
      </c>
      <c r="N257" s="30" t="n">
        <f aca="false">IFERROR(IF(OR($L257="",$M257="",$M257=0),0,ROUND($L257*$M257*2,0)/2),0)</f>
        <v>0</v>
      </c>
      <c r="O257" s="32"/>
      <c r="P257" s="42" t="str">
        <f aca="false">IFERROR(IF(OR($L257="",$I257="—",$I257=""),"",IF($I257="Agachamento",INDEX($AE$8:$AE$20,MATCH($L257,$AD$8:$AD$20,1)),IF($I257="Supino",INDEX($AF$8:$AF$20,MATCH($L257,$AD$8:$AD$20,1)),IF($I257="Terra",INDEX($AG$8:$AG$20,MATCH($L257,$AD$8:$AD$20,1)),"")))),"")</f>
        <v/>
      </c>
      <c r="Q257" s="45"/>
      <c r="R257" s="71"/>
      <c r="S257" s="71"/>
      <c r="T257" s="69" t="str">
        <f aca="false">IF(OR($R257="",$S257=""),"",IF($S257&gt;$R257,"Acima do limite","Dentro do limite"))</f>
        <v/>
      </c>
      <c r="U257" s="28"/>
      <c r="V257" s="28"/>
      <c r="W257" s="28"/>
      <c r="X257" s="140" t="n">
        <f aca="false">IFERROR(IF(OR($J257="",$K257=""),0,$J257*$K257),0)</f>
        <v>0</v>
      </c>
      <c r="Y257" s="44" t="n">
        <f aca="false">IFERROR(IF($X257=0,0,$X257*IF($O257="",$N257,$O257)),0)</f>
        <v>0</v>
      </c>
      <c r="Z257" s="60" t="str">
        <f aca="false">IF($L257="","",IF($L257&lt;0.5,"Balística / Velocidade (&lt;50%)",IF($L257&lt;0.7,"Velocidade-Força (50–69%)",IF($L257&lt;0.8,"Força-Velocidade (70–79%)",IF($L257&lt;0.9,"Força Máxima (80–89%)","Força Máxima Alta (≥90%)")))))</f>
        <v/>
      </c>
      <c r="AA257" s="27"/>
      <c r="AB257" s="27"/>
    </row>
    <row r="258" customFormat="false" ht="15" hidden="false" customHeight="false" outlineLevel="0" collapsed="false">
      <c r="A258" s="29"/>
      <c r="B258" s="33" t="n">
        <f aca="false">IF($A258="",0,INT(($A258-'Bloco Base'!$C$5)/7)+1)</f>
        <v>0</v>
      </c>
      <c r="C258" s="28"/>
      <c r="D258" s="28"/>
      <c r="E258" s="27"/>
      <c r="F258" s="28"/>
      <c r="G258" s="139"/>
      <c r="H258" s="27"/>
      <c r="I258" s="28"/>
      <c r="J258" s="28"/>
      <c r="K258" s="28"/>
      <c r="L258" s="71"/>
      <c r="M258" s="35" t="str">
        <f aca="false">IF($AB258="","",IFERROR(INDEX('Força 1RM'!$Q$8:$Y$47,MATCH(IF($E258="Equipe (todos)",$C$4,$E258),'Força 1RM'!$P$8:$P$47,0),MATCH($AB258,'Força 1RM'!$Q$7:$Y$7,0)),""))</f>
        <v/>
      </c>
      <c r="N258" s="30" t="n">
        <f aca="false">IFERROR(IF(OR($L258="",$M258="",$M258=0),0,ROUND($L258*$M258*2,0)/2),0)</f>
        <v>0</v>
      </c>
      <c r="O258" s="32"/>
      <c r="P258" s="42" t="str">
        <f aca="false">IFERROR(IF(OR($L258="",$I258="—",$I258=""),"",IF($I258="Agachamento",INDEX($AE$8:$AE$20,MATCH($L258,$AD$8:$AD$20,1)),IF($I258="Supino",INDEX($AF$8:$AF$20,MATCH($L258,$AD$8:$AD$20,1)),IF($I258="Terra",INDEX($AG$8:$AG$20,MATCH($L258,$AD$8:$AD$20,1)),"")))),"")</f>
        <v/>
      </c>
      <c r="Q258" s="45"/>
      <c r="R258" s="71"/>
      <c r="S258" s="71"/>
      <c r="T258" s="69" t="str">
        <f aca="false">IF(OR($R258="",$S258=""),"",IF($S258&gt;$R258,"Acima do limite","Dentro do limite"))</f>
        <v/>
      </c>
      <c r="U258" s="28"/>
      <c r="V258" s="28"/>
      <c r="W258" s="28"/>
      <c r="X258" s="140" t="n">
        <f aca="false">IFERROR(IF(OR($J258="",$K258=""),0,$J258*$K258),0)</f>
        <v>0</v>
      </c>
      <c r="Y258" s="44" t="n">
        <f aca="false">IFERROR(IF($X258=0,0,$X258*IF($O258="",$N258,$O258)),0)</f>
        <v>0</v>
      </c>
      <c r="Z258" s="60" t="str">
        <f aca="false">IF($L258="","",IF($L258&lt;0.5,"Balística / Velocidade (&lt;50%)",IF($L258&lt;0.7,"Velocidade-Força (50–69%)",IF($L258&lt;0.8,"Força-Velocidade (70–79%)",IF($L258&lt;0.9,"Força Máxima (80–89%)","Força Máxima Alta (≥90%)")))))</f>
        <v/>
      </c>
      <c r="AA258" s="27"/>
      <c r="AB258" s="27"/>
    </row>
    <row r="259" customFormat="false" ht="15" hidden="false" customHeight="false" outlineLevel="0" collapsed="false">
      <c r="A259" s="29"/>
      <c r="B259" s="33" t="n">
        <f aca="false">IF($A259="",0,INT(($A259-'Bloco Base'!$C$5)/7)+1)</f>
        <v>0</v>
      </c>
      <c r="C259" s="28"/>
      <c r="D259" s="28"/>
      <c r="E259" s="27"/>
      <c r="F259" s="28"/>
      <c r="G259" s="139"/>
      <c r="H259" s="27"/>
      <c r="I259" s="28"/>
      <c r="J259" s="28"/>
      <c r="K259" s="28"/>
      <c r="L259" s="71"/>
      <c r="M259" s="35" t="str">
        <f aca="false">IF($AB259="","",IFERROR(INDEX('Força 1RM'!$Q$8:$Y$47,MATCH(IF($E259="Equipe (todos)",$C$4,$E259),'Força 1RM'!$P$8:$P$47,0),MATCH($AB259,'Força 1RM'!$Q$7:$Y$7,0)),""))</f>
        <v/>
      </c>
      <c r="N259" s="30" t="n">
        <f aca="false">IFERROR(IF(OR($L259="",$M259="",$M259=0),0,ROUND($L259*$M259*2,0)/2),0)</f>
        <v>0</v>
      </c>
      <c r="O259" s="32"/>
      <c r="P259" s="42" t="str">
        <f aca="false">IFERROR(IF(OR($L259="",$I259="—",$I259=""),"",IF($I259="Agachamento",INDEX($AE$8:$AE$20,MATCH($L259,$AD$8:$AD$20,1)),IF($I259="Supino",INDEX($AF$8:$AF$20,MATCH($L259,$AD$8:$AD$20,1)),IF($I259="Terra",INDEX($AG$8:$AG$20,MATCH($L259,$AD$8:$AD$20,1)),"")))),"")</f>
        <v/>
      </c>
      <c r="Q259" s="45"/>
      <c r="R259" s="71"/>
      <c r="S259" s="71"/>
      <c r="T259" s="69" t="str">
        <f aca="false">IF(OR($R259="",$S259=""),"",IF($S259&gt;$R259,"Acima do limite","Dentro do limite"))</f>
        <v/>
      </c>
      <c r="U259" s="28"/>
      <c r="V259" s="28"/>
      <c r="W259" s="28"/>
      <c r="X259" s="140" t="n">
        <f aca="false">IFERROR(IF(OR($J259="",$K259=""),0,$J259*$K259),0)</f>
        <v>0</v>
      </c>
      <c r="Y259" s="44" t="n">
        <f aca="false">IFERROR(IF($X259=0,0,$X259*IF($O259="",$N259,$O259)),0)</f>
        <v>0</v>
      </c>
      <c r="Z259" s="60" t="str">
        <f aca="false">IF($L259="","",IF($L259&lt;0.5,"Balística / Velocidade (&lt;50%)",IF($L259&lt;0.7,"Velocidade-Força (50–69%)",IF($L259&lt;0.8,"Força-Velocidade (70–79%)",IF($L259&lt;0.9,"Força Máxima (80–89%)","Força Máxima Alta (≥90%)")))))</f>
        <v/>
      </c>
      <c r="AA259" s="27"/>
      <c r="AB259" s="27"/>
    </row>
    <row r="260" customFormat="false" ht="15" hidden="false" customHeight="false" outlineLevel="0" collapsed="false">
      <c r="A260" s="29"/>
      <c r="B260" s="33" t="n">
        <f aca="false">IF($A260="",0,INT(($A260-'Bloco Base'!$C$5)/7)+1)</f>
        <v>0</v>
      </c>
      <c r="C260" s="28"/>
      <c r="D260" s="28"/>
      <c r="E260" s="27"/>
      <c r="F260" s="28"/>
      <c r="G260" s="139"/>
      <c r="H260" s="27"/>
      <c r="I260" s="28"/>
      <c r="J260" s="28"/>
      <c r="K260" s="28"/>
      <c r="L260" s="71"/>
      <c r="M260" s="35" t="str">
        <f aca="false">IF($AB260="","",IFERROR(INDEX('Força 1RM'!$Q$8:$Y$47,MATCH(IF($E260="Equipe (todos)",$C$4,$E260),'Força 1RM'!$P$8:$P$47,0),MATCH($AB260,'Força 1RM'!$Q$7:$Y$7,0)),""))</f>
        <v/>
      </c>
      <c r="N260" s="30" t="n">
        <f aca="false">IFERROR(IF(OR($L260="",$M260="",$M260=0),0,ROUND($L260*$M260*2,0)/2),0)</f>
        <v>0</v>
      </c>
      <c r="O260" s="32"/>
      <c r="P260" s="42" t="str">
        <f aca="false">IFERROR(IF(OR($L260="",$I260="—",$I260=""),"",IF($I260="Agachamento",INDEX($AE$8:$AE$20,MATCH($L260,$AD$8:$AD$20,1)),IF($I260="Supino",INDEX($AF$8:$AF$20,MATCH($L260,$AD$8:$AD$20,1)),IF($I260="Terra",INDEX($AG$8:$AG$20,MATCH($L260,$AD$8:$AD$20,1)),"")))),"")</f>
        <v/>
      </c>
      <c r="Q260" s="45"/>
      <c r="R260" s="71"/>
      <c r="S260" s="71"/>
      <c r="T260" s="69" t="str">
        <f aca="false">IF(OR($R260="",$S260=""),"",IF($S260&gt;$R260,"Acima do limite","Dentro do limite"))</f>
        <v/>
      </c>
      <c r="U260" s="28"/>
      <c r="V260" s="28"/>
      <c r="W260" s="28"/>
      <c r="X260" s="140" t="n">
        <f aca="false">IFERROR(IF(OR($J260="",$K260=""),0,$J260*$K260),0)</f>
        <v>0</v>
      </c>
      <c r="Y260" s="44" t="n">
        <f aca="false">IFERROR(IF($X260=0,0,$X260*IF($O260="",$N260,$O260)),0)</f>
        <v>0</v>
      </c>
      <c r="Z260" s="60" t="str">
        <f aca="false">IF($L260="","",IF($L260&lt;0.5,"Balística / Velocidade (&lt;50%)",IF($L260&lt;0.7,"Velocidade-Força (50–69%)",IF($L260&lt;0.8,"Força-Velocidade (70–79%)",IF($L260&lt;0.9,"Força Máxima (80–89%)","Força Máxima Alta (≥90%)")))))</f>
        <v/>
      </c>
      <c r="AA260" s="27"/>
      <c r="AB260" s="27"/>
    </row>
    <row r="261" customFormat="false" ht="15" hidden="false" customHeight="false" outlineLevel="0" collapsed="false">
      <c r="A261" s="29"/>
      <c r="B261" s="33" t="n">
        <f aca="false">IF($A261="",0,INT(($A261-'Bloco Base'!$C$5)/7)+1)</f>
        <v>0</v>
      </c>
      <c r="C261" s="28"/>
      <c r="D261" s="28"/>
      <c r="E261" s="27"/>
      <c r="F261" s="28"/>
      <c r="G261" s="139"/>
      <c r="H261" s="27"/>
      <c r="I261" s="28"/>
      <c r="J261" s="28"/>
      <c r="K261" s="28"/>
      <c r="L261" s="71"/>
      <c r="M261" s="35" t="str">
        <f aca="false">IF($AB261="","",IFERROR(INDEX('Força 1RM'!$Q$8:$Y$47,MATCH(IF($E261="Equipe (todos)",$C$4,$E261),'Força 1RM'!$P$8:$P$47,0),MATCH($AB261,'Força 1RM'!$Q$7:$Y$7,0)),""))</f>
        <v/>
      </c>
      <c r="N261" s="30" t="n">
        <f aca="false">IFERROR(IF(OR($L261="",$M261="",$M261=0),0,ROUND($L261*$M261*2,0)/2),0)</f>
        <v>0</v>
      </c>
      <c r="O261" s="32"/>
      <c r="P261" s="42" t="str">
        <f aca="false">IFERROR(IF(OR($L261="",$I261="—",$I261=""),"",IF($I261="Agachamento",INDEX($AE$8:$AE$20,MATCH($L261,$AD$8:$AD$20,1)),IF($I261="Supino",INDEX($AF$8:$AF$20,MATCH($L261,$AD$8:$AD$20,1)),IF($I261="Terra",INDEX($AG$8:$AG$20,MATCH($L261,$AD$8:$AD$20,1)),"")))),"")</f>
        <v/>
      </c>
      <c r="Q261" s="45"/>
      <c r="R261" s="71"/>
      <c r="S261" s="71"/>
      <c r="T261" s="69" t="str">
        <f aca="false">IF(OR($R261="",$S261=""),"",IF($S261&gt;$R261,"Acima do limite","Dentro do limite"))</f>
        <v/>
      </c>
      <c r="U261" s="28"/>
      <c r="V261" s="28"/>
      <c r="W261" s="28"/>
      <c r="X261" s="140" t="n">
        <f aca="false">IFERROR(IF(OR($J261="",$K261=""),0,$J261*$K261),0)</f>
        <v>0</v>
      </c>
      <c r="Y261" s="44" t="n">
        <f aca="false">IFERROR(IF($X261=0,0,$X261*IF($O261="",$N261,$O261)),0)</f>
        <v>0</v>
      </c>
      <c r="Z261" s="60" t="str">
        <f aca="false">IF($L261="","",IF($L261&lt;0.5,"Balística / Velocidade (&lt;50%)",IF($L261&lt;0.7,"Velocidade-Força (50–69%)",IF($L261&lt;0.8,"Força-Velocidade (70–79%)",IF($L261&lt;0.9,"Força Máxima (80–89%)","Força Máxima Alta (≥90%)")))))</f>
        <v/>
      </c>
      <c r="AA261" s="27"/>
      <c r="AB261" s="27"/>
    </row>
    <row r="262" customFormat="false" ht="15" hidden="false" customHeight="false" outlineLevel="0" collapsed="false">
      <c r="A262" s="29"/>
      <c r="B262" s="33" t="n">
        <f aca="false">IF($A262="",0,INT(($A262-'Bloco Base'!$C$5)/7)+1)</f>
        <v>0</v>
      </c>
      <c r="C262" s="28"/>
      <c r="D262" s="28"/>
      <c r="E262" s="27"/>
      <c r="F262" s="28"/>
      <c r="G262" s="139"/>
      <c r="H262" s="27"/>
      <c r="I262" s="28"/>
      <c r="J262" s="28"/>
      <c r="K262" s="28"/>
      <c r="L262" s="71"/>
      <c r="M262" s="35" t="str">
        <f aca="false">IF($AB262="","",IFERROR(INDEX('Força 1RM'!$Q$8:$Y$47,MATCH(IF($E262="Equipe (todos)",$C$4,$E262),'Força 1RM'!$P$8:$P$47,0),MATCH($AB262,'Força 1RM'!$Q$7:$Y$7,0)),""))</f>
        <v/>
      </c>
      <c r="N262" s="30" t="n">
        <f aca="false">IFERROR(IF(OR($L262="",$M262="",$M262=0),0,ROUND($L262*$M262*2,0)/2),0)</f>
        <v>0</v>
      </c>
      <c r="O262" s="32"/>
      <c r="P262" s="42" t="str">
        <f aca="false">IFERROR(IF(OR($L262="",$I262="—",$I262=""),"",IF($I262="Agachamento",INDEX($AE$8:$AE$20,MATCH($L262,$AD$8:$AD$20,1)),IF($I262="Supino",INDEX($AF$8:$AF$20,MATCH($L262,$AD$8:$AD$20,1)),IF($I262="Terra",INDEX($AG$8:$AG$20,MATCH($L262,$AD$8:$AD$20,1)),"")))),"")</f>
        <v/>
      </c>
      <c r="Q262" s="45"/>
      <c r="R262" s="71"/>
      <c r="S262" s="71"/>
      <c r="T262" s="69" t="str">
        <f aca="false">IF(OR($R262="",$S262=""),"",IF($S262&gt;$R262,"Acima do limite","Dentro do limite"))</f>
        <v/>
      </c>
      <c r="U262" s="28"/>
      <c r="V262" s="28"/>
      <c r="W262" s="28"/>
      <c r="X262" s="140" t="n">
        <f aca="false">IFERROR(IF(OR($J262="",$K262=""),0,$J262*$K262),0)</f>
        <v>0</v>
      </c>
      <c r="Y262" s="44" t="n">
        <f aca="false">IFERROR(IF($X262=0,0,$X262*IF($O262="",$N262,$O262)),0)</f>
        <v>0</v>
      </c>
      <c r="Z262" s="60" t="str">
        <f aca="false">IF($L262="","",IF($L262&lt;0.5,"Balística / Velocidade (&lt;50%)",IF($L262&lt;0.7,"Velocidade-Força (50–69%)",IF($L262&lt;0.8,"Força-Velocidade (70–79%)",IF($L262&lt;0.9,"Força Máxima (80–89%)","Força Máxima Alta (≥90%)")))))</f>
        <v/>
      </c>
      <c r="AA262" s="27"/>
      <c r="AB262" s="27"/>
    </row>
    <row r="263" customFormat="false" ht="15" hidden="false" customHeight="false" outlineLevel="0" collapsed="false">
      <c r="A263" s="29"/>
      <c r="B263" s="33" t="n">
        <f aca="false">IF($A263="",0,INT(($A263-'Bloco Base'!$C$5)/7)+1)</f>
        <v>0</v>
      </c>
      <c r="C263" s="28"/>
      <c r="D263" s="28"/>
      <c r="E263" s="27"/>
      <c r="F263" s="28"/>
      <c r="G263" s="139"/>
      <c r="H263" s="27"/>
      <c r="I263" s="28"/>
      <c r="J263" s="28"/>
      <c r="K263" s="28"/>
      <c r="L263" s="71"/>
      <c r="M263" s="35" t="str">
        <f aca="false">IF($AB263="","",IFERROR(INDEX('Força 1RM'!$Q$8:$Y$47,MATCH(IF($E263="Equipe (todos)",$C$4,$E263),'Força 1RM'!$P$8:$P$47,0),MATCH($AB263,'Força 1RM'!$Q$7:$Y$7,0)),""))</f>
        <v/>
      </c>
      <c r="N263" s="30" t="n">
        <f aca="false">IFERROR(IF(OR($L263="",$M263="",$M263=0),0,ROUND($L263*$M263*2,0)/2),0)</f>
        <v>0</v>
      </c>
      <c r="O263" s="32"/>
      <c r="P263" s="42" t="str">
        <f aca="false">IFERROR(IF(OR($L263="",$I263="—",$I263=""),"",IF($I263="Agachamento",INDEX($AE$8:$AE$20,MATCH($L263,$AD$8:$AD$20,1)),IF($I263="Supino",INDEX($AF$8:$AF$20,MATCH($L263,$AD$8:$AD$20,1)),IF($I263="Terra",INDEX($AG$8:$AG$20,MATCH($L263,$AD$8:$AD$20,1)),"")))),"")</f>
        <v/>
      </c>
      <c r="Q263" s="45"/>
      <c r="R263" s="71"/>
      <c r="S263" s="71"/>
      <c r="T263" s="69" t="str">
        <f aca="false">IF(OR($R263="",$S263=""),"",IF($S263&gt;$R263,"Acima do limite","Dentro do limite"))</f>
        <v/>
      </c>
      <c r="U263" s="28"/>
      <c r="V263" s="28"/>
      <c r="W263" s="28"/>
      <c r="X263" s="140" t="n">
        <f aca="false">IFERROR(IF(OR($J263="",$K263=""),0,$J263*$K263),0)</f>
        <v>0</v>
      </c>
      <c r="Y263" s="44" t="n">
        <f aca="false">IFERROR(IF($X263=0,0,$X263*IF($O263="",$N263,$O263)),0)</f>
        <v>0</v>
      </c>
      <c r="Z263" s="60" t="str">
        <f aca="false">IF($L263="","",IF($L263&lt;0.5,"Balística / Velocidade (&lt;50%)",IF($L263&lt;0.7,"Velocidade-Força (50–69%)",IF($L263&lt;0.8,"Força-Velocidade (70–79%)",IF($L263&lt;0.9,"Força Máxima (80–89%)","Força Máxima Alta (≥90%)")))))</f>
        <v/>
      </c>
      <c r="AA263" s="27"/>
      <c r="AB263" s="27"/>
    </row>
    <row r="264" customFormat="false" ht="15" hidden="false" customHeight="false" outlineLevel="0" collapsed="false">
      <c r="A264" s="29"/>
      <c r="B264" s="33" t="n">
        <f aca="false">IF($A264="",0,INT(($A264-'Bloco Base'!$C$5)/7)+1)</f>
        <v>0</v>
      </c>
      <c r="C264" s="28"/>
      <c r="D264" s="28"/>
      <c r="E264" s="27"/>
      <c r="F264" s="28"/>
      <c r="G264" s="139"/>
      <c r="H264" s="27"/>
      <c r="I264" s="28"/>
      <c r="J264" s="28"/>
      <c r="K264" s="28"/>
      <c r="L264" s="71"/>
      <c r="M264" s="35" t="str">
        <f aca="false">IF($AB264="","",IFERROR(INDEX('Força 1RM'!$Q$8:$Y$47,MATCH(IF($E264="Equipe (todos)",$C$4,$E264),'Força 1RM'!$P$8:$P$47,0),MATCH($AB264,'Força 1RM'!$Q$7:$Y$7,0)),""))</f>
        <v/>
      </c>
      <c r="N264" s="30" t="n">
        <f aca="false">IFERROR(IF(OR($L264="",$M264="",$M264=0),0,ROUND($L264*$M264*2,0)/2),0)</f>
        <v>0</v>
      </c>
      <c r="O264" s="32"/>
      <c r="P264" s="42" t="str">
        <f aca="false">IFERROR(IF(OR($L264="",$I264="—",$I264=""),"",IF($I264="Agachamento",INDEX($AE$8:$AE$20,MATCH($L264,$AD$8:$AD$20,1)),IF($I264="Supino",INDEX($AF$8:$AF$20,MATCH($L264,$AD$8:$AD$20,1)),IF($I264="Terra",INDEX($AG$8:$AG$20,MATCH($L264,$AD$8:$AD$20,1)),"")))),"")</f>
        <v/>
      </c>
      <c r="Q264" s="45"/>
      <c r="R264" s="71"/>
      <c r="S264" s="71"/>
      <c r="T264" s="69" t="str">
        <f aca="false">IF(OR($R264="",$S264=""),"",IF($S264&gt;$R264,"Acima do limite","Dentro do limite"))</f>
        <v/>
      </c>
      <c r="U264" s="28"/>
      <c r="V264" s="28"/>
      <c r="W264" s="28"/>
      <c r="X264" s="140" t="n">
        <f aca="false">IFERROR(IF(OR($J264="",$K264=""),0,$J264*$K264),0)</f>
        <v>0</v>
      </c>
      <c r="Y264" s="44" t="n">
        <f aca="false">IFERROR(IF($X264=0,0,$X264*IF($O264="",$N264,$O264)),0)</f>
        <v>0</v>
      </c>
      <c r="Z264" s="60" t="str">
        <f aca="false">IF($L264="","",IF($L264&lt;0.5,"Balística / Velocidade (&lt;50%)",IF($L264&lt;0.7,"Velocidade-Força (50–69%)",IF($L264&lt;0.8,"Força-Velocidade (70–79%)",IF($L264&lt;0.9,"Força Máxima (80–89%)","Força Máxima Alta (≥90%)")))))</f>
        <v/>
      </c>
      <c r="AA264" s="27"/>
      <c r="AB264" s="27"/>
    </row>
    <row r="265" customFormat="false" ht="15" hidden="false" customHeight="false" outlineLevel="0" collapsed="false">
      <c r="A265" s="29"/>
      <c r="B265" s="33" t="n">
        <f aca="false">IF($A265="",0,INT(($A265-'Bloco Base'!$C$5)/7)+1)</f>
        <v>0</v>
      </c>
      <c r="C265" s="28"/>
      <c r="D265" s="28"/>
      <c r="E265" s="27"/>
      <c r="F265" s="28"/>
      <c r="G265" s="139"/>
      <c r="H265" s="27"/>
      <c r="I265" s="28"/>
      <c r="J265" s="28"/>
      <c r="K265" s="28"/>
      <c r="L265" s="71"/>
      <c r="M265" s="35" t="str">
        <f aca="false">IF($AB265="","",IFERROR(INDEX('Força 1RM'!$Q$8:$Y$47,MATCH(IF($E265="Equipe (todos)",$C$4,$E265),'Força 1RM'!$P$8:$P$47,0),MATCH($AB265,'Força 1RM'!$Q$7:$Y$7,0)),""))</f>
        <v/>
      </c>
      <c r="N265" s="30" t="n">
        <f aca="false">IFERROR(IF(OR($L265="",$M265="",$M265=0),0,ROUND($L265*$M265*2,0)/2),0)</f>
        <v>0</v>
      </c>
      <c r="O265" s="32"/>
      <c r="P265" s="42" t="str">
        <f aca="false">IFERROR(IF(OR($L265="",$I265="—",$I265=""),"",IF($I265="Agachamento",INDEX($AE$8:$AE$20,MATCH($L265,$AD$8:$AD$20,1)),IF($I265="Supino",INDEX($AF$8:$AF$20,MATCH($L265,$AD$8:$AD$20,1)),IF($I265="Terra",INDEX($AG$8:$AG$20,MATCH($L265,$AD$8:$AD$20,1)),"")))),"")</f>
        <v/>
      </c>
      <c r="Q265" s="45"/>
      <c r="R265" s="71"/>
      <c r="S265" s="71"/>
      <c r="T265" s="69" t="str">
        <f aca="false">IF(OR($R265="",$S265=""),"",IF($S265&gt;$R265,"Acima do limite","Dentro do limite"))</f>
        <v/>
      </c>
      <c r="U265" s="28"/>
      <c r="V265" s="28"/>
      <c r="W265" s="28"/>
      <c r="X265" s="140" t="n">
        <f aca="false">IFERROR(IF(OR($J265="",$K265=""),0,$J265*$K265),0)</f>
        <v>0</v>
      </c>
      <c r="Y265" s="44" t="n">
        <f aca="false">IFERROR(IF($X265=0,0,$X265*IF($O265="",$N265,$O265)),0)</f>
        <v>0</v>
      </c>
      <c r="Z265" s="60" t="str">
        <f aca="false">IF($L265="","",IF($L265&lt;0.5,"Balística / Velocidade (&lt;50%)",IF($L265&lt;0.7,"Velocidade-Força (50–69%)",IF($L265&lt;0.8,"Força-Velocidade (70–79%)",IF($L265&lt;0.9,"Força Máxima (80–89%)","Força Máxima Alta (≥90%)")))))</f>
        <v/>
      </c>
      <c r="AA265" s="27"/>
      <c r="AB265" s="27"/>
    </row>
    <row r="266" customFormat="false" ht="15" hidden="false" customHeight="false" outlineLevel="0" collapsed="false">
      <c r="A266" s="29"/>
      <c r="B266" s="33" t="n">
        <f aca="false">IF($A266="",0,INT(($A266-'Bloco Base'!$C$5)/7)+1)</f>
        <v>0</v>
      </c>
      <c r="C266" s="28"/>
      <c r="D266" s="28"/>
      <c r="E266" s="27"/>
      <c r="F266" s="28"/>
      <c r="G266" s="139"/>
      <c r="H266" s="27"/>
      <c r="I266" s="28"/>
      <c r="J266" s="28"/>
      <c r="K266" s="28"/>
      <c r="L266" s="71"/>
      <c r="M266" s="35" t="str">
        <f aca="false">IF($AB266="","",IFERROR(INDEX('Força 1RM'!$Q$8:$Y$47,MATCH(IF($E266="Equipe (todos)",$C$4,$E266),'Força 1RM'!$P$8:$P$47,0),MATCH($AB266,'Força 1RM'!$Q$7:$Y$7,0)),""))</f>
        <v/>
      </c>
      <c r="N266" s="30" t="n">
        <f aca="false">IFERROR(IF(OR($L266="",$M266="",$M266=0),0,ROUND($L266*$M266*2,0)/2),0)</f>
        <v>0</v>
      </c>
      <c r="O266" s="32"/>
      <c r="P266" s="42" t="str">
        <f aca="false">IFERROR(IF(OR($L266="",$I266="—",$I266=""),"",IF($I266="Agachamento",INDEX($AE$8:$AE$20,MATCH($L266,$AD$8:$AD$20,1)),IF($I266="Supino",INDEX($AF$8:$AF$20,MATCH($L266,$AD$8:$AD$20,1)),IF($I266="Terra",INDEX($AG$8:$AG$20,MATCH($L266,$AD$8:$AD$20,1)),"")))),"")</f>
        <v/>
      </c>
      <c r="Q266" s="45"/>
      <c r="R266" s="71"/>
      <c r="S266" s="71"/>
      <c r="T266" s="69" t="str">
        <f aca="false">IF(OR($R266="",$S266=""),"",IF($S266&gt;$R266,"Acima do limite","Dentro do limite"))</f>
        <v/>
      </c>
      <c r="U266" s="28"/>
      <c r="V266" s="28"/>
      <c r="W266" s="28"/>
      <c r="X266" s="140" t="n">
        <f aca="false">IFERROR(IF(OR($J266="",$K266=""),0,$J266*$K266),0)</f>
        <v>0</v>
      </c>
      <c r="Y266" s="44" t="n">
        <f aca="false">IFERROR(IF($X266=0,0,$X266*IF($O266="",$N266,$O266)),0)</f>
        <v>0</v>
      </c>
      <c r="Z266" s="60" t="str">
        <f aca="false">IF($L266="","",IF($L266&lt;0.5,"Balística / Velocidade (&lt;50%)",IF($L266&lt;0.7,"Velocidade-Força (50–69%)",IF($L266&lt;0.8,"Força-Velocidade (70–79%)",IF($L266&lt;0.9,"Força Máxima (80–89%)","Força Máxima Alta (≥90%)")))))</f>
        <v/>
      </c>
      <c r="AA266" s="27"/>
      <c r="AB266" s="27"/>
    </row>
    <row r="267" customFormat="false" ht="15" hidden="false" customHeight="false" outlineLevel="0" collapsed="false">
      <c r="A267" s="29"/>
      <c r="B267" s="33" t="n">
        <f aca="false">IF($A267="",0,INT(($A267-'Bloco Base'!$C$5)/7)+1)</f>
        <v>0</v>
      </c>
      <c r="C267" s="28"/>
      <c r="D267" s="28"/>
      <c r="E267" s="27"/>
      <c r="F267" s="28"/>
      <c r="G267" s="139"/>
      <c r="H267" s="27"/>
      <c r="I267" s="28"/>
      <c r="J267" s="28"/>
      <c r="K267" s="28"/>
      <c r="L267" s="71"/>
      <c r="M267" s="35" t="str">
        <f aca="false">IF($AB267="","",IFERROR(INDEX('Força 1RM'!$Q$8:$Y$47,MATCH(IF($E267="Equipe (todos)",$C$4,$E267),'Força 1RM'!$P$8:$P$47,0),MATCH($AB267,'Força 1RM'!$Q$7:$Y$7,0)),""))</f>
        <v/>
      </c>
      <c r="N267" s="30" t="n">
        <f aca="false">IFERROR(IF(OR($L267="",$M267="",$M267=0),0,ROUND($L267*$M267*2,0)/2),0)</f>
        <v>0</v>
      </c>
      <c r="O267" s="32"/>
      <c r="P267" s="42" t="str">
        <f aca="false">IFERROR(IF(OR($L267="",$I267="—",$I267=""),"",IF($I267="Agachamento",INDEX($AE$8:$AE$20,MATCH($L267,$AD$8:$AD$20,1)),IF($I267="Supino",INDEX($AF$8:$AF$20,MATCH($L267,$AD$8:$AD$20,1)),IF($I267="Terra",INDEX($AG$8:$AG$20,MATCH($L267,$AD$8:$AD$20,1)),"")))),"")</f>
        <v/>
      </c>
      <c r="Q267" s="45"/>
      <c r="R267" s="71"/>
      <c r="S267" s="71"/>
      <c r="T267" s="69" t="str">
        <f aca="false">IF(OR($R267="",$S267=""),"",IF($S267&gt;$R267,"Acima do limite","Dentro do limite"))</f>
        <v/>
      </c>
      <c r="U267" s="28"/>
      <c r="V267" s="28"/>
      <c r="W267" s="28"/>
      <c r="X267" s="140" t="n">
        <f aca="false">IFERROR(IF(OR($J267="",$K267=""),0,$J267*$K267),0)</f>
        <v>0</v>
      </c>
      <c r="Y267" s="44" t="n">
        <f aca="false">IFERROR(IF($X267=0,0,$X267*IF($O267="",$N267,$O267)),0)</f>
        <v>0</v>
      </c>
      <c r="Z267" s="60" t="str">
        <f aca="false">IF($L267="","",IF($L267&lt;0.5,"Balística / Velocidade (&lt;50%)",IF($L267&lt;0.7,"Velocidade-Força (50–69%)",IF($L267&lt;0.8,"Força-Velocidade (70–79%)",IF($L267&lt;0.9,"Força Máxima (80–89%)","Força Máxima Alta (≥90%)")))))</f>
        <v/>
      </c>
      <c r="AA267" s="27"/>
      <c r="AB267" s="27"/>
    </row>
    <row r="268" customFormat="false" ht="15" hidden="false" customHeight="false" outlineLevel="0" collapsed="false">
      <c r="A268" s="29"/>
      <c r="B268" s="33" t="n">
        <f aca="false">IF($A268="",0,INT(($A268-'Bloco Base'!$C$5)/7)+1)</f>
        <v>0</v>
      </c>
      <c r="C268" s="28"/>
      <c r="D268" s="28"/>
      <c r="E268" s="27"/>
      <c r="F268" s="28"/>
      <c r="G268" s="139"/>
      <c r="H268" s="27"/>
      <c r="I268" s="28"/>
      <c r="J268" s="28"/>
      <c r="K268" s="28"/>
      <c r="L268" s="71"/>
      <c r="M268" s="35" t="str">
        <f aca="false">IF($AB268="","",IFERROR(INDEX('Força 1RM'!$Q$8:$Y$47,MATCH(IF($E268="Equipe (todos)",$C$4,$E268),'Força 1RM'!$P$8:$P$47,0),MATCH($AB268,'Força 1RM'!$Q$7:$Y$7,0)),""))</f>
        <v/>
      </c>
      <c r="N268" s="30" t="n">
        <f aca="false">IFERROR(IF(OR($L268="",$M268="",$M268=0),0,ROUND($L268*$M268*2,0)/2),0)</f>
        <v>0</v>
      </c>
      <c r="O268" s="32"/>
      <c r="P268" s="42" t="str">
        <f aca="false">IFERROR(IF(OR($L268="",$I268="—",$I268=""),"",IF($I268="Agachamento",INDEX($AE$8:$AE$20,MATCH($L268,$AD$8:$AD$20,1)),IF($I268="Supino",INDEX($AF$8:$AF$20,MATCH($L268,$AD$8:$AD$20,1)),IF($I268="Terra",INDEX($AG$8:$AG$20,MATCH($L268,$AD$8:$AD$20,1)),"")))),"")</f>
        <v/>
      </c>
      <c r="Q268" s="45"/>
      <c r="R268" s="71"/>
      <c r="S268" s="71"/>
      <c r="T268" s="69" t="str">
        <f aca="false">IF(OR($R268="",$S268=""),"",IF($S268&gt;$R268,"Acima do limite","Dentro do limite"))</f>
        <v/>
      </c>
      <c r="U268" s="28"/>
      <c r="V268" s="28"/>
      <c r="W268" s="28"/>
      <c r="X268" s="140" t="n">
        <f aca="false">IFERROR(IF(OR($J268="",$K268=""),0,$J268*$K268),0)</f>
        <v>0</v>
      </c>
      <c r="Y268" s="44" t="n">
        <f aca="false">IFERROR(IF($X268=0,0,$X268*IF($O268="",$N268,$O268)),0)</f>
        <v>0</v>
      </c>
      <c r="Z268" s="60" t="str">
        <f aca="false">IF($L268="","",IF($L268&lt;0.5,"Balística / Velocidade (&lt;50%)",IF($L268&lt;0.7,"Velocidade-Força (50–69%)",IF($L268&lt;0.8,"Força-Velocidade (70–79%)",IF($L268&lt;0.9,"Força Máxima (80–89%)","Força Máxima Alta (≥90%)")))))</f>
        <v/>
      </c>
      <c r="AA268" s="27"/>
      <c r="AB268" s="27"/>
    </row>
    <row r="269" customFormat="false" ht="15" hidden="false" customHeight="false" outlineLevel="0" collapsed="false">
      <c r="A269" s="29"/>
      <c r="B269" s="33" t="n">
        <f aca="false">IF($A269="",0,INT(($A269-'Bloco Base'!$C$5)/7)+1)</f>
        <v>0</v>
      </c>
      <c r="C269" s="28"/>
      <c r="D269" s="28"/>
      <c r="E269" s="27"/>
      <c r="F269" s="28"/>
      <c r="G269" s="139"/>
      <c r="H269" s="27"/>
      <c r="I269" s="28"/>
      <c r="J269" s="28"/>
      <c r="K269" s="28"/>
      <c r="L269" s="71"/>
      <c r="M269" s="35" t="str">
        <f aca="false">IF($AB269="","",IFERROR(INDEX('Força 1RM'!$Q$8:$Y$47,MATCH(IF($E269="Equipe (todos)",$C$4,$E269),'Força 1RM'!$P$8:$P$47,0),MATCH($AB269,'Força 1RM'!$Q$7:$Y$7,0)),""))</f>
        <v/>
      </c>
      <c r="N269" s="30" t="n">
        <f aca="false">IFERROR(IF(OR($L269="",$M269="",$M269=0),0,ROUND($L269*$M269*2,0)/2),0)</f>
        <v>0</v>
      </c>
      <c r="O269" s="32"/>
      <c r="P269" s="42" t="str">
        <f aca="false">IFERROR(IF(OR($L269="",$I269="—",$I269=""),"",IF($I269="Agachamento",INDEX($AE$8:$AE$20,MATCH($L269,$AD$8:$AD$20,1)),IF($I269="Supino",INDEX($AF$8:$AF$20,MATCH($L269,$AD$8:$AD$20,1)),IF($I269="Terra",INDEX($AG$8:$AG$20,MATCH($L269,$AD$8:$AD$20,1)),"")))),"")</f>
        <v/>
      </c>
      <c r="Q269" s="45"/>
      <c r="R269" s="71"/>
      <c r="S269" s="71"/>
      <c r="T269" s="69" t="str">
        <f aca="false">IF(OR($R269="",$S269=""),"",IF($S269&gt;$R269,"Acima do limite","Dentro do limite"))</f>
        <v/>
      </c>
      <c r="U269" s="28"/>
      <c r="V269" s="28"/>
      <c r="W269" s="28"/>
      <c r="X269" s="140" t="n">
        <f aca="false">IFERROR(IF(OR($J269="",$K269=""),0,$J269*$K269),0)</f>
        <v>0</v>
      </c>
      <c r="Y269" s="44" t="n">
        <f aca="false">IFERROR(IF($X269=0,0,$X269*IF($O269="",$N269,$O269)),0)</f>
        <v>0</v>
      </c>
      <c r="Z269" s="60" t="str">
        <f aca="false">IF($L269="","",IF($L269&lt;0.5,"Balística / Velocidade (&lt;50%)",IF($L269&lt;0.7,"Velocidade-Força (50–69%)",IF($L269&lt;0.8,"Força-Velocidade (70–79%)",IF($L269&lt;0.9,"Força Máxima (80–89%)","Força Máxima Alta (≥90%)")))))</f>
        <v/>
      </c>
      <c r="AA269" s="27"/>
      <c r="AB269" s="27"/>
    </row>
    <row r="270" customFormat="false" ht="15" hidden="false" customHeight="false" outlineLevel="0" collapsed="false">
      <c r="A270" s="29"/>
      <c r="B270" s="33" t="n">
        <f aca="false">IF($A270="",0,INT(($A270-'Bloco Base'!$C$5)/7)+1)</f>
        <v>0</v>
      </c>
      <c r="C270" s="28"/>
      <c r="D270" s="28"/>
      <c r="E270" s="27"/>
      <c r="F270" s="28"/>
      <c r="G270" s="139"/>
      <c r="H270" s="27"/>
      <c r="I270" s="28"/>
      <c r="J270" s="28"/>
      <c r="K270" s="28"/>
      <c r="L270" s="71"/>
      <c r="M270" s="35" t="str">
        <f aca="false">IF($AB270="","",IFERROR(INDEX('Força 1RM'!$Q$8:$Y$47,MATCH(IF($E270="Equipe (todos)",$C$4,$E270),'Força 1RM'!$P$8:$P$47,0),MATCH($AB270,'Força 1RM'!$Q$7:$Y$7,0)),""))</f>
        <v/>
      </c>
      <c r="N270" s="30" t="n">
        <f aca="false">IFERROR(IF(OR($L270="",$M270="",$M270=0),0,ROUND($L270*$M270*2,0)/2),0)</f>
        <v>0</v>
      </c>
      <c r="O270" s="32"/>
      <c r="P270" s="42" t="str">
        <f aca="false">IFERROR(IF(OR($L270="",$I270="—",$I270=""),"",IF($I270="Agachamento",INDEX($AE$8:$AE$20,MATCH($L270,$AD$8:$AD$20,1)),IF($I270="Supino",INDEX($AF$8:$AF$20,MATCH($L270,$AD$8:$AD$20,1)),IF($I270="Terra",INDEX($AG$8:$AG$20,MATCH($L270,$AD$8:$AD$20,1)),"")))),"")</f>
        <v/>
      </c>
      <c r="Q270" s="45"/>
      <c r="R270" s="71"/>
      <c r="S270" s="71"/>
      <c r="T270" s="69" t="str">
        <f aca="false">IF(OR($R270="",$S270=""),"",IF($S270&gt;$R270,"Acima do limite","Dentro do limite"))</f>
        <v/>
      </c>
      <c r="U270" s="28"/>
      <c r="V270" s="28"/>
      <c r="W270" s="28"/>
      <c r="X270" s="140" t="n">
        <f aca="false">IFERROR(IF(OR($J270="",$K270=""),0,$J270*$K270),0)</f>
        <v>0</v>
      </c>
      <c r="Y270" s="44" t="n">
        <f aca="false">IFERROR(IF($X270=0,0,$X270*IF($O270="",$N270,$O270)),0)</f>
        <v>0</v>
      </c>
      <c r="Z270" s="60" t="str">
        <f aca="false">IF($L270="","",IF($L270&lt;0.5,"Balística / Velocidade (&lt;50%)",IF($L270&lt;0.7,"Velocidade-Força (50–69%)",IF($L270&lt;0.8,"Força-Velocidade (70–79%)",IF($L270&lt;0.9,"Força Máxima (80–89%)","Força Máxima Alta (≥90%)")))))</f>
        <v/>
      </c>
      <c r="AA270" s="27"/>
      <c r="AB270" s="27"/>
    </row>
    <row r="271" customFormat="false" ht="15" hidden="false" customHeight="false" outlineLevel="0" collapsed="false">
      <c r="A271" s="29"/>
      <c r="B271" s="33" t="n">
        <f aca="false">IF($A271="",0,INT(($A271-'Bloco Base'!$C$5)/7)+1)</f>
        <v>0</v>
      </c>
      <c r="C271" s="28"/>
      <c r="D271" s="28"/>
      <c r="E271" s="27"/>
      <c r="F271" s="28"/>
      <c r="G271" s="139"/>
      <c r="H271" s="27"/>
      <c r="I271" s="28"/>
      <c r="J271" s="28"/>
      <c r="K271" s="28"/>
      <c r="L271" s="71"/>
      <c r="M271" s="35" t="str">
        <f aca="false">IF($AB271="","",IFERROR(INDEX('Força 1RM'!$Q$8:$Y$47,MATCH(IF($E271="Equipe (todos)",$C$4,$E271),'Força 1RM'!$P$8:$P$47,0),MATCH($AB271,'Força 1RM'!$Q$7:$Y$7,0)),""))</f>
        <v/>
      </c>
      <c r="N271" s="30" t="n">
        <f aca="false">IFERROR(IF(OR($L271="",$M271="",$M271=0),0,ROUND($L271*$M271*2,0)/2),0)</f>
        <v>0</v>
      </c>
      <c r="O271" s="32"/>
      <c r="P271" s="42" t="str">
        <f aca="false">IFERROR(IF(OR($L271="",$I271="—",$I271=""),"",IF($I271="Agachamento",INDEX($AE$8:$AE$20,MATCH($L271,$AD$8:$AD$20,1)),IF($I271="Supino",INDEX($AF$8:$AF$20,MATCH($L271,$AD$8:$AD$20,1)),IF($I271="Terra",INDEX($AG$8:$AG$20,MATCH($L271,$AD$8:$AD$20,1)),"")))),"")</f>
        <v/>
      </c>
      <c r="Q271" s="45"/>
      <c r="R271" s="71"/>
      <c r="S271" s="71"/>
      <c r="T271" s="69" t="str">
        <f aca="false">IF(OR($R271="",$S271=""),"",IF($S271&gt;$R271,"Acima do limite","Dentro do limite"))</f>
        <v/>
      </c>
      <c r="U271" s="28"/>
      <c r="V271" s="28"/>
      <c r="W271" s="28"/>
      <c r="X271" s="140" t="n">
        <f aca="false">IFERROR(IF(OR($J271="",$K271=""),0,$J271*$K271),0)</f>
        <v>0</v>
      </c>
      <c r="Y271" s="44" t="n">
        <f aca="false">IFERROR(IF($X271=0,0,$X271*IF($O271="",$N271,$O271)),0)</f>
        <v>0</v>
      </c>
      <c r="Z271" s="60" t="str">
        <f aca="false">IF($L271="","",IF($L271&lt;0.5,"Balística / Velocidade (&lt;50%)",IF($L271&lt;0.7,"Velocidade-Força (50–69%)",IF($L271&lt;0.8,"Força-Velocidade (70–79%)",IF($L271&lt;0.9,"Força Máxima (80–89%)","Força Máxima Alta (≥90%)")))))</f>
        <v/>
      </c>
      <c r="AA271" s="27"/>
      <c r="AB271" s="27"/>
    </row>
    <row r="272" customFormat="false" ht="15" hidden="false" customHeight="false" outlineLevel="0" collapsed="false">
      <c r="A272" s="29"/>
      <c r="B272" s="33" t="n">
        <f aca="false">IF($A272="",0,INT(($A272-'Bloco Base'!$C$5)/7)+1)</f>
        <v>0</v>
      </c>
      <c r="C272" s="28"/>
      <c r="D272" s="28"/>
      <c r="E272" s="27"/>
      <c r="F272" s="28"/>
      <c r="G272" s="139"/>
      <c r="H272" s="27"/>
      <c r="I272" s="28"/>
      <c r="J272" s="28"/>
      <c r="K272" s="28"/>
      <c r="L272" s="71"/>
      <c r="M272" s="35" t="str">
        <f aca="false">IF($AB272="","",IFERROR(INDEX('Força 1RM'!$Q$8:$Y$47,MATCH(IF($E272="Equipe (todos)",$C$4,$E272),'Força 1RM'!$P$8:$P$47,0),MATCH($AB272,'Força 1RM'!$Q$7:$Y$7,0)),""))</f>
        <v/>
      </c>
      <c r="N272" s="30" t="n">
        <f aca="false">IFERROR(IF(OR($L272="",$M272="",$M272=0),0,ROUND($L272*$M272*2,0)/2),0)</f>
        <v>0</v>
      </c>
      <c r="O272" s="32"/>
      <c r="P272" s="42" t="str">
        <f aca="false">IFERROR(IF(OR($L272="",$I272="—",$I272=""),"",IF($I272="Agachamento",INDEX($AE$8:$AE$20,MATCH($L272,$AD$8:$AD$20,1)),IF($I272="Supino",INDEX($AF$8:$AF$20,MATCH($L272,$AD$8:$AD$20,1)),IF($I272="Terra",INDEX($AG$8:$AG$20,MATCH($L272,$AD$8:$AD$20,1)),"")))),"")</f>
        <v/>
      </c>
      <c r="Q272" s="45"/>
      <c r="R272" s="71"/>
      <c r="S272" s="71"/>
      <c r="T272" s="69" t="str">
        <f aca="false">IF(OR($R272="",$S272=""),"",IF($S272&gt;$R272,"Acima do limite","Dentro do limite"))</f>
        <v/>
      </c>
      <c r="U272" s="28"/>
      <c r="V272" s="28"/>
      <c r="W272" s="28"/>
      <c r="X272" s="140" t="n">
        <f aca="false">IFERROR(IF(OR($J272="",$K272=""),0,$J272*$K272),0)</f>
        <v>0</v>
      </c>
      <c r="Y272" s="44" t="n">
        <f aca="false">IFERROR(IF($X272=0,0,$X272*IF($O272="",$N272,$O272)),0)</f>
        <v>0</v>
      </c>
      <c r="Z272" s="60" t="str">
        <f aca="false">IF($L272="","",IF($L272&lt;0.5,"Balística / Velocidade (&lt;50%)",IF($L272&lt;0.7,"Velocidade-Força (50–69%)",IF($L272&lt;0.8,"Força-Velocidade (70–79%)",IF($L272&lt;0.9,"Força Máxima (80–89%)","Força Máxima Alta (≥90%)")))))</f>
        <v/>
      </c>
      <c r="AA272" s="27"/>
      <c r="AB272" s="27"/>
    </row>
    <row r="273" customFormat="false" ht="15" hidden="false" customHeight="false" outlineLevel="0" collapsed="false">
      <c r="A273" s="29"/>
      <c r="B273" s="33" t="n">
        <f aca="false">IF($A273="",0,INT(($A273-'Bloco Base'!$C$5)/7)+1)</f>
        <v>0</v>
      </c>
      <c r="C273" s="28"/>
      <c r="D273" s="28"/>
      <c r="E273" s="27"/>
      <c r="F273" s="28"/>
      <c r="G273" s="139"/>
      <c r="H273" s="27"/>
      <c r="I273" s="28"/>
      <c r="J273" s="28"/>
      <c r="K273" s="28"/>
      <c r="L273" s="71"/>
      <c r="M273" s="35" t="str">
        <f aca="false">IF($AB273="","",IFERROR(INDEX('Força 1RM'!$Q$8:$Y$47,MATCH(IF($E273="Equipe (todos)",$C$4,$E273),'Força 1RM'!$P$8:$P$47,0),MATCH($AB273,'Força 1RM'!$Q$7:$Y$7,0)),""))</f>
        <v/>
      </c>
      <c r="N273" s="30" t="n">
        <f aca="false">IFERROR(IF(OR($L273="",$M273="",$M273=0),0,ROUND($L273*$M273*2,0)/2),0)</f>
        <v>0</v>
      </c>
      <c r="O273" s="32"/>
      <c r="P273" s="42" t="str">
        <f aca="false">IFERROR(IF(OR($L273="",$I273="—",$I273=""),"",IF($I273="Agachamento",INDEX($AE$8:$AE$20,MATCH($L273,$AD$8:$AD$20,1)),IF($I273="Supino",INDEX($AF$8:$AF$20,MATCH($L273,$AD$8:$AD$20,1)),IF($I273="Terra",INDEX($AG$8:$AG$20,MATCH($L273,$AD$8:$AD$20,1)),"")))),"")</f>
        <v/>
      </c>
      <c r="Q273" s="45"/>
      <c r="R273" s="71"/>
      <c r="S273" s="71"/>
      <c r="T273" s="69" t="str">
        <f aca="false">IF(OR($R273="",$S273=""),"",IF($S273&gt;$R273,"Acima do limite","Dentro do limite"))</f>
        <v/>
      </c>
      <c r="U273" s="28"/>
      <c r="V273" s="28"/>
      <c r="W273" s="28"/>
      <c r="X273" s="140" t="n">
        <f aca="false">IFERROR(IF(OR($J273="",$K273=""),0,$J273*$K273),0)</f>
        <v>0</v>
      </c>
      <c r="Y273" s="44" t="n">
        <f aca="false">IFERROR(IF($X273=0,0,$X273*IF($O273="",$N273,$O273)),0)</f>
        <v>0</v>
      </c>
      <c r="Z273" s="60" t="str">
        <f aca="false">IF($L273="","",IF($L273&lt;0.5,"Balística / Velocidade (&lt;50%)",IF($L273&lt;0.7,"Velocidade-Força (50–69%)",IF($L273&lt;0.8,"Força-Velocidade (70–79%)",IF($L273&lt;0.9,"Força Máxima (80–89%)","Força Máxima Alta (≥90%)")))))</f>
        <v/>
      </c>
      <c r="AA273" s="27"/>
      <c r="AB273" s="27"/>
    </row>
    <row r="274" customFormat="false" ht="15" hidden="false" customHeight="false" outlineLevel="0" collapsed="false">
      <c r="A274" s="29"/>
      <c r="B274" s="33" t="n">
        <f aca="false">IF($A274="",0,INT(($A274-'Bloco Base'!$C$5)/7)+1)</f>
        <v>0</v>
      </c>
      <c r="C274" s="28"/>
      <c r="D274" s="28"/>
      <c r="E274" s="27"/>
      <c r="F274" s="28"/>
      <c r="G274" s="139"/>
      <c r="H274" s="27"/>
      <c r="I274" s="28"/>
      <c r="J274" s="28"/>
      <c r="K274" s="28"/>
      <c r="L274" s="71"/>
      <c r="M274" s="35" t="str">
        <f aca="false">IF($AB274="","",IFERROR(INDEX('Força 1RM'!$Q$8:$Y$47,MATCH(IF($E274="Equipe (todos)",$C$4,$E274),'Força 1RM'!$P$8:$P$47,0),MATCH($AB274,'Força 1RM'!$Q$7:$Y$7,0)),""))</f>
        <v/>
      </c>
      <c r="N274" s="30" t="n">
        <f aca="false">IFERROR(IF(OR($L274="",$M274="",$M274=0),0,ROUND($L274*$M274*2,0)/2),0)</f>
        <v>0</v>
      </c>
      <c r="O274" s="32"/>
      <c r="P274" s="42" t="str">
        <f aca="false">IFERROR(IF(OR($L274="",$I274="—",$I274=""),"",IF($I274="Agachamento",INDEX($AE$8:$AE$20,MATCH($L274,$AD$8:$AD$20,1)),IF($I274="Supino",INDEX($AF$8:$AF$20,MATCH($L274,$AD$8:$AD$20,1)),IF($I274="Terra",INDEX($AG$8:$AG$20,MATCH($L274,$AD$8:$AD$20,1)),"")))),"")</f>
        <v/>
      </c>
      <c r="Q274" s="45"/>
      <c r="R274" s="71"/>
      <c r="S274" s="71"/>
      <c r="T274" s="69" t="str">
        <f aca="false">IF(OR($R274="",$S274=""),"",IF($S274&gt;$R274,"Acima do limite","Dentro do limite"))</f>
        <v/>
      </c>
      <c r="U274" s="28"/>
      <c r="V274" s="28"/>
      <c r="W274" s="28"/>
      <c r="X274" s="140" t="n">
        <f aca="false">IFERROR(IF(OR($J274="",$K274=""),0,$J274*$K274),0)</f>
        <v>0</v>
      </c>
      <c r="Y274" s="44" t="n">
        <f aca="false">IFERROR(IF($X274=0,0,$X274*IF($O274="",$N274,$O274)),0)</f>
        <v>0</v>
      </c>
      <c r="Z274" s="60" t="str">
        <f aca="false">IF($L274="","",IF($L274&lt;0.5,"Balística / Velocidade (&lt;50%)",IF($L274&lt;0.7,"Velocidade-Força (50–69%)",IF($L274&lt;0.8,"Força-Velocidade (70–79%)",IF($L274&lt;0.9,"Força Máxima (80–89%)","Força Máxima Alta (≥90%)")))))</f>
        <v/>
      </c>
      <c r="AA274" s="27"/>
      <c r="AB274" s="27"/>
    </row>
    <row r="275" customFormat="false" ht="15" hidden="false" customHeight="false" outlineLevel="0" collapsed="false">
      <c r="A275" s="29"/>
      <c r="B275" s="33" t="n">
        <f aca="false">IF($A275="",0,INT(($A275-'Bloco Base'!$C$5)/7)+1)</f>
        <v>0</v>
      </c>
      <c r="C275" s="28"/>
      <c r="D275" s="28"/>
      <c r="E275" s="27"/>
      <c r="F275" s="28"/>
      <c r="G275" s="139"/>
      <c r="H275" s="27"/>
      <c r="I275" s="28"/>
      <c r="J275" s="28"/>
      <c r="K275" s="28"/>
      <c r="L275" s="71"/>
      <c r="M275" s="35" t="str">
        <f aca="false">IF($AB275="","",IFERROR(INDEX('Força 1RM'!$Q$8:$Y$47,MATCH(IF($E275="Equipe (todos)",$C$4,$E275),'Força 1RM'!$P$8:$P$47,0),MATCH($AB275,'Força 1RM'!$Q$7:$Y$7,0)),""))</f>
        <v/>
      </c>
      <c r="N275" s="30" t="n">
        <f aca="false">IFERROR(IF(OR($L275="",$M275="",$M275=0),0,ROUND($L275*$M275*2,0)/2),0)</f>
        <v>0</v>
      </c>
      <c r="O275" s="32"/>
      <c r="P275" s="42" t="str">
        <f aca="false">IFERROR(IF(OR($L275="",$I275="—",$I275=""),"",IF($I275="Agachamento",INDEX($AE$8:$AE$20,MATCH($L275,$AD$8:$AD$20,1)),IF($I275="Supino",INDEX($AF$8:$AF$20,MATCH($L275,$AD$8:$AD$20,1)),IF($I275="Terra",INDEX($AG$8:$AG$20,MATCH($L275,$AD$8:$AD$20,1)),"")))),"")</f>
        <v/>
      </c>
      <c r="Q275" s="45"/>
      <c r="R275" s="71"/>
      <c r="S275" s="71"/>
      <c r="T275" s="69" t="str">
        <f aca="false">IF(OR($R275="",$S275=""),"",IF($S275&gt;$R275,"Acima do limite","Dentro do limite"))</f>
        <v/>
      </c>
      <c r="U275" s="28"/>
      <c r="V275" s="28"/>
      <c r="W275" s="28"/>
      <c r="X275" s="140" t="n">
        <f aca="false">IFERROR(IF(OR($J275="",$K275=""),0,$J275*$K275),0)</f>
        <v>0</v>
      </c>
      <c r="Y275" s="44" t="n">
        <f aca="false">IFERROR(IF($X275=0,0,$X275*IF($O275="",$N275,$O275)),0)</f>
        <v>0</v>
      </c>
      <c r="Z275" s="60" t="str">
        <f aca="false">IF($L275="","",IF($L275&lt;0.5,"Balística / Velocidade (&lt;50%)",IF($L275&lt;0.7,"Velocidade-Força (50–69%)",IF($L275&lt;0.8,"Força-Velocidade (70–79%)",IF($L275&lt;0.9,"Força Máxima (80–89%)","Força Máxima Alta (≥90%)")))))</f>
        <v/>
      </c>
      <c r="AA275" s="27"/>
      <c r="AB275" s="27"/>
    </row>
    <row r="276" customFormat="false" ht="15" hidden="false" customHeight="false" outlineLevel="0" collapsed="false">
      <c r="A276" s="29"/>
      <c r="B276" s="33" t="n">
        <f aca="false">IF($A276="",0,INT(($A276-'Bloco Base'!$C$5)/7)+1)</f>
        <v>0</v>
      </c>
      <c r="C276" s="28"/>
      <c r="D276" s="28"/>
      <c r="E276" s="27"/>
      <c r="F276" s="28"/>
      <c r="G276" s="139"/>
      <c r="H276" s="27"/>
      <c r="I276" s="28"/>
      <c r="J276" s="28"/>
      <c r="K276" s="28"/>
      <c r="L276" s="71"/>
      <c r="M276" s="35" t="str">
        <f aca="false">IF($AB276="","",IFERROR(INDEX('Força 1RM'!$Q$8:$Y$47,MATCH(IF($E276="Equipe (todos)",$C$4,$E276),'Força 1RM'!$P$8:$P$47,0),MATCH($AB276,'Força 1RM'!$Q$7:$Y$7,0)),""))</f>
        <v/>
      </c>
      <c r="N276" s="30" t="n">
        <f aca="false">IFERROR(IF(OR($L276="",$M276="",$M276=0),0,ROUND($L276*$M276*2,0)/2),0)</f>
        <v>0</v>
      </c>
      <c r="O276" s="32"/>
      <c r="P276" s="42" t="str">
        <f aca="false">IFERROR(IF(OR($L276="",$I276="—",$I276=""),"",IF($I276="Agachamento",INDEX($AE$8:$AE$20,MATCH($L276,$AD$8:$AD$20,1)),IF($I276="Supino",INDEX($AF$8:$AF$20,MATCH($L276,$AD$8:$AD$20,1)),IF($I276="Terra",INDEX($AG$8:$AG$20,MATCH($L276,$AD$8:$AD$20,1)),"")))),"")</f>
        <v/>
      </c>
      <c r="Q276" s="45"/>
      <c r="R276" s="71"/>
      <c r="S276" s="71"/>
      <c r="T276" s="69" t="str">
        <f aca="false">IF(OR($R276="",$S276=""),"",IF($S276&gt;$R276,"Acima do limite","Dentro do limite"))</f>
        <v/>
      </c>
      <c r="U276" s="28"/>
      <c r="V276" s="28"/>
      <c r="W276" s="28"/>
      <c r="X276" s="140" t="n">
        <f aca="false">IFERROR(IF(OR($J276="",$K276=""),0,$J276*$K276),0)</f>
        <v>0</v>
      </c>
      <c r="Y276" s="44" t="n">
        <f aca="false">IFERROR(IF($X276=0,0,$X276*IF($O276="",$N276,$O276)),0)</f>
        <v>0</v>
      </c>
      <c r="Z276" s="60" t="str">
        <f aca="false">IF($L276="","",IF($L276&lt;0.5,"Balística / Velocidade (&lt;50%)",IF($L276&lt;0.7,"Velocidade-Força (50–69%)",IF($L276&lt;0.8,"Força-Velocidade (70–79%)",IF($L276&lt;0.9,"Força Máxima (80–89%)","Força Máxima Alta (≥90%)")))))</f>
        <v/>
      </c>
      <c r="AA276" s="27"/>
      <c r="AB276" s="27"/>
    </row>
    <row r="277" customFormat="false" ht="15" hidden="false" customHeight="false" outlineLevel="0" collapsed="false">
      <c r="A277" s="29"/>
      <c r="B277" s="33" t="n">
        <f aca="false">IF($A277="",0,INT(($A277-'Bloco Base'!$C$5)/7)+1)</f>
        <v>0</v>
      </c>
      <c r="C277" s="28"/>
      <c r="D277" s="28"/>
      <c r="E277" s="27"/>
      <c r="F277" s="28"/>
      <c r="G277" s="139"/>
      <c r="H277" s="27"/>
      <c r="I277" s="28"/>
      <c r="J277" s="28"/>
      <c r="K277" s="28"/>
      <c r="L277" s="71"/>
      <c r="M277" s="35" t="str">
        <f aca="false">IF($AB277="","",IFERROR(INDEX('Força 1RM'!$Q$8:$Y$47,MATCH(IF($E277="Equipe (todos)",$C$4,$E277),'Força 1RM'!$P$8:$P$47,0),MATCH($AB277,'Força 1RM'!$Q$7:$Y$7,0)),""))</f>
        <v/>
      </c>
      <c r="N277" s="30" t="n">
        <f aca="false">IFERROR(IF(OR($L277="",$M277="",$M277=0),0,ROUND($L277*$M277*2,0)/2),0)</f>
        <v>0</v>
      </c>
      <c r="O277" s="32"/>
      <c r="P277" s="42" t="str">
        <f aca="false">IFERROR(IF(OR($L277="",$I277="—",$I277=""),"",IF($I277="Agachamento",INDEX($AE$8:$AE$20,MATCH($L277,$AD$8:$AD$20,1)),IF($I277="Supino",INDEX($AF$8:$AF$20,MATCH($L277,$AD$8:$AD$20,1)),IF($I277="Terra",INDEX($AG$8:$AG$20,MATCH($L277,$AD$8:$AD$20,1)),"")))),"")</f>
        <v/>
      </c>
      <c r="Q277" s="45"/>
      <c r="R277" s="71"/>
      <c r="S277" s="71"/>
      <c r="T277" s="69" t="str">
        <f aca="false">IF(OR($R277="",$S277=""),"",IF($S277&gt;$R277,"Acima do limite","Dentro do limite"))</f>
        <v/>
      </c>
      <c r="U277" s="28"/>
      <c r="V277" s="28"/>
      <c r="W277" s="28"/>
      <c r="X277" s="140" t="n">
        <f aca="false">IFERROR(IF(OR($J277="",$K277=""),0,$J277*$K277),0)</f>
        <v>0</v>
      </c>
      <c r="Y277" s="44" t="n">
        <f aca="false">IFERROR(IF($X277=0,0,$X277*IF($O277="",$N277,$O277)),0)</f>
        <v>0</v>
      </c>
      <c r="Z277" s="60" t="str">
        <f aca="false">IF($L277="","",IF($L277&lt;0.5,"Balística / Velocidade (&lt;50%)",IF($L277&lt;0.7,"Velocidade-Força (50–69%)",IF($L277&lt;0.8,"Força-Velocidade (70–79%)",IF($L277&lt;0.9,"Força Máxima (80–89%)","Força Máxima Alta (≥90%)")))))</f>
        <v/>
      </c>
      <c r="AA277" s="27"/>
      <c r="AB277" s="27"/>
    </row>
    <row r="278" customFormat="false" ht="15" hidden="false" customHeight="false" outlineLevel="0" collapsed="false">
      <c r="A278" s="29"/>
      <c r="B278" s="33" t="n">
        <f aca="false">IF($A278="",0,INT(($A278-'Bloco Base'!$C$5)/7)+1)</f>
        <v>0</v>
      </c>
      <c r="C278" s="28"/>
      <c r="D278" s="28"/>
      <c r="E278" s="27"/>
      <c r="F278" s="28"/>
      <c r="G278" s="139"/>
      <c r="H278" s="27"/>
      <c r="I278" s="28"/>
      <c r="J278" s="28"/>
      <c r="K278" s="28"/>
      <c r="L278" s="71"/>
      <c r="M278" s="35" t="str">
        <f aca="false">IF($AB278="","",IFERROR(INDEX('Força 1RM'!$Q$8:$Y$47,MATCH(IF($E278="Equipe (todos)",$C$4,$E278),'Força 1RM'!$P$8:$P$47,0),MATCH($AB278,'Força 1RM'!$Q$7:$Y$7,0)),""))</f>
        <v/>
      </c>
      <c r="N278" s="30" t="n">
        <f aca="false">IFERROR(IF(OR($L278="",$M278="",$M278=0),0,ROUND($L278*$M278*2,0)/2),0)</f>
        <v>0</v>
      </c>
      <c r="O278" s="32"/>
      <c r="P278" s="42" t="str">
        <f aca="false">IFERROR(IF(OR($L278="",$I278="—",$I278=""),"",IF($I278="Agachamento",INDEX($AE$8:$AE$20,MATCH($L278,$AD$8:$AD$20,1)),IF($I278="Supino",INDEX($AF$8:$AF$20,MATCH($L278,$AD$8:$AD$20,1)),IF($I278="Terra",INDEX($AG$8:$AG$20,MATCH($L278,$AD$8:$AD$20,1)),"")))),"")</f>
        <v/>
      </c>
      <c r="Q278" s="45"/>
      <c r="R278" s="71"/>
      <c r="S278" s="71"/>
      <c r="T278" s="69" t="str">
        <f aca="false">IF(OR($R278="",$S278=""),"",IF($S278&gt;$R278,"Acima do limite","Dentro do limite"))</f>
        <v/>
      </c>
      <c r="U278" s="28"/>
      <c r="V278" s="28"/>
      <c r="W278" s="28"/>
      <c r="X278" s="140" t="n">
        <f aca="false">IFERROR(IF(OR($J278="",$K278=""),0,$J278*$K278),0)</f>
        <v>0</v>
      </c>
      <c r="Y278" s="44" t="n">
        <f aca="false">IFERROR(IF($X278=0,0,$X278*IF($O278="",$N278,$O278)),0)</f>
        <v>0</v>
      </c>
      <c r="Z278" s="60" t="str">
        <f aca="false">IF($L278="","",IF($L278&lt;0.5,"Balística / Velocidade (&lt;50%)",IF($L278&lt;0.7,"Velocidade-Força (50–69%)",IF($L278&lt;0.8,"Força-Velocidade (70–79%)",IF($L278&lt;0.9,"Força Máxima (80–89%)","Força Máxima Alta (≥90%)")))))</f>
        <v/>
      </c>
      <c r="AA278" s="27"/>
      <c r="AB278" s="27"/>
    </row>
    <row r="279" customFormat="false" ht="15" hidden="false" customHeight="false" outlineLevel="0" collapsed="false">
      <c r="A279" s="29"/>
      <c r="B279" s="33" t="n">
        <f aca="false">IF($A279="",0,INT(($A279-'Bloco Base'!$C$5)/7)+1)</f>
        <v>0</v>
      </c>
      <c r="C279" s="28"/>
      <c r="D279" s="28"/>
      <c r="E279" s="27"/>
      <c r="F279" s="28"/>
      <c r="G279" s="139"/>
      <c r="H279" s="27"/>
      <c r="I279" s="28"/>
      <c r="J279" s="28"/>
      <c r="K279" s="28"/>
      <c r="L279" s="71"/>
      <c r="M279" s="35" t="str">
        <f aca="false">IF($AB279="","",IFERROR(INDEX('Força 1RM'!$Q$8:$Y$47,MATCH(IF($E279="Equipe (todos)",$C$4,$E279),'Força 1RM'!$P$8:$P$47,0),MATCH($AB279,'Força 1RM'!$Q$7:$Y$7,0)),""))</f>
        <v/>
      </c>
      <c r="N279" s="30" t="n">
        <f aca="false">IFERROR(IF(OR($L279="",$M279="",$M279=0),0,ROUND($L279*$M279*2,0)/2),0)</f>
        <v>0</v>
      </c>
      <c r="O279" s="32"/>
      <c r="P279" s="42" t="str">
        <f aca="false">IFERROR(IF(OR($L279="",$I279="—",$I279=""),"",IF($I279="Agachamento",INDEX($AE$8:$AE$20,MATCH($L279,$AD$8:$AD$20,1)),IF($I279="Supino",INDEX($AF$8:$AF$20,MATCH($L279,$AD$8:$AD$20,1)),IF($I279="Terra",INDEX($AG$8:$AG$20,MATCH($L279,$AD$8:$AD$20,1)),"")))),"")</f>
        <v/>
      </c>
      <c r="Q279" s="45"/>
      <c r="R279" s="71"/>
      <c r="S279" s="71"/>
      <c r="T279" s="69" t="str">
        <f aca="false">IF(OR($R279="",$S279=""),"",IF($S279&gt;$R279,"Acima do limite","Dentro do limite"))</f>
        <v/>
      </c>
      <c r="U279" s="28"/>
      <c r="V279" s="28"/>
      <c r="W279" s="28"/>
      <c r="X279" s="140" t="n">
        <f aca="false">IFERROR(IF(OR($J279="",$K279=""),0,$J279*$K279),0)</f>
        <v>0</v>
      </c>
      <c r="Y279" s="44" t="n">
        <f aca="false">IFERROR(IF($X279=0,0,$X279*IF($O279="",$N279,$O279)),0)</f>
        <v>0</v>
      </c>
      <c r="Z279" s="60" t="str">
        <f aca="false">IF($L279="","",IF($L279&lt;0.5,"Balística / Velocidade (&lt;50%)",IF($L279&lt;0.7,"Velocidade-Força (50–69%)",IF($L279&lt;0.8,"Força-Velocidade (70–79%)",IF($L279&lt;0.9,"Força Máxima (80–89%)","Força Máxima Alta (≥90%)")))))</f>
        <v/>
      </c>
      <c r="AA279" s="27"/>
      <c r="AB279" s="27"/>
    </row>
    <row r="280" customFormat="false" ht="15" hidden="false" customHeight="false" outlineLevel="0" collapsed="false">
      <c r="A280" s="29"/>
      <c r="B280" s="33" t="n">
        <f aca="false">IF($A280="",0,INT(($A280-'Bloco Base'!$C$5)/7)+1)</f>
        <v>0</v>
      </c>
      <c r="C280" s="28"/>
      <c r="D280" s="28"/>
      <c r="E280" s="27"/>
      <c r="F280" s="28"/>
      <c r="G280" s="139"/>
      <c r="H280" s="27"/>
      <c r="I280" s="28"/>
      <c r="J280" s="28"/>
      <c r="K280" s="28"/>
      <c r="L280" s="71"/>
      <c r="M280" s="35" t="str">
        <f aca="false">IF($AB280="","",IFERROR(INDEX('Força 1RM'!$Q$8:$Y$47,MATCH(IF($E280="Equipe (todos)",$C$4,$E280),'Força 1RM'!$P$8:$P$47,0),MATCH($AB280,'Força 1RM'!$Q$7:$Y$7,0)),""))</f>
        <v/>
      </c>
      <c r="N280" s="30" t="n">
        <f aca="false">IFERROR(IF(OR($L280="",$M280="",$M280=0),0,ROUND($L280*$M280*2,0)/2),0)</f>
        <v>0</v>
      </c>
      <c r="O280" s="32"/>
      <c r="P280" s="42" t="str">
        <f aca="false">IFERROR(IF(OR($L280="",$I280="—",$I280=""),"",IF($I280="Agachamento",INDEX($AE$8:$AE$20,MATCH($L280,$AD$8:$AD$20,1)),IF($I280="Supino",INDEX($AF$8:$AF$20,MATCH($L280,$AD$8:$AD$20,1)),IF($I280="Terra",INDEX($AG$8:$AG$20,MATCH($L280,$AD$8:$AD$20,1)),"")))),"")</f>
        <v/>
      </c>
      <c r="Q280" s="45"/>
      <c r="R280" s="71"/>
      <c r="S280" s="71"/>
      <c r="T280" s="69" t="str">
        <f aca="false">IF(OR($R280="",$S280=""),"",IF($S280&gt;$R280,"Acima do limite","Dentro do limite"))</f>
        <v/>
      </c>
      <c r="U280" s="28"/>
      <c r="V280" s="28"/>
      <c r="W280" s="28"/>
      <c r="X280" s="140" t="n">
        <f aca="false">IFERROR(IF(OR($J280="",$K280=""),0,$J280*$K280),0)</f>
        <v>0</v>
      </c>
      <c r="Y280" s="44" t="n">
        <f aca="false">IFERROR(IF($X280=0,0,$X280*IF($O280="",$N280,$O280)),0)</f>
        <v>0</v>
      </c>
      <c r="Z280" s="60" t="str">
        <f aca="false">IF($L280="","",IF($L280&lt;0.5,"Balística / Velocidade (&lt;50%)",IF($L280&lt;0.7,"Velocidade-Força (50–69%)",IF($L280&lt;0.8,"Força-Velocidade (70–79%)",IF($L280&lt;0.9,"Força Máxima (80–89%)","Força Máxima Alta (≥90%)")))))</f>
        <v/>
      </c>
      <c r="AA280" s="27"/>
      <c r="AB280" s="27"/>
    </row>
    <row r="281" customFormat="false" ht="15" hidden="false" customHeight="false" outlineLevel="0" collapsed="false">
      <c r="A281" s="29"/>
      <c r="B281" s="33" t="n">
        <f aca="false">IF($A281="",0,INT(($A281-'Bloco Base'!$C$5)/7)+1)</f>
        <v>0</v>
      </c>
      <c r="C281" s="28"/>
      <c r="D281" s="28"/>
      <c r="E281" s="27"/>
      <c r="F281" s="28"/>
      <c r="G281" s="139"/>
      <c r="H281" s="27"/>
      <c r="I281" s="28"/>
      <c r="J281" s="28"/>
      <c r="K281" s="28"/>
      <c r="L281" s="71"/>
      <c r="M281" s="35" t="str">
        <f aca="false">IF($AB281="","",IFERROR(INDEX('Força 1RM'!$Q$8:$Y$47,MATCH(IF($E281="Equipe (todos)",$C$4,$E281),'Força 1RM'!$P$8:$P$47,0),MATCH($AB281,'Força 1RM'!$Q$7:$Y$7,0)),""))</f>
        <v/>
      </c>
      <c r="N281" s="30" t="n">
        <f aca="false">IFERROR(IF(OR($L281="",$M281="",$M281=0),0,ROUND($L281*$M281*2,0)/2),0)</f>
        <v>0</v>
      </c>
      <c r="O281" s="32"/>
      <c r="P281" s="42" t="str">
        <f aca="false">IFERROR(IF(OR($L281="",$I281="—",$I281=""),"",IF($I281="Agachamento",INDEX($AE$8:$AE$20,MATCH($L281,$AD$8:$AD$20,1)),IF($I281="Supino",INDEX($AF$8:$AF$20,MATCH($L281,$AD$8:$AD$20,1)),IF($I281="Terra",INDEX($AG$8:$AG$20,MATCH($L281,$AD$8:$AD$20,1)),"")))),"")</f>
        <v/>
      </c>
      <c r="Q281" s="45"/>
      <c r="R281" s="71"/>
      <c r="S281" s="71"/>
      <c r="T281" s="69" t="str">
        <f aca="false">IF(OR($R281="",$S281=""),"",IF($S281&gt;$R281,"Acima do limite","Dentro do limite"))</f>
        <v/>
      </c>
      <c r="U281" s="28"/>
      <c r="V281" s="28"/>
      <c r="W281" s="28"/>
      <c r="X281" s="140" t="n">
        <f aca="false">IFERROR(IF(OR($J281="",$K281=""),0,$J281*$K281),0)</f>
        <v>0</v>
      </c>
      <c r="Y281" s="44" t="n">
        <f aca="false">IFERROR(IF($X281=0,0,$X281*IF($O281="",$N281,$O281)),0)</f>
        <v>0</v>
      </c>
      <c r="Z281" s="60" t="str">
        <f aca="false">IF($L281="","",IF($L281&lt;0.5,"Balística / Velocidade (&lt;50%)",IF($L281&lt;0.7,"Velocidade-Força (50–69%)",IF($L281&lt;0.8,"Força-Velocidade (70–79%)",IF($L281&lt;0.9,"Força Máxima (80–89%)","Força Máxima Alta (≥90%)")))))</f>
        <v/>
      </c>
      <c r="AA281" s="27"/>
      <c r="AB281" s="27"/>
    </row>
    <row r="282" customFormat="false" ht="15" hidden="false" customHeight="false" outlineLevel="0" collapsed="false">
      <c r="A282" s="29"/>
      <c r="B282" s="33" t="n">
        <f aca="false">IF($A282="",0,INT(($A282-'Bloco Base'!$C$5)/7)+1)</f>
        <v>0</v>
      </c>
      <c r="C282" s="28"/>
      <c r="D282" s="28"/>
      <c r="E282" s="27"/>
      <c r="F282" s="28"/>
      <c r="G282" s="139"/>
      <c r="H282" s="27"/>
      <c r="I282" s="28"/>
      <c r="J282" s="28"/>
      <c r="K282" s="28"/>
      <c r="L282" s="71"/>
      <c r="M282" s="35" t="str">
        <f aca="false">IF($AB282="","",IFERROR(INDEX('Força 1RM'!$Q$8:$Y$47,MATCH(IF($E282="Equipe (todos)",$C$4,$E282),'Força 1RM'!$P$8:$P$47,0),MATCH($AB282,'Força 1RM'!$Q$7:$Y$7,0)),""))</f>
        <v/>
      </c>
      <c r="N282" s="30" t="n">
        <f aca="false">IFERROR(IF(OR($L282="",$M282="",$M282=0),0,ROUND($L282*$M282*2,0)/2),0)</f>
        <v>0</v>
      </c>
      <c r="O282" s="32"/>
      <c r="P282" s="42" t="str">
        <f aca="false">IFERROR(IF(OR($L282="",$I282="—",$I282=""),"",IF($I282="Agachamento",INDEX($AE$8:$AE$20,MATCH($L282,$AD$8:$AD$20,1)),IF($I282="Supino",INDEX($AF$8:$AF$20,MATCH($L282,$AD$8:$AD$20,1)),IF($I282="Terra",INDEX($AG$8:$AG$20,MATCH($L282,$AD$8:$AD$20,1)),"")))),"")</f>
        <v/>
      </c>
      <c r="Q282" s="45"/>
      <c r="R282" s="71"/>
      <c r="S282" s="71"/>
      <c r="T282" s="69" t="str">
        <f aca="false">IF(OR($R282="",$S282=""),"",IF($S282&gt;$R282,"Acima do limite","Dentro do limite"))</f>
        <v/>
      </c>
      <c r="U282" s="28"/>
      <c r="V282" s="28"/>
      <c r="W282" s="28"/>
      <c r="X282" s="140" t="n">
        <f aca="false">IFERROR(IF(OR($J282="",$K282=""),0,$J282*$K282),0)</f>
        <v>0</v>
      </c>
      <c r="Y282" s="44" t="n">
        <f aca="false">IFERROR(IF($X282=0,0,$X282*IF($O282="",$N282,$O282)),0)</f>
        <v>0</v>
      </c>
      <c r="Z282" s="60" t="str">
        <f aca="false">IF($L282="","",IF($L282&lt;0.5,"Balística / Velocidade (&lt;50%)",IF($L282&lt;0.7,"Velocidade-Força (50–69%)",IF($L282&lt;0.8,"Força-Velocidade (70–79%)",IF($L282&lt;0.9,"Força Máxima (80–89%)","Força Máxima Alta (≥90%)")))))</f>
        <v/>
      </c>
      <c r="AA282" s="27"/>
      <c r="AB282" s="27"/>
    </row>
    <row r="283" customFormat="false" ht="15" hidden="false" customHeight="false" outlineLevel="0" collapsed="false">
      <c r="A283" s="29"/>
      <c r="B283" s="33" t="n">
        <f aca="false">IF($A283="",0,INT(($A283-'Bloco Base'!$C$5)/7)+1)</f>
        <v>0</v>
      </c>
      <c r="C283" s="28"/>
      <c r="D283" s="28"/>
      <c r="E283" s="27"/>
      <c r="F283" s="28"/>
      <c r="G283" s="139"/>
      <c r="H283" s="27"/>
      <c r="I283" s="28"/>
      <c r="J283" s="28"/>
      <c r="K283" s="28"/>
      <c r="L283" s="71"/>
      <c r="M283" s="35" t="str">
        <f aca="false">IF($AB283="","",IFERROR(INDEX('Força 1RM'!$Q$8:$Y$47,MATCH(IF($E283="Equipe (todos)",$C$4,$E283),'Força 1RM'!$P$8:$P$47,0),MATCH($AB283,'Força 1RM'!$Q$7:$Y$7,0)),""))</f>
        <v/>
      </c>
      <c r="N283" s="30" t="n">
        <f aca="false">IFERROR(IF(OR($L283="",$M283="",$M283=0),0,ROUND($L283*$M283*2,0)/2),0)</f>
        <v>0</v>
      </c>
      <c r="O283" s="32"/>
      <c r="P283" s="42" t="str">
        <f aca="false">IFERROR(IF(OR($L283="",$I283="—",$I283=""),"",IF($I283="Agachamento",INDEX($AE$8:$AE$20,MATCH($L283,$AD$8:$AD$20,1)),IF($I283="Supino",INDEX($AF$8:$AF$20,MATCH($L283,$AD$8:$AD$20,1)),IF($I283="Terra",INDEX($AG$8:$AG$20,MATCH($L283,$AD$8:$AD$20,1)),"")))),"")</f>
        <v/>
      </c>
      <c r="Q283" s="45"/>
      <c r="R283" s="71"/>
      <c r="S283" s="71"/>
      <c r="T283" s="69" t="str">
        <f aca="false">IF(OR($R283="",$S283=""),"",IF($S283&gt;$R283,"Acima do limite","Dentro do limite"))</f>
        <v/>
      </c>
      <c r="U283" s="28"/>
      <c r="V283" s="28"/>
      <c r="W283" s="28"/>
      <c r="X283" s="140" t="n">
        <f aca="false">IFERROR(IF(OR($J283="",$K283=""),0,$J283*$K283),0)</f>
        <v>0</v>
      </c>
      <c r="Y283" s="44" t="n">
        <f aca="false">IFERROR(IF($X283=0,0,$X283*IF($O283="",$N283,$O283)),0)</f>
        <v>0</v>
      </c>
      <c r="Z283" s="60" t="str">
        <f aca="false">IF($L283="","",IF($L283&lt;0.5,"Balística / Velocidade (&lt;50%)",IF($L283&lt;0.7,"Velocidade-Força (50–69%)",IF($L283&lt;0.8,"Força-Velocidade (70–79%)",IF($L283&lt;0.9,"Força Máxima (80–89%)","Força Máxima Alta (≥90%)")))))</f>
        <v/>
      </c>
      <c r="AA283" s="27"/>
      <c r="AB283" s="27"/>
    </row>
    <row r="284" customFormat="false" ht="15" hidden="false" customHeight="false" outlineLevel="0" collapsed="false">
      <c r="A284" s="29"/>
      <c r="B284" s="33" t="n">
        <f aca="false">IF($A284="",0,INT(($A284-'Bloco Base'!$C$5)/7)+1)</f>
        <v>0</v>
      </c>
      <c r="C284" s="28"/>
      <c r="D284" s="28"/>
      <c r="E284" s="27"/>
      <c r="F284" s="28"/>
      <c r="G284" s="139"/>
      <c r="H284" s="27"/>
      <c r="I284" s="28"/>
      <c r="J284" s="28"/>
      <c r="K284" s="28"/>
      <c r="L284" s="71"/>
      <c r="M284" s="35" t="str">
        <f aca="false">IF($AB284="","",IFERROR(INDEX('Força 1RM'!$Q$8:$Y$47,MATCH(IF($E284="Equipe (todos)",$C$4,$E284),'Força 1RM'!$P$8:$P$47,0),MATCH($AB284,'Força 1RM'!$Q$7:$Y$7,0)),""))</f>
        <v/>
      </c>
      <c r="N284" s="30" t="n">
        <f aca="false">IFERROR(IF(OR($L284="",$M284="",$M284=0),0,ROUND($L284*$M284*2,0)/2),0)</f>
        <v>0</v>
      </c>
      <c r="O284" s="32"/>
      <c r="P284" s="42" t="str">
        <f aca="false">IFERROR(IF(OR($L284="",$I284="—",$I284=""),"",IF($I284="Agachamento",INDEX($AE$8:$AE$20,MATCH($L284,$AD$8:$AD$20,1)),IF($I284="Supino",INDEX($AF$8:$AF$20,MATCH($L284,$AD$8:$AD$20,1)),IF($I284="Terra",INDEX($AG$8:$AG$20,MATCH($L284,$AD$8:$AD$20,1)),"")))),"")</f>
        <v/>
      </c>
      <c r="Q284" s="45"/>
      <c r="R284" s="71"/>
      <c r="S284" s="71"/>
      <c r="T284" s="69" t="str">
        <f aca="false">IF(OR($R284="",$S284=""),"",IF($S284&gt;$R284,"Acima do limite","Dentro do limite"))</f>
        <v/>
      </c>
      <c r="U284" s="28"/>
      <c r="V284" s="28"/>
      <c r="W284" s="28"/>
      <c r="X284" s="140" t="n">
        <f aca="false">IFERROR(IF(OR($J284="",$K284=""),0,$J284*$K284),0)</f>
        <v>0</v>
      </c>
      <c r="Y284" s="44" t="n">
        <f aca="false">IFERROR(IF($X284=0,0,$X284*IF($O284="",$N284,$O284)),0)</f>
        <v>0</v>
      </c>
      <c r="Z284" s="60" t="str">
        <f aca="false">IF($L284="","",IF($L284&lt;0.5,"Balística / Velocidade (&lt;50%)",IF($L284&lt;0.7,"Velocidade-Força (50–69%)",IF($L284&lt;0.8,"Força-Velocidade (70–79%)",IF($L284&lt;0.9,"Força Máxima (80–89%)","Força Máxima Alta (≥90%)")))))</f>
        <v/>
      </c>
      <c r="AA284" s="27"/>
      <c r="AB284" s="27"/>
    </row>
    <row r="285" customFormat="false" ht="15" hidden="false" customHeight="false" outlineLevel="0" collapsed="false">
      <c r="A285" s="29"/>
      <c r="B285" s="33" t="n">
        <f aca="false">IF($A285="",0,INT(($A285-'Bloco Base'!$C$5)/7)+1)</f>
        <v>0</v>
      </c>
      <c r="C285" s="28"/>
      <c r="D285" s="28"/>
      <c r="E285" s="27"/>
      <c r="F285" s="28"/>
      <c r="G285" s="139"/>
      <c r="H285" s="27"/>
      <c r="I285" s="28"/>
      <c r="J285" s="28"/>
      <c r="K285" s="28"/>
      <c r="L285" s="71"/>
      <c r="M285" s="35" t="str">
        <f aca="false">IF($AB285="","",IFERROR(INDEX('Força 1RM'!$Q$8:$Y$47,MATCH(IF($E285="Equipe (todos)",$C$4,$E285),'Força 1RM'!$P$8:$P$47,0),MATCH($AB285,'Força 1RM'!$Q$7:$Y$7,0)),""))</f>
        <v/>
      </c>
      <c r="N285" s="30" t="n">
        <f aca="false">IFERROR(IF(OR($L285="",$M285="",$M285=0),0,ROUND($L285*$M285*2,0)/2),0)</f>
        <v>0</v>
      </c>
      <c r="O285" s="32"/>
      <c r="P285" s="42" t="str">
        <f aca="false">IFERROR(IF(OR($L285="",$I285="—",$I285=""),"",IF($I285="Agachamento",INDEX($AE$8:$AE$20,MATCH($L285,$AD$8:$AD$20,1)),IF($I285="Supino",INDEX($AF$8:$AF$20,MATCH($L285,$AD$8:$AD$20,1)),IF($I285="Terra",INDEX($AG$8:$AG$20,MATCH($L285,$AD$8:$AD$20,1)),"")))),"")</f>
        <v/>
      </c>
      <c r="Q285" s="45"/>
      <c r="R285" s="71"/>
      <c r="S285" s="71"/>
      <c r="T285" s="69" t="str">
        <f aca="false">IF(OR($R285="",$S285=""),"",IF($S285&gt;$R285,"Acima do limite","Dentro do limite"))</f>
        <v/>
      </c>
      <c r="U285" s="28"/>
      <c r="V285" s="28"/>
      <c r="W285" s="28"/>
      <c r="X285" s="140" t="n">
        <f aca="false">IFERROR(IF(OR($J285="",$K285=""),0,$J285*$K285),0)</f>
        <v>0</v>
      </c>
      <c r="Y285" s="44" t="n">
        <f aca="false">IFERROR(IF($X285=0,0,$X285*IF($O285="",$N285,$O285)),0)</f>
        <v>0</v>
      </c>
      <c r="Z285" s="60" t="str">
        <f aca="false">IF($L285="","",IF($L285&lt;0.5,"Balística / Velocidade (&lt;50%)",IF($L285&lt;0.7,"Velocidade-Força (50–69%)",IF($L285&lt;0.8,"Força-Velocidade (70–79%)",IF($L285&lt;0.9,"Força Máxima (80–89%)","Força Máxima Alta (≥90%)")))))</f>
        <v/>
      </c>
      <c r="AA285" s="27"/>
      <c r="AB285" s="27"/>
    </row>
    <row r="286" customFormat="false" ht="15" hidden="false" customHeight="false" outlineLevel="0" collapsed="false">
      <c r="A286" s="29"/>
      <c r="B286" s="33" t="n">
        <f aca="false">IF($A286="",0,INT(($A286-'Bloco Base'!$C$5)/7)+1)</f>
        <v>0</v>
      </c>
      <c r="C286" s="28"/>
      <c r="D286" s="28"/>
      <c r="E286" s="27"/>
      <c r="F286" s="28"/>
      <c r="G286" s="139"/>
      <c r="H286" s="27"/>
      <c r="I286" s="28"/>
      <c r="J286" s="28"/>
      <c r="K286" s="28"/>
      <c r="L286" s="71"/>
      <c r="M286" s="35" t="str">
        <f aca="false">IF($AB286="","",IFERROR(INDEX('Força 1RM'!$Q$8:$Y$47,MATCH(IF($E286="Equipe (todos)",$C$4,$E286),'Força 1RM'!$P$8:$P$47,0),MATCH($AB286,'Força 1RM'!$Q$7:$Y$7,0)),""))</f>
        <v/>
      </c>
      <c r="N286" s="30" t="n">
        <f aca="false">IFERROR(IF(OR($L286="",$M286="",$M286=0),0,ROUND($L286*$M286*2,0)/2),0)</f>
        <v>0</v>
      </c>
      <c r="O286" s="32"/>
      <c r="P286" s="42" t="str">
        <f aca="false">IFERROR(IF(OR($L286="",$I286="—",$I286=""),"",IF($I286="Agachamento",INDEX($AE$8:$AE$20,MATCH($L286,$AD$8:$AD$20,1)),IF($I286="Supino",INDEX($AF$8:$AF$20,MATCH($L286,$AD$8:$AD$20,1)),IF($I286="Terra",INDEX($AG$8:$AG$20,MATCH($L286,$AD$8:$AD$20,1)),"")))),"")</f>
        <v/>
      </c>
      <c r="Q286" s="45"/>
      <c r="R286" s="71"/>
      <c r="S286" s="71"/>
      <c r="T286" s="69" t="str">
        <f aca="false">IF(OR($R286="",$S286=""),"",IF($S286&gt;$R286,"Acima do limite","Dentro do limite"))</f>
        <v/>
      </c>
      <c r="U286" s="28"/>
      <c r="V286" s="28"/>
      <c r="W286" s="28"/>
      <c r="X286" s="140" t="n">
        <f aca="false">IFERROR(IF(OR($J286="",$K286=""),0,$J286*$K286),0)</f>
        <v>0</v>
      </c>
      <c r="Y286" s="44" t="n">
        <f aca="false">IFERROR(IF($X286=0,0,$X286*IF($O286="",$N286,$O286)),0)</f>
        <v>0</v>
      </c>
      <c r="Z286" s="60" t="str">
        <f aca="false">IF($L286="","",IF($L286&lt;0.5,"Balística / Velocidade (&lt;50%)",IF($L286&lt;0.7,"Velocidade-Força (50–69%)",IF($L286&lt;0.8,"Força-Velocidade (70–79%)",IF($L286&lt;0.9,"Força Máxima (80–89%)","Força Máxima Alta (≥90%)")))))</f>
        <v/>
      </c>
      <c r="AA286" s="27"/>
      <c r="AB286" s="27"/>
    </row>
    <row r="287" customFormat="false" ht="15" hidden="false" customHeight="false" outlineLevel="0" collapsed="false">
      <c r="A287" s="29"/>
      <c r="B287" s="33" t="n">
        <f aca="false">IF($A287="",0,INT(($A287-'Bloco Base'!$C$5)/7)+1)</f>
        <v>0</v>
      </c>
      <c r="C287" s="28"/>
      <c r="D287" s="28"/>
      <c r="E287" s="27"/>
      <c r="F287" s="28"/>
      <c r="G287" s="139"/>
      <c r="H287" s="27"/>
      <c r="I287" s="28"/>
      <c r="J287" s="28"/>
      <c r="K287" s="28"/>
      <c r="L287" s="71"/>
      <c r="M287" s="35" t="str">
        <f aca="false">IF($AB287="","",IFERROR(INDEX('Força 1RM'!$Q$8:$Y$47,MATCH(IF($E287="Equipe (todos)",$C$4,$E287),'Força 1RM'!$P$8:$P$47,0),MATCH($AB287,'Força 1RM'!$Q$7:$Y$7,0)),""))</f>
        <v/>
      </c>
      <c r="N287" s="30" t="n">
        <f aca="false">IFERROR(IF(OR($L287="",$M287="",$M287=0),0,ROUND($L287*$M287*2,0)/2),0)</f>
        <v>0</v>
      </c>
      <c r="O287" s="32"/>
      <c r="P287" s="42" t="str">
        <f aca="false">IFERROR(IF(OR($L287="",$I287="—",$I287=""),"",IF($I287="Agachamento",INDEX($AE$8:$AE$20,MATCH($L287,$AD$8:$AD$20,1)),IF($I287="Supino",INDEX($AF$8:$AF$20,MATCH($L287,$AD$8:$AD$20,1)),IF($I287="Terra",INDEX($AG$8:$AG$20,MATCH($L287,$AD$8:$AD$20,1)),"")))),"")</f>
        <v/>
      </c>
      <c r="Q287" s="45"/>
      <c r="R287" s="71"/>
      <c r="S287" s="71"/>
      <c r="T287" s="69" t="str">
        <f aca="false">IF(OR($R287="",$S287=""),"",IF($S287&gt;$R287,"Acima do limite","Dentro do limite"))</f>
        <v/>
      </c>
      <c r="U287" s="28"/>
      <c r="V287" s="28"/>
      <c r="W287" s="28"/>
      <c r="X287" s="140" t="n">
        <f aca="false">IFERROR(IF(OR($J287="",$K287=""),0,$J287*$K287),0)</f>
        <v>0</v>
      </c>
      <c r="Y287" s="44" t="n">
        <f aca="false">IFERROR(IF($X287=0,0,$X287*IF($O287="",$N287,$O287)),0)</f>
        <v>0</v>
      </c>
      <c r="Z287" s="60" t="str">
        <f aca="false">IF($L287="","",IF($L287&lt;0.5,"Balística / Velocidade (&lt;50%)",IF($L287&lt;0.7,"Velocidade-Força (50–69%)",IF($L287&lt;0.8,"Força-Velocidade (70–79%)",IF($L287&lt;0.9,"Força Máxima (80–89%)","Força Máxima Alta (≥90%)")))))</f>
        <v/>
      </c>
      <c r="AA287" s="27"/>
      <c r="AB287" s="27"/>
    </row>
    <row r="288" customFormat="false" ht="15" hidden="false" customHeight="false" outlineLevel="0" collapsed="false">
      <c r="A288" s="29"/>
      <c r="B288" s="33" t="n">
        <f aca="false">IF($A288="",0,INT(($A288-'Bloco Base'!$C$5)/7)+1)</f>
        <v>0</v>
      </c>
      <c r="C288" s="28"/>
      <c r="D288" s="28"/>
      <c r="E288" s="27"/>
      <c r="F288" s="28"/>
      <c r="G288" s="139"/>
      <c r="H288" s="27"/>
      <c r="I288" s="28"/>
      <c r="J288" s="28"/>
      <c r="K288" s="28"/>
      <c r="L288" s="71"/>
      <c r="M288" s="35" t="str">
        <f aca="false">IF($AB288="","",IFERROR(INDEX('Força 1RM'!$Q$8:$Y$47,MATCH(IF($E288="Equipe (todos)",$C$4,$E288),'Força 1RM'!$P$8:$P$47,0),MATCH($AB288,'Força 1RM'!$Q$7:$Y$7,0)),""))</f>
        <v/>
      </c>
      <c r="N288" s="30" t="n">
        <f aca="false">IFERROR(IF(OR($L288="",$M288="",$M288=0),0,ROUND($L288*$M288*2,0)/2),0)</f>
        <v>0</v>
      </c>
      <c r="O288" s="32"/>
      <c r="P288" s="42" t="str">
        <f aca="false">IFERROR(IF(OR($L288="",$I288="—",$I288=""),"",IF($I288="Agachamento",INDEX($AE$8:$AE$20,MATCH($L288,$AD$8:$AD$20,1)),IF($I288="Supino",INDEX($AF$8:$AF$20,MATCH($L288,$AD$8:$AD$20,1)),IF($I288="Terra",INDEX($AG$8:$AG$20,MATCH($L288,$AD$8:$AD$20,1)),"")))),"")</f>
        <v/>
      </c>
      <c r="Q288" s="45"/>
      <c r="R288" s="71"/>
      <c r="S288" s="71"/>
      <c r="T288" s="69" t="str">
        <f aca="false">IF(OR($R288="",$S288=""),"",IF($S288&gt;$R288,"Acima do limite","Dentro do limite"))</f>
        <v/>
      </c>
      <c r="U288" s="28"/>
      <c r="V288" s="28"/>
      <c r="W288" s="28"/>
      <c r="X288" s="140" t="n">
        <f aca="false">IFERROR(IF(OR($J288="",$K288=""),0,$J288*$K288),0)</f>
        <v>0</v>
      </c>
      <c r="Y288" s="44" t="n">
        <f aca="false">IFERROR(IF($X288=0,0,$X288*IF($O288="",$N288,$O288)),0)</f>
        <v>0</v>
      </c>
      <c r="Z288" s="60" t="str">
        <f aca="false">IF($L288="","",IF($L288&lt;0.5,"Balística / Velocidade (&lt;50%)",IF($L288&lt;0.7,"Velocidade-Força (50–69%)",IF($L288&lt;0.8,"Força-Velocidade (70–79%)",IF($L288&lt;0.9,"Força Máxima (80–89%)","Força Máxima Alta (≥90%)")))))</f>
        <v/>
      </c>
      <c r="AA288" s="27"/>
      <c r="AB288" s="27"/>
    </row>
    <row r="289" customFormat="false" ht="15" hidden="false" customHeight="false" outlineLevel="0" collapsed="false">
      <c r="A289" s="29"/>
      <c r="B289" s="33" t="n">
        <f aca="false">IF($A289="",0,INT(($A289-'Bloco Base'!$C$5)/7)+1)</f>
        <v>0</v>
      </c>
      <c r="C289" s="28"/>
      <c r="D289" s="28"/>
      <c r="E289" s="27"/>
      <c r="F289" s="28"/>
      <c r="G289" s="139"/>
      <c r="H289" s="27"/>
      <c r="I289" s="28"/>
      <c r="J289" s="28"/>
      <c r="K289" s="28"/>
      <c r="L289" s="71"/>
      <c r="M289" s="35" t="str">
        <f aca="false">IF($AB289="","",IFERROR(INDEX('Força 1RM'!$Q$8:$Y$47,MATCH(IF($E289="Equipe (todos)",$C$4,$E289),'Força 1RM'!$P$8:$P$47,0),MATCH($AB289,'Força 1RM'!$Q$7:$Y$7,0)),""))</f>
        <v/>
      </c>
      <c r="N289" s="30" t="n">
        <f aca="false">IFERROR(IF(OR($L289="",$M289="",$M289=0),0,ROUND($L289*$M289*2,0)/2),0)</f>
        <v>0</v>
      </c>
      <c r="O289" s="32"/>
      <c r="P289" s="42" t="str">
        <f aca="false">IFERROR(IF(OR($L289="",$I289="—",$I289=""),"",IF($I289="Agachamento",INDEX($AE$8:$AE$20,MATCH($L289,$AD$8:$AD$20,1)),IF($I289="Supino",INDEX($AF$8:$AF$20,MATCH($L289,$AD$8:$AD$20,1)),IF($I289="Terra",INDEX($AG$8:$AG$20,MATCH($L289,$AD$8:$AD$20,1)),"")))),"")</f>
        <v/>
      </c>
      <c r="Q289" s="45"/>
      <c r="R289" s="71"/>
      <c r="S289" s="71"/>
      <c r="T289" s="69" t="str">
        <f aca="false">IF(OR($R289="",$S289=""),"",IF($S289&gt;$R289,"Acima do limite","Dentro do limite"))</f>
        <v/>
      </c>
      <c r="U289" s="28"/>
      <c r="V289" s="28"/>
      <c r="W289" s="28"/>
      <c r="X289" s="140" t="n">
        <f aca="false">IFERROR(IF(OR($J289="",$K289=""),0,$J289*$K289),0)</f>
        <v>0</v>
      </c>
      <c r="Y289" s="44" t="n">
        <f aca="false">IFERROR(IF($X289=0,0,$X289*IF($O289="",$N289,$O289)),0)</f>
        <v>0</v>
      </c>
      <c r="Z289" s="60" t="str">
        <f aca="false">IF($L289="","",IF($L289&lt;0.5,"Balística / Velocidade (&lt;50%)",IF($L289&lt;0.7,"Velocidade-Força (50–69%)",IF($L289&lt;0.8,"Força-Velocidade (70–79%)",IF($L289&lt;0.9,"Força Máxima (80–89%)","Força Máxima Alta (≥90%)")))))</f>
        <v/>
      </c>
      <c r="AA289" s="27"/>
      <c r="AB289" s="27"/>
    </row>
    <row r="290" customFormat="false" ht="15" hidden="false" customHeight="false" outlineLevel="0" collapsed="false">
      <c r="A290" s="29"/>
      <c r="B290" s="33" t="n">
        <f aca="false">IF($A290="",0,INT(($A290-'Bloco Base'!$C$5)/7)+1)</f>
        <v>0</v>
      </c>
      <c r="C290" s="28"/>
      <c r="D290" s="28"/>
      <c r="E290" s="27"/>
      <c r="F290" s="28"/>
      <c r="G290" s="139"/>
      <c r="H290" s="27"/>
      <c r="I290" s="28"/>
      <c r="J290" s="28"/>
      <c r="K290" s="28"/>
      <c r="L290" s="71"/>
      <c r="M290" s="35" t="str">
        <f aca="false">IF($AB290="","",IFERROR(INDEX('Força 1RM'!$Q$8:$Y$47,MATCH(IF($E290="Equipe (todos)",$C$4,$E290),'Força 1RM'!$P$8:$P$47,0),MATCH($AB290,'Força 1RM'!$Q$7:$Y$7,0)),""))</f>
        <v/>
      </c>
      <c r="N290" s="30" t="n">
        <f aca="false">IFERROR(IF(OR($L290="",$M290="",$M290=0),0,ROUND($L290*$M290*2,0)/2),0)</f>
        <v>0</v>
      </c>
      <c r="O290" s="32"/>
      <c r="P290" s="42" t="str">
        <f aca="false">IFERROR(IF(OR($L290="",$I290="—",$I290=""),"",IF($I290="Agachamento",INDEX($AE$8:$AE$20,MATCH($L290,$AD$8:$AD$20,1)),IF($I290="Supino",INDEX($AF$8:$AF$20,MATCH($L290,$AD$8:$AD$20,1)),IF($I290="Terra",INDEX($AG$8:$AG$20,MATCH($L290,$AD$8:$AD$20,1)),"")))),"")</f>
        <v/>
      </c>
      <c r="Q290" s="45"/>
      <c r="R290" s="71"/>
      <c r="S290" s="71"/>
      <c r="T290" s="69" t="str">
        <f aca="false">IF(OR($R290="",$S290=""),"",IF($S290&gt;$R290,"Acima do limite","Dentro do limite"))</f>
        <v/>
      </c>
      <c r="U290" s="28"/>
      <c r="V290" s="28"/>
      <c r="W290" s="28"/>
      <c r="X290" s="140" t="n">
        <f aca="false">IFERROR(IF(OR($J290="",$K290=""),0,$J290*$K290),0)</f>
        <v>0</v>
      </c>
      <c r="Y290" s="44" t="n">
        <f aca="false">IFERROR(IF($X290=0,0,$X290*IF($O290="",$N290,$O290)),0)</f>
        <v>0</v>
      </c>
      <c r="Z290" s="60" t="str">
        <f aca="false">IF($L290="","",IF($L290&lt;0.5,"Balística / Velocidade (&lt;50%)",IF($L290&lt;0.7,"Velocidade-Força (50–69%)",IF($L290&lt;0.8,"Força-Velocidade (70–79%)",IF($L290&lt;0.9,"Força Máxima (80–89%)","Força Máxima Alta (≥90%)")))))</f>
        <v/>
      </c>
      <c r="AA290" s="27"/>
      <c r="AB290" s="27"/>
    </row>
    <row r="291" customFormat="false" ht="15" hidden="false" customHeight="false" outlineLevel="0" collapsed="false">
      <c r="A291" s="29"/>
      <c r="B291" s="33" t="n">
        <f aca="false">IF($A291="",0,INT(($A291-'Bloco Base'!$C$5)/7)+1)</f>
        <v>0</v>
      </c>
      <c r="C291" s="28"/>
      <c r="D291" s="28"/>
      <c r="E291" s="27"/>
      <c r="F291" s="28"/>
      <c r="G291" s="139"/>
      <c r="H291" s="27"/>
      <c r="I291" s="28"/>
      <c r="J291" s="28"/>
      <c r="K291" s="28"/>
      <c r="L291" s="71"/>
      <c r="M291" s="35" t="str">
        <f aca="false">IF($AB291="","",IFERROR(INDEX('Força 1RM'!$Q$8:$Y$47,MATCH(IF($E291="Equipe (todos)",$C$4,$E291),'Força 1RM'!$P$8:$P$47,0),MATCH($AB291,'Força 1RM'!$Q$7:$Y$7,0)),""))</f>
        <v/>
      </c>
      <c r="N291" s="30" t="n">
        <f aca="false">IFERROR(IF(OR($L291="",$M291="",$M291=0),0,ROUND($L291*$M291*2,0)/2),0)</f>
        <v>0</v>
      </c>
      <c r="O291" s="32"/>
      <c r="P291" s="42" t="str">
        <f aca="false">IFERROR(IF(OR($L291="",$I291="—",$I291=""),"",IF($I291="Agachamento",INDEX($AE$8:$AE$20,MATCH($L291,$AD$8:$AD$20,1)),IF($I291="Supino",INDEX($AF$8:$AF$20,MATCH($L291,$AD$8:$AD$20,1)),IF($I291="Terra",INDEX($AG$8:$AG$20,MATCH($L291,$AD$8:$AD$20,1)),"")))),"")</f>
        <v/>
      </c>
      <c r="Q291" s="45"/>
      <c r="R291" s="71"/>
      <c r="S291" s="71"/>
      <c r="T291" s="69" t="str">
        <f aca="false">IF(OR($R291="",$S291=""),"",IF($S291&gt;$R291,"Acima do limite","Dentro do limite"))</f>
        <v/>
      </c>
      <c r="U291" s="28"/>
      <c r="V291" s="28"/>
      <c r="W291" s="28"/>
      <c r="X291" s="140" t="n">
        <f aca="false">IFERROR(IF(OR($J291="",$K291=""),0,$J291*$K291),0)</f>
        <v>0</v>
      </c>
      <c r="Y291" s="44" t="n">
        <f aca="false">IFERROR(IF($X291=0,0,$X291*IF($O291="",$N291,$O291)),0)</f>
        <v>0</v>
      </c>
      <c r="Z291" s="60" t="str">
        <f aca="false">IF($L291="","",IF($L291&lt;0.5,"Balística / Velocidade (&lt;50%)",IF($L291&lt;0.7,"Velocidade-Força (50–69%)",IF($L291&lt;0.8,"Força-Velocidade (70–79%)",IF($L291&lt;0.9,"Força Máxima (80–89%)","Força Máxima Alta (≥90%)")))))</f>
        <v/>
      </c>
      <c r="AA291" s="27"/>
      <c r="AB291" s="27"/>
    </row>
    <row r="292" customFormat="false" ht="15" hidden="false" customHeight="false" outlineLevel="0" collapsed="false">
      <c r="A292" s="29"/>
      <c r="B292" s="33" t="n">
        <f aca="false">IF($A292="",0,INT(($A292-'Bloco Base'!$C$5)/7)+1)</f>
        <v>0</v>
      </c>
      <c r="C292" s="28"/>
      <c r="D292" s="28"/>
      <c r="E292" s="27"/>
      <c r="F292" s="28"/>
      <c r="G292" s="139"/>
      <c r="H292" s="27"/>
      <c r="I292" s="28"/>
      <c r="J292" s="28"/>
      <c r="K292" s="28"/>
      <c r="L292" s="71"/>
      <c r="M292" s="35" t="str">
        <f aca="false">IF($AB292="","",IFERROR(INDEX('Força 1RM'!$Q$8:$Y$47,MATCH(IF($E292="Equipe (todos)",$C$4,$E292),'Força 1RM'!$P$8:$P$47,0),MATCH($AB292,'Força 1RM'!$Q$7:$Y$7,0)),""))</f>
        <v/>
      </c>
      <c r="N292" s="30" t="n">
        <f aca="false">IFERROR(IF(OR($L292="",$M292="",$M292=0),0,ROUND($L292*$M292*2,0)/2),0)</f>
        <v>0</v>
      </c>
      <c r="O292" s="32"/>
      <c r="P292" s="42" t="str">
        <f aca="false">IFERROR(IF(OR($L292="",$I292="—",$I292=""),"",IF($I292="Agachamento",INDEX($AE$8:$AE$20,MATCH($L292,$AD$8:$AD$20,1)),IF($I292="Supino",INDEX($AF$8:$AF$20,MATCH($L292,$AD$8:$AD$20,1)),IF($I292="Terra",INDEX($AG$8:$AG$20,MATCH($L292,$AD$8:$AD$20,1)),"")))),"")</f>
        <v/>
      </c>
      <c r="Q292" s="45"/>
      <c r="R292" s="71"/>
      <c r="S292" s="71"/>
      <c r="T292" s="69" t="str">
        <f aca="false">IF(OR($R292="",$S292=""),"",IF($S292&gt;$R292,"Acima do limite","Dentro do limite"))</f>
        <v/>
      </c>
      <c r="U292" s="28"/>
      <c r="V292" s="28"/>
      <c r="W292" s="28"/>
      <c r="X292" s="140" t="n">
        <f aca="false">IFERROR(IF(OR($J292="",$K292=""),0,$J292*$K292),0)</f>
        <v>0</v>
      </c>
      <c r="Y292" s="44" t="n">
        <f aca="false">IFERROR(IF($X292=0,0,$X292*IF($O292="",$N292,$O292)),0)</f>
        <v>0</v>
      </c>
      <c r="Z292" s="60" t="str">
        <f aca="false">IF($L292="","",IF($L292&lt;0.5,"Balística / Velocidade (&lt;50%)",IF($L292&lt;0.7,"Velocidade-Força (50–69%)",IF($L292&lt;0.8,"Força-Velocidade (70–79%)",IF($L292&lt;0.9,"Força Máxima (80–89%)","Força Máxima Alta (≥90%)")))))</f>
        <v/>
      </c>
      <c r="AA292" s="27"/>
      <c r="AB292" s="27"/>
    </row>
    <row r="293" customFormat="false" ht="15" hidden="false" customHeight="false" outlineLevel="0" collapsed="false">
      <c r="A293" s="29"/>
      <c r="B293" s="33" t="n">
        <f aca="false">IF($A293="",0,INT(($A293-'Bloco Base'!$C$5)/7)+1)</f>
        <v>0</v>
      </c>
      <c r="C293" s="28"/>
      <c r="D293" s="28"/>
      <c r="E293" s="27"/>
      <c r="F293" s="28"/>
      <c r="G293" s="139"/>
      <c r="H293" s="27"/>
      <c r="I293" s="28"/>
      <c r="J293" s="28"/>
      <c r="K293" s="28"/>
      <c r="L293" s="71"/>
      <c r="M293" s="35" t="str">
        <f aca="false">IF($AB293="","",IFERROR(INDEX('Força 1RM'!$Q$8:$Y$47,MATCH(IF($E293="Equipe (todos)",$C$4,$E293),'Força 1RM'!$P$8:$P$47,0),MATCH($AB293,'Força 1RM'!$Q$7:$Y$7,0)),""))</f>
        <v/>
      </c>
      <c r="N293" s="30" t="n">
        <f aca="false">IFERROR(IF(OR($L293="",$M293="",$M293=0),0,ROUND($L293*$M293*2,0)/2),0)</f>
        <v>0</v>
      </c>
      <c r="O293" s="32"/>
      <c r="P293" s="42" t="str">
        <f aca="false">IFERROR(IF(OR($L293="",$I293="—",$I293=""),"",IF($I293="Agachamento",INDEX($AE$8:$AE$20,MATCH($L293,$AD$8:$AD$20,1)),IF($I293="Supino",INDEX($AF$8:$AF$20,MATCH($L293,$AD$8:$AD$20,1)),IF($I293="Terra",INDEX($AG$8:$AG$20,MATCH($L293,$AD$8:$AD$20,1)),"")))),"")</f>
        <v/>
      </c>
      <c r="Q293" s="45"/>
      <c r="R293" s="71"/>
      <c r="S293" s="71"/>
      <c r="T293" s="69" t="str">
        <f aca="false">IF(OR($R293="",$S293=""),"",IF($S293&gt;$R293,"Acima do limite","Dentro do limite"))</f>
        <v/>
      </c>
      <c r="U293" s="28"/>
      <c r="V293" s="28"/>
      <c r="W293" s="28"/>
      <c r="X293" s="140" t="n">
        <f aca="false">IFERROR(IF(OR($J293="",$K293=""),0,$J293*$K293),0)</f>
        <v>0</v>
      </c>
      <c r="Y293" s="44" t="n">
        <f aca="false">IFERROR(IF($X293=0,0,$X293*IF($O293="",$N293,$O293)),0)</f>
        <v>0</v>
      </c>
      <c r="Z293" s="60" t="str">
        <f aca="false">IF($L293="","",IF($L293&lt;0.5,"Balística / Velocidade (&lt;50%)",IF($L293&lt;0.7,"Velocidade-Força (50–69%)",IF($L293&lt;0.8,"Força-Velocidade (70–79%)",IF($L293&lt;0.9,"Força Máxima (80–89%)","Força Máxima Alta (≥90%)")))))</f>
        <v/>
      </c>
      <c r="AA293" s="27"/>
      <c r="AB293" s="27"/>
    </row>
    <row r="294" customFormat="false" ht="15" hidden="false" customHeight="false" outlineLevel="0" collapsed="false">
      <c r="A294" s="29"/>
      <c r="B294" s="33" t="n">
        <f aca="false">IF($A294="",0,INT(($A294-'Bloco Base'!$C$5)/7)+1)</f>
        <v>0</v>
      </c>
      <c r="C294" s="28"/>
      <c r="D294" s="28"/>
      <c r="E294" s="27"/>
      <c r="F294" s="28"/>
      <c r="G294" s="139"/>
      <c r="H294" s="27"/>
      <c r="I294" s="28"/>
      <c r="J294" s="28"/>
      <c r="K294" s="28"/>
      <c r="L294" s="71"/>
      <c r="M294" s="35" t="str">
        <f aca="false">IF($AB294="","",IFERROR(INDEX('Força 1RM'!$Q$8:$Y$47,MATCH(IF($E294="Equipe (todos)",$C$4,$E294),'Força 1RM'!$P$8:$P$47,0),MATCH($AB294,'Força 1RM'!$Q$7:$Y$7,0)),""))</f>
        <v/>
      </c>
      <c r="N294" s="30" t="n">
        <f aca="false">IFERROR(IF(OR($L294="",$M294="",$M294=0),0,ROUND($L294*$M294*2,0)/2),0)</f>
        <v>0</v>
      </c>
      <c r="O294" s="32"/>
      <c r="P294" s="42" t="str">
        <f aca="false">IFERROR(IF(OR($L294="",$I294="—",$I294=""),"",IF($I294="Agachamento",INDEX($AE$8:$AE$20,MATCH($L294,$AD$8:$AD$20,1)),IF($I294="Supino",INDEX($AF$8:$AF$20,MATCH($L294,$AD$8:$AD$20,1)),IF($I294="Terra",INDEX($AG$8:$AG$20,MATCH($L294,$AD$8:$AD$20,1)),"")))),"")</f>
        <v/>
      </c>
      <c r="Q294" s="45"/>
      <c r="R294" s="71"/>
      <c r="S294" s="71"/>
      <c r="T294" s="69" t="str">
        <f aca="false">IF(OR($R294="",$S294=""),"",IF($S294&gt;$R294,"Acima do limite","Dentro do limite"))</f>
        <v/>
      </c>
      <c r="U294" s="28"/>
      <c r="V294" s="28"/>
      <c r="W294" s="28"/>
      <c r="X294" s="140" t="n">
        <f aca="false">IFERROR(IF(OR($J294="",$K294=""),0,$J294*$K294),0)</f>
        <v>0</v>
      </c>
      <c r="Y294" s="44" t="n">
        <f aca="false">IFERROR(IF($X294=0,0,$X294*IF($O294="",$N294,$O294)),0)</f>
        <v>0</v>
      </c>
      <c r="Z294" s="60" t="str">
        <f aca="false">IF($L294="","",IF($L294&lt;0.5,"Balística / Velocidade (&lt;50%)",IF($L294&lt;0.7,"Velocidade-Força (50–69%)",IF($L294&lt;0.8,"Força-Velocidade (70–79%)",IF($L294&lt;0.9,"Força Máxima (80–89%)","Força Máxima Alta (≥90%)")))))</f>
        <v/>
      </c>
      <c r="AA294" s="27"/>
      <c r="AB294" s="27"/>
    </row>
    <row r="295" customFormat="false" ht="15" hidden="false" customHeight="false" outlineLevel="0" collapsed="false">
      <c r="A295" s="29"/>
      <c r="B295" s="33" t="n">
        <f aca="false">IF($A295="",0,INT(($A295-'Bloco Base'!$C$5)/7)+1)</f>
        <v>0</v>
      </c>
      <c r="C295" s="28"/>
      <c r="D295" s="28"/>
      <c r="E295" s="27"/>
      <c r="F295" s="28"/>
      <c r="G295" s="139"/>
      <c r="H295" s="27"/>
      <c r="I295" s="28"/>
      <c r="J295" s="28"/>
      <c r="K295" s="28"/>
      <c r="L295" s="71"/>
      <c r="M295" s="35" t="str">
        <f aca="false">IF($AB295="","",IFERROR(INDEX('Força 1RM'!$Q$8:$Y$47,MATCH(IF($E295="Equipe (todos)",$C$4,$E295),'Força 1RM'!$P$8:$P$47,0),MATCH($AB295,'Força 1RM'!$Q$7:$Y$7,0)),""))</f>
        <v/>
      </c>
      <c r="N295" s="30" t="n">
        <f aca="false">IFERROR(IF(OR($L295="",$M295="",$M295=0),0,ROUND($L295*$M295*2,0)/2),0)</f>
        <v>0</v>
      </c>
      <c r="O295" s="32"/>
      <c r="P295" s="42" t="str">
        <f aca="false">IFERROR(IF(OR($L295="",$I295="—",$I295=""),"",IF($I295="Agachamento",INDEX($AE$8:$AE$20,MATCH($L295,$AD$8:$AD$20,1)),IF($I295="Supino",INDEX($AF$8:$AF$20,MATCH($L295,$AD$8:$AD$20,1)),IF($I295="Terra",INDEX($AG$8:$AG$20,MATCH($L295,$AD$8:$AD$20,1)),"")))),"")</f>
        <v/>
      </c>
      <c r="Q295" s="45"/>
      <c r="R295" s="71"/>
      <c r="S295" s="71"/>
      <c r="T295" s="69" t="str">
        <f aca="false">IF(OR($R295="",$S295=""),"",IF($S295&gt;$R295,"Acima do limite","Dentro do limite"))</f>
        <v/>
      </c>
      <c r="U295" s="28"/>
      <c r="V295" s="28"/>
      <c r="W295" s="28"/>
      <c r="X295" s="140" t="n">
        <f aca="false">IFERROR(IF(OR($J295="",$K295=""),0,$J295*$K295),0)</f>
        <v>0</v>
      </c>
      <c r="Y295" s="44" t="n">
        <f aca="false">IFERROR(IF($X295=0,0,$X295*IF($O295="",$N295,$O295)),0)</f>
        <v>0</v>
      </c>
      <c r="Z295" s="60" t="str">
        <f aca="false">IF($L295="","",IF($L295&lt;0.5,"Balística / Velocidade (&lt;50%)",IF($L295&lt;0.7,"Velocidade-Força (50–69%)",IF($L295&lt;0.8,"Força-Velocidade (70–79%)",IF($L295&lt;0.9,"Força Máxima (80–89%)","Força Máxima Alta (≥90%)")))))</f>
        <v/>
      </c>
      <c r="AA295" s="27"/>
      <c r="AB295" s="27"/>
    </row>
    <row r="296" customFormat="false" ht="15" hidden="false" customHeight="false" outlineLevel="0" collapsed="false">
      <c r="A296" s="29"/>
      <c r="B296" s="33" t="n">
        <f aca="false">IF($A296="",0,INT(($A296-'Bloco Base'!$C$5)/7)+1)</f>
        <v>0</v>
      </c>
      <c r="C296" s="28"/>
      <c r="D296" s="28"/>
      <c r="E296" s="27"/>
      <c r="F296" s="28"/>
      <c r="G296" s="139"/>
      <c r="H296" s="27"/>
      <c r="I296" s="28"/>
      <c r="J296" s="28"/>
      <c r="K296" s="28"/>
      <c r="L296" s="71"/>
      <c r="M296" s="35" t="str">
        <f aca="false">IF($AB296="","",IFERROR(INDEX('Força 1RM'!$Q$8:$Y$47,MATCH(IF($E296="Equipe (todos)",$C$4,$E296),'Força 1RM'!$P$8:$P$47,0),MATCH($AB296,'Força 1RM'!$Q$7:$Y$7,0)),""))</f>
        <v/>
      </c>
      <c r="N296" s="30" t="n">
        <f aca="false">IFERROR(IF(OR($L296="",$M296="",$M296=0),0,ROUND($L296*$M296*2,0)/2),0)</f>
        <v>0</v>
      </c>
      <c r="O296" s="32"/>
      <c r="P296" s="42" t="str">
        <f aca="false">IFERROR(IF(OR($L296="",$I296="—",$I296=""),"",IF($I296="Agachamento",INDEX($AE$8:$AE$20,MATCH($L296,$AD$8:$AD$20,1)),IF($I296="Supino",INDEX($AF$8:$AF$20,MATCH($L296,$AD$8:$AD$20,1)),IF($I296="Terra",INDEX($AG$8:$AG$20,MATCH($L296,$AD$8:$AD$20,1)),"")))),"")</f>
        <v/>
      </c>
      <c r="Q296" s="45"/>
      <c r="R296" s="71"/>
      <c r="S296" s="71"/>
      <c r="T296" s="69" t="str">
        <f aca="false">IF(OR($R296="",$S296=""),"",IF($S296&gt;$R296,"Acima do limite","Dentro do limite"))</f>
        <v/>
      </c>
      <c r="U296" s="28"/>
      <c r="V296" s="28"/>
      <c r="W296" s="28"/>
      <c r="X296" s="140" t="n">
        <f aca="false">IFERROR(IF(OR($J296="",$K296=""),0,$J296*$K296),0)</f>
        <v>0</v>
      </c>
      <c r="Y296" s="44" t="n">
        <f aca="false">IFERROR(IF($X296=0,0,$X296*IF($O296="",$N296,$O296)),0)</f>
        <v>0</v>
      </c>
      <c r="Z296" s="60" t="str">
        <f aca="false">IF($L296="","",IF($L296&lt;0.5,"Balística / Velocidade (&lt;50%)",IF($L296&lt;0.7,"Velocidade-Força (50–69%)",IF($L296&lt;0.8,"Força-Velocidade (70–79%)",IF($L296&lt;0.9,"Força Máxima (80–89%)","Força Máxima Alta (≥90%)")))))</f>
        <v/>
      </c>
      <c r="AA296" s="27"/>
      <c r="AB296" s="27"/>
    </row>
    <row r="297" customFormat="false" ht="15" hidden="false" customHeight="false" outlineLevel="0" collapsed="false">
      <c r="A297" s="29"/>
      <c r="B297" s="33" t="n">
        <f aca="false">IF($A297="",0,INT(($A297-'Bloco Base'!$C$5)/7)+1)</f>
        <v>0</v>
      </c>
      <c r="C297" s="28"/>
      <c r="D297" s="28"/>
      <c r="E297" s="27"/>
      <c r="F297" s="28"/>
      <c r="G297" s="139"/>
      <c r="H297" s="27"/>
      <c r="I297" s="28"/>
      <c r="J297" s="28"/>
      <c r="K297" s="28"/>
      <c r="L297" s="71"/>
      <c r="M297" s="35" t="str">
        <f aca="false">IF($AB297="","",IFERROR(INDEX('Força 1RM'!$Q$8:$Y$47,MATCH(IF($E297="Equipe (todos)",$C$4,$E297),'Força 1RM'!$P$8:$P$47,0),MATCH($AB297,'Força 1RM'!$Q$7:$Y$7,0)),""))</f>
        <v/>
      </c>
      <c r="N297" s="30" t="n">
        <f aca="false">IFERROR(IF(OR($L297="",$M297="",$M297=0),0,ROUND($L297*$M297*2,0)/2),0)</f>
        <v>0</v>
      </c>
      <c r="O297" s="32"/>
      <c r="P297" s="42" t="str">
        <f aca="false">IFERROR(IF(OR($L297="",$I297="—",$I297=""),"",IF($I297="Agachamento",INDEX($AE$8:$AE$20,MATCH($L297,$AD$8:$AD$20,1)),IF($I297="Supino",INDEX($AF$8:$AF$20,MATCH($L297,$AD$8:$AD$20,1)),IF($I297="Terra",INDEX($AG$8:$AG$20,MATCH($L297,$AD$8:$AD$20,1)),"")))),"")</f>
        <v/>
      </c>
      <c r="Q297" s="45"/>
      <c r="R297" s="71"/>
      <c r="S297" s="71"/>
      <c r="T297" s="69" t="str">
        <f aca="false">IF(OR($R297="",$S297=""),"",IF($S297&gt;$R297,"Acima do limite","Dentro do limite"))</f>
        <v/>
      </c>
      <c r="U297" s="28"/>
      <c r="V297" s="28"/>
      <c r="W297" s="28"/>
      <c r="X297" s="140" t="n">
        <f aca="false">IFERROR(IF(OR($J297="",$K297=""),0,$J297*$K297),0)</f>
        <v>0</v>
      </c>
      <c r="Y297" s="44" t="n">
        <f aca="false">IFERROR(IF($X297=0,0,$X297*IF($O297="",$N297,$O297)),0)</f>
        <v>0</v>
      </c>
      <c r="Z297" s="60" t="str">
        <f aca="false">IF($L297="","",IF($L297&lt;0.5,"Balística / Velocidade (&lt;50%)",IF($L297&lt;0.7,"Velocidade-Força (50–69%)",IF($L297&lt;0.8,"Força-Velocidade (70–79%)",IF($L297&lt;0.9,"Força Máxima (80–89%)","Força Máxima Alta (≥90%)")))))</f>
        <v/>
      </c>
      <c r="AA297" s="27"/>
      <c r="AB297" s="27"/>
    </row>
    <row r="298" customFormat="false" ht="15" hidden="false" customHeight="false" outlineLevel="0" collapsed="false">
      <c r="A298" s="29"/>
      <c r="B298" s="33" t="n">
        <f aca="false">IF($A298="",0,INT(($A298-'Bloco Base'!$C$5)/7)+1)</f>
        <v>0</v>
      </c>
      <c r="C298" s="28"/>
      <c r="D298" s="28"/>
      <c r="E298" s="27"/>
      <c r="F298" s="28"/>
      <c r="G298" s="139"/>
      <c r="H298" s="27"/>
      <c r="I298" s="28"/>
      <c r="J298" s="28"/>
      <c r="K298" s="28"/>
      <c r="L298" s="71"/>
      <c r="M298" s="35" t="str">
        <f aca="false">IF($AB298="","",IFERROR(INDEX('Força 1RM'!$Q$8:$Y$47,MATCH(IF($E298="Equipe (todos)",$C$4,$E298),'Força 1RM'!$P$8:$P$47,0),MATCH($AB298,'Força 1RM'!$Q$7:$Y$7,0)),""))</f>
        <v/>
      </c>
      <c r="N298" s="30" t="n">
        <f aca="false">IFERROR(IF(OR($L298="",$M298="",$M298=0),0,ROUND($L298*$M298*2,0)/2),0)</f>
        <v>0</v>
      </c>
      <c r="O298" s="32"/>
      <c r="P298" s="42" t="str">
        <f aca="false">IFERROR(IF(OR($L298="",$I298="—",$I298=""),"",IF($I298="Agachamento",INDEX($AE$8:$AE$20,MATCH($L298,$AD$8:$AD$20,1)),IF($I298="Supino",INDEX($AF$8:$AF$20,MATCH($L298,$AD$8:$AD$20,1)),IF($I298="Terra",INDEX($AG$8:$AG$20,MATCH($L298,$AD$8:$AD$20,1)),"")))),"")</f>
        <v/>
      </c>
      <c r="Q298" s="45"/>
      <c r="R298" s="71"/>
      <c r="S298" s="71"/>
      <c r="T298" s="69" t="str">
        <f aca="false">IF(OR($R298="",$S298=""),"",IF($S298&gt;$R298,"Acima do limite","Dentro do limite"))</f>
        <v/>
      </c>
      <c r="U298" s="28"/>
      <c r="V298" s="28"/>
      <c r="W298" s="28"/>
      <c r="X298" s="140" t="n">
        <f aca="false">IFERROR(IF(OR($J298="",$K298=""),0,$J298*$K298),0)</f>
        <v>0</v>
      </c>
      <c r="Y298" s="44" t="n">
        <f aca="false">IFERROR(IF($X298=0,0,$X298*IF($O298="",$N298,$O298)),0)</f>
        <v>0</v>
      </c>
      <c r="Z298" s="60" t="str">
        <f aca="false">IF($L298="","",IF($L298&lt;0.5,"Balística / Velocidade (&lt;50%)",IF($L298&lt;0.7,"Velocidade-Força (50–69%)",IF($L298&lt;0.8,"Força-Velocidade (70–79%)",IF($L298&lt;0.9,"Força Máxima (80–89%)","Força Máxima Alta (≥90%)")))))</f>
        <v/>
      </c>
      <c r="AA298" s="27"/>
      <c r="AB298" s="27"/>
    </row>
    <row r="299" customFormat="false" ht="15" hidden="false" customHeight="false" outlineLevel="0" collapsed="false">
      <c r="A299" s="29"/>
      <c r="B299" s="33" t="n">
        <f aca="false">IF($A299="",0,INT(($A299-'Bloco Base'!$C$5)/7)+1)</f>
        <v>0</v>
      </c>
      <c r="C299" s="28"/>
      <c r="D299" s="28"/>
      <c r="E299" s="27"/>
      <c r="F299" s="28"/>
      <c r="G299" s="139"/>
      <c r="H299" s="27"/>
      <c r="I299" s="28"/>
      <c r="J299" s="28"/>
      <c r="K299" s="28"/>
      <c r="L299" s="71"/>
      <c r="M299" s="35" t="str">
        <f aca="false">IF($AB299="","",IFERROR(INDEX('Força 1RM'!$Q$8:$Y$47,MATCH(IF($E299="Equipe (todos)",$C$4,$E299),'Força 1RM'!$P$8:$P$47,0),MATCH($AB299,'Força 1RM'!$Q$7:$Y$7,0)),""))</f>
        <v/>
      </c>
      <c r="N299" s="30" t="n">
        <f aca="false">IFERROR(IF(OR($L299="",$M299="",$M299=0),0,ROUND($L299*$M299*2,0)/2),0)</f>
        <v>0</v>
      </c>
      <c r="O299" s="32"/>
      <c r="P299" s="42" t="str">
        <f aca="false">IFERROR(IF(OR($L299="",$I299="—",$I299=""),"",IF($I299="Agachamento",INDEX($AE$8:$AE$20,MATCH($L299,$AD$8:$AD$20,1)),IF($I299="Supino",INDEX($AF$8:$AF$20,MATCH($L299,$AD$8:$AD$20,1)),IF($I299="Terra",INDEX($AG$8:$AG$20,MATCH($L299,$AD$8:$AD$20,1)),"")))),"")</f>
        <v/>
      </c>
      <c r="Q299" s="45"/>
      <c r="R299" s="71"/>
      <c r="S299" s="71"/>
      <c r="T299" s="69" t="str">
        <f aca="false">IF(OR($R299="",$S299=""),"",IF($S299&gt;$R299,"Acima do limite","Dentro do limite"))</f>
        <v/>
      </c>
      <c r="U299" s="28"/>
      <c r="V299" s="28"/>
      <c r="W299" s="28"/>
      <c r="X299" s="140" t="n">
        <f aca="false">IFERROR(IF(OR($J299="",$K299=""),0,$J299*$K299),0)</f>
        <v>0</v>
      </c>
      <c r="Y299" s="44" t="n">
        <f aca="false">IFERROR(IF($X299=0,0,$X299*IF($O299="",$N299,$O299)),0)</f>
        <v>0</v>
      </c>
      <c r="Z299" s="60" t="str">
        <f aca="false">IF($L299="","",IF($L299&lt;0.5,"Balística / Velocidade (&lt;50%)",IF($L299&lt;0.7,"Velocidade-Força (50–69%)",IF($L299&lt;0.8,"Força-Velocidade (70–79%)",IF($L299&lt;0.9,"Força Máxima (80–89%)","Força Máxima Alta (≥90%)")))))</f>
        <v/>
      </c>
      <c r="AA299" s="27"/>
      <c r="AB299" s="27"/>
    </row>
    <row r="300" customFormat="false" ht="15" hidden="false" customHeight="false" outlineLevel="0" collapsed="false">
      <c r="A300" s="29"/>
      <c r="B300" s="33" t="n">
        <f aca="false">IF($A300="",0,INT(($A300-'Bloco Base'!$C$5)/7)+1)</f>
        <v>0</v>
      </c>
      <c r="C300" s="28"/>
      <c r="D300" s="28"/>
      <c r="E300" s="27"/>
      <c r="F300" s="28"/>
      <c r="G300" s="139"/>
      <c r="H300" s="27"/>
      <c r="I300" s="28"/>
      <c r="J300" s="28"/>
      <c r="K300" s="28"/>
      <c r="L300" s="71"/>
      <c r="M300" s="35" t="str">
        <f aca="false">IF($AB300="","",IFERROR(INDEX('Força 1RM'!$Q$8:$Y$47,MATCH(IF($E300="Equipe (todos)",$C$4,$E300),'Força 1RM'!$P$8:$P$47,0),MATCH($AB300,'Força 1RM'!$Q$7:$Y$7,0)),""))</f>
        <v/>
      </c>
      <c r="N300" s="30" t="n">
        <f aca="false">IFERROR(IF(OR($L300="",$M300="",$M300=0),0,ROUND($L300*$M300*2,0)/2),0)</f>
        <v>0</v>
      </c>
      <c r="O300" s="32"/>
      <c r="P300" s="42" t="str">
        <f aca="false">IFERROR(IF(OR($L300="",$I300="—",$I300=""),"",IF($I300="Agachamento",INDEX($AE$8:$AE$20,MATCH($L300,$AD$8:$AD$20,1)),IF($I300="Supino",INDEX($AF$8:$AF$20,MATCH($L300,$AD$8:$AD$20,1)),IF($I300="Terra",INDEX($AG$8:$AG$20,MATCH($L300,$AD$8:$AD$20,1)),"")))),"")</f>
        <v/>
      </c>
      <c r="Q300" s="45"/>
      <c r="R300" s="71"/>
      <c r="S300" s="71"/>
      <c r="T300" s="69" t="str">
        <f aca="false">IF(OR($R300="",$S300=""),"",IF($S300&gt;$R300,"Acima do limite","Dentro do limite"))</f>
        <v/>
      </c>
      <c r="U300" s="28"/>
      <c r="V300" s="28"/>
      <c r="W300" s="28"/>
      <c r="X300" s="140" t="n">
        <f aca="false">IFERROR(IF(OR($J300="",$K300=""),0,$J300*$K300),0)</f>
        <v>0</v>
      </c>
      <c r="Y300" s="44" t="n">
        <f aca="false">IFERROR(IF($X300=0,0,$X300*IF($O300="",$N300,$O300)),0)</f>
        <v>0</v>
      </c>
      <c r="Z300" s="60" t="str">
        <f aca="false">IF($L300="","",IF($L300&lt;0.5,"Balística / Velocidade (&lt;50%)",IF($L300&lt;0.7,"Velocidade-Força (50–69%)",IF($L300&lt;0.8,"Força-Velocidade (70–79%)",IF($L300&lt;0.9,"Força Máxima (80–89%)","Força Máxima Alta (≥90%)")))))</f>
        <v/>
      </c>
      <c r="AA300" s="27"/>
      <c r="AB300" s="27"/>
    </row>
    <row r="301" customFormat="false" ht="15" hidden="false" customHeight="false" outlineLevel="0" collapsed="false">
      <c r="A301" s="29"/>
      <c r="B301" s="33" t="n">
        <f aca="false">IF($A301="",0,INT(($A301-'Bloco Base'!$C$5)/7)+1)</f>
        <v>0</v>
      </c>
      <c r="C301" s="28"/>
      <c r="D301" s="28"/>
      <c r="E301" s="27"/>
      <c r="F301" s="28"/>
      <c r="G301" s="139"/>
      <c r="H301" s="27"/>
      <c r="I301" s="28"/>
      <c r="J301" s="28"/>
      <c r="K301" s="28"/>
      <c r="L301" s="71"/>
      <c r="M301" s="35" t="str">
        <f aca="false">IF($AB301="","",IFERROR(INDEX('Força 1RM'!$Q$8:$Y$47,MATCH(IF($E301="Equipe (todos)",$C$4,$E301),'Força 1RM'!$P$8:$P$47,0),MATCH($AB301,'Força 1RM'!$Q$7:$Y$7,0)),""))</f>
        <v/>
      </c>
      <c r="N301" s="30" t="n">
        <f aca="false">IFERROR(IF(OR($L301="",$M301="",$M301=0),0,ROUND($L301*$M301*2,0)/2),0)</f>
        <v>0</v>
      </c>
      <c r="O301" s="32"/>
      <c r="P301" s="42" t="str">
        <f aca="false">IFERROR(IF(OR($L301="",$I301="—",$I301=""),"",IF($I301="Agachamento",INDEX($AE$8:$AE$20,MATCH($L301,$AD$8:$AD$20,1)),IF($I301="Supino",INDEX($AF$8:$AF$20,MATCH($L301,$AD$8:$AD$20,1)),IF($I301="Terra",INDEX($AG$8:$AG$20,MATCH($L301,$AD$8:$AD$20,1)),"")))),"")</f>
        <v/>
      </c>
      <c r="Q301" s="45"/>
      <c r="R301" s="71"/>
      <c r="S301" s="71"/>
      <c r="T301" s="69" t="str">
        <f aca="false">IF(OR($R301="",$S301=""),"",IF($S301&gt;$R301,"Acima do limite","Dentro do limite"))</f>
        <v/>
      </c>
      <c r="U301" s="28"/>
      <c r="V301" s="28"/>
      <c r="W301" s="28"/>
      <c r="X301" s="140" t="n">
        <f aca="false">IFERROR(IF(OR($J301="",$K301=""),0,$J301*$K301),0)</f>
        <v>0</v>
      </c>
      <c r="Y301" s="44" t="n">
        <f aca="false">IFERROR(IF($X301=0,0,$X301*IF($O301="",$N301,$O301)),0)</f>
        <v>0</v>
      </c>
      <c r="Z301" s="60" t="str">
        <f aca="false">IF($L301="","",IF($L301&lt;0.5,"Balística / Velocidade (&lt;50%)",IF($L301&lt;0.7,"Velocidade-Força (50–69%)",IF($L301&lt;0.8,"Força-Velocidade (70–79%)",IF($L301&lt;0.9,"Força Máxima (80–89%)","Força Máxima Alta (≥90%)")))))</f>
        <v/>
      </c>
      <c r="AA301" s="27"/>
      <c r="AB301" s="27"/>
    </row>
    <row r="302" customFormat="false" ht="15" hidden="false" customHeight="false" outlineLevel="0" collapsed="false">
      <c r="A302" s="29"/>
      <c r="B302" s="33" t="n">
        <f aca="false">IF($A302="",0,INT(($A302-'Bloco Base'!$C$5)/7)+1)</f>
        <v>0</v>
      </c>
      <c r="C302" s="28"/>
      <c r="D302" s="28"/>
      <c r="E302" s="27"/>
      <c r="F302" s="28"/>
      <c r="G302" s="139"/>
      <c r="H302" s="27"/>
      <c r="I302" s="28"/>
      <c r="J302" s="28"/>
      <c r="K302" s="28"/>
      <c r="L302" s="71"/>
      <c r="M302" s="35" t="str">
        <f aca="false">IF($AB302="","",IFERROR(INDEX('Força 1RM'!$Q$8:$Y$47,MATCH(IF($E302="Equipe (todos)",$C$4,$E302),'Força 1RM'!$P$8:$P$47,0),MATCH($AB302,'Força 1RM'!$Q$7:$Y$7,0)),""))</f>
        <v/>
      </c>
      <c r="N302" s="30" t="n">
        <f aca="false">IFERROR(IF(OR($L302="",$M302="",$M302=0),0,ROUND($L302*$M302*2,0)/2),0)</f>
        <v>0</v>
      </c>
      <c r="O302" s="32"/>
      <c r="P302" s="42" t="str">
        <f aca="false">IFERROR(IF(OR($L302="",$I302="—",$I302=""),"",IF($I302="Agachamento",INDEX($AE$8:$AE$20,MATCH($L302,$AD$8:$AD$20,1)),IF($I302="Supino",INDEX($AF$8:$AF$20,MATCH($L302,$AD$8:$AD$20,1)),IF($I302="Terra",INDEX($AG$8:$AG$20,MATCH($L302,$AD$8:$AD$20,1)),"")))),"")</f>
        <v/>
      </c>
      <c r="Q302" s="45"/>
      <c r="R302" s="71"/>
      <c r="S302" s="71"/>
      <c r="T302" s="69" t="str">
        <f aca="false">IF(OR($R302="",$S302=""),"",IF($S302&gt;$R302,"Acima do limite","Dentro do limite"))</f>
        <v/>
      </c>
      <c r="U302" s="28"/>
      <c r="V302" s="28"/>
      <c r="W302" s="28"/>
      <c r="X302" s="140" t="n">
        <f aca="false">IFERROR(IF(OR($J302="",$K302=""),0,$J302*$K302),0)</f>
        <v>0</v>
      </c>
      <c r="Y302" s="44" t="n">
        <f aca="false">IFERROR(IF($X302=0,0,$X302*IF($O302="",$N302,$O302)),0)</f>
        <v>0</v>
      </c>
      <c r="Z302" s="60" t="str">
        <f aca="false">IF($L302="","",IF($L302&lt;0.5,"Balística / Velocidade (&lt;50%)",IF($L302&lt;0.7,"Velocidade-Força (50–69%)",IF($L302&lt;0.8,"Força-Velocidade (70–79%)",IF($L302&lt;0.9,"Força Máxima (80–89%)","Força Máxima Alta (≥90%)")))))</f>
        <v/>
      </c>
      <c r="AA302" s="27"/>
      <c r="AB302" s="27"/>
    </row>
    <row r="303" customFormat="false" ht="15" hidden="false" customHeight="false" outlineLevel="0" collapsed="false">
      <c r="A303" s="29"/>
      <c r="B303" s="33" t="n">
        <f aca="false">IF($A303="",0,INT(($A303-'Bloco Base'!$C$5)/7)+1)</f>
        <v>0</v>
      </c>
      <c r="C303" s="28"/>
      <c r="D303" s="28"/>
      <c r="E303" s="27"/>
      <c r="F303" s="28"/>
      <c r="G303" s="139"/>
      <c r="H303" s="27"/>
      <c r="I303" s="28"/>
      <c r="J303" s="28"/>
      <c r="K303" s="28"/>
      <c r="L303" s="71"/>
      <c r="M303" s="35" t="str">
        <f aca="false">IF($AB303="","",IFERROR(INDEX('Força 1RM'!$Q$8:$Y$47,MATCH(IF($E303="Equipe (todos)",$C$4,$E303),'Força 1RM'!$P$8:$P$47,0),MATCH($AB303,'Força 1RM'!$Q$7:$Y$7,0)),""))</f>
        <v/>
      </c>
      <c r="N303" s="30" t="n">
        <f aca="false">IFERROR(IF(OR($L303="",$M303="",$M303=0),0,ROUND($L303*$M303*2,0)/2),0)</f>
        <v>0</v>
      </c>
      <c r="O303" s="32"/>
      <c r="P303" s="42" t="str">
        <f aca="false">IFERROR(IF(OR($L303="",$I303="—",$I303=""),"",IF($I303="Agachamento",INDEX($AE$8:$AE$20,MATCH($L303,$AD$8:$AD$20,1)),IF($I303="Supino",INDEX($AF$8:$AF$20,MATCH($L303,$AD$8:$AD$20,1)),IF($I303="Terra",INDEX($AG$8:$AG$20,MATCH($L303,$AD$8:$AD$20,1)),"")))),"")</f>
        <v/>
      </c>
      <c r="Q303" s="45"/>
      <c r="R303" s="71"/>
      <c r="S303" s="71"/>
      <c r="T303" s="69" t="str">
        <f aca="false">IF(OR($R303="",$S303=""),"",IF($S303&gt;$R303,"Acima do limite","Dentro do limite"))</f>
        <v/>
      </c>
      <c r="U303" s="28"/>
      <c r="V303" s="28"/>
      <c r="W303" s="28"/>
      <c r="X303" s="140" t="n">
        <f aca="false">IFERROR(IF(OR($J303="",$K303=""),0,$J303*$K303),0)</f>
        <v>0</v>
      </c>
      <c r="Y303" s="44" t="n">
        <f aca="false">IFERROR(IF($X303=0,0,$X303*IF($O303="",$N303,$O303)),0)</f>
        <v>0</v>
      </c>
      <c r="Z303" s="60" t="str">
        <f aca="false">IF($L303="","",IF($L303&lt;0.5,"Balística / Velocidade (&lt;50%)",IF($L303&lt;0.7,"Velocidade-Força (50–69%)",IF($L303&lt;0.8,"Força-Velocidade (70–79%)",IF($L303&lt;0.9,"Força Máxima (80–89%)","Força Máxima Alta (≥90%)")))))</f>
        <v/>
      </c>
      <c r="AA303" s="27"/>
      <c r="AB303" s="27"/>
    </row>
    <row r="304" customFormat="false" ht="15" hidden="false" customHeight="false" outlineLevel="0" collapsed="false">
      <c r="A304" s="29"/>
      <c r="B304" s="33" t="n">
        <f aca="false">IF($A304="",0,INT(($A304-'Bloco Base'!$C$5)/7)+1)</f>
        <v>0</v>
      </c>
      <c r="C304" s="28"/>
      <c r="D304" s="28"/>
      <c r="E304" s="27"/>
      <c r="F304" s="28"/>
      <c r="G304" s="139"/>
      <c r="H304" s="27"/>
      <c r="I304" s="28"/>
      <c r="J304" s="28"/>
      <c r="K304" s="28"/>
      <c r="L304" s="71"/>
      <c r="M304" s="35" t="str">
        <f aca="false">IF($AB304="","",IFERROR(INDEX('Força 1RM'!$Q$8:$Y$47,MATCH(IF($E304="Equipe (todos)",$C$4,$E304),'Força 1RM'!$P$8:$P$47,0),MATCH($AB304,'Força 1RM'!$Q$7:$Y$7,0)),""))</f>
        <v/>
      </c>
      <c r="N304" s="30" t="n">
        <f aca="false">IFERROR(IF(OR($L304="",$M304="",$M304=0),0,ROUND($L304*$M304*2,0)/2),0)</f>
        <v>0</v>
      </c>
      <c r="O304" s="32"/>
      <c r="P304" s="42" t="str">
        <f aca="false">IFERROR(IF(OR($L304="",$I304="—",$I304=""),"",IF($I304="Agachamento",INDEX($AE$8:$AE$20,MATCH($L304,$AD$8:$AD$20,1)),IF($I304="Supino",INDEX($AF$8:$AF$20,MATCH($L304,$AD$8:$AD$20,1)),IF($I304="Terra",INDEX($AG$8:$AG$20,MATCH($L304,$AD$8:$AD$20,1)),"")))),"")</f>
        <v/>
      </c>
      <c r="Q304" s="45"/>
      <c r="R304" s="71"/>
      <c r="S304" s="71"/>
      <c r="T304" s="69" t="str">
        <f aca="false">IF(OR($R304="",$S304=""),"",IF($S304&gt;$R304,"Acima do limite","Dentro do limite"))</f>
        <v/>
      </c>
      <c r="U304" s="28"/>
      <c r="V304" s="28"/>
      <c r="W304" s="28"/>
      <c r="X304" s="140" t="n">
        <f aca="false">IFERROR(IF(OR($J304="",$K304=""),0,$J304*$K304),0)</f>
        <v>0</v>
      </c>
      <c r="Y304" s="44" t="n">
        <f aca="false">IFERROR(IF($X304=0,0,$X304*IF($O304="",$N304,$O304)),0)</f>
        <v>0</v>
      </c>
      <c r="Z304" s="60" t="str">
        <f aca="false">IF($L304="","",IF($L304&lt;0.5,"Balística / Velocidade (&lt;50%)",IF($L304&lt;0.7,"Velocidade-Força (50–69%)",IF($L304&lt;0.8,"Força-Velocidade (70–79%)",IF($L304&lt;0.9,"Força Máxima (80–89%)","Força Máxima Alta (≥90%)")))))</f>
        <v/>
      </c>
      <c r="AA304" s="27"/>
      <c r="AB304" s="27"/>
    </row>
    <row r="305" customFormat="false" ht="15" hidden="false" customHeight="false" outlineLevel="0" collapsed="false">
      <c r="A305" s="29"/>
      <c r="B305" s="33" t="n">
        <f aca="false">IF($A305="",0,INT(($A305-'Bloco Base'!$C$5)/7)+1)</f>
        <v>0</v>
      </c>
      <c r="C305" s="28"/>
      <c r="D305" s="28"/>
      <c r="E305" s="27"/>
      <c r="F305" s="28"/>
      <c r="G305" s="139"/>
      <c r="H305" s="27"/>
      <c r="I305" s="28"/>
      <c r="J305" s="28"/>
      <c r="K305" s="28"/>
      <c r="L305" s="71"/>
      <c r="M305" s="35" t="str">
        <f aca="false">IF($AB305="","",IFERROR(INDEX('Força 1RM'!$Q$8:$Y$47,MATCH(IF($E305="Equipe (todos)",$C$4,$E305),'Força 1RM'!$P$8:$P$47,0),MATCH($AB305,'Força 1RM'!$Q$7:$Y$7,0)),""))</f>
        <v/>
      </c>
      <c r="N305" s="30" t="n">
        <f aca="false">IFERROR(IF(OR($L305="",$M305="",$M305=0),0,ROUND($L305*$M305*2,0)/2),0)</f>
        <v>0</v>
      </c>
      <c r="O305" s="32"/>
      <c r="P305" s="42" t="str">
        <f aca="false">IFERROR(IF(OR($L305="",$I305="—",$I305=""),"",IF($I305="Agachamento",INDEX($AE$8:$AE$20,MATCH($L305,$AD$8:$AD$20,1)),IF($I305="Supino",INDEX($AF$8:$AF$20,MATCH($L305,$AD$8:$AD$20,1)),IF($I305="Terra",INDEX($AG$8:$AG$20,MATCH($L305,$AD$8:$AD$20,1)),"")))),"")</f>
        <v/>
      </c>
      <c r="Q305" s="45"/>
      <c r="R305" s="71"/>
      <c r="S305" s="71"/>
      <c r="T305" s="69" t="str">
        <f aca="false">IF(OR($R305="",$S305=""),"",IF($S305&gt;$R305,"Acima do limite","Dentro do limite"))</f>
        <v/>
      </c>
      <c r="U305" s="28"/>
      <c r="V305" s="28"/>
      <c r="W305" s="28"/>
      <c r="X305" s="140" t="n">
        <f aca="false">IFERROR(IF(OR($J305="",$K305=""),0,$J305*$K305),0)</f>
        <v>0</v>
      </c>
      <c r="Y305" s="44" t="n">
        <f aca="false">IFERROR(IF($X305=0,0,$X305*IF($O305="",$N305,$O305)),0)</f>
        <v>0</v>
      </c>
      <c r="Z305" s="60" t="str">
        <f aca="false">IF($L305="","",IF($L305&lt;0.5,"Balística / Velocidade (&lt;50%)",IF($L305&lt;0.7,"Velocidade-Força (50–69%)",IF($L305&lt;0.8,"Força-Velocidade (70–79%)",IF($L305&lt;0.9,"Força Máxima (80–89%)","Força Máxima Alta (≥90%)")))))</f>
        <v/>
      </c>
      <c r="AA305" s="27"/>
      <c r="AB305" s="27"/>
    </row>
    <row r="306" customFormat="false" ht="15" hidden="false" customHeight="false" outlineLevel="0" collapsed="false">
      <c r="A306" s="29"/>
      <c r="B306" s="33" t="n">
        <f aca="false">IF($A306="",0,INT(($A306-'Bloco Base'!$C$5)/7)+1)</f>
        <v>0</v>
      </c>
      <c r="C306" s="28"/>
      <c r="D306" s="28"/>
      <c r="E306" s="27"/>
      <c r="F306" s="28"/>
      <c r="G306" s="139"/>
      <c r="H306" s="27"/>
      <c r="I306" s="28"/>
      <c r="J306" s="28"/>
      <c r="K306" s="28"/>
      <c r="L306" s="71"/>
      <c r="M306" s="35" t="str">
        <f aca="false">IF($AB306="","",IFERROR(INDEX('Força 1RM'!$Q$8:$Y$47,MATCH(IF($E306="Equipe (todos)",$C$4,$E306),'Força 1RM'!$P$8:$P$47,0),MATCH($AB306,'Força 1RM'!$Q$7:$Y$7,0)),""))</f>
        <v/>
      </c>
      <c r="N306" s="30" t="n">
        <f aca="false">IFERROR(IF(OR($L306="",$M306="",$M306=0),0,ROUND($L306*$M306*2,0)/2),0)</f>
        <v>0</v>
      </c>
      <c r="O306" s="32"/>
      <c r="P306" s="42" t="str">
        <f aca="false">IFERROR(IF(OR($L306="",$I306="—",$I306=""),"",IF($I306="Agachamento",INDEX($AE$8:$AE$20,MATCH($L306,$AD$8:$AD$20,1)),IF($I306="Supino",INDEX($AF$8:$AF$20,MATCH($L306,$AD$8:$AD$20,1)),IF($I306="Terra",INDEX($AG$8:$AG$20,MATCH($L306,$AD$8:$AD$20,1)),"")))),"")</f>
        <v/>
      </c>
      <c r="Q306" s="45"/>
      <c r="R306" s="71"/>
      <c r="S306" s="71"/>
      <c r="T306" s="69" t="str">
        <f aca="false">IF(OR($R306="",$S306=""),"",IF($S306&gt;$R306,"Acima do limite","Dentro do limite"))</f>
        <v/>
      </c>
      <c r="U306" s="28"/>
      <c r="V306" s="28"/>
      <c r="W306" s="28"/>
      <c r="X306" s="140" t="n">
        <f aca="false">IFERROR(IF(OR($J306="",$K306=""),0,$J306*$K306),0)</f>
        <v>0</v>
      </c>
      <c r="Y306" s="44" t="n">
        <f aca="false">IFERROR(IF($X306=0,0,$X306*IF($O306="",$N306,$O306)),0)</f>
        <v>0</v>
      </c>
      <c r="Z306" s="60" t="str">
        <f aca="false">IF($L306="","",IF($L306&lt;0.5,"Balística / Velocidade (&lt;50%)",IF($L306&lt;0.7,"Velocidade-Força (50–69%)",IF($L306&lt;0.8,"Força-Velocidade (70–79%)",IF($L306&lt;0.9,"Força Máxima (80–89%)","Força Máxima Alta (≥90%)")))))</f>
        <v/>
      </c>
      <c r="AA306" s="27"/>
      <c r="AB306" s="27"/>
    </row>
    <row r="307" customFormat="false" ht="15" hidden="false" customHeight="false" outlineLevel="0" collapsed="false">
      <c r="A307" s="29"/>
      <c r="B307" s="33" t="n">
        <f aca="false">IF($A307="",0,INT(($A307-'Bloco Base'!$C$5)/7)+1)</f>
        <v>0</v>
      </c>
      <c r="C307" s="28"/>
      <c r="D307" s="28"/>
      <c r="E307" s="27"/>
      <c r="F307" s="28"/>
      <c r="G307" s="139"/>
      <c r="H307" s="27"/>
      <c r="I307" s="28"/>
      <c r="J307" s="28"/>
      <c r="K307" s="28"/>
      <c r="L307" s="71"/>
      <c r="M307" s="35" t="str">
        <f aca="false">IF($AB307="","",IFERROR(INDEX('Força 1RM'!$Q$8:$Y$47,MATCH(IF($E307="Equipe (todos)",$C$4,$E307),'Força 1RM'!$P$8:$P$47,0),MATCH($AB307,'Força 1RM'!$Q$7:$Y$7,0)),""))</f>
        <v/>
      </c>
      <c r="N307" s="30" t="n">
        <f aca="false">IFERROR(IF(OR($L307="",$M307="",$M307=0),0,ROUND($L307*$M307*2,0)/2),0)</f>
        <v>0</v>
      </c>
      <c r="O307" s="32"/>
      <c r="P307" s="42" t="str">
        <f aca="false">IFERROR(IF(OR($L307="",$I307="—",$I307=""),"",IF($I307="Agachamento",INDEX($AE$8:$AE$20,MATCH($L307,$AD$8:$AD$20,1)),IF($I307="Supino",INDEX($AF$8:$AF$20,MATCH($L307,$AD$8:$AD$20,1)),IF($I307="Terra",INDEX($AG$8:$AG$20,MATCH($L307,$AD$8:$AD$20,1)),"")))),"")</f>
        <v/>
      </c>
      <c r="Q307" s="45"/>
      <c r="R307" s="71"/>
      <c r="S307" s="71"/>
      <c r="T307" s="69" t="str">
        <f aca="false">IF(OR($R307="",$S307=""),"",IF($S307&gt;$R307,"Acima do limite","Dentro do limite"))</f>
        <v/>
      </c>
      <c r="U307" s="28"/>
      <c r="V307" s="28"/>
      <c r="W307" s="28"/>
      <c r="X307" s="140" t="n">
        <f aca="false">IFERROR(IF(OR($J307="",$K307=""),0,$J307*$K307),0)</f>
        <v>0</v>
      </c>
      <c r="Y307" s="44" t="n">
        <f aca="false">IFERROR(IF($X307=0,0,$X307*IF($O307="",$N307,$O307)),0)</f>
        <v>0</v>
      </c>
      <c r="Z307" s="60" t="str">
        <f aca="false">IF($L307="","",IF($L307&lt;0.5,"Balística / Velocidade (&lt;50%)",IF($L307&lt;0.7,"Velocidade-Força (50–69%)",IF($L307&lt;0.8,"Força-Velocidade (70–79%)",IF($L307&lt;0.9,"Força Máxima (80–89%)","Força Máxima Alta (≥90%)")))))</f>
        <v/>
      </c>
      <c r="AA307" s="27"/>
      <c r="AB307" s="27"/>
    </row>
    <row r="308" customFormat="false" ht="15" hidden="false" customHeight="false" outlineLevel="0" collapsed="false">
      <c r="A308" s="29"/>
      <c r="B308" s="33" t="n">
        <f aca="false">IF($A308="",0,INT(($A308-'Bloco Base'!$C$5)/7)+1)</f>
        <v>0</v>
      </c>
      <c r="C308" s="28"/>
      <c r="D308" s="28"/>
      <c r="E308" s="27"/>
      <c r="F308" s="28"/>
      <c r="G308" s="139"/>
      <c r="H308" s="27"/>
      <c r="I308" s="28"/>
      <c r="J308" s="28"/>
      <c r="K308" s="28"/>
      <c r="L308" s="71"/>
      <c r="M308" s="35" t="str">
        <f aca="false">IF($AB308="","",IFERROR(INDEX('Força 1RM'!$Q$8:$Y$47,MATCH(IF($E308="Equipe (todos)",$C$4,$E308),'Força 1RM'!$P$8:$P$47,0),MATCH($AB308,'Força 1RM'!$Q$7:$Y$7,0)),""))</f>
        <v/>
      </c>
      <c r="N308" s="30" t="n">
        <f aca="false">IFERROR(IF(OR($L308="",$M308="",$M308=0),0,ROUND($L308*$M308*2,0)/2),0)</f>
        <v>0</v>
      </c>
      <c r="O308" s="32"/>
      <c r="P308" s="42" t="str">
        <f aca="false">IFERROR(IF(OR($L308="",$I308="—",$I308=""),"",IF($I308="Agachamento",INDEX($AE$8:$AE$20,MATCH($L308,$AD$8:$AD$20,1)),IF($I308="Supino",INDEX($AF$8:$AF$20,MATCH($L308,$AD$8:$AD$20,1)),IF($I308="Terra",INDEX($AG$8:$AG$20,MATCH($L308,$AD$8:$AD$20,1)),"")))),"")</f>
        <v/>
      </c>
      <c r="Q308" s="45"/>
      <c r="R308" s="71"/>
      <c r="S308" s="71"/>
      <c r="T308" s="69" t="str">
        <f aca="false">IF(OR($R308="",$S308=""),"",IF($S308&gt;$R308,"Acima do limite","Dentro do limite"))</f>
        <v/>
      </c>
      <c r="U308" s="28"/>
      <c r="V308" s="28"/>
      <c r="W308" s="28"/>
      <c r="X308" s="140" t="n">
        <f aca="false">IFERROR(IF(OR($J308="",$K308=""),0,$J308*$K308),0)</f>
        <v>0</v>
      </c>
      <c r="Y308" s="44" t="n">
        <f aca="false">IFERROR(IF($X308=0,0,$X308*IF($O308="",$N308,$O308)),0)</f>
        <v>0</v>
      </c>
      <c r="Z308" s="60" t="str">
        <f aca="false">IF($L308="","",IF($L308&lt;0.5,"Balística / Velocidade (&lt;50%)",IF($L308&lt;0.7,"Velocidade-Força (50–69%)",IF($L308&lt;0.8,"Força-Velocidade (70–79%)",IF($L308&lt;0.9,"Força Máxima (80–89%)","Força Máxima Alta (≥90%)")))))</f>
        <v/>
      </c>
      <c r="AA308" s="27"/>
      <c r="AB308" s="27"/>
    </row>
    <row r="309" customFormat="false" ht="15" hidden="false" customHeight="false" outlineLevel="0" collapsed="false">
      <c r="A309" s="29"/>
      <c r="B309" s="33" t="n">
        <f aca="false">IF($A309="",0,INT(($A309-'Bloco Base'!$C$5)/7)+1)</f>
        <v>0</v>
      </c>
      <c r="C309" s="28"/>
      <c r="D309" s="28"/>
      <c r="E309" s="27"/>
      <c r="F309" s="28"/>
      <c r="G309" s="139"/>
      <c r="H309" s="27"/>
      <c r="I309" s="28"/>
      <c r="J309" s="28"/>
      <c r="K309" s="28"/>
      <c r="L309" s="71"/>
      <c r="M309" s="35" t="str">
        <f aca="false">IF($AB309="","",IFERROR(INDEX('Força 1RM'!$Q$8:$Y$47,MATCH(IF($E309="Equipe (todos)",$C$4,$E309),'Força 1RM'!$P$8:$P$47,0),MATCH($AB309,'Força 1RM'!$Q$7:$Y$7,0)),""))</f>
        <v/>
      </c>
      <c r="N309" s="30" t="n">
        <f aca="false">IFERROR(IF(OR($L309="",$M309="",$M309=0),0,ROUND($L309*$M309*2,0)/2),0)</f>
        <v>0</v>
      </c>
      <c r="O309" s="32"/>
      <c r="P309" s="42" t="str">
        <f aca="false">IFERROR(IF(OR($L309="",$I309="—",$I309=""),"",IF($I309="Agachamento",INDEX($AE$8:$AE$20,MATCH($L309,$AD$8:$AD$20,1)),IF($I309="Supino",INDEX($AF$8:$AF$20,MATCH($L309,$AD$8:$AD$20,1)),IF($I309="Terra",INDEX($AG$8:$AG$20,MATCH($L309,$AD$8:$AD$20,1)),"")))),"")</f>
        <v/>
      </c>
      <c r="Q309" s="45"/>
      <c r="R309" s="71"/>
      <c r="S309" s="71"/>
      <c r="T309" s="69" t="str">
        <f aca="false">IF(OR($R309="",$S309=""),"",IF($S309&gt;$R309,"Acima do limite","Dentro do limite"))</f>
        <v/>
      </c>
      <c r="U309" s="28"/>
      <c r="V309" s="28"/>
      <c r="W309" s="28"/>
      <c r="X309" s="140" t="n">
        <f aca="false">IFERROR(IF(OR($J309="",$K309=""),0,$J309*$K309),0)</f>
        <v>0</v>
      </c>
      <c r="Y309" s="44" t="n">
        <f aca="false">IFERROR(IF($X309=0,0,$X309*IF($O309="",$N309,$O309)),0)</f>
        <v>0</v>
      </c>
      <c r="Z309" s="60" t="str">
        <f aca="false">IF($L309="","",IF($L309&lt;0.5,"Balística / Velocidade (&lt;50%)",IF($L309&lt;0.7,"Velocidade-Força (50–69%)",IF($L309&lt;0.8,"Força-Velocidade (70–79%)",IF($L309&lt;0.9,"Força Máxima (80–89%)","Força Máxima Alta (≥90%)")))))</f>
        <v/>
      </c>
      <c r="AA309" s="27"/>
      <c r="AB309" s="27"/>
    </row>
    <row r="310" customFormat="false" ht="15" hidden="false" customHeight="false" outlineLevel="0" collapsed="false">
      <c r="A310" s="29"/>
      <c r="B310" s="33" t="n">
        <f aca="false">IF($A310="",0,INT(($A310-'Bloco Base'!$C$5)/7)+1)</f>
        <v>0</v>
      </c>
      <c r="C310" s="28"/>
      <c r="D310" s="28"/>
      <c r="E310" s="27"/>
      <c r="F310" s="28"/>
      <c r="G310" s="139"/>
      <c r="H310" s="27"/>
      <c r="I310" s="28"/>
      <c r="J310" s="28"/>
      <c r="K310" s="28"/>
      <c r="L310" s="71"/>
      <c r="M310" s="35" t="str">
        <f aca="false">IF($AB310="","",IFERROR(INDEX('Força 1RM'!$Q$8:$Y$47,MATCH(IF($E310="Equipe (todos)",$C$4,$E310),'Força 1RM'!$P$8:$P$47,0),MATCH($AB310,'Força 1RM'!$Q$7:$Y$7,0)),""))</f>
        <v/>
      </c>
      <c r="N310" s="30" t="n">
        <f aca="false">IFERROR(IF(OR($L310="",$M310="",$M310=0),0,ROUND($L310*$M310*2,0)/2),0)</f>
        <v>0</v>
      </c>
      <c r="O310" s="32"/>
      <c r="P310" s="42" t="str">
        <f aca="false">IFERROR(IF(OR($L310="",$I310="—",$I310=""),"",IF($I310="Agachamento",INDEX($AE$8:$AE$20,MATCH($L310,$AD$8:$AD$20,1)),IF($I310="Supino",INDEX($AF$8:$AF$20,MATCH($L310,$AD$8:$AD$20,1)),IF($I310="Terra",INDEX($AG$8:$AG$20,MATCH($L310,$AD$8:$AD$20,1)),"")))),"")</f>
        <v/>
      </c>
      <c r="Q310" s="45"/>
      <c r="R310" s="71"/>
      <c r="S310" s="71"/>
      <c r="T310" s="69" t="str">
        <f aca="false">IF(OR($R310="",$S310=""),"",IF($S310&gt;$R310,"Acima do limite","Dentro do limite"))</f>
        <v/>
      </c>
      <c r="U310" s="28"/>
      <c r="V310" s="28"/>
      <c r="W310" s="28"/>
      <c r="X310" s="140" t="n">
        <f aca="false">IFERROR(IF(OR($J310="",$K310=""),0,$J310*$K310),0)</f>
        <v>0</v>
      </c>
      <c r="Y310" s="44" t="n">
        <f aca="false">IFERROR(IF($X310=0,0,$X310*IF($O310="",$N310,$O310)),0)</f>
        <v>0</v>
      </c>
      <c r="Z310" s="60" t="str">
        <f aca="false">IF($L310="","",IF($L310&lt;0.5,"Balística / Velocidade (&lt;50%)",IF($L310&lt;0.7,"Velocidade-Força (50–69%)",IF($L310&lt;0.8,"Força-Velocidade (70–79%)",IF($L310&lt;0.9,"Força Máxima (80–89%)","Força Máxima Alta (≥90%)")))))</f>
        <v/>
      </c>
      <c r="AA310" s="27"/>
      <c r="AB310" s="27"/>
    </row>
    <row r="311" customFormat="false" ht="15" hidden="false" customHeight="false" outlineLevel="0" collapsed="false">
      <c r="A311" s="29"/>
      <c r="B311" s="33" t="n">
        <f aca="false">IF($A311="",0,INT(($A311-'Bloco Base'!$C$5)/7)+1)</f>
        <v>0</v>
      </c>
      <c r="C311" s="28"/>
      <c r="D311" s="28"/>
      <c r="E311" s="27"/>
      <c r="F311" s="28"/>
      <c r="G311" s="139"/>
      <c r="H311" s="27"/>
      <c r="I311" s="28"/>
      <c r="J311" s="28"/>
      <c r="K311" s="28"/>
      <c r="L311" s="71"/>
      <c r="M311" s="35" t="str">
        <f aca="false">IF($AB311="","",IFERROR(INDEX('Força 1RM'!$Q$8:$Y$47,MATCH(IF($E311="Equipe (todos)",$C$4,$E311),'Força 1RM'!$P$8:$P$47,0),MATCH($AB311,'Força 1RM'!$Q$7:$Y$7,0)),""))</f>
        <v/>
      </c>
      <c r="N311" s="30" t="n">
        <f aca="false">IFERROR(IF(OR($L311="",$M311="",$M311=0),0,ROUND($L311*$M311*2,0)/2),0)</f>
        <v>0</v>
      </c>
      <c r="O311" s="32"/>
      <c r="P311" s="42" t="str">
        <f aca="false">IFERROR(IF(OR($L311="",$I311="—",$I311=""),"",IF($I311="Agachamento",INDEX($AE$8:$AE$20,MATCH($L311,$AD$8:$AD$20,1)),IF($I311="Supino",INDEX($AF$8:$AF$20,MATCH($L311,$AD$8:$AD$20,1)),IF($I311="Terra",INDEX($AG$8:$AG$20,MATCH($L311,$AD$8:$AD$20,1)),"")))),"")</f>
        <v/>
      </c>
      <c r="Q311" s="45"/>
      <c r="R311" s="71"/>
      <c r="S311" s="71"/>
      <c r="T311" s="69" t="str">
        <f aca="false">IF(OR($R311="",$S311=""),"",IF($S311&gt;$R311,"Acima do limite","Dentro do limite"))</f>
        <v/>
      </c>
      <c r="U311" s="28"/>
      <c r="V311" s="28"/>
      <c r="W311" s="28"/>
      <c r="X311" s="140" t="n">
        <f aca="false">IFERROR(IF(OR($J311="",$K311=""),0,$J311*$K311),0)</f>
        <v>0</v>
      </c>
      <c r="Y311" s="44" t="n">
        <f aca="false">IFERROR(IF($X311=0,0,$X311*IF($O311="",$N311,$O311)),0)</f>
        <v>0</v>
      </c>
      <c r="Z311" s="60" t="str">
        <f aca="false">IF($L311="","",IF($L311&lt;0.5,"Balística / Velocidade (&lt;50%)",IF($L311&lt;0.7,"Velocidade-Força (50–69%)",IF($L311&lt;0.8,"Força-Velocidade (70–79%)",IF($L311&lt;0.9,"Força Máxima (80–89%)","Força Máxima Alta (≥90%)")))))</f>
        <v/>
      </c>
      <c r="AA311" s="27"/>
      <c r="AB311" s="27"/>
    </row>
    <row r="312" customFormat="false" ht="15" hidden="false" customHeight="false" outlineLevel="0" collapsed="false">
      <c r="A312" s="29"/>
      <c r="B312" s="33" t="n">
        <f aca="false">IF($A312="",0,INT(($A312-'Bloco Base'!$C$5)/7)+1)</f>
        <v>0</v>
      </c>
      <c r="C312" s="28"/>
      <c r="D312" s="28"/>
      <c r="E312" s="27"/>
      <c r="F312" s="28"/>
      <c r="G312" s="139"/>
      <c r="H312" s="27"/>
      <c r="I312" s="28"/>
      <c r="J312" s="28"/>
      <c r="K312" s="28"/>
      <c r="L312" s="71"/>
      <c r="M312" s="35" t="str">
        <f aca="false">IF($AB312="","",IFERROR(INDEX('Força 1RM'!$Q$8:$Y$47,MATCH(IF($E312="Equipe (todos)",$C$4,$E312),'Força 1RM'!$P$8:$P$47,0),MATCH($AB312,'Força 1RM'!$Q$7:$Y$7,0)),""))</f>
        <v/>
      </c>
      <c r="N312" s="30" t="n">
        <f aca="false">IFERROR(IF(OR($L312="",$M312="",$M312=0),0,ROUND($L312*$M312*2,0)/2),0)</f>
        <v>0</v>
      </c>
      <c r="O312" s="32"/>
      <c r="P312" s="42" t="str">
        <f aca="false">IFERROR(IF(OR($L312="",$I312="—",$I312=""),"",IF($I312="Agachamento",INDEX($AE$8:$AE$20,MATCH($L312,$AD$8:$AD$20,1)),IF($I312="Supino",INDEX($AF$8:$AF$20,MATCH($L312,$AD$8:$AD$20,1)),IF($I312="Terra",INDEX($AG$8:$AG$20,MATCH($L312,$AD$8:$AD$20,1)),"")))),"")</f>
        <v/>
      </c>
      <c r="Q312" s="45"/>
      <c r="R312" s="71"/>
      <c r="S312" s="71"/>
      <c r="T312" s="69" t="str">
        <f aca="false">IF(OR($R312="",$S312=""),"",IF($S312&gt;$R312,"Acima do limite","Dentro do limite"))</f>
        <v/>
      </c>
      <c r="U312" s="28"/>
      <c r="V312" s="28"/>
      <c r="W312" s="28"/>
      <c r="X312" s="140" t="n">
        <f aca="false">IFERROR(IF(OR($J312="",$K312=""),0,$J312*$K312),0)</f>
        <v>0</v>
      </c>
      <c r="Y312" s="44" t="n">
        <f aca="false">IFERROR(IF($X312=0,0,$X312*IF($O312="",$N312,$O312)),0)</f>
        <v>0</v>
      </c>
      <c r="Z312" s="60" t="str">
        <f aca="false">IF($L312="","",IF($L312&lt;0.5,"Balística / Velocidade (&lt;50%)",IF($L312&lt;0.7,"Velocidade-Força (50–69%)",IF($L312&lt;0.8,"Força-Velocidade (70–79%)",IF($L312&lt;0.9,"Força Máxima (80–89%)","Força Máxima Alta (≥90%)")))))</f>
        <v/>
      </c>
      <c r="AA312" s="27"/>
      <c r="AB312" s="27"/>
    </row>
    <row r="313" customFormat="false" ht="15" hidden="false" customHeight="false" outlineLevel="0" collapsed="false">
      <c r="A313" s="29"/>
      <c r="B313" s="33" t="n">
        <f aca="false">IF($A313="",0,INT(($A313-'Bloco Base'!$C$5)/7)+1)</f>
        <v>0</v>
      </c>
      <c r="C313" s="28"/>
      <c r="D313" s="28"/>
      <c r="E313" s="27"/>
      <c r="F313" s="28"/>
      <c r="G313" s="139"/>
      <c r="H313" s="27"/>
      <c r="I313" s="28"/>
      <c r="J313" s="28"/>
      <c r="K313" s="28"/>
      <c r="L313" s="71"/>
      <c r="M313" s="35" t="str">
        <f aca="false">IF($AB313="","",IFERROR(INDEX('Força 1RM'!$Q$8:$Y$47,MATCH(IF($E313="Equipe (todos)",$C$4,$E313),'Força 1RM'!$P$8:$P$47,0),MATCH($AB313,'Força 1RM'!$Q$7:$Y$7,0)),""))</f>
        <v/>
      </c>
      <c r="N313" s="30" t="n">
        <f aca="false">IFERROR(IF(OR($L313="",$M313="",$M313=0),0,ROUND($L313*$M313*2,0)/2),0)</f>
        <v>0</v>
      </c>
      <c r="O313" s="32"/>
      <c r="P313" s="42" t="str">
        <f aca="false">IFERROR(IF(OR($L313="",$I313="—",$I313=""),"",IF($I313="Agachamento",INDEX($AE$8:$AE$20,MATCH($L313,$AD$8:$AD$20,1)),IF($I313="Supino",INDEX($AF$8:$AF$20,MATCH($L313,$AD$8:$AD$20,1)),IF($I313="Terra",INDEX($AG$8:$AG$20,MATCH($L313,$AD$8:$AD$20,1)),"")))),"")</f>
        <v/>
      </c>
      <c r="Q313" s="45"/>
      <c r="R313" s="71"/>
      <c r="S313" s="71"/>
      <c r="T313" s="69" t="str">
        <f aca="false">IF(OR($R313="",$S313=""),"",IF($S313&gt;$R313,"Acima do limite","Dentro do limite"))</f>
        <v/>
      </c>
      <c r="U313" s="28"/>
      <c r="V313" s="28"/>
      <c r="W313" s="28"/>
      <c r="X313" s="140" t="n">
        <f aca="false">IFERROR(IF(OR($J313="",$K313=""),0,$J313*$K313),0)</f>
        <v>0</v>
      </c>
      <c r="Y313" s="44" t="n">
        <f aca="false">IFERROR(IF($X313=0,0,$X313*IF($O313="",$N313,$O313)),0)</f>
        <v>0</v>
      </c>
      <c r="Z313" s="60" t="str">
        <f aca="false">IF($L313="","",IF($L313&lt;0.5,"Balística / Velocidade (&lt;50%)",IF($L313&lt;0.7,"Velocidade-Força (50–69%)",IF($L313&lt;0.8,"Força-Velocidade (70–79%)",IF($L313&lt;0.9,"Força Máxima (80–89%)","Força Máxima Alta (≥90%)")))))</f>
        <v/>
      </c>
      <c r="AA313" s="27"/>
      <c r="AB313" s="27"/>
    </row>
    <row r="314" customFormat="false" ht="15" hidden="false" customHeight="false" outlineLevel="0" collapsed="false">
      <c r="A314" s="29"/>
      <c r="B314" s="33" t="n">
        <f aca="false">IF($A314="",0,INT(($A314-'Bloco Base'!$C$5)/7)+1)</f>
        <v>0</v>
      </c>
      <c r="C314" s="28"/>
      <c r="D314" s="28"/>
      <c r="E314" s="27"/>
      <c r="F314" s="28"/>
      <c r="G314" s="139"/>
      <c r="H314" s="27"/>
      <c r="I314" s="28"/>
      <c r="J314" s="28"/>
      <c r="K314" s="28"/>
      <c r="L314" s="71"/>
      <c r="M314" s="35" t="str">
        <f aca="false">IF($AB314="","",IFERROR(INDEX('Força 1RM'!$Q$8:$Y$47,MATCH(IF($E314="Equipe (todos)",$C$4,$E314),'Força 1RM'!$P$8:$P$47,0),MATCH($AB314,'Força 1RM'!$Q$7:$Y$7,0)),""))</f>
        <v/>
      </c>
      <c r="N314" s="30" t="n">
        <f aca="false">IFERROR(IF(OR($L314="",$M314="",$M314=0),0,ROUND($L314*$M314*2,0)/2),0)</f>
        <v>0</v>
      </c>
      <c r="O314" s="32"/>
      <c r="P314" s="42" t="str">
        <f aca="false">IFERROR(IF(OR($L314="",$I314="—",$I314=""),"",IF($I314="Agachamento",INDEX($AE$8:$AE$20,MATCH($L314,$AD$8:$AD$20,1)),IF($I314="Supino",INDEX($AF$8:$AF$20,MATCH($L314,$AD$8:$AD$20,1)),IF($I314="Terra",INDEX($AG$8:$AG$20,MATCH($L314,$AD$8:$AD$20,1)),"")))),"")</f>
        <v/>
      </c>
      <c r="Q314" s="45"/>
      <c r="R314" s="71"/>
      <c r="S314" s="71"/>
      <c r="T314" s="69" t="str">
        <f aca="false">IF(OR($R314="",$S314=""),"",IF($S314&gt;$R314,"Acima do limite","Dentro do limite"))</f>
        <v/>
      </c>
      <c r="U314" s="28"/>
      <c r="V314" s="28"/>
      <c r="W314" s="28"/>
      <c r="X314" s="140" t="n">
        <f aca="false">IFERROR(IF(OR($J314="",$K314=""),0,$J314*$K314),0)</f>
        <v>0</v>
      </c>
      <c r="Y314" s="44" t="n">
        <f aca="false">IFERROR(IF($X314=0,0,$X314*IF($O314="",$N314,$O314)),0)</f>
        <v>0</v>
      </c>
      <c r="Z314" s="60" t="str">
        <f aca="false">IF($L314="","",IF($L314&lt;0.5,"Balística / Velocidade (&lt;50%)",IF($L314&lt;0.7,"Velocidade-Força (50–69%)",IF($L314&lt;0.8,"Força-Velocidade (70–79%)",IF($L314&lt;0.9,"Força Máxima (80–89%)","Força Máxima Alta (≥90%)")))))</f>
        <v/>
      </c>
      <c r="AA314" s="27"/>
      <c r="AB314" s="27"/>
    </row>
    <row r="315" customFormat="false" ht="15" hidden="false" customHeight="false" outlineLevel="0" collapsed="false">
      <c r="A315" s="29"/>
      <c r="B315" s="33" t="n">
        <f aca="false">IF($A315="",0,INT(($A315-'Bloco Base'!$C$5)/7)+1)</f>
        <v>0</v>
      </c>
      <c r="C315" s="28"/>
      <c r="D315" s="28"/>
      <c r="E315" s="27"/>
      <c r="F315" s="28"/>
      <c r="G315" s="139"/>
      <c r="H315" s="27"/>
      <c r="I315" s="28"/>
      <c r="J315" s="28"/>
      <c r="K315" s="28"/>
      <c r="L315" s="71"/>
      <c r="M315" s="35" t="str">
        <f aca="false">IF($AB315="","",IFERROR(INDEX('Força 1RM'!$Q$8:$Y$47,MATCH(IF($E315="Equipe (todos)",$C$4,$E315),'Força 1RM'!$P$8:$P$47,0),MATCH($AB315,'Força 1RM'!$Q$7:$Y$7,0)),""))</f>
        <v/>
      </c>
      <c r="N315" s="30" t="n">
        <f aca="false">IFERROR(IF(OR($L315="",$M315="",$M315=0),0,ROUND($L315*$M315*2,0)/2),0)</f>
        <v>0</v>
      </c>
      <c r="O315" s="32"/>
      <c r="P315" s="42" t="str">
        <f aca="false">IFERROR(IF(OR($L315="",$I315="—",$I315=""),"",IF($I315="Agachamento",INDEX($AE$8:$AE$20,MATCH($L315,$AD$8:$AD$20,1)),IF($I315="Supino",INDEX($AF$8:$AF$20,MATCH($L315,$AD$8:$AD$20,1)),IF($I315="Terra",INDEX($AG$8:$AG$20,MATCH($L315,$AD$8:$AD$20,1)),"")))),"")</f>
        <v/>
      </c>
      <c r="Q315" s="45"/>
      <c r="R315" s="71"/>
      <c r="S315" s="71"/>
      <c r="T315" s="69" t="str">
        <f aca="false">IF(OR($R315="",$S315=""),"",IF($S315&gt;$R315,"Acima do limite","Dentro do limite"))</f>
        <v/>
      </c>
      <c r="U315" s="28"/>
      <c r="V315" s="28"/>
      <c r="W315" s="28"/>
      <c r="X315" s="140" t="n">
        <f aca="false">IFERROR(IF(OR($J315="",$K315=""),0,$J315*$K315),0)</f>
        <v>0</v>
      </c>
      <c r="Y315" s="44" t="n">
        <f aca="false">IFERROR(IF($X315=0,0,$X315*IF($O315="",$N315,$O315)),0)</f>
        <v>0</v>
      </c>
      <c r="Z315" s="60" t="str">
        <f aca="false">IF($L315="","",IF($L315&lt;0.5,"Balística / Velocidade (&lt;50%)",IF($L315&lt;0.7,"Velocidade-Força (50–69%)",IF($L315&lt;0.8,"Força-Velocidade (70–79%)",IF($L315&lt;0.9,"Força Máxima (80–89%)","Força Máxima Alta (≥90%)")))))</f>
        <v/>
      </c>
      <c r="AA315" s="27"/>
      <c r="AB315" s="27"/>
    </row>
    <row r="316" customFormat="false" ht="15" hidden="false" customHeight="false" outlineLevel="0" collapsed="false">
      <c r="A316" s="29"/>
      <c r="B316" s="33" t="n">
        <f aca="false">IF($A316="",0,INT(($A316-'Bloco Base'!$C$5)/7)+1)</f>
        <v>0</v>
      </c>
      <c r="C316" s="28"/>
      <c r="D316" s="28"/>
      <c r="E316" s="27"/>
      <c r="F316" s="28"/>
      <c r="G316" s="139"/>
      <c r="H316" s="27"/>
      <c r="I316" s="28"/>
      <c r="J316" s="28"/>
      <c r="K316" s="28"/>
      <c r="L316" s="71"/>
      <c r="M316" s="35" t="str">
        <f aca="false">IF($AB316="","",IFERROR(INDEX('Força 1RM'!$Q$8:$Y$47,MATCH(IF($E316="Equipe (todos)",$C$4,$E316),'Força 1RM'!$P$8:$P$47,0),MATCH($AB316,'Força 1RM'!$Q$7:$Y$7,0)),""))</f>
        <v/>
      </c>
      <c r="N316" s="30" t="n">
        <f aca="false">IFERROR(IF(OR($L316="",$M316="",$M316=0),0,ROUND($L316*$M316*2,0)/2),0)</f>
        <v>0</v>
      </c>
      <c r="O316" s="32"/>
      <c r="P316" s="42" t="str">
        <f aca="false">IFERROR(IF(OR($L316="",$I316="—",$I316=""),"",IF($I316="Agachamento",INDEX($AE$8:$AE$20,MATCH($L316,$AD$8:$AD$20,1)),IF($I316="Supino",INDEX($AF$8:$AF$20,MATCH($L316,$AD$8:$AD$20,1)),IF($I316="Terra",INDEX($AG$8:$AG$20,MATCH($L316,$AD$8:$AD$20,1)),"")))),"")</f>
        <v/>
      </c>
      <c r="Q316" s="45"/>
      <c r="R316" s="71"/>
      <c r="S316" s="71"/>
      <c r="T316" s="69" t="str">
        <f aca="false">IF(OR($R316="",$S316=""),"",IF($S316&gt;$R316,"Acima do limite","Dentro do limite"))</f>
        <v/>
      </c>
      <c r="U316" s="28"/>
      <c r="V316" s="28"/>
      <c r="W316" s="28"/>
      <c r="X316" s="140" t="n">
        <f aca="false">IFERROR(IF(OR($J316="",$K316=""),0,$J316*$K316),0)</f>
        <v>0</v>
      </c>
      <c r="Y316" s="44" t="n">
        <f aca="false">IFERROR(IF($X316=0,0,$X316*IF($O316="",$N316,$O316)),0)</f>
        <v>0</v>
      </c>
      <c r="Z316" s="60" t="str">
        <f aca="false">IF($L316="","",IF($L316&lt;0.5,"Balística / Velocidade (&lt;50%)",IF($L316&lt;0.7,"Velocidade-Força (50–69%)",IF($L316&lt;0.8,"Força-Velocidade (70–79%)",IF($L316&lt;0.9,"Força Máxima (80–89%)","Força Máxima Alta (≥90%)")))))</f>
        <v/>
      </c>
      <c r="AA316" s="27"/>
      <c r="AB316" s="27"/>
    </row>
    <row r="317" customFormat="false" ht="15" hidden="false" customHeight="false" outlineLevel="0" collapsed="false">
      <c r="A317" s="29"/>
      <c r="B317" s="33" t="n">
        <f aca="false">IF($A317="",0,INT(($A317-'Bloco Base'!$C$5)/7)+1)</f>
        <v>0</v>
      </c>
      <c r="C317" s="28"/>
      <c r="D317" s="28"/>
      <c r="E317" s="27"/>
      <c r="F317" s="28"/>
      <c r="G317" s="139"/>
      <c r="H317" s="27"/>
      <c r="I317" s="28"/>
      <c r="J317" s="28"/>
      <c r="K317" s="28"/>
      <c r="L317" s="71"/>
      <c r="M317" s="35" t="str">
        <f aca="false">IF($AB317="","",IFERROR(INDEX('Força 1RM'!$Q$8:$Y$47,MATCH(IF($E317="Equipe (todos)",$C$4,$E317),'Força 1RM'!$P$8:$P$47,0),MATCH($AB317,'Força 1RM'!$Q$7:$Y$7,0)),""))</f>
        <v/>
      </c>
      <c r="N317" s="30" t="n">
        <f aca="false">IFERROR(IF(OR($L317="",$M317="",$M317=0),0,ROUND($L317*$M317*2,0)/2),0)</f>
        <v>0</v>
      </c>
      <c r="O317" s="32"/>
      <c r="P317" s="42" t="str">
        <f aca="false">IFERROR(IF(OR($L317="",$I317="—",$I317=""),"",IF($I317="Agachamento",INDEX($AE$8:$AE$20,MATCH($L317,$AD$8:$AD$20,1)),IF($I317="Supino",INDEX($AF$8:$AF$20,MATCH($L317,$AD$8:$AD$20,1)),IF($I317="Terra",INDEX($AG$8:$AG$20,MATCH($L317,$AD$8:$AD$20,1)),"")))),"")</f>
        <v/>
      </c>
      <c r="Q317" s="45"/>
      <c r="R317" s="71"/>
      <c r="S317" s="71"/>
      <c r="T317" s="69" t="str">
        <f aca="false">IF(OR($R317="",$S317=""),"",IF($S317&gt;$R317,"Acima do limite","Dentro do limite"))</f>
        <v/>
      </c>
      <c r="U317" s="28"/>
      <c r="V317" s="28"/>
      <c r="W317" s="28"/>
      <c r="X317" s="140" t="n">
        <f aca="false">IFERROR(IF(OR($J317="",$K317=""),0,$J317*$K317),0)</f>
        <v>0</v>
      </c>
      <c r="Y317" s="44" t="n">
        <f aca="false">IFERROR(IF($X317=0,0,$X317*IF($O317="",$N317,$O317)),0)</f>
        <v>0</v>
      </c>
      <c r="Z317" s="60" t="str">
        <f aca="false">IF($L317="","",IF($L317&lt;0.5,"Balística / Velocidade (&lt;50%)",IF($L317&lt;0.7,"Velocidade-Força (50–69%)",IF($L317&lt;0.8,"Força-Velocidade (70–79%)",IF($L317&lt;0.9,"Força Máxima (80–89%)","Força Máxima Alta (≥90%)")))))</f>
        <v/>
      </c>
      <c r="AA317" s="27"/>
      <c r="AB317" s="27"/>
    </row>
    <row r="318" customFormat="false" ht="15" hidden="false" customHeight="false" outlineLevel="0" collapsed="false">
      <c r="A318" s="29"/>
      <c r="B318" s="33" t="n">
        <f aca="false">IF($A318="",0,INT(($A318-'Bloco Base'!$C$5)/7)+1)</f>
        <v>0</v>
      </c>
      <c r="C318" s="28"/>
      <c r="D318" s="28"/>
      <c r="E318" s="27"/>
      <c r="F318" s="28"/>
      <c r="G318" s="139"/>
      <c r="H318" s="27"/>
      <c r="I318" s="28"/>
      <c r="J318" s="28"/>
      <c r="K318" s="28"/>
      <c r="L318" s="71"/>
      <c r="M318" s="35" t="str">
        <f aca="false">IF($AB318="","",IFERROR(INDEX('Força 1RM'!$Q$8:$Y$47,MATCH(IF($E318="Equipe (todos)",$C$4,$E318),'Força 1RM'!$P$8:$P$47,0),MATCH($AB318,'Força 1RM'!$Q$7:$Y$7,0)),""))</f>
        <v/>
      </c>
      <c r="N318" s="30" t="n">
        <f aca="false">IFERROR(IF(OR($L318="",$M318="",$M318=0),0,ROUND($L318*$M318*2,0)/2),0)</f>
        <v>0</v>
      </c>
      <c r="O318" s="32"/>
      <c r="P318" s="42" t="str">
        <f aca="false">IFERROR(IF(OR($L318="",$I318="—",$I318=""),"",IF($I318="Agachamento",INDEX($AE$8:$AE$20,MATCH($L318,$AD$8:$AD$20,1)),IF($I318="Supino",INDEX($AF$8:$AF$20,MATCH($L318,$AD$8:$AD$20,1)),IF($I318="Terra",INDEX($AG$8:$AG$20,MATCH($L318,$AD$8:$AD$20,1)),"")))),"")</f>
        <v/>
      </c>
      <c r="Q318" s="45"/>
      <c r="R318" s="71"/>
      <c r="S318" s="71"/>
      <c r="T318" s="69" t="str">
        <f aca="false">IF(OR($R318="",$S318=""),"",IF($S318&gt;$R318,"Acima do limite","Dentro do limite"))</f>
        <v/>
      </c>
      <c r="U318" s="28"/>
      <c r="V318" s="28"/>
      <c r="W318" s="28"/>
      <c r="X318" s="140" t="n">
        <f aca="false">IFERROR(IF(OR($J318="",$K318=""),0,$J318*$K318),0)</f>
        <v>0</v>
      </c>
      <c r="Y318" s="44" t="n">
        <f aca="false">IFERROR(IF($X318=0,0,$X318*IF($O318="",$N318,$O318)),0)</f>
        <v>0</v>
      </c>
      <c r="Z318" s="60" t="str">
        <f aca="false">IF($L318="","",IF($L318&lt;0.5,"Balística / Velocidade (&lt;50%)",IF($L318&lt;0.7,"Velocidade-Força (50–69%)",IF($L318&lt;0.8,"Força-Velocidade (70–79%)",IF($L318&lt;0.9,"Força Máxima (80–89%)","Força Máxima Alta (≥90%)")))))</f>
        <v/>
      </c>
      <c r="AA318" s="27"/>
      <c r="AB318" s="27"/>
    </row>
    <row r="319" customFormat="false" ht="15" hidden="false" customHeight="false" outlineLevel="0" collapsed="false">
      <c r="A319" s="29"/>
      <c r="B319" s="33" t="n">
        <f aca="false">IF($A319="",0,INT(($A319-'Bloco Base'!$C$5)/7)+1)</f>
        <v>0</v>
      </c>
      <c r="C319" s="28"/>
      <c r="D319" s="28"/>
      <c r="E319" s="27"/>
      <c r="F319" s="28"/>
      <c r="G319" s="139"/>
      <c r="H319" s="27"/>
      <c r="I319" s="28"/>
      <c r="J319" s="28"/>
      <c r="K319" s="28"/>
      <c r="L319" s="71"/>
      <c r="M319" s="35" t="str">
        <f aca="false">IF($AB319="","",IFERROR(INDEX('Força 1RM'!$Q$8:$Y$47,MATCH(IF($E319="Equipe (todos)",$C$4,$E319),'Força 1RM'!$P$8:$P$47,0),MATCH($AB319,'Força 1RM'!$Q$7:$Y$7,0)),""))</f>
        <v/>
      </c>
      <c r="N319" s="30" t="n">
        <f aca="false">IFERROR(IF(OR($L319="",$M319="",$M319=0),0,ROUND($L319*$M319*2,0)/2),0)</f>
        <v>0</v>
      </c>
      <c r="O319" s="32"/>
      <c r="P319" s="42" t="str">
        <f aca="false">IFERROR(IF(OR($L319="",$I319="—",$I319=""),"",IF($I319="Agachamento",INDEX($AE$8:$AE$20,MATCH($L319,$AD$8:$AD$20,1)),IF($I319="Supino",INDEX($AF$8:$AF$20,MATCH($L319,$AD$8:$AD$20,1)),IF($I319="Terra",INDEX($AG$8:$AG$20,MATCH($L319,$AD$8:$AD$20,1)),"")))),"")</f>
        <v/>
      </c>
      <c r="Q319" s="45"/>
      <c r="R319" s="71"/>
      <c r="S319" s="71"/>
      <c r="T319" s="69" t="str">
        <f aca="false">IF(OR($R319="",$S319=""),"",IF($S319&gt;$R319,"Acima do limite","Dentro do limite"))</f>
        <v/>
      </c>
      <c r="U319" s="28"/>
      <c r="V319" s="28"/>
      <c r="W319" s="28"/>
      <c r="X319" s="140" t="n">
        <f aca="false">IFERROR(IF(OR($J319="",$K319=""),0,$J319*$K319),0)</f>
        <v>0</v>
      </c>
      <c r="Y319" s="44" t="n">
        <f aca="false">IFERROR(IF($X319=0,0,$X319*IF($O319="",$N319,$O319)),0)</f>
        <v>0</v>
      </c>
      <c r="Z319" s="60" t="str">
        <f aca="false">IF($L319="","",IF($L319&lt;0.5,"Balística / Velocidade (&lt;50%)",IF($L319&lt;0.7,"Velocidade-Força (50–69%)",IF($L319&lt;0.8,"Força-Velocidade (70–79%)",IF($L319&lt;0.9,"Força Máxima (80–89%)","Força Máxima Alta (≥90%)")))))</f>
        <v/>
      </c>
      <c r="AA319" s="27"/>
      <c r="AB319" s="27"/>
    </row>
    <row r="320" customFormat="false" ht="15" hidden="false" customHeight="false" outlineLevel="0" collapsed="false">
      <c r="A320" s="29"/>
      <c r="B320" s="33" t="n">
        <f aca="false">IF($A320="",0,INT(($A320-'Bloco Base'!$C$5)/7)+1)</f>
        <v>0</v>
      </c>
      <c r="C320" s="28"/>
      <c r="D320" s="28"/>
      <c r="E320" s="27"/>
      <c r="F320" s="28"/>
      <c r="G320" s="139"/>
      <c r="H320" s="27"/>
      <c r="I320" s="28"/>
      <c r="J320" s="28"/>
      <c r="K320" s="28"/>
      <c r="L320" s="71"/>
      <c r="M320" s="35" t="str">
        <f aca="false">IF($AB320="","",IFERROR(INDEX('Força 1RM'!$Q$8:$Y$47,MATCH(IF($E320="Equipe (todos)",$C$4,$E320),'Força 1RM'!$P$8:$P$47,0),MATCH($AB320,'Força 1RM'!$Q$7:$Y$7,0)),""))</f>
        <v/>
      </c>
      <c r="N320" s="30" t="n">
        <f aca="false">IFERROR(IF(OR($L320="",$M320="",$M320=0),0,ROUND($L320*$M320*2,0)/2),0)</f>
        <v>0</v>
      </c>
      <c r="O320" s="32"/>
      <c r="P320" s="42" t="str">
        <f aca="false">IFERROR(IF(OR($L320="",$I320="—",$I320=""),"",IF($I320="Agachamento",INDEX($AE$8:$AE$20,MATCH($L320,$AD$8:$AD$20,1)),IF($I320="Supino",INDEX($AF$8:$AF$20,MATCH($L320,$AD$8:$AD$20,1)),IF($I320="Terra",INDEX($AG$8:$AG$20,MATCH($L320,$AD$8:$AD$20,1)),"")))),"")</f>
        <v/>
      </c>
      <c r="Q320" s="45"/>
      <c r="R320" s="71"/>
      <c r="S320" s="71"/>
      <c r="T320" s="69" t="str">
        <f aca="false">IF(OR($R320="",$S320=""),"",IF($S320&gt;$R320,"Acima do limite","Dentro do limite"))</f>
        <v/>
      </c>
      <c r="U320" s="28"/>
      <c r="V320" s="28"/>
      <c r="W320" s="28"/>
      <c r="X320" s="140" t="n">
        <f aca="false">IFERROR(IF(OR($J320="",$K320=""),0,$J320*$K320),0)</f>
        <v>0</v>
      </c>
      <c r="Y320" s="44" t="n">
        <f aca="false">IFERROR(IF($X320=0,0,$X320*IF($O320="",$N320,$O320)),0)</f>
        <v>0</v>
      </c>
      <c r="Z320" s="60" t="str">
        <f aca="false">IF($L320="","",IF($L320&lt;0.5,"Balística / Velocidade (&lt;50%)",IF($L320&lt;0.7,"Velocidade-Força (50–69%)",IF($L320&lt;0.8,"Força-Velocidade (70–79%)",IF($L320&lt;0.9,"Força Máxima (80–89%)","Força Máxima Alta (≥90%)")))))</f>
        <v/>
      </c>
      <c r="AA320" s="27"/>
      <c r="AB320" s="27"/>
    </row>
    <row r="321" customFormat="false" ht="15" hidden="false" customHeight="false" outlineLevel="0" collapsed="false">
      <c r="A321" s="29"/>
      <c r="B321" s="33" t="n">
        <f aca="false">IF($A321="",0,INT(($A321-'Bloco Base'!$C$5)/7)+1)</f>
        <v>0</v>
      </c>
      <c r="C321" s="28"/>
      <c r="D321" s="28"/>
      <c r="E321" s="27"/>
      <c r="F321" s="28"/>
      <c r="G321" s="139"/>
      <c r="H321" s="27"/>
      <c r="I321" s="28"/>
      <c r="J321" s="28"/>
      <c r="K321" s="28"/>
      <c r="L321" s="71"/>
      <c r="M321" s="35" t="str">
        <f aca="false">IF($AB321="","",IFERROR(INDEX('Força 1RM'!$Q$8:$Y$47,MATCH(IF($E321="Equipe (todos)",$C$4,$E321),'Força 1RM'!$P$8:$P$47,0),MATCH($AB321,'Força 1RM'!$Q$7:$Y$7,0)),""))</f>
        <v/>
      </c>
      <c r="N321" s="30" t="n">
        <f aca="false">IFERROR(IF(OR($L321="",$M321="",$M321=0),0,ROUND($L321*$M321*2,0)/2),0)</f>
        <v>0</v>
      </c>
      <c r="O321" s="32"/>
      <c r="P321" s="42" t="str">
        <f aca="false">IFERROR(IF(OR($L321="",$I321="—",$I321=""),"",IF($I321="Agachamento",INDEX($AE$8:$AE$20,MATCH($L321,$AD$8:$AD$20,1)),IF($I321="Supino",INDEX($AF$8:$AF$20,MATCH($L321,$AD$8:$AD$20,1)),IF($I321="Terra",INDEX($AG$8:$AG$20,MATCH($L321,$AD$8:$AD$20,1)),"")))),"")</f>
        <v/>
      </c>
      <c r="Q321" s="45"/>
      <c r="R321" s="71"/>
      <c r="S321" s="71"/>
      <c r="T321" s="69" t="str">
        <f aca="false">IF(OR($R321="",$S321=""),"",IF($S321&gt;$R321,"Acima do limite","Dentro do limite"))</f>
        <v/>
      </c>
      <c r="U321" s="28"/>
      <c r="V321" s="28"/>
      <c r="W321" s="28"/>
      <c r="X321" s="140" t="n">
        <f aca="false">IFERROR(IF(OR($J321="",$K321=""),0,$J321*$K321),0)</f>
        <v>0</v>
      </c>
      <c r="Y321" s="44" t="n">
        <f aca="false">IFERROR(IF($X321=0,0,$X321*IF($O321="",$N321,$O321)),0)</f>
        <v>0</v>
      </c>
      <c r="Z321" s="60" t="str">
        <f aca="false">IF($L321="","",IF($L321&lt;0.5,"Balística / Velocidade (&lt;50%)",IF($L321&lt;0.7,"Velocidade-Força (50–69%)",IF($L321&lt;0.8,"Força-Velocidade (70–79%)",IF($L321&lt;0.9,"Força Máxima (80–89%)","Força Máxima Alta (≥90%)")))))</f>
        <v/>
      </c>
      <c r="AA321" s="27"/>
      <c r="AB321" s="27"/>
    </row>
    <row r="322" customFormat="false" ht="15" hidden="false" customHeight="false" outlineLevel="0" collapsed="false">
      <c r="A322" s="29"/>
      <c r="B322" s="33" t="n">
        <f aca="false">IF($A322="",0,INT(($A322-'Bloco Base'!$C$5)/7)+1)</f>
        <v>0</v>
      </c>
      <c r="C322" s="28"/>
      <c r="D322" s="28"/>
      <c r="E322" s="27"/>
      <c r="F322" s="28"/>
      <c r="G322" s="139"/>
      <c r="H322" s="27"/>
      <c r="I322" s="28"/>
      <c r="J322" s="28"/>
      <c r="K322" s="28"/>
      <c r="L322" s="71"/>
      <c r="M322" s="35" t="str">
        <f aca="false">IF($AB322="","",IFERROR(INDEX('Força 1RM'!$Q$8:$Y$47,MATCH(IF($E322="Equipe (todos)",$C$4,$E322),'Força 1RM'!$P$8:$P$47,0),MATCH($AB322,'Força 1RM'!$Q$7:$Y$7,0)),""))</f>
        <v/>
      </c>
      <c r="N322" s="30" t="n">
        <f aca="false">IFERROR(IF(OR($L322="",$M322="",$M322=0),0,ROUND($L322*$M322*2,0)/2),0)</f>
        <v>0</v>
      </c>
      <c r="O322" s="32"/>
      <c r="P322" s="42" t="str">
        <f aca="false">IFERROR(IF(OR($L322="",$I322="—",$I322=""),"",IF($I322="Agachamento",INDEX($AE$8:$AE$20,MATCH($L322,$AD$8:$AD$20,1)),IF($I322="Supino",INDEX($AF$8:$AF$20,MATCH($L322,$AD$8:$AD$20,1)),IF($I322="Terra",INDEX($AG$8:$AG$20,MATCH($L322,$AD$8:$AD$20,1)),"")))),"")</f>
        <v/>
      </c>
      <c r="Q322" s="45"/>
      <c r="R322" s="71"/>
      <c r="S322" s="71"/>
      <c r="T322" s="69" t="str">
        <f aca="false">IF(OR($R322="",$S322=""),"",IF($S322&gt;$R322,"Acima do limite","Dentro do limite"))</f>
        <v/>
      </c>
      <c r="U322" s="28"/>
      <c r="V322" s="28"/>
      <c r="W322" s="28"/>
      <c r="X322" s="140" t="n">
        <f aca="false">IFERROR(IF(OR($J322="",$K322=""),0,$J322*$K322),0)</f>
        <v>0</v>
      </c>
      <c r="Y322" s="44" t="n">
        <f aca="false">IFERROR(IF($X322=0,0,$X322*IF($O322="",$N322,$O322)),0)</f>
        <v>0</v>
      </c>
      <c r="Z322" s="60" t="str">
        <f aca="false">IF($L322="","",IF($L322&lt;0.5,"Balística / Velocidade (&lt;50%)",IF($L322&lt;0.7,"Velocidade-Força (50–69%)",IF($L322&lt;0.8,"Força-Velocidade (70–79%)",IF($L322&lt;0.9,"Força Máxima (80–89%)","Força Máxima Alta (≥90%)")))))</f>
        <v/>
      </c>
      <c r="AA322" s="27"/>
      <c r="AB322" s="27"/>
    </row>
    <row r="323" customFormat="false" ht="15" hidden="false" customHeight="false" outlineLevel="0" collapsed="false">
      <c r="A323" s="29"/>
      <c r="B323" s="33" t="n">
        <f aca="false">IF($A323="",0,INT(($A323-'Bloco Base'!$C$5)/7)+1)</f>
        <v>0</v>
      </c>
      <c r="C323" s="28"/>
      <c r="D323" s="28"/>
      <c r="E323" s="27"/>
      <c r="F323" s="28"/>
      <c r="G323" s="139"/>
      <c r="H323" s="27"/>
      <c r="I323" s="28"/>
      <c r="J323" s="28"/>
      <c r="K323" s="28"/>
      <c r="L323" s="71"/>
      <c r="M323" s="35" t="str">
        <f aca="false">IF($AB323="","",IFERROR(INDEX('Força 1RM'!$Q$8:$Y$47,MATCH(IF($E323="Equipe (todos)",$C$4,$E323),'Força 1RM'!$P$8:$P$47,0),MATCH($AB323,'Força 1RM'!$Q$7:$Y$7,0)),""))</f>
        <v/>
      </c>
      <c r="N323" s="30" t="n">
        <f aca="false">IFERROR(IF(OR($L323="",$M323="",$M323=0),0,ROUND($L323*$M323*2,0)/2),0)</f>
        <v>0</v>
      </c>
      <c r="O323" s="32"/>
      <c r="P323" s="42" t="str">
        <f aca="false">IFERROR(IF(OR($L323="",$I323="—",$I323=""),"",IF($I323="Agachamento",INDEX($AE$8:$AE$20,MATCH($L323,$AD$8:$AD$20,1)),IF($I323="Supino",INDEX($AF$8:$AF$20,MATCH($L323,$AD$8:$AD$20,1)),IF($I323="Terra",INDEX($AG$8:$AG$20,MATCH($L323,$AD$8:$AD$20,1)),"")))),"")</f>
        <v/>
      </c>
      <c r="Q323" s="45"/>
      <c r="R323" s="71"/>
      <c r="S323" s="71"/>
      <c r="T323" s="69" t="str">
        <f aca="false">IF(OR($R323="",$S323=""),"",IF($S323&gt;$R323,"Acima do limite","Dentro do limite"))</f>
        <v/>
      </c>
      <c r="U323" s="28"/>
      <c r="V323" s="28"/>
      <c r="W323" s="28"/>
      <c r="X323" s="140" t="n">
        <f aca="false">IFERROR(IF(OR($J323="",$K323=""),0,$J323*$K323),0)</f>
        <v>0</v>
      </c>
      <c r="Y323" s="44" t="n">
        <f aca="false">IFERROR(IF($X323=0,0,$X323*IF($O323="",$N323,$O323)),0)</f>
        <v>0</v>
      </c>
      <c r="Z323" s="60" t="str">
        <f aca="false">IF($L323="","",IF($L323&lt;0.5,"Balística / Velocidade (&lt;50%)",IF($L323&lt;0.7,"Velocidade-Força (50–69%)",IF($L323&lt;0.8,"Força-Velocidade (70–79%)",IF($L323&lt;0.9,"Força Máxima (80–89%)","Força Máxima Alta (≥90%)")))))</f>
        <v/>
      </c>
      <c r="AA323" s="27"/>
      <c r="AB323" s="27"/>
    </row>
    <row r="324" customFormat="false" ht="15" hidden="false" customHeight="false" outlineLevel="0" collapsed="false">
      <c r="A324" s="29"/>
      <c r="B324" s="33" t="n">
        <f aca="false">IF($A324="",0,INT(($A324-'Bloco Base'!$C$5)/7)+1)</f>
        <v>0</v>
      </c>
      <c r="C324" s="28"/>
      <c r="D324" s="28"/>
      <c r="E324" s="27"/>
      <c r="F324" s="28"/>
      <c r="G324" s="139"/>
      <c r="H324" s="27"/>
      <c r="I324" s="28"/>
      <c r="J324" s="28"/>
      <c r="K324" s="28"/>
      <c r="L324" s="71"/>
      <c r="M324" s="35" t="str">
        <f aca="false">IF($AB324="","",IFERROR(INDEX('Força 1RM'!$Q$8:$Y$47,MATCH(IF($E324="Equipe (todos)",$C$4,$E324),'Força 1RM'!$P$8:$P$47,0),MATCH($AB324,'Força 1RM'!$Q$7:$Y$7,0)),""))</f>
        <v/>
      </c>
      <c r="N324" s="30" t="n">
        <f aca="false">IFERROR(IF(OR($L324="",$M324="",$M324=0),0,ROUND($L324*$M324*2,0)/2),0)</f>
        <v>0</v>
      </c>
      <c r="O324" s="32"/>
      <c r="P324" s="42" t="str">
        <f aca="false">IFERROR(IF(OR($L324="",$I324="—",$I324=""),"",IF($I324="Agachamento",INDEX($AE$8:$AE$20,MATCH($L324,$AD$8:$AD$20,1)),IF($I324="Supino",INDEX($AF$8:$AF$20,MATCH($L324,$AD$8:$AD$20,1)),IF($I324="Terra",INDEX($AG$8:$AG$20,MATCH($L324,$AD$8:$AD$20,1)),"")))),"")</f>
        <v/>
      </c>
      <c r="Q324" s="45"/>
      <c r="R324" s="71"/>
      <c r="S324" s="71"/>
      <c r="T324" s="69" t="str">
        <f aca="false">IF(OR($R324="",$S324=""),"",IF($S324&gt;$R324,"Acima do limite","Dentro do limite"))</f>
        <v/>
      </c>
      <c r="U324" s="28"/>
      <c r="V324" s="28"/>
      <c r="W324" s="28"/>
      <c r="X324" s="140" t="n">
        <f aca="false">IFERROR(IF(OR($J324="",$K324=""),0,$J324*$K324),0)</f>
        <v>0</v>
      </c>
      <c r="Y324" s="44" t="n">
        <f aca="false">IFERROR(IF($X324=0,0,$X324*IF($O324="",$N324,$O324)),0)</f>
        <v>0</v>
      </c>
      <c r="Z324" s="60" t="str">
        <f aca="false">IF($L324="","",IF($L324&lt;0.5,"Balística / Velocidade (&lt;50%)",IF($L324&lt;0.7,"Velocidade-Força (50–69%)",IF($L324&lt;0.8,"Força-Velocidade (70–79%)",IF($L324&lt;0.9,"Força Máxima (80–89%)","Força Máxima Alta (≥90%)")))))</f>
        <v/>
      </c>
      <c r="AA324" s="27"/>
      <c r="AB324" s="27"/>
    </row>
    <row r="325" customFormat="false" ht="15" hidden="false" customHeight="false" outlineLevel="0" collapsed="false">
      <c r="A325" s="29"/>
      <c r="B325" s="33" t="n">
        <f aca="false">IF($A325="",0,INT(($A325-'Bloco Base'!$C$5)/7)+1)</f>
        <v>0</v>
      </c>
      <c r="C325" s="28"/>
      <c r="D325" s="28"/>
      <c r="E325" s="27"/>
      <c r="F325" s="28"/>
      <c r="G325" s="139"/>
      <c r="H325" s="27"/>
      <c r="I325" s="28"/>
      <c r="J325" s="28"/>
      <c r="K325" s="28"/>
      <c r="L325" s="71"/>
      <c r="M325" s="35" t="str">
        <f aca="false">IF($AB325="","",IFERROR(INDEX('Força 1RM'!$Q$8:$Y$47,MATCH(IF($E325="Equipe (todos)",$C$4,$E325),'Força 1RM'!$P$8:$P$47,0),MATCH($AB325,'Força 1RM'!$Q$7:$Y$7,0)),""))</f>
        <v/>
      </c>
      <c r="N325" s="30" t="n">
        <f aca="false">IFERROR(IF(OR($L325="",$M325="",$M325=0),0,ROUND($L325*$M325*2,0)/2),0)</f>
        <v>0</v>
      </c>
      <c r="O325" s="32"/>
      <c r="P325" s="42" t="str">
        <f aca="false">IFERROR(IF(OR($L325="",$I325="—",$I325=""),"",IF($I325="Agachamento",INDEX($AE$8:$AE$20,MATCH($L325,$AD$8:$AD$20,1)),IF($I325="Supino",INDEX($AF$8:$AF$20,MATCH($L325,$AD$8:$AD$20,1)),IF($I325="Terra",INDEX($AG$8:$AG$20,MATCH($L325,$AD$8:$AD$20,1)),"")))),"")</f>
        <v/>
      </c>
      <c r="Q325" s="45"/>
      <c r="R325" s="71"/>
      <c r="S325" s="71"/>
      <c r="T325" s="69" t="str">
        <f aca="false">IF(OR($R325="",$S325=""),"",IF($S325&gt;$R325,"Acima do limite","Dentro do limite"))</f>
        <v/>
      </c>
      <c r="U325" s="28"/>
      <c r="V325" s="28"/>
      <c r="W325" s="28"/>
      <c r="X325" s="140" t="n">
        <f aca="false">IFERROR(IF(OR($J325="",$K325=""),0,$J325*$K325),0)</f>
        <v>0</v>
      </c>
      <c r="Y325" s="44" t="n">
        <f aca="false">IFERROR(IF($X325=0,0,$X325*IF($O325="",$N325,$O325)),0)</f>
        <v>0</v>
      </c>
      <c r="Z325" s="60" t="str">
        <f aca="false">IF($L325="","",IF($L325&lt;0.5,"Balística / Velocidade (&lt;50%)",IF($L325&lt;0.7,"Velocidade-Força (50–69%)",IF($L325&lt;0.8,"Força-Velocidade (70–79%)",IF($L325&lt;0.9,"Força Máxima (80–89%)","Força Máxima Alta (≥90%)")))))</f>
        <v/>
      </c>
      <c r="AA325" s="27"/>
      <c r="AB325" s="27"/>
    </row>
    <row r="326" customFormat="false" ht="15" hidden="false" customHeight="false" outlineLevel="0" collapsed="false">
      <c r="A326" s="29"/>
      <c r="B326" s="33" t="n">
        <f aca="false">IF($A326="",0,INT(($A326-'Bloco Base'!$C$5)/7)+1)</f>
        <v>0</v>
      </c>
      <c r="C326" s="28"/>
      <c r="D326" s="28"/>
      <c r="E326" s="27"/>
      <c r="F326" s="28"/>
      <c r="G326" s="139"/>
      <c r="H326" s="27"/>
      <c r="I326" s="28"/>
      <c r="J326" s="28"/>
      <c r="K326" s="28"/>
      <c r="L326" s="71"/>
      <c r="M326" s="35" t="str">
        <f aca="false">IF($AB326="","",IFERROR(INDEX('Força 1RM'!$Q$8:$Y$47,MATCH(IF($E326="Equipe (todos)",$C$4,$E326),'Força 1RM'!$P$8:$P$47,0),MATCH($AB326,'Força 1RM'!$Q$7:$Y$7,0)),""))</f>
        <v/>
      </c>
      <c r="N326" s="30" t="n">
        <f aca="false">IFERROR(IF(OR($L326="",$M326="",$M326=0),0,ROUND($L326*$M326*2,0)/2),0)</f>
        <v>0</v>
      </c>
      <c r="O326" s="32"/>
      <c r="P326" s="42" t="str">
        <f aca="false">IFERROR(IF(OR($L326="",$I326="—",$I326=""),"",IF($I326="Agachamento",INDEX($AE$8:$AE$20,MATCH($L326,$AD$8:$AD$20,1)),IF($I326="Supino",INDEX($AF$8:$AF$20,MATCH($L326,$AD$8:$AD$20,1)),IF($I326="Terra",INDEX($AG$8:$AG$20,MATCH($L326,$AD$8:$AD$20,1)),"")))),"")</f>
        <v/>
      </c>
      <c r="Q326" s="45"/>
      <c r="R326" s="71"/>
      <c r="S326" s="71"/>
      <c r="T326" s="69" t="str">
        <f aca="false">IF(OR($R326="",$S326=""),"",IF($S326&gt;$R326,"Acima do limite","Dentro do limite"))</f>
        <v/>
      </c>
      <c r="U326" s="28"/>
      <c r="V326" s="28"/>
      <c r="W326" s="28"/>
      <c r="X326" s="140" t="n">
        <f aca="false">IFERROR(IF(OR($J326="",$K326=""),0,$J326*$K326),0)</f>
        <v>0</v>
      </c>
      <c r="Y326" s="44" t="n">
        <f aca="false">IFERROR(IF($X326=0,0,$X326*IF($O326="",$N326,$O326)),0)</f>
        <v>0</v>
      </c>
      <c r="Z326" s="60" t="str">
        <f aca="false">IF($L326="","",IF($L326&lt;0.5,"Balística / Velocidade (&lt;50%)",IF($L326&lt;0.7,"Velocidade-Força (50–69%)",IF($L326&lt;0.8,"Força-Velocidade (70–79%)",IF($L326&lt;0.9,"Força Máxima (80–89%)","Força Máxima Alta (≥90%)")))))</f>
        <v/>
      </c>
      <c r="AA326" s="27"/>
      <c r="AB326" s="27"/>
    </row>
    <row r="327" customFormat="false" ht="15" hidden="false" customHeight="false" outlineLevel="0" collapsed="false">
      <c r="A327" s="29"/>
      <c r="B327" s="33" t="n">
        <f aca="false">IF($A327="",0,INT(($A327-'Bloco Base'!$C$5)/7)+1)</f>
        <v>0</v>
      </c>
      <c r="C327" s="28"/>
      <c r="D327" s="28"/>
      <c r="E327" s="27"/>
      <c r="F327" s="28"/>
      <c r="G327" s="139"/>
      <c r="H327" s="27"/>
      <c r="I327" s="28"/>
      <c r="J327" s="28"/>
      <c r="K327" s="28"/>
      <c r="L327" s="71"/>
      <c r="M327" s="35" t="str">
        <f aca="false">IF($AB327="","",IFERROR(INDEX('Força 1RM'!$Q$8:$Y$47,MATCH(IF($E327="Equipe (todos)",$C$4,$E327),'Força 1RM'!$P$8:$P$47,0),MATCH($AB327,'Força 1RM'!$Q$7:$Y$7,0)),""))</f>
        <v/>
      </c>
      <c r="N327" s="30" t="n">
        <f aca="false">IFERROR(IF(OR($L327="",$M327="",$M327=0),0,ROUND($L327*$M327*2,0)/2),0)</f>
        <v>0</v>
      </c>
      <c r="O327" s="32"/>
      <c r="P327" s="42" t="str">
        <f aca="false">IFERROR(IF(OR($L327="",$I327="—",$I327=""),"",IF($I327="Agachamento",INDEX($AE$8:$AE$20,MATCH($L327,$AD$8:$AD$20,1)),IF($I327="Supino",INDEX($AF$8:$AF$20,MATCH($L327,$AD$8:$AD$20,1)),IF($I327="Terra",INDEX($AG$8:$AG$20,MATCH($L327,$AD$8:$AD$20,1)),"")))),"")</f>
        <v/>
      </c>
      <c r="Q327" s="45"/>
      <c r="R327" s="71"/>
      <c r="S327" s="71"/>
      <c r="T327" s="69" t="str">
        <f aca="false">IF(OR($R327="",$S327=""),"",IF($S327&gt;$R327,"Acima do limite","Dentro do limite"))</f>
        <v/>
      </c>
      <c r="U327" s="28"/>
      <c r="V327" s="28"/>
      <c r="W327" s="28"/>
      <c r="X327" s="140" t="n">
        <f aca="false">IFERROR(IF(OR($J327="",$K327=""),0,$J327*$K327),0)</f>
        <v>0</v>
      </c>
      <c r="Y327" s="44" t="n">
        <f aca="false">IFERROR(IF($X327=0,0,$X327*IF($O327="",$N327,$O327)),0)</f>
        <v>0</v>
      </c>
      <c r="Z327" s="60" t="str">
        <f aca="false">IF($L327="","",IF($L327&lt;0.5,"Balística / Velocidade (&lt;50%)",IF($L327&lt;0.7,"Velocidade-Força (50–69%)",IF($L327&lt;0.8,"Força-Velocidade (70–79%)",IF($L327&lt;0.9,"Força Máxima (80–89%)","Força Máxima Alta (≥90%)")))))</f>
        <v/>
      </c>
      <c r="AA327" s="27"/>
      <c r="AB327" s="27"/>
    </row>
    <row r="328" customFormat="false" ht="15" hidden="false" customHeight="false" outlineLevel="0" collapsed="false">
      <c r="A328" s="29"/>
      <c r="B328" s="33" t="n">
        <f aca="false">IF($A328="",0,INT(($A328-'Bloco Base'!$C$5)/7)+1)</f>
        <v>0</v>
      </c>
      <c r="C328" s="28"/>
      <c r="D328" s="28"/>
      <c r="E328" s="27"/>
      <c r="F328" s="28"/>
      <c r="G328" s="139"/>
      <c r="H328" s="27"/>
      <c r="I328" s="28"/>
      <c r="J328" s="28"/>
      <c r="K328" s="28"/>
      <c r="L328" s="71"/>
      <c r="M328" s="35" t="str">
        <f aca="false">IF($AB328="","",IFERROR(INDEX('Força 1RM'!$Q$8:$Y$47,MATCH(IF($E328="Equipe (todos)",$C$4,$E328),'Força 1RM'!$P$8:$P$47,0),MATCH($AB328,'Força 1RM'!$Q$7:$Y$7,0)),""))</f>
        <v/>
      </c>
      <c r="N328" s="30" t="n">
        <f aca="false">IFERROR(IF(OR($L328="",$M328="",$M328=0),0,ROUND($L328*$M328*2,0)/2),0)</f>
        <v>0</v>
      </c>
      <c r="O328" s="32"/>
      <c r="P328" s="42" t="str">
        <f aca="false">IFERROR(IF(OR($L328="",$I328="—",$I328=""),"",IF($I328="Agachamento",INDEX($AE$8:$AE$20,MATCH($L328,$AD$8:$AD$20,1)),IF($I328="Supino",INDEX($AF$8:$AF$20,MATCH($L328,$AD$8:$AD$20,1)),IF($I328="Terra",INDEX($AG$8:$AG$20,MATCH($L328,$AD$8:$AD$20,1)),"")))),"")</f>
        <v/>
      </c>
      <c r="Q328" s="45"/>
      <c r="R328" s="71"/>
      <c r="S328" s="71"/>
      <c r="T328" s="69" t="str">
        <f aca="false">IF(OR($R328="",$S328=""),"",IF($S328&gt;$R328,"Acima do limite","Dentro do limite"))</f>
        <v/>
      </c>
      <c r="U328" s="28"/>
      <c r="V328" s="28"/>
      <c r="W328" s="28"/>
      <c r="X328" s="140" t="n">
        <f aca="false">IFERROR(IF(OR($J328="",$K328=""),0,$J328*$K328),0)</f>
        <v>0</v>
      </c>
      <c r="Y328" s="44" t="n">
        <f aca="false">IFERROR(IF($X328=0,0,$X328*IF($O328="",$N328,$O328)),0)</f>
        <v>0</v>
      </c>
      <c r="Z328" s="60" t="str">
        <f aca="false">IF($L328="","",IF($L328&lt;0.5,"Balística / Velocidade (&lt;50%)",IF($L328&lt;0.7,"Velocidade-Força (50–69%)",IF($L328&lt;0.8,"Força-Velocidade (70–79%)",IF($L328&lt;0.9,"Força Máxima (80–89%)","Força Máxima Alta (≥90%)")))))</f>
        <v/>
      </c>
      <c r="AA328" s="27"/>
      <c r="AB328" s="27"/>
    </row>
    <row r="329" customFormat="false" ht="15" hidden="false" customHeight="false" outlineLevel="0" collapsed="false">
      <c r="A329" s="29"/>
      <c r="B329" s="33" t="n">
        <f aca="false">IF($A329="",0,INT(($A329-'Bloco Base'!$C$5)/7)+1)</f>
        <v>0</v>
      </c>
      <c r="C329" s="28"/>
      <c r="D329" s="28"/>
      <c r="E329" s="27"/>
      <c r="F329" s="28"/>
      <c r="G329" s="139"/>
      <c r="H329" s="27"/>
      <c r="I329" s="28"/>
      <c r="J329" s="28"/>
      <c r="K329" s="28"/>
      <c r="L329" s="71"/>
      <c r="M329" s="35" t="str">
        <f aca="false">IF($AB329="","",IFERROR(INDEX('Força 1RM'!$Q$8:$Y$47,MATCH(IF($E329="Equipe (todos)",$C$4,$E329),'Força 1RM'!$P$8:$P$47,0),MATCH($AB329,'Força 1RM'!$Q$7:$Y$7,0)),""))</f>
        <v/>
      </c>
      <c r="N329" s="30" t="n">
        <f aca="false">IFERROR(IF(OR($L329="",$M329="",$M329=0),0,ROUND($L329*$M329*2,0)/2),0)</f>
        <v>0</v>
      </c>
      <c r="O329" s="32"/>
      <c r="P329" s="42" t="str">
        <f aca="false">IFERROR(IF(OR($L329="",$I329="—",$I329=""),"",IF($I329="Agachamento",INDEX($AE$8:$AE$20,MATCH($L329,$AD$8:$AD$20,1)),IF($I329="Supino",INDEX($AF$8:$AF$20,MATCH($L329,$AD$8:$AD$20,1)),IF($I329="Terra",INDEX($AG$8:$AG$20,MATCH($L329,$AD$8:$AD$20,1)),"")))),"")</f>
        <v/>
      </c>
      <c r="Q329" s="45"/>
      <c r="R329" s="71"/>
      <c r="S329" s="71"/>
      <c r="T329" s="69" t="str">
        <f aca="false">IF(OR($R329="",$S329=""),"",IF($S329&gt;$R329,"Acima do limite","Dentro do limite"))</f>
        <v/>
      </c>
      <c r="U329" s="28"/>
      <c r="V329" s="28"/>
      <c r="W329" s="28"/>
      <c r="X329" s="140" t="n">
        <f aca="false">IFERROR(IF(OR($J329="",$K329=""),0,$J329*$K329),0)</f>
        <v>0</v>
      </c>
      <c r="Y329" s="44" t="n">
        <f aca="false">IFERROR(IF($X329=0,0,$X329*IF($O329="",$N329,$O329)),0)</f>
        <v>0</v>
      </c>
      <c r="Z329" s="60" t="str">
        <f aca="false">IF($L329="","",IF($L329&lt;0.5,"Balística / Velocidade (&lt;50%)",IF($L329&lt;0.7,"Velocidade-Força (50–69%)",IF($L329&lt;0.8,"Força-Velocidade (70–79%)",IF($L329&lt;0.9,"Força Máxima (80–89%)","Força Máxima Alta (≥90%)")))))</f>
        <v/>
      </c>
      <c r="AA329" s="27"/>
      <c r="AB329" s="27"/>
    </row>
    <row r="330" customFormat="false" ht="15" hidden="false" customHeight="false" outlineLevel="0" collapsed="false">
      <c r="A330" s="29"/>
      <c r="B330" s="33" t="n">
        <f aca="false">IF($A330="",0,INT(($A330-'Bloco Base'!$C$5)/7)+1)</f>
        <v>0</v>
      </c>
      <c r="C330" s="28"/>
      <c r="D330" s="28"/>
      <c r="E330" s="27"/>
      <c r="F330" s="28"/>
      <c r="G330" s="139"/>
      <c r="H330" s="27"/>
      <c r="I330" s="28"/>
      <c r="J330" s="28"/>
      <c r="K330" s="28"/>
      <c r="L330" s="71"/>
      <c r="M330" s="35" t="str">
        <f aca="false">IF($AB330="","",IFERROR(INDEX('Força 1RM'!$Q$8:$Y$47,MATCH(IF($E330="Equipe (todos)",$C$4,$E330),'Força 1RM'!$P$8:$P$47,0),MATCH($AB330,'Força 1RM'!$Q$7:$Y$7,0)),""))</f>
        <v/>
      </c>
      <c r="N330" s="30" t="n">
        <f aca="false">IFERROR(IF(OR($L330="",$M330="",$M330=0),0,ROUND($L330*$M330*2,0)/2),0)</f>
        <v>0</v>
      </c>
      <c r="O330" s="32"/>
      <c r="P330" s="42" t="str">
        <f aca="false">IFERROR(IF(OR($L330="",$I330="—",$I330=""),"",IF($I330="Agachamento",INDEX($AE$8:$AE$20,MATCH($L330,$AD$8:$AD$20,1)),IF($I330="Supino",INDEX($AF$8:$AF$20,MATCH($L330,$AD$8:$AD$20,1)),IF($I330="Terra",INDEX($AG$8:$AG$20,MATCH($L330,$AD$8:$AD$20,1)),"")))),"")</f>
        <v/>
      </c>
      <c r="Q330" s="45"/>
      <c r="R330" s="71"/>
      <c r="S330" s="71"/>
      <c r="T330" s="69" t="str">
        <f aca="false">IF(OR($R330="",$S330=""),"",IF($S330&gt;$R330,"Acima do limite","Dentro do limite"))</f>
        <v/>
      </c>
      <c r="U330" s="28"/>
      <c r="V330" s="28"/>
      <c r="W330" s="28"/>
      <c r="X330" s="140" t="n">
        <f aca="false">IFERROR(IF(OR($J330="",$K330=""),0,$J330*$K330),0)</f>
        <v>0</v>
      </c>
      <c r="Y330" s="44" t="n">
        <f aca="false">IFERROR(IF($X330=0,0,$X330*IF($O330="",$N330,$O330)),0)</f>
        <v>0</v>
      </c>
      <c r="Z330" s="60" t="str">
        <f aca="false">IF($L330="","",IF($L330&lt;0.5,"Balística / Velocidade (&lt;50%)",IF($L330&lt;0.7,"Velocidade-Força (50–69%)",IF($L330&lt;0.8,"Força-Velocidade (70–79%)",IF($L330&lt;0.9,"Força Máxima (80–89%)","Força Máxima Alta (≥90%)")))))</f>
        <v/>
      </c>
      <c r="AA330" s="27"/>
      <c r="AB330" s="27"/>
    </row>
    <row r="331" customFormat="false" ht="15" hidden="false" customHeight="false" outlineLevel="0" collapsed="false">
      <c r="A331" s="29"/>
      <c r="B331" s="33" t="n">
        <f aca="false">IF($A331="",0,INT(($A331-'Bloco Base'!$C$5)/7)+1)</f>
        <v>0</v>
      </c>
      <c r="C331" s="28"/>
      <c r="D331" s="28"/>
      <c r="E331" s="27"/>
      <c r="F331" s="28"/>
      <c r="G331" s="139"/>
      <c r="H331" s="27"/>
      <c r="I331" s="28"/>
      <c r="J331" s="28"/>
      <c r="K331" s="28"/>
      <c r="L331" s="71"/>
      <c r="M331" s="35" t="str">
        <f aca="false">IF($AB331="","",IFERROR(INDEX('Força 1RM'!$Q$8:$Y$47,MATCH(IF($E331="Equipe (todos)",$C$4,$E331),'Força 1RM'!$P$8:$P$47,0),MATCH($AB331,'Força 1RM'!$Q$7:$Y$7,0)),""))</f>
        <v/>
      </c>
      <c r="N331" s="30" t="n">
        <f aca="false">IFERROR(IF(OR($L331="",$M331="",$M331=0),0,ROUND($L331*$M331*2,0)/2),0)</f>
        <v>0</v>
      </c>
      <c r="O331" s="32"/>
      <c r="P331" s="42" t="str">
        <f aca="false">IFERROR(IF(OR($L331="",$I331="—",$I331=""),"",IF($I331="Agachamento",INDEX($AE$8:$AE$20,MATCH($L331,$AD$8:$AD$20,1)),IF($I331="Supino",INDEX($AF$8:$AF$20,MATCH($L331,$AD$8:$AD$20,1)),IF($I331="Terra",INDEX($AG$8:$AG$20,MATCH($L331,$AD$8:$AD$20,1)),"")))),"")</f>
        <v/>
      </c>
      <c r="Q331" s="45"/>
      <c r="R331" s="71"/>
      <c r="S331" s="71"/>
      <c r="T331" s="69" t="str">
        <f aca="false">IF(OR($R331="",$S331=""),"",IF($S331&gt;$R331,"Acima do limite","Dentro do limite"))</f>
        <v/>
      </c>
      <c r="U331" s="28"/>
      <c r="V331" s="28"/>
      <c r="W331" s="28"/>
      <c r="X331" s="140" t="n">
        <f aca="false">IFERROR(IF(OR($J331="",$K331=""),0,$J331*$K331),0)</f>
        <v>0</v>
      </c>
      <c r="Y331" s="44" t="n">
        <f aca="false">IFERROR(IF($X331=0,0,$X331*IF($O331="",$N331,$O331)),0)</f>
        <v>0</v>
      </c>
      <c r="Z331" s="60" t="str">
        <f aca="false">IF($L331="","",IF($L331&lt;0.5,"Balística / Velocidade (&lt;50%)",IF($L331&lt;0.7,"Velocidade-Força (50–69%)",IF($L331&lt;0.8,"Força-Velocidade (70–79%)",IF($L331&lt;0.9,"Força Máxima (80–89%)","Força Máxima Alta (≥90%)")))))</f>
        <v/>
      </c>
      <c r="AA331" s="27"/>
      <c r="AB331" s="27"/>
    </row>
    <row r="332" customFormat="false" ht="15" hidden="false" customHeight="false" outlineLevel="0" collapsed="false">
      <c r="A332" s="29"/>
      <c r="B332" s="33" t="n">
        <f aca="false">IF($A332="",0,INT(($A332-'Bloco Base'!$C$5)/7)+1)</f>
        <v>0</v>
      </c>
      <c r="C332" s="28"/>
      <c r="D332" s="28"/>
      <c r="E332" s="27"/>
      <c r="F332" s="28"/>
      <c r="G332" s="139"/>
      <c r="H332" s="27"/>
      <c r="I332" s="28"/>
      <c r="J332" s="28"/>
      <c r="K332" s="28"/>
      <c r="L332" s="71"/>
      <c r="M332" s="35" t="str">
        <f aca="false">IF($AB332="","",IFERROR(INDEX('Força 1RM'!$Q$8:$Y$47,MATCH(IF($E332="Equipe (todos)",$C$4,$E332),'Força 1RM'!$P$8:$P$47,0),MATCH($AB332,'Força 1RM'!$Q$7:$Y$7,0)),""))</f>
        <v/>
      </c>
      <c r="N332" s="30" t="n">
        <f aca="false">IFERROR(IF(OR($L332="",$M332="",$M332=0),0,ROUND($L332*$M332*2,0)/2),0)</f>
        <v>0</v>
      </c>
      <c r="O332" s="32"/>
      <c r="P332" s="42" t="str">
        <f aca="false">IFERROR(IF(OR($L332="",$I332="—",$I332=""),"",IF($I332="Agachamento",INDEX($AE$8:$AE$20,MATCH($L332,$AD$8:$AD$20,1)),IF($I332="Supino",INDEX($AF$8:$AF$20,MATCH($L332,$AD$8:$AD$20,1)),IF($I332="Terra",INDEX($AG$8:$AG$20,MATCH($L332,$AD$8:$AD$20,1)),"")))),"")</f>
        <v/>
      </c>
      <c r="Q332" s="45"/>
      <c r="R332" s="71"/>
      <c r="S332" s="71"/>
      <c r="T332" s="69" t="str">
        <f aca="false">IF(OR($R332="",$S332=""),"",IF($S332&gt;$R332,"Acima do limite","Dentro do limite"))</f>
        <v/>
      </c>
      <c r="U332" s="28"/>
      <c r="V332" s="28"/>
      <c r="W332" s="28"/>
      <c r="X332" s="140" t="n">
        <f aca="false">IFERROR(IF(OR($J332="",$K332=""),0,$J332*$K332),0)</f>
        <v>0</v>
      </c>
      <c r="Y332" s="44" t="n">
        <f aca="false">IFERROR(IF($X332=0,0,$X332*IF($O332="",$N332,$O332)),0)</f>
        <v>0</v>
      </c>
      <c r="Z332" s="60" t="str">
        <f aca="false">IF($L332="","",IF($L332&lt;0.5,"Balística / Velocidade (&lt;50%)",IF($L332&lt;0.7,"Velocidade-Força (50–69%)",IF($L332&lt;0.8,"Força-Velocidade (70–79%)",IF($L332&lt;0.9,"Força Máxima (80–89%)","Força Máxima Alta (≥90%)")))))</f>
        <v/>
      </c>
      <c r="AA332" s="27"/>
      <c r="AB332" s="27"/>
    </row>
    <row r="333" customFormat="false" ht="15" hidden="false" customHeight="false" outlineLevel="0" collapsed="false">
      <c r="A333" s="29"/>
      <c r="B333" s="33" t="n">
        <f aca="false">IF($A333="",0,INT(($A333-'Bloco Base'!$C$5)/7)+1)</f>
        <v>0</v>
      </c>
      <c r="C333" s="28"/>
      <c r="D333" s="28"/>
      <c r="E333" s="27"/>
      <c r="F333" s="28"/>
      <c r="G333" s="139"/>
      <c r="H333" s="27"/>
      <c r="I333" s="28"/>
      <c r="J333" s="28"/>
      <c r="K333" s="28"/>
      <c r="L333" s="71"/>
      <c r="M333" s="35" t="str">
        <f aca="false">IF($AB333="","",IFERROR(INDEX('Força 1RM'!$Q$8:$Y$47,MATCH(IF($E333="Equipe (todos)",$C$4,$E333),'Força 1RM'!$P$8:$P$47,0),MATCH($AB333,'Força 1RM'!$Q$7:$Y$7,0)),""))</f>
        <v/>
      </c>
      <c r="N333" s="30" t="n">
        <f aca="false">IFERROR(IF(OR($L333="",$M333="",$M333=0),0,ROUND($L333*$M333*2,0)/2),0)</f>
        <v>0</v>
      </c>
      <c r="O333" s="32"/>
      <c r="P333" s="42" t="str">
        <f aca="false">IFERROR(IF(OR($L333="",$I333="—",$I333=""),"",IF($I333="Agachamento",INDEX($AE$8:$AE$20,MATCH($L333,$AD$8:$AD$20,1)),IF($I333="Supino",INDEX($AF$8:$AF$20,MATCH($L333,$AD$8:$AD$20,1)),IF($I333="Terra",INDEX($AG$8:$AG$20,MATCH($L333,$AD$8:$AD$20,1)),"")))),"")</f>
        <v/>
      </c>
      <c r="Q333" s="45"/>
      <c r="R333" s="71"/>
      <c r="S333" s="71"/>
      <c r="T333" s="69" t="str">
        <f aca="false">IF(OR($R333="",$S333=""),"",IF($S333&gt;$R333,"Acima do limite","Dentro do limite"))</f>
        <v/>
      </c>
      <c r="U333" s="28"/>
      <c r="V333" s="28"/>
      <c r="W333" s="28"/>
      <c r="X333" s="140" t="n">
        <f aca="false">IFERROR(IF(OR($J333="",$K333=""),0,$J333*$K333),0)</f>
        <v>0</v>
      </c>
      <c r="Y333" s="44" t="n">
        <f aca="false">IFERROR(IF($X333=0,0,$X333*IF($O333="",$N333,$O333)),0)</f>
        <v>0</v>
      </c>
      <c r="Z333" s="60" t="str">
        <f aca="false">IF($L333="","",IF($L333&lt;0.5,"Balística / Velocidade (&lt;50%)",IF($L333&lt;0.7,"Velocidade-Força (50–69%)",IF($L333&lt;0.8,"Força-Velocidade (70–79%)",IF($L333&lt;0.9,"Força Máxima (80–89%)","Força Máxima Alta (≥90%)")))))</f>
        <v/>
      </c>
      <c r="AA333" s="27"/>
      <c r="AB333" s="27"/>
    </row>
    <row r="334" customFormat="false" ht="15" hidden="false" customHeight="false" outlineLevel="0" collapsed="false">
      <c r="A334" s="29"/>
      <c r="B334" s="33" t="n">
        <f aca="false">IF($A334="",0,INT(($A334-'Bloco Base'!$C$5)/7)+1)</f>
        <v>0</v>
      </c>
      <c r="C334" s="28"/>
      <c r="D334" s="28"/>
      <c r="E334" s="27"/>
      <c r="F334" s="28"/>
      <c r="G334" s="139"/>
      <c r="H334" s="27"/>
      <c r="I334" s="28"/>
      <c r="J334" s="28"/>
      <c r="K334" s="28"/>
      <c r="L334" s="71"/>
      <c r="M334" s="35" t="str">
        <f aca="false">IF($AB334="","",IFERROR(INDEX('Força 1RM'!$Q$8:$Y$47,MATCH(IF($E334="Equipe (todos)",$C$4,$E334),'Força 1RM'!$P$8:$P$47,0),MATCH($AB334,'Força 1RM'!$Q$7:$Y$7,0)),""))</f>
        <v/>
      </c>
      <c r="N334" s="30" t="n">
        <f aca="false">IFERROR(IF(OR($L334="",$M334="",$M334=0),0,ROUND($L334*$M334*2,0)/2),0)</f>
        <v>0</v>
      </c>
      <c r="O334" s="32"/>
      <c r="P334" s="42" t="str">
        <f aca="false">IFERROR(IF(OR($L334="",$I334="—",$I334=""),"",IF($I334="Agachamento",INDEX($AE$8:$AE$20,MATCH($L334,$AD$8:$AD$20,1)),IF($I334="Supino",INDEX($AF$8:$AF$20,MATCH($L334,$AD$8:$AD$20,1)),IF($I334="Terra",INDEX($AG$8:$AG$20,MATCH($L334,$AD$8:$AD$20,1)),"")))),"")</f>
        <v/>
      </c>
      <c r="Q334" s="45"/>
      <c r="R334" s="71"/>
      <c r="S334" s="71"/>
      <c r="T334" s="69" t="str">
        <f aca="false">IF(OR($R334="",$S334=""),"",IF($S334&gt;$R334,"Acima do limite","Dentro do limite"))</f>
        <v/>
      </c>
      <c r="U334" s="28"/>
      <c r="V334" s="28"/>
      <c r="W334" s="28"/>
      <c r="X334" s="140" t="n">
        <f aca="false">IFERROR(IF(OR($J334="",$K334=""),0,$J334*$K334),0)</f>
        <v>0</v>
      </c>
      <c r="Y334" s="44" t="n">
        <f aca="false">IFERROR(IF($X334=0,0,$X334*IF($O334="",$N334,$O334)),0)</f>
        <v>0</v>
      </c>
      <c r="Z334" s="60" t="str">
        <f aca="false">IF($L334="","",IF($L334&lt;0.5,"Balística / Velocidade (&lt;50%)",IF($L334&lt;0.7,"Velocidade-Força (50–69%)",IF($L334&lt;0.8,"Força-Velocidade (70–79%)",IF($L334&lt;0.9,"Força Máxima (80–89%)","Força Máxima Alta (≥90%)")))))</f>
        <v/>
      </c>
      <c r="AA334" s="27"/>
      <c r="AB334" s="27"/>
    </row>
    <row r="335" customFormat="false" ht="15" hidden="false" customHeight="false" outlineLevel="0" collapsed="false">
      <c r="A335" s="29"/>
      <c r="B335" s="33" t="n">
        <f aca="false">IF($A335="",0,INT(($A335-'Bloco Base'!$C$5)/7)+1)</f>
        <v>0</v>
      </c>
      <c r="C335" s="28"/>
      <c r="D335" s="28"/>
      <c r="E335" s="27"/>
      <c r="F335" s="28"/>
      <c r="G335" s="139"/>
      <c r="H335" s="27"/>
      <c r="I335" s="28"/>
      <c r="J335" s="28"/>
      <c r="K335" s="28"/>
      <c r="L335" s="71"/>
      <c r="M335" s="35" t="str">
        <f aca="false">IF($AB335="","",IFERROR(INDEX('Força 1RM'!$Q$8:$Y$47,MATCH(IF($E335="Equipe (todos)",$C$4,$E335),'Força 1RM'!$P$8:$P$47,0),MATCH($AB335,'Força 1RM'!$Q$7:$Y$7,0)),""))</f>
        <v/>
      </c>
      <c r="N335" s="30" t="n">
        <f aca="false">IFERROR(IF(OR($L335="",$M335="",$M335=0),0,ROUND($L335*$M335*2,0)/2),0)</f>
        <v>0</v>
      </c>
      <c r="O335" s="32"/>
      <c r="P335" s="42" t="str">
        <f aca="false">IFERROR(IF(OR($L335="",$I335="—",$I335=""),"",IF($I335="Agachamento",INDEX($AE$8:$AE$20,MATCH($L335,$AD$8:$AD$20,1)),IF($I335="Supino",INDEX($AF$8:$AF$20,MATCH($L335,$AD$8:$AD$20,1)),IF($I335="Terra",INDEX($AG$8:$AG$20,MATCH($L335,$AD$8:$AD$20,1)),"")))),"")</f>
        <v/>
      </c>
      <c r="Q335" s="45"/>
      <c r="R335" s="71"/>
      <c r="S335" s="71"/>
      <c r="T335" s="69" t="str">
        <f aca="false">IF(OR($R335="",$S335=""),"",IF($S335&gt;$R335,"Acima do limite","Dentro do limite"))</f>
        <v/>
      </c>
      <c r="U335" s="28"/>
      <c r="V335" s="28"/>
      <c r="W335" s="28"/>
      <c r="X335" s="140" t="n">
        <f aca="false">IFERROR(IF(OR($J335="",$K335=""),0,$J335*$K335),0)</f>
        <v>0</v>
      </c>
      <c r="Y335" s="44" t="n">
        <f aca="false">IFERROR(IF($X335=0,0,$X335*IF($O335="",$N335,$O335)),0)</f>
        <v>0</v>
      </c>
      <c r="Z335" s="60" t="str">
        <f aca="false">IF($L335="","",IF($L335&lt;0.5,"Balística / Velocidade (&lt;50%)",IF($L335&lt;0.7,"Velocidade-Força (50–69%)",IF($L335&lt;0.8,"Força-Velocidade (70–79%)",IF($L335&lt;0.9,"Força Máxima (80–89%)","Força Máxima Alta (≥90%)")))))</f>
        <v/>
      </c>
      <c r="AA335" s="27"/>
      <c r="AB335" s="27"/>
    </row>
    <row r="336" customFormat="false" ht="15" hidden="false" customHeight="false" outlineLevel="0" collapsed="false">
      <c r="A336" s="29"/>
      <c r="B336" s="33" t="n">
        <f aca="false">IF($A336="",0,INT(($A336-'Bloco Base'!$C$5)/7)+1)</f>
        <v>0</v>
      </c>
      <c r="C336" s="28"/>
      <c r="D336" s="28"/>
      <c r="E336" s="27"/>
      <c r="F336" s="28"/>
      <c r="G336" s="139"/>
      <c r="H336" s="27"/>
      <c r="I336" s="28"/>
      <c r="J336" s="28"/>
      <c r="K336" s="28"/>
      <c r="L336" s="71"/>
      <c r="M336" s="35" t="str">
        <f aca="false">IF($AB336="","",IFERROR(INDEX('Força 1RM'!$Q$8:$Y$47,MATCH(IF($E336="Equipe (todos)",$C$4,$E336),'Força 1RM'!$P$8:$P$47,0),MATCH($AB336,'Força 1RM'!$Q$7:$Y$7,0)),""))</f>
        <v/>
      </c>
      <c r="N336" s="30" t="n">
        <f aca="false">IFERROR(IF(OR($L336="",$M336="",$M336=0),0,ROUND($L336*$M336*2,0)/2),0)</f>
        <v>0</v>
      </c>
      <c r="O336" s="32"/>
      <c r="P336" s="42" t="str">
        <f aca="false">IFERROR(IF(OR($L336="",$I336="—",$I336=""),"",IF($I336="Agachamento",INDEX($AE$8:$AE$20,MATCH($L336,$AD$8:$AD$20,1)),IF($I336="Supino",INDEX($AF$8:$AF$20,MATCH($L336,$AD$8:$AD$20,1)),IF($I336="Terra",INDEX($AG$8:$AG$20,MATCH($L336,$AD$8:$AD$20,1)),"")))),"")</f>
        <v/>
      </c>
      <c r="Q336" s="45"/>
      <c r="R336" s="71"/>
      <c r="S336" s="71"/>
      <c r="T336" s="69" t="str">
        <f aca="false">IF(OR($R336="",$S336=""),"",IF($S336&gt;$R336,"Acima do limite","Dentro do limite"))</f>
        <v/>
      </c>
      <c r="U336" s="28"/>
      <c r="V336" s="28"/>
      <c r="W336" s="28"/>
      <c r="X336" s="140" t="n">
        <f aca="false">IFERROR(IF(OR($J336="",$K336=""),0,$J336*$K336),0)</f>
        <v>0</v>
      </c>
      <c r="Y336" s="44" t="n">
        <f aca="false">IFERROR(IF($X336=0,0,$X336*IF($O336="",$N336,$O336)),0)</f>
        <v>0</v>
      </c>
      <c r="Z336" s="60" t="str">
        <f aca="false">IF($L336="","",IF($L336&lt;0.5,"Balística / Velocidade (&lt;50%)",IF($L336&lt;0.7,"Velocidade-Força (50–69%)",IF($L336&lt;0.8,"Força-Velocidade (70–79%)",IF($L336&lt;0.9,"Força Máxima (80–89%)","Força Máxima Alta (≥90%)")))))</f>
        <v/>
      </c>
      <c r="AA336" s="27"/>
      <c r="AB336" s="27"/>
    </row>
    <row r="337" customFormat="false" ht="15" hidden="false" customHeight="false" outlineLevel="0" collapsed="false">
      <c r="A337" s="29"/>
      <c r="B337" s="33" t="n">
        <f aca="false">IF($A337="",0,INT(($A337-'Bloco Base'!$C$5)/7)+1)</f>
        <v>0</v>
      </c>
      <c r="C337" s="28"/>
      <c r="D337" s="28"/>
      <c r="E337" s="27"/>
      <c r="F337" s="28"/>
      <c r="G337" s="139"/>
      <c r="H337" s="27"/>
      <c r="I337" s="28"/>
      <c r="J337" s="28"/>
      <c r="K337" s="28"/>
      <c r="L337" s="71"/>
      <c r="M337" s="35" t="str">
        <f aca="false">IF($AB337="","",IFERROR(INDEX('Força 1RM'!$Q$8:$Y$47,MATCH(IF($E337="Equipe (todos)",$C$4,$E337),'Força 1RM'!$P$8:$P$47,0),MATCH($AB337,'Força 1RM'!$Q$7:$Y$7,0)),""))</f>
        <v/>
      </c>
      <c r="N337" s="30" t="n">
        <f aca="false">IFERROR(IF(OR($L337="",$M337="",$M337=0),0,ROUND($L337*$M337*2,0)/2),0)</f>
        <v>0</v>
      </c>
      <c r="O337" s="32"/>
      <c r="P337" s="42" t="str">
        <f aca="false">IFERROR(IF(OR($L337="",$I337="—",$I337=""),"",IF($I337="Agachamento",INDEX($AE$8:$AE$20,MATCH($L337,$AD$8:$AD$20,1)),IF($I337="Supino",INDEX($AF$8:$AF$20,MATCH($L337,$AD$8:$AD$20,1)),IF($I337="Terra",INDEX($AG$8:$AG$20,MATCH($L337,$AD$8:$AD$20,1)),"")))),"")</f>
        <v/>
      </c>
      <c r="Q337" s="45"/>
      <c r="R337" s="71"/>
      <c r="S337" s="71"/>
      <c r="T337" s="69" t="str">
        <f aca="false">IF(OR($R337="",$S337=""),"",IF($S337&gt;$R337,"Acima do limite","Dentro do limite"))</f>
        <v/>
      </c>
      <c r="U337" s="28"/>
      <c r="V337" s="28"/>
      <c r="W337" s="28"/>
      <c r="X337" s="140" t="n">
        <f aca="false">IFERROR(IF(OR($J337="",$K337=""),0,$J337*$K337),0)</f>
        <v>0</v>
      </c>
      <c r="Y337" s="44" t="n">
        <f aca="false">IFERROR(IF($X337=0,0,$X337*IF($O337="",$N337,$O337)),0)</f>
        <v>0</v>
      </c>
      <c r="Z337" s="60" t="str">
        <f aca="false">IF($L337="","",IF($L337&lt;0.5,"Balística / Velocidade (&lt;50%)",IF($L337&lt;0.7,"Velocidade-Força (50–69%)",IF($L337&lt;0.8,"Força-Velocidade (70–79%)",IF($L337&lt;0.9,"Força Máxima (80–89%)","Força Máxima Alta (≥90%)")))))</f>
        <v/>
      </c>
      <c r="AA337" s="27"/>
      <c r="AB337" s="27"/>
    </row>
    <row r="338" customFormat="false" ht="15" hidden="false" customHeight="false" outlineLevel="0" collapsed="false">
      <c r="A338" s="29"/>
      <c r="B338" s="33" t="n">
        <f aca="false">IF($A338="",0,INT(($A338-'Bloco Base'!$C$5)/7)+1)</f>
        <v>0</v>
      </c>
      <c r="C338" s="28"/>
      <c r="D338" s="28"/>
      <c r="E338" s="27"/>
      <c r="F338" s="28"/>
      <c r="G338" s="139"/>
      <c r="H338" s="27"/>
      <c r="I338" s="28"/>
      <c r="J338" s="28"/>
      <c r="K338" s="28"/>
      <c r="L338" s="71"/>
      <c r="M338" s="35" t="str">
        <f aca="false">IF($AB338="","",IFERROR(INDEX('Força 1RM'!$Q$8:$Y$47,MATCH(IF($E338="Equipe (todos)",$C$4,$E338),'Força 1RM'!$P$8:$P$47,0),MATCH($AB338,'Força 1RM'!$Q$7:$Y$7,0)),""))</f>
        <v/>
      </c>
      <c r="N338" s="30" t="n">
        <f aca="false">IFERROR(IF(OR($L338="",$M338="",$M338=0),0,ROUND($L338*$M338*2,0)/2),0)</f>
        <v>0</v>
      </c>
      <c r="O338" s="32"/>
      <c r="P338" s="42" t="str">
        <f aca="false">IFERROR(IF(OR($L338="",$I338="—",$I338=""),"",IF($I338="Agachamento",INDEX($AE$8:$AE$20,MATCH($L338,$AD$8:$AD$20,1)),IF($I338="Supino",INDEX($AF$8:$AF$20,MATCH($L338,$AD$8:$AD$20,1)),IF($I338="Terra",INDEX($AG$8:$AG$20,MATCH($L338,$AD$8:$AD$20,1)),"")))),"")</f>
        <v/>
      </c>
      <c r="Q338" s="45"/>
      <c r="R338" s="71"/>
      <c r="S338" s="71"/>
      <c r="T338" s="69" t="str">
        <f aca="false">IF(OR($R338="",$S338=""),"",IF($S338&gt;$R338,"Acima do limite","Dentro do limite"))</f>
        <v/>
      </c>
      <c r="U338" s="28"/>
      <c r="V338" s="28"/>
      <c r="W338" s="28"/>
      <c r="X338" s="140" t="n">
        <f aca="false">IFERROR(IF(OR($J338="",$K338=""),0,$J338*$K338),0)</f>
        <v>0</v>
      </c>
      <c r="Y338" s="44" t="n">
        <f aca="false">IFERROR(IF($X338=0,0,$X338*IF($O338="",$N338,$O338)),0)</f>
        <v>0</v>
      </c>
      <c r="Z338" s="60" t="str">
        <f aca="false">IF($L338="","",IF($L338&lt;0.5,"Balística / Velocidade (&lt;50%)",IF($L338&lt;0.7,"Velocidade-Força (50–69%)",IF($L338&lt;0.8,"Força-Velocidade (70–79%)",IF($L338&lt;0.9,"Força Máxima (80–89%)","Força Máxima Alta (≥90%)")))))</f>
        <v/>
      </c>
      <c r="AA338" s="27"/>
      <c r="AB338" s="27"/>
    </row>
    <row r="339" customFormat="false" ht="15" hidden="false" customHeight="false" outlineLevel="0" collapsed="false">
      <c r="A339" s="29"/>
      <c r="B339" s="33" t="n">
        <f aca="false">IF($A339="",0,INT(($A339-'Bloco Base'!$C$5)/7)+1)</f>
        <v>0</v>
      </c>
      <c r="C339" s="28"/>
      <c r="D339" s="28"/>
      <c r="E339" s="27"/>
      <c r="F339" s="28"/>
      <c r="G339" s="139"/>
      <c r="H339" s="27"/>
      <c r="I339" s="28"/>
      <c r="J339" s="28"/>
      <c r="K339" s="28"/>
      <c r="L339" s="71"/>
      <c r="M339" s="35" t="str">
        <f aca="false">IF($AB339="","",IFERROR(INDEX('Força 1RM'!$Q$8:$Y$47,MATCH(IF($E339="Equipe (todos)",$C$4,$E339),'Força 1RM'!$P$8:$P$47,0),MATCH($AB339,'Força 1RM'!$Q$7:$Y$7,0)),""))</f>
        <v/>
      </c>
      <c r="N339" s="30" t="n">
        <f aca="false">IFERROR(IF(OR($L339="",$M339="",$M339=0),0,ROUND($L339*$M339*2,0)/2),0)</f>
        <v>0</v>
      </c>
      <c r="O339" s="32"/>
      <c r="P339" s="42" t="str">
        <f aca="false">IFERROR(IF(OR($L339="",$I339="—",$I339=""),"",IF($I339="Agachamento",INDEX($AE$8:$AE$20,MATCH($L339,$AD$8:$AD$20,1)),IF($I339="Supino",INDEX($AF$8:$AF$20,MATCH($L339,$AD$8:$AD$20,1)),IF($I339="Terra",INDEX($AG$8:$AG$20,MATCH($L339,$AD$8:$AD$20,1)),"")))),"")</f>
        <v/>
      </c>
      <c r="Q339" s="45"/>
      <c r="R339" s="71"/>
      <c r="S339" s="71"/>
      <c r="T339" s="69" t="str">
        <f aca="false">IF(OR($R339="",$S339=""),"",IF($S339&gt;$R339,"Acima do limite","Dentro do limite"))</f>
        <v/>
      </c>
      <c r="U339" s="28"/>
      <c r="V339" s="28"/>
      <c r="W339" s="28"/>
      <c r="X339" s="140" t="n">
        <f aca="false">IFERROR(IF(OR($J339="",$K339=""),0,$J339*$K339),0)</f>
        <v>0</v>
      </c>
      <c r="Y339" s="44" t="n">
        <f aca="false">IFERROR(IF($X339=0,0,$X339*IF($O339="",$N339,$O339)),0)</f>
        <v>0</v>
      </c>
      <c r="Z339" s="60" t="str">
        <f aca="false">IF($L339="","",IF($L339&lt;0.5,"Balística / Velocidade (&lt;50%)",IF($L339&lt;0.7,"Velocidade-Força (50–69%)",IF($L339&lt;0.8,"Força-Velocidade (70–79%)",IF($L339&lt;0.9,"Força Máxima (80–89%)","Força Máxima Alta (≥90%)")))))</f>
        <v/>
      </c>
      <c r="AA339" s="27"/>
      <c r="AB339" s="27"/>
    </row>
    <row r="340" customFormat="false" ht="15" hidden="false" customHeight="false" outlineLevel="0" collapsed="false">
      <c r="A340" s="29"/>
      <c r="B340" s="33" t="n">
        <f aca="false">IF($A340="",0,INT(($A340-'Bloco Base'!$C$5)/7)+1)</f>
        <v>0</v>
      </c>
      <c r="C340" s="28"/>
      <c r="D340" s="28"/>
      <c r="E340" s="27"/>
      <c r="F340" s="28"/>
      <c r="G340" s="139"/>
      <c r="H340" s="27"/>
      <c r="I340" s="28"/>
      <c r="J340" s="28"/>
      <c r="K340" s="28"/>
      <c r="L340" s="71"/>
      <c r="M340" s="35" t="str">
        <f aca="false">IF($AB340="","",IFERROR(INDEX('Força 1RM'!$Q$8:$Y$47,MATCH(IF($E340="Equipe (todos)",$C$4,$E340),'Força 1RM'!$P$8:$P$47,0),MATCH($AB340,'Força 1RM'!$Q$7:$Y$7,0)),""))</f>
        <v/>
      </c>
      <c r="N340" s="30" t="n">
        <f aca="false">IFERROR(IF(OR($L340="",$M340="",$M340=0),0,ROUND($L340*$M340*2,0)/2),0)</f>
        <v>0</v>
      </c>
      <c r="O340" s="32"/>
      <c r="P340" s="42" t="str">
        <f aca="false">IFERROR(IF(OR($L340="",$I340="—",$I340=""),"",IF($I340="Agachamento",INDEX($AE$8:$AE$20,MATCH($L340,$AD$8:$AD$20,1)),IF($I340="Supino",INDEX($AF$8:$AF$20,MATCH($L340,$AD$8:$AD$20,1)),IF($I340="Terra",INDEX($AG$8:$AG$20,MATCH($L340,$AD$8:$AD$20,1)),"")))),"")</f>
        <v/>
      </c>
      <c r="Q340" s="45"/>
      <c r="R340" s="71"/>
      <c r="S340" s="71"/>
      <c r="T340" s="69" t="str">
        <f aca="false">IF(OR($R340="",$S340=""),"",IF($S340&gt;$R340,"Acima do limite","Dentro do limite"))</f>
        <v/>
      </c>
      <c r="U340" s="28"/>
      <c r="V340" s="28"/>
      <c r="W340" s="28"/>
      <c r="X340" s="140" t="n">
        <f aca="false">IFERROR(IF(OR($J340="",$K340=""),0,$J340*$K340),0)</f>
        <v>0</v>
      </c>
      <c r="Y340" s="44" t="n">
        <f aca="false">IFERROR(IF($X340=0,0,$X340*IF($O340="",$N340,$O340)),0)</f>
        <v>0</v>
      </c>
      <c r="Z340" s="60" t="str">
        <f aca="false">IF($L340="","",IF($L340&lt;0.5,"Balística / Velocidade (&lt;50%)",IF($L340&lt;0.7,"Velocidade-Força (50–69%)",IF($L340&lt;0.8,"Força-Velocidade (70–79%)",IF($L340&lt;0.9,"Força Máxima (80–89%)","Força Máxima Alta (≥90%)")))))</f>
        <v/>
      </c>
      <c r="AA340" s="27"/>
      <c r="AB340" s="27"/>
    </row>
    <row r="341" customFormat="false" ht="15" hidden="false" customHeight="false" outlineLevel="0" collapsed="false">
      <c r="A341" s="29"/>
      <c r="B341" s="33" t="n">
        <f aca="false">IF($A341="",0,INT(($A341-'Bloco Base'!$C$5)/7)+1)</f>
        <v>0</v>
      </c>
      <c r="C341" s="28"/>
      <c r="D341" s="28"/>
      <c r="E341" s="27"/>
      <c r="F341" s="28"/>
      <c r="G341" s="139"/>
      <c r="H341" s="27"/>
      <c r="I341" s="28"/>
      <c r="J341" s="28"/>
      <c r="K341" s="28"/>
      <c r="L341" s="71"/>
      <c r="M341" s="35" t="str">
        <f aca="false">IF($AB341="","",IFERROR(INDEX('Força 1RM'!$Q$8:$Y$47,MATCH(IF($E341="Equipe (todos)",$C$4,$E341),'Força 1RM'!$P$8:$P$47,0),MATCH($AB341,'Força 1RM'!$Q$7:$Y$7,0)),""))</f>
        <v/>
      </c>
      <c r="N341" s="30" t="n">
        <f aca="false">IFERROR(IF(OR($L341="",$M341="",$M341=0),0,ROUND($L341*$M341*2,0)/2),0)</f>
        <v>0</v>
      </c>
      <c r="O341" s="32"/>
      <c r="P341" s="42" t="str">
        <f aca="false">IFERROR(IF(OR($L341="",$I341="—",$I341=""),"",IF($I341="Agachamento",INDEX($AE$8:$AE$20,MATCH($L341,$AD$8:$AD$20,1)),IF($I341="Supino",INDEX($AF$8:$AF$20,MATCH($L341,$AD$8:$AD$20,1)),IF($I341="Terra",INDEX($AG$8:$AG$20,MATCH($L341,$AD$8:$AD$20,1)),"")))),"")</f>
        <v/>
      </c>
      <c r="Q341" s="45"/>
      <c r="R341" s="71"/>
      <c r="S341" s="71"/>
      <c r="T341" s="69" t="str">
        <f aca="false">IF(OR($R341="",$S341=""),"",IF($S341&gt;$R341,"Acima do limite","Dentro do limite"))</f>
        <v/>
      </c>
      <c r="U341" s="28"/>
      <c r="V341" s="28"/>
      <c r="W341" s="28"/>
      <c r="X341" s="140" t="n">
        <f aca="false">IFERROR(IF(OR($J341="",$K341=""),0,$J341*$K341),0)</f>
        <v>0</v>
      </c>
      <c r="Y341" s="44" t="n">
        <f aca="false">IFERROR(IF($X341=0,0,$X341*IF($O341="",$N341,$O341)),0)</f>
        <v>0</v>
      </c>
      <c r="Z341" s="60" t="str">
        <f aca="false">IF($L341="","",IF($L341&lt;0.5,"Balística / Velocidade (&lt;50%)",IF($L341&lt;0.7,"Velocidade-Força (50–69%)",IF($L341&lt;0.8,"Força-Velocidade (70–79%)",IF($L341&lt;0.9,"Força Máxima (80–89%)","Força Máxima Alta (≥90%)")))))</f>
        <v/>
      </c>
      <c r="AA341" s="27"/>
      <c r="AB341" s="27"/>
    </row>
    <row r="342" customFormat="false" ht="15" hidden="false" customHeight="false" outlineLevel="0" collapsed="false">
      <c r="A342" s="29"/>
      <c r="B342" s="33" t="n">
        <f aca="false">IF($A342="",0,INT(($A342-'Bloco Base'!$C$5)/7)+1)</f>
        <v>0</v>
      </c>
      <c r="C342" s="28"/>
      <c r="D342" s="28"/>
      <c r="E342" s="27"/>
      <c r="F342" s="28"/>
      <c r="G342" s="139"/>
      <c r="H342" s="27"/>
      <c r="I342" s="28"/>
      <c r="J342" s="28"/>
      <c r="K342" s="28"/>
      <c r="L342" s="71"/>
      <c r="M342" s="35" t="str">
        <f aca="false">IF($AB342="","",IFERROR(INDEX('Força 1RM'!$Q$8:$Y$47,MATCH(IF($E342="Equipe (todos)",$C$4,$E342),'Força 1RM'!$P$8:$P$47,0),MATCH($AB342,'Força 1RM'!$Q$7:$Y$7,0)),""))</f>
        <v/>
      </c>
      <c r="N342" s="30" t="n">
        <f aca="false">IFERROR(IF(OR($L342="",$M342="",$M342=0),0,ROUND($L342*$M342*2,0)/2),0)</f>
        <v>0</v>
      </c>
      <c r="O342" s="32"/>
      <c r="P342" s="42" t="str">
        <f aca="false">IFERROR(IF(OR($L342="",$I342="—",$I342=""),"",IF($I342="Agachamento",INDEX($AE$8:$AE$20,MATCH($L342,$AD$8:$AD$20,1)),IF($I342="Supino",INDEX($AF$8:$AF$20,MATCH($L342,$AD$8:$AD$20,1)),IF($I342="Terra",INDEX($AG$8:$AG$20,MATCH($L342,$AD$8:$AD$20,1)),"")))),"")</f>
        <v/>
      </c>
      <c r="Q342" s="45"/>
      <c r="R342" s="71"/>
      <c r="S342" s="71"/>
      <c r="T342" s="69" t="str">
        <f aca="false">IF(OR($R342="",$S342=""),"",IF($S342&gt;$R342,"Acima do limite","Dentro do limite"))</f>
        <v/>
      </c>
      <c r="U342" s="28"/>
      <c r="V342" s="28"/>
      <c r="W342" s="28"/>
      <c r="X342" s="140" t="n">
        <f aca="false">IFERROR(IF(OR($J342="",$K342=""),0,$J342*$K342),0)</f>
        <v>0</v>
      </c>
      <c r="Y342" s="44" t="n">
        <f aca="false">IFERROR(IF($X342=0,0,$X342*IF($O342="",$N342,$O342)),0)</f>
        <v>0</v>
      </c>
      <c r="Z342" s="60" t="str">
        <f aca="false">IF($L342="","",IF($L342&lt;0.5,"Balística / Velocidade (&lt;50%)",IF($L342&lt;0.7,"Velocidade-Força (50–69%)",IF($L342&lt;0.8,"Força-Velocidade (70–79%)",IF($L342&lt;0.9,"Força Máxima (80–89%)","Força Máxima Alta (≥90%)")))))</f>
        <v/>
      </c>
      <c r="AA342" s="27"/>
      <c r="AB342" s="27"/>
    </row>
    <row r="343" customFormat="false" ht="15" hidden="false" customHeight="false" outlineLevel="0" collapsed="false">
      <c r="A343" s="29"/>
      <c r="B343" s="33" t="n">
        <f aca="false">IF($A343="",0,INT(($A343-'Bloco Base'!$C$5)/7)+1)</f>
        <v>0</v>
      </c>
      <c r="C343" s="28"/>
      <c r="D343" s="28"/>
      <c r="E343" s="27"/>
      <c r="F343" s="28"/>
      <c r="G343" s="139"/>
      <c r="H343" s="27"/>
      <c r="I343" s="28"/>
      <c r="J343" s="28"/>
      <c r="K343" s="28"/>
      <c r="L343" s="71"/>
      <c r="M343" s="35" t="str">
        <f aca="false">IF($AB343="","",IFERROR(INDEX('Força 1RM'!$Q$8:$Y$47,MATCH(IF($E343="Equipe (todos)",$C$4,$E343),'Força 1RM'!$P$8:$P$47,0),MATCH($AB343,'Força 1RM'!$Q$7:$Y$7,0)),""))</f>
        <v/>
      </c>
      <c r="N343" s="30" t="n">
        <f aca="false">IFERROR(IF(OR($L343="",$M343="",$M343=0),0,ROUND($L343*$M343*2,0)/2),0)</f>
        <v>0</v>
      </c>
      <c r="O343" s="32"/>
      <c r="P343" s="42" t="str">
        <f aca="false">IFERROR(IF(OR($L343="",$I343="—",$I343=""),"",IF($I343="Agachamento",INDEX($AE$8:$AE$20,MATCH($L343,$AD$8:$AD$20,1)),IF($I343="Supino",INDEX($AF$8:$AF$20,MATCH($L343,$AD$8:$AD$20,1)),IF($I343="Terra",INDEX($AG$8:$AG$20,MATCH($L343,$AD$8:$AD$20,1)),"")))),"")</f>
        <v/>
      </c>
      <c r="Q343" s="45"/>
      <c r="R343" s="71"/>
      <c r="S343" s="71"/>
      <c r="T343" s="69" t="str">
        <f aca="false">IF(OR($R343="",$S343=""),"",IF($S343&gt;$R343,"Acima do limite","Dentro do limite"))</f>
        <v/>
      </c>
      <c r="U343" s="28"/>
      <c r="V343" s="28"/>
      <c r="W343" s="28"/>
      <c r="X343" s="140" t="n">
        <f aca="false">IFERROR(IF(OR($J343="",$K343=""),0,$J343*$K343),0)</f>
        <v>0</v>
      </c>
      <c r="Y343" s="44" t="n">
        <f aca="false">IFERROR(IF($X343=0,0,$X343*IF($O343="",$N343,$O343)),0)</f>
        <v>0</v>
      </c>
      <c r="Z343" s="60" t="str">
        <f aca="false">IF($L343="","",IF($L343&lt;0.5,"Balística / Velocidade (&lt;50%)",IF($L343&lt;0.7,"Velocidade-Força (50–69%)",IF($L343&lt;0.8,"Força-Velocidade (70–79%)",IF($L343&lt;0.9,"Força Máxima (80–89%)","Força Máxima Alta (≥90%)")))))</f>
        <v/>
      </c>
      <c r="AA343" s="27"/>
      <c r="AB343" s="27"/>
    </row>
    <row r="344" customFormat="false" ht="15" hidden="false" customHeight="false" outlineLevel="0" collapsed="false">
      <c r="A344" s="29"/>
      <c r="B344" s="33" t="n">
        <f aca="false">IF($A344="",0,INT(($A344-'Bloco Base'!$C$5)/7)+1)</f>
        <v>0</v>
      </c>
      <c r="C344" s="28"/>
      <c r="D344" s="28"/>
      <c r="E344" s="27"/>
      <c r="F344" s="28"/>
      <c r="G344" s="139"/>
      <c r="H344" s="27"/>
      <c r="I344" s="28"/>
      <c r="J344" s="28"/>
      <c r="K344" s="28"/>
      <c r="L344" s="71"/>
      <c r="M344" s="35" t="str">
        <f aca="false">IF($AB344="","",IFERROR(INDEX('Força 1RM'!$Q$8:$Y$47,MATCH(IF($E344="Equipe (todos)",$C$4,$E344),'Força 1RM'!$P$8:$P$47,0),MATCH($AB344,'Força 1RM'!$Q$7:$Y$7,0)),""))</f>
        <v/>
      </c>
      <c r="N344" s="30" t="n">
        <f aca="false">IFERROR(IF(OR($L344="",$M344="",$M344=0),0,ROUND($L344*$M344*2,0)/2),0)</f>
        <v>0</v>
      </c>
      <c r="O344" s="32"/>
      <c r="P344" s="42" t="str">
        <f aca="false">IFERROR(IF(OR($L344="",$I344="—",$I344=""),"",IF($I344="Agachamento",INDEX($AE$8:$AE$20,MATCH($L344,$AD$8:$AD$20,1)),IF($I344="Supino",INDEX($AF$8:$AF$20,MATCH($L344,$AD$8:$AD$20,1)),IF($I344="Terra",INDEX($AG$8:$AG$20,MATCH($L344,$AD$8:$AD$20,1)),"")))),"")</f>
        <v/>
      </c>
      <c r="Q344" s="45"/>
      <c r="R344" s="71"/>
      <c r="S344" s="71"/>
      <c r="T344" s="69" t="str">
        <f aca="false">IF(OR($R344="",$S344=""),"",IF($S344&gt;$R344,"Acima do limite","Dentro do limite"))</f>
        <v/>
      </c>
      <c r="U344" s="28"/>
      <c r="V344" s="28"/>
      <c r="W344" s="28"/>
      <c r="X344" s="140" t="n">
        <f aca="false">IFERROR(IF(OR($J344="",$K344=""),0,$J344*$K344),0)</f>
        <v>0</v>
      </c>
      <c r="Y344" s="44" t="n">
        <f aca="false">IFERROR(IF($X344=0,0,$X344*IF($O344="",$N344,$O344)),0)</f>
        <v>0</v>
      </c>
      <c r="Z344" s="60" t="str">
        <f aca="false">IF($L344="","",IF($L344&lt;0.5,"Balística / Velocidade (&lt;50%)",IF($L344&lt;0.7,"Velocidade-Força (50–69%)",IF($L344&lt;0.8,"Força-Velocidade (70–79%)",IF($L344&lt;0.9,"Força Máxima (80–89%)","Força Máxima Alta (≥90%)")))))</f>
        <v/>
      </c>
      <c r="AA344" s="27"/>
      <c r="AB344" s="27"/>
    </row>
    <row r="345" customFormat="false" ht="15" hidden="false" customHeight="false" outlineLevel="0" collapsed="false">
      <c r="A345" s="29"/>
      <c r="B345" s="33" t="n">
        <f aca="false">IF($A345="",0,INT(($A345-'Bloco Base'!$C$5)/7)+1)</f>
        <v>0</v>
      </c>
      <c r="C345" s="28"/>
      <c r="D345" s="28"/>
      <c r="E345" s="27"/>
      <c r="F345" s="28"/>
      <c r="G345" s="139"/>
      <c r="H345" s="27"/>
      <c r="I345" s="28"/>
      <c r="J345" s="28"/>
      <c r="K345" s="28"/>
      <c r="L345" s="71"/>
      <c r="M345" s="35" t="str">
        <f aca="false">IF($AB345="","",IFERROR(INDEX('Força 1RM'!$Q$8:$Y$47,MATCH(IF($E345="Equipe (todos)",$C$4,$E345),'Força 1RM'!$P$8:$P$47,0),MATCH($AB345,'Força 1RM'!$Q$7:$Y$7,0)),""))</f>
        <v/>
      </c>
      <c r="N345" s="30" t="n">
        <f aca="false">IFERROR(IF(OR($L345="",$M345="",$M345=0),0,ROUND($L345*$M345*2,0)/2),0)</f>
        <v>0</v>
      </c>
      <c r="O345" s="32"/>
      <c r="P345" s="42" t="str">
        <f aca="false">IFERROR(IF(OR($L345="",$I345="—",$I345=""),"",IF($I345="Agachamento",INDEX($AE$8:$AE$20,MATCH($L345,$AD$8:$AD$20,1)),IF($I345="Supino",INDEX($AF$8:$AF$20,MATCH($L345,$AD$8:$AD$20,1)),IF($I345="Terra",INDEX($AG$8:$AG$20,MATCH($L345,$AD$8:$AD$20,1)),"")))),"")</f>
        <v/>
      </c>
      <c r="Q345" s="45"/>
      <c r="R345" s="71"/>
      <c r="S345" s="71"/>
      <c r="T345" s="69" t="str">
        <f aca="false">IF(OR($R345="",$S345=""),"",IF($S345&gt;$R345,"Acima do limite","Dentro do limite"))</f>
        <v/>
      </c>
      <c r="U345" s="28"/>
      <c r="V345" s="28"/>
      <c r="W345" s="28"/>
      <c r="X345" s="140" t="n">
        <f aca="false">IFERROR(IF(OR($J345="",$K345=""),0,$J345*$K345),0)</f>
        <v>0</v>
      </c>
      <c r="Y345" s="44" t="n">
        <f aca="false">IFERROR(IF($X345=0,0,$X345*IF($O345="",$N345,$O345)),0)</f>
        <v>0</v>
      </c>
      <c r="Z345" s="60" t="str">
        <f aca="false">IF($L345="","",IF($L345&lt;0.5,"Balística / Velocidade (&lt;50%)",IF($L345&lt;0.7,"Velocidade-Força (50–69%)",IF($L345&lt;0.8,"Força-Velocidade (70–79%)",IF($L345&lt;0.9,"Força Máxima (80–89%)","Força Máxima Alta (≥90%)")))))</f>
        <v/>
      </c>
      <c r="AA345" s="27"/>
      <c r="AB345" s="27"/>
    </row>
    <row r="346" customFormat="false" ht="15" hidden="false" customHeight="false" outlineLevel="0" collapsed="false">
      <c r="A346" s="29"/>
      <c r="B346" s="33" t="n">
        <f aca="false">IF($A346="",0,INT(($A346-'Bloco Base'!$C$5)/7)+1)</f>
        <v>0</v>
      </c>
      <c r="C346" s="28"/>
      <c r="D346" s="28"/>
      <c r="E346" s="27"/>
      <c r="F346" s="28"/>
      <c r="G346" s="139"/>
      <c r="H346" s="27"/>
      <c r="I346" s="28"/>
      <c r="J346" s="28"/>
      <c r="K346" s="28"/>
      <c r="L346" s="71"/>
      <c r="M346" s="35" t="str">
        <f aca="false">IF($AB346="","",IFERROR(INDEX('Força 1RM'!$Q$8:$Y$47,MATCH(IF($E346="Equipe (todos)",$C$4,$E346),'Força 1RM'!$P$8:$P$47,0),MATCH($AB346,'Força 1RM'!$Q$7:$Y$7,0)),""))</f>
        <v/>
      </c>
      <c r="N346" s="30" t="n">
        <f aca="false">IFERROR(IF(OR($L346="",$M346="",$M346=0),0,ROUND($L346*$M346*2,0)/2),0)</f>
        <v>0</v>
      </c>
      <c r="O346" s="32"/>
      <c r="P346" s="42" t="str">
        <f aca="false">IFERROR(IF(OR($L346="",$I346="—",$I346=""),"",IF($I346="Agachamento",INDEX($AE$8:$AE$20,MATCH($L346,$AD$8:$AD$20,1)),IF($I346="Supino",INDEX($AF$8:$AF$20,MATCH($L346,$AD$8:$AD$20,1)),IF($I346="Terra",INDEX($AG$8:$AG$20,MATCH($L346,$AD$8:$AD$20,1)),"")))),"")</f>
        <v/>
      </c>
      <c r="Q346" s="45"/>
      <c r="R346" s="71"/>
      <c r="S346" s="71"/>
      <c r="T346" s="69" t="str">
        <f aca="false">IF(OR($R346="",$S346=""),"",IF($S346&gt;$R346,"Acima do limite","Dentro do limite"))</f>
        <v/>
      </c>
      <c r="U346" s="28"/>
      <c r="V346" s="28"/>
      <c r="W346" s="28"/>
      <c r="X346" s="140" t="n">
        <f aca="false">IFERROR(IF(OR($J346="",$K346=""),0,$J346*$K346),0)</f>
        <v>0</v>
      </c>
      <c r="Y346" s="44" t="n">
        <f aca="false">IFERROR(IF($X346=0,0,$X346*IF($O346="",$N346,$O346)),0)</f>
        <v>0</v>
      </c>
      <c r="Z346" s="60" t="str">
        <f aca="false">IF($L346="","",IF($L346&lt;0.5,"Balística / Velocidade (&lt;50%)",IF($L346&lt;0.7,"Velocidade-Força (50–69%)",IF($L346&lt;0.8,"Força-Velocidade (70–79%)",IF($L346&lt;0.9,"Força Máxima (80–89%)","Força Máxima Alta (≥90%)")))))</f>
        <v/>
      </c>
      <c r="AA346" s="27"/>
      <c r="AB346" s="27"/>
    </row>
    <row r="347" customFormat="false" ht="15" hidden="false" customHeight="false" outlineLevel="0" collapsed="false">
      <c r="A347" s="29"/>
      <c r="B347" s="33" t="n">
        <f aca="false">IF($A347="",0,INT(($A347-'Bloco Base'!$C$5)/7)+1)</f>
        <v>0</v>
      </c>
      <c r="C347" s="28"/>
      <c r="D347" s="28"/>
      <c r="E347" s="27"/>
      <c r="F347" s="28"/>
      <c r="G347" s="139"/>
      <c r="H347" s="27"/>
      <c r="I347" s="28"/>
      <c r="J347" s="28"/>
      <c r="K347" s="28"/>
      <c r="L347" s="71"/>
      <c r="M347" s="35" t="str">
        <f aca="false">IF($AB347="","",IFERROR(INDEX('Força 1RM'!$Q$8:$Y$47,MATCH(IF($E347="Equipe (todos)",$C$4,$E347),'Força 1RM'!$P$8:$P$47,0),MATCH($AB347,'Força 1RM'!$Q$7:$Y$7,0)),""))</f>
        <v/>
      </c>
      <c r="N347" s="30" t="n">
        <f aca="false">IFERROR(IF(OR($L347="",$M347="",$M347=0),0,ROUND($L347*$M347*2,0)/2),0)</f>
        <v>0</v>
      </c>
      <c r="O347" s="32"/>
      <c r="P347" s="42" t="str">
        <f aca="false">IFERROR(IF(OR($L347="",$I347="—",$I347=""),"",IF($I347="Agachamento",INDEX($AE$8:$AE$20,MATCH($L347,$AD$8:$AD$20,1)),IF($I347="Supino",INDEX($AF$8:$AF$20,MATCH($L347,$AD$8:$AD$20,1)),IF($I347="Terra",INDEX($AG$8:$AG$20,MATCH($L347,$AD$8:$AD$20,1)),"")))),"")</f>
        <v/>
      </c>
      <c r="Q347" s="45"/>
      <c r="R347" s="71"/>
      <c r="S347" s="71"/>
      <c r="T347" s="69" t="str">
        <f aca="false">IF(OR($R347="",$S347=""),"",IF($S347&gt;$R347,"Acima do limite","Dentro do limite"))</f>
        <v/>
      </c>
      <c r="U347" s="28"/>
      <c r="V347" s="28"/>
      <c r="W347" s="28"/>
      <c r="X347" s="140" t="n">
        <f aca="false">IFERROR(IF(OR($J347="",$K347=""),0,$J347*$K347),0)</f>
        <v>0</v>
      </c>
      <c r="Y347" s="44" t="n">
        <f aca="false">IFERROR(IF($X347=0,0,$X347*IF($O347="",$N347,$O347)),0)</f>
        <v>0</v>
      </c>
      <c r="Z347" s="60" t="str">
        <f aca="false">IF($L347="","",IF($L347&lt;0.5,"Balística / Velocidade (&lt;50%)",IF($L347&lt;0.7,"Velocidade-Força (50–69%)",IF($L347&lt;0.8,"Força-Velocidade (70–79%)",IF($L347&lt;0.9,"Força Máxima (80–89%)","Força Máxima Alta (≥90%)")))))</f>
        <v/>
      </c>
      <c r="AA347" s="27"/>
      <c r="AB347" s="27"/>
    </row>
    <row r="348" customFormat="false" ht="15" hidden="false" customHeight="false" outlineLevel="0" collapsed="false">
      <c r="A348" s="29"/>
      <c r="B348" s="33" t="n">
        <f aca="false">IF($A348="",0,INT(($A348-'Bloco Base'!$C$5)/7)+1)</f>
        <v>0</v>
      </c>
      <c r="C348" s="28"/>
      <c r="D348" s="28"/>
      <c r="E348" s="27"/>
      <c r="F348" s="28"/>
      <c r="G348" s="139"/>
      <c r="H348" s="27"/>
      <c r="I348" s="28"/>
      <c r="J348" s="28"/>
      <c r="K348" s="28"/>
      <c r="L348" s="71"/>
      <c r="M348" s="35" t="str">
        <f aca="false">IF($AB348="","",IFERROR(INDEX('Força 1RM'!$Q$8:$Y$47,MATCH(IF($E348="Equipe (todos)",$C$4,$E348),'Força 1RM'!$P$8:$P$47,0),MATCH($AB348,'Força 1RM'!$Q$7:$Y$7,0)),""))</f>
        <v/>
      </c>
      <c r="N348" s="30" t="n">
        <f aca="false">IFERROR(IF(OR($L348="",$M348="",$M348=0),0,ROUND($L348*$M348*2,0)/2),0)</f>
        <v>0</v>
      </c>
      <c r="O348" s="32"/>
      <c r="P348" s="42" t="str">
        <f aca="false">IFERROR(IF(OR($L348="",$I348="—",$I348=""),"",IF($I348="Agachamento",INDEX($AE$8:$AE$20,MATCH($L348,$AD$8:$AD$20,1)),IF($I348="Supino",INDEX($AF$8:$AF$20,MATCH($L348,$AD$8:$AD$20,1)),IF($I348="Terra",INDEX($AG$8:$AG$20,MATCH($L348,$AD$8:$AD$20,1)),"")))),"")</f>
        <v/>
      </c>
      <c r="Q348" s="45"/>
      <c r="R348" s="71"/>
      <c r="S348" s="71"/>
      <c r="T348" s="69" t="str">
        <f aca="false">IF(OR($R348="",$S348=""),"",IF($S348&gt;$R348,"Acima do limite","Dentro do limite"))</f>
        <v/>
      </c>
      <c r="U348" s="28"/>
      <c r="V348" s="28"/>
      <c r="W348" s="28"/>
      <c r="X348" s="140" t="n">
        <f aca="false">IFERROR(IF(OR($J348="",$K348=""),0,$J348*$K348),0)</f>
        <v>0</v>
      </c>
      <c r="Y348" s="44" t="n">
        <f aca="false">IFERROR(IF($X348=0,0,$X348*IF($O348="",$N348,$O348)),0)</f>
        <v>0</v>
      </c>
      <c r="Z348" s="60" t="str">
        <f aca="false">IF($L348="","",IF($L348&lt;0.5,"Balística / Velocidade (&lt;50%)",IF($L348&lt;0.7,"Velocidade-Força (50–69%)",IF($L348&lt;0.8,"Força-Velocidade (70–79%)",IF($L348&lt;0.9,"Força Máxima (80–89%)","Força Máxima Alta (≥90%)")))))</f>
        <v/>
      </c>
      <c r="AA348" s="27"/>
      <c r="AB348" s="27"/>
    </row>
    <row r="349" customFormat="false" ht="15" hidden="false" customHeight="false" outlineLevel="0" collapsed="false">
      <c r="A349" s="29"/>
      <c r="B349" s="33" t="n">
        <f aca="false">IF($A349="",0,INT(($A349-'Bloco Base'!$C$5)/7)+1)</f>
        <v>0</v>
      </c>
      <c r="C349" s="28"/>
      <c r="D349" s="28"/>
      <c r="E349" s="27"/>
      <c r="F349" s="28"/>
      <c r="G349" s="139"/>
      <c r="H349" s="27"/>
      <c r="I349" s="28"/>
      <c r="J349" s="28"/>
      <c r="K349" s="28"/>
      <c r="L349" s="71"/>
      <c r="M349" s="35" t="str">
        <f aca="false">IF($AB349="","",IFERROR(INDEX('Força 1RM'!$Q$8:$Y$47,MATCH(IF($E349="Equipe (todos)",$C$4,$E349),'Força 1RM'!$P$8:$P$47,0),MATCH($AB349,'Força 1RM'!$Q$7:$Y$7,0)),""))</f>
        <v/>
      </c>
      <c r="N349" s="30" t="n">
        <f aca="false">IFERROR(IF(OR($L349="",$M349="",$M349=0),0,ROUND($L349*$M349*2,0)/2),0)</f>
        <v>0</v>
      </c>
      <c r="O349" s="32"/>
      <c r="P349" s="42" t="str">
        <f aca="false">IFERROR(IF(OR($L349="",$I349="—",$I349=""),"",IF($I349="Agachamento",INDEX($AE$8:$AE$20,MATCH($L349,$AD$8:$AD$20,1)),IF($I349="Supino",INDEX($AF$8:$AF$20,MATCH($L349,$AD$8:$AD$20,1)),IF($I349="Terra",INDEX($AG$8:$AG$20,MATCH($L349,$AD$8:$AD$20,1)),"")))),"")</f>
        <v/>
      </c>
      <c r="Q349" s="45"/>
      <c r="R349" s="71"/>
      <c r="S349" s="71"/>
      <c r="T349" s="69" t="str">
        <f aca="false">IF(OR($R349="",$S349=""),"",IF($S349&gt;$R349,"Acima do limite","Dentro do limite"))</f>
        <v/>
      </c>
      <c r="U349" s="28"/>
      <c r="V349" s="28"/>
      <c r="W349" s="28"/>
      <c r="X349" s="140" t="n">
        <f aca="false">IFERROR(IF(OR($J349="",$K349=""),0,$J349*$K349),0)</f>
        <v>0</v>
      </c>
      <c r="Y349" s="44" t="n">
        <f aca="false">IFERROR(IF($X349=0,0,$X349*IF($O349="",$N349,$O349)),0)</f>
        <v>0</v>
      </c>
      <c r="Z349" s="60" t="str">
        <f aca="false">IF($L349="","",IF($L349&lt;0.5,"Balística / Velocidade (&lt;50%)",IF($L349&lt;0.7,"Velocidade-Força (50–69%)",IF($L349&lt;0.8,"Força-Velocidade (70–79%)",IF($L349&lt;0.9,"Força Máxima (80–89%)","Força Máxima Alta (≥90%)")))))</f>
        <v/>
      </c>
      <c r="AA349" s="27"/>
      <c r="AB349" s="27"/>
    </row>
    <row r="350" customFormat="false" ht="15" hidden="false" customHeight="false" outlineLevel="0" collapsed="false">
      <c r="A350" s="29"/>
      <c r="B350" s="33" t="n">
        <f aca="false">IF($A350="",0,INT(($A350-'Bloco Base'!$C$5)/7)+1)</f>
        <v>0</v>
      </c>
      <c r="C350" s="28"/>
      <c r="D350" s="28"/>
      <c r="E350" s="27"/>
      <c r="F350" s="28"/>
      <c r="G350" s="139"/>
      <c r="H350" s="27"/>
      <c r="I350" s="28"/>
      <c r="J350" s="28"/>
      <c r="K350" s="28"/>
      <c r="L350" s="71"/>
      <c r="M350" s="35" t="str">
        <f aca="false">IF($AB350="","",IFERROR(INDEX('Força 1RM'!$Q$8:$Y$47,MATCH(IF($E350="Equipe (todos)",$C$4,$E350),'Força 1RM'!$P$8:$P$47,0),MATCH($AB350,'Força 1RM'!$Q$7:$Y$7,0)),""))</f>
        <v/>
      </c>
      <c r="N350" s="30" t="n">
        <f aca="false">IFERROR(IF(OR($L350="",$M350="",$M350=0),0,ROUND($L350*$M350*2,0)/2),0)</f>
        <v>0</v>
      </c>
      <c r="O350" s="32"/>
      <c r="P350" s="42" t="str">
        <f aca="false">IFERROR(IF(OR($L350="",$I350="—",$I350=""),"",IF($I350="Agachamento",INDEX($AE$8:$AE$20,MATCH($L350,$AD$8:$AD$20,1)),IF($I350="Supino",INDEX($AF$8:$AF$20,MATCH($L350,$AD$8:$AD$20,1)),IF($I350="Terra",INDEX($AG$8:$AG$20,MATCH($L350,$AD$8:$AD$20,1)),"")))),"")</f>
        <v/>
      </c>
      <c r="Q350" s="45"/>
      <c r="R350" s="71"/>
      <c r="S350" s="71"/>
      <c r="T350" s="69" t="str">
        <f aca="false">IF(OR($R350="",$S350=""),"",IF($S350&gt;$R350,"Acima do limite","Dentro do limite"))</f>
        <v/>
      </c>
      <c r="U350" s="28"/>
      <c r="V350" s="28"/>
      <c r="W350" s="28"/>
      <c r="X350" s="140" t="n">
        <f aca="false">IFERROR(IF(OR($J350="",$K350=""),0,$J350*$K350),0)</f>
        <v>0</v>
      </c>
      <c r="Y350" s="44" t="n">
        <f aca="false">IFERROR(IF($X350=0,0,$X350*IF($O350="",$N350,$O350)),0)</f>
        <v>0</v>
      </c>
      <c r="Z350" s="60" t="str">
        <f aca="false">IF($L350="","",IF($L350&lt;0.5,"Balística / Velocidade (&lt;50%)",IF($L350&lt;0.7,"Velocidade-Força (50–69%)",IF($L350&lt;0.8,"Força-Velocidade (70–79%)",IF($L350&lt;0.9,"Força Máxima (80–89%)","Força Máxima Alta (≥90%)")))))</f>
        <v/>
      </c>
      <c r="AA350" s="27"/>
      <c r="AB350" s="27"/>
    </row>
    <row r="351" customFormat="false" ht="15" hidden="false" customHeight="false" outlineLevel="0" collapsed="false">
      <c r="A351" s="29"/>
      <c r="B351" s="33" t="n">
        <f aca="false">IF($A351="",0,INT(($A351-'Bloco Base'!$C$5)/7)+1)</f>
        <v>0</v>
      </c>
      <c r="C351" s="28"/>
      <c r="D351" s="28"/>
      <c r="E351" s="27"/>
      <c r="F351" s="28"/>
      <c r="G351" s="139"/>
      <c r="H351" s="27"/>
      <c r="I351" s="28"/>
      <c r="J351" s="28"/>
      <c r="K351" s="28"/>
      <c r="L351" s="71"/>
      <c r="M351" s="35" t="str">
        <f aca="false">IF($AB351="","",IFERROR(INDEX('Força 1RM'!$Q$8:$Y$47,MATCH(IF($E351="Equipe (todos)",$C$4,$E351),'Força 1RM'!$P$8:$P$47,0),MATCH($AB351,'Força 1RM'!$Q$7:$Y$7,0)),""))</f>
        <v/>
      </c>
      <c r="N351" s="30" t="n">
        <f aca="false">IFERROR(IF(OR($L351="",$M351="",$M351=0),0,ROUND($L351*$M351*2,0)/2),0)</f>
        <v>0</v>
      </c>
      <c r="O351" s="32"/>
      <c r="P351" s="42" t="str">
        <f aca="false">IFERROR(IF(OR($L351="",$I351="—",$I351=""),"",IF($I351="Agachamento",INDEX($AE$8:$AE$20,MATCH($L351,$AD$8:$AD$20,1)),IF($I351="Supino",INDEX($AF$8:$AF$20,MATCH($L351,$AD$8:$AD$20,1)),IF($I351="Terra",INDEX($AG$8:$AG$20,MATCH($L351,$AD$8:$AD$20,1)),"")))),"")</f>
        <v/>
      </c>
      <c r="Q351" s="45"/>
      <c r="R351" s="71"/>
      <c r="S351" s="71"/>
      <c r="T351" s="69" t="str">
        <f aca="false">IF(OR($R351="",$S351=""),"",IF($S351&gt;$R351,"Acima do limite","Dentro do limite"))</f>
        <v/>
      </c>
      <c r="U351" s="28"/>
      <c r="V351" s="28"/>
      <c r="W351" s="28"/>
      <c r="X351" s="140" t="n">
        <f aca="false">IFERROR(IF(OR($J351="",$K351=""),0,$J351*$K351),0)</f>
        <v>0</v>
      </c>
      <c r="Y351" s="44" t="n">
        <f aca="false">IFERROR(IF($X351=0,0,$X351*IF($O351="",$N351,$O351)),0)</f>
        <v>0</v>
      </c>
      <c r="Z351" s="60" t="str">
        <f aca="false">IF($L351="","",IF($L351&lt;0.5,"Balística / Velocidade (&lt;50%)",IF($L351&lt;0.7,"Velocidade-Força (50–69%)",IF($L351&lt;0.8,"Força-Velocidade (70–79%)",IF($L351&lt;0.9,"Força Máxima (80–89%)","Força Máxima Alta (≥90%)")))))</f>
        <v/>
      </c>
      <c r="AA351" s="27"/>
      <c r="AB351" s="27"/>
    </row>
    <row r="352" customFormat="false" ht="15" hidden="false" customHeight="false" outlineLevel="0" collapsed="false">
      <c r="A352" s="29"/>
      <c r="B352" s="33" t="n">
        <f aca="false">IF($A352="",0,INT(($A352-'Bloco Base'!$C$5)/7)+1)</f>
        <v>0</v>
      </c>
      <c r="C352" s="28"/>
      <c r="D352" s="28"/>
      <c r="E352" s="27"/>
      <c r="F352" s="28"/>
      <c r="G352" s="139"/>
      <c r="H352" s="27"/>
      <c r="I352" s="28"/>
      <c r="J352" s="28"/>
      <c r="K352" s="28"/>
      <c r="L352" s="71"/>
      <c r="M352" s="35" t="str">
        <f aca="false">IF($AB352="","",IFERROR(INDEX('Força 1RM'!$Q$8:$Y$47,MATCH(IF($E352="Equipe (todos)",$C$4,$E352),'Força 1RM'!$P$8:$P$47,0),MATCH($AB352,'Força 1RM'!$Q$7:$Y$7,0)),""))</f>
        <v/>
      </c>
      <c r="N352" s="30" t="n">
        <f aca="false">IFERROR(IF(OR($L352="",$M352="",$M352=0),0,ROUND($L352*$M352*2,0)/2),0)</f>
        <v>0</v>
      </c>
      <c r="O352" s="32"/>
      <c r="P352" s="42" t="str">
        <f aca="false">IFERROR(IF(OR($L352="",$I352="—",$I352=""),"",IF($I352="Agachamento",INDEX($AE$8:$AE$20,MATCH($L352,$AD$8:$AD$20,1)),IF($I352="Supino",INDEX($AF$8:$AF$20,MATCH($L352,$AD$8:$AD$20,1)),IF($I352="Terra",INDEX($AG$8:$AG$20,MATCH($L352,$AD$8:$AD$20,1)),"")))),"")</f>
        <v/>
      </c>
      <c r="Q352" s="45"/>
      <c r="R352" s="71"/>
      <c r="S352" s="71"/>
      <c r="T352" s="69" t="str">
        <f aca="false">IF(OR($R352="",$S352=""),"",IF($S352&gt;$R352,"Acima do limite","Dentro do limite"))</f>
        <v/>
      </c>
      <c r="U352" s="28"/>
      <c r="V352" s="28"/>
      <c r="W352" s="28"/>
      <c r="X352" s="140" t="n">
        <f aca="false">IFERROR(IF(OR($J352="",$K352=""),0,$J352*$K352),0)</f>
        <v>0</v>
      </c>
      <c r="Y352" s="44" t="n">
        <f aca="false">IFERROR(IF($X352=0,0,$X352*IF($O352="",$N352,$O352)),0)</f>
        <v>0</v>
      </c>
      <c r="Z352" s="60" t="str">
        <f aca="false">IF($L352="","",IF($L352&lt;0.5,"Balística / Velocidade (&lt;50%)",IF($L352&lt;0.7,"Velocidade-Força (50–69%)",IF($L352&lt;0.8,"Força-Velocidade (70–79%)",IF($L352&lt;0.9,"Força Máxima (80–89%)","Força Máxima Alta (≥90%)")))))</f>
        <v/>
      </c>
      <c r="AA352" s="27"/>
      <c r="AB352" s="27"/>
    </row>
    <row r="353" customFormat="false" ht="15" hidden="false" customHeight="false" outlineLevel="0" collapsed="false">
      <c r="A353" s="29"/>
      <c r="B353" s="33" t="n">
        <f aca="false">IF($A353="",0,INT(($A353-'Bloco Base'!$C$5)/7)+1)</f>
        <v>0</v>
      </c>
      <c r="C353" s="28"/>
      <c r="D353" s="28"/>
      <c r="E353" s="27"/>
      <c r="F353" s="28"/>
      <c r="G353" s="139"/>
      <c r="H353" s="27"/>
      <c r="I353" s="28"/>
      <c r="J353" s="28"/>
      <c r="K353" s="28"/>
      <c r="L353" s="71"/>
      <c r="M353" s="35" t="str">
        <f aca="false">IF($AB353="","",IFERROR(INDEX('Força 1RM'!$Q$8:$Y$47,MATCH(IF($E353="Equipe (todos)",$C$4,$E353),'Força 1RM'!$P$8:$P$47,0),MATCH($AB353,'Força 1RM'!$Q$7:$Y$7,0)),""))</f>
        <v/>
      </c>
      <c r="N353" s="30" t="n">
        <f aca="false">IFERROR(IF(OR($L353="",$M353="",$M353=0),0,ROUND($L353*$M353*2,0)/2),0)</f>
        <v>0</v>
      </c>
      <c r="O353" s="32"/>
      <c r="P353" s="42" t="str">
        <f aca="false">IFERROR(IF(OR($L353="",$I353="—",$I353=""),"",IF($I353="Agachamento",INDEX($AE$8:$AE$20,MATCH($L353,$AD$8:$AD$20,1)),IF($I353="Supino",INDEX($AF$8:$AF$20,MATCH($L353,$AD$8:$AD$20,1)),IF($I353="Terra",INDEX($AG$8:$AG$20,MATCH($L353,$AD$8:$AD$20,1)),"")))),"")</f>
        <v/>
      </c>
      <c r="Q353" s="45"/>
      <c r="R353" s="71"/>
      <c r="S353" s="71"/>
      <c r="T353" s="69" t="str">
        <f aca="false">IF(OR($R353="",$S353=""),"",IF($S353&gt;$R353,"Acima do limite","Dentro do limite"))</f>
        <v/>
      </c>
      <c r="U353" s="28"/>
      <c r="V353" s="28"/>
      <c r="W353" s="28"/>
      <c r="X353" s="140" t="n">
        <f aca="false">IFERROR(IF(OR($J353="",$K353=""),0,$J353*$K353),0)</f>
        <v>0</v>
      </c>
      <c r="Y353" s="44" t="n">
        <f aca="false">IFERROR(IF($X353=0,0,$X353*IF($O353="",$N353,$O353)),0)</f>
        <v>0</v>
      </c>
      <c r="Z353" s="60" t="str">
        <f aca="false">IF($L353="","",IF($L353&lt;0.5,"Balística / Velocidade (&lt;50%)",IF($L353&lt;0.7,"Velocidade-Força (50–69%)",IF($L353&lt;0.8,"Força-Velocidade (70–79%)",IF($L353&lt;0.9,"Força Máxima (80–89%)","Força Máxima Alta (≥90%)")))))</f>
        <v/>
      </c>
      <c r="AA353" s="27"/>
      <c r="AB353" s="27"/>
    </row>
    <row r="354" customFormat="false" ht="15" hidden="false" customHeight="false" outlineLevel="0" collapsed="false">
      <c r="A354" s="29"/>
      <c r="B354" s="33" t="n">
        <f aca="false">IF($A354="",0,INT(($A354-'Bloco Base'!$C$5)/7)+1)</f>
        <v>0</v>
      </c>
      <c r="C354" s="28"/>
      <c r="D354" s="28"/>
      <c r="E354" s="27"/>
      <c r="F354" s="28"/>
      <c r="G354" s="139"/>
      <c r="H354" s="27"/>
      <c r="I354" s="28"/>
      <c r="J354" s="28"/>
      <c r="K354" s="28"/>
      <c r="L354" s="71"/>
      <c r="M354" s="35" t="str">
        <f aca="false">IF($AB354="","",IFERROR(INDEX('Força 1RM'!$Q$8:$Y$47,MATCH(IF($E354="Equipe (todos)",$C$4,$E354),'Força 1RM'!$P$8:$P$47,0),MATCH($AB354,'Força 1RM'!$Q$7:$Y$7,0)),""))</f>
        <v/>
      </c>
      <c r="N354" s="30" t="n">
        <f aca="false">IFERROR(IF(OR($L354="",$M354="",$M354=0),0,ROUND($L354*$M354*2,0)/2),0)</f>
        <v>0</v>
      </c>
      <c r="O354" s="32"/>
      <c r="P354" s="42" t="str">
        <f aca="false">IFERROR(IF(OR($L354="",$I354="—",$I354=""),"",IF($I354="Agachamento",INDEX($AE$8:$AE$20,MATCH($L354,$AD$8:$AD$20,1)),IF($I354="Supino",INDEX($AF$8:$AF$20,MATCH($L354,$AD$8:$AD$20,1)),IF($I354="Terra",INDEX($AG$8:$AG$20,MATCH($L354,$AD$8:$AD$20,1)),"")))),"")</f>
        <v/>
      </c>
      <c r="Q354" s="45"/>
      <c r="R354" s="71"/>
      <c r="S354" s="71"/>
      <c r="T354" s="69" t="str">
        <f aca="false">IF(OR($R354="",$S354=""),"",IF($S354&gt;$R354,"Acima do limite","Dentro do limite"))</f>
        <v/>
      </c>
      <c r="U354" s="28"/>
      <c r="V354" s="28"/>
      <c r="W354" s="28"/>
      <c r="X354" s="140" t="n">
        <f aca="false">IFERROR(IF(OR($J354="",$K354=""),0,$J354*$K354),0)</f>
        <v>0</v>
      </c>
      <c r="Y354" s="44" t="n">
        <f aca="false">IFERROR(IF($X354=0,0,$X354*IF($O354="",$N354,$O354)),0)</f>
        <v>0</v>
      </c>
      <c r="Z354" s="60" t="str">
        <f aca="false">IF($L354="","",IF($L354&lt;0.5,"Balística / Velocidade (&lt;50%)",IF($L354&lt;0.7,"Velocidade-Força (50–69%)",IF($L354&lt;0.8,"Força-Velocidade (70–79%)",IF($L354&lt;0.9,"Força Máxima (80–89%)","Força Máxima Alta (≥90%)")))))</f>
        <v/>
      </c>
      <c r="AA354" s="27"/>
      <c r="AB354" s="27"/>
    </row>
    <row r="355" customFormat="false" ht="15" hidden="false" customHeight="false" outlineLevel="0" collapsed="false">
      <c r="A355" s="29"/>
      <c r="B355" s="33" t="n">
        <f aca="false">IF($A355="",0,INT(($A355-'Bloco Base'!$C$5)/7)+1)</f>
        <v>0</v>
      </c>
      <c r="C355" s="28"/>
      <c r="D355" s="28"/>
      <c r="E355" s="27"/>
      <c r="F355" s="28"/>
      <c r="G355" s="139"/>
      <c r="H355" s="27"/>
      <c r="I355" s="28"/>
      <c r="J355" s="28"/>
      <c r="K355" s="28"/>
      <c r="L355" s="71"/>
      <c r="M355" s="35" t="str">
        <f aca="false">IF($AB355="","",IFERROR(INDEX('Força 1RM'!$Q$8:$Y$47,MATCH(IF($E355="Equipe (todos)",$C$4,$E355),'Força 1RM'!$P$8:$P$47,0),MATCH($AB355,'Força 1RM'!$Q$7:$Y$7,0)),""))</f>
        <v/>
      </c>
      <c r="N355" s="30" t="n">
        <f aca="false">IFERROR(IF(OR($L355="",$M355="",$M355=0),0,ROUND($L355*$M355*2,0)/2),0)</f>
        <v>0</v>
      </c>
      <c r="O355" s="32"/>
      <c r="P355" s="42" t="str">
        <f aca="false">IFERROR(IF(OR($L355="",$I355="—",$I355=""),"",IF($I355="Agachamento",INDEX($AE$8:$AE$20,MATCH($L355,$AD$8:$AD$20,1)),IF($I355="Supino",INDEX($AF$8:$AF$20,MATCH($L355,$AD$8:$AD$20,1)),IF($I355="Terra",INDEX($AG$8:$AG$20,MATCH($L355,$AD$8:$AD$20,1)),"")))),"")</f>
        <v/>
      </c>
      <c r="Q355" s="45"/>
      <c r="R355" s="71"/>
      <c r="S355" s="71"/>
      <c r="T355" s="69" t="str">
        <f aca="false">IF(OR($R355="",$S355=""),"",IF($S355&gt;$R355,"Acima do limite","Dentro do limite"))</f>
        <v/>
      </c>
      <c r="U355" s="28"/>
      <c r="V355" s="28"/>
      <c r="W355" s="28"/>
      <c r="X355" s="140" t="n">
        <f aca="false">IFERROR(IF(OR($J355="",$K355=""),0,$J355*$K355),0)</f>
        <v>0</v>
      </c>
      <c r="Y355" s="44" t="n">
        <f aca="false">IFERROR(IF($X355=0,0,$X355*IF($O355="",$N355,$O355)),0)</f>
        <v>0</v>
      </c>
      <c r="Z355" s="60" t="str">
        <f aca="false">IF($L355="","",IF($L355&lt;0.5,"Balística / Velocidade (&lt;50%)",IF($L355&lt;0.7,"Velocidade-Força (50–69%)",IF($L355&lt;0.8,"Força-Velocidade (70–79%)",IF($L355&lt;0.9,"Força Máxima (80–89%)","Força Máxima Alta (≥90%)")))))</f>
        <v/>
      </c>
      <c r="AA355" s="27"/>
      <c r="AB355" s="27"/>
    </row>
    <row r="356" customFormat="false" ht="15" hidden="false" customHeight="false" outlineLevel="0" collapsed="false">
      <c r="A356" s="29"/>
      <c r="B356" s="33" t="n">
        <f aca="false">IF($A356="",0,INT(($A356-'Bloco Base'!$C$5)/7)+1)</f>
        <v>0</v>
      </c>
      <c r="C356" s="28"/>
      <c r="D356" s="28"/>
      <c r="E356" s="27"/>
      <c r="F356" s="28"/>
      <c r="G356" s="139"/>
      <c r="H356" s="27"/>
      <c r="I356" s="28"/>
      <c r="J356" s="28"/>
      <c r="K356" s="28"/>
      <c r="L356" s="71"/>
      <c r="M356" s="35" t="str">
        <f aca="false">IF($AB356="","",IFERROR(INDEX('Força 1RM'!$Q$8:$Y$47,MATCH(IF($E356="Equipe (todos)",$C$4,$E356),'Força 1RM'!$P$8:$P$47,0),MATCH($AB356,'Força 1RM'!$Q$7:$Y$7,0)),""))</f>
        <v/>
      </c>
      <c r="N356" s="30" t="n">
        <f aca="false">IFERROR(IF(OR($L356="",$M356="",$M356=0),0,ROUND($L356*$M356*2,0)/2),0)</f>
        <v>0</v>
      </c>
      <c r="O356" s="32"/>
      <c r="P356" s="42" t="str">
        <f aca="false">IFERROR(IF(OR($L356="",$I356="—",$I356=""),"",IF($I356="Agachamento",INDEX($AE$8:$AE$20,MATCH($L356,$AD$8:$AD$20,1)),IF($I356="Supino",INDEX($AF$8:$AF$20,MATCH($L356,$AD$8:$AD$20,1)),IF($I356="Terra",INDEX($AG$8:$AG$20,MATCH($L356,$AD$8:$AD$20,1)),"")))),"")</f>
        <v/>
      </c>
      <c r="Q356" s="45"/>
      <c r="R356" s="71"/>
      <c r="S356" s="71"/>
      <c r="T356" s="69" t="str">
        <f aca="false">IF(OR($R356="",$S356=""),"",IF($S356&gt;$R356,"Acima do limite","Dentro do limite"))</f>
        <v/>
      </c>
      <c r="U356" s="28"/>
      <c r="V356" s="28"/>
      <c r="W356" s="28"/>
      <c r="X356" s="140" t="n">
        <f aca="false">IFERROR(IF(OR($J356="",$K356=""),0,$J356*$K356),0)</f>
        <v>0</v>
      </c>
      <c r="Y356" s="44" t="n">
        <f aca="false">IFERROR(IF($X356=0,0,$X356*IF($O356="",$N356,$O356)),0)</f>
        <v>0</v>
      </c>
      <c r="Z356" s="60" t="str">
        <f aca="false">IF($L356="","",IF($L356&lt;0.5,"Balística / Velocidade (&lt;50%)",IF($L356&lt;0.7,"Velocidade-Força (50–69%)",IF($L356&lt;0.8,"Força-Velocidade (70–79%)",IF($L356&lt;0.9,"Força Máxima (80–89%)","Força Máxima Alta (≥90%)")))))</f>
        <v/>
      </c>
      <c r="AA356" s="27"/>
      <c r="AB356" s="27"/>
    </row>
    <row r="357" customFormat="false" ht="15" hidden="false" customHeight="false" outlineLevel="0" collapsed="false">
      <c r="A357" s="29"/>
      <c r="B357" s="33" t="n">
        <f aca="false">IF($A357="",0,INT(($A357-'Bloco Base'!$C$5)/7)+1)</f>
        <v>0</v>
      </c>
      <c r="C357" s="28"/>
      <c r="D357" s="28"/>
      <c r="E357" s="27"/>
      <c r="F357" s="28"/>
      <c r="G357" s="139"/>
      <c r="H357" s="27"/>
      <c r="I357" s="28"/>
      <c r="J357" s="28"/>
      <c r="K357" s="28"/>
      <c r="L357" s="71"/>
      <c r="M357" s="35" t="str">
        <f aca="false">IF($AB357="","",IFERROR(INDEX('Força 1RM'!$Q$8:$Y$47,MATCH(IF($E357="Equipe (todos)",$C$4,$E357),'Força 1RM'!$P$8:$P$47,0),MATCH($AB357,'Força 1RM'!$Q$7:$Y$7,0)),""))</f>
        <v/>
      </c>
      <c r="N357" s="30" t="n">
        <f aca="false">IFERROR(IF(OR($L357="",$M357="",$M357=0),0,ROUND($L357*$M357*2,0)/2),0)</f>
        <v>0</v>
      </c>
      <c r="O357" s="32"/>
      <c r="P357" s="42" t="str">
        <f aca="false">IFERROR(IF(OR($L357="",$I357="—",$I357=""),"",IF($I357="Agachamento",INDEX($AE$8:$AE$20,MATCH($L357,$AD$8:$AD$20,1)),IF($I357="Supino",INDEX($AF$8:$AF$20,MATCH($L357,$AD$8:$AD$20,1)),IF($I357="Terra",INDEX($AG$8:$AG$20,MATCH($L357,$AD$8:$AD$20,1)),"")))),"")</f>
        <v/>
      </c>
      <c r="Q357" s="45"/>
      <c r="R357" s="71"/>
      <c r="S357" s="71"/>
      <c r="T357" s="69" t="str">
        <f aca="false">IF(OR($R357="",$S357=""),"",IF($S357&gt;$R357,"Acima do limite","Dentro do limite"))</f>
        <v/>
      </c>
      <c r="U357" s="28"/>
      <c r="V357" s="28"/>
      <c r="W357" s="28"/>
      <c r="X357" s="140" t="n">
        <f aca="false">IFERROR(IF(OR($J357="",$K357=""),0,$J357*$K357),0)</f>
        <v>0</v>
      </c>
      <c r="Y357" s="44" t="n">
        <f aca="false">IFERROR(IF($X357=0,0,$X357*IF($O357="",$N357,$O357)),0)</f>
        <v>0</v>
      </c>
      <c r="Z357" s="60" t="str">
        <f aca="false">IF($L357="","",IF($L357&lt;0.5,"Balística / Velocidade (&lt;50%)",IF($L357&lt;0.7,"Velocidade-Força (50–69%)",IF($L357&lt;0.8,"Força-Velocidade (70–79%)",IF($L357&lt;0.9,"Força Máxima (80–89%)","Força Máxima Alta (≥90%)")))))</f>
        <v/>
      </c>
      <c r="AA357" s="27"/>
      <c r="AB357" s="27"/>
    </row>
    <row r="358" customFormat="false" ht="15" hidden="false" customHeight="false" outlineLevel="0" collapsed="false">
      <c r="A358" s="29"/>
      <c r="B358" s="33" t="n">
        <f aca="false">IF($A358="",0,INT(($A358-'Bloco Base'!$C$5)/7)+1)</f>
        <v>0</v>
      </c>
      <c r="C358" s="28"/>
      <c r="D358" s="28"/>
      <c r="E358" s="27"/>
      <c r="F358" s="28"/>
      <c r="G358" s="139"/>
      <c r="H358" s="27"/>
      <c r="I358" s="28"/>
      <c r="J358" s="28"/>
      <c r="K358" s="28"/>
      <c r="L358" s="71"/>
      <c r="M358" s="35" t="str">
        <f aca="false">IF($AB358="","",IFERROR(INDEX('Força 1RM'!$Q$8:$Y$47,MATCH(IF($E358="Equipe (todos)",$C$4,$E358),'Força 1RM'!$P$8:$P$47,0),MATCH($AB358,'Força 1RM'!$Q$7:$Y$7,0)),""))</f>
        <v/>
      </c>
      <c r="N358" s="30" t="n">
        <f aca="false">IFERROR(IF(OR($L358="",$M358="",$M358=0),0,ROUND($L358*$M358*2,0)/2),0)</f>
        <v>0</v>
      </c>
      <c r="O358" s="32"/>
      <c r="P358" s="42" t="str">
        <f aca="false">IFERROR(IF(OR($L358="",$I358="—",$I358=""),"",IF($I358="Agachamento",INDEX($AE$8:$AE$20,MATCH($L358,$AD$8:$AD$20,1)),IF($I358="Supino",INDEX($AF$8:$AF$20,MATCH($L358,$AD$8:$AD$20,1)),IF($I358="Terra",INDEX($AG$8:$AG$20,MATCH($L358,$AD$8:$AD$20,1)),"")))),"")</f>
        <v/>
      </c>
      <c r="Q358" s="45"/>
      <c r="R358" s="71"/>
      <c r="S358" s="71"/>
      <c r="T358" s="69" t="str">
        <f aca="false">IF(OR($R358="",$S358=""),"",IF($S358&gt;$R358,"Acima do limite","Dentro do limite"))</f>
        <v/>
      </c>
      <c r="U358" s="28"/>
      <c r="V358" s="28"/>
      <c r="W358" s="28"/>
      <c r="X358" s="140" t="n">
        <f aca="false">IFERROR(IF(OR($J358="",$K358=""),0,$J358*$K358),0)</f>
        <v>0</v>
      </c>
      <c r="Y358" s="44" t="n">
        <f aca="false">IFERROR(IF($X358=0,0,$X358*IF($O358="",$N358,$O358)),0)</f>
        <v>0</v>
      </c>
      <c r="Z358" s="60" t="str">
        <f aca="false">IF($L358="","",IF($L358&lt;0.5,"Balística / Velocidade (&lt;50%)",IF($L358&lt;0.7,"Velocidade-Força (50–69%)",IF($L358&lt;0.8,"Força-Velocidade (70–79%)",IF($L358&lt;0.9,"Força Máxima (80–89%)","Força Máxima Alta (≥90%)")))))</f>
        <v/>
      </c>
      <c r="AA358" s="27"/>
      <c r="AB358" s="27"/>
    </row>
    <row r="359" customFormat="false" ht="15" hidden="false" customHeight="false" outlineLevel="0" collapsed="false">
      <c r="A359" s="29"/>
      <c r="B359" s="33" t="n">
        <f aca="false">IF($A359="",0,INT(($A359-'Bloco Base'!$C$5)/7)+1)</f>
        <v>0</v>
      </c>
      <c r="C359" s="28"/>
      <c r="D359" s="28"/>
      <c r="E359" s="27"/>
      <c r="F359" s="28"/>
      <c r="G359" s="139"/>
      <c r="H359" s="27"/>
      <c r="I359" s="28"/>
      <c r="J359" s="28"/>
      <c r="K359" s="28"/>
      <c r="L359" s="71"/>
      <c r="M359" s="35" t="str">
        <f aca="false">IF($AB359="","",IFERROR(INDEX('Força 1RM'!$Q$8:$Y$47,MATCH(IF($E359="Equipe (todos)",$C$4,$E359),'Força 1RM'!$P$8:$P$47,0),MATCH($AB359,'Força 1RM'!$Q$7:$Y$7,0)),""))</f>
        <v/>
      </c>
      <c r="N359" s="30" t="n">
        <f aca="false">IFERROR(IF(OR($L359="",$M359="",$M359=0),0,ROUND($L359*$M359*2,0)/2),0)</f>
        <v>0</v>
      </c>
      <c r="O359" s="32"/>
      <c r="P359" s="42" t="str">
        <f aca="false">IFERROR(IF(OR($L359="",$I359="—",$I359=""),"",IF($I359="Agachamento",INDEX($AE$8:$AE$20,MATCH($L359,$AD$8:$AD$20,1)),IF($I359="Supino",INDEX($AF$8:$AF$20,MATCH($L359,$AD$8:$AD$20,1)),IF($I359="Terra",INDEX($AG$8:$AG$20,MATCH($L359,$AD$8:$AD$20,1)),"")))),"")</f>
        <v/>
      </c>
      <c r="Q359" s="45"/>
      <c r="R359" s="71"/>
      <c r="S359" s="71"/>
      <c r="T359" s="69" t="str">
        <f aca="false">IF(OR($R359="",$S359=""),"",IF($S359&gt;$R359,"Acima do limite","Dentro do limite"))</f>
        <v/>
      </c>
      <c r="U359" s="28"/>
      <c r="V359" s="28"/>
      <c r="W359" s="28"/>
      <c r="X359" s="140" t="n">
        <f aca="false">IFERROR(IF(OR($J359="",$K359=""),0,$J359*$K359),0)</f>
        <v>0</v>
      </c>
      <c r="Y359" s="44" t="n">
        <f aca="false">IFERROR(IF($X359=0,0,$X359*IF($O359="",$N359,$O359)),0)</f>
        <v>0</v>
      </c>
      <c r="Z359" s="60" t="str">
        <f aca="false">IF($L359="","",IF($L359&lt;0.5,"Balística / Velocidade (&lt;50%)",IF($L359&lt;0.7,"Velocidade-Força (50–69%)",IF($L359&lt;0.8,"Força-Velocidade (70–79%)",IF($L359&lt;0.9,"Força Máxima (80–89%)","Força Máxima Alta (≥90%)")))))</f>
        <v/>
      </c>
      <c r="AA359" s="27"/>
      <c r="AB359" s="27"/>
    </row>
    <row r="360" customFormat="false" ht="15" hidden="false" customHeight="false" outlineLevel="0" collapsed="false">
      <c r="A360" s="29"/>
      <c r="B360" s="33" t="n">
        <f aca="false">IF($A360="",0,INT(($A360-'Bloco Base'!$C$5)/7)+1)</f>
        <v>0</v>
      </c>
      <c r="C360" s="28"/>
      <c r="D360" s="28"/>
      <c r="E360" s="27"/>
      <c r="F360" s="28"/>
      <c r="G360" s="139"/>
      <c r="H360" s="27"/>
      <c r="I360" s="28"/>
      <c r="J360" s="28"/>
      <c r="K360" s="28"/>
      <c r="L360" s="71"/>
      <c r="M360" s="35" t="str">
        <f aca="false">IF($AB360="","",IFERROR(INDEX('Força 1RM'!$Q$8:$Y$47,MATCH(IF($E360="Equipe (todos)",$C$4,$E360),'Força 1RM'!$P$8:$P$47,0),MATCH($AB360,'Força 1RM'!$Q$7:$Y$7,0)),""))</f>
        <v/>
      </c>
      <c r="N360" s="30" t="n">
        <f aca="false">IFERROR(IF(OR($L360="",$M360="",$M360=0),0,ROUND($L360*$M360*2,0)/2),0)</f>
        <v>0</v>
      </c>
      <c r="O360" s="32"/>
      <c r="P360" s="42" t="str">
        <f aca="false">IFERROR(IF(OR($L360="",$I360="—",$I360=""),"",IF($I360="Agachamento",INDEX($AE$8:$AE$20,MATCH($L360,$AD$8:$AD$20,1)),IF($I360="Supino",INDEX($AF$8:$AF$20,MATCH($L360,$AD$8:$AD$20,1)),IF($I360="Terra",INDEX($AG$8:$AG$20,MATCH($L360,$AD$8:$AD$20,1)),"")))),"")</f>
        <v/>
      </c>
      <c r="Q360" s="45"/>
      <c r="R360" s="71"/>
      <c r="S360" s="71"/>
      <c r="T360" s="69" t="str">
        <f aca="false">IF(OR($R360="",$S360=""),"",IF($S360&gt;$R360,"Acima do limite","Dentro do limite"))</f>
        <v/>
      </c>
      <c r="U360" s="28"/>
      <c r="V360" s="28"/>
      <c r="W360" s="28"/>
      <c r="X360" s="140" t="n">
        <f aca="false">IFERROR(IF(OR($J360="",$K360=""),0,$J360*$K360),0)</f>
        <v>0</v>
      </c>
      <c r="Y360" s="44" t="n">
        <f aca="false">IFERROR(IF($X360=0,0,$X360*IF($O360="",$N360,$O360)),0)</f>
        <v>0</v>
      </c>
      <c r="Z360" s="60" t="str">
        <f aca="false">IF($L360="","",IF($L360&lt;0.5,"Balística / Velocidade (&lt;50%)",IF($L360&lt;0.7,"Velocidade-Força (50–69%)",IF($L360&lt;0.8,"Força-Velocidade (70–79%)",IF($L360&lt;0.9,"Força Máxima (80–89%)","Força Máxima Alta (≥90%)")))))</f>
        <v/>
      </c>
      <c r="AA360" s="27"/>
      <c r="AB360" s="27"/>
    </row>
    <row r="361" customFormat="false" ht="15" hidden="false" customHeight="false" outlineLevel="0" collapsed="false">
      <c r="A361" s="29"/>
      <c r="B361" s="33" t="n">
        <f aca="false">IF($A361="",0,INT(($A361-'Bloco Base'!$C$5)/7)+1)</f>
        <v>0</v>
      </c>
      <c r="C361" s="28"/>
      <c r="D361" s="28"/>
      <c r="E361" s="27"/>
      <c r="F361" s="28"/>
      <c r="G361" s="139"/>
      <c r="H361" s="27"/>
      <c r="I361" s="28"/>
      <c r="J361" s="28"/>
      <c r="K361" s="28"/>
      <c r="L361" s="71"/>
      <c r="M361" s="35" t="str">
        <f aca="false">IF($AB361="","",IFERROR(INDEX('Força 1RM'!$Q$8:$Y$47,MATCH(IF($E361="Equipe (todos)",$C$4,$E361),'Força 1RM'!$P$8:$P$47,0),MATCH($AB361,'Força 1RM'!$Q$7:$Y$7,0)),""))</f>
        <v/>
      </c>
      <c r="N361" s="30" t="n">
        <f aca="false">IFERROR(IF(OR($L361="",$M361="",$M361=0),0,ROUND($L361*$M361*2,0)/2),0)</f>
        <v>0</v>
      </c>
      <c r="O361" s="32"/>
      <c r="P361" s="42" t="str">
        <f aca="false">IFERROR(IF(OR($L361="",$I361="—",$I361=""),"",IF($I361="Agachamento",INDEX($AE$8:$AE$20,MATCH($L361,$AD$8:$AD$20,1)),IF($I361="Supino",INDEX($AF$8:$AF$20,MATCH($L361,$AD$8:$AD$20,1)),IF($I361="Terra",INDEX($AG$8:$AG$20,MATCH($L361,$AD$8:$AD$20,1)),"")))),"")</f>
        <v/>
      </c>
      <c r="Q361" s="45"/>
      <c r="R361" s="71"/>
      <c r="S361" s="71"/>
      <c r="T361" s="69" t="str">
        <f aca="false">IF(OR($R361="",$S361=""),"",IF($S361&gt;$R361,"Acima do limite","Dentro do limite"))</f>
        <v/>
      </c>
      <c r="U361" s="28"/>
      <c r="V361" s="28"/>
      <c r="W361" s="28"/>
      <c r="X361" s="140" t="n">
        <f aca="false">IFERROR(IF(OR($J361="",$K361=""),0,$J361*$K361),0)</f>
        <v>0</v>
      </c>
      <c r="Y361" s="44" t="n">
        <f aca="false">IFERROR(IF($X361=0,0,$X361*IF($O361="",$N361,$O361)),0)</f>
        <v>0</v>
      </c>
      <c r="Z361" s="60" t="str">
        <f aca="false">IF($L361="","",IF($L361&lt;0.5,"Balística / Velocidade (&lt;50%)",IF($L361&lt;0.7,"Velocidade-Força (50–69%)",IF($L361&lt;0.8,"Força-Velocidade (70–79%)",IF($L361&lt;0.9,"Força Máxima (80–89%)","Força Máxima Alta (≥90%)")))))</f>
        <v/>
      </c>
      <c r="AA361" s="27"/>
      <c r="AB361" s="27"/>
    </row>
    <row r="362" customFormat="false" ht="15" hidden="false" customHeight="false" outlineLevel="0" collapsed="false">
      <c r="A362" s="29"/>
      <c r="B362" s="33" t="n">
        <f aca="false">IF($A362="",0,INT(($A362-'Bloco Base'!$C$5)/7)+1)</f>
        <v>0</v>
      </c>
      <c r="C362" s="28"/>
      <c r="D362" s="28"/>
      <c r="E362" s="27"/>
      <c r="F362" s="28"/>
      <c r="G362" s="139"/>
      <c r="H362" s="27"/>
      <c r="I362" s="28"/>
      <c r="J362" s="28"/>
      <c r="K362" s="28"/>
      <c r="L362" s="71"/>
      <c r="M362" s="35" t="str">
        <f aca="false">IF($AB362="","",IFERROR(INDEX('Força 1RM'!$Q$8:$Y$47,MATCH(IF($E362="Equipe (todos)",$C$4,$E362),'Força 1RM'!$P$8:$P$47,0),MATCH($AB362,'Força 1RM'!$Q$7:$Y$7,0)),""))</f>
        <v/>
      </c>
      <c r="N362" s="30" t="n">
        <f aca="false">IFERROR(IF(OR($L362="",$M362="",$M362=0),0,ROUND($L362*$M362*2,0)/2),0)</f>
        <v>0</v>
      </c>
      <c r="O362" s="32"/>
      <c r="P362" s="42" t="str">
        <f aca="false">IFERROR(IF(OR($L362="",$I362="—",$I362=""),"",IF($I362="Agachamento",INDEX($AE$8:$AE$20,MATCH($L362,$AD$8:$AD$20,1)),IF($I362="Supino",INDEX($AF$8:$AF$20,MATCH($L362,$AD$8:$AD$20,1)),IF($I362="Terra",INDEX($AG$8:$AG$20,MATCH($L362,$AD$8:$AD$20,1)),"")))),"")</f>
        <v/>
      </c>
      <c r="Q362" s="45"/>
      <c r="R362" s="71"/>
      <c r="S362" s="71"/>
      <c r="T362" s="69" t="str">
        <f aca="false">IF(OR($R362="",$S362=""),"",IF($S362&gt;$R362,"Acima do limite","Dentro do limite"))</f>
        <v/>
      </c>
      <c r="U362" s="28"/>
      <c r="V362" s="28"/>
      <c r="W362" s="28"/>
      <c r="X362" s="140" t="n">
        <f aca="false">IFERROR(IF(OR($J362="",$K362=""),0,$J362*$K362),0)</f>
        <v>0</v>
      </c>
      <c r="Y362" s="44" t="n">
        <f aca="false">IFERROR(IF($X362=0,0,$X362*IF($O362="",$N362,$O362)),0)</f>
        <v>0</v>
      </c>
      <c r="Z362" s="60" t="str">
        <f aca="false">IF($L362="","",IF($L362&lt;0.5,"Balística / Velocidade (&lt;50%)",IF($L362&lt;0.7,"Velocidade-Força (50–69%)",IF($L362&lt;0.8,"Força-Velocidade (70–79%)",IF($L362&lt;0.9,"Força Máxima (80–89%)","Força Máxima Alta (≥90%)")))))</f>
        <v/>
      </c>
      <c r="AA362" s="27"/>
      <c r="AB362" s="27"/>
    </row>
    <row r="363" customFormat="false" ht="15" hidden="false" customHeight="false" outlineLevel="0" collapsed="false">
      <c r="A363" s="29"/>
      <c r="B363" s="33" t="n">
        <f aca="false">IF($A363="",0,INT(($A363-'Bloco Base'!$C$5)/7)+1)</f>
        <v>0</v>
      </c>
      <c r="C363" s="28"/>
      <c r="D363" s="28"/>
      <c r="E363" s="27"/>
      <c r="F363" s="28"/>
      <c r="G363" s="139"/>
      <c r="H363" s="27"/>
      <c r="I363" s="28"/>
      <c r="J363" s="28"/>
      <c r="K363" s="28"/>
      <c r="L363" s="71"/>
      <c r="M363" s="35" t="str">
        <f aca="false">IF($AB363="","",IFERROR(INDEX('Força 1RM'!$Q$8:$Y$47,MATCH(IF($E363="Equipe (todos)",$C$4,$E363),'Força 1RM'!$P$8:$P$47,0),MATCH($AB363,'Força 1RM'!$Q$7:$Y$7,0)),""))</f>
        <v/>
      </c>
      <c r="N363" s="30" t="n">
        <f aca="false">IFERROR(IF(OR($L363="",$M363="",$M363=0),0,ROUND($L363*$M363*2,0)/2),0)</f>
        <v>0</v>
      </c>
      <c r="O363" s="32"/>
      <c r="P363" s="42" t="str">
        <f aca="false">IFERROR(IF(OR($L363="",$I363="—",$I363=""),"",IF($I363="Agachamento",INDEX($AE$8:$AE$20,MATCH($L363,$AD$8:$AD$20,1)),IF($I363="Supino",INDEX($AF$8:$AF$20,MATCH($L363,$AD$8:$AD$20,1)),IF($I363="Terra",INDEX($AG$8:$AG$20,MATCH($L363,$AD$8:$AD$20,1)),"")))),"")</f>
        <v/>
      </c>
      <c r="Q363" s="45"/>
      <c r="R363" s="71"/>
      <c r="S363" s="71"/>
      <c r="T363" s="69" t="str">
        <f aca="false">IF(OR($R363="",$S363=""),"",IF($S363&gt;$R363,"Acima do limite","Dentro do limite"))</f>
        <v/>
      </c>
      <c r="U363" s="28"/>
      <c r="V363" s="28"/>
      <c r="W363" s="28"/>
      <c r="X363" s="140" t="n">
        <f aca="false">IFERROR(IF(OR($J363="",$K363=""),0,$J363*$K363),0)</f>
        <v>0</v>
      </c>
      <c r="Y363" s="44" t="n">
        <f aca="false">IFERROR(IF($X363=0,0,$X363*IF($O363="",$N363,$O363)),0)</f>
        <v>0</v>
      </c>
      <c r="Z363" s="60" t="str">
        <f aca="false">IF($L363="","",IF($L363&lt;0.5,"Balística / Velocidade (&lt;50%)",IF($L363&lt;0.7,"Velocidade-Força (50–69%)",IF($L363&lt;0.8,"Força-Velocidade (70–79%)",IF($L363&lt;0.9,"Força Máxima (80–89%)","Força Máxima Alta (≥90%)")))))</f>
        <v/>
      </c>
      <c r="AA363" s="27"/>
      <c r="AB363" s="27"/>
    </row>
    <row r="364" customFormat="false" ht="15" hidden="false" customHeight="false" outlineLevel="0" collapsed="false">
      <c r="A364" s="29"/>
      <c r="B364" s="33" t="n">
        <f aca="false">IF($A364="",0,INT(($A364-'Bloco Base'!$C$5)/7)+1)</f>
        <v>0</v>
      </c>
      <c r="C364" s="28"/>
      <c r="D364" s="28"/>
      <c r="E364" s="27"/>
      <c r="F364" s="28"/>
      <c r="G364" s="139"/>
      <c r="H364" s="27"/>
      <c r="I364" s="28"/>
      <c r="J364" s="28"/>
      <c r="K364" s="28"/>
      <c r="L364" s="71"/>
      <c r="M364" s="35" t="str">
        <f aca="false">IF($AB364="","",IFERROR(INDEX('Força 1RM'!$Q$8:$Y$47,MATCH(IF($E364="Equipe (todos)",$C$4,$E364),'Força 1RM'!$P$8:$P$47,0),MATCH($AB364,'Força 1RM'!$Q$7:$Y$7,0)),""))</f>
        <v/>
      </c>
      <c r="N364" s="30" t="n">
        <f aca="false">IFERROR(IF(OR($L364="",$M364="",$M364=0),0,ROUND($L364*$M364*2,0)/2),0)</f>
        <v>0</v>
      </c>
      <c r="O364" s="32"/>
      <c r="P364" s="42" t="str">
        <f aca="false">IFERROR(IF(OR($L364="",$I364="—",$I364=""),"",IF($I364="Agachamento",INDEX($AE$8:$AE$20,MATCH($L364,$AD$8:$AD$20,1)),IF($I364="Supino",INDEX($AF$8:$AF$20,MATCH($L364,$AD$8:$AD$20,1)),IF($I364="Terra",INDEX($AG$8:$AG$20,MATCH($L364,$AD$8:$AD$20,1)),"")))),"")</f>
        <v/>
      </c>
      <c r="Q364" s="45"/>
      <c r="R364" s="71"/>
      <c r="S364" s="71"/>
      <c r="T364" s="69" t="str">
        <f aca="false">IF(OR($R364="",$S364=""),"",IF($S364&gt;$R364,"Acima do limite","Dentro do limite"))</f>
        <v/>
      </c>
      <c r="U364" s="28"/>
      <c r="V364" s="28"/>
      <c r="W364" s="28"/>
      <c r="X364" s="140" t="n">
        <f aca="false">IFERROR(IF(OR($J364="",$K364=""),0,$J364*$K364),0)</f>
        <v>0</v>
      </c>
      <c r="Y364" s="44" t="n">
        <f aca="false">IFERROR(IF($X364=0,0,$X364*IF($O364="",$N364,$O364)),0)</f>
        <v>0</v>
      </c>
      <c r="Z364" s="60" t="str">
        <f aca="false">IF($L364="","",IF($L364&lt;0.5,"Balística / Velocidade (&lt;50%)",IF($L364&lt;0.7,"Velocidade-Força (50–69%)",IF($L364&lt;0.8,"Força-Velocidade (70–79%)",IF($L364&lt;0.9,"Força Máxima (80–89%)","Força Máxima Alta (≥90%)")))))</f>
        <v/>
      </c>
      <c r="AA364" s="27"/>
      <c r="AB364" s="27"/>
    </row>
    <row r="365" customFormat="false" ht="15" hidden="false" customHeight="false" outlineLevel="0" collapsed="false">
      <c r="A365" s="29"/>
      <c r="B365" s="33" t="n">
        <f aca="false">IF($A365="",0,INT(($A365-'Bloco Base'!$C$5)/7)+1)</f>
        <v>0</v>
      </c>
      <c r="C365" s="28"/>
      <c r="D365" s="28"/>
      <c r="E365" s="27"/>
      <c r="F365" s="28"/>
      <c r="G365" s="139"/>
      <c r="H365" s="27"/>
      <c r="I365" s="28"/>
      <c r="J365" s="28"/>
      <c r="K365" s="28"/>
      <c r="L365" s="71"/>
      <c r="M365" s="35" t="str">
        <f aca="false">IF($AB365="","",IFERROR(INDEX('Força 1RM'!$Q$8:$Y$47,MATCH(IF($E365="Equipe (todos)",$C$4,$E365),'Força 1RM'!$P$8:$P$47,0),MATCH($AB365,'Força 1RM'!$Q$7:$Y$7,0)),""))</f>
        <v/>
      </c>
      <c r="N365" s="30" t="n">
        <f aca="false">IFERROR(IF(OR($L365="",$M365="",$M365=0),0,ROUND($L365*$M365*2,0)/2),0)</f>
        <v>0</v>
      </c>
      <c r="O365" s="32"/>
      <c r="P365" s="42" t="str">
        <f aca="false">IFERROR(IF(OR($L365="",$I365="—",$I365=""),"",IF($I365="Agachamento",INDEX($AE$8:$AE$20,MATCH($L365,$AD$8:$AD$20,1)),IF($I365="Supino",INDEX($AF$8:$AF$20,MATCH($L365,$AD$8:$AD$20,1)),IF($I365="Terra",INDEX($AG$8:$AG$20,MATCH($L365,$AD$8:$AD$20,1)),"")))),"")</f>
        <v/>
      </c>
      <c r="Q365" s="45"/>
      <c r="R365" s="71"/>
      <c r="S365" s="71"/>
      <c r="T365" s="69" t="str">
        <f aca="false">IF(OR($R365="",$S365=""),"",IF($S365&gt;$R365,"Acima do limite","Dentro do limite"))</f>
        <v/>
      </c>
      <c r="U365" s="28"/>
      <c r="V365" s="28"/>
      <c r="W365" s="28"/>
      <c r="X365" s="140" t="n">
        <f aca="false">IFERROR(IF(OR($J365="",$K365=""),0,$J365*$K365),0)</f>
        <v>0</v>
      </c>
      <c r="Y365" s="44" t="n">
        <f aca="false">IFERROR(IF($X365=0,0,$X365*IF($O365="",$N365,$O365)),0)</f>
        <v>0</v>
      </c>
      <c r="Z365" s="60" t="str">
        <f aca="false">IF($L365="","",IF($L365&lt;0.5,"Balística / Velocidade (&lt;50%)",IF($L365&lt;0.7,"Velocidade-Força (50–69%)",IF($L365&lt;0.8,"Força-Velocidade (70–79%)",IF($L365&lt;0.9,"Força Máxima (80–89%)","Força Máxima Alta (≥90%)")))))</f>
        <v/>
      </c>
      <c r="AA365" s="27"/>
      <c r="AB365" s="27"/>
    </row>
    <row r="366" customFormat="false" ht="15" hidden="false" customHeight="false" outlineLevel="0" collapsed="false">
      <c r="A366" s="29"/>
      <c r="B366" s="33" t="n">
        <f aca="false">IF($A366="",0,INT(($A366-'Bloco Base'!$C$5)/7)+1)</f>
        <v>0</v>
      </c>
      <c r="C366" s="28"/>
      <c r="D366" s="28"/>
      <c r="E366" s="27"/>
      <c r="F366" s="28"/>
      <c r="G366" s="139"/>
      <c r="H366" s="27"/>
      <c r="I366" s="28"/>
      <c r="J366" s="28"/>
      <c r="K366" s="28"/>
      <c r="L366" s="71"/>
      <c r="M366" s="35" t="str">
        <f aca="false">IF($AB366="","",IFERROR(INDEX('Força 1RM'!$Q$8:$Y$47,MATCH(IF($E366="Equipe (todos)",$C$4,$E366),'Força 1RM'!$P$8:$P$47,0),MATCH($AB366,'Força 1RM'!$Q$7:$Y$7,0)),""))</f>
        <v/>
      </c>
      <c r="N366" s="30" t="n">
        <f aca="false">IFERROR(IF(OR($L366="",$M366="",$M366=0),0,ROUND($L366*$M366*2,0)/2),0)</f>
        <v>0</v>
      </c>
      <c r="O366" s="32"/>
      <c r="P366" s="42" t="str">
        <f aca="false">IFERROR(IF(OR($L366="",$I366="—",$I366=""),"",IF($I366="Agachamento",INDEX($AE$8:$AE$20,MATCH($L366,$AD$8:$AD$20,1)),IF($I366="Supino",INDEX($AF$8:$AF$20,MATCH($L366,$AD$8:$AD$20,1)),IF($I366="Terra",INDEX($AG$8:$AG$20,MATCH($L366,$AD$8:$AD$20,1)),"")))),"")</f>
        <v/>
      </c>
      <c r="Q366" s="45"/>
      <c r="R366" s="71"/>
      <c r="S366" s="71"/>
      <c r="T366" s="69" t="str">
        <f aca="false">IF(OR($R366="",$S366=""),"",IF($S366&gt;$R366,"Acima do limite","Dentro do limite"))</f>
        <v/>
      </c>
      <c r="U366" s="28"/>
      <c r="V366" s="28"/>
      <c r="W366" s="28"/>
      <c r="X366" s="140" t="n">
        <f aca="false">IFERROR(IF(OR($J366="",$K366=""),0,$J366*$K366),0)</f>
        <v>0</v>
      </c>
      <c r="Y366" s="44" t="n">
        <f aca="false">IFERROR(IF($X366=0,0,$X366*IF($O366="",$N366,$O366)),0)</f>
        <v>0</v>
      </c>
      <c r="Z366" s="60" t="str">
        <f aca="false">IF($L366="","",IF($L366&lt;0.5,"Balística / Velocidade (&lt;50%)",IF($L366&lt;0.7,"Velocidade-Força (50–69%)",IF($L366&lt;0.8,"Força-Velocidade (70–79%)",IF($L366&lt;0.9,"Força Máxima (80–89%)","Força Máxima Alta (≥90%)")))))</f>
        <v/>
      </c>
      <c r="AA366" s="27"/>
      <c r="AB366" s="27"/>
    </row>
    <row r="367" customFormat="false" ht="15" hidden="false" customHeight="false" outlineLevel="0" collapsed="false">
      <c r="A367" s="29"/>
      <c r="B367" s="33" t="n">
        <f aca="false">IF($A367="",0,INT(($A367-'Bloco Base'!$C$5)/7)+1)</f>
        <v>0</v>
      </c>
      <c r="C367" s="28"/>
      <c r="D367" s="28"/>
      <c r="E367" s="27"/>
      <c r="F367" s="28"/>
      <c r="G367" s="139"/>
      <c r="H367" s="27"/>
      <c r="I367" s="28"/>
      <c r="J367" s="28"/>
      <c r="K367" s="28"/>
      <c r="L367" s="71"/>
      <c r="M367" s="35" t="str">
        <f aca="false">IF($AB367="","",IFERROR(INDEX('Força 1RM'!$Q$8:$Y$47,MATCH(IF($E367="Equipe (todos)",$C$4,$E367),'Força 1RM'!$P$8:$P$47,0),MATCH($AB367,'Força 1RM'!$Q$7:$Y$7,0)),""))</f>
        <v/>
      </c>
      <c r="N367" s="30" t="n">
        <f aca="false">IFERROR(IF(OR($L367="",$M367="",$M367=0),0,ROUND($L367*$M367*2,0)/2),0)</f>
        <v>0</v>
      </c>
      <c r="O367" s="32"/>
      <c r="P367" s="42" t="str">
        <f aca="false">IFERROR(IF(OR($L367="",$I367="—",$I367=""),"",IF($I367="Agachamento",INDEX($AE$8:$AE$20,MATCH($L367,$AD$8:$AD$20,1)),IF($I367="Supino",INDEX($AF$8:$AF$20,MATCH($L367,$AD$8:$AD$20,1)),IF($I367="Terra",INDEX($AG$8:$AG$20,MATCH($L367,$AD$8:$AD$20,1)),"")))),"")</f>
        <v/>
      </c>
      <c r="Q367" s="45"/>
      <c r="R367" s="71"/>
      <c r="S367" s="71"/>
      <c r="T367" s="69" t="str">
        <f aca="false">IF(OR($R367="",$S367=""),"",IF($S367&gt;$R367,"Acima do limite","Dentro do limite"))</f>
        <v/>
      </c>
      <c r="U367" s="28"/>
      <c r="V367" s="28"/>
      <c r="W367" s="28"/>
      <c r="X367" s="140" t="n">
        <f aca="false">IFERROR(IF(OR($J367="",$K367=""),0,$J367*$K367),0)</f>
        <v>0</v>
      </c>
      <c r="Y367" s="44" t="n">
        <f aca="false">IFERROR(IF($X367=0,0,$X367*IF($O367="",$N367,$O367)),0)</f>
        <v>0</v>
      </c>
      <c r="Z367" s="60" t="str">
        <f aca="false">IF($L367="","",IF($L367&lt;0.5,"Balística / Velocidade (&lt;50%)",IF($L367&lt;0.7,"Velocidade-Força (50–69%)",IF($L367&lt;0.8,"Força-Velocidade (70–79%)",IF($L367&lt;0.9,"Força Máxima (80–89%)","Força Máxima Alta (≥90%)")))))</f>
        <v/>
      </c>
      <c r="AA367" s="27"/>
      <c r="AB367" s="27"/>
    </row>
    <row r="368" customFormat="false" ht="15" hidden="false" customHeight="false" outlineLevel="0" collapsed="false">
      <c r="A368" s="29"/>
      <c r="B368" s="33" t="n">
        <f aca="false">IF($A368="",0,INT(($A368-'Bloco Base'!$C$5)/7)+1)</f>
        <v>0</v>
      </c>
      <c r="C368" s="28"/>
      <c r="D368" s="28"/>
      <c r="E368" s="27"/>
      <c r="F368" s="28"/>
      <c r="G368" s="139"/>
      <c r="H368" s="27"/>
      <c r="I368" s="28"/>
      <c r="J368" s="28"/>
      <c r="K368" s="28"/>
      <c r="L368" s="71"/>
      <c r="M368" s="35" t="str">
        <f aca="false">IF($AB368="","",IFERROR(INDEX('Força 1RM'!$Q$8:$Y$47,MATCH(IF($E368="Equipe (todos)",$C$4,$E368),'Força 1RM'!$P$8:$P$47,0),MATCH($AB368,'Força 1RM'!$Q$7:$Y$7,0)),""))</f>
        <v/>
      </c>
      <c r="N368" s="30" t="n">
        <f aca="false">IFERROR(IF(OR($L368="",$M368="",$M368=0),0,ROUND($L368*$M368*2,0)/2),0)</f>
        <v>0</v>
      </c>
      <c r="O368" s="32"/>
      <c r="P368" s="42" t="str">
        <f aca="false">IFERROR(IF(OR($L368="",$I368="—",$I368=""),"",IF($I368="Agachamento",INDEX($AE$8:$AE$20,MATCH($L368,$AD$8:$AD$20,1)),IF($I368="Supino",INDEX($AF$8:$AF$20,MATCH($L368,$AD$8:$AD$20,1)),IF($I368="Terra",INDEX($AG$8:$AG$20,MATCH($L368,$AD$8:$AD$20,1)),"")))),"")</f>
        <v/>
      </c>
      <c r="Q368" s="45"/>
      <c r="R368" s="71"/>
      <c r="S368" s="71"/>
      <c r="T368" s="69" t="str">
        <f aca="false">IF(OR($R368="",$S368=""),"",IF($S368&gt;$R368,"Acima do limite","Dentro do limite"))</f>
        <v/>
      </c>
      <c r="U368" s="28"/>
      <c r="V368" s="28"/>
      <c r="W368" s="28"/>
      <c r="X368" s="140" t="n">
        <f aca="false">IFERROR(IF(OR($J368="",$K368=""),0,$J368*$K368),0)</f>
        <v>0</v>
      </c>
      <c r="Y368" s="44" t="n">
        <f aca="false">IFERROR(IF($X368=0,0,$X368*IF($O368="",$N368,$O368)),0)</f>
        <v>0</v>
      </c>
      <c r="Z368" s="60" t="str">
        <f aca="false">IF($L368="","",IF($L368&lt;0.5,"Balística / Velocidade (&lt;50%)",IF($L368&lt;0.7,"Velocidade-Força (50–69%)",IF($L368&lt;0.8,"Força-Velocidade (70–79%)",IF($L368&lt;0.9,"Força Máxima (80–89%)","Força Máxima Alta (≥90%)")))))</f>
        <v/>
      </c>
      <c r="AA368" s="27"/>
      <c r="AB368" s="27"/>
    </row>
    <row r="369" customFormat="false" ht="15" hidden="false" customHeight="false" outlineLevel="0" collapsed="false">
      <c r="A369" s="29"/>
      <c r="B369" s="33" t="n">
        <f aca="false">IF($A369="",0,INT(($A369-'Bloco Base'!$C$5)/7)+1)</f>
        <v>0</v>
      </c>
      <c r="C369" s="28"/>
      <c r="D369" s="28"/>
      <c r="E369" s="27"/>
      <c r="F369" s="28"/>
      <c r="G369" s="139"/>
      <c r="H369" s="27"/>
      <c r="I369" s="28"/>
      <c r="J369" s="28"/>
      <c r="K369" s="28"/>
      <c r="L369" s="71"/>
      <c r="M369" s="35" t="str">
        <f aca="false">IF($AB369="","",IFERROR(INDEX('Força 1RM'!$Q$8:$Y$47,MATCH(IF($E369="Equipe (todos)",$C$4,$E369),'Força 1RM'!$P$8:$P$47,0),MATCH($AB369,'Força 1RM'!$Q$7:$Y$7,0)),""))</f>
        <v/>
      </c>
      <c r="N369" s="30" t="n">
        <f aca="false">IFERROR(IF(OR($L369="",$M369="",$M369=0),0,ROUND($L369*$M369*2,0)/2),0)</f>
        <v>0</v>
      </c>
      <c r="O369" s="32"/>
      <c r="P369" s="42" t="str">
        <f aca="false">IFERROR(IF(OR($L369="",$I369="—",$I369=""),"",IF($I369="Agachamento",INDEX($AE$8:$AE$20,MATCH($L369,$AD$8:$AD$20,1)),IF($I369="Supino",INDEX($AF$8:$AF$20,MATCH($L369,$AD$8:$AD$20,1)),IF($I369="Terra",INDEX($AG$8:$AG$20,MATCH($L369,$AD$8:$AD$20,1)),"")))),"")</f>
        <v/>
      </c>
      <c r="Q369" s="45"/>
      <c r="R369" s="71"/>
      <c r="S369" s="71"/>
      <c r="T369" s="69" t="str">
        <f aca="false">IF(OR($R369="",$S369=""),"",IF($S369&gt;$R369,"Acima do limite","Dentro do limite"))</f>
        <v/>
      </c>
      <c r="U369" s="28"/>
      <c r="V369" s="28"/>
      <c r="W369" s="28"/>
      <c r="X369" s="140" t="n">
        <f aca="false">IFERROR(IF(OR($J369="",$K369=""),0,$J369*$K369),0)</f>
        <v>0</v>
      </c>
      <c r="Y369" s="44" t="n">
        <f aca="false">IFERROR(IF($X369=0,0,$X369*IF($O369="",$N369,$O369)),0)</f>
        <v>0</v>
      </c>
      <c r="Z369" s="60" t="str">
        <f aca="false">IF($L369="","",IF($L369&lt;0.5,"Balística / Velocidade (&lt;50%)",IF($L369&lt;0.7,"Velocidade-Força (50–69%)",IF($L369&lt;0.8,"Força-Velocidade (70–79%)",IF($L369&lt;0.9,"Força Máxima (80–89%)","Força Máxima Alta (≥90%)")))))</f>
        <v/>
      </c>
      <c r="AA369" s="27"/>
      <c r="AB369" s="27"/>
    </row>
    <row r="370" customFormat="false" ht="15" hidden="false" customHeight="false" outlineLevel="0" collapsed="false">
      <c r="A370" s="29"/>
      <c r="B370" s="33" t="n">
        <f aca="false">IF($A370="",0,INT(($A370-'Bloco Base'!$C$5)/7)+1)</f>
        <v>0</v>
      </c>
      <c r="C370" s="28"/>
      <c r="D370" s="28"/>
      <c r="E370" s="27"/>
      <c r="F370" s="28"/>
      <c r="G370" s="139"/>
      <c r="H370" s="27"/>
      <c r="I370" s="28"/>
      <c r="J370" s="28"/>
      <c r="K370" s="28"/>
      <c r="L370" s="71"/>
      <c r="M370" s="35" t="str">
        <f aca="false">IF($AB370="","",IFERROR(INDEX('Força 1RM'!$Q$8:$Y$47,MATCH(IF($E370="Equipe (todos)",$C$4,$E370),'Força 1RM'!$P$8:$P$47,0),MATCH($AB370,'Força 1RM'!$Q$7:$Y$7,0)),""))</f>
        <v/>
      </c>
      <c r="N370" s="30" t="n">
        <f aca="false">IFERROR(IF(OR($L370="",$M370="",$M370=0),0,ROUND($L370*$M370*2,0)/2),0)</f>
        <v>0</v>
      </c>
      <c r="O370" s="32"/>
      <c r="P370" s="42" t="str">
        <f aca="false">IFERROR(IF(OR($L370="",$I370="—",$I370=""),"",IF($I370="Agachamento",INDEX($AE$8:$AE$20,MATCH($L370,$AD$8:$AD$20,1)),IF($I370="Supino",INDEX($AF$8:$AF$20,MATCH($L370,$AD$8:$AD$20,1)),IF($I370="Terra",INDEX($AG$8:$AG$20,MATCH($L370,$AD$8:$AD$20,1)),"")))),"")</f>
        <v/>
      </c>
      <c r="Q370" s="45"/>
      <c r="R370" s="71"/>
      <c r="S370" s="71"/>
      <c r="T370" s="69" t="str">
        <f aca="false">IF(OR($R370="",$S370=""),"",IF($S370&gt;$R370,"Acima do limite","Dentro do limite"))</f>
        <v/>
      </c>
      <c r="U370" s="28"/>
      <c r="V370" s="28"/>
      <c r="W370" s="28"/>
      <c r="X370" s="140" t="n">
        <f aca="false">IFERROR(IF(OR($J370="",$K370=""),0,$J370*$K370),0)</f>
        <v>0</v>
      </c>
      <c r="Y370" s="44" t="n">
        <f aca="false">IFERROR(IF($X370=0,0,$X370*IF($O370="",$N370,$O370)),0)</f>
        <v>0</v>
      </c>
      <c r="Z370" s="60" t="str">
        <f aca="false">IF($L370="","",IF($L370&lt;0.5,"Balística / Velocidade (&lt;50%)",IF($L370&lt;0.7,"Velocidade-Força (50–69%)",IF($L370&lt;0.8,"Força-Velocidade (70–79%)",IF($L370&lt;0.9,"Força Máxima (80–89%)","Força Máxima Alta (≥90%)")))))</f>
        <v/>
      </c>
      <c r="AA370" s="27"/>
      <c r="AB370" s="27"/>
    </row>
    <row r="371" customFormat="false" ht="15" hidden="false" customHeight="false" outlineLevel="0" collapsed="false">
      <c r="A371" s="29"/>
      <c r="B371" s="33" t="n">
        <f aca="false">IF($A371="",0,INT(($A371-'Bloco Base'!$C$5)/7)+1)</f>
        <v>0</v>
      </c>
      <c r="C371" s="28"/>
      <c r="D371" s="28"/>
      <c r="E371" s="27"/>
      <c r="F371" s="28"/>
      <c r="G371" s="139"/>
      <c r="H371" s="27"/>
      <c r="I371" s="28"/>
      <c r="J371" s="28"/>
      <c r="K371" s="28"/>
      <c r="L371" s="71"/>
      <c r="M371" s="35" t="str">
        <f aca="false">IF($AB371="","",IFERROR(INDEX('Força 1RM'!$Q$8:$Y$47,MATCH(IF($E371="Equipe (todos)",$C$4,$E371),'Força 1RM'!$P$8:$P$47,0),MATCH($AB371,'Força 1RM'!$Q$7:$Y$7,0)),""))</f>
        <v/>
      </c>
      <c r="N371" s="30" t="n">
        <f aca="false">IFERROR(IF(OR($L371="",$M371="",$M371=0),0,ROUND($L371*$M371*2,0)/2),0)</f>
        <v>0</v>
      </c>
      <c r="O371" s="32"/>
      <c r="P371" s="42" t="str">
        <f aca="false">IFERROR(IF(OR($L371="",$I371="—",$I371=""),"",IF($I371="Agachamento",INDEX($AE$8:$AE$20,MATCH($L371,$AD$8:$AD$20,1)),IF($I371="Supino",INDEX($AF$8:$AF$20,MATCH($L371,$AD$8:$AD$20,1)),IF($I371="Terra",INDEX($AG$8:$AG$20,MATCH($L371,$AD$8:$AD$20,1)),"")))),"")</f>
        <v/>
      </c>
      <c r="Q371" s="45"/>
      <c r="R371" s="71"/>
      <c r="S371" s="71"/>
      <c r="T371" s="69" t="str">
        <f aca="false">IF(OR($R371="",$S371=""),"",IF($S371&gt;$R371,"Acima do limite","Dentro do limite"))</f>
        <v/>
      </c>
      <c r="U371" s="28"/>
      <c r="V371" s="28"/>
      <c r="W371" s="28"/>
      <c r="X371" s="140" t="n">
        <f aca="false">IFERROR(IF(OR($J371="",$K371=""),0,$J371*$K371),0)</f>
        <v>0</v>
      </c>
      <c r="Y371" s="44" t="n">
        <f aca="false">IFERROR(IF($X371=0,0,$X371*IF($O371="",$N371,$O371)),0)</f>
        <v>0</v>
      </c>
      <c r="Z371" s="60" t="str">
        <f aca="false">IF($L371="","",IF($L371&lt;0.5,"Balística / Velocidade (&lt;50%)",IF($L371&lt;0.7,"Velocidade-Força (50–69%)",IF($L371&lt;0.8,"Força-Velocidade (70–79%)",IF($L371&lt;0.9,"Força Máxima (80–89%)","Força Máxima Alta (≥90%)")))))</f>
        <v/>
      </c>
      <c r="AA371" s="27"/>
      <c r="AB371" s="27"/>
    </row>
    <row r="372" customFormat="false" ht="15" hidden="false" customHeight="false" outlineLevel="0" collapsed="false">
      <c r="A372" s="29"/>
      <c r="B372" s="33" t="n">
        <f aca="false">IF($A372="",0,INT(($A372-'Bloco Base'!$C$5)/7)+1)</f>
        <v>0</v>
      </c>
      <c r="C372" s="28"/>
      <c r="D372" s="28"/>
      <c r="E372" s="27"/>
      <c r="F372" s="28"/>
      <c r="G372" s="139"/>
      <c r="H372" s="27"/>
      <c r="I372" s="28"/>
      <c r="J372" s="28"/>
      <c r="K372" s="28"/>
      <c r="L372" s="71"/>
      <c r="M372" s="35" t="str">
        <f aca="false">IF($AB372="","",IFERROR(INDEX('Força 1RM'!$Q$8:$Y$47,MATCH(IF($E372="Equipe (todos)",$C$4,$E372),'Força 1RM'!$P$8:$P$47,0),MATCH($AB372,'Força 1RM'!$Q$7:$Y$7,0)),""))</f>
        <v/>
      </c>
      <c r="N372" s="30" t="n">
        <f aca="false">IFERROR(IF(OR($L372="",$M372="",$M372=0),0,ROUND($L372*$M372*2,0)/2),0)</f>
        <v>0</v>
      </c>
      <c r="O372" s="32"/>
      <c r="P372" s="42" t="str">
        <f aca="false">IFERROR(IF(OR($L372="",$I372="—",$I372=""),"",IF($I372="Agachamento",INDEX($AE$8:$AE$20,MATCH($L372,$AD$8:$AD$20,1)),IF($I372="Supino",INDEX($AF$8:$AF$20,MATCH($L372,$AD$8:$AD$20,1)),IF($I372="Terra",INDEX($AG$8:$AG$20,MATCH($L372,$AD$8:$AD$20,1)),"")))),"")</f>
        <v/>
      </c>
      <c r="Q372" s="45"/>
      <c r="R372" s="71"/>
      <c r="S372" s="71"/>
      <c r="T372" s="69" t="str">
        <f aca="false">IF(OR($R372="",$S372=""),"",IF($S372&gt;$R372,"Acima do limite","Dentro do limite"))</f>
        <v/>
      </c>
      <c r="U372" s="28"/>
      <c r="V372" s="28"/>
      <c r="W372" s="28"/>
      <c r="X372" s="140" t="n">
        <f aca="false">IFERROR(IF(OR($J372="",$K372=""),0,$J372*$K372),0)</f>
        <v>0</v>
      </c>
      <c r="Y372" s="44" t="n">
        <f aca="false">IFERROR(IF($X372=0,0,$X372*IF($O372="",$N372,$O372)),0)</f>
        <v>0</v>
      </c>
      <c r="Z372" s="60" t="str">
        <f aca="false">IF($L372="","",IF($L372&lt;0.5,"Balística / Velocidade (&lt;50%)",IF($L372&lt;0.7,"Velocidade-Força (50–69%)",IF($L372&lt;0.8,"Força-Velocidade (70–79%)",IF($L372&lt;0.9,"Força Máxima (80–89%)","Força Máxima Alta (≥90%)")))))</f>
        <v/>
      </c>
      <c r="AA372" s="27"/>
      <c r="AB372" s="27"/>
    </row>
    <row r="373" customFormat="false" ht="15" hidden="false" customHeight="false" outlineLevel="0" collapsed="false">
      <c r="A373" s="29"/>
      <c r="B373" s="33" t="n">
        <f aca="false">IF($A373="",0,INT(($A373-'Bloco Base'!$C$5)/7)+1)</f>
        <v>0</v>
      </c>
      <c r="C373" s="28"/>
      <c r="D373" s="28"/>
      <c r="E373" s="27"/>
      <c r="F373" s="28"/>
      <c r="G373" s="139"/>
      <c r="H373" s="27"/>
      <c r="I373" s="28"/>
      <c r="J373" s="28"/>
      <c r="K373" s="28"/>
      <c r="L373" s="71"/>
      <c r="M373" s="35" t="str">
        <f aca="false">IF($AB373="","",IFERROR(INDEX('Força 1RM'!$Q$8:$Y$47,MATCH(IF($E373="Equipe (todos)",$C$4,$E373),'Força 1RM'!$P$8:$P$47,0),MATCH($AB373,'Força 1RM'!$Q$7:$Y$7,0)),""))</f>
        <v/>
      </c>
      <c r="N373" s="30" t="n">
        <f aca="false">IFERROR(IF(OR($L373="",$M373="",$M373=0),0,ROUND($L373*$M373*2,0)/2),0)</f>
        <v>0</v>
      </c>
      <c r="O373" s="32"/>
      <c r="P373" s="42" t="str">
        <f aca="false">IFERROR(IF(OR($L373="",$I373="—",$I373=""),"",IF($I373="Agachamento",INDEX($AE$8:$AE$20,MATCH($L373,$AD$8:$AD$20,1)),IF($I373="Supino",INDEX($AF$8:$AF$20,MATCH($L373,$AD$8:$AD$20,1)),IF($I373="Terra",INDEX($AG$8:$AG$20,MATCH($L373,$AD$8:$AD$20,1)),"")))),"")</f>
        <v/>
      </c>
      <c r="Q373" s="45"/>
      <c r="R373" s="71"/>
      <c r="S373" s="71"/>
      <c r="T373" s="69" t="str">
        <f aca="false">IF(OR($R373="",$S373=""),"",IF($S373&gt;$R373,"Acima do limite","Dentro do limite"))</f>
        <v/>
      </c>
      <c r="U373" s="28"/>
      <c r="V373" s="28"/>
      <c r="W373" s="28"/>
      <c r="X373" s="140" t="n">
        <f aca="false">IFERROR(IF(OR($J373="",$K373=""),0,$J373*$K373),0)</f>
        <v>0</v>
      </c>
      <c r="Y373" s="44" t="n">
        <f aca="false">IFERROR(IF($X373=0,0,$X373*IF($O373="",$N373,$O373)),0)</f>
        <v>0</v>
      </c>
      <c r="Z373" s="60" t="str">
        <f aca="false">IF($L373="","",IF($L373&lt;0.5,"Balística / Velocidade (&lt;50%)",IF($L373&lt;0.7,"Velocidade-Força (50–69%)",IF($L373&lt;0.8,"Força-Velocidade (70–79%)",IF($L373&lt;0.9,"Força Máxima (80–89%)","Força Máxima Alta (≥90%)")))))</f>
        <v/>
      </c>
      <c r="AA373" s="27"/>
      <c r="AB373" s="27"/>
    </row>
    <row r="374" customFormat="false" ht="15" hidden="false" customHeight="false" outlineLevel="0" collapsed="false">
      <c r="A374" s="29"/>
      <c r="B374" s="33" t="n">
        <f aca="false">IF($A374="",0,INT(($A374-'Bloco Base'!$C$5)/7)+1)</f>
        <v>0</v>
      </c>
      <c r="C374" s="28"/>
      <c r="D374" s="28"/>
      <c r="E374" s="27"/>
      <c r="F374" s="28"/>
      <c r="G374" s="139"/>
      <c r="H374" s="27"/>
      <c r="I374" s="28"/>
      <c r="J374" s="28"/>
      <c r="K374" s="28"/>
      <c r="L374" s="71"/>
      <c r="M374" s="35" t="str">
        <f aca="false">IF($AB374="","",IFERROR(INDEX('Força 1RM'!$Q$8:$Y$47,MATCH(IF($E374="Equipe (todos)",$C$4,$E374),'Força 1RM'!$P$8:$P$47,0),MATCH($AB374,'Força 1RM'!$Q$7:$Y$7,0)),""))</f>
        <v/>
      </c>
      <c r="N374" s="30" t="n">
        <f aca="false">IFERROR(IF(OR($L374="",$M374="",$M374=0),0,ROUND($L374*$M374*2,0)/2),0)</f>
        <v>0</v>
      </c>
      <c r="O374" s="32"/>
      <c r="P374" s="42" t="str">
        <f aca="false">IFERROR(IF(OR($L374="",$I374="—",$I374=""),"",IF($I374="Agachamento",INDEX($AE$8:$AE$20,MATCH($L374,$AD$8:$AD$20,1)),IF($I374="Supino",INDEX($AF$8:$AF$20,MATCH($L374,$AD$8:$AD$20,1)),IF($I374="Terra",INDEX($AG$8:$AG$20,MATCH($L374,$AD$8:$AD$20,1)),"")))),"")</f>
        <v/>
      </c>
      <c r="Q374" s="45"/>
      <c r="R374" s="71"/>
      <c r="S374" s="71"/>
      <c r="T374" s="69" t="str">
        <f aca="false">IF(OR($R374="",$S374=""),"",IF($S374&gt;$R374,"Acima do limite","Dentro do limite"))</f>
        <v/>
      </c>
      <c r="U374" s="28"/>
      <c r="V374" s="28"/>
      <c r="W374" s="28"/>
      <c r="X374" s="140" t="n">
        <f aca="false">IFERROR(IF(OR($J374="",$K374=""),0,$J374*$K374),0)</f>
        <v>0</v>
      </c>
      <c r="Y374" s="44" t="n">
        <f aca="false">IFERROR(IF($X374=0,0,$X374*IF($O374="",$N374,$O374)),0)</f>
        <v>0</v>
      </c>
      <c r="Z374" s="60" t="str">
        <f aca="false">IF($L374="","",IF($L374&lt;0.5,"Balística / Velocidade (&lt;50%)",IF($L374&lt;0.7,"Velocidade-Força (50–69%)",IF($L374&lt;0.8,"Força-Velocidade (70–79%)",IF($L374&lt;0.9,"Força Máxima (80–89%)","Força Máxima Alta (≥90%)")))))</f>
        <v/>
      </c>
      <c r="AA374" s="27"/>
      <c r="AB374" s="27"/>
    </row>
    <row r="375" customFormat="false" ht="15" hidden="false" customHeight="false" outlineLevel="0" collapsed="false">
      <c r="A375" s="29"/>
      <c r="B375" s="33" t="n">
        <f aca="false">IF($A375="",0,INT(($A375-'Bloco Base'!$C$5)/7)+1)</f>
        <v>0</v>
      </c>
      <c r="C375" s="28"/>
      <c r="D375" s="28"/>
      <c r="E375" s="27"/>
      <c r="F375" s="28"/>
      <c r="G375" s="139"/>
      <c r="H375" s="27"/>
      <c r="I375" s="28"/>
      <c r="J375" s="28"/>
      <c r="K375" s="28"/>
      <c r="L375" s="71"/>
      <c r="M375" s="35" t="str">
        <f aca="false">IF($AB375="","",IFERROR(INDEX('Força 1RM'!$Q$8:$Y$47,MATCH(IF($E375="Equipe (todos)",$C$4,$E375),'Força 1RM'!$P$8:$P$47,0),MATCH($AB375,'Força 1RM'!$Q$7:$Y$7,0)),""))</f>
        <v/>
      </c>
      <c r="N375" s="30" t="n">
        <f aca="false">IFERROR(IF(OR($L375="",$M375="",$M375=0),0,ROUND($L375*$M375*2,0)/2),0)</f>
        <v>0</v>
      </c>
      <c r="O375" s="32"/>
      <c r="P375" s="42" t="str">
        <f aca="false">IFERROR(IF(OR($L375="",$I375="—",$I375=""),"",IF($I375="Agachamento",INDEX($AE$8:$AE$20,MATCH($L375,$AD$8:$AD$20,1)),IF($I375="Supino",INDEX($AF$8:$AF$20,MATCH($L375,$AD$8:$AD$20,1)),IF($I375="Terra",INDEX($AG$8:$AG$20,MATCH($L375,$AD$8:$AD$20,1)),"")))),"")</f>
        <v/>
      </c>
      <c r="Q375" s="45"/>
      <c r="R375" s="71"/>
      <c r="S375" s="71"/>
      <c r="T375" s="69" t="str">
        <f aca="false">IF(OR($R375="",$S375=""),"",IF($S375&gt;$R375,"Acima do limite","Dentro do limite"))</f>
        <v/>
      </c>
      <c r="U375" s="28"/>
      <c r="V375" s="28"/>
      <c r="W375" s="28"/>
      <c r="X375" s="140" t="n">
        <f aca="false">IFERROR(IF(OR($J375="",$K375=""),0,$J375*$K375),0)</f>
        <v>0</v>
      </c>
      <c r="Y375" s="44" t="n">
        <f aca="false">IFERROR(IF($X375=0,0,$X375*IF($O375="",$N375,$O375)),0)</f>
        <v>0</v>
      </c>
      <c r="Z375" s="60" t="str">
        <f aca="false">IF($L375="","",IF($L375&lt;0.5,"Balística / Velocidade (&lt;50%)",IF($L375&lt;0.7,"Velocidade-Força (50–69%)",IF($L375&lt;0.8,"Força-Velocidade (70–79%)",IF($L375&lt;0.9,"Força Máxima (80–89%)","Força Máxima Alta (≥90%)")))))</f>
        <v/>
      </c>
      <c r="AA375" s="27"/>
      <c r="AB375" s="27"/>
    </row>
    <row r="376" customFormat="false" ht="15" hidden="false" customHeight="false" outlineLevel="0" collapsed="false">
      <c r="A376" s="29"/>
      <c r="B376" s="33" t="n">
        <f aca="false">IF($A376="",0,INT(($A376-'Bloco Base'!$C$5)/7)+1)</f>
        <v>0</v>
      </c>
      <c r="C376" s="28"/>
      <c r="D376" s="28"/>
      <c r="E376" s="27"/>
      <c r="F376" s="28"/>
      <c r="G376" s="139"/>
      <c r="H376" s="27"/>
      <c r="I376" s="28"/>
      <c r="J376" s="28"/>
      <c r="K376" s="28"/>
      <c r="L376" s="71"/>
      <c r="M376" s="35" t="str">
        <f aca="false">IF($AB376="","",IFERROR(INDEX('Força 1RM'!$Q$8:$Y$47,MATCH(IF($E376="Equipe (todos)",$C$4,$E376),'Força 1RM'!$P$8:$P$47,0),MATCH($AB376,'Força 1RM'!$Q$7:$Y$7,0)),""))</f>
        <v/>
      </c>
      <c r="N376" s="30" t="n">
        <f aca="false">IFERROR(IF(OR($L376="",$M376="",$M376=0),0,ROUND($L376*$M376*2,0)/2),0)</f>
        <v>0</v>
      </c>
      <c r="O376" s="32"/>
      <c r="P376" s="42" t="str">
        <f aca="false">IFERROR(IF(OR($L376="",$I376="—",$I376=""),"",IF($I376="Agachamento",INDEX($AE$8:$AE$20,MATCH($L376,$AD$8:$AD$20,1)),IF($I376="Supino",INDEX($AF$8:$AF$20,MATCH($L376,$AD$8:$AD$20,1)),IF($I376="Terra",INDEX($AG$8:$AG$20,MATCH($L376,$AD$8:$AD$20,1)),"")))),"")</f>
        <v/>
      </c>
      <c r="Q376" s="45"/>
      <c r="R376" s="71"/>
      <c r="S376" s="71"/>
      <c r="T376" s="69" t="str">
        <f aca="false">IF(OR($R376="",$S376=""),"",IF($S376&gt;$R376,"Acima do limite","Dentro do limite"))</f>
        <v/>
      </c>
      <c r="U376" s="28"/>
      <c r="V376" s="28"/>
      <c r="W376" s="28"/>
      <c r="X376" s="140" t="n">
        <f aca="false">IFERROR(IF(OR($J376="",$K376=""),0,$J376*$K376),0)</f>
        <v>0</v>
      </c>
      <c r="Y376" s="44" t="n">
        <f aca="false">IFERROR(IF($X376=0,0,$X376*IF($O376="",$N376,$O376)),0)</f>
        <v>0</v>
      </c>
      <c r="Z376" s="60" t="str">
        <f aca="false">IF($L376="","",IF($L376&lt;0.5,"Balística / Velocidade (&lt;50%)",IF($L376&lt;0.7,"Velocidade-Força (50–69%)",IF($L376&lt;0.8,"Força-Velocidade (70–79%)",IF($L376&lt;0.9,"Força Máxima (80–89%)","Força Máxima Alta (≥90%)")))))</f>
        <v/>
      </c>
      <c r="AA376" s="27"/>
      <c r="AB376" s="27"/>
    </row>
    <row r="377" customFormat="false" ht="15" hidden="false" customHeight="false" outlineLevel="0" collapsed="false">
      <c r="A377" s="29"/>
      <c r="B377" s="33" t="n">
        <f aca="false">IF($A377="",0,INT(($A377-'Bloco Base'!$C$5)/7)+1)</f>
        <v>0</v>
      </c>
      <c r="C377" s="28"/>
      <c r="D377" s="28"/>
      <c r="E377" s="27"/>
      <c r="F377" s="28"/>
      <c r="G377" s="139"/>
      <c r="H377" s="27"/>
      <c r="I377" s="28"/>
      <c r="J377" s="28"/>
      <c r="K377" s="28"/>
      <c r="L377" s="71"/>
      <c r="M377" s="35" t="str">
        <f aca="false">IF($AB377="","",IFERROR(INDEX('Força 1RM'!$Q$8:$Y$47,MATCH(IF($E377="Equipe (todos)",$C$4,$E377),'Força 1RM'!$P$8:$P$47,0),MATCH($AB377,'Força 1RM'!$Q$7:$Y$7,0)),""))</f>
        <v/>
      </c>
      <c r="N377" s="30" t="n">
        <f aca="false">IFERROR(IF(OR($L377="",$M377="",$M377=0),0,ROUND($L377*$M377*2,0)/2),0)</f>
        <v>0</v>
      </c>
      <c r="O377" s="32"/>
      <c r="P377" s="42" t="str">
        <f aca="false">IFERROR(IF(OR($L377="",$I377="—",$I377=""),"",IF($I377="Agachamento",INDEX($AE$8:$AE$20,MATCH($L377,$AD$8:$AD$20,1)),IF($I377="Supino",INDEX($AF$8:$AF$20,MATCH($L377,$AD$8:$AD$20,1)),IF($I377="Terra",INDEX($AG$8:$AG$20,MATCH($L377,$AD$8:$AD$20,1)),"")))),"")</f>
        <v/>
      </c>
      <c r="Q377" s="45"/>
      <c r="R377" s="71"/>
      <c r="S377" s="71"/>
      <c r="T377" s="69" t="str">
        <f aca="false">IF(OR($R377="",$S377=""),"",IF($S377&gt;$R377,"Acima do limite","Dentro do limite"))</f>
        <v/>
      </c>
      <c r="U377" s="28"/>
      <c r="V377" s="28"/>
      <c r="W377" s="28"/>
      <c r="X377" s="140" t="n">
        <f aca="false">IFERROR(IF(OR($J377="",$K377=""),0,$J377*$K377),0)</f>
        <v>0</v>
      </c>
      <c r="Y377" s="44" t="n">
        <f aca="false">IFERROR(IF($X377=0,0,$X377*IF($O377="",$N377,$O377)),0)</f>
        <v>0</v>
      </c>
      <c r="Z377" s="60" t="str">
        <f aca="false">IF($L377="","",IF($L377&lt;0.5,"Balística / Velocidade (&lt;50%)",IF($L377&lt;0.7,"Velocidade-Força (50–69%)",IF($L377&lt;0.8,"Força-Velocidade (70–79%)",IF($L377&lt;0.9,"Força Máxima (80–89%)","Força Máxima Alta (≥90%)")))))</f>
        <v/>
      </c>
      <c r="AA377" s="27"/>
      <c r="AB377" s="27"/>
    </row>
    <row r="378" customFormat="false" ht="15" hidden="false" customHeight="false" outlineLevel="0" collapsed="false">
      <c r="A378" s="29"/>
      <c r="B378" s="33" t="n">
        <f aca="false">IF($A378="",0,INT(($A378-'Bloco Base'!$C$5)/7)+1)</f>
        <v>0</v>
      </c>
      <c r="C378" s="28"/>
      <c r="D378" s="28"/>
      <c r="E378" s="27"/>
      <c r="F378" s="28"/>
      <c r="G378" s="139"/>
      <c r="H378" s="27"/>
      <c r="I378" s="28"/>
      <c r="J378" s="28"/>
      <c r="K378" s="28"/>
      <c r="L378" s="71"/>
      <c r="M378" s="35" t="str">
        <f aca="false">IF($AB378="","",IFERROR(INDEX('Força 1RM'!$Q$8:$Y$47,MATCH(IF($E378="Equipe (todos)",$C$4,$E378),'Força 1RM'!$P$8:$P$47,0),MATCH($AB378,'Força 1RM'!$Q$7:$Y$7,0)),""))</f>
        <v/>
      </c>
      <c r="N378" s="30" t="n">
        <f aca="false">IFERROR(IF(OR($L378="",$M378="",$M378=0),0,ROUND($L378*$M378*2,0)/2),0)</f>
        <v>0</v>
      </c>
      <c r="O378" s="32"/>
      <c r="P378" s="42" t="str">
        <f aca="false">IFERROR(IF(OR($L378="",$I378="—",$I378=""),"",IF($I378="Agachamento",INDEX($AE$8:$AE$20,MATCH($L378,$AD$8:$AD$20,1)),IF($I378="Supino",INDEX($AF$8:$AF$20,MATCH($L378,$AD$8:$AD$20,1)),IF($I378="Terra",INDEX($AG$8:$AG$20,MATCH($L378,$AD$8:$AD$20,1)),"")))),"")</f>
        <v/>
      </c>
      <c r="Q378" s="45"/>
      <c r="R378" s="71"/>
      <c r="S378" s="71"/>
      <c r="T378" s="69" t="str">
        <f aca="false">IF(OR($R378="",$S378=""),"",IF($S378&gt;$R378,"Acima do limite","Dentro do limite"))</f>
        <v/>
      </c>
      <c r="U378" s="28"/>
      <c r="V378" s="28"/>
      <c r="W378" s="28"/>
      <c r="X378" s="140" t="n">
        <f aca="false">IFERROR(IF(OR($J378="",$K378=""),0,$J378*$K378),0)</f>
        <v>0</v>
      </c>
      <c r="Y378" s="44" t="n">
        <f aca="false">IFERROR(IF($X378=0,0,$X378*IF($O378="",$N378,$O378)),0)</f>
        <v>0</v>
      </c>
      <c r="Z378" s="60" t="str">
        <f aca="false">IF($L378="","",IF($L378&lt;0.5,"Balística / Velocidade (&lt;50%)",IF($L378&lt;0.7,"Velocidade-Força (50–69%)",IF($L378&lt;0.8,"Força-Velocidade (70–79%)",IF($L378&lt;0.9,"Força Máxima (80–89%)","Força Máxima Alta (≥90%)")))))</f>
        <v/>
      </c>
      <c r="AA378" s="27"/>
      <c r="AB378" s="27"/>
    </row>
    <row r="379" customFormat="false" ht="15" hidden="false" customHeight="false" outlineLevel="0" collapsed="false">
      <c r="A379" s="29"/>
      <c r="B379" s="33" t="n">
        <f aca="false">IF($A379="",0,INT(($A379-'Bloco Base'!$C$5)/7)+1)</f>
        <v>0</v>
      </c>
      <c r="C379" s="28"/>
      <c r="D379" s="28"/>
      <c r="E379" s="27"/>
      <c r="F379" s="28"/>
      <c r="G379" s="139"/>
      <c r="H379" s="27"/>
      <c r="I379" s="28"/>
      <c r="J379" s="28"/>
      <c r="K379" s="28"/>
      <c r="L379" s="71"/>
      <c r="M379" s="35" t="str">
        <f aca="false">IF($AB379="","",IFERROR(INDEX('Força 1RM'!$Q$8:$Y$47,MATCH(IF($E379="Equipe (todos)",$C$4,$E379),'Força 1RM'!$P$8:$P$47,0),MATCH($AB379,'Força 1RM'!$Q$7:$Y$7,0)),""))</f>
        <v/>
      </c>
      <c r="N379" s="30" t="n">
        <f aca="false">IFERROR(IF(OR($L379="",$M379="",$M379=0),0,ROUND($L379*$M379*2,0)/2),0)</f>
        <v>0</v>
      </c>
      <c r="O379" s="32"/>
      <c r="P379" s="42" t="str">
        <f aca="false">IFERROR(IF(OR($L379="",$I379="—",$I379=""),"",IF($I379="Agachamento",INDEX($AE$8:$AE$20,MATCH($L379,$AD$8:$AD$20,1)),IF($I379="Supino",INDEX($AF$8:$AF$20,MATCH($L379,$AD$8:$AD$20,1)),IF($I379="Terra",INDEX($AG$8:$AG$20,MATCH($L379,$AD$8:$AD$20,1)),"")))),"")</f>
        <v/>
      </c>
      <c r="Q379" s="45"/>
      <c r="R379" s="71"/>
      <c r="S379" s="71"/>
      <c r="T379" s="69" t="str">
        <f aca="false">IF(OR($R379="",$S379=""),"",IF($S379&gt;$R379,"Acima do limite","Dentro do limite"))</f>
        <v/>
      </c>
      <c r="U379" s="28"/>
      <c r="V379" s="28"/>
      <c r="W379" s="28"/>
      <c r="X379" s="140" t="n">
        <f aca="false">IFERROR(IF(OR($J379="",$K379=""),0,$J379*$K379),0)</f>
        <v>0</v>
      </c>
      <c r="Y379" s="44" t="n">
        <f aca="false">IFERROR(IF($X379=0,0,$X379*IF($O379="",$N379,$O379)),0)</f>
        <v>0</v>
      </c>
      <c r="Z379" s="60" t="str">
        <f aca="false">IF($L379="","",IF($L379&lt;0.5,"Balística / Velocidade (&lt;50%)",IF($L379&lt;0.7,"Velocidade-Força (50–69%)",IF($L379&lt;0.8,"Força-Velocidade (70–79%)",IF($L379&lt;0.9,"Força Máxima (80–89%)","Força Máxima Alta (≥90%)")))))</f>
        <v/>
      </c>
      <c r="AA379" s="27"/>
      <c r="AB379" s="27"/>
    </row>
    <row r="380" customFormat="false" ht="15" hidden="false" customHeight="false" outlineLevel="0" collapsed="false">
      <c r="A380" s="29"/>
      <c r="B380" s="33" t="n">
        <f aca="false">IF($A380="",0,INT(($A380-'Bloco Base'!$C$5)/7)+1)</f>
        <v>0</v>
      </c>
      <c r="C380" s="28"/>
      <c r="D380" s="28"/>
      <c r="E380" s="27"/>
      <c r="F380" s="28"/>
      <c r="G380" s="139"/>
      <c r="H380" s="27"/>
      <c r="I380" s="28"/>
      <c r="J380" s="28"/>
      <c r="K380" s="28"/>
      <c r="L380" s="71"/>
      <c r="M380" s="35" t="str">
        <f aca="false">IF($AB380="","",IFERROR(INDEX('Força 1RM'!$Q$8:$Y$47,MATCH(IF($E380="Equipe (todos)",$C$4,$E380),'Força 1RM'!$P$8:$P$47,0),MATCH($AB380,'Força 1RM'!$Q$7:$Y$7,0)),""))</f>
        <v/>
      </c>
      <c r="N380" s="30" t="n">
        <f aca="false">IFERROR(IF(OR($L380="",$M380="",$M380=0),0,ROUND($L380*$M380*2,0)/2),0)</f>
        <v>0</v>
      </c>
      <c r="O380" s="32"/>
      <c r="P380" s="42" t="str">
        <f aca="false">IFERROR(IF(OR($L380="",$I380="—",$I380=""),"",IF($I380="Agachamento",INDEX($AE$8:$AE$20,MATCH($L380,$AD$8:$AD$20,1)),IF($I380="Supino",INDEX($AF$8:$AF$20,MATCH($L380,$AD$8:$AD$20,1)),IF($I380="Terra",INDEX($AG$8:$AG$20,MATCH($L380,$AD$8:$AD$20,1)),"")))),"")</f>
        <v/>
      </c>
      <c r="Q380" s="45"/>
      <c r="R380" s="71"/>
      <c r="S380" s="71"/>
      <c r="T380" s="69" t="str">
        <f aca="false">IF(OR($R380="",$S380=""),"",IF($S380&gt;$R380,"Acima do limite","Dentro do limite"))</f>
        <v/>
      </c>
      <c r="U380" s="28"/>
      <c r="V380" s="28"/>
      <c r="W380" s="28"/>
      <c r="X380" s="140" t="n">
        <f aca="false">IFERROR(IF(OR($J380="",$K380=""),0,$J380*$K380),0)</f>
        <v>0</v>
      </c>
      <c r="Y380" s="44" t="n">
        <f aca="false">IFERROR(IF($X380=0,0,$X380*IF($O380="",$N380,$O380)),0)</f>
        <v>0</v>
      </c>
      <c r="Z380" s="60" t="str">
        <f aca="false">IF($L380="","",IF($L380&lt;0.5,"Balística / Velocidade (&lt;50%)",IF($L380&lt;0.7,"Velocidade-Força (50–69%)",IF($L380&lt;0.8,"Força-Velocidade (70–79%)",IF($L380&lt;0.9,"Força Máxima (80–89%)","Força Máxima Alta (≥90%)")))))</f>
        <v/>
      </c>
      <c r="AA380" s="27"/>
      <c r="AB380" s="27"/>
    </row>
    <row r="381" customFormat="false" ht="15" hidden="false" customHeight="false" outlineLevel="0" collapsed="false">
      <c r="A381" s="29"/>
      <c r="B381" s="33" t="n">
        <f aca="false">IF($A381="",0,INT(($A381-'Bloco Base'!$C$5)/7)+1)</f>
        <v>0</v>
      </c>
      <c r="C381" s="28"/>
      <c r="D381" s="28"/>
      <c r="E381" s="27"/>
      <c r="F381" s="28"/>
      <c r="G381" s="139"/>
      <c r="H381" s="27"/>
      <c r="I381" s="28"/>
      <c r="J381" s="28"/>
      <c r="K381" s="28"/>
      <c r="L381" s="71"/>
      <c r="M381" s="35" t="str">
        <f aca="false">IF($AB381="","",IFERROR(INDEX('Força 1RM'!$Q$8:$Y$47,MATCH(IF($E381="Equipe (todos)",$C$4,$E381),'Força 1RM'!$P$8:$P$47,0),MATCH($AB381,'Força 1RM'!$Q$7:$Y$7,0)),""))</f>
        <v/>
      </c>
      <c r="N381" s="30" t="n">
        <f aca="false">IFERROR(IF(OR($L381="",$M381="",$M381=0),0,ROUND($L381*$M381*2,0)/2),0)</f>
        <v>0</v>
      </c>
      <c r="O381" s="32"/>
      <c r="P381" s="42" t="str">
        <f aca="false">IFERROR(IF(OR($L381="",$I381="—",$I381=""),"",IF($I381="Agachamento",INDEX($AE$8:$AE$20,MATCH($L381,$AD$8:$AD$20,1)),IF($I381="Supino",INDEX($AF$8:$AF$20,MATCH($L381,$AD$8:$AD$20,1)),IF($I381="Terra",INDEX($AG$8:$AG$20,MATCH($L381,$AD$8:$AD$20,1)),"")))),"")</f>
        <v/>
      </c>
      <c r="Q381" s="45"/>
      <c r="R381" s="71"/>
      <c r="S381" s="71"/>
      <c r="T381" s="69" t="str">
        <f aca="false">IF(OR($R381="",$S381=""),"",IF($S381&gt;$R381,"Acima do limite","Dentro do limite"))</f>
        <v/>
      </c>
      <c r="U381" s="28"/>
      <c r="V381" s="28"/>
      <c r="W381" s="28"/>
      <c r="X381" s="140" t="n">
        <f aca="false">IFERROR(IF(OR($J381="",$K381=""),0,$J381*$K381),0)</f>
        <v>0</v>
      </c>
      <c r="Y381" s="44" t="n">
        <f aca="false">IFERROR(IF($X381=0,0,$X381*IF($O381="",$N381,$O381)),0)</f>
        <v>0</v>
      </c>
      <c r="Z381" s="60" t="str">
        <f aca="false">IF($L381="","",IF($L381&lt;0.5,"Balística / Velocidade (&lt;50%)",IF($L381&lt;0.7,"Velocidade-Força (50–69%)",IF($L381&lt;0.8,"Força-Velocidade (70–79%)",IF($L381&lt;0.9,"Força Máxima (80–89%)","Força Máxima Alta (≥90%)")))))</f>
        <v/>
      </c>
      <c r="AA381" s="27"/>
      <c r="AB381" s="27"/>
    </row>
    <row r="382" customFormat="false" ht="15" hidden="false" customHeight="false" outlineLevel="0" collapsed="false">
      <c r="A382" s="29"/>
      <c r="B382" s="33" t="n">
        <f aca="false">IF($A382="",0,INT(($A382-'Bloco Base'!$C$5)/7)+1)</f>
        <v>0</v>
      </c>
      <c r="C382" s="28"/>
      <c r="D382" s="28"/>
      <c r="E382" s="27"/>
      <c r="F382" s="28"/>
      <c r="G382" s="139"/>
      <c r="H382" s="27"/>
      <c r="I382" s="28"/>
      <c r="J382" s="28"/>
      <c r="K382" s="28"/>
      <c r="L382" s="71"/>
      <c r="M382" s="35" t="str">
        <f aca="false">IF($AB382="","",IFERROR(INDEX('Força 1RM'!$Q$8:$Y$47,MATCH(IF($E382="Equipe (todos)",$C$4,$E382),'Força 1RM'!$P$8:$P$47,0),MATCH($AB382,'Força 1RM'!$Q$7:$Y$7,0)),""))</f>
        <v/>
      </c>
      <c r="N382" s="30" t="n">
        <f aca="false">IFERROR(IF(OR($L382="",$M382="",$M382=0),0,ROUND($L382*$M382*2,0)/2),0)</f>
        <v>0</v>
      </c>
      <c r="O382" s="32"/>
      <c r="P382" s="42" t="str">
        <f aca="false">IFERROR(IF(OR($L382="",$I382="—",$I382=""),"",IF($I382="Agachamento",INDEX($AE$8:$AE$20,MATCH($L382,$AD$8:$AD$20,1)),IF($I382="Supino",INDEX($AF$8:$AF$20,MATCH($L382,$AD$8:$AD$20,1)),IF($I382="Terra",INDEX($AG$8:$AG$20,MATCH($L382,$AD$8:$AD$20,1)),"")))),"")</f>
        <v/>
      </c>
      <c r="Q382" s="45"/>
      <c r="R382" s="71"/>
      <c r="S382" s="71"/>
      <c r="T382" s="69" t="str">
        <f aca="false">IF(OR($R382="",$S382=""),"",IF($S382&gt;$R382,"Acima do limite","Dentro do limite"))</f>
        <v/>
      </c>
      <c r="U382" s="28"/>
      <c r="V382" s="28"/>
      <c r="W382" s="28"/>
      <c r="X382" s="140" t="n">
        <f aca="false">IFERROR(IF(OR($J382="",$K382=""),0,$J382*$K382),0)</f>
        <v>0</v>
      </c>
      <c r="Y382" s="44" t="n">
        <f aca="false">IFERROR(IF($X382=0,0,$X382*IF($O382="",$N382,$O382)),0)</f>
        <v>0</v>
      </c>
      <c r="Z382" s="60" t="str">
        <f aca="false">IF($L382="","",IF($L382&lt;0.5,"Balística / Velocidade (&lt;50%)",IF($L382&lt;0.7,"Velocidade-Força (50–69%)",IF($L382&lt;0.8,"Força-Velocidade (70–79%)",IF($L382&lt;0.9,"Força Máxima (80–89%)","Força Máxima Alta (≥90%)")))))</f>
        <v/>
      </c>
      <c r="AA382" s="27"/>
      <c r="AB382" s="27"/>
    </row>
    <row r="383" customFormat="false" ht="15" hidden="false" customHeight="false" outlineLevel="0" collapsed="false">
      <c r="A383" s="29"/>
      <c r="B383" s="33" t="n">
        <f aca="false">IF($A383="",0,INT(($A383-'Bloco Base'!$C$5)/7)+1)</f>
        <v>0</v>
      </c>
      <c r="C383" s="28"/>
      <c r="D383" s="28"/>
      <c r="E383" s="27"/>
      <c r="F383" s="28"/>
      <c r="G383" s="139"/>
      <c r="H383" s="27"/>
      <c r="I383" s="28"/>
      <c r="J383" s="28"/>
      <c r="K383" s="28"/>
      <c r="L383" s="71"/>
      <c r="M383" s="35" t="str">
        <f aca="false">IF($AB383="","",IFERROR(INDEX('Força 1RM'!$Q$8:$Y$47,MATCH(IF($E383="Equipe (todos)",$C$4,$E383),'Força 1RM'!$P$8:$P$47,0),MATCH($AB383,'Força 1RM'!$Q$7:$Y$7,0)),""))</f>
        <v/>
      </c>
      <c r="N383" s="30" t="n">
        <f aca="false">IFERROR(IF(OR($L383="",$M383="",$M383=0),0,ROUND($L383*$M383*2,0)/2),0)</f>
        <v>0</v>
      </c>
      <c r="O383" s="32"/>
      <c r="P383" s="42" t="str">
        <f aca="false">IFERROR(IF(OR($L383="",$I383="—",$I383=""),"",IF($I383="Agachamento",INDEX($AE$8:$AE$20,MATCH($L383,$AD$8:$AD$20,1)),IF($I383="Supino",INDEX($AF$8:$AF$20,MATCH($L383,$AD$8:$AD$20,1)),IF($I383="Terra",INDEX($AG$8:$AG$20,MATCH($L383,$AD$8:$AD$20,1)),"")))),"")</f>
        <v/>
      </c>
      <c r="Q383" s="45"/>
      <c r="R383" s="71"/>
      <c r="S383" s="71"/>
      <c r="T383" s="69" t="str">
        <f aca="false">IF(OR($R383="",$S383=""),"",IF($S383&gt;$R383,"Acima do limite","Dentro do limite"))</f>
        <v/>
      </c>
      <c r="U383" s="28"/>
      <c r="V383" s="28"/>
      <c r="W383" s="28"/>
      <c r="X383" s="140" t="n">
        <f aca="false">IFERROR(IF(OR($J383="",$K383=""),0,$J383*$K383),0)</f>
        <v>0</v>
      </c>
      <c r="Y383" s="44" t="n">
        <f aca="false">IFERROR(IF($X383=0,0,$X383*IF($O383="",$N383,$O383)),0)</f>
        <v>0</v>
      </c>
      <c r="Z383" s="60" t="str">
        <f aca="false">IF($L383="","",IF($L383&lt;0.5,"Balística / Velocidade (&lt;50%)",IF($L383&lt;0.7,"Velocidade-Força (50–69%)",IF($L383&lt;0.8,"Força-Velocidade (70–79%)",IF($L383&lt;0.9,"Força Máxima (80–89%)","Força Máxima Alta (≥90%)")))))</f>
        <v/>
      </c>
      <c r="AA383" s="27"/>
      <c r="AB383" s="27"/>
    </row>
    <row r="384" customFormat="false" ht="15" hidden="false" customHeight="false" outlineLevel="0" collapsed="false">
      <c r="A384" s="29"/>
      <c r="B384" s="33" t="n">
        <f aca="false">IF($A384="",0,INT(($A384-'Bloco Base'!$C$5)/7)+1)</f>
        <v>0</v>
      </c>
      <c r="C384" s="28"/>
      <c r="D384" s="28"/>
      <c r="E384" s="27"/>
      <c r="F384" s="28"/>
      <c r="G384" s="139"/>
      <c r="H384" s="27"/>
      <c r="I384" s="28"/>
      <c r="J384" s="28"/>
      <c r="K384" s="28"/>
      <c r="L384" s="71"/>
      <c r="M384" s="35" t="str">
        <f aca="false">IF($AB384="","",IFERROR(INDEX('Força 1RM'!$Q$8:$Y$47,MATCH(IF($E384="Equipe (todos)",$C$4,$E384),'Força 1RM'!$P$8:$P$47,0),MATCH($AB384,'Força 1RM'!$Q$7:$Y$7,0)),""))</f>
        <v/>
      </c>
      <c r="N384" s="30" t="n">
        <f aca="false">IFERROR(IF(OR($L384="",$M384="",$M384=0),0,ROUND($L384*$M384*2,0)/2),0)</f>
        <v>0</v>
      </c>
      <c r="O384" s="32"/>
      <c r="P384" s="42" t="str">
        <f aca="false">IFERROR(IF(OR($L384="",$I384="—",$I384=""),"",IF($I384="Agachamento",INDEX($AE$8:$AE$20,MATCH($L384,$AD$8:$AD$20,1)),IF($I384="Supino",INDEX($AF$8:$AF$20,MATCH($L384,$AD$8:$AD$20,1)),IF($I384="Terra",INDEX($AG$8:$AG$20,MATCH($L384,$AD$8:$AD$20,1)),"")))),"")</f>
        <v/>
      </c>
      <c r="Q384" s="45"/>
      <c r="R384" s="71"/>
      <c r="S384" s="71"/>
      <c r="T384" s="69" t="str">
        <f aca="false">IF(OR($R384="",$S384=""),"",IF($S384&gt;$R384,"Acima do limite","Dentro do limite"))</f>
        <v/>
      </c>
      <c r="U384" s="28"/>
      <c r="V384" s="28"/>
      <c r="W384" s="28"/>
      <c r="X384" s="140" t="n">
        <f aca="false">IFERROR(IF(OR($J384="",$K384=""),0,$J384*$K384),0)</f>
        <v>0</v>
      </c>
      <c r="Y384" s="44" t="n">
        <f aca="false">IFERROR(IF($X384=0,0,$X384*IF($O384="",$N384,$O384)),0)</f>
        <v>0</v>
      </c>
      <c r="Z384" s="60" t="str">
        <f aca="false">IF($L384="","",IF($L384&lt;0.5,"Balística / Velocidade (&lt;50%)",IF($L384&lt;0.7,"Velocidade-Força (50–69%)",IF($L384&lt;0.8,"Força-Velocidade (70–79%)",IF($L384&lt;0.9,"Força Máxima (80–89%)","Força Máxima Alta (≥90%)")))))</f>
        <v/>
      </c>
      <c r="AA384" s="27"/>
      <c r="AB384" s="27"/>
    </row>
    <row r="385" customFormat="false" ht="15" hidden="false" customHeight="false" outlineLevel="0" collapsed="false">
      <c r="A385" s="29"/>
      <c r="B385" s="33" t="n">
        <f aca="false">IF($A385="",0,INT(($A385-'Bloco Base'!$C$5)/7)+1)</f>
        <v>0</v>
      </c>
      <c r="C385" s="28"/>
      <c r="D385" s="28"/>
      <c r="E385" s="27"/>
      <c r="F385" s="28"/>
      <c r="G385" s="139"/>
      <c r="H385" s="27"/>
      <c r="I385" s="28"/>
      <c r="J385" s="28"/>
      <c r="K385" s="28"/>
      <c r="L385" s="71"/>
      <c r="M385" s="35" t="str">
        <f aca="false">IF($AB385="","",IFERROR(INDEX('Força 1RM'!$Q$8:$Y$47,MATCH(IF($E385="Equipe (todos)",$C$4,$E385),'Força 1RM'!$P$8:$P$47,0),MATCH($AB385,'Força 1RM'!$Q$7:$Y$7,0)),""))</f>
        <v/>
      </c>
      <c r="N385" s="30" t="n">
        <f aca="false">IFERROR(IF(OR($L385="",$M385="",$M385=0),0,ROUND($L385*$M385*2,0)/2),0)</f>
        <v>0</v>
      </c>
      <c r="O385" s="32"/>
      <c r="P385" s="42" t="str">
        <f aca="false">IFERROR(IF(OR($L385="",$I385="—",$I385=""),"",IF($I385="Agachamento",INDEX($AE$8:$AE$20,MATCH($L385,$AD$8:$AD$20,1)),IF($I385="Supino",INDEX($AF$8:$AF$20,MATCH($L385,$AD$8:$AD$20,1)),IF($I385="Terra",INDEX($AG$8:$AG$20,MATCH($L385,$AD$8:$AD$20,1)),"")))),"")</f>
        <v/>
      </c>
      <c r="Q385" s="45"/>
      <c r="R385" s="71"/>
      <c r="S385" s="71"/>
      <c r="T385" s="69" t="str">
        <f aca="false">IF(OR($R385="",$S385=""),"",IF($S385&gt;$R385,"Acima do limite","Dentro do limite"))</f>
        <v/>
      </c>
      <c r="U385" s="28"/>
      <c r="V385" s="28"/>
      <c r="W385" s="28"/>
      <c r="X385" s="140" t="n">
        <f aca="false">IFERROR(IF(OR($J385="",$K385=""),0,$J385*$K385),0)</f>
        <v>0</v>
      </c>
      <c r="Y385" s="44" t="n">
        <f aca="false">IFERROR(IF($X385=0,0,$X385*IF($O385="",$N385,$O385)),0)</f>
        <v>0</v>
      </c>
      <c r="Z385" s="60" t="str">
        <f aca="false">IF($L385="","",IF($L385&lt;0.5,"Balística / Velocidade (&lt;50%)",IF($L385&lt;0.7,"Velocidade-Força (50–69%)",IF($L385&lt;0.8,"Força-Velocidade (70–79%)",IF($L385&lt;0.9,"Força Máxima (80–89%)","Força Máxima Alta (≥90%)")))))</f>
        <v/>
      </c>
      <c r="AA385" s="27"/>
      <c r="AB385" s="27"/>
    </row>
    <row r="386" customFormat="false" ht="15" hidden="false" customHeight="false" outlineLevel="0" collapsed="false">
      <c r="A386" s="29"/>
      <c r="B386" s="33" t="n">
        <f aca="false">IF($A386="",0,INT(($A386-'Bloco Base'!$C$5)/7)+1)</f>
        <v>0</v>
      </c>
      <c r="C386" s="28"/>
      <c r="D386" s="28"/>
      <c r="E386" s="27"/>
      <c r="F386" s="28"/>
      <c r="G386" s="139"/>
      <c r="H386" s="27"/>
      <c r="I386" s="28"/>
      <c r="J386" s="28"/>
      <c r="K386" s="28"/>
      <c r="L386" s="71"/>
      <c r="M386" s="35" t="str">
        <f aca="false">IF($AB386="","",IFERROR(INDEX('Força 1RM'!$Q$8:$Y$47,MATCH(IF($E386="Equipe (todos)",$C$4,$E386),'Força 1RM'!$P$8:$P$47,0),MATCH($AB386,'Força 1RM'!$Q$7:$Y$7,0)),""))</f>
        <v/>
      </c>
      <c r="N386" s="30" t="n">
        <f aca="false">IFERROR(IF(OR($L386="",$M386="",$M386=0),0,ROUND($L386*$M386*2,0)/2),0)</f>
        <v>0</v>
      </c>
      <c r="O386" s="32"/>
      <c r="P386" s="42" t="str">
        <f aca="false">IFERROR(IF(OR($L386="",$I386="—",$I386=""),"",IF($I386="Agachamento",INDEX($AE$8:$AE$20,MATCH($L386,$AD$8:$AD$20,1)),IF($I386="Supino",INDEX($AF$8:$AF$20,MATCH($L386,$AD$8:$AD$20,1)),IF($I386="Terra",INDEX($AG$8:$AG$20,MATCH($L386,$AD$8:$AD$20,1)),"")))),"")</f>
        <v/>
      </c>
      <c r="Q386" s="45"/>
      <c r="R386" s="71"/>
      <c r="S386" s="71"/>
      <c r="T386" s="69" t="str">
        <f aca="false">IF(OR($R386="",$S386=""),"",IF($S386&gt;$R386,"Acima do limite","Dentro do limite"))</f>
        <v/>
      </c>
      <c r="U386" s="28"/>
      <c r="V386" s="28"/>
      <c r="W386" s="28"/>
      <c r="X386" s="140" t="n">
        <f aca="false">IFERROR(IF(OR($J386="",$K386=""),0,$J386*$K386),0)</f>
        <v>0</v>
      </c>
      <c r="Y386" s="44" t="n">
        <f aca="false">IFERROR(IF($X386=0,0,$X386*IF($O386="",$N386,$O386)),0)</f>
        <v>0</v>
      </c>
      <c r="Z386" s="60" t="str">
        <f aca="false">IF($L386="","",IF($L386&lt;0.5,"Balística / Velocidade (&lt;50%)",IF($L386&lt;0.7,"Velocidade-Força (50–69%)",IF($L386&lt;0.8,"Força-Velocidade (70–79%)",IF($L386&lt;0.9,"Força Máxima (80–89%)","Força Máxima Alta (≥90%)")))))</f>
        <v/>
      </c>
      <c r="AA386" s="27"/>
      <c r="AB386" s="27"/>
    </row>
    <row r="387" customFormat="false" ht="15" hidden="false" customHeight="false" outlineLevel="0" collapsed="false">
      <c r="A387" s="29"/>
      <c r="B387" s="33" t="n">
        <f aca="false">IF($A387="",0,INT(($A387-'Bloco Base'!$C$5)/7)+1)</f>
        <v>0</v>
      </c>
      <c r="C387" s="28"/>
      <c r="D387" s="28"/>
      <c r="E387" s="27"/>
      <c r="F387" s="28"/>
      <c r="G387" s="139"/>
      <c r="H387" s="27"/>
      <c r="I387" s="28"/>
      <c r="J387" s="28"/>
      <c r="K387" s="28"/>
      <c r="L387" s="71"/>
      <c r="M387" s="35" t="str">
        <f aca="false">IF($AB387="","",IFERROR(INDEX('Força 1RM'!$Q$8:$Y$47,MATCH(IF($E387="Equipe (todos)",$C$4,$E387),'Força 1RM'!$P$8:$P$47,0),MATCH($AB387,'Força 1RM'!$Q$7:$Y$7,0)),""))</f>
        <v/>
      </c>
      <c r="N387" s="30" t="n">
        <f aca="false">IFERROR(IF(OR($L387="",$M387="",$M387=0),0,ROUND($L387*$M387*2,0)/2),0)</f>
        <v>0</v>
      </c>
      <c r="O387" s="32"/>
      <c r="P387" s="42" t="str">
        <f aca="false">IFERROR(IF(OR($L387="",$I387="—",$I387=""),"",IF($I387="Agachamento",INDEX($AE$8:$AE$20,MATCH($L387,$AD$8:$AD$20,1)),IF($I387="Supino",INDEX($AF$8:$AF$20,MATCH($L387,$AD$8:$AD$20,1)),IF($I387="Terra",INDEX($AG$8:$AG$20,MATCH($L387,$AD$8:$AD$20,1)),"")))),"")</f>
        <v/>
      </c>
      <c r="Q387" s="45"/>
      <c r="R387" s="71"/>
      <c r="S387" s="71"/>
      <c r="T387" s="69" t="str">
        <f aca="false">IF(OR($R387="",$S387=""),"",IF($S387&gt;$R387,"Acima do limite","Dentro do limite"))</f>
        <v/>
      </c>
      <c r="U387" s="28"/>
      <c r="V387" s="28"/>
      <c r="W387" s="28"/>
      <c r="X387" s="140" t="n">
        <f aca="false">IFERROR(IF(OR($J387="",$K387=""),0,$J387*$K387),0)</f>
        <v>0</v>
      </c>
      <c r="Y387" s="44" t="n">
        <f aca="false">IFERROR(IF($X387=0,0,$X387*IF($O387="",$N387,$O387)),0)</f>
        <v>0</v>
      </c>
      <c r="Z387" s="60" t="str">
        <f aca="false">IF($L387="","",IF($L387&lt;0.5,"Balística / Velocidade (&lt;50%)",IF($L387&lt;0.7,"Velocidade-Força (50–69%)",IF($L387&lt;0.8,"Força-Velocidade (70–79%)",IF($L387&lt;0.9,"Força Máxima (80–89%)","Força Máxima Alta (≥90%)")))))</f>
        <v/>
      </c>
      <c r="AA387" s="27"/>
      <c r="AB387" s="27"/>
    </row>
    <row r="388" customFormat="false" ht="15" hidden="false" customHeight="false" outlineLevel="0" collapsed="false">
      <c r="A388" s="29"/>
      <c r="B388" s="33" t="n">
        <f aca="false">IF($A388="",0,INT(($A388-'Bloco Base'!$C$5)/7)+1)</f>
        <v>0</v>
      </c>
      <c r="C388" s="28"/>
      <c r="D388" s="28"/>
      <c r="E388" s="27"/>
      <c r="F388" s="28"/>
      <c r="G388" s="139"/>
      <c r="H388" s="27"/>
      <c r="I388" s="28"/>
      <c r="J388" s="28"/>
      <c r="K388" s="28"/>
      <c r="L388" s="71"/>
      <c r="M388" s="35" t="str">
        <f aca="false">IF($AB388="","",IFERROR(INDEX('Força 1RM'!$Q$8:$Y$47,MATCH(IF($E388="Equipe (todos)",$C$4,$E388),'Força 1RM'!$P$8:$P$47,0),MATCH($AB388,'Força 1RM'!$Q$7:$Y$7,0)),""))</f>
        <v/>
      </c>
      <c r="N388" s="30" t="n">
        <f aca="false">IFERROR(IF(OR($L388="",$M388="",$M388=0),0,ROUND($L388*$M388*2,0)/2),0)</f>
        <v>0</v>
      </c>
      <c r="O388" s="32"/>
      <c r="P388" s="42" t="str">
        <f aca="false">IFERROR(IF(OR($L388="",$I388="—",$I388=""),"",IF($I388="Agachamento",INDEX($AE$8:$AE$20,MATCH($L388,$AD$8:$AD$20,1)),IF($I388="Supino",INDEX($AF$8:$AF$20,MATCH($L388,$AD$8:$AD$20,1)),IF($I388="Terra",INDEX($AG$8:$AG$20,MATCH($L388,$AD$8:$AD$20,1)),"")))),"")</f>
        <v/>
      </c>
      <c r="Q388" s="45"/>
      <c r="R388" s="71"/>
      <c r="S388" s="71"/>
      <c r="T388" s="69" t="str">
        <f aca="false">IF(OR($R388="",$S388=""),"",IF($S388&gt;$R388,"Acima do limite","Dentro do limite"))</f>
        <v/>
      </c>
      <c r="U388" s="28"/>
      <c r="V388" s="28"/>
      <c r="W388" s="28"/>
      <c r="X388" s="140" t="n">
        <f aca="false">IFERROR(IF(OR($J388="",$K388=""),0,$J388*$K388),0)</f>
        <v>0</v>
      </c>
      <c r="Y388" s="44" t="n">
        <f aca="false">IFERROR(IF($X388=0,0,$X388*IF($O388="",$N388,$O388)),0)</f>
        <v>0</v>
      </c>
      <c r="Z388" s="60" t="str">
        <f aca="false">IF($L388="","",IF($L388&lt;0.5,"Balística / Velocidade (&lt;50%)",IF($L388&lt;0.7,"Velocidade-Força (50–69%)",IF($L388&lt;0.8,"Força-Velocidade (70–79%)",IF($L388&lt;0.9,"Força Máxima (80–89%)","Força Máxima Alta (≥90%)")))))</f>
        <v/>
      </c>
      <c r="AA388" s="27"/>
      <c r="AB388" s="27"/>
    </row>
    <row r="389" customFormat="false" ht="15" hidden="false" customHeight="false" outlineLevel="0" collapsed="false">
      <c r="A389" s="29"/>
      <c r="B389" s="33" t="n">
        <f aca="false">IF($A389="",0,INT(($A389-'Bloco Base'!$C$5)/7)+1)</f>
        <v>0</v>
      </c>
      <c r="C389" s="28"/>
      <c r="D389" s="28"/>
      <c r="E389" s="27"/>
      <c r="F389" s="28"/>
      <c r="G389" s="139"/>
      <c r="H389" s="27"/>
      <c r="I389" s="28"/>
      <c r="J389" s="28"/>
      <c r="K389" s="28"/>
      <c r="L389" s="71"/>
      <c r="M389" s="35" t="str">
        <f aca="false">IF($AB389="","",IFERROR(INDEX('Força 1RM'!$Q$8:$Y$47,MATCH(IF($E389="Equipe (todos)",$C$4,$E389),'Força 1RM'!$P$8:$P$47,0),MATCH($AB389,'Força 1RM'!$Q$7:$Y$7,0)),""))</f>
        <v/>
      </c>
      <c r="N389" s="30" t="n">
        <f aca="false">IFERROR(IF(OR($L389="",$M389="",$M389=0),0,ROUND($L389*$M389*2,0)/2),0)</f>
        <v>0</v>
      </c>
      <c r="O389" s="32"/>
      <c r="P389" s="42" t="str">
        <f aca="false">IFERROR(IF(OR($L389="",$I389="—",$I389=""),"",IF($I389="Agachamento",INDEX($AE$8:$AE$20,MATCH($L389,$AD$8:$AD$20,1)),IF($I389="Supino",INDEX($AF$8:$AF$20,MATCH($L389,$AD$8:$AD$20,1)),IF($I389="Terra",INDEX($AG$8:$AG$20,MATCH($L389,$AD$8:$AD$20,1)),"")))),"")</f>
        <v/>
      </c>
      <c r="Q389" s="45"/>
      <c r="R389" s="71"/>
      <c r="S389" s="71"/>
      <c r="T389" s="69" t="str">
        <f aca="false">IF(OR($R389="",$S389=""),"",IF($S389&gt;$R389,"Acima do limite","Dentro do limite"))</f>
        <v/>
      </c>
      <c r="U389" s="28"/>
      <c r="V389" s="28"/>
      <c r="W389" s="28"/>
      <c r="X389" s="140" t="n">
        <f aca="false">IFERROR(IF(OR($J389="",$K389=""),0,$J389*$K389),0)</f>
        <v>0</v>
      </c>
      <c r="Y389" s="44" t="n">
        <f aca="false">IFERROR(IF($X389=0,0,$X389*IF($O389="",$N389,$O389)),0)</f>
        <v>0</v>
      </c>
      <c r="Z389" s="60" t="str">
        <f aca="false">IF($L389="","",IF($L389&lt;0.5,"Balística / Velocidade (&lt;50%)",IF($L389&lt;0.7,"Velocidade-Força (50–69%)",IF($L389&lt;0.8,"Força-Velocidade (70–79%)",IF($L389&lt;0.9,"Força Máxima (80–89%)","Força Máxima Alta (≥90%)")))))</f>
        <v/>
      </c>
      <c r="AA389" s="27"/>
      <c r="AB389" s="27"/>
    </row>
    <row r="390" customFormat="false" ht="15" hidden="false" customHeight="false" outlineLevel="0" collapsed="false">
      <c r="A390" s="29"/>
      <c r="B390" s="33" t="n">
        <f aca="false">IF($A390="",0,INT(($A390-'Bloco Base'!$C$5)/7)+1)</f>
        <v>0</v>
      </c>
      <c r="C390" s="28"/>
      <c r="D390" s="28"/>
      <c r="E390" s="27"/>
      <c r="F390" s="28"/>
      <c r="G390" s="139"/>
      <c r="H390" s="27"/>
      <c r="I390" s="28"/>
      <c r="J390" s="28"/>
      <c r="K390" s="28"/>
      <c r="L390" s="71"/>
      <c r="M390" s="35" t="str">
        <f aca="false">IF($AB390="","",IFERROR(INDEX('Força 1RM'!$Q$8:$Y$47,MATCH(IF($E390="Equipe (todos)",$C$4,$E390),'Força 1RM'!$P$8:$P$47,0),MATCH($AB390,'Força 1RM'!$Q$7:$Y$7,0)),""))</f>
        <v/>
      </c>
      <c r="N390" s="30" t="n">
        <f aca="false">IFERROR(IF(OR($L390="",$M390="",$M390=0),0,ROUND($L390*$M390*2,0)/2),0)</f>
        <v>0</v>
      </c>
      <c r="O390" s="32"/>
      <c r="P390" s="42" t="str">
        <f aca="false">IFERROR(IF(OR($L390="",$I390="—",$I390=""),"",IF($I390="Agachamento",INDEX($AE$8:$AE$20,MATCH($L390,$AD$8:$AD$20,1)),IF($I390="Supino",INDEX($AF$8:$AF$20,MATCH($L390,$AD$8:$AD$20,1)),IF($I390="Terra",INDEX($AG$8:$AG$20,MATCH($L390,$AD$8:$AD$20,1)),"")))),"")</f>
        <v/>
      </c>
      <c r="Q390" s="45"/>
      <c r="R390" s="71"/>
      <c r="S390" s="71"/>
      <c r="T390" s="69" t="str">
        <f aca="false">IF(OR($R390="",$S390=""),"",IF($S390&gt;$R390,"Acima do limite","Dentro do limite"))</f>
        <v/>
      </c>
      <c r="U390" s="28"/>
      <c r="V390" s="28"/>
      <c r="W390" s="28"/>
      <c r="X390" s="140" t="n">
        <f aca="false">IFERROR(IF(OR($J390="",$K390=""),0,$J390*$K390),0)</f>
        <v>0</v>
      </c>
      <c r="Y390" s="44" t="n">
        <f aca="false">IFERROR(IF($X390=0,0,$X390*IF($O390="",$N390,$O390)),0)</f>
        <v>0</v>
      </c>
      <c r="Z390" s="60" t="str">
        <f aca="false">IF($L390="","",IF($L390&lt;0.5,"Balística / Velocidade (&lt;50%)",IF($L390&lt;0.7,"Velocidade-Força (50–69%)",IF($L390&lt;0.8,"Força-Velocidade (70–79%)",IF($L390&lt;0.9,"Força Máxima (80–89%)","Força Máxima Alta (≥90%)")))))</f>
        <v/>
      </c>
      <c r="AA390" s="27"/>
      <c r="AB390" s="27"/>
    </row>
    <row r="391" customFormat="false" ht="15" hidden="false" customHeight="false" outlineLevel="0" collapsed="false">
      <c r="A391" s="29"/>
      <c r="B391" s="33" t="n">
        <f aca="false">IF($A391="",0,INT(($A391-'Bloco Base'!$C$5)/7)+1)</f>
        <v>0</v>
      </c>
      <c r="C391" s="28"/>
      <c r="D391" s="28"/>
      <c r="E391" s="27"/>
      <c r="F391" s="28"/>
      <c r="G391" s="139"/>
      <c r="H391" s="27"/>
      <c r="I391" s="28"/>
      <c r="J391" s="28"/>
      <c r="K391" s="28"/>
      <c r="L391" s="71"/>
      <c r="M391" s="35" t="str">
        <f aca="false">IF($AB391="","",IFERROR(INDEX('Força 1RM'!$Q$8:$Y$47,MATCH(IF($E391="Equipe (todos)",$C$4,$E391),'Força 1RM'!$P$8:$P$47,0),MATCH($AB391,'Força 1RM'!$Q$7:$Y$7,0)),""))</f>
        <v/>
      </c>
      <c r="N391" s="30" t="n">
        <f aca="false">IFERROR(IF(OR($L391="",$M391="",$M391=0),0,ROUND($L391*$M391*2,0)/2),0)</f>
        <v>0</v>
      </c>
      <c r="O391" s="32"/>
      <c r="P391" s="42" t="str">
        <f aca="false">IFERROR(IF(OR($L391="",$I391="—",$I391=""),"",IF($I391="Agachamento",INDEX($AE$8:$AE$20,MATCH($L391,$AD$8:$AD$20,1)),IF($I391="Supino",INDEX($AF$8:$AF$20,MATCH($L391,$AD$8:$AD$20,1)),IF($I391="Terra",INDEX($AG$8:$AG$20,MATCH($L391,$AD$8:$AD$20,1)),"")))),"")</f>
        <v/>
      </c>
      <c r="Q391" s="45"/>
      <c r="R391" s="71"/>
      <c r="S391" s="71"/>
      <c r="T391" s="69" t="str">
        <f aca="false">IF(OR($R391="",$S391=""),"",IF($S391&gt;$R391,"Acima do limite","Dentro do limite"))</f>
        <v/>
      </c>
      <c r="U391" s="28"/>
      <c r="V391" s="28"/>
      <c r="W391" s="28"/>
      <c r="X391" s="140" t="n">
        <f aca="false">IFERROR(IF(OR($J391="",$K391=""),0,$J391*$K391),0)</f>
        <v>0</v>
      </c>
      <c r="Y391" s="44" t="n">
        <f aca="false">IFERROR(IF($X391=0,0,$X391*IF($O391="",$N391,$O391)),0)</f>
        <v>0</v>
      </c>
      <c r="Z391" s="60" t="str">
        <f aca="false">IF($L391="","",IF($L391&lt;0.5,"Balística / Velocidade (&lt;50%)",IF($L391&lt;0.7,"Velocidade-Força (50–69%)",IF($L391&lt;0.8,"Força-Velocidade (70–79%)",IF($L391&lt;0.9,"Força Máxima (80–89%)","Força Máxima Alta (≥90%)")))))</f>
        <v/>
      </c>
      <c r="AA391" s="27"/>
      <c r="AB391" s="27"/>
    </row>
    <row r="392" customFormat="false" ht="15" hidden="false" customHeight="false" outlineLevel="0" collapsed="false">
      <c r="A392" s="29"/>
      <c r="B392" s="33" t="n">
        <f aca="false">IF($A392="",0,INT(($A392-'Bloco Base'!$C$5)/7)+1)</f>
        <v>0</v>
      </c>
      <c r="C392" s="28"/>
      <c r="D392" s="28"/>
      <c r="E392" s="27"/>
      <c r="F392" s="28"/>
      <c r="G392" s="139"/>
      <c r="H392" s="27"/>
      <c r="I392" s="28"/>
      <c r="J392" s="28"/>
      <c r="K392" s="28"/>
      <c r="L392" s="71"/>
      <c r="M392" s="35" t="str">
        <f aca="false">IF($AB392="","",IFERROR(INDEX('Força 1RM'!$Q$8:$Y$47,MATCH(IF($E392="Equipe (todos)",$C$4,$E392),'Força 1RM'!$P$8:$P$47,0),MATCH($AB392,'Força 1RM'!$Q$7:$Y$7,0)),""))</f>
        <v/>
      </c>
      <c r="N392" s="30" t="n">
        <f aca="false">IFERROR(IF(OR($L392="",$M392="",$M392=0),0,ROUND($L392*$M392*2,0)/2),0)</f>
        <v>0</v>
      </c>
      <c r="O392" s="32"/>
      <c r="P392" s="42" t="str">
        <f aca="false">IFERROR(IF(OR($L392="",$I392="—",$I392=""),"",IF($I392="Agachamento",INDEX($AE$8:$AE$20,MATCH($L392,$AD$8:$AD$20,1)),IF($I392="Supino",INDEX($AF$8:$AF$20,MATCH($L392,$AD$8:$AD$20,1)),IF($I392="Terra",INDEX($AG$8:$AG$20,MATCH($L392,$AD$8:$AD$20,1)),"")))),"")</f>
        <v/>
      </c>
      <c r="Q392" s="45"/>
      <c r="R392" s="71"/>
      <c r="S392" s="71"/>
      <c r="T392" s="69" t="str">
        <f aca="false">IF(OR($R392="",$S392=""),"",IF($S392&gt;$R392,"Acima do limite","Dentro do limite"))</f>
        <v/>
      </c>
      <c r="U392" s="28"/>
      <c r="V392" s="28"/>
      <c r="W392" s="28"/>
      <c r="X392" s="140" t="n">
        <f aca="false">IFERROR(IF(OR($J392="",$K392=""),0,$J392*$K392),0)</f>
        <v>0</v>
      </c>
      <c r="Y392" s="44" t="n">
        <f aca="false">IFERROR(IF($X392=0,0,$X392*IF($O392="",$N392,$O392)),0)</f>
        <v>0</v>
      </c>
      <c r="Z392" s="60" t="str">
        <f aca="false">IF($L392="","",IF($L392&lt;0.5,"Balística / Velocidade (&lt;50%)",IF($L392&lt;0.7,"Velocidade-Força (50–69%)",IF($L392&lt;0.8,"Força-Velocidade (70–79%)",IF($L392&lt;0.9,"Força Máxima (80–89%)","Força Máxima Alta (≥90%)")))))</f>
        <v/>
      </c>
      <c r="AA392" s="27"/>
      <c r="AB392" s="27"/>
    </row>
    <row r="393" customFormat="false" ht="15" hidden="false" customHeight="false" outlineLevel="0" collapsed="false">
      <c r="A393" s="29"/>
      <c r="B393" s="33" t="n">
        <f aca="false">IF($A393="",0,INT(($A393-'Bloco Base'!$C$5)/7)+1)</f>
        <v>0</v>
      </c>
      <c r="C393" s="28"/>
      <c r="D393" s="28"/>
      <c r="E393" s="27"/>
      <c r="F393" s="28"/>
      <c r="G393" s="139"/>
      <c r="H393" s="27"/>
      <c r="I393" s="28"/>
      <c r="J393" s="28"/>
      <c r="K393" s="28"/>
      <c r="L393" s="71"/>
      <c r="M393" s="35" t="str">
        <f aca="false">IF($AB393="","",IFERROR(INDEX('Força 1RM'!$Q$8:$Y$47,MATCH(IF($E393="Equipe (todos)",$C$4,$E393),'Força 1RM'!$P$8:$P$47,0),MATCH($AB393,'Força 1RM'!$Q$7:$Y$7,0)),""))</f>
        <v/>
      </c>
      <c r="N393" s="30" t="n">
        <f aca="false">IFERROR(IF(OR($L393="",$M393="",$M393=0),0,ROUND($L393*$M393*2,0)/2),0)</f>
        <v>0</v>
      </c>
      <c r="O393" s="32"/>
      <c r="P393" s="42" t="str">
        <f aca="false">IFERROR(IF(OR($L393="",$I393="—",$I393=""),"",IF($I393="Agachamento",INDEX($AE$8:$AE$20,MATCH($L393,$AD$8:$AD$20,1)),IF($I393="Supino",INDEX($AF$8:$AF$20,MATCH($L393,$AD$8:$AD$20,1)),IF($I393="Terra",INDEX($AG$8:$AG$20,MATCH($L393,$AD$8:$AD$20,1)),"")))),"")</f>
        <v/>
      </c>
      <c r="Q393" s="45"/>
      <c r="R393" s="71"/>
      <c r="S393" s="71"/>
      <c r="T393" s="69" t="str">
        <f aca="false">IF(OR($R393="",$S393=""),"",IF($S393&gt;$R393,"Acima do limite","Dentro do limite"))</f>
        <v/>
      </c>
      <c r="U393" s="28"/>
      <c r="V393" s="28"/>
      <c r="W393" s="28"/>
      <c r="X393" s="140" t="n">
        <f aca="false">IFERROR(IF(OR($J393="",$K393=""),0,$J393*$K393),0)</f>
        <v>0</v>
      </c>
      <c r="Y393" s="44" t="n">
        <f aca="false">IFERROR(IF($X393=0,0,$X393*IF($O393="",$N393,$O393)),0)</f>
        <v>0</v>
      </c>
      <c r="Z393" s="60" t="str">
        <f aca="false">IF($L393="","",IF($L393&lt;0.5,"Balística / Velocidade (&lt;50%)",IF($L393&lt;0.7,"Velocidade-Força (50–69%)",IF($L393&lt;0.8,"Força-Velocidade (70–79%)",IF($L393&lt;0.9,"Força Máxima (80–89%)","Força Máxima Alta (≥90%)")))))</f>
        <v/>
      </c>
      <c r="AA393" s="27"/>
      <c r="AB393" s="27"/>
    </row>
    <row r="394" customFormat="false" ht="15" hidden="false" customHeight="false" outlineLevel="0" collapsed="false">
      <c r="A394" s="29"/>
      <c r="B394" s="33" t="n">
        <f aca="false">IF($A394="",0,INT(($A394-'Bloco Base'!$C$5)/7)+1)</f>
        <v>0</v>
      </c>
      <c r="C394" s="28"/>
      <c r="D394" s="28"/>
      <c r="E394" s="27"/>
      <c r="F394" s="28"/>
      <c r="G394" s="139"/>
      <c r="H394" s="27"/>
      <c r="I394" s="28"/>
      <c r="J394" s="28"/>
      <c r="K394" s="28"/>
      <c r="L394" s="71"/>
      <c r="M394" s="35" t="str">
        <f aca="false">IF($AB394="","",IFERROR(INDEX('Força 1RM'!$Q$8:$Y$47,MATCH(IF($E394="Equipe (todos)",$C$4,$E394),'Força 1RM'!$P$8:$P$47,0),MATCH($AB394,'Força 1RM'!$Q$7:$Y$7,0)),""))</f>
        <v/>
      </c>
      <c r="N394" s="30" t="n">
        <f aca="false">IFERROR(IF(OR($L394="",$M394="",$M394=0),0,ROUND($L394*$M394*2,0)/2),0)</f>
        <v>0</v>
      </c>
      <c r="O394" s="32"/>
      <c r="P394" s="42" t="str">
        <f aca="false">IFERROR(IF(OR($L394="",$I394="—",$I394=""),"",IF($I394="Agachamento",INDEX($AE$8:$AE$20,MATCH($L394,$AD$8:$AD$20,1)),IF($I394="Supino",INDEX($AF$8:$AF$20,MATCH($L394,$AD$8:$AD$20,1)),IF($I394="Terra",INDEX($AG$8:$AG$20,MATCH($L394,$AD$8:$AD$20,1)),"")))),"")</f>
        <v/>
      </c>
      <c r="Q394" s="45"/>
      <c r="R394" s="71"/>
      <c r="S394" s="71"/>
      <c r="T394" s="69" t="str">
        <f aca="false">IF(OR($R394="",$S394=""),"",IF($S394&gt;$R394,"Acima do limite","Dentro do limite"))</f>
        <v/>
      </c>
      <c r="U394" s="28"/>
      <c r="V394" s="28"/>
      <c r="W394" s="28"/>
      <c r="X394" s="140" t="n">
        <f aca="false">IFERROR(IF(OR($J394="",$K394=""),0,$J394*$K394),0)</f>
        <v>0</v>
      </c>
      <c r="Y394" s="44" t="n">
        <f aca="false">IFERROR(IF($X394=0,0,$X394*IF($O394="",$N394,$O394)),0)</f>
        <v>0</v>
      </c>
      <c r="Z394" s="60" t="str">
        <f aca="false">IF($L394="","",IF($L394&lt;0.5,"Balística / Velocidade (&lt;50%)",IF($L394&lt;0.7,"Velocidade-Força (50–69%)",IF($L394&lt;0.8,"Força-Velocidade (70–79%)",IF($L394&lt;0.9,"Força Máxima (80–89%)","Força Máxima Alta (≥90%)")))))</f>
        <v/>
      </c>
      <c r="AA394" s="27"/>
      <c r="AB394" s="27"/>
    </row>
    <row r="395" customFormat="false" ht="15" hidden="false" customHeight="false" outlineLevel="0" collapsed="false">
      <c r="A395" s="29"/>
      <c r="B395" s="33" t="n">
        <f aca="false">IF($A395="",0,INT(($A395-'Bloco Base'!$C$5)/7)+1)</f>
        <v>0</v>
      </c>
      <c r="C395" s="28"/>
      <c r="D395" s="28"/>
      <c r="E395" s="27"/>
      <c r="F395" s="28"/>
      <c r="G395" s="139"/>
      <c r="H395" s="27"/>
      <c r="I395" s="28"/>
      <c r="J395" s="28"/>
      <c r="K395" s="28"/>
      <c r="L395" s="71"/>
      <c r="M395" s="35" t="str">
        <f aca="false">IF($AB395="","",IFERROR(INDEX('Força 1RM'!$Q$8:$Y$47,MATCH(IF($E395="Equipe (todos)",$C$4,$E395),'Força 1RM'!$P$8:$P$47,0),MATCH($AB395,'Força 1RM'!$Q$7:$Y$7,0)),""))</f>
        <v/>
      </c>
      <c r="N395" s="30" t="n">
        <f aca="false">IFERROR(IF(OR($L395="",$M395="",$M395=0),0,ROUND($L395*$M395*2,0)/2),0)</f>
        <v>0</v>
      </c>
      <c r="O395" s="32"/>
      <c r="P395" s="42" t="str">
        <f aca="false">IFERROR(IF(OR($L395="",$I395="—",$I395=""),"",IF($I395="Agachamento",INDEX($AE$8:$AE$20,MATCH($L395,$AD$8:$AD$20,1)),IF($I395="Supino",INDEX($AF$8:$AF$20,MATCH($L395,$AD$8:$AD$20,1)),IF($I395="Terra",INDEX($AG$8:$AG$20,MATCH($L395,$AD$8:$AD$20,1)),"")))),"")</f>
        <v/>
      </c>
      <c r="Q395" s="45"/>
      <c r="R395" s="71"/>
      <c r="S395" s="71"/>
      <c r="T395" s="69" t="str">
        <f aca="false">IF(OR($R395="",$S395=""),"",IF($S395&gt;$R395,"Acima do limite","Dentro do limite"))</f>
        <v/>
      </c>
      <c r="U395" s="28"/>
      <c r="V395" s="28"/>
      <c r="W395" s="28"/>
      <c r="X395" s="140" t="n">
        <f aca="false">IFERROR(IF(OR($J395="",$K395=""),0,$J395*$K395),0)</f>
        <v>0</v>
      </c>
      <c r="Y395" s="44" t="n">
        <f aca="false">IFERROR(IF($X395=0,0,$X395*IF($O395="",$N395,$O395)),0)</f>
        <v>0</v>
      </c>
      <c r="Z395" s="60" t="str">
        <f aca="false">IF($L395="","",IF($L395&lt;0.5,"Balística / Velocidade (&lt;50%)",IF($L395&lt;0.7,"Velocidade-Força (50–69%)",IF($L395&lt;0.8,"Força-Velocidade (70–79%)",IF($L395&lt;0.9,"Força Máxima (80–89%)","Força Máxima Alta (≥90%)")))))</f>
        <v/>
      </c>
      <c r="AA395" s="27"/>
      <c r="AB395" s="27"/>
    </row>
    <row r="396" customFormat="false" ht="15" hidden="false" customHeight="false" outlineLevel="0" collapsed="false">
      <c r="A396" s="29"/>
      <c r="B396" s="33" t="n">
        <f aca="false">IF($A396="",0,INT(($A396-'Bloco Base'!$C$5)/7)+1)</f>
        <v>0</v>
      </c>
      <c r="C396" s="28"/>
      <c r="D396" s="28"/>
      <c r="E396" s="27"/>
      <c r="F396" s="28"/>
      <c r="G396" s="139"/>
      <c r="H396" s="27"/>
      <c r="I396" s="28"/>
      <c r="J396" s="28"/>
      <c r="K396" s="28"/>
      <c r="L396" s="71"/>
      <c r="M396" s="35" t="str">
        <f aca="false">IF($AB396="","",IFERROR(INDEX('Força 1RM'!$Q$8:$Y$47,MATCH(IF($E396="Equipe (todos)",$C$4,$E396),'Força 1RM'!$P$8:$P$47,0),MATCH($AB396,'Força 1RM'!$Q$7:$Y$7,0)),""))</f>
        <v/>
      </c>
      <c r="N396" s="30" t="n">
        <f aca="false">IFERROR(IF(OR($L396="",$M396="",$M396=0),0,ROUND($L396*$M396*2,0)/2),0)</f>
        <v>0</v>
      </c>
      <c r="O396" s="32"/>
      <c r="P396" s="42" t="str">
        <f aca="false">IFERROR(IF(OR($L396="",$I396="—",$I396=""),"",IF($I396="Agachamento",INDEX($AE$8:$AE$20,MATCH($L396,$AD$8:$AD$20,1)),IF($I396="Supino",INDEX($AF$8:$AF$20,MATCH($L396,$AD$8:$AD$20,1)),IF($I396="Terra",INDEX($AG$8:$AG$20,MATCH($L396,$AD$8:$AD$20,1)),"")))),"")</f>
        <v/>
      </c>
      <c r="Q396" s="45"/>
      <c r="R396" s="71"/>
      <c r="S396" s="71"/>
      <c r="T396" s="69" t="str">
        <f aca="false">IF(OR($R396="",$S396=""),"",IF($S396&gt;$R396,"Acima do limite","Dentro do limite"))</f>
        <v/>
      </c>
      <c r="U396" s="28"/>
      <c r="V396" s="28"/>
      <c r="W396" s="28"/>
      <c r="X396" s="140" t="n">
        <f aca="false">IFERROR(IF(OR($J396="",$K396=""),0,$J396*$K396),0)</f>
        <v>0</v>
      </c>
      <c r="Y396" s="44" t="n">
        <f aca="false">IFERROR(IF($X396=0,0,$X396*IF($O396="",$N396,$O396)),0)</f>
        <v>0</v>
      </c>
      <c r="Z396" s="60" t="str">
        <f aca="false">IF($L396="","",IF($L396&lt;0.5,"Balística / Velocidade (&lt;50%)",IF($L396&lt;0.7,"Velocidade-Força (50–69%)",IF($L396&lt;0.8,"Força-Velocidade (70–79%)",IF($L396&lt;0.9,"Força Máxima (80–89%)","Força Máxima Alta (≥90%)")))))</f>
        <v/>
      </c>
      <c r="AA396" s="27"/>
      <c r="AB396" s="27"/>
    </row>
    <row r="397" customFormat="false" ht="15" hidden="false" customHeight="false" outlineLevel="0" collapsed="false">
      <c r="A397" s="29"/>
      <c r="B397" s="33" t="n">
        <f aca="false">IF($A397="",0,INT(($A397-'Bloco Base'!$C$5)/7)+1)</f>
        <v>0</v>
      </c>
      <c r="C397" s="28"/>
      <c r="D397" s="28"/>
      <c r="E397" s="27"/>
      <c r="F397" s="28"/>
      <c r="G397" s="139"/>
      <c r="H397" s="27"/>
      <c r="I397" s="28"/>
      <c r="J397" s="28"/>
      <c r="K397" s="28"/>
      <c r="L397" s="71"/>
      <c r="M397" s="35" t="str">
        <f aca="false">IF($AB397="","",IFERROR(INDEX('Força 1RM'!$Q$8:$Y$47,MATCH(IF($E397="Equipe (todos)",$C$4,$E397),'Força 1RM'!$P$8:$P$47,0),MATCH($AB397,'Força 1RM'!$Q$7:$Y$7,0)),""))</f>
        <v/>
      </c>
      <c r="N397" s="30" t="n">
        <f aca="false">IFERROR(IF(OR($L397="",$M397="",$M397=0),0,ROUND($L397*$M397*2,0)/2),0)</f>
        <v>0</v>
      </c>
      <c r="O397" s="32"/>
      <c r="P397" s="42" t="str">
        <f aca="false">IFERROR(IF(OR($L397="",$I397="—",$I397=""),"",IF($I397="Agachamento",INDEX($AE$8:$AE$20,MATCH($L397,$AD$8:$AD$20,1)),IF($I397="Supino",INDEX($AF$8:$AF$20,MATCH($L397,$AD$8:$AD$20,1)),IF($I397="Terra",INDEX($AG$8:$AG$20,MATCH($L397,$AD$8:$AD$20,1)),"")))),"")</f>
        <v/>
      </c>
      <c r="Q397" s="45"/>
      <c r="R397" s="71"/>
      <c r="S397" s="71"/>
      <c r="T397" s="69" t="str">
        <f aca="false">IF(OR($R397="",$S397=""),"",IF($S397&gt;$R397,"Acima do limite","Dentro do limite"))</f>
        <v/>
      </c>
      <c r="U397" s="28"/>
      <c r="V397" s="28"/>
      <c r="W397" s="28"/>
      <c r="X397" s="140" t="n">
        <f aca="false">IFERROR(IF(OR($J397="",$K397=""),0,$J397*$K397),0)</f>
        <v>0</v>
      </c>
      <c r="Y397" s="44" t="n">
        <f aca="false">IFERROR(IF($X397=0,0,$X397*IF($O397="",$N397,$O397)),0)</f>
        <v>0</v>
      </c>
      <c r="Z397" s="60" t="str">
        <f aca="false">IF($L397="","",IF($L397&lt;0.5,"Balística / Velocidade (&lt;50%)",IF($L397&lt;0.7,"Velocidade-Força (50–69%)",IF($L397&lt;0.8,"Força-Velocidade (70–79%)",IF($L397&lt;0.9,"Força Máxima (80–89%)","Força Máxima Alta (≥90%)")))))</f>
        <v/>
      </c>
      <c r="AA397" s="27"/>
      <c r="AB397" s="27"/>
    </row>
    <row r="398" customFormat="false" ht="15" hidden="false" customHeight="false" outlineLevel="0" collapsed="false">
      <c r="A398" s="29"/>
      <c r="B398" s="33" t="n">
        <f aca="false">IF($A398="",0,INT(($A398-'Bloco Base'!$C$5)/7)+1)</f>
        <v>0</v>
      </c>
      <c r="C398" s="28"/>
      <c r="D398" s="28"/>
      <c r="E398" s="27"/>
      <c r="F398" s="28"/>
      <c r="G398" s="139"/>
      <c r="H398" s="27"/>
      <c r="I398" s="28"/>
      <c r="J398" s="28"/>
      <c r="K398" s="28"/>
      <c r="L398" s="71"/>
      <c r="M398" s="35" t="str">
        <f aca="false">IF($AB398="","",IFERROR(INDEX('Força 1RM'!$Q$8:$Y$47,MATCH(IF($E398="Equipe (todos)",$C$4,$E398),'Força 1RM'!$P$8:$P$47,0),MATCH($AB398,'Força 1RM'!$Q$7:$Y$7,0)),""))</f>
        <v/>
      </c>
      <c r="N398" s="30" t="n">
        <f aca="false">IFERROR(IF(OR($L398="",$M398="",$M398=0),0,ROUND($L398*$M398*2,0)/2),0)</f>
        <v>0</v>
      </c>
      <c r="O398" s="32"/>
      <c r="P398" s="42" t="str">
        <f aca="false">IFERROR(IF(OR($L398="",$I398="—",$I398=""),"",IF($I398="Agachamento",INDEX($AE$8:$AE$20,MATCH($L398,$AD$8:$AD$20,1)),IF($I398="Supino",INDEX($AF$8:$AF$20,MATCH($L398,$AD$8:$AD$20,1)),IF($I398="Terra",INDEX($AG$8:$AG$20,MATCH($L398,$AD$8:$AD$20,1)),"")))),"")</f>
        <v/>
      </c>
      <c r="Q398" s="45"/>
      <c r="R398" s="71"/>
      <c r="S398" s="71"/>
      <c r="T398" s="69" t="str">
        <f aca="false">IF(OR($R398="",$S398=""),"",IF($S398&gt;$R398,"Acima do limite","Dentro do limite"))</f>
        <v/>
      </c>
      <c r="U398" s="28"/>
      <c r="V398" s="28"/>
      <c r="W398" s="28"/>
      <c r="X398" s="140" t="n">
        <f aca="false">IFERROR(IF(OR($J398="",$K398=""),0,$J398*$K398),0)</f>
        <v>0</v>
      </c>
      <c r="Y398" s="44" t="n">
        <f aca="false">IFERROR(IF($X398=0,0,$X398*IF($O398="",$N398,$O398)),0)</f>
        <v>0</v>
      </c>
      <c r="Z398" s="60" t="str">
        <f aca="false">IF($L398="","",IF($L398&lt;0.5,"Balística / Velocidade (&lt;50%)",IF($L398&lt;0.7,"Velocidade-Força (50–69%)",IF($L398&lt;0.8,"Força-Velocidade (70–79%)",IF($L398&lt;0.9,"Força Máxima (80–89%)","Força Máxima Alta (≥90%)")))))</f>
        <v/>
      </c>
      <c r="AA398" s="27"/>
      <c r="AB398" s="27"/>
    </row>
    <row r="399" customFormat="false" ht="15" hidden="false" customHeight="false" outlineLevel="0" collapsed="false">
      <c r="A399" s="29"/>
      <c r="B399" s="33" t="n">
        <f aca="false">IF($A399="",0,INT(($A399-'Bloco Base'!$C$5)/7)+1)</f>
        <v>0</v>
      </c>
      <c r="C399" s="28"/>
      <c r="D399" s="28"/>
      <c r="E399" s="27"/>
      <c r="F399" s="28"/>
      <c r="G399" s="139"/>
      <c r="H399" s="27"/>
      <c r="I399" s="28"/>
      <c r="J399" s="28"/>
      <c r="K399" s="28"/>
      <c r="L399" s="71"/>
      <c r="M399" s="35" t="str">
        <f aca="false">IF($AB399="","",IFERROR(INDEX('Força 1RM'!$Q$8:$Y$47,MATCH(IF($E399="Equipe (todos)",$C$4,$E399),'Força 1RM'!$P$8:$P$47,0),MATCH($AB399,'Força 1RM'!$Q$7:$Y$7,0)),""))</f>
        <v/>
      </c>
      <c r="N399" s="30" t="n">
        <f aca="false">IFERROR(IF(OR($L399="",$M399="",$M399=0),0,ROUND($L399*$M399*2,0)/2),0)</f>
        <v>0</v>
      </c>
      <c r="O399" s="32"/>
      <c r="P399" s="42" t="str">
        <f aca="false">IFERROR(IF(OR($L399="",$I399="—",$I399=""),"",IF($I399="Agachamento",INDEX($AE$8:$AE$20,MATCH($L399,$AD$8:$AD$20,1)),IF($I399="Supino",INDEX($AF$8:$AF$20,MATCH($L399,$AD$8:$AD$20,1)),IF($I399="Terra",INDEX($AG$8:$AG$20,MATCH($L399,$AD$8:$AD$20,1)),"")))),"")</f>
        <v/>
      </c>
      <c r="Q399" s="45"/>
      <c r="R399" s="71"/>
      <c r="S399" s="71"/>
      <c r="T399" s="69" t="str">
        <f aca="false">IF(OR($R399="",$S399=""),"",IF($S399&gt;$R399,"Acima do limite","Dentro do limite"))</f>
        <v/>
      </c>
      <c r="U399" s="28"/>
      <c r="V399" s="28"/>
      <c r="W399" s="28"/>
      <c r="X399" s="140" t="n">
        <f aca="false">IFERROR(IF(OR($J399="",$K399=""),0,$J399*$K399),0)</f>
        <v>0</v>
      </c>
      <c r="Y399" s="44" t="n">
        <f aca="false">IFERROR(IF($X399=0,0,$X399*IF($O399="",$N399,$O399)),0)</f>
        <v>0</v>
      </c>
      <c r="Z399" s="60" t="str">
        <f aca="false">IF($L399="","",IF($L399&lt;0.5,"Balística / Velocidade (&lt;50%)",IF($L399&lt;0.7,"Velocidade-Força (50–69%)",IF($L399&lt;0.8,"Força-Velocidade (70–79%)",IF($L399&lt;0.9,"Força Máxima (80–89%)","Força Máxima Alta (≥90%)")))))</f>
        <v/>
      </c>
      <c r="AA399" s="27"/>
      <c r="AB399" s="27"/>
    </row>
    <row r="400" customFormat="false" ht="15" hidden="false" customHeight="false" outlineLevel="0" collapsed="false">
      <c r="A400" s="29"/>
      <c r="B400" s="33" t="n">
        <f aca="false">IF($A400="",0,INT(($A400-'Bloco Base'!$C$5)/7)+1)</f>
        <v>0</v>
      </c>
      <c r="C400" s="28"/>
      <c r="D400" s="28"/>
      <c r="E400" s="27"/>
      <c r="F400" s="28"/>
      <c r="G400" s="139"/>
      <c r="H400" s="27"/>
      <c r="I400" s="28"/>
      <c r="J400" s="28"/>
      <c r="K400" s="28"/>
      <c r="L400" s="71"/>
      <c r="M400" s="35" t="str">
        <f aca="false">IF($AB400="","",IFERROR(INDEX('Força 1RM'!$Q$8:$Y$47,MATCH(IF($E400="Equipe (todos)",$C$4,$E400),'Força 1RM'!$P$8:$P$47,0),MATCH($AB400,'Força 1RM'!$Q$7:$Y$7,0)),""))</f>
        <v/>
      </c>
      <c r="N400" s="30" t="n">
        <f aca="false">IFERROR(IF(OR($L400="",$M400="",$M400=0),0,ROUND($L400*$M400*2,0)/2),0)</f>
        <v>0</v>
      </c>
      <c r="O400" s="32"/>
      <c r="P400" s="42" t="str">
        <f aca="false">IFERROR(IF(OR($L400="",$I400="—",$I400=""),"",IF($I400="Agachamento",INDEX($AE$8:$AE$20,MATCH($L400,$AD$8:$AD$20,1)),IF($I400="Supino",INDEX($AF$8:$AF$20,MATCH($L400,$AD$8:$AD$20,1)),IF($I400="Terra",INDEX($AG$8:$AG$20,MATCH($L400,$AD$8:$AD$20,1)),"")))),"")</f>
        <v/>
      </c>
      <c r="Q400" s="45"/>
      <c r="R400" s="71"/>
      <c r="S400" s="71"/>
      <c r="T400" s="69" t="str">
        <f aca="false">IF(OR($R400="",$S400=""),"",IF($S400&gt;$R400,"Acima do limite","Dentro do limite"))</f>
        <v/>
      </c>
      <c r="U400" s="28"/>
      <c r="V400" s="28"/>
      <c r="W400" s="28"/>
      <c r="X400" s="140" t="n">
        <f aca="false">IFERROR(IF(OR($J400="",$K400=""),0,$J400*$K400),0)</f>
        <v>0</v>
      </c>
      <c r="Y400" s="44" t="n">
        <f aca="false">IFERROR(IF($X400=0,0,$X400*IF($O400="",$N400,$O400)),0)</f>
        <v>0</v>
      </c>
      <c r="Z400" s="60" t="str">
        <f aca="false">IF($L400="","",IF($L400&lt;0.5,"Balística / Velocidade (&lt;50%)",IF($L400&lt;0.7,"Velocidade-Força (50–69%)",IF($L400&lt;0.8,"Força-Velocidade (70–79%)",IF($L400&lt;0.9,"Força Máxima (80–89%)","Força Máxima Alta (≥90%)")))))</f>
        <v/>
      </c>
      <c r="AA400" s="27"/>
      <c r="AB400" s="27"/>
    </row>
    <row r="401" customFormat="false" ht="15" hidden="false" customHeight="false" outlineLevel="0" collapsed="false">
      <c r="A401" s="29"/>
      <c r="B401" s="33" t="n">
        <f aca="false">IF($A401="",0,INT(($A401-'Bloco Base'!$C$5)/7)+1)</f>
        <v>0</v>
      </c>
      <c r="C401" s="28"/>
      <c r="D401" s="28"/>
      <c r="E401" s="27"/>
      <c r="F401" s="28"/>
      <c r="G401" s="139"/>
      <c r="H401" s="27"/>
      <c r="I401" s="28"/>
      <c r="J401" s="28"/>
      <c r="K401" s="28"/>
      <c r="L401" s="71"/>
      <c r="M401" s="35" t="str">
        <f aca="false">IF($AB401="","",IFERROR(INDEX('Força 1RM'!$Q$8:$Y$47,MATCH(IF($E401="Equipe (todos)",$C$4,$E401),'Força 1RM'!$P$8:$P$47,0),MATCH($AB401,'Força 1RM'!$Q$7:$Y$7,0)),""))</f>
        <v/>
      </c>
      <c r="N401" s="30" t="n">
        <f aca="false">IFERROR(IF(OR($L401="",$M401="",$M401=0),0,ROUND($L401*$M401*2,0)/2),0)</f>
        <v>0</v>
      </c>
      <c r="O401" s="32"/>
      <c r="P401" s="42" t="str">
        <f aca="false">IFERROR(IF(OR($L401="",$I401="—",$I401=""),"",IF($I401="Agachamento",INDEX($AE$8:$AE$20,MATCH($L401,$AD$8:$AD$20,1)),IF($I401="Supino",INDEX($AF$8:$AF$20,MATCH($L401,$AD$8:$AD$20,1)),IF($I401="Terra",INDEX($AG$8:$AG$20,MATCH($L401,$AD$8:$AD$20,1)),"")))),"")</f>
        <v/>
      </c>
      <c r="Q401" s="45"/>
      <c r="R401" s="71"/>
      <c r="S401" s="71"/>
      <c r="T401" s="69" t="str">
        <f aca="false">IF(OR($R401="",$S401=""),"",IF($S401&gt;$R401,"Acima do limite","Dentro do limite"))</f>
        <v/>
      </c>
      <c r="U401" s="28"/>
      <c r="V401" s="28"/>
      <c r="W401" s="28"/>
      <c r="X401" s="140" t="n">
        <f aca="false">IFERROR(IF(OR($J401="",$K401=""),0,$J401*$K401),0)</f>
        <v>0</v>
      </c>
      <c r="Y401" s="44" t="n">
        <f aca="false">IFERROR(IF($X401=0,0,$X401*IF($O401="",$N401,$O401)),0)</f>
        <v>0</v>
      </c>
      <c r="Z401" s="60" t="str">
        <f aca="false">IF($L401="","",IF($L401&lt;0.5,"Balística / Velocidade (&lt;50%)",IF($L401&lt;0.7,"Velocidade-Força (50–69%)",IF($L401&lt;0.8,"Força-Velocidade (70–79%)",IF($L401&lt;0.9,"Força Máxima (80–89%)","Força Máxima Alta (≥90%)")))))</f>
        <v/>
      </c>
      <c r="AA401" s="27"/>
      <c r="AB401" s="27"/>
    </row>
    <row r="402" customFormat="false" ht="15" hidden="false" customHeight="false" outlineLevel="0" collapsed="false">
      <c r="A402" s="29"/>
      <c r="B402" s="33" t="n">
        <f aca="false">IF($A402="",0,INT(($A402-'Bloco Base'!$C$5)/7)+1)</f>
        <v>0</v>
      </c>
      <c r="C402" s="28"/>
      <c r="D402" s="28"/>
      <c r="E402" s="27"/>
      <c r="F402" s="28"/>
      <c r="G402" s="139"/>
      <c r="H402" s="27"/>
      <c r="I402" s="28"/>
      <c r="J402" s="28"/>
      <c r="K402" s="28"/>
      <c r="L402" s="71"/>
      <c r="M402" s="35" t="str">
        <f aca="false">IF($AB402="","",IFERROR(INDEX('Força 1RM'!$Q$8:$Y$47,MATCH(IF($E402="Equipe (todos)",$C$4,$E402),'Força 1RM'!$P$8:$P$47,0),MATCH($AB402,'Força 1RM'!$Q$7:$Y$7,0)),""))</f>
        <v/>
      </c>
      <c r="N402" s="30" t="n">
        <f aca="false">IFERROR(IF(OR($L402="",$M402="",$M402=0),0,ROUND($L402*$M402*2,0)/2),0)</f>
        <v>0</v>
      </c>
      <c r="O402" s="32"/>
      <c r="P402" s="42" t="str">
        <f aca="false">IFERROR(IF(OR($L402="",$I402="—",$I402=""),"",IF($I402="Agachamento",INDEX($AE$8:$AE$20,MATCH($L402,$AD$8:$AD$20,1)),IF($I402="Supino",INDEX($AF$8:$AF$20,MATCH($L402,$AD$8:$AD$20,1)),IF($I402="Terra",INDEX($AG$8:$AG$20,MATCH($L402,$AD$8:$AD$20,1)),"")))),"")</f>
        <v/>
      </c>
      <c r="Q402" s="45"/>
      <c r="R402" s="71"/>
      <c r="S402" s="71"/>
      <c r="T402" s="69" t="str">
        <f aca="false">IF(OR($R402="",$S402=""),"",IF($S402&gt;$R402,"Acima do limite","Dentro do limite"))</f>
        <v/>
      </c>
      <c r="U402" s="28"/>
      <c r="V402" s="28"/>
      <c r="W402" s="28"/>
      <c r="X402" s="140" t="n">
        <f aca="false">IFERROR(IF(OR($J402="",$K402=""),0,$J402*$K402),0)</f>
        <v>0</v>
      </c>
      <c r="Y402" s="44" t="n">
        <f aca="false">IFERROR(IF($X402=0,0,$X402*IF($O402="",$N402,$O402)),0)</f>
        <v>0</v>
      </c>
      <c r="Z402" s="60" t="str">
        <f aca="false">IF($L402="","",IF($L402&lt;0.5,"Balística / Velocidade (&lt;50%)",IF($L402&lt;0.7,"Velocidade-Força (50–69%)",IF($L402&lt;0.8,"Força-Velocidade (70–79%)",IF($L402&lt;0.9,"Força Máxima (80–89%)","Força Máxima Alta (≥90%)")))))</f>
        <v/>
      </c>
      <c r="AA402" s="27"/>
      <c r="AB402" s="27"/>
    </row>
    <row r="403" customFormat="false" ht="15" hidden="false" customHeight="false" outlineLevel="0" collapsed="false">
      <c r="A403" s="29"/>
      <c r="B403" s="33" t="n">
        <f aca="false">IF($A403="",0,INT(($A403-'Bloco Base'!$C$5)/7)+1)</f>
        <v>0</v>
      </c>
      <c r="C403" s="28"/>
      <c r="D403" s="28"/>
      <c r="E403" s="27"/>
      <c r="F403" s="28"/>
      <c r="G403" s="139"/>
      <c r="H403" s="27"/>
      <c r="I403" s="28"/>
      <c r="J403" s="28"/>
      <c r="K403" s="28"/>
      <c r="L403" s="71"/>
      <c r="M403" s="35" t="str">
        <f aca="false">IF($AB403="","",IFERROR(INDEX('Força 1RM'!$Q$8:$Y$47,MATCH(IF($E403="Equipe (todos)",$C$4,$E403),'Força 1RM'!$P$8:$P$47,0),MATCH($AB403,'Força 1RM'!$Q$7:$Y$7,0)),""))</f>
        <v/>
      </c>
      <c r="N403" s="30" t="n">
        <f aca="false">IFERROR(IF(OR($L403="",$M403="",$M403=0),0,ROUND($L403*$M403*2,0)/2),0)</f>
        <v>0</v>
      </c>
      <c r="O403" s="32"/>
      <c r="P403" s="42" t="str">
        <f aca="false">IFERROR(IF(OR($L403="",$I403="—",$I403=""),"",IF($I403="Agachamento",INDEX($AE$8:$AE$20,MATCH($L403,$AD$8:$AD$20,1)),IF($I403="Supino",INDEX($AF$8:$AF$20,MATCH($L403,$AD$8:$AD$20,1)),IF($I403="Terra",INDEX($AG$8:$AG$20,MATCH($L403,$AD$8:$AD$20,1)),"")))),"")</f>
        <v/>
      </c>
      <c r="Q403" s="45"/>
      <c r="R403" s="71"/>
      <c r="S403" s="71"/>
      <c r="T403" s="69" t="str">
        <f aca="false">IF(OR($R403="",$S403=""),"",IF($S403&gt;$R403,"Acima do limite","Dentro do limite"))</f>
        <v/>
      </c>
      <c r="U403" s="28"/>
      <c r="V403" s="28"/>
      <c r="W403" s="28"/>
      <c r="X403" s="140" t="n">
        <f aca="false">IFERROR(IF(OR($J403="",$K403=""),0,$J403*$K403),0)</f>
        <v>0</v>
      </c>
      <c r="Y403" s="44" t="n">
        <f aca="false">IFERROR(IF($X403=0,0,$X403*IF($O403="",$N403,$O403)),0)</f>
        <v>0</v>
      </c>
      <c r="Z403" s="60" t="str">
        <f aca="false">IF($L403="","",IF($L403&lt;0.5,"Balística / Velocidade (&lt;50%)",IF($L403&lt;0.7,"Velocidade-Força (50–69%)",IF($L403&lt;0.8,"Força-Velocidade (70–79%)",IF($L403&lt;0.9,"Força Máxima (80–89%)","Força Máxima Alta (≥90%)")))))</f>
        <v/>
      </c>
      <c r="AA403" s="27"/>
      <c r="AB403" s="27"/>
    </row>
    <row r="404" customFormat="false" ht="15" hidden="false" customHeight="false" outlineLevel="0" collapsed="false">
      <c r="A404" s="29"/>
      <c r="B404" s="33" t="n">
        <f aca="false">IF($A404="",0,INT(($A404-'Bloco Base'!$C$5)/7)+1)</f>
        <v>0</v>
      </c>
      <c r="C404" s="28"/>
      <c r="D404" s="28"/>
      <c r="E404" s="27"/>
      <c r="F404" s="28"/>
      <c r="G404" s="139"/>
      <c r="H404" s="27"/>
      <c r="I404" s="28"/>
      <c r="J404" s="28"/>
      <c r="K404" s="28"/>
      <c r="L404" s="71"/>
      <c r="M404" s="35" t="str">
        <f aca="false">IF($AB404="","",IFERROR(INDEX('Força 1RM'!$Q$8:$Y$47,MATCH(IF($E404="Equipe (todos)",$C$4,$E404),'Força 1RM'!$P$8:$P$47,0),MATCH($AB404,'Força 1RM'!$Q$7:$Y$7,0)),""))</f>
        <v/>
      </c>
      <c r="N404" s="30" t="n">
        <f aca="false">IFERROR(IF(OR($L404="",$M404="",$M404=0),0,ROUND($L404*$M404*2,0)/2),0)</f>
        <v>0</v>
      </c>
      <c r="O404" s="32"/>
      <c r="P404" s="42" t="str">
        <f aca="false">IFERROR(IF(OR($L404="",$I404="—",$I404=""),"",IF($I404="Agachamento",INDEX($AE$8:$AE$20,MATCH($L404,$AD$8:$AD$20,1)),IF($I404="Supino",INDEX($AF$8:$AF$20,MATCH($L404,$AD$8:$AD$20,1)),IF($I404="Terra",INDEX($AG$8:$AG$20,MATCH($L404,$AD$8:$AD$20,1)),"")))),"")</f>
        <v/>
      </c>
      <c r="Q404" s="45"/>
      <c r="R404" s="71"/>
      <c r="S404" s="71"/>
      <c r="T404" s="69" t="str">
        <f aca="false">IF(OR($R404="",$S404=""),"",IF($S404&gt;$R404,"Acima do limite","Dentro do limite"))</f>
        <v/>
      </c>
      <c r="U404" s="28"/>
      <c r="V404" s="28"/>
      <c r="W404" s="28"/>
      <c r="X404" s="140" t="n">
        <f aca="false">IFERROR(IF(OR($J404="",$K404=""),0,$J404*$K404),0)</f>
        <v>0</v>
      </c>
      <c r="Y404" s="44" t="n">
        <f aca="false">IFERROR(IF($X404=0,0,$X404*IF($O404="",$N404,$O404)),0)</f>
        <v>0</v>
      </c>
      <c r="Z404" s="60" t="str">
        <f aca="false">IF($L404="","",IF($L404&lt;0.5,"Balística / Velocidade (&lt;50%)",IF($L404&lt;0.7,"Velocidade-Força (50–69%)",IF($L404&lt;0.8,"Força-Velocidade (70–79%)",IF($L404&lt;0.9,"Força Máxima (80–89%)","Força Máxima Alta (≥90%)")))))</f>
        <v/>
      </c>
      <c r="AA404" s="27"/>
      <c r="AB404" s="27"/>
    </row>
    <row r="405" customFormat="false" ht="15" hidden="false" customHeight="false" outlineLevel="0" collapsed="false">
      <c r="A405" s="29"/>
      <c r="B405" s="33" t="n">
        <f aca="false">IF($A405="",0,INT(($A405-'Bloco Base'!$C$5)/7)+1)</f>
        <v>0</v>
      </c>
      <c r="C405" s="28"/>
      <c r="D405" s="28"/>
      <c r="E405" s="27"/>
      <c r="F405" s="28"/>
      <c r="G405" s="139"/>
      <c r="H405" s="27"/>
      <c r="I405" s="28"/>
      <c r="J405" s="28"/>
      <c r="K405" s="28"/>
      <c r="L405" s="71"/>
      <c r="M405" s="35" t="str">
        <f aca="false">IF($AB405="","",IFERROR(INDEX('Força 1RM'!$Q$8:$Y$47,MATCH(IF($E405="Equipe (todos)",$C$4,$E405),'Força 1RM'!$P$8:$P$47,0),MATCH($AB405,'Força 1RM'!$Q$7:$Y$7,0)),""))</f>
        <v/>
      </c>
      <c r="N405" s="30" t="n">
        <f aca="false">IFERROR(IF(OR($L405="",$M405="",$M405=0),0,ROUND($L405*$M405*2,0)/2),0)</f>
        <v>0</v>
      </c>
      <c r="O405" s="32"/>
      <c r="P405" s="42" t="str">
        <f aca="false">IFERROR(IF(OR($L405="",$I405="—",$I405=""),"",IF($I405="Agachamento",INDEX($AE$8:$AE$20,MATCH($L405,$AD$8:$AD$20,1)),IF($I405="Supino",INDEX($AF$8:$AF$20,MATCH($L405,$AD$8:$AD$20,1)),IF($I405="Terra",INDEX($AG$8:$AG$20,MATCH($L405,$AD$8:$AD$20,1)),"")))),"")</f>
        <v/>
      </c>
      <c r="Q405" s="45"/>
      <c r="R405" s="71"/>
      <c r="S405" s="71"/>
      <c r="T405" s="69" t="str">
        <f aca="false">IF(OR($R405="",$S405=""),"",IF($S405&gt;$R405,"Acima do limite","Dentro do limite"))</f>
        <v/>
      </c>
      <c r="U405" s="28"/>
      <c r="V405" s="28"/>
      <c r="W405" s="28"/>
      <c r="X405" s="140" t="n">
        <f aca="false">IFERROR(IF(OR($J405="",$K405=""),0,$J405*$K405),0)</f>
        <v>0</v>
      </c>
      <c r="Y405" s="44" t="n">
        <f aca="false">IFERROR(IF($X405=0,0,$X405*IF($O405="",$N405,$O405)),0)</f>
        <v>0</v>
      </c>
      <c r="Z405" s="60" t="str">
        <f aca="false">IF($L405="","",IF($L405&lt;0.5,"Balística / Velocidade (&lt;50%)",IF($L405&lt;0.7,"Velocidade-Força (50–69%)",IF($L405&lt;0.8,"Força-Velocidade (70–79%)",IF($L405&lt;0.9,"Força Máxima (80–89%)","Força Máxima Alta (≥90%)")))))</f>
        <v/>
      </c>
      <c r="AA405" s="27"/>
      <c r="AB405" s="27"/>
    </row>
    <row r="406" customFormat="false" ht="15" hidden="false" customHeight="false" outlineLevel="0" collapsed="false">
      <c r="A406" s="29"/>
      <c r="B406" s="33" t="n">
        <f aca="false">IF($A406="",0,INT(($A406-'Bloco Base'!$C$5)/7)+1)</f>
        <v>0</v>
      </c>
      <c r="C406" s="28"/>
      <c r="D406" s="28"/>
      <c r="E406" s="27"/>
      <c r="F406" s="28"/>
      <c r="G406" s="139"/>
      <c r="H406" s="27"/>
      <c r="I406" s="28"/>
      <c r="J406" s="28"/>
      <c r="K406" s="28"/>
      <c r="L406" s="71"/>
      <c r="M406" s="35" t="str">
        <f aca="false">IF($AB406="","",IFERROR(INDEX('Força 1RM'!$Q$8:$Y$47,MATCH(IF($E406="Equipe (todos)",$C$4,$E406),'Força 1RM'!$P$8:$P$47,0),MATCH($AB406,'Força 1RM'!$Q$7:$Y$7,0)),""))</f>
        <v/>
      </c>
      <c r="N406" s="30" t="n">
        <f aca="false">IFERROR(IF(OR($L406="",$M406="",$M406=0),0,ROUND($L406*$M406*2,0)/2),0)</f>
        <v>0</v>
      </c>
      <c r="O406" s="32"/>
      <c r="P406" s="42" t="str">
        <f aca="false">IFERROR(IF(OR($L406="",$I406="—",$I406=""),"",IF($I406="Agachamento",INDEX($AE$8:$AE$20,MATCH($L406,$AD$8:$AD$20,1)),IF($I406="Supino",INDEX($AF$8:$AF$20,MATCH($L406,$AD$8:$AD$20,1)),IF($I406="Terra",INDEX($AG$8:$AG$20,MATCH($L406,$AD$8:$AD$20,1)),"")))),"")</f>
        <v/>
      </c>
      <c r="Q406" s="45"/>
      <c r="R406" s="71"/>
      <c r="S406" s="71"/>
      <c r="T406" s="69" t="str">
        <f aca="false">IF(OR($R406="",$S406=""),"",IF($S406&gt;$R406,"Acima do limite","Dentro do limite"))</f>
        <v/>
      </c>
      <c r="U406" s="28"/>
      <c r="V406" s="28"/>
      <c r="W406" s="28"/>
      <c r="X406" s="140" t="n">
        <f aca="false">IFERROR(IF(OR($J406="",$K406=""),0,$J406*$K406),0)</f>
        <v>0</v>
      </c>
      <c r="Y406" s="44" t="n">
        <f aca="false">IFERROR(IF($X406=0,0,$X406*IF($O406="",$N406,$O406)),0)</f>
        <v>0</v>
      </c>
      <c r="Z406" s="60" t="str">
        <f aca="false">IF($L406="","",IF($L406&lt;0.5,"Balística / Velocidade (&lt;50%)",IF($L406&lt;0.7,"Velocidade-Força (50–69%)",IF($L406&lt;0.8,"Força-Velocidade (70–79%)",IF($L406&lt;0.9,"Força Máxima (80–89%)","Força Máxima Alta (≥90%)")))))</f>
        <v/>
      </c>
      <c r="AA406" s="27"/>
      <c r="AB406" s="27"/>
    </row>
    <row r="407" customFormat="false" ht="15" hidden="false" customHeight="false" outlineLevel="0" collapsed="false">
      <c r="A407" s="29"/>
      <c r="B407" s="33" t="n">
        <f aca="false">IF($A407="",0,INT(($A407-'Bloco Base'!$C$5)/7)+1)</f>
        <v>0</v>
      </c>
      <c r="C407" s="28"/>
      <c r="D407" s="28"/>
      <c r="E407" s="27"/>
      <c r="F407" s="28"/>
      <c r="G407" s="139"/>
      <c r="H407" s="27"/>
      <c r="I407" s="28"/>
      <c r="J407" s="28"/>
      <c r="K407" s="28"/>
      <c r="L407" s="71"/>
      <c r="M407" s="35" t="str">
        <f aca="false">IF($AB407="","",IFERROR(INDEX('Força 1RM'!$Q$8:$Y$47,MATCH(IF($E407="Equipe (todos)",$C$4,$E407),'Força 1RM'!$P$8:$P$47,0),MATCH($AB407,'Força 1RM'!$Q$7:$Y$7,0)),""))</f>
        <v/>
      </c>
      <c r="N407" s="30" t="n">
        <f aca="false">IFERROR(IF(OR($L407="",$M407="",$M407=0),0,ROUND($L407*$M407*2,0)/2),0)</f>
        <v>0</v>
      </c>
      <c r="O407" s="32"/>
      <c r="P407" s="42" t="str">
        <f aca="false">IFERROR(IF(OR($L407="",$I407="—",$I407=""),"",IF($I407="Agachamento",INDEX($AE$8:$AE$20,MATCH($L407,$AD$8:$AD$20,1)),IF($I407="Supino",INDEX($AF$8:$AF$20,MATCH($L407,$AD$8:$AD$20,1)),IF($I407="Terra",INDEX($AG$8:$AG$20,MATCH($L407,$AD$8:$AD$20,1)),"")))),"")</f>
        <v/>
      </c>
      <c r="Q407" s="45"/>
      <c r="R407" s="71"/>
      <c r="S407" s="71"/>
      <c r="T407" s="69" t="str">
        <f aca="false">IF(OR($R407="",$S407=""),"",IF($S407&gt;$R407,"Acima do limite","Dentro do limite"))</f>
        <v/>
      </c>
      <c r="U407" s="28"/>
      <c r="V407" s="28"/>
      <c r="W407" s="28"/>
      <c r="X407" s="140" t="n">
        <f aca="false">IFERROR(IF(OR($J407="",$K407=""),0,$J407*$K407),0)</f>
        <v>0</v>
      </c>
      <c r="Y407" s="44" t="n">
        <f aca="false">IFERROR(IF($X407=0,0,$X407*IF($O407="",$N407,$O407)),0)</f>
        <v>0</v>
      </c>
      <c r="Z407" s="60" t="str">
        <f aca="false">IF($L407="","",IF($L407&lt;0.5,"Balística / Velocidade (&lt;50%)",IF($L407&lt;0.7,"Velocidade-Força (50–69%)",IF($L407&lt;0.8,"Força-Velocidade (70–79%)",IF($L407&lt;0.9,"Força Máxima (80–89%)","Força Máxima Alta (≥90%)")))))</f>
        <v/>
      </c>
      <c r="AA407" s="27"/>
      <c r="AB407" s="27"/>
    </row>
  </sheetData>
  <autoFilter ref="A7:AB407"/>
  <mergeCells count="20">
    <mergeCell ref="A1:AB1"/>
    <mergeCell ref="A2:AB2"/>
    <mergeCell ref="A3:AB3"/>
    <mergeCell ref="C4:F4"/>
    <mergeCell ref="H4:J4"/>
    <mergeCell ref="K4:M4"/>
    <mergeCell ref="N4:P4"/>
    <mergeCell ref="Q4:S4"/>
    <mergeCell ref="T4:V4"/>
    <mergeCell ref="W4:Y4"/>
    <mergeCell ref="C5:D5"/>
    <mergeCell ref="H5:J5"/>
    <mergeCell ref="K5:M5"/>
    <mergeCell ref="N5:P5"/>
    <mergeCell ref="Q5:S5"/>
    <mergeCell ref="T5:V5"/>
    <mergeCell ref="W5:Y5"/>
    <mergeCell ref="A6:AB6"/>
    <mergeCell ref="AD6:AG6"/>
    <mergeCell ref="AD22:AG27"/>
  </mergeCells>
  <conditionalFormatting sqref="T8:T407">
    <cfRule type="cellIs" priority="2" operator="equal" aboveAverage="0" equalAverage="0" bottom="0" percent="0" rank="0" text="" dxfId="11">
      <formula>"Acima do limite"</formula>
    </cfRule>
    <cfRule type="cellIs" priority="3" operator="equal" aboveAverage="0" equalAverage="0" bottom="0" percent="0" rank="0" text="" dxfId="10">
      <formula>"Dentro do limite"</formula>
    </cfRule>
  </conditionalFormatting>
  <dataValidations count="7">
    <dataValidation allowBlank="true" errorStyle="stop" operator="between" showDropDown="false" showErrorMessage="false" showInputMessage="false" sqref="C4" type="list">
      <formula1>Cadastro!$B$8:$B$47</formula1>
      <formula2>0</formula2>
    </dataValidation>
    <dataValidation allowBlank="true" errorStyle="stop" operator="between" showDropDown="false" showErrorMessage="false" showInputMessage="false" sqref="E8:E407" type="list">
      <formula1>Listas!$AN$5:$AN$45</formula1>
      <formula2>0</formula2>
    </dataValidation>
    <dataValidation allowBlank="true" errorStyle="stop" operator="between" showDropDown="false" showErrorMessage="false" showInputMessage="false" sqref="H8:H407" type="list">
      <formula1>Listas!$AK$5:$AK$16</formula1>
      <formula2>0</formula2>
    </dataValidation>
    <dataValidation allowBlank="true" errorStyle="stop" operator="between" showDropDown="false" showErrorMessage="false" showInputMessage="false" sqref="I8:I407" type="list">
      <formula1>Listas!$AJ$5:$AJ$16</formula1>
      <formula2>0</formula2>
    </dataValidation>
    <dataValidation allowBlank="true" errorStyle="stop" operator="between" showDropDown="false" showErrorMessage="false" showInputMessage="false" sqref="C8:C407" type="list">
      <formula1>Listas!$AL$5:$AL$16</formula1>
      <formula2>0</formula2>
    </dataValidation>
    <dataValidation allowBlank="true" errorStyle="stop" operator="between" showDropDown="false" showErrorMessage="false" showInputMessage="false" sqref="V8:V407" type="list">
      <formula1>Listas!$N$5:$N$16</formula1>
      <formula2>0</formula2>
    </dataValidation>
    <dataValidation allowBlank="true" errorStyle="stop" operator="between" showDropDown="false" showErrorMessage="false" showInputMessage="false" sqref="AB8:AB407" type="list">
      <formula1>'Força 1RM'!$Q$7:$Y$7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true"/>
  </sheetPr>
  <dimension ref="A1:Z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24"/>
    <col collapsed="false" customWidth="true" hidden="false" outlineLevel="0" max="15" min="15" style="0" width="3"/>
    <col collapsed="false" customWidth="true" hidden="false" outlineLevel="0" max="16" min="16" style="0" width="24"/>
    <col collapsed="false" customWidth="true" hidden="false" outlineLevel="0" max="18" min="17" style="0" width="14"/>
    <col collapsed="false" customWidth="true" hidden="false" outlineLevel="0" max="19" min="19" style="0" width="13"/>
    <col collapsed="false" customWidth="true" hidden="false" outlineLevel="0" max="20" min="20" style="0" width="14"/>
    <col collapsed="false" customWidth="true" hidden="false" outlineLevel="0" max="21" min="21" style="0" width="13"/>
    <col collapsed="false" customWidth="true" hidden="false" outlineLevel="0" max="22" min="22" style="0" width="15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13"/>
    <col collapsed="false" customWidth="true" hidden="false" outlineLevel="0" max="26" min="26" style="0" width="15"/>
  </cols>
  <sheetData>
    <row r="1" customFormat="false" ht="30" hidden="false" customHeight="true" outlineLevel="0" collapsed="false">
      <c r="A1" s="1" t="s">
        <v>1195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2" t="s">
        <v>1196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30" hidden="false" customHeight="true" outlineLevel="0" collapsed="false">
      <c r="A4" s="17" t="s">
        <v>1197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customFormat="false" ht="19.5" hidden="false" customHeight="true" outlineLevel="0" collapsed="false">
      <c r="P5" s="3" t="s">
        <v>1198</v>
      </c>
      <c r="Q5" s="3"/>
      <c r="R5" s="3"/>
      <c r="S5" s="3"/>
      <c r="T5" s="3"/>
      <c r="U5" s="3"/>
      <c r="V5" s="3"/>
      <c r="W5" s="3"/>
      <c r="X5" s="3"/>
      <c r="Y5" s="3"/>
    </row>
    <row r="7" customFormat="false" ht="31.5" hidden="false" customHeight="true" outlineLevel="0" collapsed="false">
      <c r="A7" s="25" t="s">
        <v>294</v>
      </c>
      <c r="B7" s="25" t="s">
        <v>922</v>
      </c>
      <c r="C7" s="25" t="s">
        <v>295</v>
      </c>
      <c r="D7" s="25" t="s">
        <v>416</v>
      </c>
      <c r="E7" s="25" t="s">
        <v>1199</v>
      </c>
      <c r="F7" s="25" t="s">
        <v>772</v>
      </c>
      <c r="G7" s="25" t="s">
        <v>770</v>
      </c>
      <c r="H7" s="25" t="s">
        <v>1200</v>
      </c>
      <c r="I7" s="25" t="s">
        <v>1201</v>
      </c>
      <c r="J7" s="25" t="s">
        <v>1202</v>
      </c>
      <c r="K7" s="25" t="s">
        <v>1203</v>
      </c>
      <c r="L7" s="25" t="s">
        <v>1204</v>
      </c>
      <c r="M7" s="25" t="s">
        <v>387</v>
      </c>
      <c r="N7" s="25" t="s">
        <v>162</v>
      </c>
      <c r="P7" s="25" t="s">
        <v>295</v>
      </c>
      <c r="Q7" s="25" t="s">
        <v>688</v>
      </c>
      <c r="R7" s="25" t="s">
        <v>695</v>
      </c>
      <c r="S7" s="25" t="s">
        <v>701</v>
      </c>
      <c r="T7" s="25" t="s">
        <v>758</v>
      </c>
      <c r="U7" s="25" t="s">
        <v>648</v>
      </c>
      <c r="V7" s="25" t="s">
        <v>644</v>
      </c>
      <c r="W7" s="25" t="s">
        <v>660</v>
      </c>
      <c r="X7" s="25" t="s">
        <v>953</v>
      </c>
      <c r="Y7" s="25" t="s">
        <v>620</v>
      </c>
    </row>
    <row r="8" customFormat="false" ht="15" hidden="false" customHeight="false" outlineLevel="0" collapsed="false">
      <c r="A8" s="29" t="n">
        <v>46037</v>
      </c>
      <c r="B8" s="33" t="n">
        <f aca="false">IF($A8="",0,INT(($A8-Macrociclo!$C$11)/7)+1)</f>
        <v>2</v>
      </c>
      <c r="C8" s="27" t="s">
        <v>164</v>
      </c>
      <c r="D8" s="27" t="s">
        <v>688</v>
      </c>
      <c r="E8" s="27" t="s">
        <v>1205</v>
      </c>
      <c r="F8" s="32" t="n">
        <v>140</v>
      </c>
      <c r="G8" s="28" t="n">
        <v>1</v>
      </c>
      <c r="H8" s="35" t="n">
        <f aca="false">IF(OR($F8="",$G8=""),"",ROUND($F8*(1+$G8/30),1))</f>
        <v>144.7</v>
      </c>
      <c r="I8" s="35" t="n">
        <f aca="false">IF(OR($F8="",$G8="",$G8&gt;36),"",ROUND($F8/(1.0278-0.0278*$G8),1))</f>
        <v>140</v>
      </c>
      <c r="J8" s="30" t="n">
        <f aca="false">IF($E8="Direto (1RM real)",$F8,IF(OR($H8="",$I8=""),"",ROUND(AVERAGE($H8,$I8),1)))</f>
        <v>140</v>
      </c>
      <c r="K8" s="35" t="n">
        <f aca="false">IF($C8="","",IFERROR(INDEX(Cadastro!$P$8:$P$47,MATCH($C8,Cadastro!$B$8:$B$47,0)),""))</f>
        <v>87.8</v>
      </c>
      <c r="L8" s="36" t="n">
        <f aca="false">IFERROR($J8/$K8,"")</f>
        <v>1.59453302961276</v>
      </c>
      <c r="M8" s="45"/>
      <c r="N8" s="27" t="s">
        <v>373</v>
      </c>
      <c r="P8" s="60" t="str">
        <f aca="false">IF(Cadastro!$B8="","",Cadastro!$B8)</f>
        <v>Rafael Monteiro Alves</v>
      </c>
      <c r="Q8" s="30" t="n">
        <f aca="false">IF($P8="",0,IFERROR(AVERAGEIFS($J$8:$J$407,$C$8:$C$407,$P8,$D$8:$D$407,Q$7,$A$8:$A$407,SUMPRODUCT(MAX(($C$8:$C$407=$P8)*($D$8:$D$407=Q$7)*$A$8:$A$407))),0))</f>
        <v>160</v>
      </c>
      <c r="R8" s="30" t="n">
        <f aca="false">IF($P8="",0,IFERROR(AVERAGEIFS($J$8:$J$407,$C$8:$C$407,$P8,$D$8:$D$407,R$7,$A$8:$A$407,SUMPRODUCT(MAX(($C$8:$C$407=$P8)*($D$8:$D$407=R$7)*$A$8:$A$407))),0))</f>
        <v>125</v>
      </c>
      <c r="S8" s="30" t="n">
        <f aca="false">IF($P8="",0,IFERROR(AVERAGEIFS($J$8:$J$407,$C$8:$C$407,$P8,$D$8:$D$407,S$7,$A$8:$A$407,SUMPRODUCT(MAX(($C$8:$C$407=$P8)*($D$8:$D$407=S$7)*$A$8:$A$407))),0))</f>
        <v>125</v>
      </c>
      <c r="T8" s="30" t="n">
        <f aca="false">IF($P8="",0,IFERROR(AVERAGEIFS($J$8:$J$407,$C$8:$C$407,$P8,$D$8:$D$407,T$7,$A$8:$A$407,SUMPRODUCT(MAX(($C$8:$C$407=$P8)*($D$8:$D$407=T$7)*$A$8:$A$407))),0))</f>
        <v>175</v>
      </c>
      <c r="U8" s="30" t="n">
        <f aca="false">IF($P8="",0,IFERROR(AVERAGEIFS($J$8:$J$407,$C$8:$C$407,$P8,$D$8:$D$407,U$7,$A$8:$A$407,SUMPRODUCT(MAX(($C$8:$C$407=$P8)*($D$8:$D$407=U$7)*$A$8:$A$407))),0))</f>
        <v>92.5</v>
      </c>
      <c r="V8" s="30" t="n">
        <f aca="false">IF($P8="",0,IFERROR(AVERAGEIFS($J$8:$J$407,$C$8:$C$407,$P8,$D$8:$D$407,V$7,$A$8:$A$407,SUMPRODUCT(MAX(($C$8:$C$407=$P8)*($D$8:$D$407=V$7)*$A$8:$A$407))),0))</f>
        <v>72.5</v>
      </c>
      <c r="W8" s="30" t="n">
        <f aca="false">IF($P8="",0,IFERROR(AVERAGEIFS($J$8:$J$407,$C$8:$C$407,$P8,$D$8:$D$407,W$7,$A$8:$A$407,SUMPRODUCT(MAX(($C$8:$C$407=$P8)*($D$8:$D$407=W$7)*$A$8:$A$407))),0))</f>
        <v>47.5</v>
      </c>
      <c r="X8" s="30" t="n">
        <f aca="false">IF($P8="",0,IFERROR(AVERAGEIFS($J$8:$J$407,$C$8:$C$407,$P8,$D$8:$D$407,X$7,$A$8:$A$407,SUMPRODUCT(MAX(($C$8:$C$407=$P8)*($D$8:$D$407=X$7)*$A$8:$A$407))),0))</f>
        <v>92.5</v>
      </c>
      <c r="Y8" s="30" t="n">
        <f aca="false">IF($P8="",0,IFERROR(AVERAGEIFS($J$8:$J$407,$C$8:$C$407,$P8,$D$8:$D$407,Y$7,$A$8:$A$407,SUMPRODUCT(MAX(($C$8:$C$407=$P8)*($D$8:$D$407=Y$7)*$A$8:$A$407))),0))</f>
        <v>117.5</v>
      </c>
    </row>
    <row r="9" customFormat="false" ht="15" hidden="false" customHeight="false" outlineLevel="0" collapsed="false">
      <c r="A9" s="29" t="n">
        <v>46037</v>
      </c>
      <c r="B9" s="33" t="n">
        <f aca="false">IF($A9="",0,INT(($A9-Macrociclo!$C$11)/7)+1)</f>
        <v>2</v>
      </c>
      <c r="C9" s="27" t="s">
        <v>164</v>
      </c>
      <c r="D9" s="27" t="s">
        <v>695</v>
      </c>
      <c r="E9" s="27" t="s">
        <v>1205</v>
      </c>
      <c r="F9" s="32" t="n">
        <v>127.5</v>
      </c>
      <c r="G9" s="28" t="n">
        <v>1</v>
      </c>
      <c r="H9" s="35" t="n">
        <f aca="false">IF(OR($F9="",$G9=""),"",ROUND($F9*(1+$G9/30),1))</f>
        <v>131.8</v>
      </c>
      <c r="I9" s="35" t="n">
        <f aca="false">IF(OR($F9="",$G9="",$G9&gt;36),"",ROUND($F9/(1.0278-0.0278*$G9),1))</f>
        <v>127.5</v>
      </c>
      <c r="J9" s="30" t="n">
        <f aca="false">IF($E9="Direto (1RM real)",$F9,IF(OR($H9="",$I9=""),"",ROUND(AVERAGE($H9,$I9),1)))</f>
        <v>127.5</v>
      </c>
      <c r="K9" s="35" t="n">
        <f aca="false">IF($C9="","",IFERROR(INDEX(Cadastro!$P$8:$P$47,MATCH($C9,Cadastro!$B$8:$B$47,0)),""))</f>
        <v>87.8</v>
      </c>
      <c r="L9" s="36" t="n">
        <f aca="false">IFERROR($J9/$K9,"")</f>
        <v>1.45216400911162</v>
      </c>
      <c r="M9" s="45"/>
      <c r="N9" s="27" t="s">
        <v>373</v>
      </c>
      <c r="P9" s="62" t="str">
        <f aca="false">IF(Cadastro!$B9="","",Cadastro!$B9)</f>
        <v>Diego Salgado Ferraz</v>
      </c>
      <c r="Q9" s="143" t="n">
        <f aca="false">IF($P9="",0,IFERROR(AVERAGEIFS($J$8:$J$407,$C$8:$C$407,$P9,$D$8:$D$407,Q$7,$A$8:$A$407,SUMPRODUCT(MAX(($C$8:$C$407=$P9)*($D$8:$D$407=Q$7)*$A$8:$A$407))),0))</f>
        <v>167.5</v>
      </c>
      <c r="R9" s="143" t="n">
        <f aca="false">IF($P9="",0,IFERROR(AVERAGEIFS($J$8:$J$407,$C$8:$C$407,$P9,$D$8:$D$407,R$7,$A$8:$A$407,SUMPRODUCT(MAX(($C$8:$C$407=$P9)*($D$8:$D$407=R$7)*$A$8:$A$407))),0))</f>
        <v>125</v>
      </c>
      <c r="S9" s="143" t="n">
        <f aca="false">IF($P9="",0,IFERROR(AVERAGEIFS($J$8:$J$407,$C$8:$C$407,$P9,$D$8:$D$407,S$7,$A$8:$A$407,SUMPRODUCT(MAX(($C$8:$C$407=$P9)*($D$8:$D$407=S$7)*$A$8:$A$407))),0))</f>
        <v>140</v>
      </c>
      <c r="T9" s="143" t="n">
        <f aca="false">IF($P9="",0,IFERROR(AVERAGEIFS($J$8:$J$407,$C$8:$C$407,$P9,$D$8:$D$407,T$7,$A$8:$A$407,SUMPRODUCT(MAX(($C$8:$C$407=$P9)*($D$8:$D$407=T$7)*$A$8:$A$407))),0))</f>
        <v>192.5</v>
      </c>
      <c r="U9" s="143" t="n">
        <f aca="false">IF($P9="",0,IFERROR(AVERAGEIFS($J$8:$J$407,$C$8:$C$407,$P9,$D$8:$D$407,U$7,$A$8:$A$407,SUMPRODUCT(MAX(($C$8:$C$407=$P9)*($D$8:$D$407=U$7)*$A$8:$A$407))),0))</f>
        <v>105</v>
      </c>
      <c r="V9" s="143" t="n">
        <f aca="false">IF($P9="",0,IFERROR(AVERAGEIFS($J$8:$J$407,$C$8:$C$407,$P9,$D$8:$D$407,V$7,$A$8:$A$407,SUMPRODUCT(MAX(($C$8:$C$407=$P9)*($D$8:$D$407=V$7)*$A$8:$A$407))),0))</f>
        <v>80</v>
      </c>
      <c r="W9" s="143" t="n">
        <f aca="false">IF($P9="",0,IFERROR(AVERAGEIFS($J$8:$J$407,$C$8:$C$407,$P9,$D$8:$D$407,W$7,$A$8:$A$407,SUMPRODUCT(MAX(($C$8:$C$407=$P9)*($D$8:$D$407=W$7)*$A$8:$A$407))),0))</f>
        <v>50</v>
      </c>
      <c r="X9" s="143" t="n">
        <f aca="false">IF($P9="",0,IFERROR(AVERAGEIFS($J$8:$J$407,$C$8:$C$407,$P9,$D$8:$D$407,X$7,$A$8:$A$407,SUMPRODUCT(MAX(($C$8:$C$407=$P9)*($D$8:$D$407=X$7)*$A$8:$A$407))),0))</f>
        <v>107.5</v>
      </c>
      <c r="Y9" s="143" t="n">
        <f aca="false">IF($P9="",0,IFERROR(AVERAGEIFS($J$8:$J$407,$C$8:$C$407,$P9,$D$8:$D$407,Y$7,$A$8:$A$407,SUMPRODUCT(MAX(($C$8:$C$407=$P9)*($D$8:$D$407=Y$7)*$A$8:$A$407))),0))</f>
        <v>140</v>
      </c>
    </row>
    <row r="10" customFormat="false" ht="15" hidden="false" customHeight="false" outlineLevel="0" collapsed="false">
      <c r="A10" s="29" t="n">
        <v>46037</v>
      </c>
      <c r="B10" s="33" t="n">
        <f aca="false">IF($A10="",0,INT(($A10-Macrociclo!$C$11)/7)+1)</f>
        <v>2</v>
      </c>
      <c r="C10" s="27" t="s">
        <v>164</v>
      </c>
      <c r="D10" s="27" t="s">
        <v>701</v>
      </c>
      <c r="E10" s="27" t="s">
        <v>1205</v>
      </c>
      <c r="F10" s="32" t="n">
        <v>127.5</v>
      </c>
      <c r="G10" s="28" t="n">
        <v>1</v>
      </c>
      <c r="H10" s="35" t="n">
        <f aca="false">IF(OR($F10="",$G10=""),"",ROUND($F10*(1+$G10/30),1))</f>
        <v>131.8</v>
      </c>
      <c r="I10" s="35" t="n">
        <f aca="false">IF(OR($F10="",$G10="",$G10&gt;36),"",ROUND($F10/(1.0278-0.0278*$G10),1))</f>
        <v>127.5</v>
      </c>
      <c r="J10" s="30" t="n">
        <f aca="false">IF($E10="Direto (1RM real)",$F10,IF(OR($H10="",$I10=""),"",ROUND(AVERAGE($H10,$I10),1)))</f>
        <v>127.5</v>
      </c>
      <c r="K10" s="35" t="n">
        <f aca="false">IF($C10="","",IFERROR(INDEX(Cadastro!$P$8:$P$47,MATCH($C10,Cadastro!$B$8:$B$47,0)),""))</f>
        <v>87.8</v>
      </c>
      <c r="L10" s="36" t="n">
        <f aca="false">IFERROR($J10/$K10,"")</f>
        <v>1.45216400911162</v>
      </c>
      <c r="M10" s="45"/>
      <c r="N10" s="27" t="s">
        <v>373</v>
      </c>
      <c r="P10" s="60" t="str">
        <f aca="false">IF(Cadastro!$B10="","",Cadastro!$B10)</f>
        <v>Lucas Prado Bittencourt</v>
      </c>
      <c r="Q10" s="30" t="n">
        <f aca="false">IF($P10="",0,IFERROR(AVERAGEIFS($J$8:$J$407,$C$8:$C$407,$P10,$D$8:$D$407,Q$7,$A$8:$A$407,SUMPRODUCT(MAX(($C$8:$C$407=$P10)*($D$8:$D$407=Q$7)*$A$8:$A$407))),0))</f>
        <v>160</v>
      </c>
      <c r="R10" s="30" t="n">
        <f aca="false">IF($P10="",0,IFERROR(AVERAGEIFS($J$8:$J$407,$C$8:$C$407,$P10,$D$8:$D$407,R$7,$A$8:$A$407,SUMPRODUCT(MAX(($C$8:$C$407=$P10)*($D$8:$D$407=R$7)*$A$8:$A$407))),0))</f>
        <v>127.5</v>
      </c>
      <c r="S10" s="30" t="n">
        <f aca="false">IF($P10="",0,IFERROR(AVERAGEIFS($J$8:$J$407,$C$8:$C$407,$P10,$D$8:$D$407,S$7,$A$8:$A$407,SUMPRODUCT(MAX(($C$8:$C$407=$P10)*($D$8:$D$407=S$7)*$A$8:$A$407))),0))</f>
        <v>135</v>
      </c>
      <c r="T10" s="30" t="n">
        <f aca="false">IF($P10="",0,IFERROR(AVERAGEIFS($J$8:$J$407,$C$8:$C$407,$P10,$D$8:$D$407,T$7,$A$8:$A$407,SUMPRODUCT(MAX(($C$8:$C$407=$P10)*($D$8:$D$407=T$7)*$A$8:$A$407))),0))</f>
        <v>200</v>
      </c>
      <c r="U10" s="30" t="n">
        <f aca="false">IF($P10="",0,IFERROR(AVERAGEIFS($J$8:$J$407,$C$8:$C$407,$P10,$D$8:$D$407,U$7,$A$8:$A$407,SUMPRODUCT(MAX(($C$8:$C$407=$P10)*($D$8:$D$407=U$7)*$A$8:$A$407))),0))</f>
        <v>97.5</v>
      </c>
      <c r="V10" s="30" t="n">
        <f aca="false">IF($P10="",0,IFERROR(AVERAGEIFS($J$8:$J$407,$C$8:$C$407,$P10,$D$8:$D$407,V$7,$A$8:$A$407,SUMPRODUCT(MAX(($C$8:$C$407=$P10)*($D$8:$D$407=V$7)*$A$8:$A$407))),0))</f>
        <v>77.5</v>
      </c>
      <c r="W10" s="30" t="n">
        <f aca="false">IF($P10="",0,IFERROR(AVERAGEIFS($J$8:$J$407,$C$8:$C$407,$P10,$D$8:$D$407,W$7,$A$8:$A$407,SUMPRODUCT(MAX(($C$8:$C$407=$P10)*($D$8:$D$407=W$7)*$A$8:$A$407))),0))</f>
        <v>55</v>
      </c>
      <c r="X10" s="30" t="n">
        <f aca="false">IF($P10="",0,IFERROR(AVERAGEIFS($J$8:$J$407,$C$8:$C$407,$P10,$D$8:$D$407,X$7,$A$8:$A$407,SUMPRODUCT(MAX(($C$8:$C$407=$P10)*($D$8:$D$407=X$7)*$A$8:$A$407))),0))</f>
        <v>105</v>
      </c>
      <c r="Y10" s="30" t="n">
        <f aca="false">IF($P10="",0,IFERROR(AVERAGEIFS($J$8:$J$407,$C$8:$C$407,$P10,$D$8:$D$407,Y$7,$A$8:$A$407,SUMPRODUCT(MAX(($C$8:$C$407=$P10)*($D$8:$D$407=Y$7)*$A$8:$A$407))),0))</f>
        <v>115</v>
      </c>
    </row>
    <row r="11" customFormat="false" ht="15" hidden="false" customHeight="false" outlineLevel="0" collapsed="false">
      <c r="A11" s="29" t="n">
        <v>46037</v>
      </c>
      <c r="B11" s="33" t="n">
        <f aca="false">IF($A11="",0,INT(($A11-Macrociclo!$C$11)/7)+1)</f>
        <v>2</v>
      </c>
      <c r="C11" s="27" t="s">
        <v>164</v>
      </c>
      <c r="D11" s="27" t="s">
        <v>758</v>
      </c>
      <c r="E11" s="27" t="s">
        <v>1205</v>
      </c>
      <c r="F11" s="32" t="n">
        <v>187.5</v>
      </c>
      <c r="G11" s="28" t="n">
        <v>1</v>
      </c>
      <c r="H11" s="35" t="n">
        <f aca="false">IF(OR($F11="",$G11=""),"",ROUND($F11*(1+$G11/30),1))</f>
        <v>193.8</v>
      </c>
      <c r="I11" s="35" t="n">
        <f aca="false">IF(OR($F11="",$G11="",$G11&gt;36),"",ROUND($F11/(1.0278-0.0278*$G11),1))</f>
        <v>187.5</v>
      </c>
      <c r="J11" s="30" t="n">
        <f aca="false">IF($E11="Direto (1RM real)",$F11,IF(OR($H11="",$I11=""),"",ROUND(AVERAGE($H11,$I11),1)))</f>
        <v>187.5</v>
      </c>
      <c r="K11" s="35" t="n">
        <f aca="false">IF($C11="","",IFERROR(INDEX(Cadastro!$P$8:$P$47,MATCH($C11,Cadastro!$B$8:$B$47,0)),""))</f>
        <v>87.8</v>
      </c>
      <c r="L11" s="36" t="n">
        <f aca="false">IFERROR($J11/$K11,"")</f>
        <v>2.13553530751708</v>
      </c>
      <c r="M11" s="45"/>
      <c r="N11" s="27" t="s">
        <v>373</v>
      </c>
      <c r="P11" s="62" t="str">
        <f aca="false">IF(Cadastro!$B11="","",Cadastro!$B11)</f>
        <v>Bruno Rezende Camargo</v>
      </c>
      <c r="Q11" s="143" t="n">
        <f aca="false">IF($P11="",0,IFERROR(AVERAGEIFS($J$8:$J$407,$C$8:$C$407,$P11,$D$8:$D$407,Q$7,$A$8:$A$407,SUMPRODUCT(MAX(($C$8:$C$407=$P11)*($D$8:$D$407=Q$7)*$A$8:$A$407))),0))</f>
        <v>160</v>
      </c>
      <c r="R11" s="143" t="n">
        <f aca="false">IF($P11="",0,IFERROR(AVERAGEIFS($J$8:$J$407,$C$8:$C$407,$P11,$D$8:$D$407,R$7,$A$8:$A$407,SUMPRODUCT(MAX(($C$8:$C$407=$P11)*($D$8:$D$407=R$7)*$A$8:$A$407))),0))</f>
        <v>127.5</v>
      </c>
      <c r="S11" s="143" t="n">
        <f aca="false">IF($P11="",0,IFERROR(AVERAGEIFS($J$8:$J$407,$C$8:$C$407,$P11,$D$8:$D$407,S$7,$A$8:$A$407,SUMPRODUCT(MAX(($C$8:$C$407=$P11)*($D$8:$D$407=S$7)*$A$8:$A$407))),0))</f>
        <v>125</v>
      </c>
      <c r="T11" s="143" t="n">
        <f aca="false">IF($P11="",0,IFERROR(AVERAGEIFS($J$8:$J$407,$C$8:$C$407,$P11,$D$8:$D$407,T$7,$A$8:$A$407,SUMPRODUCT(MAX(($C$8:$C$407=$P11)*($D$8:$D$407=T$7)*$A$8:$A$407))),0))</f>
        <v>175</v>
      </c>
      <c r="U11" s="143" t="n">
        <f aca="false">IF($P11="",0,IFERROR(AVERAGEIFS($J$8:$J$407,$C$8:$C$407,$P11,$D$8:$D$407,U$7,$A$8:$A$407,SUMPRODUCT(MAX(($C$8:$C$407=$P11)*($D$8:$D$407=U$7)*$A$8:$A$407))),0))</f>
        <v>92.5</v>
      </c>
      <c r="V11" s="143" t="n">
        <f aca="false">IF($P11="",0,IFERROR(AVERAGEIFS($J$8:$J$407,$C$8:$C$407,$P11,$D$8:$D$407,V$7,$A$8:$A$407,SUMPRODUCT(MAX(($C$8:$C$407=$P11)*($D$8:$D$407=V$7)*$A$8:$A$407))),0))</f>
        <v>75</v>
      </c>
      <c r="W11" s="143" t="n">
        <f aca="false">IF($P11="",0,IFERROR(AVERAGEIFS($J$8:$J$407,$C$8:$C$407,$P11,$D$8:$D$407,W$7,$A$8:$A$407,SUMPRODUCT(MAX(($C$8:$C$407=$P11)*($D$8:$D$407=W$7)*$A$8:$A$407))),0))</f>
        <v>50</v>
      </c>
      <c r="X11" s="143" t="n">
        <f aca="false">IF($P11="",0,IFERROR(AVERAGEIFS($J$8:$J$407,$C$8:$C$407,$P11,$D$8:$D$407,X$7,$A$8:$A$407,SUMPRODUCT(MAX(($C$8:$C$407=$P11)*($D$8:$D$407=X$7)*$A$8:$A$407))),0))</f>
        <v>95</v>
      </c>
      <c r="Y11" s="143" t="n">
        <f aca="false">IF($P11="",0,IFERROR(AVERAGEIFS($J$8:$J$407,$C$8:$C$407,$P11,$D$8:$D$407,Y$7,$A$8:$A$407,SUMPRODUCT(MAX(($C$8:$C$407=$P11)*($D$8:$D$407=Y$7)*$A$8:$A$407))),0))</f>
        <v>122.5</v>
      </c>
    </row>
    <row r="12" customFormat="false" ht="15" hidden="false" customHeight="false" outlineLevel="0" collapsed="false">
      <c r="A12" s="29" t="n">
        <v>46037</v>
      </c>
      <c r="B12" s="33" t="n">
        <f aca="false">IF($A12="",0,INT(($A12-Macrociclo!$C$11)/7)+1)</f>
        <v>2</v>
      </c>
      <c r="C12" s="27" t="s">
        <v>164</v>
      </c>
      <c r="D12" s="27" t="s">
        <v>648</v>
      </c>
      <c r="E12" s="27" t="s">
        <v>1205</v>
      </c>
      <c r="F12" s="32" t="n">
        <v>95</v>
      </c>
      <c r="G12" s="28" t="n">
        <v>1</v>
      </c>
      <c r="H12" s="35" t="n">
        <f aca="false">IF(OR($F12="",$G12=""),"",ROUND($F12*(1+$G12/30),1))</f>
        <v>98.2</v>
      </c>
      <c r="I12" s="35" t="n">
        <f aca="false">IF(OR($F12="",$G12="",$G12&gt;36),"",ROUND($F12/(1.0278-0.0278*$G12),1))</f>
        <v>95</v>
      </c>
      <c r="J12" s="30" t="n">
        <f aca="false">IF($E12="Direto (1RM real)",$F12,IF(OR($H12="",$I12=""),"",ROUND(AVERAGE($H12,$I12),1)))</f>
        <v>95</v>
      </c>
      <c r="K12" s="35" t="n">
        <f aca="false">IF($C12="","",IFERROR(INDEX(Cadastro!$P$8:$P$47,MATCH($C12,Cadastro!$B$8:$B$47,0)),""))</f>
        <v>87.8</v>
      </c>
      <c r="L12" s="36" t="n">
        <f aca="false">IFERROR($J12/$K12,"")</f>
        <v>1.08200455580866</v>
      </c>
      <c r="M12" s="45"/>
      <c r="N12" s="27" t="s">
        <v>373</v>
      </c>
      <c r="P12" s="60" t="str">
        <f aca="false">IF(Cadastro!$B12="","",Cadastro!$B12)</f>
        <v>Thiago Nogueira Vasques</v>
      </c>
      <c r="Q12" s="30" t="n">
        <f aca="false">IF($P12="",0,IFERROR(AVERAGEIFS($J$8:$J$407,$C$8:$C$407,$P12,$D$8:$D$407,Q$7,$A$8:$A$407,SUMPRODUCT(MAX(($C$8:$C$407=$P12)*($D$8:$D$407=Q$7)*$A$8:$A$407))),0))</f>
        <v>180</v>
      </c>
      <c r="R12" s="30" t="n">
        <f aca="false">IF($P12="",0,IFERROR(AVERAGEIFS($J$8:$J$407,$C$8:$C$407,$P12,$D$8:$D$407,R$7,$A$8:$A$407,SUMPRODUCT(MAX(($C$8:$C$407=$P12)*($D$8:$D$407=R$7)*$A$8:$A$407))),0))</f>
        <v>142.5</v>
      </c>
      <c r="S12" s="30" t="n">
        <f aca="false">IF($P12="",0,IFERROR(AVERAGEIFS($J$8:$J$407,$C$8:$C$407,$P12,$D$8:$D$407,S$7,$A$8:$A$407,SUMPRODUCT(MAX(($C$8:$C$407=$P12)*($D$8:$D$407=S$7)*$A$8:$A$407))),0))</f>
        <v>155</v>
      </c>
      <c r="T12" s="30" t="n">
        <f aca="false">IF($P12="",0,IFERROR(AVERAGEIFS($J$8:$J$407,$C$8:$C$407,$P12,$D$8:$D$407,T$7,$A$8:$A$407,SUMPRODUCT(MAX(($C$8:$C$407=$P12)*($D$8:$D$407=T$7)*$A$8:$A$407))),0))</f>
        <v>215</v>
      </c>
      <c r="U12" s="30" t="n">
        <f aca="false">IF($P12="",0,IFERROR(AVERAGEIFS($J$8:$J$407,$C$8:$C$407,$P12,$D$8:$D$407,U$7,$A$8:$A$407,SUMPRODUCT(MAX(($C$8:$C$407=$P12)*($D$8:$D$407=U$7)*$A$8:$A$407))),0))</f>
        <v>107.5</v>
      </c>
      <c r="V12" s="30" t="n">
        <f aca="false">IF($P12="",0,IFERROR(AVERAGEIFS($J$8:$J$407,$C$8:$C$407,$P12,$D$8:$D$407,V$7,$A$8:$A$407,SUMPRODUCT(MAX(($C$8:$C$407=$P12)*($D$8:$D$407=V$7)*$A$8:$A$407))),0))</f>
        <v>82.5</v>
      </c>
      <c r="W12" s="30" t="n">
        <f aca="false">IF($P12="",0,IFERROR(AVERAGEIFS($J$8:$J$407,$C$8:$C$407,$P12,$D$8:$D$407,W$7,$A$8:$A$407,SUMPRODUCT(MAX(($C$8:$C$407=$P12)*($D$8:$D$407=W$7)*$A$8:$A$407))),0))</f>
        <v>55</v>
      </c>
      <c r="X12" s="30" t="n">
        <f aca="false">IF($P12="",0,IFERROR(AVERAGEIFS($J$8:$J$407,$C$8:$C$407,$P12,$D$8:$D$407,X$7,$A$8:$A$407,SUMPRODUCT(MAX(($C$8:$C$407=$P12)*($D$8:$D$407=X$7)*$A$8:$A$407))),0))</f>
        <v>115</v>
      </c>
      <c r="Y12" s="30" t="n">
        <f aca="false">IF($P12="",0,IFERROR(AVERAGEIFS($J$8:$J$407,$C$8:$C$407,$P12,$D$8:$D$407,Y$7,$A$8:$A$407,SUMPRODUCT(MAX(($C$8:$C$407=$P12)*($D$8:$D$407=Y$7)*$A$8:$A$407))),0))</f>
        <v>135</v>
      </c>
    </row>
    <row r="13" customFormat="false" ht="15" hidden="false" customHeight="false" outlineLevel="0" collapsed="false">
      <c r="A13" s="29" t="n">
        <v>46037</v>
      </c>
      <c r="B13" s="33" t="n">
        <f aca="false">IF($A13="",0,INT(($A13-Macrociclo!$C$11)/7)+1)</f>
        <v>2</v>
      </c>
      <c r="C13" s="27" t="s">
        <v>164</v>
      </c>
      <c r="D13" s="27" t="s">
        <v>644</v>
      </c>
      <c r="E13" s="27" t="s">
        <v>1205</v>
      </c>
      <c r="F13" s="32" t="n">
        <v>72.5</v>
      </c>
      <c r="G13" s="28" t="n">
        <v>1</v>
      </c>
      <c r="H13" s="35" t="n">
        <f aca="false">IF(OR($F13="",$G13=""),"",ROUND($F13*(1+$G13/30),1))</f>
        <v>74.9</v>
      </c>
      <c r="I13" s="35" t="n">
        <f aca="false">IF(OR($F13="",$G13="",$G13&gt;36),"",ROUND($F13/(1.0278-0.0278*$G13),1))</f>
        <v>72.5</v>
      </c>
      <c r="J13" s="30" t="n">
        <f aca="false">IF($E13="Direto (1RM real)",$F13,IF(OR($H13="",$I13=""),"",ROUND(AVERAGE($H13,$I13),1)))</f>
        <v>72.5</v>
      </c>
      <c r="K13" s="35" t="n">
        <f aca="false">IF($C13="","",IFERROR(INDEX(Cadastro!$P$8:$P$47,MATCH($C13,Cadastro!$B$8:$B$47,0)),""))</f>
        <v>87.8</v>
      </c>
      <c r="L13" s="36" t="n">
        <f aca="false">IFERROR($J13/$K13,"")</f>
        <v>0.825740318906606</v>
      </c>
      <c r="M13" s="45"/>
      <c r="N13" s="27" t="s">
        <v>373</v>
      </c>
      <c r="P13" s="62" t="str">
        <f aca="false">IF(Cadastro!$B13="","",Cadastro!$B13)</f>
        <v>Matheus Caldeira Lins</v>
      </c>
      <c r="Q13" s="143" t="n">
        <f aca="false">IF($P13="",0,IFERROR(AVERAGEIFS($J$8:$J$407,$C$8:$C$407,$P13,$D$8:$D$407,Q$7,$A$8:$A$407,SUMPRODUCT(MAX(($C$8:$C$407=$P13)*($D$8:$D$407=Q$7)*$A$8:$A$407))),0))</f>
        <v>162.5</v>
      </c>
      <c r="R13" s="143" t="n">
        <f aca="false">IF($P13="",0,IFERROR(AVERAGEIFS($J$8:$J$407,$C$8:$C$407,$P13,$D$8:$D$407,R$7,$A$8:$A$407,SUMPRODUCT(MAX(($C$8:$C$407=$P13)*($D$8:$D$407=R$7)*$A$8:$A$407))),0))</f>
        <v>132.5</v>
      </c>
      <c r="S13" s="143" t="n">
        <f aca="false">IF($P13="",0,IFERROR(AVERAGEIFS($J$8:$J$407,$C$8:$C$407,$P13,$D$8:$D$407,S$7,$A$8:$A$407,SUMPRODUCT(MAX(($C$8:$C$407=$P13)*($D$8:$D$407=S$7)*$A$8:$A$407))),0))</f>
        <v>135</v>
      </c>
      <c r="T13" s="143" t="n">
        <f aca="false">IF($P13="",0,IFERROR(AVERAGEIFS($J$8:$J$407,$C$8:$C$407,$P13,$D$8:$D$407,T$7,$A$8:$A$407,SUMPRODUCT(MAX(($C$8:$C$407=$P13)*($D$8:$D$407=T$7)*$A$8:$A$407))),0))</f>
        <v>190</v>
      </c>
      <c r="U13" s="143" t="n">
        <f aca="false">IF($P13="",0,IFERROR(AVERAGEIFS($J$8:$J$407,$C$8:$C$407,$P13,$D$8:$D$407,U$7,$A$8:$A$407,SUMPRODUCT(MAX(($C$8:$C$407=$P13)*($D$8:$D$407=U$7)*$A$8:$A$407))),0))</f>
        <v>107.5</v>
      </c>
      <c r="V13" s="143" t="n">
        <f aca="false">IF($P13="",0,IFERROR(AVERAGEIFS($J$8:$J$407,$C$8:$C$407,$P13,$D$8:$D$407,V$7,$A$8:$A$407,SUMPRODUCT(MAX(($C$8:$C$407=$P13)*($D$8:$D$407=V$7)*$A$8:$A$407))),0))</f>
        <v>80</v>
      </c>
      <c r="W13" s="143" t="n">
        <f aca="false">IF($P13="",0,IFERROR(AVERAGEIFS($J$8:$J$407,$C$8:$C$407,$P13,$D$8:$D$407,W$7,$A$8:$A$407,SUMPRODUCT(MAX(($C$8:$C$407=$P13)*($D$8:$D$407=W$7)*$A$8:$A$407))),0))</f>
        <v>55</v>
      </c>
      <c r="X13" s="143" t="n">
        <f aca="false">IF($P13="",0,IFERROR(AVERAGEIFS($J$8:$J$407,$C$8:$C$407,$P13,$D$8:$D$407,X$7,$A$8:$A$407,SUMPRODUCT(MAX(($C$8:$C$407=$P13)*($D$8:$D$407=X$7)*$A$8:$A$407))),0))</f>
        <v>105</v>
      </c>
      <c r="Y13" s="143" t="n">
        <f aca="false">IF($P13="",0,IFERROR(AVERAGEIFS($J$8:$J$407,$C$8:$C$407,$P13,$D$8:$D$407,Y$7,$A$8:$A$407,SUMPRODUCT(MAX(($C$8:$C$407=$P13)*($D$8:$D$407=Y$7)*$A$8:$A$407))),0))</f>
        <v>122.5</v>
      </c>
    </row>
    <row r="14" customFormat="false" ht="15" hidden="false" customHeight="false" outlineLevel="0" collapsed="false">
      <c r="A14" s="29" t="n">
        <v>46037</v>
      </c>
      <c r="B14" s="33" t="n">
        <f aca="false">IF($A14="",0,INT(($A14-Macrociclo!$C$11)/7)+1)</f>
        <v>2</v>
      </c>
      <c r="C14" s="27" t="s">
        <v>164</v>
      </c>
      <c r="D14" s="27" t="s">
        <v>660</v>
      </c>
      <c r="E14" s="27" t="s">
        <v>1205</v>
      </c>
      <c r="F14" s="32" t="n">
        <v>52.5</v>
      </c>
      <c r="G14" s="28" t="n">
        <v>1</v>
      </c>
      <c r="H14" s="35" t="n">
        <f aca="false">IF(OR($F14="",$G14=""),"",ROUND($F14*(1+$G14/30),1))</f>
        <v>54.3</v>
      </c>
      <c r="I14" s="35" t="n">
        <f aca="false">IF(OR($F14="",$G14="",$G14&gt;36),"",ROUND($F14/(1.0278-0.0278*$G14),1))</f>
        <v>52.5</v>
      </c>
      <c r="J14" s="30" t="n">
        <f aca="false">IF($E14="Direto (1RM real)",$F14,IF(OR($H14="",$I14=""),"",ROUND(AVERAGE($H14,$I14),1)))</f>
        <v>52.5</v>
      </c>
      <c r="K14" s="35" t="n">
        <f aca="false">IF($C14="","",IFERROR(INDEX(Cadastro!$P$8:$P$47,MATCH($C14,Cadastro!$B$8:$B$47,0)),""))</f>
        <v>87.8</v>
      </c>
      <c r="L14" s="36" t="n">
        <f aca="false">IFERROR($J14/$K14,"")</f>
        <v>0.597949886104784</v>
      </c>
      <c r="M14" s="45"/>
      <c r="N14" s="27" t="s">
        <v>373</v>
      </c>
      <c r="P14" s="60" t="str">
        <f aca="false">IF(Cadastro!$B14="","",Cadastro!$B14)</f>
        <v>Felipe Andrade Rocha</v>
      </c>
      <c r="Q14" s="30" t="n">
        <f aca="false">IF($P14="",0,IFERROR(AVERAGEIFS($J$8:$J$407,$C$8:$C$407,$P14,$D$8:$D$407,Q$7,$A$8:$A$407,SUMPRODUCT(MAX(($C$8:$C$407=$P14)*($D$8:$D$407=Q$7)*$A$8:$A$407))),0))</f>
        <v>145</v>
      </c>
      <c r="R14" s="30" t="n">
        <f aca="false">IF($P14="",0,IFERROR(AVERAGEIFS($J$8:$J$407,$C$8:$C$407,$P14,$D$8:$D$407,R$7,$A$8:$A$407,SUMPRODUCT(MAX(($C$8:$C$407=$P14)*($D$8:$D$407=R$7)*$A$8:$A$407))),0))</f>
        <v>105</v>
      </c>
      <c r="S14" s="30" t="n">
        <f aca="false">IF($P14="",0,IFERROR(AVERAGEIFS($J$8:$J$407,$C$8:$C$407,$P14,$D$8:$D$407,S$7,$A$8:$A$407,SUMPRODUCT(MAX(($C$8:$C$407=$P14)*($D$8:$D$407=S$7)*$A$8:$A$407))),0))</f>
        <v>115</v>
      </c>
      <c r="T14" s="30" t="n">
        <f aca="false">IF($P14="",0,IFERROR(AVERAGEIFS($J$8:$J$407,$C$8:$C$407,$P14,$D$8:$D$407,T$7,$A$8:$A$407,SUMPRODUCT(MAX(($C$8:$C$407=$P14)*($D$8:$D$407=T$7)*$A$8:$A$407))),0))</f>
        <v>160</v>
      </c>
      <c r="U14" s="30" t="n">
        <f aca="false">IF($P14="",0,IFERROR(AVERAGEIFS($J$8:$J$407,$C$8:$C$407,$P14,$D$8:$D$407,U$7,$A$8:$A$407,SUMPRODUCT(MAX(($C$8:$C$407=$P14)*($D$8:$D$407=U$7)*$A$8:$A$407))),0))</f>
        <v>82.5</v>
      </c>
      <c r="V14" s="30" t="n">
        <f aca="false">IF($P14="",0,IFERROR(AVERAGEIFS($J$8:$J$407,$C$8:$C$407,$P14,$D$8:$D$407,V$7,$A$8:$A$407,SUMPRODUCT(MAX(($C$8:$C$407=$P14)*($D$8:$D$407=V$7)*$A$8:$A$407))),0))</f>
        <v>60</v>
      </c>
      <c r="W14" s="30" t="n">
        <f aca="false">IF($P14="",0,IFERROR(AVERAGEIFS($J$8:$J$407,$C$8:$C$407,$P14,$D$8:$D$407,W$7,$A$8:$A$407,SUMPRODUCT(MAX(($C$8:$C$407=$P14)*($D$8:$D$407=W$7)*$A$8:$A$407))),0))</f>
        <v>47.5</v>
      </c>
      <c r="X14" s="30" t="n">
        <f aca="false">IF($P14="",0,IFERROR(AVERAGEIFS($J$8:$J$407,$C$8:$C$407,$P14,$D$8:$D$407,X$7,$A$8:$A$407,SUMPRODUCT(MAX(($C$8:$C$407=$P14)*($D$8:$D$407=X$7)*$A$8:$A$407))),0))</f>
        <v>87.5</v>
      </c>
      <c r="Y14" s="30" t="n">
        <f aca="false">IF($P14="",0,IFERROR(AVERAGEIFS($J$8:$J$407,$C$8:$C$407,$P14,$D$8:$D$407,Y$7,$A$8:$A$407,SUMPRODUCT(MAX(($C$8:$C$407=$P14)*($D$8:$D$407=Y$7)*$A$8:$A$407))),0))</f>
        <v>110</v>
      </c>
    </row>
    <row r="15" customFormat="false" ht="15" hidden="false" customHeight="false" outlineLevel="0" collapsed="false">
      <c r="A15" s="29" t="n">
        <v>46037</v>
      </c>
      <c r="B15" s="33" t="n">
        <f aca="false">IF($A15="",0,INT(($A15-Macrociclo!$C$11)/7)+1)</f>
        <v>2</v>
      </c>
      <c r="C15" s="27" t="s">
        <v>164</v>
      </c>
      <c r="D15" s="27" t="s">
        <v>953</v>
      </c>
      <c r="E15" s="27" t="s">
        <v>1205</v>
      </c>
      <c r="F15" s="32" t="n">
        <v>95</v>
      </c>
      <c r="G15" s="28" t="n">
        <v>1</v>
      </c>
      <c r="H15" s="35" t="n">
        <f aca="false">IF(OR($F15="",$G15=""),"",ROUND($F15*(1+$G15/30),1))</f>
        <v>98.2</v>
      </c>
      <c r="I15" s="35" t="n">
        <f aca="false">IF(OR($F15="",$G15="",$G15&gt;36),"",ROUND($F15/(1.0278-0.0278*$G15),1))</f>
        <v>95</v>
      </c>
      <c r="J15" s="30" t="n">
        <f aca="false">IF($E15="Direto (1RM real)",$F15,IF(OR($H15="",$I15=""),"",ROUND(AVERAGE($H15,$I15),1)))</f>
        <v>95</v>
      </c>
      <c r="K15" s="35" t="n">
        <f aca="false">IF($C15="","",IFERROR(INDEX(Cadastro!$P$8:$P$47,MATCH($C15,Cadastro!$B$8:$B$47,0)),""))</f>
        <v>87.8</v>
      </c>
      <c r="L15" s="36" t="n">
        <f aca="false">IFERROR($J15/$K15,"")</f>
        <v>1.08200455580866</v>
      </c>
      <c r="M15" s="45"/>
      <c r="N15" s="27" t="s">
        <v>373</v>
      </c>
      <c r="P15" s="62" t="str">
        <f aca="false">IF(Cadastro!$B15="","",Cadastro!$B15)</f>
        <v>Gustavo Peixoto Maia</v>
      </c>
      <c r="Q15" s="143" t="n">
        <f aca="false">IF($P15="",0,IFERROR(AVERAGEIFS($J$8:$J$407,$C$8:$C$407,$P15,$D$8:$D$407,Q$7,$A$8:$A$407,SUMPRODUCT(MAX(($C$8:$C$407=$P15)*($D$8:$D$407=Q$7)*$A$8:$A$407))),0))</f>
        <v>157.5</v>
      </c>
      <c r="R15" s="143" t="n">
        <f aca="false">IF($P15="",0,IFERROR(AVERAGEIFS($J$8:$J$407,$C$8:$C$407,$P15,$D$8:$D$407,R$7,$A$8:$A$407,SUMPRODUCT(MAX(($C$8:$C$407=$P15)*($D$8:$D$407=R$7)*$A$8:$A$407))),0))</f>
        <v>137.5</v>
      </c>
      <c r="S15" s="143" t="n">
        <f aca="false">IF($P15="",0,IFERROR(AVERAGEIFS($J$8:$J$407,$C$8:$C$407,$P15,$D$8:$D$407,S$7,$A$8:$A$407,SUMPRODUCT(MAX(($C$8:$C$407=$P15)*($D$8:$D$407=S$7)*$A$8:$A$407))),0))</f>
        <v>127.5</v>
      </c>
      <c r="T15" s="143" t="n">
        <f aca="false">IF($P15="",0,IFERROR(AVERAGEIFS($J$8:$J$407,$C$8:$C$407,$P15,$D$8:$D$407,T$7,$A$8:$A$407,SUMPRODUCT(MAX(($C$8:$C$407=$P15)*($D$8:$D$407=T$7)*$A$8:$A$407))),0))</f>
        <v>182.5</v>
      </c>
      <c r="U15" s="143" t="n">
        <f aca="false">IF($P15="",0,IFERROR(AVERAGEIFS($J$8:$J$407,$C$8:$C$407,$P15,$D$8:$D$407,U$7,$A$8:$A$407,SUMPRODUCT(MAX(($C$8:$C$407=$P15)*($D$8:$D$407=U$7)*$A$8:$A$407))),0))</f>
        <v>95</v>
      </c>
      <c r="V15" s="143" t="n">
        <f aca="false">IF($P15="",0,IFERROR(AVERAGEIFS($J$8:$J$407,$C$8:$C$407,$P15,$D$8:$D$407,V$7,$A$8:$A$407,SUMPRODUCT(MAX(($C$8:$C$407=$P15)*($D$8:$D$407=V$7)*$A$8:$A$407))),0))</f>
        <v>75</v>
      </c>
      <c r="W15" s="143" t="n">
        <f aca="false">IF($P15="",0,IFERROR(AVERAGEIFS($J$8:$J$407,$C$8:$C$407,$P15,$D$8:$D$407,W$7,$A$8:$A$407,SUMPRODUCT(MAX(($C$8:$C$407=$P15)*($D$8:$D$407=W$7)*$A$8:$A$407))),0))</f>
        <v>50</v>
      </c>
      <c r="X15" s="143" t="n">
        <f aca="false">IF($P15="",0,IFERROR(AVERAGEIFS($J$8:$J$407,$C$8:$C$407,$P15,$D$8:$D$407,X$7,$A$8:$A$407,SUMPRODUCT(MAX(($C$8:$C$407=$P15)*($D$8:$D$407=X$7)*$A$8:$A$407))),0))</f>
        <v>97.5</v>
      </c>
      <c r="Y15" s="143" t="n">
        <f aca="false">IF($P15="",0,IFERROR(AVERAGEIFS($J$8:$J$407,$C$8:$C$407,$P15,$D$8:$D$407,Y$7,$A$8:$A$407,SUMPRODUCT(MAX(($C$8:$C$407=$P15)*($D$8:$D$407=Y$7)*$A$8:$A$407))),0))</f>
        <v>122.5</v>
      </c>
    </row>
    <row r="16" customFormat="false" ht="15" hidden="false" customHeight="false" outlineLevel="0" collapsed="false">
      <c r="A16" s="29" t="n">
        <v>46037</v>
      </c>
      <c r="B16" s="33" t="n">
        <f aca="false">IF($A16="",0,INT(($A16-Macrociclo!$C$11)/7)+1)</f>
        <v>2</v>
      </c>
      <c r="C16" s="27" t="s">
        <v>164</v>
      </c>
      <c r="D16" s="27" t="s">
        <v>620</v>
      </c>
      <c r="E16" s="27" t="s">
        <v>1205</v>
      </c>
      <c r="F16" s="32" t="n">
        <v>115</v>
      </c>
      <c r="G16" s="28" t="n">
        <v>1</v>
      </c>
      <c r="H16" s="35" t="n">
        <f aca="false">IF(OR($F16="",$G16=""),"",ROUND($F16*(1+$G16/30),1))</f>
        <v>118.8</v>
      </c>
      <c r="I16" s="35" t="n">
        <f aca="false">IF(OR($F16="",$G16="",$G16&gt;36),"",ROUND($F16/(1.0278-0.0278*$G16),1))</f>
        <v>115</v>
      </c>
      <c r="J16" s="30" t="n">
        <f aca="false">IF($E16="Direto (1RM real)",$F16,IF(OR($H16="",$I16=""),"",ROUND(AVERAGE($H16,$I16),1)))</f>
        <v>115</v>
      </c>
      <c r="K16" s="35" t="n">
        <f aca="false">IF($C16="","",IFERROR(INDEX(Cadastro!$P$8:$P$47,MATCH($C16,Cadastro!$B$8:$B$47,0)),""))</f>
        <v>87.8</v>
      </c>
      <c r="L16" s="36" t="n">
        <f aca="false">IFERROR($J16/$K16,"")</f>
        <v>1.30979498861048</v>
      </c>
      <c r="M16" s="45"/>
      <c r="N16" s="27" t="s">
        <v>373</v>
      </c>
      <c r="P16" s="60" t="str">
        <f aca="false">IF(Cadastro!$B16="","",Cadastro!$B16)</f>
        <v>Vinícius Barreto Duarte</v>
      </c>
      <c r="Q16" s="30" t="n">
        <f aca="false">IF($P16="",0,IFERROR(AVERAGEIFS($J$8:$J$407,$C$8:$C$407,$P16,$D$8:$D$407,Q$7,$A$8:$A$407,SUMPRODUCT(MAX(($C$8:$C$407=$P16)*($D$8:$D$407=Q$7)*$A$8:$A$407))),0))</f>
        <v>162.5</v>
      </c>
      <c r="R16" s="30" t="n">
        <f aca="false">IF($P16="",0,IFERROR(AVERAGEIFS($J$8:$J$407,$C$8:$C$407,$P16,$D$8:$D$407,R$7,$A$8:$A$407,SUMPRODUCT(MAX(($C$8:$C$407=$P16)*($D$8:$D$407=R$7)*$A$8:$A$407))),0))</f>
        <v>115</v>
      </c>
      <c r="S16" s="30" t="n">
        <f aca="false">IF($P16="",0,IFERROR(AVERAGEIFS($J$8:$J$407,$C$8:$C$407,$P16,$D$8:$D$407,S$7,$A$8:$A$407,SUMPRODUCT(MAX(($C$8:$C$407=$P16)*($D$8:$D$407=S$7)*$A$8:$A$407))),0))</f>
        <v>130</v>
      </c>
      <c r="T16" s="30" t="n">
        <f aca="false">IF($P16="",0,IFERROR(AVERAGEIFS($J$8:$J$407,$C$8:$C$407,$P16,$D$8:$D$407,T$7,$A$8:$A$407,SUMPRODUCT(MAX(($C$8:$C$407=$P16)*($D$8:$D$407=T$7)*$A$8:$A$407))),0))</f>
        <v>170</v>
      </c>
      <c r="U16" s="30" t="n">
        <f aca="false">IF($P16="",0,IFERROR(AVERAGEIFS($J$8:$J$407,$C$8:$C$407,$P16,$D$8:$D$407,U$7,$A$8:$A$407,SUMPRODUCT(MAX(($C$8:$C$407=$P16)*($D$8:$D$407=U$7)*$A$8:$A$407))),0))</f>
        <v>87.5</v>
      </c>
      <c r="V16" s="30" t="n">
        <f aca="false">IF($P16="",0,IFERROR(AVERAGEIFS($J$8:$J$407,$C$8:$C$407,$P16,$D$8:$D$407,V$7,$A$8:$A$407,SUMPRODUCT(MAX(($C$8:$C$407=$P16)*($D$8:$D$407=V$7)*$A$8:$A$407))),0))</f>
        <v>67.5</v>
      </c>
      <c r="W16" s="30" t="n">
        <f aca="false">IF($P16="",0,IFERROR(AVERAGEIFS($J$8:$J$407,$C$8:$C$407,$P16,$D$8:$D$407,W$7,$A$8:$A$407,SUMPRODUCT(MAX(($C$8:$C$407=$P16)*($D$8:$D$407=W$7)*$A$8:$A$407))),0))</f>
        <v>47.5</v>
      </c>
      <c r="X16" s="30" t="n">
        <f aca="false">IF($P16="",0,IFERROR(AVERAGEIFS($J$8:$J$407,$C$8:$C$407,$P16,$D$8:$D$407,X$7,$A$8:$A$407,SUMPRODUCT(MAX(($C$8:$C$407=$P16)*($D$8:$D$407=X$7)*$A$8:$A$407))),0))</f>
        <v>95</v>
      </c>
      <c r="Y16" s="30" t="n">
        <f aca="false">IF($P16="",0,IFERROR(AVERAGEIFS($J$8:$J$407,$C$8:$C$407,$P16,$D$8:$D$407,Y$7,$A$8:$A$407,SUMPRODUCT(MAX(($C$8:$C$407=$P16)*($D$8:$D$407=Y$7)*$A$8:$A$407))),0))</f>
        <v>122.5</v>
      </c>
    </row>
    <row r="17" customFormat="false" ht="15" hidden="false" customHeight="false" outlineLevel="0" collapsed="false">
      <c r="A17" s="29" t="n">
        <v>46037</v>
      </c>
      <c r="B17" s="33" t="n">
        <f aca="false">IF($A17="",0,INT(($A17-Macrociclo!$C$11)/7)+1)</f>
        <v>2</v>
      </c>
      <c r="C17" s="27" t="s">
        <v>192</v>
      </c>
      <c r="D17" s="27" t="s">
        <v>688</v>
      </c>
      <c r="E17" s="27" t="s">
        <v>1205</v>
      </c>
      <c r="F17" s="32" t="n">
        <v>155</v>
      </c>
      <c r="G17" s="28" t="n">
        <v>1</v>
      </c>
      <c r="H17" s="35" t="n">
        <f aca="false">IF(OR($F17="",$G17=""),"",ROUND($F17*(1+$G17/30),1))</f>
        <v>160.2</v>
      </c>
      <c r="I17" s="35" t="n">
        <f aca="false">IF(OR($F17="",$G17="",$G17&gt;36),"",ROUND($F17/(1.0278-0.0278*$G17),1))</f>
        <v>155</v>
      </c>
      <c r="J17" s="30" t="n">
        <f aca="false">IF($E17="Direto (1RM real)",$F17,IF(OR($H17="",$I17=""),"",ROUND(AVERAGE($H17,$I17),1)))</f>
        <v>155</v>
      </c>
      <c r="K17" s="35" t="n">
        <f aca="false">IF($C17="","",IFERROR(INDEX(Cadastro!$P$8:$P$47,MATCH($C17,Cadastro!$B$8:$B$47,0)),""))</f>
        <v>94.2</v>
      </c>
      <c r="L17" s="36" t="n">
        <f aca="false">IFERROR($J17/$K17,"")</f>
        <v>1.64543524416136</v>
      </c>
      <c r="M17" s="45"/>
      <c r="N17" s="27" t="s">
        <v>373</v>
      </c>
      <c r="P17" s="62" t="str">
        <f aca="false">IF(Cadastro!$B17="","",Cadastro!$B17)</f>
        <v>André Luiz Sampaio</v>
      </c>
      <c r="Q17" s="143" t="n">
        <f aca="false">IF($P17="",0,IFERROR(AVERAGEIFS($J$8:$J$407,$C$8:$C$407,$P17,$D$8:$D$407,Q$7,$A$8:$A$407,SUMPRODUCT(MAX(($C$8:$C$407=$P17)*($D$8:$D$407=Q$7)*$A$8:$A$407))),0))</f>
        <v>175</v>
      </c>
      <c r="R17" s="143" t="n">
        <f aca="false">IF($P17="",0,IFERROR(AVERAGEIFS($J$8:$J$407,$C$8:$C$407,$P17,$D$8:$D$407,R$7,$A$8:$A$407,SUMPRODUCT(MAX(($C$8:$C$407=$P17)*($D$8:$D$407=R$7)*$A$8:$A$407))),0))</f>
        <v>142.5</v>
      </c>
      <c r="S17" s="143" t="n">
        <f aca="false">IF($P17="",0,IFERROR(AVERAGEIFS($J$8:$J$407,$C$8:$C$407,$P17,$D$8:$D$407,S$7,$A$8:$A$407,SUMPRODUCT(MAX(($C$8:$C$407=$P17)*($D$8:$D$407=S$7)*$A$8:$A$407))),0))</f>
        <v>137.5</v>
      </c>
      <c r="T17" s="143" t="n">
        <f aca="false">IF($P17="",0,IFERROR(AVERAGEIFS($J$8:$J$407,$C$8:$C$407,$P17,$D$8:$D$407,T$7,$A$8:$A$407,SUMPRODUCT(MAX(($C$8:$C$407=$P17)*($D$8:$D$407=T$7)*$A$8:$A$407))),0))</f>
        <v>195</v>
      </c>
      <c r="U17" s="143" t="n">
        <f aca="false">IF($P17="",0,IFERROR(AVERAGEIFS($J$8:$J$407,$C$8:$C$407,$P17,$D$8:$D$407,U$7,$A$8:$A$407,SUMPRODUCT(MAX(($C$8:$C$407=$P17)*($D$8:$D$407=U$7)*$A$8:$A$407))),0))</f>
        <v>100</v>
      </c>
      <c r="V17" s="143" t="n">
        <f aca="false">IF($P17="",0,IFERROR(AVERAGEIFS($J$8:$J$407,$C$8:$C$407,$P17,$D$8:$D$407,V$7,$A$8:$A$407,SUMPRODUCT(MAX(($C$8:$C$407=$P17)*($D$8:$D$407=V$7)*$A$8:$A$407))),0))</f>
        <v>82.5</v>
      </c>
      <c r="W17" s="143" t="n">
        <f aca="false">IF($P17="",0,IFERROR(AVERAGEIFS($J$8:$J$407,$C$8:$C$407,$P17,$D$8:$D$407,W$7,$A$8:$A$407,SUMPRODUCT(MAX(($C$8:$C$407=$P17)*($D$8:$D$407=W$7)*$A$8:$A$407))),0))</f>
        <v>57.5</v>
      </c>
      <c r="X17" s="143" t="n">
        <f aca="false">IF($P17="",0,IFERROR(AVERAGEIFS($J$8:$J$407,$C$8:$C$407,$P17,$D$8:$D$407,X$7,$A$8:$A$407,SUMPRODUCT(MAX(($C$8:$C$407=$P17)*($D$8:$D$407=X$7)*$A$8:$A$407))),0))</f>
        <v>100</v>
      </c>
      <c r="Y17" s="143" t="n">
        <f aca="false">IF($P17="",0,IFERROR(AVERAGEIFS($J$8:$J$407,$C$8:$C$407,$P17,$D$8:$D$407,Y$7,$A$8:$A$407,SUMPRODUCT(MAX(($C$8:$C$407=$P17)*($D$8:$D$407=Y$7)*$A$8:$A$407))),0))</f>
        <v>135</v>
      </c>
    </row>
    <row r="18" customFormat="false" ht="15" hidden="false" customHeight="false" outlineLevel="0" collapsed="false">
      <c r="A18" s="29" t="n">
        <v>46037</v>
      </c>
      <c r="B18" s="33" t="n">
        <f aca="false">IF($A18="",0,INT(($A18-Macrociclo!$C$11)/7)+1)</f>
        <v>2</v>
      </c>
      <c r="C18" s="27" t="s">
        <v>192</v>
      </c>
      <c r="D18" s="27" t="s">
        <v>695</v>
      </c>
      <c r="E18" s="27" t="s">
        <v>1205</v>
      </c>
      <c r="F18" s="32" t="n">
        <v>125</v>
      </c>
      <c r="G18" s="28" t="n">
        <v>1</v>
      </c>
      <c r="H18" s="35" t="n">
        <f aca="false">IF(OR($F18="",$G18=""),"",ROUND($F18*(1+$G18/30),1))</f>
        <v>129.2</v>
      </c>
      <c r="I18" s="35" t="n">
        <f aca="false">IF(OR($F18="",$G18="",$G18&gt;36),"",ROUND($F18/(1.0278-0.0278*$G18),1))</f>
        <v>125</v>
      </c>
      <c r="J18" s="30" t="n">
        <f aca="false">IF($E18="Direto (1RM real)",$F18,IF(OR($H18="",$I18=""),"",ROUND(AVERAGE($H18,$I18),1)))</f>
        <v>125</v>
      </c>
      <c r="K18" s="35" t="n">
        <f aca="false">IF($C18="","",IFERROR(INDEX(Cadastro!$P$8:$P$47,MATCH($C18,Cadastro!$B$8:$B$47,0)),""))</f>
        <v>94.2</v>
      </c>
      <c r="L18" s="36" t="n">
        <f aca="false">IFERROR($J18/$K18,"")</f>
        <v>1.32696390658174</v>
      </c>
      <c r="M18" s="45"/>
      <c r="N18" s="27" t="s">
        <v>373</v>
      </c>
      <c r="P18" s="60" t="str">
        <f aca="false">IF(Cadastro!$B18="","",Cadastro!$B18)</f>
        <v>Pedro Henrique Coutinho</v>
      </c>
      <c r="Q18" s="30" t="n">
        <f aca="false">IF($P18="",0,IFERROR(AVERAGEIFS($J$8:$J$407,$C$8:$C$407,$P18,$D$8:$D$407,Q$7,$A$8:$A$407,SUMPRODUCT(MAX(($C$8:$C$407=$P18)*($D$8:$D$407=Q$7)*$A$8:$A$407))),0))</f>
        <v>177.5</v>
      </c>
      <c r="R18" s="30" t="n">
        <f aca="false">IF($P18="",0,IFERROR(AVERAGEIFS($J$8:$J$407,$C$8:$C$407,$P18,$D$8:$D$407,R$7,$A$8:$A$407,SUMPRODUCT(MAX(($C$8:$C$407=$P18)*($D$8:$D$407=R$7)*$A$8:$A$407))),0))</f>
        <v>135</v>
      </c>
      <c r="S18" s="30" t="n">
        <f aca="false">IF($P18="",0,IFERROR(AVERAGEIFS($J$8:$J$407,$C$8:$C$407,$P18,$D$8:$D$407,S$7,$A$8:$A$407,SUMPRODUCT(MAX(($C$8:$C$407=$P18)*($D$8:$D$407=S$7)*$A$8:$A$407))),0))</f>
        <v>137.5</v>
      </c>
      <c r="T18" s="30" t="n">
        <f aca="false">IF($P18="",0,IFERROR(AVERAGEIFS($J$8:$J$407,$C$8:$C$407,$P18,$D$8:$D$407,T$7,$A$8:$A$407,SUMPRODUCT(MAX(($C$8:$C$407=$P18)*($D$8:$D$407=T$7)*$A$8:$A$407))),0))</f>
        <v>190</v>
      </c>
      <c r="U18" s="30" t="n">
        <f aca="false">IF($P18="",0,IFERROR(AVERAGEIFS($J$8:$J$407,$C$8:$C$407,$P18,$D$8:$D$407,U$7,$A$8:$A$407,SUMPRODUCT(MAX(($C$8:$C$407=$P18)*($D$8:$D$407=U$7)*$A$8:$A$407))),0))</f>
        <v>110</v>
      </c>
      <c r="V18" s="30" t="n">
        <f aca="false">IF($P18="",0,IFERROR(AVERAGEIFS($J$8:$J$407,$C$8:$C$407,$P18,$D$8:$D$407,V$7,$A$8:$A$407,SUMPRODUCT(MAX(($C$8:$C$407=$P18)*($D$8:$D$407=V$7)*$A$8:$A$407))),0))</f>
        <v>72.5</v>
      </c>
      <c r="W18" s="30" t="n">
        <f aca="false">IF($P18="",0,IFERROR(AVERAGEIFS($J$8:$J$407,$C$8:$C$407,$P18,$D$8:$D$407,W$7,$A$8:$A$407,SUMPRODUCT(MAX(($C$8:$C$407=$P18)*($D$8:$D$407=W$7)*$A$8:$A$407))),0))</f>
        <v>55</v>
      </c>
      <c r="X18" s="30" t="n">
        <f aca="false">IF($P18="",0,IFERROR(AVERAGEIFS($J$8:$J$407,$C$8:$C$407,$P18,$D$8:$D$407,X$7,$A$8:$A$407,SUMPRODUCT(MAX(($C$8:$C$407=$P18)*($D$8:$D$407=X$7)*$A$8:$A$407))),0))</f>
        <v>97.5</v>
      </c>
      <c r="Y18" s="30" t="n">
        <f aca="false">IF($P18="",0,IFERROR(AVERAGEIFS($J$8:$J$407,$C$8:$C$407,$P18,$D$8:$D$407,Y$7,$A$8:$A$407,SUMPRODUCT(MAX(($C$8:$C$407=$P18)*($D$8:$D$407=Y$7)*$A$8:$A$407))),0))</f>
        <v>125</v>
      </c>
    </row>
    <row r="19" customFormat="false" ht="15" hidden="false" customHeight="false" outlineLevel="0" collapsed="false">
      <c r="A19" s="29" t="n">
        <v>46037</v>
      </c>
      <c r="B19" s="33" t="n">
        <f aca="false">IF($A19="",0,INT(($A19-Macrociclo!$C$11)/7)+1)</f>
        <v>2</v>
      </c>
      <c r="C19" s="27" t="s">
        <v>192</v>
      </c>
      <c r="D19" s="27" t="s">
        <v>701</v>
      </c>
      <c r="E19" s="27" t="s">
        <v>1205</v>
      </c>
      <c r="F19" s="32" t="n">
        <v>132.5</v>
      </c>
      <c r="G19" s="28" t="n">
        <v>1</v>
      </c>
      <c r="H19" s="35" t="n">
        <f aca="false">IF(OR($F19="",$G19=""),"",ROUND($F19*(1+$G19/30),1))</f>
        <v>136.9</v>
      </c>
      <c r="I19" s="35" t="n">
        <f aca="false">IF(OR($F19="",$G19="",$G19&gt;36),"",ROUND($F19/(1.0278-0.0278*$G19),1))</f>
        <v>132.5</v>
      </c>
      <c r="J19" s="30" t="n">
        <f aca="false">IF($E19="Direto (1RM real)",$F19,IF(OR($H19="",$I19=""),"",ROUND(AVERAGE($H19,$I19),1)))</f>
        <v>132.5</v>
      </c>
      <c r="K19" s="35" t="n">
        <f aca="false">IF($C19="","",IFERROR(INDEX(Cadastro!$P$8:$P$47,MATCH($C19,Cadastro!$B$8:$B$47,0)),""))</f>
        <v>94.2</v>
      </c>
      <c r="L19" s="36" t="n">
        <f aca="false">IFERROR($J19/$K19,"")</f>
        <v>1.40658174097665</v>
      </c>
      <c r="M19" s="45"/>
      <c r="N19" s="27" t="s">
        <v>373</v>
      </c>
      <c r="P19" s="62" t="str">
        <f aca="false">IF(Cadastro!$B19="","",Cadastro!$B19)</f>
        <v>Caio Fernandes Bastos</v>
      </c>
      <c r="Q19" s="143" t="n">
        <f aca="false">IF($P19="",0,IFERROR(AVERAGEIFS($J$8:$J$407,$C$8:$C$407,$P19,$D$8:$D$407,Q$7,$A$8:$A$407,SUMPRODUCT(MAX(($C$8:$C$407=$P19)*($D$8:$D$407=Q$7)*$A$8:$A$407))),0))</f>
        <v>132.5</v>
      </c>
      <c r="R19" s="143" t="n">
        <f aca="false">IF($P19="",0,IFERROR(AVERAGEIFS($J$8:$J$407,$C$8:$C$407,$P19,$D$8:$D$407,R$7,$A$8:$A$407,SUMPRODUCT(MAX(($C$8:$C$407=$P19)*($D$8:$D$407=R$7)*$A$8:$A$407))),0))</f>
        <v>112.5</v>
      </c>
      <c r="S19" s="143" t="n">
        <f aca="false">IF($P19="",0,IFERROR(AVERAGEIFS($J$8:$J$407,$C$8:$C$407,$P19,$D$8:$D$407,S$7,$A$8:$A$407,SUMPRODUCT(MAX(($C$8:$C$407=$P19)*($D$8:$D$407=S$7)*$A$8:$A$407))),0))</f>
        <v>120</v>
      </c>
      <c r="T19" s="143" t="n">
        <f aca="false">IF($P19="",0,IFERROR(AVERAGEIFS($J$8:$J$407,$C$8:$C$407,$P19,$D$8:$D$407,T$7,$A$8:$A$407,SUMPRODUCT(MAX(($C$8:$C$407=$P19)*($D$8:$D$407=T$7)*$A$8:$A$407))),0))</f>
        <v>172.5</v>
      </c>
      <c r="U19" s="143" t="n">
        <f aca="false">IF($P19="",0,IFERROR(AVERAGEIFS($J$8:$J$407,$C$8:$C$407,$P19,$D$8:$D$407,U$7,$A$8:$A$407,SUMPRODUCT(MAX(($C$8:$C$407=$P19)*($D$8:$D$407=U$7)*$A$8:$A$407))),0))</f>
        <v>82.5</v>
      </c>
      <c r="V19" s="143" t="n">
        <f aca="false">IF($P19="",0,IFERROR(AVERAGEIFS($J$8:$J$407,$C$8:$C$407,$P19,$D$8:$D$407,V$7,$A$8:$A$407,SUMPRODUCT(MAX(($C$8:$C$407=$P19)*($D$8:$D$407=V$7)*$A$8:$A$407))),0))</f>
        <v>65</v>
      </c>
      <c r="W19" s="143" t="n">
        <f aca="false">IF($P19="",0,IFERROR(AVERAGEIFS($J$8:$J$407,$C$8:$C$407,$P19,$D$8:$D$407,W$7,$A$8:$A$407,SUMPRODUCT(MAX(($C$8:$C$407=$P19)*($D$8:$D$407=W$7)*$A$8:$A$407))),0))</f>
        <v>47.5</v>
      </c>
      <c r="X19" s="143" t="n">
        <f aca="false">IF($P19="",0,IFERROR(AVERAGEIFS($J$8:$J$407,$C$8:$C$407,$P19,$D$8:$D$407,X$7,$A$8:$A$407,SUMPRODUCT(MAX(($C$8:$C$407=$P19)*($D$8:$D$407=X$7)*$A$8:$A$407))),0))</f>
        <v>87.5</v>
      </c>
      <c r="Y19" s="143" t="n">
        <f aca="false">IF($P19="",0,IFERROR(AVERAGEIFS($J$8:$J$407,$C$8:$C$407,$P19,$D$8:$D$407,Y$7,$A$8:$A$407,SUMPRODUCT(MAX(($C$8:$C$407=$P19)*($D$8:$D$407=Y$7)*$A$8:$A$407))),0))</f>
        <v>107.5</v>
      </c>
    </row>
    <row r="20" customFormat="false" ht="15" hidden="false" customHeight="false" outlineLevel="0" collapsed="false">
      <c r="A20" s="29" t="n">
        <v>46037</v>
      </c>
      <c r="B20" s="33" t="n">
        <f aca="false">IF($A20="",0,INT(($A20-Macrociclo!$C$11)/7)+1)</f>
        <v>2</v>
      </c>
      <c r="C20" s="27" t="s">
        <v>192</v>
      </c>
      <c r="D20" s="27" t="s">
        <v>758</v>
      </c>
      <c r="E20" s="27" t="s">
        <v>1205</v>
      </c>
      <c r="F20" s="32" t="n">
        <v>200</v>
      </c>
      <c r="G20" s="28" t="n">
        <v>1</v>
      </c>
      <c r="H20" s="35" t="n">
        <f aca="false">IF(OR($F20="",$G20=""),"",ROUND($F20*(1+$G20/30),1))</f>
        <v>206.7</v>
      </c>
      <c r="I20" s="35" t="n">
        <f aca="false">IF(OR($F20="",$G20="",$G20&gt;36),"",ROUND($F20/(1.0278-0.0278*$G20),1))</f>
        <v>200</v>
      </c>
      <c r="J20" s="30" t="n">
        <f aca="false">IF($E20="Direto (1RM real)",$F20,IF(OR($H20="",$I20=""),"",ROUND(AVERAGE($H20,$I20),1)))</f>
        <v>200</v>
      </c>
      <c r="K20" s="35" t="n">
        <f aca="false">IF($C20="","",IFERROR(INDEX(Cadastro!$P$8:$P$47,MATCH($C20,Cadastro!$B$8:$B$47,0)),""))</f>
        <v>94.2</v>
      </c>
      <c r="L20" s="36" t="n">
        <f aca="false">IFERROR($J20/$K20,"")</f>
        <v>2.12314225053079</v>
      </c>
      <c r="M20" s="45"/>
      <c r="N20" s="27" t="s">
        <v>373</v>
      </c>
      <c r="P20" s="60" t="str">
        <f aca="false">IF(Cadastro!$B20="","",Cadastro!$B20)</f>
        <v/>
      </c>
      <c r="Q20" s="30" t="n">
        <f aca="false">IF($P20="",0,IFERROR(AVERAGEIFS($J$8:$J$407,$C$8:$C$407,$P20,$D$8:$D$407,Q$7,$A$8:$A$407,SUMPRODUCT(MAX(($C$8:$C$407=$P20)*($D$8:$D$407=Q$7)*$A$8:$A$407))),0))</f>
        <v>0</v>
      </c>
      <c r="R20" s="30" t="n">
        <f aca="false">IF($P20="",0,IFERROR(AVERAGEIFS($J$8:$J$407,$C$8:$C$407,$P20,$D$8:$D$407,R$7,$A$8:$A$407,SUMPRODUCT(MAX(($C$8:$C$407=$P20)*($D$8:$D$407=R$7)*$A$8:$A$407))),0))</f>
        <v>0</v>
      </c>
      <c r="S20" s="30" t="n">
        <f aca="false">IF($P20="",0,IFERROR(AVERAGEIFS($J$8:$J$407,$C$8:$C$407,$P20,$D$8:$D$407,S$7,$A$8:$A$407,SUMPRODUCT(MAX(($C$8:$C$407=$P20)*($D$8:$D$407=S$7)*$A$8:$A$407))),0))</f>
        <v>0</v>
      </c>
      <c r="T20" s="30" t="n">
        <f aca="false">IF($P20="",0,IFERROR(AVERAGEIFS($J$8:$J$407,$C$8:$C$407,$P20,$D$8:$D$407,T$7,$A$8:$A$407,SUMPRODUCT(MAX(($C$8:$C$407=$P20)*($D$8:$D$407=T$7)*$A$8:$A$407))),0))</f>
        <v>0</v>
      </c>
      <c r="U20" s="30" t="n">
        <f aca="false">IF($P20="",0,IFERROR(AVERAGEIFS($J$8:$J$407,$C$8:$C$407,$P20,$D$8:$D$407,U$7,$A$8:$A$407,SUMPRODUCT(MAX(($C$8:$C$407=$P20)*($D$8:$D$407=U$7)*$A$8:$A$407))),0))</f>
        <v>0</v>
      </c>
      <c r="V20" s="30" t="n">
        <f aca="false">IF($P20="",0,IFERROR(AVERAGEIFS($J$8:$J$407,$C$8:$C$407,$P20,$D$8:$D$407,V$7,$A$8:$A$407,SUMPRODUCT(MAX(($C$8:$C$407=$P20)*($D$8:$D$407=V$7)*$A$8:$A$407))),0))</f>
        <v>0</v>
      </c>
      <c r="W20" s="30" t="n">
        <f aca="false">IF($P20="",0,IFERROR(AVERAGEIFS($J$8:$J$407,$C$8:$C$407,$P20,$D$8:$D$407,W$7,$A$8:$A$407,SUMPRODUCT(MAX(($C$8:$C$407=$P20)*($D$8:$D$407=W$7)*$A$8:$A$407))),0))</f>
        <v>0</v>
      </c>
      <c r="X20" s="30" t="n">
        <f aca="false">IF($P20="",0,IFERROR(AVERAGEIFS($J$8:$J$407,$C$8:$C$407,$P20,$D$8:$D$407,X$7,$A$8:$A$407,SUMPRODUCT(MAX(($C$8:$C$407=$P20)*($D$8:$D$407=X$7)*$A$8:$A$407))),0))</f>
        <v>0</v>
      </c>
      <c r="Y20" s="30" t="n">
        <f aca="false">IF($P20="",0,IFERROR(AVERAGEIFS($J$8:$J$407,$C$8:$C$407,$P20,$D$8:$D$407,Y$7,$A$8:$A$407,SUMPRODUCT(MAX(($C$8:$C$407=$P20)*($D$8:$D$407=Y$7)*$A$8:$A$407))),0))</f>
        <v>0</v>
      </c>
    </row>
    <row r="21" customFormat="false" ht="15" hidden="false" customHeight="false" outlineLevel="0" collapsed="false">
      <c r="A21" s="29" t="n">
        <v>46037</v>
      </c>
      <c r="B21" s="33" t="n">
        <f aca="false">IF($A21="",0,INT(($A21-Macrociclo!$C$11)/7)+1)</f>
        <v>2</v>
      </c>
      <c r="C21" s="27" t="s">
        <v>192</v>
      </c>
      <c r="D21" s="27" t="s">
        <v>648</v>
      </c>
      <c r="E21" s="27" t="s">
        <v>1205</v>
      </c>
      <c r="F21" s="32" t="n">
        <v>95</v>
      </c>
      <c r="G21" s="28" t="n">
        <v>1</v>
      </c>
      <c r="H21" s="35" t="n">
        <f aca="false">IF(OR($F21="",$G21=""),"",ROUND($F21*(1+$G21/30),1))</f>
        <v>98.2</v>
      </c>
      <c r="I21" s="35" t="n">
        <f aca="false">IF(OR($F21="",$G21="",$G21&gt;36),"",ROUND($F21/(1.0278-0.0278*$G21),1))</f>
        <v>95</v>
      </c>
      <c r="J21" s="30" t="n">
        <f aca="false">IF($E21="Direto (1RM real)",$F21,IF(OR($H21="",$I21=""),"",ROUND(AVERAGE($H21,$I21),1)))</f>
        <v>95</v>
      </c>
      <c r="K21" s="35" t="n">
        <f aca="false">IF($C21="","",IFERROR(INDEX(Cadastro!$P$8:$P$47,MATCH($C21,Cadastro!$B$8:$B$47,0)),""))</f>
        <v>94.2</v>
      </c>
      <c r="L21" s="36" t="n">
        <f aca="false">IFERROR($J21/$K21,"")</f>
        <v>1.00849256900212</v>
      </c>
      <c r="M21" s="45"/>
      <c r="N21" s="27" t="s">
        <v>373</v>
      </c>
      <c r="P21" s="62" t="str">
        <f aca="false">IF(Cadastro!$B21="","",Cadastro!$B21)</f>
        <v/>
      </c>
      <c r="Q21" s="143" t="n">
        <f aca="false">IF($P21="",0,IFERROR(AVERAGEIFS($J$8:$J$407,$C$8:$C$407,$P21,$D$8:$D$407,Q$7,$A$8:$A$407,SUMPRODUCT(MAX(($C$8:$C$407=$P21)*($D$8:$D$407=Q$7)*$A$8:$A$407))),0))</f>
        <v>0</v>
      </c>
      <c r="R21" s="143" t="n">
        <f aca="false">IF($P21="",0,IFERROR(AVERAGEIFS($J$8:$J$407,$C$8:$C$407,$P21,$D$8:$D$407,R$7,$A$8:$A$407,SUMPRODUCT(MAX(($C$8:$C$407=$P21)*($D$8:$D$407=R$7)*$A$8:$A$407))),0))</f>
        <v>0</v>
      </c>
      <c r="S21" s="143" t="n">
        <f aca="false">IF($P21="",0,IFERROR(AVERAGEIFS($J$8:$J$407,$C$8:$C$407,$P21,$D$8:$D$407,S$7,$A$8:$A$407,SUMPRODUCT(MAX(($C$8:$C$407=$P21)*($D$8:$D$407=S$7)*$A$8:$A$407))),0))</f>
        <v>0</v>
      </c>
      <c r="T21" s="143" t="n">
        <f aca="false">IF($P21="",0,IFERROR(AVERAGEIFS($J$8:$J$407,$C$8:$C$407,$P21,$D$8:$D$407,T$7,$A$8:$A$407,SUMPRODUCT(MAX(($C$8:$C$407=$P21)*($D$8:$D$407=T$7)*$A$8:$A$407))),0))</f>
        <v>0</v>
      </c>
      <c r="U21" s="143" t="n">
        <f aca="false">IF($P21="",0,IFERROR(AVERAGEIFS($J$8:$J$407,$C$8:$C$407,$P21,$D$8:$D$407,U$7,$A$8:$A$407,SUMPRODUCT(MAX(($C$8:$C$407=$P21)*($D$8:$D$407=U$7)*$A$8:$A$407))),0))</f>
        <v>0</v>
      </c>
      <c r="V21" s="143" t="n">
        <f aca="false">IF($P21="",0,IFERROR(AVERAGEIFS($J$8:$J$407,$C$8:$C$407,$P21,$D$8:$D$407,V$7,$A$8:$A$407,SUMPRODUCT(MAX(($C$8:$C$407=$P21)*($D$8:$D$407=V$7)*$A$8:$A$407))),0))</f>
        <v>0</v>
      </c>
      <c r="W21" s="143" t="n">
        <f aca="false">IF($P21="",0,IFERROR(AVERAGEIFS($J$8:$J$407,$C$8:$C$407,$P21,$D$8:$D$407,W$7,$A$8:$A$407,SUMPRODUCT(MAX(($C$8:$C$407=$P21)*($D$8:$D$407=W$7)*$A$8:$A$407))),0))</f>
        <v>0</v>
      </c>
      <c r="X21" s="143" t="n">
        <f aca="false">IF($P21="",0,IFERROR(AVERAGEIFS($J$8:$J$407,$C$8:$C$407,$P21,$D$8:$D$407,X$7,$A$8:$A$407,SUMPRODUCT(MAX(($C$8:$C$407=$P21)*($D$8:$D$407=X$7)*$A$8:$A$407))),0))</f>
        <v>0</v>
      </c>
      <c r="Y21" s="143" t="n">
        <f aca="false">IF($P21="",0,IFERROR(AVERAGEIFS($J$8:$J$407,$C$8:$C$407,$P21,$D$8:$D$407,Y$7,$A$8:$A$407,SUMPRODUCT(MAX(($C$8:$C$407=$P21)*($D$8:$D$407=Y$7)*$A$8:$A$407))),0))</f>
        <v>0</v>
      </c>
    </row>
    <row r="22" customFormat="false" ht="15" hidden="false" customHeight="false" outlineLevel="0" collapsed="false">
      <c r="A22" s="29" t="n">
        <v>46037</v>
      </c>
      <c r="B22" s="33" t="n">
        <f aca="false">IF($A22="",0,INT(($A22-Macrociclo!$C$11)/7)+1)</f>
        <v>2</v>
      </c>
      <c r="C22" s="27" t="s">
        <v>192</v>
      </c>
      <c r="D22" s="27" t="s">
        <v>644</v>
      </c>
      <c r="E22" s="27" t="s">
        <v>1205</v>
      </c>
      <c r="F22" s="32" t="n">
        <v>72.5</v>
      </c>
      <c r="G22" s="28" t="n">
        <v>1</v>
      </c>
      <c r="H22" s="35" t="n">
        <f aca="false">IF(OR($F22="",$G22=""),"",ROUND($F22*(1+$G22/30),1))</f>
        <v>74.9</v>
      </c>
      <c r="I22" s="35" t="n">
        <f aca="false">IF(OR($F22="",$G22="",$G22&gt;36),"",ROUND($F22/(1.0278-0.0278*$G22),1))</f>
        <v>72.5</v>
      </c>
      <c r="J22" s="30" t="n">
        <f aca="false">IF($E22="Direto (1RM real)",$F22,IF(OR($H22="",$I22=""),"",ROUND(AVERAGE($H22,$I22),1)))</f>
        <v>72.5</v>
      </c>
      <c r="K22" s="35" t="n">
        <f aca="false">IF($C22="","",IFERROR(INDEX(Cadastro!$P$8:$P$47,MATCH($C22,Cadastro!$B$8:$B$47,0)),""))</f>
        <v>94.2</v>
      </c>
      <c r="L22" s="36" t="n">
        <f aca="false">IFERROR($J22/$K22,"")</f>
        <v>0.76963906581741</v>
      </c>
      <c r="M22" s="45"/>
      <c r="N22" s="27" t="s">
        <v>373</v>
      </c>
      <c r="P22" s="60" t="str">
        <f aca="false">IF(Cadastro!$B22="","",Cadastro!$B22)</f>
        <v/>
      </c>
      <c r="Q22" s="30" t="n">
        <f aca="false">IF($P22="",0,IFERROR(AVERAGEIFS($J$8:$J$407,$C$8:$C$407,$P22,$D$8:$D$407,Q$7,$A$8:$A$407,SUMPRODUCT(MAX(($C$8:$C$407=$P22)*($D$8:$D$407=Q$7)*$A$8:$A$407))),0))</f>
        <v>0</v>
      </c>
      <c r="R22" s="30" t="n">
        <f aca="false">IF($P22="",0,IFERROR(AVERAGEIFS($J$8:$J$407,$C$8:$C$407,$P22,$D$8:$D$407,R$7,$A$8:$A$407,SUMPRODUCT(MAX(($C$8:$C$407=$P22)*($D$8:$D$407=R$7)*$A$8:$A$407))),0))</f>
        <v>0</v>
      </c>
      <c r="S22" s="30" t="n">
        <f aca="false">IF($P22="",0,IFERROR(AVERAGEIFS($J$8:$J$407,$C$8:$C$407,$P22,$D$8:$D$407,S$7,$A$8:$A$407,SUMPRODUCT(MAX(($C$8:$C$407=$P22)*($D$8:$D$407=S$7)*$A$8:$A$407))),0))</f>
        <v>0</v>
      </c>
      <c r="T22" s="30" t="n">
        <f aca="false">IF($P22="",0,IFERROR(AVERAGEIFS($J$8:$J$407,$C$8:$C$407,$P22,$D$8:$D$407,T$7,$A$8:$A$407,SUMPRODUCT(MAX(($C$8:$C$407=$P22)*($D$8:$D$407=T$7)*$A$8:$A$407))),0))</f>
        <v>0</v>
      </c>
      <c r="U22" s="30" t="n">
        <f aca="false">IF($P22="",0,IFERROR(AVERAGEIFS($J$8:$J$407,$C$8:$C$407,$P22,$D$8:$D$407,U$7,$A$8:$A$407,SUMPRODUCT(MAX(($C$8:$C$407=$P22)*($D$8:$D$407=U$7)*$A$8:$A$407))),0))</f>
        <v>0</v>
      </c>
      <c r="V22" s="30" t="n">
        <f aca="false">IF($P22="",0,IFERROR(AVERAGEIFS($J$8:$J$407,$C$8:$C$407,$P22,$D$8:$D$407,V$7,$A$8:$A$407,SUMPRODUCT(MAX(($C$8:$C$407=$P22)*($D$8:$D$407=V$7)*$A$8:$A$407))),0))</f>
        <v>0</v>
      </c>
      <c r="W22" s="30" t="n">
        <f aca="false">IF($P22="",0,IFERROR(AVERAGEIFS($J$8:$J$407,$C$8:$C$407,$P22,$D$8:$D$407,W$7,$A$8:$A$407,SUMPRODUCT(MAX(($C$8:$C$407=$P22)*($D$8:$D$407=W$7)*$A$8:$A$407))),0))</f>
        <v>0</v>
      </c>
      <c r="X22" s="30" t="n">
        <f aca="false">IF($P22="",0,IFERROR(AVERAGEIFS($J$8:$J$407,$C$8:$C$407,$P22,$D$8:$D$407,X$7,$A$8:$A$407,SUMPRODUCT(MAX(($C$8:$C$407=$P22)*($D$8:$D$407=X$7)*$A$8:$A$407))),0))</f>
        <v>0</v>
      </c>
      <c r="Y22" s="30" t="n">
        <f aca="false">IF($P22="",0,IFERROR(AVERAGEIFS($J$8:$J$407,$C$8:$C$407,$P22,$D$8:$D$407,Y$7,$A$8:$A$407,SUMPRODUCT(MAX(($C$8:$C$407=$P22)*($D$8:$D$407=Y$7)*$A$8:$A$407))),0))</f>
        <v>0</v>
      </c>
    </row>
    <row r="23" customFormat="false" ht="15" hidden="false" customHeight="false" outlineLevel="0" collapsed="false">
      <c r="A23" s="29" t="n">
        <v>46037</v>
      </c>
      <c r="B23" s="33" t="n">
        <f aca="false">IF($A23="",0,INT(($A23-Macrociclo!$C$11)/7)+1)</f>
        <v>2</v>
      </c>
      <c r="C23" s="27" t="s">
        <v>192</v>
      </c>
      <c r="D23" s="27" t="s">
        <v>660</v>
      </c>
      <c r="E23" s="27" t="s">
        <v>1205</v>
      </c>
      <c r="F23" s="32" t="n">
        <v>50</v>
      </c>
      <c r="G23" s="28" t="n">
        <v>1</v>
      </c>
      <c r="H23" s="35" t="n">
        <f aca="false">IF(OR($F23="",$G23=""),"",ROUND($F23*(1+$G23/30),1))</f>
        <v>51.7</v>
      </c>
      <c r="I23" s="35" t="n">
        <f aca="false">IF(OR($F23="",$G23="",$G23&gt;36),"",ROUND($F23/(1.0278-0.0278*$G23),1))</f>
        <v>50</v>
      </c>
      <c r="J23" s="30" t="n">
        <f aca="false">IF($E23="Direto (1RM real)",$F23,IF(OR($H23="",$I23=""),"",ROUND(AVERAGE($H23,$I23),1)))</f>
        <v>50</v>
      </c>
      <c r="K23" s="35" t="n">
        <f aca="false">IF($C23="","",IFERROR(INDEX(Cadastro!$P$8:$P$47,MATCH($C23,Cadastro!$B$8:$B$47,0)),""))</f>
        <v>94.2</v>
      </c>
      <c r="L23" s="36" t="n">
        <f aca="false">IFERROR($J23/$K23,"")</f>
        <v>0.530785562632696</v>
      </c>
      <c r="M23" s="45"/>
      <c r="N23" s="27" t="s">
        <v>373</v>
      </c>
      <c r="P23" s="62" t="str">
        <f aca="false">IF(Cadastro!$B23="","",Cadastro!$B23)</f>
        <v/>
      </c>
      <c r="Q23" s="143" t="n">
        <f aca="false">IF($P23="",0,IFERROR(AVERAGEIFS($J$8:$J$407,$C$8:$C$407,$P23,$D$8:$D$407,Q$7,$A$8:$A$407,SUMPRODUCT(MAX(($C$8:$C$407=$P23)*($D$8:$D$407=Q$7)*$A$8:$A$407))),0))</f>
        <v>0</v>
      </c>
      <c r="R23" s="143" t="n">
        <f aca="false">IF($P23="",0,IFERROR(AVERAGEIFS($J$8:$J$407,$C$8:$C$407,$P23,$D$8:$D$407,R$7,$A$8:$A$407,SUMPRODUCT(MAX(($C$8:$C$407=$P23)*($D$8:$D$407=R$7)*$A$8:$A$407))),0))</f>
        <v>0</v>
      </c>
      <c r="S23" s="143" t="n">
        <f aca="false">IF($P23="",0,IFERROR(AVERAGEIFS($J$8:$J$407,$C$8:$C$407,$P23,$D$8:$D$407,S$7,$A$8:$A$407,SUMPRODUCT(MAX(($C$8:$C$407=$P23)*($D$8:$D$407=S$7)*$A$8:$A$407))),0))</f>
        <v>0</v>
      </c>
      <c r="T23" s="143" t="n">
        <f aca="false">IF($P23="",0,IFERROR(AVERAGEIFS($J$8:$J$407,$C$8:$C$407,$P23,$D$8:$D$407,T$7,$A$8:$A$407,SUMPRODUCT(MAX(($C$8:$C$407=$P23)*($D$8:$D$407=T$7)*$A$8:$A$407))),0))</f>
        <v>0</v>
      </c>
      <c r="U23" s="143" t="n">
        <f aca="false">IF($P23="",0,IFERROR(AVERAGEIFS($J$8:$J$407,$C$8:$C$407,$P23,$D$8:$D$407,U$7,$A$8:$A$407,SUMPRODUCT(MAX(($C$8:$C$407=$P23)*($D$8:$D$407=U$7)*$A$8:$A$407))),0))</f>
        <v>0</v>
      </c>
      <c r="V23" s="143" t="n">
        <f aca="false">IF($P23="",0,IFERROR(AVERAGEIFS($J$8:$J$407,$C$8:$C$407,$P23,$D$8:$D$407,V$7,$A$8:$A$407,SUMPRODUCT(MAX(($C$8:$C$407=$P23)*($D$8:$D$407=V$7)*$A$8:$A$407))),0))</f>
        <v>0</v>
      </c>
      <c r="W23" s="143" t="n">
        <f aca="false">IF($P23="",0,IFERROR(AVERAGEIFS($J$8:$J$407,$C$8:$C$407,$P23,$D$8:$D$407,W$7,$A$8:$A$407,SUMPRODUCT(MAX(($C$8:$C$407=$P23)*($D$8:$D$407=W$7)*$A$8:$A$407))),0))</f>
        <v>0</v>
      </c>
      <c r="X23" s="143" t="n">
        <f aca="false">IF($P23="",0,IFERROR(AVERAGEIFS($J$8:$J$407,$C$8:$C$407,$P23,$D$8:$D$407,X$7,$A$8:$A$407,SUMPRODUCT(MAX(($C$8:$C$407=$P23)*($D$8:$D$407=X$7)*$A$8:$A$407))),0))</f>
        <v>0</v>
      </c>
      <c r="Y23" s="143" t="n">
        <f aca="false">IF($P23="",0,IFERROR(AVERAGEIFS($J$8:$J$407,$C$8:$C$407,$P23,$D$8:$D$407,Y$7,$A$8:$A$407,SUMPRODUCT(MAX(($C$8:$C$407=$P23)*($D$8:$D$407=Y$7)*$A$8:$A$407))),0))</f>
        <v>0</v>
      </c>
    </row>
    <row r="24" customFormat="false" ht="15" hidden="false" customHeight="false" outlineLevel="0" collapsed="false">
      <c r="A24" s="29" t="n">
        <v>46037</v>
      </c>
      <c r="B24" s="33" t="n">
        <f aca="false">IF($A24="",0,INT(($A24-Macrociclo!$C$11)/7)+1)</f>
        <v>2</v>
      </c>
      <c r="C24" s="27" t="s">
        <v>192</v>
      </c>
      <c r="D24" s="27" t="s">
        <v>953</v>
      </c>
      <c r="E24" s="27" t="s">
        <v>1205</v>
      </c>
      <c r="F24" s="32" t="n">
        <v>107.5</v>
      </c>
      <c r="G24" s="28" t="n">
        <v>1</v>
      </c>
      <c r="H24" s="35" t="n">
        <f aca="false">IF(OR($F24="",$G24=""),"",ROUND($F24*(1+$G24/30),1))</f>
        <v>111.1</v>
      </c>
      <c r="I24" s="35" t="n">
        <f aca="false">IF(OR($F24="",$G24="",$G24&gt;36),"",ROUND($F24/(1.0278-0.0278*$G24),1))</f>
        <v>107.5</v>
      </c>
      <c r="J24" s="30" t="n">
        <f aca="false">IF($E24="Direto (1RM real)",$F24,IF(OR($H24="",$I24=""),"",ROUND(AVERAGE($H24,$I24),1)))</f>
        <v>107.5</v>
      </c>
      <c r="K24" s="35" t="n">
        <f aca="false">IF($C24="","",IFERROR(INDEX(Cadastro!$P$8:$P$47,MATCH($C24,Cadastro!$B$8:$B$47,0)),""))</f>
        <v>94.2</v>
      </c>
      <c r="L24" s="36" t="n">
        <f aca="false">IFERROR($J24/$K24,"")</f>
        <v>1.1411889596603</v>
      </c>
      <c r="M24" s="45"/>
      <c r="N24" s="27" t="s">
        <v>373</v>
      </c>
      <c r="P24" s="60" t="str">
        <f aca="false">IF(Cadastro!$B24="","",Cadastro!$B24)</f>
        <v/>
      </c>
      <c r="Q24" s="30" t="n">
        <f aca="false">IF($P24="",0,IFERROR(AVERAGEIFS($J$8:$J$407,$C$8:$C$407,$P24,$D$8:$D$407,Q$7,$A$8:$A$407,SUMPRODUCT(MAX(($C$8:$C$407=$P24)*($D$8:$D$407=Q$7)*$A$8:$A$407))),0))</f>
        <v>0</v>
      </c>
      <c r="R24" s="30" t="n">
        <f aca="false">IF($P24="",0,IFERROR(AVERAGEIFS($J$8:$J$407,$C$8:$C$407,$P24,$D$8:$D$407,R$7,$A$8:$A$407,SUMPRODUCT(MAX(($C$8:$C$407=$P24)*($D$8:$D$407=R$7)*$A$8:$A$407))),0))</f>
        <v>0</v>
      </c>
      <c r="S24" s="30" t="n">
        <f aca="false">IF($P24="",0,IFERROR(AVERAGEIFS($J$8:$J$407,$C$8:$C$407,$P24,$D$8:$D$407,S$7,$A$8:$A$407,SUMPRODUCT(MAX(($C$8:$C$407=$P24)*($D$8:$D$407=S$7)*$A$8:$A$407))),0))</f>
        <v>0</v>
      </c>
      <c r="T24" s="30" t="n">
        <f aca="false">IF($P24="",0,IFERROR(AVERAGEIFS($J$8:$J$407,$C$8:$C$407,$P24,$D$8:$D$407,T$7,$A$8:$A$407,SUMPRODUCT(MAX(($C$8:$C$407=$P24)*($D$8:$D$407=T$7)*$A$8:$A$407))),0))</f>
        <v>0</v>
      </c>
      <c r="U24" s="30" t="n">
        <f aca="false">IF($P24="",0,IFERROR(AVERAGEIFS($J$8:$J$407,$C$8:$C$407,$P24,$D$8:$D$407,U$7,$A$8:$A$407,SUMPRODUCT(MAX(($C$8:$C$407=$P24)*($D$8:$D$407=U$7)*$A$8:$A$407))),0))</f>
        <v>0</v>
      </c>
      <c r="V24" s="30" t="n">
        <f aca="false">IF($P24="",0,IFERROR(AVERAGEIFS($J$8:$J$407,$C$8:$C$407,$P24,$D$8:$D$407,V$7,$A$8:$A$407,SUMPRODUCT(MAX(($C$8:$C$407=$P24)*($D$8:$D$407=V$7)*$A$8:$A$407))),0))</f>
        <v>0</v>
      </c>
      <c r="W24" s="30" t="n">
        <f aca="false">IF($P24="",0,IFERROR(AVERAGEIFS($J$8:$J$407,$C$8:$C$407,$P24,$D$8:$D$407,W$7,$A$8:$A$407,SUMPRODUCT(MAX(($C$8:$C$407=$P24)*($D$8:$D$407=W$7)*$A$8:$A$407))),0))</f>
        <v>0</v>
      </c>
      <c r="X24" s="30" t="n">
        <f aca="false">IF($P24="",0,IFERROR(AVERAGEIFS($J$8:$J$407,$C$8:$C$407,$P24,$D$8:$D$407,X$7,$A$8:$A$407,SUMPRODUCT(MAX(($C$8:$C$407=$P24)*($D$8:$D$407=X$7)*$A$8:$A$407))),0))</f>
        <v>0</v>
      </c>
      <c r="Y24" s="30" t="n">
        <f aca="false">IF($P24="",0,IFERROR(AVERAGEIFS($J$8:$J$407,$C$8:$C$407,$P24,$D$8:$D$407,Y$7,$A$8:$A$407,SUMPRODUCT(MAX(($C$8:$C$407=$P24)*($D$8:$D$407=Y$7)*$A$8:$A$407))),0))</f>
        <v>0</v>
      </c>
    </row>
    <row r="25" customFormat="false" ht="15" hidden="false" customHeight="false" outlineLevel="0" collapsed="false">
      <c r="A25" s="29" t="n">
        <v>46037</v>
      </c>
      <c r="B25" s="33" t="n">
        <f aca="false">IF($A25="",0,INT(($A25-Macrociclo!$C$11)/7)+1)</f>
        <v>2</v>
      </c>
      <c r="C25" s="27" t="s">
        <v>192</v>
      </c>
      <c r="D25" s="27" t="s">
        <v>620</v>
      </c>
      <c r="E25" s="27" t="s">
        <v>1205</v>
      </c>
      <c r="F25" s="32" t="n">
        <v>115</v>
      </c>
      <c r="G25" s="28" t="n">
        <v>1</v>
      </c>
      <c r="H25" s="35" t="n">
        <f aca="false">IF(OR($F25="",$G25=""),"",ROUND($F25*(1+$G25/30),1))</f>
        <v>118.8</v>
      </c>
      <c r="I25" s="35" t="n">
        <f aca="false">IF(OR($F25="",$G25="",$G25&gt;36),"",ROUND($F25/(1.0278-0.0278*$G25),1))</f>
        <v>115</v>
      </c>
      <c r="J25" s="30" t="n">
        <f aca="false">IF($E25="Direto (1RM real)",$F25,IF(OR($H25="",$I25=""),"",ROUND(AVERAGE($H25,$I25),1)))</f>
        <v>115</v>
      </c>
      <c r="K25" s="35" t="n">
        <f aca="false">IF($C25="","",IFERROR(INDEX(Cadastro!$P$8:$P$47,MATCH($C25,Cadastro!$B$8:$B$47,0)),""))</f>
        <v>94.2</v>
      </c>
      <c r="L25" s="36" t="n">
        <f aca="false">IFERROR($J25/$K25,"")</f>
        <v>1.2208067940552</v>
      </c>
      <c r="M25" s="45"/>
      <c r="N25" s="27" t="s">
        <v>373</v>
      </c>
      <c r="P25" s="62" t="str">
        <f aca="false">IF(Cadastro!$B25="","",Cadastro!$B25)</f>
        <v/>
      </c>
      <c r="Q25" s="143" t="n">
        <f aca="false">IF($P25="",0,IFERROR(AVERAGEIFS($J$8:$J$407,$C$8:$C$407,$P25,$D$8:$D$407,Q$7,$A$8:$A$407,SUMPRODUCT(MAX(($C$8:$C$407=$P25)*($D$8:$D$407=Q$7)*$A$8:$A$407))),0))</f>
        <v>0</v>
      </c>
      <c r="R25" s="143" t="n">
        <f aca="false">IF($P25="",0,IFERROR(AVERAGEIFS($J$8:$J$407,$C$8:$C$407,$P25,$D$8:$D$407,R$7,$A$8:$A$407,SUMPRODUCT(MAX(($C$8:$C$407=$P25)*($D$8:$D$407=R$7)*$A$8:$A$407))),0))</f>
        <v>0</v>
      </c>
      <c r="S25" s="143" t="n">
        <f aca="false">IF($P25="",0,IFERROR(AVERAGEIFS($J$8:$J$407,$C$8:$C$407,$P25,$D$8:$D$407,S$7,$A$8:$A$407,SUMPRODUCT(MAX(($C$8:$C$407=$P25)*($D$8:$D$407=S$7)*$A$8:$A$407))),0))</f>
        <v>0</v>
      </c>
      <c r="T25" s="143" t="n">
        <f aca="false">IF($P25="",0,IFERROR(AVERAGEIFS($J$8:$J$407,$C$8:$C$407,$P25,$D$8:$D$407,T$7,$A$8:$A$407,SUMPRODUCT(MAX(($C$8:$C$407=$P25)*($D$8:$D$407=T$7)*$A$8:$A$407))),0))</f>
        <v>0</v>
      </c>
      <c r="U25" s="143" t="n">
        <f aca="false">IF($P25="",0,IFERROR(AVERAGEIFS($J$8:$J$407,$C$8:$C$407,$P25,$D$8:$D$407,U$7,$A$8:$A$407,SUMPRODUCT(MAX(($C$8:$C$407=$P25)*($D$8:$D$407=U$7)*$A$8:$A$407))),0))</f>
        <v>0</v>
      </c>
      <c r="V25" s="143" t="n">
        <f aca="false">IF($P25="",0,IFERROR(AVERAGEIFS($J$8:$J$407,$C$8:$C$407,$P25,$D$8:$D$407,V$7,$A$8:$A$407,SUMPRODUCT(MAX(($C$8:$C$407=$P25)*($D$8:$D$407=V$7)*$A$8:$A$407))),0))</f>
        <v>0</v>
      </c>
      <c r="W25" s="143" t="n">
        <f aca="false">IF($P25="",0,IFERROR(AVERAGEIFS($J$8:$J$407,$C$8:$C$407,$P25,$D$8:$D$407,W$7,$A$8:$A$407,SUMPRODUCT(MAX(($C$8:$C$407=$P25)*($D$8:$D$407=W$7)*$A$8:$A$407))),0))</f>
        <v>0</v>
      </c>
      <c r="X25" s="143" t="n">
        <f aca="false">IF($P25="",0,IFERROR(AVERAGEIFS($J$8:$J$407,$C$8:$C$407,$P25,$D$8:$D$407,X$7,$A$8:$A$407,SUMPRODUCT(MAX(($C$8:$C$407=$P25)*($D$8:$D$407=X$7)*$A$8:$A$407))),0))</f>
        <v>0</v>
      </c>
      <c r="Y25" s="143" t="n">
        <f aca="false">IF($P25="",0,IFERROR(AVERAGEIFS($J$8:$J$407,$C$8:$C$407,$P25,$D$8:$D$407,Y$7,$A$8:$A$407,SUMPRODUCT(MAX(($C$8:$C$407=$P25)*($D$8:$D$407=Y$7)*$A$8:$A$407))),0))</f>
        <v>0</v>
      </c>
    </row>
    <row r="26" customFormat="false" ht="15" hidden="false" customHeight="false" outlineLevel="0" collapsed="false">
      <c r="A26" s="29" t="n">
        <v>46037</v>
      </c>
      <c r="B26" s="33" t="n">
        <f aca="false">IF($A26="",0,INT(($A26-Macrociclo!$C$11)/7)+1)</f>
        <v>2</v>
      </c>
      <c r="C26" s="27" t="s">
        <v>206</v>
      </c>
      <c r="D26" s="27" t="s">
        <v>688</v>
      </c>
      <c r="E26" s="27" t="s">
        <v>1205</v>
      </c>
      <c r="F26" s="32" t="n">
        <v>157.5</v>
      </c>
      <c r="G26" s="28" t="n">
        <v>1</v>
      </c>
      <c r="H26" s="35" t="n">
        <f aca="false">IF(OR($F26="",$G26=""),"",ROUND($F26*(1+$G26/30),1))</f>
        <v>162.8</v>
      </c>
      <c r="I26" s="35" t="n">
        <f aca="false">IF(OR($F26="",$G26="",$G26&gt;36),"",ROUND($F26/(1.0278-0.0278*$G26),1))</f>
        <v>157.5</v>
      </c>
      <c r="J26" s="30" t="n">
        <f aca="false">IF($E26="Direto (1RM real)",$F26,IF(OR($H26="",$I26=""),"",ROUND(AVERAGE($H26,$I26),1)))</f>
        <v>157.5</v>
      </c>
      <c r="K26" s="35" t="n">
        <f aca="false">IF($C26="","",IFERROR(INDEX(Cadastro!$P$8:$P$47,MATCH($C26,Cadastro!$B$8:$B$47,0)),""))</f>
        <v>88.9</v>
      </c>
      <c r="L26" s="36" t="n">
        <f aca="false">IFERROR($J26/$K26,"")</f>
        <v>1.77165354330709</v>
      </c>
      <c r="M26" s="45"/>
      <c r="N26" s="27" t="s">
        <v>373</v>
      </c>
      <c r="P26" s="60" t="str">
        <f aca="false">IF(Cadastro!$B26="","",Cadastro!$B26)</f>
        <v/>
      </c>
      <c r="Q26" s="30" t="n">
        <f aca="false">IF($P26="",0,IFERROR(AVERAGEIFS($J$8:$J$407,$C$8:$C$407,$P26,$D$8:$D$407,Q$7,$A$8:$A$407,SUMPRODUCT(MAX(($C$8:$C$407=$P26)*($D$8:$D$407=Q$7)*$A$8:$A$407))),0))</f>
        <v>0</v>
      </c>
      <c r="R26" s="30" t="n">
        <f aca="false">IF($P26="",0,IFERROR(AVERAGEIFS($J$8:$J$407,$C$8:$C$407,$P26,$D$8:$D$407,R$7,$A$8:$A$407,SUMPRODUCT(MAX(($C$8:$C$407=$P26)*($D$8:$D$407=R$7)*$A$8:$A$407))),0))</f>
        <v>0</v>
      </c>
      <c r="S26" s="30" t="n">
        <f aca="false">IF($P26="",0,IFERROR(AVERAGEIFS($J$8:$J$407,$C$8:$C$407,$P26,$D$8:$D$407,S$7,$A$8:$A$407,SUMPRODUCT(MAX(($C$8:$C$407=$P26)*($D$8:$D$407=S$7)*$A$8:$A$407))),0))</f>
        <v>0</v>
      </c>
      <c r="T26" s="30" t="n">
        <f aca="false">IF($P26="",0,IFERROR(AVERAGEIFS($J$8:$J$407,$C$8:$C$407,$P26,$D$8:$D$407,T$7,$A$8:$A$407,SUMPRODUCT(MAX(($C$8:$C$407=$P26)*($D$8:$D$407=T$7)*$A$8:$A$407))),0))</f>
        <v>0</v>
      </c>
      <c r="U26" s="30" t="n">
        <f aca="false">IF($P26="",0,IFERROR(AVERAGEIFS($J$8:$J$407,$C$8:$C$407,$P26,$D$8:$D$407,U$7,$A$8:$A$407,SUMPRODUCT(MAX(($C$8:$C$407=$P26)*($D$8:$D$407=U$7)*$A$8:$A$407))),0))</f>
        <v>0</v>
      </c>
      <c r="V26" s="30" t="n">
        <f aca="false">IF($P26="",0,IFERROR(AVERAGEIFS($J$8:$J$407,$C$8:$C$407,$P26,$D$8:$D$407,V$7,$A$8:$A$407,SUMPRODUCT(MAX(($C$8:$C$407=$P26)*($D$8:$D$407=V$7)*$A$8:$A$407))),0))</f>
        <v>0</v>
      </c>
      <c r="W26" s="30" t="n">
        <f aca="false">IF($P26="",0,IFERROR(AVERAGEIFS($J$8:$J$407,$C$8:$C$407,$P26,$D$8:$D$407,W$7,$A$8:$A$407,SUMPRODUCT(MAX(($C$8:$C$407=$P26)*($D$8:$D$407=W$7)*$A$8:$A$407))),0))</f>
        <v>0</v>
      </c>
      <c r="X26" s="30" t="n">
        <f aca="false">IF($P26="",0,IFERROR(AVERAGEIFS($J$8:$J$407,$C$8:$C$407,$P26,$D$8:$D$407,X$7,$A$8:$A$407,SUMPRODUCT(MAX(($C$8:$C$407=$P26)*($D$8:$D$407=X$7)*$A$8:$A$407))),0))</f>
        <v>0</v>
      </c>
      <c r="Y26" s="30" t="n">
        <f aca="false">IF($P26="",0,IFERROR(AVERAGEIFS($J$8:$J$407,$C$8:$C$407,$P26,$D$8:$D$407,Y$7,$A$8:$A$407,SUMPRODUCT(MAX(($C$8:$C$407=$P26)*($D$8:$D$407=Y$7)*$A$8:$A$407))),0))</f>
        <v>0</v>
      </c>
    </row>
    <row r="27" customFormat="false" ht="15" hidden="false" customHeight="false" outlineLevel="0" collapsed="false">
      <c r="A27" s="29" t="n">
        <v>46037</v>
      </c>
      <c r="B27" s="33" t="n">
        <f aca="false">IF($A27="",0,INT(($A27-Macrociclo!$C$11)/7)+1)</f>
        <v>2</v>
      </c>
      <c r="C27" s="27" t="s">
        <v>206</v>
      </c>
      <c r="D27" s="27" t="s">
        <v>695</v>
      </c>
      <c r="E27" s="27" t="s">
        <v>1205</v>
      </c>
      <c r="F27" s="32" t="n">
        <v>130</v>
      </c>
      <c r="G27" s="28" t="n">
        <v>1</v>
      </c>
      <c r="H27" s="35" t="n">
        <f aca="false">IF(OR($F27="",$G27=""),"",ROUND($F27*(1+$G27/30),1))</f>
        <v>134.3</v>
      </c>
      <c r="I27" s="35" t="n">
        <f aca="false">IF(OR($F27="",$G27="",$G27&gt;36),"",ROUND($F27/(1.0278-0.0278*$G27),1))</f>
        <v>130</v>
      </c>
      <c r="J27" s="30" t="n">
        <f aca="false">IF($E27="Direto (1RM real)",$F27,IF(OR($H27="",$I27=""),"",ROUND(AVERAGE($H27,$I27),1)))</f>
        <v>130</v>
      </c>
      <c r="K27" s="35" t="n">
        <f aca="false">IF($C27="","",IFERROR(INDEX(Cadastro!$P$8:$P$47,MATCH($C27,Cadastro!$B$8:$B$47,0)),""))</f>
        <v>88.9</v>
      </c>
      <c r="L27" s="36" t="n">
        <f aca="false">IFERROR($J27/$K27,"")</f>
        <v>1.46231721034871</v>
      </c>
      <c r="M27" s="45"/>
      <c r="N27" s="27" t="s">
        <v>373</v>
      </c>
      <c r="P27" s="62" t="str">
        <f aca="false">IF(Cadastro!$B27="","",Cadastro!$B27)</f>
        <v/>
      </c>
      <c r="Q27" s="143" t="n">
        <f aca="false">IF($P27="",0,IFERROR(AVERAGEIFS($J$8:$J$407,$C$8:$C$407,$P27,$D$8:$D$407,Q$7,$A$8:$A$407,SUMPRODUCT(MAX(($C$8:$C$407=$P27)*($D$8:$D$407=Q$7)*$A$8:$A$407))),0))</f>
        <v>0</v>
      </c>
      <c r="R27" s="143" t="n">
        <f aca="false">IF($P27="",0,IFERROR(AVERAGEIFS($J$8:$J$407,$C$8:$C$407,$P27,$D$8:$D$407,R$7,$A$8:$A$407,SUMPRODUCT(MAX(($C$8:$C$407=$P27)*($D$8:$D$407=R$7)*$A$8:$A$407))),0))</f>
        <v>0</v>
      </c>
      <c r="S27" s="143" t="n">
        <f aca="false">IF($P27="",0,IFERROR(AVERAGEIFS($J$8:$J$407,$C$8:$C$407,$P27,$D$8:$D$407,S$7,$A$8:$A$407,SUMPRODUCT(MAX(($C$8:$C$407=$P27)*($D$8:$D$407=S$7)*$A$8:$A$407))),0))</f>
        <v>0</v>
      </c>
      <c r="T27" s="143" t="n">
        <f aca="false">IF($P27="",0,IFERROR(AVERAGEIFS($J$8:$J$407,$C$8:$C$407,$P27,$D$8:$D$407,T$7,$A$8:$A$407,SUMPRODUCT(MAX(($C$8:$C$407=$P27)*($D$8:$D$407=T$7)*$A$8:$A$407))),0))</f>
        <v>0</v>
      </c>
      <c r="U27" s="143" t="n">
        <f aca="false">IF($P27="",0,IFERROR(AVERAGEIFS($J$8:$J$407,$C$8:$C$407,$P27,$D$8:$D$407,U$7,$A$8:$A$407,SUMPRODUCT(MAX(($C$8:$C$407=$P27)*($D$8:$D$407=U$7)*$A$8:$A$407))),0))</f>
        <v>0</v>
      </c>
      <c r="V27" s="143" t="n">
        <f aca="false">IF($P27="",0,IFERROR(AVERAGEIFS($J$8:$J$407,$C$8:$C$407,$P27,$D$8:$D$407,V$7,$A$8:$A$407,SUMPRODUCT(MAX(($C$8:$C$407=$P27)*($D$8:$D$407=V$7)*$A$8:$A$407))),0))</f>
        <v>0</v>
      </c>
      <c r="W27" s="143" t="n">
        <f aca="false">IF($P27="",0,IFERROR(AVERAGEIFS($J$8:$J$407,$C$8:$C$407,$P27,$D$8:$D$407,W$7,$A$8:$A$407,SUMPRODUCT(MAX(($C$8:$C$407=$P27)*($D$8:$D$407=W$7)*$A$8:$A$407))),0))</f>
        <v>0</v>
      </c>
      <c r="X27" s="143" t="n">
        <f aca="false">IF($P27="",0,IFERROR(AVERAGEIFS($J$8:$J$407,$C$8:$C$407,$P27,$D$8:$D$407,X$7,$A$8:$A$407,SUMPRODUCT(MAX(($C$8:$C$407=$P27)*($D$8:$D$407=X$7)*$A$8:$A$407))),0))</f>
        <v>0</v>
      </c>
      <c r="Y27" s="143" t="n">
        <f aca="false">IF($P27="",0,IFERROR(AVERAGEIFS($J$8:$J$407,$C$8:$C$407,$P27,$D$8:$D$407,Y$7,$A$8:$A$407,SUMPRODUCT(MAX(($C$8:$C$407=$P27)*($D$8:$D$407=Y$7)*$A$8:$A$407))),0))</f>
        <v>0</v>
      </c>
    </row>
    <row r="28" customFormat="false" ht="15" hidden="false" customHeight="false" outlineLevel="0" collapsed="false">
      <c r="A28" s="29" t="n">
        <v>46037</v>
      </c>
      <c r="B28" s="33" t="n">
        <f aca="false">IF($A28="",0,INT(($A28-Macrociclo!$C$11)/7)+1)</f>
        <v>2</v>
      </c>
      <c r="C28" s="27" t="s">
        <v>206</v>
      </c>
      <c r="D28" s="27" t="s">
        <v>701</v>
      </c>
      <c r="E28" s="27" t="s">
        <v>1205</v>
      </c>
      <c r="F28" s="32" t="n">
        <v>130</v>
      </c>
      <c r="G28" s="28" t="n">
        <v>1</v>
      </c>
      <c r="H28" s="35" t="n">
        <f aca="false">IF(OR($F28="",$G28=""),"",ROUND($F28*(1+$G28/30),1))</f>
        <v>134.3</v>
      </c>
      <c r="I28" s="35" t="n">
        <f aca="false">IF(OR($F28="",$G28="",$G28&gt;36),"",ROUND($F28/(1.0278-0.0278*$G28),1))</f>
        <v>130</v>
      </c>
      <c r="J28" s="30" t="n">
        <f aca="false">IF($E28="Direto (1RM real)",$F28,IF(OR($H28="",$I28=""),"",ROUND(AVERAGE($H28,$I28),1)))</f>
        <v>130</v>
      </c>
      <c r="K28" s="35" t="n">
        <f aca="false">IF($C28="","",IFERROR(INDEX(Cadastro!$P$8:$P$47,MATCH($C28,Cadastro!$B$8:$B$47,0)),""))</f>
        <v>88.9</v>
      </c>
      <c r="L28" s="36" t="n">
        <f aca="false">IFERROR($J28/$K28,"")</f>
        <v>1.46231721034871</v>
      </c>
      <c r="M28" s="45"/>
      <c r="N28" s="27" t="s">
        <v>373</v>
      </c>
      <c r="P28" s="60" t="str">
        <f aca="false">IF(Cadastro!$B28="","",Cadastro!$B28)</f>
        <v/>
      </c>
      <c r="Q28" s="30" t="n">
        <f aca="false">IF($P28="",0,IFERROR(AVERAGEIFS($J$8:$J$407,$C$8:$C$407,$P28,$D$8:$D$407,Q$7,$A$8:$A$407,SUMPRODUCT(MAX(($C$8:$C$407=$P28)*($D$8:$D$407=Q$7)*$A$8:$A$407))),0))</f>
        <v>0</v>
      </c>
      <c r="R28" s="30" t="n">
        <f aca="false">IF($P28="",0,IFERROR(AVERAGEIFS($J$8:$J$407,$C$8:$C$407,$P28,$D$8:$D$407,R$7,$A$8:$A$407,SUMPRODUCT(MAX(($C$8:$C$407=$P28)*($D$8:$D$407=R$7)*$A$8:$A$407))),0))</f>
        <v>0</v>
      </c>
      <c r="S28" s="30" t="n">
        <f aca="false">IF($P28="",0,IFERROR(AVERAGEIFS($J$8:$J$407,$C$8:$C$407,$P28,$D$8:$D$407,S$7,$A$8:$A$407,SUMPRODUCT(MAX(($C$8:$C$407=$P28)*($D$8:$D$407=S$7)*$A$8:$A$407))),0))</f>
        <v>0</v>
      </c>
      <c r="T28" s="30" t="n">
        <f aca="false">IF($P28="",0,IFERROR(AVERAGEIFS($J$8:$J$407,$C$8:$C$407,$P28,$D$8:$D$407,T$7,$A$8:$A$407,SUMPRODUCT(MAX(($C$8:$C$407=$P28)*($D$8:$D$407=T$7)*$A$8:$A$407))),0))</f>
        <v>0</v>
      </c>
      <c r="U28" s="30" t="n">
        <f aca="false">IF($P28="",0,IFERROR(AVERAGEIFS($J$8:$J$407,$C$8:$C$407,$P28,$D$8:$D$407,U$7,$A$8:$A$407,SUMPRODUCT(MAX(($C$8:$C$407=$P28)*($D$8:$D$407=U$7)*$A$8:$A$407))),0))</f>
        <v>0</v>
      </c>
      <c r="V28" s="30" t="n">
        <f aca="false">IF($P28="",0,IFERROR(AVERAGEIFS($J$8:$J$407,$C$8:$C$407,$P28,$D$8:$D$407,V$7,$A$8:$A$407,SUMPRODUCT(MAX(($C$8:$C$407=$P28)*($D$8:$D$407=V$7)*$A$8:$A$407))),0))</f>
        <v>0</v>
      </c>
      <c r="W28" s="30" t="n">
        <f aca="false">IF($P28="",0,IFERROR(AVERAGEIFS($J$8:$J$407,$C$8:$C$407,$P28,$D$8:$D$407,W$7,$A$8:$A$407,SUMPRODUCT(MAX(($C$8:$C$407=$P28)*($D$8:$D$407=W$7)*$A$8:$A$407))),0))</f>
        <v>0</v>
      </c>
      <c r="X28" s="30" t="n">
        <f aca="false">IF($P28="",0,IFERROR(AVERAGEIFS($J$8:$J$407,$C$8:$C$407,$P28,$D$8:$D$407,X$7,$A$8:$A$407,SUMPRODUCT(MAX(($C$8:$C$407=$P28)*($D$8:$D$407=X$7)*$A$8:$A$407))),0))</f>
        <v>0</v>
      </c>
      <c r="Y28" s="30" t="n">
        <f aca="false">IF($P28="",0,IFERROR(AVERAGEIFS($J$8:$J$407,$C$8:$C$407,$P28,$D$8:$D$407,Y$7,$A$8:$A$407,SUMPRODUCT(MAX(($C$8:$C$407=$P28)*($D$8:$D$407=Y$7)*$A$8:$A$407))),0))</f>
        <v>0</v>
      </c>
    </row>
    <row r="29" customFormat="false" ht="15" hidden="false" customHeight="false" outlineLevel="0" collapsed="false">
      <c r="A29" s="29" t="n">
        <v>46037</v>
      </c>
      <c r="B29" s="33" t="n">
        <f aca="false">IF($A29="",0,INT(($A29-Macrociclo!$C$11)/7)+1)</f>
        <v>2</v>
      </c>
      <c r="C29" s="27" t="s">
        <v>206</v>
      </c>
      <c r="D29" s="27" t="s">
        <v>758</v>
      </c>
      <c r="E29" s="27" t="s">
        <v>1205</v>
      </c>
      <c r="F29" s="32" t="n">
        <v>167.5</v>
      </c>
      <c r="G29" s="28" t="n">
        <v>1</v>
      </c>
      <c r="H29" s="35" t="n">
        <f aca="false">IF(OR($F29="",$G29=""),"",ROUND($F29*(1+$G29/30),1))</f>
        <v>173.1</v>
      </c>
      <c r="I29" s="35" t="n">
        <f aca="false">IF(OR($F29="",$G29="",$G29&gt;36),"",ROUND($F29/(1.0278-0.0278*$G29),1))</f>
        <v>167.5</v>
      </c>
      <c r="J29" s="30" t="n">
        <f aca="false">IF($E29="Direto (1RM real)",$F29,IF(OR($H29="",$I29=""),"",ROUND(AVERAGE($H29,$I29),1)))</f>
        <v>167.5</v>
      </c>
      <c r="K29" s="35" t="n">
        <f aca="false">IF($C29="","",IFERROR(INDEX(Cadastro!$P$8:$P$47,MATCH($C29,Cadastro!$B$8:$B$47,0)),""))</f>
        <v>88.9</v>
      </c>
      <c r="L29" s="36" t="n">
        <f aca="false">IFERROR($J29/$K29,"")</f>
        <v>1.88413948256468</v>
      </c>
      <c r="M29" s="45"/>
      <c r="N29" s="27" t="s">
        <v>373</v>
      </c>
      <c r="P29" s="62" t="str">
        <f aca="false">IF(Cadastro!$B29="","",Cadastro!$B29)</f>
        <v/>
      </c>
      <c r="Q29" s="143" t="n">
        <f aca="false">IF($P29="",0,IFERROR(AVERAGEIFS($J$8:$J$407,$C$8:$C$407,$P29,$D$8:$D$407,Q$7,$A$8:$A$407,SUMPRODUCT(MAX(($C$8:$C$407=$P29)*($D$8:$D$407=Q$7)*$A$8:$A$407))),0))</f>
        <v>0</v>
      </c>
      <c r="R29" s="143" t="n">
        <f aca="false">IF($P29="",0,IFERROR(AVERAGEIFS($J$8:$J$407,$C$8:$C$407,$P29,$D$8:$D$407,R$7,$A$8:$A$407,SUMPRODUCT(MAX(($C$8:$C$407=$P29)*($D$8:$D$407=R$7)*$A$8:$A$407))),0))</f>
        <v>0</v>
      </c>
      <c r="S29" s="143" t="n">
        <f aca="false">IF($P29="",0,IFERROR(AVERAGEIFS($J$8:$J$407,$C$8:$C$407,$P29,$D$8:$D$407,S$7,$A$8:$A$407,SUMPRODUCT(MAX(($C$8:$C$407=$P29)*($D$8:$D$407=S$7)*$A$8:$A$407))),0))</f>
        <v>0</v>
      </c>
      <c r="T29" s="143" t="n">
        <f aca="false">IF($P29="",0,IFERROR(AVERAGEIFS($J$8:$J$407,$C$8:$C$407,$P29,$D$8:$D$407,T$7,$A$8:$A$407,SUMPRODUCT(MAX(($C$8:$C$407=$P29)*($D$8:$D$407=T$7)*$A$8:$A$407))),0))</f>
        <v>0</v>
      </c>
      <c r="U29" s="143" t="n">
        <f aca="false">IF($P29="",0,IFERROR(AVERAGEIFS($J$8:$J$407,$C$8:$C$407,$P29,$D$8:$D$407,U$7,$A$8:$A$407,SUMPRODUCT(MAX(($C$8:$C$407=$P29)*($D$8:$D$407=U$7)*$A$8:$A$407))),0))</f>
        <v>0</v>
      </c>
      <c r="V29" s="143" t="n">
        <f aca="false">IF($P29="",0,IFERROR(AVERAGEIFS($J$8:$J$407,$C$8:$C$407,$P29,$D$8:$D$407,V$7,$A$8:$A$407,SUMPRODUCT(MAX(($C$8:$C$407=$P29)*($D$8:$D$407=V$7)*$A$8:$A$407))),0))</f>
        <v>0</v>
      </c>
      <c r="W29" s="143" t="n">
        <f aca="false">IF($P29="",0,IFERROR(AVERAGEIFS($J$8:$J$407,$C$8:$C$407,$P29,$D$8:$D$407,W$7,$A$8:$A$407,SUMPRODUCT(MAX(($C$8:$C$407=$P29)*($D$8:$D$407=W$7)*$A$8:$A$407))),0))</f>
        <v>0</v>
      </c>
      <c r="X29" s="143" t="n">
        <f aca="false">IF($P29="",0,IFERROR(AVERAGEIFS($J$8:$J$407,$C$8:$C$407,$P29,$D$8:$D$407,X$7,$A$8:$A$407,SUMPRODUCT(MAX(($C$8:$C$407=$P29)*($D$8:$D$407=X$7)*$A$8:$A$407))),0))</f>
        <v>0</v>
      </c>
      <c r="Y29" s="143" t="n">
        <f aca="false">IF($P29="",0,IFERROR(AVERAGEIFS($J$8:$J$407,$C$8:$C$407,$P29,$D$8:$D$407,Y$7,$A$8:$A$407,SUMPRODUCT(MAX(($C$8:$C$407=$P29)*($D$8:$D$407=Y$7)*$A$8:$A$407))),0))</f>
        <v>0</v>
      </c>
    </row>
    <row r="30" customFormat="false" ht="15" hidden="false" customHeight="false" outlineLevel="0" collapsed="false">
      <c r="A30" s="29" t="n">
        <v>46037</v>
      </c>
      <c r="B30" s="33" t="n">
        <f aca="false">IF($A30="",0,INT(($A30-Macrociclo!$C$11)/7)+1)</f>
        <v>2</v>
      </c>
      <c r="C30" s="27" t="s">
        <v>206</v>
      </c>
      <c r="D30" s="27" t="s">
        <v>648</v>
      </c>
      <c r="E30" s="27" t="s">
        <v>1205</v>
      </c>
      <c r="F30" s="32" t="n">
        <v>87.5</v>
      </c>
      <c r="G30" s="28" t="n">
        <v>1</v>
      </c>
      <c r="H30" s="35" t="n">
        <f aca="false">IF(OR($F30="",$G30=""),"",ROUND($F30*(1+$G30/30),1))</f>
        <v>90.4</v>
      </c>
      <c r="I30" s="35" t="n">
        <f aca="false">IF(OR($F30="",$G30="",$G30&gt;36),"",ROUND($F30/(1.0278-0.0278*$G30),1))</f>
        <v>87.5</v>
      </c>
      <c r="J30" s="30" t="n">
        <f aca="false">IF($E30="Direto (1RM real)",$F30,IF(OR($H30="",$I30=""),"",ROUND(AVERAGE($H30,$I30),1)))</f>
        <v>87.5</v>
      </c>
      <c r="K30" s="35" t="n">
        <f aca="false">IF($C30="","",IFERROR(INDEX(Cadastro!$P$8:$P$47,MATCH($C30,Cadastro!$B$8:$B$47,0)),""))</f>
        <v>88.9</v>
      </c>
      <c r="L30" s="36" t="n">
        <f aca="false">IFERROR($J30/$K30,"")</f>
        <v>0.984251968503937</v>
      </c>
      <c r="M30" s="45"/>
      <c r="N30" s="27" t="s">
        <v>373</v>
      </c>
      <c r="P30" s="60" t="str">
        <f aca="false">IF(Cadastro!$B30="","",Cadastro!$B30)</f>
        <v/>
      </c>
      <c r="Q30" s="30" t="n">
        <f aca="false">IF($P30="",0,IFERROR(AVERAGEIFS($J$8:$J$407,$C$8:$C$407,$P30,$D$8:$D$407,Q$7,$A$8:$A$407,SUMPRODUCT(MAX(($C$8:$C$407=$P30)*($D$8:$D$407=Q$7)*$A$8:$A$407))),0))</f>
        <v>0</v>
      </c>
      <c r="R30" s="30" t="n">
        <f aca="false">IF($P30="",0,IFERROR(AVERAGEIFS($J$8:$J$407,$C$8:$C$407,$P30,$D$8:$D$407,R$7,$A$8:$A$407,SUMPRODUCT(MAX(($C$8:$C$407=$P30)*($D$8:$D$407=R$7)*$A$8:$A$407))),0))</f>
        <v>0</v>
      </c>
      <c r="S30" s="30" t="n">
        <f aca="false">IF($P30="",0,IFERROR(AVERAGEIFS($J$8:$J$407,$C$8:$C$407,$P30,$D$8:$D$407,S$7,$A$8:$A$407,SUMPRODUCT(MAX(($C$8:$C$407=$P30)*($D$8:$D$407=S$7)*$A$8:$A$407))),0))</f>
        <v>0</v>
      </c>
      <c r="T30" s="30" t="n">
        <f aca="false">IF($P30="",0,IFERROR(AVERAGEIFS($J$8:$J$407,$C$8:$C$407,$P30,$D$8:$D$407,T$7,$A$8:$A$407,SUMPRODUCT(MAX(($C$8:$C$407=$P30)*($D$8:$D$407=T$7)*$A$8:$A$407))),0))</f>
        <v>0</v>
      </c>
      <c r="U30" s="30" t="n">
        <f aca="false">IF($P30="",0,IFERROR(AVERAGEIFS($J$8:$J$407,$C$8:$C$407,$P30,$D$8:$D$407,U$7,$A$8:$A$407,SUMPRODUCT(MAX(($C$8:$C$407=$P30)*($D$8:$D$407=U$7)*$A$8:$A$407))),0))</f>
        <v>0</v>
      </c>
      <c r="V30" s="30" t="n">
        <f aca="false">IF($P30="",0,IFERROR(AVERAGEIFS($J$8:$J$407,$C$8:$C$407,$P30,$D$8:$D$407,V$7,$A$8:$A$407,SUMPRODUCT(MAX(($C$8:$C$407=$P30)*($D$8:$D$407=V$7)*$A$8:$A$407))),0))</f>
        <v>0</v>
      </c>
      <c r="W30" s="30" t="n">
        <f aca="false">IF($P30="",0,IFERROR(AVERAGEIFS($J$8:$J$407,$C$8:$C$407,$P30,$D$8:$D$407,W$7,$A$8:$A$407,SUMPRODUCT(MAX(($C$8:$C$407=$P30)*($D$8:$D$407=W$7)*$A$8:$A$407))),0))</f>
        <v>0</v>
      </c>
      <c r="X30" s="30" t="n">
        <f aca="false">IF($P30="",0,IFERROR(AVERAGEIFS($J$8:$J$407,$C$8:$C$407,$P30,$D$8:$D$407,X$7,$A$8:$A$407,SUMPRODUCT(MAX(($C$8:$C$407=$P30)*($D$8:$D$407=X$7)*$A$8:$A$407))),0))</f>
        <v>0</v>
      </c>
      <c r="Y30" s="30" t="n">
        <f aca="false">IF($P30="",0,IFERROR(AVERAGEIFS($J$8:$J$407,$C$8:$C$407,$P30,$D$8:$D$407,Y$7,$A$8:$A$407,SUMPRODUCT(MAX(($C$8:$C$407=$P30)*($D$8:$D$407=Y$7)*$A$8:$A$407))),0))</f>
        <v>0</v>
      </c>
    </row>
    <row r="31" customFormat="false" ht="15" hidden="false" customHeight="false" outlineLevel="0" collapsed="false">
      <c r="A31" s="29" t="n">
        <v>46037</v>
      </c>
      <c r="B31" s="33" t="n">
        <f aca="false">IF($A31="",0,INT(($A31-Macrociclo!$C$11)/7)+1)</f>
        <v>2</v>
      </c>
      <c r="C31" s="27" t="s">
        <v>206</v>
      </c>
      <c r="D31" s="27" t="s">
        <v>644</v>
      </c>
      <c r="E31" s="27" t="s">
        <v>1205</v>
      </c>
      <c r="F31" s="32" t="n">
        <v>72.5</v>
      </c>
      <c r="G31" s="28" t="n">
        <v>1</v>
      </c>
      <c r="H31" s="35" t="n">
        <f aca="false">IF(OR($F31="",$G31=""),"",ROUND($F31*(1+$G31/30),1))</f>
        <v>74.9</v>
      </c>
      <c r="I31" s="35" t="n">
        <f aca="false">IF(OR($F31="",$G31="",$G31&gt;36),"",ROUND($F31/(1.0278-0.0278*$G31),1))</f>
        <v>72.5</v>
      </c>
      <c r="J31" s="30" t="n">
        <f aca="false">IF($E31="Direto (1RM real)",$F31,IF(OR($H31="",$I31=""),"",ROUND(AVERAGE($H31,$I31),1)))</f>
        <v>72.5</v>
      </c>
      <c r="K31" s="35" t="n">
        <f aca="false">IF($C31="","",IFERROR(INDEX(Cadastro!$P$8:$P$47,MATCH($C31,Cadastro!$B$8:$B$47,0)),""))</f>
        <v>88.9</v>
      </c>
      <c r="L31" s="36" t="n">
        <f aca="false">IFERROR($J31/$K31,"")</f>
        <v>0.815523059617548</v>
      </c>
      <c r="M31" s="45"/>
      <c r="N31" s="27" t="s">
        <v>373</v>
      </c>
      <c r="P31" s="62" t="str">
        <f aca="false">IF(Cadastro!$B31="","",Cadastro!$B31)</f>
        <v/>
      </c>
      <c r="Q31" s="143" t="n">
        <f aca="false">IF($P31="",0,IFERROR(AVERAGEIFS($J$8:$J$407,$C$8:$C$407,$P31,$D$8:$D$407,Q$7,$A$8:$A$407,SUMPRODUCT(MAX(($C$8:$C$407=$P31)*($D$8:$D$407=Q$7)*$A$8:$A$407))),0))</f>
        <v>0</v>
      </c>
      <c r="R31" s="143" t="n">
        <f aca="false">IF($P31="",0,IFERROR(AVERAGEIFS($J$8:$J$407,$C$8:$C$407,$P31,$D$8:$D$407,R$7,$A$8:$A$407,SUMPRODUCT(MAX(($C$8:$C$407=$P31)*($D$8:$D$407=R$7)*$A$8:$A$407))),0))</f>
        <v>0</v>
      </c>
      <c r="S31" s="143" t="n">
        <f aca="false">IF($P31="",0,IFERROR(AVERAGEIFS($J$8:$J$407,$C$8:$C$407,$P31,$D$8:$D$407,S$7,$A$8:$A$407,SUMPRODUCT(MAX(($C$8:$C$407=$P31)*($D$8:$D$407=S$7)*$A$8:$A$407))),0))</f>
        <v>0</v>
      </c>
      <c r="T31" s="143" t="n">
        <f aca="false">IF($P31="",0,IFERROR(AVERAGEIFS($J$8:$J$407,$C$8:$C$407,$P31,$D$8:$D$407,T$7,$A$8:$A$407,SUMPRODUCT(MAX(($C$8:$C$407=$P31)*($D$8:$D$407=T$7)*$A$8:$A$407))),0))</f>
        <v>0</v>
      </c>
      <c r="U31" s="143" t="n">
        <f aca="false">IF($P31="",0,IFERROR(AVERAGEIFS($J$8:$J$407,$C$8:$C$407,$P31,$D$8:$D$407,U$7,$A$8:$A$407,SUMPRODUCT(MAX(($C$8:$C$407=$P31)*($D$8:$D$407=U$7)*$A$8:$A$407))),0))</f>
        <v>0</v>
      </c>
      <c r="V31" s="143" t="n">
        <f aca="false">IF($P31="",0,IFERROR(AVERAGEIFS($J$8:$J$407,$C$8:$C$407,$P31,$D$8:$D$407,V$7,$A$8:$A$407,SUMPRODUCT(MAX(($C$8:$C$407=$P31)*($D$8:$D$407=V$7)*$A$8:$A$407))),0))</f>
        <v>0</v>
      </c>
      <c r="W31" s="143" t="n">
        <f aca="false">IF($P31="",0,IFERROR(AVERAGEIFS($J$8:$J$407,$C$8:$C$407,$P31,$D$8:$D$407,W$7,$A$8:$A$407,SUMPRODUCT(MAX(($C$8:$C$407=$P31)*($D$8:$D$407=W$7)*$A$8:$A$407))),0))</f>
        <v>0</v>
      </c>
      <c r="X31" s="143" t="n">
        <f aca="false">IF($P31="",0,IFERROR(AVERAGEIFS($J$8:$J$407,$C$8:$C$407,$P31,$D$8:$D$407,X$7,$A$8:$A$407,SUMPRODUCT(MAX(($C$8:$C$407=$P31)*($D$8:$D$407=X$7)*$A$8:$A$407))),0))</f>
        <v>0</v>
      </c>
      <c r="Y31" s="143" t="n">
        <f aca="false">IF($P31="",0,IFERROR(AVERAGEIFS($J$8:$J$407,$C$8:$C$407,$P31,$D$8:$D$407,Y$7,$A$8:$A$407,SUMPRODUCT(MAX(($C$8:$C$407=$P31)*($D$8:$D$407=Y$7)*$A$8:$A$407))),0))</f>
        <v>0</v>
      </c>
    </row>
    <row r="32" customFormat="false" ht="15" hidden="false" customHeight="false" outlineLevel="0" collapsed="false">
      <c r="A32" s="29" t="n">
        <v>46037</v>
      </c>
      <c r="B32" s="33" t="n">
        <f aca="false">IF($A32="",0,INT(($A32-Macrociclo!$C$11)/7)+1)</f>
        <v>2</v>
      </c>
      <c r="C32" s="27" t="s">
        <v>206</v>
      </c>
      <c r="D32" s="27" t="s">
        <v>660</v>
      </c>
      <c r="E32" s="27" t="s">
        <v>1205</v>
      </c>
      <c r="F32" s="32" t="n">
        <v>50</v>
      </c>
      <c r="G32" s="28" t="n">
        <v>1</v>
      </c>
      <c r="H32" s="35" t="n">
        <f aca="false">IF(OR($F32="",$G32=""),"",ROUND($F32*(1+$G32/30),1))</f>
        <v>51.7</v>
      </c>
      <c r="I32" s="35" t="n">
        <f aca="false">IF(OR($F32="",$G32="",$G32&gt;36),"",ROUND($F32/(1.0278-0.0278*$G32),1))</f>
        <v>50</v>
      </c>
      <c r="J32" s="30" t="n">
        <f aca="false">IF($E32="Direto (1RM real)",$F32,IF(OR($H32="",$I32=""),"",ROUND(AVERAGE($H32,$I32),1)))</f>
        <v>50</v>
      </c>
      <c r="K32" s="35" t="n">
        <f aca="false">IF($C32="","",IFERROR(INDEX(Cadastro!$P$8:$P$47,MATCH($C32,Cadastro!$B$8:$B$47,0)),""))</f>
        <v>88.9</v>
      </c>
      <c r="L32" s="36" t="n">
        <f aca="false">IFERROR($J32/$K32,"")</f>
        <v>0.562429696287964</v>
      </c>
      <c r="M32" s="45"/>
      <c r="N32" s="27" t="s">
        <v>373</v>
      </c>
      <c r="P32" s="60" t="str">
        <f aca="false">IF(Cadastro!$B32="","",Cadastro!$B32)</f>
        <v/>
      </c>
      <c r="Q32" s="30" t="n">
        <f aca="false">IF($P32="",0,IFERROR(AVERAGEIFS($J$8:$J$407,$C$8:$C$407,$P32,$D$8:$D$407,Q$7,$A$8:$A$407,SUMPRODUCT(MAX(($C$8:$C$407=$P32)*($D$8:$D$407=Q$7)*$A$8:$A$407))),0))</f>
        <v>0</v>
      </c>
      <c r="R32" s="30" t="n">
        <f aca="false">IF($P32="",0,IFERROR(AVERAGEIFS($J$8:$J$407,$C$8:$C$407,$P32,$D$8:$D$407,R$7,$A$8:$A$407,SUMPRODUCT(MAX(($C$8:$C$407=$P32)*($D$8:$D$407=R$7)*$A$8:$A$407))),0))</f>
        <v>0</v>
      </c>
      <c r="S32" s="30" t="n">
        <f aca="false">IF($P32="",0,IFERROR(AVERAGEIFS($J$8:$J$407,$C$8:$C$407,$P32,$D$8:$D$407,S$7,$A$8:$A$407,SUMPRODUCT(MAX(($C$8:$C$407=$P32)*($D$8:$D$407=S$7)*$A$8:$A$407))),0))</f>
        <v>0</v>
      </c>
      <c r="T32" s="30" t="n">
        <f aca="false">IF($P32="",0,IFERROR(AVERAGEIFS($J$8:$J$407,$C$8:$C$407,$P32,$D$8:$D$407,T$7,$A$8:$A$407,SUMPRODUCT(MAX(($C$8:$C$407=$P32)*($D$8:$D$407=T$7)*$A$8:$A$407))),0))</f>
        <v>0</v>
      </c>
      <c r="U32" s="30" t="n">
        <f aca="false">IF($P32="",0,IFERROR(AVERAGEIFS($J$8:$J$407,$C$8:$C$407,$P32,$D$8:$D$407,U$7,$A$8:$A$407,SUMPRODUCT(MAX(($C$8:$C$407=$P32)*($D$8:$D$407=U$7)*$A$8:$A$407))),0))</f>
        <v>0</v>
      </c>
      <c r="V32" s="30" t="n">
        <f aca="false">IF($P32="",0,IFERROR(AVERAGEIFS($J$8:$J$407,$C$8:$C$407,$P32,$D$8:$D$407,V$7,$A$8:$A$407,SUMPRODUCT(MAX(($C$8:$C$407=$P32)*($D$8:$D$407=V$7)*$A$8:$A$407))),0))</f>
        <v>0</v>
      </c>
      <c r="W32" s="30" t="n">
        <f aca="false">IF($P32="",0,IFERROR(AVERAGEIFS($J$8:$J$407,$C$8:$C$407,$P32,$D$8:$D$407,W$7,$A$8:$A$407,SUMPRODUCT(MAX(($C$8:$C$407=$P32)*($D$8:$D$407=W$7)*$A$8:$A$407))),0))</f>
        <v>0</v>
      </c>
      <c r="X32" s="30" t="n">
        <f aca="false">IF($P32="",0,IFERROR(AVERAGEIFS($J$8:$J$407,$C$8:$C$407,$P32,$D$8:$D$407,X$7,$A$8:$A$407,SUMPRODUCT(MAX(($C$8:$C$407=$P32)*($D$8:$D$407=X$7)*$A$8:$A$407))),0))</f>
        <v>0</v>
      </c>
      <c r="Y32" s="30" t="n">
        <f aca="false">IF($P32="",0,IFERROR(AVERAGEIFS($J$8:$J$407,$C$8:$C$407,$P32,$D$8:$D$407,Y$7,$A$8:$A$407,SUMPRODUCT(MAX(($C$8:$C$407=$P32)*($D$8:$D$407=Y$7)*$A$8:$A$407))),0))</f>
        <v>0</v>
      </c>
    </row>
    <row r="33" customFormat="false" ht="15" hidden="false" customHeight="false" outlineLevel="0" collapsed="false">
      <c r="A33" s="29" t="n">
        <v>46037</v>
      </c>
      <c r="B33" s="33" t="n">
        <f aca="false">IF($A33="",0,INT(($A33-Macrociclo!$C$11)/7)+1)</f>
        <v>2</v>
      </c>
      <c r="C33" s="27" t="s">
        <v>206</v>
      </c>
      <c r="D33" s="27" t="s">
        <v>953</v>
      </c>
      <c r="E33" s="27" t="s">
        <v>1205</v>
      </c>
      <c r="F33" s="32" t="n">
        <v>92.5</v>
      </c>
      <c r="G33" s="28" t="n">
        <v>1</v>
      </c>
      <c r="H33" s="35" t="n">
        <f aca="false">IF(OR($F33="",$G33=""),"",ROUND($F33*(1+$G33/30),1))</f>
        <v>95.6</v>
      </c>
      <c r="I33" s="35" t="n">
        <f aca="false">IF(OR($F33="",$G33="",$G33&gt;36),"",ROUND($F33/(1.0278-0.0278*$G33),1))</f>
        <v>92.5</v>
      </c>
      <c r="J33" s="30" t="n">
        <f aca="false">IF($E33="Direto (1RM real)",$F33,IF(OR($H33="",$I33=""),"",ROUND(AVERAGE($H33,$I33),1)))</f>
        <v>92.5</v>
      </c>
      <c r="K33" s="35" t="n">
        <f aca="false">IF($C33="","",IFERROR(INDEX(Cadastro!$P$8:$P$47,MATCH($C33,Cadastro!$B$8:$B$47,0)),""))</f>
        <v>88.9</v>
      </c>
      <c r="L33" s="36" t="n">
        <f aca="false">IFERROR($J33/$K33,"")</f>
        <v>1.04049493813273</v>
      </c>
      <c r="M33" s="45"/>
      <c r="N33" s="27" t="s">
        <v>373</v>
      </c>
      <c r="P33" s="62" t="str">
        <f aca="false">IF(Cadastro!$B33="","",Cadastro!$B33)</f>
        <v/>
      </c>
      <c r="Q33" s="143" t="n">
        <f aca="false">IF($P33="",0,IFERROR(AVERAGEIFS($J$8:$J$407,$C$8:$C$407,$P33,$D$8:$D$407,Q$7,$A$8:$A$407,SUMPRODUCT(MAX(($C$8:$C$407=$P33)*($D$8:$D$407=Q$7)*$A$8:$A$407))),0))</f>
        <v>0</v>
      </c>
      <c r="R33" s="143" t="n">
        <f aca="false">IF($P33="",0,IFERROR(AVERAGEIFS($J$8:$J$407,$C$8:$C$407,$P33,$D$8:$D$407,R$7,$A$8:$A$407,SUMPRODUCT(MAX(($C$8:$C$407=$P33)*($D$8:$D$407=R$7)*$A$8:$A$407))),0))</f>
        <v>0</v>
      </c>
      <c r="S33" s="143" t="n">
        <f aca="false">IF($P33="",0,IFERROR(AVERAGEIFS($J$8:$J$407,$C$8:$C$407,$P33,$D$8:$D$407,S$7,$A$8:$A$407,SUMPRODUCT(MAX(($C$8:$C$407=$P33)*($D$8:$D$407=S$7)*$A$8:$A$407))),0))</f>
        <v>0</v>
      </c>
      <c r="T33" s="143" t="n">
        <f aca="false">IF($P33="",0,IFERROR(AVERAGEIFS($J$8:$J$407,$C$8:$C$407,$P33,$D$8:$D$407,T$7,$A$8:$A$407,SUMPRODUCT(MAX(($C$8:$C$407=$P33)*($D$8:$D$407=T$7)*$A$8:$A$407))),0))</f>
        <v>0</v>
      </c>
      <c r="U33" s="143" t="n">
        <f aca="false">IF($P33="",0,IFERROR(AVERAGEIFS($J$8:$J$407,$C$8:$C$407,$P33,$D$8:$D$407,U$7,$A$8:$A$407,SUMPRODUCT(MAX(($C$8:$C$407=$P33)*($D$8:$D$407=U$7)*$A$8:$A$407))),0))</f>
        <v>0</v>
      </c>
      <c r="V33" s="143" t="n">
        <f aca="false">IF($P33="",0,IFERROR(AVERAGEIFS($J$8:$J$407,$C$8:$C$407,$P33,$D$8:$D$407,V$7,$A$8:$A$407,SUMPRODUCT(MAX(($C$8:$C$407=$P33)*($D$8:$D$407=V$7)*$A$8:$A$407))),0))</f>
        <v>0</v>
      </c>
      <c r="W33" s="143" t="n">
        <f aca="false">IF($P33="",0,IFERROR(AVERAGEIFS($J$8:$J$407,$C$8:$C$407,$P33,$D$8:$D$407,W$7,$A$8:$A$407,SUMPRODUCT(MAX(($C$8:$C$407=$P33)*($D$8:$D$407=W$7)*$A$8:$A$407))),0))</f>
        <v>0</v>
      </c>
      <c r="X33" s="143" t="n">
        <f aca="false">IF($P33="",0,IFERROR(AVERAGEIFS($J$8:$J$407,$C$8:$C$407,$P33,$D$8:$D$407,X$7,$A$8:$A$407,SUMPRODUCT(MAX(($C$8:$C$407=$P33)*($D$8:$D$407=X$7)*$A$8:$A$407))),0))</f>
        <v>0</v>
      </c>
      <c r="Y33" s="143" t="n">
        <f aca="false">IF($P33="",0,IFERROR(AVERAGEIFS($J$8:$J$407,$C$8:$C$407,$P33,$D$8:$D$407,Y$7,$A$8:$A$407,SUMPRODUCT(MAX(($C$8:$C$407=$P33)*($D$8:$D$407=Y$7)*$A$8:$A$407))),0))</f>
        <v>0</v>
      </c>
    </row>
    <row r="34" customFormat="false" ht="15" hidden="false" customHeight="false" outlineLevel="0" collapsed="false">
      <c r="A34" s="29" t="n">
        <v>46037</v>
      </c>
      <c r="B34" s="33" t="n">
        <f aca="false">IF($A34="",0,INT(($A34-Macrociclo!$C$11)/7)+1)</f>
        <v>2</v>
      </c>
      <c r="C34" s="27" t="s">
        <v>206</v>
      </c>
      <c r="D34" s="27" t="s">
        <v>620</v>
      </c>
      <c r="E34" s="27" t="s">
        <v>1205</v>
      </c>
      <c r="F34" s="32" t="n">
        <v>107.5</v>
      </c>
      <c r="G34" s="28" t="n">
        <v>1</v>
      </c>
      <c r="H34" s="35" t="n">
        <f aca="false">IF(OR($F34="",$G34=""),"",ROUND($F34*(1+$G34/30),1))</f>
        <v>111.1</v>
      </c>
      <c r="I34" s="35" t="n">
        <f aca="false">IF(OR($F34="",$G34="",$G34&gt;36),"",ROUND($F34/(1.0278-0.0278*$G34),1))</f>
        <v>107.5</v>
      </c>
      <c r="J34" s="30" t="n">
        <f aca="false">IF($E34="Direto (1RM real)",$F34,IF(OR($H34="",$I34=""),"",ROUND(AVERAGE($H34,$I34),1)))</f>
        <v>107.5</v>
      </c>
      <c r="K34" s="35" t="n">
        <f aca="false">IF($C34="","",IFERROR(INDEX(Cadastro!$P$8:$P$47,MATCH($C34,Cadastro!$B$8:$B$47,0)),""))</f>
        <v>88.9</v>
      </c>
      <c r="L34" s="36" t="n">
        <f aca="false">IFERROR($J34/$K34,"")</f>
        <v>1.20922384701912</v>
      </c>
      <c r="M34" s="45"/>
      <c r="N34" s="27" t="s">
        <v>373</v>
      </c>
      <c r="P34" s="60" t="str">
        <f aca="false">IF(Cadastro!$B34="","",Cadastro!$B34)</f>
        <v/>
      </c>
      <c r="Q34" s="30" t="n">
        <f aca="false">IF($P34="",0,IFERROR(AVERAGEIFS($J$8:$J$407,$C$8:$C$407,$P34,$D$8:$D$407,Q$7,$A$8:$A$407,SUMPRODUCT(MAX(($C$8:$C$407=$P34)*($D$8:$D$407=Q$7)*$A$8:$A$407))),0))</f>
        <v>0</v>
      </c>
      <c r="R34" s="30" t="n">
        <f aca="false">IF($P34="",0,IFERROR(AVERAGEIFS($J$8:$J$407,$C$8:$C$407,$P34,$D$8:$D$407,R$7,$A$8:$A$407,SUMPRODUCT(MAX(($C$8:$C$407=$P34)*($D$8:$D$407=R$7)*$A$8:$A$407))),0))</f>
        <v>0</v>
      </c>
      <c r="S34" s="30" t="n">
        <f aca="false">IF($P34="",0,IFERROR(AVERAGEIFS($J$8:$J$407,$C$8:$C$407,$P34,$D$8:$D$407,S$7,$A$8:$A$407,SUMPRODUCT(MAX(($C$8:$C$407=$P34)*($D$8:$D$407=S$7)*$A$8:$A$407))),0))</f>
        <v>0</v>
      </c>
      <c r="T34" s="30" t="n">
        <f aca="false">IF($P34="",0,IFERROR(AVERAGEIFS($J$8:$J$407,$C$8:$C$407,$P34,$D$8:$D$407,T$7,$A$8:$A$407,SUMPRODUCT(MAX(($C$8:$C$407=$P34)*($D$8:$D$407=T$7)*$A$8:$A$407))),0))</f>
        <v>0</v>
      </c>
      <c r="U34" s="30" t="n">
        <f aca="false">IF($P34="",0,IFERROR(AVERAGEIFS($J$8:$J$407,$C$8:$C$407,$P34,$D$8:$D$407,U$7,$A$8:$A$407,SUMPRODUCT(MAX(($C$8:$C$407=$P34)*($D$8:$D$407=U$7)*$A$8:$A$407))),0))</f>
        <v>0</v>
      </c>
      <c r="V34" s="30" t="n">
        <f aca="false">IF($P34="",0,IFERROR(AVERAGEIFS($J$8:$J$407,$C$8:$C$407,$P34,$D$8:$D$407,V$7,$A$8:$A$407,SUMPRODUCT(MAX(($C$8:$C$407=$P34)*($D$8:$D$407=V$7)*$A$8:$A$407))),0))</f>
        <v>0</v>
      </c>
      <c r="W34" s="30" t="n">
        <f aca="false">IF($P34="",0,IFERROR(AVERAGEIFS($J$8:$J$407,$C$8:$C$407,$P34,$D$8:$D$407,W$7,$A$8:$A$407,SUMPRODUCT(MAX(($C$8:$C$407=$P34)*($D$8:$D$407=W$7)*$A$8:$A$407))),0))</f>
        <v>0</v>
      </c>
      <c r="X34" s="30" t="n">
        <f aca="false">IF($P34="",0,IFERROR(AVERAGEIFS($J$8:$J$407,$C$8:$C$407,$P34,$D$8:$D$407,X$7,$A$8:$A$407,SUMPRODUCT(MAX(($C$8:$C$407=$P34)*($D$8:$D$407=X$7)*$A$8:$A$407))),0))</f>
        <v>0</v>
      </c>
      <c r="Y34" s="30" t="n">
        <f aca="false">IF($P34="",0,IFERROR(AVERAGEIFS($J$8:$J$407,$C$8:$C$407,$P34,$D$8:$D$407,Y$7,$A$8:$A$407,SUMPRODUCT(MAX(($C$8:$C$407=$P34)*($D$8:$D$407=Y$7)*$A$8:$A$407))),0))</f>
        <v>0</v>
      </c>
    </row>
    <row r="35" customFormat="false" ht="15" hidden="false" customHeight="false" outlineLevel="0" collapsed="false">
      <c r="A35" s="29" t="n">
        <v>46037</v>
      </c>
      <c r="B35" s="33" t="n">
        <f aca="false">IF($A35="",0,INT(($A35-Macrociclo!$C$11)/7)+1)</f>
        <v>2</v>
      </c>
      <c r="C35" s="27" t="s">
        <v>215</v>
      </c>
      <c r="D35" s="27" t="s">
        <v>688</v>
      </c>
      <c r="E35" s="27" t="s">
        <v>1205</v>
      </c>
      <c r="F35" s="32" t="n">
        <v>150</v>
      </c>
      <c r="G35" s="28" t="n">
        <v>1</v>
      </c>
      <c r="H35" s="35" t="n">
        <f aca="false">IF(OR($F35="",$G35=""),"",ROUND($F35*(1+$G35/30),1))</f>
        <v>155</v>
      </c>
      <c r="I35" s="35" t="n">
        <f aca="false">IF(OR($F35="",$G35="",$G35&gt;36),"",ROUND($F35/(1.0278-0.0278*$G35),1))</f>
        <v>150</v>
      </c>
      <c r="J35" s="30" t="n">
        <f aca="false">IF($E35="Direto (1RM real)",$F35,IF(OR($H35="",$I35=""),"",ROUND(AVERAGE($H35,$I35),1)))</f>
        <v>150</v>
      </c>
      <c r="K35" s="35" t="n">
        <f aca="false">IF($C35="","",IFERROR(INDEX(Cadastro!$P$8:$P$47,MATCH($C35,Cadastro!$B$8:$B$47,0)),""))</f>
        <v>87.7</v>
      </c>
      <c r="L35" s="36" t="n">
        <f aca="false">IFERROR($J35/$K35,"")</f>
        <v>1.71037628278221</v>
      </c>
      <c r="M35" s="45"/>
      <c r="N35" s="27" t="s">
        <v>373</v>
      </c>
      <c r="P35" s="62" t="str">
        <f aca="false">IF(Cadastro!$B35="","",Cadastro!$B35)</f>
        <v/>
      </c>
      <c r="Q35" s="143" t="n">
        <f aca="false">IF($P35="",0,IFERROR(AVERAGEIFS($J$8:$J$407,$C$8:$C$407,$P35,$D$8:$D$407,Q$7,$A$8:$A$407,SUMPRODUCT(MAX(($C$8:$C$407=$P35)*($D$8:$D$407=Q$7)*$A$8:$A$407))),0))</f>
        <v>0</v>
      </c>
      <c r="R35" s="143" t="n">
        <f aca="false">IF($P35="",0,IFERROR(AVERAGEIFS($J$8:$J$407,$C$8:$C$407,$P35,$D$8:$D$407,R$7,$A$8:$A$407,SUMPRODUCT(MAX(($C$8:$C$407=$P35)*($D$8:$D$407=R$7)*$A$8:$A$407))),0))</f>
        <v>0</v>
      </c>
      <c r="S35" s="143" t="n">
        <f aca="false">IF($P35="",0,IFERROR(AVERAGEIFS($J$8:$J$407,$C$8:$C$407,$P35,$D$8:$D$407,S$7,$A$8:$A$407,SUMPRODUCT(MAX(($C$8:$C$407=$P35)*($D$8:$D$407=S$7)*$A$8:$A$407))),0))</f>
        <v>0</v>
      </c>
      <c r="T35" s="143" t="n">
        <f aca="false">IF($P35="",0,IFERROR(AVERAGEIFS($J$8:$J$407,$C$8:$C$407,$P35,$D$8:$D$407,T$7,$A$8:$A$407,SUMPRODUCT(MAX(($C$8:$C$407=$P35)*($D$8:$D$407=T$7)*$A$8:$A$407))),0))</f>
        <v>0</v>
      </c>
      <c r="U35" s="143" t="n">
        <f aca="false">IF($P35="",0,IFERROR(AVERAGEIFS($J$8:$J$407,$C$8:$C$407,$P35,$D$8:$D$407,U$7,$A$8:$A$407,SUMPRODUCT(MAX(($C$8:$C$407=$P35)*($D$8:$D$407=U$7)*$A$8:$A$407))),0))</f>
        <v>0</v>
      </c>
      <c r="V35" s="143" t="n">
        <f aca="false">IF($P35="",0,IFERROR(AVERAGEIFS($J$8:$J$407,$C$8:$C$407,$P35,$D$8:$D$407,V$7,$A$8:$A$407,SUMPRODUCT(MAX(($C$8:$C$407=$P35)*($D$8:$D$407=V$7)*$A$8:$A$407))),0))</f>
        <v>0</v>
      </c>
      <c r="W35" s="143" t="n">
        <f aca="false">IF($P35="",0,IFERROR(AVERAGEIFS($J$8:$J$407,$C$8:$C$407,$P35,$D$8:$D$407,W$7,$A$8:$A$407,SUMPRODUCT(MAX(($C$8:$C$407=$P35)*($D$8:$D$407=W$7)*$A$8:$A$407))),0))</f>
        <v>0</v>
      </c>
      <c r="X35" s="143" t="n">
        <f aca="false">IF($P35="",0,IFERROR(AVERAGEIFS($J$8:$J$407,$C$8:$C$407,$P35,$D$8:$D$407,X$7,$A$8:$A$407,SUMPRODUCT(MAX(($C$8:$C$407=$P35)*($D$8:$D$407=X$7)*$A$8:$A$407))),0))</f>
        <v>0</v>
      </c>
      <c r="Y35" s="143" t="n">
        <f aca="false">IF($P35="",0,IFERROR(AVERAGEIFS($J$8:$J$407,$C$8:$C$407,$P35,$D$8:$D$407,Y$7,$A$8:$A$407,SUMPRODUCT(MAX(($C$8:$C$407=$P35)*($D$8:$D$407=Y$7)*$A$8:$A$407))),0))</f>
        <v>0</v>
      </c>
    </row>
    <row r="36" customFormat="false" ht="15" hidden="false" customHeight="false" outlineLevel="0" collapsed="false">
      <c r="A36" s="29" t="n">
        <v>46037</v>
      </c>
      <c r="B36" s="33" t="n">
        <f aca="false">IF($A36="",0,INT(($A36-Macrociclo!$C$11)/7)+1)</f>
        <v>2</v>
      </c>
      <c r="C36" s="27" t="s">
        <v>215</v>
      </c>
      <c r="D36" s="27" t="s">
        <v>695</v>
      </c>
      <c r="E36" s="27" t="s">
        <v>1205</v>
      </c>
      <c r="F36" s="32" t="n">
        <v>110</v>
      </c>
      <c r="G36" s="28" t="n">
        <v>1</v>
      </c>
      <c r="H36" s="35" t="n">
        <f aca="false">IF(OR($F36="",$G36=""),"",ROUND($F36*(1+$G36/30),1))</f>
        <v>113.7</v>
      </c>
      <c r="I36" s="35" t="n">
        <f aca="false">IF(OR($F36="",$G36="",$G36&gt;36),"",ROUND($F36/(1.0278-0.0278*$G36),1))</f>
        <v>110</v>
      </c>
      <c r="J36" s="30" t="n">
        <f aca="false">IF($E36="Direto (1RM real)",$F36,IF(OR($H36="",$I36=""),"",ROUND(AVERAGE($H36,$I36),1)))</f>
        <v>110</v>
      </c>
      <c r="K36" s="35" t="n">
        <f aca="false">IF($C36="","",IFERROR(INDEX(Cadastro!$P$8:$P$47,MATCH($C36,Cadastro!$B$8:$B$47,0)),""))</f>
        <v>87.7</v>
      </c>
      <c r="L36" s="36" t="n">
        <f aca="false">IFERROR($J36/$K36,"")</f>
        <v>1.25427594070696</v>
      </c>
      <c r="M36" s="45"/>
      <c r="N36" s="27" t="s">
        <v>373</v>
      </c>
      <c r="P36" s="60" t="str">
        <f aca="false">IF(Cadastro!$B36="","",Cadastro!$B36)</f>
        <v/>
      </c>
      <c r="Q36" s="30" t="n">
        <f aca="false">IF($P36="",0,IFERROR(AVERAGEIFS($J$8:$J$407,$C$8:$C$407,$P36,$D$8:$D$407,Q$7,$A$8:$A$407,SUMPRODUCT(MAX(($C$8:$C$407=$P36)*($D$8:$D$407=Q$7)*$A$8:$A$407))),0))</f>
        <v>0</v>
      </c>
      <c r="R36" s="30" t="n">
        <f aca="false">IF($P36="",0,IFERROR(AVERAGEIFS($J$8:$J$407,$C$8:$C$407,$P36,$D$8:$D$407,R$7,$A$8:$A$407,SUMPRODUCT(MAX(($C$8:$C$407=$P36)*($D$8:$D$407=R$7)*$A$8:$A$407))),0))</f>
        <v>0</v>
      </c>
      <c r="S36" s="30" t="n">
        <f aca="false">IF($P36="",0,IFERROR(AVERAGEIFS($J$8:$J$407,$C$8:$C$407,$P36,$D$8:$D$407,S$7,$A$8:$A$407,SUMPRODUCT(MAX(($C$8:$C$407=$P36)*($D$8:$D$407=S$7)*$A$8:$A$407))),0))</f>
        <v>0</v>
      </c>
      <c r="T36" s="30" t="n">
        <f aca="false">IF($P36="",0,IFERROR(AVERAGEIFS($J$8:$J$407,$C$8:$C$407,$P36,$D$8:$D$407,T$7,$A$8:$A$407,SUMPRODUCT(MAX(($C$8:$C$407=$P36)*($D$8:$D$407=T$7)*$A$8:$A$407))),0))</f>
        <v>0</v>
      </c>
      <c r="U36" s="30" t="n">
        <f aca="false">IF($P36="",0,IFERROR(AVERAGEIFS($J$8:$J$407,$C$8:$C$407,$P36,$D$8:$D$407,U$7,$A$8:$A$407,SUMPRODUCT(MAX(($C$8:$C$407=$P36)*($D$8:$D$407=U$7)*$A$8:$A$407))),0))</f>
        <v>0</v>
      </c>
      <c r="V36" s="30" t="n">
        <f aca="false">IF($P36="",0,IFERROR(AVERAGEIFS($J$8:$J$407,$C$8:$C$407,$P36,$D$8:$D$407,V$7,$A$8:$A$407,SUMPRODUCT(MAX(($C$8:$C$407=$P36)*($D$8:$D$407=V$7)*$A$8:$A$407))),0))</f>
        <v>0</v>
      </c>
      <c r="W36" s="30" t="n">
        <f aca="false">IF($P36="",0,IFERROR(AVERAGEIFS($J$8:$J$407,$C$8:$C$407,$P36,$D$8:$D$407,W$7,$A$8:$A$407,SUMPRODUCT(MAX(($C$8:$C$407=$P36)*($D$8:$D$407=W$7)*$A$8:$A$407))),0))</f>
        <v>0</v>
      </c>
      <c r="X36" s="30" t="n">
        <f aca="false">IF($P36="",0,IFERROR(AVERAGEIFS($J$8:$J$407,$C$8:$C$407,$P36,$D$8:$D$407,X$7,$A$8:$A$407,SUMPRODUCT(MAX(($C$8:$C$407=$P36)*($D$8:$D$407=X$7)*$A$8:$A$407))),0))</f>
        <v>0</v>
      </c>
      <c r="Y36" s="30" t="n">
        <f aca="false">IF($P36="",0,IFERROR(AVERAGEIFS($J$8:$J$407,$C$8:$C$407,$P36,$D$8:$D$407,Y$7,$A$8:$A$407,SUMPRODUCT(MAX(($C$8:$C$407=$P36)*($D$8:$D$407=Y$7)*$A$8:$A$407))),0))</f>
        <v>0</v>
      </c>
    </row>
    <row r="37" customFormat="false" ht="15" hidden="false" customHeight="false" outlineLevel="0" collapsed="false">
      <c r="A37" s="29" t="n">
        <v>46037</v>
      </c>
      <c r="B37" s="33" t="n">
        <f aca="false">IF($A37="",0,INT(($A37-Macrociclo!$C$11)/7)+1)</f>
        <v>2</v>
      </c>
      <c r="C37" s="27" t="s">
        <v>215</v>
      </c>
      <c r="D37" s="27" t="s">
        <v>701</v>
      </c>
      <c r="E37" s="27" t="s">
        <v>1205</v>
      </c>
      <c r="F37" s="32" t="n">
        <v>120</v>
      </c>
      <c r="G37" s="28" t="n">
        <v>1</v>
      </c>
      <c r="H37" s="35" t="n">
        <f aca="false">IF(OR($F37="",$G37=""),"",ROUND($F37*(1+$G37/30),1))</f>
        <v>124</v>
      </c>
      <c r="I37" s="35" t="n">
        <f aca="false">IF(OR($F37="",$G37="",$G37&gt;36),"",ROUND($F37/(1.0278-0.0278*$G37),1))</f>
        <v>120</v>
      </c>
      <c r="J37" s="30" t="n">
        <f aca="false">IF($E37="Direto (1RM real)",$F37,IF(OR($H37="",$I37=""),"",ROUND(AVERAGE($H37,$I37),1)))</f>
        <v>120</v>
      </c>
      <c r="K37" s="35" t="n">
        <f aca="false">IF($C37="","",IFERROR(INDEX(Cadastro!$P$8:$P$47,MATCH($C37,Cadastro!$B$8:$B$47,0)),""))</f>
        <v>87.7</v>
      </c>
      <c r="L37" s="36" t="n">
        <f aca="false">IFERROR($J37/$K37,"")</f>
        <v>1.36830102622577</v>
      </c>
      <c r="M37" s="45"/>
      <c r="N37" s="27" t="s">
        <v>373</v>
      </c>
      <c r="P37" s="62" t="str">
        <f aca="false">IF(Cadastro!$B37="","",Cadastro!$B37)</f>
        <v/>
      </c>
      <c r="Q37" s="143" t="n">
        <f aca="false">IF($P37="",0,IFERROR(AVERAGEIFS($J$8:$J$407,$C$8:$C$407,$P37,$D$8:$D$407,Q$7,$A$8:$A$407,SUMPRODUCT(MAX(($C$8:$C$407=$P37)*($D$8:$D$407=Q$7)*$A$8:$A$407))),0))</f>
        <v>0</v>
      </c>
      <c r="R37" s="143" t="n">
        <f aca="false">IF($P37="",0,IFERROR(AVERAGEIFS($J$8:$J$407,$C$8:$C$407,$P37,$D$8:$D$407,R$7,$A$8:$A$407,SUMPRODUCT(MAX(($C$8:$C$407=$P37)*($D$8:$D$407=R$7)*$A$8:$A$407))),0))</f>
        <v>0</v>
      </c>
      <c r="S37" s="143" t="n">
        <f aca="false">IF($P37="",0,IFERROR(AVERAGEIFS($J$8:$J$407,$C$8:$C$407,$P37,$D$8:$D$407,S$7,$A$8:$A$407,SUMPRODUCT(MAX(($C$8:$C$407=$P37)*($D$8:$D$407=S$7)*$A$8:$A$407))),0))</f>
        <v>0</v>
      </c>
      <c r="T37" s="143" t="n">
        <f aca="false">IF($P37="",0,IFERROR(AVERAGEIFS($J$8:$J$407,$C$8:$C$407,$P37,$D$8:$D$407,T$7,$A$8:$A$407,SUMPRODUCT(MAX(($C$8:$C$407=$P37)*($D$8:$D$407=T$7)*$A$8:$A$407))),0))</f>
        <v>0</v>
      </c>
      <c r="U37" s="143" t="n">
        <f aca="false">IF($P37="",0,IFERROR(AVERAGEIFS($J$8:$J$407,$C$8:$C$407,$P37,$D$8:$D$407,U$7,$A$8:$A$407,SUMPRODUCT(MAX(($C$8:$C$407=$P37)*($D$8:$D$407=U$7)*$A$8:$A$407))),0))</f>
        <v>0</v>
      </c>
      <c r="V37" s="143" t="n">
        <f aca="false">IF($P37="",0,IFERROR(AVERAGEIFS($J$8:$J$407,$C$8:$C$407,$P37,$D$8:$D$407,V$7,$A$8:$A$407,SUMPRODUCT(MAX(($C$8:$C$407=$P37)*($D$8:$D$407=V$7)*$A$8:$A$407))),0))</f>
        <v>0</v>
      </c>
      <c r="W37" s="143" t="n">
        <f aca="false">IF($P37="",0,IFERROR(AVERAGEIFS($J$8:$J$407,$C$8:$C$407,$P37,$D$8:$D$407,W$7,$A$8:$A$407,SUMPRODUCT(MAX(($C$8:$C$407=$P37)*($D$8:$D$407=W$7)*$A$8:$A$407))),0))</f>
        <v>0</v>
      </c>
      <c r="X37" s="143" t="n">
        <f aca="false">IF($P37="",0,IFERROR(AVERAGEIFS($J$8:$J$407,$C$8:$C$407,$P37,$D$8:$D$407,X$7,$A$8:$A$407,SUMPRODUCT(MAX(($C$8:$C$407=$P37)*($D$8:$D$407=X$7)*$A$8:$A$407))),0))</f>
        <v>0</v>
      </c>
      <c r="Y37" s="143" t="n">
        <f aca="false">IF($P37="",0,IFERROR(AVERAGEIFS($J$8:$J$407,$C$8:$C$407,$P37,$D$8:$D$407,Y$7,$A$8:$A$407,SUMPRODUCT(MAX(($C$8:$C$407=$P37)*($D$8:$D$407=Y$7)*$A$8:$A$407))),0))</f>
        <v>0</v>
      </c>
    </row>
    <row r="38" customFormat="false" ht="15" hidden="false" customHeight="false" outlineLevel="0" collapsed="false">
      <c r="A38" s="29" t="n">
        <v>46037</v>
      </c>
      <c r="B38" s="33" t="n">
        <f aca="false">IF($A38="",0,INT(($A38-Macrociclo!$C$11)/7)+1)</f>
        <v>2</v>
      </c>
      <c r="C38" s="27" t="s">
        <v>215</v>
      </c>
      <c r="D38" s="27" t="s">
        <v>758</v>
      </c>
      <c r="E38" s="27" t="s">
        <v>1205</v>
      </c>
      <c r="F38" s="32" t="n">
        <v>167.5</v>
      </c>
      <c r="G38" s="28" t="n">
        <v>1</v>
      </c>
      <c r="H38" s="35" t="n">
        <f aca="false">IF(OR($F38="",$G38=""),"",ROUND($F38*(1+$G38/30),1))</f>
        <v>173.1</v>
      </c>
      <c r="I38" s="35" t="n">
        <f aca="false">IF(OR($F38="",$G38="",$G38&gt;36),"",ROUND($F38/(1.0278-0.0278*$G38),1))</f>
        <v>167.5</v>
      </c>
      <c r="J38" s="30" t="n">
        <f aca="false">IF($E38="Direto (1RM real)",$F38,IF(OR($H38="",$I38=""),"",ROUND(AVERAGE($H38,$I38),1)))</f>
        <v>167.5</v>
      </c>
      <c r="K38" s="35" t="n">
        <f aca="false">IF($C38="","",IFERROR(INDEX(Cadastro!$P$8:$P$47,MATCH($C38,Cadastro!$B$8:$B$47,0)),""))</f>
        <v>87.7</v>
      </c>
      <c r="L38" s="36" t="n">
        <f aca="false">IFERROR($J38/$K38,"")</f>
        <v>1.90992018244014</v>
      </c>
      <c r="M38" s="45"/>
      <c r="N38" s="27" t="s">
        <v>373</v>
      </c>
      <c r="P38" s="60" t="str">
        <f aca="false">IF(Cadastro!$B38="","",Cadastro!$B38)</f>
        <v/>
      </c>
      <c r="Q38" s="30" t="n">
        <f aca="false">IF($P38="",0,IFERROR(AVERAGEIFS($J$8:$J$407,$C$8:$C$407,$P38,$D$8:$D$407,Q$7,$A$8:$A$407,SUMPRODUCT(MAX(($C$8:$C$407=$P38)*($D$8:$D$407=Q$7)*$A$8:$A$407))),0))</f>
        <v>0</v>
      </c>
      <c r="R38" s="30" t="n">
        <f aca="false">IF($P38="",0,IFERROR(AVERAGEIFS($J$8:$J$407,$C$8:$C$407,$P38,$D$8:$D$407,R$7,$A$8:$A$407,SUMPRODUCT(MAX(($C$8:$C$407=$P38)*($D$8:$D$407=R$7)*$A$8:$A$407))),0))</f>
        <v>0</v>
      </c>
      <c r="S38" s="30" t="n">
        <f aca="false">IF($P38="",0,IFERROR(AVERAGEIFS($J$8:$J$407,$C$8:$C$407,$P38,$D$8:$D$407,S$7,$A$8:$A$407,SUMPRODUCT(MAX(($C$8:$C$407=$P38)*($D$8:$D$407=S$7)*$A$8:$A$407))),0))</f>
        <v>0</v>
      </c>
      <c r="T38" s="30" t="n">
        <f aca="false">IF($P38="",0,IFERROR(AVERAGEIFS($J$8:$J$407,$C$8:$C$407,$P38,$D$8:$D$407,T$7,$A$8:$A$407,SUMPRODUCT(MAX(($C$8:$C$407=$P38)*($D$8:$D$407=T$7)*$A$8:$A$407))),0))</f>
        <v>0</v>
      </c>
      <c r="U38" s="30" t="n">
        <f aca="false">IF($P38="",0,IFERROR(AVERAGEIFS($J$8:$J$407,$C$8:$C$407,$P38,$D$8:$D$407,U$7,$A$8:$A$407,SUMPRODUCT(MAX(($C$8:$C$407=$P38)*($D$8:$D$407=U$7)*$A$8:$A$407))),0))</f>
        <v>0</v>
      </c>
      <c r="V38" s="30" t="n">
        <f aca="false">IF($P38="",0,IFERROR(AVERAGEIFS($J$8:$J$407,$C$8:$C$407,$P38,$D$8:$D$407,V$7,$A$8:$A$407,SUMPRODUCT(MAX(($C$8:$C$407=$P38)*($D$8:$D$407=V$7)*$A$8:$A$407))),0))</f>
        <v>0</v>
      </c>
      <c r="W38" s="30" t="n">
        <f aca="false">IF($P38="",0,IFERROR(AVERAGEIFS($J$8:$J$407,$C$8:$C$407,$P38,$D$8:$D$407,W$7,$A$8:$A$407,SUMPRODUCT(MAX(($C$8:$C$407=$P38)*($D$8:$D$407=W$7)*$A$8:$A$407))),0))</f>
        <v>0</v>
      </c>
      <c r="X38" s="30" t="n">
        <f aca="false">IF($P38="",0,IFERROR(AVERAGEIFS($J$8:$J$407,$C$8:$C$407,$P38,$D$8:$D$407,X$7,$A$8:$A$407,SUMPRODUCT(MAX(($C$8:$C$407=$P38)*($D$8:$D$407=X$7)*$A$8:$A$407))),0))</f>
        <v>0</v>
      </c>
      <c r="Y38" s="30" t="n">
        <f aca="false">IF($P38="",0,IFERROR(AVERAGEIFS($J$8:$J$407,$C$8:$C$407,$P38,$D$8:$D$407,Y$7,$A$8:$A$407,SUMPRODUCT(MAX(($C$8:$C$407=$P38)*($D$8:$D$407=Y$7)*$A$8:$A$407))),0))</f>
        <v>0</v>
      </c>
    </row>
    <row r="39" customFormat="false" ht="15" hidden="false" customHeight="false" outlineLevel="0" collapsed="false">
      <c r="A39" s="29" t="n">
        <v>46037</v>
      </c>
      <c r="B39" s="33" t="n">
        <f aca="false">IF($A39="",0,INT(($A39-Macrociclo!$C$11)/7)+1)</f>
        <v>2</v>
      </c>
      <c r="C39" s="27" t="s">
        <v>215</v>
      </c>
      <c r="D39" s="27" t="s">
        <v>648</v>
      </c>
      <c r="E39" s="27" t="s">
        <v>1205</v>
      </c>
      <c r="F39" s="32" t="n">
        <v>85</v>
      </c>
      <c r="G39" s="28" t="n">
        <v>1</v>
      </c>
      <c r="H39" s="35" t="n">
        <f aca="false">IF(OR($F39="",$G39=""),"",ROUND($F39*(1+$G39/30),1))</f>
        <v>87.8</v>
      </c>
      <c r="I39" s="35" t="n">
        <f aca="false">IF(OR($F39="",$G39="",$G39&gt;36),"",ROUND($F39/(1.0278-0.0278*$G39),1))</f>
        <v>85</v>
      </c>
      <c r="J39" s="30" t="n">
        <f aca="false">IF($E39="Direto (1RM real)",$F39,IF(OR($H39="",$I39=""),"",ROUND(AVERAGE($H39,$I39),1)))</f>
        <v>85</v>
      </c>
      <c r="K39" s="35" t="n">
        <f aca="false">IF($C39="","",IFERROR(INDEX(Cadastro!$P$8:$P$47,MATCH($C39,Cadastro!$B$8:$B$47,0)),""))</f>
        <v>87.7</v>
      </c>
      <c r="L39" s="36" t="n">
        <f aca="false">IFERROR($J39/$K39,"")</f>
        <v>0.96921322690992</v>
      </c>
      <c r="M39" s="45"/>
      <c r="N39" s="27" t="s">
        <v>373</v>
      </c>
      <c r="P39" s="62" t="str">
        <f aca="false">IF(Cadastro!$B39="","",Cadastro!$B39)</f>
        <v/>
      </c>
      <c r="Q39" s="143" t="n">
        <f aca="false">IF($P39="",0,IFERROR(AVERAGEIFS($J$8:$J$407,$C$8:$C$407,$P39,$D$8:$D$407,Q$7,$A$8:$A$407,SUMPRODUCT(MAX(($C$8:$C$407=$P39)*($D$8:$D$407=Q$7)*$A$8:$A$407))),0))</f>
        <v>0</v>
      </c>
      <c r="R39" s="143" t="n">
        <f aca="false">IF($P39="",0,IFERROR(AVERAGEIFS($J$8:$J$407,$C$8:$C$407,$P39,$D$8:$D$407,R$7,$A$8:$A$407,SUMPRODUCT(MAX(($C$8:$C$407=$P39)*($D$8:$D$407=R$7)*$A$8:$A$407))),0))</f>
        <v>0</v>
      </c>
      <c r="S39" s="143" t="n">
        <f aca="false">IF($P39="",0,IFERROR(AVERAGEIFS($J$8:$J$407,$C$8:$C$407,$P39,$D$8:$D$407,S$7,$A$8:$A$407,SUMPRODUCT(MAX(($C$8:$C$407=$P39)*($D$8:$D$407=S$7)*$A$8:$A$407))),0))</f>
        <v>0</v>
      </c>
      <c r="T39" s="143" t="n">
        <f aca="false">IF($P39="",0,IFERROR(AVERAGEIFS($J$8:$J$407,$C$8:$C$407,$P39,$D$8:$D$407,T$7,$A$8:$A$407,SUMPRODUCT(MAX(($C$8:$C$407=$P39)*($D$8:$D$407=T$7)*$A$8:$A$407))),0))</f>
        <v>0</v>
      </c>
      <c r="U39" s="143" t="n">
        <f aca="false">IF($P39="",0,IFERROR(AVERAGEIFS($J$8:$J$407,$C$8:$C$407,$P39,$D$8:$D$407,U$7,$A$8:$A$407,SUMPRODUCT(MAX(($C$8:$C$407=$P39)*($D$8:$D$407=U$7)*$A$8:$A$407))),0))</f>
        <v>0</v>
      </c>
      <c r="V39" s="143" t="n">
        <f aca="false">IF($P39="",0,IFERROR(AVERAGEIFS($J$8:$J$407,$C$8:$C$407,$P39,$D$8:$D$407,V$7,$A$8:$A$407,SUMPRODUCT(MAX(($C$8:$C$407=$P39)*($D$8:$D$407=V$7)*$A$8:$A$407))),0))</f>
        <v>0</v>
      </c>
      <c r="W39" s="143" t="n">
        <f aca="false">IF($P39="",0,IFERROR(AVERAGEIFS($J$8:$J$407,$C$8:$C$407,$P39,$D$8:$D$407,W$7,$A$8:$A$407,SUMPRODUCT(MAX(($C$8:$C$407=$P39)*($D$8:$D$407=W$7)*$A$8:$A$407))),0))</f>
        <v>0</v>
      </c>
      <c r="X39" s="143" t="n">
        <f aca="false">IF($P39="",0,IFERROR(AVERAGEIFS($J$8:$J$407,$C$8:$C$407,$P39,$D$8:$D$407,X$7,$A$8:$A$407,SUMPRODUCT(MAX(($C$8:$C$407=$P39)*($D$8:$D$407=X$7)*$A$8:$A$407))),0))</f>
        <v>0</v>
      </c>
      <c r="Y39" s="143" t="n">
        <f aca="false">IF($P39="",0,IFERROR(AVERAGEIFS($J$8:$J$407,$C$8:$C$407,$P39,$D$8:$D$407,Y$7,$A$8:$A$407,SUMPRODUCT(MAX(($C$8:$C$407=$P39)*($D$8:$D$407=Y$7)*$A$8:$A$407))),0))</f>
        <v>0</v>
      </c>
    </row>
    <row r="40" customFormat="false" ht="15" hidden="false" customHeight="false" outlineLevel="0" collapsed="false">
      <c r="A40" s="29" t="n">
        <v>46037</v>
      </c>
      <c r="B40" s="33" t="n">
        <f aca="false">IF($A40="",0,INT(($A40-Macrociclo!$C$11)/7)+1)</f>
        <v>2</v>
      </c>
      <c r="C40" s="27" t="s">
        <v>215</v>
      </c>
      <c r="D40" s="27" t="s">
        <v>644</v>
      </c>
      <c r="E40" s="27" t="s">
        <v>1205</v>
      </c>
      <c r="F40" s="32" t="n">
        <v>67.5</v>
      </c>
      <c r="G40" s="28" t="n">
        <v>1</v>
      </c>
      <c r="H40" s="35" t="n">
        <f aca="false">IF(OR($F40="",$G40=""),"",ROUND($F40*(1+$G40/30),1))</f>
        <v>69.8</v>
      </c>
      <c r="I40" s="35" t="n">
        <f aca="false">IF(OR($F40="",$G40="",$G40&gt;36),"",ROUND($F40/(1.0278-0.0278*$G40),1))</f>
        <v>67.5</v>
      </c>
      <c r="J40" s="30" t="n">
        <f aca="false">IF($E40="Direto (1RM real)",$F40,IF(OR($H40="",$I40=""),"",ROUND(AVERAGE($H40,$I40),1)))</f>
        <v>67.5</v>
      </c>
      <c r="K40" s="35" t="n">
        <f aca="false">IF($C40="","",IFERROR(INDEX(Cadastro!$P$8:$P$47,MATCH($C40,Cadastro!$B$8:$B$47,0)),""))</f>
        <v>87.7</v>
      </c>
      <c r="L40" s="36" t="n">
        <f aca="false">IFERROR($J40/$K40,"")</f>
        <v>0.769669327251995</v>
      </c>
      <c r="M40" s="45"/>
      <c r="N40" s="27" t="s">
        <v>373</v>
      </c>
      <c r="P40" s="60" t="str">
        <f aca="false">IF(Cadastro!$B40="","",Cadastro!$B40)</f>
        <v/>
      </c>
      <c r="Q40" s="30" t="n">
        <f aca="false">IF($P40="",0,IFERROR(AVERAGEIFS($J$8:$J$407,$C$8:$C$407,$P40,$D$8:$D$407,Q$7,$A$8:$A$407,SUMPRODUCT(MAX(($C$8:$C$407=$P40)*($D$8:$D$407=Q$7)*$A$8:$A$407))),0))</f>
        <v>0</v>
      </c>
      <c r="R40" s="30" t="n">
        <f aca="false">IF($P40="",0,IFERROR(AVERAGEIFS($J$8:$J$407,$C$8:$C$407,$P40,$D$8:$D$407,R$7,$A$8:$A$407,SUMPRODUCT(MAX(($C$8:$C$407=$P40)*($D$8:$D$407=R$7)*$A$8:$A$407))),0))</f>
        <v>0</v>
      </c>
      <c r="S40" s="30" t="n">
        <f aca="false">IF($P40="",0,IFERROR(AVERAGEIFS($J$8:$J$407,$C$8:$C$407,$P40,$D$8:$D$407,S$7,$A$8:$A$407,SUMPRODUCT(MAX(($C$8:$C$407=$P40)*($D$8:$D$407=S$7)*$A$8:$A$407))),0))</f>
        <v>0</v>
      </c>
      <c r="T40" s="30" t="n">
        <f aca="false">IF($P40="",0,IFERROR(AVERAGEIFS($J$8:$J$407,$C$8:$C$407,$P40,$D$8:$D$407,T$7,$A$8:$A$407,SUMPRODUCT(MAX(($C$8:$C$407=$P40)*($D$8:$D$407=T$7)*$A$8:$A$407))),0))</f>
        <v>0</v>
      </c>
      <c r="U40" s="30" t="n">
        <f aca="false">IF($P40="",0,IFERROR(AVERAGEIFS($J$8:$J$407,$C$8:$C$407,$P40,$D$8:$D$407,U$7,$A$8:$A$407,SUMPRODUCT(MAX(($C$8:$C$407=$P40)*($D$8:$D$407=U$7)*$A$8:$A$407))),0))</f>
        <v>0</v>
      </c>
      <c r="V40" s="30" t="n">
        <f aca="false">IF($P40="",0,IFERROR(AVERAGEIFS($J$8:$J$407,$C$8:$C$407,$P40,$D$8:$D$407,V$7,$A$8:$A$407,SUMPRODUCT(MAX(($C$8:$C$407=$P40)*($D$8:$D$407=V$7)*$A$8:$A$407))),0))</f>
        <v>0</v>
      </c>
      <c r="W40" s="30" t="n">
        <f aca="false">IF($P40="",0,IFERROR(AVERAGEIFS($J$8:$J$407,$C$8:$C$407,$P40,$D$8:$D$407,W$7,$A$8:$A$407,SUMPRODUCT(MAX(($C$8:$C$407=$P40)*($D$8:$D$407=W$7)*$A$8:$A$407))),0))</f>
        <v>0</v>
      </c>
      <c r="X40" s="30" t="n">
        <f aca="false">IF($P40="",0,IFERROR(AVERAGEIFS($J$8:$J$407,$C$8:$C$407,$P40,$D$8:$D$407,X$7,$A$8:$A$407,SUMPRODUCT(MAX(($C$8:$C$407=$P40)*($D$8:$D$407=X$7)*$A$8:$A$407))),0))</f>
        <v>0</v>
      </c>
      <c r="Y40" s="30" t="n">
        <f aca="false">IF($P40="",0,IFERROR(AVERAGEIFS($J$8:$J$407,$C$8:$C$407,$P40,$D$8:$D$407,Y$7,$A$8:$A$407,SUMPRODUCT(MAX(($C$8:$C$407=$P40)*($D$8:$D$407=Y$7)*$A$8:$A$407))),0))</f>
        <v>0</v>
      </c>
    </row>
    <row r="41" customFormat="false" ht="15" hidden="false" customHeight="false" outlineLevel="0" collapsed="false">
      <c r="A41" s="29" t="n">
        <v>46037</v>
      </c>
      <c r="B41" s="33" t="n">
        <f aca="false">IF($A41="",0,INT(($A41-Macrociclo!$C$11)/7)+1)</f>
        <v>2</v>
      </c>
      <c r="C41" s="27" t="s">
        <v>215</v>
      </c>
      <c r="D41" s="27" t="s">
        <v>660</v>
      </c>
      <c r="E41" s="27" t="s">
        <v>1205</v>
      </c>
      <c r="F41" s="32" t="n">
        <v>45</v>
      </c>
      <c r="G41" s="28" t="n">
        <v>1</v>
      </c>
      <c r="H41" s="35" t="n">
        <f aca="false">IF(OR($F41="",$G41=""),"",ROUND($F41*(1+$G41/30),1))</f>
        <v>46.5</v>
      </c>
      <c r="I41" s="35" t="n">
        <f aca="false">IF(OR($F41="",$G41="",$G41&gt;36),"",ROUND($F41/(1.0278-0.0278*$G41),1))</f>
        <v>45</v>
      </c>
      <c r="J41" s="30" t="n">
        <f aca="false">IF($E41="Direto (1RM real)",$F41,IF(OR($H41="",$I41=""),"",ROUND(AVERAGE($H41,$I41),1)))</f>
        <v>45</v>
      </c>
      <c r="K41" s="35" t="n">
        <f aca="false">IF($C41="","",IFERROR(INDEX(Cadastro!$P$8:$P$47,MATCH($C41,Cadastro!$B$8:$B$47,0)),""))</f>
        <v>87.7</v>
      </c>
      <c r="L41" s="36" t="n">
        <f aca="false">IFERROR($J41/$K41,"")</f>
        <v>0.513112884834664</v>
      </c>
      <c r="M41" s="45"/>
      <c r="N41" s="27" t="s">
        <v>373</v>
      </c>
      <c r="P41" s="62" t="str">
        <f aca="false">IF(Cadastro!$B41="","",Cadastro!$B41)</f>
        <v/>
      </c>
      <c r="Q41" s="143" t="n">
        <f aca="false">IF($P41="",0,IFERROR(AVERAGEIFS($J$8:$J$407,$C$8:$C$407,$P41,$D$8:$D$407,Q$7,$A$8:$A$407,SUMPRODUCT(MAX(($C$8:$C$407=$P41)*($D$8:$D$407=Q$7)*$A$8:$A$407))),0))</f>
        <v>0</v>
      </c>
      <c r="R41" s="143" t="n">
        <f aca="false">IF($P41="",0,IFERROR(AVERAGEIFS($J$8:$J$407,$C$8:$C$407,$P41,$D$8:$D$407,R$7,$A$8:$A$407,SUMPRODUCT(MAX(($C$8:$C$407=$P41)*($D$8:$D$407=R$7)*$A$8:$A$407))),0))</f>
        <v>0</v>
      </c>
      <c r="S41" s="143" t="n">
        <f aca="false">IF($P41="",0,IFERROR(AVERAGEIFS($J$8:$J$407,$C$8:$C$407,$P41,$D$8:$D$407,S$7,$A$8:$A$407,SUMPRODUCT(MAX(($C$8:$C$407=$P41)*($D$8:$D$407=S$7)*$A$8:$A$407))),0))</f>
        <v>0</v>
      </c>
      <c r="T41" s="143" t="n">
        <f aca="false">IF($P41="",0,IFERROR(AVERAGEIFS($J$8:$J$407,$C$8:$C$407,$P41,$D$8:$D$407,T$7,$A$8:$A$407,SUMPRODUCT(MAX(($C$8:$C$407=$P41)*($D$8:$D$407=T$7)*$A$8:$A$407))),0))</f>
        <v>0</v>
      </c>
      <c r="U41" s="143" t="n">
        <f aca="false">IF($P41="",0,IFERROR(AVERAGEIFS($J$8:$J$407,$C$8:$C$407,$P41,$D$8:$D$407,U$7,$A$8:$A$407,SUMPRODUCT(MAX(($C$8:$C$407=$P41)*($D$8:$D$407=U$7)*$A$8:$A$407))),0))</f>
        <v>0</v>
      </c>
      <c r="V41" s="143" t="n">
        <f aca="false">IF($P41="",0,IFERROR(AVERAGEIFS($J$8:$J$407,$C$8:$C$407,$P41,$D$8:$D$407,V$7,$A$8:$A$407,SUMPRODUCT(MAX(($C$8:$C$407=$P41)*($D$8:$D$407=V$7)*$A$8:$A$407))),0))</f>
        <v>0</v>
      </c>
      <c r="W41" s="143" t="n">
        <f aca="false">IF($P41="",0,IFERROR(AVERAGEIFS($J$8:$J$407,$C$8:$C$407,$P41,$D$8:$D$407,W$7,$A$8:$A$407,SUMPRODUCT(MAX(($C$8:$C$407=$P41)*($D$8:$D$407=W$7)*$A$8:$A$407))),0))</f>
        <v>0</v>
      </c>
      <c r="X41" s="143" t="n">
        <f aca="false">IF($P41="",0,IFERROR(AVERAGEIFS($J$8:$J$407,$C$8:$C$407,$P41,$D$8:$D$407,X$7,$A$8:$A$407,SUMPRODUCT(MAX(($C$8:$C$407=$P41)*($D$8:$D$407=X$7)*$A$8:$A$407))),0))</f>
        <v>0</v>
      </c>
      <c r="Y41" s="143" t="n">
        <f aca="false">IF($P41="",0,IFERROR(AVERAGEIFS($J$8:$J$407,$C$8:$C$407,$P41,$D$8:$D$407,Y$7,$A$8:$A$407,SUMPRODUCT(MAX(($C$8:$C$407=$P41)*($D$8:$D$407=Y$7)*$A$8:$A$407))),0))</f>
        <v>0</v>
      </c>
    </row>
    <row r="42" customFormat="false" ht="15" hidden="false" customHeight="false" outlineLevel="0" collapsed="false">
      <c r="A42" s="29" t="n">
        <v>46037</v>
      </c>
      <c r="B42" s="33" t="n">
        <f aca="false">IF($A42="",0,INT(($A42-Macrociclo!$C$11)/7)+1)</f>
        <v>2</v>
      </c>
      <c r="C42" s="27" t="s">
        <v>215</v>
      </c>
      <c r="D42" s="27" t="s">
        <v>953</v>
      </c>
      <c r="E42" s="27" t="s">
        <v>1205</v>
      </c>
      <c r="F42" s="32" t="n">
        <v>95</v>
      </c>
      <c r="G42" s="28" t="n">
        <v>1</v>
      </c>
      <c r="H42" s="35" t="n">
        <f aca="false">IF(OR($F42="",$G42=""),"",ROUND($F42*(1+$G42/30),1))</f>
        <v>98.2</v>
      </c>
      <c r="I42" s="35" t="n">
        <f aca="false">IF(OR($F42="",$G42="",$G42&gt;36),"",ROUND($F42/(1.0278-0.0278*$G42),1))</f>
        <v>95</v>
      </c>
      <c r="J42" s="30" t="n">
        <f aca="false">IF($E42="Direto (1RM real)",$F42,IF(OR($H42="",$I42=""),"",ROUND(AVERAGE($H42,$I42),1)))</f>
        <v>95</v>
      </c>
      <c r="K42" s="35" t="n">
        <f aca="false">IF($C42="","",IFERROR(INDEX(Cadastro!$P$8:$P$47,MATCH($C42,Cadastro!$B$8:$B$47,0)),""))</f>
        <v>87.7</v>
      </c>
      <c r="L42" s="36" t="n">
        <f aca="false">IFERROR($J42/$K42,"")</f>
        <v>1.08323831242873</v>
      </c>
      <c r="M42" s="45"/>
      <c r="N42" s="27" t="s">
        <v>373</v>
      </c>
      <c r="P42" s="60" t="str">
        <f aca="false">IF(Cadastro!$B42="","",Cadastro!$B42)</f>
        <v/>
      </c>
      <c r="Q42" s="30" t="n">
        <f aca="false">IF($P42="",0,IFERROR(AVERAGEIFS($J$8:$J$407,$C$8:$C$407,$P42,$D$8:$D$407,Q$7,$A$8:$A$407,SUMPRODUCT(MAX(($C$8:$C$407=$P42)*($D$8:$D$407=Q$7)*$A$8:$A$407))),0))</f>
        <v>0</v>
      </c>
      <c r="R42" s="30" t="n">
        <f aca="false">IF($P42="",0,IFERROR(AVERAGEIFS($J$8:$J$407,$C$8:$C$407,$P42,$D$8:$D$407,R$7,$A$8:$A$407,SUMPRODUCT(MAX(($C$8:$C$407=$P42)*($D$8:$D$407=R$7)*$A$8:$A$407))),0))</f>
        <v>0</v>
      </c>
      <c r="S42" s="30" t="n">
        <f aca="false">IF($P42="",0,IFERROR(AVERAGEIFS($J$8:$J$407,$C$8:$C$407,$P42,$D$8:$D$407,S$7,$A$8:$A$407,SUMPRODUCT(MAX(($C$8:$C$407=$P42)*($D$8:$D$407=S$7)*$A$8:$A$407))),0))</f>
        <v>0</v>
      </c>
      <c r="T42" s="30" t="n">
        <f aca="false">IF($P42="",0,IFERROR(AVERAGEIFS($J$8:$J$407,$C$8:$C$407,$P42,$D$8:$D$407,T$7,$A$8:$A$407,SUMPRODUCT(MAX(($C$8:$C$407=$P42)*($D$8:$D$407=T$7)*$A$8:$A$407))),0))</f>
        <v>0</v>
      </c>
      <c r="U42" s="30" t="n">
        <f aca="false">IF($P42="",0,IFERROR(AVERAGEIFS($J$8:$J$407,$C$8:$C$407,$P42,$D$8:$D$407,U$7,$A$8:$A$407,SUMPRODUCT(MAX(($C$8:$C$407=$P42)*($D$8:$D$407=U$7)*$A$8:$A$407))),0))</f>
        <v>0</v>
      </c>
      <c r="V42" s="30" t="n">
        <f aca="false">IF($P42="",0,IFERROR(AVERAGEIFS($J$8:$J$407,$C$8:$C$407,$P42,$D$8:$D$407,V$7,$A$8:$A$407,SUMPRODUCT(MAX(($C$8:$C$407=$P42)*($D$8:$D$407=V$7)*$A$8:$A$407))),0))</f>
        <v>0</v>
      </c>
      <c r="W42" s="30" t="n">
        <f aca="false">IF($P42="",0,IFERROR(AVERAGEIFS($J$8:$J$407,$C$8:$C$407,$P42,$D$8:$D$407,W$7,$A$8:$A$407,SUMPRODUCT(MAX(($C$8:$C$407=$P42)*($D$8:$D$407=W$7)*$A$8:$A$407))),0))</f>
        <v>0</v>
      </c>
      <c r="X42" s="30" t="n">
        <f aca="false">IF($P42="",0,IFERROR(AVERAGEIFS($J$8:$J$407,$C$8:$C$407,$P42,$D$8:$D$407,X$7,$A$8:$A$407,SUMPRODUCT(MAX(($C$8:$C$407=$P42)*($D$8:$D$407=X$7)*$A$8:$A$407))),0))</f>
        <v>0</v>
      </c>
      <c r="Y42" s="30" t="n">
        <f aca="false">IF($P42="",0,IFERROR(AVERAGEIFS($J$8:$J$407,$C$8:$C$407,$P42,$D$8:$D$407,Y$7,$A$8:$A$407,SUMPRODUCT(MAX(($C$8:$C$407=$P42)*($D$8:$D$407=Y$7)*$A$8:$A$407))),0))</f>
        <v>0</v>
      </c>
    </row>
    <row r="43" customFormat="false" ht="15" hidden="false" customHeight="false" outlineLevel="0" collapsed="false">
      <c r="A43" s="29" t="n">
        <v>46037</v>
      </c>
      <c r="B43" s="33" t="n">
        <f aca="false">IF($A43="",0,INT(($A43-Macrociclo!$C$11)/7)+1)</f>
        <v>2</v>
      </c>
      <c r="C43" s="27" t="s">
        <v>215</v>
      </c>
      <c r="D43" s="27" t="s">
        <v>620</v>
      </c>
      <c r="E43" s="27" t="s">
        <v>1205</v>
      </c>
      <c r="F43" s="32" t="n">
        <v>110</v>
      </c>
      <c r="G43" s="28" t="n">
        <v>1</v>
      </c>
      <c r="H43" s="35" t="n">
        <f aca="false">IF(OR($F43="",$G43=""),"",ROUND($F43*(1+$G43/30),1))</f>
        <v>113.7</v>
      </c>
      <c r="I43" s="35" t="n">
        <f aca="false">IF(OR($F43="",$G43="",$G43&gt;36),"",ROUND($F43/(1.0278-0.0278*$G43),1))</f>
        <v>110</v>
      </c>
      <c r="J43" s="30" t="n">
        <f aca="false">IF($E43="Direto (1RM real)",$F43,IF(OR($H43="",$I43=""),"",ROUND(AVERAGE($H43,$I43),1)))</f>
        <v>110</v>
      </c>
      <c r="K43" s="35" t="n">
        <f aca="false">IF($C43="","",IFERROR(INDEX(Cadastro!$P$8:$P$47,MATCH($C43,Cadastro!$B$8:$B$47,0)),""))</f>
        <v>87.7</v>
      </c>
      <c r="L43" s="36" t="n">
        <f aca="false">IFERROR($J43/$K43,"")</f>
        <v>1.25427594070696</v>
      </c>
      <c r="M43" s="45"/>
      <c r="N43" s="27" t="s">
        <v>373</v>
      </c>
      <c r="P43" s="62" t="str">
        <f aca="false">IF(Cadastro!$B43="","",Cadastro!$B43)</f>
        <v/>
      </c>
      <c r="Q43" s="143" t="n">
        <f aca="false">IF($P43="",0,IFERROR(AVERAGEIFS($J$8:$J$407,$C$8:$C$407,$P43,$D$8:$D$407,Q$7,$A$8:$A$407,SUMPRODUCT(MAX(($C$8:$C$407=$P43)*($D$8:$D$407=Q$7)*$A$8:$A$407))),0))</f>
        <v>0</v>
      </c>
      <c r="R43" s="143" t="n">
        <f aca="false">IF($P43="",0,IFERROR(AVERAGEIFS($J$8:$J$407,$C$8:$C$407,$P43,$D$8:$D$407,R$7,$A$8:$A$407,SUMPRODUCT(MAX(($C$8:$C$407=$P43)*($D$8:$D$407=R$7)*$A$8:$A$407))),0))</f>
        <v>0</v>
      </c>
      <c r="S43" s="143" t="n">
        <f aca="false">IF($P43="",0,IFERROR(AVERAGEIFS($J$8:$J$407,$C$8:$C$407,$P43,$D$8:$D$407,S$7,$A$8:$A$407,SUMPRODUCT(MAX(($C$8:$C$407=$P43)*($D$8:$D$407=S$7)*$A$8:$A$407))),0))</f>
        <v>0</v>
      </c>
      <c r="T43" s="143" t="n">
        <f aca="false">IF($P43="",0,IFERROR(AVERAGEIFS($J$8:$J$407,$C$8:$C$407,$P43,$D$8:$D$407,T$7,$A$8:$A$407,SUMPRODUCT(MAX(($C$8:$C$407=$P43)*($D$8:$D$407=T$7)*$A$8:$A$407))),0))</f>
        <v>0</v>
      </c>
      <c r="U43" s="143" t="n">
        <f aca="false">IF($P43="",0,IFERROR(AVERAGEIFS($J$8:$J$407,$C$8:$C$407,$P43,$D$8:$D$407,U$7,$A$8:$A$407,SUMPRODUCT(MAX(($C$8:$C$407=$P43)*($D$8:$D$407=U$7)*$A$8:$A$407))),0))</f>
        <v>0</v>
      </c>
      <c r="V43" s="143" t="n">
        <f aca="false">IF($P43="",0,IFERROR(AVERAGEIFS($J$8:$J$407,$C$8:$C$407,$P43,$D$8:$D$407,V$7,$A$8:$A$407,SUMPRODUCT(MAX(($C$8:$C$407=$P43)*($D$8:$D$407=V$7)*$A$8:$A$407))),0))</f>
        <v>0</v>
      </c>
      <c r="W43" s="143" t="n">
        <f aca="false">IF($P43="",0,IFERROR(AVERAGEIFS($J$8:$J$407,$C$8:$C$407,$P43,$D$8:$D$407,W$7,$A$8:$A$407,SUMPRODUCT(MAX(($C$8:$C$407=$P43)*($D$8:$D$407=W$7)*$A$8:$A$407))),0))</f>
        <v>0</v>
      </c>
      <c r="X43" s="143" t="n">
        <f aca="false">IF($P43="",0,IFERROR(AVERAGEIFS($J$8:$J$407,$C$8:$C$407,$P43,$D$8:$D$407,X$7,$A$8:$A$407,SUMPRODUCT(MAX(($C$8:$C$407=$P43)*($D$8:$D$407=X$7)*$A$8:$A$407))),0))</f>
        <v>0</v>
      </c>
      <c r="Y43" s="143" t="n">
        <f aca="false">IF($P43="",0,IFERROR(AVERAGEIFS($J$8:$J$407,$C$8:$C$407,$P43,$D$8:$D$407,Y$7,$A$8:$A$407,SUMPRODUCT(MAX(($C$8:$C$407=$P43)*($D$8:$D$407=Y$7)*$A$8:$A$407))),0))</f>
        <v>0</v>
      </c>
    </row>
    <row r="44" customFormat="false" ht="15" hidden="false" customHeight="false" outlineLevel="0" collapsed="false">
      <c r="A44" s="29" t="n">
        <v>46037</v>
      </c>
      <c r="B44" s="33" t="n">
        <f aca="false">IF($A44="",0,INT(($A44-Macrociclo!$C$11)/7)+1)</f>
        <v>2</v>
      </c>
      <c r="C44" s="27" t="s">
        <v>226</v>
      </c>
      <c r="D44" s="27" t="s">
        <v>688</v>
      </c>
      <c r="E44" s="27" t="s">
        <v>1205</v>
      </c>
      <c r="F44" s="32" t="n">
        <v>175</v>
      </c>
      <c r="G44" s="28" t="n">
        <v>1</v>
      </c>
      <c r="H44" s="35" t="n">
        <f aca="false">IF(OR($F44="",$G44=""),"",ROUND($F44*(1+$G44/30),1))</f>
        <v>180.8</v>
      </c>
      <c r="I44" s="35" t="n">
        <f aca="false">IF(OR($F44="",$G44="",$G44&gt;36),"",ROUND($F44/(1.0278-0.0278*$G44),1))</f>
        <v>175</v>
      </c>
      <c r="J44" s="30" t="n">
        <f aca="false">IF($E44="Direto (1RM real)",$F44,IF(OR($H44="",$I44=""),"",ROUND(AVERAGE($H44,$I44),1)))</f>
        <v>175</v>
      </c>
      <c r="K44" s="35" t="n">
        <f aca="false">IF($C44="","",IFERROR(INDEX(Cadastro!$P$8:$P$47,MATCH($C44,Cadastro!$B$8:$B$47,0)),""))</f>
        <v>99.7</v>
      </c>
      <c r="L44" s="36" t="n">
        <f aca="false">IFERROR($J44/$K44,"")</f>
        <v>1.75526579739218</v>
      </c>
      <c r="M44" s="45"/>
      <c r="N44" s="27" t="s">
        <v>373</v>
      </c>
      <c r="P44" s="60" t="str">
        <f aca="false">IF(Cadastro!$B44="","",Cadastro!$B44)</f>
        <v/>
      </c>
      <c r="Q44" s="30" t="n">
        <f aca="false">IF($P44="",0,IFERROR(AVERAGEIFS($J$8:$J$407,$C$8:$C$407,$P44,$D$8:$D$407,Q$7,$A$8:$A$407,SUMPRODUCT(MAX(($C$8:$C$407=$P44)*($D$8:$D$407=Q$7)*$A$8:$A$407))),0))</f>
        <v>0</v>
      </c>
      <c r="R44" s="30" t="n">
        <f aca="false">IF($P44="",0,IFERROR(AVERAGEIFS($J$8:$J$407,$C$8:$C$407,$P44,$D$8:$D$407,R$7,$A$8:$A$407,SUMPRODUCT(MAX(($C$8:$C$407=$P44)*($D$8:$D$407=R$7)*$A$8:$A$407))),0))</f>
        <v>0</v>
      </c>
      <c r="S44" s="30" t="n">
        <f aca="false">IF($P44="",0,IFERROR(AVERAGEIFS($J$8:$J$407,$C$8:$C$407,$P44,$D$8:$D$407,S$7,$A$8:$A$407,SUMPRODUCT(MAX(($C$8:$C$407=$P44)*($D$8:$D$407=S$7)*$A$8:$A$407))),0))</f>
        <v>0</v>
      </c>
      <c r="T44" s="30" t="n">
        <f aca="false">IF($P44="",0,IFERROR(AVERAGEIFS($J$8:$J$407,$C$8:$C$407,$P44,$D$8:$D$407,T$7,$A$8:$A$407,SUMPRODUCT(MAX(($C$8:$C$407=$P44)*($D$8:$D$407=T$7)*$A$8:$A$407))),0))</f>
        <v>0</v>
      </c>
      <c r="U44" s="30" t="n">
        <f aca="false">IF($P44="",0,IFERROR(AVERAGEIFS($J$8:$J$407,$C$8:$C$407,$P44,$D$8:$D$407,U$7,$A$8:$A$407,SUMPRODUCT(MAX(($C$8:$C$407=$P44)*($D$8:$D$407=U$7)*$A$8:$A$407))),0))</f>
        <v>0</v>
      </c>
      <c r="V44" s="30" t="n">
        <f aca="false">IF($P44="",0,IFERROR(AVERAGEIFS($J$8:$J$407,$C$8:$C$407,$P44,$D$8:$D$407,V$7,$A$8:$A$407,SUMPRODUCT(MAX(($C$8:$C$407=$P44)*($D$8:$D$407=V$7)*$A$8:$A$407))),0))</f>
        <v>0</v>
      </c>
      <c r="W44" s="30" t="n">
        <f aca="false">IF($P44="",0,IFERROR(AVERAGEIFS($J$8:$J$407,$C$8:$C$407,$P44,$D$8:$D$407,W$7,$A$8:$A$407,SUMPRODUCT(MAX(($C$8:$C$407=$P44)*($D$8:$D$407=W$7)*$A$8:$A$407))),0))</f>
        <v>0</v>
      </c>
      <c r="X44" s="30" t="n">
        <f aca="false">IF($P44="",0,IFERROR(AVERAGEIFS($J$8:$J$407,$C$8:$C$407,$P44,$D$8:$D$407,X$7,$A$8:$A$407,SUMPRODUCT(MAX(($C$8:$C$407=$P44)*($D$8:$D$407=X$7)*$A$8:$A$407))),0))</f>
        <v>0</v>
      </c>
      <c r="Y44" s="30" t="n">
        <f aca="false">IF($P44="",0,IFERROR(AVERAGEIFS($J$8:$J$407,$C$8:$C$407,$P44,$D$8:$D$407,Y$7,$A$8:$A$407,SUMPRODUCT(MAX(($C$8:$C$407=$P44)*($D$8:$D$407=Y$7)*$A$8:$A$407))),0))</f>
        <v>0</v>
      </c>
    </row>
    <row r="45" customFormat="false" ht="15" hidden="false" customHeight="false" outlineLevel="0" collapsed="false">
      <c r="A45" s="29" t="n">
        <v>46037</v>
      </c>
      <c r="B45" s="33" t="n">
        <f aca="false">IF($A45="",0,INT(($A45-Macrociclo!$C$11)/7)+1)</f>
        <v>2</v>
      </c>
      <c r="C45" s="27" t="s">
        <v>226</v>
      </c>
      <c r="D45" s="27" t="s">
        <v>695</v>
      </c>
      <c r="E45" s="27" t="s">
        <v>1205</v>
      </c>
      <c r="F45" s="32" t="n">
        <v>130</v>
      </c>
      <c r="G45" s="28" t="n">
        <v>1</v>
      </c>
      <c r="H45" s="35" t="n">
        <f aca="false">IF(OR($F45="",$G45=""),"",ROUND($F45*(1+$G45/30),1))</f>
        <v>134.3</v>
      </c>
      <c r="I45" s="35" t="n">
        <f aca="false">IF(OR($F45="",$G45="",$G45&gt;36),"",ROUND($F45/(1.0278-0.0278*$G45),1))</f>
        <v>130</v>
      </c>
      <c r="J45" s="30" t="n">
        <f aca="false">IF($E45="Direto (1RM real)",$F45,IF(OR($H45="",$I45=""),"",ROUND(AVERAGE($H45,$I45),1)))</f>
        <v>130</v>
      </c>
      <c r="K45" s="35" t="n">
        <f aca="false">IF($C45="","",IFERROR(INDEX(Cadastro!$P$8:$P$47,MATCH($C45,Cadastro!$B$8:$B$47,0)),""))</f>
        <v>99.7</v>
      </c>
      <c r="L45" s="36" t="n">
        <f aca="false">IFERROR($J45/$K45,"")</f>
        <v>1.30391173520562</v>
      </c>
      <c r="M45" s="45"/>
      <c r="N45" s="27" t="s">
        <v>373</v>
      </c>
      <c r="P45" s="62" t="str">
        <f aca="false">IF(Cadastro!$B45="","",Cadastro!$B45)</f>
        <v/>
      </c>
      <c r="Q45" s="143" t="n">
        <f aca="false">IF($P45="",0,IFERROR(AVERAGEIFS($J$8:$J$407,$C$8:$C$407,$P45,$D$8:$D$407,Q$7,$A$8:$A$407,SUMPRODUCT(MAX(($C$8:$C$407=$P45)*($D$8:$D$407=Q$7)*$A$8:$A$407))),0))</f>
        <v>0</v>
      </c>
      <c r="R45" s="143" t="n">
        <f aca="false">IF($P45="",0,IFERROR(AVERAGEIFS($J$8:$J$407,$C$8:$C$407,$P45,$D$8:$D$407,R$7,$A$8:$A$407,SUMPRODUCT(MAX(($C$8:$C$407=$P45)*($D$8:$D$407=R$7)*$A$8:$A$407))),0))</f>
        <v>0</v>
      </c>
      <c r="S45" s="143" t="n">
        <f aca="false">IF($P45="",0,IFERROR(AVERAGEIFS($J$8:$J$407,$C$8:$C$407,$P45,$D$8:$D$407,S$7,$A$8:$A$407,SUMPRODUCT(MAX(($C$8:$C$407=$P45)*($D$8:$D$407=S$7)*$A$8:$A$407))),0))</f>
        <v>0</v>
      </c>
      <c r="T45" s="143" t="n">
        <f aca="false">IF($P45="",0,IFERROR(AVERAGEIFS($J$8:$J$407,$C$8:$C$407,$P45,$D$8:$D$407,T$7,$A$8:$A$407,SUMPRODUCT(MAX(($C$8:$C$407=$P45)*($D$8:$D$407=T$7)*$A$8:$A$407))),0))</f>
        <v>0</v>
      </c>
      <c r="U45" s="143" t="n">
        <f aca="false">IF($P45="",0,IFERROR(AVERAGEIFS($J$8:$J$407,$C$8:$C$407,$P45,$D$8:$D$407,U$7,$A$8:$A$407,SUMPRODUCT(MAX(($C$8:$C$407=$P45)*($D$8:$D$407=U$7)*$A$8:$A$407))),0))</f>
        <v>0</v>
      </c>
      <c r="V45" s="143" t="n">
        <f aca="false">IF($P45="",0,IFERROR(AVERAGEIFS($J$8:$J$407,$C$8:$C$407,$P45,$D$8:$D$407,V$7,$A$8:$A$407,SUMPRODUCT(MAX(($C$8:$C$407=$P45)*($D$8:$D$407=V$7)*$A$8:$A$407))),0))</f>
        <v>0</v>
      </c>
      <c r="W45" s="143" t="n">
        <f aca="false">IF($P45="",0,IFERROR(AVERAGEIFS($J$8:$J$407,$C$8:$C$407,$P45,$D$8:$D$407,W$7,$A$8:$A$407,SUMPRODUCT(MAX(($C$8:$C$407=$P45)*($D$8:$D$407=W$7)*$A$8:$A$407))),0))</f>
        <v>0</v>
      </c>
      <c r="X45" s="143" t="n">
        <f aca="false">IF($P45="",0,IFERROR(AVERAGEIFS($J$8:$J$407,$C$8:$C$407,$P45,$D$8:$D$407,X$7,$A$8:$A$407,SUMPRODUCT(MAX(($C$8:$C$407=$P45)*($D$8:$D$407=X$7)*$A$8:$A$407))),0))</f>
        <v>0</v>
      </c>
      <c r="Y45" s="143" t="n">
        <f aca="false">IF($P45="",0,IFERROR(AVERAGEIFS($J$8:$J$407,$C$8:$C$407,$P45,$D$8:$D$407,Y$7,$A$8:$A$407,SUMPRODUCT(MAX(($C$8:$C$407=$P45)*($D$8:$D$407=Y$7)*$A$8:$A$407))),0))</f>
        <v>0</v>
      </c>
    </row>
    <row r="46" customFormat="false" ht="15" hidden="false" customHeight="false" outlineLevel="0" collapsed="false">
      <c r="A46" s="29" t="n">
        <v>46037</v>
      </c>
      <c r="B46" s="33" t="n">
        <f aca="false">IF($A46="",0,INT(($A46-Macrociclo!$C$11)/7)+1)</f>
        <v>2</v>
      </c>
      <c r="C46" s="27" t="s">
        <v>226</v>
      </c>
      <c r="D46" s="27" t="s">
        <v>701</v>
      </c>
      <c r="E46" s="27" t="s">
        <v>1205</v>
      </c>
      <c r="F46" s="32" t="n">
        <v>140</v>
      </c>
      <c r="G46" s="28" t="n">
        <v>1</v>
      </c>
      <c r="H46" s="35" t="n">
        <f aca="false">IF(OR($F46="",$G46=""),"",ROUND($F46*(1+$G46/30),1))</f>
        <v>144.7</v>
      </c>
      <c r="I46" s="35" t="n">
        <f aca="false">IF(OR($F46="",$G46="",$G46&gt;36),"",ROUND($F46/(1.0278-0.0278*$G46),1))</f>
        <v>140</v>
      </c>
      <c r="J46" s="30" t="n">
        <f aca="false">IF($E46="Direto (1RM real)",$F46,IF(OR($H46="",$I46=""),"",ROUND(AVERAGE($H46,$I46),1)))</f>
        <v>140</v>
      </c>
      <c r="K46" s="35" t="n">
        <f aca="false">IF($C46="","",IFERROR(INDEX(Cadastro!$P$8:$P$47,MATCH($C46,Cadastro!$B$8:$B$47,0)),""))</f>
        <v>99.7</v>
      </c>
      <c r="L46" s="36" t="n">
        <f aca="false">IFERROR($J46/$K46,"")</f>
        <v>1.40421263791374</v>
      </c>
      <c r="M46" s="45"/>
      <c r="N46" s="27" t="s">
        <v>373</v>
      </c>
      <c r="P46" s="60" t="str">
        <f aca="false">IF(Cadastro!$B46="","",Cadastro!$B46)</f>
        <v/>
      </c>
      <c r="Q46" s="30" t="n">
        <f aca="false">IF($P46="",0,IFERROR(AVERAGEIFS($J$8:$J$407,$C$8:$C$407,$P46,$D$8:$D$407,Q$7,$A$8:$A$407,SUMPRODUCT(MAX(($C$8:$C$407=$P46)*($D$8:$D$407=Q$7)*$A$8:$A$407))),0))</f>
        <v>0</v>
      </c>
      <c r="R46" s="30" t="n">
        <f aca="false">IF($P46="",0,IFERROR(AVERAGEIFS($J$8:$J$407,$C$8:$C$407,$P46,$D$8:$D$407,R$7,$A$8:$A$407,SUMPRODUCT(MAX(($C$8:$C$407=$P46)*($D$8:$D$407=R$7)*$A$8:$A$407))),0))</f>
        <v>0</v>
      </c>
      <c r="S46" s="30" t="n">
        <f aca="false">IF($P46="",0,IFERROR(AVERAGEIFS($J$8:$J$407,$C$8:$C$407,$P46,$D$8:$D$407,S$7,$A$8:$A$407,SUMPRODUCT(MAX(($C$8:$C$407=$P46)*($D$8:$D$407=S$7)*$A$8:$A$407))),0))</f>
        <v>0</v>
      </c>
      <c r="T46" s="30" t="n">
        <f aca="false">IF($P46="",0,IFERROR(AVERAGEIFS($J$8:$J$407,$C$8:$C$407,$P46,$D$8:$D$407,T$7,$A$8:$A$407,SUMPRODUCT(MAX(($C$8:$C$407=$P46)*($D$8:$D$407=T$7)*$A$8:$A$407))),0))</f>
        <v>0</v>
      </c>
      <c r="U46" s="30" t="n">
        <f aca="false">IF($P46="",0,IFERROR(AVERAGEIFS($J$8:$J$407,$C$8:$C$407,$P46,$D$8:$D$407,U$7,$A$8:$A$407,SUMPRODUCT(MAX(($C$8:$C$407=$P46)*($D$8:$D$407=U$7)*$A$8:$A$407))),0))</f>
        <v>0</v>
      </c>
      <c r="V46" s="30" t="n">
        <f aca="false">IF($P46="",0,IFERROR(AVERAGEIFS($J$8:$J$407,$C$8:$C$407,$P46,$D$8:$D$407,V$7,$A$8:$A$407,SUMPRODUCT(MAX(($C$8:$C$407=$P46)*($D$8:$D$407=V$7)*$A$8:$A$407))),0))</f>
        <v>0</v>
      </c>
      <c r="W46" s="30" t="n">
        <f aca="false">IF($P46="",0,IFERROR(AVERAGEIFS($J$8:$J$407,$C$8:$C$407,$P46,$D$8:$D$407,W$7,$A$8:$A$407,SUMPRODUCT(MAX(($C$8:$C$407=$P46)*($D$8:$D$407=W$7)*$A$8:$A$407))),0))</f>
        <v>0</v>
      </c>
      <c r="X46" s="30" t="n">
        <f aca="false">IF($P46="",0,IFERROR(AVERAGEIFS($J$8:$J$407,$C$8:$C$407,$P46,$D$8:$D$407,X$7,$A$8:$A$407,SUMPRODUCT(MAX(($C$8:$C$407=$P46)*($D$8:$D$407=X$7)*$A$8:$A$407))),0))</f>
        <v>0</v>
      </c>
      <c r="Y46" s="30" t="n">
        <f aca="false">IF($P46="",0,IFERROR(AVERAGEIFS($J$8:$J$407,$C$8:$C$407,$P46,$D$8:$D$407,Y$7,$A$8:$A$407,SUMPRODUCT(MAX(($C$8:$C$407=$P46)*($D$8:$D$407=Y$7)*$A$8:$A$407))),0))</f>
        <v>0</v>
      </c>
    </row>
    <row r="47" customFormat="false" ht="15" hidden="false" customHeight="false" outlineLevel="0" collapsed="false">
      <c r="A47" s="29" t="n">
        <v>46037</v>
      </c>
      <c r="B47" s="33" t="n">
        <f aca="false">IF($A47="",0,INT(($A47-Macrociclo!$C$11)/7)+1)</f>
        <v>2</v>
      </c>
      <c r="C47" s="27" t="s">
        <v>226</v>
      </c>
      <c r="D47" s="27" t="s">
        <v>758</v>
      </c>
      <c r="E47" s="27" t="s">
        <v>1205</v>
      </c>
      <c r="F47" s="32" t="n">
        <v>210</v>
      </c>
      <c r="G47" s="28" t="n">
        <v>1</v>
      </c>
      <c r="H47" s="35" t="n">
        <f aca="false">IF(OR($F47="",$G47=""),"",ROUND($F47*(1+$G47/30),1))</f>
        <v>217</v>
      </c>
      <c r="I47" s="35" t="n">
        <f aca="false">IF(OR($F47="",$G47="",$G47&gt;36),"",ROUND($F47/(1.0278-0.0278*$G47),1))</f>
        <v>210</v>
      </c>
      <c r="J47" s="30" t="n">
        <f aca="false">IF($E47="Direto (1RM real)",$F47,IF(OR($H47="",$I47=""),"",ROUND(AVERAGE($H47,$I47),1)))</f>
        <v>210</v>
      </c>
      <c r="K47" s="35" t="n">
        <f aca="false">IF($C47="","",IFERROR(INDEX(Cadastro!$P$8:$P$47,MATCH($C47,Cadastro!$B$8:$B$47,0)),""))</f>
        <v>99.7</v>
      </c>
      <c r="L47" s="36" t="n">
        <f aca="false">IFERROR($J47/$K47,"")</f>
        <v>2.10631895687061</v>
      </c>
      <c r="M47" s="45"/>
      <c r="N47" s="27" t="s">
        <v>373</v>
      </c>
      <c r="P47" s="62" t="str">
        <f aca="false">IF(Cadastro!$B47="","",Cadastro!$B47)</f>
        <v/>
      </c>
      <c r="Q47" s="143" t="n">
        <f aca="false">IF($P47="",0,IFERROR(AVERAGEIFS($J$8:$J$407,$C$8:$C$407,$P47,$D$8:$D$407,Q$7,$A$8:$A$407,SUMPRODUCT(MAX(($C$8:$C$407=$P47)*($D$8:$D$407=Q$7)*$A$8:$A$407))),0))</f>
        <v>0</v>
      </c>
      <c r="R47" s="143" t="n">
        <f aca="false">IF($P47="",0,IFERROR(AVERAGEIFS($J$8:$J$407,$C$8:$C$407,$P47,$D$8:$D$407,R$7,$A$8:$A$407,SUMPRODUCT(MAX(($C$8:$C$407=$P47)*($D$8:$D$407=R$7)*$A$8:$A$407))),0))</f>
        <v>0</v>
      </c>
      <c r="S47" s="143" t="n">
        <f aca="false">IF($P47="",0,IFERROR(AVERAGEIFS($J$8:$J$407,$C$8:$C$407,$P47,$D$8:$D$407,S$7,$A$8:$A$407,SUMPRODUCT(MAX(($C$8:$C$407=$P47)*($D$8:$D$407=S$7)*$A$8:$A$407))),0))</f>
        <v>0</v>
      </c>
      <c r="T47" s="143" t="n">
        <f aca="false">IF($P47="",0,IFERROR(AVERAGEIFS($J$8:$J$407,$C$8:$C$407,$P47,$D$8:$D$407,T$7,$A$8:$A$407,SUMPRODUCT(MAX(($C$8:$C$407=$P47)*($D$8:$D$407=T$7)*$A$8:$A$407))),0))</f>
        <v>0</v>
      </c>
      <c r="U47" s="143" t="n">
        <f aca="false">IF($P47="",0,IFERROR(AVERAGEIFS($J$8:$J$407,$C$8:$C$407,$P47,$D$8:$D$407,U$7,$A$8:$A$407,SUMPRODUCT(MAX(($C$8:$C$407=$P47)*($D$8:$D$407=U$7)*$A$8:$A$407))),0))</f>
        <v>0</v>
      </c>
      <c r="V47" s="143" t="n">
        <f aca="false">IF($P47="",0,IFERROR(AVERAGEIFS($J$8:$J$407,$C$8:$C$407,$P47,$D$8:$D$407,V$7,$A$8:$A$407,SUMPRODUCT(MAX(($C$8:$C$407=$P47)*($D$8:$D$407=V$7)*$A$8:$A$407))),0))</f>
        <v>0</v>
      </c>
      <c r="W47" s="143" t="n">
        <f aca="false">IF($P47="",0,IFERROR(AVERAGEIFS($J$8:$J$407,$C$8:$C$407,$P47,$D$8:$D$407,W$7,$A$8:$A$407,SUMPRODUCT(MAX(($C$8:$C$407=$P47)*($D$8:$D$407=W$7)*$A$8:$A$407))),0))</f>
        <v>0</v>
      </c>
      <c r="X47" s="143" t="n">
        <f aca="false">IF($P47="",0,IFERROR(AVERAGEIFS($J$8:$J$407,$C$8:$C$407,$P47,$D$8:$D$407,X$7,$A$8:$A$407,SUMPRODUCT(MAX(($C$8:$C$407=$P47)*($D$8:$D$407=X$7)*$A$8:$A$407))),0))</f>
        <v>0</v>
      </c>
      <c r="Y47" s="143" t="n">
        <f aca="false">IF($P47="",0,IFERROR(AVERAGEIFS($J$8:$J$407,$C$8:$C$407,$P47,$D$8:$D$407,Y$7,$A$8:$A$407,SUMPRODUCT(MAX(($C$8:$C$407=$P47)*($D$8:$D$407=Y$7)*$A$8:$A$407))),0))</f>
        <v>0</v>
      </c>
    </row>
    <row r="48" customFormat="false" ht="15" hidden="false" customHeight="false" outlineLevel="0" collapsed="false">
      <c r="A48" s="29" t="n">
        <v>46037</v>
      </c>
      <c r="B48" s="33" t="n">
        <f aca="false">IF($A48="",0,INT(($A48-Macrociclo!$C$11)/7)+1)</f>
        <v>2</v>
      </c>
      <c r="C48" s="27" t="s">
        <v>226</v>
      </c>
      <c r="D48" s="27" t="s">
        <v>648</v>
      </c>
      <c r="E48" s="27" t="s">
        <v>1205</v>
      </c>
      <c r="F48" s="32" t="n">
        <v>105</v>
      </c>
      <c r="G48" s="28" t="n">
        <v>1</v>
      </c>
      <c r="H48" s="35" t="n">
        <f aca="false">IF(OR($F48="",$G48=""),"",ROUND($F48*(1+$G48/30),1))</f>
        <v>108.5</v>
      </c>
      <c r="I48" s="35" t="n">
        <f aca="false">IF(OR($F48="",$G48="",$G48&gt;36),"",ROUND($F48/(1.0278-0.0278*$G48),1))</f>
        <v>105</v>
      </c>
      <c r="J48" s="30" t="n">
        <f aca="false">IF($E48="Direto (1RM real)",$F48,IF(OR($H48="",$I48=""),"",ROUND(AVERAGE($H48,$I48),1)))</f>
        <v>105</v>
      </c>
      <c r="K48" s="35" t="n">
        <f aca="false">IF($C48="","",IFERROR(INDEX(Cadastro!$P$8:$P$47,MATCH($C48,Cadastro!$B$8:$B$47,0)),""))</f>
        <v>99.7</v>
      </c>
      <c r="L48" s="36" t="n">
        <f aca="false">IFERROR($J48/$K48,"")</f>
        <v>1.05315947843531</v>
      </c>
      <c r="M48" s="45"/>
      <c r="N48" s="27" t="s">
        <v>373</v>
      </c>
    </row>
    <row r="49" customFormat="false" ht="15" hidden="false" customHeight="false" outlineLevel="0" collapsed="false">
      <c r="A49" s="29" t="n">
        <v>46037</v>
      </c>
      <c r="B49" s="33" t="n">
        <f aca="false">IF($A49="",0,INT(($A49-Macrociclo!$C$11)/7)+1)</f>
        <v>2</v>
      </c>
      <c r="C49" s="27" t="s">
        <v>226</v>
      </c>
      <c r="D49" s="27" t="s">
        <v>644</v>
      </c>
      <c r="E49" s="27" t="s">
        <v>1205</v>
      </c>
      <c r="F49" s="32" t="n">
        <v>77.5</v>
      </c>
      <c r="G49" s="28" t="n">
        <v>1</v>
      </c>
      <c r="H49" s="35" t="n">
        <f aca="false">IF(OR($F49="",$G49=""),"",ROUND($F49*(1+$G49/30),1))</f>
        <v>80.1</v>
      </c>
      <c r="I49" s="35" t="n">
        <f aca="false">IF(OR($F49="",$G49="",$G49&gt;36),"",ROUND($F49/(1.0278-0.0278*$G49),1))</f>
        <v>77.5</v>
      </c>
      <c r="J49" s="30" t="n">
        <f aca="false">IF($E49="Direto (1RM real)",$F49,IF(OR($H49="",$I49=""),"",ROUND(AVERAGE($H49,$I49),1)))</f>
        <v>77.5</v>
      </c>
      <c r="K49" s="35" t="n">
        <f aca="false">IF($C49="","",IFERROR(INDEX(Cadastro!$P$8:$P$47,MATCH($C49,Cadastro!$B$8:$B$47,0)),""))</f>
        <v>99.7</v>
      </c>
      <c r="L49" s="36" t="n">
        <f aca="false">IFERROR($J49/$K49,"")</f>
        <v>0.777331995987964</v>
      </c>
      <c r="M49" s="45"/>
      <c r="N49" s="27" t="s">
        <v>373</v>
      </c>
    </row>
    <row r="50" customFormat="false" ht="15" hidden="false" customHeight="false" outlineLevel="0" collapsed="false">
      <c r="A50" s="29" t="n">
        <v>46037</v>
      </c>
      <c r="B50" s="33" t="n">
        <f aca="false">IF($A50="",0,INT(($A50-Macrociclo!$C$11)/7)+1)</f>
        <v>2</v>
      </c>
      <c r="C50" s="27" t="s">
        <v>226</v>
      </c>
      <c r="D50" s="27" t="s">
        <v>660</v>
      </c>
      <c r="E50" s="27" t="s">
        <v>1205</v>
      </c>
      <c r="F50" s="32" t="n">
        <v>57.5</v>
      </c>
      <c r="G50" s="28" t="n">
        <v>1</v>
      </c>
      <c r="H50" s="35" t="n">
        <f aca="false">IF(OR($F50="",$G50=""),"",ROUND($F50*(1+$G50/30),1))</f>
        <v>59.4</v>
      </c>
      <c r="I50" s="35" t="n">
        <f aca="false">IF(OR($F50="",$G50="",$G50&gt;36),"",ROUND($F50/(1.0278-0.0278*$G50),1))</f>
        <v>57.5</v>
      </c>
      <c r="J50" s="30" t="n">
        <f aca="false">IF($E50="Direto (1RM real)",$F50,IF(OR($H50="",$I50=""),"",ROUND(AVERAGE($H50,$I50),1)))</f>
        <v>57.5</v>
      </c>
      <c r="K50" s="35" t="n">
        <f aca="false">IF($C50="","",IFERROR(INDEX(Cadastro!$P$8:$P$47,MATCH($C50,Cadastro!$B$8:$B$47,0)),""))</f>
        <v>99.7</v>
      </c>
      <c r="L50" s="36" t="n">
        <f aca="false">IFERROR($J50/$K50,"")</f>
        <v>0.576730190571715</v>
      </c>
      <c r="M50" s="45"/>
      <c r="N50" s="27" t="s">
        <v>373</v>
      </c>
    </row>
    <row r="51" customFormat="false" ht="15" hidden="false" customHeight="false" outlineLevel="0" collapsed="false">
      <c r="A51" s="29" t="n">
        <v>46037</v>
      </c>
      <c r="B51" s="33" t="n">
        <f aca="false">IF($A51="",0,INT(($A51-Macrociclo!$C$11)/7)+1)</f>
        <v>2</v>
      </c>
      <c r="C51" s="27" t="s">
        <v>226</v>
      </c>
      <c r="D51" s="27" t="s">
        <v>953</v>
      </c>
      <c r="E51" s="27" t="s">
        <v>1205</v>
      </c>
      <c r="F51" s="32" t="n">
        <v>112.5</v>
      </c>
      <c r="G51" s="28" t="n">
        <v>1</v>
      </c>
      <c r="H51" s="35" t="n">
        <f aca="false">IF(OR($F51="",$G51=""),"",ROUND($F51*(1+$G51/30),1))</f>
        <v>116.3</v>
      </c>
      <c r="I51" s="35" t="n">
        <f aca="false">IF(OR($F51="",$G51="",$G51&gt;36),"",ROUND($F51/(1.0278-0.0278*$G51),1))</f>
        <v>112.5</v>
      </c>
      <c r="J51" s="30" t="n">
        <f aca="false">IF($E51="Direto (1RM real)",$F51,IF(OR($H51="",$I51=""),"",ROUND(AVERAGE($H51,$I51),1)))</f>
        <v>112.5</v>
      </c>
      <c r="K51" s="35" t="n">
        <f aca="false">IF($C51="","",IFERROR(INDEX(Cadastro!$P$8:$P$47,MATCH($C51,Cadastro!$B$8:$B$47,0)),""))</f>
        <v>99.7</v>
      </c>
      <c r="L51" s="36" t="n">
        <f aca="false">IFERROR($J51/$K51,"")</f>
        <v>1.1283851554664</v>
      </c>
      <c r="M51" s="45"/>
      <c r="N51" s="27" t="s">
        <v>373</v>
      </c>
    </row>
    <row r="52" customFormat="false" ht="15" hidden="false" customHeight="false" outlineLevel="0" collapsed="false">
      <c r="A52" s="29" t="n">
        <v>46037</v>
      </c>
      <c r="B52" s="33" t="n">
        <f aca="false">IF($A52="",0,INT(($A52-Macrociclo!$C$11)/7)+1)</f>
        <v>2</v>
      </c>
      <c r="C52" s="27" t="s">
        <v>226</v>
      </c>
      <c r="D52" s="27" t="s">
        <v>620</v>
      </c>
      <c r="E52" s="27" t="s">
        <v>1205</v>
      </c>
      <c r="F52" s="32" t="n">
        <v>137.5</v>
      </c>
      <c r="G52" s="28" t="n">
        <v>1</v>
      </c>
      <c r="H52" s="35" t="n">
        <f aca="false">IF(OR($F52="",$G52=""),"",ROUND($F52*(1+$G52/30),1))</f>
        <v>142.1</v>
      </c>
      <c r="I52" s="35" t="n">
        <f aca="false">IF(OR($F52="",$G52="",$G52&gt;36),"",ROUND($F52/(1.0278-0.0278*$G52),1))</f>
        <v>137.5</v>
      </c>
      <c r="J52" s="30" t="n">
        <f aca="false">IF($E52="Direto (1RM real)",$F52,IF(OR($H52="",$I52=""),"",ROUND(AVERAGE($H52,$I52),1)))</f>
        <v>137.5</v>
      </c>
      <c r="K52" s="35" t="n">
        <f aca="false">IF($C52="","",IFERROR(INDEX(Cadastro!$P$8:$P$47,MATCH($C52,Cadastro!$B$8:$B$47,0)),""))</f>
        <v>99.7</v>
      </c>
      <c r="L52" s="36" t="n">
        <f aca="false">IFERROR($J52/$K52,"")</f>
        <v>1.37913741223671</v>
      </c>
      <c r="M52" s="45"/>
      <c r="N52" s="27" t="s">
        <v>373</v>
      </c>
    </row>
    <row r="53" customFormat="false" ht="15" hidden="false" customHeight="false" outlineLevel="0" collapsed="false">
      <c r="A53" s="29" t="n">
        <v>46037</v>
      </c>
      <c r="B53" s="33" t="n">
        <f aca="false">IF($A53="",0,INT(($A53-Macrociclo!$C$11)/7)+1)</f>
        <v>2</v>
      </c>
      <c r="C53" s="27" t="s">
        <v>236</v>
      </c>
      <c r="D53" s="27" t="s">
        <v>688</v>
      </c>
      <c r="E53" s="27" t="s">
        <v>1205</v>
      </c>
      <c r="F53" s="32" t="n">
        <v>150</v>
      </c>
      <c r="G53" s="28" t="n">
        <v>1</v>
      </c>
      <c r="H53" s="35" t="n">
        <f aca="false">IF(OR($F53="",$G53=""),"",ROUND($F53*(1+$G53/30),1))</f>
        <v>155</v>
      </c>
      <c r="I53" s="35" t="n">
        <f aca="false">IF(OR($F53="",$G53="",$G53&gt;36),"",ROUND($F53/(1.0278-0.0278*$G53),1))</f>
        <v>150</v>
      </c>
      <c r="J53" s="30" t="n">
        <f aca="false">IF($E53="Direto (1RM real)",$F53,IF(OR($H53="",$I53=""),"",ROUND(AVERAGE($H53,$I53),1)))</f>
        <v>150</v>
      </c>
      <c r="K53" s="35" t="n">
        <f aca="false">IF($C53="","",IFERROR(INDEX(Cadastro!$P$8:$P$47,MATCH($C53,Cadastro!$B$8:$B$47,0)),""))</f>
        <v>94.9</v>
      </c>
      <c r="L53" s="36" t="n">
        <f aca="false">IFERROR($J53/$K53,"")</f>
        <v>1.58061116965227</v>
      </c>
      <c r="M53" s="45"/>
      <c r="N53" s="27" t="s">
        <v>373</v>
      </c>
    </row>
    <row r="54" customFormat="false" ht="15" hidden="false" customHeight="false" outlineLevel="0" collapsed="false">
      <c r="A54" s="29" t="n">
        <v>46037</v>
      </c>
      <c r="B54" s="33" t="n">
        <f aca="false">IF($A54="",0,INT(($A54-Macrociclo!$C$11)/7)+1)</f>
        <v>2</v>
      </c>
      <c r="C54" s="27" t="s">
        <v>236</v>
      </c>
      <c r="D54" s="27" t="s">
        <v>695</v>
      </c>
      <c r="E54" s="27" t="s">
        <v>1205</v>
      </c>
      <c r="F54" s="32" t="n">
        <v>137.5</v>
      </c>
      <c r="G54" s="28" t="n">
        <v>1</v>
      </c>
      <c r="H54" s="35" t="n">
        <f aca="false">IF(OR($F54="",$G54=""),"",ROUND($F54*(1+$G54/30),1))</f>
        <v>142.1</v>
      </c>
      <c r="I54" s="35" t="n">
        <f aca="false">IF(OR($F54="",$G54="",$G54&gt;36),"",ROUND($F54/(1.0278-0.0278*$G54),1))</f>
        <v>137.5</v>
      </c>
      <c r="J54" s="30" t="n">
        <f aca="false">IF($E54="Direto (1RM real)",$F54,IF(OR($H54="",$I54=""),"",ROUND(AVERAGE($H54,$I54),1)))</f>
        <v>137.5</v>
      </c>
      <c r="K54" s="35" t="n">
        <f aca="false">IF($C54="","",IFERROR(INDEX(Cadastro!$P$8:$P$47,MATCH($C54,Cadastro!$B$8:$B$47,0)),""))</f>
        <v>94.9</v>
      </c>
      <c r="L54" s="36" t="n">
        <f aca="false">IFERROR($J54/$K54,"")</f>
        <v>1.44889357218124</v>
      </c>
      <c r="M54" s="45"/>
      <c r="N54" s="27" t="s">
        <v>373</v>
      </c>
    </row>
    <row r="55" customFormat="false" ht="15" hidden="false" customHeight="false" outlineLevel="0" collapsed="false">
      <c r="A55" s="29" t="n">
        <v>46037</v>
      </c>
      <c r="B55" s="33" t="n">
        <f aca="false">IF($A55="",0,INT(($A55-Macrociclo!$C$11)/7)+1)</f>
        <v>2</v>
      </c>
      <c r="C55" s="27" t="s">
        <v>236</v>
      </c>
      <c r="D55" s="27" t="s">
        <v>701</v>
      </c>
      <c r="E55" s="27" t="s">
        <v>1205</v>
      </c>
      <c r="F55" s="32" t="n">
        <v>130</v>
      </c>
      <c r="G55" s="28" t="n">
        <v>1</v>
      </c>
      <c r="H55" s="35" t="n">
        <f aca="false">IF(OR($F55="",$G55=""),"",ROUND($F55*(1+$G55/30),1))</f>
        <v>134.3</v>
      </c>
      <c r="I55" s="35" t="n">
        <f aca="false">IF(OR($F55="",$G55="",$G55&gt;36),"",ROUND($F55/(1.0278-0.0278*$G55),1))</f>
        <v>130</v>
      </c>
      <c r="J55" s="30" t="n">
        <f aca="false">IF($E55="Direto (1RM real)",$F55,IF(OR($H55="",$I55=""),"",ROUND(AVERAGE($H55,$I55),1)))</f>
        <v>130</v>
      </c>
      <c r="K55" s="35" t="n">
        <f aca="false">IF($C55="","",IFERROR(INDEX(Cadastro!$P$8:$P$47,MATCH($C55,Cadastro!$B$8:$B$47,0)),""))</f>
        <v>94.9</v>
      </c>
      <c r="L55" s="36" t="n">
        <f aca="false">IFERROR($J55/$K55,"")</f>
        <v>1.36986301369863</v>
      </c>
      <c r="M55" s="45"/>
      <c r="N55" s="27" t="s">
        <v>373</v>
      </c>
    </row>
    <row r="56" customFormat="false" ht="15" hidden="false" customHeight="false" outlineLevel="0" collapsed="false">
      <c r="A56" s="29" t="n">
        <v>46037</v>
      </c>
      <c r="B56" s="33" t="n">
        <f aca="false">IF($A56="",0,INT(($A56-Macrociclo!$C$11)/7)+1)</f>
        <v>2</v>
      </c>
      <c r="C56" s="27" t="s">
        <v>236</v>
      </c>
      <c r="D56" s="27" t="s">
        <v>758</v>
      </c>
      <c r="E56" s="27" t="s">
        <v>1205</v>
      </c>
      <c r="F56" s="32" t="n">
        <v>202.5</v>
      </c>
      <c r="G56" s="28" t="n">
        <v>1</v>
      </c>
      <c r="H56" s="35" t="n">
        <f aca="false">IF(OR($F56="",$G56=""),"",ROUND($F56*(1+$G56/30),1))</f>
        <v>209.3</v>
      </c>
      <c r="I56" s="35" t="n">
        <f aca="false">IF(OR($F56="",$G56="",$G56&gt;36),"",ROUND($F56/(1.0278-0.0278*$G56),1))</f>
        <v>202.5</v>
      </c>
      <c r="J56" s="30" t="n">
        <f aca="false">IF($E56="Direto (1RM real)",$F56,IF(OR($H56="",$I56=""),"",ROUND(AVERAGE($H56,$I56),1)))</f>
        <v>202.5</v>
      </c>
      <c r="K56" s="35" t="n">
        <f aca="false">IF($C56="","",IFERROR(INDEX(Cadastro!$P$8:$P$47,MATCH($C56,Cadastro!$B$8:$B$47,0)),""))</f>
        <v>94.9</v>
      </c>
      <c r="L56" s="36" t="n">
        <f aca="false">IFERROR($J56/$K56,"")</f>
        <v>2.13382507903056</v>
      </c>
      <c r="M56" s="45"/>
      <c r="N56" s="27" t="s">
        <v>373</v>
      </c>
    </row>
    <row r="57" customFormat="false" ht="15" hidden="false" customHeight="false" outlineLevel="0" collapsed="false">
      <c r="A57" s="29" t="n">
        <v>46037</v>
      </c>
      <c r="B57" s="33" t="n">
        <f aca="false">IF($A57="",0,INT(($A57-Macrociclo!$C$11)/7)+1)</f>
        <v>2</v>
      </c>
      <c r="C57" s="27" t="s">
        <v>236</v>
      </c>
      <c r="D57" s="27" t="s">
        <v>648</v>
      </c>
      <c r="E57" s="27" t="s">
        <v>1205</v>
      </c>
      <c r="F57" s="32" t="n">
        <v>102.5</v>
      </c>
      <c r="G57" s="28" t="n">
        <v>1</v>
      </c>
      <c r="H57" s="35" t="n">
        <f aca="false">IF(OR($F57="",$G57=""),"",ROUND($F57*(1+$G57/30),1))</f>
        <v>105.9</v>
      </c>
      <c r="I57" s="35" t="n">
        <f aca="false">IF(OR($F57="",$G57="",$G57&gt;36),"",ROUND($F57/(1.0278-0.0278*$G57),1))</f>
        <v>102.5</v>
      </c>
      <c r="J57" s="30" t="n">
        <f aca="false">IF($E57="Direto (1RM real)",$F57,IF(OR($H57="",$I57=""),"",ROUND(AVERAGE($H57,$I57),1)))</f>
        <v>102.5</v>
      </c>
      <c r="K57" s="35" t="n">
        <f aca="false">IF($C57="","",IFERROR(INDEX(Cadastro!$P$8:$P$47,MATCH($C57,Cadastro!$B$8:$B$47,0)),""))</f>
        <v>94.9</v>
      </c>
      <c r="L57" s="36" t="n">
        <f aca="false">IFERROR($J57/$K57,"")</f>
        <v>1.08008429926238</v>
      </c>
      <c r="M57" s="45"/>
      <c r="N57" s="27" t="s">
        <v>373</v>
      </c>
    </row>
    <row r="58" customFormat="false" ht="15" hidden="false" customHeight="false" outlineLevel="0" collapsed="false">
      <c r="A58" s="29" t="n">
        <v>46037</v>
      </c>
      <c r="B58" s="33" t="n">
        <f aca="false">IF($A58="",0,INT(($A58-Macrociclo!$C$11)/7)+1)</f>
        <v>2</v>
      </c>
      <c r="C58" s="27" t="s">
        <v>236</v>
      </c>
      <c r="D58" s="27" t="s">
        <v>644</v>
      </c>
      <c r="E58" s="27" t="s">
        <v>1205</v>
      </c>
      <c r="F58" s="32" t="n">
        <v>80</v>
      </c>
      <c r="G58" s="28" t="n">
        <v>1</v>
      </c>
      <c r="H58" s="35" t="n">
        <f aca="false">IF(OR($F58="",$G58=""),"",ROUND($F58*(1+$G58/30),1))</f>
        <v>82.7</v>
      </c>
      <c r="I58" s="35" t="n">
        <f aca="false">IF(OR($F58="",$G58="",$G58&gt;36),"",ROUND($F58/(1.0278-0.0278*$G58),1))</f>
        <v>80</v>
      </c>
      <c r="J58" s="30" t="n">
        <f aca="false">IF($E58="Direto (1RM real)",$F58,IF(OR($H58="",$I58=""),"",ROUND(AVERAGE($H58,$I58),1)))</f>
        <v>80</v>
      </c>
      <c r="K58" s="35" t="n">
        <f aca="false">IF($C58="","",IFERROR(INDEX(Cadastro!$P$8:$P$47,MATCH($C58,Cadastro!$B$8:$B$47,0)),""))</f>
        <v>94.9</v>
      </c>
      <c r="L58" s="36" t="n">
        <f aca="false">IFERROR($J58/$K58,"")</f>
        <v>0.842992623814542</v>
      </c>
      <c r="M58" s="45"/>
      <c r="N58" s="27" t="s">
        <v>373</v>
      </c>
    </row>
    <row r="59" customFormat="false" ht="15" hidden="false" customHeight="false" outlineLevel="0" collapsed="false">
      <c r="A59" s="29" t="n">
        <v>46037</v>
      </c>
      <c r="B59" s="33" t="n">
        <f aca="false">IF($A59="",0,INT(($A59-Macrociclo!$C$11)/7)+1)</f>
        <v>2</v>
      </c>
      <c r="C59" s="27" t="s">
        <v>236</v>
      </c>
      <c r="D59" s="27" t="s">
        <v>660</v>
      </c>
      <c r="E59" s="27" t="s">
        <v>1205</v>
      </c>
      <c r="F59" s="32" t="n">
        <v>50</v>
      </c>
      <c r="G59" s="28" t="n">
        <v>1</v>
      </c>
      <c r="H59" s="35" t="n">
        <f aca="false">IF(OR($F59="",$G59=""),"",ROUND($F59*(1+$G59/30),1))</f>
        <v>51.7</v>
      </c>
      <c r="I59" s="35" t="n">
        <f aca="false">IF(OR($F59="",$G59="",$G59&gt;36),"",ROUND($F59/(1.0278-0.0278*$G59),1))</f>
        <v>50</v>
      </c>
      <c r="J59" s="30" t="n">
        <f aca="false">IF($E59="Direto (1RM real)",$F59,IF(OR($H59="",$I59=""),"",ROUND(AVERAGE($H59,$I59),1)))</f>
        <v>50</v>
      </c>
      <c r="K59" s="35" t="n">
        <f aca="false">IF($C59="","",IFERROR(INDEX(Cadastro!$P$8:$P$47,MATCH($C59,Cadastro!$B$8:$B$47,0)),""))</f>
        <v>94.9</v>
      </c>
      <c r="L59" s="36" t="n">
        <f aca="false">IFERROR($J59/$K59,"")</f>
        <v>0.526870389884089</v>
      </c>
      <c r="M59" s="45"/>
      <c r="N59" s="27" t="s">
        <v>373</v>
      </c>
    </row>
    <row r="60" customFormat="false" ht="15" hidden="false" customHeight="false" outlineLevel="0" collapsed="false">
      <c r="A60" s="29" t="n">
        <v>46037</v>
      </c>
      <c r="B60" s="33" t="n">
        <f aca="false">IF($A60="",0,INT(($A60-Macrociclo!$C$11)/7)+1)</f>
        <v>2</v>
      </c>
      <c r="C60" s="27" t="s">
        <v>236</v>
      </c>
      <c r="D60" s="27" t="s">
        <v>953</v>
      </c>
      <c r="E60" s="27" t="s">
        <v>1205</v>
      </c>
      <c r="F60" s="32" t="n">
        <v>95</v>
      </c>
      <c r="G60" s="28" t="n">
        <v>1</v>
      </c>
      <c r="H60" s="35" t="n">
        <f aca="false">IF(OR($F60="",$G60=""),"",ROUND($F60*(1+$G60/30),1))</f>
        <v>98.2</v>
      </c>
      <c r="I60" s="35" t="n">
        <f aca="false">IF(OR($F60="",$G60="",$G60&gt;36),"",ROUND($F60/(1.0278-0.0278*$G60),1))</f>
        <v>95</v>
      </c>
      <c r="J60" s="30" t="n">
        <f aca="false">IF($E60="Direto (1RM real)",$F60,IF(OR($H60="",$I60=""),"",ROUND(AVERAGE($H60,$I60),1)))</f>
        <v>95</v>
      </c>
      <c r="K60" s="35" t="n">
        <f aca="false">IF($C60="","",IFERROR(INDEX(Cadastro!$P$8:$P$47,MATCH($C60,Cadastro!$B$8:$B$47,0)),""))</f>
        <v>94.9</v>
      </c>
      <c r="L60" s="36" t="n">
        <f aca="false">IFERROR($J60/$K60,"")</f>
        <v>1.00105374077977</v>
      </c>
      <c r="M60" s="45"/>
      <c r="N60" s="27" t="s">
        <v>373</v>
      </c>
    </row>
    <row r="61" customFormat="false" ht="15" hidden="false" customHeight="false" outlineLevel="0" collapsed="false">
      <c r="A61" s="29" t="n">
        <v>46037</v>
      </c>
      <c r="B61" s="33" t="n">
        <f aca="false">IF($A61="",0,INT(($A61-Macrociclo!$C$11)/7)+1)</f>
        <v>2</v>
      </c>
      <c r="C61" s="27" t="s">
        <v>236</v>
      </c>
      <c r="D61" s="27" t="s">
        <v>620</v>
      </c>
      <c r="E61" s="27" t="s">
        <v>1205</v>
      </c>
      <c r="F61" s="32" t="n">
        <v>122.5</v>
      </c>
      <c r="G61" s="28" t="n">
        <v>1</v>
      </c>
      <c r="H61" s="35" t="n">
        <f aca="false">IF(OR($F61="",$G61=""),"",ROUND($F61*(1+$G61/30),1))</f>
        <v>126.6</v>
      </c>
      <c r="I61" s="35" t="n">
        <f aca="false">IF(OR($F61="",$G61="",$G61&gt;36),"",ROUND($F61/(1.0278-0.0278*$G61),1))</f>
        <v>122.5</v>
      </c>
      <c r="J61" s="30" t="n">
        <f aca="false">IF($E61="Direto (1RM real)",$F61,IF(OR($H61="",$I61=""),"",ROUND(AVERAGE($H61,$I61),1)))</f>
        <v>122.5</v>
      </c>
      <c r="K61" s="35" t="n">
        <f aca="false">IF($C61="","",IFERROR(INDEX(Cadastro!$P$8:$P$47,MATCH($C61,Cadastro!$B$8:$B$47,0)),""))</f>
        <v>94.9</v>
      </c>
      <c r="L61" s="36" t="n">
        <f aca="false">IFERROR($J61/$K61,"")</f>
        <v>1.29083245521602</v>
      </c>
      <c r="M61" s="45"/>
      <c r="N61" s="27" t="s">
        <v>373</v>
      </c>
    </row>
    <row r="62" customFormat="false" ht="15" hidden="false" customHeight="false" outlineLevel="0" collapsed="false">
      <c r="A62" s="29" t="n">
        <v>46037</v>
      </c>
      <c r="B62" s="33" t="n">
        <f aca="false">IF($A62="",0,INT(($A62-Macrociclo!$C$11)/7)+1)</f>
        <v>2</v>
      </c>
      <c r="C62" s="27" t="s">
        <v>244</v>
      </c>
      <c r="D62" s="27" t="s">
        <v>688</v>
      </c>
      <c r="E62" s="27" t="s">
        <v>1205</v>
      </c>
      <c r="F62" s="32" t="n">
        <v>127.5</v>
      </c>
      <c r="G62" s="28" t="n">
        <v>1</v>
      </c>
      <c r="H62" s="35" t="n">
        <f aca="false">IF(OR($F62="",$G62=""),"",ROUND($F62*(1+$G62/30),1))</f>
        <v>131.8</v>
      </c>
      <c r="I62" s="35" t="n">
        <f aca="false">IF(OR($F62="",$G62="",$G62&gt;36),"",ROUND($F62/(1.0278-0.0278*$G62),1))</f>
        <v>127.5</v>
      </c>
      <c r="J62" s="30" t="n">
        <f aca="false">IF($E62="Direto (1RM real)",$F62,IF(OR($H62="",$I62=""),"",ROUND(AVERAGE($H62,$I62),1)))</f>
        <v>127.5</v>
      </c>
      <c r="K62" s="35" t="n">
        <f aca="false">IF($C62="","",IFERROR(INDEX(Cadastro!$P$8:$P$47,MATCH($C62,Cadastro!$B$8:$B$47,0)),""))</f>
        <v>79</v>
      </c>
      <c r="L62" s="36" t="n">
        <f aca="false">IFERROR($J62/$K62,"")</f>
        <v>1.61392405063291</v>
      </c>
      <c r="M62" s="45"/>
      <c r="N62" s="27" t="s">
        <v>373</v>
      </c>
    </row>
    <row r="63" customFormat="false" ht="15" hidden="false" customHeight="false" outlineLevel="0" collapsed="false">
      <c r="A63" s="29" t="n">
        <v>46037</v>
      </c>
      <c r="B63" s="33" t="n">
        <f aca="false">IF($A63="",0,INT(($A63-Macrociclo!$C$11)/7)+1)</f>
        <v>2</v>
      </c>
      <c r="C63" s="27" t="s">
        <v>244</v>
      </c>
      <c r="D63" s="27" t="s">
        <v>695</v>
      </c>
      <c r="E63" s="27" t="s">
        <v>1205</v>
      </c>
      <c r="F63" s="32" t="n">
        <v>107.5</v>
      </c>
      <c r="G63" s="28" t="n">
        <v>1</v>
      </c>
      <c r="H63" s="35" t="n">
        <f aca="false">IF(OR($F63="",$G63=""),"",ROUND($F63*(1+$G63/30),1))</f>
        <v>111.1</v>
      </c>
      <c r="I63" s="35" t="n">
        <f aca="false">IF(OR($F63="",$G63="",$G63&gt;36),"",ROUND($F63/(1.0278-0.0278*$G63),1))</f>
        <v>107.5</v>
      </c>
      <c r="J63" s="30" t="n">
        <f aca="false">IF($E63="Direto (1RM real)",$F63,IF(OR($H63="",$I63=""),"",ROUND(AVERAGE($H63,$I63),1)))</f>
        <v>107.5</v>
      </c>
      <c r="K63" s="35" t="n">
        <f aca="false">IF($C63="","",IFERROR(INDEX(Cadastro!$P$8:$P$47,MATCH($C63,Cadastro!$B$8:$B$47,0)),""))</f>
        <v>79</v>
      </c>
      <c r="L63" s="36" t="n">
        <f aca="false">IFERROR($J63/$K63,"")</f>
        <v>1.36075949367089</v>
      </c>
      <c r="M63" s="45"/>
      <c r="N63" s="27" t="s">
        <v>373</v>
      </c>
    </row>
    <row r="64" customFormat="false" ht="15" hidden="false" customHeight="false" outlineLevel="0" collapsed="false">
      <c r="A64" s="29" t="n">
        <v>46037</v>
      </c>
      <c r="B64" s="33" t="n">
        <f aca="false">IF($A64="",0,INT(($A64-Macrociclo!$C$11)/7)+1)</f>
        <v>2</v>
      </c>
      <c r="C64" s="27" t="s">
        <v>244</v>
      </c>
      <c r="D64" s="27" t="s">
        <v>701</v>
      </c>
      <c r="E64" s="27" t="s">
        <v>1205</v>
      </c>
      <c r="F64" s="32" t="n">
        <v>122.5</v>
      </c>
      <c r="G64" s="28" t="n">
        <v>1</v>
      </c>
      <c r="H64" s="35" t="n">
        <f aca="false">IF(OR($F64="",$G64=""),"",ROUND($F64*(1+$G64/30),1))</f>
        <v>126.6</v>
      </c>
      <c r="I64" s="35" t="n">
        <f aca="false">IF(OR($F64="",$G64="",$G64&gt;36),"",ROUND($F64/(1.0278-0.0278*$G64),1))</f>
        <v>122.5</v>
      </c>
      <c r="J64" s="30" t="n">
        <f aca="false">IF($E64="Direto (1RM real)",$F64,IF(OR($H64="",$I64=""),"",ROUND(AVERAGE($H64,$I64),1)))</f>
        <v>122.5</v>
      </c>
      <c r="K64" s="35" t="n">
        <f aca="false">IF($C64="","",IFERROR(INDEX(Cadastro!$P$8:$P$47,MATCH($C64,Cadastro!$B$8:$B$47,0)),""))</f>
        <v>79</v>
      </c>
      <c r="L64" s="36" t="n">
        <f aca="false">IFERROR($J64/$K64,"")</f>
        <v>1.55063291139241</v>
      </c>
      <c r="M64" s="45"/>
      <c r="N64" s="27" t="s">
        <v>373</v>
      </c>
    </row>
    <row r="65" customFormat="false" ht="15" hidden="false" customHeight="false" outlineLevel="0" collapsed="false">
      <c r="A65" s="29" t="n">
        <v>46037</v>
      </c>
      <c r="B65" s="33" t="n">
        <f aca="false">IF($A65="",0,INT(($A65-Macrociclo!$C$11)/7)+1)</f>
        <v>2</v>
      </c>
      <c r="C65" s="27" t="s">
        <v>244</v>
      </c>
      <c r="D65" s="27" t="s">
        <v>758</v>
      </c>
      <c r="E65" s="27" t="s">
        <v>1205</v>
      </c>
      <c r="F65" s="32" t="n">
        <v>167.5</v>
      </c>
      <c r="G65" s="28" t="n">
        <v>1</v>
      </c>
      <c r="H65" s="35" t="n">
        <f aca="false">IF(OR($F65="",$G65=""),"",ROUND($F65*(1+$G65/30),1))</f>
        <v>173.1</v>
      </c>
      <c r="I65" s="35" t="n">
        <f aca="false">IF(OR($F65="",$G65="",$G65&gt;36),"",ROUND($F65/(1.0278-0.0278*$G65),1))</f>
        <v>167.5</v>
      </c>
      <c r="J65" s="30" t="n">
        <f aca="false">IF($E65="Direto (1RM real)",$F65,IF(OR($H65="",$I65=""),"",ROUND(AVERAGE($H65,$I65),1)))</f>
        <v>167.5</v>
      </c>
      <c r="K65" s="35" t="n">
        <f aca="false">IF($C65="","",IFERROR(INDEX(Cadastro!$P$8:$P$47,MATCH($C65,Cadastro!$B$8:$B$47,0)),""))</f>
        <v>79</v>
      </c>
      <c r="L65" s="36" t="n">
        <f aca="false">IFERROR($J65/$K65,"")</f>
        <v>2.12025316455696</v>
      </c>
      <c r="M65" s="45"/>
      <c r="N65" s="27" t="s">
        <v>373</v>
      </c>
    </row>
    <row r="66" customFormat="false" ht="15" hidden="false" customHeight="false" outlineLevel="0" collapsed="false">
      <c r="A66" s="29" t="n">
        <v>46037</v>
      </c>
      <c r="B66" s="33" t="n">
        <f aca="false">IF($A66="",0,INT(($A66-Macrociclo!$C$11)/7)+1)</f>
        <v>2</v>
      </c>
      <c r="C66" s="27" t="s">
        <v>244</v>
      </c>
      <c r="D66" s="27" t="s">
        <v>648</v>
      </c>
      <c r="E66" s="27" t="s">
        <v>1205</v>
      </c>
      <c r="F66" s="32" t="n">
        <v>82.5</v>
      </c>
      <c r="G66" s="28" t="n">
        <v>1</v>
      </c>
      <c r="H66" s="35" t="n">
        <f aca="false">IF(OR($F66="",$G66=""),"",ROUND($F66*(1+$G66/30),1))</f>
        <v>85.3</v>
      </c>
      <c r="I66" s="35" t="n">
        <f aca="false">IF(OR($F66="",$G66="",$G66&gt;36),"",ROUND($F66/(1.0278-0.0278*$G66),1))</f>
        <v>82.5</v>
      </c>
      <c r="J66" s="30" t="n">
        <f aca="false">IF($E66="Direto (1RM real)",$F66,IF(OR($H66="",$I66=""),"",ROUND(AVERAGE($H66,$I66),1)))</f>
        <v>82.5</v>
      </c>
      <c r="K66" s="35" t="n">
        <f aca="false">IF($C66="","",IFERROR(INDEX(Cadastro!$P$8:$P$47,MATCH($C66,Cadastro!$B$8:$B$47,0)),""))</f>
        <v>79</v>
      </c>
      <c r="L66" s="36" t="n">
        <f aca="false">IFERROR($J66/$K66,"")</f>
        <v>1.04430379746835</v>
      </c>
      <c r="M66" s="45"/>
      <c r="N66" s="27" t="s">
        <v>373</v>
      </c>
    </row>
    <row r="67" customFormat="false" ht="15" hidden="false" customHeight="false" outlineLevel="0" collapsed="false">
      <c r="A67" s="29" t="n">
        <v>46037</v>
      </c>
      <c r="B67" s="33" t="n">
        <f aca="false">IF($A67="",0,INT(($A67-Macrociclo!$C$11)/7)+1)</f>
        <v>2</v>
      </c>
      <c r="C67" s="27" t="s">
        <v>244</v>
      </c>
      <c r="D67" s="27" t="s">
        <v>644</v>
      </c>
      <c r="E67" s="27" t="s">
        <v>1205</v>
      </c>
      <c r="F67" s="32" t="n">
        <v>62.5</v>
      </c>
      <c r="G67" s="28" t="n">
        <v>1</v>
      </c>
      <c r="H67" s="35" t="n">
        <f aca="false">IF(OR($F67="",$G67=""),"",ROUND($F67*(1+$G67/30),1))</f>
        <v>64.6</v>
      </c>
      <c r="I67" s="35" t="n">
        <f aca="false">IF(OR($F67="",$G67="",$G67&gt;36),"",ROUND($F67/(1.0278-0.0278*$G67),1))</f>
        <v>62.5</v>
      </c>
      <c r="J67" s="30" t="n">
        <f aca="false">IF($E67="Direto (1RM real)",$F67,IF(OR($H67="",$I67=""),"",ROUND(AVERAGE($H67,$I67),1)))</f>
        <v>62.5</v>
      </c>
      <c r="K67" s="35" t="n">
        <f aca="false">IF($C67="","",IFERROR(INDEX(Cadastro!$P$8:$P$47,MATCH($C67,Cadastro!$B$8:$B$47,0)),""))</f>
        <v>79</v>
      </c>
      <c r="L67" s="36" t="n">
        <f aca="false">IFERROR($J67/$K67,"")</f>
        <v>0.791139240506329</v>
      </c>
      <c r="M67" s="45"/>
      <c r="N67" s="27" t="s">
        <v>373</v>
      </c>
    </row>
    <row r="68" customFormat="false" ht="15" hidden="false" customHeight="false" outlineLevel="0" collapsed="false">
      <c r="A68" s="29" t="n">
        <v>46037</v>
      </c>
      <c r="B68" s="33" t="n">
        <f aca="false">IF($A68="",0,INT(($A68-Macrociclo!$C$11)/7)+1)</f>
        <v>2</v>
      </c>
      <c r="C68" s="27" t="s">
        <v>244</v>
      </c>
      <c r="D68" s="27" t="s">
        <v>660</v>
      </c>
      <c r="E68" s="27" t="s">
        <v>1205</v>
      </c>
      <c r="F68" s="32" t="n">
        <v>42.5</v>
      </c>
      <c r="G68" s="28" t="n">
        <v>1</v>
      </c>
      <c r="H68" s="35" t="n">
        <f aca="false">IF(OR($F68="",$G68=""),"",ROUND($F68*(1+$G68/30),1))</f>
        <v>43.9</v>
      </c>
      <c r="I68" s="35" t="n">
        <f aca="false">IF(OR($F68="",$G68="",$G68&gt;36),"",ROUND($F68/(1.0278-0.0278*$G68),1))</f>
        <v>42.5</v>
      </c>
      <c r="J68" s="30" t="n">
        <f aca="false">IF($E68="Direto (1RM real)",$F68,IF(OR($H68="",$I68=""),"",ROUND(AVERAGE($H68,$I68),1)))</f>
        <v>42.5</v>
      </c>
      <c r="K68" s="35" t="n">
        <f aca="false">IF($C68="","",IFERROR(INDEX(Cadastro!$P$8:$P$47,MATCH($C68,Cadastro!$B$8:$B$47,0)),""))</f>
        <v>79</v>
      </c>
      <c r="L68" s="36" t="n">
        <f aca="false">IFERROR($J68/$K68,"")</f>
        <v>0.537974683544304</v>
      </c>
      <c r="M68" s="45"/>
      <c r="N68" s="27" t="s">
        <v>373</v>
      </c>
    </row>
    <row r="69" customFormat="false" ht="15" hidden="false" customHeight="false" outlineLevel="0" collapsed="false">
      <c r="A69" s="29" t="n">
        <v>46037</v>
      </c>
      <c r="B69" s="33" t="n">
        <f aca="false">IF($A69="",0,INT(($A69-Macrociclo!$C$11)/7)+1)</f>
        <v>2</v>
      </c>
      <c r="C69" s="27" t="s">
        <v>244</v>
      </c>
      <c r="D69" s="27" t="s">
        <v>953</v>
      </c>
      <c r="E69" s="27" t="s">
        <v>1205</v>
      </c>
      <c r="F69" s="32" t="n">
        <v>82.5</v>
      </c>
      <c r="G69" s="28" t="n">
        <v>1</v>
      </c>
      <c r="H69" s="35" t="n">
        <f aca="false">IF(OR($F69="",$G69=""),"",ROUND($F69*(1+$G69/30),1))</f>
        <v>85.3</v>
      </c>
      <c r="I69" s="35" t="n">
        <f aca="false">IF(OR($F69="",$G69="",$G69&gt;36),"",ROUND($F69/(1.0278-0.0278*$G69),1))</f>
        <v>82.5</v>
      </c>
      <c r="J69" s="30" t="n">
        <f aca="false">IF($E69="Direto (1RM real)",$F69,IF(OR($H69="",$I69=""),"",ROUND(AVERAGE($H69,$I69),1)))</f>
        <v>82.5</v>
      </c>
      <c r="K69" s="35" t="n">
        <f aca="false">IF($C69="","",IFERROR(INDEX(Cadastro!$P$8:$P$47,MATCH($C69,Cadastro!$B$8:$B$47,0)),""))</f>
        <v>79</v>
      </c>
      <c r="L69" s="36" t="n">
        <f aca="false">IFERROR($J69/$K69,"")</f>
        <v>1.04430379746835</v>
      </c>
      <c r="M69" s="45"/>
      <c r="N69" s="27" t="s">
        <v>373</v>
      </c>
    </row>
    <row r="70" customFormat="false" ht="15" hidden="false" customHeight="false" outlineLevel="0" collapsed="false">
      <c r="A70" s="29" t="n">
        <v>46037</v>
      </c>
      <c r="B70" s="33" t="n">
        <f aca="false">IF($A70="",0,INT(($A70-Macrociclo!$C$11)/7)+1)</f>
        <v>2</v>
      </c>
      <c r="C70" s="27" t="s">
        <v>244</v>
      </c>
      <c r="D70" s="27" t="s">
        <v>620</v>
      </c>
      <c r="E70" s="27" t="s">
        <v>1205</v>
      </c>
      <c r="F70" s="32" t="n">
        <v>107.5</v>
      </c>
      <c r="G70" s="28" t="n">
        <v>1</v>
      </c>
      <c r="H70" s="35" t="n">
        <f aca="false">IF(OR($F70="",$G70=""),"",ROUND($F70*(1+$G70/30),1))</f>
        <v>111.1</v>
      </c>
      <c r="I70" s="35" t="n">
        <f aca="false">IF(OR($F70="",$G70="",$G70&gt;36),"",ROUND($F70/(1.0278-0.0278*$G70),1))</f>
        <v>107.5</v>
      </c>
      <c r="J70" s="30" t="n">
        <f aca="false">IF($E70="Direto (1RM real)",$F70,IF(OR($H70="",$I70=""),"",ROUND(AVERAGE($H70,$I70),1)))</f>
        <v>107.5</v>
      </c>
      <c r="K70" s="35" t="n">
        <f aca="false">IF($C70="","",IFERROR(INDEX(Cadastro!$P$8:$P$47,MATCH($C70,Cadastro!$B$8:$B$47,0)),""))</f>
        <v>79</v>
      </c>
      <c r="L70" s="36" t="n">
        <f aca="false">IFERROR($J70/$K70,"")</f>
        <v>1.36075949367089</v>
      </c>
      <c r="M70" s="45"/>
      <c r="N70" s="27" t="s">
        <v>373</v>
      </c>
    </row>
    <row r="71" customFormat="false" ht="15" hidden="false" customHeight="false" outlineLevel="0" collapsed="false">
      <c r="A71" s="29" t="n">
        <v>46037</v>
      </c>
      <c r="B71" s="33" t="n">
        <f aca="false">IF($A71="",0,INT(($A71-Macrociclo!$C$11)/7)+1)</f>
        <v>2</v>
      </c>
      <c r="C71" s="27" t="s">
        <v>253</v>
      </c>
      <c r="D71" s="27" t="s">
        <v>688</v>
      </c>
      <c r="E71" s="27" t="s">
        <v>1205</v>
      </c>
      <c r="F71" s="32" t="n">
        <v>147.5</v>
      </c>
      <c r="G71" s="28" t="n">
        <v>1</v>
      </c>
      <c r="H71" s="35" t="n">
        <f aca="false">IF(OR($F71="",$G71=""),"",ROUND($F71*(1+$G71/30),1))</f>
        <v>152.4</v>
      </c>
      <c r="I71" s="35" t="n">
        <f aca="false">IF(OR($F71="",$G71="",$G71&gt;36),"",ROUND($F71/(1.0278-0.0278*$G71),1))</f>
        <v>147.5</v>
      </c>
      <c r="J71" s="30" t="n">
        <f aca="false">IF($E71="Direto (1RM real)",$F71,IF(OR($H71="",$I71=""),"",ROUND(AVERAGE($H71,$I71),1)))</f>
        <v>147.5</v>
      </c>
      <c r="K71" s="35" t="n">
        <f aca="false">IF($C71="","",IFERROR(INDEX(Cadastro!$P$8:$P$47,MATCH($C71,Cadastro!$B$8:$B$47,0)),""))</f>
        <v>90.4</v>
      </c>
      <c r="L71" s="36" t="n">
        <f aca="false">IFERROR($J71/$K71,"")</f>
        <v>1.63163716814159</v>
      </c>
      <c r="M71" s="45"/>
      <c r="N71" s="27" t="s">
        <v>373</v>
      </c>
    </row>
    <row r="72" customFormat="false" ht="15" hidden="false" customHeight="false" outlineLevel="0" collapsed="false">
      <c r="A72" s="29" t="n">
        <v>46037</v>
      </c>
      <c r="B72" s="33" t="n">
        <f aca="false">IF($A72="",0,INT(($A72-Macrociclo!$C$11)/7)+1)</f>
        <v>2</v>
      </c>
      <c r="C72" s="27" t="s">
        <v>253</v>
      </c>
      <c r="D72" s="27" t="s">
        <v>695</v>
      </c>
      <c r="E72" s="27" t="s">
        <v>1205</v>
      </c>
      <c r="F72" s="32" t="n">
        <v>127.5</v>
      </c>
      <c r="G72" s="28" t="n">
        <v>1</v>
      </c>
      <c r="H72" s="35" t="n">
        <f aca="false">IF(OR($F72="",$G72=""),"",ROUND($F72*(1+$G72/30),1))</f>
        <v>131.8</v>
      </c>
      <c r="I72" s="35" t="n">
        <f aca="false">IF(OR($F72="",$G72="",$G72&gt;36),"",ROUND($F72/(1.0278-0.0278*$G72),1))</f>
        <v>127.5</v>
      </c>
      <c r="J72" s="30" t="n">
        <f aca="false">IF($E72="Direto (1RM real)",$F72,IF(OR($H72="",$I72=""),"",ROUND(AVERAGE($H72,$I72),1)))</f>
        <v>127.5</v>
      </c>
      <c r="K72" s="35" t="n">
        <f aca="false">IF($C72="","",IFERROR(INDEX(Cadastro!$P$8:$P$47,MATCH($C72,Cadastro!$B$8:$B$47,0)),""))</f>
        <v>90.4</v>
      </c>
      <c r="L72" s="36" t="n">
        <f aca="false">IFERROR($J72/$K72,"")</f>
        <v>1.4103982300885</v>
      </c>
      <c r="M72" s="45"/>
      <c r="N72" s="27" t="s">
        <v>373</v>
      </c>
    </row>
    <row r="73" customFormat="false" ht="15" hidden="false" customHeight="false" outlineLevel="0" collapsed="false">
      <c r="A73" s="29" t="n">
        <v>46037</v>
      </c>
      <c r="B73" s="33" t="n">
        <f aca="false">IF($A73="",0,INT(($A73-Macrociclo!$C$11)/7)+1)</f>
        <v>2</v>
      </c>
      <c r="C73" s="27" t="s">
        <v>253</v>
      </c>
      <c r="D73" s="27" t="s">
        <v>701</v>
      </c>
      <c r="E73" s="27" t="s">
        <v>1205</v>
      </c>
      <c r="F73" s="32" t="n">
        <v>122.5</v>
      </c>
      <c r="G73" s="28" t="n">
        <v>1</v>
      </c>
      <c r="H73" s="35" t="n">
        <f aca="false">IF(OR($F73="",$G73=""),"",ROUND($F73*(1+$G73/30),1))</f>
        <v>126.6</v>
      </c>
      <c r="I73" s="35" t="n">
        <f aca="false">IF(OR($F73="",$G73="",$G73&gt;36),"",ROUND($F73/(1.0278-0.0278*$G73),1))</f>
        <v>122.5</v>
      </c>
      <c r="J73" s="30" t="n">
        <f aca="false">IF($E73="Direto (1RM real)",$F73,IF(OR($H73="",$I73=""),"",ROUND(AVERAGE($H73,$I73),1)))</f>
        <v>122.5</v>
      </c>
      <c r="K73" s="35" t="n">
        <f aca="false">IF($C73="","",IFERROR(INDEX(Cadastro!$P$8:$P$47,MATCH($C73,Cadastro!$B$8:$B$47,0)),""))</f>
        <v>90.4</v>
      </c>
      <c r="L73" s="36" t="n">
        <f aca="false">IFERROR($J73/$K73,"")</f>
        <v>1.35508849557522</v>
      </c>
      <c r="M73" s="45"/>
      <c r="N73" s="27" t="s">
        <v>373</v>
      </c>
    </row>
    <row r="74" customFormat="false" ht="15" hidden="false" customHeight="false" outlineLevel="0" collapsed="false">
      <c r="A74" s="29" t="n">
        <v>46037</v>
      </c>
      <c r="B74" s="33" t="n">
        <f aca="false">IF($A74="",0,INT(($A74-Macrociclo!$C$11)/7)+1)</f>
        <v>2</v>
      </c>
      <c r="C74" s="27" t="s">
        <v>253</v>
      </c>
      <c r="D74" s="27" t="s">
        <v>758</v>
      </c>
      <c r="E74" s="27" t="s">
        <v>1205</v>
      </c>
      <c r="F74" s="32" t="n">
        <v>180</v>
      </c>
      <c r="G74" s="28" t="n">
        <v>1</v>
      </c>
      <c r="H74" s="35" t="n">
        <f aca="false">IF(OR($F74="",$G74=""),"",ROUND($F74*(1+$G74/30),1))</f>
        <v>186</v>
      </c>
      <c r="I74" s="35" t="n">
        <f aca="false">IF(OR($F74="",$G74="",$G74&gt;36),"",ROUND($F74/(1.0278-0.0278*$G74),1))</f>
        <v>180</v>
      </c>
      <c r="J74" s="30" t="n">
        <f aca="false">IF($E74="Direto (1RM real)",$F74,IF(OR($H74="",$I74=""),"",ROUND(AVERAGE($H74,$I74),1)))</f>
        <v>180</v>
      </c>
      <c r="K74" s="35" t="n">
        <f aca="false">IF($C74="","",IFERROR(INDEX(Cadastro!$P$8:$P$47,MATCH($C74,Cadastro!$B$8:$B$47,0)),""))</f>
        <v>90.4</v>
      </c>
      <c r="L74" s="36" t="n">
        <f aca="false">IFERROR($J74/$K74,"")</f>
        <v>1.99115044247788</v>
      </c>
      <c r="M74" s="45"/>
      <c r="N74" s="27" t="s">
        <v>373</v>
      </c>
    </row>
    <row r="75" customFormat="false" ht="15" hidden="false" customHeight="false" outlineLevel="0" collapsed="false">
      <c r="A75" s="29" t="n">
        <v>46037</v>
      </c>
      <c r="B75" s="33" t="n">
        <f aca="false">IF($A75="",0,INT(($A75-Macrociclo!$C$11)/7)+1)</f>
        <v>2</v>
      </c>
      <c r="C75" s="27" t="s">
        <v>253</v>
      </c>
      <c r="D75" s="27" t="s">
        <v>648</v>
      </c>
      <c r="E75" s="27" t="s">
        <v>1205</v>
      </c>
      <c r="F75" s="32" t="n">
        <v>102.5</v>
      </c>
      <c r="G75" s="28" t="n">
        <v>1</v>
      </c>
      <c r="H75" s="35" t="n">
        <f aca="false">IF(OR($F75="",$G75=""),"",ROUND($F75*(1+$G75/30),1))</f>
        <v>105.9</v>
      </c>
      <c r="I75" s="35" t="n">
        <f aca="false">IF(OR($F75="",$G75="",$G75&gt;36),"",ROUND($F75/(1.0278-0.0278*$G75),1))</f>
        <v>102.5</v>
      </c>
      <c r="J75" s="30" t="n">
        <f aca="false">IF($E75="Direto (1RM real)",$F75,IF(OR($H75="",$I75=""),"",ROUND(AVERAGE($H75,$I75),1)))</f>
        <v>102.5</v>
      </c>
      <c r="K75" s="35" t="n">
        <f aca="false">IF($C75="","",IFERROR(INDEX(Cadastro!$P$8:$P$47,MATCH($C75,Cadastro!$B$8:$B$47,0)),""))</f>
        <v>90.4</v>
      </c>
      <c r="L75" s="36" t="n">
        <f aca="false">IFERROR($J75/$K75,"")</f>
        <v>1.13384955752212</v>
      </c>
      <c r="M75" s="45"/>
      <c r="N75" s="27" t="s">
        <v>373</v>
      </c>
    </row>
    <row r="76" customFormat="false" ht="15" hidden="false" customHeight="false" outlineLevel="0" collapsed="false">
      <c r="A76" s="29" t="n">
        <v>46037</v>
      </c>
      <c r="B76" s="33" t="n">
        <f aca="false">IF($A76="",0,INT(($A76-Macrociclo!$C$11)/7)+1)</f>
        <v>2</v>
      </c>
      <c r="C76" s="27" t="s">
        <v>253</v>
      </c>
      <c r="D76" s="27" t="s">
        <v>644</v>
      </c>
      <c r="E76" s="27" t="s">
        <v>1205</v>
      </c>
      <c r="F76" s="32" t="n">
        <v>67.5</v>
      </c>
      <c r="G76" s="28" t="n">
        <v>1</v>
      </c>
      <c r="H76" s="35" t="n">
        <f aca="false">IF(OR($F76="",$G76=""),"",ROUND($F76*(1+$G76/30),1))</f>
        <v>69.8</v>
      </c>
      <c r="I76" s="35" t="n">
        <f aca="false">IF(OR($F76="",$G76="",$G76&gt;36),"",ROUND($F76/(1.0278-0.0278*$G76),1))</f>
        <v>67.5</v>
      </c>
      <c r="J76" s="30" t="n">
        <f aca="false">IF($E76="Direto (1RM real)",$F76,IF(OR($H76="",$I76=""),"",ROUND(AVERAGE($H76,$I76),1)))</f>
        <v>67.5</v>
      </c>
      <c r="K76" s="35" t="n">
        <f aca="false">IF($C76="","",IFERROR(INDEX(Cadastro!$P$8:$P$47,MATCH($C76,Cadastro!$B$8:$B$47,0)),""))</f>
        <v>90.4</v>
      </c>
      <c r="L76" s="36" t="n">
        <f aca="false">IFERROR($J76/$K76,"")</f>
        <v>0.746681415929204</v>
      </c>
      <c r="M76" s="45"/>
      <c r="N76" s="27" t="s">
        <v>373</v>
      </c>
    </row>
    <row r="77" customFormat="false" ht="15" hidden="false" customHeight="false" outlineLevel="0" collapsed="false">
      <c r="A77" s="29" t="n">
        <v>46037</v>
      </c>
      <c r="B77" s="33" t="n">
        <f aca="false">IF($A77="",0,INT(($A77-Macrociclo!$C$11)/7)+1)</f>
        <v>2</v>
      </c>
      <c r="C77" s="27" t="s">
        <v>253</v>
      </c>
      <c r="D77" s="27" t="s">
        <v>660</v>
      </c>
      <c r="E77" s="27" t="s">
        <v>1205</v>
      </c>
      <c r="F77" s="32" t="n">
        <v>50</v>
      </c>
      <c r="G77" s="28" t="n">
        <v>1</v>
      </c>
      <c r="H77" s="35" t="n">
        <f aca="false">IF(OR($F77="",$G77=""),"",ROUND($F77*(1+$G77/30),1))</f>
        <v>51.7</v>
      </c>
      <c r="I77" s="35" t="n">
        <f aca="false">IF(OR($F77="",$G77="",$G77&gt;36),"",ROUND($F77/(1.0278-0.0278*$G77),1))</f>
        <v>50</v>
      </c>
      <c r="J77" s="30" t="n">
        <f aca="false">IF($E77="Direto (1RM real)",$F77,IF(OR($H77="",$I77=""),"",ROUND(AVERAGE($H77,$I77),1)))</f>
        <v>50</v>
      </c>
      <c r="K77" s="35" t="n">
        <f aca="false">IF($C77="","",IFERROR(INDEX(Cadastro!$P$8:$P$47,MATCH($C77,Cadastro!$B$8:$B$47,0)),""))</f>
        <v>90.4</v>
      </c>
      <c r="L77" s="36" t="n">
        <f aca="false">IFERROR($J77/$K77,"")</f>
        <v>0.553097345132743</v>
      </c>
      <c r="M77" s="45"/>
      <c r="N77" s="27" t="s">
        <v>373</v>
      </c>
    </row>
    <row r="78" customFormat="false" ht="15" hidden="false" customHeight="false" outlineLevel="0" collapsed="false">
      <c r="A78" s="29" t="n">
        <v>46037</v>
      </c>
      <c r="B78" s="33" t="n">
        <f aca="false">IF($A78="",0,INT(($A78-Macrociclo!$C$11)/7)+1)</f>
        <v>2</v>
      </c>
      <c r="C78" s="27" t="s">
        <v>253</v>
      </c>
      <c r="D78" s="27" t="s">
        <v>953</v>
      </c>
      <c r="E78" s="27" t="s">
        <v>1205</v>
      </c>
      <c r="F78" s="32" t="n">
        <v>100</v>
      </c>
      <c r="G78" s="28" t="n">
        <v>1</v>
      </c>
      <c r="H78" s="35" t="n">
        <f aca="false">IF(OR($F78="",$G78=""),"",ROUND($F78*(1+$G78/30),1))</f>
        <v>103.3</v>
      </c>
      <c r="I78" s="35" t="n">
        <f aca="false">IF(OR($F78="",$G78="",$G78&gt;36),"",ROUND($F78/(1.0278-0.0278*$G78),1))</f>
        <v>100</v>
      </c>
      <c r="J78" s="30" t="n">
        <f aca="false">IF($E78="Direto (1RM real)",$F78,IF(OR($H78="",$I78=""),"",ROUND(AVERAGE($H78,$I78),1)))</f>
        <v>100</v>
      </c>
      <c r="K78" s="35" t="n">
        <f aca="false">IF($C78="","",IFERROR(INDEX(Cadastro!$P$8:$P$47,MATCH($C78,Cadastro!$B$8:$B$47,0)),""))</f>
        <v>90.4</v>
      </c>
      <c r="L78" s="36" t="n">
        <f aca="false">IFERROR($J78/$K78,"")</f>
        <v>1.10619469026549</v>
      </c>
      <c r="M78" s="45"/>
      <c r="N78" s="27" t="s">
        <v>373</v>
      </c>
    </row>
    <row r="79" customFormat="false" ht="15" hidden="false" customHeight="false" outlineLevel="0" collapsed="false">
      <c r="A79" s="29" t="n">
        <v>46037</v>
      </c>
      <c r="B79" s="33" t="n">
        <f aca="false">IF($A79="",0,INT(($A79-Macrociclo!$C$11)/7)+1)</f>
        <v>2</v>
      </c>
      <c r="C79" s="27" t="s">
        <v>253</v>
      </c>
      <c r="D79" s="27" t="s">
        <v>620</v>
      </c>
      <c r="E79" s="27" t="s">
        <v>1205</v>
      </c>
      <c r="F79" s="32" t="n">
        <v>110</v>
      </c>
      <c r="G79" s="28" t="n">
        <v>1</v>
      </c>
      <c r="H79" s="35" t="n">
        <f aca="false">IF(OR($F79="",$G79=""),"",ROUND($F79*(1+$G79/30),1))</f>
        <v>113.7</v>
      </c>
      <c r="I79" s="35" t="n">
        <f aca="false">IF(OR($F79="",$G79="",$G79&gt;36),"",ROUND($F79/(1.0278-0.0278*$G79),1))</f>
        <v>110</v>
      </c>
      <c r="J79" s="30" t="n">
        <f aca="false">IF($E79="Direto (1RM real)",$F79,IF(OR($H79="",$I79=""),"",ROUND(AVERAGE($H79,$I79),1)))</f>
        <v>110</v>
      </c>
      <c r="K79" s="35" t="n">
        <f aca="false">IF($C79="","",IFERROR(INDEX(Cadastro!$P$8:$P$47,MATCH($C79,Cadastro!$B$8:$B$47,0)),""))</f>
        <v>90.4</v>
      </c>
      <c r="L79" s="36" t="n">
        <f aca="false">IFERROR($J79/$K79,"")</f>
        <v>1.21681415929204</v>
      </c>
      <c r="M79" s="45"/>
      <c r="N79" s="27" t="s">
        <v>373</v>
      </c>
    </row>
    <row r="80" customFormat="false" ht="15" hidden="false" customHeight="false" outlineLevel="0" collapsed="false">
      <c r="A80" s="29" t="n">
        <v>46037</v>
      </c>
      <c r="B80" s="33" t="n">
        <f aca="false">IF($A80="",0,INT(($A80-Macrociclo!$C$11)/7)+1)</f>
        <v>2</v>
      </c>
      <c r="C80" s="27" t="s">
        <v>259</v>
      </c>
      <c r="D80" s="27" t="s">
        <v>688</v>
      </c>
      <c r="E80" s="27" t="s">
        <v>1205</v>
      </c>
      <c r="F80" s="32" t="n">
        <v>152.5</v>
      </c>
      <c r="G80" s="28" t="n">
        <v>1</v>
      </c>
      <c r="H80" s="35" t="n">
        <f aca="false">IF(OR($F80="",$G80=""),"",ROUND($F80*(1+$G80/30),1))</f>
        <v>157.6</v>
      </c>
      <c r="I80" s="35" t="n">
        <f aca="false">IF(OR($F80="",$G80="",$G80&gt;36),"",ROUND($F80/(1.0278-0.0278*$G80),1))</f>
        <v>152.5</v>
      </c>
      <c r="J80" s="30" t="n">
        <f aca="false">IF($E80="Direto (1RM real)",$F80,IF(OR($H80="",$I80=""),"",ROUND(AVERAGE($H80,$I80),1)))</f>
        <v>152.5</v>
      </c>
      <c r="K80" s="35" t="n">
        <f aca="false">IF($C80="","",IFERROR(INDEX(Cadastro!$P$8:$P$47,MATCH($C80,Cadastro!$B$8:$B$47,0)),""))</f>
        <v>82.5</v>
      </c>
      <c r="L80" s="36" t="n">
        <f aca="false">IFERROR($J80/$K80,"")</f>
        <v>1.84848484848485</v>
      </c>
      <c r="M80" s="45"/>
      <c r="N80" s="27" t="s">
        <v>373</v>
      </c>
    </row>
    <row r="81" customFormat="false" ht="15" hidden="false" customHeight="false" outlineLevel="0" collapsed="false">
      <c r="A81" s="29" t="n">
        <v>46037</v>
      </c>
      <c r="B81" s="33" t="n">
        <f aca="false">IF($A81="",0,INT(($A81-Macrociclo!$C$11)/7)+1)</f>
        <v>2</v>
      </c>
      <c r="C81" s="27" t="s">
        <v>259</v>
      </c>
      <c r="D81" s="27" t="s">
        <v>695</v>
      </c>
      <c r="E81" s="27" t="s">
        <v>1205</v>
      </c>
      <c r="F81" s="32" t="n">
        <v>107.5</v>
      </c>
      <c r="G81" s="28" t="n">
        <v>1</v>
      </c>
      <c r="H81" s="35" t="n">
        <f aca="false">IF(OR($F81="",$G81=""),"",ROUND($F81*(1+$G81/30),1))</f>
        <v>111.1</v>
      </c>
      <c r="I81" s="35" t="n">
        <f aca="false">IF(OR($F81="",$G81="",$G81&gt;36),"",ROUND($F81/(1.0278-0.0278*$G81),1))</f>
        <v>107.5</v>
      </c>
      <c r="J81" s="30" t="n">
        <f aca="false">IF($E81="Direto (1RM real)",$F81,IF(OR($H81="",$I81=""),"",ROUND(AVERAGE($H81,$I81),1)))</f>
        <v>107.5</v>
      </c>
      <c r="K81" s="35" t="n">
        <f aca="false">IF($C81="","",IFERROR(INDEX(Cadastro!$P$8:$P$47,MATCH($C81,Cadastro!$B$8:$B$47,0)),""))</f>
        <v>82.5</v>
      </c>
      <c r="L81" s="36" t="n">
        <f aca="false">IFERROR($J81/$K81,"")</f>
        <v>1.3030303030303</v>
      </c>
      <c r="M81" s="45"/>
      <c r="N81" s="27" t="s">
        <v>373</v>
      </c>
    </row>
    <row r="82" customFormat="false" ht="15" hidden="false" customHeight="false" outlineLevel="0" collapsed="false">
      <c r="A82" s="29" t="n">
        <v>46037</v>
      </c>
      <c r="B82" s="33" t="n">
        <f aca="false">IF($A82="",0,INT(($A82-Macrociclo!$C$11)/7)+1)</f>
        <v>2</v>
      </c>
      <c r="C82" s="27" t="s">
        <v>259</v>
      </c>
      <c r="D82" s="27" t="s">
        <v>701</v>
      </c>
      <c r="E82" s="27" t="s">
        <v>1205</v>
      </c>
      <c r="F82" s="32" t="n">
        <v>120</v>
      </c>
      <c r="G82" s="28" t="n">
        <v>1</v>
      </c>
      <c r="H82" s="35" t="n">
        <f aca="false">IF(OR($F82="",$G82=""),"",ROUND($F82*(1+$G82/30),1))</f>
        <v>124</v>
      </c>
      <c r="I82" s="35" t="n">
        <f aca="false">IF(OR($F82="",$G82="",$G82&gt;36),"",ROUND($F82/(1.0278-0.0278*$G82),1))</f>
        <v>120</v>
      </c>
      <c r="J82" s="30" t="n">
        <f aca="false">IF($E82="Direto (1RM real)",$F82,IF(OR($H82="",$I82=""),"",ROUND(AVERAGE($H82,$I82),1)))</f>
        <v>120</v>
      </c>
      <c r="K82" s="35" t="n">
        <f aca="false">IF($C82="","",IFERROR(INDEX(Cadastro!$P$8:$P$47,MATCH($C82,Cadastro!$B$8:$B$47,0)),""))</f>
        <v>82.5</v>
      </c>
      <c r="L82" s="36" t="n">
        <f aca="false">IFERROR($J82/$K82,"")</f>
        <v>1.45454545454545</v>
      </c>
      <c r="M82" s="45"/>
      <c r="N82" s="27" t="s">
        <v>373</v>
      </c>
    </row>
    <row r="83" customFormat="false" ht="15" hidden="false" customHeight="false" outlineLevel="0" collapsed="false">
      <c r="A83" s="29" t="n">
        <v>46037</v>
      </c>
      <c r="B83" s="33" t="n">
        <f aca="false">IF($A83="",0,INT(($A83-Macrociclo!$C$11)/7)+1)</f>
        <v>2</v>
      </c>
      <c r="C83" s="27" t="s">
        <v>259</v>
      </c>
      <c r="D83" s="27" t="s">
        <v>758</v>
      </c>
      <c r="E83" s="27" t="s">
        <v>1205</v>
      </c>
      <c r="F83" s="32" t="n">
        <v>167.5</v>
      </c>
      <c r="G83" s="28" t="n">
        <v>1</v>
      </c>
      <c r="H83" s="35" t="n">
        <f aca="false">IF(OR($F83="",$G83=""),"",ROUND($F83*(1+$G83/30),1))</f>
        <v>173.1</v>
      </c>
      <c r="I83" s="35" t="n">
        <f aca="false">IF(OR($F83="",$G83="",$G83&gt;36),"",ROUND($F83/(1.0278-0.0278*$G83),1))</f>
        <v>167.5</v>
      </c>
      <c r="J83" s="30" t="n">
        <f aca="false">IF($E83="Direto (1RM real)",$F83,IF(OR($H83="",$I83=""),"",ROUND(AVERAGE($H83,$I83),1)))</f>
        <v>167.5</v>
      </c>
      <c r="K83" s="35" t="n">
        <f aca="false">IF($C83="","",IFERROR(INDEX(Cadastro!$P$8:$P$47,MATCH($C83,Cadastro!$B$8:$B$47,0)),""))</f>
        <v>82.5</v>
      </c>
      <c r="L83" s="36" t="n">
        <f aca="false">IFERROR($J83/$K83,"")</f>
        <v>2.03030303030303</v>
      </c>
      <c r="M83" s="45"/>
      <c r="N83" s="27" t="s">
        <v>373</v>
      </c>
    </row>
    <row r="84" customFormat="false" ht="15" hidden="false" customHeight="false" outlineLevel="0" collapsed="false">
      <c r="A84" s="29" t="n">
        <v>46037</v>
      </c>
      <c r="B84" s="33" t="n">
        <f aca="false">IF($A84="",0,INT(($A84-Macrociclo!$C$11)/7)+1)</f>
        <v>2</v>
      </c>
      <c r="C84" s="27" t="s">
        <v>259</v>
      </c>
      <c r="D84" s="27" t="s">
        <v>648</v>
      </c>
      <c r="E84" s="27" t="s">
        <v>1205</v>
      </c>
      <c r="F84" s="32" t="n">
        <v>85</v>
      </c>
      <c r="G84" s="28" t="n">
        <v>1</v>
      </c>
      <c r="H84" s="35" t="n">
        <f aca="false">IF(OR($F84="",$G84=""),"",ROUND($F84*(1+$G84/30),1))</f>
        <v>87.8</v>
      </c>
      <c r="I84" s="35" t="n">
        <f aca="false">IF(OR($F84="",$G84="",$G84&gt;36),"",ROUND($F84/(1.0278-0.0278*$G84),1))</f>
        <v>85</v>
      </c>
      <c r="J84" s="30" t="n">
        <f aca="false">IF($E84="Direto (1RM real)",$F84,IF(OR($H84="",$I84=""),"",ROUND(AVERAGE($H84,$I84),1)))</f>
        <v>85</v>
      </c>
      <c r="K84" s="35" t="n">
        <f aca="false">IF($C84="","",IFERROR(INDEX(Cadastro!$P$8:$P$47,MATCH($C84,Cadastro!$B$8:$B$47,0)),""))</f>
        <v>82.5</v>
      </c>
      <c r="L84" s="36" t="n">
        <f aca="false">IFERROR($J84/$K84,"")</f>
        <v>1.03030303030303</v>
      </c>
      <c r="M84" s="45"/>
      <c r="N84" s="27" t="s">
        <v>373</v>
      </c>
    </row>
    <row r="85" customFormat="false" ht="15" hidden="false" customHeight="false" outlineLevel="0" collapsed="false">
      <c r="A85" s="29" t="n">
        <v>46037</v>
      </c>
      <c r="B85" s="33" t="n">
        <f aca="false">IF($A85="",0,INT(($A85-Macrociclo!$C$11)/7)+1)</f>
        <v>2</v>
      </c>
      <c r="C85" s="27" t="s">
        <v>259</v>
      </c>
      <c r="D85" s="27" t="s">
        <v>644</v>
      </c>
      <c r="E85" s="27" t="s">
        <v>1205</v>
      </c>
      <c r="F85" s="32" t="n">
        <v>72.5</v>
      </c>
      <c r="G85" s="28" t="n">
        <v>1</v>
      </c>
      <c r="H85" s="35" t="n">
        <f aca="false">IF(OR($F85="",$G85=""),"",ROUND($F85*(1+$G85/30),1))</f>
        <v>74.9</v>
      </c>
      <c r="I85" s="35" t="n">
        <f aca="false">IF(OR($F85="",$G85="",$G85&gt;36),"",ROUND($F85/(1.0278-0.0278*$G85),1))</f>
        <v>72.5</v>
      </c>
      <c r="J85" s="30" t="n">
        <f aca="false">IF($E85="Direto (1RM real)",$F85,IF(OR($H85="",$I85=""),"",ROUND(AVERAGE($H85,$I85),1)))</f>
        <v>72.5</v>
      </c>
      <c r="K85" s="35" t="n">
        <f aca="false">IF($C85="","",IFERROR(INDEX(Cadastro!$P$8:$P$47,MATCH($C85,Cadastro!$B$8:$B$47,0)),""))</f>
        <v>82.5</v>
      </c>
      <c r="L85" s="36" t="n">
        <f aca="false">IFERROR($J85/$K85,"")</f>
        <v>0.878787878787879</v>
      </c>
      <c r="M85" s="45"/>
      <c r="N85" s="27" t="s">
        <v>373</v>
      </c>
    </row>
    <row r="86" customFormat="false" ht="15" hidden="false" customHeight="false" outlineLevel="0" collapsed="false">
      <c r="A86" s="29" t="n">
        <v>46037</v>
      </c>
      <c r="B86" s="33" t="n">
        <f aca="false">IF($A86="",0,INT(($A86-Macrociclo!$C$11)/7)+1)</f>
        <v>2</v>
      </c>
      <c r="C86" s="27" t="s">
        <v>259</v>
      </c>
      <c r="D86" s="27" t="s">
        <v>660</v>
      </c>
      <c r="E86" s="27" t="s">
        <v>1205</v>
      </c>
      <c r="F86" s="32" t="n">
        <v>45</v>
      </c>
      <c r="G86" s="28" t="n">
        <v>1</v>
      </c>
      <c r="H86" s="35" t="n">
        <f aca="false">IF(OR($F86="",$G86=""),"",ROUND($F86*(1+$G86/30),1))</f>
        <v>46.5</v>
      </c>
      <c r="I86" s="35" t="n">
        <f aca="false">IF(OR($F86="",$G86="",$G86&gt;36),"",ROUND($F86/(1.0278-0.0278*$G86),1))</f>
        <v>45</v>
      </c>
      <c r="J86" s="30" t="n">
        <f aca="false">IF($E86="Direto (1RM real)",$F86,IF(OR($H86="",$I86=""),"",ROUND(AVERAGE($H86,$I86),1)))</f>
        <v>45</v>
      </c>
      <c r="K86" s="35" t="n">
        <f aca="false">IF($C86="","",IFERROR(INDEX(Cadastro!$P$8:$P$47,MATCH($C86,Cadastro!$B$8:$B$47,0)),""))</f>
        <v>82.5</v>
      </c>
      <c r="L86" s="36" t="n">
        <f aca="false">IFERROR($J86/$K86,"")</f>
        <v>0.545454545454545</v>
      </c>
      <c r="M86" s="45"/>
      <c r="N86" s="27" t="s">
        <v>373</v>
      </c>
    </row>
    <row r="87" customFormat="false" ht="15" hidden="false" customHeight="false" outlineLevel="0" collapsed="false">
      <c r="A87" s="29" t="n">
        <v>46037</v>
      </c>
      <c r="B87" s="33" t="n">
        <f aca="false">IF($A87="",0,INT(($A87-Macrociclo!$C$11)/7)+1)</f>
        <v>2</v>
      </c>
      <c r="C87" s="27" t="s">
        <v>259</v>
      </c>
      <c r="D87" s="27" t="s">
        <v>953</v>
      </c>
      <c r="E87" s="27" t="s">
        <v>1205</v>
      </c>
      <c r="F87" s="32" t="n">
        <v>85</v>
      </c>
      <c r="G87" s="28" t="n">
        <v>1</v>
      </c>
      <c r="H87" s="35" t="n">
        <f aca="false">IF(OR($F87="",$G87=""),"",ROUND($F87*(1+$G87/30),1))</f>
        <v>87.8</v>
      </c>
      <c r="I87" s="35" t="n">
        <f aca="false">IF(OR($F87="",$G87="",$G87&gt;36),"",ROUND($F87/(1.0278-0.0278*$G87),1))</f>
        <v>85</v>
      </c>
      <c r="J87" s="30" t="n">
        <f aca="false">IF($E87="Direto (1RM real)",$F87,IF(OR($H87="",$I87=""),"",ROUND(AVERAGE($H87,$I87),1)))</f>
        <v>85</v>
      </c>
      <c r="K87" s="35" t="n">
        <f aca="false">IF($C87="","",IFERROR(INDEX(Cadastro!$P$8:$P$47,MATCH($C87,Cadastro!$B$8:$B$47,0)),""))</f>
        <v>82.5</v>
      </c>
      <c r="L87" s="36" t="n">
        <f aca="false">IFERROR($J87/$K87,"")</f>
        <v>1.03030303030303</v>
      </c>
      <c r="M87" s="45"/>
      <c r="N87" s="27" t="s">
        <v>373</v>
      </c>
    </row>
    <row r="88" customFormat="false" ht="15" hidden="false" customHeight="false" outlineLevel="0" collapsed="false">
      <c r="A88" s="29" t="n">
        <v>46037</v>
      </c>
      <c r="B88" s="33" t="n">
        <f aca="false">IF($A88="",0,INT(($A88-Macrociclo!$C$11)/7)+1)</f>
        <v>2</v>
      </c>
      <c r="C88" s="27" t="s">
        <v>259</v>
      </c>
      <c r="D88" s="27" t="s">
        <v>620</v>
      </c>
      <c r="E88" s="27" t="s">
        <v>1205</v>
      </c>
      <c r="F88" s="32" t="n">
        <v>102.5</v>
      </c>
      <c r="G88" s="28" t="n">
        <v>1</v>
      </c>
      <c r="H88" s="35" t="n">
        <f aca="false">IF(OR($F88="",$G88=""),"",ROUND($F88*(1+$G88/30),1))</f>
        <v>105.9</v>
      </c>
      <c r="I88" s="35" t="n">
        <f aca="false">IF(OR($F88="",$G88="",$G88&gt;36),"",ROUND($F88/(1.0278-0.0278*$G88),1))</f>
        <v>102.5</v>
      </c>
      <c r="J88" s="30" t="n">
        <f aca="false">IF($E88="Direto (1RM real)",$F88,IF(OR($H88="",$I88=""),"",ROUND(AVERAGE($H88,$I88),1)))</f>
        <v>102.5</v>
      </c>
      <c r="K88" s="35" t="n">
        <f aca="false">IF($C88="","",IFERROR(INDEX(Cadastro!$P$8:$P$47,MATCH($C88,Cadastro!$B$8:$B$47,0)),""))</f>
        <v>82.5</v>
      </c>
      <c r="L88" s="36" t="n">
        <f aca="false">IFERROR($J88/$K88,"")</f>
        <v>1.24242424242424</v>
      </c>
      <c r="M88" s="45"/>
      <c r="N88" s="27" t="s">
        <v>373</v>
      </c>
    </row>
    <row r="89" customFormat="false" ht="15" hidden="false" customHeight="false" outlineLevel="0" collapsed="false">
      <c r="A89" s="29" t="n">
        <v>46037</v>
      </c>
      <c r="B89" s="33" t="n">
        <f aca="false">IF($A89="",0,INT(($A89-Macrociclo!$C$11)/7)+1)</f>
        <v>2</v>
      </c>
      <c r="C89" s="27" t="s">
        <v>264</v>
      </c>
      <c r="D89" s="27" t="s">
        <v>688</v>
      </c>
      <c r="E89" s="27" t="s">
        <v>1205</v>
      </c>
      <c r="F89" s="32" t="n">
        <v>170</v>
      </c>
      <c r="G89" s="28" t="n">
        <v>1</v>
      </c>
      <c r="H89" s="35" t="n">
        <f aca="false">IF(OR($F89="",$G89=""),"",ROUND($F89*(1+$G89/30),1))</f>
        <v>175.7</v>
      </c>
      <c r="I89" s="35" t="n">
        <f aca="false">IF(OR($F89="",$G89="",$G89&gt;36),"",ROUND($F89/(1.0278-0.0278*$G89),1))</f>
        <v>170</v>
      </c>
      <c r="J89" s="30" t="n">
        <f aca="false">IF($E89="Direto (1RM real)",$F89,IF(OR($H89="",$I89=""),"",ROUND(AVERAGE($H89,$I89),1)))</f>
        <v>170</v>
      </c>
      <c r="K89" s="35" t="n">
        <f aca="false">IF($C89="","",IFERROR(INDEX(Cadastro!$P$8:$P$47,MATCH($C89,Cadastro!$B$8:$B$47,0)),""))</f>
        <v>97.5</v>
      </c>
      <c r="L89" s="36" t="n">
        <f aca="false">IFERROR($J89/$K89,"")</f>
        <v>1.74358974358974</v>
      </c>
      <c r="M89" s="45"/>
      <c r="N89" s="27" t="s">
        <v>373</v>
      </c>
    </row>
    <row r="90" customFormat="false" ht="15" hidden="false" customHeight="false" outlineLevel="0" collapsed="false">
      <c r="A90" s="29" t="n">
        <v>46037</v>
      </c>
      <c r="B90" s="33" t="n">
        <f aca="false">IF($A90="",0,INT(($A90-Macrociclo!$C$11)/7)+1)</f>
        <v>2</v>
      </c>
      <c r="C90" s="27" t="s">
        <v>264</v>
      </c>
      <c r="D90" s="27" t="s">
        <v>695</v>
      </c>
      <c r="E90" s="27" t="s">
        <v>1205</v>
      </c>
      <c r="F90" s="32" t="n">
        <v>140</v>
      </c>
      <c r="G90" s="28" t="n">
        <v>1</v>
      </c>
      <c r="H90" s="35" t="n">
        <f aca="false">IF(OR($F90="",$G90=""),"",ROUND($F90*(1+$G90/30),1))</f>
        <v>144.7</v>
      </c>
      <c r="I90" s="35" t="n">
        <f aca="false">IF(OR($F90="",$G90="",$G90&gt;36),"",ROUND($F90/(1.0278-0.0278*$G90),1))</f>
        <v>140</v>
      </c>
      <c r="J90" s="30" t="n">
        <f aca="false">IF($E90="Direto (1RM real)",$F90,IF(OR($H90="",$I90=""),"",ROUND(AVERAGE($H90,$I90),1)))</f>
        <v>140</v>
      </c>
      <c r="K90" s="35" t="n">
        <f aca="false">IF($C90="","",IFERROR(INDEX(Cadastro!$P$8:$P$47,MATCH($C90,Cadastro!$B$8:$B$47,0)),""))</f>
        <v>97.5</v>
      </c>
      <c r="L90" s="36" t="n">
        <f aca="false">IFERROR($J90/$K90,"")</f>
        <v>1.43589743589744</v>
      </c>
      <c r="M90" s="45"/>
      <c r="N90" s="27" t="s">
        <v>373</v>
      </c>
    </row>
    <row r="91" customFormat="false" ht="15" hidden="false" customHeight="false" outlineLevel="0" collapsed="false">
      <c r="A91" s="29" t="n">
        <v>46037</v>
      </c>
      <c r="B91" s="33" t="n">
        <f aca="false">IF($A91="",0,INT(($A91-Macrociclo!$C$11)/7)+1)</f>
        <v>2</v>
      </c>
      <c r="C91" s="27" t="s">
        <v>264</v>
      </c>
      <c r="D91" s="27" t="s">
        <v>701</v>
      </c>
      <c r="E91" s="27" t="s">
        <v>1205</v>
      </c>
      <c r="F91" s="32" t="n">
        <v>147.5</v>
      </c>
      <c r="G91" s="28" t="n">
        <v>1</v>
      </c>
      <c r="H91" s="35" t="n">
        <f aca="false">IF(OR($F91="",$G91=""),"",ROUND($F91*(1+$G91/30),1))</f>
        <v>152.4</v>
      </c>
      <c r="I91" s="35" t="n">
        <f aca="false">IF(OR($F91="",$G91="",$G91&gt;36),"",ROUND($F91/(1.0278-0.0278*$G91),1))</f>
        <v>147.5</v>
      </c>
      <c r="J91" s="30" t="n">
        <f aca="false">IF($E91="Direto (1RM real)",$F91,IF(OR($H91="",$I91=""),"",ROUND(AVERAGE($H91,$I91),1)))</f>
        <v>147.5</v>
      </c>
      <c r="K91" s="35" t="n">
        <f aca="false">IF($C91="","",IFERROR(INDEX(Cadastro!$P$8:$P$47,MATCH($C91,Cadastro!$B$8:$B$47,0)),""))</f>
        <v>97.5</v>
      </c>
      <c r="L91" s="36" t="n">
        <f aca="false">IFERROR($J91/$K91,"")</f>
        <v>1.51282051282051</v>
      </c>
      <c r="M91" s="45"/>
      <c r="N91" s="27" t="s">
        <v>373</v>
      </c>
    </row>
    <row r="92" customFormat="false" ht="15" hidden="false" customHeight="false" outlineLevel="0" collapsed="false">
      <c r="A92" s="29" t="n">
        <v>46037</v>
      </c>
      <c r="B92" s="33" t="n">
        <f aca="false">IF($A92="",0,INT(($A92-Macrociclo!$C$11)/7)+1)</f>
        <v>2</v>
      </c>
      <c r="C92" s="27" t="s">
        <v>264</v>
      </c>
      <c r="D92" s="27" t="s">
        <v>758</v>
      </c>
      <c r="E92" s="27" t="s">
        <v>1205</v>
      </c>
      <c r="F92" s="32" t="n">
        <v>205</v>
      </c>
      <c r="G92" s="28" t="n">
        <v>1</v>
      </c>
      <c r="H92" s="35" t="n">
        <f aca="false">IF(OR($F92="",$G92=""),"",ROUND($F92*(1+$G92/30),1))</f>
        <v>211.8</v>
      </c>
      <c r="I92" s="35" t="n">
        <f aca="false">IF(OR($F92="",$G92="",$G92&gt;36),"",ROUND($F92/(1.0278-0.0278*$G92),1))</f>
        <v>205</v>
      </c>
      <c r="J92" s="30" t="n">
        <f aca="false">IF($E92="Direto (1RM real)",$F92,IF(OR($H92="",$I92=""),"",ROUND(AVERAGE($H92,$I92),1)))</f>
        <v>205</v>
      </c>
      <c r="K92" s="35" t="n">
        <f aca="false">IF($C92="","",IFERROR(INDEX(Cadastro!$P$8:$P$47,MATCH($C92,Cadastro!$B$8:$B$47,0)),""))</f>
        <v>97.5</v>
      </c>
      <c r="L92" s="36" t="n">
        <f aca="false">IFERROR($J92/$K92,"")</f>
        <v>2.1025641025641</v>
      </c>
      <c r="M92" s="45"/>
      <c r="N92" s="27" t="s">
        <v>373</v>
      </c>
    </row>
    <row r="93" customFormat="false" ht="15" hidden="false" customHeight="false" outlineLevel="0" collapsed="false">
      <c r="A93" s="29" t="n">
        <v>46037</v>
      </c>
      <c r="B93" s="33" t="n">
        <f aca="false">IF($A93="",0,INT(($A93-Macrociclo!$C$11)/7)+1)</f>
        <v>2</v>
      </c>
      <c r="C93" s="27" t="s">
        <v>264</v>
      </c>
      <c r="D93" s="27" t="s">
        <v>648</v>
      </c>
      <c r="E93" s="27" t="s">
        <v>1205</v>
      </c>
      <c r="F93" s="32" t="n">
        <v>110</v>
      </c>
      <c r="G93" s="28" t="n">
        <v>1</v>
      </c>
      <c r="H93" s="35" t="n">
        <f aca="false">IF(OR($F93="",$G93=""),"",ROUND($F93*(1+$G93/30),1))</f>
        <v>113.7</v>
      </c>
      <c r="I93" s="35" t="n">
        <f aca="false">IF(OR($F93="",$G93="",$G93&gt;36),"",ROUND($F93/(1.0278-0.0278*$G93),1))</f>
        <v>110</v>
      </c>
      <c r="J93" s="30" t="n">
        <f aca="false">IF($E93="Direto (1RM real)",$F93,IF(OR($H93="",$I93=""),"",ROUND(AVERAGE($H93,$I93),1)))</f>
        <v>110</v>
      </c>
      <c r="K93" s="35" t="n">
        <f aca="false">IF($C93="","",IFERROR(INDEX(Cadastro!$P$8:$P$47,MATCH($C93,Cadastro!$B$8:$B$47,0)),""))</f>
        <v>97.5</v>
      </c>
      <c r="L93" s="36" t="n">
        <f aca="false">IFERROR($J93/$K93,"")</f>
        <v>1.12820512820513</v>
      </c>
      <c r="M93" s="45"/>
      <c r="N93" s="27" t="s">
        <v>373</v>
      </c>
    </row>
    <row r="94" customFormat="false" ht="15" hidden="false" customHeight="false" outlineLevel="0" collapsed="false">
      <c r="A94" s="29" t="n">
        <v>46037</v>
      </c>
      <c r="B94" s="33" t="n">
        <f aca="false">IF($A94="",0,INT(($A94-Macrociclo!$C$11)/7)+1)</f>
        <v>2</v>
      </c>
      <c r="C94" s="27" t="s">
        <v>264</v>
      </c>
      <c r="D94" s="27" t="s">
        <v>644</v>
      </c>
      <c r="E94" s="27" t="s">
        <v>1205</v>
      </c>
      <c r="F94" s="32" t="n">
        <v>72.5</v>
      </c>
      <c r="G94" s="28" t="n">
        <v>1</v>
      </c>
      <c r="H94" s="35" t="n">
        <f aca="false">IF(OR($F94="",$G94=""),"",ROUND($F94*(1+$G94/30),1))</f>
        <v>74.9</v>
      </c>
      <c r="I94" s="35" t="n">
        <f aca="false">IF(OR($F94="",$G94="",$G94&gt;36),"",ROUND($F94/(1.0278-0.0278*$G94),1))</f>
        <v>72.5</v>
      </c>
      <c r="J94" s="30" t="n">
        <f aca="false">IF($E94="Direto (1RM real)",$F94,IF(OR($H94="",$I94=""),"",ROUND(AVERAGE($H94,$I94),1)))</f>
        <v>72.5</v>
      </c>
      <c r="K94" s="35" t="n">
        <f aca="false">IF($C94="","",IFERROR(INDEX(Cadastro!$P$8:$P$47,MATCH($C94,Cadastro!$B$8:$B$47,0)),""))</f>
        <v>97.5</v>
      </c>
      <c r="L94" s="36" t="n">
        <f aca="false">IFERROR($J94/$K94,"")</f>
        <v>0.743589743589744</v>
      </c>
      <c r="M94" s="45"/>
      <c r="N94" s="27" t="s">
        <v>373</v>
      </c>
    </row>
    <row r="95" customFormat="false" ht="15" hidden="false" customHeight="false" outlineLevel="0" collapsed="false">
      <c r="A95" s="29" t="n">
        <v>46037</v>
      </c>
      <c r="B95" s="33" t="n">
        <f aca="false">IF($A95="",0,INT(($A95-Macrociclo!$C$11)/7)+1)</f>
        <v>2</v>
      </c>
      <c r="C95" s="27" t="s">
        <v>264</v>
      </c>
      <c r="D95" s="27" t="s">
        <v>660</v>
      </c>
      <c r="E95" s="27" t="s">
        <v>1205</v>
      </c>
      <c r="F95" s="32" t="n">
        <v>52.5</v>
      </c>
      <c r="G95" s="28" t="n">
        <v>1</v>
      </c>
      <c r="H95" s="35" t="n">
        <f aca="false">IF(OR($F95="",$G95=""),"",ROUND($F95*(1+$G95/30),1))</f>
        <v>54.3</v>
      </c>
      <c r="I95" s="35" t="n">
        <f aca="false">IF(OR($F95="",$G95="",$G95&gt;36),"",ROUND($F95/(1.0278-0.0278*$G95),1))</f>
        <v>52.5</v>
      </c>
      <c r="J95" s="30" t="n">
        <f aca="false">IF($E95="Direto (1RM real)",$F95,IF(OR($H95="",$I95=""),"",ROUND(AVERAGE($H95,$I95),1)))</f>
        <v>52.5</v>
      </c>
      <c r="K95" s="35" t="n">
        <f aca="false">IF($C95="","",IFERROR(INDEX(Cadastro!$P$8:$P$47,MATCH($C95,Cadastro!$B$8:$B$47,0)),""))</f>
        <v>97.5</v>
      </c>
      <c r="L95" s="36" t="n">
        <f aca="false">IFERROR($J95/$K95,"")</f>
        <v>0.538461538461538</v>
      </c>
      <c r="M95" s="45"/>
      <c r="N95" s="27" t="s">
        <v>373</v>
      </c>
    </row>
    <row r="96" customFormat="false" ht="15" hidden="false" customHeight="false" outlineLevel="0" collapsed="false">
      <c r="A96" s="29" t="n">
        <v>46037</v>
      </c>
      <c r="B96" s="33" t="n">
        <f aca="false">IF($A96="",0,INT(($A96-Macrociclo!$C$11)/7)+1)</f>
        <v>2</v>
      </c>
      <c r="C96" s="27" t="s">
        <v>264</v>
      </c>
      <c r="D96" s="27" t="s">
        <v>953</v>
      </c>
      <c r="E96" s="27" t="s">
        <v>1205</v>
      </c>
      <c r="F96" s="32" t="n">
        <v>100</v>
      </c>
      <c r="G96" s="28" t="n">
        <v>1</v>
      </c>
      <c r="H96" s="35" t="n">
        <f aca="false">IF(OR($F96="",$G96=""),"",ROUND($F96*(1+$G96/30),1))</f>
        <v>103.3</v>
      </c>
      <c r="I96" s="35" t="n">
        <f aca="false">IF(OR($F96="",$G96="",$G96&gt;36),"",ROUND($F96/(1.0278-0.0278*$G96),1))</f>
        <v>100</v>
      </c>
      <c r="J96" s="30" t="n">
        <f aca="false">IF($E96="Direto (1RM real)",$F96,IF(OR($H96="",$I96=""),"",ROUND(AVERAGE($H96,$I96),1)))</f>
        <v>100</v>
      </c>
      <c r="K96" s="35" t="n">
        <f aca="false">IF($C96="","",IFERROR(INDEX(Cadastro!$P$8:$P$47,MATCH($C96,Cadastro!$B$8:$B$47,0)),""))</f>
        <v>97.5</v>
      </c>
      <c r="L96" s="36" t="n">
        <f aca="false">IFERROR($J96/$K96,"")</f>
        <v>1.02564102564103</v>
      </c>
      <c r="M96" s="45"/>
      <c r="N96" s="27" t="s">
        <v>373</v>
      </c>
    </row>
    <row r="97" customFormat="false" ht="15" hidden="false" customHeight="false" outlineLevel="0" collapsed="false">
      <c r="A97" s="29" t="n">
        <v>46037</v>
      </c>
      <c r="B97" s="33" t="n">
        <f aca="false">IF($A97="",0,INT(($A97-Macrociclo!$C$11)/7)+1)</f>
        <v>2</v>
      </c>
      <c r="C97" s="27" t="s">
        <v>264</v>
      </c>
      <c r="D97" s="27" t="s">
        <v>620</v>
      </c>
      <c r="E97" s="27" t="s">
        <v>1205</v>
      </c>
      <c r="F97" s="32" t="n">
        <v>125</v>
      </c>
      <c r="G97" s="28" t="n">
        <v>1</v>
      </c>
      <c r="H97" s="35" t="n">
        <f aca="false">IF(OR($F97="",$G97=""),"",ROUND($F97*(1+$G97/30),1))</f>
        <v>129.2</v>
      </c>
      <c r="I97" s="35" t="n">
        <f aca="false">IF(OR($F97="",$G97="",$G97&gt;36),"",ROUND($F97/(1.0278-0.0278*$G97),1))</f>
        <v>125</v>
      </c>
      <c r="J97" s="30" t="n">
        <f aca="false">IF($E97="Direto (1RM real)",$F97,IF(OR($H97="",$I97=""),"",ROUND(AVERAGE($H97,$I97),1)))</f>
        <v>125</v>
      </c>
      <c r="K97" s="35" t="n">
        <f aca="false">IF($C97="","",IFERROR(INDEX(Cadastro!$P$8:$P$47,MATCH($C97,Cadastro!$B$8:$B$47,0)),""))</f>
        <v>97.5</v>
      </c>
      <c r="L97" s="36" t="n">
        <f aca="false">IFERROR($J97/$K97,"")</f>
        <v>1.28205128205128</v>
      </c>
      <c r="M97" s="45"/>
      <c r="N97" s="27" t="s">
        <v>373</v>
      </c>
    </row>
    <row r="98" customFormat="false" ht="15" hidden="false" customHeight="false" outlineLevel="0" collapsed="false">
      <c r="A98" s="29" t="n">
        <v>46037</v>
      </c>
      <c r="B98" s="33" t="n">
        <f aca="false">IF($A98="",0,INT(($A98-Macrociclo!$C$11)/7)+1)</f>
        <v>2</v>
      </c>
      <c r="C98" s="27" t="s">
        <v>270</v>
      </c>
      <c r="D98" s="27" t="s">
        <v>688</v>
      </c>
      <c r="E98" s="27" t="s">
        <v>1205</v>
      </c>
      <c r="F98" s="32" t="n">
        <v>145</v>
      </c>
      <c r="G98" s="28" t="n">
        <v>1</v>
      </c>
      <c r="H98" s="35" t="n">
        <f aca="false">IF(OR($F98="",$G98=""),"",ROUND($F98*(1+$G98/30),1))</f>
        <v>149.8</v>
      </c>
      <c r="I98" s="35" t="n">
        <f aca="false">IF(OR($F98="",$G98="",$G98&gt;36),"",ROUND($F98/(1.0278-0.0278*$G98),1))</f>
        <v>145</v>
      </c>
      <c r="J98" s="30" t="n">
        <f aca="false">IF($E98="Direto (1RM real)",$F98,IF(OR($H98="",$I98=""),"",ROUND(AVERAGE($H98,$I98),1)))</f>
        <v>145</v>
      </c>
      <c r="K98" s="35" t="n">
        <f aca="false">IF($C98="","",IFERROR(INDEX(Cadastro!$P$8:$P$47,MATCH($C98,Cadastro!$B$8:$B$47,0)),""))</f>
        <v>91.8</v>
      </c>
      <c r="L98" s="36" t="n">
        <f aca="false">IFERROR($J98/$K98,"")</f>
        <v>1.57952069716776</v>
      </c>
      <c r="M98" s="45"/>
      <c r="N98" s="27" t="s">
        <v>373</v>
      </c>
    </row>
    <row r="99" customFormat="false" ht="15" hidden="false" customHeight="false" outlineLevel="0" collapsed="false">
      <c r="A99" s="29" t="n">
        <v>46037</v>
      </c>
      <c r="B99" s="33" t="n">
        <f aca="false">IF($A99="",0,INT(($A99-Macrociclo!$C$11)/7)+1)</f>
        <v>2</v>
      </c>
      <c r="C99" s="27" t="s">
        <v>270</v>
      </c>
      <c r="D99" s="27" t="s">
        <v>695</v>
      </c>
      <c r="E99" s="27" t="s">
        <v>1205</v>
      </c>
      <c r="F99" s="32" t="n">
        <v>132.5</v>
      </c>
      <c r="G99" s="28" t="n">
        <v>1</v>
      </c>
      <c r="H99" s="35" t="n">
        <f aca="false">IF(OR($F99="",$G99=""),"",ROUND($F99*(1+$G99/30),1))</f>
        <v>136.9</v>
      </c>
      <c r="I99" s="35" t="n">
        <f aca="false">IF(OR($F99="",$G99="",$G99&gt;36),"",ROUND($F99/(1.0278-0.0278*$G99),1))</f>
        <v>132.5</v>
      </c>
      <c r="J99" s="30" t="n">
        <f aca="false">IF($E99="Direto (1RM real)",$F99,IF(OR($H99="",$I99=""),"",ROUND(AVERAGE($H99,$I99),1)))</f>
        <v>132.5</v>
      </c>
      <c r="K99" s="35" t="n">
        <f aca="false">IF($C99="","",IFERROR(INDEX(Cadastro!$P$8:$P$47,MATCH($C99,Cadastro!$B$8:$B$47,0)),""))</f>
        <v>91.8</v>
      </c>
      <c r="L99" s="36" t="n">
        <f aca="false">IFERROR($J99/$K99,"")</f>
        <v>1.44335511982571</v>
      </c>
      <c r="M99" s="45"/>
      <c r="N99" s="27" t="s">
        <v>373</v>
      </c>
    </row>
    <row r="100" customFormat="false" ht="15" hidden="false" customHeight="false" outlineLevel="0" collapsed="false">
      <c r="A100" s="29" t="n">
        <v>46037</v>
      </c>
      <c r="B100" s="33" t="n">
        <f aca="false">IF($A100="",0,INT(($A100-Macrociclo!$C$11)/7)+1)</f>
        <v>2</v>
      </c>
      <c r="C100" s="27" t="s">
        <v>270</v>
      </c>
      <c r="D100" s="27" t="s">
        <v>701</v>
      </c>
      <c r="E100" s="27" t="s">
        <v>1205</v>
      </c>
      <c r="F100" s="32" t="n">
        <v>137.5</v>
      </c>
      <c r="G100" s="28" t="n">
        <v>1</v>
      </c>
      <c r="H100" s="35" t="n">
        <f aca="false">IF(OR($F100="",$G100=""),"",ROUND($F100*(1+$G100/30),1))</f>
        <v>142.1</v>
      </c>
      <c r="I100" s="35" t="n">
        <f aca="false">IF(OR($F100="",$G100="",$G100&gt;36),"",ROUND($F100/(1.0278-0.0278*$G100),1))</f>
        <v>137.5</v>
      </c>
      <c r="J100" s="30" t="n">
        <f aca="false">IF($E100="Direto (1RM real)",$F100,IF(OR($H100="",$I100=""),"",ROUND(AVERAGE($H100,$I100),1)))</f>
        <v>137.5</v>
      </c>
      <c r="K100" s="35" t="n">
        <f aca="false">IF($C100="","",IFERROR(INDEX(Cadastro!$P$8:$P$47,MATCH($C100,Cadastro!$B$8:$B$47,0)),""))</f>
        <v>91.8</v>
      </c>
      <c r="L100" s="36" t="n">
        <f aca="false">IFERROR($J100/$K100,"")</f>
        <v>1.49782135076253</v>
      </c>
      <c r="M100" s="45"/>
      <c r="N100" s="27" t="s">
        <v>373</v>
      </c>
    </row>
    <row r="101" customFormat="false" ht="15" hidden="false" customHeight="false" outlineLevel="0" collapsed="false">
      <c r="A101" s="29" t="n">
        <v>46037</v>
      </c>
      <c r="B101" s="33" t="n">
        <f aca="false">IF($A101="",0,INT(($A101-Macrociclo!$C$11)/7)+1)</f>
        <v>2</v>
      </c>
      <c r="C101" s="27" t="s">
        <v>270</v>
      </c>
      <c r="D101" s="27" t="s">
        <v>758</v>
      </c>
      <c r="E101" s="27" t="s">
        <v>1205</v>
      </c>
      <c r="F101" s="32" t="n">
        <v>187.5</v>
      </c>
      <c r="G101" s="28" t="n">
        <v>1</v>
      </c>
      <c r="H101" s="35" t="n">
        <f aca="false">IF(OR($F101="",$G101=""),"",ROUND($F101*(1+$G101/30),1))</f>
        <v>193.8</v>
      </c>
      <c r="I101" s="35" t="n">
        <f aca="false">IF(OR($F101="",$G101="",$G101&gt;36),"",ROUND($F101/(1.0278-0.0278*$G101),1))</f>
        <v>187.5</v>
      </c>
      <c r="J101" s="30" t="n">
        <f aca="false">IF($E101="Direto (1RM real)",$F101,IF(OR($H101="",$I101=""),"",ROUND(AVERAGE($H101,$I101),1)))</f>
        <v>187.5</v>
      </c>
      <c r="K101" s="35" t="n">
        <f aca="false">IF($C101="","",IFERROR(INDEX(Cadastro!$P$8:$P$47,MATCH($C101,Cadastro!$B$8:$B$47,0)),""))</f>
        <v>91.8</v>
      </c>
      <c r="L101" s="36" t="n">
        <f aca="false">IFERROR($J101/$K101,"")</f>
        <v>2.04248366013072</v>
      </c>
      <c r="M101" s="45"/>
      <c r="N101" s="27" t="s">
        <v>373</v>
      </c>
    </row>
    <row r="102" customFormat="false" ht="15" hidden="false" customHeight="false" outlineLevel="0" collapsed="false">
      <c r="A102" s="29" t="n">
        <v>46037</v>
      </c>
      <c r="B102" s="33" t="n">
        <f aca="false">IF($A102="",0,INT(($A102-Macrociclo!$C$11)/7)+1)</f>
        <v>2</v>
      </c>
      <c r="C102" s="27" t="s">
        <v>270</v>
      </c>
      <c r="D102" s="27" t="s">
        <v>648</v>
      </c>
      <c r="E102" s="27" t="s">
        <v>1205</v>
      </c>
      <c r="F102" s="32" t="n">
        <v>90</v>
      </c>
      <c r="G102" s="28" t="n">
        <v>1</v>
      </c>
      <c r="H102" s="35" t="n">
        <f aca="false">IF(OR($F102="",$G102=""),"",ROUND($F102*(1+$G102/30),1))</f>
        <v>93</v>
      </c>
      <c r="I102" s="35" t="n">
        <f aca="false">IF(OR($F102="",$G102="",$G102&gt;36),"",ROUND($F102/(1.0278-0.0278*$G102),1))</f>
        <v>90</v>
      </c>
      <c r="J102" s="30" t="n">
        <f aca="false">IF($E102="Direto (1RM real)",$F102,IF(OR($H102="",$I102=""),"",ROUND(AVERAGE($H102,$I102),1)))</f>
        <v>90</v>
      </c>
      <c r="K102" s="35" t="n">
        <f aca="false">IF($C102="","",IFERROR(INDEX(Cadastro!$P$8:$P$47,MATCH($C102,Cadastro!$B$8:$B$47,0)),""))</f>
        <v>91.8</v>
      </c>
      <c r="L102" s="36" t="n">
        <f aca="false">IFERROR($J102/$K102,"")</f>
        <v>0.980392156862745</v>
      </c>
      <c r="M102" s="45"/>
      <c r="N102" s="27" t="s">
        <v>373</v>
      </c>
    </row>
    <row r="103" customFormat="false" ht="15" hidden="false" customHeight="false" outlineLevel="0" collapsed="false">
      <c r="A103" s="29" t="n">
        <v>46037</v>
      </c>
      <c r="B103" s="33" t="n">
        <f aca="false">IF($A103="",0,INT(($A103-Macrociclo!$C$11)/7)+1)</f>
        <v>2</v>
      </c>
      <c r="C103" s="27" t="s">
        <v>270</v>
      </c>
      <c r="D103" s="27" t="s">
        <v>644</v>
      </c>
      <c r="E103" s="27" t="s">
        <v>1205</v>
      </c>
      <c r="F103" s="32" t="n">
        <v>80</v>
      </c>
      <c r="G103" s="28" t="n">
        <v>1</v>
      </c>
      <c r="H103" s="35" t="n">
        <f aca="false">IF(OR($F103="",$G103=""),"",ROUND($F103*(1+$G103/30),1))</f>
        <v>82.7</v>
      </c>
      <c r="I103" s="35" t="n">
        <f aca="false">IF(OR($F103="",$G103="",$G103&gt;36),"",ROUND($F103/(1.0278-0.0278*$G103),1))</f>
        <v>80</v>
      </c>
      <c r="J103" s="30" t="n">
        <f aca="false">IF($E103="Direto (1RM real)",$F103,IF(OR($H103="",$I103=""),"",ROUND(AVERAGE($H103,$I103),1)))</f>
        <v>80</v>
      </c>
      <c r="K103" s="35" t="n">
        <f aca="false">IF($C103="","",IFERROR(INDEX(Cadastro!$P$8:$P$47,MATCH($C103,Cadastro!$B$8:$B$47,0)),""))</f>
        <v>91.8</v>
      </c>
      <c r="L103" s="36" t="n">
        <f aca="false">IFERROR($J103/$K103,"")</f>
        <v>0.871459694989107</v>
      </c>
      <c r="M103" s="45"/>
      <c r="N103" s="27" t="s">
        <v>373</v>
      </c>
    </row>
    <row r="104" customFormat="false" ht="15" hidden="false" customHeight="false" outlineLevel="0" collapsed="false">
      <c r="A104" s="29" t="n">
        <v>46037</v>
      </c>
      <c r="B104" s="33" t="n">
        <f aca="false">IF($A104="",0,INT(($A104-Macrociclo!$C$11)/7)+1)</f>
        <v>2</v>
      </c>
      <c r="C104" s="27" t="s">
        <v>270</v>
      </c>
      <c r="D104" s="27" t="s">
        <v>660</v>
      </c>
      <c r="E104" s="27" t="s">
        <v>1205</v>
      </c>
      <c r="F104" s="32" t="n">
        <v>50</v>
      </c>
      <c r="G104" s="28" t="n">
        <v>1</v>
      </c>
      <c r="H104" s="35" t="n">
        <f aca="false">IF(OR($F104="",$G104=""),"",ROUND($F104*(1+$G104/30),1))</f>
        <v>51.7</v>
      </c>
      <c r="I104" s="35" t="n">
        <f aca="false">IF(OR($F104="",$G104="",$G104&gt;36),"",ROUND($F104/(1.0278-0.0278*$G104),1))</f>
        <v>50</v>
      </c>
      <c r="J104" s="30" t="n">
        <f aca="false">IF($E104="Direto (1RM real)",$F104,IF(OR($H104="",$I104=""),"",ROUND(AVERAGE($H104,$I104),1)))</f>
        <v>50</v>
      </c>
      <c r="K104" s="35" t="n">
        <f aca="false">IF($C104="","",IFERROR(INDEX(Cadastro!$P$8:$P$47,MATCH($C104,Cadastro!$B$8:$B$47,0)),""))</f>
        <v>91.8</v>
      </c>
      <c r="L104" s="36" t="n">
        <f aca="false">IFERROR($J104/$K104,"")</f>
        <v>0.544662309368192</v>
      </c>
      <c r="M104" s="45"/>
      <c r="N104" s="27" t="s">
        <v>373</v>
      </c>
    </row>
    <row r="105" customFormat="false" ht="15" hidden="false" customHeight="false" outlineLevel="0" collapsed="false">
      <c r="A105" s="29" t="n">
        <v>46037</v>
      </c>
      <c r="B105" s="33" t="n">
        <f aca="false">IF($A105="",0,INT(($A105-Macrociclo!$C$11)/7)+1)</f>
        <v>2</v>
      </c>
      <c r="C105" s="27" t="s">
        <v>270</v>
      </c>
      <c r="D105" s="27" t="s">
        <v>953</v>
      </c>
      <c r="E105" s="27" t="s">
        <v>1205</v>
      </c>
      <c r="F105" s="32" t="n">
        <v>105</v>
      </c>
      <c r="G105" s="28" t="n">
        <v>1</v>
      </c>
      <c r="H105" s="35" t="n">
        <f aca="false">IF(OR($F105="",$G105=""),"",ROUND($F105*(1+$G105/30),1))</f>
        <v>108.5</v>
      </c>
      <c r="I105" s="35" t="n">
        <f aca="false">IF(OR($F105="",$G105="",$G105&gt;36),"",ROUND($F105/(1.0278-0.0278*$G105),1))</f>
        <v>105</v>
      </c>
      <c r="J105" s="30" t="n">
        <f aca="false">IF($E105="Direto (1RM real)",$F105,IF(OR($H105="",$I105=""),"",ROUND(AVERAGE($H105,$I105),1)))</f>
        <v>105</v>
      </c>
      <c r="K105" s="35" t="n">
        <f aca="false">IF($C105="","",IFERROR(INDEX(Cadastro!$P$8:$P$47,MATCH($C105,Cadastro!$B$8:$B$47,0)),""))</f>
        <v>91.8</v>
      </c>
      <c r="L105" s="36" t="n">
        <f aca="false">IFERROR($J105/$K105,"")</f>
        <v>1.1437908496732</v>
      </c>
      <c r="M105" s="45"/>
      <c r="N105" s="27" t="s">
        <v>373</v>
      </c>
    </row>
    <row r="106" customFormat="false" ht="15" hidden="false" customHeight="false" outlineLevel="0" collapsed="false">
      <c r="A106" s="29" t="n">
        <v>46037</v>
      </c>
      <c r="B106" s="33" t="n">
        <f aca="false">IF($A106="",0,INT(($A106-Macrociclo!$C$11)/7)+1)</f>
        <v>2</v>
      </c>
      <c r="C106" s="27" t="s">
        <v>270</v>
      </c>
      <c r="D106" s="27" t="s">
        <v>620</v>
      </c>
      <c r="E106" s="27" t="s">
        <v>1205</v>
      </c>
      <c r="F106" s="32" t="n">
        <v>122.5</v>
      </c>
      <c r="G106" s="28" t="n">
        <v>1</v>
      </c>
      <c r="H106" s="35" t="n">
        <f aca="false">IF(OR($F106="",$G106=""),"",ROUND($F106*(1+$G106/30),1))</f>
        <v>126.6</v>
      </c>
      <c r="I106" s="35" t="n">
        <f aca="false">IF(OR($F106="",$G106="",$G106&gt;36),"",ROUND($F106/(1.0278-0.0278*$G106),1))</f>
        <v>122.5</v>
      </c>
      <c r="J106" s="30" t="n">
        <f aca="false">IF($E106="Direto (1RM real)",$F106,IF(OR($H106="",$I106=""),"",ROUND(AVERAGE($H106,$I106),1)))</f>
        <v>122.5</v>
      </c>
      <c r="K106" s="35" t="n">
        <f aca="false">IF($C106="","",IFERROR(INDEX(Cadastro!$P$8:$P$47,MATCH($C106,Cadastro!$B$8:$B$47,0)),""))</f>
        <v>91.8</v>
      </c>
      <c r="L106" s="36" t="n">
        <f aca="false">IFERROR($J106/$K106,"")</f>
        <v>1.33442265795207</v>
      </c>
      <c r="M106" s="45"/>
      <c r="N106" s="27" t="s">
        <v>373</v>
      </c>
    </row>
    <row r="107" customFormat="false" ht="15" hidden="false" customHeight="false" outlineLevel="0" collapsed="false">
      <c r="A107" s="29" t="n">
        <v>46037</v>
      </c>
      <c r="B107" s="33" t="n">
        <f aca="false">IF($A107="",0,INT(($A107-Macrociclo!$C$11)/7)+1)</f>
        <v>2</v>
      </c>
      <c r="C107" s="27" t="s">
        <v>279</v>
      </c>
      <c r="D107" s="27" t="s">
        <v>688</v>
      </c>
      <c r="E107" s="27" t="s">
        <v>1205</v>
      </c>
      <c r="F107" s="32" t="n">
        <v>125</v>
      </c>
      <c r="G107" s="28" t="n">
        <v>1</v>
      </c>
      <c r="H107" s="35" t="n">
        <f aca="false">IF(OR($F107="",$G107=""),"",ROUND($F107*(1+$G107/30),1))</f>
        <v>129.2</v>
      </c>
      <c r="I107" s="35" t="n">
        <f aca="false">IF(OR($F107="",$G107="",$G107&gt;36),"",ROUND($F107/(1.0278-0.0278*$G107),1))</f>
        <v>125</v>
      </c>
      <c r="J107" s="30" t="n">
        <f aca="false">IF($E107="Direto (1RM real)",$F107,IF(OR($H107="",$I107=""),"",ROUND(AVERAGE($H107,$I107),1)))</f>
        <v>125</v>
      </c>
      <c r="K107" s="35" t="n">
        <f aca="false">IF($C107="","",IFERROR(INDEX(Cadastro!$P$8:$P$47,MATCH($C107,Cadastro!$B$8:$B$47,0)),""))</f>
        <v>78.2</v>
      </c>
      <c r="L107" s="36" t="n">
        <f aca="false">IFERROR($J107/$K107,"")</f>
        <v>1.59846547314578</v>
      </c>
      <c r="M107" s="45"/>
      <c r="N107" s="27" t="s">
        <v>373</v>
      </c>
    </row>
    <row r="108" customFormat="false" ht="15" hidden="false" customHeight="false" outlineLevel="0" collapsed="false">
      <c r="A108" s="29" t="n">
        <v>46037</v>
      </c>
      <c r="B108" s="33" t="n">
        <f aca="false">IF($A108="",0,INT(($A108-Macrociclo!$C$11)/7)+1)</f>
        <v>2</v>
      </c>
      <c r="C108" s="27" t="s">
        <v>279</v>
      </c>
      <c r="D108" s="27" t="s">
        <v>695</v>
      </c>
      <c r="E108" s="27" t="s">
        <v>1205</v>
      </c>
      <c r="F108" s="32" t="n">
        <v>107.5</v>
      </c>
      <c r="G108" s="28" t="n">
        <v>1</v>
      </c>
      <c r="H108" s="35" t="n">
        <f aca="false">IF(OR($F108="",$G108=""),"",ROUND($F108*(1+$G108/30),1))</f>
        <v>111.1</v>
      </c>
      <c r="I108" s="35" t="n">
        <f aca="false">IF(OR($F108="",$G108="",$G108&gt;36),"",ROUND($F108/(1.0278-0.0278*$G108),1))</f>
        <v>107.5</v>
      </c>
      <c r="J108" s="30" t="n">
        <f aca="false">IF($E108="Direto (1RM real)",$F108,IF(OR($H108="",$I108=""),"",ROUND(AVERAGE($H108,$I108),1)))</f>
        <v>107.5</v>
      </c>
      <c r="K108" s="35" t="n">
        <f aca="false">IF($C108="","",IFERROR(INDEX(Cadastro!$P$8:$P$47,MATCH($C108,Cadastro!$B$8:$B$47,0)),""))</f>
        <v>78.2</v>
      </c>
      <c r="L108" s="36" t="n">
        <f aca="false">IFERROR($J108/$K108,"")</f>
        <v>1.37468030690537</v>
      </c>
      <c r="M108" s="45"/>
      <c r="N108" s="27" t="s">
        <v>373</v>
      </c>
    </row>
    <row r="109" customFormat="false" ht="15" hidden="false" customHeight="false" outlineLevel="0" collapsed="false">
      <c r="A109" s="29" t="n">
        <v>46037</v>
      </c>
      <c r="B109" s="33" t="n">
        <f aca="false">IF($A109="",0,INT(($A109-Macrociclo!$C$11)/7)+1)</f>
        <v>2</v>
      </c>
      <c r="C109" s="27" t="s">
        <v>279</v>
      </c>
      <c r="D109" s="27" t="s">
        <v>701</v>
      </c>
      <c r="E109" s="27" t="s">
        <v>1205</v>
      </c>
      <c r="F109" s="32" t="n">
        <v>115</v>
      </c>
      <c r="G109" s="28" t="n">
        <v>1</v>
      </c>
      <c r="H109" s="35" t="n">
        <f aca="false">IF(OR($F109="",$G109=""),"",ROUND($F109*(1+$G109/30),1))</f>
        <v>118.8</v>
      </c>
      <c r="I109" s="35" t="n">
        <f aca="false">IF(OR($F109="",$G109="",$G109&gt;36),"",ROUND($F109/(1.0278-0.0278*$G109),1))</f>
        <v>115</v>
      </c>
      <c r="J109" s="30" t="n">
        <f aca="false">IF($E109="Direto (1RM real)",$F109,IF(OR($H109="",$I109=""),"",ROUND(AVERAGE($H109,$I109),1)))</f>
        <v>115</v>
      </c>
      <c r="K109" s="35" t="n">
        <f aca="false">IF($C109="","",IFERROR(INDEX(Cadastro!$P$8:$P$47,MATCH($C109,Cadastro!$B$8:$B$47,0)),""))</f>
        <v>78.2</v>
      </c>
      <c r="L109" s="36" t="n">
        <f aca="false">IFERROR($J109/$K109,"")</f>
        <v>1.47058823529412</v>
      </c>
      <c r="M109" s="45"/>
      <c r="N109" s="27" t="s">
        <v>373</v>
      </c>
    </row>
    <row r="110" customFormat="false" ht="15" hidden="false" customHeight="false" outlineLevel="0" collapsed="false">
      <c r="A110" s="29" t="n">
        <v>46037</v>
      </c>
      <c r="B110" s="33" t="n">
        <f aca="false">IF($A110="",0,INT(($A110-Macrociclo!$C$11)/7)+1)</f>
        <v>2</v>
      </c>
      <c r="C110" s="27" t="s">
        <v>279</v>
      </c>
      <c r="D110" s="27" t="s">
        <v>758</v>
      </c>
      <c r="E110" s="27" t="s">
        <v>1205</v>
      </c>
      <c r="F110" s="32" t="n">
        <v>157.5</v>
      </c>
      <c r="G110" s="28" t="n">
        <v>1</v>
      </c>
      <c r="H110" s="35" t="n">
        <f aca="false">IF(OR($F110="",$G110=""),"",ROUND($F110*(1+$G110/30),1))</f>
        <v>162.8</v>
      </c>
      <c r="I110" s="35" t="n">
        <f aca="false">IF(OR($F110="",$G110="",$G110&gt;36),"",ROUND($F110/(1.0278-0.0278*$G110),1))</f>
        <v>157.5</v>
      </c>
      <c r="J110" s="30" t="n">
        <f aca="false">IF($E110="Direto (1RM real)",$F110,IF(OR($H110="",$I110=""),"",ROUND(AVERAGE($H110,$I110),1)))</f>
        <v>157.5</v>
      </c>
      <c r="K110" s="35" t="n">
        <f aca="false">IF($C110="","",IFERROR(INDEX(Cadastro!$P$8:$P$47,MATCH($C110,Cadastro!$B$8:$B$47,0)),""))</f>
        <v>78.2</v>
      </c>
      <c r="L110" s="36" t="n">
        <f aca="false">IFERROR($J110/$K110,"")</f>
        <v>2.01406649616368</v>
      </c>
      <c r="M110" s="45"/>
      <c r="N110" s="27" t="s">
        <v>373</v>
      </c>
    </row>
    <row r="111" customFormat="false" ht="15" hidden="false" customHeight="false" outlineLevel="0" collapsed="false">
      <c r="A111" s="29" t="n">
        <v>46037</v>
      </c>
      <c r="B111" s="33" t="n">
        <f aca="false">IF($A111="",0,INT(($A111-Macrociclo!$C$11)/7)+1)</f>
        <v>2</v>
      </c>
      <c r="C111" s="27" t="s">
        <v>279</v>
      </c>
      <c r="D111" s="27" t="s">
        <v>648</v>
      </c>
      <c r="E111" s="27" t="s">
        <v>1205</v>
      </c>
      <c r="F111" s="32" t="n">
        <v>85</v>
      </c>
      <c r="G111" s="28" t="n">
        <v>1</v>
      </c>
      <c r="H111" s="35" t="n">
        <f aca="false">IF(OR($F111="",$G111=""),"",ROUND($F111*(1+$G111/30),1))</f>
        <v>87.8</v>
      </c>
      <c r="I111" s="35" t="n">
        <f aca="false">IF(OR($F111="",$G111="",$G111&gt;36),"",ROUND($F111/(1.0278-0.0278*$G111),1))</f>
        <v>85</v>
      </c>
      <c r="J111" s="30" t="n">
        <f aca="false">IF($E111="Direto (1RM real)",$F111,IF(OR($H111="",$I111=""),"",ROUND(AVERAGE($H111,$I111),1)))</f>
        <v>85</v>
      </c>
      <c r="K111" s="35" t="n">
        <f aca="false">IF($C111="","",IFERROR(INDEX(Cadastro!$P$8:$P$47,MATCH($C111,Cadastro!$B$8:$B$47,0)),""))</f>
        <v>78.2</v>
      </c>
      <c r="L111" s="36" t="n">
        <f aca="false">IFERROR($J111/$K111,"")</f>
        <v>1.08695652173913</v>
      </c>
      <c r="M111" s="45"/>
      <c r="N111" s="27" t="s">
        <v>373</v>
      </c>
    </row>
    <row r="112" customFormat="false" ht="15" hidden="false" customHeight="false" outlineLevel="0" collapsed="false">
      <c r="A112" s="29" t="n">
        <v>46037</v>
      </c>
      <c r="B112" s="33" t="n">
        <f aca="false">IF($A112="",0,INT(($A112-Macrociclo!$C$11)/7)+1)</f>
        <v>2</v>
      </c>
      <c r="C112" s="27" t="s">
        <v>279</v>
      </c>
      <c r="D112" s="27" t="s">
        <v>644</v>
      </c>
      <c r="E112" s="27" t="s">
        <v>1205</v>
      </c>
      <c r="F112" s="32" t="n">
        <v>62.5</v>
      </c>
      <c r="G112" s="28" t="n">
        <v>1</v>
      </c>
      <c r="H112" s="35" t="n">
        <f aca="false">IF(OR($F112="",$G112=""),"",ROUND($F112*(1+$G112/30),1))</f>
        <v>64.6</v>
      </c>
      <c r="I112" s="35" t="n">
        <f aca="false">IF(OR($F112="",$G112="",$G112&gt;36),"",ROUND($F112/(1.0278-0.0278*$G112),1))</f>
        <v>62.5</v>
      </c>
      <c r="J112" s="30" t="n">
        <f aca="false">IF($E112="Direto (1RM real)",$F112,IF(OR($H112="",$I112=""),"",ROUND(AVERAGE($H112,$I112),1)))</f>
        <v>62.5</v>
      </c>
      <c r="K112" s="35" t="n">
        <f aca="false">IF($C112="","",IFERROR(INDEX(Cadastro!$P$8:$P$47,MATCH($C112,Cadastro!$B$8:$B$47,0)),""))</f>
        <v>78.2</v>
      </c>
      <c r="L112" s="36" t="n">
        <f aca="false">IFERROR($J112/$K112,"")</f>
        <v>0.79923273657289</v>
      </c>
      <c r="M112" s="45"/>
      <c r="N112" s="27" t="s">
        <v>373</v>
      </c>
    </row>
    <row r="113" customFormat="false" ht="15" hidden="false" customHeight="false" outlineLevel="0" collapsed="false">
      <c r="A113" s="29" t="n">
        <v>46037</v>
      </c>
      <c r="B113" s="33" t="n">
        <f aca="false">IF($A113="",0,INT(($A113-Macrociclo!$C$11)/7)+1)</f>
        <v>2</v>
      </c>
      <c r="C113" s="27" t="s">
        <v>279</v>
      </c>
      <c r="D113" s="27" t="s">
        <v>660</v>
      </c>
      <c r="E113" s="27" t="s">
        <v>1205</v>
      </c>
      <c r="F113" s="32" t="n">
        <v>42.5</v>
      </c>
      <c r="G113" s="28" t="n">
        <v>1</v>
      </c>
      <c r="H113" s="35" t="n">
        <f aca="false">IF(OR($F113="",$G113=""),"",ROUND($F113*(1+$G113/30),1))</f>
        <v>43.9</v>
      </c>
      <c r="I113" s="35" t="n">
        <f aca="false">IF(OR($F113="",$G113="",$G113&gt;36),"",ROUND($F113/(1.0278-0.0278*$G113),1))</f>
        <v>42.5</v>
      </c>
      <c r="J113" s="30" t="n">
        <f aca="false">IF($E113="Direto (1RM real)",$F113,IF(OR($H113="",$I113=""),"",ROUND(AVERAGE($H113,$I113),1)))</f>
        <v>42.5</v>
      </c>
      <c r="K113" s="35" t="n">
        <f aca="false">IF($C113="","",IFERROR(INDEX(Cadastro!$P$8:$P$47,MATCH($C113,Cadastro!$B$8:$B$47,0)),""))</f>
        <v>78.2</v>
      </c>
      <c r="L113" s="36" t="n">
        <f aca="false">IFERROR($J113/$K113,"")</f>
        <v>0.543478260869565</v>
      </c>
      <c r="M113" s="45"/>
      <c r="N113" s="27" t="s">
        <v>373</v>
      </c>
    </row>
    <row r="114" customFormat="false" ht="15" hidden="false" customHeight="false" outlineLevel="0" collapsed="false">
      <c r="A114" s="29" t="n">
        <v>46037</v>
      </c>
      <c r="B114" s="33" t="n">
        <f aca="false">IF($A114="",0,INT(($A114-Macrociclo!$C$11)/7)+1)</f>
        <v>2</v>
      </c>
      <c r="C114" s="27" t="s">
        <v>279</v>
      </c>
      <c r="D114" s="27" t="s">
        <v>953</v>
      </c>
      <c r="E114" s="27" t="s">
        <v>1205</v>
      </c>
      <c r="F114" s="32" t="n">
        <v>77.5</v>
      </c>
      <c r="G114" s="28" t="n">
        <v>1</v>
      </c>
      <c r="H114" s="35" t="n">
        <f aca="false">IF(OR($F114="",$G114=""),"",ROUND($F114*(1+$G114/30),1))</f>
        <v>80.1</v>
      </c>
      <c r="I114" s="35" t="n">
        <f aca="false">IF(OR($F114="",$G114="",$G114&gt;36),"",ROUND($F114/(1.0278-0.0278*$G114),1))</f>
        <v>77.5</v>
      </c>
      <c r="J114" s="30" t="n">
        <f aca="false">IF($E114="Direto (1RM real)",$F114,IF(OR($H114="",$I114=""),"",ROUND(AVERAGE($H114,$I114),1)))</f>
        <v>77.5</v>
      </c>
      <c r="K114" s="35" t="n">
        <f aca="false">IF($C114="","",IFERROR(INDEX(Cadastro!$P$8:$P$47,MATCH($C114,Cadastro!$B$8:$B$47,0)),""))</f>
        <v>78.2</v>
      </c>
      <c r="L114" s="36" t="n">
        <f aca="false">IFERROR($J114/$K114,"")</f>
        <v>0.991048593350384</v>
      </c>
      <c r="M114" s="45"/>
      <c r="N114" s="27" t="s">
        <v>373</v>
      </c>
    </row>
    <row r="115" customFormat="false" ht="15" hidden="false" customHeight="false" outlineLevel="0" collapsed="false">
      <c r="A115" s="29" t="n">
        <v>46037</v>
      </c>
      <c r="B115" s="33" t="n">
        <f aca="false">IF($A115="",0,INT(($A115-Macrociclo!$C$11)/7)+1)</f>
        <v>2</v>
      </c>
      <c r="C115" s="27" t="s">
        <v>279</v>
      </c>
      <c r="D115" s="27" t="s">
        <v>620</v>
      </c>
      <c r="E115" s="27" t="s">
        <v>1205</v>
      </c>
      <c r="F115" s="32" t="n">
        <v>97.5</v>
      </c>
      <c r="G115" s="28" t="n">
        <v>1</v>
      </c>
      <c r="H115" s="35" t="n">
        <f aca="false">IF(OR($F115="",$G115=""),"",ROUND($F115*(1+$G115/30),1))</f>
        <v>100.8</v>
      </c>
      <c r="I115" s="35" t="n">
        <f aca="false">IF(OR($F115="",$G115="",$G115&gt;36),"",ROUND($F115/(1.0278-0.0278*$G115),1))</f>
        <v>97.5</v>
      </c>
      <c r="J115" s="30" t="n">
        <f aca="false">IF($E115="Direto (1RM real)",$F115,IF(OR($H115="",$I115=""),"",ROUND(AVERAGE($H115,$I115),1)))</f>
        <v>97.5</v>
      </c>
      <c r="K115" s="35" t="n">
        <f aca="false">IF($C115="","",IFERROR(INDEX(Cadastro!$P$8:$P$47,MATCH($C115,Cadastro!$B$8:$B$47,0)),""))</f>
        <v>78.2</v>
      </c>
      <c r="L115" s="36" t="n">
        <f aca="false">IFERROR($J115/$K115,"")</f>
        <v>1.24680306905371</v>
      </c>
      <c r="M115" s="45"/>
      <c r="N115" s="27" t="s">
        <v>373</v>
      </c>
    </row>
    <row r="116" customFormat="false" ht="15" hidden="false" customHeight="false" outlineLevel="0" collapsed="false">
      <c r="A116" s="29" t="n">
        <v>46228</v>
      </c>
      <c r="B116" s="33" t="n">
        <f aca="false">IF($A116="",0,INT(($A116-Macrociclo!$C$11)/7)+1)</f>
        <v>29</v>
      </c>
      <c r="C116" s="27" t="s">
        <v>164</v>
      </c>
      <c r="D116" s="27" t="s">
        <v>688</v>
      </c>
      <c r="E116" s="27" t="s">
        <v>1205</v>
      </c>
      <c r="F116" s="32" t="n">
        <v>160</v>
      </c>
      <c r="G116" s="28" t="n">
        <v>1</v>
      </c>
      <c r="H116" s="35" t="n">
        <f aca="false">IF(OR($F116="",$G116=""),"",ROUND($F116*(1+$G116/30),1))</f>
        <v>165.3</v>
      </c>
      <c r="I116" s="35" t="n">
        <f aca="false">IF(OR($F116="",$G116="",$G116&gt;36),"",ROUND($F116/(1.0278-0.0278*$G116),1))</f>
        <v>160</v>
      </c>
      <c r="J116" s="30" t="n">
        <f aca="false">IF($E116="Direto (1RM real)",$F116,IF(OR($H116="",$I116=""),"",ROUND(AVERAGE($H116,$I116),1)))</f>
        <v>160</v>
      </c>
      <c r="K116" s="35" t="n">
        <f aca="false">IF($C116="","",IFERROR(INDEX(Cadastro!$P$8:$P$47,MATCH($C116,Cadastro!$B$8:$B$47,0)),""))</f>
        <v>87.8</v>
      </c>
      <c r="L116" s="36" t="n">
        <f aca="false">IFERROR($J116/$K116,"")</f>
        <v>1.82232346241458</v>
      </c>
      <c r="M116" s="45"/>
      <c r="N116" s="27" t="s">
        <v>373</v>
      </c>
    </row>
    <row r="117" customFormat="false" ht="15" hidden="false" customHeight="false" outlineLevel="0" collapsed="false">
      <c r="A117" s="29" t="n">
        <v>46228</v>
      </c>
      <c r="B117" s="33" t="n">
        <f aca="false">IF($A117="",0,INT(($A117-Macrociclo!$C$11)/7)+1)</f>
        <v>29</v>
      </c>
      <c r="C117" s="27" t="s">
        <v>164</v>
      </c>
      <c r="D117" s="27" t="s">
        <v>695</v>
      </c>
      <c r="E117" s="27" t="s">
        <v>1205</v>
      </c>
      <c r="F117" s="32" t="n">
        <v>125</v>
      </c>
      <c r="G117" s="28" t="n">
        <v>1</v>
      </c>
      <c r="H117" s="35" t="n">
        <f aca="false">IF(OR($F117="",$G117=""),"",ROUND($F117*(1+$G117/30),1))</f>
        <v>129.2</v>
      </c>
      <c r="I117" s="35" t="n">
        <f aca="false">IF(OR($F117="",$G117="",$G117&gt;36),"",ROUND($F117/(1.0278-0.0278*$G117),1))</f>
        <v>125</v>
      </c>
      <c r="J117" s="30" t="n">
        <f aca="false">IF($E117="Direto (1RM real)",$F117,IF(OR($H117="",$I117=""),"",ROUND(AVERAGE($H117,$I117),1)))</f>
        <v>125</v>
      </c>
      <c r="K117" s="35" t="n">
        <f aca="false">IF($C117="","",IFERROR(INDEX(Cadastro!$P$8:$P$47,MATCH($C117,Cadastro!$B$8:$B$47,0)),""))</f>
        <v>87.8</v>
      </c>
      <c r="L117" s="36" t="n">
        <f aca="false">IFERROR($J117/$K117,"")</f>
        <v>1.42369020501139</v>
      </c>
      <c r="M117" s="45"/>
      <c r="N117" s="27" t="s">
        <v>373</v>
      </c>
    </row>
    <row r="118" customFormat="false" ht="15" hidden="false" customHeight="false" outlineLevel="0" collapsed="false">
      <c r="A118" s="29" t="n">
        <v>46228</v>
      </c>
      <c r="B118" s="33" t="n">
        <f aca="false">IF($A118="",0,INT(($A118-Macrociclo!$C$11)/7)+1)</f>
        <v>29</v>
      </c>
      <c r="C118" s="27" t="s">
        <v>164</v>
      </c>
      <c r="D118" s="27" t="s">
        <v>701</v>
      </c>
      <c r="E118" s="27" t="s">
        <v>1205</v>
      </c>
      <c r="F118" s="32" t="n">
        <v>125</v>
      </c>
      <c r="G118" s="28" t="n">
        <v>1</v>
      </c>
      <c r="H118" s="35" t="n">
        <f aca="false">IF(OR($F118="",$G118=""),"",ROUND($F118*(1+$G118/30),1))</f>
        <v>129.2</v>
      </c>
      <c r="I118" s="35" t="n">
        <f aca="false">IF(OR($F118="",$G118="",$G118&gt;36),"",ROUND($F118/(1.0278-0.0278*$G118),1))</f>
        <v>125</v>
      </c>
      <c r="J118" s="30" t="n">
        <f aca="false">IF($E118="Direto (1RM real)",$F118,IF(OR($H118="",$I118=""),"",ROUND(AVERAGE($H118,$I118),1)))</f>
        <v>125</v>
      </c>
      <c r="K118" s="35" t="n">
        <f aca="false">IF($C118="","",IFERROR(INDEX(Cadastro!$P$8:$P$47,MATCH($C118,Cadastro!$B$8:$B$47,0)),""))</f>
        <v>87.8</v>
      </c>
      <c r="L118" s="36" t="n">
        <f aca="false">IFERROR($J118/$K118,"")</f>
        <v>1.42369020501139</v>
      </c>
      <c r="M118" s="45"/>
      <c r="N118" s="27" t="s">
        <v>373</v>
      </c>
    </row>
    <row r="119" customFormat="false" ht="15" hidden="false" customHeight="false" outlineLevel="0" collapsed="false">
      <c r="A119" s="29" t="n">
        <v>46228</v>
      </c>
      <c r="B119" s="33" t="n">
        <f aca="false">IF($A119="",0,INT(($A119-Macrociclo!$C$11)/7)+1)</f>
        <v>29</v>
      </c>
      <c r="C119" s="27" t="s">
        <v>164</v>
      </c>
      <c r="D119" s="27" t="s">
        <v>758</v>
      </c>
      <c r="E119" s="27" t="s">
        <v>1205</v>
      </c>
      <c r="F119" s="32" t="n">
        <v>175</v>
      </c>
      <c r="G119" s="28" t="n">
        <v>1</v>
      </c>
      <c r="H119" s="35" t="n">
        <f aca="false">IF(OR($F119="",$G119=""),"",ROUND($F119*(1+$G119/30),1))</f>
        <v>180.8</v>
      </c>
      <c r="I119" s="35" t="n">
        <f aca="false">IF(OR($F119="",$G119="",$G119&gt;36),"",ROUND($F119/(1.0278-0.0278*$G119),1))</f>
        <v>175</v>
      </c>
      <c r="J119" s="30" t="n">
        <f aca="false">IF($E119="Direto (1RM real)",$F119,IF(OR($H119="",$I119=""),"",ROUND(AVERAGE($H119,$I119),1)))</f>
        <v>175</v>
      </c>
      <c r="K119" s="35" t="n">
        <f aca="false">IF($C119="","",IFERROR(INDEX(Cadastro!$P$8:$P$47,MATCH($C119,Cadastro!$B$8:$B$47,0)),""))</f>
        <v>87.8</v>
      </c>
      <c r="L119" s="36" t="n">
        <f aca="false">IFERROR($J119/$K119,"")</f>
        <v>1.99316628701595</v>
      </c>
      <c r="M119" s="45"/>
      <c r="N119" s="27" t="s">
        <v>373</v>
      </c>
    </row>
    <row r="120" customFormat="false" ht="15" hidden="false" customHeight="false" outlineLevel="0" collapsed="false">
      <c r="A120" s="29" t="n">
        <v>46228</v>
      </c>
      <c r="B120" s="33" t="n">
        <f aca="false">IF($A120="",0,INT(($A120-Macrociclo!$C$11)/7)+1)</f>
        <v>29</v>
      </c>
      <c r="C120" s="27" t="s">
        <v>164</v>
      </c>
      <c r="D120" s="27" t="s">
        <v>648</v>
      </c>
      <c r="E120" s="27" t="s">
        <v>1205</v>
      </c>
      <c r="F120" s="32" t="n">
        <v>92.5</v>
      </c>
      <c r="G120" s="28" t="n">
        <v>1</v>
      </c>
      <c r="H120" s="35" t="n">
        <f aca="false">IF(OR($F120="",$G120=""),"",ROUND($F120*(1+$G120/30),1))</f>
        <v>95.6</v>
      </c>
      <c r="I120" s="35" t="n">
        <f aca="false">IF(OR($F120="",$G120="",$G120&gt;36),"",ROUND($F120/(1.0278-0.0278*$G120),1))</f>
        <v>92.5</v>
      </c>
      <c r="J120" s="30" t="n">
        <f aca="false">IF($E120="Direto (1RM real)",$F120,IF(OR($H120="",$I120=""),"",ROUND(AVERAGE($H120,$I120),1)))</f>
        <v>92.5</v>
      </c>
      <c r="K120" s="35" t="n">
        <f aca="false">IF($C120="","",IFERROR(INDEX(Cadastro!$P$8:$P$47,MATCH($C120,Cadastro!$B$8:$B$47,0)),""))</f>
        <v>87.8</v>
      </c>
      <c r="L120" s="36" t="n">
        <f aca="false">IFERROR($J120/$K120,"")</f>
        <v>1.05353075170843</v>
      </c>
      <c r="M120" s="45"/>
      <c r="N120" s="27" t="s">
        <v>373</v>
      </c>
    </row>
    <row r="121" customFormat="false" ht="15" hidden="false" customHeight="false" outlineLevel="0" collapsed="false">
      <c r="A121" s="29" t="n">
        <v>46228</v>
      </c>
      <c r="B121" s="33" t="n">
        <f aca="false">IF($A121="",0,INT(($A121-Macrociclo!$C$11)/7)+1)</f>
        <v>29</v>
      </c>
      <c r="C121" s="27" t="s">
        <v>164</v>
      </c>
      <c r="D121" s="27" t="s">
        <v>644</v>
      </c>
      <c r="E121" s="27" t="s">
        <v>1205</v>
      </c>
      <c r="F121" s="32" t="n">
        <v>72.5</v>
      </c>
      <c r="G121" s="28" t="n">
        <v>1</v>
      </c>
      <c r="H121" s="35" t="n">
        <f aca="false">IF(OR($F121="",$G121=""),"",ROUND($F121*(1+$G121/30),1))</f>
        <v>74.9</v>
      </c>
      <c r="I121" s="35" t="n">
        <f aca="false">IF(OR($F121="",$G121="",$G121&gt;36),"",ROUND($F121/(1.0278-0.0278*$G121),1))</f>
        <v>72.5</v>
      </c>
      <c r="J121" s="30" t="n">
        <f aca="false">IF($E121="Direto (1RM real)",$F121,IF(OR($H121="",$I121=""),"",ROUND(AVERAGE($H121,$I121),1)))</f>
        <v>72.5</v>
      </c>
      <c r="K121" s="35" t="n">
        <f aca="false">IF($C121="","",IFERROR(INDEX(Cadastro!$P$8:$P$47,MATCH($C121,Cadastro!$B$8:$B$47,0)),""))</f>
        <v>87.8</v>
      </c>
      <c r="L121" s="36" t="n">
        <f aca="false">IFERROR($J121/$K121,"")</f>
        <v>0.825740318906606</v>
      </c>
      <c r="M121" s="45"/>
      <c r="N121" s="27" t="s">
        <v>373</v>
      </c>
    </row>
    <row r="122" customFormat="false" ht="15" hidden="false" customHeight="false" outlineLevel="0" collapsed="false">
      <c r="A122" s="29" t="n">
        <v>46228</v>
      </c>
      <c r="B122" s="33" t="n">
        <f aca="false">IF($A122="",0,INT(($A122-Macrociclo!$C$11)/7)+1)</f>
        <v>29</v>
      </c>
      <c r="C122" s="27" t="s">
        <v>164</v>
      </c>
      <c r="D122" s="27" t="s">
        <v>660</v>
      </c>
      <c r="E122" s="27" t="s">
        <v>1205</v>
      </c>
      <c r="F122" s="32" t="n">
        <v>47.5</v>
      </c>
      <c r="G122" s="28" t="n">
        <v>1</v>
      </c>
      <c r="H122" s="35" t="n">
        <f aca="false">IF(OR($F122="",$G122=""),"",ROUND($F122*(1+$G122/30),1))</f>
        <v>49.1</v>
      </c>
      <c r="I122" s="35" t="n">
        <f aca="false">IF(OR($F122="",$G122="",$G122&gt;36),"",ROUND($F122/(1.0278-0.0278*$G122),1))</f>
        <v>47.5</v>
      </c>
      <c r="J122" s="30" t="n">
        <f aca="false">IF($E122="Direto (1RM real)",$F122,IF(OR($H122="",$I122=""),"",ROUND(AVERAGE($H122,$I122),1)))</f>
        <v>47.5</v>
      </c>
      <c r="K122" s="35" t="n">
        <f aca="false">IF($C122="","",IFERROR(INDEX(Cadastro!$P$8:$P$47,MATCH($C122,Cadastro!$B$8:$B$47,0)),""))</f>
        <v>87.8</v>
      </c>
      <c r="L122" s="36" t="n">
        <f aca="false">IFERROR($J122/$K122,"")</f>
        <v>0.541002277904328</v>
      </c>
      <c r="M122" s="45"/>
      <c r="N122" s="27" t="s">
        <v>373</v>
      </c>
    </row>
    <row r="123" customFormat="false" ht="15" hidden="false" customHeight="false" outlineLevel="0" collapsed="false">
      <c r="A123" s="29" t="n">
        <v>46228</v>
      </c>
      <c r="B123" s="33" t="n">
        <f aca="false">IF($A123="",0,INT(($A123-Macrociclo!$C$11)/7)+1)</f>
        <v>29</v>
      </c>
      <c r="C123" s="27" t="s">
        <v>164</v>
      </c>
      <c r="D123" s="27" t="s">
        <v>953</v>
      </c>
      <c r="E123" s="27" t="s">
        <v>1205</v>
      </c>
      <c r="F123" s="32" t="n">
        <v>92.5</v>
      </c>
      <c r="G123" s="28" t="n">
        <v>1</v>
      </c>
      <c r="H123" s="35" t="n">
        <f aca="false">IF(OR($F123="",$G123=""),"",ROUND($F123*(1+$G123/30),1))</f>
        <v>95.6</v>
      </c>
      <c r="I123" s="35" t="n">
        <f aca="false">IF(OR($F123="",$G123="",$G123&gt;36),"",ROUND($F123/(1.0278-0.0278*$G123),1))</f>
        <v>92.5</v>
      </c>
      <c r="J123" s="30" t="n">
        <f aca="false">IF($E123="Direto (1RM real)",$F123,IF(OR($H123="",$I123=""),"",ROUND(AVERAGE($H123,$I123),1)))</f>
        <v>92.5</v>
      </c>
      <c r="K123" s="35" t="n">
        <f aca="false">IF($C123="","",IFERROR(INDEX(Cadastro!$P$8:$P$47,MATCH($C123,Cadastro!$B$8:$B$47,0)),""))</f>
        <v>87.8</v>
      </c>
      <c r="L123" s="36" t="n">
        <f aca="false">IFERROR($J123/$K123,"")</f>
        <v>1.05353075170843</v>
      </c>
      <c r="M123" s="45"/>
      <c r="N123" s="27" t="s">
        <v>373</v>
      </c>
    </row>
    <row r="124" customFormat="false" ht="15" hidden="false" customHeight="false" outlineLevel="0" collapsed="false">
      <c r="A124" s="29" t="n">
        <v>46228</v>
      </c>
      <c r="B124" s="33" t="n">
        <f aca="false">IF($A124="",0,INT(($A124-Macrociclo!$C$11)/7)+1)</f>
        <v>29</v>
      </c>
      <c r="C124" s="27" t="s">
        <v>164</v>
      </c>
      <c r="D124" s="27" t="s">
        <v>620</v>
      </c>
      <c r="E124" s="27" t="s">
        <v>1205</v>
      </c>
      <c r="F124" s="32" t="n">
        <v>117.5</v>
      </c>
      <c r="G124" s="28" t="n">
        <v>1</v>
      </c>
      <c r="H124" s="35" t="n">
        <f aca="false">IF(OR($F124="",$G124=""),"",ROUND($F124*(1+$G124/30),1))</f>
        <v>121.4</v>
      </c>
      <c r="I124" s="35" t="n">
        <f aca="false">IF(OR($F124="",$G124="",$G124&gt;36),"",ROUND($F124/(1.0278-0.0278*$G124),1))</f>
        <v>117.5</v>
      </c>
      <c r="J124" s="30" t="n">
        <f aca="false">IF($E124="Direto (1RM real)",$F124,IF(OR($H124="",$I124=""),"",ROUND(AVERAGE($H124,$I124),1)))</f>
        <v>117.5</v>
      </c>
      <c r="K124" s="35" t="n">
        <f aca="false">IF($C124="","",IFERROR(INDEX(Cadastro!$P$8:$P$47,MATCH($C124,Cadastro!$B$8:$B$47,0)),""))</f>
        <v>87.8</v>
      </c>
      <c r="L124" s="36" t="n">
        <f aca="false">IFERROR($J124/$K124,"")</f>
        <v>1.33826879271071</v>
      </c>
      <c r="M124" s="45"/>
      <c r="N124" s="27" t="s">
        <v>373</v>
      </c>
    </row>
    <row r="125" customFormat="false" ht="15" hidden="false" customHeight="false" outlineLevel="0" collapsed="false">
      <c r="A125" s="29" t="n">
        <v>46228</v>
      </c>
      <c r="B125" s="33" t="n">
        <f aca="false">IF($A125="",0,INT(($A125-Macrociclo!$C$11)/7)+1)</f>
        <v>29</v>
      </c>
      <c r="C125" s="27" t="s">
        <v>192</v>
      </c>
      <c r="D125" s="27" t="s">
        <v>688</v>
      </c>
      <c r="E125" s="27" t="s">
        <v>1205</v>
      </c>
      <c r="F125" s="32" t="n">
        <v>167.5</v>
      </c>
      <c r="G125" s="28" t="n">
        <v>1</v>
      </c>
      <c r="H125" s="35" t="n">
        <f aca="false">IF(OR($F125="",$G125=""),"",ROUND($F125*(1+$G125/30),1))</f>
        <v>173.1</v>
      </c>
      <c r="I125" s="35" t="n">
        <f aca="false">IF(OR($F125="",$G125="",$G125&gt;36),"",ROUND($F125/(1.0278-0.0278*$G125),1))</f>
        <v>167.5</v>
      </c>
      <c r="J125" s="30" t="n">
        <f aca="false">IF($E125="Direto (1RM real)",$F125,IF(OR($H125="",$I125=""),"",ROUND(AVERAGE($H125,$I125),1)))</f>
        <v>167.5</v>
      </c>
      <c r="K125" s="35" t="n">
        <f aca="false">IF($C125="","",IFERROR(INDEX(Cadastro!$P$8:$P$47,MATCH($C125,Cadastro!$B$8:$B$47,0)),""))</f>
        <v>94.2</v>
      </c>
      <c r="L125" s="36" t="n">
        <f aca="false">IFERROR($J125/$K125,"")</f>
        <v>1.77813163481953</v>
      </c>
      <c r="M125" s="45"/>
      <c r="N125" s="27" t="s">
        <v>373</v>
      </c>
    </row>
    <row r="126" customFormat="false" ht="15" hidden="false" customHeight="false" outlineLevel="0" collapsed="false">
      <c r="A126" s="29" t="n">
        <v>46228</v>
      </c>
      <c r="B126" s="33" t="n">
        <f aca="false">IF($A126="",0,INT(($A126-Macrociclo!$C$11)/7)+1)</f>
        <v>29</v>
      </c>
      <c r="C126" s="27" t="s">
        <v>192</v>
      </c>
      <c r="D126" s="27" t="s">
        <v>695</v>
      </c>
      <c r="E126" s="27" t="s">
        <v>1205</v>
      </c>
      <c r="F126" s="32" t="n">
        <v>125</v>
      </c>
      <c r="G126" s="28" t="n">
        <v>1</v>
      </c>
      <c r="H126" s="35" t="n">
        <f aca="false">IF(OR($F126="",$G126=""),"",ROUND($F126*(1+$G126/30),1))</f>
        <v>129.2</v>
      </c>
      <c r="I126" s="35" t="n">
        <f aca="false">IF(OR($F126="",$G126="",$G126&gt;36),"",ROUND($F126/(1.0278-0.0278*$G126),1))</f>
        <v>125</v>
      </c>
      <c r="J126" s="30" t="n">
        <f aca="false">IF($E126="Direto (1RM real)",$F126,IF(OR($H126="",$I126=""),"",ROUND(AVERAGE($H126,$I126),1)))</f>
        <v>125</v>
      </c>
      <c r="K126" s="35" t="n">
        <f aca="false">IF($C126="","",IFERROR(INDEX(Cadastro!$P$8:$P$47,MATCH($C126,Cadastro!$B$8:$B$47,0)),""))</f>
        <v>94.2</v>
      </c>
      <c r="L126" s="36" t="n">
        <f aca="false">IFERROR($J126/$K126,"")</f>
        <v>1.32696390658174</v>
      </c>
      <c r="M126" s="45"/>
      <c r="N126" s="27" t="s">
        <v>373</v>
      </c>
    </row>
    <row r="127" customFormat="false" ht="15" hidden="false" customHeight="false" outlineLevel="0" collapsed="false">
      <c r="A127" s="29" t="n">
        <v>46228</v>
      </c>
      <c r="B127" s="33" t="n">
        <f aca="false">IF($A127="",0,INT(($A127-Macrociclo!$C$11)/7)+1)</f>
        <v>29</v>
      </c>
      <c r="C127" s="27" t="s">
        <v>192</v>
      </c>
      <c r="D127" s="27" t="s">
        <v>701</v>
      </c>
      <c r="E127" s="27" t="s">
        <v>1205</v>
      </c>
      <c r="F127" s="32" t="n">
        <v>140</v>
      </c>
      <c r="G127" s="28" t="n">
        <v>1</v>
      </c>
      <c r="H127" s="35" t="n">
        <f aca="false">IF(OR($F127="",$G127=""),"",ROUND($F127*(1+$G127/30),1))</f>
        <v>144.7</v>
      </c>
      <c r="I127" s="35" t="n">
        <f aca="false">IF(OR($F127="",$G127="",$G127&gt;36),"",ROUND($F127/(1.0278-0.0278*$G127),1))</f>
        <v>140</v>
      </c>
      <c r="J127" s="30" t="n">
        <f aca="false">IF($E127="Direto (1RM real)",$F127,IF(OR($H127="",$I127=""),"",ROUND(AVERAGE($H127,$I127),1)))</f>
        <v>140</v>
      </c>
      <c r="K127" s="35" t="n">
        <f aca="false">IF($C127="","",IFERROR(INDEX(Cadastro!$P$8:$P$47,MATCH($C127,Cadastro!$B$8:$B$47,0)),""))</f>
        <v>94.2</v>
      </c>
      <c r="L127" s="36" t="n">
        <f aca="false">IFERROR($J127/$K127,"")</f>
        <v>1.48619957537155</v>
      </c>
      <c r="M127" s="45"/>
      <c r="N127" s="27" t="s">
        <v>373</v>
      </c>
    </row>
    <row r="128" customFormat="false" ht="15" hidden="false" customHeight="false" outlineLevel="0" collapsed="false">
      <c r="A128" s="29" t="n">
        <v>46228</v>
      </c>
      <c r="B128" s="33" t="n">
        <f aca="false">IF($A128="",0,INT(($A128-Macrociclo!$C$11)/7)+1)</f>
        <v>29</v>
      </c>
      <c r="C128" s="27" t="s">
        <v>192</v>
      </c>
      <c r="D128" s="27" t="s">
        <v>758</v>
      </c>
      <c r="E128" s="27" t="s">
        <v>1205</v>
      </c>
      <c r="F128" s="32" t="n">
        <v>192.5</v>
      </c>
      <c r="G128" s="28" t="n">
        <v>1</v>
      </c>
      <c r="H128" s="35" t="n">
        <f aca="false">IF(OR($F128="",$G128=""),"",ROUND($F128*(1+$G128/30),1))</f>
        <v>198.9</v>
      </c>
      <c r="I128" s="35" t="n">
        <f aca="false">IF(OR($F128="",$G128="",$G128&gt;36),"",ROUND($F128/(1.0278-0.0278*$G128),1))</f>
        <v>192.5</v>
      </c>
      <c r="J128" s="30" t="n">
        <f aca="false">IF($E128="Direto (1RM real)",$F128,IF(OR($H128="",$I128=""),"",ROUND(AVERAGE($H128,$I128),1)))</f>
        <v>192.5</v>
      </c>
      <c r="K128" s="35" t="n">
        <f aca="false">IF($C128="","",IFERROR(INDEX(Cadastro!$P$8:$P$47,MATCH($C128,Cadastro!$B$8:$B$47,0)),""))</f>
        <v>94.2</v>
      </c>
      <c r="L128" s="36" t="n">
        <f aca="false">IFERROR($J128/$K128,"")</f>
        <v>2.04352441613588</v>
      </c>
      <c r="M128" s="45"/>
      <c r="N128" s="27" t="s">
        <v>373</v>
      </c>
    </row>
    <row r="129" customFormat="false" ht="15" hidden="false" customHeight="false" outlineLevel="0" collapsed="false">
      <c r="A129" s="29" t="n">
        <v>46228</v>
      </c>
      <c r="B129" s="33" t="n">
        <f aca="false">IF($A129="",0,INT(($A129-Macrociclo!$C$11)/7)+1)</f>
        <v>29</v>
      </c>
      <c r="C129" s="27" t="s">
        <v>192</v>
      </c>
      <c r="D129" s="27" t="s">
        <v>648</v>
      </c>
      <c r="E129" s="27" t="s">
        <v>1205</v>
      </c>
      <c r="F129" s="32" t="n">
        <v>105</v>
      </c>
      <c r="G129" s="28" t="n">
        <v>1</v>
      </c>
      <c r="H129" s="35" t="n">
        <f aca="false">IF(OR($F129="",$G129=""),"",ROUND($F129*(1+$G129/30),1))</f>
        <v>108.5</v>
      </c>
      <c r="I129" s="35" t="n">
        <f aca="false">IF(OR($F129="",$G129="",$G129&gt;36),"",ROUND($F129/(1.0278-0.0278*$G129),1))</f>
        <v>105</v>
      </c>
      <c r="J129" s="30" t="n">
        <f aca="false">IF($E129="Direto (1RM real)",$F129,IF(OR($H129="",$I129=""),"",ROUND(AVERAGE($H129,$I129),1)))</f>
        <v>105</v>
      </c>
      <c r="K129" s="35" t="n">
        <f aca="false">IF($C129="","",IFERROR(INDEX(Cadastro!$P$8:$P$47,MATCH($C129,Cadastro!$B$8:$B$47,0)),""))</f>
        <v>94.2</v>
      </c>
      <c r="L129" s="36" t="n">
        <f aca="false">IFERROR($J129/$K129,"")</f>
        <v>1.11464968152866</v>
      </c>
      <c r="M129" s="45"/>
      <c r="N129" s="27" t="s">
        <v>373</v>
      </c>
    </row>
    <row r="130" customFormat="false" ht="15" hidden="false" customHeight="false" outlineLevel="0" collapsed="false">
      <c r="A130" s="29" t="n">
        <v>46228</v>
      </c>
      <c r="B130" s="33" t="n">
        <f aca="false">IF($A130="",0,INT(($A130-Macrociclo!$C$11)/7)+1)</f>
        <v>29</v>
      </c>
      <c r="C130" s="27" t="s">
        <v>192</v>
      </c>
      <c r="D130" s="27" t="s">
        <v>644</v>
      </c>
      <c r="E130" s="27" t="s">
        <v>1205</v>
      </c>
      <c r="F130" s="32" t="n">
        <v>80</v>
      </c>
      <c r="G130" s="28" t="n">
        <v>1</v>
      </c>
      <c r="H130" s="35" t="n">
        <f aca="false">IF(OR($F130="",$G130=""),"",ROUND($F130*(1+$G130/30),1))</f>
        <v>82.7</v>
      </c>
      <c r="I130" s="35" t="n">
        <f aca="false">IF(OR($F130="",$G130="",$G130&gt;36),"",ROUND($F130/(1.0278-0.0278*$G130),1))</f>
        <v>80</v>
      </c>
      <c r="J130" s="30" t="n">
        <f aca="false">IF($E130="Direto (1RM real)",$F130,IF(OR($H130="",$I130=""),"",ROUND(AVERAGE($H130,$I130),1)))</f>
        <v>80</v>
      </c>
      <c r="K130" s="35" t="n">
        <f aca="false">IF($C130="","",IFERROR(INDEX(Cadastro!$P$8:$P$47,MATCH($C130,Cadastro!$B$8:$B$47,0)),""))</f>
        <v>94.2</v>
      </c>
      <c r="L130" s="36" t="n">
        <f aca="false">IFERROR($J130/$K130,"")</f>
        <v>0.849256900212314</v>
      </c>
      <c r="M130" s="45"/>
      <c r="N130" s="27" t="s">
        <v>373</v>
      </c>
    </row>
    <row r="131" customFormat="false" ht="15" hidden="false" customHeight="false" outlineLevel="0" collapsed="false">
      <c r="A131" s="29" t="n">
        <v>46228</v>
      </c>
      <c r="B131" s="33" t="n">
        <f aca="false">IF($A131="",0,INT(($A131-Macrociclo!$C$11)/7)+1)</f>
        <v>29</v>
      </c>
      <c r="C131" s="27" t="s">
        <v>192</v>
      </c>
      <c r="D131" s="27" t="s">
        <v>660</v>
      </c>
      <c r="E131" s="27" t="s">
        <v>1205</v>
      </c>
      <c r="F131" s="32" t="n">
        <v>50</v>
      </c>
      <c r="G131" s="28" t="n">
        <v>1</v>
      </c>
      <c r="H131" s="35" t="n">
        <f aca="false">IF(OR($F131="",$G131=""),"",ROUND($F131*(1+$G131/30),1))</f>
        <v>51.7</v>
      </c>
      <c r="I131" s="35" t="n">
        <f aca="false">IF(OR($F131="",$G131="",$G131&gt;36),"",ROUND($F131/(1.0278-0.0278*$G131),1))</f>
        <v>50</v>
      </c>
      <c r="J131" s="30" t="n">
        <f aca="false">IF($E131="Direto (1RM real)",$F131,IF(OR($H131="",$I131=""),"",ROUND(AVERAGE($H131,$I131),1)))</f>
        <v>50</v>
      </c>
      <c r="K131" s="35" t="n">
        <f aca="false">IF($C131="","",IFERROR(INDEX(Cadastro!$P$8:$P$47,MATCH($C131,Cadastro!$B$8:$B$47,0)),""))</f>
        <v>94.2</v>
      </c>
      <c r="L131" s="36" t="n">
        <f aca="false">IFERROR($J131/$K131,"")</f>
        <v>0.530785562632696</v>
      </c>
      <c r="M131" s="45"/>
      <c r="N131" s="27" t="s">
        <v>373</v>
      </c>
    </row>
    <row r="132" customFormat="false" ht="15" hidden="false" customHeight="false" outlineLevel="0" collapsed="false">
      <c r="A132" s="29" t="n">
        <v>46228</v>
      </c>
      <c r="B132" s="33" t="n">
        <f aca="false">IF($A132="",0,INT(($A132-Macrociclo!$C$11)/7)+1)</f>
        <v>29</v>
      </c>
      <c r="C132" s="27" t="s">
        <v>192</v>
      </c>
      <c r="D132" s="27" t="s">
        <v>953</v>
      </c>
      <c r="E132" s="27" t="s">
        <v>1205</v>
      </c>
      <c r="F132" s="32" t="n">
        <v>107.5</v>
      </c>
      <c r="G132" s="28" t="n">
        <v>1</v>
      </c>
      <c r="H132" s="35" t="n">
        <f aca="false">IF(OR($F132="",$G132=""),"",ROUND($F132*(1+$G132/30),1))</f>
        <v>111.1</v>
      </c>
      <c r="I132" s="35" t="n">
        <f aca="false">IF(OR($F132="",$G132="",$G132&gt;36),"",ROUND($F132/(1.0278-0.0278*$G132),1))</f>
        <v>107.5</v>
      </c>
      <c r="J132" s="30" t="n">
        <f aca="false">IF($E132="Direto (1RM real)",$F132,IF(OR($H132="",$I132=""),"",ROUND(AVERAGE($H132,$I132),1)))</f>
        <v>107.5</v>
      </c>
      <c r="K132" s="35" t="n">
        <f aca="false">IF($C132="","",IFERROR(INDEX(Cadastro!$P$8:$P$47,MATCH($C132,Cadastro!$B$8:$B$47,0)),""))</f>
        <v>94.2</v>
      </c>
      <c r="L132" s="36" t="n">
        <f aca="false">IFERROR($J132/$K132,"")</f>
        <v>1.1411889596603</v>
      </c>
      <c r="M132" s="45"/>
      <c r="N132" s="27" t="s">
        <v>373</v>
      </c>
    </row>
    <row r="133" customFormat="false" ht="15" hidden="false" customHeight="false" outlineLevel="0" collapsed="false">
      <c r="A133" s="29" t="n">
        <v>46228</v>
      </c>
      <c r="B133" s="33" t="n">
        <f aca="false">IF($A133="",0,INT(($A133-Macrociclo!$C$11)/7)+1)</f>
        <v>29</v>
      </c>
      <c r="C133" s="27" t="s">
        <v>192</v>
      </c>
      <c r="D133" s="27" t="s">
        <v>620</v>
      </c>
      <c r="E133" s="27" t="s">
        <v>1205</v>
      </c>
      <c r="F133" s="32" t="n">
        <v>140</v>
      </c>
      <c r="G133" s="28" t="n">
        <v>1</v>
      </c>
      <c r="H133" s="35" t="n">
        <f aca="false">IF(OR($F133="",$G133=""),"",ROUND($F133*(1+$G133/30),1))</f>
        <v>144.7</v>
      </c>
      <c r="I133" s="35" t="n">
        <f aca="false">IF(OR($F133="",$G133="",$G133&gt;36),"",ROUND($F133/(1.0278-0.0278*$G133),1))</f>
        <v>140</v>
      </c>
      <c r="J133" s="30" t="n">
        <f aca="false">IF($E133="Direto (1RM real)",$F133,IF(OR($H133="",$I133=""),"",ROUND(AVERAGE($H133,$I133),1)))</f>
        <v>140</v>
      </c>
      <c r="K133" s="35" t="n">
        <f aca="false">IF($C133="","",IFERROR(INDEX(Cadastro!$P$8:$P$47,MATCH($C133,Cadastro!$B$8:$B$47,0)),""))</f>
        <v>94.2</v>
      </c>
      <c r="L133" s="36" t="n">
        <f aca="false">IFERROR($J133/$K133,"")</f>
        <v>1.48619957537155</v>
      </c>
      <c r="M133" s="45"/>
      <c r="N133" s="27" t="s">
        <v>373</v>
      </c>
    </row>
    <row r="134" customFormat="false" ht="15" hidden="false" customHeight="false" outlineLevel="0" collapsed="false">
      <c r="A134" s="29" t="n">
        <v>46228</v>
      </c>
      <c r="B134" s="33" t="n">
        <f aca="false">IF($A134="",0,INT(($A134-Macrociclo!$C$11)/7)+1)</f>
        <v>29</v>
      </c>
      <c r="C134" s="27" t="s">
        <v>206</v>
      </c>
      <c r="D134" s="27" t="s">
        <v>688</v>
      </c>
      <c r="E134" s="27" t="s">
        <v>1205</v>
      </c>
      <c r="F134" s="32" t="n">
        <v>160</v>
      </c>
      <c r="G134" s="28" t="n">
        <v>1</v>
      </c>
      <c r="H134" s="35" t="n">
        <f aca="false">IF(OR($F134="",$G134=""),"",ROUND($F134*(1+$G134/30),1))</f>
        <v>165.3</v>
      </c>
      <c r="I134" s="35" t="n">
        <f aca="false">IF(OR($F134="",$G134="",$G134&gt;36),"",ROUND($F134/(1.0278-0.0278*$G134),1))</f>
        <v>160</v>
      </c>
      <c r="J134" s="30" t="n">
        <f aca="false">IF($E134="Direto (1RM real)",$F134,IF(OR($H134="",$I134=""),"",ROUND(AVERAGE($H134,$I134),1)))</f>
        <v>160</v>
      </c>
      <c r="K134" s="35" t="n">
        <f aca="false">IF($C134="","",IFERROR(INDEX(Cadastro!$P$8:$P$47,MATCH($C134,Cadastro!$B$8:$B$47,0)),""))</f>
        <v>88.9</v>
      </c>
      <c r="L134" s="36" t="n">
        <f aca="false">IFERROR($J134/$K134,"")</f>
        <v>1.79977502812148</v>
      </c>
      <c r="M134" s="45"/>
      <c r="N134" s="27" t="s">
        <v>373</v>
      </c>
    </row>
    <row r="135" customFormat="false" ht="15" hidden="false" customHeight="false" outlineLevel="0" collapsed="false">
      <c r="A135" s="29" t="n">
        <v>46228</v>
      </c>
      <c r="B135" s="33" t="n">
        <f aca="false">IF($A135="",0,INT(($A135-Macrociclo!$C$11)/7)+1)</f>
        <v>29</v>
      </c>
      <c r="C135" s="27" t="s">
        <v>206</v>
      </c>
      <c r="D135" s="27" t="s">
        <v>695</v>
      </c>
      <c r="E135" s="27" t="s">
        <v>1205</v>
      </c>
      <c r="F135" s="32" t="n">
        <v>127.5</v>
      </c>
      <c r="G135" s="28" t="n">
        <v>1</v>
      </c>
      <c r="H135" s="35" t="n">
        <f aca="false">IF(OR($F135="",$G135=""),"",ROUND($F135*(1+$G135/30),1))</f>
        <v>131.8</v>
      </c>
      <c r="I135" s="35" t="n">
        <f aca="false">IF(OR($F135="",$G135="",$G135&gt;36),"",ROUND($F135/(1.0278-0.0278*$G135),1))</f>
        <v>127.5</v>
      </c>
      <c r="J135" s="30" t="n">
        <f aca="false">IF($E135="Direto (1RM real)",$F135,IF(OR($H135="",$I135=""),"",ROUND(AVERAGE($H135,$I135),1)))</f>
        <v>127.5</v>
      </c>
      <c r="K135" s="35" t="n">
        <f aca="false">IF($C135="","",IFERROR(INDEX(Cadastro!$P$8:$P$47,MATCH($C135,Cadastro!$B$8:$B$47,0)),""))</f>
        <v>88.9</v>
      </c>
      <c r="L135" s="36" t="n">
        <f aca="false">IFERROR($J135/$K135,"")</f>
        <v>1.43419572553431</v>
      </c>
      <c r="M135" s="45"/>
      <c r="N135" s="27" t="s">
        <v>373</v>
      </c>
    </row>
    <row r="136" customFormat="false" ht="15" hidden="false" customHeight="false" outlineLevel="0" collapsed="false">
      <c r="A136" s="29" t="n">
        <v>46228</v>
      </c>
      <c r="B136" s="33" t="n">
        <f aca="false">IF($A136="",0,INT(($A136-Macrociclo!$C$11)/7)+1)</f>
        <v>29</v>
      </c>
      <c r="C136" s="27" t="s">
        <v>206</v>
      </c>
      <c r="D136" s="27" t="s">
        <v>701</v>
      </c>
      <c r="E136" s="27" t="s">
        <v>1205</v>
      </c>
      <c r="F136" s="32" t="n">
        <v>135</v>
      </c>
      <c r="G136" s="28" t="n">
        <v>1</v>
      </c>
      <c r="H136" s="35" t="n">
        <f aca="false">IF(OR($F136="",$G136=""),"",ROUND($F136*(1+$G136/30),1))</f>
        <v>139.5</v>
      </c>
      <c r="I136" s="35" t="n">
        <f aca="false">IF(OR($F136="",$G136="",$G136&gt;36),"",ROUND($F136/(1.0278-0.0278*$G136),1))</f>
        <v>135</v>
      </c>
      <c r="J136" s="30" t="n">
        <f aca="false">IF($E136="Direto (1RM real)",$F136,IF(OR($H136="",$I136=""),"",ROUND(AVERAGE($H136,$I136),1)))</f>
        <v>135</v>
      </c>
      <c r="K136" s="35" t="n">
        <f aca="false">IF($C136="","",IFERROR(INDEX(Cadastro!$P$8:$P$47,MATCH($C136,Cadastro!$B$8:$B$47,0)),""))</f>
        <v>88.9</v>
      </c>
      <c r="L136" s="36" t="n">
        <f aca="false">IFERROR($J136/$K136,"")</f>
        <v>1.5185601799775</v>
      </c>
      <c r="M136" s="45"/>
      <c r="N136" s="27" t="s">
        <v>373</v>
      </c>
    </row>
    <row r="137" customFormat="false" ht="15" hidden="false" customHeight="false" outlineLevel="0" collapsed="false">
      <c r="A137" s="29" t="n">
        <v>46228</v>
      </c>
      <c r="B137" s="33" t="n">
        <f aca="false">IF($A137="",0,INT(($A137-Macrociclo!$C$11)/7)+1)</f>
        <v>29</v>
      </c>
      <c r="C137" s="27" t="s">
        <v>206</v>
      </c>
      <c r="D137" s="27" t="s">
        <v>758</v>
      </c>
      <c r="E137" s="27" t="s">
        <v>1205</v>
      </c>
      <c r="F137" s="32" t="n">
        <v>200</v>
      </c>
      <c r="G137" s="28" t="n">
        <v>1</v>
      </c>
      <c r="H137" s="35" t="n">
        <f aca="false">IF(OR($F137="",$G137=""),"",ROUND($F137*(1+$G137/30),1))</f>
        <v>206.7</v>
      </c>
      <c r="I137" s="35" t="n">
        <f aca="false">IF(OR($F137="",$G137="",$G137&gt;36),"",ROUND($F137/(1.0278-0.0278*$G137),1))</f>
        <v>200</v>
      </c>
      <c r="J137" s="30" t="n">
        <f aca="false">IF($E137="Direto (1RM real)",$F137,IF(OR($H137="",$I137=""),"",ROUND(AVERAGE($H137,$I137),1)))</f>
        <v>200</v>
      </c>
      <c r="K137" s="35" t="n">
        <f aca="false">IF($C137="","",IFERROR(INDEX(Cadastro!$P$8:$P$47,MATCH($C137,Cadastro!$B$8:$B$47,0)),""))</f>
        <v>88.9</v>
      </c>
      <c r="L137" s="36" t="n">
        <f aca="false">IFERROR($J137/$K137,"")</f>
        <v>2.24971878515186</v>
      </c>
      <c r="M137" s="45"/>
      <c r="N137" s="27" t="s">
        <v>373</v>
      </c>
    </row>
    <row r="138" customFormat="false" ht="15" hidden="false" customHeight="false" outlineLevel="0" collapsed="false">
      <c r="A138" s="29" t="n">
        <v>46228</v>
      </c>
      <c r="B138" s="33" t="n">
        <f aca="false">IF($A138="",0,INT(($A138-Macrociclo!$C$11)/7)+1)</f>
        <v>29</v>
      </c>
      <c r="C138" s="27" t="s">
        <v>206</v>
      </c>
      <c r="D138" s="27" t="s">
        <v>648</v>
      </c>
      <c r="E138" s="27" t="s">
        <v>1205</v>
      </c>
      <c r="F138" s="32" t="n">
        <v>97.5</v>
      </c>
      <c r="G138" s="28" t="n">
        <v>1</v>
      </c>
      <c r="H138" s="35" t="n">
        <f aca="false">IF(OR($F138="",$G138=""),"",ROUND($F138*(1+$G138/30),1))</f>
        <v>100.8</v>
      </c>
      <c r="I138" s="35" t="n">
        <f aca="false">IF(OR($F138="",$G138="",$G138&gt;36),"",ROUND($F138/(1.0278-0.0278*$G138),1))</f>
        <v>97.5</v>
      </c>
      <c r="J138" s="30" t="n">
        <f aca="false">IF($E138="Direto (1RM real)",$F138,IF(OR($H138="",$I138=""),"",ROUND(AVERAGE($H138,$I138),1)))</f>
        <v>97.5</v>
      </c>
      <c r="K138" s="35" t="n">
        <f aca="false">IF($C138="","",IFERROR(INDEX(Cadastro!$P$8:$P$47,MATCH($C138,Cadastro!$B$8:$B$47,0)),""))</f>
        <v>88.9</v>
      </c>
      <c r="L138" s="36" t="n">
        <f aca="false">IFERROR($J138/$K138,"")</f>
        <v>1.09673790776153</v>
      </c>
      <c r="M138" s="45"/>
      <c r="N138" s="27" t="s">
        <v>373</v>
      </c>
    </row>
    <row r="139" customFormat="false" ht="15" hidden="false" customHeight="false" outlineLevel="0" collapsed="false">
      <c r="A139" s="29" t="n">
        <v>46228</v>
      </c>
      <c r="B139" s="33" t="n">
        <f aca="false">IF($A139="",0,INT(($A139-Macrociclo!$C$11)/7)+1)</f>
        <v>29</v>
      </c>
      <c r="C139" s="27" t="s">
        <v>206</v>
      </c>
      <c r="D139" s="27" t="s">
        <v>644</v>
      </c>
      <c r="E139" s="27" t="s">
        <v>1205</v>
      </c>
      <c r="F139" s="32" t="n">
        <v>77.5</v>
      </c>
      <c r="G139" s="28" t="n">
        <v>1</v>
      </c>
      <c r="H139" s="35" t="n">
        <f aca="false">IF(OR($F139="",$G139=""),"",ROUND($F139*(1+$G139/30),1))</f>
        <v>80.1</v>
      </c>
      <c r="I139" s="35" t="n">
        <f aca="false">IF(OR($F139="",$G139="",$G139&gt;36),"",ROUND($F139/(1.0278-0.0278*$G139),1))</f>
        <v>77.5</v>
      </c>
      <c r="J139" s="30" t="n">
        <f aca="false">IF($E139="Direto (1RM real)",$F139,IF(OR($H139="",$I139=""),"",ROUND(AVERAGE($H139,$I139),1)))</f>
        <v>77.5</v>
      </c>
      <c r="K139" s="35" t="n">
        <f aca="false">IF($C139="","",IFERROR(INDEX(Cadastro!$P$8:$P$47,MATCH($C139,Cadastro!$B$8:$B$47,0)),""))</f>
        <v>88.9</v>
      </c>
      <c r="L139" s="36" t="n">
        <f aca="false">IFERROR($J139/$K139,"")</f>
        <v>0.871766029246344</v>
      </c>
      <c r="M139" s="45"/>
      <c r="N139" s="27" t="s">
        <v>373</v>
      </c>
    </row>
    <row r="140" customFormat="false" ht="15" hidden="false" customHeight="false" outlineLevel="0" collapsed="false">
      <c r="A140" s="29" t="n">
        <v>46228</v>
      </c>
      <c r="B140" s="33" t="n">
        <f aca="false">IF($A140="",0,INT(($A140-Macrociclo!$C$11)/7)+1)</f>
        <v>29</v>
      </c>
      <c r="C140" s="27" t="s">
        <v>206</v>
      </c>
      <c r="D140" s="27" t="s">
        <v>660</v>
      </c>
      <c r="E140" s="27" t="s">
        <v>1205</v>
      </c>
      <c r="F140" s="32" t="n">
        <v>55</v>
      </c>
      <c r="G140" s="28" t="n">
        <v>1</v>
      </c>
      <c r="H140" s="35" t="n">
        <f aca="false">IF(OR($F140="",$G140=""),"",ROUND($F140*(1+$G140/30),1))</f>
        <v>56.8</v>
      </c>
      <c r="I140" s="35" t="n">
        <f aca="false">IF(OR($F140="",$G140="",$G140&gt;36),"",ROUND($F140/(1.0278-0.0278*$G140),1))</f>
        <v>55</v>
      </c>
      <c r="J140" s="30" t="n">
        <f aca="false">IF($E140="Direto (1RM real)",$F140,IF(OR($H140="",$I140=""),"",ROUND(AVERAGE($H140,$I140),1)))</f>
        <v>55</v>
      </c>
      <c r="K140" s="35" t="n">
        <f aca="false">IF($C140="","",IFERROR(INDEX(Cadastro!$P$8:$P$47,MATCH($C140,Cadastro!$B$8:$B$47,0)),""))</f>
        <v>88.9</v>
      </c>
      <c r="L140" s="36" t="n">
        <f aca="false">IFERROR($J140/$K140,"")</f>
        <v>0.61867266591676</v>
      </c>
      <c r="M140" s="45"/>
      <c r="N140" s="27" t="s">
        <v>373</v>
      </c>
    </row>
    <row r="141" customFormat="false" ht="15" hidden="false" customHeight="false" outlineLevel="0" collapsed="false">
      <c r="A141" s="29" t="n">
        <v>46228</v>
      </c>
      <c r="B141" s="33" t="n">
        <f aca="false">IF($A141="",0,INT(($A141-Macrociclo!$C$11)/7)+1)</f>
        <v>29</v>
      </c>
      <c r="C141" s="27" t="s">
        <v>206</v>
      </c>
      <c r="D141" s="27" t="s">
        <v>953</v>
      </c>
      <c r="E141" s="27" t="s">
        <v>1205</v>
      </c>
      <c r="F141" s="32" t="n">
        <v>105</v>
      </c>
      <c r="G141" s="28" t="n">
        <v>1</v>
      </c>
      <c r="H141" s="35" t="n">
        <f aca="false">IF(OR($F141="",$G141=""),"",ROUND($F141*(1+$G141/30),1))</f>
        <v>108.5</v>
      </c>
      <c r="I141" s="35" t="n">
        <f aca="false">IF(OR($F141="",$G141="",$G141&gt;36),"",ROUND($F141/(1.0278-0.0278*$G141),1))</f>
        <v>105</v>
      </c>
      <c r="J141" s="30" t="n">
        <f aca="false">IF($E141="Direto (1RM real)",$F141,IF(OR($H141="",$I141=""),"",ROUND(AVERAGE($H141,$I141),1)))</f>
        <v>105</v>
      </c>
      <c r="K141" s="35" t="n">
        <f aca="false">IF($C141="","",IFERROR(INDEX(Cadastro!$P$8:$P$47,MATCH($C141,Cadastro!$B$8:$B$47,0)),""))</f>
        <v>88.9</v>
      </c>
      <c r="L141" s="36" t="n">
        <f aca="false">IFERROR($J141/$K141,"")</f>
        <v>1.18110236220472</v>
      </c>
      <c r="M141" s="45"/>
      <c r="N141" s="27" t="s">
        <v>373</v>
      </c>
    </row>
    <row r="142" customFormat="false" ht="15" hidden="false" customHeight="false" outlineLevel="0" collapsed="false">
      <c r="A142" s="29" t="n">
        <v>46228</v>
      </c>
      <c r="B142" s="33" t="n">
        <f aca="false">IF($A142="",0,INT(($A142-Macrociclo!$C$11)/7)+1)</f>
        <v>29</v>
      </c>
      <c r="C142" s="27" t="s">
        <v>206</v>
      </c>
      <c r="D142" s="27" t="s">
        <v>620</v>
      </c>
      <c r="E142" s="27" t="s">
        <v>1205</v>
      </c>
      <c r="F142" s="32" t="n">
        <v>115</v>
      </c>
      <c r="G142" s="28" t="n">
        <v>1</v>
      </c>
      <c r="H142" s="35" t="n">
        <f aca="false">IF(OR($F142="",$G142=""),"",ROUND($F142*(1+$G142/30),1))</f>
        <v>118.8</v>
      </c>
      <c r="I142" s="35" t="n">
        <f aca="false">IF(OR($F142="",$G142="",$G142&gt;36),"",ROUND($F142/(1.0278-0.0278*$G142),1))</f>
        <v>115</v>
      </c>
      <c r="J142" s="30" t="n">
        <f aca="false">IF($E142="Direto (1RM real)",$F142,IF(OR($H142="",$I142=""),"",ROUND(AVERAGE($H142,$I142),1)))</f>
        <v>115</v>
      </c>
      <c r="K142" s="35" t="n">
        <f aca="false">IF($C142="","",IFERROR(INDEX(Cadastro!$P$8:$P$47,MATCH($C142,Cadastro!$B$8:$B$47,0)),""))</f>
        <v>88.9</v>
      </c>
      <c r="L142" s="36" t="n">
        <f aca="false">IFERROR($J142/$K142,"")</f>
        <v>1.29358830146232</v>
      </c>
      <c r="M142" s="45"/>
      <c r="N142" s="27" t="s">
        <v>373</v>
      </c>
    </row>
    <row r="143" customFormat="false" ht="15" hidden="false" customHeight="false" outlineLevel="0" collapsed="false">
      <c r="A143" s="29" t="n">
        <v>46228</v>
      </c>
      <c r="B143" s="33" t="n">
        <f aca="false">IF($A143="",0,INT(($A143-Macrociclo!$C$11)/7)+1)</f>
        <v>29</v>
      </c>
      <c r="C143" s="27" t="s">
        <v>215</v>
      </c>
      <c r="D143" s="27" t="s">
        <v>688</v>
      </c>
      <c r="E143" s="27" t="s">
        <v>1205</v>
      </c>
      <c r="F143" s="32" t="n">
        <v>160</v>
      </c>
      <c r="G143" s="28" t="n">
        <v>1</v>
      </c>
      <c r="H143" s="35" t="n">
        <f aca="false">IF(OR($F143="",$G143=""),"",ROUND($F143*(1+$G143/30),1))</f>
        <v>165.3</v>
      </c>
      <c r="I143" s="35" t="n">
        <f aca="false">IF(OR($F143="",$G143="",$G143&gt;36),"",ROUND($F143/(1.0278-0.0278*$G143),1))</f>
        <v>160</v>
      </c>
      <c r="J143" s="30" t="n">
        <f aca="false">IF($E143="Direto (1RM real)",$F143,IF(OR($H143="",$I143=""),"",ROUND(AVERAGE($H143,$I143),1)))</f>
        <v>160</v>
      </c>
      <c r="K143" s="35" t="n">
        <f aca="false">IF($C143="","",IFERROR(INDEX(Cadastro!$P$8:$P$47,MATCH($C143,Cadastro!$B$8:$B$47,0)),""))</f>
        <v>87.7</v>
      </c>
      <c r="L143" s="36" t="n">
        <f aca="false">IFERROR($J143/$K143,"")</f>
        <v>1.82440136830103</v>
      </c>
      <c r="M143" s="45"/>
      <c r="N143" s="27" t="s">
        <v>373</v>
      </c>
    </row>
    <row r="144" customFormat="false" ht="15" hidden="false" customHeight="false" outlineLevel="0" collapsed="false">
      <c r="A144" s="29" t="n">
        <v>46228</v>
      </c>
      <c r="B144" s="33" t="n">
        <f aca="false">IF($A144="",0,INT(($A144-Macrociclo!$C$11)/7)+1)</f>
        <v>29</v>
      </c>
      <c r="C144" s="27" t="s">
        <v>215</v>
      </c>
      <c r="D144" s="27" t="s">
        <v>695</v>
      </c>
      <c r="E144" s="27" t="s">
        <v>1205</v>
      </c>
      <c r="F144" s="32" t="n">
        <v>127.5</v>
      </c>
      <c r="G144" s="28" t="n">
        <v>1</v>
      </c>
      <c r="H144" s="35" t="n">
        <f aca="false">IF(OR($F144="",$G144=""),"",ROUND($F144*(1+$G144/30),1))</f>
        <v>131.8</v>
      </c>
      <c r="I144" s="35" t="n">
        <f aca="false">IF(OR($F144="",$G144="",$G144&gt;36),"",ROUND($F144/(1.0278-0.0278*$G144),1))</f>
        <v>127.5</v>
      </c>
      <c r="J144" s="30" t="n">
        <f aca="false">IF($E144="Direto (1RM real)",$F144,IF(OR($H144="",$I144=""),"",ROUND(AVERAGE($H144,$I144),1)))</f>
        <v>127.5</v>
      </c>
      <c r="K144" s="35" t="n">
        <f aca="false">IF($C144="","",IFERROR(INDEX(Cadastro!$P$8:$P$47,MATCH($C144,Cadastro!$B$8:$B$47,0)),""))</f>
        <v>87.7</v>
      </c>
      <c r="L144" s="36" t="n">
        <f aca="false">IFERROR($J144/$K144,"")</f>
        <v>1.45381984036488</v>
      </c>
      <c r="M144" s="45"/>
      <c r="N144" s="27" t="s">
        <v>373</v>
      </c>
    </row>
    <row r="145" customFormat="false" ht="15" hidden="false" customHeight="false" outlineLevel="0" collapsed="false">
      <c r="A145" s="29" t="n">
        <v>46228</v>
      </c>
      <c r="B145" s="33" t="n">
        <f aca="false">IF($A145="",0,INT(($A145-Macrociclo!$C$11)/7)+1)</f>
        <v>29</v>
      </c>
      <c r="C145" s="27" t="s">
        <v>215</v>
      </c>
      <c r="D145" s="27" t="s">
        <v>701</v>
      </c>
      <c r="E145" s="27" t="s">
        <v>1205</v>
      </c>
      <c r="F145" s="32" t="n">
        <v>125</v>
      </c>
      <c r="G145" s="28" t="n">
        <v>1</v>
      </c>
      <c r="H145" s="35" t="n">
        <f aca="false">IF(OR($F145="",$G145=""),"",ROUND($F145*(1+$G145/30),1))</f>
        <v>129.2</v>
      </c>
      <c r="I145" s="35" t="n">
        <f aca="false">IF(OR($F145="",$G145="",$G145&gt;36),"",ROUND($F145/(1.0278-0.0278*$G145),1))</f>
        <v>125</v>
      </c>
      <c r="J145" s="30" t="n">
        <f aca="false">IF($E145="Direto (1RM real)",$F145,IF(OR($H145="",$I145=""),"",ROUND(AVERAGE($H145,$I145),1)))</f>
        <v>125</v>
      </c>
      <c r="K145" s="35" t="n">
        <f aca="false">IF($C145="","",IFERROR(INDEX(Cadastro!$P$8:$P$47,MATCH($C145,Cadastro!$B$8:$B$47,0)),""))</f>
        <v>87.7</v>
      </c>
      <c r="L145" s="36" t="n">
        <f aca="false">IFERROR($J145/$K145,"")</f>
        <v>1.42531356898518</v>
      </c>
      <c r="M145" s="45"/>
      <c r="N145" s="27" t="s">
        <v>373</v>
      </c>
    </row>
    <row r="146" customFormat="false" ht="15" hidden="false" customHeight="false" outlineLevel="0" collapsed="false">
      <c r="A146" s="29" t="n">
        <v>46228</v>
      </c>
      <c r="B146" s="33" t="n">
        <f aca="false">IF($A146="",0,INT(($A146-Macrociclo!$C$11)/7)+1)</f>
        <v>29</v>
      </c>
      <c r="C146" s="27" t="s">
        <v>215</v>
      </c>
      <c r="D146" s="27" t="s">
        <v>758</v>
      </c>
      <c r="E146" s="27" t="s">
        <v>1205</v>
      </c>
      <c r="F146" s="32" t="n">
        <v>175</v>
      </c>
      <c r="G146" s="28" t="n">
        <v>1</v>
      </c>
      <c r="H146" s="35" t="n">
        <f aca="false">IF(OR($F146="",$G146=""),"",ROUND($F146*(1+$G146/30),1))</f>
        <v>180.8</v>
      </c>
      <c r="I146" s="35" t="n">
        <f aca="false">IF(OR($F146="",$G146="",$G146&gt;36),"",ROUND($F146/(1.0278-0.0278*$G146),1))</f>
        <v>175</v>
      </c>
      <c r="J146" s="30" t="n">
        <f aca="false">IF($E146="Direto (1RM real)",$F146,IF(OR($H146="",$I146=""),"",ROUND(AVERAGE($H146,$I146),1)))</f>
        <v>175</v>
      </c>
      <c r="K146" s="35" t="n">
        <f aca="false">IF($C146="","",IFERROR(INDEX(Cadastro!$P$8:$P$47,MATCH($C146,Cadastro!$B$8:$B$47,0)),""))</f>
        <v>87.7</v>
      </c>
      <c r="L146" s="36" t="n">
        <f aca="false">IFERROR($J146/$K146,"")</f>
        <v>1.99543899657925</v>
      </c>
      <c r="M146" s="45"/>
      <c r="N146" s="27" t="s">
        <v>373</v>
      </c>
    </row>
    <row r="147" customFormat="false" ht="15" hidden="false" customHeight="false" outlineLevel="0" collapsed="false">
      <c r="A147" s="29" t="n">
        <v>46228</v>
      </c>
      <c r="B147" s="33" t="n">
        <f aca="false">IF($A147="",0,INT(($A147-Macrociclo!$C$11)/7)+1)</f>
        <v>29</v>
      </c>
      <c r="C147" s="27" t="s">
        <v>215</v>
      </c>
      <c r="D147" s="27" t="s">
        <v>648</v>
      </c>
      <c r="E147" s="27" t="s">
        <v>1205</v>
      </c>
      <c r="F147" s="32" t="n">
        <v>92.5</v>
      </c>
      <c r="G147" s="28" t="n">
        <v>1</v>
      </c>
      <c r="H147" s="35" t="n">
        <f aca="false">IF(OR($F147="",$G147=""),"",ROUND($F147*(1+$G147/30),1))</f>
        <v>95.6</v>
      </c>
      <c r="I147" s="35" t="n">
        <f aca="false">IF(OR($F147="",$G147="",$G147&gt;36),"",ROUND($F147/(1.0278-0.0278*$G147),1))</f>
        <v>92.5</v>
      </c>
      <c r="J147" s="30" t="n">
        <f aca="false">IF($E147="Direto (1RM real)",$F147,IF(OR($H147="",$I147=""),"",ROUND(AVERAGE($H147,$I147),1)))</f>
        <v>92.5</v>
      </c>
      <c r="K147" s="35" t="n">
        <f aca="false">IF($C147="","",IFERROR(INDEX(Cadastro!$P$8:$P$47,MATCH($C147,Cadastro!$B$8:$B$47,0)),""))</f>
        <v>87.7</v>
      </c>
      <c r="L147" s="36" t="n">
        <f aca="false">IFERROR($J147/$K147,"")</f>
        <v>1.05473204104903</v>
      </c>
      <c r="M147" s="45"/>
      <c r="N147" s="27" t="s">
        <v>373</v>
      </c>
    </row>
    <row r="148" customFormat="false" ht="15" hidden="false" customHeight="false" outlineLevel="0" collapsed="false">
      <c r="A148" s="29" t="n">
        <v>46228</v>
      </c>
      <c r="B148" s="33" t="n">
        <f aca="false">IF($A148="",0,INT(($A148-Macrociclo!$C$11)/7)+1)</f>
        <v>29</v>
      </c>
      <c r="C148" s="27" t="s">
        <v>215</v>
      </c>
      <c r="D148" s="27" t="s">
        <v>644</v>
      </c>
      <c r="E148" s="27" t="s">
        <v>1205</v>
      </c>
      <c r="F148" s="32" t="n">
        <v>75</v>
      </c>
      <c r="G148" s="28" t="n">
        <v>1</v>
      </c>
      <c r="H148" s="35" t="n">
        <f aca="false">IF(OR($F148="",$G148=""),"",ROUND($F148*(1+$G148/30),1))</f>
        <v>77.5</v>
      </c>
      <c r="I148" s="35" t="n">
        <f aca="false">IF(OR($F148="",$G148="",$G148&gt;36),"",ROUND($F148/(1.0278-0.0278*$G148),1))</f>
        <v>75</v>
      </c>
      <c r="J148" s="30" t="n">
        <f aca="false">IF($E148="Direto (1RM real)",$F148,IF(OR($H148="",$I148=""),"",ROUND(AVERAGE($H148,$I148),1)))</f>
        <v>75</v>
      </c>
      <c r="K148" s="35" t="n">
        <f aca="false">IF($C148="","",IFERROR(INDEX(Cadastro!$P$8:$P$47,MATCH($C148,Cadastro!$B$8:$B$47,0)),""))</f>
        <v>87.7</v>
      </c>
      <c r="L148" s="36" t="n">
        <f aca="false">IFERROR($J148/$K148,"")</f>
        <v>0.855188141391106</v>
      </c>
      <c r="M148" s="45"/>
      <c r="N148" s="27" t="s">
        <v>373</v>
      </c>
    </row>
    <row r="149" customFormat="false" ht="15" hidden="false" customHeight="false" outlineLevel="0" collapsed="false">
      <c r="A149" s="29" t="n">
        <v>46228</v>
      </c>
      <c r="B149" s="33" t="n">
        <f aca="false">IF($A149="",0,INT(($A149-Macrociclo!$C$11)/7)+1)</f>
        <v>29</v>
      </c>
      <c r="C149" s="27" t="s">
        <v>215</v>
      </c>
      <c r="D149" s="27" t="s">
        <v>660</v>
      </c>
      <c r="E149" s="27" t="s">
        <v>1205</v>
      </c>
      <c r="F149" s="32" t="n">
        <v>50</v>
      </c>
      <c r="G149" s="28" t="n">
        <v>1</v>
      </c>
      <c r="H149" s="35" t="n">
        <f aca="false">IF(OR($F149="",$G149=""),"",ROUND($F149*(1+$G149/30),1))</f>
        <v>51.7</v>
      </c>
      <c r="I149" s="35" t="n">
        <f aca="false">IF(OR($F149="",$G149="",$G149&gt;36),"",ROUND($F149/(1.0278-0.0278*$G149),1))</f>
        <v>50</v>
      </c>
      <c r="J149" s="30" t="n">
        <f aca="false">IF($E149="Direto (1RM real)",$F149,IF(OR($H149="",$I149=""),"",ROUND(AVERAGE($H149,$I149),1)))</f>
        <v>50</v>
      </c>
      <c r="K149" s="35" t="n">
        <f aca="false">IF($C149="","",IFERROR(INDEX(Cadastro!$P$8:$P$47,MATCH($C149,Cadastro!$B$8:$B$47,0)),""))</f>
        <v>87.7</v>
      </c>
      <c r="L149" s="36" t="n">
        <f aca="false">IFERROR($J149/$K149,"")</f>
        <v>0.570125427594071</v>
      </c>
      <c r="M149" s="45"/>
      <c r="N149" s="27" t="s">
        <v>373</v>
      </c>
    </row>
    <row r="150" customFormat="false" ht="15" hidden="false" customHeight="false" outlineLevel="0" collapsed="false">
      <c r="A150" s="29" t="n">
        <v>46228</v>
      </c>
      <c r="B150" s="33" t="n">
        <f aca="false">IF($A150="",0,INT(($A150-Macrociclo!$C$11)/7)+1)</f>
        <v>29</v>
      </c>
      <c r="C150" s="27" t="s">
        <v>215</v>
      </c>
      <c r="D150" s="27" t="s">
        <v>953</v>
      </c>
      <c r="E150" s="27" t="s">
        <v>1205</v>
      </c>
      <c r="F150" s="32" t="n">
        <v>95</v>
      </c>
      <c r="G150" s="28" t="n">
        <v>1</v>
      </c>
      <c r="H150" s="35" t="n">
        <f aca="false">IF(OR($F150="",$G150=""),"",ROUND($F150*(1+$G150/30),1))</f>
        <v>98.2</v>
      </c>
      <c r="I150" s="35" t="n">
        <f aca="false">IF(OR($F150="",$G150="",$G150&gt;36),"",ROUND($F150/(1.0278-0.0278*$G150),1))</f>
        <v>95</v>
      </c>
      <c r="J150" s="30" t="n">
        <f aca="false">IF($E150="Direto (1RM real)",$F150,IF(OR($H150="",$I150=""),"",ROUND(AVERAGE($H150,$I150),1)))</f>
        <v>95</v>
      </c>
      <c r="K150" s="35" t="n">
        <f aca="false">IF($C150="","",IFERROR(INDEX(Cadastro!$P$8:$P$47,MATCH($C150,Cadastro!$B$8:$B$47,0)),""))</f>
        <v>87.7</v>
      </c>
      <c r="L150" s="36" t="n">
        <f aca="false">IFERROR($J150/$K150,"")</f>
        <v>1.08323831242873</v>
      </c>
      <c r="M150" s="45"/>
      <c r="N150" s="27" t="s">
        <v>373</v>
      </c>
    </row>
    <row r="151" customFormat="false" ht="15" hidden="false" customHeight="false" outlineLevel="0" collapsed="false">
      <c r="A151" s="29" t="n">
        <v>46228</v>
      </c>
      <c r="B151" s="33" t="n">
        <f aca="false">IF($A151="",0,INT(($A151-Macrociclo!$C$11)/7)+1)</f>
        <v>29</v>
      </c>
      <c r="C151" s="27" t="s">
        <v>215</v>
      </c>
      <c r="D151" s="27" t="s">
        <v>620</v>
      </c>
      <c r="E151" s="27" t="s">
        <v>1205</v>
      </c>
      <c r="F151" s="32" t="n">
        <v>122.5</v>
      </c>
      <c r="G151" s="28" t="n">
        <v>1</v>
      </c>
      <c r="H151" s="35" t="n">
        <f aca="false">IF(OR($F151="",$G151=""),"",ROUND($F151*(1+$G151/30),1))</f>
        <v>126.6</v>
      </c>
      <c r="I151" s="35" t="n">
        <f aca="false">IF(OR($F151="",$G151="",$G151&gt;36),"",ROUND($F151/(1.0278-0.0278*$G151),1))</f>
        <v>122.5</v>
      </c>
      <c r="J151" s="30" t="n">
        <f aca="false">IF($E151="Direto (1RM real)",$F151,IF(OR($H151="",$I151=""),"",ROUND(AVERAGE($H151,$I151),1)))</f>
        <v>122.5</v>
      </c>
      <c r="K151" s="35" t="n">
        <f aca="false">IF($C151="","",IFERROR(INDEX(Cadastro!$P$8:$P$47,MATCH($C151,Cadastro!$B$8:$B$47,0)),""))</f>
        <v>87.7</v>
      </c>
      <c r="L151" s="36" t="n">
        <f aca="false">IFERROR($J151/$K151,"")</f>
        <v>1.39680729760547</v>
      </c>
      <c r="M151" s="45"/>
      <c r="N151" s="27" t="s">
        <v>373</v>
      </c>
    </row>
    <row r="152" customFormat="false" ht="15" hidden="false" customHeight="false" outlineLevel="0" collapsed="false">
      <c r="A152" s="29" t="n">
        <v>46228</v>
      </c>
      <c r="B152" s="33" t="n">
        <f aca="false">IF($A152="",0,INT(($A152-Macrociclo!$C$11)/7)+1)</f>
        <v>29</v>
      </c>
      <c r="C152" s="27" t="s">
        <v>226</v>
      </c>
      <c r="D152" s="27" t="s">
        <v>688</v>
      </c>
      <c r="E152" s="27" t="s">
        <v>1205</v>
      </c>
      <c r="F152" s="32" t="n">
        <v>180</v>
      </c>
      <c r="G152" s="28" t="n">
        <v>1</v>
      </c>
      <c r="H152" s="35" t="n">
        <f aca="false">IF(OR($F152="",$G152=""),"",ROUND($F152*(1+$G152/30),1))</f>
        <v>186</v>
      </c>
      <c r="I152" s="35" t="n">
        <f aca="false">IF(OR($F152="",$G152="",$G152&gt;36),"",ROUND($F152/(1.0278-0.0278*$G152),1))</f>
        <v>180</v>
      </c>
      <c r="J152" s="30" t="n">
        <f aca="false">IF($E152="Direto (1RM real)",$F152,IF(OR($H152="",$I152=""),"",ROUND(AVERAGE($H152,$I152),1)))</f>
        <v>180</v>
      </c>
      <c r="K152" s="35" t="n">
        <f aca="false">IF($C152="","",IFERROR(INDEX(Cadastro!$P$8:$P$47,MATCH($C152,Cadastro!$B$8:$B$47,0)),""))</f>
        <v>99.7</v>
      </c>
      <c r="L152" s="36" t="n">
        <f aca="false">IFERROR($J152/$K152,"")</f>
        <v>1.80541624874624</v>
      </c>
      <c r="M152" s="45"/>
      <c r="N152" s="27" t="s">
        <v>373</v>
      </c>
    </row>
    <row r="153" customFormat="false" ht="15" hidden="false" customHeight="false" outlineLevel="0" collapsed="false">
      <c r="A153" s="29" t="n">
        <v>46228</v>
      </c>
      <c r="B153" s="33" t="n">
        <f aca="false">IF($A153="",0,INT(($A153-Macrociclo!$C$11)/7)+1)</f>
        <v>29</v>
      </c>
      <c r="C153" s="27" t="s">
        <v>226</v>
      </c>
      <c r="D153" s="27" t="s">
        <v>695</v>
      </c>
      <c r="E153" s="27" t="s">
        <v>1205</v>
      </c>
      <c r="F153" s="32" t="n">
        <v>142.5</v>
      </c>
      <c r="G153" s="28" t="n">
        <v>1</v>
      </c>
      <c r="H153" s="35" t="n">
        <f aca="false">IF(OR($F153="",$G153=""),"",ROUND($F153*(1+$G153/30),1))</f>
        <v>147.3</v>
      </c>
      <c r="I153" s="35" t="n">
        <f aca="false">IF(OR($F153="",$G153="",$G153&gt;36),"",ROUND($F153/(1.0278-0.0278*$G153),1))</f>
        <v>142.5</v>
      </c>
      <c r="J153" s="30" t="n">
        <f aca="false">IF($E153="Direto (1RM real)",$F153,IF(OR($H153="",$I153=""),"",ROUND(AVERAGE($H153,$I153),1)))</f>
        <v>142.5</v>
      </c>
      <c r="K153" s="35" t="n">
        <f aca="false">IF($C153="","",IFERROR(INDEX(Cadastro!$P$8:$P$47,MATCH($C153,Cadastro!$B$8:$B$47,0)),""))</f>
        <v>99.7</v>
      </c>
      <c r="L153" s="36" t="n">
        <f aca="false">IFERROR($J153/$K153,"")</f>
        <v>1.42928786359077</v>
      </c>
      <c r="M153" s="45"/>
      <c r="N153" s="27" t="s">
        <v>373</v>
      </c>
    </row>
    <row r="154" customFormat="false" ht="15" hidden="false" customHeight="false" outlineLevel="0" collapsed="false">
      <c r="A154" s="29" t="n">
        <v>46228</v>
      </c>
      <c r="B154" s="33" t="n">
        <f aca="false">IF($A154="",0,INT(($A154-Macrociclo!$C$11)/7)+1)</f>
        <v>29</v>
      </c>
      <c r="C154" s="27" t="s">
        <v>226</v>
      </c>
      <c r="D154" s="27" t="s">
        <v>701</v>
      </c>
      <c r="E154" s="27" t="s">
        <v>1205</v>
      </c>
      <c r="F154" s="32" t="n">
        <v>155</v>
      </c>
      <c r="G154" s="28" t="n">
        <v>1</v>
      </c>
      <c r="H154" s="35" t="n">
        <f aca="false">IF(OR($F154="",$G154=""),"",ROUND($F154*(1+$G154/30),1))</f>
        <v>160.2</v>
      </c>
      <c r="I154" s="35" t="n">
        <f aca="false">IF(OR($F154="",$G154="",$G154&gt;36),"",ROUND($F154/(1.0278-0.0278*$G154),1))</f>
        <v>155</v>
      </c>
      <c r="J154" s="30" t="n">
        <f aca="false">IF($E154="Direto (1RM real)",$F154,IF(OR($H154="",$I154=""),"",ROUND(AVERAGE($H154,$I154),1)))</f>
        <v>155</v>
      </c>
      <c r="K154" s="35" t="n">
        <f aca="false">IF($C154="","",IFERROR(INDEX(Cadastro!$P$8:$P$47,MATCH($C154,Cadastro!$B$8:$B$47,0)),""))</f>
        <v>99.7</v>
      </c>
      <c r="L154" s="36" t="n">
        <f aca="false">IFERROR($J154/$K154,"")</f>
        <v>1.55466399197593</v>
      </c>
      <c r="M154" s="45"/>
      <c r="N154" s="27" t="s">
        <v>373</v>
      </c>
    </row>
    <row r="155" customFormat="false" ht="15" hidden="false" customHeight="false" outlineLevel="0" collapsed="false">
      <c r="A155" s="29" t="n">
        <v>46228</v>
      </c>
      <c r="B155" s="33" t="n">
        <f aca="false">IF($A155="",0,INT(($A155-Macrociclo!$C$11)/7)+1)</f>
        <v>29</v>
      </c>
      <c r="C155" s="27" t="s">
        <v>226</v>
      </c>
      <c r="D155" s="27" t="s">
        <v>758</v>
      </c>
      <c r="E155" s="27" t="s">
        <v>1205</v>
      </c>
      <c r="F155" s="32" t="n">
        <v>215</v>
      </c>
      <c r="G155" s="28" t="n">
        <v>1</v>
      </c>
      <c r="H155" s="35" t="n">
        <f aca="false">IF(OR($F155="",$G155=""),"",ROUND($F155*(1+$G155/30),1))</f>
        <v>222.2</v>
      </c>
      <c r="I155" s="35" t="n">
        <f aca="false">IF(OR($F155="",$G155="",$G155&gt;36),"",ROUND($F155/(1.0278-0.0278*$G155),1))</f>
        <v>215</v>
      </c>
      <c r="J155" s="30" t="n">
        <f aca="false">IF($E155="Direto (1RM real)",$F155,IF(OR($H155="",$I155=""),"",ROUND(AVERAGE($H155,$I155),1)))</f>
        <v>215</v>
      </c>
      <c r="K155" s="35" t="n">
        <f aca="false">IF($C155="","",IFERROR(INDEX(Cadastro!$P$8:$P$47,MATCH($C155,Cadastro!$B$8:$B$47,0)),""))</f>
        <v>99.7</v>
      </c>
      <c r="L155" s="36" t="n">
        <f aca="false">IFERROR($J155/$K155,"")</f>
        <v>2.15646940822467</v>
      </c>
      <c r="M155" s="45"/>
      <c r="N155" s="27" t="s">
        <v>373</v>
      </c>
    </row>
    <row r="156" customFormat="false" ht="15" hidden="false" customHeight="false" outlineLevel="0" collapsed="false">
      <c r="A156" s="29" t="n">
        <v>46228</v>
      </c>
      <c r="B156" s="33" t="n">
        <f aca="false">IF($A156="",0,INT(($A156-Macrociclo!$C$11)/7)+1)</f>
        <v>29</v>
      </c>
      <c r="C156" s="27" t="s">
        <v>226</v>
      </c>
      <c r="D156" s="27" t="s">
        <v>648</v>
      </c>
      <c r="E156" s="27" t="s">
        <v>1205</v>
      </c>
      <c r="F156" s="32" t="n">
        <v>107.5</v>
      </c>
      <c r="G156" s="28" t="n">
        <v>1</v>
      </c>
      <c r="H156" s="35" t="n">
        <f aca="false">IF(OR($F156="",$G156=""),"",ROUND($F156*(1+$G156/30),1))</f>
        <v>111.1</v>
      </c>
      <c r="I156" s="35" t="n">
        <f aca="false">IF(OR($F156="",$G156="",$G156&gt;36),"",ROUND($F156/(1.0278-0.0278*$G156),1))</f>
        <v>107.5</v>
      </c>
      <c r="J156" s="30" t="n">
        <f aca="false">IF($E156="Direto (1RM real)",$F156,IF(OR($H156="",$I156=""),"",ROUND(AVERAGE($H156,$I156),1)))</f>
        <v>107.5</v>
      </c>
      <c r="K156" s="35" t="n">
        <f aca="false">IF($C156="","",IFERROR(INDEX(Cadastro!$P$8:$P$47,MATCH($C156,Cadastro!$B$8:$B$47,0)),""))</f>
        <v>99.7</v>
      </c>
      <c r="L156" s="36" t="n">
        <f aca="false">IFERROR($J156/$K156,"")</f>
        <v>1.07823470411234</v>
      </c>
      <c r="M156" s="45"/>
      <c r="N156" s="27" t="s">
        <v>373</v>
      </c>
    </row>
    <row r="157" customFormat="false" ht="15" hidden="false" customHeight="false" outlineLevel="0" collapsed="false">
      <c r="A157" s="29" t="n">
        <v>46228</v>
      </c>
      <c r="B157" s="33" t="n">
        <f aca="false">IF($A157="",0,INT(($A157-Macrociclo!$C$11)/7)+1)</f>
        <v>29</v>
      </c>
      <c r="C157" s="27" t="s">
        <v>226</v>
      </c>
      <c r="D157" s="27" t="s">
        <v>644</v>
      </c>
      <c r="E157" s="27" t="s">
        <v>1205</v>
      </c>
      <c r="F157" s="32" t="n">
        <v>82.5</v>
      </c>
      <c r="G157" s="28" t="n">
        <v>1</v>
      </c>
      <c r="H157" s="35" t="n">
        <f aca="false">IF(OR($F157="",$G157=""),"",ROUND($F157*(1+$G157/30),1))</f>
        <v>85.3</v>
      </c>
      <c r="I157" s="35" t="n">
        <f aca="false">IF(OR($F157="",$G157="",$G157&gt;36),"",ROUND($F157/(1.0278-0.0278*$G157),1))</f>
        <v>82.5</v>
      </c>
      <c r="J157" s="30" t="n">
        <f aca="false">IF($E157="Direto (1RM real)",$F157,IF(OR($H157="",$I157=""),"",ROUND(AVERAGE($H157,$I157),1)))</f>
        <v>82.5</v>
      </c>
      <c r="K157" s="35" t="n">
        <f aca="false">IF($C157="","",IFERROR(INDEX(Cadastro!$P$8:$P$47,MATCH($C157,Cadastro!$B$8:$B$47,0)),""))</f>
        <v>99.7</v>
      </c>
      <c r="L157" s="36" t="n">
        <f aca="false">IFERROR($J157/$K157,"")</f>
        <v>0.827482447342026</v>
      </c>
      <c r="M157" s="45"/>
      <c r="N157" s="27" t="s">
        <v>373</v>
      </c>
    </row>
    <row r="158" customFormat="false" ht="15" hidden="false" customHeight="false" outlineLevel="0" collapsed="false">
      <c r="A158" s="29" t="n">
        <v>46228</v>
      </c>
      <c r="B158" s="33" t="n">
        <f aca="false">IF($A158="",0,INT(($A158-Macrociclo!$C$11)/7)+1)</f>
        <v>29</v>
      </c>
      <c r="C158" s="27" t="s">
        <v>226</v>
      </c>
      <c r="D158" s="27" t="s">
        <v>660</v>
      </c>
      <c r="E158" s="27" t="s">
        <v>1205</v>
      </c>
      <c r="F158" s="32" t="n">
        <v>55</v>
      </c>
      <c r="G158" s="28" t="n">
        <v>1</v>
      </c>
      <c r="H158" s="35" t="n">
        <f aca="false">IF(OR($F158="",$G158=""),"",ROUND($F158*(1+$G158/30),1))</f>
        <v>56.8</v>
      </c>
      <c r="I158" s="35" t="n">
        <f aca="false">IF(OR($F158="",$G158="",$G158&gt;36),"",ROUND($F158/(1.0278-0.0278*$G158),1))</f>
        <v>55</v>
      </c>
      <c r="J158" s="30" t="n">
        <f aca="false">IF($E158="Direto (1RM real)",$F158,IF(OR($H158="",$I158=""),"",ROUND(AVERAGE($H158,$I158),1)))</f>
        <v>55</v>
      </c>
      <c r="K158" s="35" t="n">
        <f aca="false">IF($C158="","",IFERROR(INDEX(Cadastro!$P$8:$P$47,MATCH($C158,Cadastro!$B$8:$B$47,0)),""))</f>
        <v>99.7</v>
      </c>
      <c r="L158" s="36" t="n">
        <f aca="false">IFERROR($J158/$K158,"")</f>
        <v>0.551654964894684</v>
      </c>
      <c r="M158" s="45"/>
      <c r="N158" s="27" t="s">
        <v>373</v>
      </c>
    </row>
    <row r="159" customFormat="false" ht="15" hidden="false" customHeight="false" outlineLevel="0" collapsed="false">
      <c r="A159" s="29" t="n">
        <v>46228</v>
      </c>
      <c r="B159" s="33" t="n">
        <f aca="false">IF($A159="",0,INT(($A159-Macrociclo!$C$11)/7)+1)</f>
        <v>29</v>
      </c>
      <c r="C159" s="27" t="s">
        <v>226</v>
      </c>
      <c r="D159" s="27" t="s">
        <v>953</v>
      </c>
      <c r="E159" s="27" t="s">
        <v>1205</v>
      </c>
      <c r="F159" s="32" t="n">
        <v>115</v>
      </c>
      <c r="G159" s="28" t="n">
        <v>1</v>
      </c>
      <c r="H159" s="35" t="n">
        <f aca="false">IF(OR($F159="",$G159=""),"",ROUND($F159*(1+$G159/30),1))</f>
        <v>118.8</v>
      </c>
      <c r="I159" s="35" t="n">
        <f aca="false">IF(OR($F159="",$G159="",$G159&gt;36),"",ROUND($F159/(1.0278-0.0278*$G159),1))</f>
        <v>115</v>
      </c>
      <c r="J159" s="30" t="n">
        <f aca="false">IF($E159="Direto (1RM real)",$F159,IF(OR($H159="",$I159=""),"",ROUND(AVERAGE($H159,$I159),1)))</f>
        <v>115</v>
      </c>
      <c r="K159" s="35" t="n">
        <f aca="false">IF($C159="","",IFERROR(INDEX(Cadastro!$P$8:$P$47,MATCH($C159,Cadastro!$B$8:$B$47,0)),""))</f>
        <v>99.7</v>
      </c>
      <c r="L159" s="36" t="n">
        <f aca="false">IFERROR($J159/$K159,"")</f>
        <v>1.15346038114343</v>
      </c>
      <c r="M159" s="45"/>
      <c r="N159" s="27" t="s">
        <v>373</v>
      </c>
    </row>
    <row r="160" customFormat="false" ht="15" hidden="false" customHeight="false" outlineLevel="0" collapsed="false">
      <c r="A160" s="29" t="n">
        <v>46228</v>
      </c>
      <c r="B160" s="33" t="n">
        <f aca="false">IF($A160="",0,INT(($A160-Macrociclo!$C$11)/7)+1)</f>
        <v>29</v>
      </c>
      <c r="C160" s="27" t="s">
        <v>226</v>
      </c>
      <c r="D160" s="27" t="s">
        <v>620</v>
      </c>
      <c r="E160" s="27" t="s">
        <v>1205</v>
      </c>
      <c r="F160" s="32" t="n">
        <v>135</v>
      </c>
      <c r="G160" s="28" t="n">
        <v>1</v>
      </c>
      <c r="H160" s="35" t="n">
        <f aca="false">IF(OR($F160="",$G160=""),"",ROUND($F160*(1+$G160/30),1))</f>
        <v>139.5</v>
      </c>
      <c r="I160" s="35" t="n">
        <f aca="false">IF(OR($F160="",$G160="",$G160&gt;36),"",ROUND($F160/(1.0278-0.0278*$G160),1))</f>
        <v>135</v>
      </c>
      <c r="J160" s="30" t="n">
        <f aca="false">IF($E160="Direto (1RM real)",$F160,IF(OR($H160="",$I160=""),"",ROUND(AVERAGE($H160,$I160),1)))</f>
        <v>135</v>
      </c>
      <c r="K160" s="35" t="n">
        <f aca="false">IF($C160="","",IFERROR(INDEX(Cadastro!$P$8:$P$47,MATCH($C160,Cadastro!$B$8:$B$47,0)),""))</f>
        <v>99.7</v>
      </c>
      <c r="L160" s="36" t="n">
        <f aca="false">IFERROR($J160/$K160,"")</f>
        <v>1.35406218655968</v>
      </c>
      <c r="M160" s="45"/>
      <c r="N160" s="27" t="s">
        <v>373</v>
      </c>
    </row>
    <row r="161" customFormat="false" ht="15" hidden="false" customHeight="false" outlineLevel="0" collapsed="false">
      <c r="A161" s="29" t="n">
        <v>46228</v>
      </c>
      <c r="B161" s="33" t="n">
        <f aca="false">IF($A161="",0,INT(($A161-Macrociclo!$C$11)/7)+1)</f>
        <v>29</v>
      </c>
      <c r="C161" s="27" t="s">
        <v>236</v>
      </c>
      <c r="D161" s="27" t="s">
        <v>688</v>
      </c>
      <c r="E161" s="27" t="s">
        <v>1205</v>
      </c>
      <c r="F161" s="32" t="n">
        <v>162.5</v>
      </c>
      <c r="G161" s="28" t="n">
        <v>1</v>
      </c>
      <c r="H161" s="35" t="n">
        <f aca="false">IF(OR($F161="",$G161=""),"",ROUND($F161*(1+$G161/30),1))</f>
        <v>167.9</v>
      </c>
      <c r="I161" s="35" t="n">
        <f aca="false">IF(OR($F161="",$G161="",$G161&gt;36),"",ROUND($F161/(1.0278-0.0278*$G161),1))</f>
        <v>162.5</v>
      </c>
      <c r="J161" s="30" t="n">
        <f aca="false">IF($E161="Direto (1RM real)",$F161,IF(OR($H161="",$I161=""),"",ROUND(AVERAGE($H161,$I161),1)))</f>
        <v>162.5</v>
      </c>
      <c r="K161" s="35" t="n">
        <f aca="false">IF($C161="","",IFERROR(INDEX(Cadastro!$P$8:$P$47,MATCH($C161,Cadastro!$B$8:$B$47,0)),""))</f>
        <v>94.9</v>
      </c>
      <c r="L161" s="36" t="n">
        <f aca="false">IFERROR($J161/$K161,"")</f>
        <v>1.71232876712329</v>
      </c>
      <c r="M161" s="45"/>
      <c r="N161" s="27" t="s">
        <v>373</v>
      </c>
    </row>
    <row r="162" customFormat="false" ht="15" hidden="false" customHeight="false" outlineLevel="0" collapsed="false">
      <c r="A162" s="29" t="n">
        <v>46228</v>
      </c>
      <c r="B162" s="33" t="n">
        <f aca="false">IF($A162="",0,INT(($A162-Macrociclo!$C$11)/7)+1)</f>
        <v>29</v>
      </c>
      <c r="C162" s="27" t="s">
        <v>236</v>
      </c>
      <c r="D162" s="27" t="s">
        <v>695</v>
      </c>
      <c r="E162" s="27" t="s">
        <v>1205</v>
      </c>
      <c r="F162" s="32" t="n">
        <v>132.5</v>
      </c>
      <c r="G162" s="28" t="n">
        <v>1</v>
      </c>
      <c r="H162" s="35" t="n">
        <f aca="false">IF(OR($F162="",$G162=""),"",ROUND($F162*(1+$G162/30),1))</f>
        <v>136.9</v>
      </c>
      <c r="I162" s="35" t="n">
        <f aca="false">IF(OR($F162="",$G162="",$G162&gt;36),"",ROUND($F162/(1.0278-0.0278*$G162),1))</f>
        <v>132.5</v>
      </c>
      <c r="J162" s="30" t="n">
        <f aca="false">IF($E162="Direto (1RM real)",$F162,IF(OR($H162="",$I162=""),"",ROUND(AVERAGE($H162,$I162),1)))</f>
        <v>132.5</v>
      </c>
      <c r="K162" s="35" t="n">
        <f aca="false">IF($C162="","",IFERROR(INDEX(Cadastro!$P$8:$P$47,MATCH($C162,Cadastro!$B$8:$B$47,0)),""))</f>
        <v>94.9</v>
      </c>
      <c r="L162" s="36" t="n">
        <f aca="false">IFERROR($J162/$K162,"")</f>
        <v>1.39620653319283</v>
      </c>
      <c r="M162" s="45"/>
      <c r="N162" s="27" t="s">
        <v>373</v>
      </c>
    </row>
    <row r="163" customFormat="false" ht="15" hidden="false" customHeight="false" outlineLevel="0" collapsed="false">
      <c r="A163" s="29" t="n">
        <v>46228</v>
      </c>
      <c r="B163" s="33" t="n">
        <f aca="false">IF($A163="",0,INT(($A163-Macrociclo!$C$11)/7)+1)</f>
        <v>29</v>
      </c>
      <c r="C163" s="27" t="s">
        <v>236</v>
      </c>
      <c r="D163" s="27" t="s">
        <v>701</v>
      </c>
      <c r="E163" s="27" t="s">
        <v>1205</v>
      </c>
      <c r="F163" s="32" t="n">
        <v>135</v>
      </c>
      <c r="G163" s="28" t="n">
        <v>1</v>
      </c>
      <c r="H163" s="35" t="n">
        <f aca="false">IF(OR($F163="",$G163=""),"",ROUND($F163*(1+$G163/30),1))</f>
        <v>139.5</v>
      </c>
      <c r="I163" s="35" t="n">
        <f aca="false">IF(OR($F163="",$G163="",$G163&gt;36),"",ROUND($F163/(1.0278-0.0278*$G163),1))</f>
        <v>135</v>
      </c>
      <c r="J163" s="30" t="n">
        <f aca="false">IF($E163="Direto (1RM real)",$F163,IF(OR($H163="",$I163=""),"",ROUND(AVERAGE($H163,$I163),1)))</f>
        <v>135</v>
      </c>
      <c r="K163" s="35" t="n">
        <f aca="false">IF($C163="","",IFERROR(INDEX(Cadastro!$P$8:$P$47,MATCH($C163,Cadastro!$B$8:$B$47,0)),""))</f>
        <v>94.9</v>
      </c>
      <c r="L163" s="36" t="n">
        <f aca="false">IFERROR($J163/$K163,"")</f>
        <v>1.42255005268704</v>
      </c>
      <c r="M163" s="45"/>
      <c r="N163" s="27" t="s">
        <v>373</v>
      </c>
    </row>
    <row r="164" customFormat="false" ht="15" hidden="false" customHeight="false" outlineLevel="0" collapsed="false">
      <c r="A164" s="29" t="n">
        <v>46228</v>
      </c>
      <c r="B164" s="33" t="n">
        <f aca="false">IF($A164="",0,INT(($A164-Macrociclo!$C$11)/7)+1)</f>
        <v>29</v>
      </c>
      <c r="C164" s="27" t="s">
        <v>236</v>
      </c>
      <c r="D164" s="27" t="s">
        <v>758</v>
      </c>
      <c r="E164" s="27" t="s">
        <v>1205</v>
      </c>
      <c r="F164" s="32" t="n">
        <v>190</v>
      </c>
      <c r="G164" s="28" t="n">
        <v>1</v>
      </c>
      <c r="H164" s="35" t="n">
        <f aca="false">IF(OR($F164="",$G164=""),"",ROUND($F164*(1+$G164/30),1))</f>
        <v>196.3</v>
      </c>
      <c r="I164" s="35" t="n">
        <f aca="false">IF(OR($F164="",$G164="",$G164&gt;36),"",ROUND($F164/(1.0278-0.0278*$G164),1))</f>
        <v>190</v>
      </c>
      <c r="J164" s="30" t="n">
        <f aca="false">IF($E164="Direto (1RM real)",$F164,IF(OR($H164="",$I164=""),"",ROUND(AVERAGE($H164,$I164),1)))</f>
        <v>190</v>
      </c>
      <c r="K164" s="35" t="n">
        <f aca="false">IF($C164="","",IFERROR(INDEX(Cadastro!$P$8:$P$47,MATCH($C164,Cadastro!$B$8:$B$47,0)),""))</f>
        <v>94.9</v>
      </c>
      <c r="L164" s="36" t="n">
        <f aca="false">IFERROR($J164/$K164,"")</f>
        <v>2.00210748155954</v>
      </c>
      <c r="M164" s="45"/>
      <c r="N164" s="27" t="s">
        <v>373</v>
      </c>
    </row>
    <row r="165" customFormat="false" ht="15" hidden="false" customHeight="false" outlineLevel="0" collapsed="false">
      <c r="A165" s="29" t="n">
        <v>46228</v>
      </c>
      <c r="B165" s="33" t="n">
        <f aca="false">IF($A165="",0,INT(($A165-Macrociclo!$C$11)/7)+1)</f>
        <v>29</v>
      </c>
      <c r="C165" s="27" t="s">
        <v>236</v>
      </c>
      <c r="D165" s="27" t="s">
        <v>648</v>
      </c>
      <c r="E165" s="27" t="s">
        <v>1205</v>
      </c>
      <c r="F165" s="32" t="n">
        <v>107.5</v>
      </c>
      <c r="G165" s="28" t="n">
        <v>1</v>
      </c>
      <c r="H165" s="35" t="n">
        <f aca="false">IF(OR($F165="",$G165=""),"",ROUND($F165*(1+$G165/30),1))</f>
        <v>111.1</v>
      </c>
      <c r="I165" s="35" t="n">
        <f aca="false">IF(OR($F165="",$G165="",$G165&gt;36),"",ROUND($F165/(1.0278-0.0278*$G165),1))</f>
        <v>107.5</v>
      </c>
      <c r="J165" s="30" t="n">
        <f aca="false">IF($E165="Direto (1RM real)",$F165,IF(OR($H165="",$I165=""),"",ROUND(AVERAGE($H165,$I165),1)))</f>
        <v>107.5</v>
      </c>
      <c r="K165" s="35" t="n">
        <f aca="false">IF($C165="","",IFERROR(INDEX(Cadastro!$P$8:$P$47,MATCH($C165,Cadastro!$B$8:$B$47,0)),""))</f>
        <v>94.9</v>
      </c>
      <c r="L165" s="36" t="n">
        <f aca="false">IFERROR($J165/$K165,"")</f>
        <v>1.13277133825079</v>
      </c>
      <c r="M165" s="45"/>
      <c r="N165" s="27" t="s">
        <v>373</v>
      </c>
    </row>
    <row r="166" customFormat="false" ht="15" hidden="false" customHeight="false" outlineLevel="0" collapsed="false">
      <c r="A166" s="29" t="n">
        <v>46228</v>
      </c>
      <c r="B166" s="33" t="n">
        <f aca="false">IF($A166="",0,INT(($A166-Macrociclo!$C$11)/7)+1)</f>
        <v>29</v>
      </c>
      <c r="C166" s="27" t="s">
        <v>236</v>
      </c>
      <c r="D166" s="27" t="s">
        <v>644</v>
      </c>
      <c r="E166" s="27" t="s">
        <v>1205</v>
      </c>
      <c r="F166" s="32" t="n">
        <v>80</v>
      </c>
      <c r="G166" s="28" t="n">
        <v>1</v>
      </c>
      <c r="H166" s="35" t="n">
        <f aca="false">IF(OR($F166="",$G166=""),"",ROUND($F166*(1+$G166/30),1))</f>
        <v>82.7</v>
      </c>
      <c r="I166" s="35" t="n">
        <f aca="false">IF(OR($F166="",$G166="",$G166&gt;36),"",ROUND($F166/(1.0278-0.0278*$G166),1))</f>
        <v>80</v>
      </c>
      <c r="J166" s="30" t="n">
        <f aca="false">IF($E166="Direto (1RM real)",$F166,IF(OR($H166="",$I166=""),"",ROUND(AVERAGE($H166,$I166),1)))</f>
        <v>80</v>
      </c>
      <c r="K166" s="35" t="n">
        <f aca="false">IF($C166="","",IFERROR(INDEX(Cadastro!$P$8:$P$47,MATCH($C166,Cadastro!$B$8:$B$47,0)),""))</f>
        <v>94.9</v>
      </c>
      <c r="L166" s="36" t="n">
        <f aca="false">IFERROR($J166/$K166,"")</f>
        <v>0.842992623814542</v>
      </c>
      <c r="M166" s="45"/>
      <c r="N166" s="27" t="s">
        <v>373</v>
      </c>
    </row>
    <row r="167" customFormat="false" ht="15" hidden="false" customHeight="false" outlineLevel="0" collapsed="false">
      <c r="A167" s="29" t="n">
        <v>46228</v>
      </c>
      <c r="B167" s="33" t="n">
        <f aca="false">IF($A167="",0,INT(($A167-Macrociclo!$C$11)/7)+1)</f>
        <v>29</v>
      </c>
      <c r="C167" s="27" t="s">
        <v>236</v>
      </c>
      <c r="D167" s="27" t="s">
        <v>660</v>
      </c>
      <c r="E167" s="27" t="s">
        <v>1205</v>
      </c>
      <c r="F167" s="32" t="n">
        <v>55</v>
      </c>
      <c r="G167" s="28" t="n">
        <v>1</v>
      </c>
      <c r="H167" s="35" t="n">
        <f aca="false">IF(OR($F167="",$G167=""),"",ROUND($F167*(1+$G167/30),1))</f>
        <v>56.8</v>
      </c>
      <c r="I167" s="35" t="n">
        <f aca="false">IF(OR($F167="",$G167="",$G167&gt;36),"",ROUND($F167/(1.0278-0.0278*$G167),1))</f>
        <v>55</v>
      </c>
      <c r="J167" s="30" t="n">
        <f aca="false">IF($E167="Direto (1RM real)",$F167,IF(OR($H167="",$I167=""),"",ROUND(AVERAGE($H167,$I167),1)))</f>
        <v>55</v>
      </c>
      <c r="K167" s="35" t="n">
        <f aca="false">IF($C167="","",IFERROR(INDEX(Cadastro!$P$8:$P$47,MATCH($C167,Cadastro!$B$8:$B$47,0)),""))</f>
        <v>94.9</v>
      </c>
      <c r="L167" s="36" t="n">
        <f aca="false">IFERROR($J167/$K167,"")</f>
        <v>0.579557428872497</v>
      </c>
      <c r="M167" s="45"/>
      <c r="N167" s="27" t="s">
        <v>373</v>
      </c>
    </row>
    <row r="168" customFormat="false" ht="15" hidden="false" customHeight="false" outlineLevel="0" collapsed="false">
      <c r="A168" s="29" t="n">
        <v>46228</v>
      </c>
      <c r="B168" s="33" t="n">
        <f aca="false">IF($A168="",0,INT(($A168-Macrociclo!$C$11)/7)+1)</f>
        <v>29</v>
      </c>
      <c r="C168" s="27" t="s">
        <v>236</v>
      </c>
      <c r="D168" s="27" t="s">
        <v>953</v>
      </c>
      <c r="E168" s="27" t="s">
        <v>1205</v>
      </c>
      <c r="F168" s="32" t="n">
        <v>105</v>
      </c>
      <c r="G168" s="28" t="n">
        <v>1</v>
      </c>
      <c r="H168" s="35" t="n">
        <f aca="false">IF(OR($F168="",$G168=""),"",ROUND($F168*(1+$G168/30),1))</f>
        <v>108.5</v>
      </c>
      <c r="I168" s="35" t="n">
        <f aca="false">IF(OR($F168="",$G168="",$G168&gt;36),"",ROUND($F168/(1.0278-0.0278*$G168),1))</f>
        <v>105</v>
      </c>
      <c r="J168" s="30" t="n">
        <f aca="false">IF($E168="Direto (1RM real)",$F168,IF(OR($H168="",$I168=""),"",ROUND(AVERAGE($H168,$I168),1)))</f>
        <v>105</v>
      </c>
      <c r="K168" s="35" t="n">
        <f aca="false">IF($C168="","",IFERROR(INDEX(Cadastro!$P$8:$P$47,MATCH($C168,Cadastro!$B$8:$B$47,0)),""))</f>
        <v>94.9</v>
      </c>
      <c r="L168" s="36" t="n">
        <f aca="false">IFERROR($J168/$K168,"")</f>
        <v>1.10642781875659</v>
      </c>
      <c r="M168" s="45"/>
      <c r="N168" s="27" t="s">
        <v>373</v>
      </c>
    </row>
    <row r="169" customFormat="false" ht="15" hidden="false" customHeight="false" outlineLevel="0" collapsed="false">
      <c r="A169" s="29" t="n">
        <v>46228</v>
      </c>
      <c r="B169" s="33" t="n">
        <f aca="false">IF($A169="",0,INT(($A169-Macrociclo!$C$11)/7)+1)</f>
        <v>29</v>
      </c>
      <c r="C169" s="27" t="s">
        <v>236</v>
      </c>
      <c r="D169" s="27" t="s">
        <v>620</v>
      </c>
      <c r="E169" s="27" t="s">
        <v>1205</v>
      </c>
      <c r="F169" s="32" t="n">
        <v>122.5</v>
      </c>
      <c r="G169" s="28" t="n">
        <v>1</v>
      </c>
      <c r="H169" s="35" t="n">
        <f aca="false">IF(OR($F169="",$G169=""),"",ROUND($F169*(1+$G169/30),1))</f>
        <v>126.6</v>
      </c>
      <c r="I169" s="35" t="n">
        <f aca="false">IF(OR($F169="",$G169="",$G169&gt;36),"",ROUND($F169/(1.0278-0.0278*$G169),1))</f>
        <v>122.5</v>
      </c>
      <c r="J169" s="30" t="n">
        <f aca="false">IF($E169="Direto (1RM real)",$F169,IF(OR($H169="",$I169=""),"",ROUND(AVERAGE($H169,$I169),1)))</f>
        <v>122.5</v>
      </c>
      <c r="K169" s="35" t="n">
        <f aca="false">IF($C169="","",IFERROR(INDEX(Cadastro!$P$8:$P$47,MATCH($C169,Cadastro!$B$8:$B$47,0)),""))</f>
        <v>94.9</v>
      </c>
      <c r="L169" s="36" t="n">
        <f aca="false">IFERROR($J169/$K169,"")</f>
        <v>1.29083245521602</v>
      </c>
      <c r="M169" s="45"/>
      <c r="N169" s="27" t="s">
        <v>373</v>
      </c>
    </row>
    <row r="170" customFormat="false" ht="15" hidden="false" customHeight="false" outlineLevel="0" collapsed="false">
      <c r="A170" s="29" t="n">
        <v>46228</v>
      </c>
      <c r="B170" s="33" t="n">
        <f aca="false">IF($A170="",0,INT(($A170-Macrociclo!$C$11)/7)+1)</f>
        <v>29</v>
      </c>
      <c r="C170" s="27" t="s">
        <v>244</v>
      </c>
      <c r="D170" s="27" t="s">
        <v>688</v>
      </c>
      <c r="E170" s="27" t="s">
        <v>1205</v>
      </c>
      <c r="F170" s="32" t="n">
        <v>145</v>
      </c>
      <c r="G170" s="28" t="n">
        <v>1</v>
      </c>
      <c r="H170" s="35" t="n">
        <f aca="false">IF(OR($F170="",$G170=""),"",ROUND($F170*(1+$G170/30),1))</f>
        <v>149.8</v>
      </c>
      <c r="I170" s="35" t="n">
        <f aca="false">IF(OR($F170="",$G170="",$G170&gt;36),"",ROUND($F170/(1.0278-0.0278*$G170),1))</f>
        <v>145</v>
      </c>
      <c r="J170" s="30" t="n">
        <f aca="false">IF($E170="Direto (1RM real)",$F170,IF(OR($H170="",$I170=""),"",ROUND(AVERAGE($H170,$I170),1)))</f>
        <v>145</v>
      </c>
      <c r="K170" s="35" t="n">
        <f aca="false">IF($C170="","",IFERROR(INDEX(Cadastro!$P$8:$P$47,MATCH($C170,Cadastro!$B$8:$B$47,0)),""))</f>
        <v>79</v>
      </c>
      <c r="L170" s="36" t="n">
        <f aca="false">IFERROR($J170/$K170,"")</f>
        <v>1.83544303797468</v>
      </c>
      <c r="M170" s="45"/>
      <c r="N170" s="27" t="s">
        <v>373</v>
      </c>
    </row>
    <row r="171" customFormat="false" ht="15" hidden="false" customHeight="false" outlineLevel="0" collapsed="false">
      <c r="A171" s="29" t="n">
        <v>46228</v>
      </c>
      <c r="B171" s="33" t="n">
        <f aca="false">IF($A171="",0,INT(($A171-Macrociclo!$C$11)/7)+1)</f>
        <v>29</v>
      </c>
      <c r="C171" s="27" t="s">
        <v>244</v>
      </c>
      <c r="D171" s="27" t="s">
        <v>695</v>
      </c>
      <c r="E171" s="27" t="s">
        <v>1205</v>
      </c>
      <c r="F171" s="32" t="n">
        <v>105</v>
      </c>
      <c r="G171" s="28" t="n">
        <v>1</v>
      </c>
      <c r="H171" s="35" t="n">
        <f aca="false">IF(OR($F171="",$G171=""),"",ROUND($F171*(1+$G171/30),1))</f>
        <v>108.5</v>
      </c>
      <c r="I171" s="35" t="n">
        <f aca="false">IF(OR($F171="",$G171="",$G171&gt;36),"",ROUND($F171/(1.0278-0.0278*$G171),1))</f>
        <v>105</v>
      </c>
      <c r="J171" s="30" t="n">
        <f aca="false">IF($E171="Direto (1RM real)",$F171,IF(OR($H171="",$I171=""),"",ROUND(AVERAGE($H171,$I171),1)))</f>
        <v>105</v>
      </c>
      <c r="K171" s="35" t="n">
        <f aca="false">IF($C171="","",IFERROR(INDEX(Cadastro!$P$8:$P$47,MATCH($C171,Cadastro!$B$8:$B$47,0)),""))</f>
        <v>79</v>
      </c>
      <c r="L171" s="36" t="n">
        <f aca="false">IFERROR($J171/$K171,"")</f>
        <v>1.32911392405063</v>
      </c>
      <c r="M171" s="45"/>
      <c r="N171" s="27" t="s">
        <v>373</v>
      </c>
    </row>
    <row r="172" customFormat="false" ht="15" hidden="false" customHeight="false" outlineLevel="0" collapsed="false">
      <c r="A172" s="29" t="n">
        <v>46228</v>
      </c>
      <c r="B172" s="33" t="n">
        <f aca="false">IF($A172="",0,INT(($A172-Macrociclo!$C$11)/7)+1)</f>
        <v>29</v>
      </c>
      <c r="C172" s="27" t="s">
        <v>244</v>
      </c>
      <c r="D172" s="27" t="s">
        <v>701</v>
      </c>
      <c r="E172" s="27" t="s">
        <v>1205</v>
      </c>
      <c r="F172" s="32" t="n">
        <v>115</v>
      </c>
      <c r="G172" s="28" t="n">
        <v>1</v>
      </c>
      <c r="H172" s="35" t="n">
        <f aca="false">IF(OR($F172="",$G172=""),"",ROUND($F172*(1+$G172/30),1))</f>
        <v>118.8</v>
      </c>
      <c r="I172" s="35" t="n">
        <f aca="false">IF(OR($F172="",$G172="",$G172&gt;36),"",ROUND($F172/(1.0278-0.0278*$G172),1))</f>
        <v>115</v>
      </c>
      <c r="J172" s="30" t="n">
        <f aca="false">IF($E172="Direto (1RM real)",$F172,IF(OR($H172="",$I172=""),"",ROUND(AVERAGE($H172,$I172),1)))</f>
        <v>115</v>
      </c>
      <c r="K172" s="35" t="n">
        <f aca="false">IF($C172="","",IFERROR(INDEX(Cadastro!$P$8:$P$47,MATCH($C172,Cadastro!$B$8:$B$47,0)),""))</f>
        <v>79</v>
      </c>
      <c r="L172" s="36" t="n">
        <f aca="false">IFERROR($J172/$K172,"")</f>
        <v>1.45569620253165</v>
      </c>
      <c r="M172" s="45"/>
      <c r="N172" s="27" t="s">
        <v>373</v>
      </c>
    </row>
    <row r="173" customFormat="false" ht="15" hidden="false" customHeight="false" outlineLevel="0" collapsed="false">
      <c r="A173" s="29" t="n">
        <v>46228</v>
      </c>
      <c r="B173" s="33" t="n">
        <f aca="false">IF($A173="",0,INT(($A173-Macrociclo!$C$11)/7)+1)</f>
        <v>29</v>
      </c>
      <c r="C173" s="27" t="s">
        <v>244</v>
      </c>
      <c r="D173" s="27" t="s">
        <v>758</v>
      </c>
      <c r="E173" s="27" t="s">
        <v>1205</v>
      </c>
      <c r="F173" s="32" t="n">
        <v>160</v>
      </c>
      <c r="G173" s="28" t="n">
        <v>1</v>
      </c>
      <c r="H173" s="35" t="n">
        <f aca="false">IF(OR($F173="",$G173=""),"",ROUND($F173*(1+$G173/30),1))</f>
        <v>165.3</v>
      </c>
      <c r="I173" s="35" t="n">
        <f aca="false">IF(OR($F173="",$G173="",$G173&gt;36),"",ROUND($F173/(1.0278-0.0278*$G173),1))</f>
        <v>160</v>
      </c>
      <c r="J173" s="30" t="n">
        <f aca="false">IF($E173="Direto (1RM real)",$F173,IF(OR($H173="",$I173=""),"",ROUND(AVERAGE($H173,$I173),1)))</f>
        <v>160</v>
      </c>
      <c r="K173" s="35" t="n">
        <f aca="false">IF($C173="","",IFERROR(INDEX(Cadastro!$P$8:$P$47,MATCH($C173,Cadastro!$B$8:$B$47,0)),""))</f>
        <v>79</v>
      </c>
      <c r="L173" s="36" t="n">
        <f aca="false">IFERROR($J173/$K173,"")</f>
        <v>2.0253164556962</v>
      </c>
      <c r="M173" s="45"/>
      <c r="N173" s="27" t="s">
        <v>373</v>
      </c>
    </row>
    <row r="174" customFormat="false" ht="15" hidden="false" customHeight="false" outlineLevel="0" collapsed="false">
      <c r="A174" s="29" t="n">
        <v>46228</v>
      </c>
      <c r="B174" s="33" t="n">
        <f aca="false">IF($A174="",0,INT(($A174-Macrociclo!$C$11)/7)+1)</f>
        <v>29</v>
      </c>
      <c r="C174" s="27" t="s">
        <v>244</v>
      </c>
      <c r="D174" s="27" t="s">
        <v>648</v>
      </c>
      <c r="E174" s="27" t="s">
        <v>1205</v>
      </c>
      <c r="F174" s="32" t="n">
        <v>82.5</v>
      </c>
      <c r="G174" s="28" t="n">
        <v>1</v>
      </c>
      <c r="H174" s="35" t="n">
        <f aca="false">IF(OR($F174="",$G174=""),"",ROUND($F174*(1+$G174/30),1))</f>
        <v>85.3</v>
      </c>
      <c r="I174" s="35" t="n">
        <f aca="false">IF(OR($F174="",$G174="",$G174&gt;36),"",ROUND($F174/(1.0278-0.0278*$G174),1))</f>
        <v>82.5</v>
      </c>
      <c r="J174" s="30" t="n">
        <f aca="false">IF($E174="Direto (1RM real)",$F174,IF(OR($H174="",$I174=""),"",ROUND(AVERAGE($H174,$I174),1)))</f>
        <v>82.5</v>
      </c>
      <c r="K174" s="35" t="n">
        <f aca="false">IF($C174="","",IFERROR(INDEX(Cadastro!$P$8:$P$47,MATCH($C174,Cadastro!$B$8:$B$47,0)),""))</f>
        <v>79</v>
      </c>
      <c r="L174" s="36" t="n">
        <f aca="false">IFERROR($J174/$K174,"")</f>
        <v>1.04430379746835</v>
      </c>
      <c r="M174" s="45"/>
      <c r="N174" s="27" t="s">
        <v>373</v>
      </c>
    </row>
    <row r="175" customFormat="false" ht="15" hidden="false" customHeight="false" outlineLevel="0" collapsed="false">
      <c r="A175" s="29" t="n">
        <v>46228</v>
      </c>
      <c r="B175" s="33" t="n">
        <f aca="false">IF($A175="",0,INT(($A175-Macrociclo!$C$11)/7)+1)</f>
        <v>29</v>
      </c>
      <c r="C175" s="27" t="s">
        <v>244</v>
      </c>
      <c r="D175" s="27" t="s">
        <v>644</v>
      </c>
      <c r="E175" s="27" t="s">
        <v>1205</v>
      </c>
      <c r="F175" s="32" t="n">
        <v>60</v>
      </c>
      <c r="G175" s="28" t="n">
        <v>1</v>
      </c>
      <c r="H175" s="35" t="n">
        <f aca="false">IF(OR($F175="",$G175=""),"",ROUND($F175*(1+$G175/30),1))</f>
        <v>62</v>
      </c>
      <c r="I175" s="35" t="n">
        <f aca="false">IF(OR($F175="",$G175="",$G175&gt;36),"",ROUND($F175/(1.0278-0.0278*$G175),1))</f>
        <v>60</v>
      </c>
      <c r="J175" s="30" t="n">
        <f aca="false">IF($E175="Direto (1RM real)",$F175,IF(OR($H175="",$I175=""),"",ROUND(AVERAGE($H175,$I175),1)))</f>
        <v>60</v>
      </c>
      <c r="K175" s="35" t="n">
        <f aca="false">IF($C175="","",IFERROR(INDEX(Cadastro!$P$8:$P$47,MATCH($C175,Cadastro!$B$8:$B$47,0)),""))</f>
        <v>79</v>
      </c>
      <c r="L175" s="36" t="n">
        <f aca="false">IFERROR($J175/$K175,"")</f>
        <v>0.759493670886076</v>
      </c>
      <c r="M175" s="45"/>
      <c r="N175" s="27" t="s">
        <v>373</v>
      </c>
    </row>
    <row r="176" customFormat="false" ht="15" hidden="false" customHeight="false" outlineLevel="0" collapsed="false">
      <c r="A176" s="29" t="n">
        <v>46228</v>
      </c>
      <c r="B176" s="33" t="n">
        <f aca="false">IF($A176="",0,INT(($A176-Macrociclo!$C$11)/7)+1)</f>
        <v>29</v>
      </c>
      <c r="C176" s="27" t="s">
        <v>244</v>
      </c>
      <c r="D176" s="27" t="s">
        <v>660</v>
      </c>
      <c r="E176" s="27" t="s">
        <v>1205</v>
      </c>
      <c r="F176" s="32" t="n">
        <v>47.5</v>
      </c>
      <c r="G176" s="28" t="n">
        <v>1</v>
      </c>
      <c r="H176" s="35" t="n">
        <f aca="false">IF(OR($F176="",$G176=""),"",ROUND($F176*(1+$G176/30),1))</f>
        <v>49.1</v>
      </c>
      <c r="I176" s="35" t="n">
        <f aca="false">IF(OR($F176="",$G176="",$G176&gt;36),"",ROUND($F176/(1.0278-0.0278*$G176),1))</f>
        <v>47.5</v>
      </c>
      <c r="J176" s="30" t="n">
        <f aca="false">IF($E176="Direto (1RM real)",$F176,IF(OR($H176="",$I176=""),"",ROUND(AVERAGE($H176,$I176),1)))</f>
        <v>47.5</v>
      </c>
      <c r="K176" s="35" t="n">
        <f aca="false">IF($C176="","",IFERROR(INDEX(Cadastro!$P$8:$P$47,MATCH($C176,Cadastro!$B$8:$B$47,0)),""))</f>
        <v>79</v>
      </c>
      <c r="L176" s="36" t="n">
        <f aca="false">IFERROR($J176/$K176,"")</f>
        <v>0.60126582278481</v>
      </c>
      <c r="M176" s="45"/>
      <c r="N176" s="27" t="s">
        <v>373</v>
      </c>
    </row>
    <row r="177" customFormat="false" ht="15" hidden="false" customHeight="false" outlineLevel="0" collapsed="false">
      <c r="A177" s="29" t="n">
        <v>46228</v>
      </c>
      <c r="B177" s="33" t="n">
        <f aca="false">IF($A177="",0,INT(($A177-Macrociclo!$C$11)/7)+1)</f>
        <v>29</v>
      </c>
      <c r="C177" s="27" t="s">
        <v>244</v>
      </c>
      <c r="D177" s="27" t="s">
        <v>953</v>
      </c>
      <c r="E177" s="27" t="s">
        <v>1205</v>
      </c>
      <c r="F177" s="32" t="n">
        <v>87.5</v>
      </c>
      <c r="G177" s="28" t="n">
        <v>1</v>
      </c>
      <c r="H177" s="35" t="n">
        <f aca="false">IF(OR($F177="",$G177=""),"",ROUND($F177*(1+$G177/30),1))</f>
        <v>90.4</v>
      </c>
      <c r="I177" s="35" t="n">
        <f aca="false">IF(OR($F177="",$G177="",$G177&gt;36),"",ROUND($F177/(1.0278-0.0278*$G177),1))</f>
        <v>87.5</v>
      </c>
      <c r="J177" s="30" t="n">
        <f aca="false">IF($E177="Direto (1RM real)",$F177,IF(OR($H177="",$I177=""),"",ROUND(AVERAGE($H177,$I177),1)))</f>
        <v>87.5</v>
      </c>
      <c r="K177" s="35" t="n">
        <f aca="false">IF($C177="","",IFERROR(INDEX(Cadastro!$P$8:$P$47,MATCH($C177,Cadastro!$B$8:$B$47,0)),""))</f>
        <v>79</v>
      </c>
      <c r="L177" s="36" t="n">
        <f aca="false">IFERROR($J177/$K177,"")</f>
        <v>1.10759493670886</v>
      </c>
      <c r="M177" s="45"/>
      <c r="N177" s="27" t="s">
        <v>373</v>
      </c>
    </row>
    <row r="178" customFormat="false" ht="15" hidden="false" customHeight="false" outlineLevel="0" collapsed="false">
      <c r="A178" s="29" t="n">
        <v>46228</v>
      </c>
      <c r="B178" s="33" t="n">
        <f aca="false">IF($A178="",0,INT(($A178-Macrociclo!$C$11)/7)+1)</f>
        <v>29</v>
      </c>
      <c r="C178" s="27" t="s">
        <v>244</v>
      </c>
      <c r="D178" s="27" t="s">
        <v>620</v>
      </c>
      <c r="E178" s="27" t="s">
        <v>1205</v>
      </c>
      <c r="F178" s="32" t="n">
        <v>110</v>
      </c>
      <c r="G178" s="28" t="n">
        <v>1</v>
      </c>
      <c r="H178" s="35" t="n">
        <f aca="false">IF(OR($F178="",$G178=""),"",ROUND($F178*(1+$G178/30),1))</f>
        <v>113.7</v>
      </c>
      <c r="I178" s="35" t="n">
        <f aca="false">IF(OR($F178="",$G178="",$G178&gt;36),"",ROUND($F178/(1.0278-0.0278*$G178),1))</f>
        <v>110</v>
      </c>
      <c r="J178" s="30" t="n">
        <f aca="false">IF($E178="Direto (1RM real)",$F178,IF(OR($H178="",$I178=""),"",ROUND(AVERAGE($H178,$I178),1)))</f>
        <v>110</v>
      </c>
      <c r="K178" s="35" t="n">
        <f aca="false">IF($C178="","",IFERROR(INDEX(Cadastro!$P$8:$P$47,MATCH($C178,Cadastro!$B$8:$B$47,0)),""))</f>
        <v>79</v>
      </c>
      <c r="L178" s="36" t="n">
        <f aca="false">IFERROR($J178/$K178,"")</f>
        <v>1.39240506329114</v>
      </c>
      <c r="M178" s="45"/>
      <c r="N178" s="27" t="s">
        <v>373</v>
      </c>
    </row>
    <row r="179" customFormat="false" ht="15" hidden="false" customHeight="false" outlineLevel="0" collapsed="false">
      <c r="A179" s="29" t="n">
        <v>46228</v>
      </c>
      <c r="B179" s="33" t="n">
        <f aca="false">IF($A179="",0,INT(($A179-Macrociclo!$C$11)/7)+1)</f>
        <v>29</v>
      </c>
      <c r="C179" s="27" t="s">
        <v>253</v>
      </c>
      <c r="D179" s="27" t="s">
        <v>688</v>
      </c>
      <c r="E179" s="27" t="s">
        <v>1205</v>
      </c>
      <c r="F179" s="32" t="n">
        <v>157.5</v>
      </c>
      <c r="G179" s="28" t="n">
        <v>1</v>
      </c>
      <c r="H179" s="35" t="n">
        <f aca="false">IF(OR($F179="",$G179=""),"",ROUND($F179*(1+$G179/30),1))</f>
        <v>162.8</v>
      </c>
      <c r="I179" s="35" t="n">
        <f aca="false">IF(OR($F179="",$G179="",$G179&gt;36),"",ROUND($F179/(1.0278-0.0278*$G179),1))</f>
        <v>157.5</v>
      </c>
      <c r="J179" s="30" t="n">
        <f aca="false">IF($E179="Direto (1RM real)",$F179,IF(OR($H179="",$I179=""),"",ROUND(AVERAGE($H179,$I179),1)))</f>
        <v>157.5</v>
      </c>
      <c r="K179" s="35" t="n">
        <f aca="false">IF($C179="","",IFERROR(INDEX(Cadastro!$P$8:$P$47,MATCH($C179,Cadastro!$B$8:$B$47,0)),""))</f>
        <v>90.4</v>
      </c>
      <c r="L179" s="36" t="n">
        <f aca="false">IFERROR($J179/$K179,"")</f>
        <v>1.74225663716814</v>
      </c>
      <c r="M179" s="45"/>
      <c r="N179" s="27" t="s">
        <v>373</v>
      </c>
    </row>
    <row r="180" customFormat="false" ht="15" hidden="false" customHeight="false" outlineLevel="0" collapsed="false">
      <c r="A180" s="29" t="n">
        <v>46228</v>
      </c>
      <c r="B180" s="33" t="n">
        <f aca="false">IF($A180="",0,INT(($A180-Macrociclo!$C$11)/7)+1)</f>
        <v>29</v>
      </c>
      <c r="C180" s="27" t="s">
        <v>253</v>
      </c>
      <c r="D180" s="27" t="s">
        <v>695</v>
      </c>
      <c r="E180" s="27" t="s">
        <v>1205</v>
      </c>
      <c r="F180" s="32" t="n">
        <v>137.5</v>
      </c>
      <c r="G180" s="28" t="n">
        <v>1</v>
      </c>
      <c r="H180" s="35" t="n">
        <f aca="false">IF(OR($F180="",$G180=""),"",ROUND($F180*(1+$G180/30),1))</f>
        <v>142.1</v>
      </c>
      <c r="I180" s="35" t="n">
        <f aca="false">IF(OR($F180="",$G180="",$G180&gt;36),"",ROUND($F180/(1.0278-0.0278*$G180),1))</f>
        <v>137.5</v>
      </c>
      <c r="J180" s="30" t="n">
        <f aca="false">IF($E180="Direto (1RM real)",$F180,IF(OR($H180="",$I180=""),"",ROUND(AVERAGE($H180,$I180),1)))</f>
        <v>137.5</v>
      </c>
      <c r="K180" s="35" t="n">
        <f aca="false">IF($C180="","",IFERROR(INDEX(Cadastro!$P$8:$P$47,MATCH($C180,Cadastro!$B$8:$B$47,0)),""))</f>
        <v>90.4</v>
      </c>
      <c r="L180" s="36" t="n">
        <f aca="false">IFERROR($J180/$K180,"")</f>
        <v>1.52101769911504</v>
      </c>
      <c r="M180" s="45"/>
      <c r="N180" s="27" t="s">
        <v>373</v>
      </c>
    </row>
    <row r="181" customFormat="false" ht="15" hidden="false" customHeight="false" outlineLevel="0" collapsed="false">
      <c r="A181" s="29" t="n">
        <v>46228</v>
      </c>
      <c r="B181" s="33" t="n">
        <f aca="false">IF($A181="",0,INT(($A181-Macrociclo!$C$11)/7)+1)</f>
        <v>29</v>
      </c>
      <c r="C181" s="27" t="s">
        <v>253</v>
      </c>
      <c r="D181" s="27" t="s">
        <v>701</v>
      </c>
      <c r="E181" s="27" t="s">
        <v>1205</v>
      </c>
      <c r="F181" s="32" t="n">
        <v>127.5</v>
      </c>
      <c r="G181" s="28" t="n">
        <v>1</v>
      </c>
      <c r="H181" s="35" t="n">
        <f aca="false">IF(OR($F181="",$G181=""),"",ROUND($F181*(1+$G181/30),1))</f>
        <v>131.8</v>
      </c>
      <c r="I181" s="35" t="n">
        <f aca="false">IF(OR($F181="",$G181="",$G181&gt;36),"",ROUND($F181/(1.0278-0.0278*$G181),1))</f>
        <v>127.5</v>
      </c>
      <c r="J181" s="30" t="n">
        <f aca="false">IF($E181="Direto (1RM real)",$F181,IF(OR($H181="",$I181=""),"",ROUND(AVERAGE($H181,$I181),1)))</f>
        <v>127.5</v>
      </c>
      <c r="K181" s="35" t="n">
        <f aca="false">IF($C181="","",IFERROR(INDEX(Cadastro!$P$8:$P$47,MATCH($C181,Cadastro!$B$8:$B$47,0)),""))</f>
        <v>90.4</v>
      </c>
      <c r="L181" s="36" t="n">
        <f aca="false">IFERROR($J181/$K181,"")</f>
        <v>1.4103982300885</v>
      </c>
      <c r="M181" s="45"/>
      <c r="N181" s="27" t="s">
        <v>373</v>
      </c>
    </row>
    <row r="182" customFormat="false" ht="15" hidden="false" customHeight="false" outlineLevel="0" collapsed="false">
      <c r="A182" s="29" t="n">
        <v>46228</v>
      </c>
      <c r="B182" s="33" t="n">
        <f aca="false">IF($A182="",0,INT(($A182-Macrociclo!$C$11)/7)+1)</f>
        <v>29</v>
      </c>
      <c r="C182" s="27" t="s">
        <v>253</v>
      </c>
      <c r="D182" s="27" t="s">
        <v>758</v>
      </c>
      <c r="E182" s="27" t="s">
        <v>1205</v>
      </c>
      <c r="F182" s="32" t="n">
        <v>182.5</v>
      </c>
      <c r="G182" s="28" t="n">
        <v>1</v>
      </c>
      <c r="H182" s="35" t="n">
        <f aca="false">IF(OR($F182="",$G182=""),"",ROUND($F182*(1+$G182/30),1))</f>
        <v>188.6</v>
      </c>
      <c r="I182" s="35" t="n">
        <f aca="false">IF(OR($F182="",$G182="",$G182&gt;36),"",ROUND($F182/(1.0278-0.0278*$G182),1))</f>
        <v>182.5</v>
      </c>
      <c r="J182" s="30" t="n">
        <f aca="false">IF($E182="Direto (1RM real)",$F182,IF(OR($H182="",$I182=""),"",ROUND(AVERAGE($H182,$I182),1)))</f>
        <v>182.5</v>
      </c>
      <c r="K182" s="35" t="n">
        <f aca="false">IF($C182="","",IFERROR(INDEX(Cadastro!$P$8:$P$47,MATCH($C182,Cadastro!$B$8:$B$47,0)),""))</f>
        <v>90.4</v>
      </c>
      <c r="L182" s="36" t="n">
        <f aca="false">IFERROR($J182/$K182,"")</f>
        <v>2.01880530973451</v>
      </c>
      <c r="M182" s="45"/>
      <c r="N182" s="27" t="s">
        <v>373</v>
      </c>
    </row>
    <row r="183" customFormat="false" ht="15" hidden="false" customHeight="false" outlineLevel="0" collapsed="false">
      <c r="A183" s="29" t="n">
        <v>46228</v>
      </c>
      <c r="B183" s="33" t="n">
        <f aca="false">IF($A183="",0,INT(($A183-Macrociclo!$C$11)/7)+1)</f>
        <v>29</v>
      </c>
      <c r="C183" s="27" t="s">
        <v>253</v>
      </c>
      <c r="D183" s="27" t="s">
        <v>648</v>
      </c>
      <c r="E183" s="27" t="s">
        <v>1205</v>
      </c>
      <c r="F183" s="32" t="n">
        <v>95</v>
      </c>
      <c r="G183" s="28" t="n">
        <v>1</v>
      </c>
      <c r="H183" s="35" t="n">
        <f aca="false">IF(OR($F183="",$G183=""),"",ROUND($F183*(1+$G183/30),1))</f>
        <v>98.2</v>
      </c>
      <c r="I183" s="35" t="n">
        <f aca="false">IF(OR($F183="",$G183="",$G183&gt;36),"",ROUND($F183/(1.0278-0.0278*$G183),1))</f>
        <v>95</v>
      </c>
      <c r="J183" s="30" t="n">
        <f aca="false">IF($E183="Direto (1RM real)",$F183,IF(OR($H183="",$I183=""),"",ROUND(AVERAGE($H183,$I183),1)))</f>
        <v>95</v>
      </c>
      <c r="K183" s="35" t="n">
        <f aca="false">IF($C183="","",IFERROR(INDEX(Cadastro!$P$8:$P$47,MATCH($C183,Cadastro!$B$8:$B$47,0)),""))</f>
        <v>90.4</v>
      </c>
      <c r="L183" s="36" t="n">
        <f aca="false">IFERROR($J183/$K183,"")</f>
        <v>1.05088495575221</v>
      </c>
      <c r="M183" s="45"/>
      <c r="N183" s="27" t="s">
        <v>373</v>
      </c>
    </row>
    <row r="184" customFormat="false" ht="15" hidden="false" customHeight="false" outlineLevel="0" collapsed="false">
      <c r="A184" s="29" t="n">
        <v>46228</v>
      </c>
      <c r="B184" s="33" t="n">
        <f aca="false">IF($A184="",0,INT(($A184-Macrociclo!$C$11)/7)+1)</f>
        <v>29</v>
      </c>
      <c r="C184" s="27" t="s">
        <v>253</v>
      </c>
      <c r="D184" s="27" t="s">
        <v>644</v>
      </c>
      <c r="E184" s="27" t="s">
        <v>1205</v>
      </c>
      <c r="F184" s="32" t="n">
        <v>75</v>
      </c>
      <c r="G184" s="28" t="n">
        <v>1</v>
      </c>
      <c r="H184" s="35" t="n">
        <f aca="false">IF(OR($F184="",$G184=""),"",ROUND($F184*(1+$G184/30),1))</f>
        <v>77.5</v>
      </c>
      <c r="I184" s="35" t="n">
        <f aca="false">IF(OR($F184="",$G184="",$G184&gt;36),"",ROUND($F184/(1.0278-0.0278*$G184),1))</f>
        <v>75</v>
      </c>
      <c r="J184" s="30" t="n">
        <f aca="false">IF($E184="Direto (1RM real)",$F184,IF(OR($H184="",$I184=""),"",ROUND(AVERAGE($H184,$I184),1)))</f>
        <v>75</v>
      </c>
      <c r="K184" s="35" t="n">
        <f aca="false">IF($C184="","",IFERROR(INDEX(Cadastro!$P$8:$P$47,MATCH($C184,Cadastro!$B$8:$B$47,0)),""))</f>
        <v>90.4</v>
      </c>
      <c r="L184" s="36" t="n">
        <f aca="false">IFERROR($J184/$K184,"")</f>
        <v>0.829646017699115</v>
      </c>
      <c r="M184" s="45"/>
      <c r="N184" s="27" t="s">
        <v>373</v>
      </c>
    </row>
    <row r="185" customFormat="false" ht="15" hidden="false" customHeight="false" outlineLevel="0" collapsed="false">
      <c r="A185" s="29" t="n">
        <v>46228</v>
      </c>
      <c r="B185" s="33" t="n">
        <f aca="false">IF($A185="",0,INT(($A185-Macrociclo!$C$11)/7)+1)</f>
        <v>29</v>
      </c>
      <c r="C185" s="27" t="s">
        <v>253</v>
      </c>
      <c r="D185" s="27" t="s">
        <v>660</v>
      </c>
      <c r="E185" s="27" t="s">
        <v>1205</v>
      </c>
      <c r="F185" s="32" t="n">
        <v>50</v>
      </c>
      <c r="G185" s="28" t="n">
        <v>1</v>
      </c>
      <c r="H185" s="35" t="n">
        <f aca="false">IF(OR($F185="",$G185=""),"",ROUND($F185*(1+$G185/30),1))</f>
        <v>51.7</v>
      </c>
      <c r="I185" s="35" t="n">
        <f aca="false">IF(OR($F185="",$G185="",$G185&gt;36),"",ROUND($F185/(1.0278-0.0278*$G185),1))</f>
        <v>50</v>
      </c>
      <c r="J185" s="30" t="n">
        <f aca="false">IF($E185="Direto (1RM real)",$F185,IF(OR($H185="",$I185=""),"",ROUND(AVERAGE($H185,$I185),1)))</f>
        <v>50</v>
      </c>
      <c r="K185" s="35" t="n">
        <f aca="false">IF($C185="","",IFERROR(INDEX(Cadastro!$P$8:$P$47,MATCH($C185,Cadastro!$B$8:$B$47,0)),""))</f>
        <v>90.4</v>
      </c>
      <c r="L185" s="36" t="n">
        <f aca="false">IFERROR($J185/$K185,"")</f>
        <v>0.553097345132743</v>
      </c>
      <c r="M185" s="45"/>
      <c r="N185" s="27" t="s">
        <v>373</v>
      </c>
    </row>
    <row r="186" customFormat="false" ht="15" hidden="false" customHeight="false" outlineLevel="0" collapsed="false">
      <c r="A186" s="29" t="n">
        <v>46228</v>
      </c>
      <c r="B186" s="33" t="n">
        <f aca="false">IF($A186="",0,INT(($A186-Macrociclo!$C$11)/7)+1)</f>
        <v>29</v>
      </c>
      <c r="C186" s="27" t="s">
        <v>253</v>
      </c>
      <c r="D186" s="27" t="s">
        <v>953</v>
      </c>
      <c r="E186" s="27" t="s">
        <v>1205</v>
      </c>
      <c r="F186" s="32" t="n">
        <v>97.5</v>
      </c>
      <c r="G186" s="28" t="n">
        <v>1</v>
      </c>
      <c r="H186" s="35" t="n">
        <f aca="false">IF(OR($F186="",$G186=""),"",ROUND($F186*(1+$G186/30),1))</f>
        <v>100.8</v>
      </c>
      <c r="I186" s="35" t="n">
        <f aca="false">IF(OR($F186="",$G186="",$G186&gt;36),"",ROUND($F186/(1.0278-0.0278*$G186),1))</f>
        <v>97.5</v>
      </c>
      <c r="J186" s="30" t="n">
        <f aca="false">IF($E186="Direto (1RM real)",$F186,IF(OR($H186="",$I186=""),"",ROUND(AVERAGE($H186,$I186),1)))</f>
        <v>97.5</v>
      </c>
      <c r="K186" s="35" t="n">
        <f aca="false">IF($C186="","",IFERROR(INDEX(Cadastro!$P$8:$P$47,MATCH($C186,Cadastro!$B$8:$B$47,0)),""))</f>
        <v>90.4</v>
      </c>
      <c r="L186" s="36" t="n">
        <f aca="false">IFERROR($J186/$K186,"")</f>
        <v>1.07853982300885</v>
      </c>
      <c r="M186" s="45"/>
      <c r="N186" s="27" t="s">
        <v>373</v>
      </c>
    </row>
    <row r="187" customFormat="false" ht="15" hidden="false" customHeight="false" outlineLevel="0" collapsed="false">
      <c r="A187" s="29" t="n">
        <v>46228</v>
      </c>
      <c r="B187" s="33" t="n">
        <f aca="false">IF($A187="",0,INT(($A187-Macrociclo!$C$11)/7)+1)</f>
        <v>29</v>
      </c>
      <c r="C187" s="27" t="s">
        <v>253</v>
      </c>
      <c r="D187" s="27" t="s">
        <v>620</v>
      </c>
      <c r="E187" s="27" t="s">
        <v>1205</v>
      </c>
      <c r="F187" s="32" t="n">
        <v>122.5</v>
      </c>
      <c r="G187" s="28" t="n">
        <v>1</v>
      </c>
      <c r="H187" s="35" t="n">
        <f aca="false">IF(OR($F187="",$G187=""),"",ROUND($F187*(1+$G187/30),1))</f>
        <v>126.6</v>
      </c>
      <c r="I187" s="35" t="n">
        <f aca="false">IF(OR($F187="",$G187="",$G187&gt;36),"",ROUND($F187/(1.0278-0.0278*$G187),1))</f>
        <v>122.5</v>
      </c>
      <c r="J187" s="30" t="n">
        <f aca="false">IF($E187="Direto (1RM real)",$F187,IF(OR($H187="",$I187=""),"",ROUND(AVERAGE($H187,$I187),1)))</f>
        <v>122.5</v>
      </c>
      <c r="K187" s="35" t="n">
        <f aca="false">IF($C187="","",IFERROR(INDEX(Cadastro!$P$8:$P$47,MATCH($C187,Cadastro!$B$8:$B$47,0)),""))</f>
        <v>90.4</v>
      </c>
      <c r="L187" s="36" t="n">
        <f aca="false">IFERROR($J187/$K187,"")</f>
        <v>1.35508849557522</v>
      </c>
      <c r="M187" s="45"/>
      <c r="N187" s="27" t="s">
        <v>373</v>
      </c>
    </row>
    <row r="188" customFormat="false" ht="15" hidden="false" customHeight="false" outlineLevel="0" collapsed="false">
      <c r="A188" s="29" t="n">
        <v>46228</v>
      </c>
      <c r="B188" s="33" t="n">
        <f aca="false">IF($A188="",0,INT(($A188-Macrociclo!$C$11)/7)+1)</f>
        <v>29</v>
      </c>
      <c r="C188" s="27" t="s">
        <v>259</v>
      </c>
      <c r="D188" s="27" t="s">
        <v>688</v>
      </c>
      <c r="E188" s="27" t="s">
        <v>1205</v>
      </c>
      <c r="F188" s="32" t="n">
        <v>162.5</v>
      </c>
      <c r="G188" s="28" t="n">
        <v>1</v>
      </c>
      <c r="H188" s="35" t="n">
        <f aca="false">IF(OR($F188="",$G188=""),"",ROUND($F188*(1+$G188/30),1))</f>
        <v>167.9</v>
      </c>
      <c r="I188" s="35" t="n">
        <f aca="false">IF(OR($F188="",$G188="",$G188&gt;36),"",ROUND($F188/(1.0278-0.0278*$G188),1))</f>
        <v>162.5</v>
      </c>
      <c r="J188" s="30" t="n">
        <f aca="false">IF($E188="Direto (1RM real)",$F188,IF(OR($H188="",$I188=""),"",ROUND(AVERAGE($H188,$I188),1)))</f>
        <v>162.5</v>
      </c>
      <c r="K188" s="35" t="n">
        <f aca="false">IF($C188="","",IFERROR(INDEX(Cadastro!$P$8:$P$47,MATCH($C188,Cadastro!$B$8:$B$47,0)),""))</f>
        <v>82.5</v>
      </c>
      <c r="L188" s="36" t="n">
        <f aca="false">IFERROR($J188/$K188,"")</f>
        <v>1.96969696969697</v>
      </c>
      <c r="M188" s="45"/>
      <c r="N188" s="27" t="s">
        <v>373</v>
      </c>
    </row>
    <row r="189" customFormat="false" ht="15" hidden="false" customHeight="false" outlineLevel="0" collapsed="false">
      <c r="A189" s="29" t="n">
        <v>46228</v>
      </c>
      <c r="B189" s="33" t="n">
        <f aca="false">IF($A189="",0,INT(($A189-Macrociclo!$C$11)/7)+1)</f>
        <v>29</v>
      </c>
      <c r="C189" s="27" t="s">
        <v>259</v>
      </c>
      <c r="D189" s="27" t="s">
        <v>695</v>
      </c>
      <c r="E189" s="27" t="s">
        <v>1205</v>
      </c>
      <c r="F189" s="32" t="n">
        <v>115</v>
      </c>
      <c r="G189" s="28" t="n">
        <v>1</v>
      </c>
      <c r="H189" s="35" t="n">
        <f aca="false">IF(OR($F189="",$G189=""),"",ROUND($F189*(1+$G189/30),1))</f>
        <v>118.8</v>
      </c>
      <c r="I189" s="35" t="n">
        <f aca="false">IF(OR($F189="",$G189="",$G189&gt;36),"",ROUND($F189/(1.0278-0.0278*$G189),1))</f>
        <v>115</v>
      </c>
      <c r="J189" s="30" t="n">
        <f aca="false">IF($E189="Direto (1RM real)",$F189,IF(OR($H189="",$I189=""),"",ROUND(AVERAGE($H189,$I189),1)))</f>
        <v>115</v>
      </c>
      <c r="K189" s="35" t="n">
        <f aca="false">IF($C189="","",IFERROR(INDEX(Cadastro!$P$8:$P$47,MATCH($C189,Cadastro!$B$8:$B$47,0)),""))</f>
        <v>82.5</v>
      </c>
      <c r="L189" s="36" t="n">
        <f aca="false">IFERROR($J189/$K189,"")</f>
        <v>1.39393939393939</v>
      </c>
      <c r="M189" s="45"/>
      <c r="N189" s="27" t="s">
        <v>373</v>
      </c>
    </row>
    <row r="190" customFormat="false" ht="15" hidden="false" customHeight="false" outlineLevel="0" collapsed="false">
      <c r="A190" s="29" t="n">
        <v>46228</v>
      </c>
      <c r="B190" s="33" t="n">
        <f aca="false">IF($A190="",0,INT(($A190-Macrociclo!$C$11)/7)+1)</f>
        <v>29</v>
      </c>
      <c r="C190" s="27" t="s">
        <v>259</v>
      </c>
      <c r="D190" s="27" t="s">
        <v>701</v>
      </c>
      <c r="E190" s="27" t="s">
        <v>1205</v>
      </c>
      <c r="F190" s="32" t="n">
        <v>130</v>
      </c>
      <c r="G190" s="28" t="n">
        <v>1</v>
      </c>
      <c r="H190" s="35" t="n">
        <f aca="false">IF(OR($F190="",$G190=""),"",ROUND($F190*(1+$G190/30),1))</f>
        <v>134.3</v>
      </c>
      <c r="I190" s="35" t="n">
        <f aca="false">IF(OR($F190="",$G190="",$G190&gt;36),"",ROUND($F190/(1.0278-0.0278*$G190),1))</f>
        <v>130</v>
      </c>
      <c r="J190" s="30" t="n">
        <f aca="false">IF($E190="Direto (1RM real)",$F190,IF(OR($H190="",$I190=""),"",ROUND(AVERAGE($H190,$I190),1)))</f>
        <v>130</v>
      </c>
      <c r="K190" s="35" t="n">
        <f aca="false">IF($C190="","",IFERROR(INDEX(Cadastro!$P$8:$P$47,MATCH($C190,Cadastro!$B$8:$B$47,0)),""))</f>
        <v>82.5</v>
      </c>
      <c r="L190" s="36" t="n">
        <f aca="false">IFERROR($J190/$K190,"")</f>
        <v>1.57575757575758</v>
      </c>
      <c r="M190" s="45"/>
      <c r="N190" s="27" t="s">
        <v>373</v>
      </c>
    </row>
    <row r="191" customFormat="false" ht="15" hidden="false" customHeight="false" outlineLevel="0" collapsed="false">
      <c r="A191" s="29" t="n">
        <v>46228</v>
      </c>
      <c r="B191" s="33" t="n">
        <f aca="false">IF($A191="",0,INT(($A191-Macrociclo!$C$11)/7)+1)</f>
        <v>29</v>
      </c>
      <c r="C191" s="27" t="s">
        <v>259</v>
      </c>
      <c r="D191" s="27" t="s">
        <v>758</v>
      </c>
      <c r="E191" s="27" t="s">
        <v>1205</v>
      </c>
      <c r="F191" s="32" t="n">
        <v>170</v>
      </c>
      <c r="G191" s="28" t="n">
        <v>1</v>
      </c>
      <c r="H191" s="35" t="n">
        <f aca="false">IF(OR($F191="",$G191=""),"",ROUND($F191*(1+$G191/30),1))</f>
        <v>175.7</v>
      </c>
      <c r="I191" s="35" t="n">
        <f aca="false">IF(OR($F191="",$G191="",$G191&gt;36),"",ROUND($F191/(1.0278-0.0278*$G191),1))</f>
        <v>170</v>
      </c>
      <c r="J191" s="30" t="n">
        <f aca="false">IF($E191="Direto (1RM real)",$F191,IF(OR($H191="",$I191=""),"",ROUND(AVERAGE($H191,$I191),1)))</f>
        <v>170</v>
      </c>
      <c r="K191" s="35" t="n">
        <f aca="false">IF($C191="","",IFERROR(INDEX(Cadastro!$P$8:$P$47,MATCH($C191,Cadastro!$B$8:$B$47,0)),""))</f>
        <v>82.5</v>
      </c>
      <c r="L191" s="36" t="n">
        <f aca="false">IFERROR($J191/$K191,"")</f>
        <v>2.06060606060606</v>
      </c>
      <c r="M191" s="45"/>
      <c r="N191" s="27" t="s">
        <v>373</v>
      </c>
    </row>
    <row r="192" customFormat="false" ht="15" hidden="false" customHeight="false" outlineLevel="0" collapsed="false">
      <c r="A192" s="29" t="n">
        <v>46228</v>
      </c>
      <c r="B192" s="33" t="n">
        <f aca="false">IF($A192="",0,INT(($A192-Macrociclo!$C$11)/7)+1)</f>
        <v>29</v>
      </c>
      <c r="C192" s="27" t="s">
        <v>259</v>
      </c>
      <c r="D192" s="27" t="s">
        <v>648</v>
      </c>
      <c r="E192" s="27" t="s">
        <v>1205</v>
      </c>
      <c r="F192" s="32" t="n">
        <v>87.5</v>
      </c>
      <c r="G192" s="28" t="n">
        <v>1</v>
      </c>
      <c r="H192" s="35" t="n">
        <f aca="false">IF(OR($F192="",$G192=""),"",ROUND($F192*(1+$G192/30),1))</f>
        <v>90.4</v>
      </c>
      <c r="I192" s="35" t="n">
        <f aca="false">IF(OR($F192="",$G192="",$G192&gt;36),"",ROUND($F192/(1.0278-0.0278*$G192),1))</f>
        <v>87.5</v>
      </c>
      <c r="J192" s="30" t="n">
        <f aca="false">IF($E192="Direto (1RM real)",$F192,IF(OR($H192="",$I192=""),"",ROUND(AVERAGE($H192,$I192),1)))</f>
        <v>87.5</v>
      </c>
      <c r="K192" s="35" t="n">
        <f aca="false">IF($C192="","",IFERROR(INDEX(Cadastro!$P$8:$P$47,MATCH($C192,Cadastro!$B$8:$B$47,0)),""))</f>
        <v>82.5</v>
      </c>
      <c r="L192" s="36" t="n">
        <f aca="false">IFERROR($J192/$K192,"")</f>
        <v>1.06060606060606</v>
      </c>
      <c r="M192" s="45"/>
      <c r="N192" s="27" t="s">
        <v>373</v>
      </c>
    </row>
    <row r="193" customFormat="false" ht="15" hidden="false" customHeight="false" outlineLevel="0" collapsed="false">
      <c r="A193" s="29" t="n">
        <v>46228</v>
      </c>
      <c r="B193" s="33" t="n">
        <f aca="false">IF($A193="",0,INT(($A193-Macrociclo!$C$11)/7)+1)</f>
        <v>29</v>
      </c>
      <c r="C193" s="27" t="s">
        <v>259</v>
      </c>
      <c r="D193" s="27" t="s">
        <v>644</v>
      </c>
      <c r="E193" s="27" t="s">
        <v>1205</v>
      </c>
      <c r="F193" s="32" t="n">
        <v>67.5</v>
      </c>
      <c r="G193" s="28" t="n">
        <v>1</v>
      </c>
      <c r="H193" s="35" t="n">
        <f aca="false">IF(OR($F193="",$G193=""),"",ROUND($F193*(1+$G193/30),1))</f>
        <v>69.8</v>
      </c>
      <c r="I193" s="35" t="n">
        <f aca="false">IF(OR($F193="",$G193="",$G193&gt;36),"",ROUND($F193/(1.0278-0.0278*$G193),1))</f>
        <v>67.5</v>
      </c>
      <c r="J193" s="30" t="n">
        <f aca="false">IF($E193="Direto (1RM real)",$F193,IF(OR($H193="",$I193=""),"",ROUND(AVERAGE($H193,$I193),1)))</f>
        <v>67.5</v>
      </c>
      <c r="K193" s="35" t="n">
        <f aca="false">IF($C193="","",IFERROR(INDEX(Cadastro!$P$8:$P$47,MATCH($C193,Cadastro!$B$8:$B$47,0)),""))</f>
        <v>82.5</v>
      </c>
      <c r="L193" s="36" t="n">
        <f aca="false">IFERROR($J193/$K193,"")</f>
        <v>0.818181818181818</v>
      </c>
      <c r="M193" s="45"/>
      <c r="N193" s="27" t="s">
        <v>373</v>
      </c>
    </row>
    <row r="194" customFormat="false" ht="15" hidden="false" customHeight="false" outlineLevel="0" collapsed="false">
      <c r="A194" s="29" t="n">
        <v>46228</v>
      </c>
      <c r="B194" s="33" t="n">
        <f aca="false">IF($A194="",0,INT(($A194-Macrociclo!$C$11)/7)+1)</f>
        <v>29</v>
      </c>
      <c r="C194" s="27" t="s">
        <v>259</v>
      </c>
      <c r="D194" s="27" t="s">
        <v>660</v>
      </c>
      <c r="E194" s="27" t="s">
        <v>1205</v>
      </c>
      <c r="F194" s="32" t="n">
        <v>47.5</v>
      </c>
      <c r="G194" s="28" t="n">
        <v>1</v>
      </c>
      <c r="H194" s="35" t="n">
        <f aca="false">IF(OR($F194="",$G194=""),"",ROUND($F194*(1+$G194/30),1))</f>
        <v>49.1</v>
      </c>
      <c r="I194" s="35" t="n">
        <f aca="false">IF(OR($F194="",$G194="",$G194&gt;36),"",ROUND($F194/(1.0278-0.0278*$G194),1))</f>
        <v>47.5</v>
      </c>
      <c r="J194" s="30" t="n">
        <f aca="false">IF($E194="Direto (1RM real)",$F194,IF(OR($H194="",$I194=""),"",ROUND(AVERAGE($H194,$I194),1)))</f>
        <v>47.5</v>
      </c>
      <c r="K194" s="35" t="n">
        <f aca="false">IF($C194="","",IFERROR(INDEX(Cadastro!$P$8:$P$47,MATCH($C194,Cadastro!$B$8:$B$47,0)),""))</f>
        <v>82.5</v>
      </c>
      <c r="L194" s="36" t="n">
        <f aca="false">IFERROR($J194/$K194,"")</f>
        <v>0.575757575757576</v>
      </c>
      <c r="M194" s="45"/>
      <c r="N194" s="27" t="s">
        <v>373</v>
      </c>
    </row>
    <row r="195" customFormat="false" ht="15" hidden="false" customHeight="false" outlineLevel="0" collapsed="false">
      <c r="A195" s="29" t="n">
        <v>46228</v>
      </c>
      <c r="B195" s="33" t="n">
        <f aca="false">IF($A195="",0,INT(($A195-Macrociclo!$C$11)/7)+1)</f>
        <v>29</v>
      </c>
      <c r="C195" s="27" t="s">
        <v>259</v>
      </c>
      <c r="D195" s="27" t="s">
        <v>953</v>
      </c>
      <c r="E195" s="27" t="s">
        <v>1205</v>
      </c>
      <c r="F195" s="32" t="n">
        <v>95</v>
      </c>
      <c r="G195" s="28" t="n">
        <v>1</v>
      </c>
      <c r="H195" s="35" t="n">
        <f aca="false">IF(OR($F195="",$G195=""),"",ROUND($F195*(1+$G195/30),1))</f>
        <v>98.2</v>
      </c>
      <c r="I195" s="35" t="n">
        <f aca="false">IF(OR($F195="",$G195="",$G195&gt;36),"",ROUND($F195/(1.0278-0.0278*$G195),1))</f>
        <v>95</v>
      </c>
      <c r="J195" s="30" t="n">
        <f aca="false">IF($E195="Direto (1RM real)",$F195,IF(OR($H195="",$I195=""),"",ROUND(AVERAGE($H195,$I195),1)))</f>
        <v>95</v>
      </c>
      <c r="K195" s="35" t="n">
        <f aca="false">IF($C195="","",IFERROR(INDEX(Cadastro!$P$8:$P$47,MATCH($C195,Cadastro!$B$8:$B$47,0)),""))</f>
        <v>82.5</v>
      </c>
      <c r="L195" s="36" t="n">
        <f aca="false">IFERROR($J195/$K195,"")</f>
        <v>1.15151515151515</v>
      </c>
      <c r="M195" s="45"/>
      <c r="N195" s="27" t="s">
        <v>373</v>
      </c>
    </row>
    <row r="196" customFormat="false" ht="15" hidden="false" customHeight="false" outlineLevel="0" collapsed="false">
      <c r="A196" s="29" t="n">
        <v>46228</v>
      </c>
      <c r="B196" s="33" t="n">
        <f aca="false">IF($A196="",0,INT(($A196-Macrociclo!$C$11)/7)+1)</f>
        <v>29</v>
      </c>
      <c r="C196" s="27" t="s">
        <v>259</v>
      </c>
      <c r="D196" s="27" t="s">
        <v>620</v>
      </c>
      <c r="E196" s="27" t="s">
        <v>1205</v>
      </c>
      <c r="F196" s="32" t="n">
        <v>122.5</v>
      </c>
      <c r="G196" s="28" t="n">
        <v>1</v>
      </c>
      <c r="H196" s="35" t="n">
        <f aca="false">IF(OR($F196="",$G196=""),"",ROUND($F196*(1+$G196/30),1))</f>
        <v>126.6</v>
      </c>
      <c r="I196" s="35" t="n">
        <f aca="false">IF(OR($F196="",$G196="",$G196&gt;36),"",ROUND($F196/(1.0278-0.0278*$G196),1))</f>
        <v>122.5</v>
      </c>
      <c r="J196" s="30" t="n">
        <f aca="false">IF($E196="Direto (1RM real)",$F196,IF(OR($H196="",$I196=""),"",ROUND(AVERAGE($H196,$I196),1)))</f>
        <v>122.5</v>
      </c>
      <c r="K196" s="35" t="n">
        <f aca="false">IF($C196="","",IFERROR(INDEX(Cadastro!$P$8:$P$47,MATCH($C196,Cadastro!$B$8:$B$47,0)),""))</f>
        <v>82.5</v>
      </c>
      <c r="L196" s="36" t="n">
        <f aca="false">IFERROR($J196/$K196,"")</f>
        <v>1.48484848484848</v>
      </c>
      <c r="M196" s="45"/>
      <c r="N196" s="27" t="s">
        <v>373</v>
      </c>
    </row>
    <row r="197" customFormat="false" ht="15" hidden="false" customHeight="false" outlineLevel="0" collapsed="false">
      <c r="A197" s="29" t="n">
        <v>46228</v>
      </c>
      <c r="B197" s="33" t="n">
        <f aca="false">IF($A197="",0,INT(($A197-Macrociclo!$C$11)/7)+1)</f>
        <v>29</v>
      </c>
      <c r="C197" s="27" t="s">
        <v>264</v>
      </c>
      <c r="D197" s="27" t="s">
        <v>688</v>
      </c>
      <c r="E197" s="27" t="s">
        <v>1205</v>
      </c>
      <c r="F197" s="32" t="n">
        <v>175</v>
      </c>
      <c r="G197" s="28" t="n">
        <v>1</v>
      </c>
      <c r="H197" s="35" t="n">
        <f aca="false">IF(OR($F197="",$G197=""),"",ROUND($F197*(1+$G197/30),1))</f>
        <v>180.8</v>
      </c>
      <c r="I197" s="35" t="n">
        <f aca="false">IF(OR($F197="",$G197="",$G197&gt;36),"",ROUND($F197/(1.0278-0.0278*$G197),1))</f>
        <v>175</v>
      </c>
      <c r="J197" s="30" t="n">
        <f aca="false">IF($E197="Direto (1RM real)",$F197,IF(OR($H197="",$I197=""),"",ROUND(AVERAGE($H197,$I197),1)))</f>
        <v>175</v>
      </c>
      <c r="K197" s="35" t="n">
        <f aca="false">IF($C197="","",IFERROR(INDEX(Cadastro!$P$8:$P$47,MATCH($C197,Cadastro!$B$8:$B$47,0)),""))</f>
        <v>97.5</v>
      </c>
      <c r="L197" s="36" t="n">
        <f aca="false">IFERROR($J197/$K197,"")</f>
        <v>1.7948717948718</v>
      </c>
      <c r="M197" s="45"/>
      <c r="N197" s="27" t="s">
        <v>373</v>
      </c>
    </row>
    <row r="198" customFormat="false" ht="15" hidden="false" customHeight="false" outlineLevel="0" collapsed="false">
      <c r="A198" s="29" t="n">
        <v>46228</v>
      </c>
      <c r="B198" s="33" t="n">
        <f aca="false">IF($A198="",0,INT(($A198-Macrociclo!$C$11)/7)+1)</f>
        <v>29</v>
      </c>
      <c r="C198" s="27" t="s">
        <v>264</v>
      </c>
      <c r="D198" s="27" t="s">
        <v>695</v>
      </c>
      <c r="E198" s="27" t="s">
        <v>1205</v>
      </c>
      <c r="F198" s="32" t="n">
        <v>142.5</v>
      </c>
      <c r="G198" s="28" t="n">
        <v>1</v>
      </c>
      <c r="H198" s="35" t="n">
        <f aca="false">IF(OR($F198="",$G198=""),"",ROUND($F198*(1+$G198/30),1))</f>
        <v>147.3</v>
      </c>
      <c r="I198" s="35" t="n">
        <f aca="false">IF(OR($F198="",$G198="",$G198&gt;36),"",ROUND($F198/(1.0278-0.0278*$G198),1))</f>
        <v>142.5</v>
      </c>
      <c r="J198" s="30" t="n">
        <f aca="false">IF($E198="Direto (1RM real)",$F198,IF(OR($H198="",$I198=""),"",ROUND(AVERAGE($H198,$I198),1)))</f>
        <v>142.5</v>
      </c>
      <c r="K198" s="35" t="n">
        <f aca="false">IF($C198="","",IFERROR(INDEX(Cadastro!$P$8:$P$47,MATCH($C198,Cadastro!$B$8:$B$47,0)),""))</f>
        <v>97.5</v>
      </c>
      <c r="L198" s="36" t="n">
        <f aca="false">IFERROR($J198/$K198,"")</f>
        <v>1.46153846153846</v>
      </c>
      <c r="M198" s="45"/>
      <c r="N198" s="27" t="s">
        <v>373</v>
      </c>
    </row>
    <row r="199" customFormat="false" ht="15" hidden="false" customHeight="false" outlineLevel="0" collapsed="false">
      <c r="A199" s="29" t="n">
        <v>46228</v>
      </c>
      <c r="B199" s="33" t="n">
        <f aca="false">IF($A199="",0,INT(($A199-Macrociclo!$C$11)/7)+1)</f>
        <v>29</v>
      </c>
      <c r="C199" s="27" t="s">
        <v>264</v>
      </c>
      <c r="D199" s="27" t="s">
        <v>701</v>
      </c>
      <c r="E199" s="27" t="s">
        <v>1205</v>
      </c>
      <c r="F199" s="32" t="n">
        <v>137.5</v>
      </c>
      <c r="G199" s="28" t="n">
        <v>1</v>
      </c>
      <c r="H199" s="35" t="n">
        <f aca="false">IF(OR($F199="",$G199=""),"",ROUND($F199*(1+$G199/30),1))</f>
        <v>142.1</v>
      </c>
      <c r="I199" s="35" t="n">
        <f aca="false">IF(OR($F199="",$G199="",$G199&gt;36),"",ROUND($F199/(1.0278-0.0278*$G199),1))</f>
        <v>137.5</v>
      </c>
      <c r="J199" s="30" t="n">
        <f aca="false">IF($E199="Direto (1RM real)",$F199,IF(OR($H199="",$I199=""),"",ROUND(AVERAGE($H199,$I199),1)))</f>
        <v>137.5</v>
      </c>
      <c r="K199" s="35" t="n">
        <f aca="false">IF($C199="","",IFERROR(INDEX(Cadastro!$P$8:$P$47,MATCH($C199,Cadastro!$B$8:$B$47,0)),""))</f>
        <v>97.5</v>
      </c>
      <c r="L199" s="36" t="n">
        <f aca="false">IFERROR($J199/$K199,"")</f>
        <v>1.41025641025641</v>
      </c>
      <c r="M199" s="45"/>
      <c r="N199" s="27" t="s">
        <v>373</v>
      </c>
    </row>
    <row r="200" customFormat="false" ht="15" hidden="false" customHeight="false" outlineLevel="0" collapsed="false">
      <c r="A200" s="29" t="n">
        <v>46228</v>
      </c>
      <c r="B200" s="33" t="n">
        <f aca="false">IF($A200="",0,INT(($A200-Macrociclo!$C$11)/7)+1)</f>
        <v>29</v>
      </c>
      <c r="C200" s="27" t="s">
        <v>264</v>
      </c>
      <c r="D200" s="27" t="s">
        <v>758</v>
      </c>
      <c r="E200" s="27" t="s">
        <v>1205</v>
      </c>
      <c r="F200" s="32" t="n">
        <v>195</v>
      </c>
      <c r="G200" s="28" t="n">
        <v>1</v>
      </c>
      <c r="H200" s="35" t="n">
        <f aca="false">IF(OR($F200="",$G200=""),"",ROUND($F200*(1+$G200/30),1))</f>
        <v>201.5</v>
      </c>
      <c r="I200" s="35" t="n">
        <f aca="false">IF(OR($F200="",$G200="",$G200&gt;36),"",ROUND($F200/(1.0278-0.0278*$G200),1))</f>
        <v>195</v>
      </c>
      <c r="J200" s="30" t="n">
        <f aca="false">IF($E200="Direto (1RM real)",$F200,IF(OR($H200="",$I200=""),"",ROUND(AVERAGE($H200,$I200),1)))</f>
        <v>195</v>
      </c>
      <c r="K200" s="35" t="n">
        <f aca="false">IF($C200="","",IFERROR(INDEX(Cadastro!$P$8:$P$47,MATCH($C200,Cadastro!$B$8:$B$47,0)),""))</f>
        <v>97.5</v>
      </c>
      <c r="L200" s="36" t="n">
        <f aca="false">IFERROR($J200/$K200,"")</f>
        <v>2</v>
      </c>
      <c r="M200" s="45"/>
      <c r="N200" s="27" t="s">
        <v>373</v>
      </c>
    </row>
    <row r="201" customFormat="false" ht="15" hidden="false" customHeight="false" outlineLevel="0" collapsed="false">
      <c r="A201" s="29" t="n">
        <v>46228</v>
      </c>
      <c r="B201" s="33" t="n">
        <f aca="false">IF($A201="",0,INT(($A201-Macrociclo!$C$11)/7)+1)</f>
        <v>29</v>
      </c>
      <c r="C201" s="27" t="s">
        <v>264</v>
      </c>
      <c r="D201" s="27" t="s">
        <v>648</v>
      </c>
      <c r="E201" s="27" t="s">
        <v>1205</v>
      </c>
      <c r="F201" s="32" t="n">
        <v>100</v>
      </c>
      <c r="G201" s="28" t="n">
        <v>1</v>
      </c>
      <c r="H201" s="35" t="n">
        <f aca="false">IF(OR($F201="",$G201=""),"",ROUND($F201*(1+$G201/30),1))</f>
        <v>103.3</v>
      </c>
      <c r="I201" s="35" t="n">
        <f aca="false">IF(OR($F201="",$G201="",$G201&gt;36),"",ROUND($F201/(1.0278-0.0278*$G201),1))</f>
        <v>100</v>
      </c>
      <c r="J201" s="30" t="n">
        <f aca="false">IF($E201="Direto (1RM real)",$F201,IF(OR($H201="",$I201=""),"",ROUND(AVERAGE($H201,$I201),1)))</f>
        <v>100</v>
      </c>
      <c r="K201" s="35" t="n">
        <f aca="false">IF($C201="","",IFERROR(INDEX(Cadastro!$P$8:$P$47,MATCH($C201,Cadastro!$B$8:$B$47,0)),""))</f>
        <v>97.5</v>
      </c>
      <c r="L201" s="36" t="n">
        <f aca="false">IFERROR($J201/$K201,"")</f>
        <v>1.02564102564103</v>
      </c>
      <c r="M201" s="45"/>
      <c r="N201" s="27" t="s">
        <v>373</v>
      </c>
    </row>
    <row r="202" customFormat="false" ht="15" hidden="false" customHeight="false" outlineLevel="0" collapsed="false">
      <c r="A202" s="29" t="n">
        <v>46228</v>
      </c>
      <c r="B202" s="33" t="n">
        <f aca="false">IF($A202="",0,INT(($A202-Macrociclo!$C$11)/7)+1)</f>
        <v>29</v>
      </c>
      <c r="C202" s="27" t="s">
        <v>264</v>
      </c>
      <c r="D202" s="27" t="s">
        <v>644</v>
      </c>
      <c r="E202" s="27" t="s">
        <v>1205</v>
      </c>
      <c r="F202" s="32" t="n">
        <v>82.5</v>
      </c>
      <c r="G202" s="28" t="n">
        <v>1</v>
      </c>
      <c r="H202" s="35" t="n">
        <f aca="false">IF(OR($F202="",$G202=""),"",ROUND($F202*(1+$G202/30),1))</f>
        <v>85.3</v>
      </c>
      <c r="I202" s="35" t="n">
        <f aca="false">IF(OR($F202="",$G202="",$G202&gt;36),"",ROUND($F202/(1.0278-0.0278*$G202),1))</f>
        <v>82.5</v>
      </c>
      <c r="J202" s="30" t="n">
        <f aca="false">IF($E202="Direto (1RM real)",$F202,IF(OR($H202="",$I202=""),"",ROUND(AVERAGE($H202,$I202),1)))</f>
        <v>82.5</v>
      </c>
      <c r="K202" s="35" t="n">
        <f aca="false">IF($C202="","",IFERROR(INDEX(Cadastro!$P$8:$P$47,MATCH($C202,Cadastro!$B$8:$B$47,0)),""))</f>
        <v>97.5</v>
      </c>
      <c r="L202" s="36" t="n">
        <f aca="false">IFERROR($J202/$K202,"")</f>
        <v>0.846153846153846</v>
      </c>
      <c r="M202" s="45"/>
      <c r="N202" s="27" t="s">
        <v>373</v>
      </c>
    </row>
    <row r="203" customFormat="false" ht="15" hidden="false" customHeight="false" outlineLevel="0" collapsed="false">
      <c r="A203" s="29" t="n">
        <v>46228</v>
      </c>
      <c r="B203" s="33" t="n">
        <f aca="false">IF($A203="",0,INT(($A203-Macrociclo!$C$11)/7)+1)</f>
        <v>29</v>
      </c>
      <c r="C203" s="27" t="s">
        <v>264</v>
      </c>
      <c r="D203" s="27" t="s">
        <v>660</v>
      </c>
      <c r="E203" s="27" t="s">
        <v>1205</v>
      </c>
      <c r="F203" s="32" t="n">
        <v>57.5</v>
      </c>
      <c r="G203" s="28" t="n">
        <v>1</v>
      </c>
      <c r="H203" s="35" t="n">
        <f aca="false">IF(OR($F203="",$G203=""),"",ROUND($F203*(1+$G203/30),1))</f>
        <v>59.4</v>
      </c>
      <c r="I203" s="35" t="n">
        <f aca="false">IF(OR($F203="",$G203="",$G203&gt;36),"",ROUND($F203/(1.0278-0.0278*$G203),1))</f>
        <v>57.5</v>
      </c>
      <c r="J203" s="30" t="n">
        <f aca="false">IF($E203="Direto (1RM real)",$F203,IF(OR($H203="",$I203=""),"",ROUND(AVERAGE($H203,$I203),1)))</f>
        <v>57.5</v>
      </c>
      <c r="K203" s="35" t="n">
        <f aca="false">IF($C203="","",IFERROR(INDEX(Cadastro!$P$8:$P$47,MATCH($C203,Cadastro!$B$8:$B$47,0)),""))</f>
        <v>97.5</v>
      </c>
      <c r="L203" s="36" t="n">
        <f aca="false">IFERROR($J203/$K203,"")</f>
        <v>0.58974358974359</v>
      </c>
      <c r="M203" s="45"/>
      <c r="N203" s="27" t="s">
        <v>373</v>
      </c>
    </row>
    <row r="204" customFormat="false" ht="15" hidden="false" customHeight="false" outlineLevel="0" collapsed="false">
      <c r="A204" s="29" t="n">
        <v>46228</v>
      </c>
      <c r="B204" s="33" t="n">
        <f aca="false">IF($A204="",0,INT(($A204-Macrociclo!$C$11)/7)+1)</f>
        <v>29</v>
      </c>
      <c r="C204" s="27" t="s">
        <v>264</v>
      </c>
      <c r="D204" s="27" t="s">
        <v>953</v>
      </c>
      <c r="E204" s="27" t="s">
        <v>1205</v>
      </c>
      <c r="F204" s="32" t="n">
        <v>100</v>
      </c>
      <c r="G204" s="28" t="n">
        <v>1</v>
      </c>
      <c r="H204" s="35" t="n">
        <f aca="false">IF(OR($F204="",$G204=""),"",ROUND($F204*(1+$G204/30),1))</f>
        <v>103.3</v>
      </c>
      <c r="I204" s="35" t="n">
        <f aca="false">IF(OR($F204="",$G204="",$G204&gt;36),"",ROUND($F204/(1.0278-0.0278*$G204),1))</f>
        <v>100</v>
      </c>
      <c r="J204" s="30" t="n">
        <f aca="false">IF($E204="Direto (1RM real)",$F204,IF(OR($H204="",$I204=""),"",ROUND(AVERAGE($H204,$I204),1)))</f>
        <v>100</v>
      </c>
      <c r="K204" s="35" t="n">
        <f aca="false">IF($C204="","",IFERROR(INDEX(Cadastro!$P$8:$P$47,MATCH($C204,Cadastro!$B$8:$B$47,0)),""))</f>
        <v>97.5</v>
      </c>
      <c r="L204" s="36" t="n">
        <f aca="false">IFERROR($J204/$K204,"")</f>
        <v>1.02564102564103</v>
      </c>
      <c r="M204" s="45"/>
      <c r="N204" s="27" t="s">
        <v>373</v>
      </c>
    </row>
    <row r="205" customFormat="false" ht="15" hidden="false" customHeight="false" outlineLevel="0" collapsed="false">
      <c r="A205" s="29" t="n">
        <v>46228</v>
      </c>
      <c r="B205" s="33" t="n">
        <f aca="false">IF($A205="",0,INT(($A205-Macrociclo!$C$11)/7)+1)</f>
        <v>29</v>
      </c>
      <c r="C205" s="27" t="s">
        <v>264</v>
      </c>
      <c r="D205" s="27" t="s">
        <v>620</v>
      </c>
      <c r="E205" s="27" t="s">
        <v>1205</v>
      </c>
      <c r="F205" s="32" t="n">
        <v>135</v>
      </c>
      <c r="G205" s="28" t="n">
        <v>1</v>
      </c>
      <c r="H205" s="35" t="n">
        <f aca="false">IF(OR($F205="",$G205=""),"",ROUND($F205*(1+$G205/30),1))</f>
        <v>139.5</v>
      </c>
      <c r="I205" s="35" t="n">
        <f aca="false">IF(OR($F205="",$G205="",$G205&gt;36),"",ROUND($F205/(1.0278-0.0278*$G205),1))</f>
        <v>135</v>
      </c>
      <c r="J205" s="30" t="n">
        <f aca="false">IF($E205="Direto (1RM real)",$F205,IF(OR($H205="",$I205=""),"",ROUND(AVERAGE($H205,$I205),1)))</f>
        <v>135</v>
      </c>
      <c r="K205" s="35" t="n">
        <f aca="false">IF($C205="","",IFERROR(INDEX(Cadastro!$P$8:$P$47,MATCH($C205,Cadastro!$B$8:$B$47,0)),""))</f>
        <v>97.5</v>
      </c>
      <c r="L205" s="36" t="n">
        <f aca="false">IFERROR($J205/$K205,"")</f>
        <v>1.38461538461538</v>
      </c>
      <c r="M205" s="45"/>
      <c r="N205" s="27" t="s">
        <v>373</v>
      </c>
    </row>
    <row r="206" customFormat="false" ht="15" hidden="false" customHeight="false" outlineLevel="0" collapsed="false">
      <c r="A206" s="29" t="n">
        <v>46228</v>
      </c>
      <c r="B206" s="33" t="n">
        <f aca="false">IF($A206="",0,INT(($A206-Macrociclo!$C$11)/7)+1)</f>
        <v>29</v>
      </c>
      <c r="C206" s="27" t="s">
        <v>270</v>
      </c>
      <c r="D206" s="27" t="s">
        <v>688</v>
      </c>
      <c r="E206" s="27" t="s">
        <v>1205</v>
      </c>
      <c r="F206" s="32" t="n">
        <v>177.5</v>
      </c>
      <c r="G206" s="28" t="n">
        <v>1</v>
      </c>
      <c r="H206" s="35" t="n">
        <f aca="false">IF(OR($F206="",$G206=""),"",ROUND($F206*(1+$G206/30),1))</f>
        <v>183.4</v>
      </c>
      <c r="I206" s="35" t="n">
        <f aca="false">IF(OR($F206="",$G206="",$G206&gt;36),"",ROUND($F206/(1.0278-0.0278*$G206),1))</f>
        <v>177.5</v>
      </c>
      <c r="J206" s="30" t="n">
        <f aca="false">IF($E206="Direto (1RM real)",$F206,IF(OR($H206="",$I206=""),"",ROUND(AVERAGE($H206,$I206),1)))</f>
        <v>177.5</v>
      </c>
      <c r="K206" s="35" t="n">
        <f aca="false">IF($C206="","",IFERROR(INDEX(Cadastro!$P$8:$P$47,MATCH($C206,Cadastro!$B$8:$B$47,0)),""))</f>
        <v>91.8</v>
      </c>
      <c r="L206" s="36" t="n">
        <f aca="false">IFERROR($J206/$K206,"")</f>
        <v>1.93355119825708</v>
      </c>
      <c r="M206" s="45"/>
      <c r="N206" s="27" t="s">
        <v>373</v>
      </c>
    </row>
    <row r="207" customFormat="false" ht="15" hidden="false" customHeight="false" outlineLevel="0" collapsed="false">
      <c r="A207" s="29" t="n">
        <v>46228</v>
      </c>
      <c r="B207" s="33" t="n">
        <f aca="false">IF($A207="",0,INT(($A207-Macrociclo!$C$11)/7)+1)</f>
        <v>29</v>
      </c>
      <c r="C207" s="27" t="s">
        <v>270</v>
      </c>
      <c r="D207" s="27" t="s">
        <v>695</v>
      </c>
      <c r="E207" s="27" t="s">
        <v>1205</v>
      </c>
      <c r="F207" s="32" t="n">
        <v>135</v>
      </c>
      <c r="G207" s="28" t="n">
        <v>1</v>
      </c>
      <c r="H207" s="35" t="n">
        <f aca="false">IF(OR($F207="",$G207=""),"",ROUND($F207*(1+$G207/30),1))</f>
        <v>139.5</v>
      </c>
      <c r="I207" s="35" t="n">
        <f aca="false">IF(OR($F207="",$G207="",$G207&gt;36),"",ROUND($F207/(1.0278-0.0278*$G207),1))</f>
        <v>135</v>
      </c>
      <c r="J207" s="30" t="n">
        <f aca="false">IF($E207="Direto (1RM real)",$F207,IF(OR($H207="",$I207=""),"",ROUND(AVERAGE($H207,$I207),1)))</f>
        <v>135</v>
      </c>
      <c r="K207" s="35" t="n">
        <f aca="false">IF($C207="","",IFERROR(INDEX(Cadastro!$P$8:$P$47,MATCH($C207,Cadastro!$B$8:$B$47,0)),""))</f>
        <v>91.8</v>
      </c>
      <c r="L207" s="36" t="n">
        <f aca="false">IFERROR($J207/$K207,"")</f>
        <v>1.47058823529412</v>
      </c>
      <c r="M207" s="45"/>
      <c r="N207" s="27" t="s">
        <v>373</v>
      </c>
    </row>
    <row r="208" customFormat="false" ht="15" hidden="false" customHeight="false" outlineLevel="0" collapsed="false">
      <c r="A208" s="29" t="n">
        <v>46228</v>
      </c>
      <c r="B208" s="33" t="n">
        <f aca="false">IF($A208="",0,INT(($A208-Macrociclo!$C$11)/7)+1)</f>
        <v>29</v>
      </c>
      <c r="C208" s="27" t="s">
        <v>270</v>
      </c>
      <c r="D208" s="27" t="s">
        <v>701</v>
      </c>
      <c r="E208" s="27" t="s">
        <v>1205</v>
      </c>
      <c r="F208" s="32" t="n">
        <v>137.5</v>
      </c>
      <c r="G208" s="28" t="n">
        <v>1</v>
      </c>
      <c r="H208" s="35" t="n">
        <f aca="false">IF(OR($F208="",$G208=""),"",ROUND($F208*(1+$G208/30),1))</f>
        <v>142.1</v>
      </c>
      <c r="I208" s="35" t="n">
        <f aca="false">IF(OR($F208="",$G208="",$G208&gt;36),"",ROUND($F208/(1.0278-0.0278*$G208),1))</f>
        <v>137.5</v>
      </c>
      <c r="J208" s="30" t="n">
        <f aca="false">IF($E208="Direto (1RM real)",$F208,IF(OR($H208="",$I208=""),"",ROUND(AVERAGE($H208,$I208),1)))</f>
        <v>137.5</v>
      </c>
      <c r="K208" s="35" t="n">
        <f aca="false">IF($C208="","",IFERROR(INDEX(Cadastro!$P$8:$P$47,MATCH($C208,Cadastro!$B$8:$B$47,0)),""))</f>
        <v>91.8</v>
      </c>
      <c r="L208" s="36" t="n">
        <f aca="false">IFERROR($J208/$K208,"")</f>
        <v>1.49782135076253</v>
      </c>
      <c r="M208" s="45"/>
      <c r="N208" s="27" t="s">
        <v>373</v>
      </c>
    </row>
    <row r="209" customFormat="false" ht="15" hidden="false" customHeight="false" outlineLevel="0" collapsed="false">
      <c r="A209" s="29" t="n">
        <v>46228</v>
      </c>
      <c r="B209" s="33" t="n">
        <f aca="false">IF($A209="",0,INT(($A209-Macrociclo!$C$11)/7)+1)</f>
        <v>29</v>
      </c>
      <c r="C209" s="27" t="s">
        <v>270</v>
      </c>
      <c r="D209" s="27" t="s">
        <v>758</v>
      </c>
      <c r="E209" s="27" t="s">
        <v>1205</v>
      </c>
      <c r="F209" s="32" t="n">
        <v>190</v>
      </c>
      <c r="G209" s="28" t="n">
        <v>1</v>
      </c>
      <c r="H209" s="35" t="n">
        <f aca="false">IF(OR($F209="",$G209=""),"",ROUND($F209*(1+$G209/30),1))</f>
        <v>196.3</v>
      </c>
      <c r="I209" s="35" t="n">
        <f aca="false">IF(OR($F209="",$G209="",$G209&gt;36),"",ROUND($F209/(1.0278-0.0278*$G209),1))</f>
        <v>190</v>
      </c>
      <c r="J209" s="30" t="n">
        <f aca="false">IF($E209="Direto (1RM real)",$F209,IF(OR($H209="",$I209=""),"",ROUND(AVERAGE($H209,$I209),1)))</f>
        <v>190</v>
      </c>
      <c r="K209" s="35" t="n">
        <f aca="false">IF($C209="","",IFERROR(INDEX(Cadastro!$P$8:$P$47,MATCH($C209,Cadastro!$B$8:$B$47,0)),""))</f>
        <v>91.8</v>
      </c>
      <c r="L209" s="36" t="n">
        <f aca="false">IFERROR($J209/$K209,"")</f>
        <v>2.06971677559913</v>
      </c>
      <c r="M209" s="45"/>
      <c r="N209" s="27" t="s">
        <v>373</v>
      </c>
    </row>
    <row r="210" customFormat="false" ht="15" hidden="false" customHeight="false" outlineLevel="0" collapsed="false">
      <c r="A210" s="29" t="n">
        <v>46228</v>
      </c>
      <c r="B210" s="33" t="n">
        <f aca="false">IF($A210="",0,INT(($A210-Macrociclo!$C$11)/7)+1)</f>
        <v>29</v>
      </c>
      <c r="C210" s="27" t="s">
        <v>270</v>
      </c>
      <c r="D210" s="27" t="s">
        <v>648</v>
      </c>
      <c r="E210" s="27" t="s">
        <v>1205</v>
      </c>
      <c r="F210" s="32" t="n">
        <v>110</v>
      </c>
      <c r="G210" s="28" t="n">
        <v>1</v>
      </c>
      <c r="H210" s="35" t="n">
        <f aca="false">IF(OR($F210="",$G210=""),"",ROUND($F210*(1+$G210/30),1))</f>
        <v>113.7</v>
      </c>
      <c r="I210" s="35" t="n">
        <f aca="false">IF(OR($F210="",$G210="",$G210&gt;36),"",ROUND($F210/(1.0278-0.0278*$G210),1))</f>
        <v>110</v>
      </c>
      <c r="J210" s="30" t="n">
        <f aca="false">IF($E210="Direto (1RM real)",$F210,IF(OR($H210="",$I210=""),"",ROUND(AVERAGE($H210,$I210),1)))</f>
        <v>110</v>
      </c>
      <c r="K210" s="35" t="n">
        <f aca="false">IF($C210="","",IFERROR(INDEX(Cadastro!$P$8:$P$47,MATCH($C210,Cadastro!$B$8:$B$47,0)),""))</f>
        <v>91.8</v>
      </c>
      <c r="L210" s="36" t="n">
        <f aca="false">IFERROR($J210/$K210,"")</f>
        <v>1.19825708061002</v>
      </c>
      <c r="M210" s="45"/>
      <c r="N210" s="27" t="s">
        <v>373</v>
      </c>
    </row>
    <row r="211" customFormat="false" ht="15" hidden="false" customHeight="false" outlineLevel="0" collapsed="false">
      <c r="A211" s="29" t="n">
        <v>46228</v>
      </c>
      <c r="B211" s="33" t="n">
        <f aca="false">IF($A211="",0,INT(($A211-Macrociclo!$C$11)/7)+1)</f>
        <v>29</v>
      </c>
      <c r="C211" s="27" t="s">
        <v>270</v>
      </c>
      <c r="D211" s="27" t="s">
        <v>644</v>
      </c>
      <c r="E211" s="27" t="s">
        <v>1205</v>
      </c>
      <c r="F211" s="32" t="n">
        <v>72.5</v>
      </c>
      <c r="G211" s="28" t="n">
        <v>1</v>
      </c>
      <c r="H211" s="35" t="n">
        <f aca="false">IF(OR($F211="",$G211=""),"",ROUND($F211*(1+$G211/30),1))</f>
        <v>74.9</v>
      </c>
      <c r="I211" s="35" t="n">
        <f aca="false">IF(OR($F211="",$G211="",$G211&gt;36),"",ROUND($F211/(1.0278-0.0278*$G211),1))</f>
        <v>72.5</v>
      </c>
      <c r="J211" s="30" t="n">
        <f aca="false">IF($E211="Direto (1RM real)",$F211,IF(OR($H211="",$I211=""),"",ROUND(AVERAGE($H211,$I211),1)))</f>
        <v>72.5</v>
      </c>
      <c r="K211" s="35" t="n">
        <f aca="false">IF($C211="","",IFERROR(INDEX(Cadastro!$P$8:$P$47,MATCH($C211,Cadastro!$B$8:$B$47,0)),""))</f>
        <v>91.8</v>
      </c>
      <c r="L211" s="36" t="n">
        <f aca="false">IFERROR($J211/$K211,"")</f>
        <v>0.789760348583878</v>
      </c>
      <c r="M211" s="45"/>
      <c r="N211" s="27" t="s">
        <v>373</v>
      </c>
    </row>
    <row r="212" customFormat="false" ht="15" hidden="false" customHeight="false" outlineLevel="0" collapsed="false">
      <c r="A212" s="29" t="n">
        <v>46228</v>
      </c>
      <c r="B212" s="33" t="n">
        <f aca="false">IF($A212="",0,INT(($A212-Macrociclo!$C$11)/7)+1)</f>
        <v>29</v>
      </c>
      <c r="C212" s="27" t="s">
        <v>270</v>
      </c>
      <c r="D212" s="27" t="s">
        <v>660</v>
      </c>
      <c r="E212" s="27" t="s">
        <v>1205</v>
      </c>
      <c r="F212" s="32" t="n">
        <v>55</v>
      </c>
      <c r="G212" s="28" t="n">
        <v>1</v>
      </c>
      <c r="H212" s="35" t="n">
        <f aca="false">IF(OR($F212="",$G212=""),"",ROUND($F212*(1+$G212/30),1))</f>
        <v>56.8</v>
      </c>
      <c r="I212" s="35" t="n">
        <f aca="false">IF(OR($F212="",$G212="",$G212&gt;36),"",ROUND($F212/(1.0278-0.0278*$G212),1))</f>
        <v>55</v>
      </c>
      <c r="J212" s="30" t="n">
        <f aca="false">IF($E212="Direto (1RM real)",$F212,IF(OR($H212="",$I212=""),"",ROUND(AVERAGE($H212,$I212),1)))</f>
        <v>55</v>
      </c>
      <c r="K212" s="35" t="n">
        <f aca="false">IF($C212="","",IFERROR(INDEX(Cadastro!$P$8:$P$47,MATCH($C212,Cadastro!$B$8:$B$47,0)),""))</f>
        <v>91.8</v>
      </c>
      <c r="L212" s="36" t="n">
        <f aca="false">IFERROR($J212/$K212,"")</f>
        <v>0.599128540305011</v>
      </c>
      <c r="M212" s="45"/>
      <c r="N212" s="27" t="s">
        <v>373</v>
      </c>
    </row>
    <row r="213" customFormat="false" ht="15" hidden="false" customHeight="false" outlineLevel="0" collapsed="false">
      <c r="A213" s="29" t="n">
        <v>46228</v>
      </c>
      <c r="B213" s="33" t="n">
        <f aca="false">IF($A213="",0,INT(($A213-Macrociclo!$C$11)/7)+1)</f>
        <v>29</v>
      </c>
      <c r="C213" s="27" t="s">
        <v>270</v>
      </c>
      <c r="D213" s="27" t="s">
        <v>953</v>
      </c>
      <c r="E213" s="27" t="s">
        <v>1205</v>
      </c>
      <c r="F213" s="32" t="n">
        <v>97.5</v>
      </c>
      <c r="G213" s="28" t="n">
        <v>1</v>
      </c>
      <c r="H213" s="35" t="n">
        <f aca="false">IF(OR($F213="",$G213=""),"",ROUND($F213*(1+$G213/30),1))</f>
        <v>100.8</v>
      </c>
      <c r="I213" s="35" t="n">
        <f aca="false">IF(OR($F213="",$G213="",$G213&gt;36),"",ROUND($F213/(1.0278-0.0278*$G213),1))</f>
        <v>97.5</v>
      </c>
      <c r="J213" s="30" t="n">
        <f aca="false">IF($E213="Direto (1RM real)",$F213,IF(OR($H213="",$I213=""),"",ROUND(AVERAGE($H213,$I213),1)))</f>
        <v>97.5</v>
      </c>
      <c r="K213" s="35" t="n">
        <f aca="false">IF($C213="","",IFERROR(INDEX(Cadastro!$P$8:$P$47,MATCH($C213,Cadastro!$B$8:$B$47,0)),""))</f>
        <v>91.8</v>
      </c>
      <c r="L213" s="36" t="n">
        <f aca="false">IFERROR($J213/$K213,"")</f>
        <v>1.06209150326797</v>
      </c>
      <c r="M213" s="45"/>
      <c r="N213" s="27" t="s">
        <v>373</v>
      </c>
    </row>
    <row r="214" customFormat="false" ht="15" hidden="false" customHeight="false" outlineLevel="0" collapsed="false">
      <c r="A214" s="29" t="n">
        <v>46228</v>
      </c>
      <c r="B214" s="33" t="n">
        <f aca="false">IF($A214="",0,INT(($A214-Macrociclo!$C$11)/7)+1)</f>
        <v>29</v>
      </c>
      <c r="C214" s="27" t="s">
        <v>270</v>
      </c>
      <c r="D214" s="27" t="s">
        <v>620</v>
      </c>
      <c r="E214" s="27" t="s">
        <v>1205</v>
      </c>
      <c r="F214" s="32" t="n">
        <v>125</v>
      </c>
      <c r="G214" s="28" t="n">
        <v>1</v>
      </c>
      <c r="H214" s="35" t="n">
        <f aca="false">IF(OR($F214="",$G214=""),"",ROUND($F214*(1+$G214/30),1))</f>
        <v>129.2</v>
      </c>
      <c r="I214" s="35" t="n">
        <f aca="false">IF(OR($F214="",$G214="",$G214&gt;36),"",ROUND($F214/(1.0278-0.0278*$G214),1))</f>
        <v>125</v>
      </c>
      <c r="J214" s="30" t="n">
        <f aca="false">IF($E214="Direto (1RM real)",$F214,IF(OR($H214="",$I214=""),"",ROUND(AVERAGE($H214,$I214),1)))</f>
        <v>125</v>
      </c>
      <c r="K214" s="35" t="n">
        <f aca="false">IF($C214="","",IFERROR(INDEX(Cadastro!$P$8:$P$47,MATCH($C214,Cadastro!$B$8:$B$47,0)),""))</f>
        <v>91.8</v>
      </c>
      <c r="L214" s="36" t="n">
        <f aca="false">IFERROR($J214/$K214,"")</f>
        <v>1.36165577342048</v>
      </c>
      <c r="M214" s="45"/>
      <c r="N214" s="27" t="s">
        <v>373</v>
      </c>
    </row>
    <row r="215" customFormat="false" ht="15" hidden="false" customHeight="false" outlineLevel="0" collapsed="false">
      <c r="A215" s="29" t="n">
        <v>46228</v>
      </c>
      <c r="B215" s="33" t="n">
        <f aca="false">IF($A215="",0,INT(($A215-Macrociclo!$C$11)/7)+1)</f>
        <v>29</v>
      </c>
      <c r="C215" s="27" t="s">
        <v>279</v>
      </c>
      <c r="D215" s="27" t="s">
        <v>688</v>
      </c>
      <c r="E215" s="27" t="s">
        <v>1205</v>
      </c>
      <c r="F215" s="32" t="n">
        <v>132.5</v>
      </c>
      <c r="G215" s="28" t="n">
        <v>1</v>
      </c>
      <c r="H215" s="35" t="n">
        <f aca="false">IF(OR($F215="",$G215=""),"",ROUND($F215*(1+$G215/30),1))</f>
        <v>136.9</v>
      </c>
      <c r="I215" s="35" t="n">
        <f aca="false">IF(OR($F215="",$G215="",$G215&gt;36),"",ROUND($F215/(1.0278-0.0278*$G215),1))</f>
        <v>132.5</v>
      </c>
      <c r="J215" s="30" t="n">
        <f aca="false">IF($E215="Direto (1RM real)",$F215,IF(OR($H215="",$I215=""),"",ROUND(AVERAGE($H215,$I215),1)))</f>
        <v>132.5</v>
      </c>
      <c r="K215" s="35" t="n">
        <f aca="false">IF($C215="","",IFERROR(INDEX(Cadastro!$P$8:$P$47,MATCH($C215,Cadastro!$B$8:$B$47,0)),""))</f>
        <v>78.2</v>
      </c>
      <c r="L215" s="36" t="n">
        <f aca="false">IFERROR($J215/$K215,"")</f>
        <v>1.69437340153453</v>
      </c>
      <c r="M215" s="45"/>
      <c r="N215" s="27" t="s">
        <v>373</v>
      </c>
    </row>
    <row r="216" customFormat="false" ht="15" hidden="false" customHeight="false" outlineLevel="0" collapsed="false">
      <c r="A216" s="29" t="n">
        <v>46228</v>
      </c>
      <c r="B216" s="33" t="n">
        <f aca="false">IF($A216="",0,INT(($A216-Macrociclo!$C$11)/7)+1)</f>
        <v>29</v>
      </c>
      <c r="C216" s="27" t="s">
        <v>279</v>
      </c>
      <c r="D216" s="27" t="s">
        <v>695</v>
      </c>
      <c r="E216" s="27" t="s">
        <v>1205</v>
      </c>
      <c r="F216" s="32" t="n">
        <v>112.5</v>
      </c>
      <c r="G216" s="28" t="n">
        <v>1</v>
      </c>
      <c r="H216" s="35" t="n">
        <f aca="false">IF(OR($F216="",$G216=""),"",ROUND($F216*(1+$G216/30),1))</f>
        <v>116.3</v>
      </c>
      <c r="I216" s="35" t="n">
        <f aca="false">IF(OR($F216="",$G216="",$G216&gt;36),"",ROUND($F216/(1.0278-0.0278*$G216),1))</f>
        <v>112.5</v>
      </c>
      <c r="J216" s="30" t="n">
        <f aca="false">IF($E216="Direto (1RM real)",$F216,IF(OR($H216="",$I216=""),"",ROUND(AVERAGE($H216,$I216),1)))</f>
        <v>112.5</v>
      </c>
      <c r="K216" s="35" t="n">
        <f aca="false">IF($C216="","",IFERROR(INDEX(Cadastro!$P$8:$P$47,MATCH($C216,Cadastro!$B$8:$B$47,0)),""))</f>
        <v>78.2</v>
      </c>
      <c r="L216" s="36" t="n">
        <f aca="false">IFERROR($J216/$K216,"")</f>
        <v>1.4386189258312</v>
      </c>
      <c r="M216" s="45"/>
      <c r="N216" s="27" t="s">
        <v>373</v>
      </c>
    </row>
    <row r="217" customFormat="false" ht="15" hidden="false" customHeight="false" outlineLevel="0" collapsed="false">
      <c r="A217" s="29" t="n">
        <v>46228</v>
      </c>
      <c r="B217" s="33" t="n">
        <f aca="false">IF($A217="",0,INT(($A217-Macrociclo!$C$11)/7)+1)</f>
        <v>29</v>
      </c>
      <c r="C217" s="27" t="s">
        <v>279</v>
      </c>
      <c r="D217" s="27" t="s">
        <v>701</v>
      </c>
      <c r="E217" s="27" t="s">
        <v>1205</v>
      </c>
      <c r="F217" s="32" t="n">
        <v>120</v>
      </c>
      <c r="G217" s="28" t="n">
        <v>1</v>
      </c>
      <c r="H217" s="35" t="n">
        <f aca="false">IF(OR($F217="",$G217=""),"",ROUND($F217*(1+$G217/30),1))</f>
        <v>124</v>
      </c>
      <c r="I217" s="35" t="n">
        <f aca="false">IF(OR($F217="",$G217="",$G217&gt;36),"",ROUND($F217/(1.0278-0.0278*$G217),1))</f>
        <v>120</v>
      </c>
      <c r="J217" s="30" t="n">
        <f aca="false">IF($E217="Direto (1RM real)",$F217,IF(OR($H217="",$I217=""),"",ROUND(AVERAGE($H217,$I217),1)))</f>
        <v>120</v>
      </c>
      <c r="K217" s="35" t="n">
        <f aca="false">IF($C217="","",IFERROR(INDEX(Cadastro!$P$8:$P$47,MATCH($C217,Cadastro!$B$8:$B$47,0)),""))</f>
        <v>78.2</v>
      </c>
      <c r="L217" s="36" t="n">
        <f aca="false">IFERROR($J217/$K217,"")</f>
        <v>1.53452685421995</v>
      </c>
      <c r="M217" s="45"/>
      <c r="N217" s="27" t="s">
        <v>373</v>
      </c>
    </row>
    <row r="218" customFormat="false" ht="15" hidden="false" customHeight="false" outlineLevel="0" collapsed="false">
      <c r="A218" s="29" t="n">
        <v>46228</v>
      </c>
      <c r="B218" s="33" t="n">
        <f aca="false">IF($A218="",0,INT(($A218-Macrociclo!$C$11)/7)+1)</f>
        <v>29</v>
      </c>
      <c r="C218" s="27" t="s">
        <v>279</v>
      </c>
      <c r="D218" s="27" t="s">
        <v>758</v>
      </c>
      <c r="E218" s="27" t="s">
        <v>1205</v>
      </c>
      <c r="F218" s="32" t="n">
        <v>172.5</v>
      </c>
      <c r="G218" s="28" t="n">
        <v>1</v>
      </c>
      <c r="H218" s="35" t="n">
        <f aca="false">IF(OR($F218="",$G218=""),"",ROUND($F218*(1+$G218/30),1))</f>
        <v>178.3</v>
      </c>
      <c r="I218" s="35" t="n">
        <f aca="false">IF(OR($F218="",$G218="",$G218&gt;36),"",ROUND($F218/(1.0278-0.0278*$G218),1))</f>
        <v>172.5</v>
      </c>
      <c r="J218" s="30" t="n">
        <f aca="false">IF($E218="Direto (1RM real)",$F218,IF(OR($H218="",$I218=""),"",ROUND(AVERAGE($H218,$I218),1)))</f>
        <v>172.5</v>
      </c>
      <c r="K218" s="35" t="n">
        <f aca="false">IF($C218="","",IFERROR(INDEX(Cadastro!$P$8:$P$47,MATCH($C218,Cadastro!$B$8:$B$47,0)),""))</f>
        <v>78.2</v>
      </c>
      <c r="L218" s="36" t="n">
        <f aca="false">IFERROR($J218/$K218,"")</f>
        <v>2.20588235294118</v>
      </c>
      <c r="M218" s="45"/>
      <c r="N218" s="27" t="s">
        <v>373</v>
      </c>
    </row>
    <row r="219" customFormat="false" ht="15" hidden="false" customHeight="false" outlineLevel="0" collapsed="false">
      <c r="A219" s="29" t="n">
        <v>46228</v>
      </c>
      <c r="B219" s="33" t="n">
        <f aca="false">IF($A219="",0,INT(($A219-Macrociclo!$C$11)/7)+1)</f>
        <v>29</v>
      </c>
      <c r="C219" s="27" t="s">
        <v>279</v>
      </c>
      <c r="D219" s="27" t="s">
        <v>648</v>
      </c>
      <c r="E219" s="27" t="s">
        <v>1205</v>
      </c>
      <c r="F219" s="32" t="n">
        <v>82.5</v>
      </c>
      <c r="G219" s="28" t="n">
        <v>1</v>
      </c>
      <c r="H219" s="35" t="n">
        <f aca="false">IF(OR($F219="",$G219=""),"",ROUND($F219*(1+$G219/30),1))</f>
        <v>85.3</v>
      </c>
      <c r="I219" s="35" t="n">
        <f aca="false">IF(OR($F219="",$G219="",$G219&gt;36),"",ROUND($F219/(1.0278-0.0278*$G219),1))</f>
        <v>82.5</v>
      </c>
      <c r="J219" s="30" t="n">
        <f aca="false">IF($E219="Direto (1RM real)",$F219,IF(OR($H219="",$I219=""),"",ROUND(AVERAGE($H219,$I219),1)))</f>
        <v>82.5</v>
      </c>
      <c r="K219" s="35" t="n">
        <f aca="false">IF($C219="","",IFERROR(INDEX(Cadastro!$P$8:$P$47,MATCH($C219,Cadastro!$B$8:$B$47,0)),""))</f>
        <v>78.2</v>
      </c>
      <c r="L219" s="36" t="n">
        <f aca="false">IFERROR($J219/$K219,"")</f>
        <v>1.05498721227621</v>
      </c>
      <c r="M219" s="45"/>
      <c r="N219" s="27" t="s">
        <v>373</v>
      </c>
    </row>
    <row r="220" customFormat="false" ht="15" hidden="false" customHeight="false" outlineLevel="0" collapsed="false">
      <c r="A220" s="29" t="n">
        <v>46228</v>
      </c>
      <c r="B220" s="33" t="n">
        <f aca="false">IF($A220="",0,INT(($A220-Macrociclo!$C$11)/7)+1)</f>
        <v>29</v>
      </c>
      <c r="C220" s="27" t="s">
        <v>279</v>
      </c>
      <c r="D220" s="27" t="s">
        <v>644</v>
      </c>
      <c r="E220" s="27" t="s">
        <v>1205</v>
      </c>
      <c r="F220" s="32" t="n">
        <v>65</v>
      </c>
      <c r="G220" s="28" t="n">
        <v>1</v>
      </c>
      <c r="H220" s="35" t="n">
        <f aca="false">IF(OR($F220="",$G220=""),"",ROUND($F220*(1+$G220/30),1))</f>
        <v>67.2</v>
      </c>
      <c r="I220" s="35" t="n">
        <f aca="false">IF(OR($F220="",$G220="",$G220&gt;36),"",ROUND($F220/(1.0278-0.0278*$G220),1))</f>
        <v>65</v>
      </c>
      <c r="J220" s="30" t="n">
        <f aca="false">IF($E220="Direto (1RM real)",$F220,IF(OR($H220="",$I220=""),"",ROUND(AVERAGE($H220,$I220),1)))</f>
        <v>65</v>
      </c>
      <c r="K220" s="35" t="n">
        <f aca="false">IF($C220="","",IFERROR(INDEX(Cadastro!$P$8:$P$47,MATCH($C220,Cadastro!$B$8:$B$47,0)),""))</f>
        <v>78.2</v>
      </c>
      <c r="L220" s="36" t="n">
        <f aca="false">IFERROR($J220/$K220,"")</f>
        <v>0.831202046035806</v>
      </c>
      <c r="M220" s="45"/>
      <c r="N220" s="27" t="s">
        <v>373</v>
      </c>
    </row>
    <row r="221" customFormat="false" ht="15" hidden="false" customHeight="false" outlineLevel="0" collapsed="false">
      <c r="A221" s="29" t="n">
        <v>46228</v>
      </c>
      <c r="B221" s="33" t="n">
        <f aca="false">IF($A221="",0,INT(($A221-Macrociclo!$C$11)/7)+1)</f>
        <v>29</v>
      </c>
      <c r="C221" s="27" t="s">
        <v>279</v>
      </c>
      <c r="D221" s="27" t="s">
        <v>660</v>
      </c>
      <c r="E221" s="27" t="s">
        <v>1205</v>
      </c>
      <c r="F221" s="32" t="n">
        <v>47.5</v>
      </c>
      <c r="G221" s="28" t="n">
        <v>1</v>
      </c>
      <c r="H221" s="35" t="n">
        <f aca="false">IF(OR($F221="",$G221=""),"",ROUND($F221*(1+$G221/30),1))</f>
        <v>49.1</v>
      </c>
      <c r="I221" s="35" t="n">
        <f aca="false">IF(OR($F221="",$G221="",$G221&gt;36),"",ROUND($F221/(1.0278-0.0278*$G221),1))</f>
        <v>47.5</v>
      </c>
      <c r="J221" s="30" t="n">
        <f aca="false">IF($E221="Direto (1RM real)",$F221,IF(OR($H221="",$I221=""),"",ROUND(AVERAGE($H221,$I221),1)))</f>
        <v>47.5</v>
      </c>
      <c r="K221" s="35" t="n">
        <f aca="false">IF($C221="","",IFERROR(INDEX(Cadastro!$P$8:$P$47,MATCH($C221,Cadastro!$B$8:$B$47,0)),""))</f>
        <v>78.2</v>
      </c>
      <c r="L221" s="36" t="n">
        <f aca="false">IFERROR($J221/$K221,"")</f>
        <v>0.607416879795396</v>
      </c>
      <c r="M221" s="45"/>
      <c r="N221" s="27" t="s">
        <v>373</v>
      </c>
    </row>
    <row r="222" customFormat="false" ht="15" hidden="false" customHeight="false" outlineLevel="0" collapsed="false">
      <c r="A222" s="29" t="n">
        <v>46228</v>
      </c>
      <c r="B222" s="33" t="n">
        <f aca="false">IF($A222="",0,INT(($A222-Macrociclo!$C$11)/7)+1)</f>
        <v>29</v>
      </c>
      <c r="C222" s="27" t="s">
        <v>279</v>
      </c>
      <c r="D222" s="27" t="s">
        <v>953</v>
      </c>
      <c r="E222" s="27" t="s">
        <v>1205</v>
      </c>
      <c r="F222" s="32" t="n">
        <v>87.5</v>
      </c>
      <c r="G222" s="28" t="n">
        <v>1</v>
      </c>
      <c r="H222" s="35" t="n">
        <f aca="false">IF(OR($F222="",$G222=""),"",ROUND($F222*(1+$G222/30),1))</f>
        <v>90.4</v>
      </c>
      <c r="I222" s="35" t="n">
        <f aca="false">IF(OR($F222="",$G222="",$G222&gt;36),"",ROUND($F222/(1.0278-0.0278*$G222),1))</f>
        <v>87.5</v>
      </c>
      <c r="J222" s="30" t="n">
        <f aca="false">IF($E222="Direto (1RM real)",$F222,IF(OR($H222="",$I222=""),"",ROUND(AVERAGE($H222,$I222),1)))</f>
        <v>87.5</v>
      </c>
      <c r="K222" s="35" t="n">
        <f aca="false">IF($C222="","",IFERROR(INDEX(Cadastro!$P$8:$P$47,MATCH($C222,Cadastro!$B$8:$B$47,0)),""))</f>
        <v>78.2</v>
      </c>
      <c r="L222" s="36" t="n">
        <f aca="false">IFERROR($J222/$K222,"")</f>
        <v>1.11892583120205</v>
      </c>
      <c r="M222" s="45"/>
      <c r="N222" s="27" t="s">
        <v>373</v>
      </c>
    </row>
    <row r="223" customFormat="false" ht="15" hidden="false" customHeight="false" outlineLevel="0" collapsed="false">
      <c r="A223" s="29" t="n">
        <v>46228</v>
      </c>
      <c r="B223" s="33" t="n">
        <f aca="false">IF($A223="",0,INT(($A223-Macrociclo!$C$11)/7)+1)</f>
        <v>29</v>
      </c>
      <c r="C223" s="27" t="s">
        <v>279</v>
      </c>
      <c r="D223" s="27" t="s">
        <v>620</v>
      </c>
      <c r="E223" s="27" t="s">
        <v>1205</v>
      </c>
      <c r="F223" s="32" t="n">
        <v>107.5</v>
      </c>
      <c r="G223" s="28" t="n">
        <v>1</v>
      </c>
      <c r="H223" s="35" t="n">
        <f aca="false">IF(OR($F223="",$G223=""),"",ROUND($F223*(1+$G223/30),1))</f>
        <v>111.1</v>
      </c>
      <c r="I223" s="35" t="n">
        <f aca="false">IF(OR($F223="",$G223="",$G223&gt;36),"",ROUND($F223/(1.0278-0.0278*$G223),1))</f>
        <v>107.5</v>
      </c>
      <c r="J223" s="30" t="n">
        <f aca="false">IF($E223="Direto (1RM real)",$F223,IF(OR($H223="",$I223=""),"",ROUND(AVERAGE($H223,$I223),1)))</f>
        <v>107.5</v>
      </c>
      <c r="K223" s="35" t="n">
        <f aca="false">IF($C223="","",IFERROR(INDEX(Cadastro!$P$8:$P$47,MATCH($C223,Cadastro!$B$8:$B$47,0)),""))</f>
        <v>78.2</v>
      </c>
      <c r="L223" s="36" t="n">
        <f aca="false">IFERROR($J223/$K223,"")</f>
        <v>1.37468030690537</v>
      </c>
      <c r="M223" s="45"/>
      <c r="N223" s="27" t="s">
        <v>373</v>
      </c>
    </row>
    <row r="224" customFormat="false" ht="15" hidden="false" customHeight="false" outlineLevel="0" collapsed="false">
      <c r="A224" s="29"/>
      <c r="B224" s="33" t="n">
        <f aca="false">IF($A224="",0,INT(($A224-Macrociclo!$C$11)/7)+1)</f>
        <v>0</v>
      </c>
      <c r="C224" s="27"/>
      <c r="D224" s="27"/>
      <c r="E224" s="27"/>
      <c r="F224" s="32"/>
      <c r="G224" s="28"/>
      <c r="H224" s="35" t="str">
        <f aca="false">IF(OR($F224="",$G224=""),"",ROUND($F224*(1+$G224/30),1))</f>
        <v/>
      </c>
      <c r="I224" s="35" t="str">
        <f aca="false">IF(OR($F224="",$G224="",$G224&gt;36),"",ROUND($F224/(1.0278-0.0278*$G224),1))</f>
        <v/>
      </c>
      <c r="J224" s="30" t="str">
        <f aca="false">IF($E224="Direto (1RM real)",$F224,IF(OR($H224="",$I224=""),"",ROUND(AVERAGE($H224,$I224),1)))</f>
        <v/>
      </c>
      <c r="K224" s="35" t="str">
        <f aca="false">IF($C224="","",IFERROR(INDEX(Cadastro!$P$8:$P$47,MATCH($C224,Cadastro!$B$8:$B$47,0)),""))</f>
        <v/>
      </c>
      <c r="L224" s="36" t="str">
        <f aca="false">IFERROR($J224/$K224,"")</f>
        <v/>
      </c>
      <c r="M224" s="45"/>
      <c r="N224" s="27"/>
    </row>
    <row r="225" customFormat="false" ht="15" hidden="false" customHeight="false" outlineLevel="0" collapsed="false">
      <c r="A225" s="29"/>
      <c r="B225" s="33" t="n">
        <f aca="false">IF($A225="",0,INT(($A225-Macrociclo!$C$11)/7)+1)</f>
        <v>0</v>
      </c>
      <c r="C225" s="27"/>
      <c r="D225" s="27"/>
      <c r="E225" s="27"/>
      <c r="F225" s="32"/>
      <c r="G225" s="28"/>
      <c r="H225" s="35" t="str">
        <f aca="false">IF(OR($F225="",$G225=""),"",ROUND($F225*(1+$G225/30),1))</f>
        <v/>
      </c>
      <c r="I225" s="35" t="str">
        <f aca="false">IF(OR($F225="",$G225="",$G225&gt;36),"",ROUND($F225/(1.0278-0.0278*$G225),1))</f>
        <v/>
      </c>
      <c r="J225" s="30" t="str">
        <f aca="false">IF($E225="Direto (1RM real)",$F225,IF(OR($H225="",$I225=""),"",ROUND(AVERAGE($H225,$I225),1)))</f>
        <v/>
      </c>
      <c r="K225" s="35" t="str">
        <f aca="false">IF($C225="","",IFERROR(INDEX(Cadastro!$P$8:$P$47,MATCH($C225,Cadastro!$B$8:$B$47,0)),""))</f>
        <v/>
      </c>
      <c r="L225" s="36" t="str">
        <f aca="false">IFERROR($J225/$K225,"")</f>
        <v/>
      </c>
      <c r="M225" s="45"/>
      <c r="N225" s="27"/>
    </row>
    <row r="226" customFormat="false" ht="15" hidden="false" customHeight="false" outlineLevel="0" collapsed="false">
      <c r="A226" s="29"/>
      <c r="B226" s="33" t="n">
        <f aca="false">IF($A226="",0,INT(($A226-Macrociclo!$C$11)/7)+1)</f>
        <v>0</v>
      </c>
      <c r="C226" s="27"/>
      <c r="D226" s="27"/>
      <c r="E226" s="27"/>
      <c r="F226" s="32"/>
      <c r="G226" s="28"/>
      <c r="H226" s="35" t="str">
        <f aca="false">IF(OR($F226="",$G226=""),"",ROUND($F226*(1+$G226/30),1))</f>
        <v/>
      </c>
      <c r="I226" s="35" t="str">
        <f aca="false">IF(OR($F226="",$G226="",$G226&gt;36),"",ROUND($F226/(1.0278-0.0278*$G226),1))</f>
        <v/>
      </c>
      <c r="J226" s="30" t="str">
        <f aca="false">IF($E226="Direto (1RM real)",$F226,IF(OR($H226="",$I226=""),"",ROUND(AVERAGE($H226,$I226),1)))</f>
        <v/>
      </c>
      <c r="K226" s="35" t="str">
        <f aca="false">IF($C226="","",IFERROR(INDEX(Cadastro!$P$8:$P$47,MATCH($C226,Cadastro!$B$8:$B$47,0)),""))</f>
        <v/>
      </c>
      <c r="L226" s="36" t="str">
        <f aca="false">IFERROR($J226/$K226,"")</f>
        <v/>
      </c>
      <c r="M226" s="45"/>
      <c r="N226" s="27"/>
    </row>
    <row r="227" customFormat="false" ht="15" hidden="false" customHeight="false" outlineLevel="0" collapsed="false">
      <c r="A227" s="29"/>
      <c r="B227" s="33" t="n">
        <f aca="false">IF($A227="",0,INT(($A227-Macrociclo!$C$11)/7)+1)</f>
        <v>0</v>
      </c>
      <c r="C227" s="27"/>
      <c r="D227" s="27"/>
      <c r="E227" s="27"/>
      <c r="F227" s="32"/>
      <c r="G227" s="28"/>
      <c r="H227" s="35" t="str">
        <f aca="false">IF(OR($F227="",$G227=""),"",ROUND($F227*(1+$G227/30),1))</f>
        <v/>
      </c>
      <c r="I227" s="35" t="str">
        <f aca="false">IF(OR($F227="",$G227="",$G227&gt;36),"",ROUND($F227/(1.0278-0.0278*$G227),1))</f>
        <v/>
      </c>
      <c r="J227" s="30" t="str">
        <f aca="false">IF($E227="Direto (1RM real)",$F227,IF(OR($H227="",$I227=""),"",ROUND(AVERAGE($H227,$I227),1)))</f>
        <v/>
      </c>
      <c r="K227" s="35" t="str">
        <f aca="false">IF($C227="","",IFERROR(INDEX(Cadastro!$P$8:$P$47,MATCH($C227,Cadastro!$B$8:$B$47,0)),""))</f>
        <v/>
      </c>
      <c r="L227" s="36" t="str">
        <f aca="false">IFERROR($J227/$K227,"")</f>
        <v/>
      </c>
      <c r="M227" s="45"/>
      <c r="N227" s="27"/>
    </row>
    <row r="228" customFormat="false" ht="15" hidden="false" customHeight="false" outlineLevel="0" collapsed="false">
      <c r="A228" s="29"/>
      <c r="B228" s="33" t="n">
        <f aca="false">IF($A228="",0,INT(($A228-Macrociclo!$C$11)/7)+1)</f>
        <v>0</v>
      </c>
      <c r="C228" s="27"/>
      <c r="D228" s="27"/>
      <c r="E228" s="27"/>
      <c r="F228" s="32"/>
      <c r="G228" s="28"/>
      <c r="H228" s="35" t="str">
        <f aca="false">IF(OR($F228="",$G228=""),"",ROUND($F228*(1+$G228/30),1))</f>
        <v/>
      </c>
      <c r="I228" s="35" t="str">
        <f aca="false">IF(OR($F228="",$G228="",$G228&gt;36),"",ROUND($F228/(1.0278-0.0278*$G228),1))</f>
        <v/>
      </c>
      <c r="J228" s="30" t="str">
        <f aca="false">IF($E228="Direto (1RM real)",$F228,IF(OR($H228="",$I228=""),"",ROUND(AVERAGE($H228,$I228),1)))</f>
        <v/>
      </c>
      <c r="K228" s="35" t="str">
        <f aca="false">IF($C228="","",IFERROR(INDEX(Cadastro!$P$8:$P$47,MATCH($C228,Cadastro!$B$8:$B$47,0)),""))</f>
        <v/>
      </c>
      <c r="L228" s="36" t="str">
        <f aca="false">IFERROR($J228/$K228,"")</f>
        <v/>
      </c>
      <c r="M228" s="45"/>
      <c r="N228" s="27"/>
    </row>
    <row r="229" customFormat="false" ht="15" hidden="false" customHeight="false" outlineLevel="0" collapsed="false">
      <c r="A229" s="29"/>
      <c r="B229" s="33" t="n">
        <f aca="false">IF($A229="",0,INT(($A229-Macrociclo!$C$11)/7)+1)</f>
        <v>0</v>
      </c>
      <c r="C229" s="27"/>
      <c r="D229" s="27"/>
      <c r="E229" s="27"/>
      <c r="F229" s="32"/>
      <c r="G229" s="28"/>
      <c r="H229" s="35" t="str">
        <f aca="false">IF(OR($F229="",$G229=""),"",ROUND($F229*(1+$G229/30),1))</f>
        <v/>
      </c>
      <c r="I229" s="35" t="str">
        <f aca="false">IF(OR($F229="",$G229="",$G229&gt;36),"",ROUND($F229/(1.0278-0.0278*$G229),1))</f>
        <v/>
      </c>
      <c r="J229" s="30" t="str">
        <f aca="false">IF($E229="Direto (1RM real)",$F229,IF(OR($H229="",$I229=""),"",ROUND(AVERAGE($H229,$I229),1)))</f>
        <v/>
      </c>
      <c r="K229" s="35" t="str">
        <f aca="false">IF($C229="","",IFERROR(INDEX(Cadastro!$P$8:$P$47,MATCH($C229,Cadastro!$B$8:$B$47,0)),""))</f>
        <v/>
      </c>
      <c r="L229" s="36" t="str">
        <f aca="false">IFERROR($J229/$K229,"")</f>
        <v/>
      </c>
      <c r="M229" s="45"/>
      <c r="N229" s="27"/>
    </row>
    <row r="230" customFormat="false" ht="15" hidden="false" customHeight="false" outlineLevel="0" collapsed="false">
      <c r="A230" s="29"/>
      <c r="B230" s="33" t="n">
        <f aca="false">IF($A230="",0,INT(($A230-Macrociclo!$C$11)/7)+1)</f>
        <v>0</v>
      </c>
      <c r="C230" s="27"/>
      <c r="D230" s="27"/>
      <c r="E230" s="27"/>
      <c r="F230" s="32"/>
      <c r="G230" s="28"/>
      <c r="H230" s="35" t="str">
        <f aca="false">IF(OR($F230="",$G230=""),"",ROUND($F230*(1+$G230/30),1))</f>
        <v/>
      </c>
      <c r="I230" s="35" t="str">
        <f aca="false">IF(OR($F230="",$G230="",$G230&gt;36),"",ROUND($F230/(1.0278-0.0278*$G230),1))</f>
        <v/>
      </c>
      <c r="J230" s="30" t="str">
        <f aca="false">IF($E230="Direto (1RM real)",$F230,IF(OR($H230="",$I230=""),"",ROUND(AVERAGE($H230,$I230),1)))</f>
        <v/>
      </c>
      <c r="K230" s="35" t="str">
        <f aca="false">IF($C230="","",IFERROR(INDEX(Cadastro!$P$8:$P$47,MATCH($C230,Cadastro!$B$8:$B$47,0)),""))</f>
        <v/>
      </c>
      <c r="L230" s="36" t="str">
        <f aca="false">IFERROR($J230/$K230,"")</f>
        <v/>
      </c>
      <c r="M230" s="45"/>
      <c r="N230" s="27"/>
    </row>
    <row r="231" customFormat="false" ht="15" hidden="false" customHeight="false" outlineLevel="0" collapsed="false">
      <c r="A231" s="29"/>
      <c r="B231" s="33" t="n">
        <f aca="false">IF($A231="",0,INT(($A231-Macrociclo!$C$11)/7)+1)</f>
        <v>0</v>
      </c>
      <c r="C231" s="27"/>
      <c r="D231" s="27"/>
      <c r="E231" s="27"/>
      <c r="F231" s="32"/>
      <c r="G231" s="28"/>
      <c r="H231" s="35" t="str">
        <f aca="false">IF(OR($F231="",$G231=""),"",ROUND($F231*(1+$G231/30),1))</f>
        <v/>
      </c>
      <c r="I231" s="35" t="str">
        <f aca="false">IF(OR($F231="",$G231="",$G231&gt;36),"",ROUND($F231/(1.0278-0.0278*$G231),1))</f>
        <v/>
      </c>
      <c r="J231" s="30" t="str">
        <f aca="false">IF($E231="Direto (1RM real)",$F231,IF(OR($H231="",$I231=""),"",ROUND(AVERAGE($H231,$I231),1)))</f>
        <v/>
      </c>
      <c r="K231" s="35" t="str">
        <f aca="false">IF($C231="","",IFERROR(INDEX(Cadastro!$P$8:$P$47,MATCH($C231,Cadastro!$B$8:$B$47,0)),""))</f>
        <v/>
      </c>
      <c r="L231" s="36" t="str">
        <f aca="false">IFERROR($J231/$K231,"")</f>
        <v/>
      </c>
      <c r="M231" s="45"/>
      <c r="N231" s="27"/>
    </row>
    <row r="232" customFormat="false" ht="15" hidden="false" customHeight="false" outlineLevel="0" collapsed="false">
      <c r="A232" s="29"/>
      <c r="B232" s="33" t="n">
        <f aca="false">IF($A232="",0,INT(($A232-Macrociclo!$C$11)/7)+1)</f>
        <v>0</v>
      </c>
      <c r="C232" s="27"/>
      <c r="D232" s="27"/>
      <c r="E232" s="27"/>
      <c r="F232" s="32"/>
      <c r="G232" s="28"/>
      <c r="H232" s="35" t="str">
        <f aca="false">IF(OR($F232="",$G232=""),"",ROUND($F232*(1+$G232/30),1))</f>
        <v/>
      </c>
      <c r="I232" s="35" t="str">
        <f aca="false">IF(OR($F232="",$G232="",$G232&gt;36),"",ROUND($F232/(1.0278-0.0278*$G232),1))</f>
        <v/>
      </c>
      <c r="J232" s="30" t="str">
        <f aca="false">IF($E232="Direto (1RM real)",$F232,IF(OR($H232="",$I232=""),"",ROUND(AVERAGE($H232,$I232),1)))</f>
        <v/>
      </c>
      <c r="K232" s="35" t="str">
        <f aca="false">IF($C232="","",IFERROR(INDEX(Cadastro!$P$8:$P$47,MATCH($C232,Cadastro!$B$8:$B$47,0)),""))</f>
        <v/>
      </c>
      <c r="L232" s="36" t="str">
        <f aca="false">IFERROR($J232/$K232,"")</f>
        <v/>
      </c>
      <c r="M232" s="45"/>
      <c r="N232" s="27"/>
    </row>
    <row r="233" customFormat="false" ht="15" hidden="false" customHeight="false" outlineLevel="0" collapsed="false">
      <c r="A233" s="29"/>
      <c r="B233" s="33" t="n">
        <f aca="false">IF($A233="",0,INT(($A233-Macrociclo!$C$11)/7)+1)</f>
        <v>0</v>
      </c>
      <c r="C233" s="27"/>
      <c r="D233" s="27"/>
      <c r="E233" s="27"/>
      <c r="F233" s="32"/>
      <c r="G233" s="28"/>
      <c r="H233" s="35" t="str">
        <f aca="false">IF(OR($F233="",$G233=""),"",ROUND($F233*(1+$G233/30),1))</f>
        <v/>
      </c>
      <c r="I233" s="35" t="str">
        <f aca="false">IF(OR($F233="",$G233="",$G233&gt;36),"",ROUND($F233/(1.0278-0.0278*$G233),1))</f>
        <v/>
      </c>
      <c r="J233" s="30" t="str">
        <f aca="false">IF($E233="Direto (1RM real)",$F233,IF(OR($H233="",$I233=""),"",ROUND(AVERAGE($H233,$I233),1)))</f>
        <v/>
      </c>
      <c r="K233" s="35" t="str">
        <f aca="false">IF($C233="","",IFERROR(INDEX(Cadastro!$P$8:$P$47,MATCH($C233,Cadastro!$B$8:$B$47,0)),""))</f>
        <v/>
      </c>
      <c r="L233" s="36" t="str">
        <f aca="false">IFERROR($J233/$K233,"")</f>
        <v/>
      </c>
      <c r="M233" s="45"/>
      <c r="N233" s="27"/>
    </row>
    <row r="234" customFormat="false" ht="15" hidden="false" customHeight="false" outlineLevel="0" collapsed="false">
      <c r="A234" s="29"/>
      <c r="B234" s="33" t="n">
        <f aca="false">IF($A234="",0,INT(($A234-Macrociclo!$C$11)/7)+1)</f>
        <v>0</v>
      </c>
      <c r="C234" s="27"/>
      <c r="D234" s="27"/>
      <c r="E234" s="27"/>
      <c r="F234" s="32"/>
      <c r="G234" s="28"/>
      <c r="H234" s="35" t="str">
        <f aca="false">IF(OR($F234="",$G234=""),"",ROUND($F234*(1+$G234/30),1))</f>
        <v/>
      </c>
      <c r="I234" s="35" t="str">
        <f aca="false">IF(OR($F234="",$G234="",$G234&gt;36),"",ROUND($F234/(1.0278-0.0278*$G234),1))</f>
        <v/>
      </c>
      <c r="J234" s="30" t="str">
        <f aca="false">IF($E234="Direto (1RM real)",$F234,IF(OR($H234="",$I234=""),"",ROUND(AVERAGE($H234,$I234),1)))</f>
        <v/>
      </c>
      <c r="K234" s="35" t="str">
        <f aca="false">IF($C234="","",IFERROR(INDEX(Cadastro!$P$8:$P$47,MATCH($C234,Cadastro!$B$8:$B$47,0)),""))</f>
        <v/>
      </c>
      <c r="L234" s="36" t="str">
        <f aca="false">IFERROR($J234/$K234,"")</f>
        <v/>
      </c>
      <c r="M234" s="45"/>
      <c r="N234" s="27"/>
    </row>
    <row r="235" customFormat="false" ht="15" hidden="false" customHeight="false" outlineLevel="0" collapsed="false">
      <c r="A235" s="29"/>
      <c r="B235" s="33" t="n">
        <f aca="false">IF($A235="",0,INT(($A235-Macrociclo!$C$11)/7)+1)</f>
        <v>0</v>
      </c>
      <c r="C235" s="27"/>
      <c r="D235" s="27"/>
      <c r="E235" s="27"/>
      <c r="F235" s="32"/>
      <c r="G235" s="28"/>
      <c r="H235" s="35" t="str">
        <f aca="false">IF(OR($F235="",$G235=""),"",ROUND($F235*(1+$G235/30),1))</f>
        <v/>
      </c>
      <c r="I235" s="35" t="str">
        <f aca="false">IF(OR($F235="",$G235="",$G235&gt;36),"",ROUND($F235/(1.0278-0.0278*$G235),1))</f>
        <v/>
      </c>
      <c r="J235" s="30" t="str">
        <f aca="false">IF($E235="Direto (1RM real)",$F235,IF(OR($H235="",$I235=""),"",ROUND(AVERAGE($H235,$I235),1)))</f>
        <v/>
      </c>
      <c r="K235" s="35" t="str">
        <f aca="false">IF($C235="","",IFERROR(INDEX(Cadastro!$P$8:$P$47,MATCH($C235,Cadastro!$B$8:$B$47,0)),""))</f>
        <v/>
      </c>
      <c r="L235" s="36" t="str">
        <f aca="false">IFERROR($J235/$K235,"")</f>
        <v/>
      </c>
      <c r="M235" s="45"/>
      <c r="N235" s="27"/>
    </row>
    <row r="236" customFormat="false" ht="15" hidden="false" customHeight="false" outlineLevel="0" collapsed="false">
      <c r="A236" s="29"/>
      <c r="B236" s="33" t="n">
        <f aca="false">IF($A236="",0,INT(($A236-Macrociclo!$C$11)/7)+1)</f>
        <v>0</v>
      </c>
      <c r="C236" s="27"/>
      <c r="D236" s="27"/>
      <c r="E236" s="27"/>
      <c r="F236" s="32"/>
      <c r="G236" s="28"/>
      <c r="H236" s="35" t="str">
        <f aca="false">IF(OR($F236="",$G236=""),"",ROUND($F236*(1+$G236/30),1))</f>
        <v/>
      </c>
      <c r="I236" s="35" t="str">
        <f aca="false">IF(OR($F236="",$G236="",$G236&gt;36),"",ROUND($F236/(1.0278-0.0278*$G236),1))</f>
        <v/>
      </c>
      <c r="J236" s="30" t="str">
        <f aca="false">IF($E236="Direto (1RM real)",$F236,IF(OR($H236="",$I236=""),"",ROUND(AVERAGE($H236,$I236),1)))</f>
        <v/>
      </c>
      <c r="K236" s="35" t="str">
        <f aca="false">IF($C236="","",IFERROR(INDEX(Cadastro!$P$8:$P$47,MATCH($C236,Cadastro!$B$8:$B$47,0)),""))</f>
        <v/>
      </c>
      <c r="L236" s="36" t="str">
        <f aca="false">IFERROR($J236/$K236,"")</f>
        <v/>
      </c>
      <c r="M236" s="45"/>
      <c r="N236" s="27"/>
    </row>
    <row r="237" customFormat="false" ht="15" hidden="false" customHeight="false" outlineLevel="0" collapsed="false">
      <c r="A237" s="29"/>
      <c r="B237" s="33" t="n">
        <f aca="false">IF($A237="",0,INT(($A237-Macrociclo!$C$11)/7)+1)</f>
        <v>0</v>
      </c>
      <c r="C237" s="27"/>
      <c r="D237" s="27"/>
      <c r="E237" s="27"/>
      <c r="F237" s="32"/>
      <c r="G237" s="28"/>
      <c r="H237" s="35" t="str">
        <f aca="false">IF(OR($F237="",$G237=""),"",ROUND($F237*(1+$G237/30),1))</f>
        <v/>
      </c>
      <c r="I237" s="35" t="str">
        <f aca="false">IF(OR($F237="",$G237="",$G237&gt;36),"",ROUND($F237/(1.0278-0.0278*$G237),1))</f>
        <v/>
      </c>
      <c r="J237" s="30" t="str">
        <f aca="false">IF($E237="Direto (1RM real)",$F237,IF(OR($H237="",$I237=""),"",ROUND(AVERAGE($H237,$I237),1)))</f>
        <v/>
      </c>
      <c r="K237" s="35" t="str">
        <f aca="false">IF($C237="","",IFERROR(INDEX(Cadastro!$P$8:$P$47,MATCH($C237,Cadastro!$B$8:$B$47,0)),""))</f>
        <v/>
      </c>
      <c r="L237" s="36" t="str">
        <f aca="false">IFERROR($J237/$K237,"")</f>
        <v/>
      </c>
      <c r="M237" s="45"/>
      <c r="N237" s="27"/>
    </row>
    <row r="238" customFormat="false" ht="15" hidden="false" customHeight="false" outlineLevel="0" collapsed="false">
      <c r="A238" s="29"/>
      <c r="B238" s="33" t="n">
        <f aca="false">IF($A238="",0,INT(($A238-Macrociclo!$C$11)/7)+1)</f>
        <v>0</v>
      </c>
      <c r="C238" s="27"/>
      <c r="D238" s="27"/>
      <c r="E238" s="27"/>
      <c r="F238" s="32"/>
      <c r="G238" s="28"/>
      <c r="H238" s="35" t="str">
        <f aca="false">IF(OR($F238="",$G238=""),"",ROUND($F238*(1+$G238/30),1))</f>
        <v/>
      </c>
      <c r="I238" s="35" t="str">
        <f aca="false">IF(OR($F238="",$G238="",$G238&gt;36),"",ROUND($F238/(1.0278-0.0278*$G238),1))</f>
        <v/>
      </c>
      <c r="J238" s="30" t="str">
        <f aca="false">IF($E238="Direto (1RM real)",$F238,IF(OR($H238="",$I238=""),"",ROUND(AVERAGE($H238,$I238),1)))</f>
        <v/>
      </c>
      <c r="K238" s="35" t="str">
        <f aca="false">IF($C238="","",IFERROR(INDEX(Cadastro!$P$8:$P$47,MATCH($C238,Cadastro!$B$8:$B$47,0)),""))</f>
        <v/>
      </c>
      <c r="L238" s="36" t="str">
        <f aca="false">IFERROR($J238/$K238,"")</f>
        <v/>
      </c>
      <c r="M238" s="45"/>
      <c r="N238" s="27"/>
    </row>
    <row r="239" customFormat="false" ht="15" hidden="false" customHeight="false" outlineLevel="0" collapsed="false">
      <c r="A239" s="29"/>
      <c r="B239" s="33" t="n">
        <f aca="false">IF($A239="",0,INT(($A239-Macrociclo!$C$11)/7)+1)</f>
        <v>0</v>
      </c>
      <c r="C239" s="27"/>
      <c r="D239" s="27"/>
      <c r="E239" s="27"/>
      <c r="F239" s="32"/>
      <c r="G239" s="28"/>
      <c r="H239" s="35" t="str">
        <f aca="false">IF(OR($F239="",$G239=""),"",ROUND($F239*(1+$G239/30),1))</f>
        <v/>
      </c>
      <c r="I239" s="35" t="str">
        <f aca="false">IF(OR($F239="",$G239="",$G239&gt;36),"",ROUND($F239/(1.0278-0.0278*$G239),1))</f>
        <v/>
      </c>
      <c r="J239" s="30" t="str">
        <f aca="false">IF($E239="Direto (1RM real)",$F239,IF(OR($H239="",$I239=""),"",ROUND(AVERAGE($H239,$I239),1)))</f>
        <v/>
      </c>
      <c r="K239" s="35" t="str">
        <f aca="false">IF($C239="","",IFERROR(INDEX(Cadastro!$P$8:$P$47,MATCH($C239,Cadastro!$B$8:$B$47,0)),""))</f>
        <v/>
      </c>
      <c r="L239" s="36" t="str">
        <f aca="false">IFERROR($J239/$K239,"")</f>
        <v/>
      </c>
      <c r="M239" s="45"/>
      <c r="N239" s="27"/>
    </row>
    <row r="240" customFormat="false" ht="15" hidden="false" customHeight="false" outlineLevel="0" collapsed="false">
      <c r="A240" s="29"/>
      <c r="B240" s="33" t="n">
        <f aca="false">IF($A240="",0,INT(($A240-Macrociclo!$C$11)/7)+1)</f>
        <v>0</v>
      </c>
      <c r="C240" s="27"/>
      <c r="D240" s="27"/>
      <c r="E240" s="27"/>
      <c r="F240" s="32"/>
      <c r="G240" s="28"/>
      <c r="H240" s="35" t="str">
        <f aca="false">IF(OR($F240="",$G240=""),"",ROUND($F240*(1+$G240/30),1))</f>
        <v/>
      </c>
      <c r="I240" s="35" t="str">
        <f aca="false">IF(OR($F240="",$G240="",$G240&gt;36),"",ROUND($F240/(1.0278-0.0278*$G240),1))</f>
        <v/>
      </c>
      <c r="J240" s="30" t="str">
        <f aca="false">IF($E240="Direto (1RM real)",$F240,IF(OR($H240="",$I240=""),"",ROUND(AVERAGE($H240,$I240),1)))</f>
        <v/>
      </c>
      <c r="K240" s="35" t="str">
        <f aca="false">IF($C240="","",IFERROR(INDEX(Cadastro!$P$8:$P$47,MATCH($C240,Cadastro!$B$8:$B$47,0)),""))</f>
        <v/>
      </c>
      <c r="L240" s="36" t="str">
        <f aca="false">IFERROR($J240/$K240,"")</f>
        <v/>
      </c>
      <c r="M240" s="45"/>
      <c r="N240" s="27"/>
    </row>
    <row r="241" customFormat="false" ht="15" hidden="false" customHeight="false" outlineLevel="0" collapsed="false">
      <c r="A241" s="29"/>
      <c r="B241" s="33" t="n">
        <f aca="false">IF($A241="",0,INT(($A241-Macrociclo!$C$11)/7)+1)</f>
        <v>0</v>
      </c>
      <c r="C241" s="27"/>
      <c r="D241" s="27"/>
      <c r="E241" s="27"/>
      <c r="F241" s="32"/>
      <c r="G241" s="28"/>
      <c r="H241" s="35" t="str">
        <f aca="false">IF(OR($F241="",$G241=""),"",ROUND($F241*(1+$G241/30),1))</f>
        <v/>
      </c>
      <c r="I241" s="35" t="str">
        <f aca="false">IF(OR($F241="",$G241="",$G241&gt;36),"",ROUND($F241/(1.0278-0.0278*$G241),1))</f>
        <v/>
      </c>
      <c r="J241" s="30" t="str">
        <f aca="false">IF($E241="Direto (1RM real)",$F241,IF(OR($H241="",$I241=""),"",ROUND(AVERAGE($H241,$I241),1)))</f>
        <v/>
      </c>
      <c r="K241" s="35" t="str">
        <f aca="false">IF($C241="","",IFERROR(INDEX(Cadastro!$P$8:$P$47,MATCH($C241,Cadastro!$B$8:$B$47,0)),""))</f>
        <v/>
      </c>
      <c r="L241" s="36" t="str">
        <f aca="false">IFERROR($J241/$K241,"")</f>
        <v/>
      </c>
      <c r="M241" s="45"/>
      <c r="N241" s="27"/>
    </row>
    <row r="242" customFormat="false" ht="15" hidden="false" customHeight="false" outlineLevel="0" collapsed="false">
      <c r="A242" s="29"/>
      <c r="B242" s="33" t="n">
        <f aca="false">IF($A242="",0,INT(($A242-Macrociclo!$C$11)/7)+1)</f>
        <v>0</v>
      </c>
      <c r="C242" s="27"/>
      <c r="D242" s="27"/>
      <c r="E242" s="27"/>
      <c r="F242" s="32"/>
      <c r="G242" s="28"/>
      <c r="H242" s="35" t="str">
        <f aca="false">IF(OR($F242="",$G242=""),"",ROUND($F242*(1+$G242/30),1))</f>
        <v/>
      </c>
      <c r="I242" s="35" t="str">
        <f aca="false">IF(OR($F242="",$G242="",$G242&gt;36),"",ROUND($F242/(1.0278-0.0278*$G242),1))</f>
        <v/>
      </c>
      <c r="J242" s="30" t="str">
        <f aca="false">IF($E242="Direto (1RM real)",$F242,IF(OR($H242="",$I242=""),"",ROUND(AVERAGE($H242,$I242),1)))</f>
        <v/>
      </c>
      <c r="K242" s="35" t="str">
        <f aca="false">IF($C242="","",IFERROR(INDEX(Cadastro!$P$8:$P$47,MATCH($C242,Cadastro!$B$8:$B$47,0)),""))</f>
        <v/>
      </c>
      <c r="L242" s="36" t="str">
        <f aca="false">IFERROR($J242/$K242,"")</f>
        <v/>
      </c>
      <c r="M242" s="45"/>
      <c r="N242" s="27"/>
    </row>
    <row r="243" customFormat="false" ht="15" hidden="false" customHeight="false" outlineLevel="0" collapsed="false">
      <c r="A243" s="29"/>
      <c r="B243" s="33" t="n">
        <f aca="false">IF($A243="",0,INT(($A243-Macrociclo!$C$11)/7)+1)</f>
        <v>0</v>
      </c>
      <c r="C243" s="27"/>
      <c r="D243" s="27"/>
      <c r="E243" s="27"/>
      <c r="F243" s="32"/>
      <c r="G243" s="28"/>
      <c r="H243" s="35" t="str">
        <f aca="false">IF(OR($F243="",$G243=""),"",ROUND($F243*(1+$G243/30),1))</f>
        <v/>
      </c>
      <c r="I243" s="35" t="str">
        <f aca="false">IF(OR($F243="",$G243="",$G243&gt;36),"",ROUND($F243/(1.0278-0.0278*$G243),1))</f>
        <v/>
      </c>
      <c r="J243" s="30" t="str">
        <f aca="false">IF($E243="Direto (1RM real)",$F243,IF(OR($H243="",$I243=""),"",ROUND(AVERAGE($H243,$I243),1)))</f>
        <v/>
      </c>
      <c r="K243" s="35" t="str">
        <f aca="false">IF($C243="","",IFERROR(INDEX(Cadastro!$P$8:$P$47,MATCH($C243,Cadastro!$B$8:$B$47,0)),""))</f>
        <v/>
      </c>
      <c r="L243" s="36" t="str">
        <f aca="false">IFERROR($J243/$K243,"")</f>
        <v/>
      </c>
      <c r="M243" s="45"/>
      <c r="N243" s="27"/>
    </row>
    <row r="244" customFormat="false" ht="15" hidden="false" customHeight="false" outlineLevel="0" collapsed="false">
      <c r="A244" s="29"/>
      <c r="B244" s="33" t="n">
        <f aca="false">IF($A244="",0,INT(($A244-Macrociclo!$C$11)/7)+1)</f>
        <v>0</v>
      </c>
      <c r="C244" s="27"/>
      <c r="D244" s="27"/>
      <c r="E244" s="27"/>
      <c r="F244" s="32"/>
      <c r="G244" s="28"/>
      <c r="H244" s="35" t="str">
        <f aca="false">IF(OR($F244="",$G244=""),"",ROUND($F244*(1+$G244/30),1))</f>
        <v/>
      </c>
      <c r="I244" s="35" t="str">
        <f aca="false">IF(OR($F244="",$G244="",$G244&gt;36),"",ROUND($F244/(1.0278-0.0278*$G244),1))</f>
        <v/>
      </c>
      <c r="J244" s="30" t="str">
        <f aca="false">IF($E244="Direto (1RM real)",$F244,IF(OR($H244="",$I244=""),"",ROUND(AVERAGE($H244,$I244),1)))</f>
        <v/>
      </c>
      <c r="K244" s="35" t="str">
        <f aca="false">IF($C244="","",IFERROR(INDEX(Cadastro!$P$8:$P$47,MATCH($C244,Cadastro!$B$8:$B$47,0)),""))</f>
        <v/>
      </c>
      <c r="L244" s="36" t="str">
        <f aca="false">IFERROR($J244/$K244,"")</f>
        <v/>
      </c>
      <c r="M244" s="45"/>
      <c r="N244" s="27"/>
    </row>
    <row r="245" customFormat="false" ht="15" hidden="false" customHeight="false" outlineLevel="0" collapsed="false">
      <c r="A245" s="29"/>
      <c r="B245" s="33" t="n">
        <f aca="false">IF($A245="",0,INT(($A245-Macrociclo!$C$11)/7)+1)</f>
        <v>0</v>
      </c>
      <c r="C245" s="27"/>
      <c r="D245" s="27"/>
      <c r="E245" s="27"/>
      <c r="F245" s="32"/>
      <c r="G245" s="28"/>
      <c r="H245" s="35" t="str">
        <f aca="false">IF(OR($F245="",$G245=""),"",ROUND($F245*(1+$G245/30),1))</f>
        <v/>
      </c>
      <c r="I245" s="35" t="str">
        <f aca="false">IF(OR($F245="",$G245="",$G245&gt;36),"",ROUND($F245/(1.0278-0.0278*$G245),1))</f>
        <v/>
      </c>
      <c r="J245" s="30" t="str">
        <f aca="false">IF($E245="Direto (1RM real)",$F245,IF(OR($H245="",$I245=""),"",ROUND(AVERAGE($H245,$I245),1)))</f>
        <v/>
      </c>
      <c r="K245" s="35" t="str">
        <f aca="false">IF($C245="","",IFERROR(INDEX(Cadastro!$P$8:$P$47,MATCH($C245,Cadastro!$B$8:$B$47,0)),""))</f>
        <v/>
      </c>
      <c r="L245" s="36" t="str">
        <f aca="false">IFERROR($J245/$K245,"")</f>
        <v/>
      </c>
      <c r="M245" s="45"/>
      <c r="N245" s="27"/>
    </row>
    <row r="246" customFormat="false" ht="15" hidden="false" customHeight="false" outlineLevel="0" collapsed="false">
      <c r="A246" s="29"/>
      <c r="B246" s="33" t="n">
        <f aca="false">IF($A246="",0,INT(($A246-Macrociclo!$C$11)/7)+1)</f>
        <v>0</v>
      </c>
      <c r="C246" s="27"/>
      <c r="D246" s="27"/>
      <c r="E246" s="27"/>
      <c r="F246" s="32"/>
      <c r="G246" s="28"/>
      <c r="H246" s="35" t="str">
        <f aca="false">IF(OR($F246="",$G246=""),"",ROUND($F246*(1+$G246/30),1))</f>
        <v/>
      </c>
      <c r="I246" s="35" t="str">
        <f aca="false">IF(OR($F246="",$G246="",$G246&gt;36),"",ROUND($F246/(1.0278-0.0278*$G246),1))</f>
        <v/>
      </c>
      <c r="J246" s="30" t="str">
        <f aca="false">IF($E246="Direto (1RM real)",$F246,IF(OR($H246="",$I246=""),"",ROUND(AVERAGE($H246,$I246),1)))</f>
        <v/>
      </c>
      <c r="K246" s="35" t="str">
        <f aca="false">IF($C246="","",IFERROR(INDEX(Cadastro!$P$8:$P$47,MATCH($C246,Cadastro!$B$8:$B$47,0)),""))</f>
        <v/>
      </c>
      <c r="L246" s="36" t="str">
        <f aca="false">IFERROR($J246/$K246,"")</f>
        <v/>
      </c>
      <c r="M246" s="45"/>
      <c r="N246" s="27"/>
    </row>
    <row r="247" customFormat="false" ht="15" hidden="false" customHeight="false" outlineLevel="0" collapsed="false">
      <c r="A247" s="29"/>
      <c r="B247" s="33" t="n">
        <f aca="false">IF($A247="",0,INT(($A247-Macrociclo!$C$11)/7)+1)</f>
        <v>0</v>
      </c>
      <c r="C247" s="27"/>
      <c r="D247" s="27"/>
      <c r="E247" s="27"/>
      <c r="F247" s="32"/>
      <c r="G247" s="28"/>
      <c r="H247" s="35" t="str">
        <f aca="false">IF(OR($F247="",$G247=""),"",ROUND($F247*(1+$G247/30),1))</f>
        <v/>
      </c>
      <c r="I247" s="35" t="str">
        <f aca="false">IF(OR($F247="",$G247="",$G247&gt;36),"",ROUND($F247/(1.0278-0.0278*$G247),1))</f>
        <v/>
      </c>
      <c r="J247" s="30" t="str">
        <f aca="false">IF($E247="Direto (1RM real)",$F247,IF(OR($H247="",$I247=""),"",ROUND(AVERAGE($H247,$I247),1)))</f>
        <v/>
      </c>
      <c r="K247" s="35" t="str">
        <f aca="false">IF($C247="","",IFERROR(INDEX(Cadastro!$P$8:$P$47,MATCH($C247,Cadastro!$B$8:$B$47,0)),""))</f>
        <v/>
      </c>
      <c r="L247" s="36" t="str">
        <f aca="false">IFERROR($J247/$K247,"")</f>
        <v/>
      </c>
      <c r="M247" s="45"/>
      <c r="N247" s="27"/>
    </row>
    <row r="248" customFormat="false" ht="15" hidden="false" customHeight="false" outlineLevel="0" collapsed="false">
      <c r="A248" s="29"/>
      <c r="B248" s="33" t="n">
        <f aca="false">IF($A248="",0,INT(($A248-Macrociclo!$C$11)/7)+1)</f>
        <v>0</v>
      </c>
      <c r="C248" s="27"/>
      <c r="D248" s="27"/>
      <c r="E248" s="27"/>
      <c r="F248" s="32"/>
      <c r="G248" s="28"/>
      <c r="H248" s="35" t="str">
        <f aca="false">IF(OR($F248="",$G248=""),"",ROUND($F248*(1+$G248/30),1))</f>
        <v/>
      </c>
      <c r="I248" s="35" t="str">
        <f aca="false">IF(OR($F248="",$G248="",$G248&gt;36),"",ROUND($F248/(1.0278-0.0278*$G248),1))</f>
        <v/>
      </c>
      <c r="J248" s="30" t="str">
        <f aca="false">IF($E248="Direto (1RM real)",$F248,IF(OR($H248="",$I248=""),"",ROUND(AVERAGE($H248,$I248),1)))</f>
        <v/>
      </c>
      <c r="K248" s="35" t="str">
        <f aca="false">IF($C248="","",IFERROR(INDEX(Cadastro!$P$8:$P$47,MATCH($C248,Cadastro!$B$8:$B$47,0)),""))</f>
        <v/>
      </c>
      <c r="L248" s="36" t="str">
        <f aca="false">IFERROR($J248/$K248,"")</f>
        <v/>
      </c>
      <c r="M248" s="45"/>
      <c r="N248" s="27"/>
    </row>
    <row r="249" customFormat="false" ht="15" hidden="false" customHeight="false" outlineLevel="0" collapsed="false">
      <c r="A249" s="29"/>
      <c r="B249" s="33" t="n">
        <f aca="false">IF($A249="",0,INT(($A249-Macrociclo!$C$11)/7)+1)</f>
        <v>0</v>
      </c>
      <c r="C249" s="27"/>
      <c r="D249" s="27"/>
      <c r="E249" s="27"/>
      <c r="F249" s="32"/>
      <c r="G249" s="28"/>
      <c r="H249" s="35" t="str">
        <f aca="false">IF(OR($F249="",$G249=""),"",ROUND($F249*(1+$G249/30),1))</f>
        <v/>
      </c>
      <c r="I249" s="35" t="str">
        <f aca="false">IF(OR($F249="",$G249="",$G249&gt;36),"",ROUND($F249/(1.0278-0.0278*$G249),1))</f>
        <v/>
      </c>
      <c r="J249" s="30" t="str">
        <f aca="false">IF($E249="Direto (1RM real)",$F249,IF(OR($H249="",$I249=""),"",ROUND(AVERAGE($H249,$I249),1)))</f>
        <v/>
      </c>
      <c r="K249" s="35" t="str">
        <f aca="false">IF($C249="","",IFERROR(INDEX(Cadastro!$P$8:$P$47,MATCH($C249,Cadastro!$B$8:$B$47,0)),""))</f>
        <v/>
      </c>
      <c r="L249" s="36" t="str">
        <f aca="false">IFERROR($J249/$K249,"")</f>
        <v/>
      </c>
      <c r="M249" s="45"/>
      <c r="N249" s="27"/>
    </row>
    <row r="250" customFormat="false" ht="15" hidden="false" customHeight="false" outlineLevel="0" collapsed="false">
      <c r="A250" s="29"/>
      <c r="B250" s="33" t="n">
        <f aca="false">IF($A250="",0,INT(($A250-Macrociclo!$C$11)/7)+1)</f>
        <v>0</v>
      </c>
      <c r="C250" s="27"/>
      <c r="D250" s="27"/>
      <c r="E250" s="27"/>
      <c r="F250" s="32"/>
      <c r="G250" s="28"/>
      <c r="H250" s="35" t="str">
        <f aca="false">IF(OR($F250="",$G250=""),"",ROUND($F250*(1+$G250/30),1))</f>
        <v/>
      </c>
      <c r="I250" s="35" t="str">
        <f aca="false">IF(OR($F250="",$G250="",$G250&gt;36),"",ROUND($F250/(1.0278-0.0278*$G250),1))</f>
        <v/>
      </c>
      <c r="J250" s="30" t="str">
        <f aca="false">IF($E250="Direto (1RM real)",$F250,IF(OR($H250="",$I250=""),"",ROUND(AVERAGE($H250,$I250),1)))</f>
        <v/>
      </c>
      <c r="K250" s="35" t="str">
        <f aca="false">IF($C250="","",IFERROR(INDEX(Cadastro!$P$8:$P$47,MATCH($C250,Cadastro!$B$8:$B$47,0)),""))</f>
        <v/>
      </c>
      <c r="L250" s="36" t="str">
        <f aca="false">IFERROR($J250/$K250,"")</f>
        <v/>
      </c>
      <c r="M250" s="45"/>
      <c r="N250" s="27"/>
    </row>
    <row r="251" customFormat="false" ht="15" hidden="false" customHeight="false" outlineLevel="0" collapsed="false">
      <c r="A251" s="29"/>
      <c r="B251" s="33" t="n">
        <f aca="false">IF($A251="",0,INT(($A251-Macrociclo!$C$11)/7)+1)</f>
        <v>0</v>
      </c>
      <c r="C251" s="27"/>
      <c r="D251" s="27"/>
      <c r="E251" s="27"/>
      <c r="F251" s="32"/>
      <c r="G251" s="28"/>
      <c r="H251" s="35" t="str">
        <f aca="false">IF(OR($F251="",$G251=""),"",ROUND($F251*(1+$G251/30),1))</f>
        <v/>
      </c>
      <c r="I251" s="35" t="str">
        <f aca="false">IF(OR($F251="",$G251="",$G251&gt;36),"",ROUND($F251/(1.0278-0.0278*$G251),1))</f>
        <v/>
      </c>
      <c r="J251" s="30" t="str">
        <f aca="false">IF($E251="Direto (1RM real)",$F251,IF(OR($H251="",$I251=""),"",ROUND(AVERAGE($H251,$I251),1)))</f>
        <v/>
      </c>
      <c r="K251" s="35" t="str">
        <f aca="false">IF($C251="","",IFERROR(INDEX(Cadastro!$P$8:$P$47,MATCH($C251,Cadastro!$B$8:$B$47,0)),""))</f>
        <v/>
      </c>
      <c r="L251" s="36" t="str">
        <f aca="false">IFERROR($J251/$K251,"")</f>
        <v/>
      </c>
      <c r="M251" s="45"/>
      <c r="N251" s="27"/>
    </row>
    <row r="252" customFormat="false" ht="15" hidden="false" customHeight="false" outlineLevel="0" collapsed="false">
      <c r="A252" s="29"/>
      <c r="B252" s="33" t="n">
        <f aca="false">IF($A252="",0,INT(($A252-Macrociclo!$C$11)/7)+1)</f>
        <v>0</v>
      </c>
      <c r="C252" s="27"/>
      <c r="D252" s="27"/>
      <c r="E252" s="27"/>
      <c r="F252" s="32"/>
      <c r="G252" s="28"/>
      <c r="H252" s="35" t="str">
        <f aca="false">IF(OR($F252="",$G252=""),"",ROUND($F252*(1+$G252/30),1))</f>
        <v/>
      </c>
      <c r="I252" s="35" t="str">
        <f aca="false">IF(OR($F252="",$G252="",$G252&gt;36),"",ROUND($F252/(1.0278-0.0278*$G252),1))</f>
        <v/>
      </c>
      <c r="J252" s="30" t="str">
        <f aca="false">IF($E252="Direto (1RM real)",$F252,IF(OR($H252="",$I252=""),"",ROUND(AVERAGE($H252,$I252),1)))</f>
        <v/>
      </c>
      <c r="K252" s="35" t="str">
        <f aca="false">IF($C252="","",IFERROR(INDEX(Cadastro!$P$8:$P$47,MATCH($C252,Cadastro!$B$8:$B$47,0)),""))</f>
        <v/>
      </c>
      <c r="L252" s="36" t="str">
        <f aca="false">IFERROR($J252/$K252,"")</f>
        <v/>
      </c>
      <c r="M252" s="45"/>
      <c r="N252" s="27"/>
    </row>
    <row r="253" customFormat="false" ht="15" hidden="false" customHeight="false" outlineLevel="0" collapsed="false">
      <c r="A253" s="29"/>
      <c r="B253" s="33" t="n">
        <f aca="false">IF($A253="",0,INT(($A253-Macrociclo!$C$11)/7)+1)</f>
        <v>0</v>
      </c>
      <c r="C253" s="27"/>
      <c r="D253" s="27"/>
      <c r="E253" s="27"/>
      <c r="F253" s="32"/>
      <c r="G253" s="28"/>
      <c r="H253" s="35" t="str">
        <f aca="false">IF(OR($F253="",$G253=""),"",ROUND($F253*(1+$G253/30),1))</f>
        <v/>
      </c>
      <c r="I253" s="35" t="str">
        <f aca="false">IF(OR($F253="",$G253="",$G253&gt;36),"",ROUND($F253/(1.0278-0.0278*$G253),1))</f>
        <v/>
      </c>
      <c r="J253" s="30" t="str">
        <f aca="false">IF($E253="Direto (1RM real)",$F253,IF(OR($H253="",$I253=""),"",ROUND(AVERAGE($H253,$I253),1)))</f>
        <v/>
      </c>
      <c r="K253" s="35" t="str">
        <f aca="false">IF($C253="","",IFERROR(INDEX(Cadastro!$P$8:$P$47,MATCH($C253,Cadastro!$B$8:$B$47,0)),""))</f>
        <v/>
      </c>
      <c r="L253" s="36" t="str">
        <f aca="false">IFERROR($J253/$K253,"")</f>
        <v/>
      </c>
      <c r="M253" s="45"/>
      <c r="N253" s="27"/>
    </row>
    <row r="254" customFormat="false" ht="15" hidden="false" customHeight="false" outlineLevel="0" collapsed="false">
      <c r="A254" s="29"/>
      <c r="B254" s="33" t="n">
        <f aca="false">IF($A254="",0,INT(($A254-Macrociclo!$C$11)/7)+1)</f>
        <v>0</v>
      </c>
      <c r="C254" s="27"/>
      <c r="D254" s="27"/>
      <c r="E254" s="27"/>
      <c r="F254" s="32"/>
      <c r="G254" s="28"/>
      <c r="H254" s="35" t="str">
        <f aca="false">IF(OR($F254="",$G254=""),"",ROUND($F254*(1+$G254/30),1))</f>
        <v/>
      </c>
      <c r="I254" s="35" t="str">
        <f aca="false">IF(OR($F254="",$G254="",$G254&gt;36),"",ROUND($F254/(1.0278-0.0278*$G254),1))</f>
        <v/>
      </c>
      <c r="J254" s="30" t="str">
        <f aca="false">IF($E254="Direto (1RM real)",$F254,IF(OR($H254="",$I254=""),"",ROUND(AVERAGE($H254,$I254),1)))</f>
        <v/>
      </c>
      <c r="K254" s="35" t="str">
        <f aca="false">IF($C254="","",IFERROR(INDEX(Cadastro!$P$8:$P$47,MATCH($C254,Cadastro!$B$8:$B$47,0)),""))</f>
        <v/>
      </c>
      <c r="L254" s="36" t="str">
        <f aca="false">IFERROR($J254/$K254,"")</f>
        <v/>
      </c>
      <c r="M254" s="45"/>
      <c r="N254" s="27"/>
    </row>
    <row r="255" customFormat="false" ht="15" hidden="false" customHeight="false" outlineLevel="0" collapsed="false">
      <c r="A255" s="29"/>
      <c r="B255" s="33" t="n">
        <f aca="false">IF($A255="",0,INT(($A255-Macrociclo!$C$11)/7)+1)</f>
        <v>0</v>
      </c>
      <c r="C255" s="27"/>
      <c r="D255" s="27"/>
      <c r="E255" s="27"/>
      <c r="F255" s="32"/>
      <c r="G255" s="28"/>
      <c r="H255" s="35" t="str">
        <f aca="false">IF(OR($F255="",$G255=""),"",ROUND($F255*(1+$G255/30),1))</f>
        <v/>
      </c>
      <c r="I255" s="35" t="str">
        <f aca="false">IF(OR($F255="",$G255="",$G255&gt;36),"",ROUND($F255/(1.0278-0.0278*$G255),1))</f>
        <v/>
      </c>
      <c r="J255" s="30" t="str">
        <f aca="false">IF($E255="Direto (1RM real)",$F255,IF(OR($H255="",$I255=""),"",ROUND(AVERAGE($H255,$I255),1)))</f>
        <v/>
      </c>
      <c r="K255" s="35" t="str">
        <f aca="false">IF($C255="","",IFERROR(INDEX(Cadastro!$P$8:$P$47,MATCH($C255,Cadastro!$B$8:$B$47,0)),""))</f>
        <v/>
      </c>
      <c r="L255" s="36" t="str">
        <f aca="false">IFERROR($J255/$K255,"")</f>
        <v/>
      </c>
      <c r="M255" s="45"/>
      <c r="N255" s="27"/>
    </row>
    <row r="256" customFormat="false" ht="15" hidden="false" customHeight="false" outlineLevel="0" collapsed="false">
      <c r="A256" s="29"/>
      <c r="B256" s="33" t="n">
        <f aca="false">IF($A256="",0,INT(($A256-Macrociclo!$C$11)/7)+1)</f>
        <v>0</v>
      </c>
      <c r="C256" s="27"/>
      <c r="D256" s="27"/>
      <c r="E256" s="27"/>
      <c r="F256" s="32"/>
      <c r="G256" s="28"/>
      <c r="H256" s="35" t="str">
        <f aca="false">IF(OR($F256="",$G256=""),"",ROUND($F256*(1+$G256/30),1))</f>
        <v/>
      </c>
      <c r="I256" s="35" t="str">
        <f aca="false">IF(OR($F256="",$G256="",$G256&gt;36),"",ROUND($F256/(1.0278-0.0278*$G256),1))</f>
        <v/>
      </c>
      <c r="J256" s="30" t="str">
        <f aca="false">IF($E256="Direto (1RM real)",$F256,IF(OR($H256="",$I256=""),"",ROUND(AVERAGE($H256,$I256),1)))</f>
        <v/>
      </c>
      <c r="K256" s="35" t="str">
        <f aca="false">IF($C256="","",IFERROR(INDEX(Cadastro!$P$8:$P$47,MATCH($C256,Cadastro!$B$8:$B$47,0)),""))</f>
        <v/>
      </c>
      <c r="L256" s="36" t="str">
        <f aca="false">IFERROR($J256/$K256,"")</f>
        <v/>
      </c>
      <c r="M256" s="45"/>
      <c r="N256" s="27"/>
    </row>
    <row r="257" customFormat="false" ht="15" hidden="false" customHeight="false" outlineLevel="0" collapsed="false">
      <c r="A257" s="29"/>
      <c r="B257" s="33" t="n">
        <f aca="false">IF($A257="",0,INT(($A257-Macrociclo!$C$11)/7)+1)</f>
        <v>0</v>
      </c>
      <c r="C257" s="27"/>
      <c r="D257" s="27"/>
      <c r="E257" s="27"/>
      <c r="F257" s="32"/>
      <c r="G257" s="28"/>
      <c r="H257" s="35" t="str">
        <f aca="false">IF(OR($F257="",$G257=""),"",ROUND($F257*(1+$G257/30),1))</f>
        <v/>
      </c>
      <c r="I257" s="35" t="str">
        <f aca="false">IF(OR($F257="",$G257="",$G257&gt;36),"",ROUND($F257/(1.0278-0.0278*$G257),1))</f>
        <v/>
      </c>
      <c r="J257" s="30" t="str">
        <f aca="false">IF($E257="Direto (1RM real)",$F257,IF(OR($H257="",$I257=""),"",ROUND(AVERAGE($H257,$I257),1)))</f>
        <v/>
      </c>
      <c r="K257" s="35" t="str">
        <f aca="false">IF($C257="","",IFERROR(INDEX(Cadastro!$P$8:$P$47,MATCH($C257,Cadastro!$B$8:$B$47,0)),""))</f>
        <v/>
      </c>
      <c r="L257" s="36" t="str">
        <f aca="false">IFERROR($J257/$K257,"")</f>
        <v/>
      </c>
      <c r="M257" s="45"/>
      <c r="N257" s="27"/>
    </row>
    <row r="258" customFormat="false" ht="15" hidden="false" customHeight="false" outlineLevel="0" collapsed="false">
      <c r="A258" s="29"/>
      <c r="B258" s="33" t="n">
        <f aca="false">IF($A258="",0,INT(($A258-Macrociclo!$C$11)/7)+1)</f>
        <v>0</v>
      </c>
      <c r="C258" s="27"/>
      <c r="D258" s="27"/>
      <c r="E258" s="27"/>
      <c r="F258" s="32"/>
      <c r="G258" s="28"/>
      <c r="H258" s="35" t="str">
        <f aca="false">IF(OR($F258="",$G258=""),"",ROUND($F258*(1+$G258/30),1))</f>
        <v/>
      </c>
      <c r="I258" s="35" t="str">
        <f aca="false">IF(OR($F258="",$G258="",$G258&gt;36),"",ROUND($F258/(1.0278-0.0278*$G258),1))</f>
        <v/>
      </c>
      <c r="J258" s="30" t="str">
        <f aca="false">IF($E258="Direto (1RM real)",$F258,IF(OR($H258="",$I258=""),"",ROUND(AVERAGE($H258,$I258),1)))</f>
        <v/>
      </c>
      <c r="K258" s="35" t="str">
        <f aca="false">IF($C258="","",IFERROR(INDEX(Cadastro!$P$8:$P$47,MATCH($C258,Cadastro!$B$8:$B$47,0)),""))</f>
        <v/>
      </c>
      <c r="L258" s="36" t="str">
        <f aca="false">IFERROR($J258/$K258,"")</f>
        <v/>
      </c>
      <c r="M258" s="45"/>
      <c r="N258" s="27"/>
    </row>
    <row r="259" customFormat="false" ht="15" hidden="false" customHeight="false" outlineLevel="0" collapsed="false">
      <c r="A259" s="29"/>
      <c r="B259" s="33" t="n">
        <f aca="false">IF($A259="",0,INT(($A259-Macrociclo!$C$11)/7)+1)</f>
        <v>0</v>
      </c>
      <c r="C259" s="27"/>
      <c r="D259" s="27"/>
      <c r="E259" s="27"/>
      <c r="F259" s="32"/>
      <c r="G259" s="28"/>
      <c r="H259" s="35" t="str">
        <f aca="false">IF(OR($F259="",$G259=""),"",ROUND($F259*(1+$G259/30),1))</f>
        <v/>
      </c>
      <c r="I259" s="35" t="str">
        <f aca="false">IF(OR($F259="",$G259="",$G259&gt;36),"",ROUND($F259/(1.0278-0.0278*$G259),1))</f>
        <v/>
      </c>
      <c r="J259" s="30" t="str">
        <f aca="false">IF($E259="Direto (1RM real)",$F259,IF(OR($H259="",$I259=""),"",ROUND(AVERAGE($H259,$I259),1)))</f>
        <v/>
      </c>
      <c r="K259" s="35" t="str">
        <f aca="false">IF($C259="","",IFERROR(INDEX(Cadastro!$P$8:$P$47,MATCH($C259,Cadastro!$B$8:$B$47,0)),""))</f>
        <v/>
      </c>
      <c r="L259" s="36" t="str">
        <f aca="false">IFERROR($J259/$K259,"")</f>
        <v/>
      </c>
      <c r="M259" s="45"/>
      <c r="N259" s="27"/>
    </row>
    <row r="260" customFormat="false" ht="15" hidden="false" customHeight="false" outlineLevel="0" collapsed="false">
      <c r="A260" s="29"/>
      <c r="B260" s="33" t="n">
        <f aca="false">IF($A260="",0,INT(($A260-Macrociclo!$C$11)/7)+1)</f>
        <v>0</v>
      </c>
      <c r="C260" s="27"/>
      <c r="D260" s="27"/>
      <c r="E260" s="27"/>
      <c r="F260" s="32"/>
      <c r="G260" s="28"/>
      <c r="H260" s="35" t="str">
        <f aca="false">IF(OR($F260="",$G260=""),"",ROUND($F260*(1+$G260/30),1))</f>
        <v/>
      </c>
      <c r="I260" s="35" t="str">
        <f aca="false">IF(OR($F260="",$G260="",$G260&gt;36),"",ROUND($F260/(1.0278-0.0278*$G260),1))</f>
        <v/>
      </c>
      <c r="J260" s="30" t="str">
        <f aca="false">IF($E260="Direto (1RM real)",$F260,IF(OR($H260="",$I260=""),"",ROUND(AVERAGE($H260,$I260),1)))</f>
        <v/>
      </c>
      <c r="K260" s="35" t="str">
        <f aca="false">IF($C260="","",IFERROR(INDEX(Cadastro!$P$8:$P$47,MATCH($C260,Cadastro!$B$8:$B$47,0)),""))</f>
        <v/>
      </c>
      <c r="L260" s="36" t="str">
        <f aca="false">IFERROR($J260/$K260,"")</f>
        <v/>
      </c>
      <c r="M260" s="45"/>
      <c r="N260" s="27"/>
    </row>
    <row r="261" customFormat="false" ht="15" hidden="false" customHeight="false" outlineLevel="0" collapsed="false">
      <c r="A261" s="29"/>
      <c r="B261" s="33" t="n">
        <f aca="false">IF($A261="",0,INT(($A261-Macrociclo!$C$11)/7)+1)</f>
        <v>0</v>
      </c>
      <c r="C261" s="27"/>
      <c r="D261" s="27"/>
      <c r="E261" s="27"/>
      <c r="F261" s="32"/>
      <c r="G261" s="28"/>
      <c r="H261" s="35" t="str">
        <f aca="false">IF(OR($F261="",$G261=""),"",ROUND($F261*(1+$G261/30),1))</f>
        <v/>
      </c>
      <c r="I261" s="35" t="str">
        <f aca="false">IF(OR($F261="",$G261="",$G261&gt;36),"",ROUND($F261/(1.0278-0.0278*$G261),1))</f>
        <v/>
      </c>
      <c r="J261" s="30" t="str">
        <f aca="false">IF($E261="Direto (1RM real)",$F261,IF(OR($H261="",$I261=""),"",ROUND(AVERAGE($H261,$I261),1)))</f>
        <v/>
      </c>
      <c r="K261" s="35" t="str">
        <f aca="false">IF($C261="","",IFERROR(INDEX(Cadastro!$P$8:$P$47,MATCH($C261,Cadastro!$B$8:$B$47,0)),""))</f>
        <v/>
      </c>
      <c r="L261" s="36" t="str">
        <f aca="false">IFERROR($J261/$K261,"")</f>
        <v/>
      </c>
      <c r="M261" s="45"/>
      <c r="N261" s="27"/>
    </row>
    <row r="262" customFormat="false" ht="15" hidden="false" customHeight="false" outlineLevel="0" collapsed="false">
      <c r="A262" s="29"/>
      <c r="B262" s="33" t="n">
        <f aca="false">IF($A262="",0,INT(($A262-Macrociclo!$C$11)/7)+1)</f>
        <v>0</v>
      </c>
      <c r="C262" s="27"/>
      <c r="D262" s="27"/>
      <c r="E262" s="27"/>
      <c r="F262" s="32"/>
      <c r="G262" s="28"/>
      <c r="H262" s="35" t="str">
        <f aca="false">IF(OR($F262="",$G262=""),"",ROUND($F262*(1+$G262/30),1))</f>
        <v/>
      </c>
      <c r="I262" s="35" t="str">
        <f aca="false">IF(OR($F262="",$G262="",$G262&gt;36),"",ROUND($F262/(1.0278-0.0278*$G262),1))</f>
        <v/>
      </c>
      <c r="J262" s="30" t="str">
        <f aca="false">IF($E262="Direto (1RM real)",$F262,IF(OR($H262="",$I262=""),"",ROUND(AVERAGE($H262,$I262),1)))</f>
        <v/>
      </c>
      <c r="K262" s="35" t="str">
        <f aca="false">IF($C262="","",IFERROR(INDEX(Cadastro!$P$8:$P$47,MATCH($C262,Cadastro!$B$8:$B$47,0)),""))</f>
        <v/>
      </c>
      <c r="L262" s="36" t="str">
        <f aca="false">IFERROR($J262/$K262,"")</f>
        <v/>
      </c>
      <c r="M262" s="45"/>
      <c r="N262" s="27"/>
    </row>
    <row r="263" customFormat="false" ht="15" hidden="false" customHeight="false" outlineLevel="0" collapsed="false">
      <c r="A263" s="29"/>
      <c r="B263" s="33" t="n">
        <f aca="false">IF($A263="",0,INT(($A263-Macrociclo!$C$11)/7)+1)</f>
        <v>0</v>
      </c>
      <c r="C263" s="27"/>
      <c r="D263" s="27"/>
      <c r="E263" s="27"/>
      <c r="F263" s="32"/>
      <c r="G263" s="28"/>
      <c r="H263" s="35" t="str">
        <f aca="false">IF(OR($F263="",$G263=""),"",ROUND($F263*(1+$G263/30),1))</f>
        <v/>
      </c>
      <c r="I263" s="35" t="str">
        <f aca="false">IF(OR($F263="",$G263="",$G263&gt;36),"",ROUND($F263/(1.0278-0.0278*$G263),1))</f>
        <v/>
      </c>
      <c r="J263" s="30" t="str">
        <f aca="false">IF($E263="Direto (1RM real)",$F263,IF(OR($H263="",$I263=""),"",ROUND(AVERAGE($H263,$I263),1)))</f>
        <v/>
      </c>
      <c r="K263" s="35" t="str">
        <f aca="false">IF($C263="","",IFERROR(INDEX(Cadastro!$P$8:$P$47,MATCH($C263,Cadastro!$B$8:$B$47,0)),""))</f>
        <v/>
      </c>
      <c r="L263" s="36" t="str">
        <f aca="false">IFERROR($J263/$K263,"")</f>
        <v/>
      </c>
      <c r="M263" s="45"/>
      <c r="N263" s="27"/>
    </row>
    <row r="264" customFormat="false" ht="15" hidden="false" customHeight="false" outlineLevel="0" collapsed="false">
      <c r="A264" s="29"/>
      <c r="B264" s="33" t="n">
        <f aca="false">IF($A264="",0,INT(($A264-Macrociclo!$C$11)/7)+1)</f>
        <v>0</v>
      </c>
      <c r="C264" s="27"/>
      <c r="D264" s="27"/>
      <c r="E264" s="27"/>
      <c r="F264" s="32"/>
      <c r="G264" s="28"/>
      <c r="H264" s="35" t="str">
        <f aca="false">IF(OR($F264="",$G264=""),"",ROUND($F264*(1+$G264/30),1))</f>
        <v/>
      </c>
      <c r="I264" s="35" t="str">
        <f aca="false">IF(OR($F264="",$G264="",$G264&gt;36),"",ROUND($F264/(1.0278-0.0278*$G264),1))</f>
        <v/>
      </c>
      <c r="J264" s="30" t="str">
        <f aca="false">IF($E264="Direto (1RM real)",$F264,IF(OR($H264="",$I264=""),"",ROUND(AVERAGE($H264,$I264),1)))</f>
        <v/>
      </c>
      <c r="K264" s="35" t="str">
        <f aca="false">IF($C264="","",IFERROR(INDEX(Cadastro!$P$8:$P$47,MATCH($C264,Cadastro!$B$8:$B$47,0)),""))</f>
        <v/>
      </c>
      <c r="L264" s="36" t="str">
        <f aca="false">IFERROR($J264/$K264,"")</f>
        <v/>
      </c>
      <c r="M264" s="45"/>
      <c r="N264" s="27"/>
    </row>
    <row r="265" customFormat="false" ht="15" hidden="false" customHeight="false" outlineLevel="0" collapsed="false">
      <c r="A265" s="29"/>
      <c r="B265" s="33" t="n">
        <f aca="false">IF($A265="",0,INT(($A265-Macrociclo!$C$11)/7)+1)</f>
        <v>0</v>
      </c>
      <c r="C265" s="27"/>
      <c r="D265" s="27"/>
      <c r="E265" s="27"/>
      <c r="F265" s="32"/>
      <c r="G265" s="28"/>
      <c r="H265" s="35" t="str">
        <f aca="false">IF(OR($F265="",$G265=""),"",ROUND($F265*(1+$G265/30),1))</f>
        <v/>
      </c>
      <c r="I265" s="35" t="str">
        <f aca="false">IF(OR($F265="",$G265="",$G265&gt;36),"",ROUND($F265/(1.0278-0.0278*$G265),1))</f>
        <v/>
      </c>
      <c r="J265" s="30" t="str">
        <f aca="false">IF($E265="Direto (1RM real)",$F265,IF(OR($H265="",$I265=""),"",ROUND(AVERAGE($H265,$I265),1)))</f>
        <v/>
      </c>
      <c r="K265" s="35" t="str">
        <f aca="false">IF($C265="","",IFERROR(INDEX(Cadastro!$P$8:$P$47,MATCH($C265,Cadastro!$B$8:$B$47,0)),""))</f>
        <v/>
      </c>
      <c r="L265" s="36" t="str">
        <f aca="false">IFERROR($J265/$K265,"")</f>
        <v/>
      </c>
      <c r="M265" s="45"/>
      <c r="N265" s="27"/>
    </row>
    <row r="266" customFormat="false" ht="15" hidden="false" customHeight="false" outlineLevel="0" collapsed="false">
      <c r="A266" s="29"/>
      <c r="B266" s="33" t="n">
        <f aca="false">IF($A266="",0,INT(($A266-Macrociclo!$C$11)/7)+1)</f>
        <v>0</v>
      </c>
      <c r="C266" s="27"/>
      <c r="D266" s="27"/>
      <c r="E266" s="27"/>
      <c r="F266" s="32"/>
      <c r="G266" s="28"/>
      <c r="H266" s="35" t="str">
        <f aca="false">IF(OR($F266="",$G266=""),"",ROUND($F266*(1+$G266/30),1))</f>
        <v/>
      </c>
      <c r="I266" s="35" t="str">
        <f aca="false">IF(OR($F266="",$G266="",$G266&gt;36),"",ROUND($F266/(1.0278-0.0278*$G266),1))</f>
        <v/>
      </c>
      <c r="J266" s="30" t="str">
        <f aca="false">IF($E266="Direto (1RM real)",$F266,IF(OR($H266="",$I266=""),"",ROUND(AVERAGE($H266,$I266),1)))</f>
        <v/>
      </c>
      <c r="K266" s="35" t="str">
        <f aca="false">IF($C266="","",IFERROR(INDEX(Cadastro!$P$8:$P$47,MATCH($C266,Cadastro!$B$8:$B$47,0)),""))</f>
        <v/>
      </c>
      <c r="L266" s="36" t="str">
        <f aca="false">IFERROR($J266/$K266,"")</f>
        <v/>
      </c>
      <c r="M266" s="45"/>
      <c r="N266" s="27"/>
    </row>
    <row r="267" customFormat="false" ht="15" hidden="false" customHeight="false" outlineLevel="0" collapsed="false">
      <c r="A267" s="29"/>
      <c r="B267" s="33" t="n">
        <f aca="false">IF($A267="",0,INT(($A267-Macrociclo!$C$11)/7)+1)</f>
        <v>0</v>
      </c>
      <c r="C267" s="27"/>
      <c r="D267" s="27"/>
      <c r="E267" s="27"/>
      <c r="F267" s="32"/>
      <c r="G267" s="28"/>
      <c r="H267" s="35" t="str">
        <f aca="false">IF(OR($F267="",$G267=""),"",ROUND($F267*(1+$G267/30),1))</f>
        <v/>
      </c>
      <c r="I267" s="35" t="str">
        <f aca="false">IF(OR($F267="",$G267="",$G267&gt;36),"",ROUND($F267/(1.0278-0.0278*$G267),1))</f>
        <v/>
      </c>
      <c r="J267" s="30" t="str">
        <f aca="false">IF($E267="Direto (1RM real)",$F267,IF(OR($H267="",$I267=""),"",ROUND(AVERAGE($H267,$I267),1)))</f>
        <v/>
      </c>
      <c r="K267" s="35" t="str">
        <f aca="false">IF($C267="","",IFERROR(INDEX(Cadastro!$P$8:$P$47,MATCH($C267,Cadastro!$B$8:$B$47,0)),""))</f>
        <v/>
      </c>
      <c r="L267" s="36" t="str">
        <f aca="false">IFERROR($J267/$K267,"")</f>
        <v/>
      </c>
      <c r="M267" s="45"/>
      <c r="N267" s="27"/>
    </row>
    <row r="268" customFormat="false" ht="15" hidden="false" customHeight="false" outlineLevel="0" collapsed="false">
      <c r="A268" s="29"/>
      <c r="B268" s="33" t="n">
        <f aca="false">IF($A268="",0,INT(($A268-Macrociclo!$C$11)/7)+1)</f>
        <v>0</v>
      </c>
      <c r="C268" s="27"/>
      <c r="D268" s="27"/>
      <c r="E268" s="27"/>
      <c r="F268" s="32"/>
      <c r="G268" s="28"/>
      <c r="H268" s="35" t="str">
        <f aca="false">IF(OR($F268="",$G268=""),"",ROUND($F268*(1+$G268/30),1))</f>
        <v/>
      </c>
      <c r="I268" s="35" t="str">
        <f aca="false">IF(OR($F268="",$G268="",$G268&gt;36),"",ROUND($F268/(1.0278-0.0278*$G268),1))</f>
        <v/>
      </c>
      <c r="J268" s="30" t="str">
        <f aca="false">IF($E268="Direto (1RM real)",$F268,IF(OR($H268="",$I268=""),"",ROUND(AVERAGE($H268,$I268),1)))</f>
        <v/>
      </c>
      <c r="K268" s="35" t="str">
        <f aca="false">IF($C268="","",IFERROR(INDEX(Cadastro!$P$8:$P$47,MATCH($C268,Cadastro!$B$8:$B$47,0)),""))</f>
        <v/>
      </c>
      <c r="L268" s="36" t="str">
        <f aca="false">IFERROR($J268/$K268,"")</f>
        <v/>
      </c>
      <c r="M268" s="45"/>
      <c r="N268" s="27"/>
    </row>
    <row r="269" customFormat="false" ht="15" hidden="false" customHeight="false" outlineLevel="0" collapsed="false">
      <c r="A269" s="29"/>
      <c r="B269" s="33" t="n">
        <f aca="false">IF($A269="",0,INT(($A269-Macrociclo!$C$11)/7)+1)</f>
        <v>0</v>
      </c>
      <c r="C269" s="27"/>
      <c r="D269" s="27"/>
      <c r="E269" s="27"/>
      <c r="F269" s="32"/>
      <c r="G269" s="28"/>
      <c r="H269" s="35" t="str">
        <f aca="false">IF(OR($F269="",$G269=""),"",ROUND($F269*(1+$G269/30),1))</f>
        <v/>
      </c>
      <c r="I269" s="35" t="str">
        <f aca="false">IF(OR($F269="",$G269="",$G269&gt;36),"",ROUND($F269/(1.0278-0.0278*$G269),1))</f>
        <v/>
      </c>
      <c r="J269" s="30" t="str">
        <f aca="false">IF($E269="Direto (1RM real)",$F269,IF(OR($H269="",$I269=""),"",ROUND(AVERAGE($H269,$I269),1)))</f>
        <v/>
      </c>
      <c r="K269" s="35" t="str">
        <f aca="false">IF($C269="","",IFERROR(INDEX(Cadastro!$P$8:$P$47,MATCH($C269,Cadastro!$B$8:$B$47,0)),""))</f>
        <v/>
      </c>
      <c r="L269" s="36" t="str">
        <f aca="false">IFERROR($J269/$K269,"")</f>
        <v/>
      </c>
      <c r="M269" s="45"/>
      <c r="N269" s="27"/>
    </row>
    <row r="270" customFormat="false" ht="15" hidden="false" customHeight="false" outlineLevel="0" collapsed="false">
      <c r="A270" s="29"/>
      <c r="B270" s="33" t="n">
        <f aca="false">IF($A270="",0,INT(($A270-Macrociclo!$C$11)/7)+1)</f>
        <v>0</v>
      </c>
      <c r="C270" s="27"/>
      <c r="D270" s="27"/>
      <c r="E270" s="27"/>
      <c r="F270" s="32"/>
      <c r="G270" s="28"/>
      <c r="H270" s="35" t="str">
        <f aca="false">IF(OR($F270="",$G270=""),"",ROUND($F270*(1+$G270/30),1))</f>
        <v/>
      </c>
      <c r="I270" s="35" t="str">
        <f aca="false">IF(OR($F270="",$G270="",$G270&gt;36),"",ROUND($F270/(1.0278-0.0278*$G270),1))</f>
        <v/>
      </c>
      <c r="J270" s="30" t="str">
        <f aca="false">IF($E270="Direto (1RM real)",$F270,IF(OR($H270="",$I270=""),"",ROUND(AVERAGE($H270,$I270),1)))</f>
        <v/>
      </c>
      <c r="K270" s="35" t="str">
        <f aca="false">IF($C270="","",IFERROR(INDEX(Cadastro!$P$8:$P$47,MATCH($C270,Cadastro!$B$8:$B$47,0)),""))</f>
        <v/>
      </c>
      <c r="L270" s="36" t="str">
        <f aca="false">IFERROR($J270/$K270,"")</f>
        <v/>
      </c>
      <c r="M270" s="45"/>
      <c r="N270" s="27"/>
    </row>
    <row r="271" customFormat="false" ht="15" hidden="false" customHeight="false" outlineLevel="0" collapsed="false">
      <c r="A271" s="29"/>
      <c r="B271" s="33" t="n">
        <f aca="false">IF($A271="",0,INT(($A271-Macrociclo!$C$11)/7)+1)</f>
        <v>0</v>
      </c>
      <c r="C271" s="27"/>
      <c r="D271" s="27"/>
      <c r="E271" s="27"/>
      <c r="F271" s="32"/>
      <c r="G271" s="28"/>
      <c r="H271" s="35" t="str">
        <f aca="false">IF(OR($F271="",$G271=""),"",ROUND($F271*(1+$G271/30),1))</f>
        <v/>
      </c>
      <c r="I271" s="35" t="str">
        <f aca="false">IF(OR($F271="",$G271="",$G271&gt;36),"",ROUND($F271/(1.0278-0.0278*$G271),1))</f>
        <v/>
      </c>
      <c r="J271" s="30" t="str">
        <f aca="false">IF($E271="Direto (1RM real)",$F271,IF(OR($H271="",$I271=""),"",ROUND(AVERAGE($H271,$I271),1)))</f>
        <v/>
      </c>
      <c r="K271" s="35" t="str">
        <f aca="false">IF($C271="","",IFERROR(INDEX(Cadastro!$P$8:$P$47,MATCH($C271,Cadastro!$B$8:$B$47,0)),""))</f>
        <v/>
      </c>
      <c r="L271" s="36" t="str">
        <f aca="false">IFERROR($J271/$K271,"")</f>
        <v/>
      </c>
      <c r="M271" s="45"/>
      <c r="N271" s="27"/>
    </row>
    <row r="272" customFormat="false" ht="15" hidden="false" customHeight="false" outlineLevel="0" collapsed="false">
      <c r="A272" s="29"/>
      <c r="B272" s="33" t="n">
        <f aca="false">IF($A272="",0,INT(($A272-Macrociclo!$C$11)/7)+1)</f>
        <v>0</v>
      </c>
      <c r="C272" s="27"/>
      <c r="D272" s="27"/>
      <c r="E272" s="27"/>
      <c r="F272" s="32"/>
      <c r="G272" s="28"/>
      <c r="H272" s="35" t="str">
        <f aca="false">IF(OR($F272="",$G272=""),"",ROUND($F272*(1+$G272/30),1))</f>
        <v/>
      </c>
      <c r="I272" s="35" t="str">
        <f aca="false">IF(OR($F272="",$G272="",$G272&gt;36),"",ROUND($F272/(1.0278-0.0278*$G272),1))</f>
        <v/>
      </c>
      <c r="J272" s="30" t="str">
        <f aca="false">IF($E272="Direto (1RM real)",$F272,IF(OR($H272="",$I272=""),"",ROUND(AVERAGE($H272,$I272),1)))</f>
        <v/>
      </c>
      <c r="K272" s="35" t="str">
        <f aca="false">IF($C272="","",IFERROR(INDEX(Cadastro!$P$8:$P$47,MATCH($C272,Cadastro!$B$8:$B$47,0)),""))</f>
        <v/>
      </c>
      <c r="L272" s="36" t="str">
        <f aca="false">IFERROR($J272/$K272,"")</f>
        <v/>
      </c>
      <c r="M272" s="45"/>
      <c r="N272" s="27"/>
    </row>
    <row r="273" customFormat="false" ht="15" hidden="false" customHeight="false" outlineLevel="0" collapsed="false">
      <c r="A273" s="29"/>
      <c r="B273" s="33" t="n">
        <f aca="false">IF($A273="",0,INT(($A273-Macrociclo!$C$11)/7)+1)</f>
        <v>0</v>
      </c>
      <c r="C273" s="27"/>
      <c r="D273" s="27"/>
      <c r="E273" s="27"/>
      <c r="F273" s="32"/>
      <c r="G273" s="28"/>
      <c r="H273" s="35" t="str">
        <f aca="false">IF(OR($F273="",$G273=""),"",ROUND($F273*(1+$G273/30),1))</f>
        <v/>
      </c>
      <c r="I273" s="35" t="str">
        <f aca="false">IF(OR($F273="",$G273="",$G273&gt;36),"",ROUND($F273/(1.0278-0.0278*$G273),1))</f>
        <v/>
      </c>
      <c r="J273" s="30" t="str">
        <f aca="false">IF($E273="Direto (1RM real)",$F273,IF(OR($H273="",$I273=""),"",ROUND(AVERAGE($H273,$I273),1)))</f>
        <v/>
      </c>
      <c r="K273" s="35" t="str">
        <f aca="false">IF($C273="","",IFERROR(INDEX(Cadastro!$P$8:$P$47,MATCH($C273,Cadastro!$B$8:$B$47,0)),""))</f>
        <v/>
      </c>
      <c r="L273" s="36" t="str">
        <f aca="false">IFERROR($J273/$K273,"")</f>
        <v/>
      </c>
      <c r="M273" s="45"/>
      <c r="N273" s="27"/>
    </row>
    <row r="274" customFormat="false" ht="15" hidden="false" customHeight="false" outlineLevel="0" collapsed="false">
      <c r="A274" s="29"/>
      <c r="B274" s="33" t="n">
        <f aca="false">IF($A274="",0,INT(($A274-Macrociclo!$C$11)/7)+1)</f>
        <v>0</v>
      </c>
      <c r="C274" s="27"/>
      <c r="D274" s="27"/>
      <c r="E274" s="27"/>
      <c r="F274" s="32"/>
      <c r="G274" s="28"/>
      <c r="H274" s="35" t="str">
        <f aca="false">IF(OR($F274="",$G274=""),"",ROUND($F274*(1+$G274/30),1))</f>
        <v/>
      </c>
      <c r="I274" s="35" t="str">
        <f aca="false">IF(OR($F274="",$G274="",$G274&gt;36),"",ROUND($F274/(1.0278-0.0278*$G274),1))</f>
        <v/>
      </c>
      <c r="J274" s="30" t="str">
        <f aca="false">IF($E274="Direto (1RM real)",$F274,IF(OR($H274="",$I274=""),"",ROUND(AVERAGE($H274,$I274),1)))</f>
        <v/>
      </c>
      <c r="K274" s="35" t="str">
        <f aca="false">IF($C274="","",IFERROR(INDEX(Cadastro!$P$8:$P$47,MATCH($C274,Cadastro!$B$8:$B$47,0)),""))</f>
        <v/>
      </c>
      <c r="L274" s="36" t="str">
        <f aca="false">IFERROR($J274/$K274,"")</f>
        <v/>
      </c>
      <c r="M274" s="45"/>
      <c r="N274" s="27"/>
    </row>
    <row r="275" customFormat="false" ht="15" hidden="false" customHeight="false" outlineLevel="0" collapsed="false">
      <c r="A275" s="29"/>
      <c r="B275" s="33" t="n">
        <f aca="false">IF($A275="",0,INT(($A275-Macrociclo!$C$11)/7)+1)</f>
        <v>0</v>
      </c>
      <c r="C275" s="27"/>
      <c r="D275" s="27"/>
      <c r="E275" s="27"/>
      <c r="F275" s="32"/>
      <c r="G275" s="28"/>
      <c r="H275" s="35" t="str">
        <f aca="false">IF(OR($F275="",$G275=""),"",ROUND($F275*(1+$G275/30),1))</f>
        <v/>
      </c>
      <c r="I275" s="35" t="str">
        <f aca="false">IF(OR($F275="",$G275="",$G275&gt;36),"",ROUND($F275/(1.0278-0.0278*$G275),1))</f>
        <v/>
      </c>
      <c r="J275" s="30" t="str">
        <f aca="false">IF($E275="Direto (1RM real)",$F275,IF(OR($H275="",$I275=""),"",ROUND(AVERAGE($H275,$I275),1)))</f>
        <v/>
      </c>
      <c r="K275" s="35" t="str">
        <f aca="false">IF($C275="","",IFERROR(INDEX(Cadastro!$P$8:$P$47,MATCH($C275,Cadastro!$B$8:$B$47,0)),""))</f>
        <v/>
      </c>
      <c r="L275" s="36" t="str">
        <f aca="false">IFERROR($J275/$K275,"")</f>
        <v/>
      </c>
      <c r="M275" s="45"/>
      <c r="N275" s="27"/>
    </row>
    <row r="276" customFormat="false" ht="15" hidden="false" customHeight="false" outlineLevel="0" collapsed="false">
      <c r="A276" s="29"/>
      <c r="B276" s="33" t="n">
        <f aca="false">IF($A276="",0,INT(($A276-Macrociclo!$C$11)/7)+1)</f>
        <v>0</v>
      </c>
      <c r="C276" s="27"/>
      <c r="D276" s="27"/>
      <c r="E276" s="27"/>
      <c r="F276" s="32"/>
      <c r="G276" s="28"/>
      <c r="H276" s="35" t="str">
        <f aca="false">IF(OR($F276="",$G276=""),"",ROUND($F276*(1+$G276/30),1))</f>
        <v/>
      </c>
      <c r="I276" s="35" t="str">
        <f aca="false">IF(OR($F276="",$G276="",$G276&gt;36),"",ROUND($F276/(1.0278-0.0278*$G276),1))</f>
        <v/>
      </c>
      <c r="J276" s="30" t="str">
        <f aca="false">IF($E276="Direto (1RM real)",$F276,IF(OR($H276="",$I276=""),"",ROUND(AVERAGE($H276,$I276),1)))</f>
        <v/>
      </c>
      <c r="K276" s="35" t="str">
        <f aca="false">IF($C276="","",IFERROR(INDEX(Cadastro!$P$8:$P$47,MATCH($C276,Cadastro!$B$8:$B$47,0)),""))</f>
        <v/>
      </c>
      <c r="L276" s="36" t="str">
        <f aca="false">IFERROR($J276/$K276,"")</f>
        <v/>
      </c>
      <c r="M276" s="45"/>
      <c r="N276" s="27"/>
    </row>
    <row r="277" customFormat="false" ht="15" hidden="false" customHeight="false" outlineLevel="0" collapsed="false">
      <c r="A277" s="29"/>
      <c r="B277" s="33" t="n">
        <f aca="false">IF($A277="",0,INT(($A277-Macrociclo!$C$11)/7)+1)</f>
        <v>0</v>
      </c>
      <c r="C277" s="27"/>
      <c r="D277" s="27"/>
      <c r="E277" s="27"/>
      <c r="F277" s="32"/>
      <c r="G277" s="28"/>
      <c r="H277" s="35" t="str">
        <f aca="false">IF(OR($F277="",$G277=""),"",ROUND($F277*(1+$G277/30),1))</f>
        <v/>
      </c>
      <c r="I277" s="35" t="str">
        <f aca="false">IF(OR($F277="",$G277="",$G277&gt;36),"",ROUND($F277/(1.0278-0.0278*$G277),1))</f>
        <v/>
      </c>
      <c r="J277" s="30" t="str">
        <f aca="false">IF($E277="Direto (1RM real)",$F277,IF(OR($H277="",$I277=""),"",ROUND(AVERAGE($H277,$I277),1)))</f>
        <v/>
      </c>
      <c r="K277" s="35" t="str">
        <f aca="false">IF($C277="","",IFERROR(INDEX(Cadastro!$P$8:$P$47,MATCH($C277,Cadastro!$B$8:$B$47,0)),""))</f>
        <v/>
      </c>
      <c r="L277" s="36" t="str">
        <f aca="false">IFERROR($J277/$K277,"")</f>
        <v/>
      </c>
      <c r="M277" s="45"/>
      <c r="N277" s="27"/>
    </row>
    <row r="278" customFormat="false" ht="15" hidden="false" customHeight="false" outlineLevel="0" collapsed="false">
      <c r="A278" s="29"/>
      <c r="B278" s="33" t="n">
        <f aca="false">IF($A278="",0,INT(($A278-Macrociclo!$C$11)/7)+1)</f>
        <v>0</v>
      </c>
      <c r="C278" s="27"/>
      <c r="D278" s="27"/>
      <c r="E278" s="27"/>
      <c r="F278" s="32"/>
      <c r="G278" s="28"/>
      <c r="H278" s="35" t="str">
        <f aca="false">IF(OR($F278="",$G278=""),"",ROUND($F278*(1+$G278/30),1))</f>
        <v/>
      </c>
      <c r="I278" s="35" t="str">
        <f aca="false">IF(OR($F278="",$G278="",$G278&gt;36),"",ROUND($F278/(1.0278-0.0278*$G278),1))</f>
        <v/>
      </c>
      <c r="J278" s="30" t="str">
        <f aca="false">IF($E278="Direto (1RM real)",$F278,IF(OR($H278="",$I278=""),"",ROUND(AVERAGE($H278,$I278),1)))</f>
        <v/>
      </c>
      <c r="K278" s="35" t="str">
        <f aca="false">IF($C278="","",IFERROR(INDEX(Cadastro!$P$8:$P$47,MATCH($C278,Cadastro!$B$8:$B$47,0)),""))</f>
        <v/>
      </c>
      <c r="L278" s="36" t="str">
        <f aca="false">IFERROR($J278/$K278,"")</f>
        <v/>
      </c>
      <c r="M278" s="45"/>
      <c r="N278" s="27"/>
    </row>
    <row r="279" customFormat="false" ht="15" hidden="false" customHeight="false" outlineLevel="0" collapsed="false">
      <c r="A279" s="29"/>
      <c r="B279" s="33" t="n">
        <f aca="false">IF($A279="",0,INT(($A279-Macrociclo!$C$11)/7)+1)</f>
        <v>0</v>
      </c>
      <c r="C279" s="27"/>
      <c r="D279" s="27"/>
      <c r="E279" s="27"/>
      <c r="F279" s="32"/>
      <c r="G279" s="28"/>
      <c r="H279" s="35" t="str">
        <f aca="false">IF(OR($F279="",$G279=""),"",ROUND($F279*(1+$G279/30),1))</f>
        <v/>
      </c>
      <c r="I279" s="35" t="str">
        <f aca="false">IF(OR($F279="",$G279="",$G279&gt;36),"",ROUND($F279/(1.0278-0.0278*$G279),1))</f>
        <v/>
      </c>
      <c r="J279" s="30" t="str">
        <f aca="false">IF($E279="Direto (1RM real)",$F279,IF(OR($H279="",$I279=""),"",ROUND(AVERAGE($H279,$I279),1)))</f>
        <v/>
      </c>
      <c r="K279" s="35" t="str">
        <f aca="false">IF($C279="","",IFERROR(INDEX(Cadastro!$P$8:$P$47,MATCH($C279,Cadastro!$B$8:$B$47,0)),""))</f>
        <v/>
      </c>
      <c r="L279" s="36" t="str">
        <f aca="false">IFERROR($J279/$K279,"")</f>
        <v/>
      </c>
      <c r="M279" s="45"/>
      <c r="N279" s="27"/>
    </row>
    <row r="280" customFormat="false" ht="15" hidden="false" customHeight="false" outlineLevel="0" collapsed="false">
      <c r="A280" s="29"/>
      <c r="B280" s="33" t="n">
        <f aca="false">IF($A280="",0,INT(($A280-Macrociclo!$C$11)/7)+1)</f>
        <v>0</v>
      </c>
      <c r="C280" s="27"/>
      <c r="D280" s="27"/>
      <c r="E280" s="27"/>
      <c r="F280" s="32"/>
      <c r="G280" s="28"/>
      <c r="H280" s="35" t="str">
        <f aca="false">IF(OR($F280="",$G280=""),"",ROUND($F280*(1+$G280/30),1))</f>
        <v/>
      </c>
      <c r="I280" s="35" t="str">
        <f aca="false">IF(OR($F280="",$G280="",$G280&gt;36),"",ROUND($F280/(1.0278-0.0278*$G280),1))</f>
        <v/>
      </c>
      <c r="J280" s="30" t="str">
        <f aca="false">IF($E280="Direto (1RM real)",$F280,IF(OR($H280="",$I280=""),"",ROUND(AVERAGE($H280,$I280),1)))</f>
        <v/>
      </c>
      <c r="K280" s="35" t="str">
        <f aca="false">IF($C280="","",IFERROR(INDEX(Cadastro!$P$8:$P$47,MATCH($C280,Cadastro!$B$8:$B$47,0)),""))</f>
        <v/>
      </c>
      <c r="L280" s="36" t="str">
        <f aca="false">IFERROR($J280/$K280,"")</f>
        <v/>
      </c>
      <c r="M280" s="45"/>
      <c r="N280" s="27"/>
    </row>
    <row r="281" customFormat="false" ht="15" hidden="false" customHeight="false" outlineLevel="0" collapsed="false">
      <c r="A281" s="29"/>
      <c r="B281" s="33" t="n">
        <f aca="false">IF($A281="",0,INT(($A281-Macrociclo!$C$11)/7)+1)</f>
        <v>0</v>
      </c>
      <c r="C281" s="27"/>
      <c r="D281" s="27"/>
      <c r="E281" s="27"/>
      <c r="F281" s="32"/>
      <c r="G281" s="28"/>
      <c r="H281" s="35" t="str">
        <f aca="false">IF(OR($F281="",$G281=""),"",ROUND($F281*(1+$G281/30),1))</f>
        <v/>
      </c>
      <c r="I281" s="35" t="str">
        <f aca="false">IF(OR($F281="",$G281="",$G281&gt;36),"",ROUND($F281/(1.0278-0.0278*$G281),1))</f>
        <v/>
      </c>
      <c r="J281" s="30" t="str">
        <f aca="false">IF($E281="Direto (1RM real)",$F281,IF(OR($H281="",$I281=""),"",ROUND(AVERAGE($H281,$I281),1)))</f>
        <v/>
      </c>
      <c r="K281" s="35" t="str">
        <f aca="false">IF($C281="","",IFERROR(INDEX(Cadastro!$P$8:$P$47,MATCH($C281,Cadastro!$B$8:$B$47,0)),""))</f>
        <v/>
      </c>
      <c r="L281" s="36" t="str">
        <f aca="false">IFERROR($J281/$K281,"")</f>
        <v/>
      </c>
      <c r="M281" s="45"/>
      <c r="N281" s="27"/>
    </row>
    <row r="282" customFormat="false" ht="15" hidden="false" customHeight="false" outlineLevel="0" collapsed="false">
      <c r="A282" s="29"/>
      <c r="B282" s="33" t="n">
        <f aca="false">IF($A282="",0,INT(($A282-Macrociclo!$C$11)/7)+1)</f>
        <v>0</v>
      </c>
      <c r="C282" s="27"/>
      <c r="D282" s="27"/>
      <c r="E282" s="27"/>
      <c r="F282" s="32"/>
      <c r="G282" s="28"/>
      <c r="H282" s="35" t="str">
        <f aca="false">IF(OR($F282="",$G282=""),"",ROUND($F282*(1+$G282/30),1))</f>
        <v/>
      </c>
      <c r="I282" s="35" t="str">
        <f aca="false">IF(OR($F282="",$G282="",$G282&gt;36),"",ROUND($F282/(1.0278-0.0278*$G282),1))</f>
        <v/>
      </c>
      <c r="J282" s="30" t="str">
        <f aca="false">IF($E282="Direto (1RM real)",$F282,IF(OR($H282="",$I282=""),"",ROUND(AVERAGE($H282,$I282),1)))</f>
        <v/>
      </c>
      <c r="K282" s="35" t="str">
        <f aca="false">IF($C282="","",IFERROR(INDEX(Cadastro!$P$8:$P$47,MATCH($C282,Cadastro!$B$8:$B$47,0)),""))</f>
        <v/>
      </c>
      <c r="L282" s="36" t="str">
        <f aca="false">IFERROR($J282/$K282,"")</f>
        <v/>
      </c>
      <c r="M282" s="45"/>
      <c r="N282" s="27"/>
    </row>
    <row r="283" customFormat="false" ht="15" hidden="false" customHeight="false" outlineLevel="0" collapsed="false">
      <c r="A283" s="29"/>
      <c r="B283" s="33" t="n">
        <f aca="false">IF($A283="",0,INT(($A283-Macrociclo!$C$11)/7)+1)</f>
        <v>0</v>
      </c>
      <c r="C283" s="27"/>
      <c r="D283" s="27"/>
      <c r="E283" s="27"/>
      <c r="F283" s="32"/>
      <c r="G283" s="28"/>
      <c r="H283" s="35" t="str">
        <f aca="false">IF(OR($F283="",$G283=""),"",ROUND($F283*(1+$G283/30),1))</f>
        <v/>
      </c>
      <c r="I283" s="35" t="str">
        <f aca="false">IF(OR($F283="",$G283="",$G283&gt;36),"",ROUND($F283/(1.0278-0.0278*$G283),1))</f>
        <v/>
      </c>
      <c r="J283" s="30" t="str">
        <f aca="false">IF($E283="Direto (1RM real)",$F283,IF(OR($H283="",$I283=""),"",ROUND(AVERAGE($H283,$I283),1)))</f>
        <v/>
      </c>
      <c r="K283" s="35" t="str">
        <f aca="false">IF($C283="","",IFERROR(INDEX(Cadastro!$P$8:$P$47,MATCH($C283,Cadastro!$B$8:$B$47,0)),""))</f>
        <v/>
      </c>
      <c r="L283" s="36" t="str">
        <f aca="false">IFERROR($J283/$K283,"")</f>
        <v/>
      </c>
      <c r="M283" s="45"/>
      <c r="N283" s="27"/>
    </row>
    <row r="284" customFormat="false" ht="15" hidden="false" customHeight="false" outlineLevel="0" collapsed="false">
      <c r="A284" s="29"/>
      <c r="B284" s="33" t="n">
        <f aca="false">IF($A284="",0,INT(($A284-Macrociclo!$C$11)/7)+1)</f>
        <v>0</v>
      </c>
      <c r="C284" s="27"/>
      <c r="D284" s="27"/>
      <c r="E284" s="27"/>
      <c r="F284" s="32"/>
      <c r="G284" s="28"/>
      <c r="H284" s="35" t="str">
        <f aca="false">IF(OR($F284="",$G284=""),"",ROUND($F284*(1+$G284/30),1))</f>
        <v/>
      </c>
      <c r="I284" s="35" t="str">
        <f aca="false">IF(OR($F284="",$G284="",$G284&gt;36),"",ROUND($F284/(1.0278-0.0278*$G284),1))</f>
        <v/>
      </c>
      <c r="J284" s="30" t="str">
        <f aca="false">IF($E284="Direto (1RM real)",$F284,IF(OR($H284="",$I284=""),"",ROUND(AVERAGE($H284,$I284),1)))</f>
        <v/>
      </c>
      <c r="K284" s="35" t="str">
        <f aca="false">IF($C284="","",IFERROR(INDEX(Cadastro!$P$8:$P$47,MATCH($C284,Cadastro!$B$8:$B$47,0)),""))</f>
        <v/>
      </c>
      <c r="L284" s="36" t="str">
        <f aca="false">IFERROR($J284/$K284,"")</f>
        <v/>
      </c>
      <c r="M284" s="45"/>
      <c r="N284" s="27"/>
    </row>
    <row r="285" customFormat="false" ht="15" hidden="false" customHeight="false" outlineLevel="0" collapsed="false">
      <c r="A285" s="29"/>
      <c r="B285" s="33" t="n">
        <f aca="false">IF($A285="",0,INT(($A285-Macrociclo!$C$11)/7)+1)</f>
        <v>0</v>
      </c>
      <c r="C285" s="27"/>
      <c r="D285" s="27"/>
      <c r="E285" s="27"/>
      <c r="F285" s="32"/>
      <c r="G285" s="28"/>
      <c r="H285" s="35" t="str">
        <f aca="false">IF(OR($F285="",$G285=""),"",ROUND($F285*(1+$G285/30),1))</f>
        <v/>
      </c>
      <c r="I285" s="35" t="str">
        <f aca="false">IF(OR($F285="",$G285="",$G285&gt;36),"",ROUND($F285/(1.0278-0.0278*$G285),1))</f>
        <v/>
      </c>
      <c r="J285" s="30" t="str">
        <f aca="false">IF($E285="Direto (1RM real)",$F285,IF(OR($H285="",$I285=""),"",ROUND(AVERAGE($H285,$I285),1)))</f>
        <v/>
      </c>
      <c r="K285" s="35" t="str">
        <f aca="false">IF($C285="","",IFERROR(INDEX(Cadastro!$P$8:$P$47,MATCH($C285,Cadastro!$B$8:$B$47,0)),""))</f>
        <v/>
      </c>
      <c r="L285" s="36" t="str">
        <f aca="false">IFERROR($J285/$K285,"")</f>
        <v/>
      </c>
      <c r="M285" s="45"/>
      <c r="N285" s="27"/>
    </row>
    <row r="286" customFormat="false" ht="15" hidden="false" customHeight="false" outlineLevel="0" collapsed="false">
      <c r="A286" s="29"/>
      <c r="B286" s="33" t="n">
        <f aca="false">IF($A286="",0,INT(($A286-Macrociclo!$C$11)/7)+1)</f>
        <v>0</v>
      </c>
      <c r="C286" s="27"/>
      <c r="D286" s="27"/>
      <c r="E286" s="27"/>
      <c r="F286" s="32"/>
      <c r="G286" s="28"/>
      <c r="H286" s="35" t="str">
        <f aca="false">IF(OR($F286="",$G286=""),"",ROUND($F286*(1+$G286/30),1))</f>
        <v/>
      </c>
      <c r="I286" s="35" t="str">
        <f aca="false">IF(OR($F286="",$G286="",$G286&gt;36),"",ROUND($F286/(1.0278-0.0278*$G286),1))</f>
        <v/>
      </c>
      <c r="J286" s="30" t="str">
        <f aca="false">IF($E286="Direto (1RM real)",$F286,IF(OR($H286="",$I286=""),"",ROUND(AVERAGE($H286,$I286),1)))</f>
        <v/>
      </c>
      <c r="K286" s="35" t="str">
        <f aca="false">IF($C286="","",IFERROR(INDEX(Cadastro!$P$8:$P$47,MATCH($C286,Cadastro!$B$8:$B$47,0)),""))</f>
        <v/>
      </c>
      <c r="L286" s="36" t="str">
        <f aca="false">IFERROR($J286/$K286,"")</f>
        <v/>
      </c>
      <c r="M286" s="45"/>
      <c r="N286" s="27"/>
    </row>
    <row r="287" customFormat="false" ht="15" hidden="false" customHeight="false" outlineLevel="0" collapsed="false">
      <c r="A287" s="29"/>
      <c r="B287" s="33" t="n">
        <f aca="false">IF($A287="",0,INT(($A287-Macrociclo!$C$11)/7)+1)</f>
        <v>0</v>
      </c>
      <c r="C287" s="27"/>
      <c r="D287" s="27"/>
      <c r="E287" s="27"/>
      <c r="F287" s="32"/>
      <c r="G287" s="28"/>
      <c r="H287" s="35" t="str">
        <f aca="false">IF(OR($F287="",$G287=""),"",ROUND($F287*(1+$G287/30),1))</f>
        <v/>
      </c>
      <c r="I287" s="35" t="str">
        <f aca="false">IF(OR($F287="",$G287="",$G287&gt;36),"",ROUND($F287/(1.0278-0.0278*$G287),1))</f>
        <v/>
      </c>
      <c r="J287" s="30" t="str">
        <f aca="false">IF($E287="Direto (1RM real)",$F287,IF(OR($H287="",$I287=""),"",ROUND(AVERAGE($H287,$I287),1)))</f>
        <v/>
      </c>
      <c r="K287" s="35" t="str">
        <f aca="false">IF($C287="","",IFERROR(INDEX(Cadastro!$P$8:$P$47,MATCH($C287,Cadastro!$B$8:$B$47,0)),""))</f>
        <v/>
      </c>
      <c r="L287" s="36" t="str">
        <f aca="false">IFERROR($J287/$K287,"")</f>
        <v/>
      </c>
      <c r="M287" s="45"/>
      <c r="N287" s="27"/>
    </row>
    <row r="288" customFormat="false" ht="15" hidden="false" customHeight="false" outlineLevel="0" collapsed="false">
      <c r="A288" s="29"/>
      <c r="B288" s="33" t="n">
        <f aca="false">IF($A288="",0,INT(($A288-Macrociclo!$C$11)/7)+1)</f>
        <v>0</v>
      </c>
      <c r="C288" s="27"/>
      <c r="D288" s="27"/>
      <c r="E288" s="27"/>
      <c r="F288" s="32"/>
      <c r="G288" s="28"/>
      <c r="H288" s="35" t="str">
        <f aca="false">IF(OR($F288="",$G288=""),"",ROUND($F288*(1+$G288/30),1))</f>
        <v/>
      </c>
      <c r="I288" s="35" t="str">
        <f aca="false">IF(OR($F288="",$G288="",$G288&gt;36),"",ROUND($F288/(1.0278-0.0278*$G288),1))</f>
        <v/>
      </c>
      <c r="J288" s="30" t="str">
        <f aca="false">IF($E288="Direto (1RM real)",$F288,IF(OR($H288="",$I288=""),"",ROUND(AVERAGE($H288,$I288),1)))</f>
        <v/>
      </c>
      <c r="K288" s="35" t="str">
        <f aca="false">IF($C288="","",IFERROR(INDEX(Cadastro!$P$8:$P$47,MATCH($C288,Cadastro!$B$8:$B$47,0)),""))</f>
        <v/>
      </c>
      <c r="L288" s="36" t="str">
        <f aca="false">IFERROR($J288/$K288,"")</f>
        <v/>
      </c>
      <c r="M288" s="45"/>
      <c r="N288" s="27"/>
    </row>
    <row r="289" customFormat="false" ht="15" hidden="false" customHeight="false" outlineLevel="0" collapsed="false">
      <c r="A289" s="29"/>
      <c r="B289" s="33" t="n">
        <f aca="false">IF($A289="",0,INT(($A289-Macrociclo!$C$11)/7)+1)</f>
        <v>0</v>
      </c>
      <c r="C289" s="27"/>
      <c r="D289" s="27"/>
      <c r="E289" s="27"/>
      <c r="F289" s="32"/>
      <c r="G289" s="28"/>
      <c r="H289" s="35" t="str">
        <f aca="false">IF(OR($F289="",$G289=""),"",ROUND($F289*(1+$G289/30),1))</f>
        <v/>
      </c>
      <c r="I289" s="35" t="str">
        <f aca="false">IF(OR($F289="",$G289="",$G289&gt;36),"",ROUND($F289/(1.0278-0.0278*$G289),1))</f>
        <v/>
      </c>
      <c r="J289" s="30" t="str">
        <f aca="false">IF($E289="Direto (1RM real)",$F289,IF(OR($H289="",$I289=""),"",ROUND(AVERAGE($H289,$I289),1)))</f>
        <v/>
      </c>
      <c r="K289" s="35" t="str">
        <f aca="false">IF($C289="","",IFERROR(INDEX(Cadastro!$P$8:$P$47,MATCH($C289,Cadastro!$B$8:$B$47,0)),""))</f>
        <v/>
      </c>
      <c r="L289" s="36" t="str">
        <f aca="false">IFERROR($J289/$K289,"")</f>
        <v/>
      </c>
      <c r="M289" s="45"/>
      <c r="N289" s="27"/>
    </row>
    <row r="290" customFormat="false" ht="15" hidden="false" customHeight="false" outlineLevel="0" collapsed="false">
      <c r="A290" s="29"/>
      <c r="B290" s="33" t="n">
        <f aca="false">IF($A290="",0,INT(($A290-Macrociclo!$C$11)/7)+1)</f>
        <v>0</v>
      </c>
      <c r="C290" s="27"/>
      <c r="D290" s="27"/>
      <c r="E290" s="27"/>
      <c r="F290" s="32"/>
      <c r="G290" s="28"/>
      <c r="H290" s="35" t="str">
        <f aca="false">IF(OR($F290="",$G290=""),"",ROUND($F290*(1+$G290/30),1))</f>
        <v/>
      </c>
      <c r="I290" s="35" t="str">
        <f aca="false">IF(OR($F290="",$G290="",$G290&gt;36),"",ROUND($F290/(1.0278-0.0278*$G290),1))</f>
        <v/>
      </c>
      <c r="J290" s="30" t="str">
        <f aca="false">IF($E290="Direto (1RM real)",$F290,IF(OR($H290="",$I290=""),"",ROUND(AVERAGE($H290,$I290),1)))</f>
        <v/>
      </c>
      <c r="K290" s="35" t="str">
        <f aca="false">IF($C290="","",IFERROR(INDEX(Cadastro!$P$8:$P$47,MATCH($C290,Cadastro!$B$8:$B$47,0)),""))</f>
        <v/>
      </c>
      <c r="L290" s="36" t="str">
        <f aca="false">IFERROR($J290/$K290,"")</f>
        <v/>
      </c>
      <c r="M290" s="45"/>
      <c r="N290" s="27"/>
    </row>
    <row r="291" customFormat="false" ht="15" hidden="false" customHeight="false" outlineLevel="0" collapsed="false">
      <c r="A291" s="29"/>
      <c r="B291" s="33" t="n">
        <f aca="false">IF($A291="",0,INT(($A291-Macrociclo!$C$11)/7)+1)</f>
        <v>0</v>
      </c>
      <c r="C291" s="27"/>
      <c r="D291" s="27"/>
      <c r="E291" s="27"/>
      <c r="F291" s="32"/>
      <c r="G291" s="28"/>
      <c r="H291" s="35" t="str">
        <f aca="false">IF(OR($F291="",$G291=""),"",ROUND($F291*(1+$G291/30),1))</f>
        <v/>
      </c>
      <c r="I291" s="35" t="str">
        <f aca="false">IF(OR($F291="",$G291="",$G291&gt;36),"",ROUND($F291/(1.0278-0.0278*$G291),1))</f>
        <v/>
      </c>
      <c r="J291" s="30" t="str">
        <f aca="false">IF($E291="Direto (1RM real)",$F291,IF(OR($H291="",$I291=""),"",ROUND(AVERAGE($H291,$I291),1)))</f>
        <v/>
      </c>
      <c r="K291" s="35" t="str">
        <f aca="false">IF($C291="","",IFERROR(INDEX(Cadastro!$P$8:$P$47,MATCH($C291,Cadastro!$B$8:$B$47,0)),""))</f>
        <v/>
      </c>
      <c r="L291" s="36" t="str">
        <f aca="false">IFERROR($J291/$K291,"")</f>
        <v/>
      </c>
      <c r="M291" s="45"/>
      <c r="N291" s="27"/>
    </row>
    <row r="292" customFormat="false" ht="15" hidden="false" customHeight="false" outlineLevel="0" collapsed="false">
      <c r="A292" s="29"/>
      <c r="B292" s="33" t="n">
        <f aca="false">IF($A292="",0,INT(($A292-Macrociclo!$C$11)/7)+1)</f>
        <v>0</v>
      </c>
      <c r="C292" s="27"/>
      <c r="D292" s="27"/>
      <c r="E292" s="27"/>
      <c r="F292" s="32"/>
      <c r="G292" s="28"/>
      <c r="H292" s="35" t="str">
        <f aca="false">IF(OR($F292="",$G292=""),"",ROUND($F292*(1+$G292/30),1))</f>
        <v/>
      </c>
      <c r="I292" s="35" t="str">
        <f aca="false">IF(OR($F292="",$G292="",$G292&gt;36),"",ROUND($F292/(1.0278-0.0278*$G292),1))</f>
        <v/>
      </c>
      <c r="J292" s="30" t="str">
        <f aca="false">IF($E292="Direto (1RM real)",$F292,IF(OR($H292="",$I292=""),"",ROUND(AVERAGE($H292,$I292),1)))</f>
        <v/>
      </c>
      <c r="K292" s="35" t="str">
        <f aca="false">IF($C292="","",IFERROR(INDEX(Cadastro!$P$8:$P$47,MATCH($C292,Cadastro!$B$8:$B$47,0)),""))</f>
        <v/>
      </c>
      <c r="L292" s="36" t="str">
        <f aca="false">IFERROR($J292/$K292,"")</f>
        <v/>
      </c>
      <c r="M292" s="45"/>
      <c r="N292" s="27"/>
    </row>
    <row r="293" customFormat="false" ht="15" hidden="false" customHeight="false" outlineLevel="0" collapsed="false">
      <c r="A293" s="29"/>
      <c r="B293" s="33" t="n">
        <f aca="false">IF($A293="",0,INT(($A293-Macrociclo!$C$11)/7)+1)</f>
        <v>0</v>
      </c>
      <c r="C293" s="27"/>
      <c r="D293" s="27"/>
      <c r="E293" s="27"/>
      <c r="F293" s="32"/>
      <c r="G293" s="28"/>
      <c r="H293" s="35" t="str">
        <f aca="false">IF(OR($F293="",$G293=""),"",ROUND($F293*(1+$G293/30),1))</f>
        <v/>
      </c>
      <c r="I293" s="35" t="str">
        <f aca="false">IF(OR($F293="",$G293="",$G293&gt;36),"",ROUND($F293/(1.0278-0.0278*$G293),1))</f>
        <v/>
      </c>
      <c r="J293" s="30" t="str">
        <f aca="false">IF($E293="Direto (1RM real)",$F293,IF(OR($H293="",$I293=""),"",ROUND(AVERAGE($H293,$I293),1)))</f>
        <v/>
      </c>
      <c r="K293" s="35" t="str">
        <f aca="false">IF($C293="","",IFERROR(INDEX(Cadastro!$P$8:$P$47,MATCH($C293,Cadastro!$B$8:$B$47,0)),""))</f>
        <v/>
      </c>
      <c r="L293" s="36" t="str">
        <f aca="false">IFERROR($J293/$K293,"")</f>
        <v/>
      </c>
      <c r="M293" s="45"/>
      <c r="N293" s="27"/>
    </row>
    <row r="294" customFormat="false" ht="15" hidden="false" customHeight="false" outlineLevel="0" collapsed="false">
      <c r="A294" s="29"/>
      <c r="B294" s="33" t="n">
        <f aca="false">IF($A294="",0,INT(($A294-Macrociclo!$C$11)/7)+1)</f>
        <v>0</v>
      </c>
      <c r="C294" s="27"/>
      <c r="D294" s="27"/>
      <c r="E294" s="27"/>
      <c r="F294" s="32"/>
      <c r="G294" s="28"/>
      <c r="H294" s="35" t="str">
        <f aca="false">IF(OR($F294="",$G294=""),"",ROUND($F294*(1+$G294/30),1))</f>
        <v/>
      </c>
      <c r="I294" s="35" t="str">
        <f aca="false">IF(OR($F294="",$G294="",$G294&gt;36),"",ROUND($F294/(1.0278-0.0278*$G294),1))</f>
        <v/>
      </c>
      <c r="J294" s="30" t="str">
        <f aca="false">IF($E294="Direto (1RM real)",$F294,IF(OR($H294="",$I294=""),"",ROUND(AVERAGE($H294,$I294),1)))</f>
        <v/>
      </c>
      <c r="K294" s="35" t="str">
        <f aca="false">IF($C294="","",IFERROR(INDEX(Cadastro!$P$8:$P$47,MATCH($C294,Cadastro!$B$8:$B$47,0)),""))</f>
        <v/>
      </c>
      <c r="L294" s="36" t="str">
        <f aca="false">IFERROR($J294/$K294,"")</f>
        <v/>
      </c>
      <c r="M294" s="45"/>
      <c r="N294" s="27"/>
    </row>
    <row r="295" customFormat="false" ht="15" hidden="false" customHeight="false" outlineLevel="0" collapsed="false">
      <c r="A295" s="29"/>
      <c r="B295" s="33" t="n">
        <f aca="false">IF($A295="",0,INT(($A295-Macrociclo!$C$11)/7)+1)</f>
        <v>0</v>
      </c>
      <c r="C295" s="27"/>
      <c r="D295" s="27"/>
      <c r="E295" s="27"/>
      <c r="F295" s="32"/>
      <c r="G295" s="28"/>
      <c r="H295" s="35" t="str">
        <f aca="false">IF(OR($F295="",$G295=""),"",ROUND($F295*(1+$G295/30),1))</f>
        <v/>
      </c>
      <c r="I295" s="35" t="str">
        <f aca="false">IF(OR($F295="",$G295="",$G295&gt;36),"",ROUND($F295/(1.0278-0.0278*$G295),1))</f>
        <v/>
      </c>
      <c r="J295" s="30" t="str">
        <f aca="false">IF($E295="Direto (1RM real)",$F295,IF(OR($H295="",$I295=""),"",ROUND(AVERAGE($H295,$I295),1)))</f>
        <v/>
      </c>
      <c r="K295" s="35" t="str">
        <f aca="false">IF($C295="","",IFERROR(INDEX(Cadastro!$P$8:$P$47,MATCH($C295,Cadastro!$B$8:$B$47,0)),""))</f>
        <v/>
      </c>
      <c r="L295" s="36" t="str">
        <f aca="false">IFERROR($J295/$K295,"")</f>
        <v/>
      </c>
      <c r="M295" s="45"/>
      <c r="N295" s="27"/>
    </row>
    <row r="296" customFormat="false" ht="15" hidden="false" customHeight="false" outlineLevel="0" collapsed="false">
      <c r="A296" s="29"/>
      <c r="B296" s="33" t="n">
        <f aca="false">IF($A296="",0,INT(($A296-Macrociclo!$C$11)/7)+1)</f>
        <v>0</v>
      </c>
      <c r="C296" s="27"/>
      <c r="D296" s="27"/>
      <c r="E296" s="27"/>
      <c r="F296" s="32"/>
      <c r="G296" s="28"/>
      <c r="H296" s="35" t="str">
        <f aca="false">IF(OR($F296="",$G296=""),"",ROUND($F296*(1+$G296/30),1))</f>
        <v/>
      </c>
      <c r="I296" s="35" t="str">
        <f aca="false">IF(OR($F296="",$G296="",$G296&gt;36),"",ROUND($F296/(1.0278-0.0278*$G296),1))</f>
        <v/>
      </c>
      <c r="J296" s="30" t="str">
        <f aca="false">IF($E296="Direto (1RM real)",$F296,IF(OR($H296="",$I296=""),"",ROUND(AVERAGE($H296,$I296),1)))</f>
        <v/>
      </c>
      <c r="K296" s="35" t="str">
        <f aca="false">IF($C296="","",IFERROR(INDEX(Cadastro!$P$8:$P$47,MATCH($C296,Cadastro!$B$8:$B$47,0)),""))</f>
        <v/>
      </c>
      <c r="L296" s="36" t="str">
        <f aca="false">IFERROR($J296/$K296,"")</f>
        <v/>
      </c>
      <c r="M296" s="45"/>
      <c r="N296" s="27"/>
    </row>
    <row r="297" customFormat="false" ht="15" hidden="false" customHeight="false" outlineLevel="0" collapsed="false">
      <c r="A297" s="29"/>
      <c r="B297" s="33" t="n">
        <f aca="false">IF($A297="",0,INT(($A297-Macrociclo!$C$11)/7)+1)</f>
        <v>0</v>
      </c>
      <c r="C297" s="27"/>
      <c r="D297" s="27"/>
      <c r="E297" s="27"/>
      <c r="F297" s="32"/>
      <c r="G297" s="28"/>
      <c r="H297" s="35" t="str">
        <f aca="false">IF(OR($F297="",$G297=""),"",ROUND($F297*(1+$G297/30),1))</f>
        <v/>
      </c>
      <c r="I297" s="35" t="str">
        <f aca="false">IF(OR($F297="",$G297="",$G297&gt;36),"",ROUND($F297/(1.0278-0.0278*$G297),1))</f>
        <v/>
      </c>
      <c r="J297" s="30" t="str">
        <f aca="false">IF($E297="Direto (1RM real)",$F297,IF(OR($H297="",$I297=""),"",ROUND(AVERAGE($H297,$I297),1)))</f>
        <v/>
      </c>
      <c r="K297" s="35" t="str">
        <f aca="false">IF($C297="","",IFERROR(INDEX(Cadastro!$P$8:$P$47,MATCH($C297,Cadastro!$B$8:$B$47,0)),""))</f>
        <v/>
      </c>
      <c r="L297" s="36" t="str">
        <f aca="false">IFERROR($J297/$K297,"")</f>
        <v/>
      </c>
      <c r="M297" s="45"/>
      <c r="N297" s="27"/>
    </row>
    <row r="298" customFormat="false" ht="15" hidden="false" customHeight="false" outlineLevel="0" collapsed="false">
      <c r="A298" s="29"/>
      <c r="B298" s="33" t="n">
        <f aca="false">IF($A298="",0,INT(($A298-Macrociclo!$C$11)/7)+1)</f>
        <v>0</v>
      </c>
      <c r="C298" s="27"/>
      <c r="D298" s="27"/>
      <c r="E298" s="27"/>
      <c r="F298" s="32"/>
      <c r="G298" s="28"/>
      <c r="H298" s="35" t="str">
        <f aca="false">IF(OR($F298="",$G298=""),"",ROUND($F298*(1+$G298/30),1))</f>
        <v/>
      </c>
      <c r="I298" s="35" t="str">
        <f aca="false">IF(OR($F298="",$G298="",$G298&gt;36),"",ROUND($F298/(1.0278-0.0278*$G298),1))</f>
        <v/>
      </c>
      <c r="J298" s="30" t="str">
        <f aca="false">IF($E298="Direto (1RM real)",$F298,IF(OR($H298="",$I298=""),"",ROUND(AVERAGE($H298,$I298),1)))</f>
        <v/>
      </c>
      <c r="K298" s="35" t="str">
        <f aca="false">IF($C298="","",IFERROR(INDEX(Cadastro!$P$8:$P$47,MATCH($C298,Cadastro!$B$8:$B$47,0)),""))</f>
        <v/>
      </c>
      <c r="L298" s="36" t="str">
        <f aca="false">IFERROR($J298/$K298,"")</f>
        <v/>
      </c>
      <c r="M298" s="45"/>
      <c r="N298" s="27"/>
    </row>
    <row r="299" customFormat="false" ht="15" hidden="false" customHeight="false" outlineLevel="0" collapsed="false">
      <c r="A299" s="29"/>
      <c r="B299" s="33" t="n">
        <f aca="false">IF($A299="",0,INT(($A299-Macrociclo!$C$11)/7)+1)</f>
        <v>0</v>
      </c>
      <c r="C299" s="27"/>
      <c r="D299" s="27"/>
      <c r="E299" s="27"/>
      <c r="F299" s="32"/>
      <c r="G299" s="28"/>
      <c r="H299" s="35" t="str">
        <f aca="false">IF(OR($F299="",$G299=""),"",ROUND($F299*(1+$G299/30),1))</f>
        <v/>
      </c>
      <c r="I299" s="35" t="str">
        <f aca="false">IF(OR($F299="",$G299="",$G299&gt;36),"",ROUND($F299/(1.0278-0.0278*$G299),1))</f>
        <v/>
      </c>
      <c r="J299" s="30" t="str">
        <f aca="false">IF($E299="Direto (1RM real)",$F299,IF(OR($H299="",$I299=""),"",ROUND(AVERAGE($H299,$I299),1)))</f>
        <v/>
      </c>
      <c r="K299" s="35" t="str">
        <f aca="false">IF($C299="","",IFERROR(INDEX(Cadastro!$P$8:$P$47,MATCH($C299,Cadastro!$B$8:$B$47,0)),""))</f>
        <v/>
      </c>
      <c r="L299" s="36" t="str">
        <f aca="false">IFERROR($J299/$K299,"")</f>
        <v/>
      </c>
      <c r="M299" s="45"/>
      <c r="N299" s="27"/>
    </row>
    <row r="300" customFormat="false" ht="15" hidden="false" customHeight="false" outlineLevel="0" collapsed="false">
      <c r="A300" s="29"/>
      <c r="B300" s="33" t="n">
        <f aca="false">IF($A300="",0,INT(($A300-Macrociclo!$C$11)/7)+1)</f>
        <v>0</v>
      </c>
      <c r="C300" s="27"/>
      <c r="D300" s="27"/>
      <c r="E300" s="27"/>
      <c r="F300" s="32"/>
      <c r="G300" s="28"/>
      <c r="H300" s="35" t="str">
        <f aca="false">IF(OR($F300="",$G300=""),"",ROUND($F300*(1+$G300/30),1))</f>
        <v/>
      </c>
      <c r="I300" s="35" t="str">
        <f aca="false">IF(OR($F300="",$G300="",$G300&gt;36),"",ROUND($F300/(1.0278-0.0278*$G300),1))</f>
        <v/>
      </c>
      <c r="J300" s="30" t="str">
        <f aca="false">IF($E300="Direto (1RM real)",$F300,IF(OR($H300="",$I300=""),"",ROUND(AVERAGE($H300,$I300),1)))</f>
        <v/>
      </c>
      <c r="K300" s="35" t="str">
        <f aca="false">IF($C300="","",IFERROR(INDEX(Cadastro!$P$8:$P$47,MATCH($C300,Cadastro!$B$8:$B$47,0)),""))</f>
        <v/>
      </c>
      <c r="L300" s="36" t="str">
        <f aca="false">IFERROR($J300/$K300,"")</f>
        <v/>
      </c>
      <c r="M300" s="45"/>
      <c r="N300" s="27"/>
    </row>
    <row r="301" customFormat="false" ht="15" hidden="false" customHeight="false" outlineLevel="0" collapsed="false">
      <c r="A301" s="29"/>
      <c r="B301" s="33" t="n">
        <f aca="false">IF($A301="",0,INT(($A301-Macrociclo!$C$11)/7)+1)</f>
        <v>0</v>
      </c>
      <c r="C301" s="27"/>
      <c r="D301" s="27"/>
      <c r="E301" s="27"/>
      <c r="F301" s="32"/>
      <c r="G301" s="28"/>
      <c r="H301" s="35" t="str">
        <f aca="false">IF(OR($F301="",$G301=""),"",ROUND($F301*(1+$G301/30),1))</f>
        <v/>
      </c>
      <c r="I301" s="35" t="str">
        <f aca="false">IF(OR($F301="",$G301="",$G301&gt;36),"",ROUND($F301/(1.0278-0.0278*$G301),1))</f>
        <v/>
      </c>
      <c r="J301" s="30" t="str">
        <f aca="false">IF($E301="Direto (1RM real)",$F301,IF(OR($H301="",$I301=""),"",ROUND(AVERAGE($H301,$I301),1)))</f>
        <v/>
      </c>
      <c r="K301" s="35" t="str">
        <f aca="false">IF($C301="","",IFERROR(INDEX(Cadastro!$P$8:$P$47,MATCH($C301,Cadastro!$B$8:$B$47,0)),""))</f>
        <v/>
      </c>
      <c r="L301" s="36" t="str">
        <f aca="false">IFERROR($J301/$K301,"")</f>
        <v/>
      </c>
      <c r="M301" s="45"/>
      <c r="N301" s="27"/>
    </row>
    <row r="302" customFormat="false" ht="15" hidden="false" customHeight="false" outlineLevel="0" collapsed="false">
      <c r="A302" s="29"/>
      <c r="B302" s="33" t="n">
        <f aca="false">IF($A302="",0,INT(($A302-Macrociclo!$C$11)/7)+1)</f>
        <v>0</v>
      </c>
      <c r="C302" s="27"/>
      <c r="D302" s="27"/>
      <c r="E302" s="27"/>
      <c r="F302" s="32"/>
      <c r="G302" s="28"/>
      <c r="H302" s="35" t="str">
        <f aca="false">IF(OR($F302="",$G302=""),"",ROUND($F302*(1+$G302/30),1))</f>
        <v/>
      </c>
      <c r="I302" s="35" t="str">
        <f aca="false">IF(OR($F302="",$G302="",$G302&gt;36),"",ROUND($F302/(1.0278-0.0278*$G302),1))</f>
        <v/>
      </c>
      <c r="J302" s="30" t="str">
        <f aca="false">IF($E302="Direto (1RM real)",$F302,IF(OR($H302="",$I302=""),"",ROUND(AVERAGE($H302,$I302),1)))</f>
        <v/>
      </c>
      <c r="K302" s="35" t="str">
        <f aca="false">IF($C302="","",IFERROR(INDEX(Cadastro!$P$8:$P$47,MATCH($C302,Cadastro!$B$8:$B$47,0)),""))</f>
        <v/>
      </c>
      <c r="L302" s="36" t="str">
        <f aca="false">IFERROR($J302/$K302,"")</f>
        <v/>
      </c>
      <c r="M302" s="45"/>
      <c r="N302" s="27"/>
    </row>
    <row r="303" customFormat="false" ht="15" hidden="false" customHeight="false" outlineLevel="0" collapsed="false">
      <c r="A303" s="29"/>
      <c r="B303" s="33" t="n">
        <f aca="false">IF($A303="",0,INT(($A303-Macrociclo!$C$11)/7)+1)</f>
        <v>0</v>
      </c>
      <c r="C303" s="27"/>
      <c r="D303" s="27"/>
      <c r="E303" s="27"/>
      <c r="F303" s="32"/>
      <c r="G303" s="28"/>
      <c r="H303" s="35" t="str">
        <f aca="false">IF(OR($F303="",$G303=""),"",ROUND($F303*(1+$G303/30),1))</f>
        <v/>
      </c>
      <c r="I303" s="35" t="str">
        <f aca="false">IF(OR($F303="",$G303="",$G303&gt;36),"",ROUND($F303/(1.0278-0.0278*$G303),1))</f>
        <v/>
      </c>
      <c r="J303" s="30" t="str">
        <f aca="false">IF($E303="Direto (1RM real)",$F303,IF(OR($H303="",$I303=""),"",ROUND(AVERAGE($H303,$I303),1)))</f>
        <v/>
      </c>
      <c r="K303" s="35" t="str">
        <f aca="false">IF($C303="","",IFERROR(INDEX(Cadastro!$P$8:$P$47,MATCH($C303,Cadastro!$B$8:$B$47,0)),""))</f>
        <v/>
      </c>
      <c r="L303" s="36" t="str">
        <f aca="false">IFERROR($J303/$K303,"")</f>
        <v/>
      </c>
      <c r="M303" s="45"/>
      <c r="N303" s="27"/>
    </row>
    <row r="304" customFormat="false" ht="15" hidden="false" customHeight="false" outlineLevel="0" collapsed="false">
      <c r="A304" s="29"/>
      <c r="B304" s="33" t="n">
        <f aca="false">IF($A304="",0,INT(($A304-Macrociclo!$C$11)/7)+1)</f>
        <v>0</v>
      </c>
      <c r="C304" s="27"/>
      <c r="D304" s="27"/>
      <c r="E304" s="27"/>
      <c r="F304" s="32"/>
      <c r="G304" s="28"/>
      <c r="H304" s="35" t="str">
        <f aca="false">IF(OR($F304="",$G304=""),"",ROUND($F304*(1+$G304/30),1))</f>
        <v/>
      </c>
      <c r="I304" s="35" t="str">
        <f aca="false">IF(OR($F304="",$G304="",$G304&gt;36),"",ROUND($F304/(1.0278-0.0278*$G304),1))</f>
        <v/>
      </c>
      <c r="J304" s="30" t="str">
        <f aca="false">IF($E304="Direto (1RM real)",$F304,IF(OR($H304="",$I304=""),"",ROUND(AVERAGE($H304,$I304),1)))</f>
        <v/>
      </c>
      <c r="K304" s="35" t="str">
        <f aca="false">IF($C304="","",IFERROR(INDEX(Cadastro!$P$8:$P$47,MATCH($C304,Cadastro!$B$8:$B$47,0)),""))</f>
        <v/>
      </c>
      <c r="L304" s="36" t="str">
        <f aca="false">IFERROR($J304/$K304,"")</f>
        <v/>
      </c>
      <c r="M304" s="45"/>
      <c r="N304" s="27"/>
    </row>
    <row r="305" customFormat="false" ht="15" hidden="false" customHeight="false" outlineLevel="0" collapsed="false">
      <c r="A305" s="29"/>
      <c r="B305" s="33" t="n">
        <f aca="false">IF($A305="",0,INT(($A305-Macrociclo!$C$11)/7)+1)</f>
        <v>0</v>
      </c>
      <c r="C305" s="27"/>
      <c r="D305" s="27"/>
      <c r="E305" s="27"/>
      <c r="F305" s="32"/>
      <c r="G305" s="28"/>
      <c r="H305" s="35" t="str">
        <f aca="false">IF(OR($F305="",$G305=""),"",ROUND($F305*(1+$G305/30),1))</f>
        <v/>
      </c>
      <c r="I305" s="35" t="str">
        <f aca="false">IF(OR($F305="",$G305="",$G305&gt;36),"",ROUND($F305/(1.0278-0.0278*$G305),1))</f>
        <v/>
      </c>
      <c r="J305" s="30" t="str">
        <f aca="false">IF($E305="Direto (1RM real)",$F305,IF(OR($H305="",$I305=""),"",ROUND(AVERAGE($H305,$I305),1)))</f>
        <v/>
      </c>
      <c r="K305" s="35" t="str">
        <f aca="false">IF($C305="","",IFERROR(INDEX(Cadastro!$P$8:$P$47,MATCH($C305,Cadastro!$B$8:$B$47,0)),""))</f>
        <v/>
      </c>
      <c r="L305" s="36" t="str">
        <f aca="false">IFERROR($J305/$K305,"")</f>
        <v/>
      </c>
      <c r="M305" s="45"/>
      <c r="N305" s="27"/>
    </row>
    <row r="306" customFormat="false" ht="15" hidden="false" customHeight="false" outlineLevel="0" collapsed="false">
      <c r="A306" s="29"/>
      <c r="B306" s="33" t="n">
        <f aca="false">IF($A306="",0,INT(($A306-Macrociclo!$C$11)/7)+1)</f>
        <v>0</v>
      </c>
      <c r="C306" s="27"/>
      <c r="D306" s="27"/>
      <c r="E306" s="27"/>
      <c r="F306" s="32"/>
      <c r="G306" s="28"/>
      <c r="H306" s="35" t="str">
        <f aca="false">IF(OR($F306="",$G306=""),"",ROUND($F306*(1+$G306/30),1))</f>
        <v/>
      </c>
      <c r="I306" s="35" t="str">
        <f aca="false">IF(OR($F306="",$G306="",$G306&gt;36),"",ROUND($F306/(1.0278-0.0278*$G306),1))</f>
        <v/>
      </c>
      <c r="J306" s="30" t="str">
        <f aca="false">IF($E306="Direto (1RM real)",$F306,IF(OR($H306="",$I306=""),"",ROUND(AVERAGE($H306,$I306),1)))</f>
        <v/>
      </c>
      <c r="K306" s="35" t="str">
        <f aca="false">IF($C306="","",IFERROR(INDEX(Cadastro!$P$8:$P$47,MATCH($C306,Cadastro!$B$8:$B$47,0)),""))</f>
        <v/>
      </c>
      <c r="L306" s="36" t="str">
        <f aca="false">IFERROR($J306/$K306,"")</f>
        <v/>
      </c>
      <c r="M306" s="45"/>
      <c r="N306" s="27"/>
    </row>
    <row r="307" customFormat="false" ht="15" hidden="false" customHeight="false" outlineLevel="0" collapsed="false">
      <c r="A307" s="29"/>
      <c r="B307" s="33" t="n">
        <f aca="false">IF($A307="",0,INT(($A307-Macrociclo!$C$11)/7)+1)</f>
        <v>0</v>
      </c>
      <c r="C307" s="27"/>
      <c r="D307" s="27"/>
      <c r="E307" s="27"/>
      <c r="F307" s="32"/>
      <c r="G307" s="28"/>
      <c r="H307" s="35" t="str">
        <f aca="false">IF(OR($F307="",$G307=""),"",ROUND($F307*(1+$G307/30),1))</f>
        <v/>
      </c>
      <c r="I307" s="35" t="str">
        <f aca="false">IF(OR($F307="",$G307="",$G307&gt;36),"",ROUND($F307/(1.0278-0.0278*$G307),1))</f>
        <v/>
      </c>
      <c r="J307" s="30" t="str">
        <f aca="false">IF($E307="Direto (1RM real)",$F307,IF(OR($H307="",$I307=""),"",ROUND(AVERAGE($H307,$I307),1)))</f>
        <v/>
      </c>
      <c r="K307" s="35" t="str">
        <f aca="false">IF($C307="","",IFERROR(INDEX(Cadastro!$P$8:$P$47,MATCH($C307,Cadastro!$B$8:$B$47,0)),""))</f>
        <v/>
      </c>
      <c r="L307" s="36" t="str">
        <f aca="false">IFERROR($J307/$K307,"")</f>
        <v/>
      </c>
      <c r="M307" s="45"/>
      <c r="N307" s="27"/>
    </row>
    <row r="308" customFormat="false" ht="15" hidden="false" customHeight="false" outlineLevel="0" collapsed="false">
      <c r="A308" s="29"/>
      <c r="B308" s="33" t="n">
        <f aca="false">IF($A308="",0,INT(($A308-Macrociclo!$C$11)/7)+1)</f>
        <v>0</v>
      </c>
      <c r="C308" s="27"/>
      <c r="D308" s="27"/>
      <c r="E308" s="27"/>
      <c r="F308" s="32"/>
      <c r="G308" s="28"/>
      <c r="H308" s="35" t="str">
        <f aca="false">IF(OR($F308="",$G308=""),"",ROUND($F308*(1+$G308/30),1))</f>
        <v/>
      </c>
      <c r="I308" s="35" t="str">
        <f aca="false">IF(OR($F308="",$G308="",$G308&gt;36),"",ROUND($F308/(1.0278-0.0278*$G308),1))</f>
        <v/>
      </c>
      <c r="J308" s="30" t="str">
        <f aca="false">IF($E308="Direto (1RM real)",$F308,IF(OR($H308="",$I308=""),"",ROUND(AVERAGE($H308,$I308),1)))</f>
        <v/>
      </c>
      <c r="K308" s="35" t="str">
        <f aca="false">IF($C308="","",IFERROR(INDEX(Cadastro!$P$8:$P$47,MATCH($C308,Cadastro!$B$8:$B$47,0)),""))</f>
        <v/>
      </c>
      <c r="L308" s="36" t="str">
        <f aca="false">IFERROR($J308/$K308,"")</f>
        <v/>
      </c>
      <c r="M308" s="45"/>
      <c r="N308" s="27"/>
    </row>
    <row r="309" customFormat="false" ht="15" hidden="false" customHeight="false" outlineLevel="0" collapsed="false">
      <c r="A309" s="29"/>
      <c r="B309" s="33" t="n">
        <f aca="false">IF($A309="",0,INT(($A309-Macrociclo!$C$11)/7)+1)</f>
        <v>0</v>
      </c>
      <c r="C309" s="27"/>
      <c r="D309" s="27"/>
      <c r="E309" s="27"/>
      <c r="F309" s="32"/>
      <c r="G309" s="28"/>
      <c r="H309" s="35" t="str">
        <f aca="false">IF(OR($F309="",$G309=""),"",ROUND($F309*(1+$G309/30),1))</f>
        <v/>
      </c>
      <c r="I309" s="35" t="str">
        <f aca="false">IF(OR($F309="",$G309="",$G309&gt;36),"",ROUND($F309/(1.0278-0.0278*$G309),1))</f>
        <v/>
      </c>
      <c r="J309" s="30" t="str">
        <f aca="false">IF($E309="Direto (1RM real)",$F309,IF(OR($H309="",$I309=""),"",ROUND(AVERAGE($H309,$I309),1)))</f>
        <v/>
      </c>
      <c r="K309" s="35" t="str">
        <f aca="false">IF($C309="","",IFERROR(INDEX(Cadastro!$P$8:$P$47,MATCH($C309,Cadastro!$B$8:$B$47,0)),""))</f>
        <v/>
      </c>
      <c r="L309" s="36" t="str">
        <f aca="false">IFERROR($J309/$K309,"")</f>
        <v/>
      </c>
      <c r="M309" s="45"/>
      <c r="N309" s="27"/>
    </row>
    <row r="310" customFormat="false" ht="15" hidden="false" customHeight="false" outlineLevel="0" collapsed="false">
      <c r="A310" s="29"/>
      <c r="B310" s="33" t="n">
        <f aca="false">IF($A310="",0,INT(($A310-Macrociclo!$C$11)/7)+1)</f>
        <v>0</v>
      </c>
      <c r="C310" s="27"/>
      <c r="D310" s="27"/>
      <c r="E310" s="27"/>
      <c r="F310" s="32"/>
      <c r="G310" s="28"/>
      <c r="H310" s="35" t="str">
        <f aca="false">IF(OR($F310="",$G310=""),"",ROUND($F310*(1+$G310/30),1))</f>
        <v/>
      </c>
      <c r="I310" s="35" t="str">
        <f aca="false">IF(OR($F310="",$G310="",$G310&gt;36),"",ROUND($F310/(1.0278-0.0278*$G310),1))</f>
        <v/>
      </c>
      <c r="J310" s="30" t="str">
        <f aca="false">IF($E310="Direto (1RM real)",$F310,IF(OR($H310="",$I310=""),"",ROUND(AVERAGE($H310,$I310),1)))</f>
        <v/>
      </c>
      <c r="K310" s="35" t="str">
        <f aca="false">IF($C310="","",IFERROR(INDEX(Cadastro!$P$8:$P$47,MATCH($C310,Cadastro!$B$8:$B$47,0)),""))</f>
        <v/>
      </c>
      <c r="L310" s="36" t="str">
        <f aca="false">IFERROR($J310/$K310,"")</f>
        <v/>
      </c>
      <c r="M310" s="45"/>
      <c r="N310" s="27"/>
    </row>
    <row r="311" customFormat="false" ht="15" hidden="false" customHeight="false" outlineLevel="0" collapsed="false">
      <c r="A311" s="29"/>
      <c r="B311" s="33" t="n">
        <f aca="false">IF($A311="",0,INT(($A311-Macrociclo!$C$11)/7)+1)</f>
        <v>0</v>
      </c>
      <c r="C311" s="27"/>
      <c r="D311" s="27"/>
      <c r="E311" s="27"/>
      <c r="F311" s="32"/>
      <c r="G311" s="28"/>
      <c r="H311" s="35" t="str">
        <f aca="false">IF(OR($F311="",$G311=""),"",ROUND($F311*(1+$G311/30),1))</f>
        <v/>
      </c>
      <c r="I311" s="35" t="str">
        <f aca="false">IF(OR($F311="",$G311="",$G311&gt;36),"",ROUND($F311/(1.0278-0.0278*$G311),1))</f>
        <v/>
      </c>
      <c r="J311" s="30" t="str">
        <f aca="false">IF($E311="Direto (1RM real)",$F311,IF(OR($H311="",$I311=""),"",ROUND(AVERAGE($H311,$I311),1)))</f>
        <v/>
      </c>
      <c r="K311" s="35" t="str">
        <f aca="false">IF($C311="","",IFERROR(INDEX(Cadastro!$P$8:$P$47,MATCH($C311,Cadastro!$B$8:$B$47,0)),""))</f>
        <v/>
      </c>
      <c r="L311" s="36" t="str">
        <f aca="false">IFERROR($J311/$K311,"")</f>
        <v/>
      </c>
      <c r="M311" s="45"/>
      <c r="N311" s="27"/>
    </row>
    <row r="312" customFormat="false" ht="15" hidden="false" customHeight="false" outlineLevel="0" collapsed="false">
      <c r="A312" s="29"/>
      <c r="B312" s="33" t="n">
        <f aca="false">IF($A312="",0,INT(($A312-Macrociclo!$C$11)/7)+1)</f>
        <v>0</v>
      </c>
      <c r="C312" s="27"/>
      <c r="D312" s="27"/>
      <c r="E312" s="27"/>
      <c r="F312" s="32"/>
      <c r="G312" s="28"/>
      <c r="H312" s="35" t="str">
        <f aca="false">IF(OR($F312="",$G312=""),"",ROUND($F312*(1+$G312/30),1))</f>
        <v/>
      </c>
      <c r="I312" s="35" t="str">
        <f aca="false">IF(OR($F312="",$G312="",$G312&gt;36),"",ROUND($F312/(1.0278-0.0278*$G312),1))</f>
        <v/>
      </c>
      <c r="J312" s="30" t="str">
        <f aca="false">IF($E312="Direto (1RM real)",$F312,IF(OR($H312="",$I312=""),"",ROUND(AVERAGE($H312,$I312),1)))</f>
        <v/>
      </c>
      <c r="K312" s="35" t="str">
        <f aca="false">IF($C312="","",IFERROR(INDEX(Cadastro!$P$8:$P$47,MATCH($C312,Cadastro!$B$8:$B$47,0)),""))</f>
        <v/>
      </c>
      <c r="L312" s="36" t="str">
        <f aca="false">IFERROR($J312/$K312,"")</f>
        <v/>
      </c>
      <c r="M312" s="45"/>
      <c r="N312" s="27"/>
    </row>
    <row r="313" customFormat="false" ht="15" hidden="false" customHeight="false" outlineLevel="0" collapsed="false">
      <c r="A313" s="29"/>
      <c r="B313" s="33" t="n">
        <f aca="false">IF($A313="",0,INT(($A313-Macrociclo!$C$11)/7)+1)</f>
        <v>0</v>
      </c>
      <c r="C313" s="27"/>
      <c r="D313" s="27"/>
      <c r="E313" s="27"/>
      <c r="F313" s="32"/>
      <c r="G313" s="28"/>
      <c r="H313" s="35" t="str">
        <f aca="false">IF(OR($F313="",$G313=""),"",ROUND($F313*(1+$G313/30),1))</f>
        <v/>
      </c>
      <c r="I313" s="35" t="str">
        <f aca="false">IF(OR($F313="",$G313="",$G313&gt;36),"",ROUND($F313/(1.0278-0.0278*$G313),1))</f>
        <v/>
      </c>
      <c r="J313" s="30" t="str">
        <f aca="false">IF($E313="Direto (1RM real)",$F313,IF(OR($H313="",$I313=""),"",ROUND(AVERAGE($H313,$I313),1)))</f>
        <v/>
      </c>
      <c r="K313" s="35" t="str">
        <f aca="false">IF($C313="","",IFERROR(INDEX(Cadastro!$P$8:$P$47,MATCH($C313,Cadastro!$B$8:$B$47,0)),""))</f>
        <v/>
      </c>
      <c r="L313" s="36" t="str">
        <f aca="false">IFERROR($J313/$K313,"")</f>
        <v/>
      </c>
      <c r="M313" s="45"/>
      <c r="N313" s="27"/>
    </row>
    <row r="314" customFormat="false" ht="15" hidden="false" customHeight="false" outlineLevel="0" collapsed="false">
      <c r="A314" s="29"/>
      <c r="B314" s="33" t="n">
        <f aca="false">IF($A314="",0,INT(($A314-Macrociclo!$C$11)/7)+1)</f>
        <v>0</v>
      </c>
      <c r="C314" s="27"/>
      <c r="D314" s="27"/>
      <c r="E314" s="27"/>
      <c r="F314" s="32"/>
      <c r="G314" s="28"/>
      <c r="H314" s="35" t="str">
        <f aca="false">IF(OR($F314="",$G314=""),"",ROUND($F314*(1+$G314/30),1))</f>
        <v/>
      </c>
      <c r="I314" s="35" t="str">
        <f aca="false">IF(OR($F314="",$G314="",$G314&gt;36),"",ROUND($F314/(1.0278-0.0278*$G314),1))</f>
        <v/>
      </c>
      <c r="J314" s="30" t="str">
        <f aca="false">IF($E314="Direto (1RM real)",$F314,IF(OR($H314="",$I314=""),"",ROUND(AVERAGE($H314,$I314),1)))</f>
        <v/>
      </c>
      <c r="K314" s="35" t="str">
        <f aca="false">IF($C314="","",IFERROR(INDEX(Cadastro!$P$8:$P$47,MATCH($C314,Cadastro!$B$8:$B$47,0)),""))</f>
        <v/>
      </c>
      <c r="L314" s="36" t="str">
        <f aca="false">IFERROR($J314/$K314,"")</f>
        <v/>
      </c>
      <c r="M314" s="45"/>
      <c r="N314" s="27"/>
    </row>
    <row r="315" customFormat="false" ht="15" hidden="false" customHeight="false" outlineLevel="0" collapsed="false">
      <c r="A315" s="29"/>
      <c r="B315" s="33" t="n">
        <f aca="false">IF($A315="",0,INT(($A315-Macrociclo!$C$11)/7)+1)</f>
        <v>0</v>
      </c>
      <c r="C315" s="27"/>
      <c r="D315" s="27"/>
      <c r="E315" s="27"/>
      <c r="F315" s="32"/>
      <c r="G315" s="28"/>
      <c r="H315" s="35" t="str">
        <f aca="false">IF(OR($F315="",$G315=""),"",ROUND($F315*(1+$G315/30),1))</f>
        <v/>
      </c>
      <c r="I315" s="35" t="str">
        <f aca="false">IF(OR($F315="",$G315="",$G315&gt;36),"",ROUND($F315/(1.0278-0.0278*$G315),1))</f>
        <v/>
      </c>
      <c r="J315" s="30" t="str">
        <f aca="false">IF($E315="Direto (1RM real)",$F315,IF(OR($H315="",$I315=""),"",ROUND(AVERAGE($H315,$I315),1)))</f>
        <v/>
      </c>
      <c r="K315" s="35" t="str">
        <f aca="false">IF($C315="","",IFERROR(INDEX(Cadastro!$P$8:$P$47,MATCH($C315,Cadastro!$B$8:$B$47,0)),""))</f>
        <v/>
      </c>
      <c r="L315" s="36" t="str">
        <f aca="false">IFERROR($J315/$K315,"")</f>
        <v/>
      </c>
      <c r="M315" s="45"/>
      <c r="N315" s="27"/>
    </row>
    <row r="316" customFormat="false" ht="15" hidden="false" customHeight="false" outlineLevel="0" collapsed="false">
      <c r="A316" s="29"/>
      <c r="B316" s="33" t="n">
        <f aca="false">IF($A316="",0,INT(($A316-Macrociclo!$C$11)/7)+1)</f>
        <v>0</v>
      </c>
      <c r="C316" s="27"/>
      <c r="D316" s="27"/>
      <c r="E316" s="27"/>
      <c r="F316" s="32"/>
      <c r="G316" s="28"/>
      <c r="H316" s="35" t="str">
        <f aca="false">IF(OR($F316="",$G316=""),"",ROUND($F316*(1+$G316/30),1))</f>
        <v/>
      </c>
      <c r="I316" s="35" t="str">
        <f aca="false">IF(OR($F316="",$G316="",$G316&gt;36),"",ROUND($F316/(1.0278-0.0278*$G316),1))</f>
        <v/>
      </c>
      <c r="J316" s="30" t="str">
        <f aca="false">IF($E316="Direto (1RM real)",$F316,IF(OR($H316="",$I316=""),"",ROUND(AVERAGE($H316,$I316),1)))</f>
        <v/>
      </c>
      <c r="K316" s="35" t="str">
        <f aca="false">IF($C316="","",IFERROR(INDEX(Cadastro!$P$8:$P$47,MATCH($C316,Cadastro!$B$8:$B$47,0)),""))</f>
        <v/>
      </c>
      <c r="L316" s="36" t="str">
        <f aca="false">IFERROR($J316/$K316,"")</f>
        <v/>
      </c>
      <c r="M316" s="45"/>
      <c r="N316" s="27"/>
    </row>
    <row r="317" customFormat="false" ht="15" hidden="false" customHeight="false" outlineLevel="0" collapsed="false">
      <c r="A317" s="29"/>
      <c r="B317" s="33" t="n">
        <f aca="false">IF($A317="",0,INT(($A317-Macrociclo!$C$11)/7)+1)</f>
        <v>0</v>
      </c>
      <c r="C317" s="27"/>
      <c r="D317" s="27"/>
      <c r="E317" s="27"/>
      <c r="F317" s="32"/>
      <c r="G317" s="28"/>
      <c r="H317" s="35" t="str">
        <f aca="false">IF(OR($F317="",$G317=""),"",ROUND($F317*(1+$G317/30),1))</f>
        <v/>
      </c>
      <c r="I317" s="35" t="str">
        <f aca="false">IF(OR($F317="",$G317="",$G317&gt;36),"",ROUND($F317/(1.0278-0.0278*$G317),1))</f>
        <v/>
      </c>
      <c r="J317" s="30" t="str">
        <f aca="false">IF($E317="Direto (1RM real)",$F317,IF(OR($H317="",$I317=""),"",ROUND(AVERAGE($H317,$I317),1)))</f>
        <v/>
      </c>
      <c r="K317" s="35" t="str">
        <f aca="false">IF($C317="","",IFERROR(INDEX(Cadastro!$P$8:$P$47,MATCH($C317,Cadastro!$B$8:$B$47,0)),""))</f>
        <v/>
      </c>
      <c r="L317" s="36" t="str">
        <f aca="false">IFERROR($J317/$K317,"")</f>
        <v/>
      </c>
      <c r="M317" s="45"/>
      <c r="N317" s="27"/>
    </row>
    <row r="318" customFormat="false" ht="15" hidden="false" customHeight="false" outlineLevel="0" collapsed="false">
      <c r="A318" s="29"/>
      <c r="B318" s="33" t="n">
        <f aca="false">IF($A318="",0,INT(($A318-Macrociclo!$C$11)/7)+1)</f>
        <v>0</v>
      </c>
      <c r="C318" s="27"/>
      <c r="D318" s="27"/>
      <c r="E318" s="27"/>
      <c r="F318" s="32"/>
      <c r="G318" s="28"/>
      <c r="H318" s="35" t="str">
        <f aca="false">IF(OR($F318="",$G318=""),"",ROUND($F318*(1+$G318/30),1))</f>
        <v/>
      </c>
      <c r="I318" s="35" t="str">
        <f aca="false">IF(OR($F318="",$G318="",$G318&gt;36),"",ROUND($F318/(1.0278-0.0278*$G318),1))</f>
        <v/>
      </c>
      <c r="J318" s="30" t="str">
        <f aca="false">IF($E318="Direto (1RM real)",$F318,IF(OR($H318="",$I318=""),"",ROUND(AVERAGE($H318,$I318),1)))</f>
        <v/>
      </c>
      <c r="K318" s="35" t="str">
        <f aca="false">IF($C318="","",IFERROR(INDEX(Cadastro!$P$8:$P$47,MATCH($C318,Cadastro!$B$8:$B$47,0)),""))</f>
        <v/>
      </c>
      <c r="L318" s="36" t="str">
        <f aca="false">IFERROR($J318/$K318,"")</f>
        <v/>
      </c>
      <c r="M318" s="45"/>
      <c r="N318" s="27"/>
    </row>
    <row r="319" customFormat="false" ht="15" hidden="false" customHeight="false" outlineLevel="0" collapsed="false">
      <c r="A319" s="29"/>
      <c r="B319" s="33" t="n">
        <f aca="false">IF($A319="",0,INT(($A319-Macrociclo!$C$11)/7)+1)</f>
        <v>0</v>
      </c>
      <c r="C319" s="27"/>
      <c r="D319" s="27"/>
      <c r="E319" s="27"/>
      <c r="F319" s="32"/>
      <c r="G319" s="28"/>
      <c r="H319" s="35" t="str">
        <f aca="false">IF(OR($F319="",$G319=""),"",ROUND($F319*(1+$G319/30),1))</f>
        <v/>
      </c>
      <c r="I319" s="35" t="str">
        <f aca="false">IF(OR($F319="",$G319="",$G319&gt;36),"",ROUND($F319/(1.0278-0.0278*$G319),1))</f>
        <v/>
      </c>
      <c r="J319" s="30" t="str">
        <f aca="false">IF($E319="Direto (1RM real)",$F319,IF(OR($H319="",$I319=""),"",ROUND(AVERAGE($H319,$I319),1)))</f>
        <v/>
      </c>
      <c r="K319" s="35" t="str">
        <f aca="false">IF($C319="","",IFERROR(INDEX(Cadastro!$P$8:$P$47,MATCH($C319,Cadastro!$B$8:$B$47,0)),""))</f>
        <v/>
      </c>
      <c r="L319" s="36" t="str">
        <f aca="false">IFERROR($J319/$K319,"")</f>
        <v/>
      </c>
      <c r="M319" s="45"/>
      <c r="N319" s="27"/>
    </row>
    <row r="320" customFormat="false" ht="15" hidden="false" customHeight="false" outlineLevel="0" collapsed="false">
      <c r="A320" s="29"/>
      <c r="B320" s="33" t="n">
        <f aca="false">IF($A320="",0,INT(($A320-Macrociclo!$C$11)/7)+1)</f>
        <v>0</v>
      </c>
      <c r="C320" s="27"/>
      <c r="D320" s="27"/>
      <c r="E320" s="27"/>
      <c r="F320" s="32"/>
      <c r="G320" s="28"/>
      <c r="H320" s="35" t="str">
        <f aca="false">IF(OR($F320="",$G320=""),"",ROUND($F320*(1+$G320/30),1))</f>
        <v/>
      </c>
      <c r="I320" s="35" t="str">
        <f aca="false">IF(OR($F320="",$G320="",$G320&gt;36),"",ROUND($F320/(1.0278-0.0278*$G320),1))</f>
        <v/>
      </c>
      <c r="J320" s="30" t="str">
        <f aca="false">IF($E320="Direto (1RM real)",$F320,IF(OR($H320="",$I320=""),"",ROUND(AVERAGE($H320,$I320),1)))</f>
        <v/>
      </c>
      <c r="K320" s="35" t="str">
        <f aca="false">IF($C320="","",IFERROR(INDEX(Cadastro!$P$8:$P$47,MATCH($C320,Cadastro!$B$8:$B$47,0)),""))</f>
        <v/>
      </c>
      <c r="L320" s="36" t="str">
        <f aca="false">IFERROR($J320/$K320,"")</f>
        <v/>
      </c>
      <c r="M320" s="45"/>
      <c r="N320" s="27"/>
    </row>
    <row r="321" customFormat="false" ht="15" hidden="false" customHeight="false" outlineLevel="0" collapsed="false">
      <c r="A321" s="29"/>
      <c r="B321" s="33" t="n">
        <f aca="false">IF($A321="",0,INT(($A321-Macrociclo!$C$11)/7)+1)</f>
        <v>0</v>
      </c>
      <c r="C321" s="27"/>
      <c r="D321" s="27"/>
      <c r="E321" s="27"/>
      <c r="F321" s="32"/>
      <c r="G321" s="28"/>
      <c r="H321" s="35" t="str">
        <f aca="false">IF(OR($F321="",$G321=""),"",ROUND($F321*(1+$G321/30),1))</f>
        <v/>
      </c>
      <c r="I321" s="35" t="str">
        <f aca="false">IF(OR($F321="",$G321="",$G321&gt;36),"",ROUND($F321/(1.0278-0.0278*$G321),1))</f>
        <v/>
      </c>
      <c r="J321" s="30" t="str">
        <f aca="false">IF($E321="Direto (1RM real)",$F321,IF(OR($H321="",$I321=""),"",ROUND(AVERAGE($H321,$I321),1)))</f>
        <v/>
      </c>
      <c r="K321" s="35" t="str">
        <f aca="false">IF($C321="","",IFERROR(INDEX(Cadastro!$P$8:$P$47,MATCH($C321,Cadastro!$B$8:$B$47,0)),""))</f>
        <v/>
      </c>
      <c r="L321" s="36" t="str">
        <f aca="false">IFERROR($J321/$K321,"")</f>
        <v/>
      </c>
      <c r="M321" s="45"/>
      <c r="N321" s="27"/>
    </row>
    <row r="322" customFormat="false" ht="15" hidden="false" customHeight="false" outlineLevel="0" collapsed="false">
      <c r="A322" s="29"/>
      <c r="B322" s="33" t="n">
        <f aca="false">IF($A322="",0,INT(($A322-Macrociclo!$C$11)/7)+1)</f>
        <v>0</v>
      </c>
      <c r="C322" s="27"/>
      <c r="D322" s="27"/>
      <c r="E322" s="27"/>
      <c r="F322" s="32"/>
      <c r="G322" s="28"/>
      <c r="H322" s="35" t="str">
        <f aca="false">IF(OR($F322="",$G322=""),"",ROUND($F322*(1+$G322/30),1))</f>
        <v/>
      </c>
      <c r="I322" s="35" t="str">
        <f aca="false">IF(OR($F322="",$G322="",$G322&gt;36),"",ROUND($F322/(1.0278-0.0278*$G322),1))</f>
        <v/>
      </c>
      <c r="J322" s="30" t="str">
        <f aca="false">IF($E322="Direto (1RM real)",$F322,IF(OR($H322="",$I322=""),"",ROUND(AVERAGE($H322,$I322),1)))</f>
        <v/>
      </c>
      <c r="K322" s="35" t="str">
        <f aca="false">IF($C322="","",IFERROR(INDEX(Cadastro!$P$8:$P$47,MATCH($C322,Cadastro!$B$8:$B$47,0)),""))</f>
        <v/>
      </c>
      <c r="L322" s="36" t="str">
        <f aca="false">IFERROR($J322/$K322,"")</f>
        <v/>
      </c>
      <c r="M322" s="45"/>
      <c r="N322" s="27"/>
    </row>
    <row r="323" customFormat="false" ht="15" hidden="false" customHeight="false" outlineLevel="0" collapsed="false">
      <c r="A323" s="29"/>
      <c r="B323" s="33" t="n">
        <f aca="false">IF($A323="",0,INT(($A323-Macrociclo!$C$11)/7)+1)</f>
        <v>0</v>
      </c>
      <c r="C323" s="27"/>
      <c r="D323" s="27"/>
      <c r="E323" s="27"/>
      <c r="F323" s="32"/>
      <c r="G323" s="28"/>
      <c r="H323" s="35" t="str">
        <f aca="false">IF(OR($F323="",$G323=""),"",ROUND($F323*(1+$G323/30),1))</f>
        <v/>
      </c>
      <c r="I323" s="35" t="str">
        <f aca="false">IF(OR($F323="",$G323="",$G323&gt;36),"",ROUND($F323/(1.0278-0.0278*$G323),1))</f>
        <v/>
      </c>
      <c r="J323" s="30" t="str">
        <f aca="false">IF($E323="Direto (1RM real)",$F323,IF(OR($H323="",$I323=""),"",ROUND(AVERAGE($H323,$I323),1)))</f>
        <v/>
      </c>
      <c r="K323" s="35" t="str">
        <f aca="false">IF($C323="","",IFERROR(INDEX(Cadastro!$P$8:$P$47,MATCH($C323,Cadastro!$B$8:$B$47,0)),""))</f>
        <v/>
      </c>
      <c r="L323" s="36" t="str">
        <f aca="false">IFERROR($J323/$K323,"")</f>
        <v/>
      </c>
      <c r="M323" s="45"/>
      <c r="N323" s="27"/>
    </row>
    <row r="324" customFormat="false" ht="15" hidden="false" customHeight="false" outlineLevel="0" collapsed="false">
      <c r="A324" s="29"/>
      <c r="B324" s="33" t="n">
        <f aca="false">IF($A324="",0,INT(($A324-Macrociclo!$C$11)/7)+1)</f>
        <v>0</v>
      </c>
      <c r="C324" s="27"/>
      <c r="D324" s="27"/>
      <c r="E324" s="27"/>
      <c r="F324" s="32"/>
      <c r="G324" s="28"/>
      <c r="H324" s="35" t="str">
        <f aca="false">IF(OR($F324="",$G324=""),"",ROUND($F324*(1+$G324/30),1))</f>
        <v/>
      </c>
      <c r="I324" s="35" t="str">
        <f aca="false">IF(OR($F324="",$G324="",$G324&gt;36),"",ROUND($F324/(1.0278-0.0278*$G324),1))</f>
        <v/>
      </c>
      <c r="J324" s="30" t="str">
        <f aca="false">IF($E324="Direto (1RM real)",$F324,IF(OR($H324="",$I324=""),"",ROUND(AVERAGE($H324,$I324),1)))</f>
        <v/>
      </c>
      <c r="K324" s="35" t="str">
        <f aca="false">IF($C324="","",IFERROR(INDEX(Cadastro!$P$8:$P$47,MATCH($C324,Cadastro!$B$8:$B$47,0)),""))</f>
        <v/>
      </c>
      <c r="L324" s="36" t="str">
        <f aca="false">IFERROR($J324/$K324,"")</f>
        <v/>
      </c>
      <c r="M324" s="45"/>
      <c r="N324" s="27"/>
    </row>
    <row r="325" customFormat="false" ht="15" hidden="false" customHeight="false" outlineLevel="0" collapsed="false">
      <c r="A325" s="29"/>
      <c r="B325" s="33" t="n">
        <f aca="false">IF($A325="",0,INT(($A325-Macrociclo!$C$11)/7)+1)</f>
        <v>0</v>
      </c>
      <c r="C325" s="27"/>
      <c r="D325" s="27"/>
      <c r="E325" s="27"/>
      <c r="F325" s="32"/>
      <c r="G325" s="28"/>
      <c r="H325" s="35" t="str">
        <f aca="false">IF(OR($F325="",$G325=""),"",ROUND($F325*(1+$G325/30),1))</f>
        <v/>
      </c>
      <c r="I325" s="35" t="str">
        <f aca="false">IF(OR($F325="",$G325="",$G325&gt;36),"",ROUND($F325/(1.0278-0.0278*$G325),1))</f>
        <v/>
      </c>
      <c r="J325" s="30" t="str">
        <f aca="false">IF($E325="Direto (1RM real)",$F325,IF(OR($H325="",$I325=""),"",ROUND(AVERAGE($H325,$I325),1)))</f>
        <v/>
      </c>
      <c r="K325" s="35" t="str">
        <f aca="false">IF($C325="","",IFERROR(INDEX(Cadastro!$P$8:$P$47,MATCH($C325,Cadastro!$B$8:$B$47,0)),""))</f>
        <v/>
      </c>
      <c r="L325" s="36" t="str">
        <f aca="false">IFERROR($J325/$K325,"")</f>
        <v/>
      </c>
      <c r="M325" s="45"/>
      <c r="N325" s="27"/>
    </row>
    <row r="326" customFormat="false" ht="15" hidden="false" customHeight="false" outlineLevel="0" collapsed="false">
      <c r="A326" s="29"/>
      <c r="B326" s="33" t="n">
        <f aca="false">IF($A326="",0,INT(($A326-Macrociclo!$C$11)/7)+1)</f>
        <v>0</v>
      </c>
      <c r="C326" s="27"/>
      <c r="D326" s="27"/>
      <c r="E326" s="27"/>
      <c r="F326" s="32"/>
      <c r="G326" s="28"/>
      <c r="H326" s="35" t="str">
        <f aca="false">IF(OR($F326="",$G326=""),"",ROUND($F326*(1+$G326/30),1))</f>
        <v/>
      </c>
      <c r="I326" s="35" t="str">
        <f aca="false">IF(OR($F326="",$G326="",$G326&gt;36),"",ROUND($F326/(1.0278-0.0278*$G326),1))</f>
        <v/>
      </c>
      <c r="J326" s="30" t="str">
        <f aca="false">IF($E326="Direto (1RM real)",$F326,IF(OR($H326="",$I326=""),"",ROUND(AVERAGE($H326,$I326),1)))</f>
        <v/>
      </c>
      <c r="K326" s="35" t="str">
        <f aca="false">IF($C326="","",IFERROR(INDEX(Cadastro!$P$8:$P$47,MATCH($C326,Cadastro!$B$8:$B$47,0)),""))</f>
        <v/>
      </c>
      <c r="L326" s="36" t="str">
        <f aca="false">IFERROR($J326/$K326,"")</f>
        <v/>
      </c>
      <c r="M326" s="45"/>
      <c r="N326" s="27"/>
    </row>
    <row r="327" customFormat="false" ht="15" hidden="false" customHeight="false" outlineLevel="0" collapsed="false">
      <c r="A327" s="29"/>
      <c r="B327" s="33" t="n">
        <f aca="false">IF($A327="",0,INT(($A327-Macrociclo!$C$11)/7)+1)</f>
        <v>0</v>
      </c>
      <c r="C327" s="27"/>
      <c r="D327" s="27"/>
      <c r="E327" s="27"/>
      <c r="F327" s="32"/>
      <c r="G327" s="28"/>
      <c r="H327" s="35" t="str">
        <f aca="false">IF(OR($F327="",$G327=""),"",ROUND($F327*(1+$G327/30),1))</f>
        <v/>
      </c>
      <c r="I327" s="35" t="str">
        <f aca="false">IF(OR($F327="",$G327="",$G327&gt;36),"",ROUND($F327/(1.0278-0.0278*$G327),1))</f>
        <v/>
      </c>
      <c r="J327" s="30" t="str">
        <f aca="false">IF($E327="Direto (1RM real)",$F327,IF(OR($H327="",$I327=""),"",ROUND(AVERAGE($H327,$I327),1)))</f>
        <v/>
      </c>
      <c r="K327" s="35" t="str">
        <f aca="false">IF($C327="","",IFERROR(INDEX(Cadastro!$P$8:$P$47,MATCH($C327,Cadastro!$B$8:$B$47,0)),""))</f>
        <v/>
      </c>
      <c r="L327" s="36" t="str">
        <f aca="false">IFERROR($J327/$K327,"")</f>
        <v/>
      </c>
      <c r="M327" s="45"/>
      <c r="N327" s="27"/>
    </row>
    <row r="328" customFormat="false" ht="15" hidden="false" customHeight="false" outlineLevel="0" collapsed="false">
      <c r="A328" s="29"/>
      <c r="B328" s="33" t="n">
        <f aca="false">IF($A328="",0,INT(($A328-Macrociclo!$C$11)/7)+1)</f>
        <v>0</v>
      </c>
      <c r="C328" s="27"/>
      <c r="D328" s="27"/>
      <c r="E328" s="27"/>
      <c r="F328" s="32"/>
      <c r="G328" s="28"/>
      <c r="H328" s="35" t="str">
        <f aca="false">IF(OR($F328="",$G328=""),"",ROUND($F328*(1+$G328/30),1))</f>
        <v/>
      </c>
      <c r="I328" s="35" t="str">
        <f aca="false">IF(OR($F328="",$G328="",$G328&gt;36),"",ROUND($F328/(1.0278-0.0278*$G328),1))</f>
        <v/>
      </c>
      <c r="J328" s="30" t="str">
        <f aca="false">IF($E328="Direto (1RM real)",$F328,IF(OR($H328="",$I328=""),"",ROUND(AVERAGE($H328,$I328),1)))</f>
        <v/>
      </c>
      <c r="K328" s="35" t="str">
        <f aca="false">IF($C328="","",IFERROR(INDEX(Cadastro!$P$8:$P$47,MATCH($C328,Cadastro!$B$8:$B$47,0)),""))</f>
        <v/>
      </c>
      <c r="L328" s="36" t="str">
        <f aca="false">IFERROR($J328/$K328,"")</f>
        <v/>
      </c>
      <c r="M328" s="45"/>
      <c r="N328" s="27"/>
    </row>
    <row r="329" customFormat="false" ht="15" hidden="false" customHeight="false" outlineLevel="0" collapsed="false">
      <c r="A329" s="29"/>
      <c r="B329" s="33" t="n">
        <f aca="false">IF($A329="",0,INT(($A329-Macrociclo!$C$11)/7)+1)</f>
        <v>0</v>
      </c>
      <c r="C329" s="27"/>
      <c r="D329" s="27"/>
      <c r="E329" s="27"/>
      <c r="F329" s="32"/>
      <c r="G329" s="28"/>
      <c r="H329" s="35" t="str">
        <f aca="false">IF(OR($F329="",$G329=""),"",ROUND($F329*(1+$G329/30),1))</f>
        <v/>
      </c>
      <c r="I329" s="35" t="str">
        <f aca="false">IF(OR($F329="",$G329="",$G329&gt;36),"",ROUND($F329/(1.0278-0.0278*$G329),1))</f>
        <v/>
      </c>
      <c r="J329" s="30" t="str">
        <f aca="false">IF($E329="Direto (1RM real)",$F329,IF(OR($H329="",$I329=""),"",ROUND(AVERAGE($H329,$I329),1)))</f>
        <v/>
      </c>
      <c r="K329" s="35" t="str">
        <f aca="false">IF($C329="","",IFERROR(INDEX(Cadastro!$P$8:$P$47,MATCH($C329,Cadastro!$B$8:$B$47,0)),""))</f>
        <v/>
      </c>
      <c r="L329" s="36" t="str">
        <f aca="false">IFERROR($J329/$K329,"")</f>
        <v/>
      </c>
      <c r="M329" s="45"/>
      <c r="N329" s="27"/>
    </row>
    <row r="330" customFormat="false" ht="15" hidden="false" customHeight="false" outlineLevel="0" collapsed="false">
      <c r="A330" s="29"/>
      <c r="B330" s="33" t="n">
        <f aca="false">IF($A330="",0,INT(($A330-Macrociclo!$C$11)/7)+1)</f>
        <v>0</v>
      </c>
      <c r="C330" s="27"/>
      <c r="D330" s="27"/>
      <c r="E330" s="27"/>
      <c r="F330" s="32"/>
      <c r="G330" s="28"/>
      <c r="H330" s="35" t="str">
        <f aca="false">IF(OR($F330="",$G330=""),"",ROUND($F330*(1+$G330/30),1))</f>
        <v/>
      </c>
      <c r="I330" s="35" t="str">
        <f aca="false">IF(OR($F330="",$G330="",$G330&gt;36),"",ROUND($F330/(1.0278-0.0278*$G330),1))</f>
        <v/>
      </c>
      <c r="J330" s="30" t="str">
        <f aca="false">IF($E330="Direto (1RM real)",$F330,IF(OR($H330="",$I330=""),"",ROUND(AVERAGE($H330,$I330),1)))</f>
        <v/>
      </c>
      <c r="K330" s="35" t="str">
        <f aca="false">IF($C330="","",IFERROR(INDEX(Cadastro!$P$8:$P$47,MATCH($C330,Cadastro!$B$8:$B$47,0)),""))</f>
        <v/>
      </c>
      <c r="L330" s="36" t="str">
        <f aca="false">IFERROR($J330/$K330,"")</f>
        <v/>
      </c>
      <c r="M330" s="45"/>
      <c r="N330" s="27"/>
    </row>
    <row r="331" customFormat="false" ht="15" hidden="false" customHeight="false" outlineLevel="0" collapsed="false">
      <c r="A331" s="29"/>
      <c r="B331" s="33" t="n">
        <f aca="false">IF($A331="",0,INT(($A331-Macrociclo!$C$11)/7)+1)</f>
        <v>0</v>
      </c>
      <c r="C331" s="27"/>
      <c r="D331" s="27"/>
      <c r="E331" s="27"/>
      <c r="F331" s="32"/>
      <c r="G331" s="28"/>
      <c r="H331" s="35" t="str">
        <f aca="false">IF(OR($F331="",$G331=""),"",ROUND($F331*(1+$G331/30),1))</f>
        <v/>
      </c>
      <c r="I331" s="35" t="str">
        <f aca="false">IF(OR($F331="",$G331="",$G331&gt;36),"",ROUND($F331/(1.0278-0.0278*$G331),1))</f>
        <v/>
      </c>
      <c r="J331" s="30" t="str">
        <f aca="false">IF($E331="Direto (1RM real)",$F331,IF(OR($H331="",$I331=""),"",ROUND(AVERAGE($H331,$I331),1)))</f>
        <v/>
      </c>
      <c r="K331" s="35" t="str">
        <f aca="false">IF($C331="","",IFERROR(INDEX(Cadastro!$P$8:$P$47,MATCH($C331,Cadastro!$B$8:$B$47,0)),""))</f>
        <v/>
      </c>
      <c r="L331" s="36" t="str">
        <f aca="false">IFERROR($J331/$K331,"")</f>
        <v/>
      </c>
      <c r="M331" s="45"/>
      <c r="N331" s="27"/>
    </row>
    <row r="332" customFormat="false" ht="15" hidden="false" customHeight="false" outlineLevel="0" collapsed="false">
      <c r="A332" s="29"/>
      <c r="B332" s="33" t="n">
        <f aca="false">IF($A332="",0,INT(($A332-Macrociclo!$C$11)/7)+1)</f>
        <v>0</v>
      </c>
      <c r="C332" s="27"/>
      <c r="D332" s="27"/>
      <c r="E332" s="27"/>
      <c r="F332" s="32"/>
      <c r="G332" s="28"/>
      <c r="H332" s="35" t="str">
        <f aca="false">IF(OR($F332="",$G332=""),"",ROUND($F332*(1+$G332/30),1))</f>
        <v/>
      </c>
      <c r="I332" s="35" t="str">
        <f aca="false">IF(OR($F332="",$G332="",$G332&gt;36),"",ROUND($F332/(1.0278-0.0278*$G332),1))</f>
        <v/>
      </c>
      <c r="J332" s="30" t="str">
        <f aca="false">IF($E332="Direto (1RM real)",$F332,IF(OR($H332="",$I332=""),"",ROUND(AVERAGE($H332,$I332),1)))</f>
        <v/>
      </c>
      <c r="K332" s="35" t="str">
        <f aca="false">IF($C332="","",IFERROR(INDEX(Cadastro!$P$8:$P$47,MATCH($C332,Cadastro!$B$8:$B$47,0)),""))</f>
        <v/>
      </c>
      <c r="L332" s="36" t="str">
        <f aca="false">IFERROR($J332/$K332,"")</f>
        <v/>
      </c>
      <c r="M332" s="45"/>
      <c r="N332" s="27"/>
    </row>
    <row r="333" customFormat="false" ht="15" hidden="false" customHeight="false" outlineLevel="0" collapsed="false">
      <c r="A333" s="29"/>
      <c r="B333" s="33" t="n">
        <f aca="false">IF($A333="",0,INT(($A333-Macrociclo!$C$11)/7)+1)</f>
        <v>0</v>
      </c>
      <c r="C333" s="27"/>
      <c r="D333" s="27"/>
      <c r="E333" s="27"/>
      <c r="F333" s="32"/>
      <c r="G333" s="28"/>
      <c r="H333" s="35" t="str">
        <f aca="false">IF(OR($F333="",$G333=""),"",ROUND($F333*(1+$G333/30),1))</f>
        <v/>
      </c>
      <c r="I333" s="35" t="str">
        <f aca="false">IF(OR($F333="",$G333="",$G333&gt;36),"",ROUND($F333/(1.0278-0.0278*$G333),1))</f>
        <v/>
      </c>
      <c r="J333" s="30" t="str">
        <f aca="false">IF($E333="Direto (1RM real)",$F333,IF(OR($H333="",$I333=""),"",ROUND(AVERAGE($H333,$I333),1)))</f>
        <v/>
      </c>
      <c r="K333" s="35" t="str">
        <f aca="false">IF($C333="","",IFERROR(INDEX(Cadastro!$P$8:$P$47,MATCH($C333,Cadastro!$B$8:$B$47,0)),""))</f>
        <v/>
      </c>
      <c r="L333" s="36" t="str">
        <f aca="false">IFERROR($J333/$K333,"")</f>
        <v/>
      </c>
      <c r="M333" s="45"/>
      <c r="N333" s="27"/>
    </row>
    <row r="334" customFormat="false" ht="15" hidden="false" customHeight="false" outlineLevel="0" collapsed="false">
      <c r="A334" s="29"/>
      <c r="B334" s="33" t="n">
        <f aca="false">IF($A334="",0,INT(($A334-Macrociclo!$C$11)/7)+1)</f>
        <v>0</v>
      </c>
      <c r="C334" s="27"/>
      <c r="D334" s="27"/>
      <c r="E334" s="27"/>
      <c r="F334" s="32"/>
      <c r="G334" s="28"/>
      <c r="H334" s="35" t="str">
        <f aca="false">IF(OR($F334="",$G334=""),"",ROUND($F334*(1+$G334/30),1))</f>
        <v/>
      </c>
      <c r="I334" s="35" t="str">
        <f aca="false">IF(OR($F334="",$G334="",$G334&gt;36),"",ROUND($F334/(1.0278-0.0278*$G334),1))</f>
        <v/>
      </c>
      <c r="J334" s="30" t="str">
        <f aca="false">IF($E334="Direto (1RM real)",$F334,IF(OR($H334="",$I334=""),"",ROUND(AVERAGE($H334,$I334),1)))</f>
        <v/>
      </c>
      <c r="K334" s="35" t="str">
        <f aca="false">IF($C334="","",IFERROR(INDEX(Cadastro!$P$8:$P$47,MATCH($C334,Cadastro!$B$8:$B$47,0)),""))</f>
        <v/>
      </c>
      <c r="L334" s="36" t="str">
        <f aca="false">IFERROR($J334/$K334,"")</f>
        <v/>
      </c>
      <c r="M334" s="45"/>
      <c r="N334" s="27"/>
    </row>
    <row r="335" customFormat="false" ht="15" hidden="false" customHeight="false" outlineLevel="0" collapsed="false">
      <c r="A335" s="29"/>
      <c r="B335" s="33" t="n">
        <f aca="false">IF($A335="",0,INT(($A335-Macrociclo!$C$11)/7)+1)</f>
        <v>0</v>
      </c>
      <c r="C335" s="27"/>
      <c r="D335" s="27"/>
      <c r="E335" s="27"/>
      <c r="F335" s="32"/>
      <c r="G335" s="28"/>
      <c r="H335" s="35" t="str">
        <f aca="false">IF(OR($F335="",$G335=""),"",ROUND($F335*(1+$G335/30),1))</f>
        <v/>
      </c>
      <c r="I335" s="35" t="str">
        <f aca="false">IF(OR($F335="",$G335="",$G335&gt;36),"",ROUND($F335/(1.0278-0.0278*$G335),1))</f>
        <v/>
      </c>
      <c r="J335" s="30" t="str">
        <f aca="false">IF($E335="Direto (1RM real)",$F335,IF(OR($H335="",$I335=""),"",ROUND(AVERAGE($H335,$I335),1)))</f>
        <v/>
      </c>
      <c r="K335" s="35" t="str">
        <f aca="false">IF($C335="","",IFERROR(INDEX(Cadastro!$P$8:$P$47,MATCH($C335,Cadastro!$B$8:$B$47,0)),""))</f>
        <v/>
      </c>
      <c r="L335" s="36" t="str">
        <f aca="false">IFERROR($J335/$K335,"")</f>
        <v/>
      </c>
      <c r="M335" s="45"/>
      <c r="N335" s="27"/>
    </row>
    <row r="336" customFormat="false" ht="15" hidden="false" customHeight="false" outlineLevel="0" collapsed="false">
      <c r="A336" s="29"/>
      <c r="B336" s="33" t="n">
        <f aca="false">IF($A336="",0,INT(($A336-Macrociclo!$C$11)/7)+1)</f>
        <v>0</v>
      </c>
      <c r="C336" s="27"/>
      <c r="D336" s="27"/>
      <c r="E336" s="27"/>
      <c r="F336" s="32"/>
      <c r="G336" s="28"/>
      <c r="H336" s="35" t="str">
        <f aca="false">IF(OR($F336="",$G336=""),"",ROUND($F336*(1+$G336/30),1))</f>
        <v/>
      </c>
      <c r="I336" s="35" t="str">
        <f aca="false">IF(OR($F336="",$G336="",$G336&gt;36),"",ROUND($F336/(1.0278-0.0278*$G336),1))</f>
        <v/>
      </c>
      <c r="J336" s="30" t="str">
        <f aca="false">IF($E336="Direto (1RM real)",$F336,IF(OR($H336="",$I336=""),"",ROUND(AVERAGE($H336,$I336),1)))</f>
        <v/>
      </c>
      <c r="K336" s="35" t="str">
        <f aca="false">IF($C336="","",IFERROR(INDEX(Cadastro!$P$8:$P$47,MATCH($C336,Cadastro!$B$8:$B$47,0)),""))</f>
        <v/>
      </c>
      <c r="L336" s="36" t="str">
        <f aca="false">IFERROR($J336/$K336,"")</f>
        <v/>
      </c>
      <c r="M336" s="45"/>
      <c r="N336" s="27"/>
    </row>
    <row r="337" customFormat="false" ht="15" hidden="false" customHeight="false" outlineLevel="0" collapsed="false">
      <c r="A337" s="29"/>
      <c r="B337" s="33" t="n">
        <f aca="false">IF($A337="",0,INT(($A337-Macrociclo!$C$11)/7)+1)</f>
        <v>0</v>
      </c>
      <c r="C337" s="27"/>
      <c r="D337" s="27"/>
      <c r="E337" s="27"/>
      <c r="F337" s="32"/>
      <c r="G337" s="28"/>
      <c r="H337" s="35" t="str">
        <f aca="false">IF(OR($F337="",$G337=""),"",ROUND($F337*(1+$G337/30),1))</f>
        <v/>
      </c>
      <c r="I337" s="35" t="str">
        <f aca="false">IF(OR($F337="",$G337="",$G337&gt;36),"",ROUND($F337/(1.0278-0.0278*$G337),1))</f>
        <v/>
      </c>
      <c r="J337" s="30" t="str">
        <f aca="false">IF($E337="Direto (1RM real)",$F337,IF(OR($H337="",$I337=""),"",ROUND(AVERAGE($H337,$I337),1)))</f>
        <v/>
      </c>
      <c r="K337" s="35" t="str">
        <f aca="false">IF($C337="","",IFERROR(INDEX(Cadastro!$P$8:$P$47,MATCH($C337,Cadastro!$B$8:$B$47,0)),""))</f>
        <v/>
      </c>
      <c r="L337" s="36" t="str">
        <f aca="false">IFERROR($J337/$K337,"")</f>
        <v/>
      </c>
      <c r="M337" s="45"/>
      <c r="N337" s="27"/>
    </row>
    <row r="338" customFormat="false" ht="15" hidden="false" customHeight="false" outlineLevel="0" collapsed="false">
      <c r="A338" s="29"/>
      <c r="B338" s="33" t="n">
        <f aca="false">IF($A338="",0,INT(($A338-Macrociclo!$C$11)/7)+1)</f>
        <v>0</v>
      </c>
      <c r="C338" s="27"/>
      <c r="D338" s="27"/>
      <c r="E338" s="27"/>
      <c r="F338" s="32"/>
      <c r="G338" s="28"/>
      <c r="H338" s="35" t="str">
        <f aca="false">IF(OR($F338="",$G338=""),"",ROUND($F338*(1+$G338/30),1))</f>
        <v/>
      </c>
      <c r="I338" s="35" t="str">
        <f aca="false">IF(OR($F338="",$G338="",$G338&gt;36),"",ROUND($F338/(1.0278-0.0278*$G338),1))</f>
        <v/>
      </c>
      <c r="J338" s="30" t="str">
        <f aca="false">IF($E338="Direto (1RM real)",$F338,IF(OR($H338="",$I338=""),"",ROUND(AVERAGE($H338,$I338),1)))</f>
        <v/>
      </c>
      <c r="K338" s="35" t="str">
        <f aca="false">IF($C338="","",IFERROR(INDEX(Cadastro!$P$8:$P$47,MATCH($C338,Cadastro!$B$8:$B$47,0)),""))</f>
        <v/>
      </c>
      <c r="L338" s="36" t="str">
        <f aca="false">IFERROR($J338/$K338,"")</f>
        <v/>
      </c>
      <c r="M338" s="45"/>
      <c r="N338" s="27"/>
    </row>
    <row r="339" customFormat="false" ht="15" hidden="false" customHeight="false" outlineLevel="0" collapsed="false">
      <c r="A339" s="29"/>
      <c r="B339" s="33" t="n">
        <f aca="false">IF($A339="",0,INT(($A339-Macrociclo!$C$11)/7)+1)</f>
        <v>0</v>
      </c>
      <c r="C339" s="27"/>
      <c r="D339" s="27"/>
      <c r="E339" s="27"/>
      <c r="F339" s="32"/>
      <c r="G339" s="28"/>
      <c r="H339" s="35" t="str">
        <f aca="false">IF(OR($F339="",$G339=""),"",ROUND($F339*(1+$G339/30),1))</f>
        <v/>
      </c>
      <c r="I339" s="35" t="str">
        <f aca="false">IF(OR($F339="",$G339="",$G339&gt;36),"",ROUND($F339/(1.0278-0.0278*$G339),1))</f>
        <v/>
      </c>
      <c r="J339" s="30" t="str">
        <f aca="false">IF($E339="Direto (1RM real)",$F339,IF(OR($H339="",$I339=""),"",ROUND(AVERAGE($H339,$I339),1)))</f>
        <v/>
      </c>
      <c r="K339" s="35" t="str">
        <f aca="false">IF($C339="","",IFERROR(INDEX(Cadastro!$P$8:$P$47,MATCH($C339,Cadastro!$B$8:$B$47,0)),""))</f>
        <v/>
      </c>
      <c r="L339" s="36" t="str">
        <f aca="false">IFERROR($J339/$K339,"")</f>
        <v/>
      </c>
      <c r="M339" s="45"/>
      <c r="N339" s="27"/>
    </row>
    <row r="340" customFormat="false" ht="15" hidden="false" customHeight="false" outlineLevel="0" collapsed="false">
      <c r="A340" s="29"/>
      <c r="B340" s="33" t="n">
        <f aca="false">IF($A340="",0,INT(($A340-Macrociclo!$C$11)/7)+1)</f>
        <v>0</v>
      </c>
      <c r="C340" s="27"/>
      <c r="D340" s="27"/>
      <c r="E340" s="27"/>
      <c r="F340" s="32"/>
      <c r="G340" s="28"/>
      <c r="H340" s="35" t="str">
        <f aca="false">IF(OR($F340="",$G340=""),"",ROUND($F340*(1+$G340/30),1))</f>
        <v/>
      </c>
      <c r="I340" s="35" t="str">
        <f aca="false">IF(OR($F340="",$G340="",$G340&gt;36),"",ROUND($F340/(1.0278-0.0278*$G340),1))</f>
        <v/>
      </c>
      <c r="J340" s="30" t="str">
        <f aca="false">IF($E340="Direto (1RM real)",$F340,IF(OR($H340="",$I340=""),"",ROUND(AVERAGE($H340,$I340),1)))</f>
        <v/>
      </c>
      <c r="K340" s="35" t="str">
        <f aca="false">IF($C340="","",IFERROR(INDEX(Cadastro!$P$8:$P$47,MATCH($C340,Cadastro!$B$8:$B$47,0)),""))</f>
        <v/>
      </c>
      <c r="L340" s="36" t="str">
        <f aca="false">IFERROR($J340/$K340,"")</f>
        <v/>
      </c>
      <c r="M340" s="45"/>
      <c r="N340" s="27"/>
    </row>
    <row r="341" customFormat="false" ht="15" hidden="false" customHeight="false" outlineLevel="0" collapsed="false">
      <c r="A341" s="29"/>
      <c r="B341" s="33" t="n">
        <f aca="false">IF($A341="",0,INT(($A341-Macrociclo!$C$11)/7)+1)</f>
        <v>0</v>
      </c>
      <c r="C341" s="27"/>
      <c r="D341" s="27"/>
      <c r="E341" s="27"/>
      <c r="F341" s="32"/>
      <c r="G341" s="28"/>
      <c r="H341" s="35" t="str">
        <f aca="false">IF(OR($F341="",$G341=""),"",ROUND($F341*(1+$G341/30),1))</f>
        <v/>
      </c>
      <c r="I341" s="35" t="str">
        <f aca="false">IF(OR($F341="",$G341="",$G341&gt;36),"",ROUND($F341/(1.0278-0.0278*$G341),1))</f>
        <v/>
      </c>
      <c r="J341" s="30" t="str">
        <f aca="false">IF($E341="Direto (1RM real)",$F341,IF(OR($H341="",$I341=""),"",ROUND(AVERAGE($H341,$I341),1)))</f>
        <v/>
      </c>
      <c r="K341" s="35" t="str">
        <f aca="false">IF($C341="","",IFERROR(INDEX(Cadastro!$P$8:$P$47,MATCH($C341,Cadastro!$B$8:$B$47,0)),""))</f>
        <v/>
      </c>
      <c r="L341" s="36" t="str">
        <f aca="false">IFERROR($J341/$K341,"")</f>
        <v/>
      </c>
      <c r="M341" s="45"/>
      <c r="N341" s="27"/>
    </row>
    <row r="342" customFormat="false" ht="15" hidden="false" customHeight="false" outlineLevel="0" collapsed="false">
      <c r="A342" s="29"/>
      <c r="B342" s="33" t="n">
        <f aca="false">IF($A342="",0,INT(($A342-Macrociclo!$C$11)/7)+1)</f>
        <v>0</v>
      </c>
      <c r="C342" s="27"/>
      <c r="D342" s="27"/>
      <c r="E342" s="27"/>
      <c r="F342" s="32"/>
      <c r="G342" s="28"/>
      <c r="H342" s="35" t="str">
        <f aca="false">IF(OR($F342="",$G342=""),"",ROUND($F342*(1+$G342/30),1))</f>
        <v/>
      </c>
      <c r="I342" s="35" t="str">
        <f aca="false">IF(OR($F342="",$G342="",$G342&gt;36),"",ROUND($F342/(1.0278-0.0278*$G342),1))</f>
        <v/>
      </c>
      <c r="J342" s="30" t="str">
        <f aca="false">IF($E342="Direto (1RM real)",$F342,IF(OR($H342="",$I342=""),"",ROUND(AVERAGE($H342,$I342),1)))</f>
        <v/>
      </c>
      <c r="K342" s="35" t="str">
        <f aca="false">IF($C342="","",IFERROR(INDEX(Cadastro!$P$8:$P$47,MATCH($C342,Cadastro!$B$8:$B$47,0)),""))</f>
        <v/>
      </c>
      <c r="L342" s="36" t="str">
        <f aca="false">IFERROR($J342/$K342,"")</f>
        <v/>
      </c>
      <c r="M342" s="45"/>
      <c r="N342" s="27"/>
    </row>
    <row r="343" customFormat="false" ht="15" hidden="false" customHeight="false" outlineLevel="0" collapsed="false">
      <c r="A343" s="29"/>
      <c r="B343" s="33" t="n">
        <f aca="false">IF($A343="",0,INT(($A343-Macrociclo!$C$11)/7)+1)</f>
        <v>0</v>
      </c>
      <c r="C343" s="27"/>
      <c r="D343" s="27"/>
      <c r="E343" s="27"/>
      <c r="F343" s="32"/>
      <c r="G343" s="28"/>
      <c r="H343" s="35" t="str">
        <f aca="false">IF(OR($F343="",$G343=""),"",ROUND($F343*(1+$G343/30),1))</f>
        <v/>
      </c>
      <c r="I343" s="35" t="str">
        <f aca="false">IF(OR($F343="",$G343="",$G343&gt;36),"",ROUND($F343/(1.0278-0.0278*$G343),1))</f>
        <v/>
      </c>
      <c r="J343" s="30" t="str">
        <f aca="false">IF($E343="Direto (1RM real)",$F343,IF(OR($H343="",$I343=""),"",ROUND(AVERAGE($H343,$I343),1)))</f>
        <v/>
      </c>
      <c r="K343" s="35" t="str">
        <f aca="false">IF($C343="","",IFERROR(INDEX(Cadastro!$P$8:$P$47,MATCH($C343,Cadastro!$B$8:$B$47,0)),""))</f>
        <v/>
      </c>
      <c r="L343" s="36" t="str">
        <f aca="false">IFERROR($J343/$K343,"")</f>
        <v/>
      </c>
      <c r="M343" s="45"/>
      <c r="N343" s="27"/>
    </row>
    <row r="344" customFormat="false" ht="15" hidden="false" customHeight="false" outlineLevel="0" collapsed="false">
      <c r="A344" s="29"/>
      <c r="B344" s="33" t="n">
        <f aca="false">IF($A344="",0,INT(($A344-Macrociclo!$C$11)/7)+1)</f>
        <v>0</v>
      </c>
      <c r="C344" s="27"/>
      <c r="D344" s="27"/>
      <c r="E344" s="27"/>
      <c r="F344" s="32"/>
      <c r="G344" s="28"/>
      <c r="H344" s="35" t="str">
        <f aca="false">IF(OR($F344="",$G344=""),"",ROUND($F344*(1+$G344/30),1))</f>
        <v/>
      </c>
      <c r="I344" s="35" t="str">
        <f aca="false">IF(OR($F344="",$G344="",$G344&gt;36),"",ROUND($F344/(1.0278-0.0278*$G344),1))</f>
        <v/>
      </c>
      <c r="J344" s="30" t="str">
        <f aca="false">IF($E344="Direto (1RM real)",$F344,IF(OR($H344="",$I344=""),"",ROUND(AVERAGE($H344,$I344),1)))</f>
        <v/>
      </c>
      <c r="K344" s="35" t="str">
        <f aca="false">IF($C344="","",IFERROR(INDEX(Cadastro!$P$8:$P$47,MATCH($C344,Cadastro!$B$8:$B$47,0)),""))</f>
        <v/>
      </c>
      <c r="L344" s="36" t="str">
        <f aca="false">IFERROR($J344/$K344,"")</f>
        <v/>
      </c>
      <c r="M344" s="45"/>
      <c r="N344" s="27"/>
    </row>
    <row r="345" customFormat="false" ht="15" hidden="false" customHeight="false" outlineLevel="0" collapsed="false">
      <c r="A345" s="29"/>
      <c r="B345" s="33" t="n">
        <f aca="false">IF($A345="",0,INT(($A345-Macrociclo!$C$11)/7)+1)</f>
        <v>0</v>
      </c>
      <c r="C345" s="27"/>
      <c r="D345" s="27"/>
      <c r="E345" s="27"/>
      <c r="F345" s="32"/>
      <c r="G345" s="28"/>
      <c r="H345" s="35" t="str">
        <f aca="false">IF(OR($F345="",$G345=""),"",ROUND($F345*(1+$G345/30),1))</f>
        <v/>
      </c>
      <c r="I345" s="35" t="str">
        <f aca="false">IF(OR($F345="",$G345="",$G345&gt;36),"",ROUND($F345/(1.0278-0.0278*$G345),1))</f>
        <v/>
      </c>
      <c r="J345" s="30" t="str">
        <f aca="false">IF($E345="Direto (1RM real)",$F345,IF(OR($H345="",$I345=""),"",ROUND(AVERAGE($H345,$I345),1)))</f>
        <v/>
      </c>
      <c r="K345" s="35" t="str">
        <f aca="false">IF($C345="","",IFERROR(INDEX(Cadastro!$P$8:$P$47,MATCH($C345,Cadastro!$B$8:$B$47,0)),""))</f>
        <v/>
      </c>
      <c r="L345" s="36" t="str">
        <f aca="false">IFERROR($J345/$K345,"")</f>
        <v/>
      </c>
      <c r="M345" s="45"/>
      <c r="N345" s="27"/>
    </row>
    <row r="346" customFormat="false" ht="15" hidden="false" customHeight="false" outlineLevel="0" collapsed="false">
      <c r="A346" s="29"/>
      <c r="B346" s="33" t="n">
        <f aca="false">IF($A346="",0,INT(($A346-Macrociclo!$C$11)/7)+1)</f>
        <v>0</v>
      </c>
      <c r="C346" s="27"/>
      <c r="D346" s="27"/>
      <c r="E346" s="27"/>
      <c r="F346" s="32"/>
      <c r="G346" s="28"/>
      <c r="H346" s="35" t="str">
        <f aca="false">IF(OR($F346="",$G346=""),"",ROUND($F346*(1+$G346/30),1))</f>
        <v/>
      </c>
      <c r="I346" s="35" t="str">
        <f aca="false">IF(OR($F346="",$G346="",$G346&gt;36),"",ROUND($F346/(1.0278-0.0278*$G346),1))</f>
        <v/>
      </c>
      <c r="J346" s="30" t="str">
        <f aca="false">IF($E346="Direto (1RM real)",$F346,IF(OR($H346="",$I346=""),"",ROUND(AVERAGE($H346,$I346),1)))</f>
        <v/>
      </c>
      <c r="K346" s="35" t="str">
        <f aca="false">IF($C346="","",IFERROR(INDEX(Cadastro!$P$8:$P$47,MATCH($C346,Cadastro!$B$8:$B$47,0)),""))</f>
        <v/>
      </c>
      <c r="L346" s="36" t="str">
        <f aca="false">IFERROR($J346/$K346,"")</f>
        <v/>
      </c>
      <c r="M346" s="45"/>
      <c r="N346" s="27"/>
    </row>
    <row r="347" customFormat="false" ht="15" hidden="false" customHeight="false" outlineLevel="0" collapsed="false">
      <c r="A347" s="29"/>
      <c r="B347" s="33" t="n">
        <f aca="false">IF($A347="",0,INT(($A347-Macrociclo!$C$11)/7)+1)</f>
        <v>0</v>
      </c>
      <c r="C347" s="27"/>
      <c r="D347" s="27"/>
      <c r="E347" s="27"/>
      <c r="F347" s="32"/>
      <c r="G347" s="28"/>
      <c r="H347" s="35" t="str">
        <f aca="false">IF(OR($F347="",$G347=""),"",ROUND($F347*(1+$G347/30),1))</f>
        <v/>
      </c>
      <c r="I347" s="35" t="str">
        <f aca="false">IF(OR($F347="",$G347="",$G347&gt;36),"",ROUND($F347/(1.0278-0.0278*$G347),1))</f>
        <v/>
      </c>
      <c r="J347" s="30" t="str">
        <f aca="false">IF($E347="Direto (1RM real)",$F347,IF(OR($H347="",$I347=""),"",ROUND(AVERAGE($H347,$I347),1)))</f>
        <v/>
      </c>
      <c r="K347" s="35" t="str">
        <f aca="false">IF($C347="","",IFERROR(INDEX(Cadastro!$P$8:$P$47,MATCH($C347,Cadastro!$B$8:$B$47,0)),""))</f>
        <v/>
      </c>
      <c r="L347" s="36" t="str">
        <f aca="false">IFERROR($J347/$K347,"")</f>
        <v/>
      </c>
      <c r="M347" s="45"/>
      <c r="N347" s="27"/>
    </row>
    <row r="348" customFormat="false" ht="15" hidden="false" customHeight="false" outlineLevel="0" collapsed="false">
      <c r="A348" s="29"/>
      <c r="B348" s="33" t="n">
        <f aca="false">IF($A348="",0,INT(($A348-Macrociclo!$C$11)/7)+1)</f>
        <v>0</v>
      </c>
      <c r="C348" s="27"/>
      <c r="D348" s="27"/>
      <c r="E348" s="27"/>
      <c r="F348" s="32"/>
      <c r="G348" s="28"/>
      <c r="H348" s="35" t="str">
        <f aca="false">IF(OR($F348="",$G348=""),"",ROUND($F348*(1+$G348/30),1))</f>
        <v/>
      </c>
      <c r="I348" s="35" t="str">
        <f aca="false">IF(OR($F348="",$G348="",$G348&gt;36),"",ROUND($F348/(1.0278-0.0278*$G348),1))</f>
        <v/>
      </c>
      <c r="J348" s="30" t="str">
        <f aca="false">IF($E348="Direto (1RM real)",$F348,IF(OR($H348="",$I348=""),"",ROUND(AVERAGE($H348,$I348),1)))</f>
        <v/>
      </c>
      <c r="K348" s="35" t="str">
        <f aca="false">IF($C348="","",IFERROR(INDEX(Cadastro!$P$8:$P$47,MATCH($C348,Cadastro!$B$8:$B$47,0)),""))</f>
        <v/>
      </c>
      <c r="L348" s="36" t="str">
        <f aca="false">IFERROR($J348/$K348,"")</f>
        <v/>
      </c>
      <c r="M348" s="45"/>
      <c r="N348" s="27"/>
    </row>
    <row r="349" customFormat="false" ht="15" hidden="false" customHeight="false" outlineLevel="0" collapsed="false">
      <c r="A349" s="29"/>
      <c r="B349" s="33" t="n">
        <f aca="false">IF($A349="",0,INT(($A349-Macrociclo!$C$11)/7)+1)</f>
        <v>0</v>
      </c>
      <c r="C349" s="27"/>
      <c r="D349" s="27"/>
      <c r="E349" s="27"/>
      <c r="F349" s="32"/>
      <c r="G349" s="28"/>
      <c r="H349" s="35" t="str">
        <f aca="false">IF(OR($F349="",$G349=""),"",ROUND($F349*(1+$G349/30),1))</f>
        <v/>
      </c>
      <c r="I349" s="35" t="str">
        <f aca="false">IF(OR($F349="",$G349="",$G349&gt;36),"",ROUND($F349/(1.0278-0.0278*$G349),1))</f>
        <v/>
      </c>
      <c r="J349" s="30" t="str">
        <f aca="false">IF($E349="Direto (1RM real)",$F349,IF(OR($H349="",$I349=""),"",ROUND(AVERAGE($H349,$I349),1)))</f>
        <v/>
      </c>
      <c r="K349" s="35" t="str">
        <f aca="false">IF($C349="","",IFERROR(INDEX(Cadastro!$P$8:$P$47,MATCH($C349,Cadastro!$B$8:$B$47,0)),""))</f>
        <v/>
      </c>
      <c r="L349" s="36" t="str">
        <f aca="false">IFERROR($J349/$K349,"")</f>
        <v/>
      </c>
      <c r="M349" s="45"/>
      <c r="N349" s="27"/>
    </row>
    <row r="350" customFormat="false" ht="15" hidden="false" customHeight="false" outlineLevel="0" collapsed="false">
      <c r="A350" s="29"/>
      <c r="B350" s="33" t="n">
        <f aca="false">IF($A350="",0,INT(($A350-Macrociclo!$C$11)/7)+1)</f>
        <v>0</v>
      </c>
      <c r="C350" s="27"/>
      <c r="D350" s="27"/>
      <c r="E350" s="27"/>
      <c r="F350" s="32"/>
      <c r="G350" s="28"/>
      <c r="H350" s="35" t="str">
        <f aca="false">IF(OR($F350="",$G350=""),"",ROUND($F350*(1+$G350/30),1))</f>
        <v/>
      </c>
      <c r="I350" s="35" t="str">
        <f aca="false">IF(OR($F350="",$G350="",$G350&gt;36),"",ROUND($F350/(1.0278-0.0278*$G350),1))</f>
        <v/>
      </c>
      <c r="J350" s="30" t="str">
        <f aca="false">IF($E350="Direto (1RM real)",$F350,IF(OR($H350="",$I350=""),"",ROUND(AVERAGE($H350,$I350),1)))</f>
        <v/>
      </c>
      <c r="K350" s="35" t="str">
        <f aca="false">IF($C350="","",IFERROR(INDEX(Cadastro!$P$8:$P$47,MATCH($C350,Cadastro!$B$8:$B$47,0)),""))</f>
        <v/>
      </c>
      <c r="L350" s="36" t="str">
        <f aca="false">IFERROR($J350/$K350,"")</f>
        <v/>
      </c>
      <c r="M350" s="45"/>
      <c r="N350" s="27"/>
    </row>
    <row r="351" customFormat="false" ht="15" hidden="false" customHeight="false" outlineLevel="0" collapsed="false">
      <c r="A351" s="29"/>
      <c r="B351" s="33" t="n">
        <f aca="false">IF($A351="",0,INT(($A351-Macrociclo!$C$11)/7)+1)</f>
        <v>0</v>
      </c>
      <c r="C351" s="27"/>
      <c r="D351" s="27"/>
      <c r="E351" s="27"/>
      <c r="F351" s="32"/>
      <c r="G351" s="28"/>
      <c r="H351" s="35" t="str">
        <f aca="false">IF(OR($F351="",$G351=""),"",ROUND($F351*(1+$G351/30),1))</f>
        <v/>
      </c>
      <c r="I351" s="35" t="str">
        <f aca="false">IF(OR($F351="",$G351="",$G351&gt;36),"",ROUND($F351/(1.0278-0.0278*$G351),1))</f>
        <v/>
      </c>
      <c r="J351" s="30" t="str">
        <f aca="false">IF($E351="Direto (1RM real)",$F351,IF(OR($H351="",$I351=""),"",ROUND(AVERAGE($H351,$I351),1)))</f>
        <v/>
      </c>
      <c r="K351" s="35" t="str">
        <f aca="false">IF($C351="","",IFERROR(INDEX(Cadastro!$P$8:$P$47,MATCH($C351,Cadastro!$B$8:$B$47,0)),""))</f>
        <v/>
      </c>
      <c r="L351" s="36" t="str">
        <f aca="false">IFERROR($J351/$K351,"")</f>
        <v/>
      </c>
      <c r="M351" s="45"/>
      <c r="N351" s="27"/>
    </row>
    <row r="352" customFormat="false" ht="15" hidden="false" customHeight="false" outlineLevel="0" collapsed="false">
      <c r="A352" s="29"/>
      <c r="B352" s="33" t="n">
        <f aca="false">IF($A352="",0,INT(($A352-Macrociclo!$C$11)/7)+1)</f>
        <v>0</v>
      </c>
      <c r="C352" s="27"/>
      <c r="D352" s="27"/>
      <c r="E352" s="27"/>
      <c r="F352" s="32"/>
      <c r="G352" s="28"/>
      <c r="H352" s="35" t="str">
        <f aca="false">IF(OR($F352="",$G352=""),"",ROUND($F352*(1+$G352/30),1))</f>
        <v/>
      </c>
      <c r="I352" s="35" t="str">
        <f aca="false">IF(OR($F352="",$G352="",$G352&gt;36),"",ROUND($F352/(1.0278-0.0278*$G352),1))</f>
        <v/>
      </c>
      <c r="J352" s="30" t="str">
        <f aca="false">IF($E352="Direto (1RM real)",$F352,IF(OR($H352="",$I352=""),"",ROUND(AVERAGE($H352,$I352),1)))</f>
        <v/>
      </c>
      <c r="K352" s="35" t="str">
        <f aca="false">IF($C352="","",IFERROR(INDEX(Cadastro!$P$8:$P$47,MATCH($C352,Cadastro!$B$8:$B$47,0)),""))</f>
        <v/>
      </c>
      <c r="L352" s="36" t="str">
        <f aca="false">IFERROR($J352/$K352,"")</f>
        <v/>
      </c>
      <c r="M352" s="45"/>
      <c r="N352" s="27"/>
    </row>
    <row r="353" customFormat="false" ht="15" hidden="false" customHeight="false" outlineLevel="0" collapsed="false">
      <c r="A353" s="29"/>
      <c r="B353" s="33" t="n">
        <f aca="false">IF($A353="",0,INT(($A353-Macrociclo!$C$11)/7)+1)</f>
        <v>0</v>
      </c>
      <c r="C353" s="27"/>
      <c r="D353" s="27"/>
      <c r="E353" s="27"/>
      <c r="F353" s="32"/>
      <c r="G353" s="28"/>
      <c r="H353" s="35" t="str">
        <f aca="false">IF(OR($F353="",$G353=""),"",ROUND($F353*(1+$G353/30),1))</f>
        <v/>
      </c>
      <c r="I353" s="35" t="str">
        <f aca="false">IF(OR($F353="",$G353="",$G353&gt;36),"",ROUND($F353/(1.0278-0.0278*$G353),1))</f>
        <v/>
      </c>
      <c r="J353" s="30" t="str">
        <f aca="false">IF($E353="Direto (1RM real)",$F353,IF(OR($H353="",$I353=""),"",ROUND(AVERAGE($H353,$I353),1)))</f>
        <v/>
      </c>
      <c r="K353" s="35" t="str">
        <f aca="false">IF($C353="","",IFERROR(INDEX(Cadastro!$P$8:$P$47,MATCH($C353,Cadastro!$B$8:$B$47,0)),""))</f>
        <v/>
      </c>
      <c r="L353" s="36" t="str">
        <f aca="false">IFERROR($J353/$K353,"")</f>
        <v/>
      </c>
      <c r="M353" s="45"/>
      <c r="N353" s="27"/>
    </row>
    <row r="354" customFormat="false" ht="15" hidden="false" customHeight="false" outlineLevel="0" collapsed="false">
      <c r="A354" s="29"/>
      <c r="B354" s="33" t="n">
        <f aca="false">IF($A354="",0,INT(($A354-Macrociclo!$C$11)/7)+1)</f>
        <v>0</v>
      </c>
      <c r="C354" s="27"/>
      <c r="D354" s="27"/>
      <c r="E354" s="27"/>
      <c r="F354" s="32"/>
      <c r="G354" s="28"/>
      <c r="H354" s="35" t="str">
        <f aca="false">IF(OR($F354="",$G354=""),"",ROUND($F354*(1+$G354/30),1))</f>
        <v/>
      </c>
      <c r="I354" s="35" t="str">
        <f aca="false">IF(OR($F354="",$G354="",$G354&gt;36),"",ROUND($F354/(1.0278-0.0278*$G354),1))</f>
        <v/>
      </c>
      <c r="J354" s="30" t="str">
        <f aca="false">IF($E354="Direto (1RM real)",$F354,IF(OR($H354="",$I354=""),"",ROUND(AVERAGE($H354,$I354),1)))</f>
        <v/>
      </c>
      <c r="K354" s="35" t="str">
        <f aca="false">IF($C354="","",IFERROR(INDEX(Cadastro!$P$8:$P$47,MATCH($C354,Cadastro!$B$8:$B$47,0)),""))</f>
        <v/>
      </c>
      <c r="L354" s="36" t="str">
        <f aca="false">IFERROR($J354/$K354,"")</f>
        <v/>
      </c>
      <c r="M354" s="45"/>
      <c r="N354" s="27"/>
    </row>
    <row r="355" customFormat="false" ht="15" hidden="false" customHeight="false" outlineLevel="0" collapsed="false">
      <c r="A355" s="29"/>
      <c r="B355" s="33" t="n">
        <f aca="false">IF($A355="",0,INT(($A355-Macrociclo!$C$11)/7)+1)</f>
        <v>0</v>
      </c>
      <c r="C355" s="27"/>
      <c r="D355" s="27"/>
      <c r="E355" s="27"/>
      <c r="F355" s="32"/>
      <c r="G355" s="28"/>
      <c r="H355" s="35" t="str">
        <f aca="false">IF(OR($F355="",$G355=""),"",ROUND($F355*(1+$G355/30),1))</f>
        <v/>
      </c>
      <c r="I355" s="35" t="str">
        <f aca="false">IF(OR($F355="",$G355="",$G355&gt;36),"",ROUND($F355/(1.0278-0.0278*$G355),1))</f>
        <v/>
      </c>
      <c r="J355" s="30" t="str">
        <f aca="false">IF($E355="Direto (1RM real)",$F355,IF(OR($H355="",$I355=""),"",ROUND(AVERAGE($H355,$I355),1)))</f>
        <v/>
      </c>
      <c r="K355" s="35" t="str">
        <f aca="false">IF($C355="","",IFERROR(INDEX(Cadastro!$P$8:$P$47,MATCH($C355,Cadastro!$B$8:$B$47,0)),""))</f>
        <v/>
      </c>
      <c r="L355" s="36" t="str">
        <f aca="false">IFERROR($J355/$K355,"")</f>
        <v/>
      </c>
      <c r="M355" s="45"/>
      <c r="N355" s="27"/>
    </row>
    <row r="356" customFormat="false" ht="15" hidden="false" customHeight="false" outlineLevel="0" collapsed="false">
      <c r="A356" s="29"/>
      <c r="B356" s="33" t="n">
        <f aca="false">IF($A356="",0,INT(($A356-Macrociclo!$C$11)/7)+1)</f>
        <v>0</v>
      </c>
      <c r="C356" s="27"/>
      <c r="D356" s="27"/>
      <c r="E356" s="27"/>
      <c r="F356" s="32"/>
      <c r="G356" s="28"/>
      <c r="H356" s="35" t="str">
        <f aca="false">IF(OR($F356="",$G356=""),"",ROUND($F356*(1+$G356/30),1))</f>
        <v/>
      </c>
      <c r="I356" s="35" t="str">
        <f aca="false">IF(OR($F356="",$G356="",$G356&gt;36),"",ROUND($F356/(1.0278-0.0278*$G356),1))</f>
        <v/>
      </c>
      <c r="J356" s="30" t="str">
        <f aca="false">IF($E356="Direto (1RM real)",$F356,IF(OR($H356="",$I356=""),"",ROUND(AVERAGE($H356,$I356),1)))</f>
        <v/>
      </c>
      <c r="K356" s="35" t="str">
        <f aca="false">IF($C356="","",IFERROR(INDEX(Cadastro!$P$8:$P$47,MATCH($C356,Cadastro!$B$8:$B$47,0)),""))</f>
        <v/>
      </c>
      <c r="L356" s="36" t="str">
        <f aca="false">IFERROR($J356/$K356,"")</f>
        <v/>
      </c>
      <c r="M356" s="45"/>
      <c r="N356" s="27"/>
    </row>
    <row r="357" customFormat="false" ht="15" hidden="false" customHeight="false" outlineLevel="0" collapsed="false">
      <c r="A357" s="29"/>
      <c r="B357" s="33" t="n">
        <f aca="false">IF($A357="",0,INT(($A357-Macrociclo!$C$11)/7)+1)</f>
        <v>0</v>
      </c>
      <c r="C357" s="27"/>
      <c r="D357" s="27"/>
      <c r="E357" s="27"/>
      <c r="F357" s="32"/>
      <c r="G357" s="28"/>
      <c r="H357" s="35" t="str">
        <f aca="false">IF(OR($F357="",$G357=""),"",ROUND($F357*(1+$G357/30),1))</f>
        <v/>
      </c>
      <c r="I357" s="35" t="str">
        <f aca="false">IF(OR($F357="",$G357="",$G357&gt;36),"",ROUND($F357/(1.0278-0.0278*$G357),1))</f>
        <v/>
      </c>
      <c r="J357" s="30" t="str">
        <f aca="false">IF($E357="Direto (1RM real)",$F357,IF(OR($H357="",$I357=""),"",ROUND(AVERAGE($H357,$I357),1)))</f>
        <v/>
      </c>
      <c r="K357" s="35" t="str">
        <f aca="false">IF($C357="","",IFERROR(INDEX(Cadastro!$P$8:$P$47,MATCH($C357,Cadastro!$B$8:$B$47,0)),""))</f>
        <v/>
      </c>
      <c r="L357" s="36" t="str">
        <f aca="false">IFERROR($J357/$K357,"")</f>
        <v/>
      </c>
      <c r="M357" s="45"/>
      <c r="N357" s="27"/>
    </row>
    <row r="358" customFormat="false" ht="15" hidden="false" customHeight="false" outlineLevel="0" collapsed="false">
      <c r="A358" s="29"/>
      <c r="B358" s="33" t="n">
        <f aca="false">IF($A358="",0,INT(($A358-Macrociclo!$C$11)/7)+1)</f>
        <v>0</v>
      </c>
      <c r="C358" s="27"/>
      <c r="D358" s="27"/>
      <c r="E358" s="27"/>
      <c r="F358" s="32"/>
      <c r="G358" s="28"/>
      <c r="H358" s="35" t="str">
        <f aca="false">IF(OR($F358="",$G358=""),"",ROUND($F358*(1+$G358/30),1))</f>
        <v/>
      </c>
      <c r="I358" s="35" t="str">
        <f aca="false">IF(OR($F358="",$G358="",$G358&gt;36),"",ROUND($F358/(1.0278-0.0278*$G358),1))</f>
        <v/>
      </c>
      <c r="J358" s="30" t="str">
        <f aca="false">IF($E358="Direto (1RM real)",$F358,IF(OR($H358="",$I358=""),"",ROUND(AVERAGE($H358,$I358),1)))</f>
        <v/>
      </c>
      <c r="K358" s="35" t="str">
        <f aca="false">IF($C358="","",IFERROR(INDEX(Cadastro!$P$8:$P$47,MATCH($C358,Cadastro!$B$8:$B$47,0)),""))</f>
        <v/>
      </c>
      <c r="L358" s="36" t="str">
        <f aca="false">IFERROR($J358/$K358,"")</f>
        <v/>
      </c>
      <c r="M358" s="45"/>
      <c r="N358" s="27"/>
    </row>
    <row r="359" customFormat="false" ht="15" hidden="false" customHeight="false" outlineLevel="0" collapsed="false">
      <c r="A359" s="29"/>
      <c r="B359" s="33" t="n">
        <f aca="false">IF($A359="",0,INT(($A359-Macrociclo!$C$11)/7)+1)</f>
        <v>0</v>
      </c>
      <c r="C359" s="27"/>
      <c r="D359" s="27"/>
      <c r="E359" s="27"/>
      <c r="F359" s="32"/>
      <c r="G359" s="28"/>
      <c r="H359" s="35" t="str">
        <f aca="false">IF(OR($F359="",$G359=""),"",ROUND($F359*(1+$G359/30),1))</f>
        <v/>
      </c>
      <c r="I359" s="35" t="str">
        <f aca="false">IF(OR($F359="",$G359="",$G359&gt;36),"",ROUND($F359/(1.0278-0.0278*$G359),1))</f>
        <v/>
      </c>
      <c r="J359" s="30" t="str">
        <f aca="false">IF($E359="Direto (1RM real)",$F359,IF(OR($H359="",$I359=""),"",ROUND(AVERAGE($H359,$I359),1)))</f>
        <v/>
      </c>
      <c r="K359" s="35" t="str">
        <f aca="false">IF($C359="","",IFERROR(INDEX(Cadastro!$P$8:$P$47,MATCH($C359,Cadastro!$B$8:$B$47,0)),""))</f>
        <v/>
      </c>
      <c r="L359" s="36" t="str">
        <f aca="false">IFERROR($J359/$K359,"")</f>
        <v/>
      </c>
      <c r="M359" s="45"/>
      <c r="N359" s="27"/>
    </row>
    <row r="360" customFormat="false" ht="15" hidden="false" customHeight="false" outlineLevel="0" collapsed="false">
      <c r="A360" s="29"/>
      <c r="B360" s="33" t="n">
        <f aca="false">IF($A360="",0,INT(($A360-Macrociclo!$C$11)/7)+1)</f>
        <v>0</v>
      </c>
      <c r="C360" s="27"/>
      <c r="D360" s="27"/>
      <c r="E360" s="27"/>
      <c r="F360" s="32"/>
      <c r="G360" s="28"/>
      <c r="H360" s="35" t="str">
        <f aca="false">IF(OR($F360="",$G360=""),"",ROUND($F360*(1+$G360/30),1))</f>
        <v/>
      </c>
      <c r="I360" s="35" t="str">
        <f aca="false">IF(OR($F360="",$G360="",$G360&gt;36),"",ROUND($F360/(1.0278-0.0278*$G360),1))</f>
        <v/>
      </c>
      <c r="J360" s="30" t="str">
        <f aca="false">IF($E360="Direto (1RM real)",$F360,IF(OR($H360="",$I360=""),"",ROUND(AVERAGE($H360,$I360),1)))</f>
        <v/>
      </c>
      <c r="K360" s="35" t="str">
        <f aca="false">IF($C360="","",IFERROR(INDEX(Cadastro!$P$8:$P$47,MATCH($C360,Cadastro!$B$8:$B$47,0)),""))</f>
        <v/>
      </c>
      <c r="L360" s="36" t="str">
        <f aca="false">IFERROR($J360/$K360,"")</f>
        <v/>
      </c>
      <c r="M360" s="45"/>
      <c r="N360" s="27"/>
    </row>
    <row r="361" customFormat="false" ht="15" hidden="false" customHeight="false" outlineLevel="0" collapsed="false">
      <c r="A361" s="29"/>
      <c r="B361" s="33" t="n">
        <f aca="false">IF($A361="",0,INT(($A361-Macrociclo!$C$11)/7)+1)</f>
        <v>0</v>
      </c>
      <c r="C361" s="27"/>
      <c r="D361" s="27"/>
      <c r="E361" s="27"/>
      <c r="F361" s="32"/>
      <c r="G361" s="28"/>
      <c r="H361" s="35" t="str">
        <f aca="false">IF(OR($F361="",$G361=""),"",ROUND($F361*(1+$G361/30),1))</f>
        <v/>
      </c>
      <c r="I361" s="35" t="str">
        <f aca="false">IF(OR($F361="",$G361="",$G361&gt;36),"",ROUND($F361/(1.0278-0.0278*$G361),1))</f>
        <v/>
      </c>
      <c r="J361" s="30" t="str">
        <f aca="false">IF($E361="Direto (1RM real)",$F361,IF(OR($H361="",$I361=""),"",ROUND(AVERAGE($H361,$I361),1)))</f>
        <v/>
      </c>
      <c r="K361" s="35" t="str">
        <f aca="false">IF($C361="","",IFERROR(INDEX(Cadastro!$P$8:$P$47,MATCH($C361,Cadastro!$B$8:$B$47,0)),""))</f>
        <v/>
      </c>
      <c r="L361" s="36" t="str">
        <f aca="false">IFERROR($J361/$K361,"")</f>
        <v/>
      </c>
      <c r="M361" s="45"/>
      <c r="N361" s="27"/>
    </row>
    <row r="362" customFormat="false" ht="15" hidden="false" customHeight="false" outlineLevel="0" collapsed="false">
      <c r="A362" s="29"/>
      <c r="B362" s="33" t="n">
        <f aca="false">IF($A362="",0,INT(($A362-Macrociclo!$C$11)/7)+1)</f>
        <v>0</v>
      </c>
      <c r="C362" s="27"/>
      <c r="D362" s="27"/>
      <c r="E362" s="27"/>
      <c r="F362" s="32"/>
      <c r="G362" s="28"/>
      <c r="H362" s="35" t="str">
        <f aca="false">IF(OR($F362="",$G362=""),"",ROUND($F362*(1+$G362/30),1))</f>
        <v/>
      </c>
      <c r="I362" s="35" t="str">
        <f aca="false">IF(OR($F362="",$G362="",$G362&gt;36),"",ROUND($F362/(1.0278-0.0278*$G362),1))</f>
        <v/>
      </c>
      <c r="J362" s="30" t="str">
        <f aca="false">IF($E362="Direto (1RM real)",$F362,IF(OR($H362="",$I362=""),"",ROUND(AVERAGE($H362,$I362),1)))</f>
        <v/>
      </c>
      <c r="K362" s="35" t="str">
        <f aca="false">IF($C362="","",IFERROR(INDEX(Cadastro!$P$8:$P$47,MATCH($C362,Cadastro!$B$8:$B$47,0)),""))</f>
        <v/>
      </c>
      <c r="L362" s="36" t="str">
        <f aca="false">IFERROR($J362/$K362,"")</f>
        <v/>
      </c>
      <c r="M362" s="45"/>
      <c r="N362" s="27"/>
    </row>
    <row r="363" customFormat="false" ht="15" hidden="false" customHeight="false" outlineLevel="0" collapsed="false">
      <c r="A363" s="29"/>
      <c r="B363" s="33" t="n">
        <f aca="false">IF($A363="",0,INT(($A363-Macrociclo!$C$11)/7)+1)</f>
        <v>0</v>
      </c>
      <c r="C363" s="27"/>
      <c r="D363" s="27"/>
      <c r="E363" s="27"/>
      <c r="F363" s="32"/>
      <c r="G363" s="28"/>
      <c r="H363" s="35" t="str">
        <f aca="false">IF(OR($F363="",$G363=""),"",ROUND($F363*(1+$G363/30),1))</f>
        <v/>
      </c>
      <c r="I363" s="35" t="str">
        <f aca="false">IF(OR($F363="",$G363="",$G363&gt;36),"",ROUND($F363/(1.0278-0.0278*$G363),1))</f>
        <v/>
      </c>
      <c r="J363" s="30" t="str">
        <f aca="false">IF($E363="Direto (1RM real)",$F363,IF(OR($H363="",$I363=""),"",ROUND(AVERAGE($H363,$I363),1)))</f>
        <v/>
      </c>
      <c r="K363" s="35" t="str">
        <f aca="false">IF($C363="","",IFERROR(INDEX(Cadastro!$P$8:$P$47,MATCH($C363,Cadastro!$B$8:$B$47,0)),""))</f>
        <v/>
      </c>
      <c r="L363" s="36" t="str">
        <f aca="false">IFERROR($J363/$K363,"")</f>
        <v/>
      </c>
      <c r="M363" s="45"/>
      <c r="N363" s="27"/>
    </row>
    <row r="364" customFormat="false" ht="15" hidden="false" customHeight="false" outlineLevel="0" collapsed="false">
      <c r="A364" s="29"/>
      <c r="B364" s="33" t="n">
        <f aca="false">IF($A364="",0,INT(($A364-Macrociclo!$C$11)/7)+1)</f>
        <v>0</v>
      </c>
      <c r="C364" s="27"/>
      <c r="D364" s="27"/>
      <c r="E364" s="27"/>
      <c r="F364" s="32"/>
      <c r="G364" s="28"/>
      <c r="H364" s="35" t="str">
        <f aca="false">IF(OR($F364="",$G364=""),"",ROUND($F364*(1+$G364/30),1))</f>
        <v/>
      </c>
      <c r="I364" s="35" t="str">
        <f aca="false">IF(OR($F364="",$G364="",$G364&gt;36),"",ROUND($F364/(1.0278-0.0278*$G364),1))</f>
        <v/>
      </c>
      <c r="J364" s="30" t="str">
        <f aca="false">IF($E364="Direto (1RM real)",$F364,IF(OR($H364="",$I364=""),"",ROUND(AVERAGE($H364,$I364),1)))</f>
        <v/>
      </c>
      <c r="K364" s="35" t="str">
        <f aca="false">IF($C364="","",IFERROR(INDEX(Cadastro!$P$8:$P$47,MATCH($C364,Cadastro!$B$8:$B$47,0)),""))</f>
        <v/>
      </c>
      <c r="L364" s="36" t="str">
        <f aca="false">IFERROR($J364/$K364,"")</f>
        <v/>
      </c>
      <c r="M364" s="45"/>
      <c r="N364" s="27"/>
    </row>
    <row r="365" customFormat="false" ht="15" hidden="false" customHeight="false" outlineLevel="0" collapsed="false">
      <c r="A365" s="29"/>
      <c r="B365" s="33" t="n">
        <f aca="false">IF($A365="",0,INT(($A365-Macrociclo!$C$11)/7)+1)</f>
        <v>0</v>
      </c>
      <c r="C365" s="27"/>
      <c r="D365" s="27"/>
      <c r="E365" s="27"/>
      <c r="F365" s="32"/>
      <c r="G365" s="28"/>
      <c r="H365" s="35" t="str">
        <f aca="false">IF(OR($F365="",$G365=""),"",ROUND($F365*(1+$G365/30),1))</f>
        <v/>
      </c>
      <c r="I365" s="35" t="str">
        <f aca="false">IF(OR($F365="",$G365="",$G365&gt;36),"",ROUND($F365/(1.0278-0.0278*$G365),1))</f>
        <v/>
      </c>
      <c r="J365" s="30" t="str">
        <f aca="false">IF($E365="Direto (1RM real)",$F365,IF(OR($H365="",$I365=""),"",ROUND(AVERAGE($H365,$I365),1)))</f>
        <v/>
      </c>
      <c r="K365" s="35" t="str">
        <f aca="false">IF($C365="","",IFERROR(INDEX(Cadastro!$P$8:$P$47,MATCH($C365,Cadastro!$B$8:$B$47,0)),""))</f>
        <v/>
      </c>
      <c r="L365" s="36" t="str">
        <f aca="false">IFERROR($J365/$K365,"")</f>
        <v/>
      </c>
      <c r="M365" s="45"/>
      <c r="N365" s="27"/>
    </row>
    <row r="366" customFormat="false" ht="15" hidden="false" customHeight="false" outlineLevel="0" collapsed="false">
      <c r="A366" s="29"/>
      <c r="B366" s="33" t="n">
        <f aca="false">IF($A366="",0,INT(($A366-Macrociclo!$C$11)/7)+1)</f>
        <v>0</v>
      </c>
      <c r="C366" s="27"/>
      <c r="D366" s="27"/>
      <c r="E366" s="27"/>
      <c r="F366" s="32"/>
      <c r="G366" s="28"/>
      <c r="H366" s="35" t="str">
        <f aca="false">IF(OR($F366="",$G366=""),"",ROUND($F366*(1+$G366/30),1))</f>
        <v/>
      </c>
      <c r="I366" s="35" t="str">
        <f aca="false">IF(OR($F366="",$G366="",$G366&gt;36),"",ROUND($F366/(1.0278-0.0278*$G366),1))</f>
        <v/>
      </c>
      <c r="J366" s="30" t="str">
        <f aca="false">IF($E366="Direto (1RM real)",$F366,IF(OR($H366="",$I366=""),"",ROUND(AVERAGE($H366,$I366),1)))</f>
        <v/>
      </c>
      <c r="K366" s="35" t="str">
        <f aca="false">IF($C366="","",IFERROR(INDEX(Cadastro!$P$8:$P$47,MATCH($C366,Cadastro!$B$8:$B$47,0)),""))</f>
        <v/>
      </c>
      <c r="L366" s="36" t="str">
        <f aca="false">IFERROR($J366/$K366,"")</f>
        <v/>
      </c>
      <c r="M366" s="45"/>
      <c r="N366" s="27"/>
    </row>
    <row r="367" customFormat="false" ht="15" hidden="false" customHeight="false" outlineLevel="0" collapsed="false">
      <c r="A367" s="29"/>
      <c r="B367" s="33" t="n">
        <f aca="false">IF($A367="",0,INT(($A367-Macrociclo!$C$11)/7)+1)</f>
        <v>0</v>
      </c>
      <c r="C367" s="27"/>
      <c r="D367" s="27"/>
      <c r="E367" s="27"/>
      <c r="F367" s="32"/>
      <c r="G367" s="28"/>
      <c r="H367" s="35" t="str">
        <f aca="false">IF(OR($F367="",$G367=""),"",ROUND($F367*(1+$G367/30),1))</f>
        <v/>
      </c>
      <c r="I367" s="35" t="str">
        <f aca="false">IF(OR($F367="",$G367="",$G367&gt;36),"",ROUND($F367/(1.0278-0.0278*$G367),1))</f>
        <v/>
      </c>
      <c r="J367" s="30" t="str">
        <f aca="false">IF($E367="Direto (1RM real)",$F367,IF(OR($H367="",$I367=""),"",ROUND(AVERAGE($H367,$I367),1)))</f>
        <v/>
      </c>
      <c r="K367" s="35" t="str">
        <f aca="false">IF($C367="","",IFERROR(INDEX(Cadastro!$P$8:$P$47,MATCH($C367,Cadastro!$B$8:$B$47,0)),""))</f>
        <v/>
      </c>
      <c r="L367" s="36" t="str">
        <f aca="false">IFERROR($J367/$K367,"")</f>
        <v/>
      </c>
      <c r="M367" s="45"/>
      <c r="N367" s="27"/>
    </row>
    <row r="368" customFormat="false" ht="15" hidden="false" customHeight="false" outlineLevel="0" collapsed="false">
      <c r="A368" s="29"/>
      <c r="B368" s="33" t="n">
        <f aca="false">IF($A368="",0,INT(($A368-Macrociclo!$C$11)/7)+1)</f>
        <v>0</v>
      </c>
      <c r="C368" s="27"/>
      <c r="D368" s="27"/>
      <c r="E368" s="27"/>
      <c r="F368" s="32"/>
      <c r="G368" s="28"/>
      <c r="H368" s="35" t="str">
        <f aca="false">IF(OR($F368="",$G368=""),"",ROUND($F368*(1+$G368/30),1))</f>
        <v/>
      </c>
      <c r="I368" s="35" t="str">
        <f aca="false">IF(OR($F368="",$G368="",$G368&gt;36),"",ROUND($F368/(1.0278-0.0278*$G368),1))</f>
        <v/>
      </c>
      <c r="J368" s="30" t="str">
        <f aca="false">IF($E368="Direto (1RM real)",$F368,IF(OR($H368="",$I368=""),"",ROUND(AVERAGE($H368,$I368),1)))</f>
        <v/>
      </c>
      <c r="K368" s="35" t="str">
        <f aca="false">IF($C368="","",IFERROR(INDEX(Cadastro!$P$8:$P$47,MATCH($C368,Cadastro!$B$8:$B$47,0)),""))</f>
        <v/>
      </c>
      <c r="L368" s="36" t="str">
        <f aca="false">IFERROR($J368/$K368,"")</f>
        <v/>
      </c>
      <c r="M368" s="45"/>
      <c r="N368" s="27"/>
    </row>
    <row r="369" customFormat="false" ht="15" hidden="false" customHeight="false" outlineLevel="0" collapsed="false">
      <c r="A369" s="29"/>
      <c r="B369" s="33" t="n">
        <f aca="false">IF($A369="",0,INT(($A369-Macrociclo!$C$11)/7)+1)</f>
        <v>0</v>
      </c>
      <c r="C369" s="27"/>
      <c r="D369" s="27"/>
      <c r="E369" s="27"/>
      <c r="F369" s="32"/>
      <c r="G369" s="28"/>
      <c r="H369" s="35" t="str">
        <f aca="false">IF(OR($F369="",$G369=""),"",ROUND($F369*(1+$G369/30),1))</f>
        <v/>
      </c>
      <c r="I369" s="35" t="str">
        <f aca="false">IF(OR($F369="",$G369="",$G369&gt;36),"",ROUND($F369/(1.0278-0.0278*$G369),1))</f>
        <v/>
      </c>
      <c r="J369" s="30" t="str">
        <f aca="false">IF($E369="Direto (1RM real)",$F369,IF(OR($H369="",$I369=""),"",ROUND(AVERAGE($H369,$I369),1)))</f>
        <v/>
      </c>
      <c r="K369" s="35" t="str">
        <f aca="false">IF($C369="","",IFERROR(INDEX(Cadastro!$P$8:$P$47,MATCH($C369,Cadastro!$B$8:$B$47,0)),""))</f>
        <v/>
      </c>
      <c r="L369" s="36" t="str">
        <f aca="false">IFERROR($J369/$K369,"")</f>
        <v/>
      </c>
      <c r="M369" s="45"/>
      <c r="N369" s="27"/>
    </row>
    <row r="370" customFormat="false" ht="15" hidden="false" customHeight="false" outlineLevel="0" collapsed="false">
      <c r="A370" s="29"/>
      <c r="B370" s="33" t="n">
        <f aca="false">IF($A370="",0,INT(($A370-Macrociclo!$C$11)/7)+1)</f>
        <v>0</v>
      </c>
      <c r="C370" s="27"/>
      <c r="D370" s="27"/>
      <c r="E370" s="27"/>
      <c r="F370" s="32"/>
      <c r="G370" s="28"/>
      <c r="H370" s="35" t="str">
        <f aca="false">IF(OR($F370="",$G370=""),"",ROUND($F370*(1+$G370/30),1))</f>
        <v/>
      </c>
      <c r="I370" s="35" t="str">
        <f aca="false">IF(OR($F370="",$G370="",$G370&gt;36),"",ROUND($F370/(1.0278-0.0278*$G370),1))</f>
        <v/>
      </c>
      <c r="J370" s="30" t="str">
        <f aca="false">IF($E370="Direto (1RM real)",$F370,IF(OR($H370="",$I370=""),"",ROUND(AVERAGE($H370,$I370),1)))</f>
        <v/>
      </c>
      <c r="K370" s="35" t="str">
        <f aca="false">IF($C370="","",IFERROR(INDEX(Cadastro!$P$8:$P$47,MATCH($C370,Cadastro!$B$8:$B$47,0)),""))</f>
        <v/>
      </c>
      <c r="L370" s="36" t="str">
        <f aca="false">IFERROR($J370/$K370,"")</f>
        <v/>
      </c>
      <c r="M370" s="45"/>
      <c r="N370" s="27"/>
    </row>
    <row r="371" customFormat="false" ht="15" hidden="false" customHeight="false" outlineLevel="0" collapsed="false">
      <c r="A371" s="29"/>
      <c r="B371" s="33" t="n">
        <f aca="false">IF($A371="",0,INT(($A371-Macrociclo!$C$11)/7)+1)</f>
        <v>0</v>
      </c>
      <c r="C371" s="27"/>
      <c r="D371" s="27"/>
      <c r="E371" s="27"/>
      <c r="F371" s="32"/>
      <c r="G371" s="28"/>
      <c r="H371" s="35" t="str">
        <f aca="false">IF(OR($F371="",$G371=""),"",ROUND($F371*(1+$G371/30),1))</f>
        <v/>
      </c>
      <c r="I371" s="35" t="str">
        <f aca="false">IF(OR($F371="",$G371="",$G371&gt;36),"",ROUND($F371/(1.0278-0.0278*$G371),1))</f>
        <v/>
      </c>
      <c r="J371" s="30" t="str">
        <f aca="false">IF($E371="Direto (1RM real)",$F371,IF(OR($H371="",$I371=""),"",ROUND(AVERAGE($H371,$I371),1)))</f>
        <v/>
      </c>
      <c r="K371" s="35" t="str">
        <f aca="false">IF($C371="","",IFERROR(INDEX(Cadastro!$P$8:$P$47,MATCH($C371,Cadastro!$B$8:$B$47,0)),""))</f>
        <v/>
      </c>
      <c r="L371" s="36" t="str">
        <f aca="false">IFERROR($J371/$K371,"")</f>
        <v/>
      </c>
      <c r="M371" s="45"/>
      <c r="N371" s="27"/>
    </row>
    <row r="372" customFormat="false" ht="15" hidden="false" customHeight="false" outlineLevel="0" collapsed="false">
      <c r="A372" s="29"/>
      <c r="B372" s="33" t="n">
        <f aca="false">IF($A372="",0,INT(($A372-Macrociclo!$C$11)/7)+1)</f>
        <v>0</v>
      </c>
      <c r="C372" s="27"/>
      <c r="D372" s="27"/>
      <c r="E372" s="27"/>
      <c r="F372" s="32"/>
      <c r="G372" s="28"/>
      <c r="H372" s="35" t="str">
        <f aca="false">IF(OR($F372="",$G372=""),"",ROUND($F372*(1+$G372/30),1))</f>
        <v/>
      </c>
      <c r="I372" s="35" t="str">
        <f aca="false">IF(OR($F372="",$G372="",$G372&gt;36),"",ROUND($F372/(1.0278-0.0278*$G372),1))</f>
        <v/>
      </c>
      <c r="J372" s="30" t="str">
        <f aca="false">IF($E372="Direto (1RM real)",$F372,IF(OR($H372="",$I372=""),"",ROUND(AVERAGE($H372,$I372),1)))</f>
        <v/>
      </c>
      <c r="K372" s="35" t="str">
        <f aca="false">IF($C372="","",IFERROR(INDEX(Cadastro!$P$8:$P$47,MATCH($C372,Cadastro!$B$8:$B$47,0)),""))</f>
        <v/>
      </c>
      <c r="L372" s="36" t="str">
        <f aca="false">IFERROR($J372/$K372,"")</f>
        <v/>
      </c>
      <c r="M372" s="45"/>
      <c r="N372" s="27"/>
    </row>
    <row r="373" customFormat="false" ht="15" hidden="false" customHeight="false" outlineLevel="0" collapsed="false">
      <c r="A373" s="29"/>
      <c r="B373" s="33" t="n">
        <f aca="false">IF($A373="",0,INT(($A373-Macrociclo!$C$11)/7)+1)</f>
        <v>0</v>
      </c>
      <c r="C373" s="27"/>
      <c r="D373" s="27"/>
      <c r="E373" s="27"/>
      <c r="F373" s="32"/>
      <c r="G373" s="28"/>
      <c r="H373" s="35" t="str">
        <f aca="false">IF(OR($F373="",$G373=""),"",ROUND($F373*(1+$G373/30),1))</f>
        <v/>
      </c>
      <c r="I373" s="35" t="str">
        <f aca="false">IF(OR($F373="",$G373="",$G373&gt;36),"",ROUND($F373/(1.0278-0.0278*$G373),1))</f>
        <v/>
      </c>
      <c r="J373" s="30" t="str">
        <f aca="false">IF($E373="Direto (1RM real)",$F373,IF(OR($H373="",$I373=""),"",ROUND(AVERAGE($H373,$I373),1)))</f>
        <v/>
      </c>
      <c r="K373" s="35" t="str">
        <f aca="false">IF($C373="","",IFERROR(INDEX(Cadastro!$P$8:$P$47,MATCH($C373,Cadastro!$B$8:$B$47,0)),""))</f>
        <v/>
      </c>
      <c r="L373" s="36" t="str">
        <f aca="false">IFERROR($J373/$K373,"")</f>
        <v/>
      </c>
      <c r="M373" s="45"/>
      <c r="N373" s="27"/>
    </row>
    <row r="374" customFormat="false" ht="15" hidden="false" customHeight="false" outlineLevel="0" collapsed="false">
      <c r="A374" s="29"/>
      <c r="B374" s="33" t="n">
        <f aca="false">IF($A374="",0,INT(($A374-Macrociclo!$C$11)/7)+1)</f>
        <v>0</v>
      </c>
      <c r="C374" s="27"/>
      <c r="D374" s="27"/>
      <c r="E374" s="27"/>
      <c r="F374" s="32"/>
      <c r="G374" s="28"/>
      <c r="H374" s="35" t="str">
        <f aca="false">IF(OR($F374="",$G374=""),"",ROUND($F374*(1+$G374/30),1))</f>
        <v/>
      </c>
      <c r="I374" s="35" t="str">
        <f aca="false">IF(OR($F374="",$G374="",$G374&gt;36),"",ROUND($F374/(1.0278-0.0278*$G374),1))</f>
        <v/>
      </c>
      <c r="J374" s="30" t="str">
        <f aca="false">IF($E374="Direto (1RM real)",$F374,IF(OR($H374="",$I374=""),"",ROUND(AVERAGE($H374,$I374),1)))</f>
        <v/>
      </c>
      <c r="K374" s="35" t="str">
        <f aca="false">IF($C374="","",IFERROR(INDEX(Cadastro!$P$8:$P$47,MATCH($C374,Cadastro!$B$8:$B$47,0)),""))</f>
        <v/>
      </c>
      <c r="L374" s="36" t="str">
        <f aca="false">IFERROR($J374/$K374,"")</f>
        <v/>
      </c>
      <c r="M374" s="45"/>
      <c r="N374" s="27"/>
    </row>
    <row r="375" customFormat="false" ht="15" hidden="false" customHeight="false" outlineLevel="0" collapsed="false">
      <c r="A375" s="29"/>
      <c r="B375" s="33" t="n">
        <f aca="false">IF($A375="",0,INT(($A375-Macrociclo!$C$11)/7)+1)</f>
        <v>0</v>
      </c>
      <c r="C375" s="27"/>
      <c r="D375" s="27"/>
      <c r="E375" s="27"/>
      <c r="F375" s="32"/>
      <c r="G375" s="28"/>
      <c r="H375" s="35" t="str">
        <f aca="false">IF(OR($F375="",$G375=""),"",ROUND($F375*(1+$G375/30),1))</f>
        <v/>
      </c>
      <c r="I375" s="35" t="str">
        <f aca="false">IF(OR($F375="",$G375="",$G375&gt;36),"",ROUND($F375/(1.0278-0.0278*$G375),1))</f>
        <v/>
      </c>
      <c r="J375" s="30" t="str">
        <f aca="false">IF($E375="Direto (1RM real)",$F375,IF(OR($H375="",$I375=""),"",ROUND(AVERAGE($H375,$I375),1)))</f>
        <v/>
      </c>
      <c r="K375" s="35" t="str">
        <f aca="false">IF($C375="","",IFERROR(INDEX(Cadastro!$P$8:$P$47,MATCH($C375,Cadastro!$B$8:$B$47,0)),""))</f>
        <v/>
      </c>
      <c r="L375" s="36" t="str">
        <f aca="false">IFERROR($J375/$K375,"")</f>
        <v/>
      </c>
      <c r="M375" s="45"/>
      <c r="N375" s="27"/>
    </row>
    <row r="376" customFormat="false" ht="15" hidden="false" customHeight="false" outlineLevel="0" collapsed="false">
      <c r="A376" s="29"/>
      <c r="B376" s="33" t="n">
        <f aca="false">IF($A376="",0,INT(($A376-Macrociclo!$C$11)/7)+1)</f>
        <v>0</v>
      </c>
      <c r="C376" s="27"/>
      <c r="D376" s="27"/>
      <c r="E376" s="27"/>
      <c r="F376" s="32"/>
      <c r="G376" s="28"/>
      <c r="H376" s="35" t="str">
        <f aca="false">IF(OR($F376="",$G376=""),"",ROUND($F376*(1+$G376/30),1))</f>
        <v/>
      </c>
      <c r="I376" s="35" t="str">
        <f aca="false">IF(OR($F376="",$G376="",$G376&gt;36),"",ROUND($F376/(1.0278-0.0278*$G376),1))</f>
        <v/>
      </c>
      <c r="J376" s="30" t="str">
        <f aca="false">IF($E376="Direto (1RM real)",$F376,IF(OR($H376="",$I376=""),"",ROUND(AVERAGE($H376,$I376),1)))</f>
        <v/>
      </c>
      <c r="K376" s="35" t="str">
        <f aca="false">IF($C376="","",IFERROR(INDEX(Cadastro!$P$8:$P$47,MATCH($C376,Cadastro!$B$8:$B$47,0)),""))</f>
        <v/>
      </c>
      <c r="L376" s="36" t="str">
        <f aca="false">IFERROR($J376/$K376,"")</f>
        <v/>
      </c>
      <c r="M376" s="45"/>
      <c r="N376" s="27"/>
    </row>
    <row r="377" customFormat="false" ht="15" hidden="false" customHeight="false" outlineLevel="0" collapsed="false">
      <c r="A377" s="29"/>
      <c r="B377" s="33" t="n">
        <f aca="false">IF($A377="",0,INT(($A377-Macrociclo!$C$11)/7)+1)</f>
        <v>0</v>
      </c>
      <c r="C377" s="27"/>
      <c r="D377" s="27"/>
      <c r="E377" s="27"/>
      <c r="F377" s="32"/>
      <c r="G377" s="28"/>
      <c r="H377" s="35" t="str">
        <f aca="false">IF(OR($F377="",$G377=""),"",ROUND($F377*(1+$G377/30),1))</f>
        <v/>
      </c>
      <c r="I377" s="35" t="str">
        <f aca="false">IF(OR($F377="",$G377="",$G377&gt;36),"",ROUND($F377/(1.0278-0.0278*$G377),1))</f>
        <v/>
      </c>
      <c r="J377" s="30" t="str">
        <f aca="false">IF($E377="Direto (1RM real)",$F377,IF(OR($H377="",$I377=""),"",ROUND(AVERAGE($H377,$I377),1)))</f>
        <v/>
      </c>
      <c r="K377" s="35" t="str">
        <f aca="false">IF($C377="","",IFERROR(INDEX(Cadastro!$P$8:$P$47,MATCH($C377,Cadastro!$B$8:$B$47,0)),""))</f>
        <v/>
      </c>
      <c r="L377" s="36" t="str">
        <f aca="false">IFERROR($J377/$K377,"")</f>
        <v/>
      </c>
      <c r="M377" s="45"/>
      <c r="N377" s="27"/>
    </row>
    <row r="378" customFormat="false" ht="15" hidden="false" customHeight="false" outlineLevel="0" collapsed="false">
      <c r="A378" s="29"/>
      <c r="B378" s="33" t="n">
        <f aca="false">IF($A378="",0,INT(($A378-Macrociclo!$C$11)/7)+1)</f>
        <v>0</v>
      </c>
      <c r="C378" s="27"/>
      <c r="D378" s="27"/>
      <c r="E378" s="27"/>
      <c r="F378" s="32"/>
      <c r="G378" s="28"/>
      <c r="H378" s="35" t="str">
        <f aca="false">IF(OR($F378="",$G378=""),"",ROUND($F378*(1+$G378/30),1))</f>
        <v/>
      </c>
      <c r="I378" s="35" t="str">
        <f aca="false">IF(OR($F378="",$G378="",$G378&gt;36),"",ROUND($F378/(1.0278-0.0278*$G378),1))</f>
        <v/>
      </c>
      <c r="J378" s="30" t="str">
        <f aca="false">IF($E378="Direto (1RM real)",$F378,IF(OR($H378="",$I378=""),"",ROUND(AVERAGE($H378,$I378),1)))</f>
        <v/>
      </c>
      <c r="K378" s="35" t="str">
        <f aca="false">IF($C378="","",IFERROR(INDEX(Cadastro!$P$8:$P$47,MATCH($C378,Cadastro!$B$8:$B$47,0)),""))</f>
        <v/>
      </c>
      <c r="L378" s="36" t="str">
        <f aca="false">IFERROR($J378/$K378,"")</f>
        <v/>
      </c>
      <c r="M378" s="45"/>
      <c r="N378" s="27"/>
    </row>
    <row r="379" customFormat="false" ht="15" hidden="false" customHeight="false" outlineLevel="0" collapsed="false">
      <c r="A379" s="29"/>
      <c r="B379" s="33" t="n">
        <f aca="false">IF($A379="",0,INT(($A379-Macrociclo!$C$11)/7)+1)</f>
        <v>0</v>
      </c>
      <c r="C379" s="27"/>
      <c r="D379" s="27"/>
      <c r="E379" s="27"/>
      <c r="F379" s="32"/>
      <c r="G379" s="28"/>
      <c r="H379" s="35" t="str">
        <f aca="false">IF(OR($F379="",$G379=""),"",ROUND($F379*(1+$G379/30),1))</f>
        <v/>
      </c>
      <c r="I379" s="35" t="str">
        <f aca="false">IF(OR($F379="",$G379="",$G379&gt;36),"",ROUND($F379/(1.0278-0.0278*$G379),1))</f>
        <v/>
      </c>
      <c r="J379" s="30" t="str">
        <f aca="false">IF($E379="Direto (1RM real)",$F379,IF(OR($H379="",$I379=""),"",ROUND(AVERAGE($H379,$I379),1)))</f>
        <v/>
      </c>
      <c r="K379" s="35" t="str">
        <f aca="false">IF($C379="","",IFERROR(INDEX(Cadastro!$P$8:$P$47,MATCH($C379,Cadastro!$B$8:$B$47,0)),""))</f>
        <v/>
      </c>
      <c r="L379" s="36" t="str">
        <f aca="false">IFERROR($J379/$K379,"")</f>
        <v/>
      </c>
      <c r="M379" s="45"/>
      <c r="N379" s="27"/>
    </row>
    <row r="380" customFormat="false" ht="15" hidden="false" customHeight="false" outlineLevel="0" collapsed="false">
      <c r="A380" s="29"/>
      <c r="B380" s="33" t="n">
        <f aca="false">IF($A380="",0,INT(($A380-Macrociclo!$C$11)/7)+1)</f>
        <v>0</v>
      </c>
      <c r="C380" s="27"/>
      <c r="D380" s="27"/>
      <c r="E380" s="27"/>
      <c r="F380" s="32"/>
      <c r="G380" s="28"/>
      <c r="H380" s="35" t="str">
        <f aca="false">IF(OR($F380="",$G380=""),"",ROUND($F380*(1+$G380/30),1))</f>
        <v/>
      </c>
      <c r="I380" s="35" t="str">
        <f aca="false">IF(OR($F380="",$G380="",$G380&gt;36),"",ROUND($F380/(1.0278-0.0278*$G380),1))</f>
        <v/>
      </c>
      <c r="J380" s="30" t="str">
        <f aca="false">IF($E380="Direto (1RM real)",$F380,IF(OR($H380="",$I380=""),"",ROUND(AVERAGE($H380,$I380),1)))</f>
        <v/>
      </c>
      <c r="K380" s="35" t="str">
        <f aca="false">IF($C380="","",IFERROR(INDEX(Cadastro!$P$8:$P$47,MATCH($C380,Cadastro!$B$8:$B$47,0)),""))</f>
        <v/>
      </c>
      <c r="L380" s="36" t="str">
        <f aca="false">IFERROR($J380/$K380,"")</f>
        <v/>
      </c>
      <c r="M380" s="45"/>
      <c r="N380" s="27"/>
    </row>
    <row r="381" customFormat="false" ht="15" hidden="false" customHeight="false" outlineLevel="0" collapsed="false">
      <c r="A381" s="29"/>
      <c r="B381" s="33" t="n">
        <f aca="false">IF($A381="",0,INT(($A381-Macrociclo!$C$11)/7)+1)</f>
        <v>0</v>
      </c>
      <c r="C381" s="27"/>
      <c r="D381" s="27"/>
      <c r="E381" s="27"/>
      <c r="F381" s="32"/>
      <c r="G381" s="28"/>
      <c r="H381" s="35" t="str">
        <f aca="false">IF(OR($F381="",$G381=""),"",ROUND($F381*(1+$G381/30),1))</f>
        <v/>
      </c>
      <c r="I381" s="35" t="str">
        <f aca="false">IF(OR($F381="",$G381="",$G381&gt;36),"",ROUND($F381/(1.0278-0.0278*$G381),1))</f>
        <v/>
      </c>
      <c r="J381" s="30" t="str">
        <f aca="false">IF($E381="Direto (1RM real)",$F381,IF(OR($H381="",$I381=""),"",ROUND(AVERAGE($H381,$I381),1)))</f>
        <v/>
      </c>
      <c r="K381" s="35" t="str">
        <f aca="false">IF($C381="","",IFERROR(INDEX(Cadastro!$P$8:$P$47,MATCH($C381,Cadastro!$B$8:$B$47,0)),""))</f>
        <v/>
      </c>
      <c r="L381" s="36" t="str">
        <f aca="false">IFERROR($J381/$K381,"")</f>
        <v/>
      </c>
      <c r="M381" s="45"/>
      <c r="N381" s="27"/>
    </row>
    <row r="382" customFormat="false" ht="15" hidden="false" customHeight="false" outlineLevel="0" collapsed="false">
      <c r="A382" s="29"/>
      <c r="B382" s="33" t="n">
        <f aca="false">IF($A382="",0,INT(($A382-Macrociclo!$C$11)/7)+1)</f>
        <v>0</v>
      </c>
      <c r="C382" s="27"/>
      <c r="D382" s="27"/>
      <c r="E382" s="27"/>
      <c r="F382" s="32"/>
      <c r="G382" s="28"/>
      <c r="H382" s="35" t="str">
        <f aca="false">IF(OR($F382="",$G382=""),"",ROUND($F382*(1+$G382/30),1))</f>
        <v/>
      </c>
      <c r="I382" s="35" t="str">
        <f aca="false">IF(OR($F382="",$G382="",$G382&gt;36),"",ROUND($F382/(1.0278-0.0278*$G382),1))</f>
        <v/>
      </c>
      <c r="J382" s="30" t="str">
        <f aca="false">IF($E382="Direto (1RM real)",$F382,IF(OR($H382="",$I382=""),"",ROUND(AVERAGE($H382,$I382),1)))</f>
        <v/>
      </c>
      <c r="K382" s="35" t="str">
        <f aca="false">IF($C382="","",IFERROR(INDEX(Cadastro!$P$8:$P$47,MATCH($C382,Cadastro!$B$8:$B$47,0)),""))</f>
        <v/>
      </c>
      <c r="L382" s="36" t="str">
        <f aca="false">IFERROR($J382/$K382,"")</f>
        <v/>
      </c>
      <c r="M382" s="45"/>
      <c r="N382" s="27"/>
    </row>
    <row r="383" customFormat="false" ht="15" hidden="false" customHeight="false" outlineLevel="0" collapsed="false">
      <c r="A383" s="29"/>
      <c r="B383" s="33" t="n">
        <f aca="false">IF($A383="",0,INT(($A383-Macrociclo!$C$11)/7)+1)</f>
        <v>0</v>
      </c>
      <c r="C383" s="27"/>
      <c r="D383" s="27"/>
      <c r="E383" s="27"/>
      <c r="F383" s="32"/>
      <c r="G383" s="28"/>
      <c r="H383" s="35" t="str">
        <f aca="false">IF(OR($F383="",$G383=""),"",ROUND($F383*(1+$G383/30),1))</f>
        <v/>
      </c>
      <c r="I383" s="35" t="str">
        <f aca="false">IF(OR($F383="",$G383="",$G383&gt;36),"",ROUND($F383/(1.0278-0.0278*$G383),1))</f>
        <v/>
      </c>
      <c r="J383" s="30" t="str">
        <f aca="false">IF($E383="Direto (1RM real)",$F383,IF(OR($H383="",$I383=""),"",ROUND(AVERAGE($H383,$I383),1)))</f>
        <v/>
      </c>
      <c r="K383" s="35" t="str">
        <f aca="false">IF($C383="","",IFERROR(INDEX(Cadastro!$P$8:$P$47,MATCH($C383,Cadastro!$B$8:$B$47,0)),""))</f>
        <v/>
      </c>
      <c r="L383" s="36" t="str">
        <f aca="false">IFERROR($J383/$K383,"")</f>
        <v/>
      </c>
      <c r="M383" s="45"/>
      <c r="N383" s="27"/>
    </row>
    <row r="384" customFormat="false" ht="15" hidden="false" customHeight="false" outlineLevel="0" collapsed="false">
      <c r="A384" s="29"/>
      <c r="B384" s="33" t="n">
        <f aca="false">IF($A384="",0,INT(($A384-Macrociclo!$C$11)/7)+1)</f>
        <v>0</v>
      </c>
      <c r="C384" s="27"/>
      <c r="D384" s="27"/>
      <c r="E384" s="27"/>
      <c r="F384" s="32"/>
      <c r="G384" s="28"/>
      <c r="H384" s="35" t="str">
        <f aca="false">IF(OR($F384="",$G384=""),"",ROUND($F384*(1+$G384/30),1))</f>
        <v/>
      </c>
      <c r="I384" s="35" t="str">
        <f aca="false">IF(OR($F384="",$G384="",$G384&gt;36),"",ROUND($F384/(1.0278-0.0278*$G384),1))</f>
        <v/>
      </c>
      <c r="J384" s="30" t="str">
        <f aca="false">IF($E384="Direto (1RM real)",$F384,IF(OR($H384="",$I384=""),"",ROUND(AVERAGE($H384,$I384),1)))</f>
        <v/>
      </c>
      <c r="K384" s="35" t="str">
        <f aca="false">IF($C384="","",IFERROR(INDEX(Cadastro!$P$8:$P$47,MATCH($C384,Cadastro!$B$8:$B$47,0)),""))</f>
        <v/>
      </c>
      <c r="L384" s="36" t="str">
        <f aca="false">IFERROR($J384/$K384,"")</f>
        <v/>
      </c>
      <c r="M384" s="45"/>
      <c r="N384" s="27"/>
    </row>
    <row r="385" customFormat="false" ht="15" hidden="false" customHeight="false" outlineLevel="0" collapsed="false">
      <c r="A385" s="29"/>
      <c r="B385" s="33" t="n">
        <f aca="false">IF($A385="",0,INT(($A385-Macrociclo!$C$11)/7)+1)</f>
        <v>0</v>
      </c>
      <c r="C385" s="27"/>
      <c r="D385" s="27"/>
      <c r="E385" s="27"/>
      <c r="F385" s="32"/>
      <c r="G385" s="28"/>
      <c r="H385" s="35" t="str">
        <f aca="false">IF(OR($F385="",$G385=""),"",ROUND($F385*(1+$G385/30),1))</f>
        <v/>
      </c>
      <c r="I385" s="35" t="str">
        <f aca="false">IF(OR($F385="",$G385="",$G385&gt;36),"",ROUND($F385/(1.0278-0.0278*$G385),1))</f>
        <v/>
      </c>
      <c r="J385" s="30" t="str">
        <f aca="false">IF($E385="Direto (1RM real)",$F385,IF(OR($H385="",$I385=""),"",ROUND(AVERAGE($H385,$I385),1)))</f>
        <v/>
      </c>
      <c r="K385" s="35" t="str">
        <f aca="false">IF($C385="","",IFERROR(INDEX(Cadastro!$P$8:$P$47,MATCH($C385,Cadastro!$B$8:$B$47,0)),""))</f>
        <v/>
      </c>
      <c r="L385" s="36" t="str">
        <f aca="false">IFERROR($J385/$K385,"")</f>
        <v/>
      </c>
      <c r="M385" s="45"/>
      <c r="N385" s="27"/>
    </row>
    <row r="386" customFormat="false" ht="15" hidden="false" customHeight="false" outlineLevel="0" collapsed="false">
      <c r="A386" s="29"/>
      <c r="B386" s="33" t="n">
        <f aca="false">IF($A386="",0,INT(($A386-Macrociclo!$C$11)/7)+1)</f>
        <v>0</v>
      </c>
      <c r="C386" s="27"/>
      <c r="D386" s="27"/>
      <c r="E386" s="27"/>
      <c r="F386" s="32"/>
      <c r="G386" s="28"/>
      <c r="H386" s="35" t="str">
        <f aca="false">IF(OR($F386="",$G386=""),"",ROUND($F386*(1+$G386/30),1))</f>
        <v/>
      </c>
      <c r="I386" s="35" t="str">
        <f aca="false">IF(OR($F386="",$G386="",$G386&gt;36),"",ROUND($F386/(1.0278-0.0278*$G386),1))</f>
        <v/>
      </c>
      <c r="J386" s="30" t="str">
        <f aca="false">IF($E386="Direto (1RM real)",$F386,IF(OR($H386="",$I386=""),"",ROUND(AVERAGE($H386,$I386),1)))</f>
        <v/>
      </c>
      <c r="K386" s="35" t="str">
        <f aca="false">IF($C386="","",IFERROR(INDEX(Cadastro!$P$8:$P$47,MATCH($C386,Cadastro!$B$8:$B$47,0)),""))</f>
        <v/>
      </c>
      <c r="L386" s="36" t="str">
        <f aca="false">IFERROR($J386/$K386,"")</f>
        <v/>
      </c>
      <c r="M386" s="45"/>
      <c r="N386" s="27"/>
    </row>
    <row r="387" customFormat="false" ht="15" hidden="false" customHeight="false" outlineLevel="0" collapsed="false">
      <c r="A387" s="29"/>
      <c r="B387" s="33" t="n">
        <f aca="false">IF($A387="",0,INT(($A387-Macrociclo!$C$11)/7)+1)</f>
        <v>0</v>
      </c>
      <c r="C387" s="27"/>
      <c r="D387" s="27"/>
      <c r="E387" s="27"/>
      <c r="F387" s="32"/>
      <c r="G387" s="28"/>
      <c r="H387" s="35" t="str">
        <f aca="false">IF(OR($F387="",$G387=""),"",ROUND($F387*(1+$G387/30),1))</f>
        <v/>
      </c>
      <c r="I387" s="35" t="str">
        <f aca="false">IF(OR($F387="",$G387="",$G387&gt;36),"",ROUND($F387/(1.0278-0.0278*$G387),1))</f>
        <v/>
      </c>
      <c r="J387" s="30" t="str">
        <f aca="false">IF($E387="Direto (1RM real)",$F387,IF(OR($H387="",$I387=""),"",ROUND(AVERAGE($H387,$I387),1)))</f>
        <v/>
      </c>
      <c r="K387" s="35" t="str">
        <f aca="false">IF($C387="","",IFERROR(INDEX(Cadastro!$P$8:$P$47,MATCH($C387,Cadastro!$B$8:$B$47,0)),""))</f>
        <v/>
      </c>
      <c r="L387" s="36" t="str">
        <f aca="false">IFERROR($J387/$K387,"")</f>
        <v/>
      </c>
      <c r="M387" s="45"/>
      <c r="N387" s="27"/>
    </row>
    <row r="388" customFormat="false" ht="15" hidden="false" customHeight="false" outlineLevel="0" collapsed="false">
      <c r="A388" s="29"/>
      <c r="B388" s="33" t="n">
        <f aca="false">IF($A388="",0,INT(($A388-Macrociclo!$C$11)/7)+1)</f>
        <v>0</v>
      </c>
      <c r="C388" s="27"/>
      <c r="D388" s="27"/>
      <c r="E388" s="27"/>
      <c r="F388" s="32"/>
      <c r="G388" s="28"/>
      <c r="H388" s="35" t="str">
        <f aca="false">IF(OR($F388="",$G388=""),"",ROUND($F388*(1+$G388/30),1))</f>
        <v/>
      </c>
      <c r="I388" s="35" t="str">
        <f aca="false">IF(OR($F388="",$G388="",$G388&gt;36),"",ROUND($F388/(1.0278-0.0278*$G388),1))</f>
        <v/>
      </c>
      <c r="J388" s="30" t="str">
        <f aca="false">IF($E388="Direto (1RM real)",$F388,IF(OR($H388="",$I388=""),"",ROUND(AVERAGE($H388,$I388),1)))</f>
        <v/>
      </c>
      <c r="K388" s="35" t="str">
        <f aca="false">IF($C388="","",IFERROR(INDEX(Cadastro!$P$8:$P$47,MATCH($C388,Cadastro!$B$8:$B$47,0)),""))</f>
        <v/>
      </c>
      <c r="L388" s="36" t="str">
        <f aca="false">IFERROR($J388/$K388,"")</f>
        <v/>
      </c>
      <c r="M388" s="45"/>
      <c r="N388" s="27"/>
    </row>
    <row r="389" customFormat="false" ht="15" hidden="false" customHeight="false" outlineLevel="0" collapsed="false">
      <c r="A389" s="29"/>
      <c r="B389" s="33" t="n">
        <f aca="false">IF($A389="",0,INT(($A389-Macrociclo!$C$11)/7)+1)</f>
        <v>0</v>
      </c>
      <c r="C389" s="27"/>
      <c r="D389" s="27"/>
      <c r="E389" s="27"/>
      <c r="F389" s="32"/>
      <c r="G389" s="28"/>
      <c r="H389" s="35" t="str">
        <f aca="false">IF(OR($F389="",$G389=""),"",ROUND($F389*(1+$G389/30),1))</f>
        <v/>
      </c>
      <c r="I389" s="35" t="str">
        <f aca="false">IF(OR($F389="",$G389="",$G389&gt;36),"",ROUND($F389/(1.0278-0.0278*$G389),1))</f>
        <v/>
      </c>
      <c r="J389" s="30" t="str">
        <f aca="false">IF($E389="Direto (1RM real)",$F389,IF(OR($H389="",$I389=""),"",ROUND(AVERAGE($H389,$I389),1)))</f>
        <v/>
      </c>
      <c r="K389" s="35" t="str">
        <f aca="false">IF($C389="","",IFERROR(INDEX(Cadastro!$P$8:$P$47,MATCH($C389,Cadastro!$B$8:$B$47,0)),""))</f>
        <v/>
      </c>
      <c r="L389" s="36" t="str">
        <f aca="false">IFERROR($J389/$K389,"")</f>
        <v/>
      </c>
      <c r="M389" s="45"/>
      <c r="N389" s="27"/>
    </row>
    <row r="390" customFormat="false" ht="15" hidden="false" customHeight="false" outlineLevel="0" collapsed="false">
      <c r="A390" s="29"/>
      <c r="B390" s="33" t="n">
        <f aca="false">IF($A390="",0,INT(($A390-Macrociclo!$C$11)/7)+1)</f>
        <v>0</v>
      </c>
      <c r="C390" s="27"/>
      <c r="D390" s="27"/>
      <c r="E390" s="27"/>
      <c r="F390" s="32"/>
      <c r="G390" s="28"/>
      <c r="H390" s="35" t="str">
        <f aca="false">IF(OR($F390="",$G390=""),"",ROUND($F390*(1+$G390/30),1))</f>
        <v/>
      </c>
      <c r="I390" s="35" t="str">
        <f aca="false">IF(OR($F390="",$G390="",$G390&gt;36),"",ROUND($F390/(1.0278-0.0278*$G390),1))</f>
        <v/>
      </c>
      <c r="J390" s="30" t="str">
        <f aca="false">IF($E390="Direto (1RM real)",$F390,IF(OR($H390="",$I390=""),"",ROUND(AVERAGE($H390,$I390),1)))</f>
        <v/>
      </c>
      <c r="K390" s="35" t="str">
        <f aca="false">IF($C390="","",IFERROR(INDEX(Cadastro!$P$8:$P$47,MATCH($C390,Cadastro!$B$8:$B$47,0)),""))</f>
        <v/>
      </c>
      <c r="L390" s="36" t="str">
        <f aca="false">IFERROR($J390/$K390,"")</f>
        <v/>
      </c>
      <c r="M390" s="45"/>
      <c r="N390" s="27"/>
    </row>
    <row r="391" customFormat="false" ht="15" hidden="false" customHeight="false" outlineLevel="0" collapsed="false">
      <c r="A391" s="29"/>
      <c r="B391" s="33" t="n">
        <f aca="false">IF($A391="",0,INT(($A391-Macrociclo!$C$11)/7)+1)</f>
        <v>0</v>
      </c>
      <c r="C391" s="27"/>
      <c r="D391" s="27"/>
      <c r="E391" s="27"/>
      <c r="F391" s="32"/>
      <c r="G391" s="28"/>
      <c r="H391" s="35" t="str">
        <f aca="false">IF(OR($F391="",$G391=""),"",ROUND($F391*(1+$G391/30),1))</f>
        <v/>
      </c>
      <c r="I391" s="35" t="str">
        <f aca="false">IF(OR($F391="",$G391="",$G391&gt;36),"",ROUND($F391/(1.0278-0.0278*$G391),1))</f>
        <v/>
      </c>
      <c r="J391" s="30" t="str">
        <f aca="false">IF($E391="Direto (1RM real)",$F391,IF(OR($H391="",$I391=""),"",ROUND(AVERAGE($H391,$I391),1)))</f>
        <v/>
      </c>
      <c r="K391" s="35" t="str">
        <f aca="false">IF($C391="","",IFERROR(INDEX(Cadastro!$P$8:$P$47,MATCH($C391,Cadastro!$B$8:$B$47,0)),""))</f>
        <v/>
      </c>
      <c r="L391" s="36" t="str">
        <f aca="false">IFERROR($J391/$K391,"")</f>
        <v/>
      </c>
      <c r="M391" s="45"/>
      <c r="N391" s="27"/>
    </row>
    <row r="392" customFormat="false" ht="15" hidden="false" customHeight="false" outlineLevel="0" collapsed="false">
      <c r="A392" s="29"/>
      <c r="B392" s="33" t="n">
        <f aca="false">IF($A392="",0,INT(($A392-Macrociclo!$C$11)/7)+1)</f>
        <v>0</v>
      </c>
      <c r="C392" s="27"/>
      <c r="D392" s="27"/>
      <c r="E392" s="27"/>
      <c r="F392" s="32"/>
      <c r="G392" s="28"/>
      <c r="H392" s="35" t="str">
        <f aca="false">IF(OR($F392="",$G392=""),"",ROUND($F392*(1+$G392/30),1))</f>
        <v/>
      </c>
      <c r="I392" s="35" t="str">
        <f aca="false">IF(OR($F392="",$G392="",$G392&gt;36),"",ROUND($F392/(1.0278-0.0278*$G392),1))</f>
        <v/>
      </c>
      <c r="J392" s="30" t="str">
        <f aca="false">IF($E392="Direto (1RM real)",$F392,IF(OR($H392="",$I392=""),"",ROUND(AVERAGE($H392,$I392),1)))</f>
        <v/>
      </c>
      <c r="K392" s="35" t="str">
        <f aca="false">IF($C392="","",IFERROR(INDEX(Cadastro!$P$8:$P$47,MATCH($C392,Cadastro!$B$8:$B$47,0)),""))</f>
        <v/>
      </c>
      <c r="L392" s="36" t="str">
        <f aca="false">IFERROR($J392/$K392,"")</f>
        <v/>
      </c>
      <c r="M392" s="45"/>
      <c r="N392" s="27"/>
    </row>
    <row r="393" customFormat="false" ht="15" hidden="false" customHeight="false" outlineLevel="0" collapsed="false">
      <c r="A393" s="29"/>
      <c r="B393" s="33" t="n">
        <f aca="false">IF($A393="",0,INT(($A393-Macrociclo!$C$11)/7)+1)</f>
        <v>0</v>
      </c>
      <c r="C393" s="27"/>
      <c r="D393" s="27"/>
      <c r="E393" s="27"/>
      <c r="F393" s="32"/>
      <c r="G393" s="28"/>
      <c r="H393" s="35" t="str">
        <f aca="false">IF(OR($F393="",$G393=""),"",ROUND($F393*(1+$G393/30),1))</f>
        <v/>
      </c>
      <c r="I393" s="35" t="str">
        <f aca="false">IF(OR($F393="",$G393="",$G393&gt;36),"",ROUND($F393/(1.0278-0.0278*$G393),1))</f>
        <v/>
      </c>
      <c r="J393" s="30" t="str">
        <f aca="false">IF($E393="Direto (1RM real)",$F393,IF(OR($H393="",$I393=""),"",ROUND(AVERAGE($H393,$I393),1)))</f>
        <v/>
      </c>
      <c r="K393" s="35" t="str">
        <f aca="false">IF($C393="","",IFERROR(INDEX(Cadastro!$P$8:$P$47,MATCH($C393,Cadastro!$B$8:$B$47,0)),""))</f>
        <v/>
      </c>
      <c r="L393" s="36" t="str">
        <f aca="false">IFERROR($J393/$K393,"")</f>
        <v/>
      </c>
      <c r="M393" s="45"/>
      <c r="N393" s="27"/>
    </row>
    <row r="394" customFormat="false" ht="15" hidden="false" customHeight="false" outlineLevel="0" collapsed="false">
      <c r="A394" s="29"/>
      <c r="B394" s="33" t="n">
        <f aca="false">IF($A394="",0,INT(($A394-Macrociclo!$C$11)/7)+1)</f>
        <v>0</v>
      </c>
      <c r="C394" s="27"/>
      <c r="D394" s="27"/>
      <c r="E394" s="27"/>
      <c r="F394" s="32"/>
      <c r="G394" s="28"/>
      <c r="H394" s="35" t="str">
        <f aca="false">IF(OR($F394="",$G394=""),"",ROUND($F394*(1+$G394/30),1))</f>
        <v/>
      </c>
      <c r="I394" s="35" t="str">
        <f aca="false">IF(OR($F394="",$G394="",$G394&gt;36),"",ROUND($F394/(1.0278-0.0278*$G394),1))</f>
        <v/>
      </c>
      <c r="J394" s="30" t="str">
        <f aca="false">IF($E394="Direto (1RM real)",$F394,IF(OR($H394="",$I394=""),"",ROUND(AVERAGE($H394,$I394),1)))</f>
        <v/>
      </c>
      <c r="K394" s="35" t="str">
        <f aca="false">IF($C394="","",IFERROR(INDEX(Cadastro!$P$8:$P$47,MATCH($C394,Cadastro!$B$8:$B$47,0)),""))</f>
        <v/>
      </c>
      <c r="L394" s="36" t="str">
        <f aca="false">IFERROR($J394/$K394,"")</f>
        <v/>
      </c>
      <c r="M394" s="45"/>
      <c r="N394" s="27"/>
    </row>
    <row r="395" customFormat="false" ht="15" hidden="false" customHeight="false" outlineLevel="0" collapsed="false">
      <c r="A395" s="29"/>
      <c r="B395" s="33" t="n">
        <f aca="false">IF($A395="",0,INT(($A395-Macrociclo!$C$11)/7)+1)</f>
        <v>0</v>
      </c>
      <c r="C395" s="27"/>
      <c r="D395" s="27"/>
      <c r="E395" s="27"/>
      <c r="F395" s="32"/>
      <c r="G395" s="28"/>
      <c r="H395" s="35" t="str">
        <f aca="false">IF(OR($F395="",$G395=""),"",ROUND($F395*(1+$G395/30),1))</f>
        <v/>
      </c>
      <c r="I395" s="35" t="str">
        <f aca="false">IF(OR($F395="",$G395="",$G395&gt;36),"",ROUND($F395/(1.0278-0.0278*$G395),1))</f>
        <v/>
      </c>
      <c r="J395" s="30" t="str">
        <f aca="false">IF($E395="Direto (1RM real)",$F395,IF(OR($H395="",$I395=""),"",ROUND(AVERAGE($H395,$I395),1)))</f>
        <v/>
      </c>
      <c r="K395" s="35" t="str">
        <f aca="false">IF($C395="","",IFERROR(INDEX(Cadastro!$P$8:$P$47,MATCH($C395,Cadastro!$B$8:$B$47,0)),""))</f>
        <v/>
      </c>
      <c r="L395" s="36" t="str">
        <f aca="false">IFERROR($J395/$K395,"")</f>
        <v/>
      </c>
      <c r="M395" s="45"/>
      <c r="N395" s="27"/>
    </row>
    <row r="396" customFormat="false" ht="15" hidden="false" customHeight="false" outlineLevel="0" collapsed="false">
      <c r="A396" s="29"/>
      <c r="B396" s="33" t="n">
        <f aca="false">IF($A396="",0,INT(($A396-Macrociclo!$C$11)/7)+1)</f>
        <v>0</v>
      </c>
      <c r="C396" s="27"/>
      <c r="D396" s="27"/>
      <c r="E396" s="27"/>
      <c r="F396" s="32"/>
      <c r="G396" s="28"/>
      <c r="H396" s="35" t="str">
        <f aca="false">IF(OR($F396="",$G396=""),"",ROUND($F396*(1+$G396/30),1))</f>
        <v/>
      </c>
      <c r="I396" s="35" t="str">
        <f aca="false">IF(OR($F396="",$G396="",$G396&gt;36),"",ROUND($F396/(1.0278-0.0278*$G396),1))</f>
        <v/>
      </c>
      <c r="J396" s="30" t="str">
        <f aca="false">IF($E396="Direto (1RM real)",$F396,IF(OR($H396="",$I396=""),"",ROUND(AVERAGE($H396,$I396),1)))</f>
        <v/>
      </c>
      <c r="K396" s="35" t="str">
        <f aca="false">IF($C396="","",IFERROR(INDEX(Cadastro!$P$8:$P$47,MATCH($C396,Cadastro!$B$8:$B$47,0)),""))</f>
        <v/>
      </c>
      <c r="L396" s="36" t="str">
        <f aca="false">IFERROR($J396/$K396,"")</f>
        <v/>
      </c>
      <c r="M396" s="45"/>
      <c r="N396" s="27"/>
    </row>
    <row r="397" customFormat="false" ht="15" hidden="false" customHeight="false" outlineLevel="0" collapsed="false">
      <c r="A397" s="29"/>
      <c r="B397" s="33" t="n">
        <f aca="false">IF($A397="",0,INT(($A397-Macrociclo!$C$11)/7)+1)</f>
        <v>0</v>
      </c>
      <c r="C397" s="27"/>
      <c r="D397" s="27"/>
      <c r="E397" s="27"/>
      <c r="F397" s="32"/>
      <c r="G397" s="28"/>
      <c r="H397" s="35" t="str">
        <f aca="false">IF(OR($F397="",$G397=""),"",ROUND($F397*(1+$G397/30),1))</f>
        <v/>
      </c>
      <c r="I397" s="35" t="str">
        <f aca="false">IF(OR($F397="",$G397="",$G397&gt;36),"",ROUND($F397/(1.0278-0.0278*$G397),1))</f>
        <v/>
      </c>
      <c r="J397" s="30" t="str">
        <f aca="false">IF($E397="Direto (1RM real)",$F397,IF(OR($H397="",$I397=""),"",ROUND(AVERAGE($H397,$I397),1)))</f>
        <v/>
      </c>
      <c r="K397" s="35" t="str">
        <f aca="false">IF($C397="","",IFERROR(INDEX(Cadastro!$P$8:$P$47,MATCH($C397,Cadastro!$B$8:$B$47,0)),""))</f>
        <v/>
      </c>
      <c r="L397" s="36" t="str">
        <f aca="false">IFERROR($J397/$K397,"")</f>
        <v/>
      </c>
      <c r="M397" s="45"/>
      <c r="N397" s="27"/>
    </row>
    <row r="398" customFormat="false" ht="15" hidden="false" customHeight="false" outlineLevel="0" collapsed="false">
      <c r="A398" s="29"/>
      <c r="B398" s="33" t="n">
        <f aca="false">IF($A398="",0,INT(($A398-Macrociclo!$C$11)/7)+1)</f>
        <v>0</v>
      </c>
      <c r="C398" s="27"/>
      <c r="D398" s="27"/>
      <c r="E398" s="27"/>
      <c r="F398" s="32"/>
      <c r="G398" s="28"/>
      <c r="H398" s="35" t="str">
        <f aca="false">IF(OR($F398="",$G398=""),"",ROUND($F398*(1+$G398/30),1))</f>
        <v/>
      </c>
      <c r="I398" s="35" t="str">
        <f aca="false">IF(OR($F398="",$G398="",$G398&gt;36),"",ROUND($F398/(1.0278-0.0278*$G398),1))</f>
        <v/>
      </c>
      <c r="J398" s="30" t="str">
        <f aca="false">IF($E398="Direto (1RM real)",$F398,IF(OR($H398="",$I398=""),"",ROUND(AVERAGE($H398,$I398),1)))</f>
        <v/>
      </c>
      <c r="K398" s="35" t="str">
        <f aca="false">IF($C398="","",IFERROR(INDEX(Cadastro!$P$8:$P$47,MATCH($C398,Cadastro!$B$8:$B$47,0)),""))</f>
        <v/>
      </c>
      <c r="L398" s="36" t="str">
        <f aca="false">IFERROR($J398/$K398,"")</f>
        <v/>
      </c>
      <c r="M398" s="45"/>
      <c r="N398" s="27"/>
    </row>
    <row r="399" customFormat="false" ht="15" hidden="false" customHeight="false" outlineLevel="0" collapsed="false">
      <c r="A399" s="29"/>
      <c r="B399" s="33" t="n">
        <f aca="false">IF($A399="",0,INT(($A399-Macrociclo!$C$11)/7)+1)</f>
        <v>0</v>
      </c>
      <c r="C399" s="27"/>
      <c r="D399" s="27"/>
      <c r="E399" s="27"/>
      <c r="F399" s="32"/>
      <c r="G399" s="28"/>
      <c r="H399" s="35" t="str">
        <f aca="false">IF(OR($F399="",$G399=""),"",ROUND($F399*(1+$G399/30),1))</f>
        <v/>
      </c>
      <c r="I399" s="35" t="str">
        <f aca="false">IF(OR($F399="",$G399="",$G399&gt;36),"",ROUND($F399/(1.0278-0.0278*$G399),1))</f>
        <v/>
      </c>
      <c r="J399" s="30" t="str">
        <f aca="false">IF($E399="Direto (1RM real)",$F399,IF(OR($H399="",$I399=""),"",ROUND(AVERAGE($H399,$I399),1)))</f>
        <v/>
      </c>
      <c r="K399" s="35" t="str">
        <f aca="false">IF($C399="","",IFERROR(INDEX(Cadastro!$P$8:$P$47,MATCH($C399,Cadastro!$B$8:$B$47,0)),""))</f>
        <v/>
      </c>
      <c r="L399" s="36" t="str">
        <f aca="false">IFERROR($J399/$K399,"")</f>
        <v/>
      </c>
      <c r="M399" s="45"/>
      <c r="N399" s="27"/>
    </row>
    <row r="400" customFormat="false" ht="15" hidden="false" customHeight="false" outlineLevel="0" collapsed="false">
      <c r="A400" s="29"/>
      <c r="B400" s="33" t="n">
        <f aca="false">IF($A400="",0,INT(($A400-Macrociclo!$C$11)/7)+1)</f>
        <v>0</v>
      </c>
      <c r="C400" s="27"/>
      <c r="D400" s="27"/>
      <c r="E400" s="27"/>
      <c r="F400" s="32"/>
      <c r="G400" s="28"/>
      <c r="H400" s="35" t="str">
        <f aca="false">IF(OR($F400="",$G400=""),"",ROUND($F400*(1+$G400/30),1))</f>
        <v/>
      </c>
      <c r="I400" s="35" t="str">
        <f aca="false">IF(OR($F400="",$G400="",$G400&gt;36),"",ROUND($F400/(1.0278-0.0278*$G400),1))</f>
        <v/>
      </c>
      <c r="J400" s="30" t="str">
        <f aca="false">IF($E400="Direto (1RM real)",$F400,IF(OR($H400="",$I400=""),"",ROUND(AVERAGE($H400,$I400),1)))</f>
        <v/>
      </c>
      <c r="K400" s="35" t="str">
        <f aca="false">IF($C400="","",IFERROR(INDEX(Cadastro!$P$8:$P$47,MATCH($C400,Cadastro!$B$8:$B$47,0)),""))</f>
        <v/>
      </c>
      <c r="L400" s="36" t="str">
        <f aca="false">IFERROR($J400/$K400,"")</f>
        <v/>
      </c>
      <c r="M400" s="45"/>
      <c r="N400" s="27"/>
    </row>
    <row r="401" customFormat="false" ht="15" hidden="false" customHeight="false" outlineLevel="0" collapsed="false">
      <c r="A401" s="29"/>
      <c r="B401" s="33" t="n">
        <f aca="false">IF($A401="",0,INT(($A401-Macrociclo!$C$11)/7)+1)</f>
        <v>0</v>
      </c>
      <c r="C401" s="27"/>
      <c r="D401" s="27"/>
      <c r="E401" s="27"/>
      <c r="F401" s="32"/>
      <c r="G401" s="28"/>
      <c r="H401" s="35" t="str">
        <f aca="false">IF(OR($F401="",$G401=""),"",ROUND($F401*(1+$G401/30),1))</f>
        <v/>
      </c>
      <c r="I401" s="35" t="str">
        <f aca="false">IF(OR($F401="",$G401="",$G401&gt;36),"",ROUND($F401/(1.0278-0.0278*$G401),1))</f>
        <v/>
      </c>
      <c r="J401" s="30" t="str">
        <f aca="false">IF($E401="Direto (1RM real)",$F401,IF(OR($H401="",$I401=""),"",ROUND(AVERAGE($H401,$I401),1)))</f>
        <v/>
      </c>
      <c r="K401" s="35" t="str">
        <f aca="false">IF($C401="","",IFERROR(INDEX(Cadastro!$P$8:$P$47,MATCH($C401,Cadastro!$B$8:$B$47,0)),""))</f>
        <v/>
      </c>
      <c r="L401" s="36" t="str">
        <f aca="false">IFERROR($J401/$K401,"")</f>
        <v/>
      </c>
      <c r="M401" s="45"/>
      <c r="N401" s="27"/>
    </row>
    <row r="402" customFormat="false" ht="15" hidden="false" customHeight="false" outlineLevel="0" collapsed="false">
      <c r="A402" s="29"/>
      <c r="B402" s="33" t="n">
        <f aca="false">IF($A402="",0,INT(($A402-Macrociclo!$C$11)/7)+1)</f>
        <v>0</v>
      </c>
      <c r="C402" s="27"/>
      <c r="D402" s="27"/>
      <c r="E402" s="27"/>
      <c r="F402" s="32"/>
      <c r="G402" s="28"/>
      <c r="H402" s="35" t="str">
        <f aca="false">IF(OR($F402="",$G402=""),"",ROUND($F402*(1+$G402/30),1))</f>
        <v/>
      </c>
      <c r="I402" s="35" t="str">
        <f aca="false">IF(OR($F402="",$G402="",$G402&gt;36),"",ROUND($F402/(1.0278-0.0278*$G402),1))</f>
        <v/>
      </c>
      <c r="J402" s="30" t="str">
        <f aca="false">IF($E402="Direto (1RM real)",$F402,IF(OR($H402="",$I402=""),"",ROUND(AVERAGE($H402,$I402),1)))</f>
        <v/>
      </c>
      <c r="K402" s="35" t="str">
        <f aca="false">IF($C402="","",IFERROR(INDEX(Cadastro!$P$8:$P$47,MATCH($C402,Cadastro!$B$8:$B$47,0)),""))</f>
        <v/>
      </c>
      <c r="L402" s="36" t="str">
        <f aca="false">IFERROR($J402/$K402,"")</f>
        <v/>
      </c>
      <c r="M402" s="45"/>
      <c r="N402" s="27"/>
    </row>
    <row r="403" customFormat="false" ht="15" hidden="false" customHeight="false" outlineLevel="0" collapsed="false">
      <c r="A403" s="29"/>
      <c r="B403" s="33" t="n">
        <f aca="false">IF($A403="",0,INT(($A403-Macrociclo!$C$11)/7)+1)</f>
        <v>0</v>
      </c>
      <c r="C403" s="27"/>
      <c r="D403" s="27"/>
      <c r="E403" s="27"/>
      <c r="F403" s="32"/>
      <c r="G403" s="28"/>
      <c r="H403" s="35" t="str">
        <f aca="false">IF(OR($F403="",$G403=""),"",ROUND($F403*(1+$G403/30),1))</f>
        <v/>
      </c>
      <c r="I403" s="35" t="str">
        <f aca="false">IF(OR($F403="",$G403="",$G403&gt;36),"",ROUND($F403/(1.0278-0.0278*$G403),1))</f>
        <v/>
      </c>
      <c r="J403" s="30" t="str">
        <f aca="false">IF($E403="Direto (1RM real)",$F403,IF(OR($H403="",$I403=""),"",ROUND(AVERAGE($H403,$I403),1)))</f>
        <v/>
      </c>
      <c r="K403" s="35" t="str">
        <f aca="false">IF($C403="","",IFERROR(INDEX(Cadastro!$P$8:$P$47,MATCH($C403,Cadastro!$B$8:$B$47,0)),""))</f>
        <v/>
      </c>
      <c r="L403" s="36" t="str">
        <f aca="false">IFERROR($J403/$K403,"")</f>
        <v/>
      </c>
      <c r="M403" s="45"/>
      <c r="N403" s="27"/>
    </row>
    <row r="404" customFormat="false" ht="15" hidden="false" customHeight="false" outlineLevel="0" collapsed="false">
      <c r="A404" s="29"/>
      <c r="B404" s="33" t="n">
        <f aca="false">IF($A404="",0,INT(($A404-Macrociclo!$C$11)/7)+1)</f>
        <v>0</v>
      </c>
      <c r="C404" s="27"/>
      <c r="D404" s="27"/>
      <c r="E404" s="27"/>
      <c r="F404" s="32"/>
      <c r="G404" s="28"/>
      <c r="H404" s="35" t="str">
        <f aca="false">IF(OR($F404="",$G404=""),"",ROUND($F404*(1+$G404/30),1))</f>
        <v/>
      </c>
      <c r="I404" s="35" t="str">
        <f aca="false">IF(OR($F404="",$G404="",$G404&gt;36),"",ROUND($F404/(1.0278-0.0278*$G404),1))</f>
        <v/>
      </c>
      <c r="J404" s="30" t="str">
        <f aca="false">IF($E404="Direto (1RM real)",$F404,IF(OR($H404="",$I404=""),"",ROUND(AVERAGE($H404,$I404),1)))</f>
        <v/>
      </c>
      <c r="K404" s="35" t="str">
        <f aca="false">IF($C404="","",IFERROR(INDEX(Cadastro!$P$8:$P$47,MATCH($C404,Cadastro!$B$8:$B$47,0)),""))</f>
        <v/>
      </c>
      <c r="L404" s="36" t="str">
        <f aca="false">IFERROR($J404/$K404,"")</f>
        <v/>
      </c>
      <c r="M404" s="45"/>
      <c r="N404" s="27"/>
    </row>
    <row r="405" customFormat="false" ht="15" hidden="false" customHeight="false" outlineLevel="0" collapsed="false">
      <c r="A405" s="29"/>
      <c r="B405" s="33" t="n">
        <f aca="false">IF($A405="",0,INT(($A405-Macrociclo!$C$11)/7)+1)</f>
        <v>0</v>
      </c>
      <c r="C405" s="27"/>
      <c r="D405" s="27"/>
      <c r="E405" s="27"/>
      <c r="F405" s="32"/>
      <c r="G405" s="28"/>
      <c r="H405" s="35" t="str">
        <f aca="false">IF(OR($F405="",$G405=""),"",ROUND($F405*(1+$G405/30),1))</f>
        <v/>
      </c>
      <c r="I405" s="35" t="str">
        <f aca="false">IF(OR($F405="",$G405="",$G405&gt;36),"",ROUND($F405/(1.0278-0.0278*$G405),1))</f>
        <v/>
      </c>
      <c r="J405" s="30" t="str">
        <f aca="false">IF($E405="Direto (1RM real)",$F405,IF(OR($H405="",$I405=""),"",ROUND(AVERAGE($H405,$I405),1)))</f>
        <v/>
      </c>
      <c r="K405" s="35" t="str">
        <f aca="false">IF($C405="","",IFERROR(INDEX(Cadastro!$P$8:$P$47,MATCH($C405,Cadastro!$B$8:$B$47,0)),""))</f>
        <v/>
      </c>
      <c r="L405" s="36" t="str">
        <f aca="false">IFERROR($J405/$K405,"")</f>
        <v/>
      </c>
      <c r="M405" s="45"/>
      <c r="N405" s="27"/>
    </row>
    <row r="406" customFormat="false" ht="15" hidden="false" customHeight="false" outlineLevel="0" collapsed="false">
      <c r="A406" s="29"/>
      <c r="B406" s="33" t="n">
        <f aca="false">IF($A406="",0,INT(($A406-Macrociclo!$C$11)/7)+1)</f>
        <v>0</v>
      </c>
      <c r="C406" s="27"/>
      <c r="D406" s="27"/>
      <c r="E406" s="27"/>
      <c r="F406" s="32"/>
      <c r="G406" s="28"/>
      <c r="H406" s="35" t="str">
        <f aca="false">IF(OR($F406="",$G406=""),"",ROUND($F406*(1+$G406/30),1))</f>
        <v/>
      </c>
      <c r="I406" s="35" t="str">
        <f aca="false">IF(OR($F406="",$G406="",$G406&gt;36),"",ROUND($F406/(1.0278-0.0278*$G406),1))</f>
        <v/>
      </c>
      <c r="J406" s="30" t="str">
        <f aca="false">IF($E406="Direto (1RM real)",$F406,IF(OR($H406="",$I406=""),"",ROUND(AVERAGE($H406,$I406),1)))</f>
        <v/>
      </c>
      <c r="K406" s="35" t="str">
        <f aca="false">IF($C406="","",IFERROR(INDEX(Cadastro!$P$8:$P$47,MATCH($C406,Cadastro!$B$8:$B$47,0)),""))</f>
        <v/>
      </c>
      <c r="L406" s="36" t="str">
        <f aca="false">IFERROR($J406/$K406,"")</f>
        <v/>
      </c>
      <c r="M406" s="45"/>
      <c r="N406" s="27"/>
    </row>
    <row r="407" customFormat="false" ht="15" hidden="false" customHeight="false" outlineLevel="0" collapsed="false">
      <c r="A407" s="29"/>
      <c r="B407" s="33" t="n">
        <f aca="false">IF($A407="",0,INT(($A407-Macrociclo!$C$11)/7)+1)</f>
        <v>0</v>
      </c>
      <c r="C407" s="27"/>
      <c r="D407" s="27"/>
      <c r="E407" s="27"/>
      <c r="F407" s="32"/>
      <c r="G407" s="28"/>
      <c r="H407" s="35" t="str">
        <f aca="false">IF(OR($F407="",$G407=""),"",ROUND($F407*(1+$G407/30),1))</f>
        <v/>
      </c>
      <c r="I407" s="35" t="str">
        <f aca="false">IF(OR($F407="",$G407="",$G407&gt;36),"",ROUND($F407/(1.0278-0.0278*$G407),1))</f>
        <v/>
      </c>
      <c r="J407" s="30" t="str">
        <f aca="false">IF($E407="Direto (1RM real)",$F407,IF(OR($H407="",$I407=""),"",ROUND(AVERAGE($H407,$I407),1)))</f>
        <v/>
      </c>
      <c r="K407" s="35" t="str">
        <f aca="false">IF($C407="","",IFERROR(INDEX(Cadastro!$P$8:$P$47,MATCH($C407,Cadastro!$B$8:$B$47,0)),""))</f>
        <v/>
      </c>
      <c r="L407" s="36" t="str">
        <f aca="false">IFERROR($J407/$K407,"")</f>
        <v/>
      </c>
      <c r="M407" s="45"/>
      <c r="N407" s="27"/>
    </row>
  </sheetData>
  <mergeCells count="4">
    <mergeCell ref="A1:Z1"/>
    <mergeCell ref="A2:Z2"/>
    <mergeCell ref="A4:N4"/>
    <mergeCell ref="P5:Y5"/>
  </mergeCells>
  <conditionalFormatting sqref="Q8:Q47">
    <cfRule type="colorScale" priority="2">
      <colorScale>
        <cfvo type="min" val="0"/>
        <cfvo type="max" val="0"/>
        <color rgb="FFFFFFFF"/>
        <color rgb="FFA9D08E"/>
      </colorScale>
    </cfRule>
  </conditionalFormatting>
  <dataValidations count="3">
    <dataValidation allowBlank="true" errorStyle="stop" operator="between" showDropDown="false" showErrorMessage="false" showInputMessage="false" sqref="C8:C407" type="list">
      <formula1>Cadastro!$B$8:$B$47</formula1>
      <formula2>0</formula2>
    </dataValidation>
    <dataValidation allowBlank="true" errorStyle="stop" operator="between" showDropDown="false" showErrorMessage="false" showInputMessage="false" sqref="E8:E407" type="list">
      <formula1>Listas!$AG$5:$AG$16</formula1>
      <formula2>0</formula2>
    </dataValidation>
    <dataValidation allowBlank="true" errorStyle="stop" operator="between" showDropDown="false" showErrorMessage="false" showInputMessage="false" sqref="D8:D407" type="list">
      <formula1>'Força 1RM'!$Q$7:$Y$7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true"/>
  </sheetPr>
  <dimension ref="A1:M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26"/>
  </cols>
  <sheetData>
    <row r="1" customFormat="false" ht="30" hidden="false" customHeight="true" outlineLevel="0" collapsed="false">
      <c r="A1" s="1" t="s">
        <v>1206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1207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5.5" hidden="false" customHeight="true" outlineLevel="0" collapsed="false">
      <c r="A4" s="17" t="s">
        <v>1208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7" customFormat="false" ht="31.5" hidden="false" customHeight="true" outlineLevel="0" collapsed="false">
      <c r="A7" s="25" t="s">
        <v>294</v>
      </c>
      <c r="B7" s="25" t="s">
        <v>922</v>
      </c>
      <c r="C7" s="25" t="s">
        <v>295</v>
      </c>
      <c r="D7" s="25" t="s">
        <v>1046</v>
      </c>
      <c r="E7" s="25" t="s">
        <v>1048</v>
      </c>
      <c r="F7" s="25" t="s">
        <v>1209</v>
      </c>
      <c r="G7" s="25" t="s">
        <v>1210</v>
      </c>
      <c r="H7" s="25" t="s">
        <v>1211</v>
      </c>
      <c r="I7" s="25" t="s">
        <v>1212</v>
      </c>
      <c r="J7" s="25" t="s">
        <v>61</v>
      </c>
      <c r="K7" s="25" t="s">
        <v>1213</v>
      </c>
      <c r="L7" s="25" t="s">
        <v>1214</v>
      </c>
      <c r="M7" s="25" t="s">
        <v>162</v>
      </c>
    </row>
    <row r="8" customFormat="false" ht="15" hidden="false" customHeight="false" outlineLevel="0" collapsed="false">
      <c r="A8" s="29" t="n">
        <v>46244</v>
      </c>
      <c r="B8" s="40" t="n">
        <f aca="false">IF($A8="",0,INT(($A8-Macrociclo!$C$11)/7)+1)</f>
        <v>32</v>
      </c>
      <c r="C8" s="27" t="s">
        <v>164</v>
      </c>
      <c r="D8" s="27" t="s">
        <v>1052</v>
      </c>
      <c r="E8" s="28" t="n">
        <v>75</v>
      </c>
      <c r="F8" s="28" t="n">
        <v>7</v>
      </c>
      <c r="G8" s="44" t="n">
        <f aca="false">IF(OR($E8="",$F8=""),0,$E8*$F8)</f>
        <v>525</v>
      </c>
      <c r="H8" s="44" t="n">
        <f aca="false">IF($A8="",0,SUMIFS($G$8:$G$1007,$C$8:$C$1007,$C8,$A$8:$A$1007,"&gt;="&amp;$A8-6,$A$8:$A$1007,"&lt;="&amp;$A8))</f>
        <v>1005</v>
      </c>
      <c r="I8" s="44" t="n">
        <f aca="false">IF($A8="",0,SUMIFS($G$8:$G$1007,$C$8:$C$1007,$C8,$A$8:$A$1007,"&gt;="&amp;$A8-27,$A$8:$A$1007,"&lt;="&amp;$A8)/4)</f>
        <v>251.25</v>
      </c>
      <c r="J8" s="144" t="n">
        <f aca="false">IF(OR($A8="",$I8=0),0,$H8/$I8)</f>
        <v>4</v>
      </c>
      <c r="K8" s="40" t="n">
        <f aca="false">IF($A8="",0,$A8-SUMPRODUCT(MIN(($C$8:$C$1007=$C8)*$A$8:$A$1007+($C$8:$C$1007&lt;&gt;$C8)*100000))+1)</f>
        <v>1</v>
      </c>
      <c r="L8" s="26" t="str">
        <f aca="false">IF($A8="","",IF($J8=0,"Sem registro anterior",IF($K8&lt;21,"Histórico insuficiente",IF($J8&lt;0.8,"Subcarga",IF($J8&lt;=1.3,"Zona ideal",IF($J8&lt;=1.5,"Atenção","Risco elevado"))))))</f>
        <v>Histórico insuficiente</v>
      </c>
      <c r="M8" s="27" t="s">
        <v>373</v>
      </c>
    </row>
    <row r="9" customFormat="false" ht="15" hidden="false" customHeight="false" outlineLevel="0" collapsed="false">
      <c r="A9" s="29" t="n">
        <v>46244</v>
      </c>
      <c r="B9" s="40" t="n">
        <f aca="false">IF($A9="",0,INT(($A9-Macrociclo!$C$11)/7)+1)</f>
        <v>32</v>
      </c>
      <c r="C9" s="27" t="s">
        <v>192</v>
      </c>
      <c r="D9" s="27" t="s">
        <v>1052</v>
      </c>
      <c r="E9" s="28" t="n">
        <v>75</v>
      </c>
      <c r="F9" s="28" t="n">
        <v>7</v>
      </c>
      <c r="G9" s="44" t="n">
        <f aca="false">IF(OR($E9="",$F9=""),0,$E9*$F9)</f>
        <v>525</v>
      </c>
      <c r="H9" s="44" t="n">
        <f aca="false">IF($A9="",0,SUMIFS($G$8:$G$1007,$C$8:$C$1007,$C9,$A$8:$A$1007,"&gt;="&amp;$A9-6,$A$8:$A$1007,"&lt;="&amp;$A9))</f>
        <v>1005</v>
      </c>
      <c r="I9" s="44" t="n">
        <f aca="false">IF($A9="",0,SUMIFS($G$8:$G$1007,$C$8:$C$1007,$C9,$A$8:$A$1007,"&gt;="&amp;$A9-27,$A$8:$A$1007,"&lt;="&amp;$A9)/4)</f>
        <v>251.25</v>
      </c>
      <c r="J9" s="144" t="n">
        <f aca="false">IF(OR($A9="",$I9=0),0,$H9/$I9)</f>
        <v>4</v>
      </c>
      <c r="K9" s="40" t="n">
        <f aca="false">IF($A9="",0,$A9-SUMPRODUCT(MIN(($C$8:$C$1007=$C9)*$A$8:$A$1007+($C$8:$C$1007&lt;&gt;$C9)*100000))+1)</f>
        <v>1</v>
      </c>
      <c r="L9" s="26" t="str">
        <f aca="false">IF($A9="","",IF($J9=0,"Sem registro anterior",IF($K9&lt;21,"Histórico insuficiente",IF($J9&lt;0.8,"Subcarga",IF($J9&lt;=1.3,"Zona ideal",IF($J9&lt;=1.5,"Atenção","Risco elevado"))))))</f>
        <v>Histórico insuficiente</v>
      </c>
      <c r="M9" s="27" t="s">
        <v>373</v>
      </c>
    </row>
    <row r="10" customFormat="false" ht="15" hidden="false" customHeight="false" outlineLevel="0" collapsed="false">
      <c r="A10" s="29" t="n">
        <v>46244</v>
      </c>
      <c r="B10" s="40" t="n">
        <f aca="false">IF($A10="",0,INT(($A10-Macrociclo!$C$11)/7)+1)</f>
        <v>32</v>
      </c>
      <c r="C10" s="27" t="s">
        <v>215</v>
      </c>
      <c r="D10" s="27" t="s">
        <v>1052</v>
      </c>
      <c r="E10" s="28" t="n">
        <v>80</v>
      </c>
      <c r="F10" s="28" t="n">
        <v>8</v>
      </c>
      <c r="G10" s="44" t="n">
        <f aca="false">IF(OR($E10="",$F10=""),0,$E10*$F10)</f>
        <v>640</v>
      </c>
      <c r="H10" s="44" t="n">
        <f aca="false">IF($A10="",0,SUMIFS($G$8:$G$1007,$C$8:$C$1007,$C10,$A$8:$A$1007,"&gt;="&amp;$A10-6,$A$8:$A$1007,"&lt;="&amp;$A10))</f>
        <v>1305</v>
      </c>
      <c r="I10" s="44" t="n">
        <f aca="false">IF($A10="",0,SUMIFS($G$8:$G$1007,$C$8:$C$1007,$C10,$A$8:$A$1007,"&gt;="&amp;$A10-27,$A$8:$A$1007,"&lt;="&amp;$A10)/4)</f>
        <v>326.25</v>
      </c>
      <c r="J10" s="144" t="n">
        <f aca="false">IF(OR($A10="",$I10=0),0,$H10/$I10)</f>
        <v>4</v>
      </c>
      <c r="K10" s="40" t="n">
        <f aca="false">IF($A10="",0,$A10-SUMPRODUCT(MIN(($C$8:$C$1007=$C10)*$A$8:$A$1007+($C$8:$C$1007&lt;&gt;$C10)*100000))+1)</f>
        <v>1</v>
      </c>
      <c r="L10" s="26" t="str">
        <f aca="false">IF($A10="","",IF($J10=0,"Sem registro anterior",IF($K10&lt;21,"Histórico insuficiente",IF($J10&lt;0.8,"Subcarga",IF($J10&lt;=1.3,"Zona ideal",IF($J10&lt;=1.5,"Atenção","Risco elevado"))))))</f>
        <v>Histórico insuficiente</v>
      </c>
      <c r="M10" s="27" t="s">
        <v>373</v>
      </c>
    </row>
    <row r="11" customFormat="false" ht="15" hidden="false" customHeight="false" outlineLevel="0" collapsed="false">
      <c r="A11" s="29" t="n">
        <v>46244</v>
      </c>
      <c r="B11" s="40" t="n">
        <f aca="false">IF($A11="",0,INT(($A11-Macrociclo!$C$11)/7)+1)</f>
        <v>32</v>
      </c>
      <c r="C11" s="27" t="s">
        <v>226</v>
      </c>
      <c r="D11" s="27" t="s">
        <v>1052</v>
      </c>
      <c r="E11" s="28" t="n">
        <v>75</v>
      </c>
      <c r="F11" s="28" t="n">
        <v>8</v>
      </c>
      <c r="G11" s="44" t="n">
        <f aca="false">IF(OR($E11="",$F11=""),0,$E11*$F11)</f>
        <v>600</v>
      </c>
      <c r="H11" s="44" t="n">
        <f aca="false">IF($A11="",0,SUMIFS($G$8:$G$1007,$C$8:$C$1007,$C11,$A$8:$A$1007,"&gt;="&amp;$A11-6,$A$8:$A$1007,"&lt;="&amp;$A11))</f>
        <v>1110</v>
      </c>
      <c r="I11" s="44" t="n">
        <f aca="false">IF($A11="",0,SUMIFS($G$8:$G$1007,$C$8:$C$1007,$C11,$A$8:$A$1007,"&gt;="&amp;$A11-27,$A$8:$A$1007,"&lt;="&amp;$A11)/4)</f>
        <v>277.5</v>
      </c>
      <c r="J11" s="144" t="n">
        <f aca="false">IF(OR($A11="",$I11=0),0,$H11/$I11)</f>
        <v>4</v>
      </c>
      <c r="K11" s="40" t="n">
        <f aca="false">IF($A11="",0,$A11-SUMPRODUCT(MIN(($C$8:$C$1007=$C11)*$A$8:$A$1007+($C$8:$C$1007&lt;&gt;$C11)*100000))+1)</f>
        <v>1</v>
      </c>
      <c r="L11" s="26" t="str">
        <f aca="false">IF($A11="","",IF($J11=0,"Sem registro anterior",IF($K11&lt;21,"Histórico insuficiente",IF($J11&lt;0.8,"Subcarga",IF($J11&lt;=1.3,"Zona ideal",IF($J11&lt;=1.5,"Atenção","Risco elevado"))))))</f>
        <v>Histórico insuficiente</v>
      </c>
      <c r="M11" s="27" t="s">
        <v>373</v>
      </c>
    </row>
    <row r="12" customFormat="false" ht="15" hidden="false" customHeight="false" outlineLevel="0" collapsed="false">
      <c r="A12" s="29" t="n">
        <v>46244</v>
      </c>
      <c r="B12" s="40" t="n">
        <f aca="false">IF($A12="",0,INT(($A12-Macrociclo!$C$11)/7)+1)</f>
        <v>32</v>
      </c>
      <c r="C12" s="27" t="s">
        <v>236</v>
      </c>
      <c r="D12" s="27" t="s">
        <v>1052</v>
      </c>
      <c r="E12" s="28" t="n">
        <v>65</v>
      </c>
      <c r="F12" s="28" t="n">
        <v>6</v>
      </c>
      <c r="G12" s="44" t="n">
        <f aca="false">IF(OR($E12="",$F12=""),0,$E12*$F12)</f>
        <v>390</v>
      </c>
      <c r="H12" s="44" t="n">
        <f aca="false">IF($A12="",0,SUMIFS($G$8:$G$1007,$C$8:$C$1007,$C12,$A$8:$A$1007,"&gt;="&amp;$A12-6,$A$8:$A$1007,"&lt;="&amp;$A12))</f>
        <v>930</v>
      </c>
      <c r="I12" s="44" t="n">
        <f aca="false">IF($A12="",0,SUMIFS($G$8:$G$1007,$C$8:$C$1007,$C12,$A$8:$A$1007,"&gt;="&amp;$A12-27,$A$8:$A$1007,"&lt;="&amp;$A12)/4)</f>
        <v>232.5</v>
      </c>
      <c r="J12" s="144" t="n">
        <f aca="false">IF(OR($A12="",$I12=0),0,$H12/$I12)</f>
        <v>4</v>
      </c>
      <c r="K12" s="40" t="n">
        <f aca="false">IF($A12="",0,$A12-SUMPRODUCT(MIN(($C$8:$C$1007=$C12)*$A$8:$A$1007+($C$8:$C$1007&lt;&gt;$C12)*100000))+1)</f>
        <v>1</v>
      </c>
      <c r="L12" s="26" t="str">
        <f aca="false">IF($A12="","",IF($J12=0,"Sem registro anterior",IF($K12&lt;21,"Histórico insuficiente",IF($J12&lt;0.8,"Subcarga",IF($J12&lt;=1.3,"Zona ideal",IF($J12&lt;=1.5,"Atenção","Risco elevado"))))))</f>
        <v>Histórico insuficiente</v>
      </c>
      <c r="M12" s="27" t="s">
        <v>373</v>
      </c>
    </row>
    <row r="13" customFormat="false" ht="15" hidden="false" customHeight="false" outlineLevel="0" collapsed="false">
      <c r="A13" s="29" t="n">
        <v>46244</v>
      </c>
      <c r="B13" s="40" t="n">
        <f aca="false">IF($A13="",0,INT(($A13-Macrociclo!$C$11)/7)+1)</f>
        <v>32</v>
      </c>
      <c r="C13" s="27" t="s">
        <v>244</v>
      </c>
      <c r="D13" s="27" t="s">
        <v>1052</v>
      </c>
      <c r="E13" s="28" t="n">
        <v>80</v>
      </c>
      <c r="F13" s="28" t="n">
        <v>6</v>
      </c>
      <c r="G13" s="44" t="n">
        <f aca="false">IF(OR($E13="",$F13=""),0,$E13*$F13)</f>
        <v>480</v>
      </c>
      <c r="H13" s="44" t="n">
        <f aca="false">IF($A13="",0,SUMIFS($G$8:$G$1007,$C$8:$C$1007,$C13,$A$8:$A$1007,"&gt;="&amp;$A13-6,$A$8:$A$1007,"&lt;="&amp;$A13))</f>
        <v>1110</v>
      </c>
      <c r="I13" s="44" t="n">
        <f aca="false">IF($A13="",0,SUMIFS($G$8:$G$1007,$C$8:$C$1007,$C13,$A$8:$A$1007,"&gt;="&amp;$A13-27,$A$8:$A$1007,"&lt;="&amp;$A13)/4)</f>
        <v>277.5</v>
      </c>
      <c r="J13" s="144" t="n">
        <f aca="false">IF(OR($A13="",$I13=0),0,$H13/$I13)</f>
        <v>4</v>
      </c>
      <c r="K13" s="40" t="n">
        <f aca="false">IF($A13="",0,$A13-SUMPRODUCT(MIN(($C$8:$C$1007=$C13)*$A$8:$A$1007+($C$8:$C$1007&lt;&gt;$C13)*100000))+1)</f>
        <v>1</v>
      </c>
      <c r="L13" s="26" t="str">
        <f aca="false">IF($A13="","",IF($J13=0,"Sem registro anterior",IF($K13&lt;21,"Histórico insuficiente",IF($J13&lt;0.8,"Subcarga",IF($J13&lt;=1.3,"Zona ideal",IF($J13&lt;=1.5,"Atenção","Risco elevado"))))))</f>
        <v>Histórico insuficiente</v>
      </c>
      <c r="M13" s="27" t="s">
        <v>373</v>
      </c>
    </row>
    <row r="14" customFormat="false" ht="15" hidden="false" customHeight="false" outlineLevel="0" collapsed="false">
      <c r="A14" s="29" t="n">
        <v>46244</v>
      </c>
      <c r="B14" s="40" t="n">
        <f aca="false">IF($A14="",0,INT(($A14-Macrociclo!$C$11)/7)+1)</f>
        <v>32</v>
      </c>
      <c r="C14" s="27" t="s">
        <v>253</v>
      </c>
      <c r="D14" s="27" t="s">
        <v>1052</v>
      </c>
      <c r="E14" s="28" t="n">
        <v>80</v>
      </c>
      <c r="F14" s="28" t="n">
        <v>7</v>
      </c>
      <c r="G14" s="44" t="n">
        <f aca="false">IF(OR($E14="",$F14=""),0,$E14*$F14)</f>
        <v>560</v>
      </c>
      <c r="H14" s="44" t="n">
        <f aca="false">IF($A14="",0,SUMIFS($G$8:$G$1007,$C$8:$C$1007,$C14,$A$8:$A$1007,"&gt;="&amp;$A14-6,$A$8:$A$1007,"&lt;="&amp;$A14))</f>
        <v>1100</v>
      </c>
      <c r="I14" s="44" t="n">
        <f aca="false">IF($A14="",0,SUMIFS($G$8:$G$1007,$C$8:$C$1007,$C14,$A$8:$A$1007,"&gt;="&amp;$A14-27,$A$8:$A$1007,"&lt;="&amp;$A14)/4)</f>
        <v>275</v>
      </c>
      <c r="J14" s="144" t="n">
        <f aca="false">IF(OR($A14="",$I14=0),0,$H14/$I14)</f>
        <v>4</v>
      </c>
      <c r="K14" s="40" t="n">
        <f aca="false">IF($A14="",0,$A14-SUMPRODUCT(MIN(($C$8:$C$1007=$C14)*$A$8:$A$1007+($C$8:$C$1007&lt;&gt;$C14)*100000))+1)</f>
        <v>1</v>
      </c>
      <c r="L14" s="26" t="str">
        <f aca="false">IF($A14="","",IF($J14=0,"Sem registro anterior",IF($K14&lt;21,"Histórico insuficiente",IF($J14&lt;0.8,"Subcarga",IF($J14&lt;=1.3,"Zona ideal",IF($J14&lt;=1.5,"Atenção","Risco elevado"))))))</f>
        <v>Histórico insuficiente</v>
      </c>
      <c r="M14" s="27" t="s">
        <v>373</v>
      </c>
    </row>
    <row r="15" customFormat="false" ht="15" hidden="false" customHeight="false" outlineLevel="0" collapsed="false">
      <c r="A15" s="29" t="n">
        <v>46244</v>
      </c>
      <c r="B15" s="40" t="n">
        <f aca="false">IF($A15="",0,INT(($A15-Macrociclo!$C$11)/7)+1)</f>
        <v>32</v>
      </c>
      <c r="C15" s="27" t="s">
        <v>259</v>
      </c>
      <c r="D15" s="27" t="s">
        <v>1052</v>
      </c>
      <c r="E15" s="28" t="n">
        <v>65</v>
      </c>
      <c r="F15" s="28" t="n">
        <v>7</v>
      </c>
      <c r="G15" s="44" t="n">
        <f aca="false">IF(OR($E15="",$F15=""),0,$E15*$F15)</f>
        <v>455</v>
      </c>
      <c r="H15" s="44" t="n">
        <f aca="false">IF($A15="",0,SUMIFS($G$8:$G$1007,$C$8:$C$1007,$C15,$A$8:$A$1007,"&gt;="&amp;$A15-6,$A$8:$A$1007,"&lt;="&amp;$A15))</f>
        <v>995</v>
      </c>
      <c r="I15" s="44" t="n">
        <f aca="false">IF($A15="",0,SUMIFS($G$8:$G$1007,$C$8:$C$1007,$C15,$A$8:$A$1007,"&gt;="&amp;$A15-27,$A$8:$A$1007,"&lt;="&amp;$A15)/4)</f>
        <v>248.75</v>
      </c>
      <c r="J15" s="144" t="n">
        <f aca="false">IF(OR($A15="",$I15=0),0,$H15/$I15)</f>
        <v>4</v>
      </c>
      <c r="K15" s="40" t="n">
        <f aca="false">IF($A15="",0,$A15-SUMPRODUCT(MIN(($C$8:$C$1007=$C15)*$A$8:$A$1007+($C$8:$C$1007&lt;&gt;$C15)*100000))+1)</f>
        <v>1</v>
      </c>
      <c r="L15" s="26" t="str">
        <f aca="false">IF($A15="","",IF($J15=0,"Sem registro anterior",IF($K15&lt;21,"Histórico insuficiente",IF($J15&lt;0.8,"Subcarga",IF($J15&lt;=1.3,"Zona ideal",IF($J15&lt;=1.5,"Atenção","Risco elevado"))))))</f>
        <v>Histórico insuficiente</v>
      </c>
      <c r="M15" s="27" t="s">
        <v>373</v>
      </c>
    </row>
    <row r="16" customFormat="false" ht="15" hidden="false" customHeight="false" outlineLevel="0" collapsed="false">
      <c r="A16" s="29" t="n">
        <v>46244</v>
      </c>
      <c r="B16" s="40" t="n">
        <f aca="false">IF($A16="",0,INT(($A16-Macrociclo!$C$11)/7)+1)</f>
        <v>32</v>
      </c>
      <c r="C16" s="27" t="s">
        <v>264</v>
      </c>
      <c r="D16" s="27" t="s">
        <v>1052</v>
      </c>
      <c r="E16" s="28" t="n">
        <v>70</v>
      </c>
      <c r="F16" s="28" t="n">
        <v>7</v>
      </c>
      <c r="G16" s="44" t="n">
        <f aca="false">IF(OR($E16="",$F16=""),0,$E16*$F16)</f>
        <v>490</v>
      </c>
      <c r="H16" s="44" t="n">
        <f aca="false">IF($A16="",0,SUMIFS($G$8:$G$1007,$C$8:$C$1007,$C16,$A$8:$A$1007,"&gt;="&amp;$A16-6,$A$8:$A$1007,"&lt;="&amp;$A16))</f>
        <v>1120</v>
      </c>
      <c r="I16" s="44" t="n">
        <f aca="false">IF($A16="",0,SUMIFS($G$8:$G$1007,$C$8:$C$1007,$C16,$A$8:$A$1007,"&gt;="&amp;$A16-27,$A$8:$A$1007,"&lt;="&amp;$A16)/4)</f>
        <v>280</v>
      </c>
      <c r="J16" s="144" t="n">
        <f aca="false">IF(OR($A16="",$I16=0),0,$H16/$I16)</f>
        <v>4</v>
      </c>
      <c r="K16" s="40" t="n">
        <f aca="false">IF($A16="",0,$A16-SUMPRODUCT(MIN(($C$8:$C$1007=$C16)*$A$8:$A$1007+($C$8:$C$1007&lt;&gt;$C16)*100000))+1)</f>
        <v>1</v>
      </c>
      <c r="L16" s="26" t="str">
        <f aca="false">IF($A16="","",IF($J16=0,"Sem registro anterior",IF($K16&lt;21,"Histórico insuficiente",IF($J16&lt;0.8,"Subcarga",IF($J16&lt;=1.3,"Zona ideal",IF($J16&lt;=1.5,"Atenção","Risco elevado"))))))</f>
        <v>Histórico insuficiente</v>
      </c>
      <c r="M16" s="27" t="s">
        <v>373</v>
      </c>
    </row>
    <row r="17" customFormat="false" ht="15" hidden="false" customHeight="false" outlineLevel="0" collapsed="false">
      <c r="A17" s="29" t="n">
        <v>46244</v>
      </c>
      <c r="B17" s="40" t="n">
        <f aca="false">IF($A17="",0,INT(($A17-Macrociclo!$C$11)/7)+1)</f>
        <v>32</v>
      </c>
      <c r="C17" s="27" t="s">
        <v>270</v>
      </c>
      <c r="D17" s="27" t="s">
        <v>1052</v>
      </c>
      <c r="E17" s="28" t="n">
        <v>80</v>
      </c>
      <c r="F17" s="28" t="n">
        <v>7</v>
      </c>
      <c r="G17" s="44" t="n">
        <f aca="false">IF(OR($E17="",$F17=""),0,$E17*$F17)</f>
        <v>560</v>
      </c>
      <c r="H17" s="44" t="n">
        <f aca="false">IF($A17="",0,SUMIFS($G$8:$G$1007,$C$8:$C$1007,$C17,$A$8:$A$1007,"&gt;="&amp;$A17-6,$A$8:$A$1007,"&lt;="&amp;$A17))</f>
        <v>1155</v>
      </c>
      <c r="I17" s="44" t="n">
        <f aca="false">IF($A17="",0,SUMIFS($G$8:$G$1007,$C$8:$C$1007,$C17,$A$8:$A$1007,"&gt;="&amp;$A17-27,$A$8:$A$1007,"&lt;="&amp;$A17)/4)</f>
        <v>288.75</v>
      </c>
      <c r="J17" s="144" t="n">
        <f aca="false">IF(OR($A17="",$I17=0),0,$H17/$I17)</f>
        <v>4</v>
      </c>
      <c r="K17" s="40" t="n">
        <f aca="false">IF($A17="",0,$A17-SUMPRODUCT(MIN(($C$8:$C$1007=$C17)*$A$8:$A$1007+($C$8:$C$1007&lt;&gt;$C17)*100000))+1)</f>
        <v>1</v>
      </c>
      <c r="L17" s="26" t="str">
        <f aca="false">IF($A17="","",IF($J17=0,"Sem registro anterior",IF($K17&lt;21,"Histórico insuficiente",IF($J17&lt;0.8,"Subcarga",IF($J17&lt;=1.3,"Zona ideal",IF($J17&lt;=1.5,"Atenção","Risco elevado"))))))</f>
        <v>Histórico insuficiente</v>
      </c>
      <c r="M17" s="27" t="s">
        <v>373</v>
      </c>
    </row>
    <row r="18" customFormat="false" ht="15" hidden="false" customHeight="false" outlineLevel="0" collapsed="false">
      <c r="A18" s="29" t="n">
        <v>46244</v>
      </c>
      <c r="B18" s="40" t="n">
        <f aca="false">IF($A18="",0,INT(($A18-Macrociclo!$C$11)/7)+1)</f>
        <v>32</v>
      </c>
      <c r="C18" s="27" t="s">
        <v>164</v>
      </c>
      <c r="D18" s="27" t="s">
        <v>1056</v>
      </c>
      <c r="E18" s="28" t="n">
        <v>80</v>
      </c>
      <c r="F18" s="28" t="n">
        <v>6</v>
      </c>
      <c r="G18" s="44" t="n">
        <f aca="false">IF(OR($E18="",$F18=""),0,$E18*$F18)</f>
        <v>480</v>
      </c>
      <c r="H18" s="44" t="n">
        <f aca="false">IF($A18="",0,SUMIFS($G$8:$G$1007,$C$8:$C$1007,$C18,$A$8:$A$1007,"&gt;="&amp;$A18-6,$A$8:$A$1007,"&lt;="&amp;$A18))</f>
        <v>1005</v>
      </c>
      <c r="I18" s="44" t="n">
        <f aca="false">IF($A18="",0,SUMIFS($G$8:$G$1007,$C$8:$C$1007,$C18,$A$8:$A$1007,"&gt;="&amp;$A18-27,$A$8:$A$1007,"&lt;="&amp;$A18)/4)</f>
        <v>251.25</v>
      </c>
      <c r="J18" s="144" t="n">
        <f aca="false">IF(OR($A18="",$I18=0),0,$H18/$I18)</f>
        <v>4</v>
      </c>
      <c r="K18" s="40" t="n">
        <f aca="false">IF($A18="",0,$A18-SUMPRODUCT(MIN(($C$8:$C$1007=$C18)*$A$8:$A$1007+($C$8:$C$1007&lt;&gt;$C18)*100000))+1)</f>
        <v>1</v>
      </c>
      <c r="L18" s="26" t="str">
        <f aca="false">IF($A18="","",IF($J18=0,"Sem registro anterior",IF($K18&lt;21,"Histórico insuficiente",IF($J18&lt;0.8,"Subcarga",IF($J18&lt;=1.3,"Zona ideal",IF($J18&lt;=1.5,"Atenção","Risco elevado"))))))</f>
        <v>Histórico insuficiente</v>
      </c>
      <c r="M18" s="27" t="s">
        <v>373</v>
      </c>
    </row>
    <row r="19" customFormat="false" ht="15" hidden="false" customHeight="false" outlineLevel="0" collapsed="false">
      <c r="A19" s="29" t="n">
        <v>46244</v>
      </c>
      <c r="B19" s="40" t="n">
        <f aca="false">IF($A19="",0,INT(($A19-Macrociclo!$C$11)/7)+1)</f>
        <v>32</v>
      </c>
      <c r="C19" s="27" t="s">
        <v>192</v>
      </c>
      <c r="D19" s="27" t="s">
        <v>1056</v>
      </c>
      <c r="E19" s="28" t="n">
        <v>80</v>
      </c>
      <c r="F19" s="28" t="n">
        <v>6</v>
      </c>
      <c r="G19" s="44" t="n">
        <f aca="false">IF(OR($E19="",$F19=""),0,$E19*$F19)</f>
        <v>480</v>
      </c>
      <c r="H19" s="44" t="n">
        <f aca="false">IF($A19="",0,SUMIFS($G$8:$G$1007,$C$8:$C$1007,$C19,$A$8:$A$1007,"&gt;="&amp;$A19-6,$A$8:$A$1007,"&lt;="&amp;$A19))</f>
        <v>1005</v>
      </c>
      <c r="I19" s="44" t="n">
        <f aca="false">IF($A19="",0,SUMIFS($G$8:$G$1007,$C$8:$C$1007,$C19,$A$8:$A$1007,"&gt;="&amp;$A19-27,$A$8:$A$1007,"&lt;="&amp;$A19)/4)</f>
        <v>251.25</v>
      </c>
      <c r="J19" s="144" t="n">
        <f aca="false">IF(OR($A19="",$I19=0),0,$H19/$I19)</f>
        <v>4</v>
      </c>
      <c r="K19" s="40" t="n">
        <f aca="false">IF($A19="",0,$A19-SUMPRODUCT(MIN(($C$8:$C$1007=$C19)*$A$8:$A$1007+($C$8:$C$1007&lt;&gt;$C19)*100000))+1)</f>
        <v>1</v>
      </c>
      <c r="L19" s="26" t="str">
        <f aca="false">IF($A19="","",IF($J19=0,"Sem registro anterior",IF($K19&lt;21,"Histórico insuficiente",IF($J19&lt;0.8,"Subcarga",IF($J19&lt;=1.3,"Zona ideal",IF($J19&lt;=1.5,"Atenção","Risco elevado"))))))</f>
        <v>Histórico insuficiente</v>
      </c>
      <c r="M19" s="27" t="s">
        <v>373</v>
      </c>
    </row>
    <row r="20" customFormat="false" ht="15" hidden="false" customHeight="false" outlineLevel="0" collapsed="false">
      <c r="A20" s="29" t="n">
        <v>46244</v>
      </c>
      <c r="B20" s="40" t="n">
        <f aca="false">IF($A20="",0,INT(($A20-Macrociclo!$C$11)/7)+1)</f>
        <v>32</v>
      </c>
      <c r="C20" s="27" t="s">
        <v>206</v>
      </c>
      <c r="D20" s="27" t="s">
        <v>1056</v>
      </c>
      <c r="E20" s="28" t="n">
        <v>95</v>
      </c>
      <c r="F20" s="28" t="n">
        <v>6</v>
      </c>
      <c r="G20" s="44" t="n">
        <f aca="false">IF(OR($E20="",$F20=""),0,$E20*$F20)</f>
        <v>570</v>
      </c>
      <c r="H20" s="44" t="n">
        <f aca="false">IF($A20="",0,SUMIFS($G$8:$G$1007,$C$8:$C$1007,$C20,$A$8:$A$1007,"&gt;="&amp;$A20-6,$A$8:$A$1007,"&lt;="&amp;$A20))</f>
        <v>570</v>
      </c>
      <c r="I20" s="44" t="n">
        <f aca="false">IF($A20="",0,SUMIFS($G$8:$G$1007,$C$8:$C$1007,$C20,$A$8:$A$1007,"&gt;="&amp;$A20-27,$A$8:$A$1007,"&lt;="&amp;$A20)/4)</f>
        <v>142.5</v>
      </c>
      <c r="J20" s="144" t="n">
        <f aca="false">IF(OR($A20="",$I20=0),0,$H20/$I20)</f>
        <v>4</v>
      </c>
      <c r="K20" s="40" t="n">
        <f aca="false">IF($A20="",0,$A20-SUMPRODUCT(MIN(($C$8:$C$1007=$C20)*$A$8:$A$1007+($C$8:$C$1007&lt;&gt;$C20)*100000))+1)</f>
        <v>1</v>
      </c>
      <c r="L20" s="26" t="str">
        <f aca="false">IF($A20="","",IF($J20=0,"Sem registro anterior",IF($K20&lt;21,"Histórico insuficiente",IF($J20&lt;0.8,"Subcarga",IF($J20&lt;=1.3,"Zona ideal",IF($J20&lt;=1.5,"Atenção","Risco elevado"))))))</f>
        <v>Histórico insuficiente</v>
      </c>
      <c r="M20" s="27" t="s">
        <v>373</v>
      </c>
    </row>
    <row r="21" customFormat="false" ht="15" hidden="false" customHeight="false" outlineLevel="0" collapsed="false">
      <c r="A21" s="29" t="n">
        <v>46244</v>
      </c>
      <c r="B21" s="40" t="n">
        <f aca="false">IF($A21="",0,INT(($A21-Macrociclo!$C$11)/7)+1)</f>
        <v>32</v>
      </c>
      <c r="C21" s="27" t="s">
        <v>215</v>
      </c>
      <c r="D21" s="27" t="s">
        <v>1056</v>
      </c>
      <c r="E21" s="28" t="n">
        <v>95</v>
      </c>
      <c r="F21" s="28" t="n">
        <v>7</v>
      </c>
      <c r="G21" s="44" t="n">
        <f aca="false">IF(OR($E21="",$F21=""),0,$E21*$F21)</f>
        <v>665</v>
      </c>
      <c r="H21" s="44" t="n">
        <f aca="false">IF($A21="",0,SUMIFS($G$8:$G$1007,$C$8:$C$1007,$C21,$A$8:$A$1007,"&gt;="&amp;$A21-6,$A$8:$A$1007,"&lt;="&amp;$A21))</f>
        <v>1305</v>
      </c>
      <c r="I21" s="44" t="n">
        <f aca="false">IF($A21="",0,SUMIFS($G$8:$G$1007,$C$8:$C$1007,$C21,$A$8:$A$1007,"&gt;="&amp;$A21-27,$A$8:$A$1007,"&lt;="&amp;$A21)/4)</f>
        <v>326.25</v>
      </c>
      <c r="J21" s="144" t="n">
        <f aca="false">IF(OR($A21="",$I21=0),0,$H21/$I21)</f>
        <v>4</v>
      </c>
      <c r="K21" s="40" t="n">
        <f aca="false">IF($A21="",0,$A21-SUMPRODUCT(MIN(($C$8:$C$1007=$C21)*$A$8:$A$1007+($C$8:$C$1007&lt;&gt;$C21)*100000))+1)</f>
        <v>1</v>
      </c>
      <c r="L21" s="26" t="str">
        <f aca="false">IF($A21="","",IF($J21=0,"Sem registro anterior",IF($K21&lt;21,"Histórico insuficiente",IF($J21&lt;0.8,"Subcarga",IF($J21&lt;=1.3,"Zona ideal",IF($J21&lt;=1.5,"Atenção","Risco elevado"))))))</f>
        <v>Histórico insuficiente</v>
      </c>
      <c r="M21" s="27" t="s">
        <v>373</v>
      </c>
    </row>
    <row r="22" customFormat="false" ht="15" hidden="false" customHeight="false" outlineLevel="0" collapsed="false">
      <c r="A22" s="29" t="n">
        <v>46244</v>
      </c>
      <c r="B22" s="40" t="n">
        <f aca="false">IF($A22="",0,INT(($A22-Macrociclo!$C$11)/7)+1)</f>
        <v>32</v>
      </c>
      <c r="C22" s="27" t="s">
        <v>226</v>
      </c>
      <c r="D22" s="27" t="s">
        <v>1056</v>
      </c>
      <c r="E22" s="28" t="n">
        <v>85</v>
      </c>
      <c r="F22" s="28" t="n">
        <v>6</v>
      </c>
      <c r="G22" s="44" t="n">
        <f aca="false">IF(OR($E22="",$F22=""),0,$E22*$F22)</f>
        <v>510</v>
      </c>
      <c r="H22" s="44" t="n">
        <f aca="false">IF($A22="",0,SUMIFS($G$8:$G$1007,$C$8:$C$1007,$C22,$A$8:$A$1007,"&gt;="&amp;$A22-6,$A$8:$A$1007,"&lt;="&amp;$A22))</f>
        <v>1110</v>
      </c>
      <c r="I22" s="44" t="n">
        <f aca="false">IF($A22="",0,SUMIFS($G$8:$G$1007,$C$8:$C$1007,$C22,$A$8:$A$1007,"&gt;="&amp;$A22-27,$A$8:$A$1007,"&lt;="&amp;$A22)/4)</f>
        <v>277.5</v>
      </c>
      <c r="J22" s="144" t="n">
        <f aca="false">IF(OR($A22="",$I22=0),0,$H22/$I22)</f>
        <v>4</v>
      </c>
      <c r="K22" s="40" t="n">
        <f aca="false">IF($A22="",0,$A22-SUMPRODUCT(MIN(($C$8:$C$1007=$C22)*$A$8:$A$1007+($C$8:$C$1007&lt;&gt;$C22)*100000))+1)</f>
        <v>1</v>
      </c>
      <c r="L22" s="26" t="str">
        <f aca="false">IF($A22="","",IF($J22=0,"Sem registro anterior",IF($K22&lt;21,"Histórico insuficiente",IF($J22&lt;0.8,"Subcarga",IF($J22&lt;=1.3,"Zona ideal",IF($J22&lt;=1.5,"Atenção","Risco elevado"))))))</f>
        <v>Histórico insuficiente</v>
      </c>
      <c r="M22" s="27" t="s">
        <v>373</v>
      </c>
    </row>
    <row r="23" customFormat="false" ht="15" hidden="false" customHeight="false" outlineLevel="0" collapsed="false">
      <c r="A23" s="29" t="n">
        <v>46244</v>
      </c>
      <c r="B23" s="40" t="n">
        <f aca="false">IF($A23="",0,INT(($A23-Macrociclo!$C$11)/7)+1)</f>
        <v>32</v>
      </c>
      <c r="C23" s="27" t="s">
        <v>236</v>
      </c>
      <c r="D23" s="27" t="s">
        <v>1056</v>
      </c>
      <c r="E23" s="28" t="n">
        <v>90</v>
      </c>
      <c r="F23" s="28" t="n">
        <v>6</v>
      </c>
      <c r="G23" s="44" t="n">
        <f aca="false">IF(OR($E23="",$F23=""),0,$E23*$F23)</f>
        <v>540</v>
      </c>
      <c r="H23" s="44" t="n">
        <f aca="false">IF($A23="",0,SUMIFS($G$8:$G$1007,$C$8:$C$1007,$C23,$A$8:$A$1007,"&gt;="&amp;$A23-6,$A$8:$A$1007,"&lt;="&amp;$A23))</f>
        <v>930</v>
      </c>
      <c r="I23" s="44" t="n">
        <f aca="false">IF($A23="",0,SUMIFS($G$8:$G$1007,$C$8:$C$1007,$C23,$A$8:$A$1007,"&gt;="&amp;$A23-27,$A$8:$A$1007,"&lt;="&amp;$A23)/4)</f>
        <v>232.5</v>
      </c>
      <c r="J23" s="144" t="n">
        <f aca="false">IF(OR($A23="",$I23=0),0,$H23/$I23)</f>
        <v>4</v>
      </c>
      <c r="K23" s="40" t="n">
        <f aca="false">IF($A23="",0,$A23-SUMPRODUCT(MIN(($C$8:$C$1007=$C23)*$A$8:$A$1007+($C$8:$C$1007&lt;&gt;$C23)*100000))+1)</f>
        <v>1</v>
      </c>
      <c r="L23" s="26" t="str">
        <f aca="false">IF($A23="","",IF($J23=0,"Sem registro anterior",IF($K23&lt;21,"Histórico insuficiente",IF($J23&lt;0.8,"Subcarga",IF($J23&lt;=1.3,"Zona ideal",IF($J23&lt;=1.5,"Atenção","Risco elevado"))))))</f>
        <v>Histórico insuficiente</v>
      </c>
      <c r="M23" s="27" t="s">
        <v>373</v>
      </c>
    </row>
    <row r="24" customFormat="false" ht="15" hidden="false" customHeight="false" outlineLevel="0" collapsed="false">
      <c r="A24" s="29" t="n">
        <v>46244</v>
      </c>
      <c r="B24" s="40" t="n">
        <f aca="false">IF($A24="",0,INT(($A24-Macrociclo!$C$11)/7)+1)</f>
        <v>32</v>
      </c>
      <c r="C24" s="27" t="s">
        <v>244</v>
      </c>
      <c r="D24" s="27" t="s">
        <v>1056</v>
      </c>
      <c r="E24" s="28" t="n">
        <v>90</v>
      </c>
      <c r="F24" s="28" t="n">
        <v>7</v>
      </c>
      <c r="G24" s="44" t="n">
        <f aca="false">IF(OR($E24="",$F24=""),0,$E24*$F24)</f>
        <v>630</v>
      </c>
      <c r="H24" s="44" t="n">
        <f aca="false">IF($A24="",0,SUMIFS($G$8:$G$1007,$C$8:$C$1007,$C24,$A$8:$A$1007,"&gt;="&amp;$A24-6,$A$8:$A$1007,"&lt;="&amp;$A24))</f>
        <v>1110</v>
      </c>
      <c r="I24" s="44" t="n">
        <f aca="false">IF($A24="",0,SUMIFS($G$8:$G$1007,$C$8:$C$1007,$C24,$A$8:$A$1007,"&gt;="&amp;$A24-27,$A$8:$A$1007,"&lt;="&amp;$A24)/4)</f>
        <v>277.5</v>
      </c>
      <c r="J24" s="144" t="n">
        <f aca="false">IF(OR($A24="",$I24=0),0,$H24/$I24)</f>
        <v>4</v>
      </c>
      <c r="K24" s="40" t="n">
        <f aca="false">IF($A24="",0,$A24-SUMPRODUCT(MIN(($C$8:$C$1007=$C24)*$A$8:$A$1007+($C$8:$C$1007&lt;&gt;$C24)*100000))+1)</f>
        <v>1</v>
      </c>
      <c r="L24" s="26" t="str">
        <f aca="false">IF($A24="","",IF($J24=0,"Sem registro anterior",IF($K24&lt;21,"Histórico insuficiente",IF($J24&lt;0.8,"Subcarga",IF($J24&lt;=1.3,"Zona ideal",IF($J24&lt;=1.5,"Atenção","Risco elevado"))))))</f>
        <v>Histórico insuficiente</v>
      </c>
      <c r="M24" s="27" t="s">
        <v>373</v>
      </c>
    </row>
    <row r="25" customFormat="false" ht="15" hidden="false" customHeight="false" outlineLevel="0" collapsed="false">
      <c r="A25" s="29" t="n">
        <v>46244</v>
      </c>
      <c r="B25" s="40" t="n">
        <f aca="false">IF($A25="",0,INT(($A25-Macrociclo!$C$11)/7)+1)</f>
        <v>32</v>
      </c>
      <c r="C25" s="27" t="s">
        <v>253</v>
      </c>
      <c r="D25" s="27" t="s">
        <v>1056</v>
      </c>
      <c r="E25" s="28" t="n">
        <v>90</v>
      </c>
      <c r="F25" s="28" t="n">
        <v>6</v>
      </c>
      <c r="G25" s="44" t="n">
        <f aca="false">IF(OR($E25="",$F25=""),0,$E25*$F25)</f>
        <v>540</v>
      </c>
      <c r="H25" s="44" t="n">
        <f aca="false">IF($A25="",0,SUMIFS($G$8:$G$1007,$C$8:$C$1007,$C25,$A$8:$A$1007,"&gt;="&amp;$A25-6,$A$8:$A$1007,"&lt;="&amp;$A25))</f>
        <v>1100</v>
      </c>
      <c r="I25" s="44" t="n">
        <f aca="false">IF($A25="",0,SUMIFS($G$8:$G$1007,$C$8:$C$1007,$C25,$A$8:$A$1007,"&gt;="&amp;$A25-27,$A$8:$A$1007,"&lt;="&amp;$A25)/4)</f>
        <v>275</v>
      </c>
      <c r="J25" s="144" t="n">
        <f aca="false">IF(OR($A25="",$I25=0),0,$H25/$I25)</f>
        <v>4</v>
      </c>
      <c r="K25" s="40" t="n">
        <f aca="false">IF($A25="",0,$A25-SUMPRODUCT(MIN(($C$8:$C$1007=$C25)*$A$8:$A$1007+($C$8:$C$1007&lt;&gt;$C25)*100000))+1)</f>
        <v>1</v>
      </c>
      <c r="L25" s="26" t="str">
        <f aca="false">IF($A25="","",IF($J25=0,"Sem registro anterior",IF($K25&lt;21,"Histórico insuficiente",IF($J25&lt;0.8,"Subcarga",IF($J25&lt;=1.3,"Zona ideal",IF($J25&lt;=1.5,"Atenção","Risco elevado"))))))</f>
        <v>Histórico insuficiente</v>
      </c>
      <c r="M25" s="27" t="s">
        <v>373</v>
      </c>
    </row>
    <row r="26" customFormat="false" ht="15" hidden="false" customHeight="false" outlineLevel="0" collapsed="false">
      <c r="A26" s="29" t="n">
        <v>46244</v>
      </c>
      <c r="B26" s="40" t="n">
        <f aca="false">IF($A26="",0,INT(($A26-Macrociclo!$C$11)/7)+1)</f>
        <v>32</v>
      </c>
      <c r="C26" s="27" t="s">
        <v>259</v>
      </c>
      <c r="D26" s="27" t="s">
        <v>1056</v>
      </c>
      <c r="E26" s="28" t="n">
        <v>90</v>
      </c>
      <c r="F26" s="28" t="n">
        <v>6</v>
      </c>
      <c r="G26" s="44" t="n">
        <f aca="false">IF(OR($E26="",$F26=""),0,$E26*$F26)</f>
        <v>540</v>
      </c>
      <c r="H26" s="44" t="n">
        <f aca="false">IF($A26="",0,SUMIFS($G$8:$G$1007,$C$8:$C$1007,$C26,$A$8:$A$1007,"&gt;="&amp;$A26-6,$A$8:$A$1007,"&lt;="&amp;$A26))</f>
        <v>995</v>
      </c>
      <c r="I26" s="44" t="n">
        <f aca="false">IF($A26="",0,SUMIFS($G$8:$G$1007,$C$8:$C$1007,$C26,$A$8:$A$1007,"&gt;="&amp;$A26-27,$A$8:$A$1007,"&lt;="&amp;$A26)/4)</f>
        <v>248.75</v>
      </c>
      <c r="J26" s="144" t="n">
        <f aca="false">IF(OR($A26="",$I26=0),0,$H26/$I26)</f>
        <v>4</v>
      </c>
      <c r="K26" s="40" t="n">
        <f aca="false">IF($A26="",0,$A26-SUMPRODUCT(MIN(($C$8:$C$1007=$C26)*$A$8:$A$1007+($C$8:$C$1007&lt;&gt;$C26)*100000))+1)</f>
        <v>1</v>
      </c>
      <c r="L26" s="26" t="str">
        <f aca="false">IF($A26="","",IF($J26=0,"Sem registro anterior",IF($K26&lt;21,"Histórico insuficiente",IF($J26&lt;0.8,"Subcarga",IF($J26&lt;=1.3,"Zona ideal",IF($J26&lt;=1.5,"Atenção","Risco elevado"))))))</f>
        <v>Histórico insuficiente</v>
      </c>
      <c r="M26" s="27" t="s">
        <v>373</v>
      </c>
    </row>
    <row r="27" customFormat="false" ht="15" hidden="false" customHeight="false" outlineLevel="0" collapsed="false">
      <c r="A27" s="29" t="n">
        <v>46244</v>
      </c>
      <c r="B27" s="40" t="n">
        <f aca="false">IF($A27="",0,INT(($A27-Macrociclo!$C$11)/7)+1)</f>
        <v>32</v>
      </c>
      <c r="C27" s="27" t="s">
        <v>264</v>
      </c>
      <c r="D27" s="27" t="s">
        <v>1056</v>
      </c>
      <c r="E27" s="28" t="n">
        <v>90</v>
      </c>
      <c r="F27" s="28" t="n">
        <v>7</v>
      </c>
      <c r="G27" s="44" t="n">
        <f aca="false">IF(OR($E27="",$F27=""),0,$E27*$F27)</f>
        <v>630</v>
      </c>
      <c r="H27" s="44" t="n">
        <f aca="false">IF($A27="",0,SUMIFS($G$8:$G$1007,$C$8:$C$1007,$C27,$A$8:$A$1007,"&gt;="&amp;$A27-6,$A$8:$A$1007,"&lt;="&amp;$A27))</f>
        <v>1120</v>
      </c>
      <c r="I27" s="44" t="n">
        <f aca="false">IF($A27="",0,SUMIFS($G$8:$G$1007,$C$8:$C$1007,$C27,$A$8:$A$1007,"&gt;="&amp;$A27-27,$A$8:$A$1007,"&lt;="&amp;$A27)/4)</f>
        <v>280</v>
      </c>
      <c r="J27" s="144" t="n">
        <f aca="false">IF(OR($A27="",$I27=0),0,$H27/$I27)</f>
        <v>4</v>
      </c>
      <c r="K27" s="40" t="n">
        <f aca="false">IF($A27="",0,$A27-SUMPRODUCT(MIN(($C$8:$C$1007=$C27)*$A$8:$A$1007+($C$8:$C$1007&lt;&gt;$C27)*100000))+1)</f>
        <v>1</v>
      </c>
      <c r="L27" s="26" t="str">
        <f aca="false">IF($A27="","",IF($J27=0,"Sem registro anterior",IF($K27&lt;21,"Histórico insuficiente",IF($J27&lt;0.8,"Subcarga",IF($J27&lt;=1.3,"Zona ideal",IF($J27&lt;=1.5,"Atenção","Risco elevado"))))))</f>
        <v>Histórico insuficiente</v>
      </c>
      <c r="M27" s="27" t="s">
        <v>373</v>
      </c>
    </row>
    <row r="28" customFormat="false" ht="15" hidden="false" customHeight="false" outlineLevel="0" collapsed="false">
      <c r="A28" s="29" t="n">
        <v>46244</v>
      </c>
      <c r="B28" s="40" t="n">
        <f aca="false">IF($A28="",0,INT(($A28-Macrociclo!$C$11)/7)+1)</f>
        <v>32</v>
      </c>
      <c r="C28" s="27" t="s">
        <v>270</v>
      </c>
      <c r="D28" s="27" t="s">
        <v>1056</v>
      </c>
      <c r="E28" s="28" t="n">
        <v>85</v>
      </c>
      <c r="F28" s="28" t="n">
        <v>7</v>
      </c>
      <c r="G28" s="44" t="n">
        <f aca="false">IF(OR($E28="",$F28=""),0,$E28*$F28)</f>
        <v>595</v>
      </c>
      <c r="H28" s="44" t="n">
        <f aca="false">IF($A28="",0,SUMIFS($G$8:$G$1007,$C$8:$C$1007,$C28,$A$8:$A$1007,"&gt;="&amp;$A28-6,$A$8:$A$1007,"&lt;="&amp;$A28))</f>
        <v>1155</v>
      </c>
      <c r="I28" s="44" t="n">
        <f aca="false">IF($A28="",0,SUMIFS($G$8:$G$1007,$C$8:$C$1007,$C28,$A$8:$A$1007,"&gt;="&amp;$A28-27,$A$8:$A$1007,"&lt;="&amp;$A28)/4)</f>
        <v>288.75</v>
      </c>
      <c r="J28" s="144" t="n">
        <f aca="false">IF(OR($A28="",$I28=0),0,$H28/$I28)</f>
        <v>4</v>
      </c>
      <c r="K28" s="40" t="n">
        <f aca="false">IF($A28="",0,$A28-SUMPRODUCT(MIN(($C$8:$C$1007=$C28)*$A$8:$A$1007+($C$8:$C$1007&lt;&gt;$C28)*100000))+1)</f>
        <v>1</v>
      </c>
      <c r="L28" s="26" t="str">
        <f aca="false">IF($A28="","",IF($J28=0,"Sem registro anterior",IF($K28&lt;21,"Histórico insuficiente",IF($J28&lt;0.8,"Subcarga",IF($J28&lt;=1.3,"Zona ideal",IF($J28&lt;=1.5,"Atenção","Risco elevado"))))))</f>
        <v>Histórico insuficiente</v>
      </c>
      <c r="M28" s="27" t="s">
        <v>373</v>
      </c>
    </row>
    <row r="29" customFormat="false" ht="15" hidden="false" customHeight="false" outlineLevel="0" collapsed="false">
      <c r="A29" s="29" t="n">
        <v>46244</v>
      </c>
      <c r="B29" s="40" t="n">
        <f aca="false">IF($A29="",0,INT(($A29-Macrociclo!$C$11)/7)+1)</f>
        <v>32</v>
      </c>
      <c r="C29" s="27" t="s">
        <v>279</v>
      </c>
      <c r="D29" s="27" t="s">
        <v>1056</v>
      </c>
      <c r="E29" s="28" t="n">
        <v>85</v>
      </c>
      <c r="F29" s="28" t="n">
        <v>6</v>
      </c>
      <c r="G29" s="44" t="n">
        <f aca="false">IF(OR($E29="",$F29=""),0,$E29*$F29)</f>
        <v>510</v>
      </c>
      <c r="H29" s="44" t="n">
        <f aca="false">IF($A29="",0,SUMIFS($G$8:$G$1007,$C$8:$C$1007,$C29,$A$8:$A$1007,"&gt;="&amp;$A29-6,$A$8:$A$1007,"&lt;="&amp;$A29))</f>
        <v>510</v>
      </c>
      <c r="I29" s="44" t="n">
        <f aca="false">IF($A29="",0,SUMIFS($G$8:$G$1007,$C$8:$C$1007,$C29,$A$8:$A$1007,"&gt;="&amp;$A29-27,$A$8:$A$1007,"&lt;="&amp;$A29)/4)</f>
        <v>127.5</v>
      </c>
      <c r="J29" s="144" t="n">
        <f aca="false">IF(OR($A29="",$I29=0),0,$H29/$I29)</f>
        <v>4</v>
      </c>
      <c r="K29" s="40" t="n">
        <f aca="false">IF($A29="",0,$A29-SUMPRODUCT(MIN(($C$8:$C$1007=$C29)*$A$8:$A$1007+($C$8:$C$1007&lt;&gt;$C29)*100000))+1)</f>
        <v>1</v>
      </c>
      <c r="L29" s="26" t="str">
        <f aca="false">IF($A29="","",IF($J29=0,"Sem registro anterior",IF($K29&lt;21,"Histórico insuficiente",IF($J29&lt;0.8,"Subcarga",IF($J29&lt;=1.3,"Zona ideal",IF($J29&lt;=1.5,"Atenção","Risco elevado"))))))</f>
        <v>Histórico insuficiente</v>
      </c>
      <c r="M29" s="27" t="s">
        <v>373</v>
      </c>
    </row>
    <row r="30" customFormat="false" ht="15" hidden="false" customHeight="false" outlineLevel="0" collapsed="false">
      <c r="A30" s="29" t="n">
        <v>46245</v>
      </c>
      <c r="B30" s="40" t="n">
        <f aca="false">IF($A30="",0,INT(($A30-Macrociclo!$C$11)/7)+1)</f>
        <v>32</v>
      </c>
      <c r="C30" s="27" t="s">
        <v>164</v>
      </c>
      <c r="D30" s="27" t="s">
        <v>1061</v>
      </c>
      <c r="E30" s="28" t="n">
        <v>55</v>
      </c>
      <c r="F30" s="28" t="n">
        <v>7</v>
      </c>
      <c r="G30" s="44" t="n">
        <f aca="false">IF(OR($E30="",$F30=""),0,$E30*$F30)</f>
        <v>385</v>
      </c>
      <c r="H30" s="44" t="n">
        <f aca="false">IF($A30="",0,SUMIFS($G$8:$G$1007,$C$8:$C$1007,$C30,$A$8:$A$1007,"&gt;="&amp;$A30-6,$A$8:$A$1007,"&lt;="&amp;$A30))</f>
        <v>1390</v>
      </c>
      <c r="I30" s="44" t="n">
        <f aca="false">IF($A30="",0,SUMIFS($G$8:$G$1007,$C$8:$C$1007,$C30,$A$8:$A$1007,"&gt;="&amp;$A30-27,$A$8:$A$1007,"&lt;="&amp;$A30)/4)</f>
        <v>347.5</v>
      </c>
      <c r="J30" s="144" t="n">
        <f aca="false">IF(OR($A30="",$I30=0),0,$H30/$I30)</f>
        <v>4</v>
      </c>
      <c r="K30" s="40" t="n">
        <f aca="false">IF($A30="",0,$A30-SUMPRODUCT(MIN(($C$8:$C$1007=$C30)*$A$8:$A$1007+($C$8:$C$1007&lt;&gt;$C30)*100000))+1)</f>
        <v>2</v>
      </c>
      <c r="L30" s="26" t="str">
        <f aca="false">IF($A30="","",IF($J30=0,"Sem registro anterior",IF($K30&lt;21,"Histórico insuficiente",IF($J30&lt;0.8,"Subcarga",IF($J30&lt;=1.3,"Zona ideal",IF($J30&lt;=1.5,"Atenção","Risco elevado"))))))</f>
        <v>Histórico insuficiente</v>
      </c>
      <c r="M30" s="27" t="s">
        <v>373</v>
      </c>
    </row>
    <row r="31" customFormat="false" ht="15" hidden="false" customHeight="false" outlineLevel="0" collapsed="false">
      <c r="A31" s="29" t="n">
        <v>46245</v>
      </c>
      <c r="B31" s="40" t="n">
        <f aca="false">IF($A31="",0,INT(($A31-Macrociclo!$C$11)/7)+1)</f>
        <v>32</v>
      </c>
      <c r="C31" s="27" t="s">
        <v>192</v>
      </c>
      <c r="D31" s="27" t="s">
        <v>1061</v>
      </c>
      <c r="E31" s="28" t="n">
        <v>55</v>
      </c>
      <c r="F31" s="28" t="n">
        <v>7</v>
      </c>
      <c r="G31" s="44" t="n">
        <f aca="false">IF(OR($E31="",$F31=""),0,$E31*$F31)</f>
        <v>385</v>
      </c>
      <c r="H31" s="44" t="n">
        <f aca="false">IF($A31="",0,SUMIFS($G$8:$G$1007,$C$8:$C$1007,$C31,$A$8:$A$1007,"&gt;="&amp;$A31-6,$A$8:$A$1007,"&lt;="&amp;$A31))</f>
        <v>1390</v>
      </c>
      <c r="I31" s="44" t="n">
        <f aca="false">IF($A31="",0,SUMIFS($G$8:$G$1007,$C$8:$C$1007,$C31,$A$8:$A$1007,"&gt;="&amp;$A31-27,$A$8:$A$1007,"&lt;="&amp;$A31)/4)</f>
        <v>347.5</v>
      </c>
      <c r="J31" s="144" t="n">
        <f aca="false">IF(OR($A31="",$I31=0),0,$H31/$I31)</f>
        <v>4</v>
      </c>
      <c r="K31" s="40" t="n">
        <f aca="false">IF($A31="",0,$A31-SUMPRODUCT(MIN(($C$8:$C$1007=$C31)*$A$8:$A$1007+($C$8:$C$1007&lt;&gt;$C31)*100000))+1)</f>
        <v>2</v>
      </c>
      <c r="L31" s="26" t="str">
        <f aca="false">IF($A31="","",IF($J31=0,"Sem registro anterior",IF($K31&lt;21,"Histórico insuficiente",IF($J31&lt;0.8,"Subcarga",IF($J31&lt;=1.3,"Zona ideal",IF($J31&lt;=1.5,"Atenção","Risco elevado"))))))</f>
        <v>Histórico insuficiente</v>
      </c>
      <c r="M31" s="27" t="s">
        <v>373</v>
      </c>
    </row>
    <row r="32" customFormat="false" ht="15" hidden="false" customHeight="false" outlineLevel="0" collapsed="false">
      <c r="A32" s="29" t="n">
        <v>46245</v>
      </c>
      <c r="B32" s="40" t="n">
        <f aca="false">IF($A32="",0,INT(($A32-Macrociclo!$C$11)/7)+1)</f>
        <v>32</v>
      </c>
      <c r="C32" s="27" t="s">
        <v>206</v>
      </c>
      <c r="D32" s="27" t="s">
        <v>1061</v>
      </c>
      <c r="E32" s="28" t="n">
        <v>60</v>
      </c>
      <c r="F32" s="28" t="n">
        <v>6</v>
      </c>
      <c r="G32" s="44" t="n">
        <f aca="false">IF(OR($E32="",$F32=""),0,$E32*$F32)</f>
        <v>360</v>
      </c>
      <c r="H32" s="44" t="n">
        <f aca="false">IF($A32="",0,SUMIFS($G$8:$G$1007,$C$8:$C$1007,$C32,$A$8:$A$1007,"&gt;="&amp;$A32-6,$A$8:$A$1007,"&lt;="&amp;$A32))</f>
        <v>930</v>
      </c>
      <c r="I32" s="44" t="n">
        <f aca="false">IF($A32="",0,SUMIFS($G$8:$G$1007,$C$8:$C$1007,$C32,$A$8:$A$1007,"&gt;="&amp;$A32-27,$A$8:$A$1007,"&lt;="&amp;$A32)/4)</f>
        <v>232.5</v>
      </c>
      <c r="J32" s="144" t="n">
        <f aca="false">IF(OR($A32="",$I32=0),0,$H32/$I32)</f>
        <v>4</v>
      </c>
      <c r="K32" s="40" t="n">
        <f aca="false">IF($A32="",0,$A32-SUMPRODUCT(MIN(($C$8:$C$1007=$C32)*$A$8:$A$1007+($C$8:$C$1007&lt;&gt;$C32)*100000))+1)</f>
        <v>2</v>
      </c>
      <c r="L32" s="26" t="str">
        <f aca="false">IF($A32="","",IF($J32=0,"Sem registro anterior",IF($K32&lt;21,"Histórico insuficiente",IF($J32&lt;0.8,"Subcarga",IF($J32&lt;=1.3,"Zona ideal",IF($J32&lt;=1.5,"Atenção","Risco elevado"))))))</f>
        <v>Histórico insuficiente</v>
      </c>
      <c r="M32" s="27" t="s">
        <v>373</v>
      </c>
    </row>
    <row r="33" customFormat="false" ht="15" hidden="false" customHeight="false" outlineLevel="0" collapsed="false">
      <c r="A33" s="29" t="n">
        <v>46245</v>
      </c>
      <c r="B33" s="40" t="n">
        <f aca="false">IF($A33="",0,INT(($A33-Macrociclo!$C$11)/7)+1)</f>
        <v>32</v>
      </c>
      <c r="C33" s="27" t="s">
        <v>226</v>
      </c>
      <c r="D33" s="27" t="s">
        <v>1061</v>
      </c>
      <c r="E33" s="28" t="n">
        <v>60</v>
      </c>
      <c r="F33" s="28" t="n">
        <v>7</v>
      </c>
      <c r="G33" s="44" t="n">
        <f aca="false">IF(OR($E33="",$F33=""),0,$E33*$F33)</f>
        <v>420</v>
      </c>
      <c r="H33" s="44" t="n">
        <f aca="false">IF($A33="",0,SUMIFS($G$8:$G$1007,$C$8:$C$1007,$C33,$A$8:$A$1007,"&gt;="&amp;$A33-6,$A$8:$A$1007,"&lt;="&amp;$A33))</f>
        <v>1530</v>
      </c>
      <c r="I33" s="44" t="n">
        <f aca="false">IF($A33="",0,SUMIFS($G$8:$G$1007,$C$8:$C$1007,$C33,$A$8:$A$1007,"&gt;="&amp;$A33-27,$A$8:$A$1007,"&lt;="&amp;$A33)/4)</f>
        <v>382.5</v>
      </c>
      <c r="J33" s="144" t="n">
        <f aca="false">IF(OR($A33="",$I33=0),0,$H33/$I33)</f>
        <v>4</v>
      </c>
      <c r="K33" s="40" t="n">
        <f aca="false">IF($A33="",0,$A33-SUMPRODUCT(MIN(($C$8:$C$1007=$C33)*$A$8:$A$1007+($C$8:$C$1007&lt;&gt;$C33)*100000))+1)</f>
        <v>2</v>
      </c>
      <c r="L33" s="26" t="str">
        <f aca="false">IF($A33="","",IF($J33=0,"Sem registro anterior",IF($K33&lt;21,"Histórico insuficiente",IF($J33&lt;0.8,"Subcarga",IF($J33&lt;=1.3,"Zona ideal",IF($J33&lt;=1.5,"Atenção","Risco elevado"))))))</f>
        <v>Histórico insuficiente</v>
      </c>
      <c r="M33" s="27" t="s">
        <v>373</v>
      </c>
    </row>
    <row r="34" customFormat="false" ht="15" hidden="false" customHeight="false" outlineLevel="0" collapsed="false">
      <c r="A34" s="29" t="n">
        <v>46245</v>
      </c>
      <c r="B34" s="40" t="n">
        <f aca="false">IF($A34="",0,INT(($A34-Macrociclo!$C$11)/7)+1)</f>
        <v>32</v>
      </c>
      <c r="C34" s="27" t="s">
        <v>236</v>
      </c>
      <c r="D34" s="27" t="s">
        <v>1061</v>
      </c>
      <c r="E34" s="28" t="n">
        <v>60</v>
      </c>
      <c r="F34" s="28" t="n">
        <v>7</v>
      </c>
      <c r="G34" s="44" t="n">
        <f aca="false">IF(OR($E34="",$F34=""),0,$E34*$F34)</f>
        <v>420</v>
      </c>
      <c r="H34" s="44" t="n">
        <f aca="false">IF($A34="",0,SUMIFS($G$8:$G$1007,$C$8:$C$1007,$C34,$A$8:$A$1007,"&gt;="&amp;$A34-6,$A$8:$A$1007,"&lt;="&amp;$A34))</f>
        <v>1350</v>
      </c>
      <c r="I34" s="44" t="n">
        <f aca="false">IF($A34="",0,SUMIFS($G$8:$G$1007,$C$8:$C$1007,$C34,$A$8:$A$1007,"&gt;="&amp;$A34-27,$A$8:$A$1007,"&lt;="&amp;$A34)/4)</f>
        <v>337.5</v>
      </c>
      <c r="J34" s="144" t="n">
        <f aca="false">IF(OR($A34="",$I34=0),0,$H34/$I34)</f>
        <v>4</v>
      </c>
      <c r="K34" s="40" t="n">
        <f aca="false">IF($A34="",0,$A34-SUMPRODUCT(MIN(($C$8:$C$1007=$C34)*$A$8:$A$1007+($C$8:$C$1007&lt;&gt;$C34)*100000))+1)</f>
        <v>2</v>
      </c>
      <c r="L34" s="26" t="str">
        <f aca="false">IF($A34="","",IF($J34=0,"Sem registro anterior",IF($K34&lt;21,"Histórico insuficiente",IF($J34&lt;0.8,"Subcarga",IF($J34&lt;=1.3,"Zona ideal",IF($J34&lt;=1.5,"Atenção","Risco elevado"))))))</f>
        <v>Histórico insuficiente</v>
      </c>
      <c r="M34" s="27" t="s">
        <v>373</v>
      </c>
    </row>
    <row r="35" customFormat="false" ht="15" hidden="false" customHeight="false" outlineLevel="0" collapsed="false">
      <c r="A35" s="29" t="n">
        <v>46245</v>
      </c>
      <c r="B35" s="40" t="n">
        <f aca="false">IF($A35="",0,INT(($A35-Macrociclo!$C$11)/7)+1)</f>
        <v>32</v>
      </c>
      <c r="C35" s="27" t="s">
        <v>244</v>
      </c>
      <c r="D35" s="27" t="s">
        <v>1061</v>
      </c>
      <c r="E35" s="28" t="n">
        <v>50</v>
      </c>
      <c r="F35" s="28" t="n">
        <v>7</v>
      </c>
      <c r="G35" s="44" t="n">
        <f aca="false">IF(OR($E35="",$F35=""),0,$E35*$F35)</f>
        <v>350</v>
      </c>
      <c r="H35" s="44" t="n">
        <f aca="false">IF($A35="",0,SUMIFS($G$8:$G$1007,$C$8:$C$1007,$C35,$A$8:$A$1007,"&gt;="&amp;$A35-6,$A$8:$A$1007,"&lt;="&amp;$A35))</f>
        <v>1460</v>
      </c>
      <c r="I35" s="44" t="n">
        <f aca="false">IF($A35="",0,SUMIFS($G$8:$G$1007,$C$8:$C$1007,$C35,$A$8:$A$1007,"&gt;="&amp;$A35-27,$A$8:$A$1007,"&lt;="&amp;$A35)/4)</f>
        <v>365</v>
      </c>
      <c r="J35" s="144" t="n">
        <f aca="false">IF(OR($A35="",$I35=0),0,$H35/$I35)</f>
        <v>4</v>
      </c>
      <c r="K35" s="40" t="n">
        <f aca="false">IF($A35="",0,$A35-SUMPRODUCT(MIN(($C$8:$C$1007=$C35)*$A$8:$A$1007+($C$8:$C$1007&lt;&gt;$C35)*100000))+1)</f>
        <v>2</v>
      </c>
      <c r="L35" s="26" t="str">
        <f aca="false">IF($A35="","",IF($J35=0,"Sem registro anterior",IF($K35&lt;21,"Histórico insuficiente",IF($J35&lt;0.8,"Subcarga",IF($J35&lt;=1.3,"Zona ideal",IF($J35&lt;=1.5,"Atenção","Risco elevado"))))))</f>
        <v>Histórico insuficiente</v>
      </c>
      <c r="M35" s="27" t="s">
        <v>373</v>
      </c>
    </row>
    <row r="36" customFormat="false" ht="15" hidden="false" customHeight="false" outlineLevel="0" collapsed="false">
      <c r="A36" s="29" t="n">
        <v>46245</v>
      </c>
      <c r="B36" s="40" t="n">
        <f aca="false">IF($A36="",0,INT(($A36-Macrociclo!$C$11)/7)+1)</f>
        <v>32</v>
      </c>
      <c r="C36" s="27" t="s">
        <v>253</v>
      </c>
      <c r="D36" s="27" t="s">
        <v>1061</v>
      </c>
      <c r="E36" s="28" t="n">
        <v>65</v>
      </c>
      <c r="F36" s="28" t="n">
        <v>6</v>
      </c>
      <c r="G36" s="44" t="n">
        <f aca="false">IF(OR($E36="",$F36=""),0,$E36*$F36)</f>
        <v>390</v>
      </c>
      <c r="H36" s="44" t="n">
        <f aca="false">IF($A36="",0,SUMIFS($G$8:$G$1007,$C$8:$C$1007,$C36,$A$8:$A$1007,"&gt;="&amp;$A36-6,$A$8:$A$1007,"&lt;="&amp;$A36))</f>
        <v>1490</v>
      </c>
      <c r="I36" s="44" t="n">
        <f aca="false">IF($A36="",0,SUMIFS($G$8:$G$1007,$C$8:$C$1007,$C36,$A$8:$A$1007,"&gt;="&amp;$A36-27,$A$8:$A$1007,"&lt;="&amp;$A36)/4)</f>
        <v>372.5</v>
      </c>
      <c r="J36" s="144" t="n">
        <f aca="false">IF(OR($A36="",$I36=0),0,$H36/$I36)</f>
        <v>4</v>
      </c>
      <c r="K36" s="40" t="n">
        <f aca="false">IF($A36="",0,$A36-SUMPRODUCT(MIN(($C$8:$C$1007=$C36)*$A$8:$A$1007+($C$8:$C$1007&lt;&gt;$C36)*100000))+1)</f>
        <v>2</v>
      </c>
      <c r="L36" s="26" t="str">
        <f aca="false">IF($A36="","",IF($J36=0,"Sem registro anterior",IF($K36&lt;21,"Histórico insuficiente",IF($J36&lt;0.8,"Subcarga",IF($J36&lt;=1.3,"Zona ideal",IF($J36&lt;=1.5,"Atenção","Risco elevado"))))))</f>
        <v>Histórico insuficiente</v>
      </c>
      <c r="M36" s="27" t="s">
        <v>373</v>
      </c>
    </row>
    <row r="37" customFormat="false" ht="15" hidden="false" customHeight="false" outlineLevel="0" collapsed="false">
      <c r="A37" s="29" t="n">
        <v>46245</v>
      </c>
      <c r="B37" s="40" t="n">
        <f aca="false">IF($A37="",0,INT(($A37-Macrociclo!$C$11)/7)+1)</f>
        <v>32</v>
      </c>
      <c r="C37" s="27" t="s">
        <v>259</v>
      </c>
      <c r="D37" s="27" t="s">
        <v>1061</v>
      </c>
      <c r="E37" s="28" t="n">
        <v>55</v>
      </c>
      <c r="F37" s="28" t="n">
        <v>7</v>
      </c>
      <c r="G37" s="44" t="n">
        <f aca="false">IF(OR($E37="",$F37=""),0,$E37*$F37)</f>
        <v>385</v>
      </c>
      <c r="H37" s="44" t="n">
        <f aca="false">IF($A37="",0,SUMIFS($G$8:$G$1007,$C$8:$C$1007,$C37,$A$8:$A$1007,"&gt;="&amp;$A37-6,$A$8:$A$1007,"&lt;="&amp;$A37))</f>
        <v>1380</v>
      </c>
      <c r="I37" s="44" t="n">
        <f aca="false">IF($A37="",0,SUMIFS($G$8:$G$1007,$C$8:$C$1007,$C37,$A$8:$A$1007,"&gt;="&amp;$A37-27,$A$8:$A$1007,"&lt;="&amp;$A37)/4)</f>
        <v>345</v>
      </c>
      <c r="J37" s="144" t="n">
        <f aca="false">IF(OR($A37="",$I37=0),0,$H37/$I37)</f>
        <v>4</v>
      </c>
      <c r="K37" s="40" t="n">
        <f aca="false">IF($A37="",0,$A37-SUMPRODUCT(MIN(($C$8:$C$1007=$C37)*$A$8:$A$1007+($C$8:$C$1007&lt;&gt;$C37)*100000))+1)</f>
        <v>2</v>
      </c>
      <c r="L37" s="26" t="str">
        <f aca="false">IF($A37="","",IF($J37=0,"Sem registro anterior",IF($K37&lt;21,"Histórico insuficiente",IF($J37&lt;0.8,"Subcarga",IF($J37&lt;=1.3,"Zona ideal",IF($J37&lt;=1.5,"Atenção","Risco elevado"))))))</f>
        <v>Histórico insuficiente</v>
      </c>
      <c r="M37" s="27" t="s">
        <v>373</v>
      </c>
    </row>
    <row r="38" customFormat="false" ht="15" hidden="false" customHeight="false" outlineLevel="0" collapsed="false">
      <c r="A38" s="29" t="n">
        <v>46245</v>
      </c>
      <c r="B38" s="40" t="n">
        <f aca="false">IF($A38="",0,INT(($A38-Macrociclo!$C$11)/7)+1)</f>
        <v>32</v>
      </c>
      <c r="C38" s="27" t="s">
        <v>264</v>
      </c>
      <c r="D38" s="27" t="s">
        <v>1061</v>
      </c>
      <c r="E38" s="28" t="n">
        <v>65</v>
      </c>
      <c r="F38" s="28" t="n">
        <v>8</v>
      </c>
      <c r="G38" s="44" t="n">
        <f aca="false">IF(OR($E38="",$F38=""),0,$E38*$F38)</f>
        <v>520</v>
      </c>
      <c r="H38" s="44" t="n">
        <f aca="false">IF($A38="",0,SUMIFS($G$8:$G$1007,$C$8:$C$1007,$C38,$A$8:$A$1007,"&gt;="&amp;$A38-6,$A$8:$A$1007,"&lt;="&amp;$A38))</f>
        <v>1640</v>
      </c>
      <c r="I38" s="44" t="n">
        <f aca="false">IF($A38="",0,SUMIFS($G$8:$G$1007,$C$8:$C$1007,$C38,$A$8:$A$1007,"&gt;="&amp;$A38-27,$A$8:$A$1007,"&lt;="&amp;$A38)/4)</f>
        <v>410</v>
      </c>
      <c r="J38" s="144" t="n">
        <f aca="false">IF(OR($A38="",$I38=0),0,$H38/$I38)</f>
        <v>4</v>
      </c>
      <c r="K38" s="40" t="n">
        <f aca="false">IF($A38="",0,$A38-SUMPRODUCT(MIN(($C$8:$C$1007=$C38)*$A$8:$A$1007+($C$8:$C$1007&lt;&gt;$C38)*100000))+1)</f>
        <v>2</v>
      </c>
      <c r="L38" s="26" t="str">
        <f aca="false">IF($A38="","",IF($J38=0,"Sem registro anterior",IF($K38&lt;21,"Histórico insuficiente",IF($J38&lt;0.8,"Subcarga",IF($J38&lt;=1.3,"Zona ideal",IF($J38&lt;=1.5,"Atenção","Risco elevado"))))))</f>
        <v>Histórico insuficiente</v>
      </c>
      <c r="M38" s="27" t="s">
        <v>373</v>
      </c>
    </row>
    <row r="39" customFormat="false" ht="15" hidden="false" customHeight="false" outlineLevel="0" collapsed="false">
      <c r="A39" s="29" t="n">
        <v>46245</v>
      </c>
      <c r="B39" s="40" t="n">
        <f aca="false">IF($A39="",0,INT(($A39-Macrociclo!$C$11)/7)+1)</f>
        <v>32</v>
      </c>
      <c r="C39" s="27" t="s">
        <v>270</v>
      </c>
      <c r="D39" s="27" t="s">
        <v>1061</v>
      </c>
      <c r="E39" s="28" t="n">
        <v>60</v>
      </c>
      <c r="F39" s="28" t="n">
        <v>8</v>
      </c>
      <c r="G39" s="44" t="n">
        <f aca="false">IF(OR($E39="",$F39=""),0,$E39*$F39)</f>
        <v>480</v>
      </c>
      <c r="H39" s="44" t="n">
        <f aca="false">IF($A39="",0,SUMIFS($G$8:$G$1007,$C$8:$C$1007,$C39,$A$8:$A$1007,"&gt;="&amp;$A39-6,$A$8:$A$1007,"&lt;="&amp;$A39))</f>
        <v>1635</v>
      </c>
      <c r="I39" s="44" t="n">
        <f aca="false">IF($A39="",0,SUMIFS($G$8:$G$1007,$C$8:$C$1007,$C39,$A$8:$A$1007,"&gt;="&amp;$A39-27,$A$8:$A$1007,"&lt;="&amp;$A39)/4)</f>
        <v>408.75</v>
      </c>
      <c r="J39" s="144" t="n">
        <f aca="false">IF(OR($A39="",$I39=0),0,$H39/$I39)</f>
        <v>4</v>
      </c>
      <c r="K39" s="40" t="n">
        <f aca="false">IF($A39="",0,$A39-SUMPRODUCT(MIN(($C$8:$C$1007=$C39)*$A$8:$A$1007+($C$8:$C$1007&lt;&gt;$C39)*100000))+1)</f>
        <v>2</v>
      </c>
      <c r="L39" s="26" t="str">
        <f aca="false">IF($A39="","",IF($J39=0,"Sem registro anterior",IF($K39&lt;21,"Histórico insuficiente",IF($J39&lt;0.8,"Subcarga",IF($J39&lt;=1.3,"Zona ideal",IF($J39&lt;=1.5,"Atenção","Risco elevado"))))))</f>
        <v>Histórico insuficiente</v>
      </c>
      <c r="M39" s="27" t="s">
        <v>373</v>
      </c>
    </row>
    <row r="40" customFormat="false" ht="15" hidden="false" customHeight="false" outlineLevel="0" collapsed="false">
      <c r="A40" s="29" t="n">
        <v>46245</v>
      </c>
      <c r="B40" s="40" t="n">
        <f aca="false">IF($A40="",0,INT(($A40-Macrociclo!$C$11)/7)+1)</f>
        <v>32</v>
      </c>
      <c r="C40" s="27" t="s">
        <v>279</v>
      </c>
      <c r="D40" s="27" t="s">
        <v>1061</v>
      </c>
      <c r="E40" s="28" t="n">
        <v>50</v>
      </c>
      <c r="F40" s="28" t="n">
        <v>7</v>
      </c>
      <c r="G40" s="44" t="n">
        <f aca="false">IF(OR($E40="",$F40=""),0,$E40*$F40)</f>
        <v>350</v>
      </c>
      <c r="H40" s="44" t="n">
        <f aca="false">IF($A40="",0,SUMIFS($G$8:$G$1007,$C$8:$C$1007,$C40,$A$8:$A$1007,"&gt;="&amp;$A40-6,$A$8:$A$1007,"&lt;="&amp;$A40))</f>
        <v>860</v>
      </c>
      <c r="I40" s="44" t="n">
        <f aca="false">IF($A40="",0,SUMIFS($G$8:$G$1007,$C$8:$C$1007,$C40,$A$8:$A$1007,"&gt;="&amp;$A40-27,$A$8:$A$1007,"&lt;="&amp;$A40)/4)</f>
        <v>215</v>
      </c>
      <c r="J40" s="144" t="n">
        <f aca="false">IF(OR($A40="",$I40=0),0,$H40/$I40)</f>
        <v>4</v>
      </c>
      <c r="K40" s="40" t="n">
        <f aca="false">IF($A40="",0,$A40-SUMPRODUCT(MIN(($C$8:$C$1007=$C40)*$A$8:$A$1007+($C$8:$C$1007&lt;&gt;$C40)*100000))+1)</f>
        <v>2</v>
      </c>
      <c r="L40" s="26" t="str">
        <f aca="false">IF($A40="","",IF($J40=0,"Sem registro anterior",IF($K40&lt;21,"Histórico insuficiente",IF($J40&lt;0.8,"Subcarga",IF($J40&lt;=1.3,"Zona ideal",IF($J40&lt;=1.5,"Atenção","Risco elevado"))))))</f>
        <v>Histórico insuficiente</v>
      </c>
      <c r="M40" s="27" t="s">
        <v>373</v>
      </c>
    </row>
    <row r="41" customFormat="false" ht="15" hidden="false" customHeight="false" outlineLevel="0" collapsed="false">
      <c r="A41" s="29" t="n">
        <v>46246</v>
      </c>
      <c r="B41" s="40" t="n">
        <f aca="false">IF($A41="",0,INT(($A41-Macrociclo!$C$11)/7)+1)</f>
        <v>32</v>
      </c>
      <c r="C41" s="27" t="s">
        <v>164</v>
      </c>
      <c r="D41" s="27" t="s">
        <v>1066</v>
      </c>
      <c r="E41" s="28" t="n">
        <v>95</v>
      </c>
      <c r="F41" s="28" t="n">
        <v>8</v>
      </c>
      <c r="G41" s="44" t="n">
        <f aca="false">IF(OR($E41="",$F41=""),0,$E41*$F41)</f>
        <v>760</v>
      </c>
      <c r="H41" s="44" t="n">
        <f aca="false">IF($A41="",0,SUMIFS($G$8:$G$1007,$C$8:$C$1007,$C41,$A$8:$A$1007,"&gt;="&amp;$A41-6,$A$8:$A$1007,"&lt;="&amp;$A41))</f>
        <v>2150</v>
      </c>
      <c r="I41" s="44" t="n">
        <f aca="false">IF($A41="",0,SUMIFS($G$8:$G$1007,$C$8:$C$1007,$C41,$A$8:$A$1007,"&gt;="&amp;$A41-27,$A$8:$A$1007,"&lt;="&amp;$A41)/4)</f>
        <v>537.5</v>
      </c>
      <c r="J41" s="144" t="n">
        <f aca="false">IF(OR($A41="",$I41=0),0,$H41/$I41)</f>
        <v>4</v>
      </c>
      <c r="K41" s="40" t="n">
        <f aca="false">IF($A41="",0,$A41-SUMPRODUCT(MIN(($C$8:$C$1007=$C41)*$A$8:$A$1007+($C$8:$C$1007&lt;&gt;$C41)*100000))+1)</f>
        <v>3</v>
      </c>
      <c r="L41" s="26" t="str">
        <f aca="false">IF($A41="","",IF($J41=0,"Sem registro anterior",IF($K41&lt;21,"Histórico insuficiente",IF($J41&lt;0.8,"Subcarga",IF($J41&lt;=1.3,"Zona ideal",IF($J41&lt;=1.5,"Atenção","Risco elevado"))))))</f>
        <v>Histórico insuficiente</v>
      </c>
      <c r="M41" s="27" t="s">
        <v>373</v>
      </c>
    </row>
    <row r="42" customFormat="false" ht="15" hidden="false" customHeight="false" outlineLevel="0" collapsed="false">
      <c r="A42" s="29" t="n">
        <v>46246</v>
      </c>
      <c r="B42" s="40" t="n">
        <f aca="false">IF($A42="",0,INT(($A42-Macrociclo!$C$11)/7)+1)</f>
        <v>32</v>
      </c>
      <c r="C42" s="27" t="s">
        <v>192</v>
      </c>
      <c r="D42" s="27" t="s">
        <v>1066</v>
      </c>
      <c r="E42" s="28" t="n">
        <v>100</v>
      </c>
      <c r="F42" s="28" t="n">
        <v>8</v>
      </c>
      <c r="G42" s="44" t="n">
        <f aca="false">IF(OR($E42="",$F42=""),0,$E42*$F42)</f>
        <v>800</v>
      </c>
      <c r="H42" s="44" t="n">
        <f aca="false">IF($A42="",0,SUMIFS($G$8:$G$1007,$C$8:$C$1007,$C42,$A$8:$A$1007,"&gt;="&amp;$A42-6,$A$8:$A$1007,"&lt;="&amp;$A42))</f>
        <v>2190</v>
      </c>
      <c r="I42" s="44" t="n">
        <f aca="false">IF($A42="",0,SUMIFS($G$8:$G$1007,$C$8:$C$1007,$C42,$A$8:$A$1007,"&gt;="&amp;$A42-27,$A$8:$A$1007,"&lt;="&amp;$A42)/4)</f>
        <v>547.5</v>
      </c>
      <c r="J42" s="144" t="n">
        <f aca="false">IF(OR($A42="",$I42=0),0,$H42/$I42)</f>
        <v>4</v>
      </c>
      <c r="K42" s="40" t="n">
        <f aca="false">IF($A42="",0,$A42-SUMPRODUCT(MIN(($C$8:$C$1007=$C42)*$A$8:$A$1007+($C$8:$C$1007&lt;&gt;$C42)*100000))+1)</f>
        <v>3</v>
      </c>
      <c r="L42" s="26" t="str">
        <f aca="false">IF($A42="","",IF($J42=0,"Sem registro anterior",IF($K42&lt;21,"Histórico insuficiente",IF($J42&lt;0.8,"Subcarga",IF($J42&lt;=1.3,"Zona ideal",IF($J42&lt;=1.5,"Atenção","Risco elevado"))))))</f>
        <v>Histórico insuficiente</v>
      </c>
      <c r="M42" s="27" t="s">
        <v>373</v>
      </c>
    </row>
    <row r="43" customFormat="false" ht="15" hidden="false" customHeight="false" outlineLevel="0" collapsed="false">
      <c r="A43" s="29" t="n">
        <v>46246</v>
      </c>
      <c r="B43" s="40" t="n">
        <f aca="false">IF($A43="",0,INT(($A43-Macrociclo!$C$11)/7)+1)</f>
        <v>32</v>
      </c>
      <c r="C43" s="27" t="s">
        <v>215</v>
      </c>
      <c r="D43" s="27" t="s">
        <v>1066</v>
      </c>
      <c r="E43" s="28" t="n">
        <v>95</v>
      </c>
      <c r="F43" s="28" t="n">
        <v>8</v>
      </c>
      <c r="G43" s="44" t="n">
        <f aca="false">IF(OR($E43="",$F43=""),0,$E43*$F43)</f>
        <v>760</v>
      </c>
      <c r="H43" s="44" t="n">
        <f aca="false">IF($A43="",0,SUMIFS($G$8:$G$1007,$C$8:$C$1007,$C43,$A$8:$A$1007,"&gt;="&amp;$A43-6,$A$8:$A$1007,"&lt;="&amp;$A43))</f>
        <v>2065</v>
      </c>
      <c r="I43" s="44" t="n">
        <f aca="false">IF($A43="",0,SUMIFS($G$8:$G$1007,$C$8:$C$1007,$C43,$A$8:$A$1007,"&gt;="&amp;$A43-27,$A$8:$A$1007,"&lt;="&amp;$A43)/4)</f>
        <v>516.25</v>
      </c>
      <c r="J43" s="144" t="n">
        <f aca="false">IF(OR($A43="",$I43=0),0,$H43/$I43)</f>
        <v>4</v>
      </c>
      <c r="K43" s="40" t="n">
        <f aca="false">IF($A43="",0,$A43-SUMPRODUCT(MIN(($C$8:$C$1007=$C43)*$A$8:$A$1007+($C$8:$C$1007&lt;&gt;$C43)*100000))+1)</f>
        <v>3</v>
      </c>
      <c r="L43" s="26" t="str">
        <f aca="false">IF($A43="","",IF($J43=0,"Sem registro anterior",IF($K43&lt;21,"Histórico insuficiente",IF($J43&lt;0.8,"Subcarga",IF($J43&lt;=1.3,"Zona ideal",IF($J43&lt;=1.5,"Atenção","Risco elevado"))))))</f>
        <v>Histórico insuficiente</v>
      </c>
      <c r="M43" s="27" t="s">
        <v>373</v>
      </c>
    </row>
    <row r="44" customFormat="false" ht="15" hidden="false" customHeight="false" outlineLevel="0" collapsed="false">
      <c r="A44" s="29" t="n">
        <v>46246</v>
      </c>
      <c r="B44" s="40" t="n">
        <f aca="false">IF($A44="",0,INT(($A44-Macrociclo!$C$11)/7)+1)</f>
        <v>32</v>
      </c>
      <c r="C44" s="27" t="s">
        <v>226</v>
      </c>
      <c r="D44" s="27" t="s">
        <v>1066</v>
      </c>
      <c r="E44" s="28" t="n">
        <v>95</v>
      </c>
      <c r="F44" s="28" t="n">
        <v>8</v>
      </c>
      <c r="G44" s="44" t="n">
        <f aca="false">IF(OR($E44="",$F44=""),0,$E44*$F44)</f>
        <v>760</v>
      </c>
      <c r="H44" s="44" t="n">
        <f aca="false">IF($A44="",0,SUMIFS($G$8:$G$1007,$C$8:$C$1007,$C44,$A$8:$A$1007,"&gt;="&amp;$A44-6,$A$8:$A$1007,"&lt;="&amp;$A44))</f>
        <v>2290</v>
      </c>
      <c r="I44" s="44" t="n">
        <f aca="false">IF($A44="",0,SUMIFS($G$8:$G$1007,$C$8:$C$1007,$C44,$A$8:$A$1007,"&gt;="&amp;$A44-27,$A$8:$A$1007,"&lt;="&amp;$A44)/4)</f>
        <v>572.5</v>
      </c>
      <c r="J44" s="144" t="n">
        <f aca="false">IF(OR($A44="",$I44=0),0,$H44/$I44)</f>
        <v>4</v>
      </c>
      <c r="K44" s="40" t="n">
        <f aca="false">IF($A44="",0,$A44-SUMPRODUCT(MIN(($C$8:$C$1007=$C44)*$A$8:$A$1007+($C$8:$C$1007&lt;&gt;$C44)*100000))+1)</f>
        <v>3</v>
      </c>
      <c r="L44" s="26" t="str">
        <f aca="false">IF($A44="","",IF($J44=0,"Sem registro anterior",IF($K44&lt;21,"Histórico insuficiente",IF($J44&lt;0.8,"Subcarga",IF($J44&lt;=1.3,"Zona ideal",IF($J44&lt;=1.5,"Atenção","Risco elevado"))))))</f>
        <v>Histórico insuficiente</v>
      </c>
      <c r="M44" s="27" t="s">
        <v>373</v>
      </c>
    </row>
    <row r="45" customFormat="false" ht="15" hidden="false" customHeight="false" outlineLevel="0" collapsed="false">
      <c r="A45" s="29" t="n">
        <v>46246</v>
      </c>
      <c r="B45" s="40" t="n">
        <f aca="false">IF($A45="",0,INT(($A45-Macrociclo!$C$11)/7)+1)</f>
        <v>32</v>
      </c>
      <c r="C45" s="27" t="s">
        <v>236</v>
      </c>
      <c r="D45" s="27" t="s">
        <v>1066</v>
      </c>
      <c r="E45" s="28" t="n">
        <v>90</v>
      </c>
      <c r="F45" s="28" t="n">
        <v>8</v>
      </c>
      <c r="G45" s="44" t="n">
        <f aca="false">IF(OR($E45="",$F45=""),0,$E45*$F45)</f>
        <v>720</v>
      </c>
      <c r="H45" s="44" t="n">
        <f aca="false">IF($A45="",0,SUMIFS($G$8:$G$1007,$C$8:$C$1007,$C45,$A$8:$A$1007,"&gt;="&amp;$A45-6,$A$8:$A$1007,"&lt;="&amp;$A45))</f>
        <v>2070</v>
      </c>
      <c r="I45" s="44" t="n">
        <f aca="false">IF($A45="",0,SUMIFS($G$8:$G$1007,$C$8:$C$1007,$C45,$A$8:$A$1007,"&gt;="&amp;$A45-27,$A$8:$A$1007,"&lt;="&amp;$A45)/4)</f>
        <v>517.5</v>
      </c>
      <c r="J45" s="144" t="n">
        <f aca="false">IF(OR($A45="",$I45=0),0,$H45/$I45)</f>
        <v>4</v>
      </c>
      <c r="K45" s="40" t="n">
        <f aca="false">IF($A45="",0,$A45-SUMPRODUCT(MIN(($C$8:$C$1007=$C45)*$A$8:$A$1007+($C$8:$C$1007&lt;&gt;$C45)*100000))+1)</f>
        <v>3</v>
      </c>
      <c r="L45" s="26" t="str">
        <f aca="false">IF($A45="","",IF($J45=0,"Sem registro anterior",IF($K45&lt;21,"Histórico insuficiente",IF($J45&lt;0.8,"Subcarga",IF($J45&lt;=1.3,"Zona ideal",IF($J45&lt;=1.5,"Atenção","Risco elevado"))))))</f>
        <v>Histórico insuficiente</v>
      </c>
      <c r="M45" s="27" t="s">
        <v>373</v>
      </c>
    </row>
    <row r="46" customFormat="false" ht="15" hidden="false" customHeight="false" outlineLevel="0" collapsed="false">
      <c r="A46" s="29" t="n">
        <v>46246</v>
      </c>
      <c r="B46" s="40" t="n">
        <f aca="false">IF($A46="",0,INT(($A46-Macrociclo!$C$11)/7)+1)</f>
        <v>32</v>
      </c>
      <c r="C46" s="27" t="s">
        <v>244</v>
      </c>
      <c r="D46" s="27" t="s">
        <v>1066</v>
      </c>
      <c r="E46" s="28" t="n">
        <v>100</v>
      </c>
      <c r="F46" s="28" t="n">
        <v>9</v>
      </c>
      <c r="G46" s="44" t="n">
        <f aca="false">IF(OR($E46="",$F46=""),0,$E46*$F46)</f>
        <v>900</v>
      </c>
      <c r="H46" s="44" t="n">
        <f aca="false">IF($A46="",0,SUMIFS($G$8:$G$1007,$C$8:$C$1007,$C46,$A$8:$A$1007,"&gt;="&amp;$A46-6,$A$8:$A$1007,"&lt;="&amp;$A46))</f>
        <v>2360</v>
      </c>
      <c r="I46" s="44" t="n">
        <f aca="false">IF($A46="",0,SUMIFS($G$8:$G$1007,$C$8:$C$1007,$C46,$A$8:$A$1007,"&gt;="&amp;$A46-27,$A$8:$A$1007,"&lt;="&amp;$A46)/4)</f>
        <v>590</v>
      </c>
      <c r="J46" s="144" t="n">
        <f aca="false">IF(OR($A46="",$I46=0),0,$H46/$I46)</f>
        <v>4</v>
      </c>
      <c r="K46" s="40" t="n">
        <f aca="false">IF($A46="",0,$A46-SUMPRODUCT(MIN(($C$8:$C$1007=$C46)*$A$8:$A$1007+($C$8:$C$1007&lt;&gt;$C46)*100000))+1)</f>
        <v>3</v>
      </c>
      <c r="L46" s="26" t="str">
        <f aca="false">IF($A46="","",IF($J46=0,"Sem registro anterior",IF($K46&lt;21,"Histórico insuficiente",IF($J46&lt;0.8,"Subcarga",IF($J46&lt;=1.3,"Zona ideal",IF($J46&lt;=1.5,"Atenção","Risco elevado"))))))</f>
        <v>Histórico insuficiente</v>
      </c>
      <c r="M46" s="27" t="s">
        <v>373</v>
      </c>
    </row>
    <row r="47" customFormat="false" ht="15" hidden="false" customHeight="false" outlineLevel="0" collapsed="false">
      <c r="A47" s="29" t="n">
        <v>46246</v>
      </c>
      <c r="B47" s="40" t="n">
        <f aca="false">IF($A47="",0,INT(($A47-Macrociclo!$C$11)/7)+1)</f>
        <v>32</v>
      </c>
      <c r="C47" s="27" t="s">
        <v>253</v>
      </c>
      <c r="D47" s="27" t="s">
        <v>1066</v>
      </c>
      <c r="E47" s="28" t="n">
        <v>105</v>
      </c>
      <c r="F47" s="28" t="n">
        <v>9</v>
      </c>
      <c r="G47" s="44" t="n">
        <f aca="false">IF(OR($E47="",$F47=""),0,$E47*$F47)</f>
        <v>945</v>
      </c>
      <c r="H47" s="44" t="n">
        <f aca="false">IF($A47="",0,SUMIFS($G$8:$G$1007,$C$8:$C$1007,$C47,$A$8:$A$1007,"&gt;="&amp;$A47-6,$A$8:$A$1007,"&lt;="&amp;$A47))</f>
        <v>2435</v>
      </c>
      <c r="I47" s="44" t="n">
        <f aca="false">IF($A47="",0,SUMIFS($G$8:$G$1007,$C$8:$C$1007,$C47,$A$8:$A$1007,"&gt;="&amp;$A47-27,$A$8:$A$1007,"&lt;="&amp;$A47)/4)</f>
        <v>608.75</v>
      </c>
      <c r="J47" s="144" t="n">
        <f aca="false">IF(OR($A47="",$I47=0),0,$H47/$I47)</f>
        <v>4</v>
      </c>
      <c r="K47" s="40" t="n">
        <f aca="false">IF($A47="",0,$A47-SUMPRODUCT(MIN(($C$8:$C$1007=$C47)*$A$8:$A$1007+($C$8:$C$1007&lt;&gt;$C47)*100000))+1)</f>
        <v>3</v>
      </c>
      <c r="L47" s="26" t="str">
        <f aca="false">IF($A47="","",IF($J47=0,"Sem registro anterior",IF($K47&lt;21,"Histórico insuficiente",IF($J47&lt;0.8,"Subcarga",IF($J47&lt;=1.3,"Zona ideal",IF($J47&lt;=1.5,"Atenção","Risco elevado"))))))</f>
        <v>Histórico insuficiente</v>
      </c>
      <c r="M47" s="27" t="s">
        <v>373</v>
      </c>
    </row>
    <row r="48" customFormat="false" ht="15" hidden="false" customHeight="false" outlineLevel="0" collapsed="false">
      <c r="A48" s="29" t="n">
        <v>46246</v>
      </c>
      <c r="B48" s="40" t="n">
        <f aca="false">IF($A48="",0,INT(($A48-Macrociclo!$C$11)/7)+1)</f>
        <v>32</v>
      </c>
      <c r="C48" s="27" t="s">
        <v>259</v>
      </c>
      <c r="D48" s="27" t="s">
        <v>1066</v>
      </c>
      <c r="E48" s="28" t="n">
        <v>90</v>
      </c>
      <c r="F48" s="28" t="n">
        <v>7</v>
      </c>
      <c r="G48" s="44" t="n">
        <f aca="false">IF(OR($E48="",$F48=""),0,$E48*$F48)</f>
        <v>630</v>
      </c>
      <c r="H48" s="44" t="n">
        <f aca="false">IF($A48="",0,SUMIFS($G$8:$G$1007,$C$8:$C$1007,$C48,$A$8:$A$1007,"&gt;="&amp;$A48-6,$A$8:$A$1007,"&lt;="&amp;$A48))</f>
        <v>2010</v>
      </c>
      <c r="I48" s="44" t="n">
        <f aca="false">IF($A48="",0,SUMIFS($G$8:$G$1007,$C$8:$C$1007,$C48,$A$8:$A$1007,"&gt;="&amp;$A48-27,$A$8:$A$1007,"&lt;="&amp;$A48)/4)</f>
        <v>502.5</v>
      </c>
      <c r="J48" s="144" t="n">
        <f aca="false">IF(OR($A48="",$I48=0),0,$H48/$I48)</f>
        <v>4</v>
      </c>
      <c r="K48" s="40" t="n">
        <f aca="false">IF($A48="",0,$A48-SUMPRODUCT(MIN(($C$8:$C$1007=$C48)*$A$8:$A$1007+($C$8:$C$1007&lt;&gt;$C48)*100000))+1)</f>
        <v>3</v>
      </c>
      <c r="L48" s="26" t="str">
        <f aca="false">IF($A48="","",IF($J48=0,"Sem registro anterior",IF($K48&lt;21,"Histórico insuficiente",IF($J48&lt;0.8,"Subcarga",IF($J48&lt;=1.3,"Zona ideal",IF($J48&lt;=1.5,"Atenção","Risco elevado"))))))</f>
        <v>Histórico insuficiente</v>
      </c>
      <c r="M48" s="27" t="s">
        <v>373</v>
      </c>
    </row>
    <row r="49" customFormat="false" ht="15" hidden="false" customHeight="false" outlineLevel="0" collapsed="false">
      <c r="A49" s="29" t="n">
        <v>46246</v>
      </c>
      <c r="B49" s="40" t="n">
        <f aca="false">IF($A49="",0,INT(($A49-Macrociclo!$C$11)/7)+1)</f>
        <v>32</v>
      </c>
      <c r="C49" s="27" t="s">
        <v>264</v>
      </c>
      <c r="D49" s="27" t="s">
        <v>1066</v>
      </c>
      <c r="E49" s="28" t="n">
        <v>100</v>
      </c>
      <c r="F49" s="28" t="n">
        <v>8</v>
      </c>
      <c r="G49" s="44" t="n">
        <f aca="false">IF(OR($E49="",$F49=""),0,$E49*$F49)</f>
        <v>800</v>
      </c>
      <c r="H49" s="44" t="n">
        <f aca="false">IF($A49="",0,SUMIFS($G$8:$G$1007,$C$8:$C$1007,$C49,$A$8:$A$1007,"&gt;="&amp;$A49-6,$A$8:$A$1007,"&lt;="&amp;$A49))</f>
        <v>2440</v>
      </c>
      <c r="I49" s="44" t="n">
        <f aca="false">IF($A49="",0,SUMIFS($G$8:$G$1007,$C$8:$C$1007,$C49,$A$8:$A$1007,"&gt;="&amp;$A49-27,$A$8:$A$1007,"&lt;="&amp;$A49)/4)</f>
        <v>610</v>
      </c>
      <c r="J49" s="144" t="n">
        <f aca="false">IF(OR($A49="",$I49=0),0,$H49/$I49)</f>
        <v>4</v>
      </c>
      <c r="K49" s="40" t="n">
        <f aca="false">IF($A49="",0,$A49-SUMPRODUCT(MIN(($C$8:$C$1007=$C49)*$A$8:$A$1007+($C$8:$C$1007&lt;&gt;$C49)*100000))+1)</f>
        <v>3</v>
      </c>
      <c r="L49" s="26" t="str">
        <f aca="false">IF($A49="","",IF($J49=0,"Sem registro anterior",IF($K49&lt;21,"Histórico insuficiente",IF($J49&lt;0.8,"Subcarga",IF($J49&lt;=1.3,"Zona ideal",IF($J49&lt;=1.5,"Atenção","Risco elevado"))))))</f>
        <v>Histórico insuficiente</v>
      </c>
      <c r="M49" s="27" t="s">
        <v>373</v>
      </c>
    </row>
    <row r="50" customFormat="false" ht="15" hidden="false" customHeight="false" outlineLevel="0" collapsed="false">
      <c r="A50" s="29" t="n">
        <v>46246</v>
      </c>
      <c r="B50" s="40" t="n">
        <f aca="false">IF($A50="",0,INT(($A50-Macrociclo!$C$11)/7)+1)</f>
        <v>32</v>
      </c>
      <c r="C50" s="27" t="s">
        <v>270</v>
      </c>
      <c r="D50" s="27" t="s">
        <v>1066</v>
      </c>
      <c r="E50" s="28" t="n">
        <v>100</v>
      </c>
      <c r="F50" s="28" t="n">
        <v>9</v>
      </c>
      <c r="G50" s="44" t="n">
        <f aca="false">IF(OR($E50="",$F50=""),0,$E50*$F50)</f>
        <v>900</v>
      </c>
      <c r="H50" s="44" t="n">
        <f aca="false">IF($A50="",0,SUMIFS($G$8:$G$1007,$C$8:$C$1007,$C50,$A$8:$A$1007,"&gt;="&amp;$A50-6,$A$8:$A$1007,"&lt;="&amp;$A50))</f>
        <v>2535</v>
      </c>
      <c r="I50" s="44" t="n">
        <f aca="false">IF($A50="",0,SUMIFS($G$8:$G$1007,$C$8:$C$1007,$C50,$A$8:$A$1007,"&gt;="&amp;$A50-27,$A$8:$A$1007,"&lt;="&amp;$A50)/4)</f>
        <v>633.75</v>
      </c>
      <c r="J50" s="144" t="n">
        <f aca="false">IF(OR($A50="",$I50=0),0,$H50/$I50)</f>
        <v>4</v>
      </c>
      <c r="K50" s="40" t="n">
        <f aca="false">IF($A50="",0,$A50-SUMPRODUCT(MIN(($C$8:$C$1007=$C50)*$A$8:$A$1007+($C$8:$C$1007&lt;&gt;$C50)*100000))+1)</f>
        <v>3</v>
      </c>
      <c r="L50" s="26" t="str">
        <f aca="false">IF($A50="","",IF($J50=0,"Sem registro anterior",IF($K50&lt;21,"Histórico insuficiente",IF($J50&lt;0.8,"Subcarga",IF($J50&lt;=1.3,"Zona ideal",IF($J50&lt;=1.5,"Atenção","Risco elevado"))))))</f>
        <v>Histórico insuficiente</v>
      </c>
      <c r="M50" s="27" t="s">
        <v>373</v>
      </c>
    </row>
    <row r="51" customFormat="false" ht="15" hidden="false" customHeight="false" outlineLevel="0" collapsed="false">
      <c r="A51" s="29" t="n">
        <v>46246</v>
      </c>
      <c r="B51" s="40" t="n">
        <f aca="false">IF($A51="",0,INT(($A51-Macrociclo!$C$11)/7)+1)</f>
        <v>32</v>
      </c>
      <c r="C51" s="27" t="s">
        <v>279</v>
      </c>
      <c r="D51" s="27" t="s">
        <v>1066</v>
      </c>
      <c r="E51" s="28" t="n">
        <v>95</v>
      </c>
      <c r="F51" s="28" t="n">
        <v>8</v>
      </c>
      <c r="G51" s="44" t="n">
        <f aca="false">IF(OR($E51="",$F51=""),0,$E51*$F51)</f>
        <v>760</v>
      </c>
      <c r="H51" s="44" t="n">
        <f aca="false">IF($A51="",0,SUMIFS($G$8:$G$1007,$C$8:$C$1007,$C51,$A$8:$A$1007,"&gt;="&amp;$A51-6,$A$8:$A$1007,"&lt;="&amp;$A51))</f>
        <v>1620</v>
      </c>
      <c r="I51" s="44" t="n">
        <f aca="false">IF($A51="",0,SUMIFS($G$8:$G$1007,$C$8:$C$1007,$C51,$A$8:$A$1007,"&gt;="&amp;$A51-27,$A$8:$A$1007,"&lt;="&amp;$A51)/4)</f>
        <v>405</v>
      </c>
      <c r="J51" s="144" t="n">
        <f aca="false">IF(OR($A51="",$I51=0),0,$H51/$I51)</f>
        <v>4</v>
      </c>
      <c r="K51" s="40" t="n">
        <f aca="false">IF($A51="",0,$A51-SUMPRODUCT(MIN(($C$8:$C$1007=$C51)*$A$8:$A$1007+($C$8:$C$1007&lt;&gt;$C51)*100000))+1)</f>
        <v>3</v>
      </c>
      <c r="L51" s="26" t="str">
        <f aca="false">IF($A51="","",IF($J51=0,"Sem registro anterior",IF($K51&lt;21,"Histórico insuficiente",IF($J51&lt;0.8,"Subcarga",IF($J51&lt;=1.3,"Zona ideal",IF($J51&lt;=1.5,"Atenção","Risco elevado"))))))</f>
        <v>Histórico insuficiente</v>
      </c>
      <c r="M51" s="27" t="s">
        <v>373</v>
      </c>
    </row>
    <row r="52" customFormat="false" ht="15" hidden="false" customHeight="false" outlineLevel="0" collapsed="false">
      <c r="A52" s="29" t="n">
        <v>46247</v>
      </c>
      <c r="B52" s="40" t="n">
        <f aca="false">IF($A52="",0,INT(($A52-Macrociclo!$C$11)/7)+1)</f>
        <v>32</v>
      </c>
      <c r="C52" s="27" t="s">
        <v>164</v>
      </c>
      <c r="D52" s="27" t="s">
        <v>1069</v>
      </c>
      <c r="E52" s="28" t="n">
        <v>40</v>
      </c>
      <c r="F52" s="28" t="n">
        <v>6</v>
      </c>
      <c r="G52" s="44" t="n">
        <f aca="false">IF(OR($E52="",$F52=""),0,$E52*$F52)</f>
        <v>240</v>
      </c>
      <c r="H52" s="44" t="n">
        <f aca="false">IF($A52="",0,SUMIFS($G$8:$G$1007,$C$8:$C$1007,$C52,$A$8:$A$1007,"&gt;="&amp;$A52-6,$A$8:$A$1007,"&lt;="&amp;$A52))</f>
        <v>2985</v>
      </c>
      <c r="I52" s="44" t="n">
        <f aca="false">IF($A52="",0,SUMIFS($G$8:$G$1007,$C$8:$C$1007,$C52,$A$8:$A$1007,"&gt;="&amp;$A52-27,$A$8:$A$1007,"&lt;="&amp;$A52)/4)</f>
        <v>746.25</v>
      </c>
      <c r="J52" s="144" t="n">
        <f aca="false">IF(OR($A52="",$I52=0),0,$H52/$I52)</f>
        <v>4</v>
      </c>
      <c r="K52" s="40" t="n">
        <f aca="false">IF($A52="",0,$A52-SUMPRODUCT(MIN(($C$8:$C$1007=$C52)*$A$8:$A$1007+($C$8:$C$1007&lt;&gt;$C52)*100000))+1)</f>
        <v>4</v>
      </c>
      <c r="L52" s="26" t="str">
        <f aca="false">IF($A52="","",IF($J52=0,"Sem registro anterior",IF($K52&lt;21,"Histórico insuficiente",IF($J52&lt;0.8,"Subcarga",IF($J52&lt;=1.3,"Zona ideal",IF($J52&lt;=1.5,"Atenção","Risco elevado"))))))</f>
        <v>Histórico insuficiente</v>
      </c>
      <c r="M52" s="27" t="s">
        <v>373</v>
      </c>
    </row>
    <row r="53" customFormat="false" ht="15" hidden="false" customHeight="false" outlineLevel="0" collapsed="false">
      <c r="A53" s="29" t="n">
        <v>46247</v>
      </c>
      <c r="B53" s="40" t="n">
        <f aca="false">IF($A53="",0,INT(($A53-Macrociclo!$C$11)/7)+1)</f>
        <v>32</v>
      </c>
      <c r="C53" s="27" t="s">
        <v>192</v>
      </c>
      <c r="D53" s="27" t="s">
        <v>1069</v>
      </c>
      <c r="E53" s="28" t="n">
        <v>55</v>
      </c>
      <c r="F53" s="28" t="n">
        <v>5</v>
      </c>
      <c r="G53" s="44" t="n">
        <f aca="false">IF(OR($E53="",$F53=""),0,$E53*$F53)</f>
        <v>275</v>
      </c>
      <c r="H53" s="44" t="n">
        <f aca="false">IF($A53="",0,SUMIFS($G$8:$G$1007,$C$8:$C$1007,$C53,$A$8:$A$1007,"&gt;="&amp;$A53-6,$A$8:$A$1007,"&lt;="&amp;$A53))</f>
        <v>3130</v>
      </c>
      <c r="I53" s="44" t="n">
        <f aca="false">IF($A53="",0,SUMIFS($G$8:$G$1007,$C$8:$C$1007,$C53,$A$8:$A$1007,"&gt;="&amp;$A53-27,$A$8:$A$1007,"&lt;="&amp;$A53)/4)</f>
        <v>782.5</v>
      </c>
      <c r="J53" s="144" t="n">
        <f aca="false">IF(OR($A53="",$I53=0),0,$H53/$I53)</f>
        <v>4</v>
      </c>
      <c r="K53" s="40" t="n">
        <f aca="false">IF($A53="",0,$A53-SUMPRODUCT(MIN(($C$8:$C$1007=$C53)*$A$8:$A$1007+($C$8:$C$1007&lt;&gt;$C53)*100000))+1)</f>
        <v>4</v>
      </c>
      <c r="L53" s="26" t="str">
        <f aca="false">IF($A53="","",IF($J53=0,"Sem registro anterior",IF($K53&lt;21,"Histórico insuficiente",IF($J53&lt;0.8,"Subcarga",IF($J53&lt;=1.3,"Zona ideal",IF($J53&lt;=1.5,"Atenção","Risco elevado"))))))</f>
        <v>Histórico insuficiente</v>
      </c>
      <c r="M53" s="27" t="s">
        <v>373</v>
      </c>
    </row>
    <row r="54" customFormat="false" ht="15" hidden="false" customHeight="false" outlineLevel="0" collapsed="false">
      <c r="A54" s="29" t="n">
        <v>46247</v>
      </c>
      <c r="B54" s="40" t="n">
        <f aca="false">IF($A54="",0,INT(($A54-Macrociclo!$C$11)/7)+1)</f>
        <v>32</v>
      </c>
      <c r="C54" s="27" t="s">
        <v>206</v>
      </c>
      <c r="D54" s="27" t="s">
        <v>1069</v>
      </c>
      <c r="E54" s="28" t="n">
        <v>45</v>
      </c>
      <c r="F54" s="28" t="n">
        <v>6</v>
      </c>
      <c r="G54" s="44" t="n">
        <f aca="false">IF(OR($E54="",$F54=""),0,$E54*$F54)</f>
        <v>270</v>
      </c>
      <c r="H54" s="44" t="n">
        <f aca="false">IF($A54="",0,SUMIFS($G$8:$G$1007,$C$8:$C$1007,$C54,$A$8:$A$1007,"&gt;="&amp;$A54-6,$A$8:$A$1007,"&lt;="&amp;$A54))</f>
        <v>1920</v>
      </c>
      <c r="I54" s="44" t="n">
        <f aca="false">IF($A54="",0,SUMIFS($G$8:$G$1007,$C$8:$C$1007,$C54,$A$8:$A$1007,"&gt;="&amp;$A54-27,$A$8:$A$1007,"&lt;="&amp;$A54)/4)</f>
        <v>480</v>
      </c>
      <c r="J54" s="144" t="n">
        <f aca="false">IF(OR($A54="",$I54=0),0,$H54/$I54)</f>
        <v>4</v>
      </c>
      <c r="K54" s="40" t="n">
        <f aca="false">IF($A54="",0,$A54-SUMPRODUCT(MIN(($C$8:$C$1007=$C54)*$A$8:$A$1007+($C$8:$C$1007&lt;&gt;$C54)*100000))+1)</f>
        <v>4</v>
      </c>
      <c r="L54" s="26" t="str">
        <f aca="false">IF($A54="","",IF($J54=0,"Sem registro anterior",IF($K54&lt;21,"Histórico insuficiente",IF($J54&lt;0.8,"Subcarga",IF($J54&lt;=1.3,"Zona ideal",IF($J54&lt;=1.5,"Atenção","Risco elevado"))))))</f>
        <v>Histórico insuficiente</v>
      </c>
      <c r="M54" s="27" t="s">
        <v>373</v>
      </c>
    </row>
    <row r="55" customFormat="false" ht="15" hidden="false" customHeight="false" outlineLevel="0" collapsed="false">
      <c r="A55" s="29" t="n">
        <v>46247</v>
      </c>
      <c r="B55" s="40" t="n">
        <f aca="false">IF($A55="",0,INT(($A55-Macrociclo!$C$11)/7)+1)</f>
        <v>32</v>
      </c>
      <c r="C55" s="27" t="s">
        <v>215</v>
      </c>
      <c r="D55" s="27" t="s">
        <v>1069</v>
      </c>
      <c r="E55" s="28" t="n">
        <v>55</v>
      </c>
      <c r="F55" s="28" t="n">
        <v>7</v>
      </c>
      <c r="G55" s="44" t="n">
        <f aca="false">IF(OR($E55="",$F55=""),0,$E55*$F55)</f>
        <v>385</v>
      </c>
      <c r="H55" s="44" t="n">
        <f aca="false">IF($A55="",0,SUMIFS($G$8:$G$1007,$C$8:$C$1007,$C55,$A$8:$A$1007,"&gt;="&amp;$A55-6,$A$8:$A$1007,"&lt;="&amp;$A55))</f>
        <v>3080</v>
      </c>
      <c r="I55" s="44" t="n">
        <f aca="false">IF($A55="",0,SUMIFS($G$8:$G$1007,$C$8:$C$1007,$C55,$A$8:$A$1007,"&gt;="&amp;$A55-27,$A$8:$A$1007,"&lt;="&amp;$A55)/4)</f>
        <v>770</v>
      </c>
      <c r="J55" s="144" t="n">
        <f aca="false">IF(OR($A55="",$I55=0),0,$H55/$I55)</f>
        <v>4</v>
      </c>
      <c r="K55" s="40" t="n">
        <f aca="false">IF($A55="",0,$A55-SUMPRODUCT(MIN(($C$8:$C$1007=$C55)*$A$8:$A$1007+($C$8:$C$1007&lt;&gt;$C55)*100000))+1)</f>
        <v>4</v>
      </c>
      <c r="L55" s="26" t="str">
        <f aca="false">IF($A55="","",IF($J55=0,"Sem registro anterior",IF($K55&lt;21,"Histórico insuficiente",IF($J55&lt;0.8,"Subcarga",IF($J55&lt;=1.3,"Zona ideal",IF($J55&lt;=1.5,"Atenção","Risco elevado"))))))</f>
        <v>Histórico insuficiente</v>
      </c>
      <c r="M55" s="27" t="s">
        <v>373</v>
      </c>
    </row>
    <row r="56" customFormat="false" ht="15" hidden="false" customHeight="false" outlineLevel="0" collapsed="false">
      <c r="A56" s="29" t="n">
        <v>46247</v>
      </c>
      <c r="B56" s="40" t="n">
        <f aca="false">IF($A56="",0,INT(($A56-Macrociclo!$C$11)/7)+1)</f>
        <v>32</v>
      </c>
      <c r="C56" s="27" t="s">
        <v>226</v>
      </c>
      <c r="D56" s="27" t="s">
        <v>1069</v>
      </c>
      <c r="E56" s="28" t="n">
        <v>40</v>
      </c>
      <c r="F56" s="28" t="n">
        <v>7</v>
      </c>
      <c r="G56" s="44" t="n">
        <f aca="false">IF(OR($E56="",$F56=""),0,$E56*$F56)</f>
        <v>280</v>
      </c>
      <c r="H56" s="44" t="n">
        <f aca="false">IF($A56="",0,SUMIFS($G$8:$G$1007,$C$8:$C$1007,$C56,$A$8:$A$1007,"&gt;="&amp;$A56-6,$A$8:$A$1007,"&lt;="&amp;$A56))</f>
        <v>3290</v>
      </c>
      <c r="I56" s="44" t="n">
        <f aca="false">IF($A56="",0,SUMIFS($G$8:$G$1007,$C$8:$C$1007,$C56,$A$8:$A$1007,"&gt;="&amp;$A56-27,$A$8:$A$1007,"&lt;="&amp;$A56)/4)</f>
        <v>822.5</v>
      </c>
      <c r="J56" s="144" t="n">
        <f aca="false">IF(OR($A56="",$I56=0),0,$H56/$I56)</f>
        <v>4</v>
      </c>
      <c r="K56" s="40" t="n">
        <f aca="false">IF($A56="",0,$A56-SUMPRODUCT(MIN(($C$8:$C$1007=$C56)*$A$8:$A$1007+($C$8:$C$1007&lt;&gt;$C56)*100000))+1)</f>
        <v>4</v>
      </c>
      <c r="L56" s="26" t="str">
        <f aca="false">IF($A56="","",IF($J56=0,"Sem registro anterior",IF($K56&lt;21,"Histórico insuficiente",IF($J56&lt;0.8,"Subcarga",IF($J56&lt;=1.3,"Zona ideal",IF($J56&lt;=1.5,"Atenção","Risco elevado"))))))</f>
        <v>Histórico insuficiente</v>
      </c>
      <c r="M56" s="27" t="s">
        <v>373</v>
      </c>
    </row>
    <row r="57" customFormat="false" ht="15" hidden="false" customHeight="false" outlineLevel="0" collapsed="false">
      <c r="A57" s="29" t="n">
        <v>46247</v>
      </c>
      <c r="B57" s="40" t="n">
        <f aca="false">IF($A57="",0,INT(($A57-Macrociclo!$C$11)/7)+1)</f>
        <v>32</v>
      </c>
      <c r="C57" s="27" t="s">
        <v>236</v>
      </c>
      <c r="D57" s="27" t="s">
        <v>1069</v>
      </c>
      <c r="E57" s="28" t="n">
        <v>50</v>
      </c>
      <c r="F57" s="28" t="n">
        <v>6</v>
      </c>
      <c r="G57" s="44" t="n">
        <f aca="false">IF(OR($E57="",$F57=""),0,$E57*$F57)</f>
        <v>300</v>
      </c>
      <c r="H57" s="44" t="n">
        <f aca="false">IF($A57="",0,SUMIFS($G$8:$G$1007,$C$8:$C$1007,$C57,$A$8:$A$1007,"&gt;="&amp;$A57-6,$A$8:$A$1007,"&lt;="&amp;$A57))</f>
        <v>3035</v>
      </c>
      <c r="I57" s="44" t="n">
        <f aca="false">IF($A57="",0,SUMIFS($G$8:$G$1007,$C$8:$C$1007,$C57,$A$8:$A$1007,"&gt;="&amp;$A57-27,$A$8:$A$1007,"&lt;="&amp;$A57)/4)</f>
        <v>758.75</v>
      </c>
      <c r="J57" s="144" t="n">
        <f aca="false">IF(OR($A57="",$I57=0),0,$H57/$I57)</f>
        <v>4</v>
      </c>
      <c r="K57" s="40" t="n">
        <f aca="false">IF($A57="",0,$A57-SUMPRODUCT(MIN(($C$8:$C$1007=$C57)*$A$8:$A$1007+($C$8:$C$1007&lt;&gt;$C57)*100000))+1)</f>
        <v>4</v>
      </c>
      <c r="L57" s="26" t="str">
        <f aca="false">IF($A57="","",IF($J57=0,"Sem registro anterior",IF($K57&lt;21,"Histórico insuficiente",IF($J57&lt;0.8,"Subcarga",IF($J57&lt;=1.3,"Zona ideal",IF($J57&lt;=1.5,"Atenção","Risco elevado"))))))</f>
        <v>Histórico insuficiente</v>
      </c>
      <c r="M57" s="27" t="s">
        <v>373</v>
      </c>
    </row>
    <row r="58" customFormat="false" ht="15" hidden="false" customHeight="false" outlineLevel="0" collapsed="false">
      <c r="A58" s="29" t="n">
        <v>46247</v>
      </c>
      <c r="B58" s="40" t="n">
        <f aca="false">IF($A58="",0,INT(($A58-Macrociclo!$C$11)/7)+1)</f>
        <v>32</v>
      </c>
      <c r="C58" s="27" t="s">
        <v>244</v>
      </c>
      <c r="D58" s="27" t="s">
        <v>1069</v>
      </c>
      <c r="E58" s="28" t="n">
        <v>55</v>
      </c>
      <c r="F58" s="28" t="n">
        <v>6</v>
      </c>
      <c r="G58" s="44" t="n">
        <f aca="false">IF(OR($E58="",$F58=""),0,$E58*$F58)</f>
        <v>330</v>
      </c>
      <c r="H58" s="44" t="n">
        <f aca="false">IF($A58="",0,SUMIFS($G$8:$G$1007,$C$8:$C$1007,$C58,$A$8:$A$1007,"&gt;="&amp;$A58-6,$A$8:$A$1007,"&lt;="&amp;$A58))</f>
        <v>3250</v>
      </c>
      <c r="I58" s="44" t="n">
        <f aca="false">IF($A58="",0,SUMIFS($G$8:$G$1007,$C$8:$C$1007,$C58,$A$8:$A$1007,"&gt;="&amp;$A58-27,$A$8:$A$1007,"&lt;="&amp;$A58)/4)</f>
        <v>812.5</v>
      </c>
      <c r="J58" s="144" t="n">
        <f aca="false">IF(OR($A58="",$I58=0),0,$H58/$I58)</f>
        <v>4</v>
      </c>
      <c r="K58" s="40" t="n">
        <f aca="false">IF($A58="",0,$A58-SUMPRODUCT(MIN(($C$8:$C$1007=$C58)*$A$8:$A$1007+($C$8:$C$1007&lt;&gt;$C58)*100000))+1)</f>
        <v>4</v>
      </c>
      <c r="L58" s="26" t="str">
        <f aca="false">IF($A58="","",IF($J58=0,"Sem registro anterior",IF($K58&lt;21,"Histórico insuficiente",IF($J58&lt;0.8,"Subcarga",IF($J58&lt;=1.3,"Zona ideal",IF($J58&lt;=1.5,"Atenção","Risco elevado"))))))</f>
        <v>Histórico insuficiente</v>
      </c>
      <c r="M58" s="27" t="s">
        <v>373</v>
      </c>
    </row>
    <row r="59" customFormat="false" ht="15" hidden="false" customHeight="false" outlineLevel="0" collapsed="false">
      <c r="A59" s="29" t="n">
        <v>46247</v>
      </c>
      <c r="B59" s="40" t="n">
        <f aca="false">IF($A59="",0,INT(($A59-Macrociclo!$C$11)/7)+1)</f>
        <v>32</v>
      </c>
      <c r="C59" s="27" t="s">
        <v>253</v>
      </c>
      <c r="D59" s="27" t="s">
        <v>1069</v>
      </c>
      <c r="E59" s="28" t="n">
        <v>50</v>
      </c>
      <c r="F59" s="28" t="n">
        <v>6</v>
      </c>
      <c r="G59" s="44" t="n">
        <f aca="false">IF(OR($E59="",$F59=""),0,$E59*$F59)</f>
        <v>300</v>
      </c>
      <c r="H59" s="44" t="n">
        <f aca="false">IF($A59="",0,SUMIFS($G$8:$G$1007,$C$8:$C$1007,$C59,$A$8:$A$1007,"&gt;="&amp;$A59-6,$A$8:$A$1007,"&lt;="&amp;$A59))</f>
        <v>3215</v>
      </c>
      <c r="I59" s="44" t="n">
        <f aca="false">IF($A59="",0,SUMIFS($G$8:$G$1007,$C$8:$C$1007,$C59,$A$8:$A$1007,"&gt;="&amp;$A59-27,$A$8:$A$1007,"&lt;="&amp;$A59)/4)</f>
        <v>803.75</v>
      </c>
      <c r="J59" s="144" t="n">
        <f aca="false">IF(OR($A59="",$I59=0),0,$H59/$I59)</f>
        <v>4</v>
      </c>
      <c r="K59" s="40" t="n">
        <f aca="false">IF($A59="",0,$A59-SUMPRODUCT(MIN(($C$8:$C$1007=$C59)*$A$8:$A$1007+($C$8:$C$1007&lt;&gt;$C59)*100000))+1)</f>
        <v>4</v>
      </c>
      <c r="L59" s="26" t="str">
        <f aca="false">IF($A59="","",IF($J59=0,"Sem registro anterior",IF($K59&lt;21,"Histórico insuficiente",IF($J59&lt;0.8,"Subcarga",IF($J59&lt;=1.3,"Zona ideal",IF($J59&lt;=1.5,"Atenção","Risco elevado"))))))</f>
        <v>Histórico insuficiente</v>
      </c>
      <c r="M59" s="27" t="s">
        <v>373</v>
      </c>
    </row>
    <row r="60" customFormat="false" ht="15" hidden="false" customHeight="false" outlineLevel="0" collapsed="false">
      <c r="A60" s="29" t="n">
        <v>46247</v>
      </c>
      <c r="B60" s="40" t="n">
        <f aca="false">IF($A60="",0,INT(($A60-Macrociclo!$C$11)/7)+1)</f>
        <v>32</v>
      </c>
      <c r="C60" s="27" t="s">
        <v>259</v>
      </c>
      <c r="D60" s="27" t="s">
        <v>1069</v>
      </c>
      <c r="E60" s="28" t="n">
        <v>40</v>
      </c>
      <c r="F60" s="28" t="n">
        <v>6</v>
      </c>
      <c r="G60" s="44" t="n">
        <f aca="false">IF(OR($E60="",$F60=""),0,$E60*$F60)</f>
        <v>240</v>
      </c>
      <c r="H60" s="44" t="n">
        <f aca="false">IF($A60="",0,SUMIFS($G$8:$G$1007,$C$8:$C$1007,$C60,$A$8:$A$1007,"&gt;="&amp;$A60-6,$A$8:$A$1007,"&lt;="&amp;$A60))</f>
        <v>2845</v>
      </c>
      <c r="I60" s="44" t="n">
        <f aca="false">IF($A60="",0,SUMIFS($G$8:$G$1007,$C$8:$C$1007,$C60,$A$8:$A$1007,"&gt;="&amp;$A60-27,$A$8:$A$1007,"&lt;="&amp;$A60)/4)</f>
        <v>711.25</v>
      </c>
      <c r="J60" s="144" t="n">
        <f aca="false">IF(OR($A60="",$I60=0),0,$H60/$I60)</f>
        <v>4</v>
      </c>
      <c r="K60" s="40" t="n">
        <f aca="false">IF($A60="",0,$A60-SUMPRODUCT(MIN(($C$8:$C$1007=$C60)*$A$8:$A$1007+($C$8:$C$1007&lt;&gt;$C60)*100000))+1)</f>
        <v>4</v>
      </c>
      <c r="L60" s="26" t="str">
        <f aca="false">IF($A60="","",IF($J60=0,"Sem registro anterior",IF($K60&lt;21,"Histórico insuficiente",IF($J60&lt;0.8,"Subcarga",IF($J60&lt;=1.3,"Zona ideal",IF($J60&lt;=1.5,"Atenção","Risco elevado"))))))</f>
        <v>Histórico insuficiente</v>
      </c>
      <c r="M60" s="27" t="s">
        <v>373</v>
      </c>
    </row>
    <row r="61" customFormat="false" ht="15" hidden="false" customHeight="false" outlineLevel="0" collapsed="false">
      <c r="A61" s="29" t="n">
        <v>46247</v>
      </c>
      <c r="B61" s="40" t="n">
        <f aca="false">IF($A61="",0,INT(($A61-Macrociclo!$C$11)/7)+1)</f>
        <v>32</v>
      </c>
      <c r="C61" s="27" t="s">
        <v>264</v>
      </c>
      <c r="D61" s="27" t="s">
        <v>1069</v>
      </c>
      <c r="E61" s="28" t="n">
        <v>45</v>
      </c>
      <c r="F61" s="28" t="n">
        <v>6</v>
      </c>
      <c r="G61" s="44" t="n">
        <f aca="false">IF(OR($E61="",$F61=""),0,$E61*$F61)</f>
        <v>270</v>
      </c>
      <c r="H61" s="44" t="n">
        <f aca="false">IF($A61="",0,SUMIFS($G$8:$G$1007,$C$8:$C$1007,$C61,$A$8:$A$1007,"&gt;="&amp;$A61-6,$A$8:$A$1007,"&lt;="&amp;$A61))</f>
        <v>3375</v>
      </c>
      <c r="I61" s="44" t="n">
        <f aca="false">IF($A61="",0,SUMIFS($G$8:$G$1007,$C$8:$C$1007,$C61,$A$8:$A$1007,"&gt;="&amp;$A61-27,$A$8:$A$1007,"&lt;="&amp;$A61)/4)</f>
        <v>843.75</v>
      </c>
      <c r="J61" s="144" t="n">
        <f aca="false">IF(OR($A61="",$I61=0),0,$H61/$I61)</f>
        <v>4</v>
      </c>
      <c r="K61" s="40" t="n">
        <f aca="false">IF($A61="",0,$A61-SUMPRODUCT(MIN(($C$8:$C$1007=$C61)*$A$8:$A$1007+($C$8:$C$1007&lt;&gt;$C61)*100000))+1)</f>
        <v>4</v>
      </c>
      <c r="L61" s="26" t="str">
        <f aca="false">IF($A61="","",IF($J61=0,"Sem registro anterior",IF($K61&lt;21,"Histórico insuficiente",IF($J61&lt;0.8,"Subcarga",IF($J61&lt;=1.3,"Zona ideal",IF($J61&lt;=1.5,"Atenção","Risco elevado"))))))</f>
        <v>Histórico insuficiente</v>
      </c>
      <c r="M61" s="27" t="s">
        <v>373</v>
      </c>
    </row>
    <row r="62" customFormat="false" ht="15" hidden="false" customHeight="false" outlineLevel="0" collapsed="false">
      <c r="A62" s="29" t="n">
        <v>46247</v>
      </c>
      <c r="B62" s="40" t="n">
        <f aca="false">IF($A62="",0,INT(($A62-Macrociclo!$C$11)/7)+1)</f>
        <v>32</v>
      </c>
      <c r="C62" s="27" t="s">
        <v>270</v>
      </c>
      <c r="D62" s="27" t="s">
        <v>1069</v>
      </c>
      <c r="E62" s="28" t="n">
        <v>40</v>
      </c>
      <c r="F62" s="28" t="n">
        <v>6</v>
      </c>
      <c r="G62" s="44" t="n">
        <f aca="false">IF(OR($E62="",$F62=""),0,$E62*$F62)</f>
        <v>240</v>
      </c>
      <c r="H62" s="44" t="n">
        <f aca="false">IF($A62="",0,SUMIFS($G$8:$G$1007,$C$8:$C$1007,$C62,$A$8:$A$1007,"&gt;="&amp;$A62-6,$A$8:$A$1007,"&lt;="&amp;$A62))</f>
        <v>3345</v>
      </c>
      <c r="I62" s="44" t="n">
        <f aca="false">IF($A62="",0,SUMIFS($G$8:$G$1007,$C$8:$C$1007,$C62,$A$8:$A$1007,"&gt;="&amp;$A62-27,$A$8:$A$1007,"&lt;="&amp;$A62)/4)</f>
        <v>836.25</v>
      </c>
      <c r="J62" s="144" t="n">
        <f aca="false">IF(OR($A62="",$I62=0),0,$H62/$I62)</f>
        <v>4</v>
      </c>
      <c r="K62" s="40" t="n">
        <f aca="false">IF($A62="",0,$A62-SUMPRODUCT(MIN(($C$8:$C$1007=$C62)*$A$8:$A$1007+($C$8:$C$1007&lt;&gt;$C62)*100000))+1)</f>
        <v>4</v>
      </c>
      <c r="L62" s="26" t="str">
        <f aca="false">IF($A62="","",IF($J62=0,"Sem registro anterior",IF($K62&lt;21,"Histórico insuficiente",IF($J62&lt;0.8,"Subcarga",IF($J62&lt;=1.3,"Zona ideal",IF($J62&lt;=1.5,"Atenção","Risco elevado"))))))</f>
        <v>Histórico insuficiente</v>
      </c>
      <c r="M62" s="27" t="s">
        <v>373</v>
      </c>
    </row>
    <row r="63" customFormat="false" ht="15" hidden="false" customHeight="false" outlineLevel="0" collapsed="false">
      <c r="A63" s="29" t="n">
        <v>46247</v>
      </c>
      <c r="B63" s="40" t="n">
        <f aca="false">IF($A63="",0,INT(($A63-Macrociclo!$C$11)/7)+1)</f>
        <v>32</v>
      </c>
      <c r="C63" s="27" t="s">
        <v>164</v>
      </c>
      <c r="D63" s="27" t="s">
        <v>1056</v>
      </c>
      <c r="E63" s="28" t="n">
        <v>85</v>
      </c>
      <c r="F63" s="28" t="n">
        <v>7</v>
      </c>
      <c r="G63" s="44" t="n">
        <f aca="false">IF(OR($E63="",$F63=""),0,$E63*$F63)</f>
        <v>595</v>
      </c>
      <c r="H63" s="44" t="n">
        <f aca="false">IF($A63="",0,SUMIFS($G$8:$G$1007,$C$8:$C$1007,$C63,$A$8:$A$1007,"&gt;="&amp;$A63-6,$A$8:$A$1007,"&lt;="&amp;$A63))</f>
        <v>2985</v>
      </c>
      <c r="I63" s="44" t="n">
        <f aca="false">IF($A63="",0,SUMIFS($G$8:$G$1007,$C$8:$C$1007,$C63,$A$8:$A$1007,"&gt;="&amp;$A63-27,$A$8:$A$1007,"&lt;="&amp;$A63)/4)</f>
        <v>746.25</v>
      </c>
      <c r="J63" s="144" t="n">
        <f aca="false">IF(OR($A63="",$I63=0),0,$H63/$I63)</f>
        <v>4</v>
      </c>
      <c r="K63" s="40" t="n">
        <f aca="false">IF($A63="",0,$A63-SUMPRODUCT(MIN(($C$8:$C$1007=$C63)*$A$8:$A$1007+($C$8:$C$1007&lt;&gt;$C63)*100000))+1)</f>
        <v>4</v>
      </c>
      <c r="L63" s="26" t="str">
        <f aca="false">IF($A63="","",IF($J63=0,"Sem registro anterior",IF($K63&lt;21,"Histórico insuficiente",IF($J63&lt;0.8,"Subcarga",IF($J63&lt;=1.3,"Zona ideal",IF($J63&lt;=1.5,"Atenção","Risco elevado"))))))</f>
        <v>Histórico insuficiente</v>
      </c>
      <c r="M63" s="27" t="s">
        <v>373</v>
      </c>
    </row>
    <row r="64" customFormat="false" ht="15" hidden="false" customHeight="false" outlineLevel="0" collapsed="false">
      <c r="A64" s="29" t="n">
        <v>46247</v>
      </c>
      <c r="B64" s="40" t="n">
        <f aca="false">IF($A64="",0,INT(($A64-Macrociclo!$C$11)/7)+1)</f>
        <v>32</v>
      </c>
      <c r="C64" s="27" t="s">
        <v>192</v>
      </c>
      <c r="D64" s="27" t="s">
        <v>1056</v>
      </c>
      <c r="E64" s="28" t="n">
        <v>95</v>
      </c>
      <c r="F64" s="28" t="n">
        <v>7</v>
      </c>
      <c r="G64" s="44" t="n">
        <f aca="false">IF(OR($E64="",$F64=""),0,$E64*$F64)</f>
        <v>665</v>
      </c>
      <c r="H64" s="44" t="n">
        <f aca="false">IF($A64="",0,SUMIFS($G$8:$G$1007,$C$8:$C$1007,$C64,$A$8:$A$1007,"&gt;="&amp;$A64-6,$A$8:$A$1007,"&lt;="&amp;$A64))</f>
        <v>3130</v>
      </c>
      <c r="I64" s="44" t="n">
        <f aca="false">IF($A64="",0,SUMIFS($G$8:$G$1007,$C$8:$C$1007,$C64,$A$8:$A$1007,"&gt;="&amp;$A64-27,$A$8:$A$1007,"&lt;="&amp;$A64)/4)</f>
        <v>782.5</v>
      </c>
      <c r="J64" s="144" t="n">
        <f aca="false">IF(OR($A64="",$I64=0),0,$H64/$I64)</f>
        <v>4</v>
      </c>
      <c r="K64" s="40" t="n">
        <f aca="false">IF($A64="",0,$A64-SUMPRODUCT(MIN(($C$8:$C$1007=$C64)*$A$8:$A$1007+($C$8:$C$1007&lt;&gt;$C64)*100000))+1)</f>
        <v>4</v>
      </c>
      <c r="L64" s="26" t="str">
        <f aca="false">IF($A64="","",IF($J64=0,"Sem registro anterior",IF($K64&lt;21,"Histórico insuficiente",IF($J64&lt;0.8,"Subcarga",IF($J64&lt;=1.3,"Zona ideal",IF($J64&lt;=1.5,"Atenção","Risco elevado"))))))</f>
        <v>Histórico insuficiente</v>
      </c>
      <c r="M64" s="27" t="s">
        <v>373</v>
      </c>
    </row>
    <row r="65" customFormat="false" ht="15" hidden="false" customHeight="false" outlineLevel="0" collapsed="false">
      <c r="A65" s="29" t="n">
        <v>46247</v>
      </c>
      <c r="B65" s="40" t="n">
        <f aca="false">IF($A65="",0,INT(($A65-Macrociclo!$C$11)/7)+1)</f>
        <v>32</v>
      </c>
      <c r="C65" s="27" t="s">
        <v>206</v>
      </c>
      <c r="D65" s="27" t="s">
        <v>1056</v>
      </c>
      <c r="E65" s="28" t="n">
        <v>90</v>
      </c>
      <c r="F65" s="28" t="n">
        <v>8</v>
      </c>
      <c r="G65" s="44" t="n">
        <f aca="false">IF(OR($E65="",$F65=""),0,$E65*$F65)</f>
        <v>720</v>
      </c>
      <c r="H65" s="44" t="n">
        <f aca="false">IF($A65="",0,SUMIFS($G$8:$G$1007,$C$8:$C$1007,$C65,$A$8:$A$1007,"&gt;="&amp;$A65-6,$A$8:$A$1007,"&lt;="&amp;$A65))</f>
        <v>1920</v>
      </c>
      <c r="I65" s="44" t="n">
        <f aca="false">IF($A65="",0,SUMIFS($G$8:$G$1007,$C$8:$C$1007,$C65,$A$8:$A$1007,"&gt;="&amp;$A65-27,$A$8:$A$1007,"&lt;="&amp;$A65)/4)</f>
        <v>480</v>
      </c>
      <c r="J65" s="144" t="n">
        <f aca="false">IF(OR($A65="",$I65=0),0,$H65/$I65)</f>
        <v>4</v>
      </c>
      <c r="K65" s="40" t="n">
        <f aca="false">IF($A65="",0,$A65-SUMPRODUCT(MIN(($C$8:$C$1007=$C65)*$A$8:$A$1007+($C$8:$C$1007&lt;&gt;$C65)*100000))+1)</f>
        <v>4</v>
      </c>
      <c r="L65" s="26" t="str">
        <f aca="false">IF($A65="","",IF($J65=0,"Sem registro anterior",IF($K65&lt;21,"Histórico insuficiente",IF($J65&lt;0.8,"Subcarga",IF($J65&lt;=1.3,"Zona ideal",IF($J65&lt;=1.5,"Atenção","Risco elevado"))))))</f>
        <v>Histórico insuficiente</v>
      </c>
      <c r="M65" s="27" t="s">
        <v>373</v>
      </c>
    </row>
    <row r="66" customFormat="false" ht="15" hidden="false" customHeight="false" outlineLevel="0" collapsed="false">
      <c r="A66" s="29" t="n">
        <v>46247</v>
      </c>
      <c r="B66" s="40" t="n">
        <f aca="false">IF($A66="",0,INT(($A66-Macrociclo!$C$11)/7)+1)</f>
        <v>32</v>
      </c>
      <c r="C66" s="27" t="s">
        <v>215</v>
      </c>
      <c r="D66" s="27" t="s">
        <v>1056</v>
      </c>
      <c r="E66" s="28" t="n">
        <v>90</v>
      </c>
      <c r="F66" s="28" t="n">
        <v>7</v>
      </c>
      <c r="G66" s="44" t="n">
        <f aca="false">IF(OR($E66="",$F66=""),0,$E66*$F66)</f>
        <v>630</v>
      </c>
      <c r="H66" s="44" t="n">
        <f aca="false">IF($A66="",0,SUMIFS($G$8:$G$1007,$C$8:$C$1007,$C66,$A$8:$A$1007,"&gt;="&amp;$A66-6,$A$8:$A$1007,"&lt;="&amp;$A66))</f>
        <v>3080</v>
      </c>
      <c r="I66" s="44" t="n">
        <f aca="false">IF($A66="",0,SUMIFS($G$8:$G$1007,$C$8:$C$1007,$C66,$A$8:$A$1007,"&gt;="&amp;$A66-27,$A$8:$A$1007,"&lt;="&amp;$A66)/4)</f>
        <v>770</v>
      </c>
      <c r="J66" s="144" t="n">
        <f aca="false">IF(OR($A66="",$I66=0),0,$H66/$I66)</f>
        <v>4</v>
      </c>
      <c r="K66" s="40" t="n">
        <f aca="false">IF($A66="",0,$A66-SUMPRODUCT(MIN(($C$8:$C$1007=$C66)*$A$8:$A$1007+($C$8:$C$1007&lt;&gt;$C66)*100000))+1)</f>
        <v>4</v>
      </c>
      <c r="L66" s="26" t="str">
        <f aca="false">IF($A66="","",IF($J66=0,"Sem registro anterior",IF($K66&lt;21,"Histórico insuficiente",IF($J66&lt;0.8,"Subcarga",IF($J66&lt;=1.3,"Zona ideal",IF($J66&lt;=1.5,"Atenção","Risco elevado"))))))</f>
        <v>Histórico insuficiente</v>
      </c>
      <c r="M66" s="27" t="s">
        <v>373</v>
      </c>
    </row>
    <row r="67" customFormat="false" ht="15" hidden="false" customHeight="false" outlineLevel="0" collapsed="false">
      <c r="A67" s="29" t="n">
        <v>46247</v>
      </c>
      <c r="B67" s="40" t="n">
        <f aca="false">IF($A67="",0,INT(($A67-Macrociclo!$C$11)/7)+1)</f>
        <v>32</v>
      </c>
      <c r="C67" s="27" t="s">
        <v>226</v>
      </c>
      <c r="D67" s="27" t="s">
        <v>1056</v>
      </c>
      <c r="E67" s="28" t="n">
        <v>90</v>
      </c>
      <c r="F67" s="28" t="n">
        <v>8</v>
      </c>
      <c r="G67" s="44" t="n">
        <f aca="false">IF(OR($E67="",$F67=""),0,$E67*$F67)</f>
        <v>720</v>
      </c>
      <c r="H67" s="44" t="n">
        <f aca="false">IF($A67="",0,SUMIFS($G$8:$G$1007,$C$8:$C$1007,$C67,$A$8:$A$1007,"&gt;="&amp;$A67-6,$A$8:$A$1007,"&lt;="&amp;$A67))</f>
        <v>3290</v>
      </c>
      <c r="I67" s="44" t="n">
        <f aca="false">IF($A67="",0,SUMIFS($G$8:$G$1007,$C$8:$C$1007,$C67,$A$8:$A$1007,"&gt;="&amp;$A67-27,$A$8:$A$1007,"&lt;="&amp;$A67)/4)</f>
        <v>822.5</v>
      </c>
      <c r="J67" s="144" t="n">
        <f aca="false">IF(OR($A67="",$I67=0),0,$H67/$I67)</f>
        <v>4</v>
      </c>
      <c r="K67" s="40" t="n">
        <f aca="false">IF($A67="",0,$A67-SUMPRODUCT(MIN(($C$8:$C$1007=$C67)*$A$8:$A$1007+($C$8:$C$1007&lt;&gt;$C67)*100000))+1)</f>
        <v>4</v>
      </c>
      <c r="L67" s="26" t="str">
        <f aca="false">IF($A67="","",IF($J67=0,"Sem registro anterior",IF($K67&lt;21,"Histórico insuficiente",IF($J67&lt;0.8,"Subcarga",IF($J67&lt;=1.3,"Zona ideal",IF($J67&lt;=1.5,"Atenção","Risco elevado"))))))</f>
        <v>Histórico insuficiente</v>
      </c>
      <c r="M67" s="27" t="s">
        <v>373</v>
      </c>
    </row>
    <row r="68" customFormat="false" ht="15" hidden="false" customHeight="false" outlineLevel="0" collapsed="false">
      <c r="A68" s="29" t="n">
        <v>46247</v>
      </c>
      <c r="B68" s="40" t="n">
        <f aca="false">IF($A68="",0,INT(($A68-Macrociclo!$C$11)/7)+1)</f>
        <v>32</v>
      </c>
      <c r="C68" s="27" t="s">
        <v>236</v>
      </c>
      <c r="D68" s="27" t="s">
        <v>1056</v>
      </c>
      <c r="E68" s="28" t="n">
        <v>95</v>
      </c>
      <c r="F68" s="28" t="n">
        <v>7</v>
      </c>
      <c r="G68" s="44" t="n">
        <f aca="false">IF(OR($E68="",$F68=""),0,$E68*$F68)</f>
        <v>665</v>
      </c>
      <c r="H68" s="44" t="n">
        <f aca="false">IF($A68="",0,SUMIFS($G$8:$G$1007,$C$8:$C$1007,$C68,$A$8:$A$1007,"&gt;="&amp;$A68-6,$A$8:$A$1007,"&lt;="&amp;$A68))</f>
        <v>3035</v>
      </c>
      <c r="I68" s="44" t="n">
        <f aca="false">IF($A68="",0,SUMIFS($G$8:$G$1007,$C$8:$C$1007,$C68,$A$8:$A$1007,"&gt;="&amp;$A68-27,$A$8:$A$1007,"&lt;="&amp;$A68)/4)</f>
        <v>758.75</v>
      </c>
      <c r="J68" s="144" t="n">
        <f aca="false">IF(OR($A68="",$I68=0),0,$H68/$I68)</f>
        <v>4</v>
      </c>
      <c r="K68" s="40" t="n">
        <f aca="false">IF($A68="",0,$A68-SUMPRODUCT(MIN(($C$8:$C$1007=$C68)*$A$8:$A$1007+($C$8:$C$1007&lt;&gt;$C68)*100000))+1)</f>
        <v>4</v>
      </c>
      <c r="L68" s="26" t="str">
        <f aca="false">IF($A68="","",IF($J68=0,"Sem registro anterior",IF($K68&lt;21,"Histórico insuficiente",IF($J68&lt;0.8,"Subcarga",IF($J68&lt;=1.3,"Zona ideal",IF($J68&lt;=1.5,"Atenção","Risco elevado"))))))</f>
        <v>Histórico insuficiente</v>
      </c>
      <c r="M68" s="27" t="s">
        <v>373</v>
      </c>
    </row>
    <row r="69" customFormat="false" ht="15" hidden="false" customHeight="false" outlineLevel="0" collapsed="false">
      <c r="A69" s="29" t="n">
        <v>46247</v>
      </c>
      <c r="B69" s="40" t="n">
        <f aca="false">IF($A69="",0,INT(($A69-Macrociclo!$C$11)/7)+1)</f>
        <v>32</v>
      </c>
      <c r="C69" s="27" t="s">
        <v>244</v>
      </c>
      <c r="D69" s="27" t="s">
        <v>1056</v>
      </c>
      <c r="E69" s="28" t="n">
        <v>80</v>
      </c>
      <c r="F69" s="28" t="n">
        <v>7</v>
      </c>
      <c r="G69" s="44" t="n">
        <f aca="false">IF(OR($E69="",$F69=""),0,$E69*$F69)</f>
        <v>560</v>
      </c>
      <c r="H69" s="44" t="n">
        <f aca="false">IF($A69="",0,SUMIFS($G$8:$G$1007,$C$8:$C$1007,$C69,$A$8:$A$1007,"&gt;="&amp;$A69-6,$A$8:$A$1007,"&lt;="&amp;$A69))</f>
        <v>3250</v>
      </c>
      <c r="I69" s="44" t="n">
        <f aca="false">IF($A69="",0,SUMIFS($G$8:$G$1007,$C$8:$C$1007,$C69,$A$8:$A$1007,"&gt;="&amp;$A69-27,$A$8:$A$1007,"&lt;="&amp;$A69)/4)</f>
        <v>812.5</v>
      </c>
      <c r="J69" s="144" t="n">
        <f aca="false">IF(OR($A69="",$I69=0),0,$H69/$I69)</f>
        <v>4</v>
      </c>
      <c r="K69" s="40" t="n">
        <f aca="false">IF($A69="",0,$A69-SUMPRODUCT(MIN(($C$8:$C$1007=$C69)*$A$8:$A$1007+($C$8:$C$1007&lt;&gt;$C69)*100000))+1)</f>
        <v>4</v>
      </c>
      <c r="L69" s="26" t="str">
        <f aca="false">IF($A69="","",IF($J69=0,"Sem registro anterior",IF($K69&lt;21,"Histórico insuficiente",IF($J69&lt;0.8,"Subcarga",IF($J69&lt;=1.3,"Zona ideal",IF($J69&lt;=1.5,"Atenção","Risco elevado"))))))</f>
        <v>Histórico insuficiente</v>
      </c>
      <c r="M69" s="27" t="s">
        <v>373</v>
      </c>
    </row>
    <row r="70" customFormat="false" ht="15" hidden="false" customHeight="false" outlineLevel="0" collapsed="false">
      <c r="A70" s="29" t="n">
        <v>46247</v>
      </c>
      <c r="B70" s="40" t="n">
        <f aca="false">IF($A70="",0,INT(($A70-Macrociclo!$C$11)/7)+1)</f>
        <v>32</v>
      </c>
      <c r="C70" s="27" t="s">
        <v>253</v>
      </c>
      <c r="D70" s="27" t="s">
        <v>1056</v>
      </c>
      <c r="E70" s="28" t="n">
        <v>80</v>
      </c>
      <c r="F70" s="28" t="n">
        <v>6</v>
      </c>
      <c r="G70" s="44" t="n">
        <f aca="false">IF(OR($E70="",$F70=""),0,$E70*$F70)</f>
        <v>480</v>
      </c>
      <c r="H70" s="44" t="n">
        <f aca="false">IF($A70="",0,SUMIFS($G$8:$G$1007,$C$8:$C$1007,$C70,$A$8:$A$1007,"&gt;="&amp;$A70-6,$A$8:$A$1007,"&lt;="&amp;$A70))</f>
        <v>3215</v>
      </c>
      <c r="I70" s="44" t="n">
        <f aca="false">IF($A70="",0,SUMIFS($G$8:$G$1007,$C$8:$C$1007,$C70,$A$8:$A$1007,"&gt;="&amp;$A70-27,$A$8:$A$1007,"&lt;="&amp;$A70)/4)</f>
        <v>803.75</v>
      </c>
      <c r="J70" s="144" t="n">
        <f aca="false">IF(OR($A70="",$I70=0),0,$H70/$I70)</f>
        <v>4</v>
      </c>
      <c r="K70" s="40" t="n">
        <f aca="false">IF($A70="",0,$A70-SUMPRODUCT(MIN(($C$8:$C$1007=$C70)*$A$8:$A$1007+($C$8:$C$1007&lt;&gt;$C70)*100000))+1)</f>
        <v>4</v>
      </c>
      <c r="L70" s="26" t="str">
        <f aca="false">IF($A70="","",IF($J70=0,"Sem registro anterior",IF($K70&lt;21,"Histórico insuficiente",IF($J70&lt;0.8,"Subcarga",IF($J70&lt;=1.3,"Zona ideal",IF($J70&lt;=1.5,"Atenção","Risco elevado"))))))</f>
        <v>Histórico insuficiente</v>
      </c>
      <c r="M70" s="27" t="s">
        <v>373</v>
      </c>
    </row>
    <row r="71" customFormat="false" ht="15" hidden="false" customHeight="false" outlineLevel="0" collapsed="false">
      <c r="A71" s="29" t="n">
        <v>46247</v>
      </c>
      <c r="B71" s="40" t="n">
        <f aca="false">IF($A71="",0,INT(($A71-Macrociclo!$C$11)/7)+1)</f>
        <v>32</v>
      </c>
      <c r="C71" s="27" t="s">
        <v>259</v>
      </c>
      <c r="D71" s="27" t="s">
        <v>1056</v>
      </c>
      <c r="E71" s="28" t="n">
        <v>85</v>
      </c>
      <c r="F71" s="28" t="n">
        <v>7</v>
      </c>
      <c r="G71" s="44" t="n">
        <f aca="false">IF(OR($E71="",$F71=""),0,$E71*$F71)</f>
        <v>595</v>
      </c>
      <c r="H71" s="44" t="n">
        <f aca="false">IF($A71="",0,SUMIFS($G$8:$G$1007,$C$8:$C$1007,$C71,$A$8:$A$1007,"&gt;="&amp;$A71-6,$A$8:$A$1007,"&lt;="&amp;$A71))</f>
        <v>2845</v>
      </c>
      <c r="I71" s="44" t="n">
        <f aca="false">IF($A71="",0,SUMIFS($G$8:$G$1007,$C$8:$C$1007,$C71,$A$8:$A$1007,"&gt;="&amp;$A71-27,$A$8:$A$1007,"&lt;="&amp;$A71)/4)</f>
        <v>711.25</v>
      </c>
      <c r="J71" s="144" t="n">
        <f aca="false">IF(OR($A71="",$I71=0),0,$H71/$I71)</f>
        <v>4</v>
      </c>
      <c r="K71" s="40" t="n">
        <f aca="false">IF($A71="",0,$A71-SUMPRODUCT(MIN(($C$8:$C$1007=$C71)*$A$8:$A$1007+($C$8:$C$1007&lt;&gt;$C71)*100000))+1)</f>
        <v>4</v>
      </c>
      <c r="L71" s="26" t="str">
        <f aca="false">IF($A71="","",IF($J71=0,"Sem registro anterior",IF($K71&lt;21,"Histórico insuficiente",IF($J71&lt;0.8,"Subcarga",IF($J71&lt;=1.3,"Zona ideal",IF($J71&lt;=1.5,"Atenção","Risco elevado"))))))</f>
        <v>Histórico insuficiente</v>
      </c>
      <c r="M71" s="27" t="s">
        <v>373</v>
      </c>
    </row>
    <row r="72" customFormat="false" ht="15" hidden="false" customHeight="false" outlineLevel="0" collapsed="false">
      <c r="A72" s="29" t="n">
        <v>46247</v>
      </c>
      <c r="B72" s="40" t="n">
        <f aca="false">IF($A72="",0,INT(($A72-Macrociclo!$C$11)/7)+1)</f>
        <v>32</v>
      </c>
      <c r="C72" s="27" t="s">
        <v>264</v>
      </c>
      <c r="D72" s="27" t="s">
        <v>1056</v>
      </c>
      <c r="E72" s="28" t="n">
        <v>95</v>
      </c>
      <c r="F72" s="28" t="n">
        <v>7</v>
      </c>
      <c r="G72" s="44" t="n">
        <f aca="false">IF(OR($E72="",$F72=""),0,$E72*$F72)</f>
        <v>665</v>
      </c>
      <c r="H72" s="44" t="n">
        <f aca="false">IF($A72="",0,SUMIFS($G$8:$G$1007,$C$8:$C$1007,$C72,$A$8:$A$1007,"&gt;="&amp;$A72-6,$A$8:$A$1007,"&lt;="&amp;$A72))</f>
        <v>3375</v>
      </c>
      <c r="I72" s="44" t="n">
        <f aca="false">IF($A72="",0,SUMIFS($G$8:$G$1007,$C$8:$C$1007,$C72,$A$8:$A$1007,"&gt;="&amp;$A72-27,$A$8:$A$1007,"&lt;="&amp;$A72)/4)</f>
        <v>843.75</v>
      </c>
      <c r="J72" s="144" t="n">
        <f aca="false">IF(OR($A72="",$I72=0),0,$H72/$I72)</f>
        <v>4</v>
      </c>
      <c r="K72" s="40" t="n">
        <f aca="false">IF($A72="",0,$A72-SUMPRODUCT(MIN(($C$8:$C$1007=$C72)*$A$8:$A$1007+($C$8:$C$1007&lt;&gt;$C72)*100000))+1)</f>
        <v>4</v>
      </c>
      <c r="L72" s="26" t="str">
        <f aca="false">IF($A72="","",IF($J72=0,"Sem registro anterior",IF($K72&lt;21,"Histórico insuficiente",IF($J72&lt;0.8,"Subcarga",IF($J72&lt;=1.3,"Zona ideal",IF($J72&lt;=1.5,"Atenção","Risco elevado"))))))</f>
        <v>Histórico insuficiente</v>
      </c>
      <c r="M72" s="27" t="s">
        <v>373</v>
      </c>
    </row>
    <row r="73" customFormat="false" ht="15" hidden="false" customHeight="false" outlineLevel="0" collapsed="false">
      <c r="A73" s="29" t="n">
        <v>46247</v>
      </c>
      <c r="B73" s="40" t="n">
        <f aca="false">IF($A73="",0,INT(($A73-Macrociclo!$C$11)/7)+1)</f>
        <v>32</v>
      </c>
      <c r="C73" s="27" t="s">
        <v>270</v>
      </c>
      <c r="D73" s="27" t="s">
        <v>1056</v>
      </c>
      <c r="E73" s="28" t="n">
        <v>95</v>
      </c>
      <c r="F73" s="28" t="n">
        <v>6</v>
      </c>
      <c r="G73" s="44" t="n">
        <f aca="false">IF(OR($E73="",$F73=""),0,$E73*$F73)</f>
        <v>570</v>
      </c>
      <c r="H73" s="44" t="n">
        <f aca="false">IF($A73="",0,SUMIFS($G$8:$G$1007,$C$8:$C$1007,$C73,$A$8:$A$1007,"&gt;="&amp;$A73-6,$A$8:$A$1007,"&lt;="&amp;$A73))</f>
        <v>3345</v>
      </c>
      <c r="I73" s="44" t="n">
        <f aca="false">IF($A73="",0,SUMIFS($G$8:$G$1007,$C$8:$C$1007,$C73,$A$8:$A$1007,"&gt;="&amp;$A73-27,$A$8:$A$1007,"&lt;="&amp;$A73)/4)</f>
        <v>836.25</v>
      </c>
      <c r="J73" s="144" t="n">
        <f aca="false">IF(OR($A73="",$I73=0),0,$H73/$I73)</f>
        <v>4</v>
      </c>
      <c r="K73" s="40" t="n">
        <f aca="false">IF($A73="",0,$A73-SUMPRODUCT(MIN(($C$8:$C$1007=$C73)*$A$8:$A$1007+($C$8:$C$1007&lt;&gt;$C73)*100000))+1)</f>
        <v>4</v>
      </c>
      <c r="L73" s="26" t="str">
        <f aca="false">IF($A73="","",IF($J73=0,"Sem registro anterior",IF($K73&lt;21,"Histórico insuficiente",IF($J73&lt;0.8,"Subcarga",IF($J73&lt;=1.3,"Zona ideal",IF($J73&lt;=1.5,"Atenção","Risco elevado"))))))</f>
        <v>Histórico insuficiente</v>
      </c>
      <c r="M73" s="27" t="s">
        <v>373</v>
      </c>
    </row>
    <row r="74" customFormat="false" ht="15" hidden="false" customHeight="false" outlineLevel="0" collapsed="false">
      <c r="A74" s="29" t="n">
        <v>46248</v>
      </c>
      <c r="B74" s="40" t="n">
        <f aca="false">IF($A74="",0,INT(($A74-Macrociclo!$C$11)/7)+1)</f>
        <v>32</v>
      </c>
      <c r="C74" s="27" t="s">
        <v>164</v>
      </c>
      <c r="D74" s="27" t="s">
        <v>1066</v>
      </c>
      <c r="E74" s="28" t="n">
        <v>115</v>
      </c>
      <c r="F74" s="28" t="n">
        <v>8</v>
      </c>
      <c r="G74" s="44" t="n">
        <f aca="false">IF(OR($E74="",$F74=""),0,$E74*$F74)</f>
        <v>920</v>
      </c>
      <c r="H74" s="44" t="n">
        <f aca="false">IF($A74="",0,SUMIFS($G$8:$G$1007,$C$8:$C$1007,$C74,$A$8:$A$1007,"&gt;="&amp;$A74-6,$A$8:$A$1007,"&lt;="&amp;$A74))</f>
        <v>3905</v>
      </c>
      <c r="I74" s="44" t="n">
        <f aca="false">IF($A74="",0,SUMIFS($G$8:$G$1007,$C$8:$C$1007,$C74,$A$8:$A$1007,"&gt;="&amp;$A74-27,$A$8:$A$1007,"&lt;="&amp;$A74)/4)</f>
        <v>976.25</v>
      </c>
      <c r="J74" s="144" t="n">
        <f aca="false">IF(OR($A74="",$I74=0),0,$H74/$I74)</f>
        <v>4</v>
      </c>
      <c r="K74" s="40" t="n">
        <f aca="false">IF($A74="",0,$A74-SUMPRODUCT(MIN(($C$8:$C$1007=$C74)*$A$8:$A$1007+($C$8:$C$1007&lt;&gt;$C74)*100000))+1)</f>
        <v>5</v>
      </c>
      <c r="L74" s="26" t="str">
        <f aca="false">IF($A74="","",IF($J74=0,"Sem registro anterior",IF($K74&lt;21,"Histórico insuficiente",IF($J74&lt;0.8,"Subcarga",IF($J74&lt;=1.3,"Zona ideal",IF($J74&lt;=1.5,"Atenção","Risco elevado"))))))</f>
        <v>Histórico insuficiente</v>
      </c>
      <c r="M74" s="27" t="s">
        <v>373</v>
      </c>
    </row>
    <row r="75" customFormat="false" ht="15" hidden="false" customHeight="false" outlineLevel="0" collapsed="false">
      <c r="A75" s="29" t="n">
        <v>46248</v>
      </c>
      <c r="B75" s="40" t="n">
        <f aca="false">IF($A75="",0,INT(($A75-Macrociclo!$C$11)/7)+1)</f>
        <v>32</v>
      </c>
      <c r="C75" s="27" t="s">
        <v>192</v>
      </c>
      <c r="D75" s="27" t="s">
        <v>1066</v>
      </c>
      <c r="E75" s="28" t="n">
        <v>100</v>
      </c>
      <c r="F75" s="28" t="n">
        <v>7</v>
      </c>
      <c r="G75" s="44" t="n">
        <f aca="false">IF(OR($E75="",$F75=""),0,$E75*$F75)</f>
        <v>700</v>
      </c>
      <c r="H75" s="44" t="n">
        <f aca="false">IF($A75="",0,SUMIFS($G$8:$G$1007,$C$8:$C$1007,$C75,$A$8:$A$1007,"&gt;="&amp;$A75-6,$A$8:$A$1007,"&lt;="&amp;$A75))</f>
        <v>3830</v>
      </c>
      <c r="I75" s="44" t="n">
        <f aca="false">IF($A75="",0,SUMIFS($G$8:$G$1007,$C$8:$C$1007,$C75,$A$8:$A$1007,"&gt;="&amp;$A75-27,$A$8:$A$1007,"&lt;="&amp;$A75)/4)</f>
        <v>957.5</v>
      </c>
      <c r="J75" s="144" t="n">
        <f aca="false">IF(OR($A75="",$I75=0),0,$H75/$I75)</f>
        <v>4</v>
      </c>
      <c r="K75" s="40" t="n">
        <f aca="false">IF($A75="",0,$A75-SUMPRODUCT(MIN(($C$8:$C$1007=$C75)*$A$8:$A$1007+($C$8:$C$1007&lt;&gt;$C75)*100000))+1)</f>
        <v>5</v>
      </c>
      <c r="L75" s="26" t="str">
        <f aca="false">IF($A75="","",IF($J75=0,"Sem registro anterior",IF($K75&lt;21,"Histórico insuficiente",IF($J75&lt;0.8,"Subcarga",IF($J75&lt;=1.3,"Zona ideal",IF($J75&lt;=1.5,"Atenção","Risco elevado"))))))</f>
        <v>Histórico insuficiente</v>
      </c>
      <c r="M75" s="27" t="s">
        <v>373</v>
      </c>
    </row>
    <row r="76" customFormat="false" ht="15" hidden="false" customHeight="false" outlineLevel="0" collapsed="false">
      <c r="A76" s="29" t="n">
        <v>46248</v>
      </c>
      <c r="B76" s="40" t="n">
        <f aca="false">IF($A76="",0,INT(($A76-Macrociclo!$C$11)/7)+1)</f>
        <v>32</v>
      </c>
      <c r="C76" s="27" t="s">
        <v>206</v>
      </c>
      <c r="D76" s="27" t="s">
        <v>1066</v>
      </c>
      <c r="E76" s="28" t="n">
        <v>110</v>
      </c>
      <c r="F76" s="28" t="n">
        <v>7</v>
      </c>
      <c r="G76" s="44" t="n">
        <f aca="false">IF(OR($E76="",$F76=""),0,$E76*$F76)</f>
        <v>770</v>
      </c>
      <c r="H76" s="44" t="n">
        <f aca="false">IF($A76="",0,SUMIFS($G$8:$G$1007,$C$8:$C$1007,$C76,$A$8:$A$1007,"&gt;="&amp;$A76-6,$A$8:$A$1007,"&lt;="&amp;$A76))</f>
        <v>2690</v>
      </c>
      <c r="I76" s="44" t="n">
        <f aca="false">IF($A76="",0,SUMIFS($G$8:$G$1007,$C$8:$C$1007,$C76,$A$8:$A$1007,"&gt;="&amp;$A76-27,$A$8:$A$1007,"&lt;="&amp;$A76)/4)</f>
        <v>672.5</v>
      </c>
      <c r="J76" s="144" t="n">
        <f aca="false">IF(OR($A76="",$I76=0),0,$H76/$I76)</f>
        <v>4</v>
      </c>
      <c r="K76" s="40" t="n">
        <f aca="false">IF($A76="",0,$A76-SUMPRODUCT(MIN(($C$8:$C$1007=$C76)*$A$8:$A$1007+($C$8:$C$1007&lt;&gt;$C76)*100000))+1)</f>
        <v>5</v>
      </c>
      <c r="L76" s="26" t="str">
        <f aca="false">IF($A76="","",IF($J76=0,"Sem registro anterior",IF($K76&lt;21,"Histórico insuficiente",IF($J76&lt;0.8,"Subcarga",IF($J76&lt;=1.3,"Zona ideal",IF($J76&lt;=1.5,"Atenção","Risco elevado"))))))</f>
        <v>Histórico insuficiente</v>
      </c>
      <c r="M76" s="27" t="s">
        <v>373</v>
      </c>
    </row>
    <row r="77" customFormat="false" ht="15" hidden="false" customHeight="false" outlineLevel="0" collapsed="false">
      <c r="A77" s="29" t="n">
        <v>46248</v>
      </c>
      <c r="B77" s="40" t="n">
        <f aca="false">IF($A77="",0,INT(($A77-Macrociclo!$C$11)/7)+1)</f>
        <v>32</v>
      </c>
      <c r="C77" s="27" t="s">
        <v>215</v>
      </c>
      <c r="D77" s="27" t="s">
        <v>1066</v>
      </c>
      <c r="E77" s="28" t="n">
        <v>105</v>
      </c>
      <c r="F77" s="28" t="n">
        <v>7</v>
      </c>
      <c r="G77" s="44" t="n">
        <f aca="false">IF(OR($E77="",$F77=""),0,$E77*$F77)</f>
        <v>735</v>
      </c>
      <c r="H77" s="44" t="n">
        <f aca="false">IF($A77="",0,SUMIFS($G$8:$G$1007,$C$8:$C$1007,$C77,$A$8:$A$1007,"&gt;="&amp;$A77-6,$A$8:$A$1007,"&lt;="&amp;$A77))</f>
        <v>3815</v>
      </c>
      <c r="I77" s="44" t="n">
        <f aca="false">IF($A77="",0,SUMIFS($G$8:$G$1007,$C$8:$C$1007,$C77,$A$8:$A$1007,"&gt;="&amp;$A77-27,$A$8:$A$1007,"&lt;="&amp;$A77)/4)</f>
        <v>953.75</v>
      </c>
      <c r="J77" s="144" t="n">
        <f aca="false">IF(OR($A77="",$I77=0),0,$H77/$I77)</f>
        <v>4</v>
      </c>
      <c r="K77" s="40" t="n">
        <f aca="false">IF($A77="",0,$A77-SUMPRODUCT(MIN(($C$8:$C$1007=$C77)*$A$8:$A$1007+($C$8:$C$1007&lt;&gt;$C77)*100000))+1)</f>
        <v>5</v>
      </c>
      <c r="L77" s="26" t="str">
        <f aca="false">IF($A77="","",IF($J77=0,"Sem registro anterior",IF($K77&lt;21,"Histórico insuficiente",IF($J77&lt;0.8,"Subcarga",IF($J77&lt;=1.3,"Zona ideal",IF($J77&lt;=1.5,"Atenção","Risco elevado"))))))</f>
        <v>Histórico insuficiente</v>
      </c>
      <c r="M77" s="27" t="s">
        <v>373</v>
      </c>
    </row>
    <row r="78" customFormat="false" ht="15" hidden="false" customHeight="false" outlineLevel="0" collapsed="false">
      <c r="A78" s="29" t="n">
        <v>46248</v>
      </c>
      <c r="B78" s="40" t="n">
        <f aca="false">IF($A78="",0,INT(($A78-Macrociclo!$C$11)/7)+1)</f>
        <v>32</v>
      </c>
      <c r="C78" s="27" t="s">
        <v>226</v>
      </c>
      <c r="D78" s="27" t="s">
        <v>1066</v>
      </c>
      <c r="E78" s="28" t="n">
        <v>100</v>
      </c>
      <c r="F78" s="28" t="n">
        <v>7</v>
      </c>
      <c r="G78" s="44" t="n">
        <f aca="false">IF(OR($E78="",$F78=""),0,$E78*$F78)</f>
        <v>700</v>
      </c>
      <c r="H78" s="44" t="n">
        <f aca="false">IF($A78="",0,SUMIFS($G$8:$G$1007,$C$8:$C$1007,$C78,$A$8:$A$1007,"&gt;="&amp;$A78-6,$A$8:$A$1007,"&lt;="&amp;$A78))</f>
        <v>3990</v>
      </c>
      <c r="I78" s="44" t="n">
        <f aca="false">IF($A78="",0,SUMIFS($G$8:$G$1007,$C$8:$C$1007,$C78,$A$8:$A$1007,"&gt;="&amp;$A78-27,$A$8:$A$1007,"&lt;="&amp;$A78)/4)</f>
        <v>997.5</v>
      </c>
      <c r="J78" s="144" t="n">
        <f aca="false">IF(OR($A78="",$I78=0),0,$H78/$I78)</f>
        <v>4</v>
      </c>
      <c r="K78" s="40" t="n">
        <f aca="false">IF($A78="",0,$A78-SUMPRODUCT(MIN(($C$8:$C$1007=$C78)*$A$8:$A$1007+($C$8:$C$1007&lt;&gt;$C78)*100000))+1)</f>
        <v>5</v>
      </c>
      <c r="L78" s="26" t="str">
        <f aca="false">IF($A78="","",IF($J78=0,"Sem registro anterior",IF($K78&lt;21,"Histórico insuficiente",IF($J78&lt;0.8,"Subcarga",IF($J78&lt;=1.3,"Zona ideal",IF($J78&lt;=1.5,"Atenção","Risco elevado"))))))</f>
        <v>Histórico insuficiente</v>
      </c>
      <c r="M78" s="27" t="s">
        <v>373</v>
      </c>
    </row>
    <row r="79" customFormat="false" ht="15" hidden="false" customHeight="false" outlineLevel="0" collapsed="false">
      <c r="A79" s="29" t="n">
        <v>46248</v>
      </c>
      <c r="B79" s="40" t="n">
        <f aca="false">IF($A79="",0,INT(($A79-Macrociclo!$C$11)/7)+1)</f>
        <v>32</v>
      </c>
      <c r="C79" s="27" t="s">
        <v>236</v>
      </c>
      <c r="D79" s="27" t="s">
        <v>1066</v>
      </c>
      <c r="E79" s="28" t="n">
        <v>105</v>
      </c>
      <c r="F79" s="28" t="n">
        <v>8</v>
      </c>
      <c r="G79" s="44" t="n">
        <f aca="false">IF(OR($E79="",$F79=""),0,$E79*$F79)</f>
        <v>840</v>
      </c>
      <c r="H79" s="44" t="n">
        <f aca="false">IF($A79="",0,SUMIFS($G$8:$G$1007,$C$8:$C$1007,$C79,$A$8:$A$1007,"&gt;="&amp;$A79-6,$A$8:$A$1007,"&lt;="&amp;$A79))</f>
        <v>3875</v>
      </c>
      <c r="I79" s="44" t="n">
        <f aca="false">IF($A79="",0,SUMIFS($G$8:$G$1007,$C$8:$C$1007,$C79,$A$8:$A$1007,"&gt;="&amp;$A79-27,$A$8:$A$1007,"&lt;="&amp;$A79)/4)</f>
        <v>968.75</v>
      </c>
      <c r="J79" s="144" t="n">
        <f aca="false">IF(OR($A79="",$I79=0),0,$H79/$I79)</f>
        <v>4</v>
      </c>
      <c r="K79" s="40" t="n">
        <f aca="false">IF($A79="",0,$A79-SUMPRODUCT(MIN(($C$8:$C$1007=$C79)*$A$8:$A$1007+($C$8:$C$1007&lt;&gt;$C79)*100000))+1)</f>
        <v>5</v>
      </c>
      <c r="L79" s="26" t="str">
        <f aca="false">IF($A79="","",IF($J79=0,"Sem registro anterior",IF($K79&lt;21,"Histórico insuficiente",IF($J79&lt;0.8,"Subcarga",IF($J79&lt;=1.3,"Zona ideal",IF($J79&lt;=1.5,"Atenção","Risco elevado"))))))</f>
        <v>Histórico insuficiente</v>
      </c>
      <c r="M79" s="27" t="s">
        <v>373</v>
      </c>
    </row>
    <row r="80" customFormat="false" ht="15" hidden="false" customHeight="false" outlineLevel="0" collapsed="false">
      <c r="A80" s="29" t="n">
        <v>46248</v>
      </c>
      <c r="B80" s="40" t="n">
        <f aca="false">IF($A80="",0,INT(($A80-Macrociclo!$C$11)/7)+1)</f>
        <v>32</v>
      </c>
      <c r="C80" s="27" t="s">
        <v>244</v>
      </c>
      <c r="D80" s="27" t="s">
        <v>1066</v>
      </c>
      <c r="E80" s="28" t="n">
        <v>110</v>
      </c>
      <c r="F80" s="28" t="n">
        <v>8</v>
      </c>
      <c r="G80" s="44" t="n">
        <f aca="false">IF(OR($E80="",$F80=""),0,$E80*$F80)</f>
        <v>880</v>
      </c>
      <c r="H80" s="44" t="n">
        <f aca="false">IF($A80="",0,SUMIFS($G$8:$G$1007,$C$8:$C$1007,$C80,$A$8:$A$1007,"&gt;="&amp;$A80-6,$A$8:$A$1007,"&lt;="&amp;$A80))</f>
        <v>4130</v>
      </c>
      <c r="I80" s="44" t="n">
        <f aca="false">IF($A80="",0,SUMIFS($G$8:$G$1007,$C$8:$C$1007,$C80,$A$8:$A$1007,"&gt;="&amp;$A80-27,$A$8:$A$1007,"&lt;="&amp;$A80)/4)</f>
        <v>1032.5</v>
      </c>
      <c r="J80" s="144" t="n">
        <f aca="false">IF(OR($A80="",$I80=0),0,$H80/$I80)</f>
        <v>4</v>
      </c>
      <c r="K80" s="40" t="n">
        <f aca="false">IF($A80="",0,$A80-SUMPRODUCT(MIN(($C$8:$C$1007=$C80)*$A$8:$A$1007+($C$8:$C$1007&lt;&gt;$C80)*100000))+1)</f>
        <v>5</v>
      </c>
      <c r="L80" s="26" t="str">
        <f aca="false">IF($A80="","",IF($J80=0,"Sem registro anterior",IF($K80&lt;21,"Histórico insuficiente",IF($J80&lt;0.8,"Subcarga",IF($J80&lt;=1.3,"Zona ideal",IF($J80&lt;=1.5,"Atenção","Risco elevado"))))))</f>
        <v>Histórico insuficiente</v>
      </c>
      <c r="M80" s="27" t="s">
        <v>373</v>
      </c>
    </row>
    <row r="81" customFormat="false" ht="15" hidden="false" customHeight="false" outlineLevel="0" collapsed="false">
      <c r="A81" s="29" t="n">
        <v>46248</v>
      </c>
      <c r="B81" s="40" t="n">
        <f aca="false">IF($A81="",0,INT(($A81-Macrociclo!$C$11)/7)+1)</f>
        <v>32</v>
      </c>
      <c r="C81" s="27" t="s">
        <v>253</v>
      </c>
      <c r="D81" s="27" t="s">
        <v>1066</v>
      </c>
      <c r="E81" s="28" t="n">
        <v>100</v>
      </c>
      <c r="F81" s="28" t="n">
        <v>8</v>
      </c>
      <c r="G81" s="44" t="n">
        <f aca="false">IF(OR($E81="",$F81=""),0,$E81*$F81)</f>
        <v>800</v>
      </c>
      <c r="H81" s="44" t="n">
        <f aca="false">IF($A81="",0,SUMIFS($G$8:$G$1007,$C$8:$C$1007,$C81,$A$8:$A$1007,"&gt;="&amp;$A81-6,$A$8:$A$1007,"&lt;="&amp;$A81))</f>
        <v>4015</v>
      </c>
      <c r="I81" s="44" t="n">
        <f aca="false">IF($A81="",0,SUMIFS($G$8:$G$1007,$C$8:$C$1007,$C81,$A$8:$A$1007,"&gt;="&amp;$A81-27,$A$8:$A$1007,"&lt;="&amp;$A81)/4)</f>
        <v>1003.75</v>
      </c>
      <c r="J81" s="144" t="n">
        <f aca="false">IF(OR($A81="",$I81=0),0,$H81/$I81)</f>
        <v>4</v>
      </c>
      <c r="K81" s="40" t="n">
        <f aca="false">IF($A81="",0,$A81-SUMPRODUCT(MIN(($C$8:$C$1007=$C81)*$A$8:$A$1007+($C$8:$C$1007&lt;&gt;$C81)*100000))+1)</f>
        <v>5</v>
      </c>
      <c r="L81" s="26" t="str">
        <f aca="false">IF($A81="","",IF($J81=0,"Sem registro anterior",IF($K81&lt;21,"Histórico insuficiente",IF($J81&lt;0.8,"Subcarga",IF($J81&lt;=1.3,"Zona ideal",IF($J81&lt;=1.5,"Atenção","Risco elevado"))))))</f>
        <v>Histórico insuficiente</v>
      </c>
      <c r="M81" s="27" t="s">
        <v>373</v>
      </c>
    </row>
    <row r="82" customFormat="false" ht="15" hidden="false" customHeight="false" outlineLevel="0" collapsed="false">
      <c r="A82" s="29" t="n">
        <v>46248</v>
      </c>
      <c r="B82" s="40" t="n">
        <f aca="false">IF($A82="",0,INT(($A82-Macrociclo!$C$11)/7)+1)</f>
        <v>32</v>
      </c>
      <c r="C82" s="27" t="s">
        <v>259</v>
      </c>
      <c r="D82" s="27" t="s">
        <v>1066</v>
      </c>
      <c r="E82" s="28" t="n">
        <v>115</v>
      </c>
      <c r="F82" s="28" t="n">
        <v>8</v>
      </c>
      <c r="G82" s="44" t="n">
        <f aca="false">IF(OR($E82="",$F82=""),0,$E82*$F82)</f>
        <v>920</v>
      </c>
      <c r="H82" s="44" t="n">
        <f aca="false">IF($A82="",0,SUMIFS($G$8:$G$1007,$C$8:$C$1007,$C82,$A$8:$A$1007,"&gt;="&amp;$A82-6,$A$8:$A$1007,"&lt;="&amp;$A82))</f>
        <v>3765</v>
      </c>
      <c r="I82" s="44" t="n">
        <f aca="false">IF($A82="",0,SUMIFS($G$8:$G$1007,$C$8:$C$1007,$C82,$A$8:$A$1007,"&gt;="&amp;$A82-27,$A$8:$A$1007,"&lt;="&amp;$A82)/4)</f>
        <v>941.25</v>
      </c>
      <c r="J82" s="144" t="n">
        <f aca="false">IF(OR($A82="",$I82=0),0,$H82/$I82)</f>
        <v>4</v>
      </c>
      <c r="K82" s="40" t="n">
        <f aca="false">IF($A82="",0,$A82-SUMPRODUCT(MIN(($C$8:$C$1007=$C82)*$A$8:$A$1007+($C$8:$C$1007&lt;&gt;$C82)*100000))+1)</f>
        <v>5</v>
      </c>
      <c r="L82" s="26" t="str">
        <f aca="false">IF($A82="","",IF($J82=0,"Sem registro anterior",IF($K82&lt;21,"Histórico insuficiente",IF($J82&lt;0.8,"Subcarga",IF($J82&lt;=1.3,"Zona ideal",IF($J82&lt;=1.5,"Atenção","Risco elevado"))))))</f>
        <v>Histórico insuficiente</v>
      </c>
      <c r="M82" s="27" t="s">
        <v>373</v>
      </c>
    </row>
    <row r="83" customFormat="false" ht="15" hidden="false" customHeight="false" outlineLevel="0" collapsed="false">
      <c r="A83" s="29" t="n">
        <v>46248</v>
      </c>
      <c r="B83" s="40" t="n">
        <f aca="false">IF($A83="",0,INT(($A83-Macrociclo!$C$11)/7)+1)</f>
        <v>32</v>
      </c>
      <c r="C83" s="27" t="s">
        <v>264</v>
      </c>
      <c r="D83" s="27" t="s">
        <v>1066</v>
      </c>
      <c r="E83" s="28" t="n">
        <v>110</v>
      </c>
      <c r="F83" s="28" t="n">
        <v>8</v>
      </c>
      <c r="G83" s="44" t="n">
        <f aca="false">IF(OR($E83="",$F83=""),0,$E83*$F83)</f>
        <v>880</v>
      </c>
      <c r="H83" s="44" t="n">
        <f aca="false">IF($A83="",0,SUMIFS($G$8:$G$1007,$C$8:$C$1007,$C83,$A$8:$A$1007,"&gt;="&amp;$A83-6,$A$8:$A$1007,"&lt;="&amp;$A83))</f>
        <v>4255</v>
      </c>
      <c r="I83" s="44" t="n">
        <f aca="false">IF($A83="",0,SUMIFS($G$8:$G$1007,$C$8:$C$1007,$C83,$A$8:$A$1007,"&gt;="&amp;$A83-27,$A$8:$A$1007,"&lt;="&amp;$A83)/4)</f>
        <v>1063.75</v>
      </c>
      <c r="J83" s="144" t="n">
        <f aca="false">IF(OR($A83="",$I83=0),0,$H83/$I83)</f>
        <v>4</v>
      </c>
      <c r="K83" s="40" t="n">
        <f aca="false">IF($A83="",0,$A83-SUMPRODUCT(MIN(($C$8:$C$1007=$C83)*$A$8:$A$1007+($C$8:$C$1007&lt;&gt;$C83)*100000))+1)</f>
        <v>5</v>
      </c>
      <c r="L83" s="26" t="str">
        <f aca="false">IF($A83="","",IF($J83=0,"Sem registro anterior",IF($K83&lt;21,"Histórico insuficiente",IF($J83&lt;0.8,"Subcarga",IF($J83&lt;=1.3,"Zona ideal",IF($J83&lt;=1.5,"Atenção","Risco elevado"))))))</f>
        <v>Histórico insuficiente</v>
      </c>
      <c r="M83" s="27" t="s">
        <v>373</v>
      </c>
    </row>
    <row r="84" customFormat="false" ht="15" hidden="false" customHeight="false" outlineLevel="0" collapsed="false">
      <c r="A84" s="29" t="n">
        <v>46248</v>
      </c>
      <c r="B84" s="40" t="n">
        <f aca="false">IF($A84="",0,INT(($A84-Macrociclo!$C$11)/7)+1)</f>
        <v>32</v>
      </c>
      <c r="C84" s="27" t="s">
        <v>270</v>
      </c>
      <c r="D84" s="27" t="s">
        <v>1066</v>
      </c>
      <c r="E84" s="28" t="n">
        <v>100</v>
      </c>
      <c r="F84" s="28" t="n">
        <v>8</v>
      </c>
      <c r="G84" s="44" t="n">
        <f aca="false">IF(OR($E84="",$F84=""),0,$E84*$F84)</f>
        <v>800</v>
      </c>
      <c r="H84" s="44" t="n">
        <f aca="false">IF($A84="",0,SUMIFS($G$8:$G$1007,$C$8:$C$1007,$C84,$A$8:$A$1007,"&gt;="&amp;$A84-6,$A$8:$A$1007,"&lt;="&amp;$A84))</f>
        <v>4145</v>
      </c>
      <c r="I84" s="44" t="n">
        <f aca="false">IF($A84="",0,SUMIFS($G$8:$G$1007,$C$8:$C$1007,$C84,$A$8:$A$1007,"&gt;="&amp;$A84-27,$A$8:$A$1007,"&lt;="&amp;$A84)/4)</f>
        <v>1036.25</v>
      </c>
      <c r="J84" s="144" t="n">
        <f aca="false">IF(OR($A84="",$I84=0),0,$H84/$I84)</f>
        <v>4</v>
      </c>
      <c r="K84" s="40" t="n">
        <f aca="false">IF($A84="",0,$A84-SUMPRODUCT(MIN(($C$8:$C$1007=$C84)*$A$8:$A$1007+($C$8:$C$1007&lt;&gt;$C84)*100000))+1)</f>
        <v>5</v>
      </c>
      <c r="L84" s="26" t="str">
        <f aca="false">IF($A84="","",IF($J84=0,"Sem registro anterior",IF($K84&lt;21,"Histórico insuficiente",IF($J84&lt;0.8,"Subcarga",IF($J84&lt;=1.3,"Zona ideal",IF($J84&lt;=1.5,"Atenção","Risco elevado"))))))</f>
        <v>Histórico insuficiente</v>
      </c>
      <c r="M84" s="27" t="s">
        <v>373</v>
      </c>
    </row>
    <row r="85" customFormat="false" ht="15" hidden="false" customHeight="false" outlineLevel="0" collapsed="false">
      <c r="A85" s="29" t="n">
        <v>46248</v>
      </c>
      <c r="B85" s="40" t="n">
        <f aca="false">IF($A85="",0,INT(($A85-Macrociclo!$C$11)/7)+1)</f>
        <v>32</v>
      </c>
      <c r="C85" s="27" t="s">
        <v>279</v>
      </c>
      <c r="D85" s="27" t="s">
        <v>1066</v>
      </c>
      <c r="E85" s="28" t="n">
        <v>110</v>
      </c>
      <c r="F85" s="28" t="n">
        <v>8</v>
      </c>
      <c r="G85" s="44" t="n">
        <f aca="false">IF(OR($E85="",$F85=""),0,$E85*$F85)</f>
        <v>880</v>
      </c>
      <c r="H85" s="44" t="n">
        <f aca="false">IF($A85="",0,SUMIFS($G$8:$G$1007,$C$8:$C$1007,$C85,$A$8:$A$1007,"&gt;="&amp;$A85-6,$A$8:$A$1007,"&lt;="&amp;$A85))</f>
        <v>2500</v>
      </c>
      <c r="I85" s="44" t="n">
        <f aca="false">IF($A85="",0,SUMIFS($G$8:$G$1007,$C$8:$C$1007,$C85,$A$8:$A$1007,"&gt;="&amp;$A85-27,$A$8:$A$1007,"&lt;="&amp;$A85)/4)</f>
        <v>625</v>
      </c>
      <c r="J85" s="144" t="n">
        <f aca="false">IF(OR($A85="",$I85=0),0,$H85/$I85)</f>
        <v>4</v>
      </c>
      <c r="K85" s="40" t="n">
        <f aca="false">IF($A85="",0,$A85-SUMPRODUCT(MIN(($C$8:$C$1007=$C85)*$A$8:$A$1007+($C$8:$C$1007&lt;&gt;$C85)*100000))+1)</f>
        <v>5</v>
      </c>
      <c r="L85" s="26" t="str">
        <f aca="false">IF($A85="","",IF($J85=0,"Sem registro anterior",IF($K85&lt;21,"Histórico insuficiente",IF($J85&lt;0.8,"Subcarga",IF($J85&lt;=1.3,"Zona ideal",IF($J85&lt;=1.5,"Atenção","Risco elevado"))))))</f>
        <v>Histórico insuficiente</v>
      </c>
      <c r="M85" s="27" t="s">
        <v>373</v>
      </c>
    </row>
    <row r="86" customFormat="false" ht="15" hidden="false" customHeight="false" outlineLevel="0" collapsed="false">
      <c r="A86" s="29" t="n">
        <v>46251</v>
      </c>
      <c r="B86" s="40" t="n">
        <f aca="false">IF($A86="",0,INT(($A86-Macrociclo!$C$11)/7)+1)</f>
        <v>33</v>
      </c>
      <c r="C86" s="27" t="s">
        <v>192</v>
      </c>
      <c r="D86" s="27" t="s">
        <v>1052</v>
      </c>
      <c r="E86" s="28" t="n">
        <v>70</v>
      </c>
      <c r="F86" s="28" t="n">
        <v>8</v>
      </c>
      <c r="G86" s="44" t="n">
        <f aca="false">IF(OR($E86="",$F86=""),0,$E86*$F86)</f>
        <v>560</v>
      </c>
      <c r="H86" s="44" t="n">
        <f aca="false">IF($A86="",0,SUMIFS($G$8:$G$1007,$C$8:$C$1007,$C86,$A$8:$A$1007,"&gt;="&amp;$A86-6,$A$8:$A$1007,"&lt;="&amp;$A86))</f>
        <v>3895</v>
      </c>
      <c r="I86" s="44" t="n">
        <f aca="false">IF($A86="",0,SUMIFS($G$8:$G$1007,$C$8:$C$1007,$C86,$A$8:$A$1007,"&gt;="&amp;$A86-27,$A$8:$A$1007,"&lt;="&amp;$A86)/4)</f>
        <v>1225</v>
      </c>
      <c r="J86" s="144" t="n">
        <f aca="false">IF(OR($A86="",$I86=0),0,$H86/$I86)</f>
        <v>3.17959183673469</v>
      </c>
      <c r="K86" s="40" t="n">
        <f aca="false">IF($A86="",0,$A86-SUMPRODUCT(MIN(($C$8:$C$1007=$C86)*$A$8:$A$1007+($C$8:$C$1007&lt;&gt;$C86)*100000))+1)</f>
        <v>8</v>
      </c>
      <c r="L86" s="26" t="str">
        <f aca="false">IF($A86="","",IF($J86=0,"Sem registro anterior",IF($K86&lt;21,"Histórico insuficiente",IF($J86&lt;0.8,"Subcarga",IF($J86&lt;=1.3,"Zona ideal",IF($J86&lt;=1.5,"Atenção","Risco elevado"))))))</f>
        <v>Histórico insuficiente</v>
      </c>
      <c r="M86" s="27" t="s">
        <v>373</v>
      </c>
    </row>
    <row r="87" customFormat="false" ht="15" hidden="false" customHeight="false" outlineLevel="0" collapsed="false">
      <c r="A87" s="29" t="n">
        <v>46251</v>
      </c>
      <c r="B87" s="40" t="n">
        <f aca="false">IF($A87="",0,INT(($A87-Macrociclo!$C$11)/7)+1)</f>
        <v>33</v>
      </c>
      <c r="C87" s="27" t="s">
        <v>206</v>
      </c>
      <c r="D87" s="27" t="s">
        <v>1052</v>
      </c>
      <c r="E87" s="28" t="n">
        <v>70</v>
      </c>
      <c r="F87" s="28" t="n">
        <v>7</v>
      </c>
      <c r="G87" s="44" t="n">
        <f aca="false">IF(OR($E87="",$F87=""),0,$E87*$F87)</f>
        <v>490</v>
      </c>
      <c r="H87" s="44" t="n">
        <f aca="false">IF($A87="",0,SUMIFS($G$8:$G$1007,$C$8:$C$1007,$C87,$A$8:$A$1007,"&gt;="&amp;$A87-6,$A$8:$A$1007,"&lt;="&amp;$A87))</f>
        <v>3090</v>
      </c>
      <c r="I87" s="44" t="n">
        <f aca="false">IF($A87="",0,SUMIFS($G$8:$G$1007,$C$8:$C$1007,$C87,$A$8:$A$1007,"&gt;="&amp;$A87-27,$A$8:$A$1007,"&lt;="&amp;$A87)/4)</f>
        <v>915</v>
      </c>
      <c r="J87" s="144" t="n">
        <f aca="false">IF(OR($A87="",$I87=0),0,$H87/$I87)</f>
        <v>3.37704918032787</v>
      </c>
      <c r="K87" s="40" t="n">
        <f aca="false">IF($A87="",0,$A87-SUMPRODUCT(MIN(($C$8:$C$1007=$C87)*$A$8:$A$1007+($C$8:$C$1007&lt;&gt;$C87)*100000))+1)</f>
        <v>8</v>
      </c>
      <c r="L87" s="26" t="str">
        <f aca="false">IF($A87="","",IF($J87=0,"Sem registro anterior",IF($K87&lt;21,"Histórico insuficiente",IF($J87&lt;0.8,"Subcarga",IF($J87&lt;=1.3,"Zona ideal",IF($J87&lt;=1.5,"Atenção","Risco elevado"))))))</f>
        <v>Histórico insuficiente</v>
      </c>
      <c r="M87" s="27" t="s">
        <v>373</v>
      </c>
    </row>
    <row r="88" customFormat="false" ht="15" hidden="false" customHeight="false" outlineLevel="0" collapsed="false">
      <c r="A88" s="29" t="n">
        <v>46251</v>
      </c>
      <c r="B88" s="40" t="n">
        <f aca="false">IF($A88="",0,INT(($A88-Macrociclo!$C$11)/7)+1)</f>
        <v>33</v>
      </c>
      <c r="C88" s="27" t="s">
        <v>215</v>
      </c>
      <c r="D88" s="27" t="s">
        <v>1052</v>
      </c>
      <c r="E88" s="28" t="n">
        <v>70</v>
      </c>
      <c r="F88" s="28" t="n">
        <v>7</v>
      </c>
      <c r="G88" s="44" t="n">
        <f aca="false">IF(OR($E88="",$F88=""),0,$E88*$F88)</f>
        <v>490</v>
      </c>
      <c r="H88" s="44" t="n">
        <f aca="false">IF($A88="",0,SUMIFS($G$8:$G$1007,$C$8:$C$1007,$C88,$A$8:$A$1007,"&gt;="&amp;$A88-6,$A$8:$A$1007,"&lt;="&amp;$A88))</f>
        <v>3450</v>
      </c>
      <c r="I88" s="44" t="n">
        <f aca="false">IF($A88="",0,SUMIFS($G$8:$G$1007,$C$8:$C$1007,$C88,$A$8:$A$1007,"&gt;="&amp;$A88-27,$A$8:$A$1007,"&lt;="&amp;$A88)/4)</f>
        <v>1188.75</v>
      </c>
      <c r="J88" s="144" t="n">
        <f aca="false">IF(OR($A88="",$I88=0),0,$H88/$I88)</f>
        <v>2.90220820189274</v>
      </c>
      <c r="K88" s="40" t="n">
        <f aca="false">IF($A88="",0,$A88-SUMPRODUCT(MIN(($C$8:$C$1007=$C88)*$A$8:$A$1007+($C$8:$C$1007&lt;&gt;$C88)*100000))+1)</f>
        <v>8</v>
      </c>
      <c r="L88" s="26" t="str">
        <f aca="false">IF($A88="","",IF($J88=0,"Sem registro anterior",IF($K88&lt;21,"Histórico insuficiente",IF($J88&lt;0.8,"Subcarga",IF($J88&lt;=1.3,"Zona ideal",IF($J88&lt;=1.5,"Atenção","Risco elevado"))))))</f>
        <v>Histórico insuficiente</v>
      </c>
      <c r="M88" s="27" t="s">
        <v>373</v>
      </c>
    </row>
    <row r="89" customFormat="false" ht="15" hidden="false" customHeight="false" outlineLevel="0" collapsed="false">
      <c r="A89" s="29" t="n">
        <v>46251</v>
      </c>
      <c r="B89" s="40" t="n">
        <f aca="false">IF($A89="",0,INT(($A89-Macrociclo!$C$11)/7)+1)</f>
        <v>33</v>
      </c>
      <c r="C89" s="27" t="s">
        <v>226</v>
      </c>
      <c r="D89" s="27" t="s">
        <v>1052</v>
      </c>
      <c r="E89" s="28" t="n">
        <v>70</v>
      </c>
      <c r="F89" s="28" t="n">
        <v>8</v>
      </c>
      <c r="G89" s="44" t="n">
        <f aca="false">IF(OR($E89="",$F89=""),0,$E89*$F89)</f>
        <v>560</v>
      </c>
      <c r="H89" s="44" t="n">
        <f aca="false">IF($A89="",0,SUMIFS($G$8:$G$1007,$C$8:$C$1007,$C89,$A$8:$A$1007,"&gt;="&amp;$A89-6,$A$8:$A$1007,"&lt;="&amp;$A89))</f>
        <v>3950</v>
      </c>
      <c r="I89" s="44" t="n">
        <f aca="false">IF($A89="",0,SUMIFS($G$8:$G$1007,$C$8:$C$1007,$C89,$A$8:$A$1007,"&gt;="&amp;$A89-27,$A$8:$A$1007,"&lt;="&amp;$A89)/4)</f>
        <v>1265</v>
      </c>
      <c r="J89" s="144" t="n">
        <f aca="false">IF(OR($A89="",$I89=0),0,$H89/$I89)</f>
        <v>3.12252964426878</v>
      </c>
      <c r="K89" s="40" t="n">
        <f aca="false">IF($A89="",0,$A89-SUMPRODUCT(MIN(($C$8:$C$1007=$C89)*$A$8:$A$1007+($C$8:$C$1007&lt;&gt;$C89)*100000))+1)</f>
        <v>8</v>
      </c>
      <c r="L89" s="26" t="str">
        <f aca="false">IF($A89="","",IF($J89=0,"Sem registro anterior",IF($K89&lt;21,"Histórico insuficiente",IF($J89&lt;0.8,"Subcarga",IF($J89&lt;=1.3,"Zona ideal",IF($J89&lt;=1.5,"Atenção","Risco elevado"))))))</f>
        <v>Histórico insuficiente</v>
      </c>
      <c r="M89" s="27" t="s">
        <v>373</v>
      </c>
    </row>
    <row r="90" customFormat="false" ht="15" hidden="false" customHeight="false" outlineLevel="0" collapsed="false">
      <c r="A90" s="29" t="n">
        <v>46251</v>
      </c>
      <c r="B90" s="40" t="n">
        <f aca="false">IF($A90="",0,INT(($A90-Macrociclo!$C$11)/7)+1)</f>
        <v>33</v>
      </c>
      <c r="C90" s="27" t="s">
        <v>236</v>
      </c>
      <c r="D90" s="27" t="s">
        <v>1052</v>
      </c>
      <c r="E90" s="28" t="n">
        <v>75</v>
      </c>
      <c r="F90" s="28" t="n">
        <v>8</v>
      </c>
      <c r="G90" s="44" t="n">
        <f aca="false">IF(OR($E90="",$F90=""),0,$E90*$F90)</f>
        <v>600</v>
      </c>
      <c r="H90" s="44" t="n">
        <f aca="false">IF($A90="",0,SUMIFS($G$8:$G$1007,$C$8:$C$1007,$C90,$A$8:$A$1007,"&gt;="&amp;$A90-6,$A$8:$A$1007,"&lt;="&amp;$A90))</f>
        <v>4115</v>
      </c>
      <c r="I90" s="44" t="n">
        <f aca="false">IF($A90="",0,SUMIFS($G$8:$G$1007,$C$8:$C$1007,$C90,$A$8:$A$1007,"&gt;="&amp;$A90-27,$A$8:$A$1007,"&lt;="&amp;$A90)/4)</f>
        <v>1261.25</v>
      </c>
      <c r="J90" s="144" t="n">
        <f aca="false">IF(OR($A90="",$I90=0),0,$H90/$I90)</f>
        <v>3.26263627353816</v>
      </c>
      <c r="K90" s="40" t="n">
        <f aca="false">IF($A90="",0,$A90-SUMPRODUCT(MIN(($C$8:$C$1007=$C90)*$A$8:$A$1007+($C$8:$C$1007&lt;&gt;$C90)*100000))+1)</f>
        <v>8</v>
      </c>
      <c r="L90" s="26" t="str">
        <f aca="false">IF($A90="","",IF($J90=0,"Sem registro anterior",IF($K90&lt;21,"Histórico insuficiente",IF($J90&lt;0.8,"Subcarga",IF($J90&lt;=1.3,"Zona ideal",IF($J90&lt;=1.5,"Atenção","Risco elevado"))))))</f>
        <v>Histórico insuficiente</v>
      </c>
      <c r="M90" s="27" t="s">
        <v>373</v>
      </c>
    </row>
    <row r="91" customFormat="false" ht="15" hidden="false" customHeight="false" outlineLevel="0" collapsed="false">
      <c r="A91" s="29" t="n">
        <v>46251</v>
      </c>
      <c r="B91" s="40" t="n">
        <f aca="false">IF($A91="",0,INT(($A91-Macrociclo!$C$11)/7)+1)</f>
        <v>33</v>
      </c>
      <c r="C91" s="27" t="s">
        <v>244</v>
      </c>
      <c r="D91" s="27" t="s">
        <v>1052</v>
      </c>
      <c r="E91" s="28" t="n">
        <v>65</v>
      </c>
      <c r="F91" s="28" t="n">
        <v>7</v>
      </c>
      <c r="G91" s="44" t="n">
        <f aca="false">IF(OR($E91="",$F91=""),0,$E91*$F91)</f>
        <v>455</v>
      </c>
      <c r="H91" s="44" t="n">
        <f aca="false">IF($A91="",0,SUMIFS($G$8:$G$1007,$C$8:$C$1007,$C91,$A$8:$A$1007,"&gt;="&amp;$A91-6,$A$8:$A$1007,"&lt;="&amp;$A91))</f>
        <v>4015</v>
      </c>
      <c r="I91" s="44" t="n">
        <f aca="false">IF($A91="",0,SUMIFS($G$8:$G$1007,$C$8:$C$1007,$C91,$A$8:$A$1007,"&gt;="&amp;$A91-27,$A$8:$A$1007,"&lt;="&amp;$A91)/4)</f>
        <v>1281.25</v>
      </c>
      <c r="J91" s="144" t="n">
        <f aca="false">IF(OR($A91="",$I91=0),0,$H91/$I91)</f>
        <v>3.13365853658537</v>
      </c>
      <c r="K91" s="40" t="n">
        <f aca="false">IF($A91="",0,$A91-SUMPRODUCT(MIN(($C$8:$C$1007=$C91)*$A$8:$A$1007+($C$8:$C$1007&lt;&gt;$C91)*100000))+1)</f>
        <v>8</v>
      </c>
      <c r="L91" s="26" t="str">
        <f aca="false">IF($A91="","",IF($J91=0,"Sem registro anterior",IF($K91&lt;21,"Histórico insuficiente",IF($J91&lt;0.8,"Subcarga",IF($J91&lt;=1.3,"Zona ideal",IF($J91&lt;=1.5,"Atenção","Risco elevado"))))))</f>
        <v>Histórico insuficiente</v>
      </c>
      <c r="M91" s="27" t="s">
        <v>373</v>
      </c>
    </row>
    <row r="92" customFormat="false" ht="15" hidden="false" customHeight="false" outlineLevel="0" collapsed="false">
      <c r="A92" s="29" t="n">
        <v>46251</v>
      </c>
      <c r="B92" s="40" t="n">
        <f aca="false">IF($A92="",0,INT(($A92-Macrociclo!$C$11)/7)+1)</f>
        <v>33</v>
      </c>
      <c r="C92" s="27" t="s">
        <v>253</v>
      </c>
      <c r="D92" s="27" t="s">
        <v>1052</v>
      </c>
      <c r="E92" s="28" t="n">
        <v>75</v>
      </c>
      <c r="F92" s="28" t="n">
        <v>7</v>
      </c>
      <c r="G92" s="44" t="n">
        <f aca="false">IF(OR($E92="",$F92=""),0,$E92*$F92)</f>
        <v>525</v>
      </c>
      <c r="H92" s="44" t="n">
        <f aca="false">IF($A92="",0,SUMIFS($G$8:$G$1007,$C$8:$C$1007,$C92,$A$8:$A$1007,"&gt;="&amp;$A92-6,$A$8:$A$1007,"&lt;="&amp;$A92))</f>
        <v>3915</v>
      </c>
      <c r="I92" s="44" t="n">
        <f aca="false">IF($A92="",0,SUMIFS($G$8:$G$1007,$C$8:$C$1007,$C92,$A$8:$A$1007,"&gt;="&amp;$A92-27,$A$8:$A$1007,"&lt;="&amp;$A92)/4)</f>
        <v>1253.75</v>
      </c>
      <c r="J92" s="144" t="n">
        <f aca="false">IF(OR($A92="",$I92=0),0,$H92/$I92)</f>
        <v>3.12263210368893</v>
      </c>
      <c r="K92" s="40" t="n">
        <f aca="false">IF($A92="",0,$A92-SUMPRODUCT(MIN(($C$8:$C$1007=$C92)*$A$8:$A$1007+($C$8:$C$1007&lt;&gt;$C92)*100000))+1)</f>
        <v>8</v>
      </c>
      <c r="L92" s="26" t="str">
        <f aca="false">IF($A92="","",IF($J92=0,"Sem registro anterior",IF($K92&lt;21,"Histórico insuficiente",IF($J92&lt;0.8,"Subcarga",IF($J92&lt;=1.3,"Zona ideal",IF($J92&lt;=1.5,"Atenção","Risco elevado"))))))</f>
        <v>Histórico insuficiente</v>
      </c>
      <c r="M92" s="27" t="s">
        <v>373</v>
      </c>
    </row>
    <row r="93" customFormat="false" ht="15" hidden="false" customHeight="false" outlineLevel="0" collapsed="false">
      <c r="A93" s="29" t="n">
        <v>46251</v>
      </c>
      <c r="B93" s="40" t="n">
        <f aca="false">IF($A93="",0,INT(($A93-Macrociclo!$C$11)/7)+1)</f>
        <v>33</v>
      </c>
      <c r="C93" s="27" t="s">
        <v>259</v>
      </c>
      <c r="D93" s="27" t="s">
        <v>1052</v>
      </c>
      <c r="E93" s="28" t="n">
        <v>65</v>
      </c>
      <c r="F93" s="28" t="n">
        <v>6</v>
      </c>
      <c r="G93" s="44" t="n">
        <f aca="false">IF(OR($E93="",$F93=""),0,$E93*$F93)</f>
        <v>390</v>
      </c>
      <c r="H93" s="44" t="n">
        <f aca="false">IF($A93="",0,SUMIFS($G$8:$G$1007,$C$8:$C$1007,$C93,$A$8:$A$1007,"&gt;="&amp;$A93-6,$A$8:$A$1007,"&lt;="&amp;$A93))</f>
        <v>3610</v>
      </c>
      <c r="I93" s="44" t="n">
        <f aca="false">IF($A93="",0,SUMIFS($G$8:$G$1007,$C$8:$C$1007,$C93,$A$8:$A$1007,"&gt;="&amp;$A93-27,$A$8:$A$1007,"&lt;="&amp;$A93)/4)</f>
        <v>1151.25</v>
      </c>
      <c r="J93" s="144" t="n">
        <f aca="false">IF(OR($A93="",$I93=0),0,$H93/$I93)</f>
        <v>3.1357220412595</v>
      </c>
      <c r="K93" s="40" t="n">
        <f aca="false">IF($A93="",0,$A93-SUMPRODUCT(MIN(($C$8:$C$1007=$C93)*$A$8:$A$1007+($C$8:$C$1007&lt;&gt;$C93)*100000))+1)</f>
        <v>8</v>
      </c>
      <c r="L93" s="26" t="str">
        <f aca="false">IF($A93="","",IF($J93=0,"Sem registro anterior",IF($K93&lt;21,"Histórico insuficiente",IF($J93&lt;0.8,"Subcarga",IF($J93&lt;=1.3,"Zona ideal",IF($J93&lt;=1.5,"Atenção","Risco elevado"))))))</f>
        <v>Histórico insuficiente</v>
      </c>
      <c r="M93" s="27" t="s">
        <v>373</v>
      </c>
    </row>
    <row r="94" customFormat="false" ht="15" hidden="false" customHeight="false" outlineLevel="0" collapsed="false">
      <c r="A94" s="29" t="n">
        <v>46251</v>
      </c>
      <c r="B94" s="40" t="n">
        <f aca="false">IF($A94="",0,INT(($A94-Macrociclo!$C$11)/7)+1)</f>
        <v>33</v>
      </c>
      <c r="C94" s="27" t="s">
        <v>270</v>
      </c>
      <c r="D94" s="27" t="s">
        <v>1052</v>
      </c>
      <c r="E94" s="28" t="n">
        <v>75</v>
      </c>
      <c r="F94" s="28" t="n">
        <v>7</v>
      </c>
      <c r="G94" s="44" t="n">
        <f aca="false">IF(OR($E94="",$F94=""),0,$E94*$F94)</f>
        <v>525</v>
      </c>
      <c r="H94" s="44" t="n">
        <f aca="false">IF($A94="",0,SUMIFS($G$8:$G$1007,$C$8:$C$1007,$C94,$A$8:$A$1007,"&gt;="&amp;$A94-6,$A$8:$A$1007,"&lt;="&amp;$A94))</f>
        <v>4055</v>
      </c>
      <c r="I94" s="44" t="n">
        <f aca="false">IF($A94="",0,SUMIFS($G$8:$G$1007,$C$8:$C$1007,$C94,$A$8:$A$1007,"&gt;="&amp;$A94-27,$A$8:$A$1007,"&lt;="&amp;$A94)/4)</f>
        <v>1302.5</v>
      </c>
      <c r="J94" s="144" t="n">
        <f aca="false">IF(OR($A94="",$I94=0),0,$H94/$I94)</f>
        <v>3.11324376199616</v>
      </c>
      <c r="K94" s="40" t="n">
        <f aca="false">IF($A94="",0,$A94-SUMPRODUCT(MIN(($C$8:$C$1007=$C94)*$A$8:$A$1007+($C$8:$C$1007&lt;&gt;$C94)*100000))+1)</f>
        <v>8</v>
      </c>
      <c r="L94" s="26" t="str">
        <f aca="false">IF($A94="","",IF($J94=0,"Sem registro anterior",IF($K94&lt;21,"Histórico insuficiente",IF($J94&lt;0.8,"Subcarga",IF($J94&lt;=1.3,"Zona ideal",IF($J94&lt;=1.5,"Atenção","Risco elevado"))))))</f>
        <v>Histórico insuficiente</v>
      </c>
      <c r="M94" s="27" t="s">
        <v>373</v>
      </c>
    </row>
    <row r="95" customFormat="false" ht="15" hidden="false" customHeight="false" outlineLevel="0" collapsed="false">
      <c r="A95" s="29" t="n">
        <v>46251</v>
      </c>
      <c r="B95" s="40" t="n">
        <f aca="false">IF($A95="",0,INT(($A95-Macrociclo!$C$11)/7)+1)</f>
        <v>33</v>
      </c>
      <c r="C95" s="27" t="s">
        <v>279</v>
      </c>
      <c r="D95" s="27" t="s">
        <v>1052</v>
      </c>
      <c r="E95" s="28" t="n">
        <v>65</v>
      </c>
      <c r="F95" s="28" t="n">
        <v>7</v>
      </c>
      <c r="G95" s="44" t="n">
        <f aca="false">IF(OR($E95="",$F95=""),0,$E95*$F95)</f>
        <v>455</v>
      </c>
      <c r="H95" s="44" t="n">
        <f aca="false">IF($A95="",0,SUMIFS($G$8:$G$1007,$C$8:$C$1007,$C95,$A$8:$A$1007,"&gt;="&amp;$A95-6,$A$8:$A$1007,"&lt;="&amp;$A95))</f>
        <v>2955</v>
      </c>
      <c r="I95" s="44" t="n">
        <f aca="false">IF($A95="",0,SUMIFS($G$8:$G$1007,$C$8:$C$1007,$C95,$A$8:$A$1007,"&gt;="&amp;$A95-27,$A$8:$A$1007,"&lt;="&amp;$A95)/4)</f>
        <v>866.25</v>
      </c>
      <c r="J95" s="144" t="n">
        <f aca="false">IF(OR($A95="",$I95=0),0,$H95/$I95)</f>
        <v>3.41125541125541</v>
      </c>
      <c r="K95" s="40" t="n">
        <f aca="false">IF($A95="",0,$A95-SUMPRODUCT(MIN(($C$8:$C$1007=$C95)*$A$8:$A$1007+($C$8:$C$1007&lt;&gt;$C95)*100000))+1)</f>
        <v>8</v>
      </c>
      <c r="L95" s="26" t="str">
        <f aca="false">IF($A95="","",IF($J95=0,"Sem registro anterior",IF($K95&lt;21,"Histórico insuficiente",IF($J95&lt;0.8,"Subcarga",IF($J95&lt;=1.3,"Zona ideal",IF($J95&lt;=1.5,"Atenção","Risco elevado"))))))</f>
        <v>Histórico insuficiente</v>
      </c>
      <c r="M95" s="27" t="s">
        <v>373</v>
      </c>
    </row>
    <row r="96" customFormat="false" ht="15" hidden="false" customHeight="false" outlineLevel="0" collapsed="false">
      <c r="A96" s="29" t="n">
        <v>46251</v>
      </c>
      <c r="B96" s="40" t="n">
        <f aca="false">IF($A96="",0,INT(($A96-Macrociclo!$C$11)/7)+1)</f>
        <v>33</v>
      </c>
      <c r="C96" s="27" t="s">
        <v>164</v>
      </c>
      <c r="D96" s="27" t="s">
        <v>1056</v>
      </c>
      <c r="E96" s="28" t="n">
        <v>90</v>
      </c>
      <c r="F96" s="28" t="n">
        <v>6</v>
      </c>
      <c r="G96" s="44" t="n">
        <f aca="false">IF(OR($E96="",$F96=""),0,$E96*$F96)</f>
        <v>540</v>
      </c>
      <c r="H96" s="44" t="n">
        <f aca="false">IF($A96="",0,SUMIFS($G$8:$G$1007,$C$8:$C$1007,$C96,$A$8:$A$1007,"&gt;="&amp;$A96-6,$A$8:$A$1007,"&lt;="&amp;$A96))</f>
        <v>3440</v>
      </c>
      <c r="I96" s="44" t="n">
        <f aca="false">IF($A96="",0,SUMIFS($G$8:$G$1007,$C$8:$C$1007,$C96,$A$8:$A$1007,"&gt;="&amp;$A96-27,$A$8:$A$1007,"&lt;="&amp;$A96)/4)</f>
        <v>1111.25</v>
      </c>
      <c r="J96" s="144" t="n">
        <f aca="false">IF(OR($A96="",$I96=0),0,$H96/$I96)</f>
        <v>3.09561304836895</v>
      </c>
      <c r="K96" s="40" t="n">
        <f aca="false">IF($A96="",0,$A96-SUMPRODUCT(MIN(($C$8:$C$1007=$C96)*$A$8:$A$1007+($C$8:$C$1007&lt;&gt;$C96)*100000))+1)</f>
        <v>8</v>
      </c>
      <c r="L96" s="26" t="str">
        <f aca="false">IF($A96="","",IF($J96=0,"Sem registro anterior",IF($K96&lt;21,"Histórico insuficiente",IF($J96&lt;0.8,"Subcarga",IF($J96&lt;=1.3,"Zona ideal",IF($J96&lt;=1.5,"Atenção","Risco elevado"))))))</f>
        <v>Histórico insuficiente</v>
      </c>
      <c r="M96" s="27" t="s">
        <v>373</v>
      </c>
    </row>
    <row r="97" customFormat="false" ht="15" hidden="false" customHeight="false" outlineLevel="0" collapsed="false">
      <c r="A97" s="29" t="n">
        <v>46251</v>
      </c>
      <c r="B97" s="40" t="n">
        <f aca="false">IF($A97="",0,INT(($A97-Macrociclo!$C$11)/7)+1)</f>
        <v>33</v>
      </c>
      <c r="C97" s="27" t="s">
        <v>192</v>
      </c>
      <c r="D97" s="27" t="s">
        <v>1056</v>
      </c>
      <c r="E97" s="28" t="n">
        <v>85</v>
      </c>
      <c r="F97" s="28" t="n">
        <v>6</v>
      </c>
      <c r="G97" s="44" t="n">
        <f aca="false">IF(OR($E97="",$F97=""),0,$E97*$F97)</f>
        <v>510</v>
      </c>
      <c r="H97" s="44" t="n">
        <f aca="false">IF($A97="",0,SUMIFS($G$8:$G$1007,$C$8:$C$1007,$C97,$A$8:$A$1007,"&gt;="&amp;$A97-6,$A$8:$A$1007,"&lt;="&amp;$A97))</f>
        <v>3895</v>
      </c>
      <c r="I97" s="44" t="n">
        <f aca="false">IF($A97="",0,SUMIFS($G$8:$G$1007,$C$8:$C$1007,$C97,$A$8:$A$1007,"&gt;="&amp;$A97-27,$A$8:$A$1007,"&lt;="&amp;$A97)/4)</f>
        <v>1225</v>
      </c>
      <c r="J97" s="144" t="n">
        <f aca="false">IF(OR($A97="",$I97=0),0,$H97/$I97)</f>
        <v>3.17959183673469</v>
      </c>
      <c r="K97" s="40" t="n">
        <f aca="false">IF($A97="",0,$A97-SUMPRODUCT(MIN(($C$8:$C$1007=$C97)*$A$8:$A$1007+($C$8:$C$1007&lt;&gt;$C97)*100000))+1)</f>
        <v>8</v>
      </c>
      <c r="L97" s="26" t="str">
        <f aca="false">IF($A97="","",IF($J97=0,"Sem registro anterior",IF($K97&lt;21,"Histórico insuficiente",IF($J97&lt;0.8,"Subcarga",IF($J97&lt;=1.3,"Zona ideal",IF($J97&lt;=1.5,"Atenção","Risco elevado"))))))</f>
        <v>Histórico insuficiente</v>
      </c>
      <c r="M97" s="27" t="s">
        <v>373</v>
      </c>
    </row>
    <row r="98" customFormat="false" ht="15" hidden="false" customHeight="false" outlineLevel="0" collapsed="false">
      <c r="A98" s="29" t="n">
        <v>46251</v>
      </c>
      <c r="B98" s="40" t="n">
        <f aca="false">IF($A98="",0,INT(($A98-Macrociclo!$C$11)/7)+1)</f>
        <v>33</v>
      </c>
      <c r="C98" s="27" t="s">
        <v>206</v>
      </c>
      <c r="D98" s="27" t="s">
        <v>1056</v>
      </c>
      <c r="E98" s="28" t="n">
        <v>80</v>
      </c>
      <c r="F98" s="28" t="n">
        <v>6</v>
      </c>
      <c r="G98" s="44" t="n">
        <f aca="false">IF(OR($E98="",$F98=""),0,$E98*$F98)</f>
        <v>480</v>
      </c>
      <c r="H98" s="44" t="n">
        <f aca="false">IF($A98="",0,SUMIFS($G$8:$G$1007,$C$8:$C$1007,$C98,$A$8:$A$1007,"&gt;="&amp;$A98-6,$A$8:$A$1007,"&lt;="&amp;$A98))</f>
        <v>3090</v>
      </c>
      <c r="I98" s="44" t="n">
        <f aca="false">IF($A98="",0,SUMIFS($G$8:$G$1007,$C$8:$C$1007,$C98,$A$8:$A$1007,"&gt;="&amp;$A98-27,$A$8:$A$1007,"&lt;="&amp;$A98)/4)</f>
        <v>915</v>
      </c>
      <c r="J98" s="144" t="n">
        <f aca="false">IF(OR($A98="",$I98=0),0,$H98/$I98)</f>
        <v>3.37704918032787</v>
      </c>
      <c r="K98" s="40" t="n">
        <f aca="false">IF($A98="",0,$A98-SUMPRODUCT(MIN(($C$8:$C$1007=$C98)*$A$8:$A$1007+($C$8:$C$1007&lt;&gt;$C98)*100000))+1)</f>
        <v>8</v>
      </c>
      <c r="L98" s="26" t="str">
        <f aca="false">IF($A98="","",IF($J98=0,"Sem registro anterior",IF($K98&lt;21,"Histórico insuficiente",IF($J98&lt;0.8,"Subcarga",IF($J98&lt;=1.3,"Zona ideal",IF($J98&lt;=1.5,"Atenção","Risco elevado"))))))</f>
        <v>Histórico insuficiente</v>
      </c>
      <c r="M98" s="27" t="s">
        <v>373</v>
      </c>
    </row>
    <row r="99" customFormat="false" ht="15" hidden="false" customHeight="false" outlineLevel="0" collapsed="false">
      <c r="A99" s="29" t="n">
        <v>46251</v>
      </c>
      <c r="B99" s="40" t="n">
        <f aca="false">IF($A99="",0,INT(($A99-Macrociclo!$C$11)/7)+1)</f>
        <v>33</v>
      </c>
      <c r="C99" s="27" t="s">
        <v>215</v>
      </c>
      <c r="D99" s="27" t="s">
        <v>1056</v>
      </c>
      <c r="E99" s="28" t="n">
        <v>90</v>
      </c>
      <c r="F99" s="28" t="n">
        <v>5</v>
      </c>
      <c r="G99" s="44" t="n">
        <f aca="false">IF(OR($E99="",$F99=""),0,$E99*$F99)</f>
        <v>450</v>
      </c>
      <c r="H99" s="44" t="n">
        <f aca="false">IF($A99="",0,SUMIFS($G$8:$G$1007,$C$8:$C$1007,$C99,$A$8:$A$1007,"&gt;="&amp;$A99-6,$A$8:$A$1007,"&lt;="&amp;$A99))</f>
        <v>3450</v>
      </c>
      <c r="I99" s="44" t="n">
        <f aca="false">IF($A99="",0,SUMIFS($G$8:$G$1007,$C$8:$C$1007,$C99,$A$8:$A$1007,"&gt;="&amp;$A99-27,$A$8:$A$1007,"&lt;="&amp;$A99)/4)</f>
        <v>1188.75</v>
      </c>
      <c r="J99" s="144" t="n">
        <f aca="false">IF(OR($A99="",$I99=0),0,$H99/$I99)</f>
        <v>2.90220820189274</v>
      </c>
      <c r="K99" s="40" t="n">
        <f aca="false">IF($A99="",0,$A99-SUMPRODUCT(MIN(($C$8:$C$1007=$C99)*$A$8:$A$1007+($C$8:$C$1007&lt;&gt;$C99)*100000))+1)</f>
        <v>8</v>
      </c>
      <c r="L99" s="26" t="str">
        <f aca="false">IF($A99="","",IF($J99=0,"Sem registro anterior",IF($K99&lt;21,"Histórico insuficiente",IF($J99&lt;0.8,"Subcarga",IF($J99&lt;=1.3,"Zona ideal",IF($J99&lt;=1.5,"Atenção","Risco elevado"))))))</f>
        <v>Histórico insuficiente</v>
      </c>
      <c r="M99" s="27" t="s">
        <v>373</v>
      </c>
    </row>
    <row r="100" customFormat="false" ht="15" hidden="false" customHeight="false" outlineLevel="0" collapsed="false">
      <c r="A100" s="29" t="n">
        <v>46251</v>
      </c>
      <c r="B100" s="40" t="n">
        <f aca="false">IF($A100="",0,INT(($A100-Macrociclo!$C$11)/7)+1)</f>
        <v>33</v>
      </c>
      <c r="C100" s="27" t="s">
        <v>226</v>
      </c>
      <c r="D100" s="27" t="s">
        <v>1056</v>
      </c>
      <c r="E100" s="28" t="n">
        <v>85</v>
      </c>
      <c r="F100" s="28" t="n">
        <v>6</v>
      </c>
      <c r="G100" s="44" t="n">
        <f aca="false">IF(OR($E100="",$F100=""),0,$E100*$F100)</f>
        <v>510</v>
      </c>
      <c r="H100" s="44" t="n">
        <f aca="false">IF($A100="",0,SUMIFS($G$8:$G$1007,$C$8:$C$1007,$C100,$A$8:$A$1007,"&gt;="&amp;$A100-6,$A$8:$A$1007,"&lt;="&amp;$A100))</f>
        <v>3950</v>
      </c>
      <c r="I100" s="44" t="n">
        <f aca="false">IF($A100="",0,SUMIFS($G$8:$G$1007,$C$8:$C$1007,$C100,$A$8:$A$1007,"&gt;="&amp;$A100-27,$A$8:$A$1007,"&lt;="&amp;$A100)/4)</f>
        <v>1265</v>
      </c>
      <c r="J100" s="144" t="n">
        <f aca="false">IF(OR($A100="",$I100=0),0,$H100/$I100)</f>
        <v>3.12252964426878</v>
      </c>
      <c r="K100" s="40" t="n">
        <f aca="false">IF($A100="",0,$A100-SUMPRODUCT(MIN(($C$8:$C$1007=$C100)*$A$8:$A$1007+($C$8:$C$1007&lt;&gt;$C100)*100000))+1)</f>
        <v>8</v>
      </c>
      <c r="L100" s="26" t="str">
        <f aca="false">IF($A100="","",IF($J100=0,"Sem registro anterior",IF($K100&lt;21,"Histórico insuficiente",IF($J100&lt;0.8,"Subcarga",IF($J100&lt;=1.3,"Zona ideal",IF($J100&lt;=1.5,"Atenção","Risco elevado"))))))</f>
        <v>Histórico insuficiente</v>
      </c>
      <c r="M100" s="27" t="s">
        <v>373</v>
      </c>
    </row>
    <row r="101" customFormat="false" ht="15" hidden="false" customHeight="false" outlineLevel="0" collapsed="false">
      <c r="A101" s="29" t="n">
        <v>46251</v>
      </c>
      <c r="B101" s="40" t="n">
        <f aca="false">IF($A101="",0,INT(($A101-Macrociclo!$C$11)/7)+1)</f>
        <v>33</v>
      </c>
      <c r="C101" s="27" t="s">
        <v>236</v>
      </c>
      <c r="D101" s="27" t="s">
        <v>1056</v>
      </c>
      <c r="E101" s="28" t="n">
        <v>95</v>
      </c>
      <c r="F101" s="28" t="n">
        <v>6</v>
      </c>
      <c r="G101" s="44" t="n">
        <f aca="false">IF(OR($E101="",$F101=""),0,$E101*$F101)</f>
        <v>570</v>
      </c>
      <c r="H101" s="44" t="n">
        <f aca="false">IF($A101="",0,SUMIFS($G$8:$G$1007,$C$8:$C$1007,$C101,$A$8:$A$1007,"&gt;="&amp;$A101-6,$A$8:$A$1007,"&lt;="&amp;$A101))</f>
        <v>4115</v>
      </c>
      <c r="I101" s="44" t="n">
        <f aca="false">IF($A101="",0,SUMIFS($G$8:$G$1007,$C$8:$C$1007,$C101,$A$8:$A$1007,"&gt;="&amp;$A101-27,$A$8:$A$1007,"&lt;="&amp;$A101)/4)</f>
        <v>1261.25</v>
      </c>
      <c r="J101" s="144" t="n">
        <f aca="false">IF(OR($A101="",$I101=0),0,$H101/$I101)</f>
        <v>3.26263627353816</v>
      </c>
      <c r="K101" s="40" t="n">
        <f aca="false">IF($A101="",0,$A101-SUMPRODUCT(MIN(($C$8:$C$1007=$C101)*$A$8:$A$1007+($C$8:$C$1007&lt;&gt;$C101)*100000))+1)</f>
        <v>8</v>
      </c>
      <c r="L101" s="26" t="str">
        <f aca="false">IF($A101="","",IF($J101=0,"Sem registro anterior",IF($K101&lt;21,"Histórico insuficiente",IF($J101&lt;0.8,"Subcarga",IF($J101&lt;=1.3,"Zona ideal",IF($J101&lt;=1.5,"Atenção","Risco elevado"))))))</f>
        <v>Histórico insuficiente</v>
      </c>
      <c r="M101" s="27" t="s">
        <v>373</v>
      </c>
    </row>
    <row r="102" customFormat="false" ht="15" hidden="false" customHeight="false" outlineLevel="0" collapsed="false">
      <c r="A102" s="29" t="n">
        <v>46251</v>
      </c>
      <c r="B102" s="40" t="n">
        <f aca="false">IF($A102="",0,INT(($A102-Macrociclo!$C$11)/7)+1)</f>
        <v>33</v>
      </c>
      <c r="C102" s="27" t="s">
        <v>244</v>
      </c>
      <c r="D102" s="27" t="s">
        <v>1056</v>
      </c>
      <c r="E102" s="28" t="n">
        <v>90</v>
      </c>
      <c r="F102" s="28" t="n">
        <v>6</v>
      </c>
      <c r="G102" s="44" t="n">
        <f aca="false">IF(OR($E102="",$F102=""),0,$E102*$F102)</f>
        <v>540</v>
      </c>
      <c r="H102" s="44" t="n">
        <f aca="false">IF($A102="",0,SUMIFS($G$8:$G$1007,$C$8:$C$1007,$C102,$A$8:$A$1007,"&gt;="&amp;$A102-6,$A$8:$A$1007,"&lt;="&amp;$A102))</f>
        <v>4015</v>
      </c>
      <c r="I102" s="44" t="n">
        <f aca="false">IF($A102="",0,SUMIFS($G$8:$G$1007,$C$8:$C$1007,$C102,$A$8:$A$1007,"&gt;="&amp;$A102-27,$A$8:$A$1007,"&lt;="&amp;$A102)/4)</f>
        <v>1281.25</v>
      </c>
      <c r="J102" s="144" t="n">
        <f aca="false">IF(OR($A102="",$I102=0),0,$H102/$I102)</f>
        <v>3.13365853658537</v>
      </c>
      <c r="K102" s="40" t="n">
        <f aca="false">IF($A102="",0,$A102-SUMPRODUCT(MIN(($C$8:$C$1007=$C102)*$A$8:$A$1007+($C$8:$C$1007&lt;&gt;$C102)*100000))+1)</f>
        <v>8</v>
      </c>
      <c r="L102" s="26" t="str">
        <f aca="false">IF($A102="","",IF($J102=0,"Sem registro anterior",IF($K102&lt;21,"Histórico insuficiente",IF($J102&lt;0.8,"Subcarga",IF($J102&lt;=1.3,"Zona ideal",IF($J102&lt;=1.5,"Atenção","Risco elevado"))))))</f>
        <v>Histórico insuficiente</v>
      </c>
      <c r="M102" s="27" t="s">
        <v>373</v>
      </c>
    </row>
    <row r="103" customFormat="false" ht="15" hidden="false" customHeight="false" outlineLevel="0" collapsed="false">
      <c r="A103" s="29" t="n">
        <v>46251</v>
      </c>
      <c r="B103" s="40" t="n">
        <f aca="false">IF($A103="",0,INT(($A103-Macrociclo!$C$11)/7)+1)</f>
        <v>33</v>
      </c>
      <c r="C103" s="27" t="s">
        <v>253</v>
      </c>
      <c r="D103" s="27" t="s">
        <v>1056</v>
      </c>
      <c r="E103" s="28" t="n">
        <v>95</v>
      </c>
      <c r="F103" s="28" t="n">
        <v>5</v>
      </c>
      <c r="G103" s="44" t="n">
        <f aca="false">IF(OR($E103="",$F103=""),0,$E103*$F103)</f>
        <v>475</v>
      </c>
      <c r="H103" s="44" t="n">
        <f aca="false">IF($A103="",0,SUMIFS($G$8:$G$1007,$C$8:$C$1007,$C103,$A$8:$A$1007,"&gt;="&amp;$A103-6,$A$8:$A$1007,"&lt;="&amp;$A103))</f>
        <v>3915</v>
      </c>
      <c r="I103" s="44" t="n">
        <f aca="false">IF($A103="",0,SUMIFS($G$8:$G$1007,$C$8:$C$1007,$C103,$A$8:$A$1007,"&gt;="&amp;$A103-27,$A$8:$A$1007,"&lt;="&amp;$A103)/4)</f>
        <v>1253.75</v>
      </c>
      <c r="J103" s="144" t="n">
        <f aca="false">IF(OR($A103="",$I103=0),0,$H103/$I103)</f>
        <v>3.12263210368893</v>
      </c>
      <c r="K103" s="40" t="n">
        <f aca="false">IF($A103="",0,$A103-SUMPRODUCT(MIN(($C$8:$C$1007=$C103)*$A$8:$A$1007+($C$8:$C$1007&lt;&gt;$C103)*100000))+1)</f>
        <v>8</v>
      </c>
      <c r="L103" s="26" t="str">
        <f aca="false">IF($A103="","",IF($J103=0,"Sem registro anterior",IF($K103&lt;21,"Histórico insuficiente",IF($J103&lt;0.8,"Subcarga",IF($J103&lt;=1.3,"Zona ideal",IF($J103&lt;=1.5,"Atenção","Risco elevado"))))))</f>
        <v>Histórico insuficiente</v>
      </c>
      <c r="M103" s="27" t="s">
        <v>373</v>
      </c>
    </row>
    <row r="104" customFormat="false" ht="15" hidden="false" customHeight="false" outlineLevel="0" collapsed="false">
      <c r="A104" s="29" t="n">
        <v>46251</v>
      </c>
      <c r="B104" s="40" t="n">
        <f aca="false">IF($A104="",0,INT(($A104-Macrociclo!$C$11)/7)+1)</f>
        <v>33</v>
      </c>
      <c r="C104" s="27" t="s">
        <v>259</v>
      </c>
      <c r="D104" s="27" t="s">
        <v>1056</v>
      </c>
      <c r="E104" s="28" t="n">
        <v>90</v>
      </c>
      <c r="F104" s="28" t="n">
        <v>5</v>
      </c>
      <c r="G104" s="44" t="n">
        <f aca="false">IF(OR($E104="",$F104=""),0,$E104*$F104)</f>
        <v>450</v>
      </c>
      <c r="H104" s="44" t="n">
        <f aca="false">IF($A104="",0,SUMIFS($G$8:$G$1007,$C$8:$C$1007,$C104,$A$8:$A$1007,"&gt;="&amp;$A104-6,$A$8:$A$1007,"&lt;="&amp;$A104))</f>
        <v>3610</v>
      </c>
      <c r="I104" s="44" t="n">
        <f aca="false">IF($A104="",0,SUMIFS($G$8:$G$1007,$C$8:$C$1007,$C104,$A$8:$A$1007,"&gt;="&amp;$A104-27,$A$8:$A$1007,"&lt;="&amp;$A104)/4)</f>
        <v>1151.25</v>
      </c>
      <c r="J104" s="144" t="n">
        <f aca="false">IF(OR($A104="",$I104=0),0,$H104/$I104)</f>
        <v>3.1357220412595</v>
      </c>
      <c r="K104" s="40" t="n">
        <f aca="false">IF($A104="",0,$A104-SUMPRODUCT(MIN(($C$8:$C$1007=$C104)*$A$8:$A$1007+($C$8:$C$1007&lt;&gt;$C104)*100000))+1)</f>
        <v>8</v>
      </c>
      <c r="L104" s="26" t="str">
        <f aca="false">IF($A104="","",IF($J104=0,"Sem registro anterior",IF($K104&lt;21,"Histórico insuficiente",IF($J104&lt;0.8,"Subcarga",IF($J104&lt;=1.3,"Zona ideal",IF($J104&lt;=1.5,"Atenção","Risco elevado"))))))</f>
        <v>Histórico insuficiente</v>
      </c>
      <c r="M104" s="27" t="s">
        <v>373</v>
      </c>
    </row>
    <row r="105" customFormat="false" ht="15" hidden="false" customHeight="false" outlineLevel="0" collapsed="false">
      <c r="A105" s="29" t="n">
        <v>46251</v>
      </c>
      <c r="B105" s="40" t="n">
        <f aca="false">IF($A105="",0,INT(($A105-Macrociclo!$C$11)/7)+1)</f>
        <v>33</v>
      </c>
      <c r="C105" s="27" t="s">
        <v>264</v>
      </c>
      <c r="D105" s="27" t="s">
        <v>1056</v>
      </c>
      <c r="E105" s="28" t="n">
        <v>85</v>
      </c>
      <c r="F105" s="28" t="n">
        <v>6</v>
      </c>
      <c r="G105" s="44" t="n">
        <f aca="false">IF(OR($E105="",$F105=""),0,$E105*$F105)</f>
        <v>510</v>
      </c>
      <c r="H105" s="44" t="n">
        <f aca="false">IF($A105="",0,SUMIFS($G$8:$G$1007,$C$8:$C$1007,$C105,$A$8:$A$1007,"&gt;="&amp;$A105-6,$A$8:$A$1007,"&lt;="&amp;$A105))</f>
        <v>3645</v>
      </c>
      <c r="I105" s="44" t="n">
        <f aca="false">IF($A105="",0,SUMIFS($G$8:$G$1007,$C$8:$C$1007,$C105,$A$8:$A$1007,"&gt;="&amp;$A105-27,$A$8:$A$1007,"&lt;="&amp;$A105)/4)</f>
        <v>1191.25</v>
      </c>
      <c r="J105" s="144" t="n">
        <f aca="false">IF(OR($A105="",$I105=0),0,$H105/$I105)</f>
        <v>3.0598111227702</v>
      </c>
      <c r="K105" s="40" t="n">
        <f aca="false">IF($A105="",0,$A105-SUMPRODUCT(MIN(($C$8:$C$1007=$C105)*$A$8:$A$1007+($C$8:$C$1007&lt;&gt;$C105)*100000))+1)</f>
        <v>8</v>
      </c>
      <c r="L105" s="26" t="str">
        <f aca="false">IF($A105="","",IF($J105=0,"Sem registro anterior",IF($K105&lt;21,"Histórico insuficiente",IF($J105&lt;0.8,"Subcarga",IF($J105&lt;=1.3,"Zona ideal",IF($J105&lt;=1.5,"Atenção","Risco elevado"))))))</f>
        <v>Histórico insuficiente</v>
      </c>
      <c r="M105" s="27" t="s">
        <v>373</v>
      </c>
    </row>
    <row r="106" customFormat="false" ht="15" hidden="false" customHeight="false" outlineLevel="0" collapsed="false">
      <c r="A106" s="29" t="n">
        <v>46251</v>
      </c>
      <c r="B106" s="40" t="n">
        <f aca="false">IF($A106="",0,INT(($A106-Macrociclo!$C$11)/7)+1)</f>
        <v>33</v>
      </c>
      <c r="C106" s="27" t="s">
        <v>270</v>
      </c>
      <c r="D106" s="27" t="s">
        <v>1056</v>
      </c>
      <c r="E106" s="28" t="n">
        <v>90</v>
      </c>
      <c r="F106" s="28" t="n">
        <v>6</v>
      </c>
      <c r="G106" s="44" t="n">
        <f aca="false">IF(OR($E106="",$F106=""),0,$E106*$F106)</f>
        <v>540</v>
      </c>
      <c r="H106" s="44" t="n">
        <f aca="false">IF($A106="",0,SUMIFS($G$8:$G$1007,$C$8:$C$1007,$C106,$A$8:$A$1007,"&gt;="&amp;$A106-6,$A$8:$A$1007,"&lt;="&amp;$A106))</f>
        <v>4055</v>
      </c>
      <c r="I106" s="44" t="n">
        <f aca="false">IF($A106="",0,SUMIFS($G$8:$G$1007,$C$8:$C$1007,$C106,$A$8:$A$1007,"&gt;="&amp;$A106-27,$A$8:$A$1007,"&lt;="&amp;$A106)/4)</f>
        <v>1302.5</v>
      </c>
      <c r="J106" s="144" t="n">
        <f aca="false">IF(OR($A106="",$I106=0),0,$H106/$I106)</f>
        <v>3.11324376199616</v>
      </c>
      <c r="K106" s="40" t="n">
        <f aca="false">IF($A106="",0,$A106-SUMPRODUCT(MIN(($C$8:$C$1007=$C106)*$A$8:$A$1007+($C$8:$C$1007&lt;&gt;$C106)*100000))+1)</f>
        <v>8</v>
      </c>
      <c r="L106" s="26" t="str">
        <f aca="false">IF($A106="","",IF($J106=0,"Sem registro anterior",IF($K106&lt;21,"Histórico insuficiente",IF($J106&lt;0.8,"Subcarga",IF($J106&lt;=1.3,"Zona ideal",IF($J106&lt;=1.5,"Atenção","Risco elevado"))))))</f>
        <v>Histórico insuficiente</v>
      </c>
      <c r="M106" s="27" t="s">
        <v>373</v>
      </c>
    </row>
    <row r="107" customFormat="false" ht="15" hidden="false" customHeight="false" outlineLevel="0" collapsed="false">
      <c r="A107" s="29" t="n">
        <v>46251</v>
      </c>
      <c r="B107" s="40" t="n">
        <f aca="false">IF($A107="",0,INT(($A107-Macrociclo!$C$11)/7)+1)</f>
        <v>33</v>
      </c>
      <c r="C107" s="27" t="s">
        <v>279</v>
      </c>
      <c r="D107" s="27" t="s">
        <v>1056</v>
      </c>
      <c r="E107" s="28" t="n">
        <v>85</v>
      </c>
      <c r="F107" s="28" t="n">
        <v>6</v>
      </c>
      <c r="G107" s="44" t="n">
        <f aca="false">IF(OR($E107="",$F107=""),0,$E107*$F107)</f>
        <v>510</v>
      </c>
      <c r="H107" s="44" t="n">
        <f aca="false">IF($A107="",0,SUMIFS($G$8:$G$1007,$C$8:$C$1007,$C107,$A$8:$A$1007,"&gt;="&amp;$A107-6,$A$8:$A$1007,"&lt;="&amp;$A107))</f>
        <v>2955</v>
      </c>
      <c r="I107" s="44" t="n">
        <f aca="false">IF($A107="",0,SUMIFS($G$8:$G$1007,$C$8:$C$1007,$C107,$A$8:$A$1007,"&gt;="&amp;$A107-27,$A$8:$A$1007,"&lt;="&amp;$A107)/4)</f>
        <v>866.25</v>
      </c>
      <c r="J107" s="144" t="n">
        <f aca="false">IF(OR($A107="",$I107=0),0,$H107/$I107)</f>
        <v>3.41125541125541</v>
      </c>
      <c r="K107" s="40" t="n">
        <f aca="false">IF($A107="",0,$A107-SUMPRODUCT(MIN(($C$8:$C$1007=$C107)*$A$8:$A$1007+($C$8:$C$1007&lt;&gt;$C107)*100000))+1)</f>
        <v>8</v>
      </c>
      <c r="L107" s="26" t="str">
        <f aca="false">IF($A107="","",IF($J107=0,"Sem registro anterior",IF($K107&lt;21,"Histórico insuficiente",IF($J107&lt;0.8,"Subcarga",IF($J107&lt;=1.3,"Zona ideal",IF($J107&lt;=1.5,"Atenção","Risco elevado"))))))</f>
        <v>Histórico insuficiente</v>
      </c>
      <c r="M107" s="27" t="s">
        <v>373</v>
      </c>
    </row>
    <row r="108" customFormat="false" ht="15" hidden="false" customHeight="false" outlineLevel="0" collapsed="false">
      <c r="A108" s="29" t="n">
        <v>46252</v>
      </c>
      <c r="B108" s="40" t="n">
        <f aca="false">IF($A108="",0,INT(($A108-Macrociclo!$C$11)/7)+1)</f>
        <v>33</v>
      </c>
      <c r="C108" s="27" t="s">
        <v>164</v>
      </c>
      <c r="D108" s="27" t="s">
        <v>1061</v>
      </c>
      <c r="E108" s="28" t="n">
        <v>60</v>
      </c>
      <c r="F108" s="28" t="n">
        <v>7</v>
      </c>
      <c r="G108" s="44" t="n">
        <f aca="false">IF(OR($E108="",$F108=""),0,$E108*$F108)</f>
        <v>420</v>
      </c>
      <c r="H108" s="44" t="n">
        <f aca="false">IF($A108="",0,SUMIFS($G$8:$G$1007,$C$8:$C$1007,$C108,$A$8:$A$1007,"&gt;="&amp;$A108-6,$A$8:$A$1007,"&lt;="&amp;$A108))</f>
        <v>3475</v>
      </c>
      <c r="I108" s="44" t="n">
        <f aca="false">IF($A108="",0,SUMIFS($G$8:$G$1007,$C$8:$C$1007,$C108,$A$8:$A$1007,"&gt;="&amp;$A108-27,$A$8:$A$1007,"&lt;="&amp;$A108)/4)</f>
        <v>1216.25</v>
      </c>
      <c r="J108" s="144" t="n">
        <f aca="false">IF(OR($A108="",$I108=0),0,$H108/$I108)</f>
        <v>2.85714285714286</v>
      </c>
      <c r="K108" s="40" t="n">
        <f aca="false">IF($A108="",0,$A108-SUMPRODUCT(MIN(($C$8:$C$1007=$C108)*$A$8:$A$1007+($C$8:$C$1007&lt;&gt;$C108)*100000))+1)</f>
        <v>9</v>
      </c>
      <c r="L108" s="26" t="str">
        <f aca="false">IF($A108="","",IF($J108=0,"Sem registro anterior",IF($K108&lt;21,"Histórico insuficiente",IF($J108&lt;0.8,"Subcarga",IF($J108&lt;=1.3,"Zona ideal",IF($J108&lt;=1.5,"Atenção","Risco elevado"))))))</f>
        <v>Histórico insuficiente</v>
      </c>
      <c r="M108" s="27" t="s">
        <v>373</v>
      </c>
    </row>
    <row r="109" customFormat="false" ht="15" hidden="false" customHeight="false" outlineLevel="0" collapsed="false">
      <c r="A109" s="29" t="n">
        <v>46252</v>
      </c>
      <c r="B109" s="40" t="n">
        <f aca="false">IF($A109="",0,INT(($A109-Macrociclo!$C$11)/7)+1)</f>
        <v>33</v>
      </c>
      <c r="C109" s="27" t="s">
        <v>192</v>
      </c>
      <c r="D109" s="27" t="s">
        <v>1061</v>
      </c>
      <c r="E109" s="28" t="n">
        <v>60</v>
      </c>
      <c r="F109" s="28" t="n">
        <v>7</v>
      </c>
      <c r="G109" s="44" t="n">
        <f aca="false">IF(OR($E109="",$F109=""),0,$E109*$F109)</f>
        <v>420</v>
      </c>
      <c r="H109" s="44" t="n">
        <f aca="false">IF($A109="",0,SUMIFS($G$8:$G$1007,$C$8:$C$1007,$C109,$A$8:$A$1007,"&gt;="&amp;$A109-6,$A$8:$A$1007,"&lt;="&amp;$A109))</f>
        <v>3930</v>
      </c>
      <c r="I109" s="44" t="n">
        <f aca="false">IF($A109="",0,SUMIFS($G$8:$G$1007,$C$8:$C$1007,$C109,$A$8:$A$1007,"&gt;="&amp;$A109-27,$A$8:$A$1007,"&lt;="&amp;$A109)/4)</f>
        <v>1330</v>
      </c>
      <c r="J109" s="144" t="n">
        <f aca="false">IF(OR($A109="",$I109=0),0,$H109/$I109)</f>
        <v>2.95488721804511</v>
      </c>
      <c r="K109" s="40" t="n">
        <f aca="false">IF($A109="",0,$A109-SUMPRODUCT(MIN(($C$8:$C$1007=$C109)*$A$8:$A$1007+($C$8:$C$1007&lt;&gt;$C109)*100000))+1)</f>
        <v>9</v>
      </c>
      <c r="L109" s="26" t="str">
        <f aca="false">IF($A109="","",IF($J109=0,"Sem registro anterior",IF($K109&lt;21,"Histórico insuficiente",IF($J109&lt;0.8,"Subcarga",IF($J109&lt;=1.3,"Zona ideal",IF($J109&lt;=1.5,"Atenção","Risco elevado"))))))</f>
        <v>Histórico insuficiente</v>
      </c>
      <c r="M109" s="27" t="s">
        <v>373</v>
      </c>
    </row>
    <row r="110" customFormat="false" ht="15" hidden="false" customHeight="false" outlineLevel="0" collapsed="false">
      <c r="A110" s="29" t="n">
        <v>46252</v>
      </c>
      <c r="B110" s="40" t="n">
        <f aca="false">IF($A110="",0,INT(($A110-Macrociclo!$C$11)/7)+1)</f>
        <v>33</v>
      </c>
      <c r="C110" s="27" t="s">
        <v>206</v>
      </c>
      <c r="D110" s="27" t="s">
        <v>1061</v>
      </c>
      <c r="E110" s="28" t="n">
        <v>50</v>
      </c>
      <c r="F110" s="28" t="n">
        <v>7</v>
      </c>
      <c r="G110" s="44" t="n">
        <f aca="false">IF(OR($E110="",$F110=""),0,$E110*$F110)</f>
        <v>350</v>
      </c>
      <c r="H110" s="44" t="n">
        <f aca="false">IF($A110="",0,SUMIFS($G$8:$G$1007,$C$8:$C$1007,$C110,$A$8:$A$1007,"&gt;="&amp;$A110-6,$A$8:$A$1007,"&lt;="&amp;$A110))</f>
        <v>3080</v>
      </c>
      <c r="I110" s="44" t="n">
        <f aca="false">IF($A110="",0,SUMIFS($G$8:$G$1007,$C$8:$C$1007,$C110,$A$8:$A$1007,"&gt;="&amp;$A110-27,$A$8:$A$1007,"&lt;="&amp;$A110)/4)</f>
        <v>1002.5</v>
      </c>
      <c r="J110" s="144" t="n">
        <f aca="false">IF(OR($A110="",$I110=0),0,$H110/$I110)</f>
        <v>3.07231920199501</v>
      </c>
      <c r="K110" s="40" t="n">
        <f aca="false">IF($A110="",0,$A110-SUMPRODUCT(MIN(($C$8:$C$1007=$C110)*$A$8:$A$1007+($C$8:$C$1007&lt;&gt;$C110)*100000))+1)</f>
        <v>9</v>
      </c>
      <c r="L110" s="26" t="str">
        <f aca="false">IF($A110="","",IF($J110=0,"Sem registro anterior",IF($K110&lt;21,"Histórico insuficiente",IF($J110&lt;0.8,"Subcarga",IF($J110&lt;=1.3,"Zona ideal",IF($J110&lt;=1.5,"Atenção","Risco elevado"))))))</f>
        <v>Histórico insuficiente</v>
      </c>
      <c r="M110" s="27" t="s">
        <v>373</v>
      </c>
    </row>
    <row r="111" customFormat="false" ht="15" hidden="false" customHeight="false" outlineLevel="0" collapsed="false">
      <c r="A111" s="29" t="n">
        <v>46252</v>
      </c>
      <c r="B111" s="40" t="n">
        <f aca="false">IF($A111="",0,INT(($A111-Macrociclo!$C$11)/7)+1)</f>
        <v>33</v>
      </c>
      <c r="C111" s="27" t="s">
        <v>215</v>
      </c>
      <c r="D111" s="27" t="s">
        <v>1061</v>
      </c>
      <c r="E111" s="28" t="n">
        <v>60</v>
      </c>
      <c r="F111" s="28" t="n">
        <v>6</v>
      </c>
      <c r="G111" s="44" t="n">
        <f aca="false">IF(OR($E111="",$F111=""),0,$E111*$F111)</f>
        <v>360</v>
      </c>
      <c r="H111" s="44" t="n">
        <f aca="false">IF($A111="",0,SUMIFS($G$8:$G$1007,$C$8:$C$1007,$C111,$A$8:$A$1007,"&gt;="&amp;$A111-6,$A$8:$A$1007,"&lt;="&amp;$A111))</f>
        <v>3810</v>
      </c>
      <c r="I111" s="44" t="n">
        <f aca="false">IF($A111="",0,SUMIFS($G$8:$G$1007,$C$8:$C$1007,$C111,$A$8:$A$1007,"&gt;="&amp;$A111-27,$A$8:$A$1007,"&lt;="&amp;$A111)/4)</f>
        <v>1278.75</v>
      </c>
      <c r="J111" s="144" t="n">
        <f aca="false">IF(OR($A111="",$I111=0),0,$H111/$I111)</f>
        <v>2.97947214076246</v>
      </c>
      <c r="K111" s="40" t="n">
        <f aca="false">IF($A111="",0,$A111-SUMPRODUCT(MIN(($C$8:$C$1007=$C111)*$A$8:$A$1007+($C$8:$C$1007&lt;&gt;$C111)*100000))+1)</f>
        <v>9</v>
      </c>
      <c r="L111" s="26" t="str">
        <f aca="false">IF($A111="","",IF($J111=0,"Sem registro anterior",IF($K111&lt;21,"Histórico insuficiente",IF($J111&lt;0.8,"Subcarga",IF($J111&lt;=1.3,"Zona ideal",IF($J111&lt;=1.5,"Atenção","Risco elevado"))))))</f>
        <v>Histórico insuficiente</v>
      </c>
      <c r="M111" s="27" t="s">
        <v>373</v>
      </c>
    </row>
    <row r="112" customFormat="false" ht="15" hidden="false" customHeight="false" outlineLevel="0" collapsed="false">
      <c r="A112" s="29" t="n">
        <v>46252</v>
      </c>
      <c r="B112" s="40" t="n">
        <f aca="false">IF($A112="",0,INT(($A112-Macrociclo!$C$11)/7)+1)</f>
        <v>33</v>
      </c>
      <c r="C112" s="27" t="s">
        <v>226</v>
      </c>
      <c r="D112" s="27" t="s">
        <v>1061</v>
      </c>
      <c r="E112" s="28" t="n">
        <v>60</v>
      </c>
      <c r="F112" s="28" t="n">
        <v>7</v>
      </c>
      <c r="G112" s="44" t="n">
        <f aca="false">IF(OR($E112="",$F112=""),0,$E112*$F112)</f>
        <v>420</v>
      </c>
      <c r="H112" s="44" t="n">
        <f aca="false">IF($A112="",0,SUMIFS($G$8:$G$1007,$C$8:$C$1007,$C112,$A$8:$A$1007,"&gt;="&amp;$A112-6,$A$8:$A$1007,"&lt;="&amp;$A112))</f>
        <v>3950</v>
      </c>
      <c r="I112" s="44" t="n">
        <f aca="false">IF($A112="",0,SUMIFS($G$8:$G$1007,$C$8:$C$1007,$C112,$A$8:$A$1007,"&gt;="&amp;$A112-27,$A$8:$A$1007,"&lt;="&amp;$A112)/4)</f>
        <v>1370</v>
      </c>
      <c r="J112" s="144" t="n">
        <f aca="false">IF(OR($A112="",$I112=0),0,$H112/$I112)</f>
        <v>2.88321167883212</v>
      </c>
      <c r="K112" s="40" t="n">
        <f aca="false">IF($A112="",0,$A112-SUMPRODUCT(MIN(($C$8:$C$1007=$C112)*$A$8:$A$1007+($C$8:$C$1007&lt;&gt;$C112)*100000))+1)</f>
        <v>9</v>
      </c>
      <c r="L112" s="26" t="str">
        <f aca="false">IF($A112="","",IF($J112=0,"Sem registro anterior",IF($K112&lt;21,"Histórico insuficiente",IF($J112&lt;0.8,"Subcarga",IF($J112&lt;=1.3,"Zona ideal",IF($J112&lt;=1.5,"Atenção","Risco elevado"))))))</f>
        <v>Histórico insuficiente</v>
      </c>
      <c r="M112" s="27" t="s">
        <v>373</v>
      </c>
    </row>
    <row r="113" customFormat="false" ht="15" hidden="false" customHeight="false" outlineLevel="0" collapsed="false">
      <c r="A113" s="29" t="n">
        <v>46252</v>
      </c>
      <c r="B113" s="40" t="n">
        <f aca="false">IF($A113="",0,INT(($A113-Macrociclo!$C$11)/7)+1)</f>
        <v>33</v>
      </c>
      <c r="C113" s="27" t="s">
        <v>236</v>
      </c>
      <c r="D113" s="27" t="s">
        <v>1061</v>
      </c>
      <c r="E113" s="28" t="n">
        <v>55</v>
      </c>
      <c r="F113" s="28" t="n">
        <v>8</v>
      </c>
      <c r="G113" s="44" t="n">
        <f aca="false">IF(OR($E113="",$F113=""),0,$E113*$F113)</f>
        <v>440</v>
      </c>
      <c r="H113" s="44" t="n">
        <f aca="false">IF($A113="",0,SUMIFS($G$8:$G$1007,$C$8:$C$1007,$C113,$A$8:$A$1007,"&gt;="&amp;$A113-6,$A$8:$A$1007,"&lt;="&amp;$A113))</f>
        <v>4135</v>
      </c>
      <c r="I113" s="44" t="n">
        <f aca="false">IF($A113="",0,SUMIFS($G$8:$G$1007,$C$8:$C$1007,$C113,$A$8:$A$1007,"&gt;="&amp;$A113-27,$A$8:$A$1007,"&lt;="&amp;$A113)/4)</f>
        <v>1371.25</v>
      </c>
      <c r="J113" s="144" t="n">
        <f aca="false">IF(OR($A113="",$I113=0),0,$H113/$I113)</f>
        <v>3.0154968094804</v>
      </c>
      <c r="K113" s="40" t="n">
        <f aca="false">IF($A113="",0,$A113-SUMPRODUCT(MIN(($C$8:$C$1007=$C113)*$A$8:$A$1007+($C$8:$C$1007&lt;&gt;$C113)*100000))+1)</f>
        <v>9</v>
      </c>
      <c r="L113" s="26" t="str">
        <f aca="false">IF($A113="","",IF($J113=0,"Sem registro anterior",IF($K113&lt;21,"Histórico insuficiente",IF($J113&lt;0.8,"Subcarga",IF($J113&lt;=1.3,"Zona ideal",IF($J113&lt;=1.5,"Atenção","Risco elevado"))))))</f>
        <v>Histórico insuficiente</v>
      </c>
      <c r="M113" s="27" t="s">
        <v>373</v>
      </c>
    </row>
    <row r="114" customFormat="false" ht="15" hidden="false" customHeight="false" outlineLevel="0" collapsed="false">
      <c r="A114" s="29" t="n">
        <v>46252</v>
      </c>
      <c r="B114" s="40" t="n">
        <f aca="false">IF($A114="",0,INT(($A114-Macrociclo!$C$11)/7)+1)</f>
        <v>33</v>
      </c>
      <c r="C114" s="27" t="s">
        <v>244</v>
      </c>
      <c r="D114" s="27" t="s">
        <v>1061</v>
      </c>
      <c r="E114" s="28" t="n">
        <v>50</v>
      </c>
      <c r="F114" s="28" t="n">
        <v>8</v>
      </c>
      <c r="G114" s="44" t="n">
        <f aca="false">IF(OR($E114="",$F114=""),0,$E114*$F114)</f>
        <v>400</v>
      </c>
      <c r="H114" s="44" t="n">
        <f aca="false">IF($A114="",0,SUMIFS($G$8:$G$1007,$C$8:$C$1007,$C114,$A$8:$A$1007,"&gt;="&amp;$A114-6,$A$8:$A$1007,"&lt;="&amp;$A114))</f>
        <v>4065</v>
      </c>
      <c r="I114" s="44" t="n">
        <f aca="false">IF($A114="",0,SUMIFS($G$8:$G$1007,$C$8:$C$1007,$C114,$A$8:$A$1007,"&gt;="&amp;$A114-27,$A$8:$A$1007,"&lt;="&amp;$A114)/4)</f>
        <v>1381.25</v>
      </c>
      <c r="J114" s="144" t="n">
        <f aca="false">IF(OR($A114="",$I114=0),0,$H114/$I114)</f>
        <v>2.94298642533937</v>
      </c>
      <c r="K114" s="40" t="n">
        <f aca="false">IF($A114="",0,$A114-SUMPRODUCT(MIN(($C$8:$C$1007=$C114)*$A$8:$A$1007+($C$8:$C$1007&lt;&gt;$C114)*100000))+1)</f>
        <v>9</v>
      </c>
      <c r="L114" s="26" t="str">
        <f aca="false">IF($A114="","",IF($J114=0,"Sem registro anterior",IF($K114&lt;21,"Histórico insuficiente",IF($J114&lt;0.8,"Subcarga",IF($J114&lt;=1.3,"Zona ideal",IF($J114&lt;=1.5,"Atenção","Risco elevado"))))))</f>
        <v>Histórico insuficiente</v>
      </c>
      <c r="M114" s="27" t="s">
        <v>373</v>
      </c>
    </row>
    <row r="115" customFormat="false" ht="15" hidden="false" customHeight="false" outlineLevel="0" collapsed="false">
      <c r="A115" s="29" t="n">
        <v>46252</v>
      </c>
      <c r="B115" s="40" t="n">
        <f aca="false">IF($A115="",0,INT(($A115-Macrociclo!$C$11)/7)+1)</f>
        <v>33</v>
      </c>
      <c r="C115" s="27" t="s">
        <v>253</v>
      </c>
      <c r="D115" s="27" t="s">
        <v>1061</v>
      </c>
      <c r="E115" s="28" t="n">
        <v>60</v>
      </c>
      <c r="F115" s="28" t="n">
        <v>7</v>
      </c>
      <c r="G115" s="44" t="n">
        <f aca="false">IF(OR($E115="",$F115=""),0,$E115*$F115)</f>
        <v>420</v>
      </c>
      <c r="H115" s="44" t="n">
        <f aca="false">IF($A115="",0,SUMIFS($G$8:$G$1007,$C$8:$C$1007,$C115,$A$8:$A$1007,"&gt;="&amp;$A115-6,$A$8:$A$1007,"&lt;="&amp;$A115))</f>
        <v>3945</v>
      </c>
      <c r="I115" s="44" t="n">
        <f aca="false">IF($A115="",0,SUMIFS($G$8:$G$1007,$C$8:$C$1007,$C115,$A$8:$A$1007,"&gt;="&amp;$A115-27,$A$8:$A$1007,"&lt;="&amp;$A115)/4)</f>
        <v>1358.75</v>
      </c>
      <c r="J115" s="144" t="n">
        <f aca="false">IF(OR($A115="",$I115=0),0,$H115/$I115)</f>
        <v>2.90340386384545</v>
      </c>
      <c r="K115" s="40" t="n">
        <f aca="false">IF($A115="",0,$A115-SUMPRODUCT(MIN(($C$8:$C$1007=$C115)*$A$8:$A$1007+($C$8:$C$1007&lt;&gt;$C115)*100000))+1)</f>
        <v>9</v>
      </c>
      <c r="L115" s="26" t="str">
        <f aca="false">IF($A115="","",IF($J115=0,"Sem registro anterior",IF($K115&lt;21,"Histórico insuficiente",IF($J115&lt;0.8,"Subcarga",IF($J115&lt;=1.3,"Zona ideal",IF($J115&lt;=1.5,"Atenção","Risco elevado"))))))</f>
        <v>Histórico insuficiente</v>
      </c>
      <c r="M115" s="27" t="s">
        <v>373</v>
      </c>
    </row>
    <row r="116" customFormat="false" ht="15" hidden="false" customHeight="false" outlineLevel="0" collapsed="false">
      <c r="A116" s="29" t="n">
        <v>46252</v>
      </c>
      <c r="B116" s="40" t="n">
        <f aca="false">IF($A116="",0,INT(($A116-Macrociclo!$C$11)/7)+1)</f>
        <v>33</v>
      </c>
      <c r="C116" s="27" t="s">
        <v>259</v>
      </c>
      <c r="D116" s="27" t="s">
        <v>1061</v>
      </c>
      <c r="E116" s="28" t="n">
        <v>60</v>
      </c>
      <c r="F116" s="28" t="n">
        <v>7</v>
      </c>
      <c r="G116" s="44" t="n">
        <f aca="false">IF(OR($E116="",$F116=""),0,$E116*$F116)</f>
        <v>420</v>
      </c>
      <c r="H116" s="44" t="n">
        <f aca="false">IF($A116="",0,SUMIFS($G$8:$G$1007,$C$8:$C$1007,$C116,$A$8:$A$1007,"&gt;="&amp;$A116-6,$A$8:$A$1007,"&lt;="&amp;$A116))</f>
        <v>3645</v>
      </c>
      <c r="I116" s="44" t="n">
        <f aca="false">IF($A116="",0,SUMIFS($G$8:$G$1007,$C$8:$C$1007,$C116,$A$8:$A$1007,"&gt;="&amp;$A116-27,$A$8:$A$1007,"&lt;="&amp;$A116)/4)</f>
        <v>1256.25</v>
      </c>
      <c r="J116" s="144" t="n">
        <f aca="false">IF(OR($A116="",$I116=0),0,$H116/$I116)</f>
        <v>2.90149253731343</v>
      </c>
      <c r="K116" s="40" t="n">
        <f aca="false">IF($A116="",0,$A116-SUMPRODUCT(MIN(($C$8:$C$1007=$C116)*$A$8:$A$1007+($C$8:$C$1007&lt;&gt;$C116)*100000))+1)</f>
        <v>9</v>
      </c>
      <c r="L116" s="26" t="str">
        <f aca="false">IF($A116="","",IF($J116=0,"Sem registro anterior",IF($K116&lt;21,"Histórico insuficiente",IF($J116&lt;0.8,"Subcarga",IF($J116&lt;=1.3,"Zona ideal",IF($J116&lt;=1.5,"Atenção","Risco elevado"))))))</f>
        <v>Histórico insuficiente</v>
      </c>
      <c r="M116" s="27" t="s">
        <v>373</v>
      </c>
    </row>
    <row r="117" customFormat="false" ht="15" hidden="false" customHeight="false" outlineLevel="0" collapsed="false">
      <c r="A117" s="29" t="n">
        <v>46252</v>
      </c>
      <c r="B117" s="40" t="n">
        <f aca="false">IF($A117="",0,INT(($A117-Macrociclo!$C$11)/7)+1)</f>
        <v>33</v>
      </c>
      <c r="C117" s="27" t="s">
        <v>264</v>
      </c>
      <c r="D117" s="27" t="s">
        <v>1061</v>
      </c>
      <c r="E117" s="28" t="n">
        <v>60</v>
      </c>
      <c r="F117" s="28" t="n">
        <v>7</v>
      </c>
      <c r="G117" s="44" t="n">
        <f aca="false">IF(OR($E117="",$F117=""),0,$E117*$F117)</f>
        <v>420</v>
      </c>
      <c r="H117" s="44" t="n">
        <f aca="false">IF($A117="",0,SUMIFS($G$8:$G$1007,$C$8:$C$1007,$C117,$A$8:$A$1007,"&gt;="&amp;$A117-6,$A$8:$A$1007,"&lt;="&amp;$A117))</f>
        <v>3545</v>
      </c>
      <c r="I117" s="44" t="n">
        <f aca="false">IF($A117="",0,SUMIFS($G$8:$G$1007,$C$8:$C$1007,$C117,$A$8:$A$1007,"&gt;="&amp;$A117-27,$A$8:$A$1007,"&lt;="&amp;$A117)/4)</f>
        <v>1296.25</v>
      </c>
      <c r="J117" s="144" t="n">
        <f aca="false">IF(OR($A117="",$I117=0),0,$H117/$I117)</f>
        <v>2.73481195756991</v>
      </c>
      <c r="K117" s="40" t="n">
        <f aca="false">IF($A117="",0,$A117-SUMPRODUCT(MIN(($C$8:$C$1007=$C117)*$A$8:$A$1007+($C$8:$C$1007&lt;&gt;$C117)*100000))+1)</f>
        <v>9</v>
      </c>
      <c r="L117" s="26" t="str">
        <f aca="false">IF($A117="","",IF($J117=0,"Sem registro anterior",IF($K117&lt;21,"Histórico insuficiente",IF($J117&lt;0.8,"Subcarga",IF($J117&lt;=1.3,"Zona ideal",IF($J117&lt;=1.5,"Atenção","Risco elevado"))))))</f>
        <v>Histórico insuficiente</v>
      </c>
      <c r="M117" s="27" t="s">
        <v>373</v>
      </c>
    </row>
    <row r="118" customFormat="false" ht="15" hidden="false" customHeight="false" outlineLevel="0" collapsed="false">
      <c r="A118" s="29" t="n">
        <v>46252</v>
      </c>
      <c r="B118" s="40" t="n">
        <f aca="false">IF($A118="",0,INT(($A118-Macrociclo!$C$11)/7)+1)</f>
        <v>33</v>
      </c>
      <c r="C118" s="27" t="s">
        <v>270</v>
      </c>
      <c r="D118" s="27" t="s">
        <v>1061</v>
      </c>
      <c r="E118" s="28" t="n">
        <v>60</v>
      </c>
      <c r="F118" s="28" t="n">
        <v>7</v>
      </c>
      <c r="G118" s="44" t="n">
        <f aca="false">IF(OR($E118="",$F118=""),0,$E118*$F118)</f>
        <v>420</v>
      </c>
      <c r="H118" s="44" t="n">
        <f aca="false">IF($A118="",0,SUMIFS($G$8:$G$1007,$C$8:$C$1007,$C118,$A$8:$A$1007,"&gt;="&amp;$A118-6,$A$8:$A$1007,"&lt;="&amp;$A118))</f>
        <v>3995</v>
      </c>
      <c r="I118" s="44" t="n">
        <f aca="false">IF($A118="",0,SUMIFS($G$8:$G$1007,$C$8:$C$1007,$C118,$A$8:$A$1007,"&gt;="&amp;$A118-27,$A$8:$A$1007,"&lt;="&amp;$A118)/4)</f>
        <v>1407.5</v>
      </c>
      <c r="J118" s="144" t="n">
        <f aca="false">IF(OR($A118="",$I118=0),0,$H118/$I118)</f>
        <v>2.83836589698046</v>
      </c>
      <c r="K118" s="40" t="n">
        <f aca="false">IF($A118="",0,$A118-SUMPRODUCT(MIN(($C$8:$C$1007=$C118)*$A$8:$A$1007+($C$8:$C$1007&lt;&gt;$C118)*100000))+1)</f>
        <v>9</v>
      </c>
      <c r="L118" s="26" t="str">
        <f aca="false">IF($A118="","",IF($J118=0,"Sem registro anterior",IF($K118&lt;21,"Histórico insuficiente",IF($J118&lt;0.8,"Subcarga",IF($J118&lt;=1.3,"Zona ideal",IF($J118&lt;=1.5,"Atenção","Risco elevado"))))))</f>
        <v>Histórico insuficiente</v>
      </c>
      <c r="M118" s="27" t="s">
        <v>373</v>
      </c>
    </row>
    <row r="119" customFormat="false" ht="15" hidden="false" customHeight="false" outlineLevel="0" collapsed="false">
      <c r="A119" s="29" t="n">
        <v>46252</v>
      </c>
      <c r="B119" s="40" t="n">
        <f aca="false">IF($A119="",0,INT(($A119-Macrociclo!$C$11)/7)+1)</f>
        <v>33</v>
      </c>
      <c r="C119" s="27" t="s">
        <v>279</v>
      </c>
      <c r="D119" s="27" t="s">
        <v>1061</v>
      </c>
      <c r="E119" s="28" t="n">
        <v>55</v>
      </c>
      <c r="F119" s="28" t="n">
        <v>7</v>
      </c>
      <c r="G119" s="44" t="n">
        <f aca="false">IF(OR($E119="",$F119=""),0,$E119*$F119)</f>
        <v>385</v>
      </c>
      <c r="H119" s="44" t="n">
        <f aca="false">IF($A119="",0,SUMIFS($G$8:$G$1007,$C$8:$C$1007,$C119,$A$8:$A$1007,"&gt;="&amp;$A119-6,$A$8:$A$1007,"&lt;="&amp;$A119))</f>
        <v>2990</v>
      </c>
      <c r="I119" s="44" t="n">
        <f aca="false">IF($A119="",0,SUMIFS($G$8:$G$1007,$C$8:$C$1007,$C119,$A$8:$A$1007,"&gt;="&amp;$A119-27,$A$8:$A$1007,"&lt;="&amp;$A119)/4)</f>
        <v>962.5</v>
      </c>
      <c r="J119" s="144" t="n">
        <f aca="false">IF(OR($A119="",$I119=0),0,$H119/$I119)</f>
        <v>3.10649350649351</v>
      </c>
      <c r="K119" s="40" t="n">
        <f aca="false">IF($A119="",0,$A119-SUMPRODUCT(MIN(($C$8:$C$1007=$C119)*$A$8:$A$1007+($C$8:$C$1007&lt;&gt;$C119)*100000))+1)</f>
        <v>9</v>
      </c>
      <c r="L119" s="26" t="str">
        <f aca="false">IF($A119="","",IF($J119=0,"Sem registro anterior",IF($K119&lt;21,"Histórico insuficiente",IF($J119&lt;0.8,"Subcarga",IF($J119&lt;=1.3,"Zona ideal",IF($J119&lt;=1.5,"Atenção","Risco elevado"))))))</f>
        <v>Histórico insuficiente</v>
      </c>
      <c r="M119" s="27" t="s">
        <v>373</v>
      </c>
    </row>
    <row r="120" customFormat="false" ht="15" hidden="false" customHeight="false" outlineLevel="0" collapsed="false">
      <c r="A120" s="29" t="n">
        <v>46253</v>
      </c>
      <c r="B120" s="40" t="n">
        <f aca="false">IF($A120="",0,INT(($A120-Macrociclo!$C$11)/7)+1)</f>
        <v>33</v>
      </c>
      <c r="C120" s="27" t="s">
        <v>164</v>
      </c>
      <c r="D120" s="27" t="s">
        <v>1066</v>
      </c>
      <c r="E120" s="28" t="n">
        <v>100</v>
      </c>
      <c r="F120" s="28" t="n">
        <v>8</v>
      </c>
      <c r="G120" s="44" t="n">
        <f aca="false">IF(OR($E120="",$F120=""),0,$E120*$F120)</f>
        <v>800</v>
      </c>
      <c r="H120" s="44" t="n">
        <f aca="false">IF($A120="",0,SUMIFS($G$8:$G$1007,$C$8:$C$1007,$C120,$A$8:$A$1007,"&gt;="&amp;$A120-6,$A$8:$A$1007,"&lt;="&amp;$A120))</f>
        <v>3515</v>
      </c>
      <c r="I120" s="44" t="n">
        <f aca="false">IF($A120="",0,SUMIFS($G$8:$G$1007,$C$8:$C$1007,$C120,$A$8:$A$1007,"&gt;="&amp;$A120-27,$A$8:$A$1007,"&lt;="&amp;$A120)/4)</f>
        <v>1416.25</v>
      </c>
      <c r="J120" s="144" t="n">
        <f aca="false">IF(OR($A120="",$I120=0),0,$H120/$I120)</f>
        <v>2.48190644307149</v>
      </c>
      <c r="K120" s="40" t="n">
        <f aca="false">IF($A120="",0,$A120-SUMPRODUCT(MIN(($C$8:$C$1007=$C120)*$A$8:$A$1007+($C$8:$C$1007&lt;&gt;$C120)*100000))+1)</f>
        <v>10</v>
      </c>
      <c r="L120" s="26" t="str">
        <f aca="false">IF($A120="","",IF($J120=0,"Sem registro anterior",IF($K120&lt;21,"Histórico insuficiente",IF($J120&lt;0.8,"Subcarga",IF($J120&lt;=1.3,"Zona ideal",IF($J120&lt;=1.5,"Atenção","Risco elevado"))))))</f>
        <v>Histórico insuficiente</v>
      </c>
      <c r="M120" s="27" t="s">
        <v>373</v>
      </c>
    </row>
    <row r="121" customFormat="false" ht="15" hidden="false" customHeight="false" outlineLevel="0" collapsed="false">
      <c r="A121" s="29" t="n">
        <v>46253</v>
      </c>
      <c r="B121" s="40" t="n">
        <f aca="false">IF($A121="",0,INT(($A121-Macrociclo!$C$11)/7)+1)</f>
        <v>33</v>
      </c>
      <c r="C121" s="27" t="s">
        <v>192</v>
      </c>
      <c r="D121" s="27" t="s">
        <v>1066</v>
      </c>
      <c r="E121" s="28" t="n">
        <v>105</v>
      </c>
      <c r="F121" s="28" t="n">
        <v>8</v>
      </c>
      <c r="G121" s="44" t="n">
        <f aca="false">IF(OR($E121="",$F121=""),0,$E121*$F121)</f>
        <v>840</v>
      </c>
      <c r="H121" s="44" t="n">
        <f aca="false">IF($A121="",0,SUMIFS($G$8:$G$1007,$C$8:$C$1007,$C121,$A$8:$A$1007,"&gt;="&amp;$A121-6,$A$8:$A$1007,"&lt;="&amp;$A121))</f>
        <v>3970</v>
      </c>
      <c r="I121" s="44" t="n">
        <f aca="false">IF($A121="",0,SUMIFS($G$8:$G$1007,$C$8:$C$1007,$C121,$A$8:$A$1007,"&gt;="&amp;$A121-27,$A$8:$A$1007,"&lt;="&amp;$A121)/4)</f>
        <v>1540</v>
      </c>
      <c r="J121" s="144" t="n">
        <f aca="false">IF(OR($A121="",$I121=0),0,$H121/$I121)</f>
        <v>2.57792207792208</v>
      </c>
      <c r="K121" s="40" t="n">
        <f aca="false">IF($A121="",0,$A121-SUMPRODUCT(MIN(($C$8:$C$1007=$C121)*$A$8:$A$1007+($C$8:$C$1007&lt;&gt;$C121)*100000))+1)</f>
        <v>10</v>
      </c>
      <c r="L121" s="26" t="str">
        <f aca="false">IF($A121="","",IF($J121=0,"Sem registro anterior",IF($K121&lt;21,"Histórico insuficiente",IF($J121&lt;0.8,"Subcarga",IF($J121&lt;=1.3,"Zona ideal",IF($J121&lt;=1.5,"Atenção","Risco elevado"))))))</f>
        <v>Histórico insuficiente</v>
      </c>
      <c r="M121" s="27" t="s">
        <v>373</v>
      </c>
    </row>
    <row r="122" customFormat="false" ht="15" hidden="false" customHeight="false" outlineLevel="0" collapsed="false">
      <c r="A122" s="29" t="n">
        <v>46253</v>
      </c>
      <c r="B122" s="40" t="n">
        <f aca="false">IF($A122="",0,INT(($A122-Macrociclo!$C$11)/7)+1)</f>
        <v>33</v>
      </c>
      <c r="C122" s="27" t="s">
        <v>206</v>
      </c>
      <c r="D122" s="27" t="s">
        <v>1066</v>
      </c>
      <c r="E122" s="28" t="n">
        <v>95</v>
      </c>
      <c r="F122" s="28" t="n">
        <v>8</v>
      </c>
      <c r="G122" s="44" t="n">
        <f aca="false">IF(OR($E122="",$F122=""),0,$E122*$F122)</f>
        <v>760</v>
      </c>
      <c r="H122" s="44" t="n">
        <f aca="false">IF($A122="",0,SUMIFS($G$8:$G$1007,$C$8:$C$1007,$C122,$A$8:$A$1007,"&gt;="&amp;$A122-6,$A$8:$A$1007,"&lt;="&amp;$A122))</f>
        <v>3840</v>
      </c>
      <c r="I122" s="44" t="n">
        <f aca="false">IF($A122="",0,SUMIFS($G$8:$G$1007,$C$8:$C$1007,$C122,$A$8:$A$1007,"&gt;="&amp;$A122-27,$A$8:$A$1007,"&lt;="&amp;$A122)/4)</f>
        <v>1192.5</v>
      </c>
      <c r="J122" s="144" t="n">
        <f aca="false">IF(OR($A122="",$I122=0),0,$H122/$I122)</f>
        <v>3.22012578616352</v>
      </c>
      <c r="K122" s="40" t="n">
        <f aca="false">IF($A122="",0,$A122-SUMPRODUCT(MIN(($C$8:$C$1007=$C122)*$A$8:$A$1007+($C$8:$C$1007&lt;&gt;$C122)*100000))+1)</f>
        <v>10</v>
      </c>
      <c r="L122" s="26" t="str">
        <f aca="false">IF($A122="","",IF($J122=0,"Sem registro anterior",IF($K122&lt;21,"Histórico insuficiente",IF($J122&lt;0.8,"Subcarga",IF($J122&lt;=1.3,"Zona ideal",IF($J122&lt;=1.5,"Atenção","Risco elevado"))))))</f>
        <v>Histórico insuficiente</v>
      </c>
      <c r="M122" s="27" t="s">
        <v>373</v>
      </c>
    </row>
    <row r="123" customFormat="false" ht="15" hidden="false" customHeight="false" outlineLevel="0" collapsed="false">
      <c r="A123" s="29" t="n">
        <v>46253</v>
      </c>
      <c r="B123" s="40" t="n">
        <f aca="false">IF($A123="",0,INT(($A123-Macrociclo!$C$11)/7)+1)</f>
        <v>33</v>
      </c>
      <c r="C123" s="27" t="s">
        <v>215</v>
      </c>
      <c r="D123" s="27" t="s">
        <v>1066</v>
      </c>
      <c r="E123" s="28" t="n">
        <v>100</v>
      </c>
      <c r="F123" s="28" t="n">
        <v>9</v>
      </c>
      <c r="G123" s="44" t="n">
        <f aca="false">IF(OR($E123="",$F123=""),0,$E123*$F123)</f>
        <v>900</v>
      </c>
      <c r="H123" s="44" t="n">
        <f aca="false">IF($A123="",0,SUMIFS($G$8:$G$1007,$C$8:$C$1007,$C123,$A$8:$A$1007,"&gt;="&amp;$A123-6,$A$8:$A$1007,"&lt;="&amp;$A123))</f>
        <v>3950</v>
      </c>
      <c r="I123" s="44" t="n">
        <f aca="false">IF($A123="",0,SUMIFS($G$8:$G$1007,$C$8:$C$1007,$C123,$A$8:$A$1007,"&gt;="&amp;$A123-27,$A$8:$A$1007,"&lt;="&amp;$A123)/4)</f>
        <v>1503.75</v>
      </c>
      <c r="J123" s="144" t="n">
        <f aca="false">IF(OR($A123="",$I123=0),0,$H123/$I123)</f>
        <v>2.62676641729011</v>
      </c>
      <c r="K123" s="40" t="n">
        <f aca="false">IF($A123="",0,$A123-SUMPRODUCT(MIN(($C$8:$C$1007=$C123)*$A$8:$A$1007+($C$8:$C$1007&lt;&gt;$C123)*100000))+1)</f>
        <v>10</v>
      </c>
      <c r="L123" s="26" t="str">
        <f aca="false">IF($A123="","",IF($J123=0,"Sem registro anterior",IF($K123&lt;21,"Histórico insuficiente",IF($J123&lt;0.8,"Subcarga",IF($J123&lt;=1.3,"Zona ideal",IF($J123&lt;=1.5,"Atenção","Risco elevado"))))))</f>
        <v>Histórico insuficiente</v>
      </c>
      <c r="M123" s="27" t="s">
        <v>373</v>
      </c>
    </row>
    <row r="124" customFormat="false" ht="15" hidden="false" customHeight="false" outlineLevel="0" collapsed="false">
      <c r="A124" s="29" t="n">
        <v>46253</v>
      </c>
      <c r="B124" s="40" t="n">
        <f aca="false">IF($A124="",0,INT(($A124-Macrociclo!$C$11)/7)+1)</f>
        <v>33</v>
      </c>
      <c r="C124" s="27" t="s">
        <v>226</v>
      </c>
      <c r="D124" s="27" t="s">
        <v>1066</v>
      </c>
      <c r="E124" s="28" t="n">
        <v>90</v>
      </c>
      <c r="F124" s="28" t="n">
        <v>9</v>
      </c>
      <c r="G124" s="44" t="n">
        <f aca="false">IF(OR($E124="",$F124=""),0,$E124*$F124)</f>
        <v>810</v>
      </c>
      <c r="H124" s="44" t="n">
        <f aca="false">IF($A124="",0,SUMIFS($G$8:$G$1007,$C$8:$C$1007,$C124,$A$8:$A$1007,"&gt;="&amp;$A124-6,$A$8:$A$1007,"&lt;="&amp;$A124))</f>
        <v>4000</v>
      </c>
      <c r="I124" s="44" t="n">
        <f aca="false">IF($A124="",0,SUMIFS($G$8:$G$1007,$C$8:$C$1007,$C124,$A$8:$A$1007,"&gt;="&amp;$A124-27,$A$8:$A$1007,"&lt;="&amp;$A124)/4)</f>
        <v>1572.5</v>
      </c>
      <c r="J124" s="144" t="n">
        <f aca="false">IF(OR($A124="",$I124=0),0,$H124/$I124)</f>
        <v>2.54372019077901</v>
      </c>
      <c r="K124" s="40" t="n">
        <f aca="false">IF($A124="",0,$A124-SUMPRODUCT(MIN(($C$8:$C$1007=$C124)*$A$8:$A$1007+($C$8:$C$1007&lt;&gt;$C124)*100000))+1)</f>
        <v>10</v>
      </c>
      <c r="L124" s="26" t="str">
        <f aca="false">IF($A124="","",IF($J124=0,"Sem registro anterior",IF($K124&lt;21,"Histórico insuficiente",IF($J124&lt;0.8,"Subcarga",IF($J124&lt;=1.3,"Zona ideal",IF($J124&lt;=1.5,"Atenção","Risco elevado"))))))</f>
        <v>Histórico insuficiente</v>
      </c>
      <c r="M124" s="27" t="s">
        <v>373</v>
      </c>
    </row>
    <row r="125" customFormat="false" ht="15" hidden="false" customHeight="false" outlineLevel="0" collapsed="false">
      <c r="A125" s="29" t="n">
        <v>46253</v>
      </c>
      <c r="B125" s="40" t="n">
        <f aca="false">IF($A125="",0,INT(($A125-Macrociclo!$C$11)/7)+1)</f>
        <v>33</v>
      </c>
      <c r="C125" s="27" t="s">
        <v>253</v>
      </c>
      <c r="D125" s="27" t="s">
        <v>1066</v>
      </c>
      <c r="E125" s="28" t="n">
        <v>95</v>
      </c>
      <c r="F125" s="28" t="n">
        <v>8</v>
      </c>
      <c r="G125" s="44" t="n">
        <f aca="false">IF(OR($E125="",$F125=""),0,$E125*$F125)</f>
        <v>760</v>
      </c>
      <c r="H125" s="44" t="n">
        <f aca="false">IF($A125="",0,SUMIFS($G$8:$G$1007,$C$8:$C$1007,$C125,$A$8:$A$1007,"&gt;="&amp;$A125-6,$A$8:$A$1007,"&lt;="&amp;$A125))</f>
        <v>3760</v>
      </c>
      <c r="I125" s="44" t="n">
        <f aca="false">IF($A125="",0,SUMIFS($G$8:$G$1007,$C$8:$C$1007,$C125,$A$8:$A$1007,"&gt;="&amp;$A125-27,$A$8:$A$1007,"&lt;="&amp;$A125)/4)</f>
        <v>1548.75</v>
      </c>
      <c r="J125" s="144" t="n">
        <f aca="false">IF(OR($A125="",$I125=0),0,$H125/$I125)</f>
        <v>2.42776432606941</v>
      </c>
      <c r="K125" s="40" t="n">
        <f aca="false">IF($A125="",0,$A125-SUMPRODUCT(MIN(($C$8:$C$1007=$C125)*$A$8:$A$1007+($C$8:$C$1007&lt;&gt;$C125)*100000))+1)</f>
        <v>10</v>
      </c>
      <c r="L125" s="26" t="str">
        <f aca="false">IF($A125="","",IF($J125=0,"Sem registro anterior",IF($K125&lt;21,"Histórico insuficiente",IF($J125&lt;0.8,"Subcarga",IF($J125&lt;=1.3,"Zona ideal",IF($J125&lt;=1.5,"Atenção","Risco elevado"))))))</f>
        <v>Histórico insuficiente</v>
      </c>
      <c r="M125" s="27" t="s">
        <v>373</v>
      </c>
    </row>
    <row r="126" customFormat="false" ht="15" hidden="false" customHeight="false" outlineLevel="0" collapsed="false">
      <c r="A126" s="29" t="n">
        <v>46253</v>
      </c>
      <c r="B126" s="40" t="n">
        <f aca="false">IF($A126="",0,INT(($A126-Macrociclo!$C$11)/7)+1)</f>
        <v>33</v>
      </c>
      <c r="C126" s="27" t="s">
        <v>259</v>
      </c>
      <c r="D126" s="27" t="s">
        <v>1066</v>
      </c>
      <c r="E126" s="28" t="n">
        <v>100</v>
      </c>
      <c r="F126" s="28" t="n">
        <v>8</v>
      </c>
      <c r="G126" s="44" t="n">
        <f aca="false">IF(OR($E126="",$F126=""),0,$E126*$F126)</f>
        <v>800</v>
      </c>
      <c r="H126" s="44" t="n">
        <f aca="false">IF($A126="",0,SUMIFS($G$8:$G$1007,$C$8:$C$1007,$C126,$A$8:$A$1007,"&gt;="&amp;$A126-6,$A$8:$A$1007,"&lt;="&amp;$A126))</f>
        <v>3815</v>
      </c>
      <c r="I126" s="44" t="n">
        <f aca="false">IF($A126="",0,SUMIFS($G$8:$G$1007,$C$8:$C$1007,$C126,$A$8:$A$1007,"&gt;="&amp;$A126-27,$A$8:$A$1007,"&lt;="&amp;$A126)/4)</f>
        <v>1456.25</v>
      </c>
      <c r="J126" s="144" t="n">
        <f aca="false">IF(OR($A126="",$I126=0),0,$H126/$I126)</f>
        <v>2.61974248927039</v>
      </c>
      <c r="K126" s="40" t="n">
        <f aca="false">IF($A126="",0,$A126-SUMPRODUCT(MIN(($C$8:$C$1007=$C126)*$A$8:$A$1007+($C$8:$C$1007&lt;&gt;$C126)*100000))+1)</f>
        <v>10</v>
      </c>
      <c r="L126" s="26" t="str">
        <f aca="false">IF($A126="","",IF($J126=0,"Sem registro anterior",IF($K126&lt;21,"Histórico insuficiente",IF($J126&lt;0.8,"Subcarga",IF($J126&lt;=1.3,"Zona ideal",IF($J126&lt;=1.5,"Atenção","Risco elevado"))))))</f>
        <v>Histórico insuficiente</v>
      </c>
      <c r="M126" s="27" t="s">
        <v>373</v>
      </c>
    </row>
    <row r="127" customFormat="false" ht="15" hidden="false" customHeight="false" outlineLevel="0" collapsed="false">
      <c r="A127" s="29" t="n">
        <v>46253</v>
      </c>
      <c r="B127" s="40" t="n">
        <f aca="false">IF($A127="",0,INT(($A127-Macrociclo!$C$11)/7)+1)</f>
        <v>33</v>
      </c>
      <c r="C127" s="27" t="s">
        <v>264</v>
      </c>
      <c r="D127" s="27" t="s">
        <v>1066</v>
      </c>
      <c r="E127" s="28" t="n">
        <v>100</v>
      </c>
      <c r="F127" s="28" t="n">
        <v>9</v>
      </c>
      <c r="G127" s="44" t="n">
        <f aca="false">IF(OR($E127="",$F127=""),0,$E127*$F127)</f>
        <v>900</v>
      </c>
      <c r="H127" s="44" t="n">
        <f aca="false">IF($A127="",0,SUMIFS($G$8:$G$1007,$C$8:$C$1007,$C127,$A$8:$A$1007,"&gt;="&amp;$A127-6,$A$8:$A$1007,"&lt;="&amp;$A127))</f>
        <v>3645</v>
      </c>
      <c r="I127" s="44" t="n">
        <f aca="false">IF($A127="",0,SUMIFS($G$8:$G$1007,$C$8:$C$1007,$C127,$A$8:$A$1007,"&gt;="&amp;$A127-27,$A$8:$A$1007,"&lt;="&amp;$A127)/4)</f>
        <v>1521.25</v>
      </c>
      <c r="J127" s="144" t="n">
        <f aca="false">IF(OR($A127="",$I127=0),0,$H127/$I127)</f>
        <v>2.39605587510271</v>
      </c>
      <c r="K127" s="40" t="n">
        <f aca="false">IF($A127="",0,$A127-SUMPRODUCT(MIN(($C$8:$C$1007=$C127)*$A$8:$A$1007+($C$8:$C$1007&lt;&gt;$C127)*100000))+1)</f>
        <v>10</v>
      </c>
      <c r="L127" s="26" t="str">
        <f aca="false">IF($A127="","",IF($J127=0,"Sem registro anterior",IF($K127&lt;21,"Histórico insuficiente",IF($J127&lt;0.8,"Subcarga",IF($J127&lt;=1.3,"Zona ideal",IF($J127&lt;=1.5,"Atenção","Risco elevado"))))))</f>
        <v>Histórico insuficiente</v>
      </c>
      <c r="M127" s="27" t="s">
        <v>373</v>
      </c>
    </row>
    <row r="128" customFormat="false" ht="15" hidden="false" customHeight="false" outlineLevel="0" collapsed="false">
      <c r="A128" s="29" t="n">
        <v>46253</v>
      </c>
      <c r="B128" s="40" t="n">
        <f aca="false">IF($A128="",0,INT(($A128-Macrociclo!$C$11)/7)+1)</f>
        <v>33</v>
      </c>
      <c r="C128" s="27" t="s">
        <v>270</v>
      </c>
      <c r="D128" s="27" t="s">
        <v>1066</v>
      </c>
      <c r="E128" s="28" t="n">
        <v>105</v>
      </c>
      <c r="F128" s="28" t="n">
        <v>8</v>
      </c>
      <c r="G128" s="44" t="n">
        <f aca="false">IF(OR($E128="",$F128=""),0,$E128*$F128)</f>
        <v>840</v>
      </c>
      <c r="H128" s="44" t="n">
        <f aca="false">IF($A128="",0,SUMIFS($G$8:$G$1007,$C$8:$C$1007,$C128,$A$8:$A$1007,"&gt;="&amp;$A128-6,$A$8:$A$1007,"&lt;="&amp;$A128))</f>
        <v>3935</v>
      </c>
      <c r="I128" s="44" t="n">
        <f aca="false">IF($A128="",0,SUMIFS($G$8:$G$1007,$C$8:$C$1007,$C128,$A$8:$A$1007,"&gt;="&amp;$A128-27,$A$8:$A$1007,"&lt;="&amp;$A128)/4)</f>
        <v>1617.5</v>
      </c>
      <c r="J128" s="144" t="n">
        <f aca="false">IF(OR($A128="",$I128=0),0,$H128/$I128)</f>
        <v>2.43276661514683</v>
      </c>
      <c r="K128" s="40" t="n">
        <f aca="false">IF($A128="",0,$A128-SUMPRODUCT(MIN(($C$8:$C$1007=$C128)*$A$8:$A$1007+($C$8:$C$1007&lt;&gt;$C128)*100000))+1)</f>
        <v>10</v>
      </c>
      <c r="L128" s="26" t="str">
        <f aca="false">IF($A128="","",IF($J128=0,"Sem registro anterior",IF($K128&lt;21,"Histórico insuficiente",IF($J128&lt;0.8,"Subcarga",IF($J128&lt;=1.3,"Zona ideal",IF($J128&lt;=1.5,"Atenção","Risco elevado"))))))</f>
        <v>Histórico insuficiente</v>
      </c>
      <c r="M128" s="27" t="s">
        <v>373</v>
      </c>
    </row>
    <row r="129" customFormat="false" ht="15" hidden="false" customHeight="false" outlineLevel="0" collapsed="false">
      <c r="A129" s="29" t="n">
        <v>46253</v>
      </c>
      <c r="B129" s="40" t="n">
        <f aca="false">IF($A129="",0,INT(($A129-Macrociclo!$C$11)/7)+1)</f>
        <v>33</v>
      </c>
      <c r="C129" s="27" t="s">
        <v>279</v>
      </c>
      <c r="D129" s="27" t="s">
        <v>1066</v>
      </c>
      <c r="E129" s="28" t="n">
        <v>100</v>
      </c>
      <c r="F129" s="28" t="n">
        <v>8</v>
      </c>
      <c r="G129" s="44" t="n">
        <f aca="false">IF(OR($E129="",$F129=""),0,$E129*$F129)</f>
        <v>800</v>
      </c>
      <c r="H129" s="44" t="n">
        <f aca="false">IF($A129="",0,SUMIFS($G$8:$G$1007,$C$8:$C$1007,$C129,$A$8:$A$1007,"&gt;="&amp;$A129-6,$A$8:$A$1007,"&lt;="&amp;$A129))</f>
        <v>3030</v>
      </c>
      <c r="I129" s="44" t="n">
        <f aca="false">IF($A129="",0,SUMIFS($G$8:$G$1007,$C$8:$C$1007,$C129,$A$8:$A$1007,"&gt;="&amp;$A129-27,$A$8:$A$1007,"&lt;="&amp;$A129)/4)</f>
        <v>1162.5</v>
      </c>
      <c r="J129" s="144" t="n">
        <f aca="false">IF(OR($A129="",$I129=0),0,$H129/$I129)</f>
        <v>2.60645161290323</v>
      </c>
      <c r="K129" s="40" t="n">
        <f aca="false">IF($A129="",0,$A129-SUMPRODUCT(MIN(($C$8:$C$1007=$C129)*$A$8:$A$1007+($C$8:$C$1007&lt;&gt;$C129)*100000))+1)</f>
        <v>10</v>
      </c>
      <c r="L129" s="26" t="str">
        <f aca="false">IF($A129="","",IF($J129=0,"Sem registro anterior",IF($K129&lt;21,"Histórico insuficiente",IF($J129&lt;0.8,"Subcarga",IF($J129&lt;=1.3,"Zona ideal",IF($J129&lt;=1.5,"Atenção","Risco elevado"))))))</f>
        <v>Histórico insuficiente</v>
      </c>
      <c r="M129" s="27" t="s">
        <v>373</v>
      </c>
    </row>
    <row r="130" customFormat="false" ht="15" hidden="false" customHeight="false" outlineLevel="0" collapsed="false">
      <c r="A130" s="29" t="n">
        <v>46254</v>
      </c>
      <c r="B130" s="40" t="n">
        <f aca="false">IF($A130="",0,INT(($A130-Macrociclo!$C$11)/7)+1)</f>
        <v>33</v>
      </c>
      <c r="C130" s="27" t="s">
        <v>164</v>
      </c>
      <c r="D130" s="27" t="s">
        <v>1069</v>
      </c>
      <c r="E130" s="28" t="n">
        <v>55</v>
      </c>
      <c r="F130" s="28" t="n">
        <v>6</v>
      </c>
      <c r="G130" s="44" t="n">
        <f aca="false">IF(OR($E130="",$F130=""),0,$E130*$F130)</f>
        <v>330</v>
      </c>
      <c r="H130" s="44" t="n">
        <f aca="false">IF($A130="",0,SUMIFS($G$8:$G$1007,$C$8:$C$1007,$C130,$A$8:$A$1007,"&gt;="&amp;$A130-6,$A$8:$A$1007,"&lt;="&amp;$A130))</f>
        <v>3675</v>
      </c>
      <c r="I130" s="44" t="n">
        <f aca="false">IF($A130="",0,SUMIFS($G$8:$G$1007,$C$8:$C$1007,$C130,$A$8:$A$1007,"&gt;="&amp;$A130-27,$A$8:$A$1007,"&lt;="&amp;$A130)/4)</f>
        <v>1665</v>
      </c>
      <c r="J130" s="144" t="n">
        <f aca="false">IF(OR($A130="",$I130=0),0,$H130/$I130)</f>
        <v>2.20720720720721</v>
      </c>
      <c r="K130" s="40" t="n">
        <f aca="false">IF($A130="",0,$A130-SUMPRODUCT(MIN(($C$8:$C$1007=$C130)*$A$8:$A$1007+($C$8:$C$1007&lt;&gt;$C130)*100000))+1)</f>
        <v>11</v>
      </c>
      <c r="L130" s="26" t="str">
        <f aca="false">IF($A130="","",IF($J130=0,"Sem registro anterior",IF($K130&lt;21,"Histórico insuficiente",IF($J130&lt;0.8,"Subcarga",IF($J130&lt;=1.3,"Zona ideal",IF($J130&lt;=1.5,"Atenção","Risco elevado"))))))</f>
        <v>Histórico insuficiente</v>
      </c>
      <c r="M130" s="27" t="s">
        <v>373</v>
      </c>
    </row>
    <row r="131" customFormat="false" ht="15" hidden="false" customHeight="false" outlineLevel="0" collapsed="false">
      <c r="A131" s="29" t="n">
        <v>46254</v>
      </c>
      <c r="B131" s="40" t="n">
        <f aca="false">IF($A131="",0,INT(($A131-Macrociclo!$C$11)/7)+1)</f>
        <v>33</v>
      </c>
      <c r="C131" s="27" t="s">
        <v>192</v>
      </c>
      <c r="D131" s="27" t="s">
        <v>1069</v>
      </c>
      <c r="E131" s="28" t="n">
        <v>40</v>
      </c>
      <c r="F131" s="28" t="n">
        <v>6</v>
      </c>
      <c r="G131" s="44" t="n">
        <f aca="false">IF(OR($E131="",$F131=""),0,$E131*$F131)</f>
        <v>240</v>
      </c>
      <c r="H131" s="44" t="n">
        <f aca="false">IF($A131="",0,SUMIFS($G$8:$G$1007,$C$8:$C$1007,$C131,$A$8:$A$1007,"&gt;="&amp;$A131-6,$A$8:$A$1007,"&lt;="&amp;$A131))</f>
        <v>3935</v>
      </c>
      <c r="I131" s="44" t="n">
        <f aca="false">IF($A131="",0,SUMIFS($G$8:$G$1007,$C$8:$C$1007,$C131,$A$8:$A$1007,"&gt;="&amp;$A131-27,$A$8:$A$1007,"&lt;="&amp;$A131)/4)</f>
        <v>1766.25</v>
      </c>
      <c r="J131" s="144" t="n">
        <f aca="false">IF(OR($A131="",$I131=0),0,$H131/$I131)</f>
        <v>2.2278839348903</v>
      </c>
      <c r="K131" s="40" t="n">
        <f aca="false">IF($A131="",0,$A131-SUMPRODUCT(MIN(($C$8:$C$1007=$C131)*$A$8:$A$1007+($C$8:$C$1007&lt;&gt;$C131)*100000))+1)</f>
        <v>11</v>
      </c>
      <c r="L131" s="26" t="str">
        <f aca="false">IF($A131="","",IF($J131=0,"Sem registro anterior",IF($K131&lt;21,"Histórico insuficiente",IF($J131&lt;0.8,"Subcarga",IF($J131&lt;=1.3,"Zona ideal",IF($J131&lt;=1.5,"Atenção","Risco elevado"))))))</f>
        <v>Histórico insuficiente</v>
      </c>
      <c r="M131" s="27" t="s">
        <v>373</v>
      </c>
    </row>
    <row r="132" customFormat="false" ht="15" hidden="false" customHeight="false" outlineLevel="0" collapsed="false">
      <c r="A132" s="29" t="n">
        <v>46254</v>
      </c>
      <c r="B132" s="40" t="n">
        <f aca="false">IF($A132="",0,INT(($A132-Macrociclo!$C$11)/7)+1)</f>
        <v>33</v>
      </c>
      <c r="C132" s="27" t="s">
        <v>206</v>
      </c>
      <c r="D132" s="27" t="s">
        <v>1069</v>
      </c>
      <c r="E132" s="28" t="n">
        <v>40</v>
      </c>
      <c r="F132" s="28" t="n">
        <v>7</v>
      </c>
      <c r="G132" s="44" t="n">
        <f aca="false">IF(OR($E132="",$F132=""),0,$E132*$F132)</f>
        <v>280</v>
      </c>
      <c r="H132" s="44" t="n">
        <f aca="false">IF($A132="",0,SUMIFS($G$8:$G$1007,$C$8:$C$1007,$C132,$A$8:$A$1007,"&gt;="&amp;$A132-6,$A$8:$A$1007,"&lt;="&amp;$A132))</f>
        <v>3610</v>
      </c>
      <c r="I132" s="44" t="n">
        <f aca="false">IF($A132="",0,SUMIFS($G$8:$G$1007,$C$8:$C$1007,$C132,$A$8:$A$1007,"&gt;="&amp;$A132-27,$A$8:$A$1007,"&lt;="&amp;$A132)/4)</f>
        <v>1382.5</v>
      </c>
      <c r="J132" s="144" t="n">
        <f aca="false">IF(OR($A132="",$I132=0),0,$H132/$I132)</f>
        <v>2.61121157323689</v>
      </c>
      <c r="K132" s="40" t="n">
        <f aca="false">IF($A132="",0,$A132-SUMPRODUCT(MIN(($C$8:$C$1007=$C132)*$A$8:$A$1007+($C$8:$C$1007&lt;&gt;$C132)*100000))+1)</f>
        <v>11</v>
      </c>
      <c r="L132" s="26" t="str">
        <f aca="false">IF($A132="","",IF($J132=0,"Sem registro anterior",IF($K132&lt;21,"Histórico insuficiente",IF($J132&lt;0.8,"Subcarga",IF($J132&lt;=1.3,"Zona ideal",IF($J132&lt;=1.5,"Atenção","Risco elevado"))))))</f>
        <v>Histórico insuficiente</v>
      </c>
      <c r="M132" s="27" t="s">
        <v>373</v>
      </c>
    </row>
    <row r="133" customFormat="false" ht="15" hidden="false" customHeight="false" outlineLevel="0" collapsed="false">
      <c r="A133" s="29" t="n">
        <v>46254</v>
      </c>
      <c r="B133" s="40" t="n">
        <f aca="false">IF($A133="",0,INT(($A133-Macrociclo!$C$11)/7)+1)</f>
        <v>33</v>
      </c>
      <c r="C133" s="27" t="s">
        <v>215</v>
      </c>
      <c r="D133" s="27" t="s">
        <v>1069</v>
      </c>
      <c r="E133" s="28" t="n">
        <v>45</v>
      </c>
      <c r="F133" s="28" t="n">
        <v>7</v>
      </c>
      <c r="G133" s="44" t="n">
        <f aca="false">IF(OR($E133="",$F133=""),0,$E133*$F133)</f>
        <v>315</v>
      </c>
      <c r="H133" s="44" t="n">
        <f aca="false">IF($A133="",0,SUMIFS($G$8:$G$1007,$C$8:$C$1007,$C133,$A$8:$A$1007,"&gt;="&amp;$A133-6,$A$8:$A$1007,"&lt;="&amp;$A133))</f>
        <v>3970</v>
      </c>
      <c r="I133" s="44" t="n">
        <f aca="false">IF($A133="",0,SUMIFS($G$8:$G$1007,$C$8:$C$1007,$C133,$A$8:$A$1007,"&gt;="&amp;$A133-27,$A$8:$A$1007,"&lt;="&amp;$A133)/4)</f>
        <v>1762.5</v>
      </c>
      <c r="J133" s="144" t="n">
        <f aca="false">IF(OR($A133="",$I133=0),0,$H133/$I133)</f>
        <v>2.25248226950355</v>
      </c>
      <c r="K133" s="40" t="n">
        <f aca="false">IF($A133="",0,$A133-SUMPRODUCT(MIN(($C$8:$C$1007=$C133)*$A$8:$A$1007+($C$8:$C$1007&lt;&gt;$C133)*100000))+1)</f>
        <v>11</v>
      </c>
      <c r="L133" s="26" t="str">
        <f aca="false">IF($A133="","",IF($J133=0,"Sem registro anterior",IF($K133&lt;21,"Histórico insuficiente",IF($J133&lt;0.8,"Subcarga",IF($J133&lt;=1.3,"Zona ideal",IF($J133&lt;=1.5,"Atenção","Risco elevado"))))))</f>
        <v>Histórico insuficiente</v>
      </c>
      <c r="M133" s="27" t="s">
        <v>373</v>
      </c>
    </row>
    <row r="134" customFormat="false" ht="15" hidden="false" customHeight="false" outlineLevel="0" collapsed="false">
      <c r="A134" s="29" t="n">
        <v>46254</v>
      </c>
      <c r="B134" s="40" t="n">
        <f aca="false">IF($A134="",0,INT(($A134-Macrociclo!$C$11)/7)+1)</f>
        <v>33</v>
      </c>
      <c r="C134" s="27" t="s">
        <v>226</v>
      </c>
      <c r="D134" s="27" t="s">
        <v>1069</v>
      </c>
      <c r="E134" s="28" t="n">
        <v>55</v>
      </c>
      <c r="F134" s="28" t="n">
        <v>6</v>
      </c>
      <c r="G134" s="44" t="n">
        <f aca="false">IF(OR($E134="",$F134=""),0,$E134*$F134)</f>
        <v>330</v>
      </c>
      <c r="H134" s="44" t="n">
        <f aca="false">IF($A134="",0,SUMIFS($G$8:$G$1007,$C$8:$C$1007,$C134,$A$8:$A$1007,"&gt;="&amp;$A134-6,$A$8:$A$1007,"&lt;="&amp;$A134))</f>
        <v>3960</v>
      </c>
      <c r="I134" s="44" t="n">
        <f aca="false">IF($A134="",0,SUMIFS($G$8:$G$1007,$C$8:$C$1007,$C134,$A$8:$A$1007,"&gt;="&amp;$A134-27,$A$8:$A$1007,"&lt;="&amp;$A134)/4)</f>
        <v>1812.5</v>
      </c>
      <c r="J134" s="144" t="n">
        <f aca="false">IF(OR($A134="",$I134=0),0,$H134/$I134)</f>
        <v>2.1848275862069</v>
      </c>
      <c r="K134" s="40" t="n">
        <f aca="false">IF($A134="",0,$A134-SUMPRODUCT(MIN(($C$8:$C$1007=$C134)*$A$8:$A$1007+($C$8:$C$1007&lt;&gt;$C134)*100000))+1)</f>
        <v>11</v>
      </c>
      <c r="L134" s="26" t="str">
        <f aca="false">IF($A134="","",IF($J134=0,"Sem registro anterior",IF($K134&lt;21,"Histórico insuficiente",IF($J134&lt;0.8,"Subcarga",IF($J134&lt;=1.3,"Zona ideal",IF($J134&lt;=1.5,"Atenção","Risco elevado"))))))</f>
        <v>Histórico insuficiente</v>
      </c>
      <c r="M134" s="27" t="s">
        <v>373</v>
      </c>
    </row>
    <row r="135" customFormat="false" ht="15" hidden="false" customHeight="false" outlineLevel="0" collapsed="false">
      <c r="A135" s="29" t="n">
        <v>46254</v>
      </c>
      <c r="B135" s="40" t="n">
        <f aca="false">IF($A135="",0,INT(($A135-Macrociclo!$C$11)/7)+1)</f>
        <v>33</v>
      </c>
      <c r="C135" s="27" t="s">
        <v>236</v>
      </c>
      <c r="D135" s="27" t="s">
        <v>1069</v>
      </c>
      <c r="E135" s="28" t="n">
        <v>40</v>
      </c>
      <c r="F135" s="28" t="n">
        <v>6</v>
      </c>
      <c r="G135" s="44" t="n">
        <f aca="false">IF(OR($E135="",$F135=""),0,$E135*$F135)</f>
        <v>240</v>
      </c>
      <c r="H135" s="44" t="n">
        <f aca="false">IF($A135="",0,SUMIFS($G$8:$G$1007,$C$8:$C$1007,$C135,$A$8:$A$1007,"&gt;="&amp;$A135-6,$A$8:$A$1007,"&lt;="&amp;$A135))</f>
        <v>3320</v>
      </c>
      <c r="I135" s="44" t="n">
        <f aca="false">IF($A135="",0,SUMIFS($G$8:$G$1007,$C$8:$C$1007,$C135,$A$8:$A$1007,"&gt;="&amp;$A135-27,$A$8:$A$1007,"&lt;="&amp;$A135)/4)</f>
        <v>1588.75</v>
      </c>
      <c r="J135" s="144" t="n">
        <f aca="false">IF(OR($A135="",$I135=0),0,$H135/$I135)</f>
        <v>2.08969315499607</v>
      </c>
      <c r="K135" s="40" t="n">
        <f aca="false">IF($A135="",0,$A135-SUMPRODUCT(MIN(($C$8:$C$1007=$C135)*$A$8:$A$1007+($C$8:$C$1007&lt;&gt;$C135)*100000))+1)</f>
        <v>11</v>
      </c>
      <c r="L135" s="26" t="str">
        <f aca="false">IF($A135="","",IF($J135=0,"Sem registro anterior",IF($K135&lt;21,"Histórico insuficiente",IF($J135&lt;0.8,"Subcarga",IF($J135&lt;=1.3,"Zona ideal",IF($J135&lt;=1.5,"Atenção","Risco elevado"))))))</f>
        <v>Histórico insuficiente</v>
      </c>
      <c r="M135" s="27" t="s">
        <v>373</v>
      </c>
    </row>
    <row r="136" customFormat="false" ht="15" hidden="false" customHeight="false" outlineLevel="0" collapsed="false">
      <c r="A136" s="29" t="n">
        <v>46254</v>
      </c>
      <c r="B136" s="40" t="n">
        <f aca="false">IF($A136="",0,INT(($A136-Macrociclo!$C$11)/7)+1)</f>
        <v>33</v>
      </c>
      <c r="C136" s="27" t="s">
        <v>244</v>
      </c>
      <c r="D136" s="27" t="s">
        <v>1069</v>
      </c>
      <c r="E136" s="28" t="n">
        <v>50</v>
      </c>
      <c r="F136" s="28" t="n">
        <v>6</v>
      </c>
      <c r="G136" s="44" t="n">
        <f aca="false">IF(OR($E136="",$F136=""),0,$E136*$F136)</f>
        <v>300</v>
      </c>
      <c r="H136" s="44" t="n">
        <f aca="false">IF($A136="",0,SUMIFS($G$8:$G$1007,$C$8:$C$1007,$C136,$A$8:$A$1007,"&gt;="&amp;$A136-6,$A$8:$A$1007,"&lt;="&amp;$A136))</f>
        <v>3135</v>
      </c>
      <c r="I136" s="44" t="n">
        <f aca="false">IF($A136="",0,SUMIFS($G$8:$G$1007,$C$8:$C$1007,$C136,$A$8:$A$1007,"&gt;="&amp;$A136-27,$A$8:$A$1007,"&lt;="&amp;$A136)/4)</f>
        <v>1596.25</v>
      </c>
      <c r="J136" s="144" t="n">
        <f aca="false">IF(OR($A136="",$I136=0),0,$H136/$I136)</f>
        <v>1.96397807361002</v>
      </c>
      <c r="K136" s="40" t="n">
        <f aca="false">IF($A136="",0,$A136-SUMPRODUCT(MIN(($C$8:$C$1007=$C136)*$A$8:$A$1007+($C$8:$C$1007&lt;&gt;$C136)*100000))+1)</f>
        <v>11</v>
      </c>
      <c r="L136" s="26" t="str">
        <f aca="false">IF($A136="","",IF($J136=0,"Sem registro anterior",IF($K136&lt;21,"Histórico insuficiente",IF($J136&lt;0.8,"Subcarga",IF($J136&lt;=1.3,"Zona ideal",IF($J136&lt;=1.5,"Atenção","Risco elevado"))))))</f>
        <v>Histórico insuficiente</v>
      </c>
      <c r="M136" s="27" t="s">
        <v>373</v>
      </c>
    </row>
    <row r="137" customFormat="false" ht="15" hidden="false" customHeight="false" outlineLevel="0" collapsed="false">
      <c r="A137" s="29" t="n">
        <v>46254</v>
      </c>
      <c r="B137" s="40" t="n">
        <f aca="false">IF($A137="",0,INT(($A137-Macrociclo!$C$11)/7)+1)</f>
        <v>33</v>
      </c>
      <c r="C137" s="27" t="s">
        <v>253</v>
      </c>
      <c r="D137" s="27" t="s">
        <v>1069</v>
      </c>
      <c r="E137" s="28" t="n">
        <v>55</v>
      </c>
      <c r="F137" s="28" t="n">
        <v>6</v>
      </c>
      <c r="G137" s="44" t="n">
        <f aca="false">IF(OR($E137="",$F137=""),0,$E137*$F137)</f>
        <v>330</v>
      </c>
      <c r="H137" s="44" t="n">
        <f aca="false">IF($A137="",0,SUMIFS($G$8:$G$1007,$C$8:$C$1007,$C137,$A$8:$A$1007,"&gt;="&amp;$A137-6,$A$8:$A$1007,"&lt;="&amp;$A137))</f>
        <v>3990</v>
      </c>
      <c r="I137" s="44" t="n">
        <f aca="false">IF($A137="",0,SUMIFS($G$8:$G$1007,$C$8:$C$1007,$C137,$A$8:$A$1007,"&gt;="&amp;$A137-27,$A$8:$A$1007,"&lt;="&amp;$A137)/4)</f>
        <v>1801.25</v>
      </c>
      <c r="J137" s="144" t="n">
        <f aca="false">IF(OR($A137="",$I137=0),0,$H137/$I137)</f>
        <v>2.21512838306731</v>
      </c>
      <c r="K137" s="40" t="n">
        <f aca="false">IF($A137="",0,$A137-SUMPRODUCT(MIN(($C$8:$C$1007=$C137)*$A$8:$A$1007+($C$8:$C$1007&lt;&gt;$C137)*100000))+1)</f>
        <v>11</v>
      </c>
      <c r="L137" s="26" t="str">
        <f aca="false">IF($A137="","",IF($J137=0,"Sem registro anterior",IF($K137&lt;21,"Histórico insuficiente",IF($J137&lt;0.8,"Subcarga",IF($J137&lt;=1.3,"Zona ideal",IF($J137&lt;=1.5,"Atenção","Risco elevado"))))))</f>
        <v>Histórico insuficiente</v>
      </c>
      <c r="M137" s="27" t="s">
        <v>373</v>
      </c>
    </row>
    <row r="138" customFormat="false" ht="15" hidden="false" customHeight="false" outlineLevel="0" collapsed="false">
      <c r="A138" s="29" t="n">
        <v>46254</v>
      </c>
      <c r="B138" s="40" t="n">
        <f aca="false">IF($A138="",0,INT(($A138-Macrociclo!$C$11)/7)+1)</f>
        <v>33</v>
      </c>
      <c r="C138" s="27" t="s">
        <v>259</v>
      </c>
      <c r="D138" s="27" t="s">
        <v>1069</v>
      </c>
      <c r="E138" s="28" t="n">
        <v>55</v>
      </c>
      <c r="F138" s="28" t="n">
        <v>6</v>
      </c>
      <c r="G138" s="44" t="n">
        <f aca="false">IF(OR($E138="",$F138=""),0,$E138*$F138)</f>
        <v>330</v>
      </c>
      <c r="H138" s="44" t="n">
        <f aca="false">IF($A138="",0,SUMIFS($G$8:$G$1007,$C$8:$C$1007,$C138,$A$8:$A$1007,"&gt;="&amp;$A138-6,$A$8:$A$1007,"&lt;="&amp;$A138))</f>
        <v>4070</v>
      </c>
      <c r="I138" s="44" t="n">
        <f aca="false">IF($A138="",0,SUMIFS($G$8:$G$1007,$C$8:$C$1007,$C138,$A$8:$A$1007,"&gt;="&amp;$A138-27,$A$8:$A$1007,"&lt;="&amp;$A138)/4)</f>
        <v>1728.75</v>
      </c>
      <c r="J138" s="144" t="n">
        <f aca="false">IF(OR($A138="",$I138=0),0,$H138/$I138)</f>
        <v>2.35430224150398</v>
      </c>
      <c r="K138" s="40" t="n">
        <f aca="false">IF($A138="",0,$A138-SUMPRODUCT(MIN(($C$8:$C$1007=$C138)*$A$8:$A$1007+($C$8:$C$1007&lt;&gt;$C138)*100000))+1)</f>
        <v>11</v>
      </c>
      <c r="L138" s="26" t="str">
        <f aca="false">IF($A138="","",IF($J138=0,"Sem registro anterior",IF($K138&lt;21,"Histórico insuficiente",IF($J138&lt;0.8,"Subcarga",IF($J138&lt;=1.3,"Zona ideal",IF($J138&lt;=1.5,"Atenção","Risco elevado"))))))</f>
        <v>Histórico insuficiente</v>
      </c>
      <c r="M138" s="27" t="s">
        <v>373</v>
      </c>
    </row>
    <row r="139" customFormat="false" ht="15" hidden="false" customHeight="false" outlineLevel="0" collapsed="false">
      <c r="A139" s="29" t="n">
        <v>46254</v>
      </c>
      <c r="B139" s="40" t="n">
        <f aca="false">IF($A139="",0,INT(($A139-Macrociclo!$C$11)/7)+1)</f>
        <v>33</v>
      </c>
      <c r="C139" s="27" t="s">
        <v>264</v>
      </c>
      <c r="D139" s="27" t="s">
        <v>1069</v>
      </c>
      <c r="E139" s="28" t="n">
        <v>40</v>
      </c>
      <c r="F139" s="28" t="n">
        <v>6</v>
      </c>
      <c r="G139" s="44" t="n">
        <f aca="false">IF(OR($E139="",$F139=""),0,$E139*$F139)</f>
        <v>240</v>
      </c>
      <c r="H139" s="44" t="n">
        <f aca="false">IF($A139="",0,SUMIFS($G$8:$G$1007,$C$8:$C$1007,$C139,$A$8:$A$1007,"&gt;="&amp;$A139-6,$A$8:$A$1007,"&lt;="&amp;$A139))</f>
        <v>3460</v>
      </c>
      <c r="I139" s="44" t="n">
        <f aca="false">IF($A139="",0,SUMIFS($G$8:$G$1007,$C$8:$C$1007,$C139,$A$8:$A$1007,"&gt;="&amp;$A139-27,$A$8:$A$1007,"&lt;="&amp;$A139)/4)</f>
        <v>1708.75</v>
      </c>
      <c r="J139" s="144" t="n">
        <f aca="false">IF(OR($A139="",$I139=0),0,$H139/$I139)</f>
        <v>2.02487198244331</v>
      </c>
      <c r="K139" s="40" t="n">
        <f aca="false">IF($A139="",0,$A139-SUMPRODUCT(MIN(($C$8:$C$1007=$C139)*$A$8:$A$1007+($C$8:$C$1007&lt;&gt;$C139)*100000))+1)</f>
        <v>11</v>
      </c>
      <c r="L139" s="26" t="str">
        <f aca="false">IF($A139="","",IF($J139=0,"Sem registro anterior",IF($K139&lt;21,"Histórico insuficiente",IF($J139&lt;0.8,"Subcarga",IF($J139&lt;=1.3,"Zona ideal",IF($J139&lt;=1.5,"Atenção","Risco elevado"))))))</f>
        <v>Histórico insuficiente</v>
      </c>
      <c r="M139" s="27" t="s">
        <v>373</v>
      </c>
    </row>
    <row r="140" customFormat="false" ht="15" hidden="false" customHeight="false" outlineLevel="0" collapsed="false">
      <c r="A140" s="29" t="n">
        <v>46254</v>
      </c>
      <c r="B140" s="40" t="n">
        <f aca="false">IF($A140="",0,INT(($A140-Macrociclo!$C$11)/7)+1)</f>
        <v>33</v>
      </c>
      <c r="C140" s="27" t="s">
        <v>270</v>
      </c>
      <c r="D140" s="27" t="s">
        <v>1069</v>
      </c>
      <c r="E140" s="28" t="n">
        <v>50</v>
      </c>
      <c r="F140" s="28" t="n">
        <v>6</v>
      </c>
      <c r="G140" s="44" t="n">
        <f aca="false">IF(OR($E140="",$F140=""),0,$E140*$F140)</f>
        <v>300</v>
      </c>
      <c r="H140" s="44" t="n">
        <f aca="false">IF($A140="",0,SUMIFS($G$8:$G$1007,$C$8:$C$1007,$C140,$A$8:$A$1007,"&gt;="&amp;$A140-6,$A$8:$A$1007,"&lt;="&amp;$A140))</f>
        <v>3995</v>
      </c>
      <c r="I140" s="44" t="n">
        <f aca="false">IF($A140="",0,SUMIFS($G$8:$G$1007,$C$8:$C$1007,$C140,$A$8:$A$1007,"&gt;="&amp;$A140-27,$A$8:$A$1007,"&lt;="&amp;$A140)/4)</f>
        <v>1835</v>
      </c>
      <c r="J140" s="144" t="n">
        <f aca="false">IF(OR($A140="",$I140=0),0,$H140/$I140)</f>
        <v>2.17711171662125</v>
      </c>
      <c r="K140" s="40" t="n">
        <f aca="false">IF($A140="",0,$A140-SUMPRODUCT(MIN(($C$8:$C$1007=$C140)*$A$8:$A$1007+($C$8:$C$1007&lt;&gt;$C140)*100000))+1)</f>
        <v>11</v>
      </c>
      <c r="L140" s="26" t="str">
        <f aca="false">IF($A140="","",IF($J140=0,"Sem registro anterior",IF($K140&lt;21,"Histórico insuficiente",IF($J140&lt;0.8,"Subcarga",IF($J140&lt;=1.3,"Zona ideal",IF($J140&lt;=1.5,"Atenção","Risco elevado"))))))</f>
        <v>Histórico insuficiente</v>
      </c>
      <c r="M140" s="27" t="s">
        <v>373</v>
      </c>
    </row>
    <row r="141" customFormat="false" ht="15" hidden="false" customHeight="false" outlineLevel="0" collapsed="false">
      <c r="A141" s="29" t="n">
        <v>46254</v>
      </c>
      <c r="B141" s="40" t="n">
        <f aca="false">IF($A141="",0,INT(($A141-Macrociclo!$C$11)/7)+1)</f>
        <v>33</v>
      </c>
      <c r="C141" s="27" t="s">
        <v>279</v>
      </c>
      <c r="D141" s="27" t="s">
        <v>1069</v>
      </c>
      <c r="E141" s="28" t="n">
        <v>55</v>
      </c>
      <c r="F141" s="28" t="n">
        <v>6</v>
      </c>
      <c r="G141" s="44" t="n">
        <f aca="false">IF(OR($E141="",$F141=""),0,$E141*$F141)</f>
        <v>330</v>
      </c>
      <c r="H141" s="44" t="n">
        <f aca="false">IF($A141="",0,SUMIFS($G$8:$G$1007,$C$8:$C$1007,$C141,$A$8:$A$1007,"&gt;="&amp;$A141-6,$A$8:$A$1007,"&lt;="&amp;$A141))</f>
        <v>4080</v>
      </c>
      <c r="I141" s="44" t="n">
        <f aca="false">IF($A141="",0,SUMIFS($G$8:$G$1007,$C$8:$C$1007,$C141,$A$8:$A$1007,"&gt;="&amp;$A141-27,$A$8:$A$1007,"&lt;="&amp;$A141)/4)</f>
        <v>1425</v>
      </c>
      <c r="J141" s="144" t="n">
        <f aca="false">IF(OR($A141="",$I141=0),0,$H141/$I141)</f>
        <v>2.86315789473684</v>
      </c>
      <c r="K141" s="40" t="n">
        <f aca="false">IF($A141="",0,$A141-SUMPRODUCT(MIN(($C$8:$C$1007=$C141)*$A$8:$A$1007+($C$8:$C$1007&lt;&gt;$C141)*100000))+1)</f>
        <v>11</v>
      </c>
      <c r="L141" s="26" t="str">
        <f aca="false">IF($A141="","",IF($J141=0,"Sem registro anterior",IF($K141&lt;21,"Histórico insuficiente",IF($J141&lt;0.8,"Subcarga",IF($J141&lt;=1.3,"Zona ideal",IF($J141&lt;=1.5,"Atenção","Risco elevado"))))))</f>
        <v>Histórico insuficiente</v>
      </c>
      <c r="M141" s="27" t="s">
        <v>373</v>
      </c>
    </row>
    <row r="142" customFormat="false" ht="15" hidden="false" customHeight="false" outlineLevel="0" collapsed="false">
      <c r="A142" s="29" t="n">
        <v>46254</v>
      </c>
      <c r="B142" s="40" t="n">
        <f aca="false">IF($A142="",0,INT(($A142-Macrociclo!$C$11)/7)+1)</f>
        <v>33</v>
      </c>
      <c r="C142" s="27" t="s">
        <v>164</v>
      </c>
      <c r="D142" s="27" t="s">
        <v>1056</v>
      </c>
      <c r="E142" s="28" t="n">
        <v>95</v>
      </c>
      <c r="F142" s="28" t="n">
        <v>7</v>
      </c>
      <c r="G142" s="44" t="n">
        <f aca="false">IF(OR($E142="",$F142=""),0,$E142*$F142)</f>
        <v>665</v>
      </c>
      <c r="H142" s="44" t="n">
        <f aca="false">IF($A142="",0,SUMIFS($G$8:$G$1007,$C$8:$C$1007,$C142,$A$8:$A$1007,"&gt;="&amp;$A142-6,$A$8:$A$1007,"&lt;="&amp;$A142))</f>
        <v>3675</v>
      </c>
      <c r="I142" s="44" t="n">
        <f aca="false">IF($A142="",0,SUMIFS($G$8:$G$1007,$C$8:$C$1007,$C142,$A$8:$A$1007,"&gt;="&amp;$A142-27,$A$8:$A$1007,"&lt;="&amp;$A142)/4)</f>
        <v>1665</v>
      </c>
      <c r="J142" s="144" t="n">
        <f aca="false">IF(OR($A142="",$I142=0),0,$H142/$I142)</f>
        <v>2.20720720720721</v>
      </c>
      <c r="K142" s="40" t="n">
        <f aca="false">IF($A142="",0,$A142-SUMPRODUCT(MIN(($C$8:$C$1007=$C142)*$A$8:$A$1007+($C$8:$C$1007&lt;&gt;$C142)*100000))+1)</f>
        <v>11</v>
      </c>
      <c r="L142" s="26" t="str">
        <f aca="false">IF($A142="","",IF($J142=0,"Sem registro anterior",IF($K142&lt;21,"Histórico insuficiente",IF($J142&lt;0.8,"Subcarga",IF($J142&lt;=1.3,"Zona ideal",IF($J142&lt;=1.5,"Atenção","Risco elevado"))))))</f>
        <v>Histórico insuficiente</v>
      </c>
      <c r="M142" s="27" t="s">
        <v>373</v>
      </c>
    </row>
    <row r="143" customFormat="false" ht="15" hidden="false" customHeight="false" outlineLevel="0" collapsed="false">
      <c r="A143" s="29" t="n">
        <v>46254</v>
      </c>
      <c r="B143" s="40" t="n">
        <f aca="false">IF($A143="",0,INT(($A143-Macrociclo!$C$11)/7)+1)</f>
        <v>33</v>
      </c>
      <c r="C143" s="27" t="s">
        <v>192</v>
      </c>
      <c r="D143" s="27" t="s">
        <v>1056</v>
      </c>
      <c r="E143" s="28" t="n">
        <v>95</v>
      </c>
      <c r="F143" s="28" t="n">
        <v>7</v>
      </c>
      <c r="G143" s="44" t="n">
        <f aca="false">IF(OR($E143="",$F143=""),0,$E143*$F143)</f>
        <v>665</v>
      </c>
      <c r="H143" s="44" t="n">
        <f aca="false">IF($A143="",0,SUMIFS($G$8:$G$1007,$C$8:$C$1007,$C143,$A$8:$A$1007,"&gt;="&amp;$A143-6,$A$8:$A$1007,"&lt;="&amp;$A143))</f>
        <v>3935</v>
      </c>
      <c r="I143" s="44" t="n">
        <f aca="false">IF($A143="",0,SUMIFS($G$8:$G$1007,$C$8:$C$1007,$C143,$A$8:$A$1007,"&gt;="&amp;$A143-27,$A$8:$A$1007,"&lt;="&amp;$A143)/4)</f>
        <v>1766.25</v>
      </c>
      <c r="J143" s="144" t="n">
        <f aca="false">IF(OR($A143="",$I143=0),0,$H143/$I143)</f>
        <v>2.2278839348903</v>
      </c>
      <c r="K143" s="40" t="n">
        <f aca="false">IF($A143="",0,$A143-SUMPRODUCT(MIN(($C$8:$C$1007=$C143)*$A$8:$A$1007+($C$8:$C$1007&lt;&gt;$C143)*100000))+1)</f>
        <v>11</v>
      </c>
      <c r="L143" s="26" t="str">
        <f aca="false">IF($A143="","",IF($J143=0,"Sem registro anterior",IF($K143&lt;21,"Histórico insuficiente",IF($J143&lt;0.8,"Subcarga",IF($J143&lt;=1.3,"Zona ideal",IF($J143&lt;=1.5,"Atenção","Risco elevado"))))))</f>
        <v>Histórico insuficiente</v>
      </c>
      <c r="M143" s="27" t="s">
        <v>373</v>
      </c>
    </row>
    <row r="144" customFormat="false" ht="15" hidden="false" customHeight="false" outlineLevel="0" collapsed="false">
      <c r="A144" s="29" t="n">
        <v>46254</v>
      </c>
      <c r="B144" s="40" t="n">
        <f aca="false">IF($A144="",0,INT(($A144-Macrociclo!$C$11)/7)+1)</f>
        <v>33</v>
      </c>
      <c r="C144" s="27" t="s">
        <v>206</v>
      </c>
      <c r="D144" s="27" t="s">
        <v>1056</v>
      </c>
      <c r="E144" s="28" t="n">
        <v>80</v>
      </c>
      <c r="F144" s="28" t="n">
        <v>6</v>
      </c>
      <c r="G144" s="44" t="n">
        <f aca="false">IF(OR($E144="",$F144=""),0,$E144*$F144)</f>
        <v>480</v>
      </c>
      <c r="H144" s="44" t="n">
        <f aca="false">IF($A144="",0,SUMIFS($G$8:$G$1007,$C$8:$C$1007,$C144,$A$8:$A$1007,"&gt;="&amp;$A144-6,$A$8:$A$1007,"&lt;="&amp;$A144))</f>
        <v>3610</v>
      </c>
      <c r="I144" s="44" t="n">
        <f aca="false">IF($A144="",0,SUMIFS($G$8:$G$1007,$C$8:$C$1007,$C144,$A$8:$A$1007,"&gt;="&amp;$A144-27,$A$8:$A$1007,"&lt;="&amp;$A144)/4)</f>
        <v>1382.5</v>
      </c>
      <c r="J144" s="144" t="n">
        <f aca="false">IF(OR($A144="",$I144=0),0,$H144/$I144)</f>
        <v>2.61121157323689</v>
      </c>
      <c r="K144" s="40" t="n">
        <f aca="false">IF($A144="",0,$A144-SUMPRODUCT(MIN(($C$8:$C$1007=$C144)*$A$8:$A$1007+($C$8:$C$1007&lt;&gt;$C144)*100000))+1)</f>
        <v>11</v>
      </c>
      <c r="L144" s="26" t="str">
        <f aca="false">IF($A144="","",IF($J144=0,"Sem registro anterior",IF($K144&lt;21,"Histórico insuficiente",IF($J144&lt;0.8,"Subcarga",IF($J144&lt;=1.3,"Zona ideal",IF($J144&lt;=1.5,"Atenção","Risco elevado"))))))</f>
        <v>Histórico insuficiente</v>
      </c>
      <c r="M144" s="27" t="s">
        <v>373</v>
      </c>
    </row>
    <row r="145" customFormat="false" ht="15" hidden="false" customHeight="false" outlineLevel="0" collapsed="false">
      <c r="A145" s="29" t="n">
        <v>46254</v>
      </c>
      <c r="B145" s="40" t="n">
        <f aca="false">IF($A145="",0,INT(($A145-Macrociclo!$C$11)/7)+1)</f>
        <v>33</v>
      </c>
      <c r="C145" s="27" t="s">
        <v>215</v>
      </c>
      <c r="D145" s="27" t="s">
        <v>1056</v>
      </c>
      <c r="E145" s="28" t="n">
        <v>90</v>
      </c>
      <c r="F145" s="28" t="n">
        <v>8</v>
      </c>
      <c r="G145" s="44" t="n">
        <f aca="false">IF(OR($E145="",$F145=""),0,$E145*$F145)</f>
        <v>720</v>
      </c>
      <c r="H145" s="44" t="n">
        <f aca="false">IF($A145="",0,SUMIFS($G$8:$G$1007,$C$8:$C$1007,$C145,$A$8:$A$1007,"&gt;="&amp;$A145-6,$A$8:$A$1007,"&lt;="&amp;$A145))</f>
        <v>3970</v>
      </c>
      <c r="I145" s="44" t="n">
        <f aca="false">IF($A145="",0,SUMIFS($G$8:$G$1007,$C$8:$C$1007,$C145,$A$8:$A$1007,"&gt;="&amp;$A145-27,$A$8:$A$1007,"&lt;="&amp;$A145)/4)</f>
        <v>1762.5</v>
      </c>
      <c r="J145" s="144" t="n">
        <f aca="false">IF(OR($A145="",$I145=0),0,$H145/$I145)</f>
        <v>2.25248226950355</v>
      </c>
      <c r="K145" s="40" t="n">
        <f aca="false">IF($A145="",0,$A145-SUMPRODUCT(MIN(($C$8:$C$1007=$C145)*$A$8:$A$1007+($C$8:$C$1007&lt;&gt;$C145)*100000))+1)</f>
        <v>11</v>
      </c>
      <c r="L145" s="26" t="str">
        <f aca="false">IF($A145="","",IF($J145=0,"Sem registro anterior",IF($K145&lt;21,"Histórico insuficiente",IF($J145&lt;0.8,"Subcarga",IF($J145&lt;=1.3,"Zona ideal",IF($J145&lt;=1.5,"Atenção","Risco elevado"))))))</f>
        <v>Histórico insuficiente</v>
      </c>
      <c r="M145" s="27" t="s">
        <v>373</v>
      </c>
    </row>
    <row r="146" customFormat="false" ht="15" hidden="false" customHeight="false" outlineLevel="0" collapsed="false">
      <c r="A146" s="29" t="n">
        <v>46254</v>
      </c>
      <c r="B146" s="40" t="n">
        <f aca="false">IF($A146="",0,INT(($A146-Macrociclo!$C$11)/7)+1)</f>
        <v>33</v>
      </c>
      <c r="C146" s="27" t="s">
        <v>226</v>
      </c>
      <c r="D146" s="27" t="s">
        <v>1056</v>
      </c>
      <c r="E146" s="28" t="n">
        <v>90</v>
      </c>
      <c r="F146" s="28" t="n">
        <v>7</v>
      </c>
      <c r="G146" s="44" t="n">
        <f aca="false">IF(OR($E146="",$F146=""),0,$E146*$F146)</f>
        <v>630</v>
      </c>
      <c r="H146" s="44" t="n">
        <f aca="false">IF($A146="",0,SUMIFS($G$8:$G$1007,$C$8:$C$1007,$C146,$A$8:$A$1007,"&gt;="&amp;$A146-6,$A$8:$A$1007,"&lt;="&amp;$A146))</f>
        <v>3960</v>
      </c>
      <c r="I146" s="44" t="n">
        <f aca="false">IF($A146="",0,SUMIFS($G$8:$G$1007,$C$8:$C$1007,$C146,$A$8:$A$1007,"&gt;="&amp;$A146-27,$A$8:$A$1007,"&lt;="&amp;$A146)/4)</f>
        <v>1812.5</v>
      </c>
      <c r="J146" s="144" t="n">
        <f aca="false">IF(OR($A146="",$I146=0),0,$H146/$I146)</f>
        <v>2.1848275862069</v>
      </c>
      <c r="K146" s="40" t="n">
        <f aca="false">IF($A146="",0,$A146-SUMPRODUCT(MIN(($C$8:$C$1007=$C146)*$A$8:$A$1007+($C$8:$C$1007&lt;&gt;$C146)*100000))+1)</f>
        <v>11</v>
      </c>
      <c r="L146" s="26" t="str">
        <f aca="false">IF($A146="","",IF($J146=0,"Sem registro anterior",IF($K146&lt;21,"Histórico insuficiente",IF($J146&lt;0.8,"Subcarga",IF($J146&lt;=1.3,"Zona ideal",IF($J146&lt;=1.5,"Atenção","Risco elevado"))))))</f>
        <v>Histórico insuficiente</v>
      </c>
      <c r="M146" s="27" t="s">
        <v>373</v>
      </c>
    </row>
    <row r="147" customFormat="false" ht="15" hidden="false" customHeight="false" outlineLevel="0" collapsed="false">
      <c r="A147" s="29" t="n">
        <v>46254</v>
      </c>
      <c r="B147" s="40" t="n">
        <f aca="false">IF($A147="",0,INT(($A147-Macrociclo!$C$11)/7)+1)</f>
        <v>33</v>
      </c>
      <c r="C147" s="27" t="s">
        <v>236</v>
      </c>
      <c r="D147" s="27" t="s">
        <v>1056</v>
      </c>
      <c r="E147" s="28" t="n">
        <v>90</v>
      </c>
      <c r="F147" s="28" t="n">
        <v>7</v>
      </c>
      <c r="G147" s="44" t="n">
        <f aca="false">IF(OR($E147="",$F147=""),0,$E147*$F147)</f>
        <v>630</v>
      </c>
      <c r="H147" s="44" t="n">
        <f aca="false">IF($A147="",0,SUMIFS($G$8:$G$1007,$C$8:$C$1007,$C147,$A$8:$A$1007,"&gt;="&amp;$A147-6,$A$8:$A$1007,"&lt;="&amp;$A147))</f>
        <v>3320</v>
      </c>
      <c r="I147" s="44" t="n">
        <f aca="false">IF($A147="",0,SUMIFS($G$8:$G$1007,$C$8:$C$1007,$C147,$A$8:$A$1007,"&gt;="&amp;$A147-27,$A$8:$A$1007,"&lt;="&amp;$A147)/4)</f>
        <v>1588.75</v>
      </c>
      <c r="J147" s="144" t="n">
        <f aca="false">IF(OR($A147="",$I147=0),0,$H147/$I147)</f>
        <v>2.08969315499607</v>
      </c>
      <c r="K147" s="40" t="n">
        <f aca="false">IF($A147="",0,$A147-SUMPRODUCT(MIN(($C$8:$C$1007=$C147)*$A$8:$A$1007+($C$8:$C$1007&lt;&gt;$C147)*100000))+1)</f>
        <v>11</v>
      </c>
      <c r="L147" s="26" t="str">
        <f aca="false">IF($A147="","",IF($J147=0,"Sem registro anterior",IF($K147&lt;21,"Histórico insuficiente",IF($J147&lt;0.8,"Subcarga",IF($J147&lt;=1.3,"Zona ideal",IF($J147&lt;=1.5,"Atenção","Risco elevado"))))))</f>
        <v>Histórico insuficiente</v>
      </c>
      <c r="M147" s="27" t="s">
        <v>373</v>
      </c>
    </row>
    <row r="148" customFormat="false" ht="15" hidden="false" customHeight="false" outlineLevel="0" collapsed="false">
      <c r="A148" s="29" t="n">
        <v>46254</v>
      </c>
      <c r="B148" s="40" t="n">
        <f aca="false">IF($A148="",0,INT(($A148-Macrociclo!$C$11)/7)+1)</f>
        <v>33</v>
      </c>
      <c r="C148" s="27" t="s">
        <v>244</v>
      </c>
      <c r="D148" s="27" t="s">
        <v>1056</v>
      </c>
      <c r="E148" s="28" t="n">
        <v>80</v>
      </c>
      <c r="F148" s="28" t="n">
        <v>7</v>
      </c>
      <c r="G148" s="44" t="n">
        <f aca="false">IF(OR($E148="",$F148=""),0,$E148*$F148)</f>
        <v>560</v>
      </c>
      <c r="H148" s="44" t="n">
        <f aca="false">IF($A148="",0,SUMIFS($G$8:$G$1007,$C$8:$C$1007,$C148,$A$8:$A$1007,"&gt;="&amp;$A148-6,$A$8:$A$1007,"&lt;="&amp;$A148))</f>
        <v>3135</v>
      </c>
      <c r="I148" s="44" t="n">
        <f aca="false">IF($A148="",0,SUMIFS($G$8:$G$1007,$C$8:$C$1007,$C148,$A$8:$A$1007,"&gt;="&amp;$A148-27,$A$8:$A$1007,"&lt;="&amp;$A148)/4)</f>
        <v>1596.25</v>
      </c>
      <c r="J148" s="144" t="n">
        <f aca="false">IF(OR($A148="",$I148=0),0,$H148/$I148)</f>
        <v>1.96397807361002</v>
      </c>
      <c r="K148" s="40" t="n">
        <f aca="false">IF($A148="",0,$A148-SUMPRODUCT(MIN(($C$8:$C$1007=$C148)*$A$8:$A$1007+($C$8:$C$1007&lt;&gt;$C148)*100000))+1)</f>
        <v>11</v>
      </c>
      <c r="L148" s="26" t="str">
        <f aca="false">IF($A148="","",IF($J148=0,"Sem registro anterior",IF($K148&lt;21,"Histórico insuficiente",IF($J148&lt;0.8,"Subcarga",IF($J148&lt;=1.3,"Zona ideal",IF($J148&lt;=1.5,"Atenção","Risco elevado"))))))</f>
        <v>Histórico insuficiente</v>
      </c>
      <c r="M148" s="27" t="s">
        <v>373</v>
      </c>
    </row>
    <row r="149" customFormat="false" ht="15" hidden="false" customHeight="false" outlineLevel="0" collapsed="false">
      <c r="A149" s="29" t="n">
        <v>46254</v>
      </c>
      <c r="B149" s="40" t="n">
        <f aca="false">IF($A149="",0,INT(($A149-Macrociclo!$C$11)/7)+1)</f>
        <v>33</v>
      </c>
      <c r="C149" s="27" t="s">
        <v>253</v>
      </c>
      <c r="D149" s="27" t="s">
        <v>1056</v>
      </c>
      <c r="E149" s="28" t="n">
        <v>85</v>
      </c>
      <c r="F149" s="28" t="n">
        <v>8</v>
      </c>
      <c r="G149" s="44" t="n">
        <f aca="false">IF(OR($E149="",$F149=""),0,$E149*$F149)</f>
        <v>680</v>
      </c>
      <c r="H149" s="44" t="n">
        <f aca="false">IF($A149="",0,SUMIFS($G$8:$G$1007,$C$8:$C$1007,$C149,$A$8:$A$1007,"&gt;="&amp;$A149-6,$A$8:$A$1007,"&lt;="&amp;$A149))</f>
        <v>3990</v>
      </c>
      <c r="I149" s="44" t="n">
        <f aca="false">IF($A149="",0,SUMIFS($G$8:$G$1007,$C$8:$C$1007,$C149,$A$8:$A$1007,"&gt;="&amp;$A149-27,$A$8:$A$1007,"&lt;="&amp;$A149)/4)</f>
        <v>1801.25</v>
      </c>
      <c r="J149" s="144" t="n">
        <f aca="false">IF(OR($A149="",$I149=0),0,$H149/$I149)</f>
        <v>2.21512838306731</v>
      </c>
      <c r="K149" s="40" t="n">
        <f aca="false">IF($A149="",0,$A149-SUMPRODUCT(MIN(($C$8:$C$1007=$C149)*$A$8:$A$1007+($C$8:$C$1007&lt;&gt;$C149)*100000))+1)</f>
        <v>11</v>
      </c>
      <c r="L149" s="26" t="str">
        <f aca="false">IF($A149="","",IF($J149=0,"Sem registro anterior",IF($K149&lt;21,"Histórico insuficiente",IF($J149&lt;0.8,"Subcarga",IF($J149&lt;=1.3,"Zona ideal",IF($J149&lt;=1.5,"Atenção","Risco elevado"))))))</f>
        <v>Histórico insuficiente</v>
      </c>
      <c r="M149" s="27" t="s">
        <v>373</v>
      </c>
    </row>
    <row r="150" customFormat="false" ht="15" hidden="false" customHeight="false" outlineLevel="0" collapsed="false">
      <c r="A150" s="29" t="n">
        <v>46254</v>
      </c>
      <c r="B150" s="40" t="n">
        <f aca="false">IF($A150="",0,INT(($A150-Macrociclo!$C$11)/7)+1)</f>
        <v>33</v>
      </c>
      <c r="C150" s="27" t="s">
        <v>259</v>
      </c>
      <c r="D150" s="27" t="s">
        <v>1056</v>
      </c>
      <c r="E150" s="28" t="n">
        <v>95</v>
      </c>
      <c r="F150" s="28" t="n">
        <v>8</v>
      </c>
      <c r="G150" s="44" t="n">
        <f aca="false">IF(OR($E150="",$F150=""),0,$E150*$F150)</f>
        <v>760</v>
      </c>
      <c r="H150" s="44" t="n">
        <f aca="false">IF($A150="",0,SUMIFS($G$8:$G$1007,$C$8:$C$1007,$C150,$A$8:$A$1007,"&gt;="&amp;$A150-6,$A$8:$A$1007,"&lt;="&amp;$A150))</f>
        <v>4070</v>
      </c>
      <c r="I150" s="44" t="n">
        <f aca="false">IF($A150="",0,SUMIFS($G$8:$G$1007,$C$8:$C$1007,$C150,$A$8:$A$1007,"&gt;="&amp;$A150-27,$A$8:$A$1007,"&lt;="&amp;$A150)/4)</f>
        <v>1728.75</v>
      </c>
      <c r="J150" s="144" t="n">
        <f aca="false">IF(OR($A150="",$I150=0),0,$H150/$I150)</f>
        <v>2.35430224150398</v>
      </c>
      <c r="K150" s="40" t="n">
        <f aca="false">IF($A150="",0,$A150-SUMPRODUCT(MIN(($C$8:$C$1007=$C150)*$A$8:$A$1007+($C$8:$C$1007&lt;&gt;$C150)*100000))+1)</f>
        <v>11</v>
      </c>
      <c r="L150" s="26" t="str">
        <f aca="false">IF($A150="","",IF($J150=0,"Sem registro anterior",IF($K150&lt;21,"Histórico insuficiente",IF($J150&lt;0.8,"Subcarga",IF($J150&lt;=1.3,"Zona ideal",IF($J150&lt;=1.5,"Atenção","Risco elevado"))))))</f>
        <v>Histórico insuficiente</v>
      </c>
      <c r="M150" s="27" t="s">
        <v>373</v>
      </c>
    </row>
    <row r="151" customFormat="false" ht="15" hidden="false" customHeight="false" outlineLevel="0" collapsed="false">
      <c r="A151" s="29" t="n">
        <v>46254</v>
      </c>
      <c r="B151" s="40" t="n">
        <f aca="false">IF($A151="",0,INT(($A151-Macrociclo!$C$11)/7)+1)</f>
        <v>33</v>
      </c>
      <c r="C151" s="27" t="s">
        <v>264</v>
      </c>
      <c r="D151" s="27" t="s">
        <v>1056</v>
      </c>
      <c r="E151" s="28" t="n">
        <v>85</v>
      </c>
      <c r="F151" s="28" t="n">
        <v>6</v>
      </c>
      <c r="G151" s="44" t="n">
        <f aca="false">IF(OR($E151="",$F151=""),0,$E151*$F151)</f>
        <v>510</v>
      </c>
      <c r="H151" s="44" t="n">
        <f aca="false">IF($A151="",0,SUMIFS($G$8:$G$1007,$C$8:$C$1007,$C151,$A$8:$A$1007,"&gt;="&amp;$A151-6,$A$8:$A$1007,"&lt;="&amp;$A151))</f>
        <v>3460</v>
      </c>
      <c r="I151" s="44" t="n">
        <f aca="false">IF($A151="",0,SUMIFS($G$8:$G$1007,$C$8:$C$1007,$C151,$A$8:$A$1007,"&gt;="&amp;$A151-27,$A$8:$A$1007,"&lt;="&amp;$A151)/4)</f>
        <v>1708.75</v>
      </c>
      <c r="J151" s="144" t="n">
        <f aca="false">IF(OR($A151="",$I151=0),0,$H151/$I151)</f>
        <v>2.02487198244331</v>
      </c>
      <c r="K151" s="40" t="n">
        <f aca="false">IF($A151="",0,$A151-SUMPRODUCT(MIN(($C$8:$C$1007=$C151)*$A$8:$A$1007+($C$8:$C$1007&lt;&gt;$C151)*100000))+1)</f>
        <v>11</v>
      </c>
      <c r="L151" s="26" t="str">
        <f aca="false">IF($A151="","",IF($J151=0,"Sem registro anterior",IF($K151&lt;21,"Histórico insuficiente",IF($J151&lt;0.8,"Subcarga",IF($J151&lt;=1.3,"Zona ideal",IF($J151&lt;=1.5,"Atenção","Risco elevado"))))))</f>
        <v>Histórico insuficiente</v>
      </c>
      <c r="M151" s="27" t="s">
        <v>373</v>
      </c>
    </row>
    <row r="152" customFormat="false" ht="15" hidden="false" customHeight="false" outlineLevel="0" collapsed="false">
      <c r="A152" s="29" t="n">
        <v>46254</v>
      </c>
      <c r="B152" s="40" t="n">
        <f aca="false">IF($A152="",0,INT(($A152-Macrociclo!$C$11)/7)+1)</f>
        <v>33</v>
      </c>
      <c r="C152" s="27" t="s">
        <v>270</v>
      </c>
      <c r="D152" s="27" t="s">
        <v>1056</v>
      </c>
      <c r="E152" s="28" t="n">
        <v>95</v>
      </c>
      <c r="F152" s="28" t="n">
        <v>6</v>
      </c>
      <c r="G152" s="44" t="n">
        <f aca="false">IF(OR($E152="",$F152=""),0,$E152*$F152)</f>
        <v>570</v>
      </c>
      <c r="H152" s="44" t="n">
        <f aca="false">IF($A152="",0,SUMIFS($G$8:$G$1007,$C$8:$C$1007,$C152,$A$8:$A$1007,"&gt;="&amp;$A152-6,$A$8:$A$1007,"&lt;="&amp;$A152))</f>
        <v>3995</v>
      </c>
      <c r="I152" s="44" t="n">
        <f aca="false">IF($A152="",0,SUMIFS($G$8:$G$1007,$C$8:$C$1007,$C152,$A$8:$A$1007,"&gt;="&amp;$A152-27,$A$8:$A$1007,"&lt;="&amp;$A152)/4)</f>
        <v>1835</v>
      </c>
      <c r="J152" s="144" t="n">
        <f aca="false">IF(OR($A152="",$I152=0),0,$H152/$I152)</f>
        <v>2.17711171662125</v>
      </c>
      <c r="K152" s="40" t="n">
        <f aca="false">IF($A152="",0,$A152-SUMPRODUCT(MIN(($C$8:$C$1007=$C152)*$A$8:$A$1007+($C$8:$C$1007&lt;&gt;$C152)*100000))+1)</f>
        <v>11</v>
      </c>
      <c r="L152" s="26" t="str">
        <f aca="false">IF($A152="","",IF($J152=0,"Sem registro anterior",IF($K152&lt;21,"Histórico insuficiente",IF($J152&lt;0.8,"Subcarga",IF($J152&lt;=1.3,"Zona ideal",IF($J152&lt;=1.5,"Atenção","Risco elevado"))))))</f>
        <v>Histórico insuficiente</v>
      </c>
      <c r="M152" s="27" t="s">
        <v>373</v>
      </c>
    </row>
    <row r="153" customFormat="false" ht="15" hidden="false" customHeight="false" outlineLevel="0" collapsed="false">
      <c r="A153" s="29" t="n">
        <v>46254</v>
      </c>
      <c r="B153" s="40" t="n">
        <f aca="false">IF($A153="",0,INT(($A153-Macrociclo!$C$11)/7)+1)</f>
        <v>33</v>
      </c>
      <c r="C153" s="27" t="s">
        <v>279</v>
      </c>
      <c r="D153" s="27" t="s">
        <v>1056</v>
      </c>
      <c r="E153" s="28" t="n">
        <v>90</v>
      </c>
      <c r="F153" s="28" t="n">
        <v>8</v>
      </c>
      <c r="G153" s="44" t="n">
        <f aca="false">IF(OR($E153="",$F153=""),0,$E153*$F153)</f>
        <v>720</v>
      </c>
      <c r="H153" s="44" t="n">
        <f aca="false">IF($A153="",0,SUMIFS($G$8:$G$1007,$C$8:$C$1007,$C153,$A$8:$A$1007,"&gt;="&amp;$A153-6,$A$8:$A$1007,"&lt;="&amp;$A153))</f>
        <v>4080</v>
      </c>
      <c r="I153" s="44" t="n">
        <f aca="false">IF($A153="",0,SUMIFS($G$8:$G$1007,$C$8:$C$1007,$C153,$A$8:$A$1007,"&gt;="&amp;$A153-27,$A$8:$A$1007,"&lt;="&amp;$A153)/4)</f>
        <v>1425</v>
      </c>
      <c r="J153" s="144" t="n">
        <f aca="false">IF(OR($A153="",$I153=0),0,$H153/$I153)</f>
        <v>2.86315789473684</v>
      </c>
      <c r="K153" s="40" t="n">
        <f aca="false">IF($A153="",0,$A153-SUMPRODUCT(MIN(($C$8:$C$1007=$C153)*$A$8:$A$1007+($C$8:$C$1007&lt;&gt;$C153)*100000))+1)</f>
        <v>11</v>
      </c>
      <c r="L153" s="26" t="str">
        <f aca="false">IF($A153="","",IF($J153=0,"Sem registro anterior",IF($K153&lt;21,"Histórico insuficiente",IF($J153&lt;0.8,"Subcarga",IF($J153&lt;=1.3,"Zona ideal",IF($J153&lt;=1.5,"Atenção","Risco elevado"))))))</f>
        <v>Histórico insuficiente</v>
      </c>
      <c r="M153" s="27" t="s">
        <v>373</v>
      </c>
    </row>
    <row r="154" customFormat="false" ht="15" hidden="false" customHeight="false" outlineLevel="0" collapsed="false">
      <c r="A154" s="29" t="n">
        <v>46255</v>
      </c>
      <c r="B154" s="40" t="n">
        <f aca="false">IF($A154="",0,INT(($A154-Macrociclo!$C$11)/7)+1)</f>
        <v>33</v>
      </c>
      <c r="C154" s="27" t="s">
        <v>164</v>
      </c>
      <c r="D154" s="27" t="s">
        <v>1066</v>
      </c>
      <c r="E154" s="28" t="n">
        <v>105</v>
      </c>
      <c r="F154" s="28" t="n">
        <v>8</v>
      </c>
      <c r="G154" s="44" t="n">
        <f aca="false">IF(OR($E154="",$F154=""),0,$E154*$F154)</f>
        <v>840</v>
      </c>
      <c r="H154" s="44" t="n">
        <f aca="false">IF($A154="",0,SUMIFS($G$8:$G$1007,$C$8:$C$1007,$C154,$A$8:$A$1007,"&gt;="&amp;$A154-6,$A$8:$A$1007,"&lt;="&amp;$A154))</f>
        <v>3595</v>
      </c>
      <c r="I154" s="44" t="n">
        <f aca="false">IF($A154="",0,SUMIFS($G$8:$G$1007,$C$8:$C$1007,$C154,$A$8:$A$1007,"&gt;="&amp;$A154-27,$A$8:$A$1007,"&lt;="&amp;$A154)/4)</f>
        <v>1875</v>
      </c>
      <c r="J154" s="144" t="n">
        <f aca="false">IF(OR($A154="",$I154=0),0,$H154/$I154)</f>
        <v>1.91733333333333</v>
      </c>
      <c r="K154" s="40" t="n">
        <f aca="false">IF($A154="",0,$A154-SUMPRODUCT(MIN(($C$8:$C$1007=$C154)*$A$8:$A$1007+($C$8:$C$1007&lt;&gt;$C154)*100000))+1)</f>
        <v>12</v>
      </c>
      <c r="L154" s="26" t="str">
        <f aca="false">IF($A154="","",IF($J154=0,"Sem registro anterior",IF($K154&lt;21,"Histórico insuficiente",IF($J154&lt;0.8,"Subcarga",IF($J154&lt;=1.3,"Zona ideal",IF($J154&lt;=1.5,"Atenção","Risco elevado"))))))</f>
        <v>Histórico insuficiente</v>
      </c>
      <c r="M154" s="27" t="s">
        <v>373</v>
      </c>
    </row>
    <row r="155" customFormat="false" ht="15" hidden="false" customHeight="false" outlineLevel="0" collapsed="false">
      <c r="A155" s="29" t="n">
        <v>46255</v>
      </c>
      <c r="B155" s="40" t="n">
        <f aca="false">IF($A155="",0,INT(($A155-Macrociclo!$C$11)/7)+1)</f>
        <v>33</v>
      </c>
      <c r="C155" s="27" t="s">
        <v>192</v>
      </c>
      <c r="D155" s="27" t="s">
        <v>1066</v>
      </c>
      <c r="E155" s="28" t="n">
        <v>110</v>
      </c>
      <c r="F155" s="28" t="n">
        <v>9</v>
      </c>
      <c r="G155" s="44" t="n">
        <f aca="false">IF(OR($E155="",$F155=""),0,$E155*$F155)</f>
        <v>990</v>
      </c>
      <c r="H155" s="44" t="n">
        <f aca="false">IF($A155="",0,SUMIFS($G$8:$G$1007,$C$8:$C$1007,$C155,$A$8:$A$1007,"&gt;="&amp;$A155-6,$A$8:$A$1007,"&lt;="&amp;$A155))</f>
        <v>4225</v>
      </c>
      <c r="I155" s="44" t="n">
        <f aca="false">IF($A155="",0,SUMIFS($G$8:$G$1007,$C$8:$C$1007,$C155,$A$8:$A$1007,"&gt;="&amp;$A155-27,$A$8:$A$1007,"&lt;="&amp;$A155)/4)</f>
        <v>2013.75</v>
      </c>
      <c r="J155" s="144" t="n">
        <f aca="false">IF(OR($A155="",$I155=0),0,$H155/$I155)</f>
        <v>2.09807572936065</v>
      </c>
      <c r="K155" s="40" t="n">
        <f aca="false">IF($A155="",0,$A155-SUMPRODUCT(MIN(($C$8:$C$1007=$C155)*$A$8:$A$1007+($C$8:$C$1007&lt;&gt;$C155)*100000))+1)</f>
        <v>12</v>
      </c>
      <c r="L155" s="26" t="str">
        <f aca="false">IF($A155="","",IF($J155=0,"Sem registro anterior",IF($K155&lt;21,"Histórico insuficiente",IF($J155&lt;0.8,"Subcarga",IF($J155&lt;=1.3,"Zona ideal",IF($J155&lt;=1.5,"Atenção","Risco elevado"))))))</f>
        <v>Histórico insuficiente</v>
      </c>
      <c r="M155" s="27" t="s">
        <v>373</v>
      </c>
    </row>
    <row r="156" customFormat="false" ht="15" hidden="false" customHeight="false" outlineLevel="0" collapsed="false">
      <c r="A156" s="29" t="n">
        <v>46255</v>
      </c>
      <c r="B156" s="40" t="n">
        <f aca="false">IF($A156="",0,INT(($A156-Macrociclo!$C$11)/7)+1)</f>
        <v>33</v>
      </c>
      <c r="C156" s="27" t="s">
        <v>206</v>
      </c>
      <c r="D156" s="27" t="s">
        <v>1066</v>
      </c>
      <c r="E156" s="28" t="n">
        <v>110</v>
      </c>
      <c r="F156" s="28" t="n">
        <v>8</v>
      </c>
      <c r="G156" s="44" t="n">
        <f aca="false">IF(OR($E156="",$F156=""),0,$E156*$F156)</f>
        <v>880</v>
      </c>
      <c r="H156" s="44" t="n">
        <f aca="false">IF($A156="",0,SUMIFS($G$8:$G$1007,$C$8:$C$1007,$C156,$A$8:$A$1007,"&gt;="&amp;$A156-6,$A$8:$A$1007,"&lt;="&amp;$A156))</f>
        <v>3720</v>
      </c>
      <c r="I156" s="44" t="n">
        <f aca="false">IF($A156="",0,SUMIFS($G$8:$G$1007,$C$8:$C$1007,$C156,$A$8:$A$1007,"&gt;="&amp;$A156-27,$A$8:$A$1007,"&lt;="&amp;$A156)/4)</f>
        <v>1602.5</v>
      </c>
      <c r="J156" s="144" t="n">
        <f aca="false">IF(OR($A156="",$I156=0),0,$H156/$I156)</f>
        <v>2.3213728549142</v>
      </c>
      <c r="K156" s="40" t="n">
        <f aca="false">IF($A156="",0,$A156-SUMPRODUCT(MIN(($C$8:$C$1007=$C156)*$A$8:$A$1007+($C$8:$C$1007&lt;&gt;$C156)*100000))+1)</f>
        <v>12</v>
      </c>
      <c r="L156" s="26" t="str">
        <f aca="false">IF($A156="","",IF($J156=0,"Sem registro anterior",IF($K156&lt;21,"Histórico insuficiente",IF($J156&lt;0.8,"Subcarga",IF($J156&lt;=1.3,"Zona ideal",IF($J156&lt;=1.5,"Atenção","Risco elevado"))))))</f>
        <v>Histórico insuficiente</v>
      </c>
      <c r="M156" s="27" t="s">
        <v>373</v>
      </c>
    </row>
    <row r="157" customFormat="false" ht="15" hidden="false" customHeight="false" outlineLevel="0" collapsed="false">
      <c r="A157" s="29" t="n">
        <v>46255</v>
      </c>
      <c r="B157" s="40" t="n">
        <f aca="false">IF($A157="",0,INT(($A157-Macrociclo!$C$11)/7)+1)</f>
        <v>33</v>
      </c>
      <c r="C157" s="27" t="s">
        <v>215</v>
      </c>
      <c r="D157" s="27" t="s">
        <v>1066</v>
      </c>
      <c r="E157" s="28" t="n">
        <v>100</v>
      </c>
      <c r="F157" s="28" t="n">
        <v>8</v>
      </c>
      <c r="G157" s="44" t="n">
        <f aca="false">IF(OR($E157="",$F157=""),0,$E157*$F157)</f>
        <v>800</v>
      </c>
      <c r="H157" s="44" t="n">
        <f aca="false">IF($A157="",0,SUMIFS($G$8:$G$1007,$C$8:$C$1007,$C157,$A$8:$A$1007,"&gt;="&amp;$A157-6,$A$8:$A$1007,"&lt;="&amp;$A157))</f>
        <v>4035</v>
      </c>
      <c r="I157" s="44" t="n">
        <f aca="false">IF($A157="",0,SUMIFS($G$8:$G$1007,$C$8:$C$1007,$C157,$A$8:$A$1007,"&gt;="&amp;$A157-27,$A$8:$A$1007,"&lt;="&amp;$A157)/4)</f>
        <v>1962.5</v>
      </c>
      <c r="J157" s="144" t="n">
        <f aca="false">IF(OR($A157="",$I157=0),0,$H157/$I157)</f>
        <v>2.05605095541401</v>
      </c>
      <c r="K157" s="40" t="n">
        <f aca="false">IF($A157="",0,$A157-SUMPRODUCT(MIN(($C$8:$C$1007=$C157)*$A$8:$A$1007+($C$8:$C$1007&lt;&gt;$C157)*100000))+1)</f>
        <v>12</v>
      </c>
      <c r="L157" s="26" t="str">
        <f aca="false">IF($A157="","",IF($J157=0,"Sem registro anterior",IF($K157&lt;21,"Histórico insuficiente",IF($J157&lt;0.8,"Subcarga",IF($J157&lt;=1.3,"Zona ideal",IF($J157&lt;=1.5,"Atenção","Risco elevado"))))))</f>
        <v>Histórico insuficiente</v>
      </c>
      <c r="M157" s="27" t="s">
        <v>373</v>
      </c>
    </row>
    <row r="158" customFormat="false" ht="15" hidden="false" customHeight="false" outlineLevel="0" collapsed="false">
      <c r="A158" s="29" t="n">
        <v>46255</v>
      </c>
      <c r="B158" s="40" t="n">
        <f aca="false">IF($A158="",0,INT(($A158-Macrociclo!$C$11)/7)+1)</f>
        <v>33</v>
      </c>
      <c r="C158" s="27" t="s">
        <v>226</v>
      </c>
      <c r="D158" s="27" t="s">
        <v>1066</v>
      </c>
      <c r="E158" s="28" t="n">
        <v>105</v>
      </c>
      <c r="F158" s="28" t="n">
        <v>8</v>
      </c>
      <c r="G158" s="44" t="n">
        <f aca="false">IF(OR($E158="",$F158=""),0,$E158*$F158)</f>
        <v>840</v>
      </c>
      <c r="H158" s="44" t="n">
        <f aca="false">IF($A158="",0,SUMIFS($G$8:$G$1007,$C$8:$C$1007,$C158,$A$8:$A$1007,"&gt;="&amp;$A158-6,$A$8:$A$1007,"&lt;="&amp;$A158))</f>
        <v>4100</v>
      </c>
      <c r="I158" s="44" t="n">
        <f aca="false">IF($A158="",0,SUMIFS($G$8:$G$1007,$C$8:$C$1007,$C158,$A$8:$A$1007,"&gt;="&amp;$A158-27,$A$8:$A$1007,"&lt;="&amp;$A158)/4)</f>
        <v>2022.5</v>
      </c>
      <c r="J158" s="144" t="n">
        <f aca="false">IF(OR($A158="",$I158=0),0,$H158/$I158)</f>
        <v>2.02719406674907</v>
      </c>
      <c r="K158" s="40" t="n">
        <f aca="false">IF($A158="",0,$A158-SUMPRODUCT(MIN(($C$8:$C$1007=$C158)*$A$8:$A$1007+($C$8:$C$1007&lt;&gt;$C158)*100000))+1)</f>
        <v>12</v>
      </c>
      <c r="L158" s="26" t="str">
        <f aca="false">IF($A158="","",IF($J158=0,"Sem registro anterior",IF($K158&lt;21,"Histórico insuficiente",IF($J158&lt;0.8,"Subcarga",IF($J158&lt;=1.3,"Zona ideal",IF($J158&lt;=1.5,"Atenção","Risco elevado"))))))</f>
        <v>Histórico insuficiente</v>
      </c>
      <c r="M158" s="27" t="s">
        <v>373</v>
      </c>
    </row>
    <row r="159" customFormat="false" ht="15" hidden="false" customHeight="false" outlineLevel="0" collapsed="false">
      <c r="A159" s="29" t="n">
        <v>46255</v>
      </c>
      <c r="B159" s="40" t="n">
        <f aca="false">IF($A159="",0,INT(($A159-Macrociclo!$C$11)/7)+1)</f>
        <v>33</v>
      </c>
      <c r="C159" s="27" t="s">
        <v>236</v>
      </c>
      <c r="D159" s="27" t="s">
        <v>1066</v>
      </c>
      <c r="E159" s="28" t="n">
        <v>105</v>
      </c>
      <c r="F159" s="28" t="n">
        <v>8</v>
      </c>
      <c r="G159" s="44" t="n">
        <f aca="false">IF(OR($E159="",$F159=""),0,$E159*$F159)</f>
        <v>840</v>
      </c>
      <c r="H159" s="44" t="n">
        <f aca="false">IF($A159="",0,SUMIFS($G$8:$G$1007,$C$8:$C$1007,$C159,$A$8:$A$1007,"&gt;="&amp;$A159-6,$A$8:$A$1007,"&lt;="&amp;$A159))</f>
        <v>3320</v>
      </c>
      <c r="I159" s="44" t="n">
        <f aca="false">IF($A159="",0,SUMIFS($G$8:$G$1007,$C$8:$C$1007,$C159,$A$8:$A$1007,"&gt;="&amp;$A159-27,$A$8:$A$1007,"&lt;="&amp;$A159)/4)</f>
        <v>1798.75</v>
      </c>
      <c r="J159" s="144" t="n">
        <f aca="false">IF(OR($A159="",$I159=0),0,$H159/$I159)</f>
        <v>1.84572619874913</v>
      </c>
      <c r="K159" s="40" t="n">
        <f aca="false">IF($A159="",0,$A159-SUMPRODUCT(MIN(($C$8:$C$1007=$C159)*$A$8:$A$1007+($C$8:$C$1007&lt;&gt;$C159)*100000))+1)</f>
        <v>12</v>
      </c>
      <c r="L159" s="26" t="str">
        <f aca="false">IF($A159="","",IF($J159=0,"Sem registro anterior",IF($K159&lt;21,"Histórico insuficiente",IF($J159&lt;0.8,"Subcarga",IF($J159&lt;=1.3,"Zona ideal",IF($J159&lt;=1.5,"Atenção","Risco elevado"))))))</f>
        <v>Histórico insuficiente</v>
      </c>
      <c r="M159" s="27" t="s">
        <v>373</v>
      </c>
    </row>
    <row r="160" customFormat="false" ht="15" hidden="false" customHeight="false" outlineLevel="0" collapsed="false">
      <c r="A160" s="29" t="n">
        <v>46255</v>
      </c>
      <c r="B160" s="40" t="n">
        <f aca="false">IF($A160="",0,INT(($A160-Macrociclo!$C$11)/7)+1)</f>
        <v>33</v>
      </c>
      <c r="C160" s="27" t="s">
        <v>244</v>
      </c>
      <c r="D160" s="27" t="s">
        <v>1066</v>
      </c>
      <c r="E160" s="28" t="n">
        <v>110</v>
      </c>
      <c r="F160" s="28" t="n">
        <v>9</v>
      </c>
      <c r="G160" s="44" t="n">
        <f aca="false">IF(OR($E160="",$F160=""),0,$E160*$F160)</f>
        <v>990</v>
      </c>
      <c r="H160" s="44" t="n">
        <f aca="false">IF($A160="",0,SUMIFS($G$8:$G$1007,$C$8:$C$1007,$C160,$A$8:$A$1007,"&gt;="&amp;$A160-6,$A$8:$A$1007,"&lt;="&amp;$A160))</f>
        <v>3245</v>
      </c>
      <c r="I160" s="44" t="n">
        <f aca="false">IF($A160="",0,SUMIFS($G$8:$G$1007,$C$8:$C$1007,$C160,$A$8:$A$1007,"&gt;="&amp;$A160-27,$A$8:$A$1007,"&lt;="&amp;$A160)/4)</f>
        <v>1843.75</v>
      </c>
      <c r="J160" s="144" t="n">
        <f aca="false">IF(OR($A160="",$I160=0),0,$H160/$I160)</f>
        <v>1.76</v>
      </c>
      <c r="K160" s="40" t="n">
        <f aca="false">IF($A160="",0,$A160-SUMPRODUCT(MIN(($C$8:$C$1007=$C160)*$A$8:$A$1007+($C$8:$C$1007&lt;&gt;$C160)*100000))+1)</f>
        <v>12</v>
      </c>
      <c r="L160" s="26" t="str">
        <f aca="false">IF($A160="","",IF($J160=0,"Sem registro anterior",IF($K160&lt;21,"Histórico insuficiente",IF($J160&lt;0.8,"Subcarga",IF($J160&lt;=1.3,"Zona ideal",IF($J160&lt;=1.5,"Atenção","Risco elevado"))))))</f>
        <v>Histórico insuficiente</v>
      </c>
      <c r="M160" s="27" t="s">
        <v>373</v>
      </c>
    </row>
    <row r="161" customFormat="false" ht="15" hidden="false" customHeight="false" outlineLevel="0" collapsed="false">
      <c r="A161" s="29" t="n">
        <v>46255</v>
      </c>
      <c r="B161" s="40" t="n">
        <f aca="false">IF($A161="",0,INT(($A161-Macrociclo!$C$11)/7)+1)</f>
        <v>33</v>
      </c>
      <c r="C161" s="27" t="s">
        <v>253</v>
      </c>
      <c r="D161" s="27" t="s">
        <v>1066</v>
      </c>
      <c r="E161" s="28" t="n">
        <v>115</v>
      </c>
      <c r="F161" s="28" t="n">
        <v>8</v>
      </c>
      <c r="G161" s="44" t="n">
        <f aca="false">IF(OR($E161="",$F161=""),0,$E161*$F161)</f>
        <v>920</v>
      </c>
      <c r="H161" s="44" t="n">
        <f aca="false">IF($A161="",0,SUMIFS($G$8:$G$1007,$C$8:$C$1007,$C161,$A$8:$A$1007,"&gt;="&amp;$A161-6,$A$8:$A$1007,"&lt;="&amp;$A161))</f>
        <v>4110</v>
      </c>
      <c r="I161" s="44" t="n">
        <f aca="false">IF($A161="",0,SUMIFS($G$8:$G$1007,$C$8:$C$1007,$C161,$A$8:$A$1007,"&gt;="&amp;$A161-27,$A$8:$A$1007,"&lt;="&amp;$A161)/4)</f>
        <v>2031.25</v>
      </c>
      <c r="J161" s="144" t="n">
        <f aca="false">IF(OR($A161="",$I161=0),0,$H161/$I161)</f>
        <v>2.02338461538462</v>
      </c>
      <c r="K161" s="40" t="n">
        <f aca="false">IF($A161="",0,$A161-SUMPRODUCT(MIN(($C$8:$C$1007=$C161)*$A$8:$A$1007+($C$8:$C$1007&lt;&gt;$C161)*100000))+1)</f>
        <v>12</v>
      </c>
      <c r="L161" s="26" t="str">
        <f aca="false">IF($A161="","",IF($J161=0,"Sem registro anterior",IF($K161&lt;21,"Histórico insuficiente",IF($J161&lt;0.8,"Subcarga",IF($J161&lt;=1.3,"Zona ideal",IF($J161&lt;=1.5,"Atenção","Risco elevado"))))))</f>
        <v>Histórico insuficiente</v>
      </c>
      <c r="M161" s="27" t="s">
        <v>373</v>
      </c>
    </row>
    <row r="162" customFormat="false" ht="15" hidden="false" customHeight="false" outlineLevel="0" collapsed="false">
      <c r="A162" s="29" t="n">
        <v>46255</v>
      </c>
      <c r="B162" s="40" t="n">
        <f aca="false">IF($A162="",0,INT(($A162-Macrociclo!$C$11)/7)+1)</f>
        <v>33</v>
      </c>
      <c r="C162" s="27" t="s">
        <v>259</v>
      </c>
      <c r="D162" s="27" t="s">
        <v>1066</v>
      </c>
      <c r="E162" s="28" t="n">
        <v>105</v>
      </c>
      <c r="F162" s="28" t="n">
        <v>7</v>
      </c>
      <c r="G162" s="44" t="n">
        <f aca="false">IF(OR($E162="",$F162=""),0,$E162*$F162)</f>
        <v>735</v>
      </c>
      <c r="H162" s="44" t="n">
        <f aca="false">IF($A162="",0,SUMIFS($G$8:$G$1007,$C$8:$C$1007,$C162,$A$8:$A$1007,"&gt;="&amp;$A162-6,$A$8:$A$1007,"&lt;="&amp;$A162))</f>
        <v>3885</v>
      </c>
      <c r="I162" s="44" t="n">
        <f aca="false">IF($A162="",0,SUMIFS($G$8:$G$1007,$C$8:$C$1007,$C162,$A$8:$A$1007,"&gt;="&amp;$A162-27,$A$8:$A$1007,"&lt;="&amp;$A162)/4)</f>
        <v>1912.5</v>
      </c>
      <c r="J162" s="144" t="n">
        <f aca="false">IF(OR($A162="",$I162=0),0,$H162/$I162)</f>
        <v>2.03137254901961</v>
      </c>
      <c r="K162" s="40" t="n">
        <f aca="false">IF($A162="",0,$A162-SUMPRODUCT(MIN(($C$8:$C$1007=$C162)*$A$8:$A$1007+($C$8:$C$1007&lt;&gt;$C162)*100000))+1)</f>
        <v>12</v>
      </c>
      <c r="L162" s="26" t="str">
        <f aca="false">IF($A162="","",IF($J162=0,"Sem registro anterior",IF($K162&lt;21,"Histórico insuficiente",IF($J162&lt;0.8,"Subcarga",IF($J162&lt;=1.3,"Zona ideal",IF($J162&lt;=1.5,"Atenção","Risco elevado"))))))</f>
        <v>Histórico insuficiente</v>
      </c>
      <c r="M162" s="27" t="s">
        <v>373</v>
      </c>
    </row>
    <row r="163" customFormat="false" ht="15" hidden="false" customHeight="false" outlineLevel="0" collapsed="false">
      <c r="A163" s="29" t="n">
        <v>46255</v>
      </c>
      <c r="B163" s="40" t="n">
        <f aca="false">IF($A163="",0,INT(($A163-Macrociclo!$C$11)/7)+1)</f>
        <v>33</v>
      </c>
      <c r="C163" s="27" t="s">
        <v>264</v>
      </c>
      <c r="D163" s="27" t="s">
        <v>1066</v>
      </c>
      <c r="E163" s="28" t="n">
        <v>105</v>
      </c>
      <c r="F163" s="28" t="n">
        <v>7</v>
      </c>
      <c r="G163" s="44" t="n">
        <f aca="false">IF(OR($E163="",$F163=""),0,$E163*$F163)</f>
        <v>735</v>
      </c>
      <c r="H163" s="44" t="n">
        <f aca="false">IF($A163="",0,SUMIFS($G$8:$G$1007,$C$8:$C$1007,$C163,$A$8:$A$1007,"&gt;="&amp;$A163-6,$A$8:$A$1007,"&lt;="&amp;$A163))</f>
        <v>3315</v>
      </c>
      <c r="I163" s="44" t="n">
        <f aca="false">IF($A163="",0,SUMIFS($G$8:$G$1007,$C$8:$C$1007,$C163,$A$8:$A$1007,"&gt;="&amp;$A163-27,$A$8:$A$1007,"&lt;="&amp;$A163)/4)</f>
        <v>1892.5</v>
      </c>
      <c r="J163" s="144" t="n">
        <f aca="false">IF(OR($A163="",$I163=0),0,$H163/$I163)</f>
        <v>1.75165125495376</v>
      </c>
      <c r="K163" s="40" t="n">
        <f aca="false">IF($A163="",0,$A163-SUMPRODUCT(MIN(($C$8:$C$1007=$C163)*$A$8:$A$1007+($C$8:$C$1007&lt;&gt;$C163)*100000))+1)</f>
        <v>12</v>
      </c>
      <c r="L163" s="26" t="str">
        <f aca="false">IF($A163="","",IF($J163=0,"Sem registro anterior",IF($K163&lt;21,"Histórico insuficiente",IF($J163&lt;0.8,"Subcarga",IF($J163&lt;=1.3,"Zona ideal",IF($J163&lt;=1.5,"Atenção","Risco elevado"))))))</f>
        <v>Histórico insuficiente</v>
      </c>
      <c r="M163" s="27" t="s">
        <v>373</v>
      </c>
    </row>
    <row r="164" customFormat="false" ht="15" hidden="false" customHeight="false" outlineLevel="0" collapsed="false">
      <c r="A164" s="29" t="n">
        <v>46255</v>
      </c>
      <c r="B164" s="40" t="n">
        <f aca="false">IF($A164="",0,INT(($A164-Macrociclo!$C$11)/7)+1)</f>
        <v>33</v>
      </c>
      <c r="C164" s="27" t="s">
        <v>279</v>
      </c>
      <c r="D164" s="27" t="s">
        <v>1066</v>
      </c>
      <c r="E164" s="28" t="n">
        <v>110</v>
      </c>
      <c r="F164" s="28" t="n">
        <v>8</v>
      </c>
      <c r="G164" s="44" t="n">
        <f aca="false">IF(OR($E164="",$F164=""),0,$E164*$F164)</f>
        <v>880</v>
      </c>
      <c r="H164" s="44" t="n">
        <f aca="false">IF($A164="",0,SUMIFS($G$8:$G$1007,$C$8:$C$1007,$C164,$A$8:$A$1007,"&gt;="&amp;$A164-6,$A$8:$A$1007,"&lt;="&amp;$A164))</f>
        <v>4080</v>
      </c>
      <c r="I164" s="44" t="n">
        <f aca="false">IF($A164="",0,SUMIFS($G$8:$G$1007,$C$8:$C$1007,$C164,$A$8:$A$1007,"&gt;="&amp;$A164-27,$A$8:$A$1007,"&lt;="&amp;$A164)/4)</f>
        <v>1645</v>
      </c>
      <c r="J164" s="144" t="n">
        <f aca="false">IF(OR($A164="",$I164=0),0,$H164/$I164)</f>
        <v>2.48024316109423</v>
      </c>
      <c r="K164" s="40" t="n">
        <f aca="false">IF($A164="",0,$A164-SUMPRODUCT(MIN(($C$8:$C$1007=$C164)*$A$8:$A$1007+($C$8:$C$1007&lt;&gt;$C164)*100000))+1)</f>
        <v>12</v>
      </c>
      <c r="L164" s="26" t="str">
        <f aca="false">IF($A164="","",IF($J164=0,"Sem registro anterior",IF($K164&lt;21,"Histórico insuficiente",IF($J164&lt;0.8,"Subcarga",IF($J164&lt;=1.3,"Zona ideal",IF($J164&lt;=1.5,"Atenção","Risco elevado"))))))</f>
        <v>Histórico insuficiente</v>
      </c>
      <c r="M164" s="27" t="s">
        <v>373</v>
      </c>
    </row>
    <row r="165" customFormat="false" ht="15" hidden="false" customHeight="false" outlineLevel="0" collapsed="false">
      <c r="A165" s="29" t="n">
        <v>46258</v>
      </c>
      <c r="B165" s="40" t="n">
        <f aca="false">IF($A165="",0,INT(($A165-Macrociclo!$C$11)/7)+1)</f>
        <v>34</v>
      </c>
      <c r="C165" s="27" t="s">
        <v>164</v>
      </c>
      <c r="D165" s="27" t="s">
        <v>1052</v>
      </c>
      <c r="E165" s="28" t="n">
        <v>75</v>
      </c>
      <c r="F165" s="28" t="n">
        <v>8</v>
      </c>
      <c r="G165" s="44" t="n">
        <f aca="false">IF(OR($E165="",$F165=""),0,$E165*$F165)</f>
        <v>600</v>
      </c>
      <c r="H165" s="44" t="n">
        <f aca="false">IF($A165="",0,SUMIFS($G$8:$G$1007,$C$8:$C$1007,$C165,$A$8:$A$1007,"&gt;="&amp;$A165-6,$A$8:$A$1007,"&lt;="&amp;$A165))</f>
        <v>4195</v>
      </c>
      <c r="I165" s="44" t="n">
        <f aca="false">IF($A165="",0,SUMIFS($G$8:$G$1007,$C$8:$C$1007,$C165,$A$8:$A$1007,"&gt;="&amp;$A165-27,$A$8:$A$1007,"&lt;="&amp;$A165)/4)</f>
        <v>2160</v>
      </c>
      <c r="J165" s="144" t="n">
        <f aca="false">IF(OR($A165="",$I165=0),0,$H165/$I165)</f>
        <v>1.94212962962963</v>
      </c>
      <c r="K165" s="40" t="n">
        <f aca="false">IF($A165="",0,$A165-SUMPRODUCT(MIN(($C$8:$C$1007=$C165)*$A$8:$A$1007+($C$8:$C$1007&lt;&gt;$C165)*100000))+1)</f>
        <v>15</v>
      </c>
      <c r="L165" s="26" t="str">
        <f aca="false">IF($A165="","",IF($J165=0,"Sem registro anterior",IF($K165&lt;21,"Histórico insuficiente",IF($J165&lt;0.8,"Subcarga",IF($J165&lt;=1.3,"Zona ideal",IF($J165&lt;=1.5,"Atenção","Risco elevado"))))))</f>
        <v>Histórico insuficiente</v>
      </c>
      <c r="M165" s="27" t="s">
        <v>373</v>
      </c>
    </row>
    <row r="166" customFormat="false" ht="15" hidden="false" customHeight="false" outlineLevel="0" collapsed="false">
      <c r="A166" s="29" t="n">
        <v>46258</v>
      </c>
      <c r="B166" s="40" t="n">
        <f aca="false">IF($A166="",0,INT(($A166-Macrociclo!$C$11)/7)+1)</f>
        <v>34</v>
      </c>
      <c r="C166" s="27" t="s">
        <v>192</v>
      </c>
      <c r="D166" s="27" t="s">
        <v>1052</v>
      </c>
      <c r="E166" s="28" t="n">
        <v>65</v>
      </c>
      <c r="F166" s="28" t="n">
        <v>7</v>
      </c>
      <c r="G166" s="44" t="n">
        <f aca="false">IF(OR($E166="",$F166=""),0,$E166*$F166)</f>
        <v>455</v>
      </c>
      <c r="H166" s="44" t="n">
        <f aca="false">IF($A166="",0,SUMIFS($G$8:$G$1007,$C$8:$C$1007,$C166,$A$8:$A$1007,"&gt;="&amp;$A166-6,$A$8:$A$1007,"&lt;="&amp;$A166))</f>
        <v>4150</v>
      </c>
      <c r="I166" s="44" t="n">
        <f aca="false">IF($A166="",0,SUMIFS($G$8:$G$1007,$C$8:$C$1007,$C166,$A$8:$A$1007,"&gt;="&amp;$A166-27,$A$8:$A$1007,"&lt;="&amp;$A166)/4)</f>
        <v>2262.5</v>
      </c>
      <c r="J166" s="144" t="n">
        <f aca="false">IF(OR($A166="",$I166=0),0,$H166/$I166)</f>
        <v>1.83425414364641</v>
      </c>
      <c r="K166" s="40" t="n">
        <f aca="false">IF($A166="",0,$A166-SUMPRODUCT(MIN(($C$8:$C$1007=$C166)*$A$8:$A$1007+($C$8:$C$1007&lt;&gt;$C166)*100000))+1)</f>
        <v>15</v>
      </c>
      <c r="L166" s="26" t="str">
        <f aca="false">IF($A166="","",IF($J166=0,"Sem registro anterior",IF($K166&lt;21,"Histórico insuficiente",IF($J166&lt;0.8,"Subcarga",IF($J166&lt;=1.3,"Zona ideal",IF($J166&lt;=1.5,"Atenção","Risco elevado"))))))</f>
        <v>Histórico insuficiente</v>
      </c>
      <c r="M166" s="27" t="s">
        <v>373</v>
      </c>
    </row>
    <row r="167" customFormat="false" ht="15" hidden="false" customHeight="false" outlineLevel="0" collapsed="false">
      <c r="A167" s="29" t="n">
        <v>46258</v>
      </c>
      <c r="B167" s="40" t="n">
        <f aca="false">IF($A167="",0,INT(($A167-Macrociclo!$C$11)/7)+1)</f>
        <v>34</v>
      </c>
      <c r="C167" s="27" t="s">
        <v>206</v>
      </c>
      <c r="D167" s="27" t="s">
        <v>1052</v>
      </c>
      <c r="E167" s="28" t="n">
        <v>75</v>
      </c>
      <c r="F167" s="28" t="n">
        <v>7</v>
      </c>
      <c r="G167" s="44" t="n">
        <f aca="false">IF(OR($E167="",$F167=""),0,$E167*$F167)</f>
        <v>525</v>
      </c>
      <c r="H167" s="44" t="n">
        <f aca="false">IF($A167="",0,SUMIFS($G$8:$G$1007,$C$8:$C$1007,$C167,$A$8:$A$1007,"&gt;="&amp;$A167-6,$A$8:$A$1007,"&lt;="&amp;$A167))</f>
        <v>3845</v>
      </c>
      <c r="I167" s="44" t="n">
        <f aca="false">IF($A167="",0,SUMIFS($G$8:$G$1007,$C$8:$C$1007,$C167,$A$8:$A$1007,"&gt;="&amp;$A167-27,$A$8:$A$1007,"&lt;="&amp;$A167)/4)</f>
        <v>1876.25</v>
      </c>
      <c r="J167" s="144" t="n">
        <f aca="false">IF(OR($A167="",$I167=0),0,$H167/$I167)</f>
        <v>2.04930046635576</v>
      </c>
      <c r="K167" s="40" t="n">
        <f aca="false">IF($A167="",0,$A167-SUMPRODUCT(MIN(($C$8:$C$1007=$C167)*$A$8:$A$1007+($C$8:$C$1007&lt;&gt;$C167)*100000))+1)</f>
        <v>15</v>
      </c>
      <c r="L167" s="26" t="str">
        <f aca="false">IF($A167="","",IF($J167=0,"Sem registro anterior",IF($K167&lt;21,"Histórico insuficiente",IF($J167&lt;0.8,"Subcarga",IF($J167&lt;=1.3,"Zona ideal",IF($J167&lt;=1.5,"Atenção","Risco elevado"))))))</f>
        <v>Histórico insuficiente</v>
      </c>
      <c r="M167" s="27" t="s">
        <v>373</v>
      </c>
    </row>
    <row r="168" customFormat="false" ht="15" hidden="false" customHeight="false" outlineLevel="0" collapsed="false">
      <c r="A168" s="29" t="n">
        <v>46258</v>
      </c>
      <c r="B168" s="40" t="n">
        <f aca="false">IF($A168="",0,INT(($A168-Macrociclo!$C$11)/7)+1)</f>
        <v>34</v>
      </c>
      <c r="C168" s="27" t="s">
        <v>226</v>
      </c>
      <c r="D168" s="27" t="s">
        <v>1052</v>
      </c>
      <c r="E168" s="28" t="n">
        <v>75</v>
      </c>
      <c r="F168" s="28" t="n">
        <v>7</v>
      </c>
      <c r="G168" s="44" t="n">
        <f aca="false">IF(OR($E168="",$F168=""),0,$E168*$F168)</f>
        <v>525</v>
      </c>
      <c r="H168" s="44" t="n">
        <f aca="false">IF($A168="",0,SUMIFS($G$8:$G$1007,$C$8:$C$1007,$C168,$A$8:$A$1007,"&gt;="&amp;$A168-6,$A$8:$A$1007,"&lt;="&amp;$A168))</f>
        <v>4065</v>
      </c>
      <c r="I168" s="44" t="n">
        <f aca="false">IF($A168="",0,SUMIFS($G$8:$G$1007,$C$8:$C$1007,$C168,$A$8:$A$1007,"&gt;="&amp;$A168-27,$A$8:$A$1007,"&lt;="&amp;$A168)/4)</f>
        <v>2281.25</v>
      </c>
      <c r="J168" s="144" t="n">
        <f aca="false">IF(OR($A168="",$I168=0),0,$H168/$I168)</f>
        <v>1.78191780821918</v>
      </c>
      <c r="K168" s="40" t="n">
        <f aca="false">IF($A168="",0,$A168-SUMPRODUCT(MIN(($C$8:$C$1007=$C168)*$A$8:$A$1007+($C$8:$C$1007&lt;&gt;$C168)*100000))+1)</f>
        <v>15</v>
      </c>
      <c r="L168" s="26" t="str">
        <f aca="false">IF($A168="","",IF($J168=0,"Sem registro anterior",IF($K168&lt;21,"Histórico insuficiente",IF($J168&lt;0.8,"Subcarga",IF($J168&lt;=1.3,"Zona ideal",IF($J168&lt;=1.5,"Atenção","Risco elevado"))))))</f>
        <v>Histórico insuficiente</v>
      </c>
      <c r="M168" s="27" t="s">
        <v>373</v>
      </c>
    </row>
    <row r="169" customFormat="false" ht="15" hidden="false" customHeight="false" outlineLevel="0" collapsed="false">
      <c r="A169" s="29" t="n">
        <v>46258</v>
      </c>
      <c r="B169" s="40" t="n">
        <f aca="false">IF($A169="",0,INT(($A169-Macrociclo!$C$11)/7)+1)</f>
        <v>34</v>
      </c>
      <c r="C169" s="27" t="s">
        <v>236</v>
      </c>
      <c r="D169" s="27" t="s">
        <v>1052</v>
      </c>
      <c r="E169" s="28" t="n">
        <v>80</v>
      </c>
      <c r="F169" s="28" t="n">
        <v>8</v>
      </c>
      <c r="G169" s="44" t="n">
        <f aca="false">IF(OR($E169="",$F169=""),0,$E169*$F169)</f>
        <v>640</v>
      </c>
      <c r="H169" s="44" t="n">
        <f aca="false">IF($A169="",0,SUMIFS($G$8:$G$1007,$C$8:$C$1007,$C169,$A$8:$A$1007,"&gt;="&amp;$A169-6,$A$8:$A$1007,"&lt;="&amp;$A169))</f>
        <v>3240</v>
      </c>
      <c r="I169" s="44" t="n">
        <f aca="false">IF($A169="",0,SUMIFS($G$8:$G$1007,$C$8:$C$1007,$C169,$A$8:$A$1007,"&gt;="&amp;$A169-27,$A$8:$A$1007,"&lt;="&amp;$A169)/4)</f>
        <v>2071.25</v>
      </c>
      <c r="J169" s="144" t="n">
        <f aca="false">IF(OR($A169="",$I169=0),0,$H169/$I169)</f>
        <v>1.56427278213639</v>
      </c>
      <c r="K169" s="40" t="n">
        <f aca="false">IF($A169="",0,$A169-SUMPRODUCT(MIN(($C$8:$C$1007=$C169)*$A$8:$A$1007+($C$8:$C$1007&lt;&gt;$C169)*100000))+1)</f>
        <v>15</v>
      </c>
      <c r="L169" s="26" t="str">
        <f aca="false">IF($A169="","",IF($J169=0,"Sem registro anterior",IF($K169&lt;21,"Histórico insuficiente",IF($J169&lt;0.8,"Subcarga",IF($J169&lt;=1.3,"Zona ideal",IF($J169&lt;=1.5,"Atenção","Risco elevado"))))))</f>
        <v>Histórico insuficiente</v>
      </c>
      <c r="M169" s="27" t="s">
        <v>373</v>
      </c>
    </row>
    <row r="170" customFormat="false" ht="15" hidden="false" customHeight="false" outlineLevel="0" collapsed="false">
      <c r="A170" s="29" t="n">
        <v>46258</v>
      </c>
      <c r="B170" s="40" t="n">
        <f aca="false">IF($A170="",0,INT(($A170-Macrociclo!$C$11)/7)+1)</f>
        <v>34</v>
      </c>
      <c r="C170" s="27" t="s">
        <v>244</v>
      </c>
      <c r="D170" s="27" t="s">
        <v>1052</v>
      </c>
      <c r="E170" s="28" t="n">
        <v>75</v>
      </c>
      <c r="F170" s="28" t="n">
        <v>8</v>
      </c>
      <c r="G170" s="44" t="n">
        <f aca="false">IF(OR($E170="",$F170=""),0,$E170*$F170)</f>
        <v>600</v>
      </c>
      <c r="H170" s="44" t="n">
        <f aca="false">IF($A170="",0,SUMIFS($G$8:$G$1007,$C$8:$C$1007,$C170,$A$8:$A$1007,"&gt;="&amp;$A170-6,$A$8:$A$1007,"&lt;="&amp;$A170))</f>
        <v>3330</v>
      </c>
      <c r="I170" s="44" t="n">
        <f aca="false">IF($A170="",0,SUMIFS($G$8:$G$1007,$C$8:$C$1007,$C170,$A$8:$A$1007,"&gt;="&amp;$A170-27,$A$8:$A$1007,"&lt;="&amp;$A170)/4)</f>
        <v>2113.75</v>
      </c>
      <c r="J170" s="144" t="n">
        <f aca="false">IF(OR($A170="",$I170=0),0,$H170/$I170)</f>
        <v>1.57539917208752</v>
      </c>
      <c r="K170" s="40" t="n">
        <f aca="false">IF($A170="",0,$A170-SUMPRODUCT(MIN(($C$8:$C$1007=$C170)*$A$8:$A$1007+($C$8:$C$1007&lt;&gt;$C170)*100000))+1)</f>
        <v>15</v>
      </c>
      <c r="L170" s="26" t="str">
        <f aca="false">IF($A170="","",IF($J170=0,"Sem registro anterior",IF($K170&lt;21,"Histórico insuficiente",IF($J170&lt;0.8,"Subcarga",IF($J170&lt;=1.3,"Zona ideal",IF($J170&lt;=1.5,"Atenção","Risco elevado"))))))</f>
        <v>Histórico insuficiente</v>
      </c>
      <c r="M170" s="27" t="s">
        <v>373</v>
      </c>
    </row>
    <row r="171" customFormat="false" ht="15" hidden="false" customHeight="false" outlineLevel="0" collapsed="false">
      <c r="A171" s="29" t="n">
        <v>46258</v>
      </c>
      <c r="B171" s="40" t="n">
        <f aca="false">IF($A171="",0,INT(($A171-Macrociclo!$C$11)/7)+1)</f>
        <v>34</v>
      </c>
      <c r="C171" s="27" t="s">
        <v>253</v>
      </c>
      <c r="D171" s="27" t="s">
        <v>1052</v>
      </c>
      <c r="E171" s="28" t="n">
        <v>70</v>
      </c>
      <c r="F171" s="28" t="n">
        <v>7</v>
      </c>
      <c r="G171" s="44" t="n">
        <f aca="false">IF(OR($E171="",$F171=""),0,$E171*$F171)</f>
        <v>490</v>
      </c>
      <c r="H171" s="44" t="n">
        <f aca="false">IF($A171="",0,SUMIFS($G$8:$G$1007,$C$8:$C$1007,$C171,$A$8:$A$1007,"&gt;="&amp;$A171-6,$A$8:$A$1007,"&lt;="&amp;$A171))</f>
        <v>4025</v>
      </c>
      <c r="I171" s="44" t="n">
        <f aca="false">IF($A171="",0,SUMIFS($G$8:$G$1007,$C$8:$C$1007,$C171,$A$8:$A$1007,"&gt;="&amp;$A171-27,$A$8:$A$1007,"&lt;="&amp;$A171)/4)</f>
        <v>2260</v>
      </c>
      <c r="J171" s="144" t="n">
        <f aca="false">IF(OR($A171="",$I171=0),0,$H171/$I171)</f>
        <v>1.78097345132743</v>
      </c>
      <c r="K171" s="40" t="n">
        <f aca="false">IF($A171="",0,$A171-SUMPRODUCT(MIN(($C$8:$C$1007=$C171)*$A$8:$A$1007+($C$8:$C$1007&lt;&gt;$C171)*100000))+1)</f>
        <v>15</v>
      </c>
      <c r="L171" s="26" t="str">
        <f aca="false">IF($A171="","",IF($J171=0,"Sem registro anterior",IF($K171&lt;21,"Histórico insuficiente",IF($J171&lt;0.8,"Subcarga",IF($J171&lt;=1.3,"Zona ideal",IF($J171&lt;=1.5,"Atenção","Risco elevado"))))))</f>
        <v>Histórico insuficiente</v>
      </c>
      <c r="M171" s="27" t="s">
        <v>373</v>
      </c>
    </row>
    <row r="172" customFormat="false" ht="15" hidden="false" customHeight="false" outlineLevel="0" collapsed="false">
      <c r="A172" s="29" t="n">
        <v>46258</v>
      </c>
      <c r="B172" s="40" t="n">
        <f aca="false">IF($A172="",0,INT(($A172-Macrociclo!$C$11)/7)+1)</f>
        <v>34</v>
      </c>
      <c r="C172" s="27" t="s">
        <v>259</v>
      </c>
      <c r="D172" s="27" t="s">
        <v>1052</v>
      </c>
      <c r="E172" s="28" t="n">
        <v>75</v>
      </c>
      <c r="F172" s="28" t="n">
        <v>6</v>
      </c>
      <c r="G172" s="44" t="n">
        <f aca="false">IF(OR($E172="",$F172=""),0,$E172*$F172)</f>
        <v>450</v>
      </c>
      <c r="H172" s="44" t="n">
        <f aca="false">IF($A172="",0,SUMIFS($G$8:$G$1007,$C$8:$C$1007,$C172,$A$8:$A$1007,"&gt;="&amp;$A172-6,$A$8:$A$1007,"&lt;="&amp;$A172))</f>
        <v>4035</v>
      </c>
      <c r="I172" s="44" t="n">
        <f aca="false">IF($A172="",0,SUMIFS($G$8:$G$1007,$C$8:$C$1007,$C172,$A$8:$A$1007,"&gt;="&amp;$A172-27,$A$8:$A$1007,"&lt;="&amp;$A172)/4)</f>
        <v>2160</v>
      </c>
      <c r="J172" s="144" t="n">
        <f aca="false">IF(OR($A172="",$I172=0),0,$H172/$I172)</f>
        <v>1.86805555555556</v>
      </c>
      <c r="K172" s="40" t="n">
        <f aca="false">IF($A172="",0,$A172-SUMPRODUCT(MIN(($C$8:$C$1007=$C172)*$A$8:$A$1007+($C$8:$C$1007&lt;&gt;$C172)*100000))+1)</f>
        <v>15</v>
      </c>
      <c r="L172" s="26" t="str">
        <f aca="false">IF($A172="","",IF($J172=0,"Sem registro anterior",IF($K172&lt;21,"Histórico insuficiente",IF($J172&lt;0.8,"Subcarga",IF($J172&lt;=1.3,"Zona ideal",IF($J172&lt;=1.5,"Atenção","Risco elevado"))))))</f>
        <v>Histórico insuficiente</v>
      </c>
      <c r="M172" s="27" t="s">
        <v>373</v>
      </c>
    </row>
    <row r="173" customFormat="false" ht="15" hidden="false" customHeight="false" outlineLevel="0" collapsed="false">
      <c r="A173" s="29" t="n">
        <v>46258</v>
      </c>
      <c r="B173" s="40" t="n">
        <f aca="false">IF($A173="",0,INT(($A173-Macrociclo!$C$11)/7)+1)</f>
        <v>34</v>
      </c>
      <c r="C173" s="27" t="s">
        <v>264</v>
      </c>
      <c r="D173" s="27" t="s">
        <v>1052</v>
      </c>
      <c r="E173" s="28" t="n">
        <v>75</v>
      </c>
      <c r="F173" s="28" t="n">
        <v>8</v>
      </c>
      <c r="G173" s="44" t="n">
        <f aca="false">IF(OR($E173="",$F173=""),0,$E173*$F173)</f>
        <v>600</v>
      </c>
      <c r="H173" s="44" t="n">
        <f aca="false">IF($A173="",0,SUMIFS($G$8:$G$1007,$C$8:$C$1007,$C173,$A$8:$A$1007,"&gt;="&amp;$A173-6,$A$8:$A$1007,"&lt;="&amp;$A173))</f>
        <v>3945</v>
      </c>
      <c r="I173" s="44" t="n">
        <f aca="false">IF($A173="",0,SUMIFS($G$8:$G$1007,$C$8:$C$1007,$C173,$A$8:$A$1007,"&gt;="&amp;$A173-27,$A$8:$A$1007,"&lt;="&amp;$A173)/4)</f>
        <v>2177.5</v>
      </c>
      <c r="J173" s="144" t="n">
        <f aca="false">IF(OR($A173="",$I173=0),0,$H173/$I173)</f>
        <v>1.81171067738232</v>
      </c>
      <c r="K173" s="40" t="n">
        <f aca="false">IF($A173="",0,$A173-SUMPRODUCT(MIN(($C$8:$C$1007=$C173)*$A$8:$A$1007+($C$8:$C$1007&lt;&gt;$C173)*100000))+1)</f>
        <v>15</v>
      </c>
      <c r="L173" s="26" t="str">
        <f aca="false">IF($A173="","",IF($J173=0,"Sem registro anterior",IF($K173&lt;21,"Histórico insuficiente",IF($J173&lt;0.8,"Subcarga",IF($J173&lt;=1.3,"Zona ideal",IF($J173&lt;=1.5,"Atenção","Risco elevado"))))))</f>
        <v>Histórico insuficiente</v>
      </c>
      <c r="M173" s="27" t="s">
        <v>373</v>
      </c>
    </row>
    <row r="174" customFormat="false" ht="15" hidden="false" customHeight="false" outlineLevel="0" collapsed="false">
      <c r="A174" s="29" t="n">
        <v>46258</v>
      </c>
      <c r="B174" s="40" t="n">
        <f aca="false">IF($A174="",0,INT(($A174-Macrociclo!$C$11)/7)+1)</f>
        <v>34</v>
      </c>
      <c r="C174" s="27" t="s">
        <v>270</v>
      </c>
      <c r="D174" s="27" t="s">
        <v>1052</v>
      </c>
      <c r="E174" s="28" t="n">
        <v>70</v>
      </c>
      <c r="F174" s="28" t="n">
        <v>8</v>
      </c>
      <c r="G174" s="44" t="n">
        <f aca="false">IF(OR($E174="",$F174=""),0,$E174*$F174)</f>
        <v>560</v>
      </c>
      <c r="H174" s="44" t="n">
        <f aca="false">IF($A174="",0,SUMIFS($G$8:$G$1007,$C$8:$C$1007,$C174,$A$8:$A$1007,"&gt;="&amp;$A174-6,$A$8:$A$1007,"&lt;="&amp;$A174))</f>
        <v>3165</v>
      </c>
      <c r="I174" s="44" t="n">
        <f aca="false">IF($A174="",0,SUMIFS($G$8:$G$1007,$C$8:$C$1007,$C174,$A$8:$A$1007,"&gt;="&amp;$A174-27,$A$8:$A$1007,"&lt;="&amp;$A174)/4)</f>
        <v>2093.75</v>
      </c>
      <c r="J174" s="144" t="n">
        <f aca="false">IF(OR($A174="",$I174=0),0,$H174/$I174)</f>
        <v>1.51164179104478</v>
      </c>
      <c r="K174" s="40" t="n">
        <f aca="false">IF($A174="",0,$A174-SUMPRODUCT(MIN(($C$8:$C$1007=$C174)*$A$8:$A$1007+($C$8:$C$1007&lt;&gt;$C174)*100000))+1)</f>
        <v>15</v>
      </c>
      <c r="L174" s="26" t="str">
        <f aca="false">IF($A174="","",IF($J174=0,"Sem registro anterior",IF($K174&lt;21,"Histórico insuficiente",IF($J174&lt;0.8,"Subcarga",IF($J174&lt;=1.3,"Zona ideal",IF($J174&lt;=1.5,"Atenção","Risco elevado"))))))</f>
        <v>Histórico insuficiente</v>
      </c>
      <c r="M174" s="27" t="s">
        <v>373</v>
      </c>
    </row>
    <row r="175" customFormat="false" ht="15" hidden="false" customHeight="false" outlineLevel="0" collapsed="false">
      <c r="A175" s="29" t="n">
        <v>46258</v>
      </c>
      <c r="B175" s="40" t="n">
        <f aca="false">IF($A175="",0,INT(($A175-Macrociclo!$C$11)/7)+1)</f>
        <v>34</v>
      </c>
      <c r="C175" s="27" t="s">
        <v>164</v>
      </c>
      <c r="D175" s="27" t="s">
        <v>1056</v>
      </c>
      <c r="E175" s="28" t="n">
        <v>90</v>
      </c>
      <c r="F175" s="28" t="n">
        <v>6</v>
      </c>
      <c r="G175" s="44" t="n">
        <f aca="false">IF(OR($E175="",$F175=""),0,$E175*$F175)</f>
        <v>540</v>
      </c>
      <c r="H175" s="44" t="n">
        <f aca="false">IF($A175="",0,SUMIFS($G$8:$G$1007,$C$8:$C$1007,$C175,$A$8:$A$1007,"&gt;="&amp;$A175-6,$A$8:$A$1007,"&lt;="&amp;$A175))</f>
        <v>4195</v>
      </c>
      <c r="I175" s="44" t="n">
        <f aca="false">IF($A175="",0,SUMIFS($G$8:$G$1007,$C$8:$C$1007,$C175,$A$8:$A$1007,"&gt;="&amp;$A175-27,$A$8:$A$1007,"&lt;="&amp;$A175)/4)</f>
        <v>2160</v>
      </c>
      <c r="J175" s="144" t="n">
        <f aca="false">IF(OR($A175="",$I175=0),0,$H175/$I175)</f>
        <v>1.94212962962963</v>
      </c>
      <c r="K175" s="40" t="n">
        <f aca="false">IF($A175="",0,$A175-SUMPRODUCT(MIN(($C$8:$C$1007=$C175)*$A$8:$A$1007+($C$8:$C$1007&lt;&gt;$C175)*100000))+1)</f>
        <v>15</v>
      </c>
      <c r="L175" s="26" t="str">
        <f aca="false">IF($A175="","",IF($J175=0,"Sem registro anterior",IF($K175&lt;21,"Histórico insuficiente",IF($J175&lt;0.8,"Subcarga",IF($J175&lt;=1.3,"Zona ideal",IF($J175&lt;=1.5,"Atenção","Risco elevado"))))))</f>
        <v>Histórico insuficiente</v>
      </c>
      <c r="M175" s="27" t="s">
        <v>373</v>
      </c>
    </row>
    <row r="176" customFormat="false" ht="15" hidden="false" customHeight="false" outlineLevel="0" collapsed="false">
      <c r="A176" s="29" t="n">
        <v>46258</v>
      </c>
      <c r="B176" s="40" t="n">
        <f aca="false">IF($A176="",0,INT(($A176-Macrociclo!$C$11)/7)+1)</f>
        <v>34</v>
      </c>
      <c r="C176" s="27" t="s">
        <v>192</v>
      </c>
      <c r="D176" s="27" t="s">
        <v>1056</v>
      </c>
      <c r="E176" s="28" t="n">
        <v>90</v>
      </c>
      <c r="F176" s="28" t="n">
        <v>6</v>
      </c>
      <c r="G176" s="44" t="n">
        <f aca="false">IF(OR($E176="",$F176=""),0,$E176*$F176)</f>
        <v>540</v>
      </c>
      <c r="H176" s="44" t="n">
        <f aca="false">IF($A176="",0,SUMIFS($G$8:$G$1007,$C$8:$C$1007,$C176,$A$8:$A$1007,"&gt;="&amp;$A176-6,$A$8:$A$1007,"&lt;="&amp;$A176))</f>
        <v>4150</v>
      </c>
      <c r="I176" s="44" t="n">
        <f aca="false">IF($A176="",0,SUMIFS($G$8:$G$1007,$C$8:$C$1007,$C176,$A$8:$A$1007,"&gt;="&amp;$A176-27,$A$8:$A$1007,"&lt;="&amp;$A176)/4)</f>
        <v>2262.5</v>
      </c>
      <c r="J176" s="144" t="n">
        <f aca="false">IF(OR($A176="",$I176=0),0,$H176/$I176)</f>
        <v>1.83425414364641</v>
      </c>
      <c r="K176" s="40" t="n">
        <f aca="false">IF($A176="",0,$A176-SUMPRODUCT(MIN(($C$8:$C$1007=$C176)*$A$8:$A$1007+($C$8:$C$1007&lt;&gt;$C176)*100000))+1)</f>
        <v>15</v>
      </c>
      <c r="L176" s="26" t="str">
        <f aca="false">IF($A176="","",IF($J176=0,"Sem registro anterior",IF($K176&lt;21,"Histórico insuficiente",IF($J176&lt;0.8,"Subcarga",IF($J176&lt;=1.3,"Zona ideal",IF($J176&lt;=1.5,"Atenção","Risco elevado"))))))</f>
        <v>Histórico insuficiente</v>
      </c>
      <c r="M176" s="27" t="s">
        <v>373</v>
      </c>
    </row>
    <row r="177" customFormat="false" ht="15" hidden="false" customHeight="false" outlineLevel="0" collapsed="false">
      <c r="A177" s="29" t="n">
        <v>46258</v>
      </c>
      <c r="B177" s="40" t="n">
        <f aca="false">IF($A177="",0,INT(($A177-Macrociclo!$C$11)/7)+1)</f>
        <v>34</v>
      </c>
      <c r="C177" s="27" t="s">
        <v>206</v>
      </c>
      <c r="D177" s="27" t="s">
        <v>1056</v>
      </c>
      <c r="E177" s="28" t="n">
        <v>95</v>
      </c>
      <c r="F177" s="28" t="n">
        <v>6</v>
      </c>
      <c r="G177" s="44" t="n">
        <f aca="false">IF(OR($E177="",$F177=""),0,$E177*$F177)</f>
        <v>570</v>
      </c>
      <c r="H177" s="44" t="n">
        <f aca="false">IF($A177="",0,SUMIFS($G$8:$G$1007,$C$8:$C$1007,$C177,$A$8:$A$1007,"&gt;="&amp;$A177-6,$A$8:$A$1007,"&lt;="&amp;$A177))</f>
        <v>3845</v>
      </c>
      <c r="I177" s="44" t="n">
        <f aca="false">IF($A177="",0,SUMIFS($G$8:$G$1007,$C$8:$C$1007,$C177,$A$8:$A$1007,"&gt;="&amp;$A177-27,$A$8:$A$1007,"&lt;="&amp;$A177)/4)</f>
        <v>1876.25</v>
      </c>
      <c r="J177" s="144" t="n">
        <f aca="false">IF(OR($A177="",$I177=0),0,$H177/$I177)</f>
        <v>2.04930046635576</v>
      </c>
      <c r="K177" s="40" t="n">
        <f aca="false">IF($A177="",0,$A177-SUMPRODUCT(MIN(($C$8:$C$1007=$C177)*$A$8:$A$1007+($C$8:$C$1007&lt;&gt;$C177)*100000))+1)</f>
        <v>15</v>
      </c>
      <c r="L177" s="26" t="str">
        <f aca="false">IF($A177="","",IF($J177=0,"Sem registro anterior",IF($K177&lt;21,"Histórico insuficiente",IF($J177&lt;0.8,"Subcarga",IF($J177&lt;=1.3,"Zona ideal",IF($J177&lt;=1.5,"Atenção","Risco elevado"))))))</f>
        <v>Histórico insuficiente</v>
      </c>
      <c r="M177" s="27" t="s">
        <v>373</v>
      </c>
    </row>
    <row r="178" customFormat="false" ht="15" hidden="false" customHeight="false" outlineLevel="0" collapsed="false">
      <c r="A178" s="29" t="n">
        <v>46258</v>
      </c>
      <c r="B178" s="40" t="n">
        <f aca="false">IF($A178="",0,INT(($A178-Macrociclo!$C$11)/7)+1)</f>
        <v>34</v>
      </c>
      <c r="C178" s="27" t="s">
        <v>226</v>
      </c>
      <c r="D178" s="27" t="s">
        <v>1056</v>
      </c>
      <c r="E178" s="28" t="n">
        <v>85</v>
      </c>
      <c r="F178" s="28" t="n">
        <v>6</v>
      </c>
      <c r="G178" s="44" t="n">
        <f aca="false">IF(OR($E178="",$F178=""),0,$E178*$F178)</f>
        <v>510</v>
      </c>
      <c r="H178" s="44" t="n">
        <f aca="false">IF($A178="",0,SUMIFS($G$8:$G$1007,$C$8:$C$1007,$C178,$A$8:$A$1007,"&gt;="&amp;$A178-6,$A$8:$A$1007,"&lt;="&amp;$A178))</f>
        <v>4065</v>
      </c>
      <c r="I178" s="44" t="n">
        <f aca="false">IF($A178="",0,SUMIFS($G$8:$G$1007,$C$8:$C$1007,$C178,$A$8:$A$1007,"&gt;="&amp;$A178-27,$A$8:$A$1007,"&lt;="&amp;$A178)/4)</f>
        <v>2281.25</v>
      </c>
      <c r="J178" s="144" t="n">
        <f aca="false">IF(OR($A178="",$I178=0),0,$H178/$I178)</f>
        <v>1.78191780821918</v>
      </c>
      <c r="K178" s="40" t="n">
        <f aca="false">IF($A178="",0,$A178-SUMPRODUCT(MIN(($C$8:$C$1007=$C178)*$A$8:$A$1007+($C$8:$C$1007&lt;&gt;$C178)*100000))+1)</f>
        <v>15</v>
      </c>
      <c r="L178" s="26" t="str">
        <f aca="false">IF($A178="","",IF($J178=0,"Sem registro anterior",IF($K178&lt;21,"Histórico insuficiente",IF($J178&lt;0.8,"Subcarga",IF($J178&lt;=1.3,"Zona ideal",IF($J178&lt;=1.5,"Atenção","Risco elevado"))))))</f>
        <v>Histórico insuficiente</v>
      </c>
      <c r="M178" s="27" t="s">
        <v>373</v>
      </c>
    </row>
    <row r="179" customFormat="false" ht="15" hidden="false" customHeight="false" outlineLevel="0" collapsed="false">
      <c r="A179" s="29" t="n">
        <v>46258</v>
      </c>
      <c r="B179" s="40" t="n">
        <f aca="false">IF($A179="",0,INT(($A179-Macrociclo!$C$11)/7)+1)</f>
        <v>34</v>
      </c>
      <c r="C179" s="27" t="s">
        <v>236</v>
      </c>
      <c r="D179" s="27" t="s">
        <v>1056</v>
      </c>
      <c r="E179" s="28" t="n">
        <v>90</v>
      </c>
      <c r="F179" s="28" t="n">
        <v>5</v>
      </c>
      <c r="G179" s="44" t="n">
        <f aca="false">IF(OR($E179="",$F179=""),0,$E179*$F179)</f>
        <v>450</v>
      </c>
      <c r="H179" s="44" t="n">
        <f aca="false">IF($A179="",0,SUMIFS($G$8:$G$1007,$C$8:$C$1007,$C179,$A$8:$A$1007,"&gt;="&amp;$A179-6,$A$8:$A$1007,"&lt;="&amp;$A179))</f>
        <v>3240</v>
      </c>
      <c r="I179" s="44" t="n">
        <f aca="false">IF($A179="",0,SUMIFS($G$8:$G$1007,$C$8:$C$1007,$C179,$A$8:$A$1007,"&gt;="&amp;$A179-27,$A$8:$A$1007,"&lt;="&amp;$A179)/4)</f>
        <v>2071.25</v>
      </c>
      <c r="J179" s="144" t="n">
        <f aca="false">IF(OR($A179="",$I179=0),0,$H179/$I179)</f>
        <v>1.56427278213639</v>
      </c>
      <c r="K179" s="40" t="n">
        <f aca="false">IF($A179="",0,$A179-SUMPRODUCT(MIN(($C$8:$C$1007=$C179)*$A$8:$A$1007+($C$8:$C$1007&lt;&gt;$C179)*100000))+1)</f>
        <v>15</v>
      </c>
      <c r="L179" s="26" t="str">
        <f aca="false">IF($A179="","",IF($J179=0,"Sem registro anterior",IF($K179&lt;21,"Histórico insuficiente",IF($J179&lt;0.8,"Subcarga",IF($J179&lt;=1.3,"Zona ideal",IF($J179&lt;=1.5,"Atenção","Risco elevado"))))))</f>
        <v>Histórico insuficiente</v>
      </c>
      <c r="M179" s="27" t="s">
        <v>373</v>
      </c>
    </row>
    <row r="180" customFormat="false" ht="15" hidden="false" customHeight="false" outlineLevel="0" collapsed="false">
      <c r="A180" s="29" t="n">
        <v>46258</v>
      </c>
      <c r="B180" s="40" t="n">
        <f aca="false">IF($A180="",0,INT(($A180-Macrociclo!$C$11)/7)+1)</f>
        <v>34</v>
      </c>
      <c r="C180" s="27" t="s">
        <v>244</v>
      </c>
      <c r="D180" s="27" t="s">
        <v>1056</v>
      </c>
      <c r="E180" s="28" t="n">
        <v>80</v>
      </c>
      <c r="F180" s="28" t="n">
        <v>6</v>
      </c>
      <c r="G180" s="44" t="n">
        <f aca="false">IF(OR($E180="",$F180=""),0,$E180*$F180)</f>
        <v>480</v>
      </c>
      <c r="H180" s="44" t="n">
        <f aca="false">IF($A180="",0,SUMIFS($G$8:$G$1007,$C$8:$C$1007,$C180,$A$8:$A$1007,"&gt;="&amp;$A180-6,$A$8:$A$1007,"&lt;="&amp;$A180))</f>
        <v>3330</v>
      </c>
      <c r="I180" s="44" t="n">
        <f aca="false">IF($A180="",0,SUMIFS($G$8:$G$1007,$C$8:$C$1007,$C180,$A$8:$A$1007,"&gt;="&amp;$A180-27,$A$8:$A$1007,"&lt;="&amp;$A180)/4)</f>
        <v>2113.75</v>
      </c>
      <c r="J180" s="144" t="n">
        <f aca="false">IF(OR($A180="",$I180=0),0,$H180/$I180)</f>
        <v>1.57539917208752</v>
      </c>
      <c r="K180" s="40" t="n">
        <f aca="false">IF($A180="",0,$A180-SUMPRODUCT(MIN(($C$8:$C$1007=$C180)*$A$8:$A$1007+($C$8:$C$1007&lt;&gt;$C180)*100000))+1)</f>
        <v>15</v>
      </c>
      <c r="L180" s="26" t="str">
        <f aca="false">IF($A180="","",IF($J180=0,"Sem registro anterior",IF($K180&lt;21,"Histórico insuficiente",IF($J180&lt;0.8,"Subcarga",IF($J180&lt;=1.3,"Zona ideal",IF($J180&lt;=1.5,"Atenção","Risco elevado"))))))</f>
        <v>Histórico insuficiente</v>
      </c>
      <c r="M180" s="27" t="s">
        <v>373</v>
      </c>
    </row>
    <row r="181" customFormat="false" ht="15" hidden="false" customHeight="false" outlineLevel="0" collapsed="false">
      <c r="A181" s="29" t="n">
        <v>46258</v>
      </c>
      <c r="B181" s="40" t="n">
        <f aca="false">IF($A181="",0,INT(($A181-Macrociclo!$C$11)/7)+1)</f>
        <v>34</v>
      </c>
      <c r="C181" s="27" t="s">
        <v>253</v>
      </c>
      <c r="D181" s="27" t="s">
        <v>1056</v>
      </c>
      <c r="E181" s="28" t="n">
        <v>85</v>
      </c>
      <c r="F181" s="28" t="n">
        <v>5</v>
      </c>
      <c r="G181" s="44" t="n">
        <f aca="false">IF(OR($E181="",$F181=""),0,$E181*$F181)</f>
        <v>425</v>
      </c>
      <c r="H181" s="44" t="n">
        <f aca="false">IF($A181="",0,SUMIFS($G$8:$G$1007,$C$8:$C$1007,$C181,$A$8:$A$1007,"&gt;="&amp;$A181-6,$A$8:$A$1007,"&lt;="&amp;$A181))</f>
        <v>4025</v>
      </c>
      <c r="I181" s="44" t="n">
        <f aca="false">IF($A181="",0,SUMIFS($G$8:$G$1007,$C$8:$C$1007,$C181,$A$8:$A$1007,"&gt;="&amp;$A181-27,$A$8:$A$1007,"&lt;="&amp;$A181)/4)</f>
        <v>2260</v>
      </c>
      <c r="J181" s="144" t="n">
        <f aca="false">IF(OR($A181="",$I181=0),0,$H181/$I181)</f>
        <v>1.78097345132743</v>
      </c>
      <c r="K181" s="40" t="n">
        <f aca="false">IF($A181="",0,$A181-SUMPRODUCT(MIN(($C$8:$C$1007=$C181)*$A$8:$A$1007+($C$8:$C$1007&lt;&gt;$C181)*100000))+1)</f>
        <v>15</v>
      </c>
      <c r="L181" s="26" t="str">
        <f aca="false">IF($A181="","",IF($J181=0,"Sem registro anterior",IF($K181&lt;21,"Histórico insuficiente",IF($J181&lt;0.8,"Subcarga",IF($J181&lt;=1.3,"Zona ideal",IF($J181&lt;=1.5,"Atenção","Risco elevado"))))))</f>
        <v>Histórico insuficiente</v>
      </c>
      <c r="M181" s="27" t="s">
        <v>373</v>
      </c>
    </row>
    <row r="182" customFormat="false" ht="15" hidden="false" customHeight="false" outlineLevel="0" collapsed="false">
      <c r="A182" s="29" t="n">
        <v>46258</v>
      </c>
      <c r="B182" s="40" t="n">
        <f aca="false">IF($A182="",0,INT(($A182-Macrociclo!$C$11)/7)+1)</f>
        <v>34</v>
      </c>
      <c r="C182" s="27" t="s">
        <v>259</v>
      </c>
      <c r="D182" s="27" t="s">
        <v>1056</v>
      </c>
      <c r="E182" s="28" t="n">
        <v>90</v>
      </c>
      <c r="F182" s="28" t="n">
        <v>6</v>
      </c>
      <c r="G182" s="44" t="n">
        <f aca="false">IF(OR($E182="",$F182=""),0,$E182*$F182)</f>
        <v>540</v>
      </c>
      <c r="H182" s="44" t="n">
        <f aca="false">IF($A182="",0,SUMIFS($G$8:$G$1007,$C$8:$C$1007,$C182,$A$8:$A$1007,"&gt;="&amp;$A182-6,$A$8:$A$1007,"&lt;="&amp;$A182))</f>
        <v>4035</v>
      </c>
      <c r="I182" s="44" t="n">
        <f aca="false">IF($A182="",0,SUMIFS($G$8:$G$1007,$C$8:$C$1007,$C182,$A$8:$A$1007,"&gt;="&amp;$A182-27,$A$8:$A$1007,"&lt;="&amp;$A182)/4)</f>
        <v>2160</v>
      </c>
      <c r="J182" s="144" t="n">
        <f aca="false">IF(OR($A182="",$I182=0),0,$H182/$I182)</f>
        <v>1.86805555555556</v>
      </c>
      <c r="K182" s="40" t="n">
        <f aca="false">IF($A182="",0,$A182-SUMPRODUCT(MIN(($C$8:$C$1007=$C182)*$A$8:$A$1007+($C$8:$C$1007&lt;&gt;$C182)*100000))+1)</f>
        <v>15</v>
      </c>
      <c r="L182" s="26" t="str">
        <f aca="false">IF($A182="","",IF($J182=0,"Sem registro anterior",IF($K182&lt;21,"Histórico insuficiente",IF($J182&lt;0.8,"Subcarga",IF($J182&lt;=1.3,"Zona ideal",IF($J182&lt;=1.5,"Atenção","Risco elevado"))))))</f>
        <v>Histórico insuficiente</v>
      </c>
      <c r="M182" s="27" t="s">
        <v>373</v>
      </c>
    </row>
    <row r="183" customFormat="false" ht="15" hidden="false" customHeight="false" outlineLevel="0" collapsed="false">
      <c r="A183" s="29" t="n">
        <v>46258</v>
      </c>
      <c r="B183" s="40" t="n">
        <f aca="false">IF($A183="",0,INT(($A183-Macrociclo!$C$11)/7)+1)</f>
        <v>34</v>
      </c>
      <c r="C183" s="27" t="s">
        <v>264</v>
      </c>
      <c r="D183" s="27" t="s">
        <v>1056</v>
      </c>
      <c r="E183" s="28" t="n">
        <v>90</v>
      </c>
      <c r="F183" s="28" t="n">
        <v>6</v>
      </c>
      <c r="G183" s="44" t="n">
        <f aca="false">IF(OR($E183="",$F183=""),0,$E183*$F183)</f>
        <v>540</v>
      </c>
      <c r="H183" s="44" t="n">
        <f aca="false">IF($A183="",0,SUMIFS($G$8:$G$1007,$C$8:$C$1007,$C183,$A$8:$A$1007,"&gt;="&amp;$A183-6,$A$8:$A$1007,"&lt;="&amp;$A183))</f>
        <v>3945</v>
      </c>
      <c r="I183" s="44" t="n">
        <f aca="false">IF($A183="",0,SUMIFS($G$8:$G$1007,$C$8:$C$1007,$C183,$A$8:$A$1007,"&gt;="&amp;$A183-27,$A$8:$A$1007,"&lt;="&amp;$A183)/4)</f>
        <v>2177.5</v>
      </c>
      <c r="J183" s="144" t="n">
        <f aca="false">IF(OR($A183="",$I183=0),0,$H183/$I183)</f>
        <v>1.81171067738232</v>
      </c>
      <c r="K183" s="40" t="n">
        <f aca="false">IF($A183="",0,$A183-SUMPRODUCT(MIN(($C$8:$C$1007=$C183)*$A$8:$A$1007+($C$8:$C$1007&lt;&gt;$C183)*100000))+1)</f>
        <v>15</v>
      </c>
      <c r="L183" s="26" t="str">
        <f aca="false">IF($A183="","",IF($J183=0,"Sem registro anterior",IF($K183&lt;21,"Histórico insuficiente",IF($J183&lt;0.8,"Subcarga",IF($J183&lt;=1.3,"Zona ideal",IF($J183&lt;=1.5,"Atenção","Risco elevado"))))))</f>
        <v>Histórico insuficiente</v>
      </c>
      <c r="M183" s="27" t="s">
        <v>373</v>
      </c>
    </row>
    <row r="184" customFormat="false" ht="15" hidden="false" customHeight="false" outlineLevel="0" collapsed="false">
      <c r="A184" s="29" t="n">
        <v>46258</v>
      </c>
      <c r="B184" s="40" t="n">
        <f aca="false">IF($A184="",0,INT(($A184-Macrociclo!$C$11)/7)+1)</f>
        <v>34</v>
      </c>
      <c r="C184" s="27" t="s">
        <v>270</v>
      </c>
      <c r="D184" s="27" t="s">
        <v>1056</v>
      </c>
      <c r="E184" s="28" t="n">
        <v>95</v>
      </c>
      <c r="F184" s="28" t="n">
        <v>5</v>
      </c>
      <c r="G184" s="44" t="n">
        <f aca="false">IF(OR($E184="",$F184=""),0,$E184*$F184)</f>
        <v>475</v>
      </c>
      <c r="H184" s="44" t="n">
        <f aca="false">IF($A184="",0,SUMIFS($G$8:$G$1007,$C$8:$C$1007,$C184,$A$8:$A$1007,"&gt;="&amp;$A184-6,$A$8:$A$1007,"&lt;="&amp;$A184))</f>
        <v>3165</v>
      </c>
      <c r="I184" s="44" t="n">
        <f aca="false">IF($A184="",0,SUMIFS($G$8:$G$1007,$C$8:$C$1007,$C184,$A$8:$A$1007,"&gt;="&amp;$A184-27,$A$8:$A$1007,"&lt;="&amp;$A184)/4)</f>
        <v>2093.75</v>
      </c>
      <c r="J184" s="144" t="n">
        <f aca="false">IF(OR($A184="",$I184=0),0,$H184/$I184)</f>
        <v>1.51164179104478</v>
      </c>
      <c r="K184" s="40" t="n">
        <f aca="false">IF($A184="",0,$A184-SUMPRODUCT(MIN(($C$8:$C$1007=$C184)*$A$8:$A$1007+($C$8:$C$1007&lt;&gt;$C184)*100000))+1)</f>
        <v>15</v>
      </c>
      <c r="L184" s="26" t="str">
        <f aca="false">IF($A184="","",IF($J184=0,"Sem registro anterior",IF($K184&lt;21,"Histórico insuficiente",IF($J184&lt;0.8,"Subcarga",IF($J184&lt;=1.3,"Zona ideal",IF($J184&lt;=1.5,"Atenção","Risco elevado"))))))</f>
        <v>Histórico insuficiente</v>
      </c>
      <c r="M184" s="27" t="s">
        <v>373</v>
      </c>
    </row>
    <row r="185" customFormat="false" ht="15" hidden="false" customHeight="false" outlineLevel="0" collapsed="false">
      <c r="A185" s="29" t="n">
        <v>46258</v>
      </c>
      <c r="B185" s="40" t="n">
        <f aca="false">IF($A185="",0,INT(($A185-Macrociclo!$C$11)/7)+1)</f>
        <v>34</v>
      </c>
      <c r="C185" s="27" t="s">
        <v>279</v>
      </c>
      <c r="D185" s="27" t="s">
        <v>1056</v>
      </c>
      <c r="E185" s="28" t="n">
        <v>80</v>
      </c>
      <c r="F185" s="28" t="n">
        <v>6</v>
      </c>
      <c r="G185" s="44" t="n">
        <f aca="false">IF(OR($E185="",$F185=""),0,$E185*$F185)</f>
        <v>480</v>
      </c>
      <c r="H185" s="44" t="n">
        <f aca="false">IF($A185="",0,SUMIFS($G$8:$G$1007,$C$8:$C$1007,$C185,$A$8:$A$1007,"&gt;="&amp;$A185-6,$A$8:$A$1007,"&lt;="&amp;$A185))</f>
        <v>3595</v>
      </c>
      <c r="I185" s="44" t="n">
        <f aca="false">IF($A185="",0,SUMIFS($G$8:$G$1007,$C$8:$C$1007,$C185,$A$8:$A$1007,"&gt;="&amp;$A185-27,$A$8:$A$1007,"&lt;="&amp;$A185)/4)</f>
        <v>1765</v>
      </c>
      <c r="J185" s="144" t="n">
        <f aca="false">IF(OR($A185="",$I185=0),0,$H185/$I185)</f>
        <v>2.03682719546742</v>
      </c>
      <c r="K185" s="40" t="n">
        <f aca="false">IF($A185="",0,$A185-SUMPRODUCT(MIN(($C$8:$C$1007=$C185)*$A$8:$A$1007+($C$8:$C$1007&lt;&gt;$C185)*100000))+1)</f>
        <v>15</v>
      </c>
      <c r="L185" s="26" t="str">
        <f aca="false">IF($A185="","",IF($J185=0,"Sem registro anterior",IF($K185&lt;21,"Histórico insuficiente",IF($J185&lt;0.8,"Subcarga",IF($J185&lt;=1.3,"Zona ideal",IF($J185&lt;=1.5,"Atenção","Risco elevado"))))))</f>
        <v>Histórico insuficiente</v>
      </c>
      <c r="M185" s="27" t="s">
        <v>373</v>
      </c>
    </row>
    <row r="186" customFormat="false" ht="15" hidden="false" customHeight="false" outlineLevel="0" collapsed="false">
      <c r="A186" s="29" t="n">
        <v>46259</v>
      </c>
      <c r="B186" s="40" t="n">
        <f aca="false">IF($A186="",0,INT(($A186-Macrociclo!$C$11)/7)+1)</f>
        <v>34</v>
      </c>
      <c r="C186" s="27" t="s">
        <v>164</v>
      </c>
      <c r="D186" s="27" t="s">
        <v>1061</v>
      </c>
      <c r="E186" s="28" t="n">
        <v>60</v>
      </c>
      <c r="F186" s="28" t="n">
        <v>7</v>
      </c>
      <c r="G186" s="44" t="n">
        <f aca="false">IF(OR($E186="",$F186=""),0,$E186*$F186)</f>
        <v>420</v>
      </c>
      <c r="H186" s="44" t="n">
        <f aca="false">IF($A186="",0,SUMIFS($G$8:$G$1007,$C$8:$C$1007,$C186,$A$8:$A$1007,"&gt;="&amp;$A186-6,$A$8:$A$1007,"&lt;="&amp;$A186))</f>
        <v>4195</v>
      </c>
      <c r="I186" s="44" t="n">
        <f aca="false">IF($A186="",0,SUMIFS($G$8:$G$1007,$C$8:$C$1007,$C186,$A$8:$A$1007,"&gt;="&amp;$A186-27,$A$8:$A$1007,"&lt;="&amp;$A186)/4)</f>
        <v>2265</v>
      </c>
      <c r="J186" s="144" t="n">
        <f aca="false">IF(OR($A186="",$I186=0),0,$H186/$I186)</f>
        <v>1.85209713024283</v>
      </c>
      <c r="K186" s="40" t="n">
        <f aca="false">IF($A186="",0,$A186-SUMPRODUCT(MIN(($C$8:$C$1007=$C186)*$A$8:$A$1007+($C$8:$C$1007&lt;&gt;$C186)*100000))+1)</f>
        <v>16</v>
      </c>
      <c r="L186" s="26" t="str">
        <f aca="false">IF($A186="","",IF($J186=0,"Sem registro anterior",IF($K186&lt;21,"Histórico insuficiente",IF($J186&lt;0.8,"Subcarga",IF($J186&lt;=1.3,"Zona ideal",IF($J186&lt;=1.5,"Atenção","Risco elevado"))))))</f>
        <v>Histórico insuficiente</v>
      </c>
      <c r="M186" s="27" t="s">
        <v>373</v>
      </c>
    </row>
    <row r="187" customFormat="false" ht="15" hidden="false" customHeight="false" outlineLevel="0" collapsed="false">
      <c r="A187" s="29" t="n">
        <v>46259</v>
      </c>
      <c r="B187" s="40" t="n">
        <f aca="false">IF($A187="",0,INT(($A187-Macrociclo!$C$11)/7)+1)</f>
        <v>34</v>
      </c>
      <c r="C187" s="27" t="s">
        <v>192</v>
      </c>
      <c r="D187" s="27" t="s">
        <v>1061</v>
      </c>
      <c r="E187" s="28" t="n">
        <v>60</v>
      </c>
      <c r="F187" s="28" t="n">
        <v>8</v>
      </c>
      <c r="G187" s="44" t="n">
        <f aca="false">IF(OR($E187="",$F187=""),0,$E187*$F187)</f>
        <v>480</v>
      </c>
      <c r="H187" s="44" t="n">
        <f aca="false">IF($A187="",0,SUMIFS($G$8:$G$1007,$C$8:$C$1007,$C187,$A$8:$A$1007,"&gt;="&amp;$A187-6,$A$8:$A$1007,"&lt;="&amp;$A187))</f>
        <v>4210</v>
      </c>
      <c r="I187" s="44" t="n">
        <f aca="false">IF($A187="",0,SUMIFS($G$8:$G$1007,$C$8:$C$1007,$C187,$A$8:$A$1007,"&gt;="&amp;$A187-27,$A$8:$A$1007,"&lt;="&amp;$A187)/4)</f>
        <v>2382.5</v>
      </c>
      <c r="J187" s="144" t="n">
        <f aca="false">IF(OR($A187="",$I187=0),0,$H187/$I187)</f>
        <v>1.76705141657922</v>
      </c>
      <c r="K187" s="40" t="n">
        <f aca="false">IF($A187="",0,$A187-SUMPRODUCT(MIN(($C$8:$C$1007=$C187)*$A$8:$A$1007+($C$8:$C$1007&lt;&gt;$C187)*100000))+1)</f>
        <v>16</v>
      </c>
      <c r="L187" s="26" t="str">
        <f aca="false">IF($A187="","",IF($J187=0,"Sem registro anterior",IF($K187&lt;21,"Histórico insuficiente",IF($J187&lt;0.8,"Subcarga",IF($J187&lt;=1.3,"Zona ideal",IF($J187&lt;=1.5,"Atenção","Risco elevado"))))))</f>
        <v>Histórico insuficiente</v>
      </c>
      <c r="M187" s="27" t="s">
        <v>373</v>
      </c>
    </row>
    <row r="188" customFormat="false" ht="15" hidden="false" customHeight="false" outlineLevel="0" collapsed="false">
      <c r="A188" s="29" t="n">
        <v>46259</v>
      </c>
      <c r="B188" s="40" t="n">
        <f aca="false">IF($A188="",0,INT(($A188-Macrociclo!$C$11)/7)+1)</f>
        <v>34</v>
      </c>
      <c r="C188" s="27" t="s">
        <v>206</v>
      </c>
      <c r="D188" s="27" t="s">
        <v>1061</v>
      </c>
      <c r="E188" s="28" t="n">
        <v>50</v>
      </c>
      <c r="F188" s="28" t="n">
        <v>7</v>
      </c>
      <c r="G188" s="44" t="n">
        <f aca="false">IF(OR($E188="",$F188=""),0,$E188*$F188)</f>
        <v>350</v>
      </c>
      <c r="H188" s="44" t="n">
        <f aca="false">IF($A188="",0,SUMIFS($G$8:$G$1007,$C$8:$C$1007,$C188,$A$8:$A$1007,"&gt;="&amp;$A188-6,$A$8:$A$1007,"&lt;="&amp;$A188))</f>
        <v>3845</v>
      </c>
      <c r="I188" s="44" t="n">
        <f aca="false">IF($A188="",0,SUMIFS($G$8:$G$1007,$C$8:$C$1007,$C188,$A$8:$A$1007,"&gt;="&amp;$A188-27,$A$8:$A$1007,"&lt;="&amp;$A188)/4)</f>
        <v>1963.75</v>
      </c>
      <c r="J188" s="144" t="n">
        <f aca="false">IF(OR($A188="",$I188=0),0,$H188/$I188)</f>
        <v>1.95798854232973</v>
      </c>
      <c r="K188" s="40" t="n">
        <f aca="false">IF($A188="",0,$A188-SUMPRODUCT(MIN(($C$8:$C$1007=$C188)*$A$8:$A$1007+($C$8:$C$1007&lt;&gt;$C188)*100000))+1)</f>
        <v>16</v>
      </c>
      <c r="L188" s="26" t="str">
        <f aca="false">IF($A188="","",IF($J188=0,"Sem registro anterior",IF($K188&lt;21,"Histórico insuficiente",IF($J188&lt;0.8,"Subcarga",IF($J188&lt;=1.3,"Zona ideal",IF($J188&lt;=1.5,"Atenção","Risco elevado"))))))</f>
        <v>Histórico insuficiente</v>
      </c>
      <c r="M188" s="27" t="s">
        <v>373</v>
      </c>
    </row>
    <row r="189" customFormat="false" ht="15" hidden="false" customHeight="false" outlineLevel="0" collapsed="false">
      <c r="A189" s="29" t="n">
        <v>46259</v>
      </c>
      <c r="B189" s="40" t="n">
        <f aca="false">IF($A189="",0,INT(($A189-Macrociclo!$C$11)/7)+1)</f>
        <v>34</v>
      </c>
      <c r="C189" s="27" t="s">
        <v>236</v>
      </c>
      <c r="D189" s="27" t="s">
        <v>1061</v>
      </c>
      <c r="E189" s="28" t="n">
        <v>50</v>
      </c>
      <c r="F189" s="28" t="n">
        <v>6</v>
      </c>
      <c r="G189" s="44" t="n">
        <f aca="false">IF(OR($E189="",$F189=""),0,$E189*$F189)</f>
        <v>300</v>
      </c>
      <c r="H189" s="44" t="n">
        <f aca="false">IF($A189="",0,SUMIFS($G$8:$G$1007,$C$8:$C$1007,$C189,$A$8:$A$1007,"&gt;="&amp;$A189-6,$A$8:$A$1007,"&lt;="&amp;$A189))</f>
        <v>3100</v>
      </c>
      <c r="I189" s="44" t="n">
        <f aca="false">IF($A189="",0,SUMIFS($G$8:$G$1007,$C$8:$C$1007,$C189,$A$8:$A$1007,"&gt;="&amp;$A189-27,$A$8:$A$1007,"&lt;="&amp;$A189)/4)</f>
        <v>2146.25</v>
      </c>
      <c r="J189" s="144" t="n">
        <f aca="false">IF(OR($A189="",$I189=0),0,$H189/$I189)</f>
        <v>1.44437973209086</v>
      </c>
      <c r="K189" s="40" t="n">
        <f aca="false">IF($A189="",0,$A189-SUMPRODUCT(MIN(($C$8:$C$1007=$C189)*$A$8:$A$1007+($C$8:$C$1007&lt;&gt;$C189)*100000))+1)</f>
        <v>16</v>
      </c>
      <c r="L189" s="26" t="str">
        <f aca="false">IF($A189="","",IF($J189=0,"Sem registro anterior",IF($K189&lt;21,"Histórico insuficiente",IF($J189&lt;0.8,"Subcarga",IF($J189&lt;=1.3,"Zona ideal",IF($J189&lt;=1.5,"Atenção","Risco elevado"))))))</f>
        <v>Histórico insuficiente</v>
      </c>
      <c r="M189" s="27" t="s">
        <v>373</v>
      </c>
    </row>
    <row r="190" customFormat="false" ht="15" hidden="false" customHeight="false" outlineLevel="0" collapsed="false">
      <c r="A190" s="29" t="n">
        <v>46259</v>
      </c>
      <c r="B190" s="40" t="n">
        <f aca="false">IF($A190="",0,INT(($A190-Macrociclo!$C$11)/7)+1)</f>
        <v>34</v>
      </c>
      <c r="C190" s="27" t="s">
        <v>244</v>
      </c>
      <c r="D190" s="27" t="s">
        <v>1061</v>
      </c>
      <c r="E190" s="28" t="n">
        <v>55</v>
      </c>
      <c r="F190" s="28" t="n">
        <v>7</v>
      </c>
      <c r="G190" s="44" t="n">
        <f aca="false">IF(OR($E190="",$F190=""),0,$E190*$F190)</f>
        <v>385</v>
      </c>
      <c r="H190" s="44" t="n">
        <f aca="false">IF($A190="",0,SUMIFS($G$8:$G$1007,$C$8:$C$1007,$C190,$A$8:$A$1007,"&gt;="&amp;$A190-6,$A$8:$A$1007,"&lt;="&amp;$A190))</f>
        <v>3315</v>
      </c>
      <c r="I190" s="44" t="n">
        <f aca="false">IF($A190="",0,SUMIFS($G$8:$G$1007,$C$8:$C$1007,$C190,$A$8:$A$1007,"&gt;="&amp;$A190-27,$A$8:$A$1007,"&lt;="&amp;$A190)/4)</f>
        <v>2210</v>
      </c>
      <c r="J190" s="144" t="n">
        <f aca="false">IF(OR($A190="",$I190=0),0,$H190/$I190)</f>
        <v>1.5</v>
      </c>
      <c r="K190" s="40" t="n">
        <f aca="false">IF($A190="",0,$A190-SUMPRODUCT(MIN(($C$8:$C$1007=$C190)*$A$8:$A$1007+($C$8:$C$1007&lt;&gt;$C190)*100000))+1)</f>
        <v>16</v>
      </c>
      <c r="L190" s="26" t="str">
        <f aca="false">IF($A190="","",IF($J190=0,"Sem registro anterior",IF($K190&lt;21,"Histórico insuficiente",IF($J190&lt;0.8,"Subcarga",IF($J190&lt;=1.3,"Zona ideal",IF($J190&lt;=1.5,"Atenção","Risco elevado"))))))</f>
        <v>Histórico insuficiente</v>
      </c>
      <c r="M190" s="27" t="s">
        <v>373</v>
      </c>
    </row>
    <row r="191" customFormat="false" ht="15" hidden="false" customHeight="false" outlineLevel="0" collapsed="false">
      <c r="A191" s="29" t="n">
        <v>46259</v>
      </c>
      <c r="B191" s="40" t="n">
        <f aca="false">IF($A191="",0,INT(($A191-Macrociclo!$C$11)/7)+1)</f>
        <v>34</v>
      </c>
      <c r="C191" s="27" t="s">
        <v>253</v>
      </c>
      <c r="D191" s="27" t="s">
        <v>1061</v>
      </c>
      <c r="E191" s="28" t="n">
        <v>60</v>
      </c>
      <c r="F191" s="28" t="n">
        <v>6</v>
      </c>
      <c r="G191" s="44" t="n">
        <f aca="false">IF(OR($E191="",$F191=""),0,$E191*$F191)</f>
        <v>360</v>
      </c>
      <c r="H191" s="44" t="n">
        <f aca="false">IF($A191="",0,SUMIFS($G$8:$G$1007,$C$8:$C$1007,$C191,$A$8:$A$1007,"&gt;="&amp;$A191-6,$A$8:$A$1007,"&lt;="&amp;$A191))</f>
        <v>3965</v>
      </c>
      <c r="I191" s="44" t="n">
        <f aca="false">IF($A191="",0,SUMIFS($G$8:$G$1007,$C$8:$C$1007,$C191,$A$8:$A$1007,"&gt;="&amp;$A191-27,$A$8:$A$1007,"&lt;="&amp;$A191)/4)</f>
        <v>2350</v>
      </c>
      <c r="J191" s="144" t="n">
        <f aca="false">IF(OR($A191="",$I191=0),0,$H191/$I191)</f>
        <v>1.68723404255319</v>
      </c>
      <c r="K191" s="40" t="n">
        <f aca="false">IF($A191="",0,$A191-SUMPRODUCT(MIN(($C$8:$C$1007=$C191)*$A$8:$A$1007+($C$8:$C$1007&lt;&gt;$C191)*100000))+1)</f>
        <v>16</v>
      </c>
      <c r="L191" s="26" t="str">
        <f aca="false">IF($A191="","",IF($J191=0,"Sem registro anterior",IF($K191&lt;21,"Histórico insuficiente",IF($J191&lt;0.8,"Subcarga",IF($J191&lt;=1.3,"Zona ideal",IF($J191&lt;=1.5,"Atenção","Risco elevado"))))))</f>
        <v>Histórico insuficiente</v>
      </c>
      <c r="M191" s="27" t="s">
        <v>373</v>
      </c>
    </row>
    <row r="192" customFormat="false" ht="15" hidden="false" customHeight="false" outlineLevel="0" collapsed="false">
      <c r="A192" s="29" t="n">
        <v>46259</v>
      </c>
      <c r="B192" s="40" t="n">
        <f aca="false">IF($A192="",0,INT(($A192-Macrociclo!$C$11)/7)+1)</f>
        <v>34</v>
      </c>
      <c r="C192" s="27" t="s">
        <v>259</v>
      </c>
      <c r="D192" s="27" t="s">
        <v>1061</v>
      </c>
      <c r="E192" s="28" t="n">
        <v>60</v>
      </c>
      <c r="F192" s="28" t="n">
        <v>7</v>
      </c>
      <c r="G192" s="44" t="n">
        <f aca="false">IF(OR($E192="",$F192=""),0,$E192*$F192)</f>
        <v>420</v>
      </c>
      <c r="H192" s="44" t="n">
        <f aca="false">IF($A192="",0,SUMIFS($G$8:$G$1007,$C$8:$C$1007,$C192,$A$8:$A$1007,"&gt;="&amp;$A192-6,$A$8:$A$1007,"&lt;="&amp;$A192))</f>
        <v>4035</v>
      </c>
      <c r="I192" s="44" t="n">
        <f aca="false">IF($A192="",0,SUMIFS($G$8:$G$1007,$C$8:$C$1007,$C192,$A$8:$A$1007,"&gt;="&amp;$A192-27,$A$8:$A$1007,"&lt;="&amp;$A192)/4)</f>
        <v>2265</v>
      </c>
      <c r="J192" s="144" t="n">
        <f aca="false">IF(OR($A192="",$I192=0),0,$H192/$I192)</f>
        <v>1.78145695364238</v>
      </c>
      <c r="K192" s="40" t="n">
        <f aca="false">IF($A192="",0,$A192-SUMPRODUCT(MIN(($C$8:$C$1007=$C192)*$A$8:$A$1007+($C$8:$C$1007&lt;&gt;$C192)*100000))+1)</f>
        <v>16</v>
      </c>
      <c r="L192" s="26" t="str">
        <f aca="false">IF($A192="","",IF($J192=0,"Sem registro anterior",IF($K192&lt;21,"Histórico insuficiente",IF($J192&lt;0.8,"Subcarga",IF($J192&lt;=1.3,"Zona ideal",IF($J192&lt;=1.5,"Atenção","Risco elevado"))))))</f>
        <v>Histórico insuficiente</v>
      </c>
      <c r="M192" s="27" t="s">
        <v>373</v>
      </c>
    </row>
    <row r="193" customFormat="false" ht="15" hidden="false" customHeight="false" outlineLevel="0" collapsed="false">
      <c r="A193" s="29" t="n">
        <v>46259</v>
      </c>
      <c r="B193" s="40" t="n">
        <f aca="false">IF($A193="",0,INT(($A193-Macrociclo!$C$11)/7)+1)</f>
        <v>34</v>
      </c>
      <c r="C193" s="27" t="s">
        <v>264</v>
      </c>
      <c r="D193" s="27" t="s">
        <v>1061</v>
      </c>
      <c r="E193" s="28" t="n">
        <v>50</v>
      </c>
      <c r="F193" s="28" t="n">
        <v>7</v>
      </c>
      <c r="G193" s="44" t="n">
        <f aca="false">IF(OR($E193="",$F193=""),0,$E193*$F193)</f>
        <v>350</v>
      </c>
      <c r="H193" s="44" t="n">
        <f aca="false">IF($A193="",0,SUMIFS($G$8:$G$1007,$C$8:$C$1007,$C193,$A$8:$A$1007,"&gt;="&amp;$A193-6,$A$8:$A$1007,"&lt;="&amp;$A193))</f>
        <v>3875</v>
      </c>
      <c r="I193" s="44" t="n">
        <f aca="false">IF($A193="",0,SUMIFS($G$8:$G$1007,$C$8:$C$1007,$C193,$A$8:$A$1007,"&gt;="&amp;$A193-27,$A$8:$A$1007,"&lt;="&amp;$A193)/4)</f>
        <v>2265</v>
      </c>
      <c r="J193" s="144" t="n">
        <f aca="false">IF(OR($A193="",$I193=0),0,$H193/$I193)</f>
        <v>1.71081677704194</v>
      </c>
      <c r="K193" s="40" t="n">
        <f aca="false">IF($A193="",0,$A193-SUMPRODUCT(MIN(($C$8:$C$1007=$C193)*$A$8:$A$1007+($C$8:$C$1007&lt;&gt;$C193)*100000))+1)</f>
        <v>16</v>
      </c>
      <c r="L193" s="26" t="str">
        <f aca="false">IF($A193="","",IF($J193=0,"Sem registro anterior",IF($K193&lt;21,"Histórico insuficiente",IF($J193&lt;0.8,"Subcarga",IF($J193&lt;=1.3,"Zona ideal",IF($J193&lt;=1.5,"Atenção","Risco elevado"))))))</f>
        <v>Histórico insuficiente</v>
      </c>
      <c r="M193" s="27" t="s">
        <v>373</v>
      </c>
    </row>
    <row r="194" customFormat="false" ht="15" hidden="false" customHeight="false" outlineLevel="0" collapsed="false">
      <c r="A194" s="29" t="n">
        <v>46259</v>
      </c>
      <c r="B194" s="40" t="n">
        <f aca="false">IF($A194="",0,INT(($A194-Macrociclo!$C$11)/7)+1)</f>
        <v>34</v>
      </c>
      <c r="C194" s="27" t="s">
        <v>270</v>
      </c>
      <c r="D194" s="27" t="s">
        <v>1061</v>
      </c>
      <c r="E194" s="28" t="n">
        <v>50</v>
      </c>
      <c r="F194" s="28" t="n">
        <v>6</v>
      </c>
      <c r="G194" s="44" t="n">
        <f aca="false">IF(OR($E194="",$F194=""),0,$E194*$F194)</f>
        <v>300</v>
      </c>
      <c r="H194" s="44" t="n">
        <f aca="false">IF($A194="",0,SUMIFS($G$8:$G$1007,$C$8:$C$1007,$C194,$A$8:$A$1007,"&gt;="&amp;$A194-6,$A$8:$A$1007,"&lt;="&amp;$A194))</f>
        <v>3045</v>
      </c>
      <c r="I194" s="44" t="n">
        <f aca="false">IF($A194="",0,SUMIFS($G$8:$G$1007,$C$8:$C$1007,$C194,$A$8:$A$1007,"&gt;="&amp;$A194-27,$A$8:$A$1007,"&lt;="&amp;$A194)/4)</f>
        <v>2168.75</v>
      </c>
      <c r="J194" s="144" t="n">
        <f aca="false">IF(OR($A194="",$I194=0),0,$H194/$I194)</f>
        <v>1.40403458213256</v>
      </c>
      <c r="K194" s="40" t="n">
        <f aca="false">IF($A194="",0,$A194-SUMPRODUCT(MIN(($C$8:$C$1007=$C194)*$A$8:$A$1007+($C$8:$C$1007&lt;&gt;$C194)*100000))+1)</f>
        <v>16</v>
      </c>
      <c r="L194" s="26" t="str">
        <f aca="false">IF($A194="","",IF($J194=0,"Sem registro anterior",IF($K194&lt;21,"Histórico insuficiente",IF($J194&lt;0.8,"Subcarga",IF($J194&lt;=1.3,"Zona ideal",IF($J194&lt;=1.5,"Atenção","Risco elevado"))))))</f>
        <v>Histórico insuficiente</v>
      </c>
      <c r="M194" s="27" t="s">
        <v>373</v>
      </c>
    </row>
    <row r="195" customFormat="false" ht="15" hidden="false" customHeight="false" outlineLevel="0" collapsed="false">
      <c r="A195" s="29" t="n">
        <v>46259</v>
      </c>
      <c r="B195" s="40" t="n">
        <f aca="false">IF($A195="",0,INT(($A195-Macrociclo!$C$11)/7)+1)</f>
        <v>34</v>
      </c>
      <c r="C195" s="27" t="s">
        <v>279</v>
      </c>
      <c r="D195" s="27" t="s">
        <v>1061</v>
      </c>
      <c r="E195" s="28" t="n">
        <v>65</v>
      </c>
      <c r="F195" s="28" t="n">
        <v>6</v>
      </c>
      <c r="G195" s="44" t="n">
        <f aca="false">IF(OR($E195="",$F195=""),0,$E195*$F195)</f>
        <v>390</v>
      </c>
      <c r="H195" s="44" t="n">
        <f aca="false">IF($A195="",0,SUMIFS($G$8:$G$1007,$C$8:$C$1007,$C195,$A$8:$A$1007,"&gt;="&amp;$A195-6,$A$8:$A$1007,"&lt;="&amp;$A195))</f>
        <v>3600</v>
      </c>
      <c r="I195" s="44" t="n">
        <f aca="false">IF($A195="",0,SUMIFS($G$8:$G$1007,$C$8:$C$1007,$C195,$A$8:$A$1007,"&gt;="&amp;$A195-27,$A$8:$A$1007,"&lt;="&amp;$A195)/4)</f>
        <v>1862.5</v>
      </c>
      <c r="J195" s="144" t="n">
        <f aca="false">IF(OR($A195="",$I195=0),0,$H195/$I195)</f>
        <v>1.93288590604027</v>
      </c>
      <c r="K195" s="40" t="n">
        <f aca="false">IF($A195="",0,$A195-SUMPRODUCT(MIN(($C$8:$C$1007=$C195)*$A$8:$A$1007+($C$8:$C$1007&lt;&gt;$C195)*100000))+1)</f>
        <v>16</v>
      </c>
      <c r="L195" s="26" t="str">
        <f aca="false">IF($A195="","",IF($J195=0,"Sem registro anterior",IF($K195&lt;21,"Histórico insuficiente",IF($J195&lt;0.8,"Subcarga",IF($J195&lt;=1.3,"Zona ideal",IF($J195&lt;=1.5,"Atenção","Risco elevado"))))))</f>
        <v>Histórico insuficiente</v>
      </c>
      <c r="M195" s="27" t="s">
        <v>373</v>
      </c>
    </row>
    <row r="196" customFormat="false" ht="15" hidden="false" customHeight="false" outlineLevel="0" collapsed="false">
      <c r="A196" s="29" t="n">
        <v>46260</v>
      </c>
      <c r="B196" s="40" t="n">
        <f aca="false">IF($A196="",0,INT(($A196-Macrociclo!$C$11)/7)+1)</f>
        <v>34</v>
      </c>
      <c r="C196" s="27" t="s">
        <v>164</v>
      </c>
      <c r="D196" s="27" t="s">
        <v>1066</v>
      </c>
      <c r="E196" s="28" t="n">
        <v>100</v>
      </c>
      <c r="F196" s="28" t="n">
        <v>8</v>
      </c>
      <c r="G196" s="44" t="n">
        <f aca="false">IF(OR($E196="",$F196=""),0,$E196*$F196)</f>
        <v>800</v>
      </c>
      <c r="H196" s="44" t="n">
        <f aca="false">IF($A196="",0,SUMIFS($G$8:$G$1007,$C$8:$C$1007,$C196,$A$8:$A$1007,"&gt;="&amp;$A196-6,$A$8:$A$1007,"&lt;="&amp;$A196))</f>
        <v>4195</v>
      </c>
      <c r="I196" s="44" t="n">
        <f aca="false">IF($A196="",0,SUMIFS($G$8:$G$1007,$C$8:$C$1007,$C196,$A$8:$A$1007,"&gt;="&amp;$A196-27,$A$8:$A$1007,"&lt;="&amp;$A196)/4)</f>
        <v>2465</v>
      </c>
      <c r="J196" s="144" t="n">
        <f aca="false">IF(OR($A196="",$I196=0),0,$H196/$I196)</f>
        <v>1.70182555780933</v>
      </c>
      <c r="K196" s="40" t="n">
        <f aca="false">IF($A196="",0,$A196-SUMPRODUCT(MIN(($C$8:$C$1007=$C196)*$A$8:$A$1007+($C$8:$C$1007&lt;&gt;$C196)*100000))+1)</f>
        <v>17</v>
      </c>
      <c r="L196" s="26" t="str">
        <f aca="false">IF($A196="","",IF($J196=0,"Sem registro anterior",IF($K196&lt;21,"Histórico insuficiente",IF($J196&lt;0.8,"Subcarga",IF($J196&lt;=1.3,"Zona ideal",IF($J196&lt;=1.5,"Atenção","Risco elevado"))))))</f>
        <v>Histórico insuficiente</v>
      </c>
      <c r="M196" s="27" t="s">
        <v>373</v>
      </c>
    </row>
    <row r="197" customFormat="false" ht="15" hidden="false" customHeight="false" outlineLevel="0" collapsed="false">
      <c r="A197" s="29" t="n">
        <v>46260</v>
      </c>
      <c r="B197" s="40" t="n">
        <f aca="false">IF($A197="",0,INT(($A197-Macrociclo!$C$11)/7)+1)</f>
        <v>34</v>
      </c>
      <c r="C197" s="27" t="s">
        <v>192</v>
      </c>
      <c r="D197" s="27" t="s">
        <v>1066</v>
      </c>
      <c r="E197" s="28" t="n">
        <v>105</v>
      </c>
      <c r="F197" s="28" t="n">
        <v>8</v>
      </c>
      <c r="G197" s="44" t="n">
        <f aca="false">IF(OR($E197="",$F197=""),0,$E197*$F197)</f>
        <v>840</v>
      </c>
      <c r="H197" s="44" t="n">
        <f aca="false">IF($A197="",0,SUMIFS($G$8:$G$1007,$C$8:$C$1007,$C197,$A$8:$A$1007,"&gt;="&amp;$A197-6,$A$8:$A$1007,"&lt;="&amp;$A197))</f>
        <v>4210</v>
      </c>
      <c r="I197" s="44" t="n">
        <f aca="false">IF($A197="",0,SUMIFS($G$8:$G$1007,$C$8:$C$1007,$C197,$A$8:$A$1007,"&gt;="&amp;$A197-27,$A$8:$A$1007,"&lt;="&amp;$A197)/4)</f>
        <v>2592.5</v>
      </c>
      <c r="J197" s="144" t="n">
        <f aca="false">IF(OR($A197="",$I197=0),0,$H197/$I197)</f>
        <v>1.62391513982642</v>
      </c>
      <c r="K197" s="40" t="n">
        <f aca="false">IF($A197="",0,$A197-SUMPRODUCT(MIN(($C$8:$C$1007=$C197)*$A$8:$A$1007+($C$8:$C$1007&lt;&gt;$C197)*100000))+1)</f>
        <v>17</v>
      </c>
      <c r="L197" s="26" t="str">
        <f aca="false">IF($A197="","",IF($J197=0,"Sem registro anterior",IF($K197&lt;21,"Histórico insuficiente",IF($J197&lt;0.8,"Subcarga",IF($J197&lt;=1.3,"Zona ideal",IF($J197&lt;=1.5,"Atenção","Risco elevado"))))))</f>
        <v>Histórico insuficiente</v>
      </c>
      <c r="M197" s="27" t="s">
        <v>373</v>
      </c>
    </row>
    <row r="198" customFormat="false" ht="15" hidden="false" customHeight="false" outlineLevel="0" collapsed="false">
      <c r="A198" s="29" t="n">
        <v>46260</v>
      </c>
      <c r="B198" s="40" t="n">
        <f aca="false">IF($A198="",0,INT(($A198-Macrociclo!$C$11)/7)+1)</f>
        <v>34</v>
      </c>
      <c r="C198" s="27" t="s">
        <v>206</v>
      </c>
      <c r="D198" s="27" t="s">
        <v>1066</v>
      </c>
      <c r="E198" s="28" t="n">
        <v>95</v>
      </c>
      <c r="F198" s="28" t="n">
        <v>8</v>
      </c>
      <c r="G198" s="44" t="n">
        <f aca="false">IF(OR($E198="",$F198=""),0,$E198*$F198)</f>
        <v>760</v>
      </c>
      <c r="H198" s="44" t="n">
        <f aca="false">IF($A198="",0,SUMIFS($G$8:$G$1007,$C$8:$C$1007,$C198,$A$8:$A$1007,"&gt;="&amp;$A198-6,$A$8:$A$1007,"&lt;="&amp;$A198))</f>
        <v>3845</v>
      </c>
      <c r="I198" s="44" t="n">
        <f aca="false">IF($A198="",0,SUMIFS($G$8:$G$1007,$C$8:$C$1007,$C198,$A$8:$A$1007,"&gt;="&amp;$A198-27,$A$8:$A$1007,"&lt;="&amp;$A198)/4)</f>
        <v>2153.75</v>
      </c>
      <c r="J198" s="144" t="n">
        <f aca="false">IF(OR($A198="",$I198=0),0,$H198/$I198)</f>
        <v>1.7852582704585</v>
      </c>
      <c r="K198" s="40" t="n">
        <f aca="false">IF($A198="",0,$A198-SUMPRODUCT(MIN(($C$8:$C$1007=$C198)*$A$8:$A$1007+($C$8:$C$1007&lt;&gt;$C198)*100000))+1)</f>
        <v>17</v>
      </c>
      <c r="L198" s="26" t="str">
        <f aca="false">IF($A198="","",IF($J198=0,"Sem registro anterior",IF($K198&lt;21,"Histórico insuficiente",IF($J198&lt;0.8,"Subcarga",IF($J198&lt;=1.3,"Zona ideal",IF($J198&lt;=1.5,"Atenção","Risco elevado"))))))</f>
        <v>Histórico insuficiente</v>
      </c>
      <c r="M198" s="27" t="s">
        <v>373</v>
      </c>
    </row>
    <row r="199" customFormat="false" ht="15" hidden="false" customHeight="false" outlineLevel="0" collapsed="false">
      <c r="A199" s="29" t="n">
        <v>46260</v>
      </c>
      <c r="B199" s="40" t="n">
        <f aca="false">IF($A199="",0,INT(($A199-Macrociclo!$C$11)/7)+1)</f>
        <v>34</v>
      </c>
      <c r="C199" s="27" t="s">
        <v>226</v>
      </c>
      <c r="D199" s="27" t="s">
        <v>1066</v>
      </c>
      <c r="E199" s="28" t="n">
        <v>100</v>
      </c>
      <c r="F199" s="28" t="n">
        <v>8</v>
      </c>
      <c r="G199" s="44" t="n">
        <f aca="false">IF(OR($E199="",$F199=""),0,$E199*$F199)</f>
        <v>800</v>
      </c>
      <c r="H199" s="44" t="n">
        <f aca="false">IF($A199="",0,SUMIFS($G$8:$G$1007,$C$8:$C$1007,$C199,$A$8:$A$1007,"&gt;="&amp;$A199-6,$A$8:$A$1007,"&lt;="&amp;$A199))</f>
        <v>3635</v>
      </c>
      <c r="I199" s="44" t="n">
        <f aca="false">IF($A199="",0,SUMIFS($G$8:$G$1007,$C$8:$C$1007,$C199,$A$8:$A$1007,"&gt;="&amp;$A199-27,$A$8:$A$1007,"&lt;="&amp;$A199)/4)</f>
        <v>2481.25</v>
      </c>
      <c r="J199" s="144" t="n">
        <f aca="false">IF(OR($A199="",$I199=0),0,$H199/$I199)</f>
        <v>1.46498740554156</v>
      </c>
      <c r="K199" s="40" t="n">
        <f aca="false">IF($A199="",0,$A199-SUMPRODUCT(MIN(($C$8:$C$1007=$C199)*$A$8:$A$1007+($C$8:$C$1007&lt;&gt;$C199)*100000))+1)</f>
        <v>17</v>
      </c>
      <c r="L199" s="26" t="str">
        <f aca="false">IF($A199="","",IF($J199=0,"Sem registro anterior",IF($K199&lt;21,"Histórico insuficiente",IF($J199&lt;0.8,"Subcarga",IF($J199&lt;=1.3,"Zona ideal",IF($J199&lt;=1.5,"Atenção","Risco elevado"))))))</f>
        <v>Histórico insuficiente</v>
      </c>
      <c r="M199" s="27" t="s">
        <v>373</v>
      </c>
    </row>
    <row r="200" customFormat="false" ht="15" hidden="false" customHeight="false" outlineLevel="0" collapsed="false">
      <c r="A200" s="29" t="n">
        <v>46260</v>
      </c>
      <c r="B200" s="40" t="n">
        <f aca="false">IF($A200="",0,INT(($A200-Macrociclo!$C$11)/7)+1)</f>
        <v>34</v>
      </c>
      <c r="C200" s="27" t="s">
        <v>236</v>
      </c>
      <c r="D200" s="27" t="s">
        <v>1066</v>
      </c>
      <c r="E200" s="28" t="n">
        <v>100</v>
      </c>
      <c r="F200" s="28" t="n">
        <v>7</v>
      </c>
      <c r="G200" s="44" t="n">
        <f aca="false">IF(OR($E200="",$F200=""),0,$E200*$F200)</f>
        <v>700</v>
      </c>
      <c r="H200" s="44" t="n">
        <f aca="false">IF($A200="",0,SUMIFS($G$8:$G$1007,$C$8:$C$1007,$C200,$A$8:$A$1007,"&gt;="&amp;$A200-6,$A$8:$A$1007,"&lt;="&amp;$A200))</f>
        <v>3800</v>
      </c>
      <c r="I200" s="44" t="n">
        <f aca="false">IF($A200="",0,SUMIFS($G$8:$G$1007,$C$8:$C$1007,$C200,$A$8:$A$1007,"&gt;="&amp;$A200-27,$A$8:$A$1007,"&lt;="&amp;$A200)/4)</f>
        <v>2321.25</v>
      </c>
      <c r="J200" s="144" t="n">
        <f aca="false">IF(OR($A200="",$I200=0),0,$H200/$I200)</f>
        <v>1.63704900376952</v>
      </c>
      <c r="K200" s="40" t="n">
        <f aca="false">IF($A200="",0,$A200-SUMPRODUCT(MIN(($C$8:$C$1007=$C200)*$A$8:$A$1007+($C$8:$C$1007&lt;&gt;$C200)*100000))+1)</f>
        <v>17</v>
      </c>
      <c r="L200" s="26" t="str">
        <f aca="false">IF($A200="","",IF($J200=0,"Sem registro anterior",IF($K200&lt;21,"Histórico insuficiente",IF($J200&lt;0.8,"Subcarga",IF($J200&lt;=1.3,"Zona ideal",IF($J200&lt;=1.5,"Atenção","Risco elevado"))))))</f>
        <v>Histórico insuficiente</v>
      </c>
      <c r="M200" s="27" t="s">
        <v>373</v>
      </c>
    </row>
    <row r="201" customFormat="false" ht="15" hidden="false" customHeight="false" outlineLevel="0" collapsed="false">
      <c r="A201" s="29" t="n">
        <v>46260</v>
      </c>
      <c r="B201" s="40" t="n">
        <f aca="false">IF($A201="",0,INT(($A201-Macrociclo!$C$11)/7)+1)</f>
        <v>34</v>
      </c>
      <c r="C201" s="27" t="s">
        <v>244</v>
      </c>
      <c r="D201" s="27" t="s">
        <v>1066</v>
      </c>
      <c r="E201" s="28" t="n">
        <v>100</v>
      </c>
      <c r="F201" s="28" t="n">
        <v>8</v>
      </c>
      <c r="G201" s="44" t="n">
        <f aca="false">IF(OR($E201="",$F201=""),0,$E201*$F201)</f>
        <v>800</v>
      </c>
      <c r="H201" s="44" t="n">
        <f aca="false">IF($A201="",0,SUMIFS($G$8:$G$1007,$C$8:$C$1007,$C201,$A$8:$A$1007,"&gt;="&amp;$A201-6,$A$8:$A$1007,"&lt;="&amp;$A201))</f>
        <v>4115</v>
      </c>
      <c r="I201" s="44" t="n">
        <f aca="false">IF($A201="",0,SUMIFS($G$8:$G$1007,$C$8:$C$1007,$C201,$A$8:$A$1007,"&gt;="&amp;$A201-27,$A$8:$A$1007,"&lt;="&amp;$A201)/4)</f>
        <v>2410</v>
      </c>
      <c r="J201" s="144" t="n">
        <f aca="false">IF(OR($A201="",$I201=0),0,$H201/$I201)</f>
        <v>1.70746887966805</v>
      </c>
      <c r="K201" s="40" t="n">
        <f aca="false">IF($A201="",0,$A201-SUMPRODUCT(MIN(($C$8:$C$1007=$C201)*$A$8:$A$1007+($C$8:$C$1007&lt;&gt;$C201)*100000))+1)</f>
        <v>17</v>
      </c>
      <c r="L201" s="26" t="str">
        <f aca="false">IF($A201="","",IF($J201=0,"Sem registro anterior",IF($K201&lt;21,"Histórico insuficiente",IF($J201&lt;0.8,"Subcarga",IF($J201&lt;=1.3,"Zona ideal",IF($J201&lt;=1.5,"Atenção","Risco elevado"))))))</f>
        <v>Histórico insuficiente</v>
      </c>
      <c r="M201" s="27" t="s">
        <v>373</v>
      </c>
    </row>
    <row r="202" customFormat="false" ht="15" hidden="false" customHeight="false" outlineLevel="0" collapsed="false">
      <c r="A202" s="29" t="n">
        <v>46260</v>
      </c>
      <c r="B202" s="40" t="n">
        <f aca="false">IF($A202="",0,INT(($A202-Macrociclo!$C$11)/7)+1)</f>
        <v>34</v>
      </c>
      <c r="C202" s="27" t="s">
        <v>253</v>
      </c>
      <c r="D202" s="27" t="s">
        <v>1066</v>
      </c>
      <c r="E202" s="28" t="n">
        <v>90</v>
      </c>
      <c r="F202" s="28" t="n">
        <v>8</v>
      </c>
      <c r="G202" s="44" t="n">
        <f aca="false">IF(OR($E202="",$F202=""),0,$E202*$F202)</f>
        <v>720</v>
      </c>
      <c r="H202" s="44" t="n">
        <f aca="false">IF($A202="",0,SUMIFS($G$8:$G$1007,$C$8:$C$1007,$C202,$A$8:$A$1007,"&gt;="&amp;$A202-6,$A$8:$A$1007,"&lt;="&amp;$A202))</f>
        <v>3925</v>
      </c>
      <c r="I202" s="44" t="n">
        <f aca="false">IF($A202="",0,SUMIFS($G$8:$G$1007,$C$8:$C$1007,$C202,$A$8:$A$1007,"&gt;="&amp;$A202-27,$A$8:$A$1007,"&lt;="&amp;$A202)/4)</f>
        <v>2530</v>
      </c>
      <c r="J202" s="144" t="n">
        <f aca="false">IF(OR($A202="",$I202=0),0,$H202/$I202)</f>
        <v>1.55138339920949</v>
      </c>
      <c r="K202" s="40" t="n">
        <f aca="false">IF($A202="",0,$A202-SUMPRODUCT(MIN(($C$8:$C$1007=$C202)*$A$8:$A$1007+($C$8:$C$1007&lt;&gt;$C202)*100000))+1)</f>
        <v>17</v>
      </c>
      <c r="L202" s="26" t="str">
        <f aca="false">IF($A202="","",IF($J202=0,"Sem registro anterior",IF($K202&lt;21,"Histórico insuficiente",IF($J202&lt;0.8,"Subcarga",IF($J202&lt;=1.3,"Zona ideal",IF($J202&lt;=1.5,"Atenção","Risco elevado"))))))</f>
        <v>Histórico insuficiente</v>
      </c>
      <c r="M202" s="27" t="s">
        <v>373</v>
      </c>
    </row>
    <row r="203" customFormat="false" ht="15" hidden="false" customHeight="false" outlineLevel="0" collapsed="false">
      <c r="A203" s="29" t="n">
        <v>46260</v>
      </c>
      <c r="B203" s="40" t="n">
        <f aca="false">IF($A203="",0,INT(($A203-Macrociclo!$C$11)/7)+1)</f>
        <v>34</v>
      </c>
      <c r="C203" s="27" t="s">
        <v>259</v>
      </c>
      <c r="D203" s="27" t="s">
        <v>1066</v>
      </c>
      <c r="E203" s="28" t="n">
        <v>100</v>
      </c>
      <c r="F203" s="28" t="n">
        <v>9</v>
      </c>
      <c r="G203" s="44" t="n">
        <f aca="false">IF(OR($E203="",$F203=""),0,$E203*$F203)</f>
        <v>900</v>
      </c>
      <c r="H203" s="44" t="n">
        <f aca="false">IF($A203="",0,SUMIFS($G$8:$G$1007,$C$8:$C$1007,$C203,$A$8:$A$1007,"&gt;="&amp;$A203-6,$A$8:$A$1007,"&lt;="&amp;$A203))</f>
        <v>4135</v>
      </c>
      <c r="I203" s="44" t="n">
        <f aca="false">IF($A203="",0,SUMIFS($G$8:$G$1007,$C$8:$C$1007,$C203,$A$8:$A$1007,"&gt;="&amp;$A203-27,$A$8:$A$1007,"&lt;="&amp;$A203)/4)</f>
        <v>2490</v>
      </c>
      <c r="J203" s="144" t="n">
        <f aca="false">IF(OR($A203="",$I203=0),0,$H203/$I203)</f>
        <v>1.66064257028112</v>
      </c>
      <c r="K203" s="40" t="n">
        <f aca="false">IF($A203="",0,$A203-SUMPRODUCT(MIN(($C$8:$C$1007=$C203)*$A$8:$A$1007+($C$8:$C$1007&lt;&gt;$C203)*100000))+1)</f>
        <v>17</v>
      </c>
      <c r="L203" s="26" t="str">
        <f aca="false">IF($A203="","",IF($J203=0,"Sem registro anterior",IF($K203&lt;21,"Histórico insuficiente",IF($J203&lt;0.8,"Subcarga",IF($J203&lt;=1.3,"Zona ideal",IF($J203&lt;=1.5,"Atenção","Risco elevado"))))))</f>
        <v>Histórico insuficiente</v>
      </c>
      <c r="M203" s="27" t="s">
        <v>373</v>
      </c>
    </row>
    <row r="204" customFormat="false" ht="15" hidden="false" customHeight="false" outlineLevel="0" collapsed="false">
      <c r="A204" s="29" t="n">
        <v>46260</v>
      </c>
      <c r="B204" s="40" t="n">
        <f aca="false">IF($A204="",0,INT(($A204-Macrociclo!$C$11)/7)+1)</f>
        <v>34</v>
      </c>
      <c r="C204" s="27" t="s">
        <v>264</v>
      </c>
      <c r="D204" s="27" t="s">
        <v>1066</v>
      </c>
      <c r="E204" s="28" t="n">
        <v>90</v>
      </c>
      <c r="F204" s="28" t="n">
        <v>8</v>
      </c>
      <c r="G204" s="44" t="n">
        <f aca="false">IF(OR($E204="",$F204=""),0,$E204*$F204)</f>
        <v>720</v>
      </c>
      <c r="H204" s="44" t="n">
        <f aca="false">IF($A204="",0,SUMIFS($G$8:$G$1007,$C$8:$C$1007,$C204,$A$8:$A$1007,"&gt;="&amp;$A204-6,$A$8:$A$1007,"&lt;="&amp;$A204))</f>
        <v>3695</v>
      </c>
      <c r="I204" s="44" t="n">
        <f aca="false">IF($A204="",0,SUMIFS($G$8:$G$1007,$C$8:$C$1007,$C204,$A$8:$A$1007,"&gt;="&amp;$A204-27,$A$8:$A$1007,"&lt;="&amp;$A204)/4)</f>
        <v>2445</v>
      </c>
      <c r="J204" s="144" t="n">
        <f aca="false">IF(OR($A204="",$I204=0),0,$H204/$I204)</f>
        <v>1.51124744376278</v>
      </c>
      <c r="K204" s="40" t="n">
        <f aca="false">IF($A204="",0,$A204-SUMPRODUCT(MIN(($C$8:$C$1007=$C204)*$A$8:$A$1007+($C$8:$C$1007&lt;&gt;$C204)*100000))+1)</f>
        <v>17</v>
      </c>
      <c r="L204" s="26" t="str">
        <f aca="false">IF($A204="","",IF($J204=0,"Sem registro anterior",IF($K204&lt;21,"Histórico insuficiente",IF($J204&lt;0.8,"Subcarga",IF($J204&lt;=1.3,"Zona ideal",IF($J204&lt;=1.5,"Atenção","Risco elevado"))))))</f>
        <v>Histórico insuficiente</v>
      </c>
      <c r="M204" s="27" t="s">
        <v>373</v>
      </c>
    </row>
    <row r="205" customFormat="false" ht="15" hidden="false" customHeight="false" outlineLevel="0" collapsed="false">
      <c r="A205" s="29" t="n">
        <v>46260</v>
      </c>
      <c r="B205" s="40" t="n">
        <f aca="false">IF($A205="",0,INT(($A205-Macrociclo!$C$11)/7)+1)</f>
        <v>34</v>
      </c>
      <c r="C205" s="27" t="s">
        <v>270</v>
      </c>
      <c r="D205" s="27" t="s">
        <v>1066</v>
      </c>
      <c r="E205" s="28" t="n">
        <v>105</v>
      </c>
      <c r="F205" s="28" t="n">
        <v>9</v>
      </c>
      <c r="G205" s="44" t="n">
        <f aca="false">IF(OR($E205="",$F205=""),0,$E205*$F205)</f>
        <v>945</v>
      </c>
      <c r="H205" s="44" t="n">
        <f aca="false">IF($A205="",0,SUMIFS($G$8:$G$1007,$C$8:$C$1007,$C205,$A$8:$A$1007,"&gt;="&amp;$A205-6,$A$8:$A$1007,"&lt;="&amp;$A205))</f>
        <v>3150</v>
      </c>
      <c r="I205" s="44" t="n">
        <f aca="false">IF($A205="",0,SUMIFS($G$8:$G$1007,$C$8:$C$1007,$C205,$A$8:$A$1007,"&gt;="&amp;$A205-27,$A$8:$A$1007,"&lt;="&amp;$A205)/4)</f>
        <v>2405</v>
      </c>
      <c r="J205" s="144" t="n">
        <f aca="false">IF(OR($A205="",$I205=0),0,$H205/$I205)</f>
        <v>1.30977130977131</v>
      </c>
      <c r="K205" s="40" t="n">
        <f aca="false">IF($A205="",0,$A205-SUMPRODUCT(MIN(($C$8:$C$1007=$C205)*$A$8:$A$1007+($C$8:$C$1007&lt;&gt;$C205)*100000))+1)</f>
        <v>17</v>
      </c>
      <c r="L205" s="26" t="str">
        <f aca="false">IF($A205="","",IF($J205=0,"Sem registro anterior",IF($K205&lt;21,"Histórico insuficiente",IF($J205&lt;0.8,"Subcarga",IF($J205&lt;=1.3,"Zona ideal",IF($J205&lt;=1.5,"Atenção","Risco elevado"))))))</f>
        <v>Histórico insuficiente</v>
      </c>
      <c r="M205" s="27" t="s">
        <v>373</v>
      </c>
    </row>
    <row r="206" customFormat="false" ht="15" hidden="false" customHeight="false" outlineLevel="0" collapsed="false">
      <c r="A206" s="29" t="n">
        <v>46260</v>
      </c>
      <c r="B206" s="40" t="n">
        <f aca="false">IF($A206="",0,INT(($A206-Macrociclo!$C$11)/7)+1)</f>
        <v>34</v>
      </c>
      <c r="C206" s="27" t="s">
        <v>279</v>
      </c>
      <c r="D206" s="27" t="s">
        <v>1066</v>
      </c>
      <c r="E206" s="28" t="n">
        <v>95</v>
      </c>
      <c r="F206" s="28" t="n">
        <v>9</v>
      </c>
      <c r="G206" s="44" t="n">
        <f aca="false">IF(OR($E206="",$F206=""),0,$E206*$F206)</f>
        <v>855</v>
      </c>
      <c r="H206" s="44" t="n">
        <f aca="false">IF($A206="",0,SUMIFS($G$8:$G$1007,$C$8:$C$1007,$C206,$A$8:$A$1007,"&gt;="&amp;$A206-6,$A$8:$A$1007,"&lt;="&amp;$A206))</f>
        <v>3655</v>
      </c>
      <c r="I206" s="44" t="n">
        <f aca="false">IF($A206="",0,SUMIFS($G$8:$G$1007,$C$8:$C$1007,$C206,$A$8:$A$1007,"&gt;="&amp;$A206-27,$A$8:$A$1007,"&lt;="&amp;$A206)/4)</f>
        <v>2076.25</v>
      </c>
      <c r="J206" s="144" t="n">
        <f aca="false">IF(OR($A206="",$I206=0),0,$H206/$I206)</f>
        <v>1.76038531005418</v>
      </c>
      <c r="K206" s="40" t="n">
        <f aca="false">IF($A206="",0,$A206-SUMPRODUCT(MIN(($C$8:$C$1007=$C206)*$A$8:$A$1007+($C$8:$C$1007&lt;&gt;$C206)*100000))+1)</f>
        <v>17</v>
      </c>
      <c r="L206" s="26" t="str">
        <f aca="false">IF($A206="","",IF($J206=0,"Sem registro anterior",IF($K206&lt;21,"Histórico insuficiente",IF($J206&lt;0.8,"Subcarga",IF($J206&lt;=1.3,"Zona ideal",IF($J206&lt;=1.5,"Atenção","Risco elevado"))))))</f>
        <v>Histórico insuficiente</v>
      </c>
      <c r="M206" s="27" t="s">
        <v>373</v>
      </c>
    </row>
    <row r="207" customFormat="false" ht="15" hidden="false" customHeight="false" outlineLevel="0" collapsed="false">
      <c r="A207" s="29" t="n">
        <v>46261</v>
      </c>
      <c r="B207" s="40" t="n">
        <f aca="false">IF($A207="",0,INT(($A207-Macrociclo!$C$11)/7)+1)</f>
        <v>34</v>
      </c>
      <c r="C207" s="27" t="s">
        <v>164</v>
      </c>
      <c r="D207" s="27" t="s">
        <v>1069</v>
      </c>
      <c r="E207" s="28" t="n">
        <v>45</v>
      </c>
      <c r="F207" s="28" t="n">
        <v>6</v>
      </c>
      <c r="G207" s="44" t="n">
        <f aca="false">IF(OR($E207="",$F207=""),0,$E207*$F207)</f>
        <v>270</v>
      </c>
      <c r="H207" s="44" t="n">
        <f aca="false">IF($A207="",0,SUMIFS($G$8:$G$1007,$C$8:$C$1007,$C207,$A$8:$A$1007,"&gt;="&amp;$A207-6,$A$8:$A$1007,"&lt;="&amp;$A207))</f>
        <v>4030</v>
      </c>
      <c r="I207" s="44" t="n">
        <f aca="false">IF($A207="",0,SUMIFS($G$8:$G$1007,$C$8:$C$1007,$C207,$A$8:$A$1007,"&gt;="&amp;$A207-27,$A$8:$A$1007,"&lt;="&amp;$A207)/4)</f>
        <v>2672.5</v>
      </c>
      <c r="J207" s="144" t="n">
        <f aca="false">IF(OR($A207="",$I207=0),0,$H207/$I207)</f>
        <v>1.50795135640786</v>
      </c>
      <c r="K207" s="40" t="n">
        <f aca="false">IF($A207="",0,$A207-SUMPRODUCT(MIN(($C$8:$C$1007=$C207)*$A$8:$A$1007+($C$8:$C$1007&lt;&gt;$C207)*100000))+1)</f>
        <v>18</v>
      </c>
      <c r="L207" s="26" t="str">
        <f aca="false">IF($A207="","",IF($J207=0,"Sem registro anterior",IF($K207&lt;21,"Histórico insuficiente",IF($J207&lt;0.8,"Subcarga",IF($J207&lt;=1.3,"Zona ideal",IF($J207&lt;=1.5,"Atenção","Risco elevado"))))))</f>
        <v>Histórico insuficiente</v>
      </c>
      <c r="M207" s="27" t="s">
        <v>373</v>
      </c>
    </row>
    <row r="208" customFormat="false" ht="15" hidden="false" customHeight="false" outlineLevel="0" collapsed="false">
      <c r="A208" s="29" t="n">
        <v>46261</v>
      </c>
      <c r="B208" s="40" t="n">
        <f aca="false">IF($A208="",0,INT(($A208-Macrociclo!$C$11)/7)+1)</f>
        <v>34</v>
      </c>
      <c r="C208" s="27" t="s">
        <v>192</v>
      </c>
      <c r="D208" s="27" t="s">
        <v>1069</v>
      </c>
      <c r="E208" s="28" t="n">
        <v>55</v>
      </c>
      <c r="F208" s="28" t="n">
        <v>6</v>
      </c>
      <c r="G208" s="44" t="n">
        <f aca="false">IF(OR($E208="",$F208=""),0,$E208*$F208)</f>
        <v>330</v>
      </c>
      <c r="H208" s="44" t="n">
        <f aca="false">IF($A208="",0,SUMIFS($G$8:$G$1007,$C$8:$C$1007,$C208,$A$8:$A$1007,"&gt;="&amp;$A208-6,$A$8:$A$1007,"&lt;="&amp;$A208))</f>
        <v>4205</v>
      </c>
      <c r="I208" s="44" t="n">
        <f aca="false">IF($A208="",0,SUMIFS($G$8:$G$1007,$C$8:$C$1007,$C208,$A$8:$A$1007,"&gt;="&amp;$A208-27,$A$8:$A$1007,"&lt;="&amp;$A208)/4)</f>
        <v>2817.5</v>
      </c>
      <c r="J208" s="144" t="n">
        <f aca="false">IF(OR($A208="",$I208=0),0,$H208/$I208)</f>
        <v>1.4924578527063</v>
      </c>
      <c r="K208" s="40" t="n">
        <f aca="false">IF($A208="",0,$A208-SUMPRODUCT(MIN(($C$8:$C$1007=$C208)*$A$8:$A$1007+($C$8:$C$1007&lt;&gt;$C208)*100000))+1)</f>
        <v>18</v>
      </c>
      <c r="L208" s="26" t="str">
        <f aca="false">IF($A208="","",IF($J208=0,"Sem registro anterior",IF($K208&lt;21,"Histórico insuficiente",IF($J208&lt;0.8,"Subcarga",IF($J208&lt;=1.3,"Zona ideal",IF($J208&lt;=1.5,"Atenção","Risco elevado"))))))</f>
        <v>Histórico insuficiente</v>
      </c>
      <c r="M208" s="27" t="s">
        <v>373</v>
      </c>
    </row>
    <row r="209" customFormat="false" ht="15" hidden="false" customHeight="false" outlineLevel="0" collapsed="false">
      <c r="A209" s="29" t="n">
        <v>46261</v>
      </c>
      <c r="B209" s="40" t="n">
        <f aca="false">IF($A209="",0,INT(($A209-Macrociclo!$C$11)/7)+1)</f>
        <v>34</v>
      </c>
      <c r="C209" s="27" t="s">
        <v>206</v>
      </c>
      <c r="D209" s="27" t="s">
        <v>1069</v>
      </c>
      <c r="E209" s="28" t="n">
        <v>45</v>
      </c>
      <c r="F209" s="28" t="n">
        <v>6</v>
      </c>
      <c r="G209" s="44" t="n">
        <f aca="false">IF(OR($E209="",$F209=""),0,$E209*$F209)</f>
        <v>270</v>
      </c>
      <c r="H209" s="44" t="n">
        <f aca="false">IF($A209="",0,SUMIFS($G$8:$G$1007,$C$8:$C$1007,$C209,$A$8:$A$1007,"&gt;="&amp;$A209-6,$A$8:$A$1007,"&lt;="&amp;$A209))</f>
        <v>3355</v>
      </c>
      <c r="I209" s="44" t="n">
        <f aca="false">IF($A209="",0,SUMIFS($G$8:$G$1007,$C$8:$C$1007,$C209,$A$8:$A$1007,"&gt;="&amp;$A209-27,$A$8:$A$1007,"&lt;="&amp;$A209)/4)</f>
        <v>2221.25</v>
      </c>
      <c r="J209" s="144" t="n">
        <f aca="false">IF(OR($A209="",$I209=0),0,$H209/$I209)</f>
        <v>1.51041080472707</v>
      </c>
      <c r="K209" s="40" t="n">
        <f aca="false">IF($A209="",0,$A209-SUMPRODUCT(MIN(($C$8:$C$1007=$C209)*$A$8:$A$1007+($C$8:$C$1007&lt;&gt;$C209)*100000))+1)</f>
        <v>18</v>
      </c>
      <c r="L209" s="26" t="str">
        <f aca="false">IF($A209="","",IF($J209=0,"Sem registro anterior",IF($K209&lt;21,"Histórico insuficiente",IF($J209&lt;0.8,"Subcarga",IF($J209&lt;=1.3,"Zona ideal",IF($J209&lt;=1.5,"Atenção","Risco elevado"))))))</f>
        <v>Histórico insuficiente</v>
      </c>
      <c r="M209" s="27" t="s">
        <v>373</v>
      </c>
    </row>
    <row r="210" customFormat="false" ht="15" hidden="false" customHeight="false" outlineLevel="0" collapsed="false">
      <c r="A210" s="29" t="n">
        <v>46261</v>
      </c>
      <c r="B210" s="40" t="n">
        <f aca="false">IF($A210="",0,INT(($A210-Macrociclo!$C$11)/7)+1)</f>
        <v>34</v>
      </c>
      <c r="C210" s="27" t="s">
        <v>226</v>
      </c>
      <c r="D210" s="27" t="s">
        <v>1069</v>
      </c>
      <c r="E210" s="28" t="n">
        <v>55</v>
      </c>
      <c r="F210" s="28" t="n">
        <v>7</v>
      </c>
      <c r="G210" s="44" t="n">
        <f aca="false">IF(OR($E210="",$F210=""),0,$E210*$F210)</f>
        <v>385</v>
      </c>
      <c r="H210" s="44" t="n">
        <f aca="false">IF($A210="",0,SUMIFS($G$8:$G$1007,$C$8:$C$1007,$C210,$A$8:$A$1007,"&gt;="&amp;$A210-6,$A$8:$A$1007,"&lt;="&amp;$A210))</f>
        <v>3780</v>
      </c>
      <c r="I210" s="44" t="n">
        <f aca="false">IF($A210="",0,SUMIFS($G$8:$G$1007,$C$8:$C$1007,$C210,$A$8:$A$1007,"&gt;="&amp;$A210-27,$A$8:$A$1007,"&lt;="&amp;$A210)/4)</f>
        <v>2757.5</v>
      </c>
      <c r="J210" s="144" t="n">
        <f aca="false">IF(OR($A210="",$I210=0),0,$H210/$I210)</f>
        <v>1.37080689029918</v>
      </c>
      <c r="K210" s="40" t="n">
        <f aca="false">IF($A210="",0,$A210-SUMPRODUCT(MIN(($C$8:$C$1007=$C210)*$A$8:$A$1007+($C$8:$C$1007&lt;&gt;$C210)*100000))+1)</f>
        <v>18</v>
      </c>
      <c r="L210" s="26" t="str">
        <f aca="false">IF($A210="","",IF($J210=0,"Sem registro anterior",IF($K210&lt;21,"Histórico insuficiente",IF($J210&lt;0.8,"Subcarga",IF($J210&lt;=1.3,"Zona ideal",IF($J210&lt;=1.5,"Atenção","Risco elevado"))))))</f>
        <v>Histórico insuficiente</v>
      </c>
      <c r="M210" s="27" t="s">
        <v>373</v>
      </c>
    </row>
    <row r="211" customFormat="false" ht="15" hidden="false" customHeight="false" outlineLevel="0" collapsed="false">
      <c r="A211" s="29" t="n">
        <v>46261</v>
      </c>
      <c r="B211" s="40" t="n">
        <f aca="false">IF($A211="",0,INT(($A211-Macrociclo!$C$11)/7)+1)</f>
        <v>34</v>
      </c>
      <c r="C211" s="27" t="s">
        <v>236</v>
      </c>
      <c r="D211" s="27" t="s">
        <v>1069</v>
      </c>
      <c r="E211" s="28" t="n">
        <v>40</v>
      </c>
      <c r="F211" s="28" t="n">
        <v>6</v>
      </c>
      <c r="G211" s="44" t="n">
        <f aca="false">IF(OR($E211="",$F211=""),0,$E211*$F211)</f>
        <v>240</v>
      </c>
      <c r="H211" s="44" t="n">
        <f aca="false">IF($A211="",0,SUMIFS($G$8:$G$1007,$C$8:$C$1007,$C211,$A$8:$A$1007,"&gt;="&amp;$A211-6,$A$8:$A$1007,"&lt;="&amp;$A211))</f>
        <v>3765</v>
      </c>
      <c r="I211" s="44" t="n">
        <f aca="false">IF($A211="",0,SUMIFS($G$8:$G$1007,$C$8:$C$1007,$C211,$A$8:$A$1007,"&gt;="&amp;$A211-27,$A$8:$A$1007,"&lt;="&amp;$A211)/4)</f>
        <v>2530</v>
      </c>
      <c r="J211" s="144" t="n">
        <f aca="false">IF(OR($A211="",$I211=0),0,$H211/$I211)</f>
        <v>1.48814229249012</v>
      </c>
      <c r="K211" s="40" t="n">
        <f aca="false">IF($A211="",0,$A211-SUMPRODUCT(MIN(($C$8:$C$1007=$C211)*$A$8:$A$1007+($C$8:$C$1007&lt;&gt;$C211)*100000))+1)</f>
        <v>18</v>
      </c>
      <c r="L211" s="26" t="str">
        <f aca="false">IF($A211="","",IF($J211=0,"Sem registro anterior",IF($K211&lt;21,"Histórico insuficiente",IF($J211&lt;0.8,"Subcarga",IF($J211&lt;=1.3,"Zona ideal",IF($J211&lt;=1.5,"Atenção","Risco elevado"))))))</f>
        <v>Histórico insuficiente</v>
      </c>
      <c r="M211" s="27" t="s">
        <v>373</v>
      </c>
    </row>
    <row r="212" customFormat="false" ht="15" hidden="false" customHeight="false" outlineLevel="0" collapsed="false">
      <c r="A212" s="29" t="n">
        <v>46261</v>
      </c>
      <c r="B212" s="40" t="n">
        <f aca="false">IF($A212="",0,INT(($A212-Macrociclo!$C$11)/7)+1)</f>
        <v>34</v>
      </c>
      <c r="C212" s="27" t="s">
        <v>244</v>
      </c>
      <c r="D212" s="27" t="s">
        <v>1069</v>
      </c>
      <c r="E212" s="28" t="n">
        <v>50</v>
      </c>
      <c r="F212" s="28" t="n">
        <v>7</v>
      </c>
      <c r="G212" s="44" t="n">
        <f aca="false">IF(OR($E212="",$F212=""),0,$E212*$F212)</f>
        <v>350</v>
      </c>
      <c r="H212" s="44" t="n">
        <f aca="false">IF($A212="",0,SUMIFS($G$8:$G$1007,$C$8:$C$1007,$C212,$A$8:$A$1007,"&gt;="&amp;$A212-6,$A$8:$A$1007,"&lt;="&amp;$A212))</f>
        <v>4285</v>
      </c>
      <c r="I212" s="44" t="n">
        <f aca="false">IF($A212="",0,SUMIFS($G$8:$G$1007,$C$8:$C$1007,$C212,$A$8:$A$1007,"&gt;="&amp;$A212-27,$A$8:$A$1007,"&lt;="&amp;$A212)/4)</f>
        <v>2667.5</v>
      </c>
      <c r="J212" s="144" t="n">
        <f aca="false">IF(OR($A212="",$I212=0),0,$H212/$I212)</f>
        <v>1.60637300843486</v>
      </c>
      <c r="K212" s="40" t="n">
        <f aca="false">IF($A212="",0,$A212-SUMPRODUCT(MIN(($C$8:$C$1007=$C212)*$A$8:$A$1007+($C$8:$C$1007&lt;&gt;$C212)*100000))+1)</f>
        <v>18</v>
      </c>
      <c r="L212" s="26" t="str">
        <f aca="false">IF($A212="","",IF($J212=0,"Sem registro anterior",IF($K212&lt;21,"Histórico insuficiente",IF($J212&lt;0.8,"Subcarga",IF($J212&lt;=1.3,"Zona ideal",IF($J212&lt;=1.5,"Atenção","Risco elevado"))))))</f>
        <v>Histórico insuficiente</v>
      </c>
      <c r="M212" s="27" t="s">
        <v>373</v>
      </c>
    </row>
    <row r="213" customFormat="false" ht="15" hidden="false" customHeight="false" outlineLevel="0" collapsed="false">
      <c r="A213" s="29" t="n">
        <v>46261</v>
      </c>
      <c r="B213" s="40" t="n">
        <f aca="false">IF($A213="",0,INT(($A213-Macrociclo!$C$11)/7)+1)</f>
        <v>34</v>
      </c>
      <c r="C213" s="27" t="s">
        <v>253</v>
      </c>
      <c r="D213" s="27" t="s">
        <v>1069</v>
      </c>
      <c r="E213" s="28" t="n">
        <v>45</v>
      </c>
      <c r="F213" s="28" t="n">
        <v>6</v>
      </c>
      <c r="G213" s="44" t="n">
        <f aca="false">IF(OR($E213="",$F213=""),0,$E213*$F213)</f>
        <v>270</v>
      </c>
      <c r="H213" s="44" t="n">
        <f aca="false">IF($A213="",0,SUMIFS($G$8:$G$1007,$C$8:$C$1007,$C213,$A$8:$A$1007,"&gt;="&amp;$A213-6,$A$8:$A$1007,"&lt;="&amp;$A213))</f>
        <v>3665</v>
      </c>
      <c r="I213" s="44" t="n">
        <f aca="false">IF($A213="",0,SUMIFS($G$8:$G$1007,$C$8:$C$1007,$C213,$A$8:$A$1007,"&gt;="&amp;$A213-27,$A$8:$A$1007,"&lt;="&amp;$A213)/4)</f>
        <v>2717.5</v>
      </c>
      <c r="J213" s="144" t="n">
        <f aca="false">IF(OR($A213="",$I213=0),0,$H213/$I213)</f>
        <v>1.34866605335787</v>
      </c>
      <c r="K213" s="40" t="n">
        <f aca="false">IF($A213="",0,$A213-SUMPRODUCT(MIN(($C$8:$C$1007=$C213)*$A$8:$A$1007+($C$8:$C$1007&lt;&gt;$C213)*100000))+1)</f>
        <v>18</v>
      </c>
      <c r="L213" s="26" t="str">
        <f aca="false">IF($A213="","",IF($J213=0,"Sem registro anterior",IF($K213&lt;21,"Histórico insuficiente",IF($J213&lt;0.8,"Subcarga",IF($J213&lt;=1.3,"Zona ideal",IF($J213&lt;=1.5,"Atenção","Risco elevado"))))))</f>
        <v>Histórico insuficiente</v>
      </c>
      <c r="M213" s="27" t="s">
        <v>373</v>
      </c>
    </row>
    <row r="214" customFormat="false" ht="15" hidden="false" customHeight="false" outlineLevel="0" collapsed="false">
      <c r="A214" s="29" t="n">
        <v>46261</v>
      </c>
      <c r="B214" s="40" t="n">
        <f aca="false">IF($A214="",0,INT(($A214-Macrociclo!$C$11)/7)+1)</f>
        <v>34</v>
      </c>
      <c r="C214" s="27" t="s">
        <v>259</v>
      </c>
      <c r="D214" s="27" t="s">
        <v>1069</v>
      </c>
      <c r="E214" s="28" t="n">
        <v>40</v>
      </c>
      <c r="F214" s="28" t="n">
        <v>6</v>
      </c>
      <c r="G214" s="44" t="n">
        <f aca="false">IF(OR($E214="",$F214=""),0,$E214*$F214)</f>
        <v>240</v>
      </c>
      <c r="H214" s="44" t="n">
        <f aca="false">IF($A214="",0,SUMIFS($G$8:$G$1007,$C$8:$C$1007,$C214,$A$8:$A$1007,"&gt;="&amp;$A214-6,$A$8:$A$1007,"&lt;="&amp;$A214))</f>
        <v>3795</v>
      </c>
      <c r="I214" s="44" t="n">
        <f aca="false">IF($A214="",0,SUMIFS($G$8:$G$1007,$C$8:$C$1007,$C214,$A$8:$A$1007,"&gt;="&amp;$A214-27,$A$8:$A$1007,"&lt;="&amp;$A214)/4)</f>
        <v>2677.5</v>
      </c>
      <c r="J214" s="144" t="n">
        <f aca="false">IF(OR($A214="",$I214=0),0,$H214/$I214)</f>
        <v>1.41736694677871</v>
      </c>
      <c r="K214" s="40" t="n">
        <f aca="false">IF($A214="",0,$A214-SUMPRODUCT(MIN(($C$8:$C$1007=$C214)*$A$8:$A$1007+($C$8:$C$1007&lt;&gt;$C214)*100000))+1)</f>
        <v>18</v>
      </c>
      <c r="L214" s="26" t="str">
        <f aca="false">IF($A214="","",IF($J214=0,"Sem registro anterior",IF($K214&lt;21,"Histórico insuficiente",IF($J214&lt;0.8,"Subcarga",IF($J214&lt;=1.3,"Zona ideal",IF($J214&lt;=1.5,"Atenção","Risco elevado"))))))</f>
        <v>Histórico insuficiente</v>
      </c>
      <c r="M214" s="27" t="s">
        <v>373</v>
      </c>
    </row>
    <row r="215" customFormat="false" ht="15" hidden="false" customHeight="false" outlineLevel="0" collapsed="false">
      <c r="A215" s="29" t="n">
        <v>46261</v>
      </c>
      <c r="B215" s="40" t="n">
        <f aca="false">IF($A215="",0,INT(($A215-Macrociclo!$C$11)/7)+1)</f>
        <v>34</v>
      </c>
      <c r="C215" s="27" t="s">
        <v>264</v>
      </c>
      <c r="D215" s="27" t="s">
        <v>1069</v>
      </c>
      <c r="E215" s="28" t="n">
        <v>40</v>
      </c>
      <c r="F215" s="28" t="n">
        <v>5</v>
      </c>
      <c r="G215" s="44" t="n">
        <f aca="false">IF(OR($E215="",$F215=""),0,$E215*$F215)</f>
        <v>200</v>
      </c>
      <c r="H215" s="44" t="n">
        <f aca="false">IF($A215="",0,SUMIFS($G$8:$G$1007,$C$8:$C$1007,$C215,$A$8:$A$1007,"&gt;="&amp;$A215-6,$A$8:$A$1007,"&lt;="&amp;$A215))</f>
        <v>3775</v>
      </c>
      <c r="I215" s="44" t="n">
        <f aca="false">IF($A215="",0,SUMIFS($G$8:$G$1007,$C$8:$C$1007,$C215,$A$8:$A$1007,"&gt;="&amp;$A215-27,$A$8:$A$1007,"&lt;="&amp;$A215)/4)</f>
        <v>2652.5</v>
      </c>
      <c r="J215" s="144" t="n">
        <f aca="false">IF(OR($A215="",$I215=0),0,$H215/$I215)</f>
        <v>1.42318567389255</v>
      </c>
      <c r="K215" s="40" t="n">
        <f aca="false">IF($A215="",0,$A215-SUMPRODUCT(MIN(($C$8:$C$1007=$C215)*$A$8:$A$1007+($C$8:$C$1007&lt;&gt;$C215)*100000))+1)</f>
        <v>18</v>
      </c>
      <c r="L215" s="26" t="str">
        <f aca="false">IF($A215="","",IF($J215=0,"Sem registro anterior",IF($K215&lt;21,"Histórico insuficiente",IF($J215&lt;0.8,"Subcarga",IF($J215&lt;=1.3,"Zona ideal",IF($J215&lt;=1.5,"Atenção","Risco elevado"))))))</f>
        <v>Histórico insuficiente</v>
      </c>
      <c r="M215" s="27" t="s">
        <v>373</v>
      </c>
    </row>
    <row r="216" customFormat="false" ht="15" hidden="false" customHeight="false" outlineLevel="0" collapsed="false">
      <c r="A216" s="29" t="n">
        <v>46261</v>
      </c>
      <c r="B216" s="40" t="n">
        <f aca="false">IF($A216="",0,INT(($A216-Macrociclo!$C$11)/7)+1)</f>
        <v>34</v>
      </c>
      <c r="C216" s="27" t="s">
        <v>270</v>
      </c>
      <c r="D216" s="27" t="s">
        <v>1069</v>
      </c>
      <c r="E216" s="28" t="n">
        <v>50</v>
      </c>
      <c r="F216" s="28" t="n">
        <v>7</v>
      </c>
      <c r="G216" s="44" t="n">
        <f aca="false">IF(OR($E216="",$F216=""),0,$E216*$F216)</f>
        <v>350</v>
      </c>
      <c r="H216" s="44" t="n">
        <f aca="false">IF($A216="",0,SUMIFS($G$8:$G$1007,$C$8:$C$1007,$C216,$A$8:$A$1007,"&gt;="&amp;$A216-6,$A$8:$A$1007,"&lt;="&amp;$A216))</f>
        <v>3225</v>
      </c>
      <c r="I216" s="44" t="n">
        <f aca="false">IF($A216="",0,SUMIFS($G$8:$G$1007,$C$8:$C$1007,$C216,$A$8:$A$1007,"&gt;="&amp;$A216-27,$A$8:$A$1007,"&lt;="&amp;$A216)/4)</f>
        <v>2641.25</v>
      </c>
      <c r="J216" s="144" t="n">
        <f aca="false">IF(OR($A216="",$I216=0),0,$H216/$I216)</f>
        <v>1.2210127780407</v>
      </c>
      <c r="K216" s="40" t="n">
        <f aca="false">IF($A216="",0,$A216-SUMPRODUCT(MIN(($C$8:$C$1007=$C216)*$A$8:$A$1007+($C$8:$C$1007&lt;&gt;$C216)*100000))+1)</f>
        <v>18</v>
      </c>
      <c r="L216" s="26" t="str">
        <f aca="false">IF($A216="","",IF($J216=0,"Sem registro anterior",IF($K216&lt;21,"Histórico insuficiente",IF($J216&lt;0.8,"Subcarga",IF($J216&lt;=1.3,"Zona ideal",IF($J216&lt;=1.5,"Atenção","Risco elevado"))))))</f>
        <v>Histórico insuficiente</v>
      </c>
      <c r="M216" s="27" t="s">
        <v>373</v>
      </c>
    </row>
    <row r="217" customFormat="false" ht="15" hidden="false" customHeight="false" outlineLevel="0" collapsed="false">
      <c r="A217" s="29" t="n">
        <v>46261</v>
      </c>
      <c r="B217" s="40" t="n">
        <f aca="false">IF($A217="",0,INT(($A217-Macrociclo!$C$11)/7)+1)</f>
        <v>34</v>
      </c>
      <c r="C217" s="27" t="s">
        <v>279</v>
      </c>
      <c r="D217" s="27" t="s">
        <v>1069</v>
      </c>
      <c r="E217" s="28" t="n">
        <v>50</v>
      </c>
      <c r="F217" s="28" t="n">
        <v>7</v>
      </c>
      <c r="G217" s="44" t="n">
        <f aca="false">IF(OR($E217="",$F217=""),0,$E217*$F217)</f>
        <v>350</v>
      </c>
      <c r="H217" s="44" t="n">
        <f aca="false">IF($A217="",0,SUMIFS($G$8:$G$1007,$C$8:$C$1007,$C217,$A$8:$A$1007,"&gt;="&amp;$A217-6,$A$8:$A$1007,"&lt;="&amp;$A217))</f>
        <v>3595</v>
      </c>
      <c r="I217" s="44" t="n">
        <f aca="false">IF($A217="",0,SUMIFS($G$8:$G$1007,$C$8:$C$1007,$C217,$A$8:$A$1007,"&gt;="&amp;$A217-27,$A$8:$A$1007,"&lt;="&amp;$A217)/4)</f>
        <v>2323.75</v>
      </c>
      <c r="J217" s="144" t="n">
        <f aca="false">IF(OR($A217="",$I217=0),0,$H217/$I217)</f>
        <v>1.54706831629909</v>
      </c>
      <c r="K217" s="40" t="n">
        <f aca="false">IF($A217="",0,$A217-SUMPRODUCT(MIN(($C$8:$C$1007=$C217)*$A$8:$A$1007+($C$8:$C$1007&lt;&gt;$C217)*100000))+1)</f>
        <v>18</v>
      </c>
      <c r="L217" s="26" t="str">
        <f aca="false">IF($A217="","",IF($J217=0,"Sem registro anterior",IF($K217&lt;21,"Histórico insuficiente",IF($J217&lt;0.8,"Subcarga",IF($J217&lt;=1.3,"Zona ideal",IF($J217&lt;=1.5,"Atenção","Risco elevado"))))))</f>
        <v>Histórico insuficiente</v>
      </c>
      <c r="M217" s="27" t="s">
        <v>373</v>
      </c>
    </row>
    <row r="218" customFormat="false" ht="15" hidden="false" customHeight="false" outlineLevel="0" collapsed="false">
      <c r="A218" s="29" t="n">
        <v>46261</v>
      </c>
      <c r="B218" s="40" t="n">
        <f aca="false">IF($A218="",0,INT(($A218-Macrociclo!$C$11)/7)+1)</f>
        <v>34</v>
      </c>
      <c r="C218" s="27" t="s">
        <v>164</v>
      </c>
      <c r="D218" s="27" t="s">
        <v>1056</v>
      </c>
      <c r="E218" s="28" t="n">
        <v>80</v>
      </c>
      <c r="F218" s="28" t="n">
        <v>7</v>
      </c>
      <c r="G218" s="44" t="n">
        <f aca="false">IF(OR($E218="",$F218=""),0,$E218*$F218)</f>
        <v>560</v>
      </c>
      <c r="H218" s="44" t="n">
        <f aca="false">IF($A218="",0,SUMIFS($G$8:$G$1007,$C$8:$C$1007,$C218,$A$8:$A$1007,"&gt;="&amp;$A218-6,$A$8:$A$1007,"&lt;="&amp;$A218))</f>
        <v>4030</v>
      </c>
      <c r="I218" s="44" t="n">
        <f aca="false">IF($A218="",0,SUMIFS($G$8:$G$1007,$C$8:$C$1007,$C218,$A$8:$A$1007,"&gt;="&amp;$A218-27,$A$8:$A$1007,"&lt;="&amp;$A218)/4)</f>
        <v>2672.5</v>
      </c>
      <c r="J218" s="144" t="n">
        <f aca="false">IF(OR($A218="",$I218=0),0,$H218/$I218)</f>
        <v>1.50795135640786</v>
      </c>
      <c r="K218" s="40" t="n">
        <f aca="false">IF($A218="",0,$A218-SUMPRODUCT(MIN(($C$8:$C$1007=$C218)*$A$8:$A$1007+($C$8:$C$1007&lt;&gt;$C218)*100000))+1)</f>
        <v>18</v>
      </c>
      <c r="L218" s="26" t="str">
        <f aca="false">IF($A218="","",IF($J218=0,"Sem registro anterior",IF($K218&lt;21,"Histórico insuficiente",IF($J218&lt;0.8,"Subcarga",IF($J218&lt;=1.3,"Zona ideal",IF($J218&lt;=1.5,"Atenção","Risco elevado"))))))</f>
        <v>Histórico insuficiente</v>
      </c>
      <c r="M218" s="27" t="s">
        <v>373</v>
      </c>
    </row>
    <row r="219" customFormat="false" ht="15" hidden="false" customHeight="false" outlineLevel="0" collapsed="false">
      <c r="A219" s="29" t="n">
        <v>46261</v>
      </c>
      <c r="B219" s="40" t="n">
        <f aca="false">IF($A219="",0,INT(($A219-Macrociclo!$C$11)/7)+1)</f>
        <v>34</v>
      </c>
      <c r="C219" s="27" t="s">
        <v>192</v>
      </c>
      <c r="D219" s="27" t="s">
        <v>1056</v>
      </c>
      <c r="E219" s="28" t="n">
        <v>95</v>
      </c>
      <c r="F219" s="28" t="n">
        <v>6</v>
      </c>
      <c r="G219" s="44" t="n">
        <f aca="false">IF(OR($E219="",$F219=""),0,$E219*$F219)</f>
        <v>570</v>
      </c>
      <c r="H219" s="44" t="n">
        <f aca="false">IF($A219="",0,SUMIFS($G$8:$G$1007,$C$8:$C$1007,$C219,$A$8:$A$1007,"&gt;="&amp;$A219-6,$A$8:$A$1007,"&lt;="&amp;$A219))</f>
        <v>4205</v>
      </c>
      <c r="I219" s="44" t="n">
        <f aca="false">IF($A219="",0,SUMIFS($G$8:$G$1007,$C$8:$C$1007,$C219,$A$8:$A$1007,"&gt;="&amp;$A219-27,$A$8:$A$1007,"&lt;="&amp;$A219)/4)</f>
        <v>2817.5</v>
      </c>
      <c r="J219" s="144" t="n">
        <f aca="false">IF(OR($A219="",$I219=0),0,$H219/$I219)</f>
        <v>1.4924578527063</v>
      </c>
      <c r="K219" s="40" t="n">
        <f aca="false">IF($A219="",0,$A219-SUMPRODUCT(MIN(($C$8:$C$1007=$C219)*$A$8:$A$1007+($C$8:$C$1007&lt;&gt;$C219)*100000))+1)</f>
        <v>18</v>
      </c>
      <c r="L219" s="26" t="str">
        <f aca="false">IF($A219="","",IF($J219=0,"Sem registro anterior",IF($K219&lt;21,"Histórico insuficiente",IF($J219&lt;0.8,"Subcarga",IF($J219&lt;=1.3,"Zona ideal",IF($J219&lt;=1.5,"Atenção","Risco elevado"))))))</f>
        <v>Histórico insuficiente</v>
      </c>
      <c r="M219" s="27" t="s">
        <v>373</v>
      </c>
    </row>
    <row r="220" customFormat="false" ht="15" hidden="false" customHeight="false" outlineLevel="0" collapsed="false">
      <c r="A220" s="29" t="n">
        <v>46261</v>
      </c>
      <c r="B220" s="40" t="n">
        <f aca="false">IF($A220="",0,INT(($A220-Macrociclo!$C$11)/7)+1)</f>
        <v>34</v>
      </c>
      <c r="C220" s="27" t="s">
        <v>226</v>
      </c>
      <c r="D220" s="27" t="s">
        <v>1056</v>
      </c>
      <c r="E220" s="28" t="n">
        <v>90</v>
      </c>
      <c r="F220" s="28" t="n">
        <v>8</v>
      </c>
      <c r="G220" s="44" t="n">
        <f aca="false">IF(OR($E220="",$F220=""),0,$E220*$F220)</f>
        <v>720</v>
      </c>
      <c r="H220" s="44" t="n">
        <f aca="false">IF($A220="",0,SUMIFS($G$8:$G$1007,$C$8:$C$1007,$C220,$A$8:$A$1007,"&gt;="&amp;$A220-6,$A$8:$A$1007,"&lt;="&amp;$A220))</f>
        <v>3780</v>
      </c>
      <c r="I220" s="44" t="n">
        <f aca="false">IF($A220="",0,SUMIFS($G$8:$G$1007,$C$8:$C$1007,$C220,$A$8:$A$1007,"&gt;="&amp;$A220-27,$A$8:$A$1007,"&lt;="&amp;$A220)/4)</f>
        <v>2757.5</v>
      </c>
      <c r="J220" s="144" t="n">
        <f aca="false">IF(OR($A220="",$I220=0),0,$H220/$I220)</f>
        <v>1.37080689029918</v>
      </c>
      <c r="K220" s="40" t="n">
        <f aca="false">IF($A220="",0,$A220-SUMPRODUCT(MIN(($C$8:$C$1007=$C220)*$A$8:$A$1007+($C$8:$C$1007&lt;&gt;$C220)*100000))+1)</f>
        <v>18</v>
      </c>
      <c r="L220" s="26" t="str">
        <f aca="false">IF($A220="","",IF($J220=0,"Sem registro anterior",IF($K220&lt;21,"Histórico insuficiente",IF($J220&lt;0.8,"Subcarga",IF($J220&lt;=1.3,"Zona ideal",IF($J220&lt;=1.5,"Atenção","Risco elevado"))))))</f>
        <v>Histórico insuficiente</v>
      </c>
      <c r="M220" s="27" t="s">
        <v>373</v>
      </c>
    </row>
    <row r="221" customFormat="false" ht="15" hidden="false" customHeight="false" outlineLevel="0" collapsed="false">
      <c r="A221" s="29" t="n">
        <v>46261</v>
      </c>
      <c r="B221" s="40" t="n">
        <f aca="false">IF($A221="",0,INT(($A221-Macrociclo!$C$11)/7)+1)</f>
        <v>34</v>
      </c>
      <c r="C221" s="27" t="s">
        <v>236</v>
      </c>
      <c r="D221" s="27" t="s">
        <v>1056</v>
      </c>
      <c r="E221" s="28" t="n">
        <v>85</v>
      </c>
      <c r="F221" s="28" t="n">
        <v>7</v>
      </c>
      <c r="G221" s="44" t="n">
        <f aca="false">IF(OR($E221="",$F221=""),0,$E221*$F221)</f>
        <v>595</v>
      </c>
      <c r="H221" s="44" t="n">
        <f aca="false">IF($A221="",0,SUMIFS($G$8:$G$1007,$C$8:$C$1007,$C221,$A$8:$A$1007,"&gt;="&amp;$A221-6,$A$8:$A$1007,"&lt;="&amp;$A221))</f>
        <v>3765</v>
      </c>
      <c r="I221" s="44" t="n">
        <f aca="false">IF($A221="",0,SUMIFS($G$8:$G$1007,$C$8:$C$1007,$C221,$A$8:$A$1007,"&gt;="&amp;$A221-27,$A$8:$A$1007,"&lt;="&amp;$A221)/4)</f>
        <v>2530</v>
      </c>
      <c r="J221" s="144" t="n">
        <f aca="false">IF(OR($A221="",$I221=0),0,$H221/$I221)</f>
        <v>1.48814229249012</v>
      </c>
      <c r="K221" s="40" t="n">
        <f aca="false">IF($A221="",0,$A221-SUMPRODUCT(MIN(($C$8:$C$1007=$C221)*$A$8:$A$1007+($C$8:$C$1007&lt;&gt;$C221)*100000))+1)</f>
        <v>18</v>
      </c>
      <c r="L221" s="26" t="str">
        <f aca="false">IF($A221="","",IF($J221=0,"Sem registro anterior",IF($K221&lt;21,"Histórico insuficiente",IF($J221&lt;0.8,"Subcarga",IF($J221&lt;=1.3,"Zona ideal",IF($J221&lt;=1.5,"Atenção","Risco elevado"))))))</f>
        <v>Histórico insuficiente</v>
      </c>
      <c r="M221" s="27" t="s">
        <v>373</v>
      </c>
    </row>
    <row r="222" customFormat="false" ht="15" hidden="false" customHeight="false" outlineLevel="0" collapsed="false">
      <c r="A222" s="29" t="n">
        <v>46261</v>
      </c>
      <c r="B222" s="40" t="n">
        <f aca="false">IF($A222="",0,INT(($A222-Macrociclo!$C$11)/7)+1)</f>
        <v>34</v>
      </c>
      <c r="C222" s="27" t="s">
        <v>244</v>
      </c>
      <c r="D222" s="27" t="s">
        <v>1056</v>
      </c>
      <c r="E222" s="28" t="n">
        <v>85</v>
      </c>
      <c r="F222" s="28" t="n">
        <v>8</v>
      </c>
      <c r="G222" s="44" t="n">
        <f aca="false">IF(OR($E222="",$F222=""),0,$E222*$F222)</f>
        <v>680</v>
      </c>
      <c r="H222" s="44" t="n">
        <f aca="false">IF($A222="",0,SUMIFS($G$8:$G$1007,$C$8:$C$1007,$C222,$A$8:$A$1007,"&gt;="&amp;$A222-6,$A$8:$A$1007,"&lt;="&amp;$A222))</f>
        <v>4285</v>
      </c>
      <c r="I222" s="44" t="n">
        <f aca="false">IF($A222="",0,SUMIFS($G$8:$G$1007,$C$8:$C$1007,$C222,$A$8:$A$1007,"&gt;="&amp;$A222-27,$A$8:$A$1007,"&lt;="&amp;$A222)/4)</f>
        <v>2667.5</v>
      </c>
      <c r="J222" s="144" t="n">
        <f aca="false">IF(OR($A222="",$I222=0),0,$H222/$I222)</f>
        <v>1.60637300843486</v>
      </c>
      <c r="K222" s="40" t="n">
        <f aca="false">IF($A222="",0,$A222-SUMPRODUCT(MIN(($C$8:$C$1007=$C222)*$A$8:$A$1007+($C$8:$C$1007&lt;&gt;$C222)*100000))+1)</f>
        <v>18</v>
      </c>
      <c r="L222" s="26" t="str">
        <f aca="false">IF($A222="","",IF($J222=0,"Sem registro anterior",IF($K222&lt;21,"Histórico insuficiente",IF($J222&lt;0.8,"Subcarga",IF($J222&lt;=1.3,"Zona ideal",IF($J222&lt;=1.5,"Atenção","Risco elevado"))))))</f>
        <v>Histórico insuficiente</v>
      </c>
      <c r="M222" s="27" t="s">
        <v>373</v>
      </c>
    </row>
    <row r="223" customFormat="false" ht="15" hidden="false" customHeight="false" outlineLevel="0" collapsed="false">
      <c r="A223" s="29" t="n">
        <v>46261</v>
      </c>
      <c r="B223" s="40" t="n">
        <f aca="false">IF($A223="",0,INT(($A223-Macrociclo!$C$11)/7)+1)</f>
        <v>34</v>
      </c>
      <c r="C223" s="27" t="s">
        <v>253</v>
      </c>
      <c r="D223" s="27" t="s">
        <v>1056</v>
      </c>
      <c r="E223" s="28" t="n">
        <v>80</v>
      </c>
      <c r="F223" s="28" t="n">
        <v>6</v>
      </c>
      <c r="G223" s="44" t="n">
        <f aca="false">IF(OR($E223="",$F223=""),0,$E223*$F223)</f>
        <v>480</v>
      </c>
      <c r="H223" s="44" t="n">
        <f aca="false">IF($A223="",0,SUMIFS($G$8:$G$1007,$C$8:$C$1007,$C223,$A$8:$A$1007,"&gt;="&amp;$A223-6,$A$8:$A$1007,"&lt;="&amp;$A223))</f>
        <v>3665</v>
      </c>
      <c r="I223" s="44" t="n">
        <f aca="false">IF($A223="",0,SUMIFS($G$8:$G$1007,$C$8:$C$1007,$C223,$A$8:$A$1007,"&gt;="&amp;$A223-27,$A$8:$A$1007,"&lt;="&amp;$A223)/4)</f>
        <v>2717.5</v>
      </c>
      <c r="J223" s="144" t="n">
        <f aca="false">IF(OR($A223="",$I223=0),0,$H223/$I223)</f>
        <v>1.34866605335787</v>
      </c>
      <c r="K223" s="40" t="n">
        <f aca="false">IF($A223="",0,$A223-SUMPRODUCT(MIN(($C$8:$C$1007=$C223)*$A$8:$A$1007+($C$8:$C$1007&lt;&gt;$C223)*100000))+1)</f>
        <v>18</v>
      </c>
      <c r="L223" s="26" t="str">
        <f aca="false">IF($A223="","",IF($J223=0,"Sem registro anterior",IF($K223&lt;21,"Histórico insuficiente",IF($J223&lt;0.8,"Subcarga",IF($J223&lt;=1.3,"Zona ideal",IF($J223&lt;=1.5,"Atenção","Risco elevado"))))))</f>
        <v>Histórico insuficiente</v>
      </c>
      <c r="M223" s="27" t="s">
        <v>373</v>
      </c>
    </row>
    <row r="224" customFormat="false" ht="15" hidden="false" customHeight="false" outlineLevel="0" collapsed="false">
      <c r="A224" s="29" t="n">
        <v>46261</v>
      </c>
      <c r="B224" s="40" t="n">
        <f aca="false">IF($A224="",0,INT(($A224-Macrociclo!$C$11)/7)+1)</f>
        <v>34</v>
      </c>
      <c r="C224" s="27" t="s">
        <v>259</v>
      </c>
      <c r="D224" s="27" t="s">
        <v>1056</v>
      </c>
      <c r="E224" s="28" t="n">
        <v>85</v>
      </c>
      <c r="F224" s="28" t="n">
        <v>6</v>
      </c>
      <c r="G224" s="44" t="n">
        <f aca="false">IF(OR($E224="",$F224=""),0,$E224*$F224)</f>
        <v>510</v>
      </c>
      <c r="H224" s="44" t="n">
        <f aca="false">IF($A224="",0,SUMIFS($G$8:$G$1007,$C$8:$C$1007,$C224,$A$8:$A$1007,"&gt;="&amp;$A224-6,$A$8:$A$1007,"&lt;="&amp;$A224))</f>
        <v>3795</v>
      </c>
      <c r="I224" s="44" t="n">
        <f aca="false">IF($A224="",0,SUMIFS($G$8:$G$1007,$C$8:$C$1007,$C224,$A$8:$A$1007,"&gt;="&amp;$A224-27,$A$8:$A$1007,"&lt;="&amp;$A224)/4)</f>
        <v>2677.5</v>
      </c>
      <c r="J224" s="144" t="n">
        <f aca="false">IF(OR($A224="",$I224=0),0,$H224/$I224)</f>
        <v>1.41736694677871</v>
      </c>
      <c r="K224" s="40" t="n">
        <f aca="false">IF($A224="",0,$A224-SUMPRODUCT(MIN(($C$8:$C$1007=$C224)*$A$8:$A$1007+($C$8:$C$1007&lt;&gt;$C224)*100000))+1)</f>
        <v>18</v>
      </c>
      <c r="L224" s="26" t="str">
        <f aca="false">IF($A224="","",IF($J224=0,"Sem registro anterior",IF($K224&lt;21,"Histórico insuficiente",IF($J224&lt;0.8,"Subcarga",IF($J224&lt;=1.3,"Zona ideal",IF($J224&lt;=1.5,"Atenção","Risco elevado"))))))</f>
        <v>Histórico insuficiente</v>
      </c>
      <c r="M224" s="27" t="s">
        <v>373</v>
      </c>
    </row>
    <row r="225" customFormat="false" ht="15" hidden="false" customHeight="false" outlineLevel="0" collapsed="false">
      <c r="A225" s="29" t="n">
        <v>46261</v>
      </c>
      <c r="B225" s="40" t="n">
        <f aca="false">IF($A225="",0,INT(($A225-Macrociclo!$C$11)/7)+1)</f>
        <v>34</v>
      </c>
      <c r="C225" s="27" t="s">
        <v>264</v>
      </c>
      <c r="D225" s="27" t="s">
        <v>1056</v>
      </c>
      <c r="E225" s="28" t="n">
        <v>90</v>
      </c>
      <c r="F225" s="28" t="n">
        <v>7</v>
      </c>
      <c r="G225" s="44" t="n">
        <f aca="false">IF(OR($E225="",$F225=""),0,$E225*$F225)</f>
        <v>630</v>
      </c>
      <c r="H225" s="44" t="n">
        <f aca="false">IF($A225="",0,SUMIFS($G$8:$G$1007,$C$8:$C$1007,$C225,$A$8:$A$1007,"&gt;="&amp;$A225-6,$A$8:$A$1007,"&lt;="&amp;$A225))</f>
        <v>3775</v>
      </c>
      <c r="I225" s="44" t="n">
        <f aca="false">IF($A225="",0,SUMIFS($G$8:$G$1007,$C$8:$C$1007,$C225,$A$8:$A$1007,"&gt;="&amp;$A225-27,$A$8:$A$1007,"&lt;="&amp;$A225)/4)</f>
        <v>2652.5</v>
      </c>
      <c r="J225" s="144" t="n">
        <f aca="false">IF(OR($A225="",$I225=0),0,$H225/$I225)</f>
        <v>1.42318567389255</v>
      </c>
      <c r="K225" s="40" t="n">
        <f aca="false">IF($A225="",0,$A225-SUMPRODUCT(MIN(($C$8:$C$1007=$C225)*$A$8:$A$1007+($C$8:$C$1007&lt;&gt;$C225)*100000))+1)</f>
        <v>18</v>
      </c>
      <c r="L225" s="26" t="str">
        <f aca="false">IF($A225="","",IF($J225=0,"Sem registro anterior",IF($K225&lt;21,"Histórico insuficiente",IF($J225&lt;0.8,"Subcarga",IF($J225&lt;=1.3,"Zona ideal",IF($J225&lt;=1.5,"Atenção","Risco elevado"))))))</f>
        <v>Histórico insuficiente</v>
      </c>
      <c r="M225" s="27" t="s">
        <v>373</v>
      </c>
    </row>
    <row r="226" customFormat="false" ht="15" hidden="false" customHeight="false" outlineLevel="0" collapsed="false">
      <c r="A226" s="29" t="n">
        <v>46261</v>
      </c>
      <c r="B226" s="40" t="n">
        <f aca="false">IF($A226="",0,INT(($A226-Macrociclo!$C$11)/7)+1)</f>
        <v>34</v>
      </c>
      <c r="C226" s="27" t="s">
        <v>270</v>
      </c>
      <c r="D226" s="27" t="s">
        <v>1056</v>
      </c>
      <c r="E226" s="28" t="n">
        <v>85</v>
      </c>
      <c r="F226" s="28" t="n">
        <v>7</v>
      </c>
      <c r="G226" s="44" t="n">
        <f aca="false">IF(OR($E226="",$F226=""),0,$E226*$F226)</f>
        <v>595</v>
      </c>
      <c r="H226" s="44" t="n">
        <f aca="false">IF($A226="",0,SUMIFS($G$8:$G$1007,$C$8:$C$1007,$C226,$A$8:$A$1007,"&gt;="&amp;$A226-6,$A$8:$A$1007,"&lt;="&amp;$A226))</f>
        <v>3225</v>
      </c>
      <c r="I226" s="44" t="n">
        <f aca="false">IF($A226="",0,SUMIFS($G$8:$G$1007,$C$8:$C$1007,$C226,$A$8:$A$1007,"&gt;="&amp;$A226-27,$A$8:$A$1007,"&lt;="&amp;$A226)/4)</f>
        <v>2641.25</v>
      </c>
      <c r="J226" s="144" t="n">
        <f aca="false">IF(OR($A226="",$I226=0),0,$H226/$I226)</f>
        <v>1.2210127780407</v>
      </c>
      <c r="K226" s="40" t="n">
        <f aca="false">IF($A226="",0,$A226-SUMPRODUCT(MIN(($C$8:$C$1007=$C226)*$A$8:$A$1007+($C$8:$C$1007&lt;&gt;$C226)*100000))+1)</f>
        <v>18</v>
      </c>
      <c r="L226" s="26" t="str">
        <f aca="false">IF($A226="","",IF($J226=0,"Sem registro anterior",IF($K226&lt;21,"Histórico insuficiente",IF($J226&lt;0.8,"Subcarga",IF($J226&lt;=1.3,"Zona ideal",IF($J226&lt;=1.5,"Atenção","Risco elevado"))))))</f>
        <v>Histórico insuficiente</v>
      </c>
      <c r="M226" s="27" t="s">
        <v>373</v>
      </c>
    </row>
    <row r="227" customFormat="false" ht="15" hidden="false" customHeight="false" outlineLevel="0" collapsed="false">
      <c r="A227" s="29" t="n">
        <v>46261</v>
      </c>
      <c r="B227" s="40" t="n">
        <f aca="false">IF($A227="",0,INT(($A227-Macrociclo!$C$11)/7)+1)</f>
        <v>34</v>
      </c>
      <c r="C227" s="27" t="s">
        <v>279</v>
      </c>
      <c r="D227" s="27" t="s">
        <v>1056</v>
      </c>
      <c r="E227" s="28" t="n">
        <v>80</v>
      </c>
      <c r="F227" s="28" t="n">
        <v>8</v>
      </c>
      <c r="G227" s="44" t="n">
        <f aca="false">IF(OR($E227="",$F227=""),0,$E227*$F227)</f>
        <v>640</v>
      </c>
      <c r="H227" s="44" t="n">
        <f aca="false">IF($A227="",0,SUMIFS($G$8:$G$1007,$C$8:$C$1007,$C227,$A$8:$A$1007,"&gt;="&amp;$A227-6,$A$8:$A$1007,"&lt;="&amp;$A227))</f>
        <v>3595</v>
      </c>
      <c r="I227" s="44" t="n">
        <f aca="false">IF($A227="",0,SUMIFS($G$8:$G$1007,$C$8:$C$1007,$C227,$A$8:$A$1007,"&gt;="&amp;$A227-27,$A$8:$A$1007,"&lt;="&amp;$A227)/4)</f>
        <v>2323.75</v>
      </c>
      <c r="J227" s="144" t="n">
        <f aca="false">IF(OR($A227="",$I227=0),0,$H227/$I227)</f>
        <v>1.54706831629909</v>
      </c>
      <c r="K227" s="40" t="n">
        <f aca="false">IF($A227="",0,$A227-SUMPRODUCT(MIN(($C$8:$C$1007=$C227)*$A$8:$A$1007+($C$8:$C$1007&lt;&gt;$C227)*100000))+1)</f>
        <v>18</v>
      </c>
      <c r="L227" s="26" t="str">
        <f aca="false">IF($A227="","",IF($J227=0,"Sem registro anterior",IF($K227&lt;21,"Histórico insuficiente",IF($J227&lt;0.8,"Subcarga",IF($J227&lt;=1.3,"Zona ideal",IF($J227&lt;=1.5,"Atenção","Risco elevado"))))))</f>
        <v>Histórico insuficiente</v>
      </c>
      <c r="M227" s="27" t="s">
        <v>373</v>
      </c>
    </row>
    <row r="228" customFormat="false" ht="15" hidden="false" customHeight="false" outlineLevel="0" collapsed="false">
      <c r="A228" s="29" t="n">
        <v>46262</v>
      </c>
      <c r="B228" s="40" t="n">
        <f aca="false">IF($A228="",0,INT(($A228-Macrociclo!$C$11)/7)+1)</f>
        <v>34</v>
      </c>
      <c r="C228" s="27" t="s">
        <v>164</v>
      </c>
      <c r="D228" s="27" t="s">
        <v>1066</v>
      </c>
      <c r="E228" s="28" t="n">
        <v>100</v>
      </c>
      <c r="F228" s="28" t="n">
        <v>8</v>
      </c>
      <c r="G228" s="44" t="n">
        <f aca="false">IF(OR($E228="",$F228=""),0,$E228*$F228)</f>
        <v>800</v>
      </c>
      <c r="H228" s="44" t="n">
        <f aca="false">IF($A228="",0,SUMIFS($G$8:$G$1007,$C$8:$C$1007,$C228,$A$8:$A$1007,"&gt;="&amp;$A228-6,$A$8:$A$1007,"&lt;="&amp;$A228))</f>
        <v>3990</v>
      </c>
      <c r="I228" s="44" t="n">
        <f aca="false">IF($A228="",0,SUMIFS($G$8:$G$1007,$C$8:$C$1007,$C228,$A$8:$A$1007,"&gt;="&amp;$A228-27,$A$8:$A$1007,"&lt;="&amp;$A228)/4)</f>
        <v>2872.5</v>
      </c>
      <c r="J228" s="144" t="n">
        <f aca="false">IF(OR($A228="",$I228=0),0,$H228/$I228)</f>
        <v>1.38903394255875</v>
      </c>
      <c r="K228" s="40" t="n">
        <f aca="false">IF($A228="",0,$A228-SUMPRODUCT(MIN(($C$8:$C$1007=$C228)*$A$8:$A$1007+($C$8:$C$1007&lt;&gt;$C228)*100000))+1)</f>
        <v>19</v>
      </c>
      <c r="L228" s="26" t="str">
        <f aca="false">IF($A228="","",IF($J228=0,"Sem registro anterior",IF($K228&lt;21,"Histórico insuficiente",IF($J228&lt;0.8,"Subcarga",IF($J228&lt;=1.3,"Zona ideal",IF($J228&lt;=1.5,"Atenção","Risco elevado"))))))</f>
        <v>Histórico insuficiente</v>
      </c>
      <c r="M228" s="27" t="s">
        <v>373</v>
      </c>
    </row>
    <row r="229" customFormat="false" ht="15" hidden="false" customHeight="false" outlineLevel="0" collapsed="false">
      <c r="A229" s="29" t="n">
        <v>46262</v>
      </c>
      <c r="B229" s="40" t="n">
        <f aca="false">IF($A229="",0,INT(($A229-Macrociclo!$C$11)/7)+1)</f>
        <v>34</v>
      </c>
      <c r="C229" s="27" t="s">
        <v>192</v>
      </c>
      <c r="D229" s="27" t="s">
        <v>1066</v>
      </c>
      <c r="E229" s="28" t="n">
        <v>110</v>
      </c>
      <c r="F229" s="28" t="n">
        <v>8</v>
      </c>
      <c r="G229" s="44" t="n">
        <f aca="false">IF(OR($E229="",$F229=""),0,$E229*$F229)</f>
        <v>880</v>
      </c>
      <c r="H229" s="44" t="n">
        <f aca="false">IF($A229="",0,SUMIFS($G$8:$G$1007,$C$8:$C$1007,$C229,$A$8:$A$1007,"&gt;="&amp;$A229-6,$A$8:$A$1007,"&lt;="&amp;$A229))</f>
        <v>4095</v>
      </c>
      <c r="I229" s="44" t="n">
        <f aca="false">IF($A229="",0,SUMIFS($G$8:$G$1007,$C$8:$C$1007,$C229,$A$8:$A$1007,"&gt;="&amp;$A229-27,$A$8:$A$1007,"&lt;="&amp;$A229)/4)</f>
        <v>3037.5</v>
      </c>
      <c r="J229" s="144" t="n">
        <f aca="false">IF(OR($A229="",$I229=0),0,$H229/$I229)</f>
        <v>1.34814814814815</v>
      </c>
      <c r="K229" s="40" t="n">
        <f aca="false">IF($A229="",0,$A229-SUMPRODUCT(MIN(($C$8:$C$1007=$C229)*$A$8:$A$1007+($C$8:$C$1007&lt;&gt;$C229)*100000))+1)</f>
        <v>19</v>
      </c>
      <c r="L229" s="26" t="str">
        <f aca="false">IF($A229="","",IF($J229=0,"Sem registro anterior",IF($K229&lt;21,"Histórico insuficiente",IF($J229&lt;0.8,"Subcarga",IF($J229&lt;=1.3,"Zona ideal",IF($J229&lt;=1.5,"Atenção","Risco elevado"))))))</f>
        <v>Histórico insuficiente</v>
      </c>
      <c r="M229" s="27" t="s">
        <v>373</v>
      </c>
    </row>
    <row r="230" customFormat="false" ht="15" hidden="false" customHeight="false" outlineLevel="0" collapsed="false">
      <c r="A230" s="29" t="n">
        <v>46262</v>
      </c>
      <c r="B230" s="40" t="n">
        <f aca="false">IF($A230="",0,INT(($A230-Macrociclo!$C$11)/7)+1)</f>
        <v>34</v>
      </c>
      <c r="C230" s="27" t="s">
        <v>206</v>
      </c>
      <c r="D230" s="27" t="s">
        <v>1066</v>
      </c>
      <c r="E230" s="28" t="n">
        <v>115</v>
      </c>
      <c r="F230" s="28" t="n">
        <v>8</v>
      </c>
      <c r="G230" s="44" t="n">
        <f aca="false">IF(OR($E230="",$F230=""),0,$E230*$F230)</f>
        <v>920</v>
      </c>
      <c r="H230" s="44" t="n">
        <f aca="false">IF($A230="",0,SUMIFS($G$8:$G$1007,$C$8:$C$1007,$C230,$A$8:$A$1007,"&gt;="&amp;$A230-6,$A$8:$A$1007,"&lt;="&amp;$A230))</f>
        <v>3395</v>
      </c>
      <c r="I230" s="44" t="n">
        <f aca="false">IF($A230="",0,SUMIFS($G$8:$G$1007,$C$8:$C$1007,$C230,$A$8:$A$1007,"&gt;="&amp;$A230-27,$A$8:$A$1007,"&lt;="&amp;$A230)/4)</f>
        <v>2451.25</v>
      </c>
      <c r="J230" s="144" t="n">
        <f aca="false">IF(OR($A230="",$I230=0),0,$H230/$I230)</f>
        <v>1.38500764915859</v>
      </c>
      <c r="K230" s="40" t="n">
        <f aca="false">IF($A230="",0,$A230-SUMPRODUCT(MIN(($C$8:$C$1007=$C230)*$A$8:$A$1007+($C$8:$C$1007&lt;&gt;$C230)*100000))+1)</f>
        <v>19</v>
      </c>
      <c r="L230" s="26" t="str">
        <f aca="false">IF($A230="","",IF($J230=0,"Sem registro anterior",IF($K230&lt;21,"Histórico insuficiente",IF($J230&lt;0.8,"Subcarga",IF($J230&lt;=1.3,"Zona ideal",IF($J230&lt;=1.5,"Atenção","Risco elevado"))))))</f>
        <v>Histórico insuficiente</v>
      </c>
      <c r="M230" s="27" t="s">
        <v>373</v>
      </c>
    </row>
    <row r="231" customFormat="false" ht="15" hidden="false" customHeight="false" outlineLevel="0" collapsed="false">
      <c r="A231" s="29" t="n">
        <v>46262</v>
      </c>
      <c r="B231" s="40" t="n">
        <f aca="false">IF($A231="",0,INT(($A231-Macrociclo!$C$11)/7)+1)</f>
        <v>34</v>
      </c>
      <c r="C231" s="27" t="s">
        <v>226</v>
      </c>
      <c r="D231" s="27" t="s">
        <v>1066</v>
      </c>
      <c r="E231" s="28" t="n">
        <v>115</v>
      </c>
      <c r="F231" s="28" t="n">
        <v>7</v>
      </c>
      <c r="G231" s="44" t="n">
        <f aca="false">IF(OR($E231="",$F231=""),0,$E231*$F231)</f>
        <v>805</v>
      </c>
      <c r="H231" s="44" t="n">
        <f aca="false">IF($A231="",0,SUMIFS($G$8:$G$1007,$C$8:$C$1007,$C231,$A$8:$A$1007,"&gt;="&amp;$A231-6,$A$8:$A$1007,"&lt;="&amp;$A231))</f>
        <v>3745</v>
      </c>
      <c r="I231" s="44" t="n">
        <f aca="false">IF($A231="",0,SUMIFS($G$8:$G$1007,$C$8:$C$1007,$C231,$A$8:$A$1007,"&gt;="&amp;$A231-27,$A$8:$A$1007,"&lt;="&amp;$A231)/4)</f>
        <v>2958.75</v>
      </c>
      <c r="J231" s="144" t="n">
        <f aca="false">IF(OR($A231="",$I231=0),0,$H231/$I231)</f>
        <v>1.26573722010984</v>
      </c>
      <c r="K231" s="40" t="n">
        <f aca="false">IF($A231="",0,$A231-SUMPRODUCT(MIN(($C$8:$C$1007=$C231)*$A$8:$A$1007+($C$8:$C$1007&lt;&gt;$C231)*100000))+1)</f>
        <v>19</v>
      </c>
      <c r="L231" s="26" t="str">
        <f aca="false">IF($A231="","",IF($J231=0,"Sem registro anterior",IF($K231&lt;21,"Histórico insuficiente",IF($J231&lt;0.8,"Subcarga",IF($J231&lt;=1.3,"Zona ideal",IF($J231&lt;=1.5,"Atenção","Risco elevado"))))))</f>
        <v>Histórico insuficiente</v>
      </c>
      <c r="M231" s="27" t="s">
        <v>373</v>
      </c>
    </row>
    <row r="232" customFormat="false" ht="15" hidden="false" customHeight="false" outlineLevel="0" collapsed="false">
      <c r="A232" s="29" t="n">
        <v>46262</v>
      </c>
      <c r="B232" s="40" t="n">
        <f aca="false">IF($A232="",0,INT(($A232-Macrociclo!$C$11)/7)+1)</f>
        <v>34</v>
      </c>
      <c r="C232" s="27" t="s">
        <v>236</v>
      </c>
      <c r="D232" s="27" t="s">
        <v>1066</v>
      </c>
      <c r="E232" s="28" t="n">
        <v>105</v>
      </c>
      <c r="F232" s="28" t="n">
        <v>8</v>
      </c>
      <c r="G232" s="44" t="n">
        <f aca="false">IF(OR($E232="",$F232=""),0,$E232*$F232)</f>
        <v>840</v>
      </c>
      <c r="H232" s="44" t="n">
        <f aca="false">IF($A232="",0,SUMIFS($G$8:$G$1007,$C$8:$C$1007,$C232,$A$8:$A$1007,"&gt;="&amp;$A232-6,$A$8:$A$1007,"&lt;="&amp;$A232))</f>
        <v>3765</v>
      </c>
      <c r="I232" s="44" t="n">
        <f aca="false">IF($A232="",0,SUMIFS($G$8:$G$1007,$C$8:$C$1007,$C232,$A$8:$A$1007,"&gt;="&amp;$A232-27,$A$8:$A$1007,"&lt;="&amp;$A232)/4)</f>
        <v>2740</v>
      </c>
      <c r="J232" s="144" t="n">
        <f aca="false">IF(OR($A232="",$I232=0),0,$H232/$I232)</f>
        <v>1.37408759124088</v>
      </c>
      <c r="K232" s="40" t="n">
        <f aca="false">IF($A232="",0,$A232-SUMPRODUCT(MIN(($C$8:$C$1007=$C232)*$A$8:$A$1007+($C$8:$C$1007&lt;&gt;$C232)*100000))+1)</f>
        <v>19</v>
      </c>
      <c r="L232" s="26" t="str">
        <f aca="false">IF($A232="","",IF($J232=0,"Sem registro anterior",IF($K232&lt;21,"Histórico insuficiente",IF($J232&lt;0.8,"Subcarga",IF($J232&lt;=1.3,"Zona ideal",IF($J232&lt;=1.5,"Atenção","Risco elevado"))))))</f>
        <v>Histórico insuficiente</v>
      </c>
      <c r="M232" s="27" t="s">
        <v>373</v>
      </c>
    </row>
    <row r="233" customFormat="false" ht="15" hidden="false" customHeight="false" outlineLevel="0" collapsed="false">
      <c r="A233" s="29" t="n">
        <v>46262</v>
      </c>
      <c r="B233" s="40" t="n">
        <f aca="false">IF($A233="",0,INT(($A233-Macrociclo!$C$11)/7)+1)</f>
        <v>34</v>
      </c>
      <c r="C233" s="27" t="s">
        <v>244</v>
      </c>
      <c r="D233" s="27" t="s">
        <v>1066</v>
      </c>
      <c r="E233" s="28" t="n">
        <v>110</v>
      </c>
      <c r="F233" s="28" t="n">
        <v>8</v>
      </c>
      <c r="G233" s="44" t="n">
        <f aca="false">IF(OR($E233="",$F233=""),0,$E233*$F233)</f>
        <v>880</v>
      </c>
      <c r="H233" s="44" t="n">
        <f aca="false">IF($A233="",0,SUMIFS($G$8:$G$1007,$C$8:$C$1007,$C233,$A$8:$A$1007,"&gt;="&amp;$A233-6,$A$8:$A$1007,"&lt;="&amp;$A233))</f>
        <v>4175</v>
      </c>
      <c r="I233" s="44" t="n">
        <f aca="false">IF($A233="",0,SUMIFS($G$8:$G$1007,$C$8:$C$1007,$C233,$A$8:$A$1007,"&gt;="&amp;$A233-27,$A$8:$A$1007,"&lt;="&amp;$A233)/4)</f>
        <v>2887.5</v>
      </c>
      <c r="J233" s="144" t="n">
        <f aca="false">IF(OR($A233="",$I233=0),0,$H233/$I233)</f>
        <v>1.44588744588745</v>
      </c>
      <c r="K233" s="40" t="n">
        <f aca="false">IF($A233="",0,$A233-SUMPRODUCT(MIN(($C$8:$C$1007=$C233)*$A$8:$A$1007+($C$8:$C$1007&lt;&gt;$C233)*100000))+1)</f>
        <v>19</v>
      </c>
      <c r="L233" s="26" t="str">
        <f aca="false">IF($A233="","",IF($J233=0,"Sem registro anterior",IF($K233&lt;21,"Histórico insuficiente",IF($J233&lt;0.8,"Subcarga",IF($J233&lt;=1.3,"Zona ideal",IF($J233&lt;=1.5,"Atenção","Risco elevado"))))))</f>
        <v>Histórico insuficiente</v>
      </c>
      <c r="M233" s="27" t="s">
        <v>373</v>
      </c>
    </row>
    <row r="234" customFormat="false" ht="15" hidden="false" customHeight="false" outlineLevel="0" collapsed="false">
      <c r="A234" s="29" t="n">
        <v>46262</v>
      </c>
      <c r="B234" s="40" t="n">
        <f aca="false">IF($A234="",0,INT(($A234-Macrociclo!$C$11)/7)+1)</f>
        <v>34</v>
      </c>
      <c r="C234" s="27" t="s">
        <v>253</v>
      </c>
      <c r="D234" s="27" t="s">
        <v>1066</v>
      </c>
      <c r="E234" s="28" t="n">
        <v>105</v>
      </c>
      <c r="F234" s="28" t="n">
        <v>9</v>
      </c>
      <c r="G234" s="44" t="n">
        <f aca="false">IF(OR($E234="",$F234=""),0,$E234*$F234)</f>
        <v>945</v>
      </c>
      <c r="H234" s="44" t="n">
        <f aca="false">IF($A234="",0,SUMIFS($G$8:$G$1007,$C$8:$C$1007,$C234,$A$8:$A$1007,"&gt;="&amp;$A234-6,$A$8:$A$1007,"&lt;="&amp;$A234))</f>
        <v>3690</v>
      </c>
      <c r="I234" s="44" t="n">
        <f aca="false">IF($A234="",0,SUMIFS($G$8:$G$1007,$C$8:$C$1007,$C234,$A$8:$A$1007,"&gt;="&amp;$A234-27,$A$8:$A$1007,"&lt;="&amp;$A234)/4)</f>
        <v>2953.75</v>
      </c>
      <c r="J234" s="144" t="n">
        <f aca="false">IF(OR($A234="",$I234=0),0,$H234/$I234)</f>
        <v>1.24925941599661</v>
      </c>
      <c r="K234" s="40" t="n">
        <f aca="false">IF($A234="",0,$A234-SUMPRODUCT(MIN(($C$8:$C$1007=$C234)*$A$8:$A$1007+($C$8:$C$1007&lt;&gt;$C234)*100000))+1)</f>
        <v>19</v>
      </c>
      <c r="L234" s="26" t="str">
        <f aca="false">IF($A234="","",IF($J234=0,"Sem registro anterior",IF($K234&lt;21,"Histórico insuficiente",IF($J234&lt;0.8,"Subcarga",IF($J234&lt;=1.3,"Zona ideal",IF($J234&lt;=1.5,"Atenção","Risco elevado"))))))</f>
        <v>Histórico insuficiente</v>
      </c>
      <c r="M234" s="27" t="s">
        <v>373</v>
      </c>
    </row>
    <row r="235" customFormat="false" ht="15" hidden="false" customHeight="false" outlineLevel="0" collapsed="false">
      <c r="A235" s="29" t="n">
        <v>46262</v>
      </c>
      <c r="B235" s="40" t="n">
        <f aca="false">IF($A235="",0,INT(($A235-Macrociclo!$C$11)/7)+1)</f>
        <v>34</v>
      </c>
      <c r="C235" s="27" t="s">
        <v>259</v>
      </c>
      <c r="D235" s="27" t="s">
        <v>1066</v>
      </c>
      <c r="E235" s="28" t="n">
        <v>100</v>
      </c>
      <c r="F235" s="28" t="n">
        <v>7</v>
      </c>
      <c r="G235" s="44" t="n">
        <f aca="false">IF(OR($E235="",$F235=""),0,$E235*$F235)</f>
        <v>700</v>
      </c>
      <c r="H235" s="44" t="n">
        <f aca="false">IF($A235="",0,SUMIFS($G$8:$G$1007,$C$8:$C$1007,$C235,$A$8:$A$1007,"&gt;="&amp;$A235-6,$A$8:$A$1007,"&lt;="&amp;$A235))</f>
        <v>3760</v>
      </c>
      <c r="I235" s="44" t="n">
        <f aca="false">IF($A235="",0,SUMIFS($G$8:$G$1007,$C$8:$C$1007,$C235,$A$8:$A$1007,"&gt;="&amp;$A235-27,$A$8:$A$1007,"&lt;="&amp;$A235)/4)</f>
        <v>2852.5</v>
      </c>
      <c r="J235" s="144" t="n">
        <f aca="false">IF(OR($A235="",$I235=0),0,$H235/$I235)</f>
        <v>1.31814198071867</v>
      </c>
      <c r="K235" s="40" t="n">
        <f aca="false">IF($A235="",0,$A235-SUMPRODUCT(MIN(($C$8:$C$1007=$C235)*$A$8:$A$1007+($C$8:$C$1007&lt;&gt;$C235)*100000))+1)</f>
        <v>19</v>
      </c>
      <c r="L235" s="26" t="str">
        <f aca="false">IF($A235="","",IF($J235=0,"Sem registro anterior",IF($K235&lt;21,"Histórico insuficiente",IF($J235&lt;0.8,"Subcarga",IF($J235&lt;=1.3,"Zona ideal",IF($J235&lt;=1.5,"Atenção","Risco elevado"))))))</f>
        <v>Histórico insuficiente</v>
      </c>
      <c r="M235" s="27" t="s">
        <v>373</v>
      </c>
    </row>
    <row r="236" customFormat="false" ht="15" hidden="false" customHeight="false" outlineLevel="0" collapsed="false">
      <c r="A236" s="29" t="n">
        <v>46262</v>
      </c>
      <c r="B236" s="40" t="n">
        <f aca="false">IF($A236="",0,INT(($A236-Macrociclo!$C$11)/7)+1)</f>
        <v>34</v>
      </c>
      <c r="C236" s="27" t="s">
        <v>264</v>
      </c>
      <c r="D236" s="27" t="s">
        <v>1066</v>
      </c>
      <c r="E236" s="28" t="n">
        <v>115</v>
      </c>
      <c r="F236" s="28" t="n">
        <v>8</v>
      </c>
      <c r="G236" s="44" t="n">
        <f aca="false">IF(OR($E236="",$F236=""),0,$E236*$F236)</f>
        <v>920</v>
      </c>
      <c r="H236" s="44" t="n">
        <f aca="false">IF($A236="",0,SUMIFS($G$8:$G$1007,$C$8:$C$1007,$C236,$A$8:$A$1007,"&gt;="&amp;$A236-6,$A$8:$A$1007,"&lt;="&amp;$A236))</f>
        <v>3960</v>
      </c>
      <c r="I236" s="44" t="n">
        <f aca="false">IF($A236="",0,SUMIFS($G$8:$G$1007,$C$8:$C$1007,$C236,$A$8:$A$1007,"&gt;="&amp;$A236-27,$A$8:$A$1007,"&lt;="&amp;$A236)/4)</f>
        <v>2882.5</v>
      </c>
      <c r="J236" s="144" t="n">
        <f aca="false">IF(OR($A236="",$I236=0),0,$H236/$I236)</f>
        <v>1.37380745880312</v>
      </c>
      <c r="K236" s="40" t="n">
        <f aca="false">IF($A236="",0,$A236-SUMPRODUCT(MIN(($C$8:$C$1007=$C236)*$A$8:$A$1007+($C$8:$C$1007&lt;&gt;$C236)*100000))+1)</f>
        <v>19</v>
      </c>
      <c r="L236" s="26" t="str">
        <f aca="false">IF($A236="","",IF($J236=0,"Sem registro anterior",IF($K236&lt;21,"Histórico insuficiente",IF($J236&lt;0.8,"Subcarga",IF($J236&lt;=1.3,"Zona ideal",IF($J236&lt;=1.5,"Atenção","Risco elevado"))))))</f>
        <v>Histórico insuficiente</v>
      </c>
      <c r="M236" s="27" t="s">
        <v>373</v>
      </c>
    </row>
    <row r="237" customFormat="false" ht="15" hidden="false" customHeight="false" outlineLevel="0" collapsed="false">
      <c r="A237" s="29" t="n">
        <v>46262</v>
      </c>
      <c r="B237" s="40" t="n">
        <f aca="false">IF($A237="",0,INT(($A237-Macrociclo!$C$11)/7)+1)</f>
        <v>34</v>
      </c>
      <c r="C237" s="27" t="s">
        <v>270</v>
      </c>
      <c r="D237" s="27" t="s">
        <v>1066</v>
      </c>
      <c r="E237" s="28" t="n">
        <v>110</v>
      </c>
      <c r="F237" s="28" t="n">
        <v>7</v>
      </c>
      <c r="G237" s="44" t="n">
        <f aca="false">IF(OR($E237="",$F237=""),0,$E237*$F237)</f>
        <v>770</v>
      </c>
      <c r="H237" s="44" t="n">
        <f aca="false">IF($A237="",0,SUMIFS($G$8:$G$1007,$C$8:$C$1007,$C237,$A$8:$A$1007,"&gt;="&amp;$A237-6,$A$8:$A$1007,"&lt;="&amp;$A237))</f>
        <v>3995</v>
      </c>
      <c r="I237" s="44" t="n">
        <f aca="false">IF($A237="",0,SUMIFS($G$8:$G$1007,$C$8:$C$1007,$C237,$A$8:$A$1007,"&gt;="&amp;$A237-27,$A$8:$A$1007,"&lt;="&amp;$A237)/4)</f>
        <v>2833.75</v>
      </c>
      <c r="J237" s="144" t="n">
        <f aca="false">IF(OR($A237="",$I237=0),0,$H237/$I237)</f>
        <v>1.40979267754742</v>
      </c>
      <c r="K237" s="40" t="n">
        <f aca="false">IF($A237="",0,$A237-SUMPRODUCT(MIN(($C$8:$C$1007=$C237)*$A$8:$A$1007+($C$8:$C$1007&lt;&gt;$C237)*100000))+1)</f>
        <v>19</v>
      </c>
      <c r="L237" s="26" t="str">
        <f aca="false">IF($A237="","",IF($J237=0,"Sem registro anterior",IF($K237&lt;21,"Histórico insuficiente",IF($J237&lt;0.8,"Subcarga",IF($J237&lt;=1.3,"Zona ideal",IF($J237&lt;=1.5,"Atenção","Risco elevado"))))))</f>
        <v>Histórico insuficiente</v>
      </c>
      <c r="M237" s="27" t="s">
        <v>373</v>
      </c>
    </row>
    <row r="238" customFormat="false" ht="15" hidden="false" customHeight="false" outlineLevel="0" collapsed="false">
      <c r="A238" s="29" t="n">
        <v>46262</v>
      </c>
      <c r="B238" s="40" t="n">
        <f aca="false">IF($A238="",0,INT(($A238-Macrociclo!$C$11)/7)+1)</f>
        <v>34</v>
      </c>
      <c r="C238" s="27" t="s">
        <v>279</v>
      </c>
      <c r="D238" s="27" t="s">
        <v>1066</v>
      </c>
      <c r="E238" s="28" t="n">
        <v>100</v>
      </c>
      <c r="F238" s="28" t="n">
        <v>8</v>
      </c>
      <c r="G238" s="44" t="n">
        <f aca="false">IF(OR($E238="",$F238=""),0,$E238*$F238)</f>
        <v>800</v>
      </c>
      <c r="H238" s="44" t="n">
        <f aca="false">IF($A238="",0,SUMIFS($G$8:$G$1007,$C$8:$C$1007,$C238,$A$8:$A$1007,"&gt;="&amp;$A238-6,$A$8:$A$1007,"&lt;="&amp;$A238))</f>
        <v>3515</v>
      </c>
      <c r="I238" s="44" t="n">
        <f aca="false">IF($A238="",0,SUMIFS($G$8:$G$1007,$C$8:$C$1007,$C238,$A$8:$A$1007,"&gt;="&amp;$A238-27,$A$8:$A$1007,"&lt;="&amp;$A238)/4)</f>
        <v>2523.75</v>
      </c>
      <c r="J238" s="144" t="n">
        <f aca="false">IF(OR($A238="",$I238=0),0,$H238/$I238)</f>
        <v>1.39276869737494</v>
      </c>
      <c r="K238" s="40" t="n">
        <f aca="false">IF($A238="",0,$A238-SUMPRODUCT(MIN(($C$8:$C$1007=$C238)*$A$8:$A$1007+($C$8:$C$1007&lt;&gt;$C238)*100000))+1)</f>
        <v>19</v>
      </c>
      <c r="L238" s="26" t="str">
        <f aca="false">IF($A238="","",IF($J238=0,"Sem registro anterior",IF($K238&lt;21,"Histórico insuficiente",IF($J238&lt;0.8,"Subcarga",IF($J238&lt;=1.3,"Zona ideal",IF($J238&lt;=1.5,"Atenção","Risco elevado"))))))</f>
        <v>Histórico insuficiente</v>
      </c>
      <c r="M238" s="27" t="s">
        <v>373</v>
      </c>
    </row>
    <row r="239" customFormat="false" ht="15" hidden="false" customHeight="false" outlineLevel="0" collapsed="false">
      <c r="A239" s="29" t="n">
        <v>46265</v>
      </c>
      <c r="B239" s="40" t="n">
        <f aca="false">IF($A239="",0,INT(($A239-Macrociclo!$C$11)/7)+1)</f>
        <v>35</v>
      </c>
      <c r="C239" s="27" t="s">
        <v>164</v>
      </c>
      <c r="D239" s="27" t="s">
        <v>1052</v>
      </c>
      <c r="E239" s="28" t="n">
        <v>65</v>
      </c>
      <c r="F239" s="28" t="n">
        <v>7</v>
      </c>
      <c r="G239" s="44" t="n">
        <f aca="false">IF(OR($E239="",$F239=""),0,$E239*$F239)</f>
        <v>455</v>
      </c>
      <c r="H239" s="44" t="n">
        <f aca="false">IF($A239="",0,SUMIFS($G$8:$G$1007,$C$8:$C$1007,$C239,$A$8:$A$1007,"&gt;="&amp;$A239-6,$A$8:$A$1007,"&lt;="&amp;$A239))</f>
        <v>3785</v>
      </c>
      <c r="I239" s="44" t="n">
        <f aca="false">IF($A239="",0,SUMIFS($G$8:$G$1007,$C$8:$C$1007,$C239,$A$8:$A$1007,"&gt;="&amp;$A239-27,$A$8:$A$1007,"&lt;="&amp;$A239)/4)</f>
        <v>3106.25</v>
      </c>
      <c r="J239" s="144" t="n">
        <f aca="false">IF(OR($A239="",$I239=0),0,$H239/$I239)</f>
        <v>1.21851106639839</v>
      </c>
      <c r="K239" s="40" t="n">
        <f aca="false">IF($A239="",0,$A239-SUMPRODUCT(MIN(($C$8:$C$1007=$C239)*$A$8:$A$1007+($C$8:$C$1007&lt;&gt;$C239)*100000))+1)</f>
        <v>22</v>
      </c>
      <c r="L239" s="26" t="str">
        <f aca="false">IF($A239="","",IF($J239=0,"Sem registro anterior",IF($K239&lt;21,"Histórico insuficiente",IF($J239&lt;0.8,"Subcarga",IF($J239&lt;=1.3,"Zona ideal",IF($J239&lt;=1.5,"Atenção","Risco elevado"))))))</f>
        <v>Zona ideal</v>
      </c>
      <c r="M239" s="27" t="s">
        <v>373</v>
      </c>
    </row>
    <row r="240" customFormat="false" ht="15" hidden="false" customHeight="false" outlineLevel="0" collapsed="false">
      <c r="A240" s="29" t="n">
        <v>46265</v>
      </c>
      <c r="B240" s="40" t="n">
        <f aca="false">IF($A240="",0,INT(($A240-Macrociclo!$C$11)/7)+1)</f>
        <v>35</v>
      </c>
      <c r="C240" s="27" t="s">
        <v>192</v>
      </c>
      <c r="D240" s="27" t="s">
        <v>1052</v>
      </c>
      <c r="E240" s="28" t="n">
        <v>65</v>
      </c>
      <c r="F240" s="28" t="n">
        <v>7</v>
      </c>
      <c r="G240" s="44" t="n">
        <f aca="false">IF(OR($E240="",$F240=""),0,$E240*$F240)</f>
        <v>455</v>
      </c>
      <c r="H240" s="44" t="n">
        <f aca="false">IF($A240="",0,SUMIFS($G$8:$G$1007,$C$8:$C$1007,$C240,$A$8:$A$1007,"&gt;="&amp;$A240-6,$A$8:$A$1007,"&lt;="&amp;$A240))</f>
        <v>4095</v>
      </c>
      <c r="I240" s="44" t="n">
        <f aca="false">IF($A240="",0,SUMIFS($G$8:$G$1007,$C$8:$C$1007,$C240,$A$8:$A$1007,"&gt;="&amp;$A240-27,$A$8:$A$1007,"&lt;="&amp;$A240)/4)</f>
        <v>3286.25</v>
      </c>
      <c r="J240" s="144" t="n">
        <f aca="false">IF(OR($A240="",$I240=0),0,$H240/$I240)</f>
        <v>1.24610117915557</v>
      </c>
      <c r="K240" s="40" t="n">
        <f aca="false">IF($A240="",0,$A240-SUMPRODUCT(MIN(($C$8:$C$1007=$C240)*$A$8:$A$1007+($C$8:$C$1007&lt;&gt;$C240)*100000))+1)</f>
        <v>22</v>
      </c>
      <c r="L240" s="26" t="str">
        <f aca="false">IF($A240="","",IF($J240=0,"Sem registro anterior",IF($K240&lt;21,"Histórico insuficiente",IF($J240&lt;0.8,"Subcarga",IF($J240&lt;=1.3,"Zona ideal",IF($J240&lt;=1.5,"Atenção","Risco elevado"))))))</f>
        <v>Zona ideal</v>
      </c>
      <c r="M240" s="27" t="s">
        <v>373</v>
      </c>
    </row>
    <row r="241" customFormat="false" ht="15" hidden="false" customHeight="false" outlineLevel="0" collapsed="false">
      <c r="A241" s="29" t="n">
        <v>46265</v>
      </c>
      <c r="B241" s="40" t="n">
        <f aca="false">IF($A241="",0,INT(($A241-Macrociclo!$C$11)/7)+1)</f>
        <v>35</v>
      </c>
      <c r="C241" s="27" t="s">
        <v>206</v>
      </c>
      <c r="D241" s="27" t="s">
        <v>1052</v>
      </c>
      <c r="E241" s="28" t="n">
        <v>80</v>
      </c>
      <c r="F241" s="28" t="n">
        <v>7</v>
      </c>
      <c r="G241" s="44" t="n">
        <f aca="false">IF(OR($E241="",$F241=""),0,$E241*$F241)</f>
        <v>560</v>
      </c>
      <c r="H241" s="44" t="n">
        <f aca="false">IF($A241="",0,SUMIFS($G$8:$G$1007,$C$8:$C$1007,$C241,$A$8:$A$1007,"&gt;="&amp;$A241-6,$A$8:$A$1007,"&lt;="&amp;$A241))</f>
        <v>3340</v>
      </c>
      <c r="I241" s="44" t="n">
        <f aca="false">IF($A241="",0,SUMIFS($G$8:$G$1007,$C$8:$C$1007,$C241,$A$8:$A$1007,"&gt;="&amp;$A241-27,$A$8:$A$1007,"&lt;="&amp;$A241)/4)</f>
        <v>2711.25</v>
      </c>
      <c r="J241" s="144" t="n">
        <f aca="false">IF(OR($A241="",$I241=0),0,$H241/$I241)</f>
        <v>1.2319041032734</v>
      </c>
      <c r="K241" s="40" t="n">
        <f aca="false">IF($A241="",0,$A241-SUMPRODUCT(MIN(($C$8:$C$1007=$C241)*$A$8:$A$1007+($C$8:$C$1007&lt;&gt;$C241)*100000))+1)</f>
        <v>22</v>
      </c>
      <c r="L241" s="26" t="str">
        <f aca="false">IF($A241="","",IF($J241=0,"Sem registro anterior",IF($K241&lt;21,"Histórico insuficiente",IF($J241&lt;0.8,"Subcarga",IF($J241&lt;=1.3,"Zona ideal",IF($J241&lt;=1.5,"Atenção","Risco elevado"))))))</f>
        <v>Zona ideal</v>
      </c>
      <c r="M241" s="27" t="s">
        <v>373</v>
      </c>
    </row>
    <row r="242" customFormat="false" ht="15" hidden="false" customHeight="false" outlineLevel="0" collapsed="false">
      <c r="A242" s="29" t="n">
        <v>46265</v>
      </c>
      <c r="B242" s="40" t="n">
        <f aca="false">IF($A242="",0,INT(($A242-Macrociclo!$C$11)/7)+1)</f>
        <v>35</v>
      </c>
      <c r="C242" s="27" t="s">
        <v>226</v>
      </c>
      <c r="D242" s="27" t="s">
        <v>1052</v>
      </c>
      <c r="E242" s="28" t="n">
        <v>75</v>
      </c>
      <c r="F242" s="28" t="n">
        <v>8</v>
      </c>
      <c r="G242" s="44" t="n">
        <f aca="false">IF(OR($E242="",$F242=""),0,$E242*$F242)</f>
        <v>600</v>
      </c>
      <c r="H242" s="44" t="n">
        <f aca="false">IF($A242="",0,SUMIFS($G$8:$G$1007,$C$8:$C$1007,$C242,$A$8:$A$1007,"&gt;="&amp;$A242-6,$A$8:$A$1007,"&lt;="&amp;$A242))</f>
        <v>3850</v>
      </c>
      <c r="I242" s="44" t="n">
        <f aca="false">IF($A242="",0,SUMIFS($G$8:$G$1007,$C$8:$C$1007,$C242,$A$8:$A$1007,"&gt;="&amp;$A242-27,$A$8:$A$1007,"&lt;="&amp;$A242)/4)</f>
        <v>3243.75</v>
      </c>
      <c r="J242" s="144" t="n">
        <f aca="false">IF(OR($A242="",$I242=0),0,$H242/$I242)</f>
        <v>1.1868978805395</v>
      </c>
      <c r="K242" s="40" t="n">
        <f aca="false">IF($A242="",0,$A242-SUMPRODUCT(MIN(($C$8:$C$1007=$C242)*$A$8:$A$1007+($C$8:$C$1007&lt;&gt;$C242)*100000))+1)</f>
        <v>22</v>
      </c>
      <c r="L242" s="26" t="str">
        <f aca="false">IF($A242="","",IF($J242=0,"Sem registro anterior",IF($K242&lt;21,"Histórico insuficiente",IF($J242&lt;0.8,"Subcarga",IF($J242&lt;=1.3,"Zona ideal",IF($J242&lt;=1.5,"Atenção","Risco elevado"))))))</f>
        <v>Zona ideal</v>
      </c>
      <c r="M242" s="27" t="s">
        <v>373</v>
      </c>
    </row>
    <row r="243" customFormat="false" ht="15" hidden="false" customHeight="false" outlineLevel="0" collapsed="false">
      <c r="A243" s="29" t="n">
        <v>46265</v>
      </c>
      <c r="B243" s="40" t="n">
        <f aca="false">IF($A243="",0,INT(($A243-Macrociclo!$C$11)/7)+1)</f>
        <v>35</v>
      </c>
      <c r="C243" s="27" t="s">
        <v>236</v>
      </c>
      <c r="D243" s="27" t="s">
        <v>1052</v>
      </c>
      <c r="E243" s="28" t="n">
        <v>65</v>
      </c>
      <c r="F243" s="28" t="n">
        <v>7</v>
      </c>
      <c r="G243" s="44" t="n">
        <f aca="false">IF(OR($E243="",$F243=""),0,$E243*$F243)</f>
        <v>455</v>
      </c>
      <c r="H243" s="44" t="n">
        <f aca="false">IF($A243="",0,SUMIFS($G$8:$G$1007,$C$8:$C$1007,$C243,$A$8:$A$1007,"&gt;="&amp;$A243-6,$A$8:$A$1007,"&lt;="&amp;$A243))</f>
        <v>3670</v>
      </c>
      <c r="I243" s="44" t="n">
        <f aca="false">IF($A243="",0,SUMIFS($G$8:$G$1007,$C$8:$C$1007,$C243,$A$8:$A$1007,"&gt;="&amp;$A243-27,$A$8:$A$1007,"&lt;="&amp;$A243)/4)</f>
        <v>2988.75</v>
      </c>
      <c r="J243" s="144" t="n">
        <f aca="false">IF(OR($A243="",$I243=0),0,$H243/$I243)</f>
        <v>1.22793810121288</v>
      </c>
      <c r="K243" s="40" t="n">
        <f aca="false">IF($A243="",0,$A243-SUMPRODUCT(MIN(($C$8:$C$1007=$C243)*$A$8:$A$1007+($C$8:$C$1007&lt;&gt;$C243)*100000))+1)</f>
        <v>22</v>
      </c>
      <c r="L243" s="26" t="str">
        <f aca="false">IF($A243="","",IF($J243=0,"Sem registro anterior",IF($K243&lt;21,"Histórico insuficiente",IF($J243&lt;0.8,"Subcarga",IF($J243&lt;=1.3,"Zona ideal",IF($J243&lt;=1.5,"Atenção","Risco elevado"))))))</f>
        <v>Zona ideal</v>
      </c>
      <c r="M243" s="27" t="s">
        <v>373</v>
      </c>
    </row>
    <row r="244" customFormat="false" ht="15" hidden="false" customHeight="false" outlineLevel="0" collapsed="false">
      <c r="A244" s="29" t="n">
        <v>46265</v>
      </c>
      <c r="B244" s="40" t="n">
        <f aca="false">IF($A244="",0,INT(($A244-Macrociclo!$C$11)/7)+1)</f>
        <v>35</v>
      </c>
      <c r="C244" s="27" t="s">
        <v>244</v>
      </c>
      <c r="D244" s="27" t="s">
        <v>1052</v>
      </c>
      <c r="E244" s="28" t="n">
        <v>75</v>
      </c>
      <c r="F244" s="28" t="n">
        <v>6</v>
      </c>
      <c r="G244" s="44" t="n">
        <f aca="false">IF(OR($E244="",$F244=""),0,$E244*$F244)</f>
        <v>450</v>
      </c>
      <c r="H244" s="44" t="n">
        <f aca="false">IF($A244="",0,SUMIFS($G$8:$G$1007,$C$8:$C$1007,$C244,$A$8:$A$1007,"&gt;="&amp;$A244-6,$A$8:$A$1007,"&lt;="&amp;$A244))</f>
        <v>3995</v>
      </c>
      <c r="I244" s="44" t="n">
        <f aca="false">IF($A244="",0,SUMIFS($G$8:$G$1007,$C$8:$C$1007,$C244,$A$8:$A$1007,"&gt;="&amp;$A244-27,$A$8:$A$1007,"&lt;="&amp;$A244)/4)</f>
        <v>3112.5</v>
      </c>
      <c r="J244" s="144" t="n">
        <f aca="false">IF(OR($A244="",$I244=0),0,$H244/$I244)</f>
        <v>1.28353413654618</v>
      </c>
      <c r="K244" s="40" t="n">
        <f aca="false">IF($A244="",0,$A244-SUMPRODUCT(MIN(($C$8:$C$1007=$C244)*$A$8:$A$1007+($C$8:$C$1007&lt;&gt;$C244)*100000))+1)</f>
        <v>22</v>
      </c>
      <c r="L244" s="26" t="str">
        <f aca="false">IF($A244="","",IF($J244=0,"Sem registro anterior",IF($K244&lt;21,"Histórico insuficiente",IF($J244&lt;0.8,"Subcarga",IF($J244&lt;=1.3,"Zona ideal",IF($J244&lt;=1.5,"Atenção","Risco elevado"))))))</f>
        <v>Zona ideal</v>
      </c>
      <c r="M244" s="27" t="s">
        <v>373</v>
      </c>
    </row>
    <row r="245" customFormat="false" ht="15" hidden="false" customHeight="false" outlineLevel="0" collapsed="false">
      <c r="A245" s="29" t="n">
        <v>46265</v>
      </c>
      <c r="B245" s="40" t="n">
        <f aca="false">IF($A245="",0,INT(($A245-Macrociclo!$C$11)/7)+1)</f>
        <v>35</v>
      </c>
      <c r="C245" s="27" t="s">
        <v>253</v>
      </c>
      <c r="D245" s="27" t="s">
        <v>1052</v>
      </c>
      <c r="E245" s="28" t="n">
        <v>65</v>
      </c>
      <c r="F245" s="28" t="n">
        <v>6</v>
      </c>
      <c r="G245" s="44" t="n">
        <f aca="false">IF(OR($E245="",$F245=""),0,$E245*$F245)</f>
        <v>390</v>
      </c>
      <c r="H245" s="44" t="n">
        <f aca="false">IF($A245="",0,SUMIFS($G$8:$G$1007,$C$8:$C$1007,$C245,$A$8:$A$1007,"&gt;="&amp;$A245-6,$A$8:$A$1007,"&lt;="&amp;$A245))</f>
        <v>3705</v>
      </c>
      <c r="I245" s="44" t="n">
        <f aca="false">IF($A245="",0,SUMIFS($G$8:$G$1007,$C$8:$C$1007,$C245,$A$8:$A$1007,"&gt;="&amp;$A245-27,$A$8:$A$1007,"&lt;="&amp;$A245)/4)</f>
        <v>3186.25</v>
      </c>
      <c r="J245" s="144" t="n">
        <f aca="false">IF(OR($A245="",$I245=0),0,$H245/$I245)</f>
        <v>1.16280894468419</v>
      </c>
      <c r="K245" s="40" t="n">
        <f aca="false">IF($A245="",0,$A245-SUMPRODUCT(MIN(($C$8:$C$1007=$C245)*$A$8:$A$1007+($C$8:$C$1007&lt;&gt;$C245)*100000))+1)</f>
        <v>22</v>
      </c>
      <c r="L245" s="26" t="str">
        <f aca="false">IF($A245="","",IF($J245=0,"Sem registro anterior",IF($K245&lt;21,"Histórico insuficiente",IF($J245&lt;0.8,"Subcarga",IF($J245&lt;=1.3,"Zona ideal",IF($J245&lt;=1.5,"Atenção","Risco elevado"))))))</f>
        <v>Zona ideal</v>
      </c>
      <c r="M245" s="27" t="s">
        <v>373</v>
      </c>
    </row>
    <row r="246" customFormat="false" ht="15" hidden="false" customHeight="false" outlineLevel="0" collapsed="false">
      <c r="A246" s="29" t="n">
        <v>46265</v>
      </c>
      <c r="B246" s="40" t="n">
        <f aca="false">IF($A246="",0,INT(($A246-Macrociclo!$C$11)/7)+1)</f>
        <v>35</v>
      </c>
      <c r="C246" s="27" t="s">
        <v>259</v>
      </c>
      <c r="D246" s="27" t="s">
        <v>1052</v>
      </c>
      <c r="E246" s="28" t="n">
        <v>75</v>
      </c>
      <c r="F246" s="28" t="n">
        <v>7</v>
      </c>
      <c r="G246" s="44" t="n">
        <f aca="false">IF(OR($E246="",$F246=""),0,$E246*$F246)</f>
        <v>525</v>
      </c>
      <c r="H246" s="44" t="n">
        <f aca="false">IF($A246="",0,SUMIFS($G$8:$G$1007,$C$8:$C$1007,$C246,$A$8:$A$1007,"&gt;="&amp;$A246-6,$A$8:$A$1007,"&lt;="&amp;$A246))</f>
        <v>3745</v>
      </c>
      <c r="I246" s="44" t="n">
        <f aca="false">IF($A246="",0,SUMIFS($G$8:$G$1007,$C$8:$C$1007,$C246,$A$8:$A$1007,"&gt;="&amp;$A246-27,$A$8:$A$1007,"&lt;="&amp;$A246)/4)</f>
        <v>3096.25</v>
      </c>
      <c r="J246" s="144" t="n">
        <f aca="false">IF(OR($A246="",$I246=0),0,$H246/$I246)</f>
        <v>1.20952765442067</v>
      </c>
      <c r="K246" s="40" t="n">
        <f aca="false">IF($A246="",0,$A246-SUMPRODUCT(MIN(($C$8:$C$1007=$C246)*$A$8:$A$1007+($C$8:$C$1007&lt;&gt;$C246)*100000))+1)</f>
        <v>22</v>
      </c>
      <c r="L246" s="26" t="str">
        <f aca="false">IF($A246="","",IF($J246=0,"Sem registro anterior",IF($K246&lt;21,"Histórico insuficiente",IF($J246&lt;0.8,"Subcarga",IF($J246&lt;=1.3,"Zona ideal",IF($J246&lt;=1.5,"Atenção","Risco elevado"))))))</f>
        <v>Zona ideal</v>
      </c>
      <c r="M246" s="27" t="s">
        <v>373</v>
      </c>
    </row>
    <row r="247" customFormat="false" ht="15" hidden="false" customHeight="false" outlineLevel="0" collapsed="false">
      <c r="A247" s="29" t="n">
        <v>46265</v>
      </c>
      <c r="B247" s="40" t="n">
        <f aca="false">IF($A247="",0,INT(($A247-Macrociclo!$C$11)/7)+1)</f>
        <v>35</v>
      </c>
      <c r="C247" s="27" t="s">
        <v>264</v>
      </c>
      <c r="D247" s="27" t="s">
        <v>1052</v>
      </c>
      <c r="E247" s="28" t="n">
        <v>80</v>
      </c>
      <c r="F247" s="28" t="n">
        <v>7</v>
      </c>
      <c r="G247" s="44" t="n">
        <f aca="false">IF(OR($E247="",$F247=""),0,$E247*$F247)</f>
        <v>560</v>
      </c>
      <c r="H247" s="44" t="n">
        <f aca="false">IF($A247="",0,SUMIFS($G$8:$G$1007,$C$8:$C$1007,$C247,$A$8:$A$1007,"&gt;="&amp;$A247-6,$A$8:$A$1007,"&lt;="&amp;$A247))</f>
        <v>3940</v>
      </c>
      <c r="I247" s="44" t="n">
        <f aca="false">IF($A247="",0,SUMIFS($G$8:$G$1007,$C$8:$C$1007,$C247,$A$8:$A$1007,"&gt;="&amp;$A247-27,$A$8:$A$1007,"&lt;="&amp;$A247)/4)</f>
        <v>3162.5</v>
      </c>
      <c r="J247" s="144" t="n">
        <f aca="false">IF(OR($A247="",$I247=0),0,$H247/$I247)</f>
        <v>1.24584980237154</v>
      </c>
      <c r="K247" s="40" t="n">
        <f aca="false">IF($A247="",0,$A247-SUMPRODUCT(MIN(($C$8:$C$1007=$C247)*$A$8:$A$1007+($C$8:$C$1007&lt;&gt;$C247)*100000))+1)</f>
        <v>22</v>
      </c>
      <c r="L247" s="26" t="str">
        <f aca="false">IF($A247="","",IF($J247=0,"Sem registro anterior",IF($K247&lt;21,"Histórico insuficiente",IF($J247&lt;0.8,"Subcarga",IF($J247&lt;=1.3,"Zona ideal",IF($J247&lt;=1.5,"Atenção","Risco elevado"))))))</f>
        <v>Zona ideal</v>
      </c>
      <c r="M247" s="27" t="s">
        <v>373</v>
      </c>
    </row>
    <row r="248" customFormat="false" ht="15" hidden="false" customHeight="false" outlineLevel="0" collapsed="false">
      <c r="A248" s="29" t="n">
        <v>46265</v>
      </c>
      <c r="B248" s="40" t="n">
        <f aca="false">IF($A248="",0,INT(($A248-Macrociclo!$C$11)/7)+1)</f>
        <v>35</v>
      </c>
      <c r="C248" s="27" t="s">
        <v>270</v>
      </c>
      <c r="D248" s="27" t="s">
        <v>1052</v>
      </c>
      <c r="E248" s="28" t="n">
        <v>75</v>
      </c>
      <c r="F248" s="28" t="n">
        <v>8</v>
      </c>
      <c r="G248" s="44" t="n">
        <f aca="false">IF(OR($E248="",$F248=""),0,$E248*$F248)</f>
        <v>600</v>
      </c>
      <c r="H248" s="44" t="n">
        <f aca="false">IF($A248="",0,SUMIFS($G$8:$G$1007,$C$8:$C$1007,$C248,$A$8:$A$1007,"&gt;="&amp;$A248-6,$A$8:$A$1007,"&lt;="&amp;$A248))</f>
        <v>4190</v>
      </c>
      <c r="I248" s="44" t="n">
        <f aca="false">IF($A248="",0,SUMIFS($G$8:$G$1007,$C$8:$C$1007,$C248,$A$8:$A$1007,"&gt;="&amp;$A248-27,$A$8:$A$1007,"&lt;="&amp;$A248)/4)</f>
        <v>3141.25</v>
      </c>
      <c r="J248" s="144" t="n">
        <f aca="false">IF(OR($A248="",$I248=0),0,$H248/$I248)</f>
        <v>1.33386390768006</v>
      </c>
      <c r="K248" s="40" t="n">
        <f aca="false">IF($A248="",0,$A248-SUMPRODUCT(MIN(($C$8:$C$1007=$C248)*$A$8:$A$1007+($C$8:$C$1007&lt;&gt;$C248)*100000))+1)</f>
        <v>22</v>
      </c>
      <c r="L248" s="26" t="str">
        <f aca="false">IF($A248="","",IF($J248=0,"Sem registro anterior",IF($K248&lt;21,"Histórico insuficiente",IF($J248&lt;0.8,"Subcarga",IF($J248&lt;=1.3,"Zona ideal",IF($J248&lt;=1.5,"Atenção","Risco elevado"))))))</f>
        <v>Atenção</v>
      </c>
      <c r="M248" s="27" t="s">
        <v>373</v>
      </c>
    </row>
    <row r="249" customFormat="false" ht="15" hidden="false" customHeight="false" outlineLevel="0" collapsed="false">
      <c r="A249" s="29" t="n">
        <v>46265</v>
      </c>
      <c r="B249" s="40" t="n">
        <f aca="false">IF($A249="",0,INT(($A249-Macrociclo!$C$11)/7)+1)</f>
        <v>35</v>
      </c>
      <c r="C249" s="27" t="s">
        <v>279</v>
      </c>
      <c r="D249" s="27" t="s">
        <v>1052</v>
      </c>
      <c r="E249" s="28" t="n">
        <v>65</v>
      </c>
      <c r="F249" s="28" t="n">
        <v>6</v>
      </c>
      <c r="G249" s="44" t="n">
        <f aca="false">IF(OR($E249="",$F249=""),0,$E249*$F249)</f>
        <v>390</v>
      </c>
      <c r="H249" s="44" t="n">
        <f aca="false">IF($A249="",0,SUMIFS($G$8:$G$1007,$C$8:$C$1007,$C249,$A$8:$A$1007,"&gt;="&amp;$A249-6,$A$8:$A$1007,"&lt;="&amp;$A249))</f>
        <v>4020</v>
      </c>
      <c r="I249" s="44" t="n">
        <f aca="false">IF($A249="",0,SUMIFS($G$8:$G$1007,$C$8:$C$1007,$C249,$A$8:$A$1007,"&gt;="&amp;$A249-27,$A$8:$A$1007,"&lt;="&amp;$A249)/4)</f>
        <v>2770</v>
      </c>
      <c r="J249" s="144" t="n">
        <f aca="false">IF(OR($A249="",$I249=0),0,$H249/$I249)</f>
        <v>1.45126353790614</v>
      </c>
      <c r="K249" s="40" t="n">
        <f aca="false">IF($A249="",0,$A249-SUMPRODUCT(MIN(($C$8:$C$1007=$C249)*$A$8:$A$1007+($C$8:$C$1007&lt;&gt;$C249)*100000))+1)</f>
        <v>22</v>
      </c>
      <c r="L249" s="26" t="str">
        <f aca="false">IF($A249="","",IF($J249=0,"Sem registro anterior",IF($K249&lt;21,"Histórico insuficiente",IF($J249&lt;0.8,"Subcarga",IF($J249&lt;=1.3,"Zona ideal",IF($J249&lt;=1.5,"Atenção","Risco elevado"))))))</f>
        <v>Atenção</v>
      </c>
      <c r="M249" s="27" t="s">
        <v>373</v>
      </c>
    </row>
    <row r="250" customFormat="false" ht="15" hidden="false" customHeight="false" outlineLevel="0" collapsed="false">
      <c r="A250" s="29" t="n">
        <v>46265</v>
      </c>
      <c r="B250" s="40" t="n">
        <f aca="false">IF($A250="",0,INT(($A250-Macrociclo!$C$11)/7)+1)</f>
        <v>35</v>
      </c>
      <c r="C250" s="27" t="s">
        <v>164</v>
      </c>
      <c r="D250" s="27" t="s">
        <v>1056</v>
      </c>
      <c r="E250" s="28" t="n">
        <v>80</v>
      </c>
      <c r="F250" s="28" t="n">
        <v>6</v>
      </c>
      <c r="G250" s="44" t="n">
        <f aca="false">IF(OR($E250="",$F250=""),0,$E250*$F250)</f>
        <v>480</v>
      </c>
      <c r="H250" s="44" t="n">
        <f aca="false">IF($A250="",0,SUMIFS($G$8:$G$1007,$C$8:$C$1007,$C250,$A$8:$A$1007,"&gt;="&amp;$A250-6,$A$8:$A$1007,"&lt;="&amp;$A250))</f>
        <v>3785</v>
      </c>
      <c r="I250" s="44" t="n">
        <f aca="false">IF($A250="",0,SUMIFS($G$8:$G$1007,$C$8:$C$1007,$C250,$A$8:$A$1007,"&gt;="&amp;$A250-27,$A$8:$A$1007,"&lt;="&amp;$A250)/4)</f>
        <v>3106.25</v>
      </c>
      <c r="J250" s="144" t="n">
        <f aca="false">IF(OR($A250="",$I250=0),0,$H250/$I250)</f>
        <v>1.21851106639839</v>
      </c>
      <c r="K250" s="40" t="n">
        <f aca="false">IF($A250="",0,$A250-SUMPRODUCT(MIN(($C$8:$C$1007=$C250)*$A$8:$A$1007+($C$8:$C$1007&lt;&gt;$C250)*100000))+1)</f>
        <v>22</v>
      </c>
      <c r="L250" s="26" t="str">
        <f aca="false">IF($A250="","",IF($J250=0,"Sem registro anterior",IF($K250&lt;21,"Histórico insuficiente",IF($J250&lt;0.8,"Subcarga",IF($J250&lt;=1.3,"Zona ideal",IF($J250&lt;=1.5,"Atenção","Risco elevado"))))))</f>
        <v>Zona ideal</v>
      </c>
      <c r="M250" s="27" t="s">
        <v>373</v>
      </c>
    </row>
    <row r="251" customFormat="false" ht="15" hidden="false" customHeight="false" outlineLevel="0" collapsed="false">
      <c r="A251" s="29" t="n">
        <v>46265</v>
      </c>
      <c r="B251" s="40" t="n">
        <f aca="false">IF($A251="",0,INT(($A251-Macrociclo!$C$11)/7)+1)</f>
        <v>35</v>
      </c>
      <c r="C251" s="27" t="s">
        <v>192</v>
      </c>
      <c r="D251" s="27" t="s">
        <v>1056</v>
      </c>
      <c r="E251" s="28" t="n">
        <v>90</v>
      </c>
      <c r="F251" s="28" t="n">
        <v>6</v>
      </c>
      <c r="G251" s="44" t="n">
        <f aca="false">IF(OR($E251="",$F251=""),0,$E251*$F251)</f>
        <v>540</v>
      </c>
      <c r="H251" s="44" t="n">
        <f aca="false">IF($A251="",0,SUMIFS($G$8:$G$1007,$C$8:$C$1007,$C251,$A$8:$A$1007,"&gt;="&amp;$A251-6,$A$8:$A$1007,"&lt;="&amp;$A251))</f>
        <v>4095</v>
      </c>
      <c r="I251" s="44" t="n">
        <f aca="false">IF($A251="",0,SUMIFS($G$8:$G$1007,$C$8:$C$1007,$C251,$A$8:$A$1007,"&gt;="&amp;$A251-27,$A$8:$A$1007,"&lt;="&amp;$A251)/4)</f>
        <v>3286.25</v>
      </c>
      <c r="J251" s="144" t="n">
        <f aca="false">IF(OR($A251="",$I251=0),0,$H251/$I251)</f>
        <v>1.24610117915557</v>
      </c>
      <c r="K251" s="40" t="n">
        <f aca="false">IF($A251="",0,$A251-SUMPRODUCT(MIN(($C$8:$C$1007=$C251)*$A$8:$A$1007+($C$8:$C$1007&lt;&gt;$C251)*100000))+1)</f>
        <v>22</v>
      </c>
      <c r="L251" s="26" t="str">
        <f aca="false">IF($A251="","",IF($J251=0,"Sem registro anterior",IF($K251&lt;21,"Histórico insuficiente",IF($J251&lt;0.8,"Subcarga",IF($J251&lt;=1.3,"Zona ideal",IF($J251&lt;=1.5,"Atenção","Risco elevado"))))))</f>
        <v>Zona ideal</v>
      </c>
      <c r="M251" s="27" t="s">
        <v>373</v>
      </c>
    </row>
    <row r="252" customFormat="false" ht="15" hidden="false" customHeight="false" outlineLevel="0" collapsed="false">
      <c r="A252" s="29" t="n">
        <v>46265</v>
      </c>
      <c r="B252" s="40" t="n">
        <f aca="false">IF($A252="",0,INT(($A252-Macrociclo!$C$11)/7)+1)</f>
        <v>35</v>
      </c>
      <c r="C252" s="27" t="s">
        <v>206</v>
      </c>
      <c r="D252" s="27" t="s">
        <v>1056</v>
      </c>
      <c r="E252" s="28" t="n">
        <v>80</v>
      </c>
      <c r="F252" s="28" t="n">
        <v>6</v>
      </c>
      <c r="G252" s="44" t="n">
        <f aca="false">IF(OR($E252="",$F252=""),0,$E252*$F252)</f>
        <v>480</v>
      </c>
      <c r="H252" s="44" t="n">
        <f aca="false">IF($A252="",0,SUMIFS($G$8:$G$1007,$C$8:$C$1007,$C252,$A$8:$A$1007,"&gt;="&amp;$A252-6,$A$8:$A$1007,"&lt;="&amp;$A252))</f>
        <v>3340</v>
      </c>
      <c r="I252" s="44" t="n">
        <f aca="false">IF($A252="",0,SUMIFS($G$8:$G$1007,$C$8:$C$1007,$C252,$A$8:$A$1007,"&gt;="&amp;$A252-27,$A$8:$A$1007,"&lt;="&amp;$A252)/4)</f>
        <v>2711.25</v>
      </c>
      <c r="J252" s="144" t="n">
        <f aca="false">IF(OR($A252="",$I252=0),0,$H252/$I252)</f>
        <v>1.2319041032734</v>
      </c>
      <c r="K252" s="40" t="n">
        <f aca="false">IF($A252="",0,$A252-SUMPRODUCT(MIN(($C$8:$C$1007=$C252)*$A$8:$A$1007+($C$8:$C$1007&lt;&gt;$C252)*100000))+1)</f>
        <v>22</v>
      </c>
      <c r="L252" s="26" t="str">
        <f aca="false">IF($A252="","",IF($J252=0,"Sem registro anterior",IF($K252&lt;21,"Histórico insuficiente",IF($J252&lt;0.8,"Subcarga",IF($J252&lt;=1.3,"Zona ideal",IF($J252&lt;=1.5,"Atenção","Risco elevado"))))))</f>
        <v>Zona ideal</v>
      </c>
      <c r="M252" s="27" t="s">
        <v>373</v>
      </c>
    </row>
    <row r="253" customFormat="false" ht="15" hidden="false" customHeight="false" outlineLevel="0" collapsed="false">
      <c r="A253" s="29" t="n">
        <v>46265</v>
      </c>
      <c r="B253" s="40" t="n">
        <f aca="false">IF($A253="",0,INT(($A253-Macrociclo!$C$11)/7)+1)</f>
        <v>35</v>
      </c>
      <c r="C253" s="27" t="s">
        <v>226</v>
      </c>
      <c r="D253" s="27" t="s">
        <v>1056</v>
      </c>
      <c r="E253" s="28" t="n">
        <v>90</v>
      </c>
      <c r="F253" s="28" t="n">
        <v>6</v>
      </c>
      <c r="G253" s="44" t="n">
        <f aca="false">IF(OR($E253="",$F253=""),0,$E253*$F253)</f>
        <v>540</v>
      </c>
      <c r="H253" s="44" t="n">
        <f aca="false">IF($A253="",0,SUMIFS($G$8:$G$1007,$C$8:$C$1007,$C253,$A$8:$A$1007,"&gt;="&amp;$A253-6,$A$8:$A$1007,"&lt;="&amp;$A253))</f>
        <v>3850</v>
      </c>
      <c r="I253" s="44" t="n">
        <f aca="false">IF($A253="",0,SUMIFS($G$8:$G$1007,$C$8:$C$1007,$C253,$A$8:$A$1007,"&gt;="&amp;$A253-27,$A$8:$A$1007,"&lt;="&amp;$A253)/4)</f>
        <v>3243.75</v>
      </c>
      <c r="J253" s="144" t="n">
        <f aca="false">IF(OR($A253="",$I253=0),0,$H253/$I253)</f>
        <v>1.1868978805395</v>
      </c>
      <c r="K253" s="40" t="n">
        <f aca="false">IF($A253="",0,$A253-SUMPRODUCT(MIN(($C$8:$C$1007=$C253)*$A$8:$A$1007+($C$8:$C$1007&lt;&gt;$C253)*100000))+1)</f>
        <v>22</v>
      </c>
      <c r="L253" s="26" t="str">
        <f aca="false">IF($A253="","",IF($J253=0,"Sem registro anterior",IF($K253&lt;21,"Histórico insuficiente",IF($J253&lt;0.8,"Subcarga",IF($J253&lt;=1.3,"Zona ideal",IF($J253&lt;=1.5,"Atenção","Risco elevado"))))))</f>
        <v>Zona ideal</v>
      </c>
      <c r="M253" s="27" t="s">
        <v>373</v>
      </c>
    </row>
    <row r="254" customFormat="false" ht="15" hidden="false" customHeight="false" outlineLevel="0" collapsed="false">
      <c r="A254" s="29" t="n">
        <v>46265</v>
      </c>
      <c r="B254" s="40" t="n">
        <f aca="false">IF($A254="",0,INT(($A254-Macrociclo!$C$11)/7)+1)</f>
        <v>35</v>
      </c>
      <c r="C254" s="27" t="s">
        <v>236</v>
      </c>
      <c r="D254" s="27" t="s">
        <v>1056</v>
      </c>
      <c r="E254" s="28" t="n">
        <v>90</v>
      </c>
      <c r="F254" s="28" t="n">
        <v>6</v>
      </c>
      <c r="G254" s="44" t="n">
        <f aca="false">IF(OR($E254="",$F254=""),0,$E254*$F254)</f>
        <v>540</v>
      </c>
      <c r="H254" s="44" t="n">
        <f aca="false">IF($A254="",0,SUMIFS($G$8:$G$1007,$C$8:$C$1007,$C254,$A$8:$A$1007,"&gt;="&amp;$A254-6,$A$8:$A$1007,"&lt;="&amp;$A254))</f>
        <v>3670</v>
      </c>
      <c r="I254" s="44" t="n">
        <f aca="false">IF($A254="",0,SUMIFS($G$8:$G$1007,$C$8:$C$1007,$C254,$A$8:$A$1007,"&gt;="&amp;$A254-27,$A$8:$A$1007,"&lt;="&amp;$A254)/4)</f>
        <v>2988.75</v>
      </c>
      <c r="J254" s="144" t="n">
        <f aca="false">IF(OR($A254="",$I254=0),0,$H254/$I254)</f>
        <v>1.22793810121288</v>
      </c>
      <c r="K254" s="40" t="n">
        <f aca="false">IF($A254="",0,$A254-SUMPRODUCT(MIN(($C$8:$C$1007=$C254)*$A$8:$A$1007+($C$8:$C$1007&lt;&gt;$C254)*100000))+1)</f>
        <v>22</v>
      </c>
      <c r="L254" s="26" t="str">
        <f aca="false">IF($A254="","",IF($J254=0,"Sem registro anterior",IF($K254&lt;21,"Histórico insuficiente",IF($J254&lt;0.8,"Subcarga",IF($J254&lt;=1.3,"Zona ideal",IF($J254&lt;=1.5,"Atenção","Risco elevado"))))))</f>
        <v>Zona ideal</v>
      </c>
      <c r="M254" s="27" t="s">
        <v>373</v>
      </c>
    </row>
    <row r="255" customFormat="false" ht="15" hidden="false" customHeight="false" outlineLevel="0" collapsed="false">
      <c r="A255" s="29" t="n">
        <v>46265</v>
      </c>
      <c r="B255" s="40" t="n">
        <f aca="false">IF($A255="",0,INT(($A255-Macrociclo!$C$11)/7)+1)</f>
        <v>35</v>
      </c>
      <c r="C255" s="27" t="s">
        <v>244</v>
      </c>
      <c r="D255" s="27" t="s">
        <v>1056</v>
      </c>
      <c r="E255" s="28" t="n">
        <v>90</v>
      </c>
      <c r="F255" s="28" t="n">
        <v>5</v>
      </c>
      <c r="G255" s="44" t="n">
        <f aca="false">IF(OR($E255="",$F255=""),0,$E255*$F255)</f>
        <v>450</v>
      </c>
      <c r="H255" s="44" t="n">
        <f aca="false">IF($A255="",0,SUMIFS($G$8:$G$1007,$C$8:$C$1007,$C255,$A$8:$A$1007,"&gt;="&amp;$A255-6,$A$8:$A$1007,"&lt;="&amp;$A255))</f>
        <v>3995</v>
      </c>
      <c r="I255" s="44" t="n">
        <f aca="false">IF($A255="",0,SUMIFS($G$8:$G$1007,$C$8:$C$1007,$C255,$A$8:$A$1007,"&gt;="&amp;$A255-27,$A$8:$A$1007,"&lt;="&amp;$A255)/4)</f>
        <v>3112.5</v>
      </c>
      <c r="J255" s="144" t="n">
        <f aca="false">IF(OR($A255="",$I255=0),0,$H255/$I255)</f>
        <v>1.28353413654618</v>
      </c>
      <c r="K255" s="40" t="n">
        <f aca="false">IF($A255="",0,$A255-SUMPRODUCT(MIN(($C$8:$C$1007=$C255)*$A$8:$A$1007+($C$8:$C$1007&lt;&gt;$C255)*100000))+1)</f>
        <v>22</v>
      </c>
      <c r="L255" s="26" t="str">
        <f aca="false">IF($A255="","",IF($J255=0,"Sem registro anterior",IF($K255&lt;21,"Histórico insuficiente",IF($J255&lt;0.8,"Subcarga",IF($J255&lt;=1.3,"Zona ideal",IF($J255&lt;=1.5,"Atenção","Risco elevado"))))))</f>
        <v>Zona ideal</v>
      </c>
      <c r="M255" s="27" t="s">
        <v>373</v>
      </c>
    </row>
    <row r="256" customFormat="false" ht="15" hidden="false" customHeight="false" outlineLevel="0" collapsed="false">
      <c r="A256" s="29" t="n">
        <v>46265</v>
      </c>
      <c r="B256" s="40" t="n">
        <f aca="false">IF($A256="",0,INT(($A256-Macrociclo!$C$11)/7)+1)</f>
        <v>35</v>
      </c>
      <c r="C256" s="27" t="s">
        <v>253</v>
      </c>
      <c r="D256" s="27" t="s">
        <v>1056</v>
      </c>
      <c r="E256" s="28" t="n">
        <v>90</v>
      </c>
      <c r="F256" s="28" t="n">
        <v>6</v>
      </c>
      <c r="G256" s="44" t="n">
        <f aca="false">IF(OR($E256="",$F256=""),0,$E256*$F256)</f>
        <v>540</v>
      </c>
      <c r="H256" s="44" t="n">
        <f aca="false">IF($A256="",0,SUMIFS($G$8:$G$1007,$C$8:$C$1007,$C256,$A$8:$A$1007,"&gt;="&amp;$A256-6,$A$8:$A$1007,"&lt;="&amp;$A256))</f>
        <v>3705</v>
      </c>
      <c r="I256" s="44" t="n">
        <f aca="false">IF($A256="",0,SUMIFS($G$8:$G$1007,$C$8:$C$1007,$C256,$A$8:$A$1007,"&gt;="&amp;$A256-27,$A$8:$A$1007,"&lt;="&amp;$A256)/4)</f>
        <v>3186.25</v>
      </c>
      <c r="J256" s="144" t="n">
        <f aca="false">IF(OR($A256="",$I256=0),0,$H256/$I256)</f>
        <v>1.16280894468419</v>
      </c>
      <c r="K256" s="40" t="n">
        <f aca="false">IF($A256="",0,$A256-SUMPRODUCT(MIN(($C$8:$C$1007=$C256)*$A$8:$A$1007+($C$8:$C$1007&lt;&gt;$C256)*100000))+1)</f>
        <v>22</v>
      </c>
      <c r="L256" s="26" t="str">
        <f aca="false">IF($A256="","",IF($J256=0,"Sem registro anterior",IF($K256&lt;21,"Histórico insuficiente",IF($J256&lt;0.8,"Subcarga",IF($J256&lt;=1.3,"Zona ideal",IF($J256&lt;=1.5,"Atenção","Risco elevado"))))))</f>
        <v>Zona ideal</v>
      </c>
      <c r="M256" s="27" t="s">
        <v>373</v>
      </c>
    </row>
    <row r="257" customFormat="false" ht="15" hidden="false" customHeight="false" outlineLevel="0" collapsed="false">
      <c r="A257" s="29" t="n">
        <v>46265</v>
      </c>
      <c r="B257" s="40" t="n">
        <f aca="false">IF($A257="",0,INT(($A257-Macrociclo!$C$11)/7)+1)</f>
        <v>35</v>
      </c>
      <c r="C257" s="27" t="s">
        <v>259</v>
      </c>
      <c r="D257" s="27" t="s">
        <v>1056</v>
      </c>
      <c r="E257" s="28" t="n">
        <v>90</v>
      </c>
      <c r="F257" s="28" t="n">
        <v>5</v>
      </c>
      <c r="G257" s="44" t="n">
        <f aca="false">IF(OR($E257="",$F257=""),0,$E257*$F257)</f>
        <v>450</v>
      </c>
      <c r="H257" s="44" t="n">
        <f aca="false">IF($A257="",0,SUMIFS($G$8:$G$1007,$C$8:$C$1007,$C257,$A$8:$A$1007,"&gt;="&amp;$A257-6,$A$8:$A$1007,"&lt;="&amp;$A257))</f>
        <v>3745</v>
      </c>
      <c r="I257" s="44" t="n">
        <f aca="false">IF($A257="",0,SUMIFS($G$8:$G$1007,$C$8:$C$1007,$C257,$A$8:$A$1007,"&gt;="&amp;$A257-27,$A$8:$A$1007,"&lt;="&amp;$A257)/4)</f>
        <v>3096.25</v>
      </c>
      <c r="J257" s="144" t="n">
        <f aca="false">IF(OR($A257="",$I257=0),0,$H257/$I257)</f>
        <v>1.20952765442067</v>
      </c>
      <c r="K257" s="40" t="n">
        <f aca="false">IF($A257="",0,$A257-SUMPRODUCT(MIN(($C$8:$C$1007=$C257)*$A$8:$A$1007+($C$8:$C$1007&lt;&gt;$C257)*100000))+1)</f>
        <v>22</v>
      </c>
      <c r="L257" s="26" t="str">
        <f aca="false">IF($A257="","",IF($J257=0,"Sem registro anterior",IF($K257&lt;21,"Histórico insuficiente",IF($J257&lt;0.8,"Subcarga",IF($J257&lt;=1.3,"Zona ideal",IF($J257&lt;=1.5,"Atenção","Risco elevado"))))))</f>
        <v>Zona ideal</v>
      </c>
      <c r="M257" s="27" t="s">
        <v>373</v>
      </c>
    </row>
    <row r="258" customFormat="false" ht="15" hidden="false" customHeight="false" outlineLevel="0" collapsed="false">
      <c r="A258" s="29" t="n">
        <v>46265</v>
      </c>
      <c r="B258" s="40" t="n">
        <f aca="false">IF($A258="",0,INT(($A258-Macrociclo!$C$11)/7)+1)</f>
        <v>35</v>
      </c>
      <c r="C258" s="27" t="s">
        <v>264</v>
      </c>
      <c r="D258" s="27" t="s">
        <v>1056</v>
      </c>
      <c r="E258" s="28" t="n">
        <v>80</v>
      </c>
      <c r="F258" s="28" t="n">
        <v>7</v>
      </c>
      <c r="G258" s="44" t="n">
        <f aca="false">IF(OR($E258="",$F258=""),0,$E258*$F258)</f>
        <v>560</v>
      </c>
      <c r="H258" s="44" t="n">
        <f aca="false">IF($A258="",0,SUMIFS($G$8:$G$1007,$C$8:$C$1007,$C258,$A$8:$A$1007,"&gt;="&amp;$A258-6,$A$8:$A$1007,"&lt;="&amp;$A258))</f>
        <v>3940</v>
      </c>
      <c r="I258" s="44" t="n">
        <f aca="false">IF($A258="",0,SUMIFS($G$8:$G$1007,$C$8:$C$1007,$C258,$A$8:$A$1007,"&gt;="&amp;$A258-27,$A$8:$A$1007,"&lt;="&amp;$A258)/4)</f>
        <v>3162.5</v>
      </c>
      <c r="J258" s="144" t="n">
        <f aca="false">IF(OR($A258="",$I258=0),0,$H258/$I258)</f>
        <v>1.24584980237154</v>
      </c>
      <c r="K258" s="40" t="n">
        <f aca="false">IF($A258="",0,$A258-SUMPRODUCT(MIN(($C$8:$C$1007=$C258)*$A$8:$A$1007+($C$8:$C$1007&lt;&gt;$C258)*100000))+1)</f>
        <v>22</v>
      </c>
      <c r="L258" s="26" t="str">
        <f aca="false">IF($A258="","",IF($J258=0,"Sem registro anterior",IF($K258&lt;21,"Histórico insuficiente",IF($J258&lt;0.8,"Subcarga",IF($J258&lt;=1.3,"Zona ideal",IF($J258&lt;=1.5,"Atenção","Risco elevado"))))))</f>
        <v>Zona ideal</v>
      </c>
      <c r="M258" s="27" t="s">
        <v>373</v>
      </c>
    </row>
    <row r="259" customFormat="false" ht="15" hidden="false" customHeight="false" outlineLevel="0" collapsed="false">
      <c r="A259" s="29" t="n">
        <v>46265</v>
      </c>
      <c r="B259" s="40" t="n">
        <f aca="false">IF($A259="",0,INT(($A259-Macrociclo!$C$11)/7)+1)</f>
        <v>35</v>
      </c>
      <c r="C259" s="27" t="s">
        <v>270</v>
      </c>
      <c r="D259" s="27" t="s">
        <v>1056</v>
      </c>
      <c r="E259" s="28" t="n">
        <v>90</v>
      </c>
      <c r="F259" s="28" t="n">
        <v>7</v>
      </c>
      <c r="G259" s="44" t="n">
        <f aca="false">IF(OR($E259="",$F259=""),0,$E259*$F259)</f>
        <v>630</v>
      </c>
      <c r="H259" s="44" t="n">
        <f aca="false">IF($A259="",0,SUMIFS($G$8:$G$1007,$C$8:$C$1007,$C259,$A$8:$A$1007,"&gt;="&amp;$A259-6,$A$8:$A$1007,"&lt;="&amp;$A259))</f>
        <v>4190</v>
      </c>
      <c r="I259" s="44" t="n">
        <f aca="false">IF($A259="",0,SUMIFS($G$8:$G$1007,$C$8:$C$1007,$C259,$A$8:$A$1007,"&gt;="&amp;$A259-27,$A$8:$A$1007,"&lt;="&amp;$A259)/4)</f>
        <v>3141.25</v>
      </c>
      <c r="J259" s="144" t="n">
        <f aca="false">IF(OR($A259="",$I259=0),0,$H259/$I259)</f>
        <v>1.33386390768006</v>
      </c>
      <c r="K259" s="40" t="n">
        <f aca="false">IF($A259="",0,$A259-SUMPRODUCT(MIN(($C$8:$C$1007=$C259)*$A$8:$A$1007+($C$8:$C$1007&lt;&gt;$C259)*100000))+1)</f>
        <v>22</v>
      </c>
      <c r="L259" s="26" t="str">
        <f aca="false">IF($A259="","",IF($J259=0,"Sem registro anterior",IF($K259&lt;21,"Histórico insuficiente",IF($J259&lt;0.8,"Subcarga",IF($J259&lt;=1.3,"Zona ideal",IF($J259&lt;=1.5,"Atenção","Risco elevado"))))))</f>
        <v>Atenção</v>
      </c>
      <c r="M259" s="27" t="s">
        <v>373</v>
      </c>
    </row>
    <row r="260" customFormat="false" ht="15" hidden="false" customHeight="false" outlineLevel="0" collapsed="false">
      <c r="A260" s="29" t="n">
        <v>46265</v>
      </c>
      <c r="B260" s="40" t="n">
        <f aca="false">IF($A260="",0,INT(($A260-Macrociclo!$C$11)/7)+1)</f>
        <v>35</v>
      </c>
      <c r="C260" s="27" t="s">
        <v>279</v>
      </c>
      <c r="D260" s="27" t="s">
        <v>1056</v>
      </c>
      <c r="E260" s="28" t="n">
        <v>85</v>
      </c>
      <c r="F260" s="28" t="n">
        <v>7</v>
      </c>
      <c r="G260" s="44" t="n">
        <f aca="false">IF(OR($E260="",$F260=""),0,$E260*$F260)</f>
        <v>595</v>
      </c>
      <c r="H260" s="44" t="n">
        <f aca="false">IF($A260="",0,SUMIFS($G$8:$G$1007,$C$8:$C$1007,$C260,$A$8:$A$1007,"&gt;="&amp;$A260-6,$A$8:$A$1007,"&lt;="&amp;$A260))</f>
        <v>4020</v>
      </c>
      <c r="I260" s="44" t="n">
        <f aca="false">IF($A260="",0,SUMIFS($G$8:$G$1007,$C$8:$C$1007,$C260,$A$8:$A$1007,"&gt;="&amp;$A260-27,$A$8:$A$1007,"&lt;="&amp;$A260)/4)</f>
        <v>2770</v>
      </c>
      <c r="J260" s="144" t="n">
        <f aca="false">IF(OR($A260="",$I260=0),0,$H260/$I260)</f>
        <v>1.45126353790614</v>
      </c>
      <c r="K260" s="40" t="n">
        <f aca="false">IF($A260="",0,$A260-SUMPRODUCT(MIN(($C$8:$C$1007=$C260)*$A$8:$A$1007+($C$8:$C$1007&lt;&gt;$C260)*100000))+1)</f>
        <v>22</v>
      </c>
      <c r="L260" s="26" t="str">
        <f aca="false">IF($A260="","",IF($J260=0,"Sem registro anterior",IF($K260&lt;21,"Histórico insuficiente",IF($J260&lt;0.8,"Subcarga",IF($J260&lt;=1.3,"Zona ideal",IF($J260&lt;=1.5,"Atenção","Risco elevado"))))))</f>
        <v>Atenção</v>
      </c>
      <c r="M260" s="27" t="s">
        <v>373</v>
      </c>
    </row>
    <row r="261" customFormat="false" ht="15" hidden="false" customHeight="false" outlineLevel="0" collapsed="false">
      <c r="A261" s="29" t="n">
        <v>46266</v>
      </c>
      <c r="B261" s="40" t="n">
        <f aca="false">IF($A261="",0,INT(($A261-Macrociclo!$C$11)/7)+1)</f>
        <v>35</v>
      </c>
      <c r="C261" s="27" t="s">
        <v>164</v>
      </c>
      <c r="D261" s="27" t="s">
        <v>1061</v>
      </c>
      <c r="E261" s="28" t="n">
        <v>50</v>
      </c>
      <c r="F261" s="28" t="n">
        <v>8</v>
      </c>
      <c r="G261" s="44" t="n">
        <f aca="false">IF(OR($E261="",$F261=""),0,$E261*$F261)</f>
        <v>400</v>
      </c>
      <c r="H261" s="44" t="n">
        <f aca="false">IF($A261="",0,SUMIFS($G$8:$G$1007,$C$8:$C$1007,$C261,$A$8:$A$1007,"&gt;="&amp;$A261-6,$A$8:$A$1007,"&lt;="&amp;$A261))</f>
        <v>3765</v>
      </c>
      <c r="I261" s="44" t="n">
        <f aca="false">IF($A261="",0,SUMIFS($G$8:$G$1007,$C$8:$C$1007,$C261,$A$8:$A$1007,"&gt;="&amp;$A261-27,$A$8:$A$1007,"&lt;="&amp;$A261)/4)</f>
        <v>3206.25</v>
      </c>
      <c r="J261" s="144" t="n">
        <f aca="false">IF(OR($A261="",$I261=0),0,$H261/$I261)</f>
        <v>1.17426900584795</v>
      </c>
      <c r="K261" s="40" t="n">
        <f aca="false">IF($A261="",0,$A261-SUMPRODUCT(MIN(($C$8:$C$1007=$C261)*$A$8:$A$1007+($C$8:$C$1007&lt;&gt;$C261)*100000))+1)</f>
        <v>23</v>
      </c>
      <c r="L261" s="26" t="str">
        <f aca="false">IF($A261="","",IF($J261=0,"Sem registro anterior",IF($K261&lt;21,"Histórico insuficiente",IF($J261&lt;0.8,"Subcarga",IF($J261&lt;=1.3,"Zona ideal",IF($J261&lt;=1.5,"Atenção","Risco elevado"))))))</f>
        <v>Zona ideal</v>
      </c>
      <c r="M261" s="27" t="s">
        <v>373</v>
      </c>
    </row>
    <row r="262" customFormat="false" ht="15" hidden="false" customHeight="false" outlineLevel="0" collapsed="false">
      <c r="A262" s="29" t="n">
        <v>46266</v>
      </c>
      <c r="B262" s="40" t="n">
        <f aca="false">IF($A262="",0,INT(($A262-Macrociclo!$C$11)/7)+1)</f>
        <v>35</v>
      </c>
      <c r="C262" s="27" t="s">
        <v>192</v>
      </c>
      <c r="D262" s="27" t="s">
        <v>1061</v>
      </c>
      <c r="E262" s="28" t="n">
        <v>60</v>
      </c>
      <c r="F262" s="28" t="n">
        <v>7</v>
      </c>
      <c r="G262" s="44" t="n">
        <f aca="false">IF(OR($E262="",$F262=""),0,$E262*$F262)</f>
        <v>420</v>
      </c>
      <c r="H262" s="44" t="n">
        <f aca="false">IF($A262="",0,SUMIFS($G$8:$G$1007,$C$8:$C$1007,$C262,$A$8:$A$1007,"&gt;="&amp;$A262-6,$A$8:$A$1007,"&lt;="&amp;$A262))</f>
        <v>4035</v>
      </c>
      <c r="I262" s="44" t="n">
        <f aca="false">IF($A262="",0,SUMIFS($G$8:$G$1007,$C$8:$C$1007,$C262,$A$8:$A$1007,"&gt;="&amp;$A262-27,$A$8:$A$1007,"&lt;="&amp;$A262)/4)</f>
        <v>3391.25</v>
      </c>
      <c r="J262" s="144" t="n">
        <f aca="false">IF(OR($A262="",$I262=0),0,$H262/$I262)</f>
        <v>1.18982676004423</v>
      </c>
      <c r="K262" s="40" t="n">
        <f aca="false">IF($A262="",0,$A262-SUMPRODUCT(MIN(($C$8:$C$1007=$C262)*$A$8:$A$1007+($C$8:$C$1007&lt;&gt;$C262)*100000))+1)</f>
        <v>23</v>
      </c>
      <c r="L262" s="26" t="str">
        <f aca="false">IF($A262="","",IF($J262=0,"Sem registro anterior",IF($K262&lt;21,"Histórico insuficiente",IF($J262&lt;0.8,"Subcarga",IF($J262&lt;=1.3,"Zona ideal",IF($J262&lt;=1.5,"Atenção","Risco elevado"))))))</f>
        <v>Zona ideal</v>
      </c>
      <c r="M262" s="27" t="s">
        <v>373</v>
      </c>
    </row>
    <row r="263" customFormat="false" ht="15" hidden="false" customHeight="false" outlineLevel="0" collapsed="false">
      <c r="A263" s="29" t="n">
        <v>46266</v>
      </c>
      <c r="B263" s="40" t="n">
        <f aca="false">IF($A263="",0,INT(($A263-Macrociclo!$C$11)/7)+1)</f>
        <v>35</v>
      </c>
      <c r="C263" s="27" t="s">
        <v>226</v>
      </c>
      <c r="D263" s="27" t="s">
        <v>1061</v>
      </c>
      <c r="E263" s="28" t="n">
        <v>60</v>
      </c>
      <c r="F263" s="28" t="n">
        <v>7</v>
      </c>
      <c r="G263" s="44" t="n">
        <f aca="false">IF(OR($E263="",$F263=""),0,$E263*$F263)</f>
        <v>420</v>
      </c>
      <c r="H263" s="44" t="n">
        <f aca="false">IF($A263="",0,SUMIFS($G$8:$G$1007,$C$8:$C$1007,$C263,$A$8:$A$1007,"&gt;="&amp;$A263-6,$A$8:$A$1007,"&lt;="&amp;$A263))</f>
        <v>4270</v>
      </c>
      <c r="I263" s="44" t="n">
        <f aca="false">IF($A263="",0,SUMIFS($G$8:$G$1007,$C$8:$C$1007,$C263,$A$8:$A$1007,"&gt;="&amp;$A263-27,$A$8:$A$1007,"&lt;="&amp;$A263)/4)</f>
        <v>3348.75</v>
      </c>
      <c r="J263" s="144" t="n">
        <f aca="false">IF(OR($A263="",$I263=0),0,$H263/$I263)</f>
        <v>1.27510265024263</v>
      </c>
      <c r="K263" s="40" t="n">
        <f aca="false">IF($A263="",0,$A263-SUMPRODUCT(MIN(($C$8:$C$1007=$C263)*$A$8:$A$1007+($C$8:$C$1007&lt;&gt;$C263)*100000))+1)</f>
        <v>23</v>
      </c>
      <c r="L263" s="26" t="str">
        <f aca="false">IF($A263="","",IF($J263=0,"Sem registro anterior",IF($K263&lt;21,"Histórico insuficiente",IF($J263&lt;0.8,"Subcarga",IF($J263&lt;=1.3,"Zona ideal",IF($J263&lt;=1.5,"Atenção","Risco elevado"))))))</f>
        <v>Zona ideal</v>
      </c>
      <c r="M263" s="27" t="s">
        <v>373</v>
      </c>
    </row>
    <row r="264" customFormat="false" ht="15" hidden="false" customHeight="false" outlineLevel="0" collapsed="false">
      <c r="A264" s="29" t="n">
        <v>46266</v>
      </c>
      <c r="B264" s="40" t="n">
        <f aca="false">IF($A264="",0,INT(($A264-Macrociclo!$C$11)/7)+1)</f>
        <v>35</v>
      </c>
      <c r="C264" s="27" t="s">
        <v>236</v>
      </c>
      <c r="D264" s="27" t="s">
        <v>1061</v>
      </c>
      <c r="E264" s="28" t="n">
        <v>50</v>
      </c>
      <c r="F264" s="28" t="n">
        <v>6</v>
      </c>
      <c r="G264" s="44" t="n">
        <f aca="false">IF(OR($E264="",$F264=""),0,$E264*$F264)</f>
        <v>300</v>
      </c>
      <c r="H264" s="44" t="n">
        <f aca="false">IF($A264="",0,SUMIFS($G$8:$G$1007,$C$8:$C$1007,$C264,$A$8:$A$1007,"&gt;="&amp;$A264-6,$A$8:$A$1007,"&lt;="&amp;$A264))</f>
        <v>3670</v>
      </c>
      <c r="I264" s="44" t="n">
        <f aca="false">IF($A264="",0,SUMIFS($G$8:$G$1007,$C$8:$C$1007,$C264,$A$8:$A$1007,"&gt;="&amp;$A264-27,$A$8:$A$1007,"&lt;="&amp;$A264)/4)</f>
        <v>3063.75</v>
      </c>
      <c r="J264" s="144" t="n">
        <f aca="false">IF(OR($A264="",$I264=0),0,$H264/$I264)</f>
        <v>1.19787841697266</v>
      </c>
      <c r="K264" s="40" t="n">
        <f aca="false">IF($A264="",0,$A264-SUMPRODUCT(MIN(($C$8:$C$1007=$C264)*$A$8:$A$1007+($C$8:$C$1007&lt;&gt;$C264)*100000))+1)</f>
        <v>23</v>
      </c>
      <c r="L264" s="26" t="str">
        <f aca="false">IF($A264="","",IF($J264=0,"Sem registro anterior",IF($K264&lt;21,"Histórico insuficiente",IF($J264&lt;0.8,"Subcarga",IF($J264&lt;=1.3,"Zona ideal",IF($J264&lt;=1.5,"Atenção","Risco elevado"))))))</f>
        <v>Zona ideal</v>
      </c>
      <c r="M264" s="27" t="s">
        <v>373</v>
      </c>
    </row>
    <row r="265" customFormat="false" ht="15" hidden="false" customHeight="false" outlineLevel="0" collapsed="false">
      <c r="A265" s="29" t="n">
        <v>46266</v>
      </c>
      <c r="B265" s="40" t="n">
        <f aca="false">IF($A265="",0,INT(($A265-Macrociclo!$C$11)/7)+1)</f>
        <v>35</v>
      </c>
      <c r="C265" s="27" t="s">
        <v>244</v>
      </c>
      <c r="D265" s="27" t="s">
        <v>1061</v>
      </c>
      <c r="E265" s="28" t="n">
        <v>60</v>
      </c>
      <c r="F265" s="28" t="n">
        <v>8</v>
      </c>
      <c r="G265" s="44" t="n">
        <f aca="false">IF(OR($E265="",$F265=""),0,$E265*$F265)</f>
        <v>480</v>
      </c>
      <c r="H265" s="44" t="n">
        <f aca="false">IF($A265="",0,SUMIFS($G$8:$G$1007,$C$8:$C$1007,$C265,$A$8:$A$1007,"&gt;="&amp;$A265-6,$A$8:$A$1007,"&lt;="&amp;$A265))</f>
        <v>4090</v>
      </c>
      <c r="I265" s="44" t="n">
        <f aca="false">IF($A265="",0,SUMIFS($G$8:$G$1007,$C$8:$C$1007,$C265,$A$8:$A$1007,"&gt;="&amp;$A265-27,$A$8:$A$1007,"&lt;="&amp;$A265)/4)</f>
        <v>3232.5</v>
      </c>
      <c r="J265" s="144" t="n">
        <f aca="false">IF(OR($A265="",$I265=0),0,$H265/$I265)</f>
        <v>1.26527455529776</v>
      </c>
      <c r="K265" s="40" t="n">
        <f aca="false">IF($A265="",0,$A265-SUMPRODUCT(MIN(($C$8:$C$1007=$C265)*$A$8:$A$1007+($C$8:$C$1007&lt;&gt;$C265)*100000))+1)</f>
        <v>23</v>
      </c>
      <c r="L265" s="26" t="str">
        <f aca="false">IF($A265="","",IF($J265=0,"Sem registro anterior",IF($K265&lt;21,"Histórico insuficiente",IF($J265&lt;0.8,"Subcarga",IF($J265&lt;=1.3,"Zona ideal",IF($J265&lt;=1.5,"Atenção","Risco elevado"))))))</f>
        <v>Zona ideal</v>
      </c>
      <c r="M265" s="27" t="s">
        <v>373</v>
      </c>
    </row>
    <row r="266" customFormat="false" ht="15" hidden="false" customHeight="false" outlineLevel="0" collapsed="false">
      <c r="A266" s="29" t="n">
        <v>46266</v>
      </c>
      <c r="B266" s="40" t="n">
        <f aca="false">IF($A266="",0,INT(($A266-Macrociclo!$C$11)/7)+1)</f>
        <v>35</v>
      </c>
      <c r="C266" s="27" t="s">
        <v>253</v>
      </c>
      <c r="D266" s="27" t="s">
        <v>1061</v>
      </c>
      <c r="E266" s="28" t="n">
        <v>50</v>
      </c>
      <c r="F266" s="28" t="n">
        <v>7</v>
      </c>
      <c r="G266" s="44" t="n">
        <f aca="false">IF(OR($E266="",$F266=""),0,$E266*$F266)</f>
        <v>350</v>
      </c>
      <c r="H266" s="44" t="n">
        <f aca="false">IF($A266="",0,SUMIFS($G$8:$G$1007,$C$8:$C$1007,$C266,$A$8:$A$1007,"&gt;="&amp;$A266-6,$A$8:$A$1007,"&lt;="&amp;$A266))</f>
        <v>3695</v>
      </c>
      <c r="I266" s="44" t="n">
        <f aca="false">IF($A266="",0,SUMIFS($G$8:$G$1007,$C$8:$C$1007,$C266,$A$8:$A$1007,"&gt;="&amp;$A266-27,$A$8:$A$1007,"&lt;="&amp;$A266)/4)</f>
        <v>3273.75</v>
      </c>
      <c r="J266" s="144" t="n">
        <f aca="false">IF(OR($A266="",$I266=0),0,$H266/$I266)</f>
        <v>1.1286750668194</v>
      </c>
      <c r="K266" s="40" t="n">
        <f aca="false">IF($A266="",0,$A266-SUMPRODUCT(MIN(($C$8:$C$1007=$C266)*$A$8:$A$1007+($C$8:$C$1007&lt;&gt;$C266)*100000))+1)</f>
        <v>23</v>
      </c>
      <c r="L266" s="26" t="str">
        <f aca="false">IF($A266="","",IF($J266=0,"Sem registro anterior",IF($K266&lt;21,"Histórico insuficiente",IF($J266&lt;0.8,"Subcarga",IF($J266&lt;=1.3,"Zona ideal",IF($J266&lt;=1.5,"Atenção","Risco elevado"))))))</f>
        <v>Zona ideal</v>
      </c>
      <c r="M266" s="27" t="s">
        <v>373</v>
      </c>
    </row>
    <row r="267" customFormat="false" ht="15" hidden="false" customHeight="false" outlineLevel="0" collapsed="false">
      <c r="A267" s="29" t="n">
        <v>46266</v>
      </c>
      <c r="B267" s="40" t="n">
        <f aca="false">IF($A267="",0,INT(($A267-Macrociclo!$C$11)/7)+1)</f>
        <v>35</v>
      </c>
      <c r="C267" s="27" t="s">
        <v>259</v>
      </c>
      <c r="D267" s="27" t="s">
        <v>1061</v>
      </c>
      <c r="E267" s="28" t="n">
        <v>50</v>
      </c>
      <c r="F267" s="28" t="n">
        <v>7</v>
      </c>
      <c r="G267" s="44" t="n">
        <f aca="false">IF(OR($E267="",$F267=""),0,$E267*$F267)</f>
        <v>350</v>
      </c>
      <c r="H267" s="44" t="n">
        <f aca="false">IF($A267="",0,SUMIFS($G$8:$G$1007,$C$8:$C$1007,$C267,$A$8:$A$1007,"&gt;="&amp;$A267-6,$A$8:$A$1007,"&lt;="&amp;$A267))</f>
        <v>3675</v>
      </c>
      <c r="I267" s="44" t="n">
        <f aca="false">IF($A267="",0,SUMIFS($G$8:$G$1007,$C$8:$C$1007,$C267,$A$8:$A$1007,"&gt;="&amp;$A267-27,$A$8:$A$1007,"&lt;="&amp;$A267)/4)</f>
        <v>3183.75</v>
      </c>
      <c r="J267" s="144" t="n">
        <f aca="false">IF(OR($A267="",$I267=0),0,$H267/$I267)</f>
        <v>1.15429917550059</v>
      </c>
      <c r="K267" s="40" t="n">
        <f aca="false">IF($A267="",0,$A267-SUMPRODUCT(MIN(($C$8:$C$1007=$C267)*$A$8:$A$1007+($C$8:$C$1007&lt;&gt;$C267)*100000))+1)</f>
        <v>23</v>
      </c>
      <c r="L267" s="26" t="str">
        <f aca="false">IF($A267="","",IF($J267=0,"Sem registro anterior",IF($K267&lt;21,"Histórico insuficiente",IF($J267&lt;0.8,"Subcarga",IF($J267&lt;=1.3,"Zona ideal",IF($J267&lt;=1.5,"Atenção","Risco elevado"))))))</f>
        <v>Zona ideal</v>
      </c>
      <c r="M267" s="27" t="s">
        <v>373</v>
      </c>
    </row>
    <row r="268" customFormat="false" ht="15" hidden="false" customHeight="false" outlineLevel="0" collapsed="false">
      <c r="A268" s="29" t="n">
        <v>46266</v>
      </c>
      <c r="B268" s="40" t="n">
        <f aca="false">IF($A268="",0,INT(($A268-Macrociclo!$C$11)/7)+1)</f>
        <v>35</v>
      </c>
      <c r="C268" s="27" t="s">
        <v>264</v>
      </c>
      <c r="D268" s="27" t="s">
        <v>1061</v>
      </c>
      <c r="E268" s="28" t="n">
        <v>60</v>
      </c>
      <c r="F268" s="28" t="n">
        <v>7</v>
      </c>
      <c r="G268" s="44" t="n">
        <f aca="false">IF(OR($E268="",$F268=""),0,$E268*$F268)</f>
        <v>420</v>
      </c>
      <c r="H268" s="44" t="n">
        <f aca="false">IF($A268="",0,SUMIFS($G$8:$G$1007,$C$8:$C$1007,$C268,$A$8:$A$1007,"&gt;="&amp;$A268-6,$A$8:$A$1007,"&lt;="&amp;$A268))</f>
        <v>4010</v>
      </c>
      <c r="I268" s="44" t="n">
        <f aca="false">IF($A268="",0,SUMIFS($G$8:$G$1007,$C$8:$C$1007,$C268,$A$8:$A$1007,"&gt;="&amp;$A268-27,$A$8:$A$1007,"&lt;="&amp;$A268)/4)</f>
        <v>3267.5</v>
      </c>
      <c r="J268" s="144" t="n">
        <f aca="false">IF(OR($A268="",$I268=0),0,$H268/$I268)</f>
        <v>1.22723794950268</v>
      </c>
      <c r="K268" s="40" t="n">
        <f aca="false">IF($A268="",0,$A268-SUMPRODUCT(MIN(($C$8:$C$1007=$C268)*$A$8:$A$1007+($C$8:$C$1007&lt;&gt;$C268)*100000))+1)</f>
        <v>23</v>
      </c>
      <c r="L268" s="26" t="str">
        <f aca="false">IF($A268="","",IF($J268=0,"Sem registro anterior",IF($K268&lt;21,"Histórico insuficiente",IF($J268&lt;0.8,"Subcarga",IF($J268&lt;=1.3,"Zona ideal",IF($J268&lt;=1.5,"Atenção","Risco elevado"))))))</f>
        <v>Zona ideal</v>
      </c>
      <c r="M268" s="27" t="s">
        <v>373</v>
      </c>
    </row>
    <row r="269" customFormat="false" ht="15" hidden="false" customHeight="false" outlineLevel="0" collapsed="false">
      <c r="A269" s="29" t="n">
        <v>46266</v>
      </c>
      <c r="B269" s="40" t="n">
        <f aca="false">IF($A269="",0,INT(($A269-Macrociclo!$C$11)/7)+1)</f>
        <v>35</v>
      </c>
      <c r="C269" s="27" t="s">
        <v>270</v>
      </c>
      <c r="D269" s="27" t="s">
        <v>1061</v>
      </c>
      <c r="E269" s="28" t="n">
        <v>60</v>
      </c>
      <c r="F269" s="28" t="n">
        <v>7</v>
      </c>
      <c r="G269" s="44" t="n">
        <f aca="false">IF(OR($E269="",$F269=""),0,$E269*$F269)</f>
        <v>420</v>
      </c>
      <c r="H269" s="44" t="n">
        <f aca="false">IF($A269="",0,SUMIFS($G$8:$G$1007,$C$8:$C$1007,$C269,$A$8:$A$1007,"&gt;="&amp;$A269-6,$A$8:$A$1007,"&lt;="&amp;$A269))</f>
        <v>4310</v>
      </c>
      <c r="I269" s="44" t="n">
        <f aca="false">IF($A269="",0,SUMIFS($G$8:$G$1007,$C$8:$C$1007,$C269,$A$8:$A$1007,"&gt;="&amp;$A269-27,$A$8:$A$1007,"&lt;="&amp;$A269)/4)</f>
        <v>3246.25</v>
      </c>
      <c r="J269" s="144" t="n">
        <f aca="false">IF(OR($A269="",$I269=0),0,$H269/$I269)</f>
        <v>1.32768579129765</v>
      </c>
      <c r="K269" s="40" t="n">
        <f aca="false">IF($A269="",0,$A269-SUMPRODUCT(MIN(($C$8:$C$1007=$C269)*$A$8:$A$1007+($C$8:$C$1007&lt;&gt;$C269)*100000))+1)</f>
        <v>23</v>
      </c>
      <c r="L269" s="26" t="str">
        <f aca="false">IF($A269="","",IF($J269=0,"Sem registro anterior",IF($K269&lt;21,"Histórico insuficiente",IF($J269&lt;0.8,"Subcarga",IF($J269&lt;=1.3,"Zona ideal",IF($J269&lt;=1.5,"Atenção","Risco elevado"))))))</f>
        <v>Atenção</v>
      </c>
      <c r="M269" s="27" t="s">
        <v>373</v>
      </c>
    </row>
    <row r="270" customFormat="false" ht="15" hidden="false" customHeight="false" outlineLevel="0" collapsed="false">
      <c r="A270" s="29" t="n">
        <v>46266</v>
      </c>
      <c r="B270" s="40" t="n">
        <f aca="false">IF($A270="",0,INT(($A270-Macrociclo!$C$11)/7)+1)</f>
        <v>35</v>
      </c>
      <c r="C270" s="27" t="s">
        <v>279</v>
      </c>
      <c r="D270" s="27" t="s">
        <v>1061</v>
      </c>
      <c r="E270" s="28" t="n">
        <v>60</v>
      </c>
      <c r="F270" s="28" t="n">
        <v>7</v>
      </c>
      <c r="G270" s="44" t="n">
        <f aca="false">IF(OR($E270="",$F270=""),0,$E270*$F270)</f>
        <v>420</v>
      </c>
      <c r="H270" s="44" t="n">
        <f aca="false">IF($A270="",0,SUMIFS($G$8:$G$1007,$C$8:$C$1007,$C270,$A$8:$A$1007,"&gt;="&amp;$A270-6,$A$8:$A$1007,"&lt;="&amp;$A270))</f>
        <v>4050</v>
      </c>
      <c r="I270" s="44" t="n">
        <f aca="false">IF($A270="",0,SUMIFS($G$8:$G$1007,$C$8:$C$1007,$C270,$A$8:$A$1007,"&gt;="&amp;$A270-27,$A$8:$A$1007,"&lt;="&amp;$A270)/4)</f>
        <v>2875</v>
      </c>
      <c r="J270" s="144" t="n">
        <f aca="false">IF(OR($A270="",$I270=0),0,$H270/$I270)</f>
        <v>1.40869565217391</v>
      </c>
      <c r="K270" s="40" t="n">
        <f aca="false">IF($A270="",0,$A270-SUMPRODUCT(MIN(($C$8:$C$1007=$C270)*$A$8:$A$1007+($C$8:$C$1007&lt;&gt;$C270)*100000))+1)</f>
        <v>23</v>
      </c>
      <c r="L270" s="26" t="str">
        <f aca="false">IF($A270="","",IF($J270=0,"Sem registro anterior",IF($K270&lt;21,"Histórico insuficiente",IF($J270&lt;0.8,"Subcarga",IF($J270&lt;=1.3,"Zona ideal",IF($J270&lt;=1.5,"Atenção","Risco elevado"))))))</f>
        <v>Atenção</v>
      </c>
      <c r="M270" s="27" t="s">
        <v>373</v>
      </c>
    </row>
    <row r="271" customFormat="false" ht="15" hidden="false" customHeight="false" outlineLevel="0" collapsed="false">
      <c r="A271" s="29" t="n">
        <v>46267</v>
      </c>
      <c r="B271" s="40" t="n">
        <f aca="false">IF($A271="",0,INT(($A271-Macrociclo!$C$11)/7)+1)</f>
        <v>35</v>
      </c>
      <c r="C271" s="27" t="s">
        <v>192</v>
      </c>
      <c r="D271" s="27" t="s">
        <v>1066</v>
      </c>
      <c r="E271" s="28" t="n">
        <v>105</v>
      </c>
      <c r="F271" s="28" t="n">
        <v>8</v>
      </c>
      <c r="G271" s="44" t="n">
        <f aca="false">IF(OR($E271="",$F271=""),0,$E271*$F271)</f>
        <v>840</v>
      </c>
      <c r="H271" s="44" t="n">
        <f aca="false">IF($A271="",0,SUMIFS($G$8:$G$1007,$C$8:$C$1007,$C271,$A$8:$A$1007,"&gt;="&amp;$A271-6,$A$8:$A$1007,"&lt;="&amp;$A271))</f>
        <v>4035</v>
      </c>
      <c r="I271" s="44" t="n">
        <f aca="false">IF($A271="",0,SUMIFS($G$8:$G$1007,$C$8:$C$1007,$C271,$A$8:$A$1007,"&gt;="&amp;$A271-27,$A$8:$A$1007,"&lt;="&amp;$A271)/4)</f>
        <v>3601.25</v>
      </c>
      <c r="J271" s="144" t="n">
        <f aca="false">IF(OR($A271="",$I271=0),0,$H271/$I271)</f>
        <v>1.12044429017702</v>
      </c>
      <c r="K271" s="40" t="n">
        <f aca="false">IF($A271="",0,$A271-SUMPRODUCT(MIN(($C$8:$C$1007=$C271)*$A$8:$A$1007+($C$8:$C$1007&lt;&gt;$C271)*100000))+1)</f>
        <v>24</v>
      </c>
      <c r="L271" s="26" t="str">
        <f aca="false">IF($A271="","",IF($J271=0,"Sem registro anterior",IF($K271&lt;21,"Histórico insuficiente",IF($J271&lt;0.8,"Subcarga",IF($J271&lt;=1.3,"Zona ideal",IF($J271&lt;=1.5,"Atenção","Risco elevado"))))))</f>
        <v>Zona ideal</v>
      </c>
      <c r="M271" s="27" t="s">
        <v>373</v>
      </c>
    </row>
    <row r="272" customFormat="false" ht="15" hidden="false" customHeight="false" outlineLevel="0" collapsed="false">
      <c r="A272" s="29" t="n">
        <v>46267</v>
      </c>
      <c r="B272" s="40" t="n">
        <f aca="false">IF($A272="",0,INT(($A272-Macrociclo!$C$11)/7)+1)</f>
        <v>35</v>
      </c>
      <c r="C272" s="27" t="s">
        <v>206</v>
      </c>
      <c r="D272" s="27" t="s">
        <v>1066</v>
      </c>
      <c r="E272" s="28" t="n">
        <v>105</v>
      </c>
      <c r="F272" s="28" t="n">
        <v>8</v>
      </c>
      <c r="G272" s="44" t="n">
        <f aca="false">IF(OR($E272="",$F272=""),0,$E272*$F272)</f>
        <v>840</v>
      </c>
      <c r="H272" s="44" t="n">
        <f aca="false">IF($A272="",0,SUMIFS($G$8:$G$1007,$C$8:$C$1007,$C272,$A$8:$A$1007,"&gt;="&amp;$A272-6,$A$8:$A$1007,"&lt;="&amp;$A272))</f>
        <v>3070</v>
      </c>
      <c r="I272" s="44" t="n">
        <f aca="false">IF($A272="",0,SUMIFS($G$8:$G$1007,$C$8:$C$1007,$C272,$A$8:$A$1007,"&gt;="&amp;$A272-27,$A$8:$A$1007,"&lt;="&amp;$A272)/4)</f>
        <v>2921.25</v>
      </c>
      <c r="J272" s="144" t="n">
        <f aca="false">IF(OR($A272="",$I272=0),0,$H272/$I272)</f>
        <v>1.05091998288404</v>
      </c>
      <c r="K272" s="40" t="n">
        <f aca="false">IF($A272="",0,$A272-SUMPRODUCT(MIN(($C$8:$C$1007=$C272)*$A$8:$A$1007+($C$8:$C$1007&lt;&gt;$C272)*100000))+1)</f>
        <v>24</v>
      </c>
      <c r="L272" s="26" t="str">
        <f aca="false">IF($A272="","",IF($J272=0,"Sem registro anterior",IF($K272&lt;21,"Histórico insuficiente",IF($J272&lt;0.8,"Subcarga",IF($J272&lt;=1.3,"Zona ideal",IF($J272&lt;=1.5,"Atenção","Risco elevado"))))))</f>
        <v>Zona ideal</v>
      </c>
      <c r="M272" s="27" t="s">
        <v>373</v>
      </c>
    </row>
    <row r="273" customFormat="false" ht="15" hidden="false" customHeight="false" outlineLevel="0" collapsed="false">
      <c r="A273" s="29" t="n">
        <v>46267</v>
      </c>
      <c r="B273" s="40" t="n">
        <f aca="false">IF($A273="",0,INT(($A273-Macrociclo!$C$11)/7)+1)</f>
        <v>35</v>
      </c>
      <c r="C273" s="27" t="s">
        <v>226</v>
      </c>
      <c r="D273" s="27" t="s">
        <v>1066</v>
      </c>
      <c r="E273" s="28" t="n">
        <v>105</v>
      </c>
      <c r="F273" s="28" t="n">
        <v>8</v>
      </c>
      <c r="G273" s="44" t="n">
        <f aca="false">IF(OR($E273="",$F273=""),0,$E273*$F273)</f>
        <v>840</v>
      </c>
      <c r="H273" s="44" t="n">
        <f aca="false">IF($A273="",0,SUMIFS($G$8:$G$1007,$C$8:$C$1007,$C273,$A$8:$A$1007,"&gt;="&amp;$A273-6,$A$8:$A$1007,"&lt;="&amp;$A273))</f>
        <v>4310</v>
      </c>
      <c r="I273" s="44" t="n">
        <f aca="false">IF($A273="",0,SUMIFS($G$8:$G$1007,$C$8:$C$1007,$C273,$A$8:$A$1007,"&gt;="&amp;$A273-27,$A$8:$A$1007,"&lt;="&amp;$A273)/4)</f>
        <v>3558.75</v>
      </c>
      <c r="J273" s="144" t="n">
        <f aca="false">IF(OR($A273="",$I273=0),0,$H273/$I273)</f>
        <v>1.21109940288022</v>
      </c>
      <c r="K273" s="40" t="n">
        <f aca="false">IF($A273="",0,$A273-SUMPRODUCT(MIN(($C$8:$C$1007=$C273)*$A$8:$A$1007+($C$8:$C$1007&lt;&gt;$C273)*100000))+1)</f>
        <v>24</v>
      </c>
      <c r="L273" s="26" t="str">
        <f aca="false">IF($A273="","",IF($J273=0,"Sem registro anterior",IF($K273&lt;21,"Histórico insuficiente",IF($J273&lt;0.8,"Subcarga",IF($J273&lt;=1.3,"Zona ideal",IF($J273&lt;=1.5,"Atenção","Risco elevado"))))))</f>
        <v>Zona ideal</v>
      </c>
      <c r="M273" s="27" t="s">
        <v>373</v>
      </c>
    </row>
    <row r="274" customFormat="false" ht="15" hidden="false" customHeight="false" outlineLevel="0" collapsed="false">
      <c r="A274" s="29" t="n">
        <v>46267</v>
      </c>
      <c r="B274" s="40" t="n">
        <f aca="false">IF($A274="",0,INT(($A274-Macrociclo!$C$11)/7)+1)</f>
        <v>35</v>
      </c>
      <c r="C274" s="27" t="s">
        <v>236</v>
      </c>
      <c r="D274" s="27" t="s">
        <v>1066</v>
      </c>
      <c r="E274" s="28" t="n">
        <v>105</v>
      </c>
      <c r="F274" s="28" t="n">
        <v>7</v>
      </c>
      <c r="G274" s="44" t="n">
        <f aca="false">IF(OR($E274="",$F274=""),0,$E274*$F274)</f>
        <v>735</v>
      </c>
      <c r="H274" s="44" t="n">
        <f aca="false">IF($A274="",0,SUMIFS($G$8:$G$1007,$C$8:$C$1007,$C274,$A$8:$A$1007,"&gt;="&amp;$A274-6,$A$8:$A$1007,"&lt;="&amp;$A274))</f>
        <v>3705</v>
      </c>
      <c r="I274" s="44" t="n">
        <f aca="false">IF($A274="",0,SUMIFS($G$8:$G$1007,$C$8:$C$1007,$C274,$A$8:$A$1007,"&gt;="&amp;$A274-27,$A$8:$A$1007,"&lt;="&amp;$A274)/4)</f>
        <v>3247.5</v>
      </c>
      <c r="J274" s="144" t="n">
        <f aca="false">IF(OR($A274="",$I274=0),0,$H274/$I274)</f>
        <v>1.14087759815242</v>
      </c>
      <c r="K274" s="40" t="n">
        <f aca="false">IF($A274="",0,$A274-SUMPRODUCT(MIN(($C$8:$C$1007=$C274)*$A$8:$A$1007+($C$8:$C$1007&lt;&gt;$C274)*100000))+1)</f>
        <v>24</v>
      </c>
      <c r="L274" s="26" t="str">
        <f aca="false">IF($A274="","",IF($J274=0,"Sem registro anterior",IF($K274&lt;21,"Histórico insuficiente",IF($J274&lt;0.8,"Subcarga",IF($J274&lt;=1.3,"Zona ideal",IF($J274&lt;=1.5,"Atenção","Risco elevado"))))))</f>
        <v>Zona ideal</v>
      </c>
      <c r="M274" s="27" t="s">
        <v>373</v>
      </c>
    </row>
    <row r="275" customFormat="false" ht="15" hidden="false" customHeight="false" outlineLevel="0" collapsed="false">
      <c r="A275" s="29" t="n">
        <v>46267</v>
      </c>
      <c r="B275" s="40" t="n">
        <f aca="false">IF($A275="",0,INT(($A275-Macrociclo!$C$11)/7)+1)</f>
        <v>35</v>
      </c>
      <c r="C275" s="27" t="s">
        <v>244</v>
      </c>
      <c r="D275" s="27" t="s">
        <v>1066</v>
      </c>
      <c r="E275" s="28" t="n">
        <v>90</v>
      </c>
      <c r="F275" s="28" t="n">
        <v>7</v>
      </c>
      <c r="G275" s="44" t="n">
        <f aca="false">IF(OR($E275="",$F275=""),0,$E275*$F275)</f>
        <v>630</v>
      </c>
      <c r="H275" s="44" t="n">
        <f aca="false">IF($A275="",0,SUMIFS($G$8:$G$1007,$C$8:$C$1007,$C275,$A$8:$A$1007,"&gt;="&amp;$A275-6,$A$8:$A$1007,"&lt;="&amp;$A275))</f>
        <v>3920</v>
      </c>
      <c r="I275" s="44" t="n">
        <f aca="false">IF($A275="",0,SUMIFS($G$8:$G$1007,$C$8:$C$1007,$C275,$A$8:$A$1007,"&gt;="&amp;$A275-27,$A$8:$A$1007,"&lt;="&amp;$A275)/4)</f>
        <v>3390</v>
      </c>
      <c r="J275" s="144" t="n">
        <f aca="false">IF(OR($A275="",$I275=0),0,$H275/$I275)</f>
        <v>1.15634218289086</v>
      </c>
      <c r="K275" s="40" t="n">
        <f aca="false">IF($A275="",0,$A275-SUMPRODUCT(MIN(($C$8:$C$1007=$C275)*$A$8:$A$1007+($C$8:$C$1007&lt;&gt;$C275)*100000))+1)</f>
        <v>24</v>
      </c>
      <c r="L275" s="26" t="str">
        <f aca="false">IF($A275="","",IF($J275=0,"Sem registro anterior",IF($K275&lt;21,"Histórico insuficiente",IF($J275&lt;0.8,"Subcarga",IF($J275&lt;=1.3,"Zona ideal",IF($J275&lt;=1.5,"Atenção","Risco elevado"))))))</f>
        <v>Zona ideal</v>
      </c>
      <c r="M275" s="27" t="s">
        <v>373</v>
      </c>
    </row>
    <row r="276" customFormat="false" ht="15" hidden="false" customHeight="false" outlineLevel="0" collapsed="false">
      <c r="A276" s="29" t="n">
        <v>46267</v>
      </c>
      <c r="B276" s="40" t="n">
        <f aca="false">IF($A276="",0,INT(($A276-Macrociclo!$C$11)/7)+1)</f>
        <v>35</v>
      </c>
      <c r="C276" s="27" t="s">
        <v>253</v>
      </c>
      <c r="D276" s="27" t="s">
        <v>1066</v>
      </c>
      <c r="E276" s="28" t="n">
        <v>90</v>
      </c>
      <c r="F276" s="28" t="n">
        <v>7</v>
      </c>
      <c r="G276" s="44" t="n">
        <f aca="false">IF(OR($E276="",$F276=""),0,$E276*$F276)</f>
        <v>630</v>
      </c>
      <c r="H276" s="44" t="n">
        <f aca="false">IF($A276="",0,SUMIFS($G$8:$G$1007,$C$8:$C$1007,$C276,$A$8:$A$1007,"&gt;="&amp;$A276-6,$A$8:$A$1007,"&lt;="&amp;$A276))</f>
        <v>3605</v>
      </c>
      <c r="I276" s="44" t="n">
        <f aca="false">IF($A276="",0,SUMIFS($G$8:$G$1007,$C$8:$C$1007,$C276,$A$8:$A$1007,"&gt;="&amp;$A276-27,$A$8:$A$1007,"&lt;="&amp;$A276)/4)</f>
        <v>3431.25</v>
      </c>
      <c r="J276" s="144" t="n">
        <f aca="false">IF(OR($A276="",$I276=0),0,$H276/$I276)</f>
        <v>1.05063752276867</v>
      </c>
      <c r="K276" s="40" t="n">
        <f aca="false">IF($A276="",0,$A276-SUMPRODUCT(MIN(($C$8:$C$1007=$C276)*$A$8:$A$1007+($C$8:$C$1007&lt;&gt;$C276)*100000))+1)</f>
        <v>24</v>
      </c>
      <c r="L276" s="26" t="str">
        <f aca="false">IF($A276="","",IF($J276=0,"Sem registro anterior",IF($K276&lt;21,"Histórico insuficiente",IF($J276&lt;0.8,"Subcarga",IF($J276&lt;=1.3,"Zona ideal",IF($J276&lt;=1.5,"Atenção","Risco elevado"))))))</f>
        <v>Zona ideal</v>
      </c>
      <c r="M276" s="27" t="s">
        <v>373</v>
      </c>
    </row>
    <row r="277" customFormat="false" ht="15" hidden="false" customHeight="false" outlineLevel="0" collapsed="false">
      <c r="A277" s="29" t="n">
        <v>46267</v>
      </c>
      <c r="B277" s="40" t="n">
        <f aca="false">IF($A277="",0,INT(($A277-Macrociclo!$C$11)/7)+1)</f>
        <v>35</v>
      </c>
      <c r="C277" s="27" t="s">
        <v>259</v>
      </c>
      <c r="D277" s="27" t="s">
        <v>1066</v>
      </c>
      <c r="E277" s="28" t="n">
        <v>105</v>
      </c>
      <c r="F277" s="28" t="n">
        <v>8</v>
      </c>
      <c r="G277" s="44" t="n">
        <f aca="false">IF(OR($E277="",$F277=""),0,$E277*$F277)</f>
        <v>840</v>
      </c>
      <c r="H277" s="44" t="n">
        <f aca="false">IF($A277="",0,SUMIFS($G$8:$G$1007,$C$8:$C$1007,$C277,$A$8:$A$1007,"&gt;="&amp;$A277-6,$A$8:$A$1007,"&lt;="&amp;$A277))</f>
        <v>3615</v>
      </c>
      <c r="I277" s="44" t="n">
        <f aca="false">IF($A277="",0,SUMIFS($G$8:$G$1007,$C$8:$C$1007,$C277,$A$8:$A$1007,"&gt;="&amp;$A277-27,$A$8:$A$1007,"&lt;="&amp;$A277)/4)</f>
        <v>3393.75</v>
      </c>
      <c r="J277" s="144" t="n">
        <f aca="false">IF(OR($A277="",$I277=0),0,$H277/$I277)</f>
        <v>1.06519337016575</v>
      </c>
      <c r="K277" s="40" t="n">
        <f aca="false">IF($A277="",0,$A277-SUMPRODUCT(MIN(($C$8:$C$1007=$C277)*$A$8:$A$1007+($C$8:$C$1007&lt;&gt;$C277)*100000))+1)</f>
        <v>24</v>
      </c>
      <c r="L277" s="26" t="str">
        <f aca="false">IF($A277="","",IF($J277=0,"Sem registro anterior",IF($K277&lt;21,"Histórico insuficiente",IF($J277&lt;0.8,"Subcarga",IF($J277&lt;=1.3,"Zona ideal",IF($J277&lt;=1.5,"Atenção","Risco elevado"))))))</f>
        <v>Zona ideal</v>
      </c>
      <c r="M277" s="27" t="s">
        <v>373</v>
      </c>
    </row>
    <row r="278" customFormat="false" ht="15" hidden="false" customHeight="false" outlineLevel="0" collapsed="false">
      <c r="A278" s="29" t="n">
        <v>46267</v>
      </c>
      <c r="B278" s="40" t="n">
        <f aca="false">IF($A278="",0,INT(($A278-Macrociclo!$C$11)/7)+1)</f>
        <v>35</v>
      </c>
      <c r="C278" s="27" t="s">
        <v>264</v>
      </c>
      <c r="D278" s="27" t="s">
        <v>1066</v>
      </c>
      <c r="E278" s="28" t="n">
        <v>95</v>
      </c>
      <c r="F278" s="28" t="n">
        <v>7</v>
      </c>
      <c r="G278" s="44" t="n">
        <f aca="false">IF(OR($E278="",$F278=""),0,$E278*$F278)</f>
        <v>665</v>
      </c>
      <c r="H278" s="44" t="n">
        <f aca="false">IF($A278="",0,SUMIFS($G$8:$G$1007,$C$8:$C$1007,$C278,$A$8:$A$1007,"&gt;="&amp;$A278-6,$A$8:$A$1007,"&lt;="&amp;$A278))</f>
        <v>3955</v>
      </c>
      <c r="I278" s="44" t="n">
        <f aca="false">IF($A278="",0,SUMIFS($G$8:$G$1007,$C$8:$C$1007,$C278,$A$8:$A$1007,"&gt;="&amp;$A278-27,$A$8:$A$1007,"&lt;="&amp;$A278)/4)</f>
        <v>3433.75</v>
      </c>
      <c r="J278" s="144" t="n">
        <f aca="false">IF(OR($A278="",$I278=0),0,$H278/$I278)</f>
        <v>1.15180196578085</v>
      </c>
      <c r="K278" s="40" t="n">
        <f aca="false">IF($A278="",0,$A278-SUMPRODUCT(MIN(($C$8:$C$1007=$C278)*$A$8:$A$1007+($C$8:$C$1007&lt;&gt;$C278)*100000))+1)</f>
        <v>24</v>
      </c>
      <c r="L278" s="26" t="str">
        <f aca="false">IF($A278="","",IF($J278=0,"Sem registro anterior",IF($K278&lt;21,"Histórico insuficiente",IF($J278&lt;0.8,"Subcarga",IF($J278&lt;=1.3,"Zona ideal",IF($J278&lt;=1.5,"Atenção","Risco elevado"))))))</f>
        <v>Zona ideal</v>
      </c>
      <c r="M278" s="27" t="s">
        <v>373</v>
      </c>
    </row>
    <row r="279" customFormat="false" ht="15" hidden="false" customHeight="false" outlineLevel="0" collapsed="false">
      <c r="A279" s="29" t="n">
        <v>46267</v>
      </c>
      <c r="B279" s="40" t="n">
        <f aca="false">IF($A279="",0,INT(($A279-Macrociclo!$C$11)/7)+1)</f>
        <v>35</v>
      </c>
      <c r="C279" s="27" t="s">
        <v>279</v>
      </c>
      <c r="D279" s="27" t="s">
        <v>1066</v>
      </c>
      <c r="E279" s="28" t="n">
        <v>95</v>
      </c>
      <c r="F279" s="28" t="n">
        <v>7</v>
      </c>
      <c r="G279" s="44" t="n">
        <f aca="false">IF(OR($E279="",$F279=""),0,$E279*$F279)</f>
        <v>665</v>
      </c>
      <c r="H279" s="44" t="n">
        <f aca="false">IF($A279="",0,SUMIFS($G$8:$G$1007,$C$8:$C$1007,$C279,$A$8:$A$1007,"&gt;="&amp;$A279-6,$A$8:$A$1007,"&lt;="&amp;$A279))</f>
        <v>3860</v>
      </c>
      <c r="I279" s="44" t="n">
        <f aca="false">IF($A279="",0,SUMIFS($G$8:$G$1007,$C$8:$C$1007,$C279,$A$8:$A$1007,"&gt;="&amp;$A279-27,$A$8:$A$1007,"&lt;="&amp;$A279)/4)</f>
        <v>3041.25</v>
      </c>
      <c r="J279" s="144" t="n">
        <f aca="false">IF(OR($A279="",$I279=0),0,$H279/$I279)</f>
        <v>1.26921496095356</v>
      </c>
      <c r="K279" s="40" t="n">
        <f aca="false">IF($A279="",0,$A279-SUMPRODUCT(MIN(($C$8:$C$1007=$C279)*$A$8:$A$1007+($C$8:$C$1007&lt;&gt;$C279)*100000))+1)</f>
        <v>24</v>
      </c>
      <c r="L279" s="26" t="str">
        <f aca="false">IF($A279="","",IF($J279=0,"Sem registro anterior",IF($K279&lt;21,"Histórico insuficiente",IF($J279&lt;0.8,"Subcarga",IF($J279&lt;=1.3,"Zona ideal",IF($J279&lt;=1.5,"Atenção","Risco elevado"))))))</f>
        <v>Zona ideal</v>
      </c>
      <c r="M279" s="27" t="s">
        <v>373</v>
      </c>
    </row>
    <row r="280" customFormat="false" ht="15" hidden="false" customHeight="false" outlineLevel="0" collapsed="false">
      <c r="A280" s="29"/>
      <c r="B280" s="40" t="n">
        <f aca="false">IF($A280="",0,INT(($A280-Macrociclo!$C$11)/7)+1)</f>
        <v>0</v>
      </c>
      <c r="C280" s="27"/>
      <c r="D280" s="27"/>
      <c r="E280" s="28"/>
      <c r="F280" s="28"/>
      <c r="G280" s="44" t="n">
        <f aca="false">IF(OR($E280="",$F280=""),0,$E280*$F280)</f>
        <v>0</v>
      </c>
      <c r="H280" s="44" t="n">
        <f aca="false">IF($A280="",0,SUMIFS($G$8:$G$1007,$C$8:$C$1007,$C280,$A$8:$A$1007,"&gt;="&amp;$A280-6,$A$8:$A$1007,"&lt;="&amp;$A280))</f>
        <v>0</v>
      </c>
      <c r="I280" s="44" t="n">
        <f aca="false">IF($A280="",0,SUMIFS($G$8:$G$1007,$C$8:$C$1007,$C280,$A$8:$A$1007,"&gt;="&amp;$A280-27,$A$8:$A$1007,"&lt;="&amp;$A280)/4)</f>
        <v>0</v>
      </c>
      <c r="J280" s="144" t="n">
        <f aca="false">IF(OR($A280="",$I280=0),0,$H280/$I280)</f>
        <v>0</v>
      </c>
      <c r="K280" s="40" t="n">
        <f aca="false">IF($A280="",0,$A280-SUMPRODUCT(MIN(($C$8:$C$1007=$C280)*$A$8:$A$1007+($C$8:$C$1007&lt;&gt;$C280)*100000))+1)</f>
        <v>0</v>
      </c>
      <c r="L280" s="26" t="str">
        <f aca="false">IF($A280="","",IF($J280=0,"Sem registro anterior",IF($K280&lt;21,"Histórico insuficiente",IF($J280&lt;0.8,"Subcarga",IF($J280&lt;=1.3,"Zona ideal",IF($J280&lt;=1.5,"Atenção","Risco elevado"))))))</f>
        <v/>
      </c>
      <c r="M280" s="27"/>
    </row>
    <row r="281" customFormat="false" ht="15" hidden="false" customHeight="false" outlineLevel="0" collapsed="false">
      <c r="A281" s="29"/>
      <c r="B281" s="40" t="n">
        <f aca="false">IF($A281="",0,INT(($A281-Macrociclo!$C$11)/7)+1)</f>
        <v>0</v>
      </c>
      <c r="C281" s="27"/>
      <c r="D281" s="27"/>
      <c r="E281" s="28"/>
      <c r="F281" s="28"/>
      <c r="G281" s="44" t="n">
        <f aca="false">IF(OR($E281="",$F281=""),0,$E281*$F281)</f>
        <v>0</v>
      </c>
      <c r="H281" s="44" t="n">
        <f aca="false">IF($A281="",0,SUMIFS($G$8:$G$1007,$C$8:$C$1007,$C281,$A$8:$A$1007,"&gt;="&amp;$A281-6,$A$8:$A$1007,"&lt;="&amp;$A281))</f>
        <v>0</v>
      </c>
      <c r="I281" s="44" t="n">
        <f aca="false">IF($A281="",0,SUMIFS($G$8:$G$1007,$C$8:$C$1007,$C281,$A$8:$A$1007,"&gt;="&amp;$A281-27,$A$8:$A$1007,"&lt;="&amp;$A281)/4)</f>
        <v>0</v>
      </c>
      <c r="J281" s="144" t="n">
        <f aca="false">IF(OR($A281="",$I281=0),0,$H281/$I281)</f>
        <v>0</v>
      </c>
      <c r="K281" s="40" t="n">
        <f aca="false">IF($A281="",0,$A281-SUMPRODUCT(MIN(($C$8:$C$1007=$C281)*$A$8:$A$1007+($C$8:$C$1007&lt;&gt;$C281)*100000))+1)</f>
        <v>0</v>
      </c>
      <c r="L281" s="26" t="str">
        <f aca="false">IF($A281="","",IF($J281=0,"Sem registro anterior",IF($K281&lt;21,"Histórico insuficiente",IF($J281&lt;0.8,"Subcarga",IF($J281&lt;=1.3,"Zona ideal",IF($J281&lt;=1.5,"Atenção","Risco elevado"))))))</f>
        <v/>
      </c>
      <c r="M281" s="27"/>
    </row>
    <row r="282" customFormat="false" ht="15" hidden="false" customHeight="false" outlineLevel="0" collapsed="false">
      <c r="A282" s="29"/>
      <c r="B282" s="40" t="n">
        <f aca="false">IF($A282="",0,INT(($A282-Macrociclo!$C$11)/7)+1)</f>
        <v>0</v>
      </c>
      <c r="C282" s="27"/>
      <c r="D282" s="27"/>
      <c r="E282" s="28"/>
      <c r="F282" s="28"/>
      <c r="G282" s="44" t="n">
        <f aca="false">IF(OR($E282="",$F282=""),0,$E282*$F282)</f>
        <v>0</v>
      </c>
      <c r="H282" s="44" t="n">
        <f aca="false">IF($A282="",0,SUMIFS($G$8:$G$1007,$C$8:$C$1007,$C282,$A$8:$A$1007,"&gt;="&amp;$A282-6,$A$8:$A$1007,"&lt;="&amp;$A282))</f>
        <v>0</v>
      </c>
      <c r="I282" s="44" t="n">
        <f aca="false">IF($A282="",0,SUMIFS($G$8:$G$1007,$C$8:$C$1007,$C282,$A$8:$A$1007,"&gt;="&amp;$A282-27,$A$8:$A$1007,"&lt;="&amp;$A282)/4)</f>
        <v>0</v>
      </c>
      <c r="J282" s="144" t="n">
        <f aca="false">IF(OR($A282="",$I282=0),0,$H282/$I282)</f>
        <v>0</v>
      </c>
      <c r="K282" s="40" t="n">
        <f aca="false">IF($A282="",0,$A282-SUMPRODUCT(MIN(($C$8:$C$1007=$C282)*$A$8:$A$1007+($C$8:$C$1007&lt;&gt;$C282)*100000))+1)</f>
        <v>0</v>
      </c>
      <c r="L282" s="26" t="str">
        <f aca="false">IF($A282="","",IF($J282=0,"Sem registro anterior",IF($K282&lt;21,"Histórico insuficiente",IF($J282&lt;0.8,"Subcarga",IF($J282&lt;=1.3,"Zona ideal",IF($J282&lt;=1.5,"Atenção","Risco elevado"))))))</f>
        <v/>
      </c>
      <c r="M282" s="27"/>
    </row>
    <row r="283" customFormat="false" ht="15" hidden="false" customHeight="false" outlineLevel="0" collapsed="false">
      <c r="A283" s="29"/>
      <c r="B283" s="40" t="n">
        <f aca="false">IF($A283="",0,INT(($A283-Macrociclo!$C$11)/7)+1)</f>
        <v>0</v>
      </c>
      <c r="C283" s="27"/>
      <c r="D283" s="27"/>
      <c r="E283" s="28"/>
      <c r="F283" s="28"/>
      <c r="G283" s="44" t="n">
        <f aca="false">IF(OR($E283="",$F283=""),0,$E283*$F283)</f>
        <v>0</v>
      </c>
      <c r="H283" s="44" t="n">
        <f aca="false">IF($A283="",0,SUMIFS($G$8:$G$1007,$C$8:$C$1007,$C283,$A$8:$A$1007,"&gt;="&amp;$A283-6,$A$8:$A$1007,"&lt;="&amp;$A283))</f>
        <v>0</v>
      </c>
      <c r="I283" s="44" t="n">
        <f aca="false">IF($A283="",0,SUMIFS($G$8:$G$1007,$C$8:$C$1007,$C283,$A$8:$A$1007,"&gt;="&amp;$A283-27,$A$8:$A$1007,"&lt;="&amp;$A283)/4)</f>
        <v>0</v>
      </c>
      <c r="J283" s="144" t="n">
        <f aca="false">IF(OR($A283="",$I283=0),0,$H283/$I283)</f>
        <v>0</v>
      </c>
      <c r="K283" s="40" t="n">
        <f aca="false">IF($A283="",0,$A283-SUMPRODUCT(MIN(($C$8:$C$1007=$C283)*$A$8:$A$1007+($C$8:$C$1007&lt;&gt;$C283)*100000))+1)</f>
        <v>0</v>
      </c>
      <c r="L283" s="26" t="str">
        <f aca="false">IF($A283="","",IF($J283=0,"Sem registro anterior",IF($K283&lt;21,"Histórico insuficiente",IF($J283&lt;0.8,"Subcarga",IF($J283&lt;=1.3,"Zona ideal",IF($J283&lt;=1.5,"Atenção","Risco elevado"))))))</f>
        <v/>
      </c>
      <c r="M283" s="27"/>
    </row>
    <row r="284" customFormat="false" ht="15" hidden="false" customHeight="false" outlineLevel="0" collapsed="false">
      <c r="A284" s="29"/>
      <c r="B284" s="40" t="n">
        <f aca="false">IF($A284="",0,INT(($A284-Macrociclo!$C$11)/7)+1)</f>
        <v>0</v>
      </c>
      <c r="C284" s="27"/>
      <c r="D284" s="27"/>
      <c r="E284" s="28"/>
      <c r="F284" s="28"/>
      <c r="G284" s="44" t="n">
        <f aca="false">IF(OR($E284="",$F284=""),0,$E284*$F284)</f>
        <v>0</v>
      </c>
      <c r="H284" s="44" t="n">
        <f aca="false">IF($A284="",0,SUMIFS($G$8:$G$1007,$C$8:$C$1007,$C284,$A$8:$A$1007,"&gt;="&amp;$A284-6,$A$8:$A$1007,"&lt;="&amp;$A284))</f>
        <v>0</v>
      </c>
      <c r="I284" s="44" t="n">
        <f aca="false">IF($A284="",0,SUMIFS($G$8:$G$1007,$C$8:$C$1007,$C284,$A$8:$A$1007,"&gt;="&amp;$A284-27,$A$8:$A$1007,"&lt;="&amp;$A284)/4)</f>
        <v>0</v>
      </c>
      <c r="J284" s="144" t="n">
        <f aca="false">IF(OR($A284="",$I284=0),0,$H284/$I284)</f>
        <v>0</v>
      </c>
      <c r="K284" s="40" t="n">
        <f aca="false">IF($A284="",0,$A284-SUMPRODUCT(MIN(($C$8:$C$1007=$C284)*$A$8:$A$1007+($C$8:$C$1007&lt;&gt;$C284)*100000))+1)</f>
        <v>0</v>
      </c>
      <c r="L284" s="26" t="str">
        <f aca="false">IF($A284="","",IF($J284=0,"Sem registro anterior",IF($K284&lt;21,"Histórico insuficiente",IF($J284&lt;0.8,"Subcarga",IF($J284&lt;=1.3,"Zona ideal",IF($J284&lt;=1.5,"Atenção","Risco elevado"))))))</f>
        <v/>
      </c>
      <c r="M284" s="27"/>
    </row>
    <row r="285" customFormat="false" ht="15" hidden="false" customHeight="false" outlineLevel="0" collapsed="false">
      <c r="A285" s="29"/>
      <c r="B285" s="40" t="n">
        <f aca="false">IF($A285="",0,INT(($A285-Macrociclo!$C$11)/7)+1)</f>
        <v>0</v>
      </c>
      <c r="C285" s="27"/>
      <c r="D285" s="27"/>
      <c r="E285" s="28"/>
      <c r="F285" s="28"/>
      <c r="G285" s="44" t="n">
        <f aca="false">IF(OR($E285="",$F285=""),0,$E285*$F285)</f>
        <v>0</v>
      </c>
      <c r="H285" s="44" t="n">
        <f aca="false">IF($A285="",0,SUMIFS($G$8:$G$1007,$C$8:$C$1007,$C285,$A$8:$A$1007,"&gt;="&amp;$A285-6,$A$8:$A$1007,"&lt;="&amp;$A285))</f>
        <v>0</v>
      </c>
      <c r="I285" s="44" t="n">
        <f aca="false">IF($A285="",0,SUMIFS($G$8:$G$1007,$C$8:$C$1007,$C285,$A$8:$A$1007,"&gt;="&amp;$A285-27,$A$8:$A$1007,"&lt;="&amp;$A285)/4)</f>
        <v>0</v>
      </c>
      <c r="J285" s="144" t="n">
        <f aca="false">IF(OR($A285="",$I285=0),0,$H285/$I285)</f>
        <v>0</v>
      </c>
      <c r="K285" s="40" t="n">
        <f aca="false">IF($A285="",0,$A285-SUMPRODUCT(MIN(($C$8:$C$1007=$C285)*$A$8:$A$1007+($C$8:$C$1007&lt;&gt;$C285)*100000))+1)</f>
        <v>0</v>
      </c>
      <c r="L285" s="26" t="str">
        <f aca="false">IF($A285="","",IF($J285=0,"Sem registro anterior",IF($K285&lt;21,"Histórico insuficiente",IF($J285&lt;0.8,"Subcarga",IF($J285&lt;=1.3,"Zona ideal",IF($J285&lt;=1.5,"Atenção","Risco elevado"))))))</f>
        <v/>
      </c>
      <c r="M285" s="27"/>
    </row>
    <row r="286" customFormat="false" ht="15" hidden="false" customHeight="false" outlineLevel="0" collapsed="false">
      <c r="A286" s="29"/>
      <c r="B286" s="40" t="n">
        <f aca="false">IF($A286="",0,INT(($A286-Macrociclo!$C$11)/7)+1)</f>
        <v>0</v>
      </c>
      <c r="C286" s="27"/>
      <c r="D286" s="27"/>
      <c r="E286" s="28"/>
      <c r="F286" s="28"/>
      <c r="G286" s="44" t="n">
        <f aca="false">IF(OR($E286="",$F286=""),0,$E286*$F286)</f>
        <v>0</v>
      </c>
      <c r="H286" s="44" t="n">
        <f aca="false">IF($A286="",0,SUMIFS($G$8:$G$1007,$C$8:$C$1007,$C286,$A$8:$A$1007,"&gt;="&amp;$A286-6,$A$8:$A$1007,"&lt;="&amp;$A286))</f>
        <v>0</v>
      </c>
      <c r="I286" s="44" t="n">
        <f aca="false">IF($A286="",0,SUMIFS($G$8:$G$1007,$C$8:$C$1007,$C286,$A$8:$A$1007,"&gt;="&amp;$A286-27,$A$8:$A$1007,"&lt;="&amp;$A286)/4)</f>
        <v>0</v>
      </c>
      <c r="J286" s="144" t="n">
        <f aca="false">IF(OR($A286="",$I286=0),0,$H286/$I286)</f>
        <v>0</v>
      </c>
      <c r="K286" s="40" t="n">
        <f aca="false">IF($A286="",0,$A286-SUMPRODUCT(MIN(($C$8:$C$1007=$C286)*$A$8:$A$1007+($C$8:$C$1007&lt;&gt;$C286)*100000))+1)</f>
        <v>0</v>
      </c>
      <c r="L286" s="26" t="str">
        <f aca="false">IF($A286="","",IF($J286=0,"Sem registro anterior",IF($K286&lt;21,"Histórico insuficiente",IF($J286&lt;0.8,"Subcarga",IF($J286&lt;=1.3,"Zona ideal",IF($J286&lt;=1.5,"Atenção","Risco elevado"))))))</f>
        <v/>
      </c>
      <c r="M286" s="27"/>
    </row>
    <row r="287" customFormat="false" ht="15" hidden="false" customHeight="false" outlineLevel="0" collapsed="false">
      <c r="A287" s="29"/>
      <c r="B287" s="40" t="n">
        <f aca="false">IF($A287="",0,INT(($A287-Macrociclo!$C$11)/7)+1)</f>
        <v>0</v>
      </c>
      <c r="C287" s="27"/>
      <c r="D287" s="27"/>
      <c r="E287" s="28"/>
      <c r="F287" s="28"/>
      <c r="G287" s="44" t="n">
        <f aca="false">IF(OR($E287="",$F287=""),0,$E287*$F287)</f>
        <v>0</v>
      </c>
      <c r="H287" s="44" t="n">
        <f aca="false">IF($A287="",0,SUMIFS($G$8:$G$1007,$C$8:$C$1007,$C287,$A$8:$A$1007,"&gt;="&amp;$A287-6,$A$8:$A$1007,"&lt;="&amp;$A287))</f>
        <v>0</v>
      </c>
      <c r="I287" s="44" t="n">
        <f aca="false">IF($A287="",0,SUMIFS($G$8:$G$1007,$C$8:$C$1007,$C287,$A$8:$A$1007,"&gt;="&amp;$A287-27,$A$8:$A$1007,"&lt;="&amp;$A287)/4)</f>
        <v>0</v>
      </c>
      <c r="J287" s="144" t="n">
        <f aca="false">IF(OR($A287="",$I287=0),0,$H287/$I287)</f>
        <v>0</v>
      </c>
      <c r="K287" s="40" t="n">
        <f aca="false">IF($A287="",0,$A287-SUMPRODUCT(MIN(($C$8:$C$1007=$C287)*$A$8:$A$1007+($C$8:$C$1007&lt;&gt;$C287)*100000))+1)</f>
        <v>0</v>
      </c>
      <c r="L287" s="26" t="str">
        <f aca="false">IF($A287="","",IF($J287=0,"Sem registro anterior",IF($K287&lt;21,"Histórico insuficiente",IF($J287&lt;0.8,"Subcarga",IF($J287&lt;=1.3,"Zona ideal",IF($J287&lt;=1.5,"Atenção","Risco elevado"))))))</f>
        <v/>
      </c>
      <c r="M287" s="27"/>
    </row>
    <row r="288" customFormat="false" ht="15" hidden="false" customHeight="false" outlineLevel="0" collapsed="false">
      <c r="A288" s="29"/>
      <c r="B288" s="40" t="n">
        <f aca="false">IF($A288="",0,INT(($A288-Macrociclo!$C$11)/7)+1)</f>
        <v>0</v>
      </c>
      <c r="C288" s="27"/>
      <c r="D288" s="27"/>
      <c r="E288" s="28"/>
      <c r="F288" s="28"/>
      <c r="G288" s="44" t="n">
        <f aca="false">IF(OR($E288="",$F288=""),0,$E288*$F288)</f>
        <v>0</v>
      </c>
      <c r="H288" s="44" t="n">
        <f aca="false">IF($A288="",0,SUMIFS($G$8:$G$1007,$C$8:$C$1007,$C288,$A$8:$A$1007,"&gt;="&amp;$A288-6,$A$8:$A$1007,"&lt;="&amp;$A288))</f>
        <v>0</v>
      </c>
      <c r="I288" s="44" t="n">
        <f aca="false">IF($A288="",0,SUMIFS($G$8:$G$1007,$C$8:$C$1007,$C288,$A$8:$A$1007,"&gt;="&amp;$A288-27,$A$8:$A$1007,"&lt;="&amp;$A288)/4)</f>
        <v>0</v>
      </c>
      <c r="J288" s="144" t="n">
        <f aca="false">IF(OR($A288="",$I288=0),0,$H288/$I288)</f>
        <v>0</v>
      </c>
      <c r="K288" s="40" t="n">
        <f aca="false">IF($A288="",0,$A288-SUMPRODUCT(MIN(($C$8:$C$1007=$C288)*$A$8:$A$1007+($C$8:$C$1007&lt;&gt;$C288)*100000))+1)</f>
        <v>0</v>
      </c>
      <c r="L288" s="26" t="str">
        <f aca="false">IF($A288="","",IF($J288=0,"Sem registro anterior",IF($K288&lt;21,"Histórico insuficiente",IF($J288&lt;0.8,"Subcarga",IF($J288&lt;=1.3,"Zona ideal",IF($J288&lt;=1.5,"Atenção","Risco elevado"))))))</f>
        <v/>
      </c>
      <c r="M288" s="27"/>
    </row>
    <row r="289" customFormat="false" ht="15" hidden="false" customHeight="false" outlineLevel="0" collapsed="false">
      <c r="A289" s="29"/>
      <c r="B289" s="40" t="n">
        <f aca="false">IF($A289="",0,INT(($A289-Macrociclo!$C$11)/7)+1)</f>
        <v>0</v>
      </c>
      <c r="C289" s="27"/>
      <c r="D289" s="27"/>
      <c r="E289" s="28"/>
      <c r="F289" s="28"/>
      <c r="G289" s="44" t="n">
        <f aca="false">IF(OR($E289="",$F289=""),0,$E289*$F289)</f>
        <v>0</v>
      </c>
      <c r="H289" s="44" t="n">
        <f aca="false">IF($A289="",0,SUMIFS($G$8:$G$1007,$C$8:$C$1007,$C289,$A$8:$A$1007,"&gt;="&amp;$A289-6,$A$8:$A$1007,"&lt;="&amp;$A289))</f>
        <v>0</v>
      </c>
      <c r="I289" s="44" t="n">
        <f aca="false">IF($A289="",0,SUMIFS($G$8:$G$1007,$C$8:$C$1007,$C289,$A$8:$A$1007,"&gt;="&amp;$A289-27,$A$8:$A$1007,"&lt;="&amp;$A289)/4)</f>
        <v>0</v>
      </c>
      <c r="J289" s="144" t="n">
        <f aca="false">IF(OR($A289="",$I289=0),0,$H289/$I289)</f>
        <v>0</v>
      </c>
      <c r="K289" s="40" t="n">
        <f aca="false">IF($A289="",0,$A289-SUMPRODUCT(MIN(($C$8:$C$1007=$C289)*$A$8:$A$1007+($C$8:$C$1007&lt;&gt;$C289)*100000))+1)</f>
        <v>0</v>
      </c>
      <c r="L289" s="26" t="str">
        <f aca="false">IF($A289="","",IF($J289=0,"Sem registro anterior",IF($K289&lt;21,"Histórico insuficiente",IF($J289&lt;0.8,"Subcarga",IF($J289&lt;=1.3,"Zona ideal",IF($J289&lt;=1.5,"Atenção","Risco elevado"))))))</f>
        <v/>
      </c>
      <c r="M289" s="27"/>
    </row>
    <row r="290" customFormat="false" ht="15" hidden="false" customHeight="false" outlineLevel="0" collapsed="false">
      <c r="A290" s="29"/>
      <c r="B290" s="40" t="n">
        <f aca="false">IF($A290="",0,INT(($A290-Macrociclo!$C$11)/7)+1)</f>
        <v>0</v>
      </c>
      <c r="C290" s="27"/>
      <c r="D290" s="27"/>
      <c r="E290" s="28"/>
      <c r="F290" s="28"/>
      <c r="G290" s="44" t="n">
        <f aca="false">IF(OR($E290="",$F290=""),0,$E290*$F290)</f>
        <v>0</v>
      </c>
      <c r="H290" s="44" t="n">
        <f aca="false">IF($A290="",0,SUMIFS($G$8:$G$1007,$C$8:$C$1007,$C290,$A$8:$A$1007,"&gt;="&amp;$A290-6,$A$8:$A$1007,"&lt;="&amp;$A290))</f>
        <v>0</v>
      </c>
      <c r="I290" s="44" t="n">
        <f aca="false">IF($A290="",0,SUMIFS($G$8:$G$1007,$C$8:$C$1007,$C290,$A$8:$A$1007,"&gt;="&amp;$A290-27,$A$8:$A$1007,"&lt;="&amp;$A290)/4)</f>
        <v>0</v>
      </c>
      <c r="J290" s="144" t="n">
        <f aca="false">IF(OR($A290="",$I290=0),0,$H290/$I290)</f>
        <v>0</v>
      </c>
      <c r="K290" s="40" t="n">
        <f aca="false">IF($A290="",0,$A290-SUMPRODUCT(MIN(($C$8:$C$1007=$C290)*$A$8:$A$1007+($C$8:$C$1007&lt;&gt;$C290)*100000))+1)</f>
        <v>0</v>
      </c>
      <c r="L290" s="26" t="str">
        <f aca="false">IF($A290="","",IF($J290=0,"Sem registro anterior",IF($K290&lt;21,"Histórico insuficiente",IF($J290&lt;0.8,"Subcarga",IF($J290&lt;=1.3,"Zona ideal",IF($J290&lt;=1.5,"Atenção","Risco elevado"))))))</f>
        <v/>
      </c>
      <c r="M290" s="27"/>
    </row>
    <row r="291" customFormat="false" ht="15" hidden="false" customHeight="false" outlineLevel="0" collapsed="false">
      <c r="A291" s="29"/>
      <c r="B291" s="40" t="n">
        <f aca="false">IF($A291="",0,INT(($A291-Macrociclo!$C$11)/7)+1)</f>
        <v>0</v>
      </c>
      <c r="C291" s="27"/>
      <c r="D291" s="27"/>
      <c r="E291" s="28"/>
      <c r="F291" s="28"/>
      <c r="G291" s="44" t="n">
        <f aca="false">IF(OR($E291="",$F291=""),0,$E291*$F291)</f>
        <v>0</v>
      </c>
      <c r="H291" s="44" t="n">
        <f aca="false">IF($A291="",0,SUMIFS($G$8:$G$1007,$C$8:$C$1007,$C291,$A$8:$A$1007,"&gt;="&amp;$A291-6,$A$8:$A$1007,"&lt;="&amp;$A291))</f>
        <v>0</v>
      </c>
      <c r="I291" s="44" t="n">
        <f aca="false">IF($A291="",0,SUMIFS($G$8:$G$1007,$C$8:$C$1007,$C291,$A$8:$A$1007,"&gt;="&amp;$A291-27,$A$8:$A$1007,"&lt;="&amp;$A291)/4)</f>
        <v>0</v>
      </c>
      <c r="J291" s="144" t="n">
        <f aca="false">IF(OR($A291="",$I291=0),0,$H291/$I291)</f>
        <v>0</v>
      </c>
      <c r="K291" s="40" t="n">
        <f aca="false">IF($A291="",0,$A291-SUMPRODUCT(MIN(($C$8:$C$1007=$C291)*$A$8:$A$1007+($C$8:$C$1007&lt;&gt;$C291)*100000))+1)</f>
        <v>0</v>
      </c>
      <c r="L291" s="26" t="str">
        <f aca="false">IF($A291="","",IF($J291=0,"Sem registro anterior",IF($K291&lt;21,"Histórico insuficiente",IF($J291&lt;0.8,"Subcarga",IF($J291&lt;=1.3,"Zona ideal",IF($J291&lt;=1.5,"Atenção","Risco elevado"))))))</f>
        <v/>
      </c>
      <c r="M291" s="27"/>
    </row>
    <row r="292" customFormat="false" ht="15" hidden="false" customHeight="false" outlineLevel="0" collapsed="false">
      <c r="A292" s="29"/>
      <c r="B292" s="40" t="n">
        <f aca="false">IF($A292="",0,INT(($A292-Macrociclo!$C$11)/7)+1)</f>
        <v>0</v>
      </c>
      <c r="C292" s="27"/>
      <c r="D292" s="27"/>
      <c r="E292" s="28"/>
      <c r="F292" s="28"/>
      <c r="G292" s="44" t="n">
        <f aca="false">IF(OR($E292="",$F292=""),0,$E292*$F292)</f>
        <v>0</v>
      </c>
      <c r="H292" s="44" t="n">
        <f aca="false">IF($A292="",0,SUMIFS($G$8:$G$1007,$C$8:$C$1007,$C292,$A$8:$A$1007,"&gt;="&amp;$A292-6,$A$8:$A$1007,"&lt;="&amp;$A292))</f>
        <v>0</v>
      </c>
      <c r="I292" s="44" t="n">
        <f aca="false">IF($A292="",0,SUMIFS($G$8:$G$1007,$C$8:$C$1007,$C292,$A$8:$A$1007,"&gt;="&amp;$A292-27,$A$8:$A$1007,"&lt;="&amp;$A292)/4)</f>
        <v>0</v>
      </c>
      <c r="J292" s="144" t="n">
        <f aca="false">IF(OR($A292="",$I292=0),0,$H292/$I292)</f>
        <v>0</v>
      </c>
      <c r="K292" s="40" t="n">
        <f aca="false">IF($A292="",0,$A292-SUMPRODUCT(MIN(($C$8:$C$1007=$C292)*$A$8:$A$1007+($C$8:$C$1007&lt;&gt;$C292)*100000))+1)</f>
        <v>0</v>
      </c>
      <c r="L292" s="26" t="str">
        <f aca="false">IF($A292="","",IF($J292=0,"Sem registro anterior",IF($K292&lt;21,"Histórico insuficiente",IF($J292&lt;0.8,"Subcarga",IF($J292&lt;=1.3,"Zona ideal",IF($J292&lt;=1.5,"Atenção","Risco elevado"))))))</f>
        <v/>
      </c>
      <c r="M292" s="27"/>
    </row>
    <row r="293" customFormat="false" ht="15" hidden="false" customHeight="false" outlineLevel="0" collapsed="false">
      <c r="A293" s="29"/>
      <c r="B293" s="40" t="n">
        <f aca="false">IF($A293="",0,INT(($A293-Macrociclo!$C$11)/7)+1)</f>
        <v>0</v>
      </c>
      <c r="C293" s="27"/>
      <c r="D293" s="27"/>
      <c r="E293" s="28"/>
      <c r="F293" s="28"/>
      <c r="G293" s="44" t="n">
        <f aca="false">IF(OR($E293="",$F293=""),0,$E293*$F293)</f>
        <v>0</v>
      </c>
      <c r="H293" s="44" t="n">
        <f aca="false">IF($A293="",0,SUMIFS($G$8:$G$1007,$C$8:$C$1007,$C293,$A$8:$A$1007,"&gt;="&amp;$A293-6,$A$8:$A$1007,"&lt;="&amp;$A293))</f>
        <v>0</v>
      </c>
      <c r="I293" s="44" t="n">
        <f aca="false">IF($A293="",0,SUMIFS($G$8:$G$1007,$C$8:$C$1007,$C293,$A$8:$A$1007,"&gt;="&amp;$A293-27,$A$8:$A$1007,"&lt;="&amp;$A293)/4)</f>
        <v>0</v>
      </c>
      <c r="J293" s="144" t="n">
        <f aca="false">IF(OR($A293="",$I293=0),0,$H293/$I293)</f>
        <v>0</v>
      </c>
      <c r="K293" s="40" t="n">
        <f aca="false">IF($A293="",0,$A293-SUMPRODUCT(MIN(($C$8:$C$1007=$C293)*$A$8:$A$1007+($C$8:$C$1007&lt;&gt;$C293)*100000))+1)</f>
        <v>0</v>
      </c>
      <c r="L293" s="26" t="str">
        <f aca="false">IF($A293="","",IF($J293=0,"Sem registro anterior",IF($K293&lt;21,"Histórico insuficiente",IF($J293&lt;0.8,"Subcarga",IF($J293&lt;=1.3,"Zona ideal",IF($J293&lt;=1.5,"Atenção","Risco elevado"))))))</f>
        <v/>
      </c>
      <c r="M293" s="27"/>
    </row>
    <row r="294" customFormat="false" ht="15" hidden="false" customHeight="false" outlineLevel="0" collapsed="false">
      <c r="A294" s="29"/>
      <c r="B294" s="40" t="n">
        <f aca="false">IF($A294="",0,INT(($A294-Macrociclo!$C$11)/7)+1)</f>
        <v>0</v>
      </c>
      <c r="C294" s="27"/>
      <c r="D294" s="27"/>
      <c r="E294" s="28"/>
      <c r="F294" s="28"/>
      <c r="G294" s="44" t="n">
        <f aca="false">IF(OR($E294="",$F294=""),0,$E294*$F294)</f>
        <v>0</v>
      </c>
      <c r="H294" s="44" t="n">
        <f aca="false">IF($A294="",0,SUMIFS($G$8:$G$1007,$C$8:$C$1007,$C294,$A$8:$A$1007,"&gt;="&amp;$A294-6,$A$8:$A$1007,"&lt;="&amp;$A294))</f>
        <v>0</v>
      </c>
      <c r="I294" s="44" t="n">
        <f aca="false">IF($A294="",0,SUMIFS($G$8:$G$1007,$C$8:$C$1007,$C294,$A$8:$A$1007,"&gt;="&amp;$A294-27,$A$8:$A$1007,"&lt;="&amp;$A294)/4)</f>
        <v>0</v>
      </c>
      <c r="J294" s="144" t="n">
        <f aca="false">IF(OR($A294="",$I294=0),0,$H294/$I294)</f>
        <v>0</v>
      </c>
      <c r="K294" s="40" t="n">
        <f aca="false">IF($A294="",0,$A294-SUMPRODUCT(MIN(($C$8:$C$1007=$C294)*$A$8:$A$1007+($C$8:$C$1007&lt;&gt;$C294)*100000))+1)</f>
        <v>0</v>
      </c>
      <c r="L294" s="26" t="str">
        <f aca="false">IF($A294="","",IF($J294=0,"Sem registro anterior",IF($K294&lt;21,"Histórico insuficiente",IF($J294&lt;0.8,"Subcarga",IF($J294&lt;=1.3,"Zona ideal",IF($J294&lt;=1.5,"Atenção","Risco elevado"))))))</f>
        <v/>
      </c>
      <c r="M294" s="27"/>
    </row>
    <row r="295" customFormat="false" ht="15" hidden="false" customHeight="false" outlineLevel="0" collapsed="false">
      <c r="A295" s="29"/>
      <c r="B295" s="40" t="n">
        <f aca="false">IF($A295="",0,INT(($A295-Macrociclo!$C$11)/7)+1)</f>
        <v>0</v>
      </c>
      <c r="C295" s="27"/>
      <c r="D295" s="27"/>
      <c r="E295" s="28"/>
      <c r="F295" s="28"/>
      <c r="G295" s="44" t="n">
        <f aca="false">IF(OR($E295="",$F295=""),0,$E295*$F295)</f>
        <v>0</v>
      </c>
      <c r="H295" s="44" t="n">
        <f aca="false">IF($A295="",0,SUMIFS($G$8:$G$1007,$C$8:$C$1007,$C295,$A$8:$A$1007,"&gt;="&amp;$A295-6,$A$8:$A$1007,"&lt;="&amp;$A295))</f>
        <v>0</v>
      </c>
      <c r="I295" s="44" t="n">
        <f aca="false">IF($A295="",0,SUMIFS($G$8:$G$1007,$C$8:$C$1007,$C295,$A$8:$A$1007,"&gt;="&amp;$A295-27,$A$8:$A$1007,"&lt;="&amp;$A295)/4)</f>
        <v>0</v>
      </c>
      <c r="J295" s="144" t="n">
        <f aca="false">IF(OR($A295="",$I295=0),0,$H295/$I295)</f>
        <v>0</v>
      </c>
      <c r="K295" s="40" t="n">
        <f aca="false">IF($A295="",0,$A295-SUMPRODUCT(MIN(($C$8:$C$1007=$C295)*$A$8:$A$1007+($C$8:$C$1007&lt;&gt;$C295)*100000))+1)</f>
        <v>0</v>
      </c>
      <c r="L295" s="26" t="str">
        <f aca="false">IF($A295="","",IF($J295=0,"Sem registro anterior",IF($K295&lt;21,"Histórico insuficiente",IF($J295&lt;0.8,"Subcarga",IF($J295&lt;=1.3,"Zona ideal",IF($J295&lt;=1.5,"Atenção","Risco elevado"))))))</f>
        <v/>
      </c>
      <c r="M295" s="27"/>
    </row>
    <row r="296" customFormat="false" ht="15" hidden="false" customHeight="false" outlineLevel="0" collapsed="false">
      <c r="A296" s="29"/>
      <c r="B296" s="40" t="n">
        <f aca="false">IF($A296="",0,INT(($A296-Macrociclo!$C$11)/7)+1)</f>
        <v>0</v>
      </c>
      <c r="C296" s="27"/>
      <c r="D296" s="27"/>
      <c r="E296" s="28"/>
      <c r="F296" s="28"/>
      <c r="G296" s="44" t="n">
        <f aca="false">IF(OR($E296="",$F296=""),0,$E296*$F296)</f>
        <v>0</v>
      </c>
      <c r="H296" s="44" t="n">
        <f aca="false">IF($A296="",0,SUMIFS($G$8:$G$1007,$C$8:$C$1007,$C296,$A$8:$A$1007,"&gt;="&amp;$A296-6,$A$8:$A$1007,"&lt;="&amp;$A296))</f>
        <v>0</v>
      </c>
      <c r="I296" s="44" t="n">
        <f aca="false">IF($A296="",0,SUMIFS($G$8:$G$1007,$C$8:$C$1007,$C296,$A$8:$A$1007,"&gt;="&amp;$A296-27,$A$8:$A$1007,"&lt;="&amp;$A296)/4)</f>
        <v>0</v>
      </c>
      <c r="J296" s="144" t="n">
        <f aca="false">IF(OR($A296="",$I296=0),0,$H296/$I296)</f>
        <v>0</v>
      </c>
      <c r="K296" s="40" t="n">
        <f aca="false">IF($A296="",0,$A296-SUMPRODUCT(MIN(($C$8:$C$1007=$C296)*$A$8:$A$1007+($C$8:$C$1007&lt;&gt;$C296)*100000))+1)</f>
        <v>0</v>
      </c>
      <c r="L296" s="26" t="str">
        <f aca="false">IF($A296="","",IF($J296=0,"Sem registro anterior",IF($K296&lt;21,"Histórico insuficiente",IF($J296&lt;0.8,"Subcarga",IF($J296&lt;=1.3,"Zona ideal",IF($J296&lt;=1.5,"Atenção","Risco elevado"))))))</f>
        <v/>
      </c>
      <c r="M296" s="27"/>
    </row>
    <row r="297" customFormat="false" ht="15" hidden="false" customHeight="false" outlineLevel="0" collapsed="false">
      <c r="A297" s="29"/>
      <c r="B297" s="40" t="n">
        <f aca="false">IF($A297="",0,INT(($A297-Macrociclo!$C$11)/7)+1)</f>
        <v>0</v>
      </c>
      <c r="C297" s="27"/>
      <c r="D297" s="27"/>
      <c r="E297" s="28"/>
      <c r="F297" s="28"/>
      <c r="G297" s="44" t="n">
        <f aca="false">IF(OR($E297="",$F297=""),0,$E297*$F297)</f>
        <v>0</v>
      </c>
      <c r="H297" s="44" t="n">
        <f aca="false">IF($A297="",0,SUMIFS($G$8:$G$1007,$C$8:$C$1007,$C297,$A$8:$A$1007,"&gt;="&amp;$A297-6,$A$8:$A$1007,"&lt;="&amp;$A297))</f>
        <v>0</v>
      </c>
      <c r="I297" s="44" t="n">
        <f aca="false">IF($A297="",0,SUMIFS($G$8:$G$1007,$C$8:$C$1007,$C297,$A$8:$A$1007,"&gt;="&amp;$A297-27,$A$8:$A$1007,"&lt;="&amp;$A297)/4)</f>
        <v>0</v>
      </c>
      <c r="J297" s="144" t="n">
        <f aca="false">IF(OR($A297="",$I297=0),0,$H297/$I297)</f>
        <v>0</v>
      </c>
      <c r="K297" s="40" t="n">
        <f aca="false">IF($A297="",0,$A297-SUMPRODUCT(MIN(($C$8:$C$1007=$C297)*$A$8:$A$1007+($C$8:$C$1007&lt;&gt;$C297)*100000))+1)</f>
        <v>0</v>
      </c>
      <c r="L297" s="26" t="str">
        <f aca="false">IF($A297="","",IF($J297=0,"Sem registro anterior",IF($K297&lt;21,"Histórico insuficiente",IF($J297&lt;0.8,"Subcarga",IF($J297&lt;=1.3,"Zona ideal",IF($J297&lt;=1.5,"Atenção","Risco elevado"))))))</f>
        <v/>
      </c>
      <c r="M297" s="27"/>
    </row>
    <row r="298" customFormat="false" ht="15" hidden="false" customHeight="false" outlineLevel="0" collapsed="false">
      <c r="A298" s="29"/>
      <c r="B298" s="40" t="n">
        <f aca="false">IF($A298="",0,INT(($A298-Macrociclo!$C$11)/7)+1)</f>
        <v>0</v>
      </c>
      <c r="C298" s="27"/>
      <c r="D298" s="27"/>
      <c r="E298" s="28"/>
      <c r="F298" s="28"/>
      <c r="G298" s="44" t="n">
        <f aca="false">IF(OR($E298="",$F298=""),0,$E298*$F298)</f>
        <v>0</v>
      </c>
      <c r="H298" s="44" t="n">
        <f aca="false">IF($A298="",0,SUMIFS($G$8:$G$1007,$C$8:$C$1007,$C298,$A$8:$A$1007,"&gt;="&amp;$A298-6,$A$8:$A$1007,"&lt;="&amp;$A298))</f>
        <v>0</v>
      </c>
      <c r="I298" s="44" t="n">
        <f aca="false">IF($A298="",0,SUMIFS($G$8:$G$1007,$C$8:$C$1007,$C298,$A$8:$A$1007,"&gt;="&amp;$A298-27,$A$8:$A$1007,"&lt;="&amp;$A298)/4)</f>
        <v>0</v>
      </c>
      <c r="J298" s="144" t="n">
        <f aca="false">IF(OR($A298="",$I298=0),0,$H298/$I298)</f>
        <v>0</v>
      </c>
      <c r="K298" s="40" t="n">
        <f aca="false">IF($A298="",0,$A298-SUMPRODUCT(MIN(($C$8:$C$1007=$C298)*$A$8:$A$1007+($C$8:$C$1007&lt;&gt;$C298)*100000))+1)</f>
        <v>0</v>
      </c>
      <c r="L298" s="26" t="str">
        <f aca="false">IF($A298="","",IF($J298=0,"Sem registro anterior",IF($K298&lt;21,"Histórico insuficiente",IF($J298&lt;0.8,"Subcarga",IF($J298&lt;=1.3,"Zona ideal",IF($J298&lt;=1.5,"Atenção","Risco elevado"))))))</f>
        <v/>
      </c>
      <c r="M298" s="27"/>
    </row>
    <row r="299" customFormat="false" ht="15" hidden="false" customHeight="false" outlineLevel="0" collapsed="false">
      <c r="A299" s="29"/>
      <c r="B299" s="40" t="n">
        <f aca="false">IF($A299="",0,INT(($A299-Macrociclo!$C$11)/7)+1)</f>
        <v>0</v>
      </c>
      <c r="C299" s="27"/>
      <c r="D299" s="27"/>
      <c r="E299" s="28"/>
      <c r="F299" s="28"/>
      <c r="G299" s="44" t="n">
        <f aca="false">IF(OR($E299="",$F299=""),0,$E299*$F299)</f>
        <v>0</v>
      </c>
      <c r="H299" s="44" t="n">
        <f aca="false">IF($A299="",0,SUMIFS($G$8:$G$1007,$C$8:$C$1007,$C299,$A$8:$A$1007,"&gt;="&amp;$A299-6,$A$8:$A$1007,"&lt;="&amp;$A299))</f>
        <v>0</v>
      </c>
      <c r="I299" s="44" t="n">
        <f aca="false">IF($A299="",0,SUMIFS($G$8:$G$1007,$C$8:$C$1007,$C299,$A$8:$A$1007,"&gt;="&amp;$A299-27,$A$8:$A$1007,"&lt;="&amp;$A299)/4)</f>
        <v>0</v>
      </c>
      <c r="J299" s="144" t="n">
        <f aca="false">IF(OR($A299="",$I299=0),0,$H299/$I299)</f>
        <v>0</v>
      </c>
      <c r="K299" s="40" t="n">
        <f aca="false">IF($A299="",0,$A299-SUMPRODUCT(MIN(($C$8:$C$1007=$C299)*$A$8:$A$1007+($C$8:$C$1007&lt;&gt;$C299)*100000))+1)</f>
        <v>0</v>
      </c>
      <c r="L299" s="26" t="str">
        <f aca="false">IF($A299="","",IF($J299=0,"Sem registro anterior",IF($K299&lt;21,"Histórico insuficiente",IF($J299&lt;0.8,"Subcarga",IF($J299&lt;=1.3,"Zona ideal",IF($J299&lt;=1.5,"Atenção","Risco elevado"))))))</f>
        <v/>
      </c>
      <c r="M299" s="27"/>
    </row>
    <row r="300" customFormat="false" ht="15" hidden="false" customHeight="false" outlineLevel="0" collapsed="false">
      <c r="A300" s="29"/>
      <c r="B300" s="40" t="n">
        <f aca="false">IF($A300="",0,INT(($A300-Macrociclo!$C$11)/7)+1)</f>
        <v>0</v>
      </c>
      <c r="C300" s="27"/>
      <c r="D300" s="27"/>
      <c r="E300" s="28"/>
      <c r="F300" s="28"/>
      <c r="G300" s="44" t="n">
        <f aca="false">IF(OR($E300="",$F300=""),0,$E300*$F300)</f>
        <v>0</v>
      </c>
      <c r="H300" s="44" t="n">
        <f aca="false">IF($A300="",0,SUMIFS($G$8:$G$1007,$C$8:$C$1007,$C300,$A$8:$A$1007,"&gt;="&amp;$A300-6,$A$8:$A$1007,"&lt;="&amp;$A300))</f>
        <v>0</v>
      </c>
      <c r="I300" s="44" t="n">
        <f aca="false">IF($A300="",0,SUMIFS($G$8:$G$1007,$C$8:$C$1007,$C300,$A$8:$A$1007,"&gt;="&amp;$A300-27,$A$8:$A$1007,"&lt;="&amp;$A300)/4)</f>
        <v>0</v>
      </c>
      <c r="J300" s="144" t="n">
        <f aca="false">IF(OR($A300="",$I300=0),0,$H300/$I300)</f>
        <v>0</v>
      </c>
      <c r="K300" s="40" t="n">
        <f aca="false">IF($A300="",0,$A300-SUMPRODUCT(MIN(($C$8:$C$1007=$C300)*$A$8:$A$1007+($C$8:$C$1007&lt;&gt;$C300)*100000))+1)</f>
        <v>0</v>
      </c>
      <c r="L300" s="26" t="str">
        <f aca="false">IF($A300="","",IF($J300=0,"Sem registro anterior",IF($K300&lt;21,"Histórico insuficiente",IF($J300&lt;0.8,"Subcarga",IF($J300&lt;=1.3,"Zona ideal",IF($J300&lt;=1.5,"Atenção","Risco elevado"))))))</f>
        <v/>
      </c>
      <c r="M300" s="27"/>
    </row>
    <row r="301" customFormat="false" ht="15" hidden="false" customHeight="false" outlineLevel="0" collapsed="false">
      <c r="A301" s="29"/>
      <c r="B301" s="40" t="n">
        <f aca="false">IF($A301="",0,INT(($A301-Macrociclo!$C$11)/7)+1)</f>
        <v>0</v>
      </c>
      <c r="C301" s="27"/>
      <c r="D301" s="27"/>
      <c r="E301" s="28"/>
      <c r="F301" s="28"/>
      <c r="G301" s="44" t="n">
        <f aca="false">IF(OR($E301="",$F301=""),0,$E301*$F301)</f>
        <v>0</v>
      </c>
      <c r="H301" s="44" t="n">
        <f aca="false">IF($A301="",0,SUMIFS($G$8:$G$1007,$C$8:$C$1007,$C301,$A$8:$A$1007,"&gt;="&amp;$A301-6,$A$8:$A$1007,"&lt;="&amp;$A301))</f>
        <v>0</v>
      </c>
      <c r="I301" s="44" t="n">
        <f aca="false">IF($A301="",0,SUMIFS($G$8:$G$1007,$C$8:$C$1007,$C301,$A$8:$A$1007,"&gt;="&amp;$A301-27,$A$8:$A$1007,"&lt;="&amp;$A301)/4)</f>
        <v>0</v>
      </c>
      <c r="J301" s="144" t="n">
        <f aca="false">IF(OR($A301="",$I301=0),0,$H301/$I301)</f>
        <v>0</v>
      </c>
      <c r="K301" s="40" t="n">
        <f aca="false">IF($A301="",0,$A301-SUMPRODUCT(MIN(($C$8:$C$1007=$C301)*$A$8:$A$1007+($C$8:$C$1007&lt;&gt;$C301)*100000))+1)</f>
        <v>0</v>
      </c>
      <c r="L301" s="26" t="str">
        <f aca="false">IF($A301="","",IF($J301=0,"Sem registro anterior",IF($K301&lt;21,"Histórico insuficiente",IF($J301&lt;0.8,"Subcarga",IF($J301&lt;=1.3,"Zona ideal",IF($J301&lt;=1.5,"Atenção","Risco elevado"))))))</f>
        <v/>
      </c>
      <c r="M301" s="27"/>
    </row>
    <row r="302" customFormat="false" ht="15" hidden="false" customHeight="false" outlineLevel="0" collapsed="false">
      <c r="A302" s="29"/>
      <c r="B302" s="40" t="n">
        <f aca="false">IF($A302="",0,INT(($A302-Macrociclo!$C$11)/7)+1)</f>
        <v>0</v>
      </c>
      <c r="C302" s="27"/>
      <c r="D302" s="27"/>
      <c r="E302" s="28"/>
      <c r="F302" s="28"/>
      <c r="G302" s="44" t="n">
        <f aca="false">IF(OR($E302="",$F302=""),0,$E302*$F302)</f>
        <v>0</v>
      </c>
      <c r="H302" s="44" t="n">
        <f aca="false">IF($A302="",0,SUMIFS($G$8:$G$1007,$C$8:$C$1007,$C302,$A$8:$A$1007,"&gt;="&amp;$A302-6,$A$8:$A$1007,"&lt;="&amp;$A302))</f>
        <v>0</v>
      </c>
      <c r="I302" s="44" t="n">
        <f aca="false">IF($A302="",0,SUMIFS($G$8:$G$1007,$C$8:$C$1007,$C302,$A$8:$A$1007,"&gt;="&amp;$A302-27,$A$8:$A$1007,"&lt;="&amp;$A302)/4)</f>
        <v>0</v>
      </c>
      <c r="J302" s="144" t="n">
        <f aca="false">IF(OR($A302="",$I302=0),0,$H302/$I302)</f>
        <v>0</v>
      </c>
      <c r="K302" s="40" t="n">
        <f aca="false">IF($A302="",0,$A302-SUMPRODUCT(MIN(($C$8:$C$1007=$C302)*$A$8:$A$1007+($C$8:$C$1007&lt;&gt;$C302)*100000))+1)</f>
        <v>0</v>
      </c>
      <c r="L302" s="26" t="str">
        <f aca="false">IF($A302="","",IF($J302=0,"Sem registro anterior",IF($K302&lt;21,"Histórico insuficiente",IF($J302&lt;0.8,"Subcarga",IF($J302&lt;=1.3,"Zona ideal",IF($J302&lt;=1.5,"Atenção","Risco elevado"))))))</f>
        <v/>
      </c>
      <c r="M302" s="27"/>
    </row>
    <row r="303" customFormat="false" ht="15" hidden="false" customHeight="false" outlineLevel="0" collapsed="false">
      <c r="A303" s="29"/>
      <c r="B303" s="40" t="n">
        <f aca="false">IF($A303="",0,INT(($A303-Macrociclo!$C$11)/7)+1)</f>
        <v>0</v>
      </c>
      <c r="C303" s="27"/>
      <c r="D303" s="27"/>
      <c r="E303" s="28"/>
      <c r="F303" s="28"/>
      <c r="G303" s="44" t="n">
        <f aca="false">IF(OR($E303="",$F303=""),0,$E303*$F303)</f>
        <v>0</v>
      </c>
      <c r="H303" s="44" t="n">
        <f aca="false">IF($A303="",0,SUMIFS($G$8:$G$1007,$C$8:$C$1007,$C303,$A$8:$A$1007,"&gt;="&amp;$A303-6,$A$8:$A$1007,"&lt;="&amp;$A303))</f>
        <v>0</v>
      </c>
      <c r="I303" s="44" t="n">
        <f aca="false">IF($A303="",0,SUMIFS($G$8:$G$1007,$C$8:$C$1007,$C303,$A$8:$A$1007,"&gt;="&amp;$A303-27,$A$8:$A$1007,"&lt;="&amp;$A303)/4)</f>
        <v>0</v>
      </c>
      <c r="J303" s="144" t="n">
        <f aca="false">IF(OR($A303="",$I303=0),0,$H303/$I303)</f>
        <v>0</v>
      </c>
      <c r="K303" s="40" t="n">
        <f aca="false">IF($A303="",0,$A303-SUMPRODUCT(MIN(($C$8:$C$1007=$C303)*$A$8:$A$1007+($C$8:$C$1007&lt;&gt;$C303)*100000))+1)</f>
        <v>0</v>
      </c>
      <c r="L303" s="26" t="str">
        <f aca="false">IF($A303="","",IF($J303=0,"Sem registro anterior",IF($K303&lt;21,"Histórico insuficiente",IF($J303&lt;0.8,"Subcarga",IF($J303&lt;=1.3,"Zona ideal",IF($J303&lt;=1.5,"Atenção","Risco elevado"))))))</f>
        <v/>
      </c>
      <c r="M303" s="27"/>
    </row>
    <row r="304" customFormat="false" ht="15" hidden="false" customHeight="false" outlineLevel="0" collapsed="false">
      <c r="A304" s="29"/>
      <c r="B304" s="40" t="n">
        <f aca="false">IF($A304="",0,INT(($A304-Macrociclo!$C$11)/7)+1)</f>
        <v>0</v>
      </c>
      <c r="C304" s="27"/>
      <c r="D304" s="27"/>
      <c r="E304" s="28"/>
      <c r="F304" s="28"/>
      <c r="G304" s="44" t="n">
        <f aca="false">IF(OR($E304="",$F304=""),0,$E304*$F304)</f>
        <v>0</v>
      </c>
      <c r="H304" s="44" t="n">
        <f aca="false">IF($A304="",0,SUMIFS($G$8:$G$1007,$C$8:$C$1007,$C304,$A$8:$A$1007,"&gt;="&amp;$A304-6,$A$8:$A$1007,"&lt;="&amp;$A304))</f>
        <v>0</v>
      </c>
      <c r="I304" s="44" t="n">
        <f aca="false">IF($A304="",0,SUMIFS($G$8:$G$1007,$C$8:$C$1007,$C304,$A$8:$A$1007,"&gt;="&amp;$A304-27,$A$8:$A$1007,"&lt;="&amp;$A304)/4)</f>
        <v>0</v>
      </c>
      <c r="J304" s="144" t="n">
        <f aca="false">IF(OR($A304="",$I304=0),0,$H304/$I304)</f>
        <v>0</v>
      </c>
      <c r="K304" s="40" t="n">
        <f aca="false">IF($A304="",0,$A304-SUMPRODUCT(MIN(($C$8:$C$1007=$C304)*$A$8:$A$1007+($C$8:$C$1007&lt;&gt;$C304)*100000))+1)</f>
        <v>0</v>
      </c>
      <c r="L304" s="26" t="str">
        <f aca="false">IF($A304="","",IF($J304=0,"Sem registro anterior",IF($K304&lt;21,"Histórico insuficiente",IF($J304&lt;0.8,"Subcarga",IF($J304&lt;=1.3,"Zona ideal",IF($J304&lt;=1.5,"Atenção","Risco elevado"))))))</f>
        <v/>
      </c>
      <c r="M304" s="27"/>
    </row>
    <row r="305" customFormat="false" ht="15" hidden="false" customHeight="false" outlineLevel="0" collapsed="false">
      <c r="A305" s="29"/>
      <c r="B305" s="40" t="n">
        <f aca="false">IF($A305="",0,INT(($A305-Macrociclo!$C$11)/7)+1)</f>
        <v>0</v>
      </c>
      <c r="C305" s="27"/>
      <c r="D305" s="27"/>
      <c r="E305" s="28"/>
      <c r="F305" s="28"/>
      <c r="G305" s="44" t="n">
        <f aca="false">IF(OR($E305="",$F305=""),0,$E305*$F305)</f>
        <v>0</v>
      </c>
      <c r="H305" s="44" t="n">
        <f aca="false">IF($A305="",0,SUMIFS($G$8:$G$1007,$C$8:$C$1007,$C305,$A$8:$A$1007,"&gt;="&amp;$A305-6,$A$8:$A$1007,"&lt;="&amp;$A305))</f>
        <v>0</v>
      </c>
      <c r="I305" s="44" t="n">
        <f aca="false">IF($A305="",0,SUMIFS($G$8:$G$1007,$C$8:$C$1007,$C305,$A$8:$A$1007,"&gt;="&amp;$A305-27,$A$8:$A$1007,"&lt;="&amp;$A305)/4)</f>
        <v>0</v>
      </c>
      <c r="J305" s="144" t="n">
        <f aca="false">IF(OR($A305="",$I305=0),0,$H305/$I305)</f>
        <v>0</v>
      </c>
      <c r="K305" s="40" t="n">
        <f aca="false">IF($A305="",0,$A305-SUMPRODUCT(MIN(($C$8:$C$1007=$C305)*$A$8:$A$1007+($C$8:$C$1007&lt;&gt;$C305)*100000))+1)</f>
        <v>0</v>
      </c>
      <c r="L305" s="26" t="str">
        <f aca="false">IF($A305="","",IF($J305=0,"Sem registro anterior",IF($K305&lt;21,"Histórico insuficiente",IF($J305&lt;0.8,"Subcarga",IF($J305&lt;=1.3,"Zona ideal",IF($J305&lt;=1.5,"Atenção","Risco elevado"))))))</f>
        <v/>
      </c>
      <c r="M305" s="27"/>
    </row>
    <row r="306" customFormat="false" ht="15" hidden="false" customHeight="false" outlineLevel="0" collapsed="false">
      <c r="A306" s="29"/>
      <c r="B306" s="40" t="n">
        <f aca="false">IF($A306="",0,INT(($A306-Macrociclo!$C$11)/7)+1)</f>
        <v>0</v>
      </c>
      <c r="C306" s="27"/>
      <c r="D306" s="27"/>
      <c r="E306" s="28"/>
      <c r="F306" s="28"/>
      <c r="G306" s="44" t="n">
        <f aca="false">IF(OR($E306="",$F306=""),0,$E306*$F306)</f>
        <v>0</v>
      </c>
      <c r="H306" s="44" t="n">
        <f aca="false">IF($A306="",0,SUMIFS($G$8:$G$1007,$C$8:$C$1007,$C306,$A$8:$A$1007,"&gt;="&amp;$A306-6,$A$8:$A$1007,"&lt;="&amp;$A306))</f>
        <v>0</v>
      </c>
      <c r="I306" s="44" t="n">
        <f aca="false">IF($A306="",0,SUMIFS($G$8:$G$1007,$C$8:$C$1007,$C306,$A$8:$A$1007,"&gt;="&amp;$A306-27,$A$8:$A$1007,"&lt;="&amp;$A306)/4)</f>
        <v>0</v>
      </c>
      <c r="J306" s="144" t="n">
        <f aca="false">IF(OR($A306="",$I306=0),0,$H306/$I306)</f>
        <v>0</v>
      </c>
      <c r="K306" s="40" t="n">
        <f aca="false">IF($A306="",0,$A306-SUMPRODUCT(MIN(($C$8:$C$1007=$C306)*$A$8:$A$1007+($C$8:$C$1007&lt;&gt;$C306)*100000))+1)</f>
        <v>0</v>
      </c>
      <c r="L306" s="26" t="str">
        <f aca="false">IF($A306="","",IF($J306=0,"Sem registro anterior",IF($K306&lt;21,"Histórico insuficiente",IF($J306&lt;0.8,"Subcarga",IF($J306&lt;=1.3,"Zona ideal",IF($J306&lt;=1.5,"Atenção","Risco elevado"))))))</f>
        <v/>
      </c>
      <c r="M306" s="27"/>
    </row>
    <row r="307" customFormat="false" ht="15" hidden="false" customHeight="false" outlineLevel="0" collapsed="false">
      <c r="A307" s="29"/>
      <c r="B307" s="40" t="n">
        <f aca="false">IF($A307="",0,INT(($A307-Macrociclo!$C$11)/7)+1)</f>
        <v>0</v>
      </c>
      <c r="C307" s="27"/>
      <c r="D307" s="27"/>
      <c r="E307" s="28"/>
      <c r="F307" s="28"/>
      <c r="G307" s="44" t="n">
        <f aca="false">IF(OR($E307="",$F307=""),0,$E307*$F307)</f>
        <v>0</v>
      </c>
      <c r="H307" s="44" t="n">
        <f aca="false">IF($A307="",0,SUMIFS($G$8:$G$1007,$C$8:$C$1007,$C307,$A$8:$A$1007,"&gt;="&amp;$A307-6,$A$8:$A$1007,"&lt;="&amp;$A307))</f>
        <v>0</v>
      </c>
      <c r="I307" s="44" t="n">
        <f aca="false">IF($A307="",0,SUMIFS($G$8:$G$1007,$C$8:$C$1007,$C307,$A$8:$A$1007,"&gt;="&amp;$A307-27,$A$8:$A$1007,"&lt;="&amp;$A307)/4)</f>
        <v>0</v>
      </c>
      <c r="J307" s="144" t="n">
        <f aca="false">IF(OR($A307="",$I307=0),0,$H307/$I307)</f>
        <v>0</v>
      </c>
      <c r="K307" s="40" t="n">
        <f aca="false">IF($A307="",0,$A307-SUMPRODUCT(MIN(($C$8:$C$1007=$C307)*$A$8:$A$1007+($C$8:$C$1007&lt;&gt;$C307)*100000))+1)</f>
        <v>0</v>
      </c>
      <c r="L307" s="26" t="str">
        <f aca="false">IF($A307="","",IF($J307=0,"Sem registro anterior",IF($K307&lt;21,"Histórico insuficiente",IF($J307&lt;0.8,"Subcarga",IF($J307&lt;=1.3,"Zona ideal",IF($J307&lt;=1.5,"Atenção","Risco elevado"))))))</f>
        <v/>
      </c>
      <c r="M307" s="27"/>
    </row>
    <row r="308" customFormat="false" ht="15" hidden="false" customHeight="false" outlineLevel="0" collapsed="false">
      <c r="A308" s="29"/>
      <c r="B308" s="40" t="n">
        <f aca="false">IF($A308="",0,INT(($A308-Macrociclo!$C$11)/7)+1)</f>
        <v>0</v>
      </c>
      <c r="C308" s="27"/>
      <c r="D308" s="27"/>
      <c r="E308" s="28"/>
      <c r="F308" s="28"/>
      <c r="G308" s="44" t="n">
        <f aca="false">IF(OR($E308="",$F308=""),0,$E308*$F308)</f>
        <v>0</v>
      </c>
      <c r="H308" s="44" t="n">
        <f aca="false">IF($A308="",0,SUMIFS($G$8:$G$1007,$C$8:$C$1007,$C308,$A$8:$A$1007,"&gt;="&amp;$A308-6,$A$8:$A$1007,"&lt;="&amp;$A308))</f>
        <v>0</v>
      </c>
      <c r="I308" s="44" t="n">
        <f aca="false">IF($A308="",0,SUMIFS($G$8:$G$1007,$C$8:$C$1007,$C308,$A$8:$A$1007,"&gt;="&amp;$A308-27,$A$8:$A$1007,"&lt;="&amp;$A308)/4)</f>
        <v>0</v>
      </c>
      <c r="J308" s="144" t="n">
        <f aca="false">IF(OR($A308="",$I308=0),0,$H308/$I308)</f>
        <v>0</v>
      </c>
      <c r="K308" s="40" t="n">
        <f aca="false">IF($A308="",0,$A308-SUMPRODUCT(MIN(($C$8:$C$1007=$C308)*$A$8:$A$1007+($C$8:$C$1007&lt;&gt;$C308)*100000))+1)</f>
        <v>0</v>
      </c>
      <c r="L308" s="26" t="str">
        <f aca="false">IF($A308="","",IF($J308=0,"Sem registro anterior",IF($K308&lt;21,"Histórico insuficiente",IF($J308&lt;0.8,"Subcarga",IF($J308&lt;=1.3,"Zona ideal",IF($J308&lt;=1.5,"Atenção","Risco elevado"))))))</f>
        <v/>
      </c>
      <c r="M308" s="27"/>
    </row>
    <row r="309" customFormat="false" ht="15" hidden="false" customHeight="false" outlineLevel="0" collapsed="false">
      <c r="A309" s="29"/>
      <c r="B309" s="40" t="n">
        <f aca="false">IF($A309="",0,INT(($A309-Macrociclo!$C$11)/7)+1)</f>
        <v>0</v>
      </c>
      <c r="C309" s="27"/>
      <c r="D309" s="27"/>
      <c r="E309" s="28"/>
      <c r="F309" s="28"/>
      <c r="G309" s="44" t="n">
        <f aca="false">IF(OR($E309="",$F309=""),0,$E309*$F309)</f>
        <v>0</v>
      </c>
      <c r="H309" s="44" t="n">
        <f aca="false">IF($A309="",0,SUMIFS($G$8:$G$1007,$C$8:$C$1007,$C309,$A$8:$A$1007,"&gt;="&amp;$A309-6,$A$8:$A$1007,"&lt;="&amp;$A309))</f>
        <v>0</v>
      </c>
      <c r="I309" s="44" t="n">
        <f aca="false">IF($A309="",0,SUMIFS($G$8:$G$1007,$C$8:$C$1007,$C309,$A$8:$A$1007,"&gt;="&amp;$A309-27,$A$8:$A$1007,"&lt;="&amp;$A309)/4)</f>
        <v>0</v>
      </c>
      <c r="J309" s="144" t="n">
        <f aca="false">IF(OR($A309="",$I309=0),0,$H309/$I309)</f>
        <v>0</v>
      </c>
      <c r="K309" s="40" t="n">
        <f aca="false">IF($A309="",0,$A309-SUMPRODUCT(MIN(($C$8:$C$1007=$C309)*$A$8:$A$1007+($C$8:$C$1007&lt;&gt;$C309)*100000))+1)</f>
        <v>0</v>
      </c>
      <c r="L309" s="26" t="str">
        <f aca="false">IF($A309="","",IF($J309=0,"Sem registro anterior",IF($K309&lt;21,"Histórico insuficiente",IF($J309&lt;0.8,"Subcarga",IF($J309&lt;=1.3,"Zona ideal",IF($J309&lt;=1.5,"Atenção","Risco elevado"))))))</f>
        <v/>
      </c>
      <c r="M309" s="27"/>
    </row>
    <row r="310" customFormat="false" ht="15" hidden="false" customHeight="false" outlineLevel="0" collapsed="false">
      <c r="A310" s="29"/>
      <c r="B310" s="40" t="n">
        <f aca="false">IF($A310="",0,INT(($A310-Macrociclo!$C$11)/7)+1)</f>
        <v>0</v>
      </c>
      <c r="C310" s="27"/>
      <c r="D310" s="27"/>
      <c r="E310" s="28"/>
      <c r="F310" s="28"/>
      <c r="G310" s="44" t="n">
        <f aca="false">IF(OR($E310="",$F310=""),0,$E310*$F310)</f>
        <v>0</v>
      </c>
      <c r="H310" s="44" t="n">
        <f aca="false">IF($A310="",0,SUMIFS($G$8:$G$1007,$C$8:$C$1007,$C310,$A$8:$A$1007,"&gt;="&amp;$A310-6,$A$8:$A$1007,"&lt;="&amp;$A310))</f>
        <v>0</v>
      </c>
      <c r="I310" s="44" t="n">
        <f aca="false">IF($A310="",0,SUMIFS($G$8:$G$1007,$C$8:$C$1007,$C310,$A$8:$A$1007,"&gt;="&amp;$A310-27,$A$8:$A$1007,"&lt;="&amp;$A310)/4)</f>
        <v>0</v>
      </c>
      <c r="J310" s="144" t="n">
        <f aca="false">IF(OR($A310="",$I310=0),0,$H310/$I310)</f>
        <v>0</v>
      </c>
      <c r="K310" s="40" t="n">
        <f aca="false">IF($A310="",0,$A310-SUMPRODUCT(MIN(($C$8:$C$1007=$C310)*$A$8:$A$1007+($C$8:$C$1007&lt;&gt;$C310)*100000))+1)</f>
        <v>0</v>
      </c>
      <c r="L310" s="26" t="str">
        <f aca="false">IF($A310="","",IF($J310=0,"Sem registro anterior",IF($K310&lt;21,"Histórico insuficiente",IF($J310&lt;0.8,"Subcarga",IF($J310&lt;=1.3,"Zona ideal",IF($J310&lt;=1.5,"Atenção","Risco elevado"))))))</f>
        <v/>
      </c>
      <c r="M310" s="27"/>
    </row>
    <row r="311" customFormat="false" ht="15" hidden="false" customHeight="false" outlineLevel="0" collapsed="false">
      <c r="A311" s="29"/>
      <c r="B311" s="40" t="n">
        <f aca="false">IF($A311="",0,INT(($A311-Macrociclo!$C$11)/7)+1)</f>
        <v>0</v>
      </c>
      <c r="C311" s="27"/>
      <c r="D311" s="27"/>
      <c r="E311" s="28"/>
      <c r="F311" s="28"/>
      <c r="G311" s="44" t="n">
        <f aca="false">IF(OR($E311="",$F311=""),0,$E311*$F311)</f>
        <v>0</v>
      </c>
      <c r="H311" s="44" t="n">
        <f aca="false">IF($A311="",0,SUMIFS($G$8:$G$1007,$C$8:$C$1007,$C311,$A$8:$A$1007,"&gt;="&amp;$A311-6,$A$8:$A$1007,"&lt;="&amp;$A311))</f>
        <v>0</v>
      </c>
      <c r="I311" s="44" t="n">
        <f aca="false">IF($A311="",0,SUMIFS($G$8:$G$1007,$C$8:$C$1007,$C311,$A$8:$A$1007,"&gt;="&amp;$A311-27,$A$8:$A$1007,"&lt;="&amp;$A311)/4)</f>
        <v>0</v>
      </c>
      <c r="J311" s="144" t="n">
        <f aca="false">IF(OR($A311="",$I311=0),0,$H311/$I311)</f>
        <v>0</v>
      </c>
      <c r="K311" s="40" t="n">
        <f aca="false">IF($A311="",0,$A311-SUMPRODUCT(MIN(($C$8:$C$1007=$C311)*$A$8:$A$1007+($C$8:$C$1007&lt;&gt;$C311)*100000))+1)</f>
        <v>0</v>
      </c>
      <c r="L311" s="26" t="str">
        <f aca="false">IF($A311="","",IF($J311=0,"Sem registro anterior",IF($K311&lt;21,"Histórico insuficiente",IF($J311&lt;0.8,"Subcarga",IF($J311&lt;=1.3,"Zona ideal",IF($J311&lt;=1.5,"Atenção","Risco elevado"))))))</f>
        <v/>
      </c>
      <c r="M311" s="27"/>
    </row>
    <row r="312" customFormat="false" ht="15" hidden="false" customHeight="false" outlineLevel="0" collapsed="false">
      <c r="A312" s="29"/>
      <c r="B312" s="40" t="n">
        <f aca="false">IF($A312="",0,INT(($A312-Macrociclo!$C$11)/7)+1)</f>
        <v>0</v>
      </c>
      <c r="C312" s="27"/>
      <c r="D312" s="27"/>
      <c r="E312" s="28"/>
      <c r="F312" s="28"/>
      <c r="G312" s="44" t="n">
        <f aca="false">IF(OR($E312="",$F312=""),0,$E312*$F312)</f>
        <v>0</v>
      </c>
      <c r="H312" s="44" t="n">
        <f aca="false">IF($A312="",0,SUMIFS($G$8:$G$1007,$C$8:$C$1007,$C312,$A$8:$A$1007,"&gt;="&amp;$A312-6,$A$8:$A$1007,"&lt;="&amp;$A312))</f>
        <v>0</v>
      </c>
      <c r="I312" s="44" t="n">
        <f aca="false">IF($A312="",0,SUMIFS($G$8:$G$1007,$C$8:$C$1007,$C312,$A$8:$A$1007,"&gt;="&amp;$A312-27,$A$8:$A$1007,"&lt;="&amp;$A312)/4)</f>
        <v>0</v>
      </c>
      <c r="J312" s="144" t="n">
        <f aca="false">IF(OR($A312="",$I312=0),0,$H312/$I312)</f>
        <v>0</v>
      </c>
      <c r="K312" s="40" t="n">
        <f aca="false">IF($A312="",0,$A312-SUMPRODUCT(MIN(($C$8:$C$1007=$C312)*$A$8:$A$1007+($C$8:$C$1007&lt;&gt;$C312)*100000))+1)</f>
        <v>0</v>
      </c>
      <c r="L312" s="26" t="str">
        <f aca="false">IF($A312="","",IF($J312=0,"Sem registro anterior",IF($K312&lt;21,"Histórico insuficiente",IF($J312&lt;0.8,"Subcarga",IF($J312&lt;=1.3,"Zona ideal",IF($J312&lt;=1.5,"Atenção","Risco elevado"))))))</f>
        <v/>
      </c>
      <c r="M312" s="27"/>
    </row>
    <row r="313" customFormat="false" ht="15" hidden="false" customHeight="false" outlineLevel="0" collapsed="false">
      <c r="A313" s="29"/>
      <c r="B313" s="40" t="n">
        <f aca="false">IF($A313="",0,INT(($A313-Macrociclo!$C$11)/7)+1)</f>
        <v>0</v>
      </c>
      <c r="C313" s="27"/>
      <c r="D313" s="27"/>
      <c r="E313" s="28"/>
      <c r="F313" s="28"/>
      <c r="G313" s="44" t="n">
        <f aca="false">IF(OR($E313="",$F313=""),0,$E313*$F313)</f>
        <v>0</v>
      </c>
      <c r="H313" s="44" t="n">
        <f aca="false">IF($A313="",0,SUMIFS($G$8:$G$1007,$C$8:$C$1007,$C313,$A$8:$A$1007,"&gt;="&amp;$A313-6,$A$8:$A$1007,"&lt;="&amp;$A313))</f>
        <v>0</v>
      </c>
      <c r="I313" s="44" t="n">
        <f aca="false">IF($A313="",0,SUMIFS($G$8:$G$1007,$C$8:$C$1007,$C313,$A$8:$A$1007,"&gt;="&amp;$A313-27,$A$8:$A$1007,"&lt;="&amp;$A313)/4)</f>
        <v>0</v>
      </c>
      <c r="J313" s="144" t="n">
        <f aca="false">IF(OR($A313="",$I313=0),0,$H313/$I313)</f>
        <v>0</v>
      </c>
      <c r="K313" s="40" t="n">
        <f aca="false">IF($A313="",0,$A313-SUMPRODUCT(MIN(($C$8:$C$1007=$C313)*$A$8:$A$1007+($C$8:$C$1007&lt;&gt;$C313)*100000))+1)</f>
        <v>0</v>
      </c>
      <c r="L313" s="26" t="str">
        <f aca="false">IF($A313="","",IF($J313=0,"Sem registro anterior",IF($K313&lt;21,"Histórico insuficiente",IF($J313&lt;0.8,"Subcarga",IF($J313&lt;=1.3,"Zona ideal",IF($J313&lt;=1.5,"Atenção","Risco elevado"))))))</f>
        <v/>
      </c>
      <c r="M313" s="27"/>
    </row>
    <row r="314" customFormat="false" ht="15" hidden="false" customHeight="false" outlineLevel="0" collapsed="false">
      <c r="A314" s="29"/>
      <c r="B314" s="40" t="n">
        <f aca="false">IF($A314="",0,INT(($A314-Macrociclo!$C$11)/7)+1)</f>
        <v>0</v>
      </c>
      <c r="C314" s="27"/>
      <c r="D314" s="27"/>
      <c r="E314" s="28"/>
      <c r="F314" s="28"/>
      <c r="G314" s="44" t="n">
        <f aca="false">IF(OR($E314="",$F314=""),0,$E314*$F314)</f>
        <v>0</v>
      </c>
      <c r="H314" s="44" t="n">
        <f aca="false">IF($A314="",0,SUMIFS($G$8:$G$1007,$C$8:$C$1007,$C314,$A$8:$A$1007,"&gt;="&amp;$A314-6,$A$8:$A$1007,"&lt;="&amp;$A314))</f>
        <v>0</v>
      </c>
      <c r="I314" s="44" t="n">
        <f aca="false">IF($A314="",0,SUMIFS($G$8:$G$1007,$C$8:$C$1007,$C314,$A$8:$A$1007,"&gt;="&amp;$A314-27,$A$8:$A$1007,"&lt;="&amp;$A314)/4)</f>
        <v>0</v>
      </c>
      <c r="J314" s="144" t="n">
        <f aca="false">IF(OR($A314="",$I314=0),0,$H314/$I314)</f>
        <v>0</v>
      </c>
      <c r="K314" s="40" t="n">
        <f aca="false">IF($A314="",0,$A314-SUMPRODUCT(MIN(($C$8:$C$1007=$C314)*$A$8:$A$1007+($C$8:$C$1007&lt;&gt;$C314)*100000))+1)</f>
        <v>0</v>
      </c>
      <c r="L314" s="26" t="str">
        <f aca="false">IF($A314="","",IF($J314=0,"Sem registro anterior",IF($K314&lt;21,"Histórico insuficiente",IF($J314&lt;0.8,"Subcarga",IF($J314&lt;=1.3,"Zona ideal",IF($J314&lt;=1.5,"Atenção","Risco elevado"))))))</f>
        <v/>
      </c>
      <c r="M314" s="27"/>
    </row>
    <row r="315" customFormat="false" ht="15" hidden="false" customHeight="false" outlineLevel="0" collapsed="false">
      <c r="A315" s="29"/>
      <c r="B315" s="40" t="n">
        <f aca="false">IF($A315="",0,INT(($A315-Macrociclo!$C$11)/7)+1)</f>
        <v>0</v>
      </c>
      <c r="C315" s="27"/>
      <c r="D315" s="27"/>
      <c r="E315" s="28"/>
      <c r="F315" s="28"/>
      <c r="G315" s="44" t="n">
        <f aca="false">IF(OR($E315="",$F315=""),0,$E315*$F315)</f>
        <v>0</v>
      </c>
      <c r="H315" s="44" t="n">
        <f aca="false">IF($A315="",0,SUMIFS($G$8:$G$1007,$C$8:$C$1007,$C315,$A$8:$A$1007,"&gt;="&amp;$A315-6,$A$8:$A$1007,"&lt;="&amp;$A315))</f>
        <v>0</v>
      </c>
      <c r="I315" s="44" t="n">
        <f aca="false">IF($A315="",0,SUMIFS($G$8:$G$1007,$C$8:$C$1007,$C315,$A$8:$A$1007,"&gt;="&amp;$A315-27,$A$8:$A$1007,"&lt;="&amp;$A315)/4)</f>
        <v>0</v>
      </c>
      <c r="J315" s="144" t="n">
        <f aca="false">IF(OR($A315="",$I315=0),0,$H315/$I315)</f>
        <v>0</v>
      </c>
      <c r="K315" s="40" t="n">
        <f aca="false">IF($A315="",0,$A315-SUMPRODUCT(MIN(($C$8:$C$1007=$C315)*$A$8:$A$1007+($C$8:$C$1007&lt;&gt;$C315)*100000))+1)</f>
        <v>0</v>
      </c>
      <c r="L315" s="26" t="str">
        <f aca="false">IF($A315="","",IF($J315=0,"Sem registro anterior",IF($K315&lt;21,"Histórico insuficiente",IF($J315&lt;0.8,"Subcarga",IF($J315&lt;=1.3,"Zona ideal",IF($J315&lt;=1.5,"Atenção","Risco elevado"))))))</f>
        <v/>
      </c>
      <c r="M315" s="27"/>
    </row>
    <row r="316" customFormat="false" ht="15" hidden="false" customHeight="false" outlineLevel="0" collapsed="false">
      <c r="A316" s="29"/>
      <c r="B316" s="40" t="n">
        <f aca="false">IF($A316="",0,INT(($A316-Macrociclo!$C$11)/7)+1)</f>
        <v>0</v>
      </c>
      <c r="C316" s="27"/>
      <c r="D316" s="27"/>
      <c r="E316" s="28"/>
      <c r="F316" s="28"/>
      <c r="G316" s="44" t="n">
        <f aca="false">IF(OR($E316="",$F316=""),0,$E316*$F316)</f>
        <v>0</v>
      </c>
      <c r="H316" s="44" t="n">
        <f aca="false">IF($A316="",0,SUMIFS($G$8:$G$1007,$C$8:$C$1007,$C316,$A$8:$A$1007,"&gt;="&amp;$A316-6,$A$8:$A$1007,"&lt;="&amp;$A316))</f>
        <v>0</v>
      </c>
      <c r="I316" s="44" t="n">
        <f aca="false">IF($A316="",0,SUMIFS($G$8:$G$1007,$C$8:$C$1007,$C316,$A$8:$A$1007,"&gt;="&amp;$A316-27,$A$8:$A$1007,"&lt;="&amp;$A316)/4)</f>
        <v>0</v>
      </c>
      <c r="J316" s="144" t="n">
        <f aca="false">IF(OR($A316="",$I316=0),0,$H316/$I316)</f>
        <v>0</v>
      </c>
      <c r="K316" s="40" t="n">
        <f aca="false">IF($A316="",0,$A316-SUMPRODUCT(MIN(($C$8:$C$1007=$C316)*$A$8:$A$1007+($C$8:$C$1007&lt;&gt;$C316)*100000))+1)</f>
        <v>0</v>
      </c>
      <c r="L316" s="26" t="str">
        <f aca="false">IF($A316="","",IF($J316=0,"Sem registro anterior",IF($K316&lt;21,"Histórico insuficiente",IF($J316&lt;0.8,"Subcarga",IF($J316&lt;=1.3,"Zona ideal",IF($J316&lt;=1.5,"Atenção","Risco elevado"))))))</f>
        <v/>
      </c>
      <c r="M316" s="27"/>
    </row>
    <row r="317" customFormat="false" ht="15" hidden="false" customHeight="false" outlineLevel="0" collapsed="false">
      <c r="A317" s="29"/>
      <c r="B317" s="40" t="n">
        <f aca="false">IF($A317="",0,INT(($A317-Macrociclo!$C$11)/7)+1)</f>
        <v>0</v>
      </c>
      <c r="C317" s="27"/>
      <c r="D317" s="27"/>
      <c r="E317" s="28"/>
      <c r="F317" s="28"/>
      <c r="G317" s="44" t="n">
        <f aca="false">IF(OR($E317="",$F317=""),0,$E317*$F317)</f>
        <v>0</v>
      </c>
      <c r="H317" s="44" t="n">
        <f aca="false">IF($A317="",0,SUMIFS($G$8:$G$1007,$C$8:$C$1007,$C317,$A$8:$A$1007,"&gt;="&amp;$A317-6,$A$8:$A$1007,"&lt;="&amp;$A317))</f>
        <v>0</v>
      </c>
      <c r="I317" s="44" t="n">
        <f aca="false">IF($A317="",0,SUMIFS($G$8:$G$1007,$C$8:$C$1007,$C317,$A$8:$A$1007,"&gt;="&amp;$A317-27,$A$8:$A$1007,"&lt;="&amp;$A317)/4)</f>
        <v>0</v>
      </c>
      <c r="J317" s="144" t="n">
        <f aca="false">IF(OR($A317="",$I317=0),0,$H317/$I317)</f>
        <v>0</v>
      </c>
      <c r="K317" s="40" t="n">
        <f aca="false">IF($A317="",0,$A317-SUMPRODUCT(MIN(($C$8:$C$1007=$C317)*$A$8:$A$1007+($C$8:$C$1007&lt;&gt;$C317)*100000))+1)</f>
        <v>0</v>
      </c>
      <c r="L317" s="26" t="str">
        <f aca="false">IF($A317="","",IF($J317=0,"Sem registro anterior",IF($K317&lt;21,"Histórico insuficiente",IF($J317&lt;0.8,"Subcarga",IF($J317&lt;=1.3,"Zona ideal",IF($J317&lt;=1.5,"Atenção","Risco elevado"))))))</f>
        <v/>
      </c>
      <c r="M317" s="27"/>
    </row>
    <row r="318" customFormat="false" ht="15" hidden="false" customHeight="false" outlineLevel="0" collapsed="false">
      <c r="A318" s="29"/>
      <c r="B318" s="40" t="n">
        <f aca="false">IF($A318="",0,INT(($A318-Macrociclo!$C$11)/7)+1)</f>
        <v>0</v>
      </c>
      <c r="C318" s="27"/>
      <c r="D318" s="27"/>
      <c r="E318" s="28"/>
      <c r="F318" s="28"/>
      <c r="G318" s="44" t="n">
        <f aca="false">IF(OR($E318="",$F318=""),0,$E318*$F318)</f>
        <v>0</v>
      </c>
      <c r="H318" s="44" t="n">
        <f aca="false">IF($A318="",0,SUMIFS($G$8:$G$1007,$C$8:$C$1007,$C318,$A$8:$A$1007,"&gt;="&amp;$A318-6,$A$8:$A$1007,"&lt;="&amp;$A318))</f>
        <v>0</v>
      </c>
      <c r="I318" s="44" t="n">
        <f aca="false">IF($A318="",0,SUMIFS($G$8:$G$1007,$C$8:$C$1007,$C318,$A$8:$A$1007,"&gt;="&amp;$A318-27,$A$8:$A$1007,"&lt;="&amp;$A318)/4)</f>
        <v>0</v>
      </c>
      <c r="J318" s="144" t="n">
        <f aca="false">IF(OR($A318="",$I318=0),0,$H318/$I318)</f>
        <v>0</v>
      </c>
      <c r="K318" s="40" t="n">
        <f aca="false">IF($A318="",0,$A318-SUMPRODUCT(MIN(($C$8:$C$1007=$C318)*$A$8:$A$1007+($C$8:$C$1007&lt;&gt;$C318)*100000))+1)</f>
        <v>0</v>
      </c>
      <c r="L318" s="26" t="str">
        <f aca="false">IF($A318="","",IF($J318=0,"Sem registro anterior",IF($K318&lt;21,"Histórico insuficiente",IF($J318&lt;0.8,"Subcarga",IF($J318&lt;=1.3,"Zona ideal",IF($J318&lt;=1.5,"Atenção","Risco elevado"))))))</f>
        <v/>
      </c>
      <c r="M318" s="27"/>
    </row>
    <row r="319" customFormat="false" ht="15" hidden="false" customHeight="false" outlineLevel="0" collapsed="false">
      <c r="A319" s="29"/>
      <c r="B319" s="40" t="n">
        <f aca="false">IF($A319="",0,INT(($A319-Macrociclo!$C$11)/7)+1)</f>
        <v>0</v>
      </c>
      <c r="C319" s="27"/>
      <c r="D319" s="27"/>
      <c r="E319" s="28"/>
      <c r="F319" s="28"/>
      <c r="G319" s="44" t="n">
        <f aca="false">IF(OR($E319="",$F319=""),0,$E319*$F319)</f>
        <v>0</v>
      </c>
      <c r="H319" s="44" t="n">
        <f aca="false">IF($A319="",0,SUMIFS($G$8:$G$1007,$C$8:$C$1007,$C319,$A$8:$A$1007,"&gt;="&amp;$A319-6,$A$8:$A$1007,"&lt;="&amp;$A319))</f>
        <v>0</v>
      </c>
      <c r="I319" s="44" t="n">
        <f aca="false">IF($A319="",0,SUMIFS($G$8:$G$1007,$C$8:$C$1007,$C319,$A$8:$A$1007,"&gt;="&amp;$A319-27,$A$8:$A$1007,"&lt;="&amp;$A319)/4)</f>
        <v>0</v>
      </c>
      <c r="J319" s="144" t="n">
        <f aca="false">IF(OR($A319="",$I319=0),0,$H319/$I319)</f>
        <v>0</v>
      </c>
      <c r="K319" s="40" t="n">
        <f aca="false">IF($A319="",0,$A319-SUMPRODUCT(MIN(($C$8:$C$1007=$C319)*$A$8:$A$1007+($C$8:$C$1007&lt;&gt;$C319)*100000))+1)</f>
        <v>0</v>
      </c>
      <c r="L319" s="26" t="str">
        <f aca="false">IF($A319="","",IF($J319=0,"Sem registro anterior",IF($K319&lt;21,"Histórico insuficiente",IF($J319&lt;0.8,"Subcarga",IF($J319&lt;=1.3,"Zona ideal",IF($J319&lt;=1.5,"Atenção","Risco elevado"))))))</f>
        <v/>
      </c>
      <c r="M319" s="27"/>
    </row>
    <row r="320" customFormat="false" ht="15" hidden="false" customHeight="false" outlineLevel="0" collapsed="false">
      <c r="A320" s="29"/>
      <c r="B320" s="40" t="n">
        <f aca="false">IF($A320="",0,INT(($A320-Macrociclo!$C$11)/7)+1)</f>
        <v>0</v>
      </c>
      <c r="C320" s="27"/>
      <c r="D320" s="27"/>
      <c r="E320" s="28"/>
      <c r="F320" s="28"/>
      <c r="G320" s="44" t="n">
        <f aca="false">IF(OR($E320="",$F320=""),0,$E320*$F320)</f>
        <v>0</v>
      </c>
      <c r="H320" s="44" t="n">
        <f aca="false">IF($A320="",0,SUMIFS($G$8:$G$1007,$C$8:$C$1007,$C320,$A$8:$A$1007,"&gt;="&amp;$A320-6,$A$8:$A$1007,"&lt;="&amp;$A320))</f>
        <v>0</v>
      </c>
      <c r="I320" s="44" t="n">
        <f aca="false">IF($A320="",0,SUMIFS($G$8:$G$1007,$C$8:$C$1007,$C320,$A$8:$A$1007,"&gt;="&amp;$A320-27,$A$8:$A$1007,"&lt;="&amp;$A320)/4)</f>
        <v>0</v>
      </c>
      <c r="J320" s="144" t="n">
        <f aca="false">IF(OR($A320="",$I320=0),0,$H320/$I320)</f>
        <v>0</v>
      </c>
      <c r="K320" s="40" t="n">
        <f aca="false">IF($A320="",0,$A320-SUMPRODUCT(MIN(($C$8:$C$1007=$C320)*$A$8:$A$1007+($C$8:$C$1007&lt;&gt;$C320)*100000))+1)</f>
        <v>0</v>
      </c>
      <c r="L320" s="26" t="str">
        <f aca="false">IF($A320="","",IF($J320=0,"Sem registro anterior",IF($K320&lt;21,"Histórico insuficiente",IF($J320&lt;0.8,"Subcarga",IF($J320&lt;=1.3,"Zona ideal",IF($J320&lt;=1.5,"Atenção","Risco elevado"))))))</f>
        <v/>
      </c>
      <c r="M320" s="27"/>
    </row>
    <row r="321" customFormat="false" ht="15" hidden="false" customHeight="false" outlineLevel="0" collapsed="false">
      <c r="A321" s="29"/>
      <c r="B321" s="40" t="n">
        <f aca="false">IF($A321="",0,INT(($A321-Macrociclo!$C$11)/7)+1)</f>
        <v>0</v>
      </c>
      <c r="C321" s="27"/>
      <c r="D321" s="27"/>
      <c r="E321" s="28"/>
      <c r="F321" s="28"/>
      <c r="G321" s="44" t="n">
        <f aca="false">IF(OR($E321="",$F321=""),0,$E321*$F321)</f>
        <v>0</v>
      </c>
      <c r="H321" s="44" t="n">
        <f aca="false">IF($A321="",0,SUMIFS($G$8:$G$1007,$C$8:$C$1007,$C321,$A$8:$A$1007,"&gt;="&amp;$A321-6,$A$8:$A$1007,"&lt;="&amp;$A321))</f>
        <v>0</v>
      </c>
      <c r="I321" s="44" t="n">
        <f aca="false">IF($A321="",0,SUMIFS($G$8:$G$1007,$C$8:$C$1007,$C321,$A$8:$A$1007,"&gt;="&amp;$A321-27,$A$8:$A$1007,"&lt;="&amp;$A321)/4)</f>
        <v>0</v>
      </c>
      <c r="J321" s="144" t="n">
        <f aca="false">IF(OR($A321="",$I321=0),0,$H321/$I321)</f>
        <v>0</v>
      </c>
      <c r="K321" s="40" t="n">
        <f aca="false">IF($A321="",0,$A321-SUMPRODUCT(MIN(($C$8:$C$1007=$C321)*$A$8:$A$1007+($C$8:$C$1007&lt;&gt;$C321)*100000))+1)</f>
        <v>0</v>
      </c>
      <c r="L321" s="26" t="str">
        <f aca="false">IF($A321="","",IF($J321=0,"Sem registro anterior",IF($K321&lt;21,"Histórico insuficiente",IF($J321&lt;0.8,"Subcarga",IF($J321&lt;=1.3,"Zona ideal",IF($J321&lt;=1.5,"Atenção","Risco elevado"))))))</f>
        <v/>
      </c>
      <c r="M321" s="27"/>
    </row>
    <row r="322" customFormat="false" ht="15" hidden="false" customHeight="false" outlineLevel="0" collapsed="false">
      <c r="A322" s="29"/>
      <c r="B322" s="40" t="n">
        <f aca="false">IF($A322="",0,INT(($A322-Macrociclo!$C$11)/7)+1)</f>
        <v>0</v>
      </c>
      <c r="C322" s="27"/>
      <c r="D322" s="27"/>
      <c r="E322" s="28"/>
      <c r="F322" s="28"/>
      <c r="G322" s="44" t="n">
        <f aca="false">IF(OR($E322="",$F322=""),0,$E322*$F322)</f>
        <v>0</v>
      </c>
      <c r="H322" s="44" t="n">
        <f aca="false">IF($A322="",0,SUMIFS($G$8:$G$1007,$C$8:$C$1007,$C322,$A$8:$A$1007,"&gt;="&amp;$A322-6,$A$8:$A$1007,"&lt;="&amp;$A322))</f>
        <v>0</v>
      </c>
      <c r="I322" s="44" t="n">
        <f aca="false">IF($A322="",0,SUMIFS($G$8:$G$1007,$C$8:$C$1007,$C322,$A$8:$A$1007,"&gt;="&amp;$A322-27,$A$8:$A$1007,"&lt;="&amp;$A322)/4)</f>
        <v>0</v>
      </c>
      <c r="J322" s="144" t="n">
        <f aca="false">IF(OR($A322="",$I322=0),0,$H322/$I322)</f>
        <v>0</v>
      </c>
      <c r="K322" s="40" t="n">
        <f aca="false">IF($A322="",0,$A322-SUMPRODUCT(MIN(($C$8:$C$1007=$C322)*$A$8:$A$1007+($C$8:$C$1007&lt;&gt;$C322)*100000))+1)</f>
        <v>0</v>
      </c>
      <c r="L322" s="26" t="str">
        <f aca="false">IF($A322="","",IF($J322=0,"Sem registro anterior",IF($K322&lt;21,"Histórico insuficiente",IF($J322&lt;0.8,"Subcarga",IF($J322&lt;=1.3,"Zona ideal",IF($J322&lt;=1.5,"Atenção","Risco elevado"))))))</f>
        <v/>
      </c>
      <c r="M322" s="27"/>
    </row>
    <row r="323" customFormat="false" ht="15" hidden="false" customHeight="false" outlineLevel="0" collapsed="false">
      <c r="A323" s="29"/>
      <c r="B323" s="40" t="n">
        <f aca="false">IF($A323="",0,INT(($A323-Macrociclo!$C$11)/7)+1)</f>
        <v>0</v>
      </c>
      <c r="C323" s="27"/>
      <c r="D323" s="27"/>
      <c r="E323" s="28"/>
      <c r="F323" s="28"/>
      <c r="G323" s="44" t="n">
        <f aca="false">IF(OR($E323="",$F323=""),0,$E323*$F323)</f>
        <v>0</v>
      </c>
      <c r="H323" s="44" t="n">
        <f aca="false">IF($A323="",0,SUMIFS($G$8:$G$1007,$C$8:$C$1007,$C323,$A$8:$A$1007,"&gt;="&amp;$A323-6,$A$8:$A$1007,"&lt;="&amp;$A323))</f>
        <v>0</v>
      </c>
      <c r="I323" s="44" t="n">
        <f aca="false">IF($A323="",0,SUMIFS($G$8:$G$1007,$C$8:$C$1007,$C323,$A$8:$A$1007,"&gt;="&amp;$A323-27,$A$8:$A$1007,"&lt;="&amp;$A323)/4)</f>
        <v>0</v>
      </c>
      <c r="J323" s="144" t="n">
        <f aca="false">IF(OR($A323="",$I323=0),0,$H323/$I323)</f>
        <v>0</v>
      </c>
      <c r="K323" s="40" t="n">
        <f aca="false">IF($A323="",0,$A323-SUMPRODUCT(MIN(($C$8:$C$1007=$C323)*$A$8:$A$1007+($C$8:$C$1007&lt;&gt;$C323)*100000))+1)</f>
        <v>0</v>
      </c>
      <c r="L323" s="26" t="str">
        <f aca="false">IF($A323="","",IF($J323=0,"Sem registro anterior",IF($K323&lt;21,"Histórico insuficiente",IF($J323&lt;0.8,"Subcarga",IF($J323&lt;=1.3,"Zona ideal",IF($J323&lt;=1.5,"Atenção","Risco elevado"))))))</f>
        <v/>
      </c>
      <c r="M323" s="27"/>
    </row>
    <row r="324" customFormat="false" ht="15" hidden="false" customHeight="false" outlineLevel="0" collapsed="false">
      <c r="A324" s="29"/>
      <c r="B324" s="40" t="n">
        <f aca="false">IF($A324="",0,INT(($A324-Macrociclo!$C$11)/7)+1)</f>
        <v>0</v>
      </c>
      <c r="C324" s="27"/>
      <c r="D324" s="27"/>
      <c r="E324" s="28"/>
      <c r="F324" s="28"/>
      <c r="G324" s="44" t="n">
        <f aca="false">IF(OR($E324="",$F324=""),0,$E324*$F324)</f>
        <v>0</v>
      </c>
      <c r="H324" s="44" t="n">
        <f aca="false">IF($A324="",0,SUMIFS($G$8:$G$1007,$C$8:$C$1007,$C324,$A$8:$A$1007,"&gt;="&amp;$A324-6,$A$8:$A$1007,"&lt;="&amp;$A324))</f>
        <v>0</v>
      </c>
      <c r="I324" s="44" t="n">
        <f aca="false">IF($A324="",0,SUMIFS($G$8:$G$1007,$C$8:$C$1007,$C324,$A$8:$A$1007,"&gt;="&amp;$A324-27,$A$8:$A$1007,"&lt;="&amp;$A324)/4)</f>
        <v>0</v>
      </c>
      <c r="J324" s="144" t="n">
        <f aca="false">IF(OR($A324="",$I324=0),0,$H324/$I324)</f>
        <v>0</v>
      </c>
      <c r="K324" s="40" t="n">
        <f aca="false">IF($A324="",0,$A324-SUMPRODUCT(MIN(($C$8:$C$1007=$C324)*$A$8:$A$1007+($C$8:$C$1007&lt;&gt;$C324)*100000))+1)</f>
        <v>0</v>
      </c>
      <c r="L324" s="26" t="str">
        <f aca="false">IF($A324="","",IF($J324=0,"Sem registro anterior",IF($K324&lt;21,"Histórico insuficiente",IF($J324&lt;0.8,"Subcarga",IF($J324&lt;=1.3,"Zona ideal",IF($J324&lt;=1.5,"Atenção","Risco elevado"))))))</f>
        <v/>
      </c>
      <c r="M324" s="27"/>
    </row>
    <row r="325" customFormat="false" ht="15" hidden="false" customHeight="false" outlineLevel="0" collapsed="false">
      <c r="A325" s="29"/>
      <c r="B325" s="40" t="n">
        <f aca="false">IF($A325="",0,INT(($A325-Macrociclo!$C$11)/7)+1)</f>
        <v>0</v>
      </c>
      <c r="C325" s="27"/>
      <c r="D325" s="27"/>
      <c r="E325" s="28"/>
      <c r="F325" s="28"/>
      <c r="G325" s="44" t="n">
        <f aca="false">IF(OR($E325="",$F325=""),0,$E325*$F325)</f>
        <v>0</v>
      </c>
      <c r="H325" s="44" t="n">
        <f aca="false">IF($A325="",0,SUMIFS($G$8:$G$1007,$C$8:$C$1007,$C325,$A$8:$A$1007,"&gt;="&amp;$A325-6,$A$8:$A$1007,"&lt;="&amp;$A325))</f>
        <v>0</v>
      </c>
      <c r="I325" s="44" t="n">
        <f aca="false">IF($A325="",0,SUMIFS($G$8:$G$1007,$C$8:$C$1007,$C325,$A$8:$A$1007,"&gt;="&amp;$A325-27,$A$8:$A$1007,"&lt;="&amp;$A325)/4)</f>
        <v>0</v>
      </c>
      <c r="J325" s="144" t="n">
        <f aca="false">IF(OR($A325="",$I325=0),0,$H325/$I325)</f>
        <v>0</v>
      </c>
      <c r="K325" s="40" t="n">
        <f aca="false">IF($A325="",0,$A325-SUMPRODUCT(MIN(($C$8:$C$1007=$C325)*$A$8:$A$1007+($C$8:$C$1007&lt;&gt;$C325)*100000))+1)</f>
        <v>0</v>
      </c>
      <c r="L325" s="26" t="str">
        <f aca="false">IF($A325="","",IF($J325=0,"Sem registro anterior",IF($K325&lt;21,"Histórico insuficiente",IF($J325&lt;0.8,"Subcarga",IF($J325&lt;=1.3,"Zona ideal",IF($J325&lt;=1.5,"Atenção","Risco elevado"))))))</f>
        <v/>
      </c>
      <c r="M325" s="27"/>
    </row>
    <row r="326" customFormat="false" ht="15" hidden="false" customHeight="false" outlineLevel="0" collapsed="false">
      <c r="A326" s="29"/>
      <c r="B326" s="40" t="n">
        <f aca="false">IF($A326="",0,INT(($A326-Macrociclo!$C$11)/7)+1)</f>
        <v>0</v>
      </c>
      <c r="C326" s="27"/>
      <c r="D326" s="27"/>
      <c r="E326" s="28"/>
      <c r="F326" s="28"/>
      <c r="G326" s="44" t="n">
        <f aca="false">IF(OR($E326="",$F326=""),0,$E326*$F326)</f>
        <v>0</v>
      </c>
      <c r="H326" s="44" t="n">
        <f aca="false">IF($A326="",0,SUMIFS($G$8:$G$1007,$C$8:$C$1007,$C326,$A$8:$A$1007,"&gt;="&amp;$A326-6,$A$8:$A$1007,"&lt;="&amp;$A326))</f>
        <v>0</v>
      </c>
      <c r="I326" s="44" t="n">
        <f aca="false">IF($A326="",0,SUMIFS($G$8:$G$1007,$C$8:$C$1007,$C326,$A$8:$A$1007,"&gt;="&amp;$A326-27,$A$8:$A$1007,"&lt;="&amp;$A326)/4)</f>
        <v>0</v>
      </c>
      <c r="J326" s="144" t="n">
        <f aca="false">IF(OR($A326="",$I326=0),0,$H326/$I326)</f>
        <v>0</v>
      </c>
      <c r="K326" s="40" t="n">
        <f aca="false">IF($A326="",0,$A326-SUMPRODUCT(MIN(($C$8:$C$1007=$C326)*$A$8:$A$1007+($C$8:$C$1007&lt;&gt;$C326)*100000))+1)</f>
        <v>0</v>
      </c>
      <c r="L326" s="26" t="str">
        <f aca="false">IF($A326="","",IF($J326=0,"Sem registro anterior",IF($K326&lt;21,"Histórico insuficiente",IF($J326&lt;0.8,"Subcarga",IF($J326&lt;=1.3,"Zona ideal",IF($J326&lt;=1.5,"Atenção","Risco elevado"))))))</f>
        <v/>
      </c>
      <c r="M326" s="27"/>
    </row>
    <row r="327" customFormat="false" ht="15" hidden="false" customHeight="false" outlineLevel="0" collapsed="false">
      <c r="A327" s="29"/>
      <c r="B327" s="40" t="n">
        <f aca="false">IF($A327="",0,INT(($A327-Macrociclo!$C$11)/7)+1)</f>
        <v>0</v>
      </c>
      <c r="C327" s="27"/>
      <c r="D327" s="27"/>
      <c r="E327" s="28"/>
      <c r="F327" s="28"/>
      <c r="G327" s="44" t="n">
        <f aca="false">IF(OR($E327="",$F327=""),0,$E327*$F327)</f>
        <v>0</v>
      </c>
      <c r="H327" s="44" t="n">
        <f aca="false">IF($A327="",0,SUMIFS($G$8:$G$1007,$C$8:$C$1007,$C327,$A$8:$A$1007,"&gt;="&amp;$A327-6,$A$8:$A$1007,"&lt;="&amp;$A327))</f>
        <v>0</v>
      </c>
      <c r="I327" s="44" t="n">
        <f aca="false">IF($A327="",0,SUMIFS($G$8:$G$1007,$C$8:$C$1007,$C327,$A$8:$A$1007,"&gt;="&amp;$A327-27,$A$8:$A$1007,"&lt;="&amp;$A327)/4)</f>
        <v>0</v>
      </c>
      <c r="J327" s="144" t="n">
        <f aca="false">IF(OR($A327="",$I327=0),0,$H327/$I327)</f>
        <v>0</v>
      </c>
      <c r="K327" s="40" t="n">
        <f aca="false">IF($A327="",0,$A327-SUMPRODUCT(MIN(($C$8:$C$1007=$C327)*$A$8:$A$1007+($C$8:$C$1007&lt;&gt;$C327)*100000))+1)</f>
        <v>0</v>
      </c>
      <c r="L327" s="26" t="str">
        <f aca="false">IF($A327="","",IF($J327=0,"Sem registro anterior",IF($K327&lt;21,"Histórico insuficiente",IF($J327&lt;0.8,"Subcarga",IF($J327&lt;=1.3,"Zona ideal",IF($J327&lt;=1.5,"Atenção","Risco elevado"))))))</f>
        <v/>
      </c>
      <c r="M327" s="27"/>
    </row>
    <row r="328" customFormat="false" ht="15" hidden="false" customHeight="false" outlineLevel="0" collapsed="false">
      <c r="A328" s="29"/>
      <c r="B328" s="40" t="n">
        <f aca="false">IF($A328="",0,INT(($A328-Macrociclo!$C$11)/7)+1)</f>
        <v>0</v>
      </c>
      <c r="C328" s="27"/>
      <c r="D328" s="27"/>
      <c r="E328" s="28"/>
      <c r="F328" s="28"/>
      <c r="G328" s="44" t="n">
        <f aca="false">IF(OR($E328="",$F328=""),0,$E328*$F328)</f>
        <v>0</v>
      </c>
      <c r="H328" s="44" t="n">
        <f aca="false">IF($A328="",0,SUMIFS($G$8:$G$1007,$C$8:$C$1007,$C328,$A$8:$A$1007,"&gt;="&amp;$A328-6,$A$8:$A$1007,"&lt;="&amp;$A328))</f>
        <v>0</v>
      </c>
      <c r="I328" s="44" t="n">
        <f aca="false">IF($A328="",0,SUMIFS($G$8:$G$1007,$C$8:$C$1007,$C328,$A$8:$A$1007,"&gt;="&amp;$A328-27,$A$8:$A$1007,"&lt;="&amp;$A328)/4)</f>
        <v>0</v>
      </c>
      <c r="J328" s="144" t="n">
        <f aca="false">IF(OR($A328="",$I328=0),0,$H328/$I328)</f>
        <v>0</v>
      </c>
      <c r="K328" s="40" t="n">
        <f aca="false">IF($A328="",0,$A328-SUMPRODUCT(MIN(($C$8:$C$1007=$C328)*$A$8:$A$1007+($C$8:$C$1007&lt;&gt;$C328)*100000))+1)</f>
        <v>0</v>
      </c>
      <c r="L328" s="26" t="str">
        <f aca="false">IF($A328="","",IF($J328=0,"Sem registro anterior",IF($K328&lt;21,"Histórico insuficiente",IF($J328&lt;0.8,"Subcarga",IF($J328&lt;=1.3,"Zona ideal",IF($J328&lt;=1.5,"Atenção","Risco elevado"))))))</f>
        <v/>
      </c>
      <c r="M328" s="27"/>
    </row>
    <row r="329" customFormat="false" ht="15" hidden="false" customHeight="false" outlineLevel="0" collapsed="false">
      <c r="A329" s="29"/>
      <c r="B329" s="40" t="n">
        <f aca="false">IF($A329="",0,INT(($A329-Macrociclo!$C$11)/7)+1)</f>
        <v>0</v>
      </c>
      <c r="C329" s="27"/>
      <c r="D329" s="27"/>
      <c r="E329" s="28"/>
      <c r="F329" s="28"/>
      <c r="G329" s="44" t="n">
        <f aca="false">IF(OR($E329="",$F329=""),0,$E329*$F329)</f>
        <v>0</v>
      </c>
      <c r="H329" s="44" t="n">
        <f aca="false">IF($A329="",0,SUMIFS($G$8:$G$1007,$C$8:$C$1007,$C329,$A$8:$A$1007,"&gt;="&amp;$A329-6,$A$8:$A$1007,"&lt;="&amp;$A329))</f>
        <v>0</v>
      </c>
      <c r="I329" s="44" t="n">
        <f aca="false">IF($A329="",0,SUMIFS($G$8:$G$1007,$C$8:$C$1007,$C329,$A$8:$A$1007,"&gt;="&amp;$A329-27,$A$8:$A$1007,"&lt;="&amp;$A329)/4)</f>
        <v>0</v>
      </c>
      <c r="J329" s="144" t="n">
        <f aca="false">IF(OR($A329="",$I329=0),0,$H329/$I329)</f>
        <v>0</v>
      </c>
      <c r="K329" s="40" t="n">
        <f aca="false">IF($A329="",0,$A329-SUMPRODUCT(MIN(($C$8:$C$1007=$C329)*$A$8:$A$1007+($C$8:$C$1007&lt;&gt;$C329)*100000))+1)</f>
        <v>0</v>
      </c>
      <c r="L329" s="26" t="str">
        <f aca="false">IF($A329="","",IF($J329=0,"Sem registro anterior",IF($K329&lt;21,"Histórico insuficiente",IF($J329&lt;0.8,"Subcarga",IF($J329&lt;=1.3,"Zona ideal",IF($J329&lt;=1.5,"Atenção","Risco elevado"))))))</f>
        <v/>
      </c>
      <c r="M329" s="27"/>
    </row>
    <row r="330" customFormat="false" ht="15" hidden="false" customHeight="false" outlineLevel="0" collapsed="false">
      <c r="A330" s="29"/>
      <c r="B330" s="40" t="n">
        <f aca="false">IF($A330="",0,INT(($A330-Macrociclo!$C$11)/7)+1)</f>
        <v>0</v>
      </c>
      <c r="C330" s="27"/>
      <c r="D330" s="27"/>
      <c r="E330" s="28"/>
      <c r="F330" s="28"/>
      <c r="G330" s="44" t="n">
        <f aca="false">IF(OR($E330="",$F330=""),0,$E330*$F330)</f>
        <v>0</v>
      </c>
      <c r="H330" s="44" t="n">
        <f aca="false">IF($A330="",0,SUMIFS($G$8:$G$1007,$C$8:$C$1007,$C330,$A$8:$A$1007,"&gt;="&amp;$A330-6,$A$8:$A$1007,"&lt;="&amp;$A330))</f>
        <v>0</v>
      </c>
      <c r="I330" s="44" t="n">
        <f aca="false">IF($A330="",0,SUMIFS($G$8:$G$1007,$C$8:$C$1007,$C330,$A$8:$A$1007,"&gt;="&amp;$A330-27,$A$8:$A$1007,"&lt;="&amp;$A330)/4)</f>
        <v>0</v>
      </c>
      <c r="J330" s="144" t="n">
        <f aca="false">IF(OR($A330="",$I330=0),0,$H330/$I330)</f>
        <v>0</v>
      </c>
      <c r="K330" s="40" t="n">
        <f aca="false">IF($A330="",0,$A330-SUMPRODUCT(MIN(($C$8:$C$1007=$C330)*$A$8:$A$1007+($C$8:$C$1007&lt;&gt;$C330)*100000))+1)</f>
        <v>0</v>
      </c>
      <c r="L330" s="26" t="str">
        <f aca="false">IF($A330="","",IF($J330=0,"Sem registro anterior",IF($K330&lt;21,"Histórico insuficiente",IF($J330&lt;0.8,"Subcarga",IF($J330&lt;=1.3,"Zona ideal",IF($J330&lt;=1.5,"Atenção","Risco elevado"))))))</f>
        <v/>
      </c>
      <c r="M330" s="27"/>
    </row>
    <row r="331" customFormat="false" ht="15" hidden="false" customHeight="false" outlineLevel="0" collapsed="false">
      <c r="A331" s="29"/>
      <c r="B331" s="40" t="n">
        <f aca="false">IF($A331="",0,INT(($A331-Macrociclo!$C$11)/7)+1)</f>
        <v>0</v>
      </c>
      <c r="C331" s="27"/>
      <c r="D331" s="27"/>
      <c r="E331" s="28"/>
      <c r="F331" s="28"/>
      <c r="G331" s="44" t="n">
        <f aca="false">IF(OR($E331="",$F331=""),0,$E331*$F331)</f>
        <v>0</v>
      </c>
      <c r="H331" s="44" t="n">
        <f aca="false">IF($A331="",0,SUMIFS($G$8:$G$1007,$C$8:$C$1007,$C331,$A$8:$A$1007,"&gt;="&amp;$A331-6,$A$8:$A$1007,"&lt;="&amp;$A331))</f>
        <v>0</v>
      </c>
      <c r="I331" s="44" t="n">
        <f aca="false">IF($A331="",0,SUMIFS($G$8:$G$1007,$C$8:$C$1007,$C331,$A$8:$A$1007,"&gt;="&amp;$A331-27,$A$8:$A$1007,"&lt;="&amp;$A331)/4)</f>
        <v>0</v>
      </c>
      <c r="J331" s="144" t="n">
        <f aca="false">IF(OR($A331="",$I331=0),0,$H331/$I331)</f>
        <v>0</v>
      </c>
      <c r="K331" s="40" t="n">
        <f aca="false">IF($A331="",0,$A331-SUMPRODUCT(MIN(($C$8:$C$1007=$C331)*$A$8:$A$1007+($C$8:$C$1007&lt;&gt;$C331)*100000))+1)</f>
        <v>0</v>
      </c>
      <c r="L331" s="26" t="str">
        <f aca="false">IF($A331="","",IF($J331=0,"Sem registro anterior",IF($K331&lt;21,"Histórico insuficiente",IF($J331&lt;0.8,"Subcarga",IF($J331&lt;=1.3,"Zona ideal",IF($J331&lt;=1.5,"Atenção","Risco elevado"))))))</f>
        <v/>
      </c>
      <c r="M331" s="27"/>
    </row>
    <row r="332" customFormat="false" ht="15" hidden="false" customHeight="false" outlineLevel="0" collapsed="false">
      <c r="A332" s="29"/>
      <c r="B332" s="40" t="n">
        <f aca="false">IF($A332="",0,INT(($A332-Macrociclo!$C$11)/7)+1)</f>
        <v>0</v>
      </c>
      <c r="C332" s="27"/>
      <c r="D332" s="27"/>
      <c r="E332" s="28"/>
      <c r="F332" s="28"/>
      <c r="G332" s="44" t="n">
        <f aca="false">IF(OR($E332="",$F332=""),0,$E332*$F332)</f>
        <v>0</v>
      </c>
      <c r="H332" s="44" t="n">
        <f aca="false">IF($A332="",0,SUMIFS($G$8:$G$1007,$C$8:$C$1007,$C332,$A$8:$A$1007,"&gt;="&amp;$A332-6,$A$8:$A$1007,"&lt;="&amp;$A332))</f>
        <v>0</v>
      </c>
      <c r="I332" s="44" t="n">
        <f aca="false">IF($A332="",0,SUMIFS($G$8:$G$1007,$C$8:$C$1007,$C332,$A$8:$A$1007,"&gt;="&amp;$A332-27,$A$8:$A$1007,"&lt;="&amp;$A332)/4)</f>
        <v>0</v>
      </c>
      <c r="J332" s="144" t="n">
        <f aca="false">IF(OR($A332="",$I332=0),0,$H332/$I332)</f>
        <v>0</v>
      </c>
      <c r="K332" s="40" t="n">
        <f aca="false">IF($A332="",0,$A332-SUMPRODUCT(MIN(($C$8:$C$1007=$C332)*$A$8:$A$1007+($C$8:$C$1007&lt;&gt;$C332)*100000))+1)</f>
        <v>0</v>
      </c>
      <c r="L332" s="26" t="str">
        <f aca="false">IF($A332="","",IF($J332=0,"Sem registro anterior",IF($K332&lt;21,"Histórico insuficiente",IF($J332&lt;0.8,"Subcarga",IF($J332&lt;=1.3,"Zona ideal",IF($J332&lt;=1.5,"Atenção","Risco elevado"))))))</f>
        <v/>
      </c>
      <c r="M332" s="27"/>
    </row>
    <row r="333" customFormat="false" ht="15" hidden="false" customHeight="false" outlineLevel="0" collapsed="false">
      <c r="A333" s="29"/>
      <c r="B333" s="40" t="n">
        <f aca="false">IF($A333="",0,INT(($A333-Macrociclo!$C$11)/7)+1)</f>
        <v>0</v>
      </c>
      <c r="C333" s="27"/>
      <c r="D333" s="27"/>
      <c r="E333" s="28"/>
      <c r="F333" s="28"/>
      <c r="G333" s="44" t="n">
        <f aca="false">IF(OR($E333="",$F333=""),0,$E333*$F333)</f>
        <v>0</v>
      </c>
      <c r="H333" s="44" t="n">
        <f aca="false">IF($A333="",0,SUMIFS($G$8:$G$1007,$C$8:$C$1007,$C333,$A$8:$A$1007,"&gt;="&amp;$A333-6,$A$8:$A$1007,"&lt;="&amp;$A333))</f>
        <v>0</v>
      </c>
      <c r="I333" s="44" t="n">
        <f aca="false">IF($A333="",0,SUMIFS($G$8:$G$1007,$C$8:$C$1007,$C333,$A$8:$A$1007,"&gt;="&amp;$A333-27,$A$8:$A$1007,"&lt;="&amp;$A333)/4)</f>
        <v>0</v>
      </c>
      <c r="J333" s="144" t="n">
        <f aca="false">IF(OR($A333="",$I333=0),0,$H333/$I333)</f>
        <v>0</v>
      </c>
      <c r="K333" s="40" t="n">
        <f aca="false">IF($A333="",0,$A333-SUMPRODUCT(MIN(($C$8:$C$1007=$C333)*$A$8:$A$1007+($C$8:$C$1007&lt;&gt;$C333)*100000))+1)</f>
        <v>0</v>
      </c>
      <c r="L333" s="26" t="str">
        <f aca="false">IF($A333="","",IF($J333=0,"Sem registro anterior",IF($K333&lt;21,"Histórico insuficiente",IF($J333&lt;0.8,"Subcarga",IF($J333&lt;=1.3,"Zona ideal",IF($J333&lt;=1.5,"Atenção","Risco elevado"))))))</f>
        <v/>
      </c>
      <c r="M333" s="27"/>
    </row>
    <row r="334" customFormat="false" ht="15" hidden="false" customHeight="false" outlineLevel="0" collapsed="false">
      <c r="A334" s="29"/>
      <c r="B334" s="40" t="n">
        <f aca="false">IF($A334="",0,INT(($A334-Macrociclo!$C$11)/7)+1)</f>
        <v>0</v>
      </c>
      <c r="C334" s="27"/>
      <c r="D334" s="27"/>
      <c r="E334" s="28"/>
      <c r="F334" s="28"/>
      <c r="G334" s="44" t="n">
        <f aca="false">IF(OR($E334="",$F334=""),0,$E334*$F334)</f>
        <v>0</v>
      </c>
      <c r="H334" s="44" t="n">
        <f aca="false">IF($A334="",0,SUMIFS($G$8:$G$1007,$C$8:$C$1007,$C334,$A$8:$A$1007,"&gt;="&amp;$A334-6,$A$8:$A$1007,"&lt;="&amp;$A334))</f>
        <v>0</v>
      </c>
      <c r="I334" s="44" t="n">
        <f aca="false">IF($A334="",0,SUMIFS($G$8:$G$1007,$C$8:$C$1007,$C334,$A$8:$A$1007,"&gt;="&amp;$A334-27,$A$8:$A$1007,"&lt;="&amp;$A334)/4)</f>
        <v>0</v>
      </c>
      <c r="J334" s="144" t="n">
        <f aca="false">IF(OR($A334="",$I334=0),0,$H334/$I334)</f>
        <v>0</v>
      </c>
      <c r="K334" s="40" t="n">
        <f aca="false">IF($A334="",0,$A334-SUMPRODUCT(MIN(($C$8:$C$1007=$C334)*$A$8:$A$1007+($C$8:$C$1007&lt;&gt;$C334)*100000))+1)</f>
        <v>0</v>
      </c>
      <c r="L334" s="26" t="str">
        <f aca="false">IF($A334="","",IF($J334=0,"Sem registro anterior",IF($K334&lt;21,"Histórico insuficiente",IF($J334&lt;0.8,"Subcarga",IF($J334&lt;=1.3,"Zona ideal",IF($J334&lt;=1.5,"Atenção","Risco elevado"))))))</f>
        <v/>
      </c>
      <c r="M334" s="27"/>
    </row>
    <row r="335" customFormat="false" ht="15" hidden="false" customHeight="false" outlineLevel="0" collapsed="false">
      <c r="A335" s="29"/>
      <c r="B335" s="40" t="n">
        <f aca="false">IF($A335="",0,INT(($A335-Macrociclo!$C$11)/7)+1)</f>
        <v>0</v>
      </c>
      <c r="C335" s="27"/>
      <c r="D335" s="27"/>
      <c r="E335" s="28"/>
      <c r="F335" s="28"/>
      <c r="G335" s="44" t="n">
        <f aca="false">IF(OR($E335="",$F335=""),0,$E335*$F335)</f>
        <v>0</v>
      </c>
      <c r="H335" s="44" t="n">
        <f aca="false">IF($A335="",0,SUMIFS($G$8:$G$1007,$C$8:$C$1007,$C335,$A$8:$A$1007,"&gt;="&amp;$A335-6,$A$8:$A$1007,"&lt;="&amp;$A335))</f>
        <v>0</v>
      </c>
      <c r="I335" s="44" t="n">
        <f aca="false">IF($A335="",0,SUMIFS($G$8:$G$1007,$C$8:$C$1007,$C335,$A$8:$A$1007,"&gt;="&amp;$A335-27,$A$8:$A$1007,"&lt;="&amp;$A335)/4)</f>
        <v>0</v>
      </c>
      <c r="J335" s="144" t="n">
        <f aca="false">IF(OR($A335="",$I335=0),0,$H335/$I335)</f>
        <v>0</v>
      </c>
      <c r="K335" s="40" t="n">
        <f aca="false">IF($A335="",0,$A335-SUMPRODUCT(MIN(($C$8:$C$1007=$C335)*$A$8:$A$1007+($C$8:$C$1007&lt;&gt;$C335)*100000))+1)</f>
        <v>0</v>
      </c>
      <c r="L335" s="26" t="str">
        <f aca="false">IF($A335="","",IF($J335=0,"Sem registro anterior",IF($K335&lt;21,"Histórico insuficiente",IF($J335&lt;0.8,"Subcarga",IF($J335&lt;=1.3,"Zona ideal",IF($J335&lt;=1.5,"Atenção","Risco elevado"))))))</f>
        <v/>
      </c>
      <c r="M335" s="27"/>
    </row>
    <row r="336" customFormat="false" ht="15" hidden="false" customHeight="false" outlineLevel="0" collapsed="false">
      <c r="A336" s="29"/>
      <c r="B336" s="40" t="n">
        <f aca="false">IF($A336="",0,INT(($A336-Macrociclo!$C$11)/7)+1)</f>
        <v>0</v>
      </c>
      <c r="C336" s="27"/>
      <c r="D336" s="27"/>
      <c r="E336" s="28"/>
      <c r="F336" s="28"/>
      <c r="G336" s="44" t="n">
        <f aca="false">IF(OR($E336="",$F336=""),0,$E336*$F336)</f>
        <v>0</v>
      </c>
      <c r="H336" s="44" t="n">
        <f aca="false">IF($A336="",0,SUMIFS($G$8:$G$1007,$C$8:$C$1007,$C336,$A$8:$A$1007,"&gt;="&amp;$A336-6,$A$8:$A$1007,"&lt;="&amp;$A336))</f>
        <v>0</v>
      </c>
      <c r="I336" s="44" t="n">
        <f aca="false">IF($A336="",0,SUMIFS($G$8:$G$1007,$C$8:$C$1007,$C336,$A$8:$A$1007,"&gt;="&amp;$A336-27,$A$8:$A$1007,"&lt;="&amp;$A336)/4)</f>
        <v>0</v>
      </c>
      <c r="J336" s="144" t="n">
        <f aca="false">IF(OR($A336="",$I336=0),0,$H336/$I336)</f>
        <v>0</v>
      </c>
      <c r="K336" s="40" t="n">
        <f aca="false">IF($A336="",0,$A336-SUMPRODUCT(MIN(($C$8:$C$1007=$C336)*$A$8:$A$1007+($C$8:$C$1007&lt;&gt;$C336)*100000))+1)</f>
        <v>0</v>
      </c>
      <c r="L336" s="26" t="str">
        <f aca="false">IF($A336="","",IF($J336=0,"Sem registro anterior",IF($K336&lt;21,"Histórico insuficiente",IF($J336&lt;0.8,"Subcarga",IF($J336&lt;=1.3,"Zona ideal",IF($J336&lt;=1.5,"Atenção","Risco elevado"))))))</f>
        <v/>
      </c>
      <c r="M336" s="27"/>
    </row>
    <row r="337" customFormat="false" ht="15" hidden="false" customHeight="false" outlineLevel="0" collapsed="false">
      <c r="A337" s="29"/>
      <c r="B337" s="40" t="n">
        <f aca="false">IF($A337="",0,INT(($A337-Macrociclo!$C$11)/7)+1)</f>
        <v>0</v>
      </c>
      <c r="C337" s="27"/>
      <c r="D337" s="27"/>
      <c r="E337" s="28"/>
      <c r="F337" s="28"/>
      <c r="G337" s="44" t="n">
        <f aca="false">IF(OR($E337="",$F337=""),0,$E337*$F337)</f>
        <v>0</v>
      </c>
      <c r="H337" s="44" t="n">
        <f aca="false">IF($A337="",0,SUMIFS($G$8:$G$1007,$C$8:$C$1007,$C337,$A$8:$A$1007,"&gt;="&amp;$A337-6,$A$8:$A$1007,"&lt;="&amp;$A337))</f>
        <v>0</v>
      </c>
      <c r="I337" s="44" t="n">
        <f aca="false">IF($A337="",0,SUMIFS($G$8:$G$1007,$C$8:$C$1007,$C337,$A$8:$A$1007,"&gt;="&amp;$A337-27,$A$8:$A$1007,"&lt;="&amp;$A337)/4)</f>
        <v>0</v>
      </c>
      <c r="J337" s="144" t="n">
        <f aca="false">IF(OR($A337="",$I337=0),0,$H337/$I337)</f>
        <v>0</v>
      </c>
      <c r="K337" s="40" t="n">
        <f aca="false">IF($A337="",0,$A337-SUMPRODUCT(MIN(($C$8:$C$1007=$C337)*$A$8:$A$1007+($C$8:$C$1007&lt;&gt;$C337)*100000))+1)</f>
        <v>0</v>
      </c>
      <c r="L337" s="26" t="str">
        <f aca="false">IF($A337="","",IF($J337=0,"Sem registro anterior",IF($K337&lt;21,"Histórico insuficiente",IF($J337&lt;0.8,"Subcarga",IF($J337&lt;=1.3,"Zona ideal",IF($J337&lt;=1.5,"Atenção","Risco elevado"))))))</f>
        <v/>
      </c>
      <c r="M337" s="27"/>
    </row>
    <row r="338" customFormat="false" ht="15" hidden="false" customHeight="false" outlineLevel="0" collapsed="false">
      <c r="A338" s="29"/>
      <c r="B338" s="40" t="n">
        <f aca="false">IF($A338="",0,INT(($A338-Macrociclo!$C$11)/7)+1)</f>
        <v>0</v>
      </c>
      <c r="C338" s="27"/>
      <c r="D338" s="27"/>
      <c r="E338" s="28"/>
      <c r="F338" s="28"/>
      <c r="G338" s="44" t="n">
        <f aca="false">IF(OR($E338="",$F338=""),0,$E338*$F338)</f>
        <v>0</v>
      </c>
      <c r="H338" s="44" t="n">
        <f aca="false">IF($A338="",0,SUMIFS($G$8:$G$1007,$C$8:$C$1007,$C338,$A$8:$A$1007,"&gt;="&amp;$A338-6,$A$8:$A$1007,"&lt;="&amp;$A338))</f>
        <v>0</v>
      </c>
      <c r="I338" s="44" t="n">
        <f aca="false">IF($A338="",0,SUMIFS($G$8:$G$1007,$C$8:$C$1007,$C338,$A$8:$A$1007,"&gt;="&amp;$A338-27,$A$8:$A$1007,"&lt;="&amp;$A338)/4)</f>
        <v>0</v>
      </c>
      <c r="J338" s="144" t="n">
        <f aca="false">IF(OR($A338="",$I338=0),0,$H338/$I338)</f>
        <v>0</v>
      </c>
      <c r="K338" s="40" t="n">
        <f aca="false">IF($A338="",0,$A338-SUMPRODUCT(MIN(($C$8:$C$1007=$C338)*$A$8:$A$1007+($C$8:$C$1007&lt;&gt;$C338)*100000))+1)</f>
        <v>0</v>
      </c>
      <c r="L338" s="26" t="str">
        <f aca="false">IF($A338="","",IF($J338=0,"Sem registro anterior",IF($K338&lt;21,"Histórico insuficiente",IF($J338&lt;0.8,"Subcarga",IF($J338&lt;=1.3,"Zona ideal",IF($J338&lt;=1.5,"Atenção","Risco elevado"))))))</f>
        <v/>
      </c>
      <c r="M338" s="27"/>
    </row>
    <row r="339" customFormat="false" ht="15" hidden="false" customHeight="false" outlineLevel="0" collapsed="false">
      <c r="A339" s="29"/>
      <c r="B339" s="40" t="n">
        <f aca="false">IF($A339="",0,INT(($A339-Macrociclo!$C$11)/7)+1)</f>
        <v>0</v>
      </c>
      <c r="C339" s="27"/>
      <c r="D339" s="27"/>
      <c r="E339" s="28"/>
      <c r="F339" s="28"/>
      <c r="G339" s="44" t="n">
        <f aca="false">IF(OR($E339="",$F339=""),0,$E339*$F339)</f>
        <v>0</v>
      </c>
      <c r="H339" s="44" t="n">
        <f aca="false">IF($A339="",0,SUMIFS($G$8:$G$1007,$C$8:$C$1007,$C339,$A$8:$A$1007,"&gt;="&amp;$A339-6,$A$8:$A$1007,"&lt;="&amp;$A339))</f>
        <v>0</v>
      </c>
      <c r="I339" s="44" t="n">
        <f aca="false">IF($A339="",0,SUMIFS($G$8:$G$1007,$C$8:$C$1007,$C339,$A$8:$A$1007,"&gt;="&amp;$A339-27,$A$8:$A$1007,"&lt;="&amp;$A339)/4)</f>
        <v>0</v>
      </c>
      <c r="J339" s="144" t="n">
        <f aca="false">IF(OR($A339="",$I339=0),0,$H339/$I339)</f>
        <v>0</v>
      </c>
      <c r="K339" s="40" t="n">
        <f aca="false">IF($A339="",0,$A339-SUMPRODUCT(MIN(($C$8:$C$1007=$C339)*$A$8:$A$1007+($C$8:$C$1007&lt;&gt;$C339)*100000))+1)</f>
        <v>0</v>
      </c>
      <c r="L339" s="26" t="str">
        <f aca="false">IF($A339="","",IF($J339=0,"Sem registro anterior",IF($K339&lt;21,"Histórico insuficiente",IF($J339&lt;0.8,"Subcarga",IF($J339&lt;=1.3,"Zona ideal",IF($J339&lt;=1.5,"Atenção","Risco elevado"))))))</f>
        <v/>
      </c>
      <c r="M339" s="27"/>
    </row>
    <row r="340" customFormat="false" ht="15" hidden="false" customHeight="false" outlineLevel="0" collapsed="false">
      <c r="A340" s="29"/>
      <c r="B340" s="40" t="n">
        <f aca="false">IF($A340="",0,INT(($A340-Macrociclo!$C$11)/7)+1)</f>
        <v>0</v>
      </c>
      <c r="C340" s="27"/>
      <c r="D340" s="27"/>
      <c r="E340" s="28"/>
      <c r="F340" s="28"/>
      <c r="G340" s="44" t="n">
        <f aca="false">IF(OR($E340="",$F340=""),0,$E340*$F340)</f>
        <v>0</v>
      </c>
      <c r="H340" s="44" t="n">
        <f aca="false">IF($A340="",0,SUMIFS($G$8:$G$1007,$C$8:$C$1007,$C340,$A$8:$A$1007,"&gt;="&amp;$A340-6,$A$8:$A$1007,"&lt;="&amp;$A340))</f>
        <v>0</v>
      </c>
      <c r="I340" s="44" t="n">
        <f aca="false">IF($A340="",0,SUMIFS($G$8:$G$1007,$C$8:$C$1007,$C340,$A$8:$A$1007,"&gt;="&amp;$A340-27,$A$8:$A$1007,"&lt;="&amp;$A340)/4)</f>
        <v>0</v>
      </c>
      <c r="J340" s="144" t="n">
        <f aca="false">IF(OR($A340="",$I340=0),0,$H340/$I340)</f>
        <v>0</v>
      </c>
      <c r="K340" s="40" t="n">
        <f aca="false">IF($A340="",0,$A340-SUMPRODUCT(MIN(($C$8:$C$1007=$C340)*$A$8:$A$1007+($C$8:$C$1007&lt;&gt;$C340)*100000))+1)</f>
        <v>0</v>
      </c>
      <c r="L340" s="26" t="str">
        <f aca="false">IF($A340="","",IF($J340=0,"Sem registro anterior",IF($K340&lt;21,"Histórico insuficiente",IF($J340&lt;0.8,"Subcarga",IF($J340&lt;=1.3,"Zona ideal",IF($J340&lt;=1.5,"Atenção","Risco elevado"))))))</f>
        <v/>
      </c>
      <c r="M340" s="27"/>
    </row>
    <row r="341" customFormat="false" ht="15" hidden="false" customHeight="false" outlineLevel="0" collapsed="false">
      <c r="A341" s="29"/>
      <c r="B341" s="40" t="n">
        <f aca="false">IF($A341="",0,INT(($A341-Macrociclo!$C$11)/7)+1)</f>
        <v>0</v>
      </c>
      <c r="C341" s="27"/>
      <c r="D341" s="27"/>
      <c r="E341" s="28"/>
      <c r="F341" s="28"/>
      <c r="G341" s="44" t="n">
        <f aca="false">IF(OR($E341="",$F341=""),0,$E341*$F341)</f>
        <v>0</v>
      </c>
      <c r="H341" s="44" t="n">
        <f aca="false">IF($A341="",0,SUMIFS($G$8:$G$1007,$C$8:$C$1007,$C341,$A$8:$A$1007,"&gt;="&amp;$A341-6,$A$8:$A$1007,"&lt;="&amp;$A341))</f>
        <v>0</v>
      </c>
      <c r="I341" s="44" t="n">
        <f aca="false">IF($A341="",0,SUMIFS($G$8:$G$1007,$C$8:$C$1007,$C341,$A$8:$A$1007,"&gt;="&amp;$A341-27,$A$8:$A$1007,"&lt;="&amp;$A341)/4)</f>
        <v>0</v>
      </c>
      <c r="J341" s="144" t="n">
        <f aca="false">IF(OR($A341="",$I341=0),0,$H341/$I341)</f>
        <v>0</v>
      </c>
      <c r="K341" s="40" t="n">
        <f aca="false">IF($A341="",0,$A341-SUMPRODUCT(MIN(($C$8:$C$1007=$C341)*$A$8:$A$1007+($C$8:$C$1007&lt;&gt;$C341)*100000))+1)</f>
        <v>0</v>
      </c>
      <c r="L341" s="26" t="str">
        <f aca="false">IF($A341="","",IF($J341=0,"Sem registro anterior",IF($K341&lt;21,"Histórico insuficiente",IF($J341&lt;0.8,"Subcarga",IF($J341&lt;=1.3,"Zona ideal",IF($J341&lt;=1.5,"Atenção","Risco elevado"))))))</f>
        <v/>
      </c>
      <c r="M341" s="27"/>
    </row>
    <row r="342" customFormat="false" ht="15" hidden="false" customHeight="false" outlineLevel="0" collapsed="false">
      <c r="A342" s="29"/>
      <c r="B342" s="40" t="n">
        <f aca="false">IF($A342="",0,INT(($A342-Macrociclo!$C$11)/7)+1)</f>
        <v>0</v>
      </c>
      <c r="C342" s="27"/>
      <c r="D342" s="27"/>
      <c r="E342" s="28"/>
      <c r="F342" s="28"/>
      <c r="G342" s="44" t="n">
        <f aca="false">IF(OR($E342="",$F342=""),0,$E342*$F342)</f>
        <v>0</v>
      </c>
      <c r="H342" s="44" t="n">
        <f aca="false">IF($A342="",0,SUMIFS($G$8:$G$1007,$C$8:$C$1007,$C342,$A$8:$A$1007,"&gt;="&amp;$A342-6,$A$8:$A$1007,"&lt;="&amp;$A342))</f>
        <v>0</v>
      </c>
      <c r="I342" s="44" t="n">
        <f aca="false">IF($A342="",0,SUMIFS($G$8:$G$1007,$C$8:$C$1007,$C342,$A$8:$A$1007,"&gt;="&amp;$A342-27,$A$8:$A$1007,"&lt;="&amp;$A342)/4)</f>
        <v>0</v>
      </c>
      <c r="J342" s="144" t="n">
        <f aca="false">IF(OR($A342="",$I342=0),0,$H342/$I342)</f>
        <v>0</v>
      </c>
      <c r="K342" s="40" t="n">
        <f aca="false">IF($A342="",0,$A342-SUMPRODUCT(MIN(($C$8:$C$1007=$C342)*$A$8:$A$1007+($C$8:$C$1007&lt;&gt;$C342)*100000))+1)</f>
        <v>0</v>
      </c>
      <c r="L342" s="26" t="str">
        <f aca="false">IF($A342="","",IF($J342=0,"Sem registro anterior",IF($K342&lt;21,"Histórico insuficiente",IF($J342&lt;0.8,"Subcarga",IF($J342&lt;=1.3,"Zona ideal",IF($J342&lt;=1.5,"Atenção","Risco elevado"))))))</f>
        <v/>
      </c>
      <c r="M342" s="27"/>
    </row>
    <row r="343" customFormat="false" ht="15" hidden="false" customHeight="false" outlineLevel="0" collapsed="false">
      <c r="A343" s="29"/>
      <c r="B343" s="40" t="n">
        <f aca="false">IF($A343="",0,INT(($A343-Macrociclo!$C$11)/7)+1)</f>
        <v>0</v>
      </c>
      <c r="C343" s="27"/>
      <c r="D343" s="27"/>
      <c r="E343" s="28"/>
      <c r="F343" s="28"/>
      <c r="G343" s="44" t="n">
        <f aca="false">IF(OR($E343="",$F343=""),0,$E343*$F343)</f>
        <v>0</v>
      </c>
      <c r="H343" s="44" t="n">
        <f aca="false">IF($A343="",0,SUMIFS($G$8:$G$1007,$C$8:$C$1007,$C343,$A$8:$A$1007,"&gt;="&amp;$A343-6,$A$8:$A$1007,"&lt;="&amp;$A343))</f>
        <v>0</v>
      </c>
      <c r="I343" s="44" t="n">
        <f aca="false">IF($A343="",0,SUMIFS($G$8:$G$1007,$C$8:$C$1007,$C343,$A$8:$A$1007,"&gt;="&amp;$A343-27,$A$8:$A$1007,"&lt;="&amp;$A343)/4)</f>
        <v>0</v>
      </c>
      <c r="J343" s="144" t="n">
        <f aca="false">IF(OR($A343="",$I343=0),0,$H343/$I343)</f>
        <v>0</v>
      </c>
      <c r="K343" s="40" t="n">
        <f aca="false">IF($A343="",0,$A343-SUMPRODUCT(MIN(($C$8:$C$1007=$C343)*$A$8:$A$1007+($C$8:$C$1007&lt;&gt;$C343)*100000))+1)</f>
        <v>0</v>
      </c>
      <c r="L343" s="26" t="str">
        <f aca="false">IF($A343="","",IF($J343=0,"Sem registro anterior",IF($K343&lt;21,"Histórico insuficiente",IF($J343&lt;0.8,"Subcarga",IF($J343&lt;=1.3,"Zona ideal",IF($J343&lt;=1.5,"Atenção","Risco elevado"))))))</f>
        <v/>
      </c>
      <c r="M343" s="27"/>
    </row>
    <row r="344" customFormat="false" ht="15" hidden="false" customHeight="false" outlineLevel="0" collapsed="false">
      <c r="A344" s="29"/>
      <c r="B344" s="40" t="n">
        <f aca="false">IF($A344="",0,INT(($A344-Macrociclo!$C$11)/7)+1)</f>
        <v>0</v>
      </c>
      <c r="C344" s="27"/>
      <c r="D344" s="27"/>
      <c r="E344" s="28"/>
      <c r="F344" s="28"/>
      <c r="G344" s="44" t="n">
        <f aca="false">IF(OR($E344="",$F344=""),0,$E344*$F344)</f>
        <v>0</v>
      </c>
      <c r="H344" s="44" t="n">
        <f aca="false">IF($A344="",0,SUMIFS($G$8:$G$1007,$C$8:$C$1007,$C344,$A$8:$A$1007,"&gt;="&amp;$A344-6,$A$8:$A$1007,"&lt;="&amp;$A344))</f>
        <v>0</v>
      </c>
      <c r="I344" s="44" t="n">
        <f aca="false">IF($A344="",0,SUMIFS($G$8:$G$1007,$C$8:$C$1007,$C344,$A$8:$A$1007,"&gt;="&amp;$A344-27,$A$8:$A$1007,"&lt;="&amp;$A344)/4)</f>
        <v>0</v>
      </c>
      <c r="J344" s="144" t="n">
        <f aca="false">IF(OR($A344="",$I344=0),0,$H344/$I344)</f>
        <v>0</v>
      </c>
      <c r="K344" s="40" t="n">
        <f aca="false">IF($A344="",0,$A344-SUMPRODUCT(MIN(($C$8:$C$1007=$C344)*$A$8:$A$1007+($C$8:$C$1007&lt;&gt;$C344)*100000))+1)</f>
        <v>0</v>
      </c>
      <c r="L344" s="26" t="str">
        <f aca="false">IF($A344="","",IF($J344=0,"Sem registro anterior",IF($K344&lt;21,"Histórico insuficiente",IF($J344&lt;0.8,"Subcarga",IF($J344&lt;=1.3,"Zona ideal",IF($J344&lt;=1.5,"Atenção","Risco elevado"))))))</f>
        <v/>
      </c>
      <c r="M344" s="27"/>
    </row>
    <row r="345" customFormat="false" ht="15" hidden="false" customHeight="false" outlineLevel="0" collapsed="false">
      <c r="A345" s="29"/>
      <c r="B345" s="40" t="n">
        <f aca="false">IF($A345="",0,INT(($A345-Macrociclo!$C$11)/7)+1)</f>
        <v>0</v>
      </c>
      <c r="C345" s="27"/>
      <c r="D345" s="27"/>
      <c r="E345" s="28"/>
      <c r="F345" s="28"/>
      <c r="G345" s="44" t="n">
        <f aca="false">IF(OR($E345="",$F345=""),0,$E345*$F345)</f>
        <v>0</v>
      </c>
      <c r="H345" s="44" t="n">
        <f aca="false">IF($A345="",0,SUMIFS($G$8:$G$1007,$C$8:$C$1007,$C345,$A$8:$A$1007,"&gt;="&amp;$A345-6,$A$8:$A$1007,"&lt;="&amp;$A345))</f>
        <v>0</v>
      </c>
      <c r="I345" s="44" t="n">
        <f aca="false">IF($A345="",0,SUMIFS($G$8:$G$1007,$C$8:$C$1007,$C345,$A$8:$A$1007,"&gt;="&amp;$A345-27,$A$8:$A$1007,"&lt;="&amp;$A345)/4)</f>
        <v>0</v>
      </c>
      <c r="J345" s="144" t="n">
        <f aca="false">IF(OR($A345="",$I345=0),0,$H345/$I345)</f>
        <v>0</v>
      </c>
      <c r="K345" s="40" t="n">
        <f aca="false">IF($A345="",0,$A345-SUMPRODUCT(MIN(($C$8:$C$1007=$C345)*$A$8:$A$1007+($C$8:$C$1007&lt;&gt;$C345)*100000))+1)</f>
        <v>0</v>
      </c>
      <c r="L345" s="26" t="str">
        <f aca="false">IF($A345="","",IF($J345=0,"Sem registro anterior",IF($K345&lt;21,"Histórico insuficiente",IF($J345&lt;0.8,"Subcarga",IF($J345&lt;=1.3,"Zona ideal",IF($J345&lt;=1.5,"Atenção","Risco elevado"))))))</f>
        <v/>
      </c>
      <c r="M345" s="27"/>
    </row>
    <row r="346" customFormat="false" ht="15" hidden="false" customHeight="false" outlineLevel="0" collapsed="false">
      <c r="A346" s="29"/>
      <c r="B346" s="40" t="n">
        <f aca="false">IF($A346="",0,INT(($A346-Macrociclo!$C$11)/7)+1)</f>
        <v>0</v>
      </c>
      <c r="C346" s="27"/>
      <c r="D346" s="27"/>
      <c r="E346" s="28"/>
      <c r="F346" s="28"/>
      <c r="G346" s="44" t="n">
        <f aca="false">IF(OR($E346="",$F346=""),0,$E346*$F346)</f>
        <v>0</v>
      </c>
      <c r="H346" s="44" t="n">
        <f aca="false">IF($A346="",0,SUMIFS($G$8:$G$1007,$C$8:$C$1007,$C346,$A$8:$A$1007,"&gt;="&amp;$A346-6,$A$8:$A$1007,"&lt;="&amp;$A346))</f>
        <v>0</v>
      </c>
      <c r="I346" s="44" t="n">
        <f aca="false">IF($A346="",0,SUMIFS($G$8:$G$1007,$C$8:$C$1007,$C346,$A$8:$A$1007,"&gt;="&amp;$A346-27,$A$8:$A$1007,"&lt;="&amp;$A346)/4)</f>
        <v>0</v>
      </c>
      <c r="J346" s="144" t="n">
        <f aca="false">IF(OR($A346="",$I346=0),0,$H346/$I346)</f>
        <v>0</v>
      </c>
      <c r="K346" s="40" t="n">
        <f aca="false">IF($A346="",0,$A346-SUMPRODUCT(MIN(($C$8:$C$1007=$C346)*$A$8:$A$1007+($C$8:$C$1007&lt;&gt;$C346)*100000))+1)</f>
        <v>0</v>
      </c>
      <c r="L346" s="26" t="str">
        <f aca="false">IF($A346="","",IF($J346=0,"Sem registro anterior",IF($K346&lt;21,"Histórico insuficiente",IF($J346&lt;0.8,"Subcarga",IF($J346&lt;=1.3,"Zona ideal",IF($J346&lt;=1.5,"Atenção","Risco elevado"))))))</f>
        <v/>
      </c>
      <c r="M346" s="27"/>
    </row>
    <row r="347" customFormat="false" ht="15" hidden="false" customHeight="false" outlineLevel="0" collapsed="false">
      <c r="A347" s="29"/>
      <c r="B347" s="40" t="n">
        <f aca="false">IF($A347="",0,INT(($A347-Macrociclo!$C$11)/7)+1)</f>
        <v>0</v>
      </c>
      <c r="C347" s="27"/>
      <c r="D347" s="27"/>
      <c r="E347" s="28"/>
      <c r="F347" s="28"/>
      <c r="G347" s="44" t="n">
        <f aca="false">IF(OR($E347="",$F347=""),0,$E347*$F347)</f>
        <v>0</v>
      </c>
      <c r="H347" s="44" t="n">
        <f aca="false">IF($A347="",0,SUMIFS($G$8:$G$1007,$C$8:$C$1007,$C347,$A$8:$A$1007,"&gt;="&amp;$A347-6,$A$8:$A$1007,"&lt;="&amp;$A347))</f>
        <v>0</v>
      </c>
      <c r="I347" s="44" t="n">
        <f aca="false">IF($A347="",0,SUMIFS($G$8:$G$1007,$C$8:$C$1007,$C347,$A$8:$A$1007,"&gt;="&amp;$A347-27,$A$8:$A$1007,"&lt;="&amp;$A347)/4)</f>
        <v>0</v>
      </c>
      <c r="J347" s="144" t="n">
        <f aca="false">IF(OR($A347="",$I347=0),0,$H347/$I347)</f>
        <v>0</v>
      </c>
      <c r="K347" s="40" t="n">
        <f aca="false">IF($A347="",0,$A347-SUMPRODUCT(MIN(($C$8:$C$1007=$C347)*$A$8:$A$1007+($C$8:$C$1007&lt;&gt;$C347)*100000))+1)</f>
        <v>0</v>
      </c>
      <c r="L347" s="26" t="str">
        <f aca="false">IF($A347="","",IF($J347=0,"Sem registro anterior",IF($K347&lt;21,"Histórico insuficiente",IF($J347&lt;0.8,"Subcarga",IF($J347&lt;=1.3,"Zona ideal",IF($J347&lt;=1.5,"Atenção","Risco elevado"))))))</f>
        <v/>
      </c>
      <c r="M347" s="27"/>
    </row>
    <row r="348" customFormat="false" ht="15" hidden="false" customHeight="false" outlineLevel="0" collapsed="false">
      <c r="A348" s="29"/>
      <c r="B348" s="40" t="n">
        <f aca="false">IF($A348="",0,INT(($A348-Macrociclo!$C$11)/7)+1)</f>
        <v>0</v>
      </c>
      <c r="C348" s="27"/>
      <c r="D348" s="27"/>
      <c r="E348" s="28"/>
      <c r="F348" s="28"/>
      <c r="G348" s="44" t="n">
        <f aca="false">IF(OR($E348="",$F348=""),0,$E348*$F348)</f>
        <v>0</v>
      </c>
      <c r="H348" s="44" t="n">
        <f aca="false">IF($A348="",0,SUMIFS($G$8:$G$1007,$C$8:$C$1007,$C348,$A$8:$A$1007,"&gt;="&amp;$A348-6,$A$8:$A$1007,"&lt;="&amp;$A348))</f>
        <v>0</v>
      </c>
      <c r="I348" s="44" t="n">
        <f aca="false">IF($A348="",0,SUMIFS($G$8:$G$1007,$C$8:$C$1007,$C348,$A$8:$A$1007,"&gt;="&amp;$A348-27,$A$8:$A$1007,"&lt;="&amp;$A348)/4)</f>
        <v>0</v>
      </c>
      <c r="J348" s="144" t="n">
        <f aca="false">IF(OR($A348="",$I348=0),0,$H348/$I348)</f>
        <v>0</v>
      </c>
      <c r="K348" s="40" t="n">
        <f aca="false">IF($A348="",0,$A348-SUMPRODUCT(MIN(($C$8:$C$1007=$C348)*$A$8:$A$1007+($C$8:$C$1007&lt;&gt;$C348)*100000))+1)</f>
        <v>0</v>
      </c>
      <c r="L348" s="26" t="str">
        <f aca="false">IF($A348="","",IF($J348=0,"Sem registro anterior",IF($K348&lt;21,"Histórico insuficiente",IF($J348&lt;0.8,"Subcarga",IF($J348&lt;=1.3,"Zona ideal",IF($J348&lt;=1.5,"Atenção","Risco elevado"))))))</f>
        <v/>
      </c>
      <c r="M348" s="27"/>
    </row>
    <row r="349" customFormat="false" ht="15" hidden="false" customHeight="false" outlineLevel="0" collapsed="false">
      <c r="A349" s="29"/>
      <c r="B349" s="40" t="n">
        <f aca="false">IF($A349="",0,INT(($A349-Macrociclo!$C$11)/7)+1)</f>
        <v>0</v>
      </c>
      <c r="C349" s="27"/>
      <c r="D349" s="27"/>
      <c r="E349" s="28"/>
      <c r="F349" s="28"/>
      <c r="G349" s="44" t="n">
        <f aca="false">IF(OR($E349="",$F349=""),0,$E349*$F349)</f>
        <v>0</v>
      </c>
      <c r="H349" s="44" t="n">
        <f aca="false">IF($A349="",0,SUMIFS($G$8:$G$1007,$C$8:$C$1007,$C349,$A$8:$A$1007,"&gt;="&amp;$A349-6,$A$8:$A$1007,"&lt;="&amp;$A349))</f>
        <v>0</v>
      </c>
      <c r="I349" s="44" t="n">
        <f aca="false">IF($A349="",0,SUMIFS($G$8:$G$1007,$C$8:$C$1007,$C349,$A$8:$A$1007,"&gt;="&amp;$A349-27,$A$8:$A$1007,"&lt;="&amp;$A349)/4)</f>
        <v>0</v>
      </c>
      <c r="J349" s="144" t="n">
        <f aca="false">IF(OR($A349="",$I349=0),0,$H349/$I349)</f>
        <v>0</v>
      </c>
      <c r="K349" s="40" t="n">
        <f aca="false">IF($A349="",0,$A349-SUMPRODUCT(MIN(($C$8:$C$1007=$C349)*$A$8:$A$1007+($C$8:$C$1007&lt;&gt;$C349)*100000))+1)</f>
        <v>0</v>
      </c>
      <c r="L349" s="26" t="str">
        <f aca="false">IF($A349="","",IF($J349=0,"Sem registro anterior",IF($K349&lt;21,"Histórico insuficiente",IF($J349&lt;0.8,"Subcarga",IF($J349&lt;=1.3,"Zona ideal",IF($J349&lt;=1.5,"Atenção","Risco elevado"))))))</f>
        <v/>
      </c>
      <c r="M349" s="27"/>
    </row>
    <row r="350" customFormat="false" ht="15" hidden="false" customHeight="false" outlineLevel="0" collapsed="false">
      <c r="A350" s="29"/>
      <c r="B350" s="40" t="n">
        <f aca="false">IF($A350="",0,INT(($A350-Macrociclo!$C$11)/7)+1)</f>
        <v>0</v>
      </c>
      <c r="C350" s="27"/>
      <c r="D350" s="27"/>
      <c r="E350" s="28"/>
      <c r="F350" s="28"/>
      <c r="G350" s="44" t="n">
        <f aca="false">IF(OR($E350="",$F350=""),0,$E350*$F350)</f>
        <v>0</v>
      </c>
      <c r="H350" s="44" t="n">
        <f aca="false">IF($A350="",0,SUMIFS($G$8:$G$1007,$C$8:$C$1007,$C350,$A$8:$A$1007,"&gt;="&amp;$A350-6,$A$8:$A$1007,"&lt;="&amp;$A350))</f>
        <v>0</v>
      </c>
      <c r="I350" s="44" t="n">
        <f aca="false">IF($A350="",0,SUMIFS($G$8:$G$1007,$C$8:$C$1007,$C350,$A$8:$A$1007,"&gt;="&amp;$A350-27,$A$8:$A$1007,"&lt;="&amp;$A350)/4)</f>
        <v>0</v>
      </c>
      <c r="J350" s="144" t="n">
        <f aca="false">IF(OR($A350="",$I350=0),0,$H350/$I350)</f>
        <v>0</v>
      </c>
      <c r="K350" s="40" t="n">
        <f aca="false">IF($A350="",0,$A350-SUMPRODUCT(MIN(($C$8:$C$1007=$C350)*$A$8:$A$1007+($C$8:$C$1007&lt;&gt;$C350)*100000))+1)</f>
        <v>0</v>
      </c>
      <c r="L350" s="26" t="str">
        <f aca="false">IF($A350="","",IF($J350=0,"Sem registro anterior",IF($K350&lt;21,"Histórico insuficiente",IF($J350&lt;0.8,"Subcarga",IF($J350&lt;=1.3,"Zona ideal",IF($J350&lt;=1.5,"Atenção","Risco elevado"))))))</f>
        <v/>
      </c>
      <c r="M350" s="27"/>
    </row>
    <row r="351" customFormat="false" ht="15" hidden="false" customHeight="false" outlineLevel="0" collapsed="false">
      <c r="A351" s="29"/>
      <c r="B351" s="40" t="n">
        <f aca="false">IF($A351="",0,INT(($A351-Macrociclo!$C$11)/7)+1)</f>
        <v>0</v>
      </c>
      <c r="C351" s="27"/>
      <c r="D351" s="27"/>
      <c r="E351" s="28"/>
      <c r="F351" s="28"/>
      <c r="G351" s="44" t="n">
        <f aca="false">IF(OR($E351="",$F351=""),0,$E351*$F351)</f>
        <v>0</v>
      </c>
      <c r="H351" s="44" t="n">
        <f aca="false">IF($A351="",0,SUMIFS($G$8:$G$1007,$C$8:$C$1007,$C351,$A$8:$A$1007,"&gt;="&amp;$A351-6,$A$8:$A$1007,"&lt;="&amp;$A351))</f>
        <v>0</v>
      </c>
      <c r="I351" s="44" t="n">
        <f aca="false">IF($A351="",0,SUMIFS($G$8:$G$1007,$C$8:$C$1007,$C351,$A$8:$A$1007,"&gt;="&amp;$A351-27,$A$8:$A$1007,"&lt;="&amp;$A351)/4)</f>
        <v>0</v>
      </c>
      <c r="J351" s="144" t="n">
        <f aca="false">IF(OR($A351="",$I351=0),0,$H351/$I351)</f>
        <v>0</v>
      </c>
      <c r="K351" s="40" t="n">
        <f aca="false">IF($A351="",0,$A351-SUMPRODUCT(MIN(($C$8:$C$1007=$C351)*$A$8:$A$1007+($C$8:$C$1007&lt;&gt;$C351)*100000))+1)</f>
        <v>0</v>
      </c>
      <c r="L351" s="26" t="str">
        <f aca="false">IF($A351="","",IF($J351=0,"Sem registro anterior",IF($K351&lt;21,"Histórico insuficiente",IF($J351&lt;0.8,"Subcarga",IF($J351&lt;=1.3,"Zona ideal",IF($J351&lt;=1.5,"Atenção","Risco elevado"))))))</f>
        <v/>
      </c>
      <c r="M351" s="27"/>
    </row>
    <row r="352" customFormat="false" ht="15" hidden="false" customHeight="false" outlineLevel="0" collapsed="false">
      <c r="A352" s="29"/>
      <c r="B352" s="40" t="n">
        <f aca="false">IF($A352="",0,INT(($A352-Macrociclo!$C$11)/7)+1)</f>
        <v>0</v>
      </c>
      <c r="C352" s="27"/>
      <c r="D352" s="27"/>
      <c r="E352" s="28"/>
      <c r="F352" s="28"/>
      <c r="G352" s="44" t="n">
        <f aca="false">IF(OR($E352="",$F352=""),0,$E352*$F352)</f>
        <v>0</v>
      </c>
      <c r="H352" s="44" t="n">
        <f aca="false">IF($A352="",0,SUMIFS($G$8:$G$1007,$C$8:$C$1007,$C352,$A$8:$A$1007,"&gt;="&amp;$A352-6,$A$8:$A$1007,"&lt;="&amp;$A352))</f>
        <v>0</v>
      </c>
      <c r="I352" s="44" t="n">
        <f aca="false">IF($A352="",0,SUMIFS($G$8:$G$1007,$C$8:$C$1007,$C352,$A$8:$A$1007,"&gt;="&amp;$A352-27,$A$8:$A$1007,"&lt;="&amp;$A352)/4)</f>
        <v>0</v>
      </c>
      <c r="J352" s="144" t="n">
        <f aca="false">IF(OR($A352="",$I352=0),0,$H352/$I352)</f>
        <v>0</v>
      </c>
      <c r="K352" s="40" t="n">
        <f aca="false">IF($A352="",0,$A352-SUMPRODUCT(MIN(($C$8:$C$1007=$C352)*$A$8:$A$1007+($C$8:$C$1007&lt;&gt;$C352)*100000))+1)</f>
        <v>0</v>
      </c>
      <c r="L352" s="26" t="str">
        <f aca="false">IF($A352="","",IF($J352=0,"Sem registro anterior",IF($K352&lt;21,"Histórico insuficiente",IF($J352&lt;0.8,"Subcarga",IF($J352&lt;=1.3,"Zona ideal",IF($J352&lt;=1.5,"Atenção","Risco elevado"))))))</f>
        <v/>
      </c>
      <c r="M352" s="27"/>
    </row>
    <row r="353" customFormat="false" ht="15" hidden="false" customHeight="false" outlineLevel="0" collapsed="false">
      <c r="A353" s="29"/>
      <c r="B353" s="40" t="n">
        <f aca="false">IF($A353="",0,INT(($A353-Macrociclo!$C$11)/7)+1)</f>
        <v>0</v>
      </c>
      <c r="C353" s="27"/>
      <c r="D353" s="27"/>
      <c r="E353" s="28"/>
      <c r="F353" s="28"/>
      <c r="G353" s="44" t="n">
        <f aca="false">IF(OR($E353="",$F353=""),0,$E353*$F353)</f>
        <v>0</v>
      </c>
      <c r="H353" s="44" t="n">
        <f aca="false">IF($A353="",0,SUMIFS($G$8:$G$1007,$C$8:$C$1007,$C353,$A$8:$A$1007,"&gt;="&amp;$A353-6,$A$8:$A$1007,"&lt;="&amp;$A353))</f>
        <v>0</v>
      </c>
      <c r="I353" s="44" t="n">
        <f aca="false">IF($A353="",0,SUMIFS($G$8:$G$1007,$C$8:$C$1007,$C353,$A$8:$A$1007,"&gt;="&amp;$A353-27,$A$8:$A$1007,"&lt;="&amp;$A353)/4)</f>
        <v>0</v>
      </c>
      <c r="J353" s="144" t="n">
        <f aca="false">IF(OR($A353="",$I353=0),0,$H353/$I353)</f>
        <v>0</v>
      </c>
      <c r="K353" s="40" t="n">
        <f aca="false">IF($A353="",0,$A353-SUMPRODUCT(MIN(($C$8:$C$1007=$C353)*$A$8:$A$1007+($C$8:$C$1007&lt;&gt;$C353)*100000))+1)</f>
        <v>0</v>
      </c>
      <c r="L353" s="26" t="str">
        <f aca="false">IF($A353="","",IF($J353=0,"Sem registro anterior",IF($K353&lt;21,"Histórico insuficiente",IF($J353&lt;0.8,"Subcarga",IF($J353&lt;=1.3,"Zona ideal",IF($J353&lt;=1.5,"Atenção","Risco elevado"))))))</f>
        <v/>
      </c>
      <c r="M353" s="27"/>
    </row>
    <row r="354" customFormat="false" ht="15" hidden="false" customHeight="false" outlineLevel="0" collapsed="false">
      <c r="A354" s="29"/>
      <c r="B354" s="40" t="n">
        <f aca="false">IF($A354="",0,INT(($A354-Macrociclo!$C$11)/7)+1)</f>
        <v>0</v>
      </c>
      <c r="C354" s="27"/>
      <c r="D354" s="27"/>
      <c r="E354" s="28"/>
      <c r="F354" s="28"/>
      <c r="G354" s="44" t="n">
        <f aca="false">IF(OR($E354="",$F354=""),0,$E354*$F354)</f>
        <v>0</v>
      </c>
      <c r="H354" s="44" t="n">
        <f aca="false">IF($A354="",0,SUMIFS($G$8:$G$1007,$C$8:$C$1007,$C354,$A$8:$A$1007,"&gt;="&amp;$A354-6,$A$8:$A$1007,"&lt;="&amp;$A354))</f>
        <v>0</v>
      </c>
      <c r="I354" s="44" t="n">
        <f aca="false">IF($A354="",0,SUMIFS($G$8:$G$1007,$C$8:$C$1007,$C354,$A$8:$A$1007,"&gt;="&amp;$A354-27,$A$8:$A$1007,"&lt;="&amp;$A354)/4)</f>
        <v>0</v>
      </c>
      <c r="J354" s="144" t="n">
        <f aca="false">IF(OR($A354="",$I354=0),0,$H354/$I354)</f>
        <v>0</v>
      </c>
      <c r="K354" s="40" t="n">
        <f aca="false">IF($A354="",0,$A354-SUMPRODUCT(MIN(($C$8:$C$1007=$C354)*$A$8:$A$1007+($C$8:$C$1007&lt;&gt;$C354)*100000))+1)</f>
        <v>0</v>
      </c>
      <c r="L354" s="26" t="str">
        <f aca="false">IF($A354="","",IF($J354=0,"Sem registro anterior",IF($K354&lt;21,"Histórico insuficiente",IF($J354&lt;0.8,"Subcarga",IF($J354&lt;=1.3,"Zona ideal",IF($J354&lt;=1.5,"Atenção","Risco elevado"))))))</f>
        <v/>
      </c>
      <c r="M354" s="27"/>
    </row>
    <row r="355" customFormat="false" ht="15" hidden="false" customHeight="false" outlineLevel="0" collapsed="false">
      <c r="A355" s="29"/>
      <c r="B355" s="40" t="n">
        <f aca="false">IF($A355="",0,INT(($A355-Macrociclo!$C$11)/7)+1)</f>
        <v>0</v>
      </c>
      <c r="C355" s="27"/>
      <c r="D355" s="27"/>
      <c r="E355" s="28"/>
      <c r="F355" s="28"/>
      <c r="G355" s="44" t="n">
        <f aca="false">IF(OR($E355="",$F355=""),0,$E355*$F355)</f>
        <v>0</v>
      </c>
      <c r="H355" s="44" t="n">
        <f aca="false">IF($A355="",0,SUMIFS($G$8:$G$1007,$C$8:$C$1007,$C355,$A$8:$A$1007,"&gt;="&amp;$A355-6,$A$8:$A$1007,"&lt;="&amp;$A355))</f>
        <v>0</v>
      </c>
      <c r="I355" s="44" t="n">
        <f aca="false">IF($A355="",0,SUMIFS($G$8:$G$1007,$C$8:$C$1007,$C355,$A$8:$A$1007,"&gt;="&amp;$A355-27,$A$8:$A$1007,"&lt;="&amp;$A355)/4)</f>
        <v>0</v>
      </c>
      <c r="J355" s="144" t="n">
        <f aca="false">IF(OR($A355="",$I355=0),0,$H355/$I355)</f>
        <v>0</v>
      </c>
      <c r="K355" s="40" t="n">
        <f aca="false">IF($A355="",0,$A355-SUMPRODUCT(MIN(($C$8:$C$1007=$C355)*$A$8:$A$1007+($C$8:$C$1007&lt;&gt;$C355)*100000))+1)</f>
        <v>0</v>
      </c>
      <c r="L355" s="26" t="str">
        <f aca="false">IF($A355="","",IF($J355=0,"Sem registro anterior",IF($K355&lt;21,"Histórico insuficiente",IF($J355&lt;0.8,"Subcarga",IF($J355&lt;=1.3,"Zona ideal",IF($J355&lt;=1.5,"Atenção","Risco elevado"))))))</f>
        <v/>
      </c>
      <c r="M355" s="27"/>
    </row>
    <row r="356" customFormat="false" ht="15" hidden="false" customHeight="false" outlineLevel="0" collapsed="false">
      <c r="A356" s="29"/>
      <c r="B356" s="40" t="n">
        <f aca="false">IF($A356="",0,INT(($A356-Macrociclo!$C$11)/7)+1)</f>
        <v>0</v>
      </c>
      <c r="C356" s="27"/>
      <c r="D356" s="27"/>
      <c r="E356" s="28"/>
      <c r="F356" s="28"/>
      <c r="G356" s="44" t="n">
        <f aca="false">IF(OR($E356="",$F356=""),0,$E356*$F356)</f>
        <v>0</v>
      </c>
      <c r="H356" s="44" t="n">
        <f aca="false">IF($A356="",0,SUMIFS($G$8:$G$1007,$C$8:$C$1007,$C356,$A$8:$A$1007,"&gt;="&amp;$A356-6,$A$8:$A$1007,"&lt;="&amp;$A356))</f>
        <v>0</v>
      </c>
      <c r="I356" s="44" t="n">
        <f aca="false">IF($A356="",0,SUMIFS($G$8:$G$1007,$C$8:$C$1007,$C356,$A$8:$A$1007,"&gt;="&amp;$A356-27,$A$8:$A$1007,"&lt;="&amp;$A356)/4)</f>
        <v>0</v>
      </c>
      <c r="J356" s="144" t="n">
        <f aca="false">IF(OR($A356="",$I356=0),0,$H356/$I356)</f>
        <v>0</v>
      </c>
      <c r="K356" s="40" t="n">
        <f aca="false">IF($A356="",0,$A356-SUMPRODUCT(MIN(($C$8:$C$1007=$C356)*$A$8:$A$1007+($C$8:$C$1007&lt;&gt;$C356)*100000))+1)</f>
        <v>0</v>
      </c>
      <c r="L356" s="26" t="str">
        <f aca="false">IF($A356="","",IF($J356=0,"Sem registro anterior",IF($K356&lt;21,"Histórico insuficiente",IF($J356&lt;0.8,"Subcarga",IF($J356&lt;=1.3,"Zona ideal",IF($J356&lt;=1.5,"Atenção","Risco elevado"))))))</f>
        <v/>
      </c>
      <c r="M356" s="27"/>
    </row>
    <row r="357" customFormat="false" ht="15" hidden="false" customHeight="false" outlineLevel="0" collapsed="false">
      <c r="A357" s="29"/>
      <c r="B357" s="40" t="n">
        <f aca="false">IF($A357="",0,INT(($A357-Macrociclo!$C$11)/7)+1)</f>
        <v>0</v>
      </c>
      <c r="C357" s="27"/>
      <c r="D357" s="27"/>
      <c r="E357" s="28"/>
      <c r="F357" s="28"/>
      <c r="G357" s="44" t="n">
        <f aca="false">IF(OR($E357="",$F357=""),0,$E357*$F357)</f>
        <v>0</v>
      </c>
      <c r="H357" s="44" t="n">
        <f aca="false">IF($A357="",0,SUMIFS($G$8:$G$1007,$C$8:$C$1007,$C357,$A$8:$A$1007,"&gt;="&amp;$A357-6,$A$8:$A$1007,"&lt;="&amp;$A357))</f>
        <v>0</v>
      </c>
      <c r="I357" s="44" t="n">
        <f aca="false">IF($A357="",0,SUMIFS($G$8:$G$1007,$C$8:$C$1007,$C357,$A$8:$A$1007,"&gt;="&amp;$A357-27,$A$8:$A$1007,"&lt;="&amp;$A357)/4)</f>
        <v>0</v>
      </c>
      <c r="J357" s="144" t="n">
        <f aca="false">IF(OR($A357="",$I357=0),0,$H357/$I357)</f>
        <v>0</v>
      </c>
      <c r="K357" s="40" t="n">
        <f aca="false">IF($A357="",0,$A357-SUMPRODUCT(MIN(($C$8:$C$1007=$C357)*$A$8:$A$1007+($C$8:$C$1007&lt;&gt;$C357)*100000))+1)</f>
        <v>0</v>
      </c>
      <c r="L357" s="26" t="str">
        <f aca="false">IF($A357="","",IF($J357=0,"Sem registro anterior",IF($K357&lt;21,"Histórico insuficiente",IF($J357&lt;0.8,"Subcarga",IF($J357&lt;=1.3,"Zona ideal",IF($J357&lt;=1.5,"Atenção","Risco elevado"))))))</f>
        <v/>
      </c>
      <c r="M357" s="27"/>
    </row>
    <row r="358" customFormat="false" ht="15" hidden="false" customHeight="false" outlineLevel="0" collapsed="false">
      <c r="A358" s="29"/>
      <c r="B358" s="40" t="n">
        <f aca="false">IF($A358="",0,INT(($A358-Macrociclo!$C$11)/7)+1)</f>
        <v>0</v>
      </c>
      <c r="C358" s="27"/>
      <c r="D358" s="27"/>
      <c r="E358" s="28"/>
      <c r="F358" s="28"/>
      <c r="G358" s="44" t="n">
        <f aca="false">IF(OR($E358="",$F358=""),0,$E358*$F358)</f>
        <v>0</v>
      </c>
      <c r="H358" s="44" t="n">
        <f aca="false">IF($A358="",0,SUMIFS($G$8:$G$1007,$C$8:$C$1007,$C358,$A$8:$A$1007,"&gt;="&amp;$A358-6,$A$8:$A$1007,"&lt;="&amp;$A358))</f>
        <v>0</v>
      </c>
      <c r="I358" s="44" t="n">
        <f aca="false">IF($A358="",0,SUMIFS($G$8:$G$1007,$C$8:$C$1007,$C358,$A$8:$A$1007,"&gt;="&amp;$A358-27,$A$8:$A$1007,"&lt;="&amp;$A358)/4)</f>
        <v>0</v>
      </c>
      <c r="J358" s="144" t="n">
        <f aca="false">IF(OR($A358="",$I358=0),0,$H358/$I358)</f>
        <v>0</v>
      </c>
      <c r="K358" s="40" t="n">
        <f aca="false">IF($A358="",0,$A358-SUMPRODUCT(MIN(($C$8:$C$1007=$C358)*$A$8:$A$1007+($C$8:$C$1007&lt;&gt;$C358)*100000))+1)</f>
        <v>0</v>
      </c>
      <c r="L358" s="26" t="str">
        <f aca="false">IF($A358="","",IF($J358=0,"Sem registro anterior",IF($K358&lt;21,"Histórico insuficiente",IF($J358&lt;0.8,"Subcarga",IF($J358&lt;=1.3,"Zona ideal",IF($J358&lt;=1.5,"Atenção","Risco elevado"))))))</f>
        <v/>
      </c>
      <c r="M358" s="27"/>
    </row>
    <row r="359" customFormat="false" ht="15" hidden="false" customHeight="false" outlineLevel="0" collapsed="false">
      <c r="A359" s="29"/>
      <c r="B359" s="40" t="n">
        <f aca="false">IF($A359="",0,INT(($A359-Macrociclo!$C$11)/7)+1)</f>
        <v>0</v>
      </c>
      <c r="C359" s="27"/>
      <c r="D359" s="27"/>
      <c r="E359" s="28"/>
      <c r="F359" s="28"/>
      <c r="G359" s="44" t="n">
        <f aca="false">IF(OR($E359="",$F359=""),0,$E359*$F359)</f>
        <v>0</v>
      </c>
      <c r="H359" s="44" t="n">
        <f aca="false">IF($A359="",0,SUMIFS($G$8:$G$1007,$C$8:$C$1007,$C359,$A$8:$A$1007,"&gt;="&amp;$A359-6,$A$8:$A$1007,"&lt;="&amp;$A359))</f>
        <v>0</v>
      </c>
      <c r="I359" s="44" t="n">
        <f aca="false">IF($A359="",0,SUMIFS($G$8:$G$1007,$C$8:$C$1007,$C359,$A$8:$A$1007,"&gt;="&amp;$A359-27,$A$8:$A$1007,"&lt;="&amp;$A359)/4)</f>
        <v>0</v>
      </c>
      <c r="J359" s="144" t="n">
        <f aca="false">IF(OR($A359="",$I359=0),0,$H359/$I359)</f>
        <v>0</v>
      </c>
      <c r="K359" s="40" t="n">
        <f aca="false">IF($A359="",0,$A359-SUMPRODUCT(MIN(($C$8:$C$1007=$C359)*$A$8:$A$1007+($C$8:$C$1007&lt;&gt;$C359)*100000))+1)</f>
        <v>0</v>
      </c>
      <c r="L359" s="26" t="str">
        <f aca="false">IF($A359="","",IF($J359=0,"Sem registro anterior",IF($K359&lt;21,"Histórico insuficiente",IF($J359&lt;0.8,"Subcarga",IF($J359&lt;=1.3,"Zona ideal",IF($J359&lt;=1.5,"Atenção","Risco elevado"))))))</f>
        <v/>
      </c>
      <c r="M359" s="27"/>
    </row>
    <row r="360" customFormat="false" ht="15" hidden="false" customHeight="false" outlineLevel="0" collapsed="false">
      <c r="A360" s="29"/>
      <c r="B360" s="40" t="n">
        <f aca="false">IF($A360="",0,INT(($A360-Macrociclo!$C$11)/7)+1)</f>
        <v>0</v>
      </c>
      <c r="C360" s="27"/>
      <c r="D360" s="27"/>
      <c r="E360" s="28"/>
      <c r="F360" s="28"/>
      <c r="G360" s="44" t="n">
        <f aca="false">IF(OR($E360="",$F360=""),0,$E360*$F360)</f>
        <v>0</v>
      </c>
      <c r="H360" s="44" t="n">
        <f aca="false">IF($A360="",0,SUMIFS($G$8:$G$1007,$C$8:$C$1007,$C360,$A$8:$A$1007,"&gt;="&amp;$A360-6,$A$8:$A$1007,"&lt;="&amp;$A360))</f>
        <v>0</v>
      </c>
      <c r="I360" s="44" t="n">
        <f aca="false">IF($A360="",0,SUMIFS($G$8:$G$1007,$C$8:$C$1007,$C360,$A$8:$A$1007,"&gt;="&amp;$A360-27,$A$8:$A$1007,"&lt;="&amp;$A360)/4)</f>
        <v>0</v>
      </c>
      <c r="J360" s="144" t="n">
        <f aca="false">IF(OR($A360="",$I360=0),0,$H360/$I360)</f>
        <v>0</v>
      </c>
      <c r="K360" s="40" t="n">
        <f aca="false">IF($A360="",0,$A360-SUMPRODUCT(MIN(($C$8:$C$1007=$C360)*$A$8:$A$1007+($C$8:$C$1007&lt;&gt;$C360)*100000))+1)</f>
        <v>0</v>
      </c>
      <c r="L360" s="26" t="str">
        <f aca="false">IF($A360="","",IF($J360=0,"Sem registro anterior",IF($K360&lt;21,"Histórico insuficiente",IF($J360&lt;0.8,"Subcarga",IF($J360&lt;=1.3,"Zona ideal",IF($J360&lt;=1.5,"Atenção","Risco elevado"))))))</f>
        <v/>
      </c>
      <c r="M360" s="27"/>
    </row>
    <row r="361" customFormat="false" ht="15" hidden="false" customHeight="false" outlineLevel="0" collapsed="false">
      <c r="A361" s="29"/>
      <c r="B361" s="40" t="n">
        <f aca="false">IF($A361="",0,INT(($A361-Macrociclo!$C$11)/7)+1)</f>
        <v>0</v>
      </c>
      <c r="C361" s="27"/>
      <c r="D361" s="27"/>
      <c r="E361" s="28"/>
      <c r="F361" s="28"/>
      <c r="G361" s="44" t="n">
        <f aca="false">IF(OR($E361="",$F361=""),0,$E361*$F361)</f>
        <v>0</v>
      </c>
      <c r="H361" s="44" t="n">
        <f aca="false">IF($A361="",0,SUMIFS($G$8:$G$1007,$C$8:$C$1007,$C361,$A$8:$A$1007,"&gt;="&amp;$A361-6,$A$8:$A$1007,"&lt;="&amp;$A361))</f>
        <v>0</v>
      </c>
      <c r="I361" s="44" t="n">
        <f aca="false">IF($A361="",0,SUMIFS($G$8:$G$1007,$C$8:$C$1007,$C361,$A$8:$A$1007,"&gt;="&amp;$A361-27,$A$8:$A$1007,"&lt;="&amp;$A361)/4)</f>
        <v>0</v>
      </c>
      <c r="J361" s="144" t="n">
        <f aca="false">IF(OR($A361="",$I361=0),0,$H361/$I361)</f>
        <v>0</v>
      </c>
      <c r="K361" s="40" t="n">
        <f aca="false">IF($A361="",0,$A361-SUMPRODUCT(MIN(($C$8:$C$1007=$C361)*$A$8:$A$1007+($C$8:$C$1007&lt;&gt;$C361)*100000))+1)</f>
        <v>0</v>
      </c>
      <c r="L361" s="26" t="str">
        <f aca="false">IF($A361="","",IF($J361=0,"Sem registro anterior",IF($K361&lt;21,"Histórico insuficiente",IF($J361&lt;0.8,"Subcarga",IF($J361&lt;=1.3,"Zona ideal",IF($J361&lt;=1.5,"Atenção","Risco elevado"))))))</f>
        <v/>
      </c>
      <c r="M361" s="27"/>
    </row>
    <row r="362" customFormat="false" ht="15" hidden="false" customHeight="false" outlineLevel="0" collapsed="false">
      <c r="A362" s="29"/>
      <c r="B362" s="40" t="n">
        <f aca="false">IF($A362="",0,INT(($A362-Macrociclo!$C$11)/7)+1)</f>
        <v>0</v>
      </c>
      <c r="C362" s="27"/>
      <c r="D362" s="27"/>
      <c r="E362" s="28"/>
      <c r="F362" s="28"/>
      <c r="G362" s="44" t="n">
        <f aca="false">IF(OR($E362="",$F362=""),0,$E362*$F362)</f>
        <v>0</v>
      </c>
      <c r="H362" s="44" t="n">
        <f aca="false">IF($A362="",0,SUMIFS($G$8:$G$1007,$C$8:$C$1007,$C362,$A$8:$A$1007,"&gt;="&amp;$A362-6,$A$8:$A$1007,"&lt;="&amp;$A362))</f>
        <v>0</v>
      </c>
      <c r="I362" s="44" t="n">
        <f aca="false">IF($A362="",0,SUMIFS($G$8:$G$1007,$C$8:$C$1007,$C362,$A$8:$A$1007,"&gt;="&amp;$A362-27,$A$8:$A$1007,"&lt;="&amp;$A362)/4)</f>
        <v>0</v>
      </c>
      <c r="J362" s="144" t="n">
        <f aca="false">IF(OR($A362="",$I362=0),0,$H362/$I362)</f>
        <v>0</v>
      </c>
      <c r="K362" s="40" t="n">
        <f aca="false">IF($A362="",0,$A362-SUMPRODUCT(MIN(($C$8:$C$1007=$C362)*$A$8:$A$1007+($C$8:$C$1007&lt;&gt;$C362)*100000))+1)</f>
        <v>0</v>
      </c>
      <c r="L362" s="26" t="str">
        <f aca="false">IF($A362="","",IF($J362=0,"Sem registro anterior",IF($K362&lt;21,"Histórico insuficiente",IF($J362&lt;0.8,"Subcarga",IF($J362&lt;=1.3,"Zona ideal",IF($J362&lt;=1.5,"Atenção","Risco elevado"))))))</f>
        <v/>
      </c>
      <c r="M362" s="27"/>
    </row>
    <row r="363" customFormat="false" ht="15" hidden="false" customHeight="false" outlineLevel="0" collapsed="false">
      <c r="A363" s="29"/>
      <c r="B363" s="40" t="n">
        <f aca="false">IF($A363="",0,INT(($A363-Macrociclo!$C$11)/7)+1)</f>
        <v>0</v>
      </c>
      <c r="C363" s="27"/>
      <c r="D363" s="27"/>
      <c r="E363" s="28"/>
      <c r="F363" s="28"/>
      <c r="G363" s="44" t="n">
        <f aca="false">IF(OR($E363="",$F363=""),0,$E363*$F363)</f>
        <v>0</v>
      </c>
      <c r="H363" s="44" t="n">
        <f aca="false">IF($A363="",0,SUMIFS($G$8:$G$1007,$C$8:$C$1007,$C363,$A$8:$A$1007,"&gt;="&amp;$A363-6,$A$8:$A$1007,"&lt;="&amp;$A363))</f>
        <v>0</v>
      </c>
      <c r="I363" s="44" t="n">
        <f aca="false">IF($A363="",0,SUMIFS($G$8:$G$1007,$C$8:$C$1007,$C363,$A$8:$A$1007,"&gt;="&amp;$A363-27,$A$8:$A$1007,"&lt;="&amp;$A363)/4)</f>
        <v>0</v>
      </c>
      <c r="J363" s="144" t="n">
        <f aca="false">IF(OR($A363="",$I363=0),0,$H363/$I363)</f>
        <v>0</v>
      </c>
      <c r="K363" s="40" t="n">
        <f aca="false">IF($A363="",0,$A363-SUMPRODUCT(MIN(($C$8:$C$1007=$C363)*$A$8:$A$1007+($C$8:$C$1007&lt;&gt;$C363)*100000))+1)</f>
        <v>0</v>
      </c>
      <c r="L363" s="26" t="str">
        <f aca="false">IF($A363="","",IF($J363=0,"Sem registro anterior",IF($K363&lt;21,"Histórico insuficiente",IF($J363&lt;0.8,"Subcarga",IF($J363&lt;=1.3,"Zona ideal",IF($J363&lt;=1.5,"Atenção","Risco elevado"))))))</f>
        <v/>
      </c>
      <c r="M363" s="27"/>
    </row>
    <row r="364" customFormat="false" ht="15" hidden="false" customHeight="false" outlineLevel="0" collapsed="false">
      <c r="A364" s="29"/>
      <c r="B364" s="40" t="n">
        <f aca="false">IF($A364="",0,INT(($A364-Macrociclo!$C$11)/7)+1)</f>
        <v>0</v>
      </c>
      <c r="C364" s="27"/>
      <c r="D364" s="27"/>
      <c r="E364" s="28"/>
      <c r="F364" s="28"/>
      <c r="G364" s="44" t="n">
        <f aca="false">IF(OR($E364="",$F364=""),0,$E364*$F364)</f>
        <v>0</v>
      </c>
      <c r="H364" s="44" t="n">
        <f aca="false">IF($A364="",0,SUMIFS($G$8:$G$1007,$C$8:$C$1007,$C364,$A$8:$A$1007,"&gt;="&amp;$A364-6,$A$8:$A$1007,"&lt;="&amp;$A364))</f>
        <v>0</v>
      </c>
      <c r="I364" s="44" t="n">
        <f aca="false">IF($A364="",0,SUMIFS($G$8:$G$1007,$C$8:$C$1007,$C364,$A$8:$A$1007,"&gt;="&amp;$A364-27,$A$8:$A$1007,"&lt;="&amp;$A364)/4)</f>
        <v>0</v>
      </c>
      <c r="J364" s="144" t="n">
        <f aca="false">IF(OR($A364="",$I364=0),0,$H364/$I364)</f>
        <v>0</v>
      </c>
      <c r="K364" s="40" t="n">
        <f aca="false">IF($A364="",0,$A364-SUMPRODUCT(MIN(($C$8:$C$1007=$C364)*$A$8:$A$1007+($C$8:$C$1007&lt;&gt;$C364)*100000))+1)</f>
        <v>0</v>
      </c>
      <c r="L364" s="26" t="str">
        <f aca="false">IF($A364="","",IF($J364=0,"Sem registro anterior",IF($K364&lt;21,"Histórico insuficiente",IF($J364&lt;0.8,"Subcarga",IF($J364&lt;=1.3,"Zona ideal",IF($J364&lt;=1.5,"Atenção","Risco elevado"))))))</f>
        <v/>
      </c>
      <c r="M364" s="27"/>
    </row>
    <row r="365" customFormat="false" ht="15" hidden="false" customHeight="false" outlineLevel="0" collapsed="false">
      <c r="A365" s="29"/>
      <c r="B365" s="40" t="n">
        <f aca="false">IF($A365="",0,INT(($A365-Macrociclo!$C$11)/7)+1)</f>
        <v>0</v>
      </c>
      <c r="C365" s="27"/>
      <c r="D365" s="27"/>
      <c r="E365" s="28"/>
      <c r="F365" s="28"/>
      <c r="G365" s="44" t="n">
        <f aca="false">IF(OR($E365="",$F365=""),0,$E365*$F365)</f>
        <v>0</v>
      </c>
      <c r="H365" s="44" t="n">
        <f aca="false">IF($A365="",0,SUMIFS($G$8:$G$1007,$C$8:$C$1007,$C365,$A$8:$A$1007,"&gt;="&amp;$A365-6,$A$8:$A$1007,"&lt;="&amp;$A365))</f>
        <v>0</v>
      </c>
      <c r="I365" s="44" t="n">
        <f aca="false">IF($A365="",0,SUMIFS($G$8:$G$1007,$C$8:$C$1007,$C365,$A$8:$A$1007,"&gt;="&amp;$A365-27,$A$8:$A$1007,"&lt;="&amp;$A365)/4)</f>
        <v>0</v>
      </c>
      <c r="J365" s="144" t="n">
        <f aca="false">IF(OR($A365="",$I365=0),0,$H365/$I365)</f>
        <v>0</v>
      </c>
      <c r="K365" s="40" t="n">
        <f aca="false">IF($A365="",0,$A365-SUMPRODUCT(MIN(($C$8:$C$1007=$C365)*$A$8:$A$1007+($C$8:$C$1007&lt;&gt;$C365)*100000))+1)</f>
        <v>0</v>
      </c>
      <c r="L365" s="26" t="str">
        <f aca="false">IF($A365="","",IF($J365=0,"Sem registro anterior",IF($K365&lt;21,"Histórico insuficiente",IF($J365&lt;0.8,"Subcarga",IF($J365&lt;=1.3,"Zona ideal",IF($J365&lt;=1.5,"Atenção","Risco elevado"))))))</f>
        <v/>
      </c>
      <c r="M365" s="27"/>
    </row>
    <row r="366" customFormat="false" ht="15" hidden="false" customHeight="false" outlineLevel="0" collapsed="false">
      <c r="A366" s="29"/>
      <c r="B366" s="40" t="n">
        <f aca="false">IF($A366="",0,INT(($A366-Macrociclo!$C$11)/7)+1)</f>
        <v>0</v>
      </c>
      <c r="C366" s="27"/>
      <c r="D366" s="27"/>
      <c r="E366" s="28"/>
      <c r="F366" s="28"/>
      <c r="G366" s="44" t="n">
        <f aca="false">IF(OR($E366="",$F366=""),0,$E366*$F366)</f>
        <v>0</v>
      </c>
      <c r="H366" s="44" t="n">
        <f aca="false">IF($A366="",0,SUMIFS($G$8:$G$1007,$C$8:$C$1007,$C366,$A$8:$A$1007,"&gt;="&amp;$A366-6,$A$8:$A$1007,"&lt;="&amp;$A366))</f>
        <v>0</v>
      </c>
      <c r="I366" s="44" t="n">
        <f aca="false">IF($A366="",0,SUMIFS($G$8:$G$1007,$C$8:$C$1007,$C366,$A$8:$A$1007,"&gt;="&amp;$A366-27,$A$8:$A$1007,"&lt;="&amp;$A366)/4)</f>
        <v>0</v>
      </c>
      <c r="J366" s="144" t="n">
        <f aca="false">IF(OR($A366="",$I366=0),0,$H366/$I366)</f>
        <v>0</v>
      </c>
      <c r="K366" s="40" t="n">
        <f aca="false">IF($A366="",0,$A366-SUMPRODUCT(MIN(($C$8:$C$1007=$C366)*$A$8:$A$1007+($C$8:$C$1007&lt;&gt;$C366)*100000))+1)</f>
        <v>0</v>
      </c>
      <c r="L366" s="26" t="str">
        <f aca="false">IF($A366="","",IF($J366=0,"Sem registro anterior",IF($K366&lt;21,"Histórico insuficiente",IF($J366&lt;0.8,"Subcarga",IF($J366&lt;=1.3,"Zona ideal",IF($J366&lt;=1.5,"Atenção","Risco elevado"))))))</f>
        <v/>
      </c>
      <c r="M366" s="27"/>
    </row>
    <row r="367" customFormat="false" ht="15" hidden="false" customHeight="false" outlineLevel="0" collapsed="false">
      <c r="A367" s="29"/>
      <c r="B367" s="40" t="n">
        <f aca="false">IF($A367="",0,INT(($A367-Macrociclo!$C$11)/7)+1)</f>
        <v>0</v>
      </c>
      <c r="C367" s="27"/>
      <c r="D367" s="27"/>
      <c r="E367" s="28"/>
      <c r="F367" s="28"/>
      <c r="G367" s="44" t="n">
        <f aca="false">IF(OR($E367="",$F367=""),0,$E367*$F367)</f>
        <v>0</v>
      </c>
      <c r="H367" s="44" t="n">
        <f aca="false">IF($A367="",0,SUMIFS($G$8:$G$1007,$C$8:$C$1007,$C367,$A$8:$A$1007,"&gt;="&amp;$A367-6,$A$8:$A$1007,"&lt;="&amp;$A367))</f>
        <v>0</v>
      </c>
      <c r="I367" s="44" t="n">
        <f aca="false">IF($A367="",0,SUMIFS($G$8:$G$1007,$C$8:$C$1007,$C367,$A$8:$A$1007,"&gt;="&amp;$A367-27,$A$8:$A$1007,"&lt;="&amp;$A367)/4)</f>
        <v>0</v>
      </c>
      <c r="J367" s="144" t="n">
        <f aca="false">IF(OR($A367="",$I367=0),0,$H367/$I367)</f>
        <v>0</v>
      </c>
      <c r="K367" s="40" t="n">
        <f aca="false">IF($A367="",0,$A367-SUMPRODUCT(MIN(($C$8:$C$1007=$C367)*$A$8:$A$1007+($C$8:$C$1007&lt;&gt;$C367)*100000))+1)</f>
        <v>0</v>
      </c>
      <c r="L367" s="26" t="str">
        <f aca="false">IF($A367="","",IF($J367=0,"Sem registro anterior",IF($K367&lt;21,"Histórico insuficiente",IF($J367&lt;0.8,"Subcarga",IF($J367&lt;=1.3,"Zona ideal",IF($J367&lt;=1.5,"Atenção","Risco elevado"))))))</f>
        <v/>
      </c>
      <c r="M367" s="27"/>
    </row>
    <row r="368" customFormat="false" ht="15" hidden="false" customHeight="false" outlineLevel="0" collapsed="false">
      <c r="A368" s="29"/>
      <c r="B368" s="40" t="n">
        <f aca="false">IF($A368="",0,INT(($A368-Macrociclo!$C$11)/7)+1)</f>
        <v>0</v>
      </c>
      <c r="C368" s="27"/>
      <c r="D368" s="27"/>
      <c r="E368" s="28"/>
      <c r="F368" s="28"/>
      <c r="G368" s="44" t="n">
        <f aca="false">IF(OR($E368="",$F368=""),0,$E368*$F368)</f>
        <v>0</v>
      </c>
      <c r="H368" s="44" t="n">
        <f aca="false">IF($A368="",0,SUMIFS($G$8:$G$1007,$C$8:$C$1007,$C368,$A$8:$A$1007,"&gt;="&amp;$A368-6,$A$8:$A$1007,"&lt;="&amp;$A368))</f>
        <v>0</v>
      </c>
      <c r="I368" s="44" t="n">
        <f aca="false">IF($A368="",0,SUMIFS($G$8:$G$1007,$C$8:$C$1007,$C368,$A$8:$A$1007,"&gt;="&amp;$A368-27,$A$8:$A$1007,"&lt;="&amp;$A368)/4)</f>
        <v>0</v>
      </c>
      <c r="J368" s="144" t="n">
        <f aca="false">IF(OR($A368="",$I368=0),0,$H368/$I368)</f>
        <v>0</v>
      </c>
      <c r="K368" s="40" t="n">
        <f aca="false">IF($A368="",0,$A368-SUMPRODUCT(MIN(($C$8:$C$1007=$C368)*$A$8:$A$1007+($C$8:$C$1007&lt;&gt;$C368)*100000))+1)</f>
        <v>0</v>
      </c>
      <c r="L368" s="26" t="str">
        <f aca="false">IF($A368="","",IF($J368=0,"Sem registro anterior",IF($K368&lt;21,"Histórico insuficiente",IF($J368&lt;0.8,"Subcarga",IF($J368&lt;=1.3,"Zona ideal",IF($J368&lt;=1.5,"Atenção","Risco elevado"))))))</f>
        <v/>
      </c>
      <c r="M368" s="27"/>
    </row>
    <row r="369" customFormat="false" ht="15" hidden="false" customHeight="false" outlineLevel="0" collapsed="false">
      <c r="A369" s="29"/>
      <c r="B369" s="40" t="n">
        <f aca="false">IF($A369="",0,INT(($A369-Macrociclo!$C$11)/7)+1)</f>
        <v>0</v>
      </c>
      <c r="C369" s="27"/>
      <c r="D369" s="27"/>
      <c r="E369" s="28"/>
      <c r="F369" s="28"/>
      <c r="G369" s="44" t="n">
        <f aca="false">IF(OR($E369="",$F369=""),0,$E369*$F369)</f>
        <v>0</v>
      </c>
      <c r="H369" s="44" t="n">
        <f aca="false">IF($A369="",0,SUMIFS($G$8:$G$1007,$C$8:$C$1007,$C369,$A$8:$A$1007,"&gt;="&amp;$A369-6,$A$8:$A$1007,"&lt;="&amp;$A369))</f>
        <v>0</v>
      </c>
      <c r="I369" s="44" t="n">
        <f aca="false">IF($A369="",0,SUMIFS($G$8:$G$1007,$C$8:$C$1007,$C369,$A$8:$A$1007,"&gt;="&amp;$A369-27,$A$8:$A$1007,"&lt;="&amp;$A369)/4)</f>
        <v>0</v>
      </c>
      <c r="J369" s="144" t="n">
        <f aca="false">IF(OR($A369="",$I369=0),0,$H369/$I369)</f>
        <v>0</v>
      </c>
      <c r="K369" s="40" t="n">
        <f aca="false">IF($A369="",0,$A369-SUMPRODUCT(MIN(($C$8:$C$1007=$C369)*$A$8:$A$1007+($C$8:$C$1007&lt;&gt;$C369)*100000))+1)</f>
        <v>0</v>
      </c>
      <c r="L369" s="26" t="str">
        <f aca="false">IF($A369="","",IF($J369=0,"Sem registro anterior",IF($K369&lt;21,"Histórico insuficiente",IF($J369&lt;0.8,"Subcarga",IF($J369&lt;=1.3,"Zona ideal",IF($J369&lt;=1.5,"Atenção","Risco elevado"))))))</f>
        <v/>
      </c>
      <c r="M369" s="27"/>
    </row>
    <row r="370" customFormat="false" ht="15" hidden="false" customHeight="false" outlineLevel="0" collapsed="false">
      <c r="A370" s="29"/>
      <c r="B370" s="40" t="n">
        <f aca="false">IF($A370="",0,INT(($A370-Macrociclo!$C$11)/7)+1)</f>
        <v>0</v>
      </c>
      <c r="C370" s="27"/>
      <c r="D370" s="27"/>
      <c r="E370" s="28"/>
      <c r="F370" s="28"/>
      <c r="G370" s="44" t="n">
        <f aca="false">IF(OR($E370="",$F370=""),0,$E370*$F370)</f>
        <v>0</v>
      </c>
      <c r="H370" s="44" t="n">
        <f aca="false">IF($A370="",0,SUMIFS($G$8:$G$1007,$C$8:$C$1007,$C370,$A$8:$A$1007,"&gt;="&amp;$A370-6,$A$8:$A$1007,"&lt;="&amp;$A370))</f>
        <v>0</v>
      </c>
      <c r="I370" s="44" t="n">
        <f aca="false">IF($A370="",0,SUMIFS($G$8:$G$1007,$C$8:$C$1007,$C370,$A$8:$A$1007,"&gt;="&amp;$A370-27,$A$8:$A$1007,"&lt;="&amp;$A370)/4)</f>
        <v>0</v>
      </c>
      <c r="J370" s="144" t="n">
        <f aca="false">IF(OR($A370="",$I370=0),0,$H370/$I370)</f>
        <v>0</v>
      </c>
      <c r="K370" s="40" t="n">
        <f aca="false">IF($A370="",0,$A370-SUMPRODUCT(MIN(($C$8:$C$1007=$C370)*$A$8:$A$1007+($C$8:$C$1007&lt;&gt;$C370)*100000))+1)</f>
        <v>0</v>
      </c>
      <c r="L370" s="26" t="str">
        <f aca="false">IF($A370="","",IF($J370=0,"Sem registro anterior",IF($K370&lt;21,"Histórico insuficiente",IF($J370&lt;0.8,"Subcarga",IF($J370&lt;=1.3,"Zona ideal",IF($J370&lt;=1.5,"Atenção","Risco elevado"))))))</f>
        <v/>
      </c>
      <c r="M370" s="27"/>
    </row>
    <row r="371" customFormat="false" ht="15" hidden="false" customHeight="false" outlineLevel="0" collapsed="false">
      <c r="A371" s="29"/>
      <c r="B371" s="40" t="n">
        <f aca="false">IF($A371="",0,INT(($A371-Macrociclo!$C$11)/7)+1)</f>
        <v>0</v>
      </c>
      <c r="C371" s="27"/>
      <c r="D371" s="27"/>
      <c r="E371" s="28"/>
      <c r="F371" s="28"/>
      <c r="G371" s="44" t="n">
        <f aca="false">IF(OR($E371="",$F371=""),0,$E371*$F371)</f>
        <v>0</v>
      </c>
      <c r="H371" s="44" t="n">
        <f aca="false">IF($A371="",0,SUMIFS($G$8:$G$1007,$C$8:$C$1007,$C371,$A$8:$A$1007,"&gt;="&amp;$A371-6,$A$8:$A$1007,"&lt;="&amp;$A371))</f>
        <v>0</v>
      </c>
      <c r="I371" s="44" t="n">
        <f aca="false">IF($A371="",0,SUMIFS($G$8:$G$1007,$C$8:$C$1007,$C371,$A$8:$A$1007,"&gt;="&amp;$A371-27,$A$8:$A$1007,"&lt;="&amp;$A371)/4)</f>
        <v>0</v>
      </c>
      <c r="J371" s="144" t="n">
        <f aca="false">IF(OR($A371="",$I371=0),0,$H371/$I371)</f>
        <v>0</v>
      </c>
      <c r="K371" s="40" t="n">
        <f aca="false">IF($A371="",0,$A371-SUMPRODUCT(MIN(($C$8:$C$1007=$C371)*$A$8:$A$1007+($C$8:$C$1007&lt;&gt;$C371)*100000))+1)</f>
        <v>0</v>
      </c>
      <c r="L371" s="26" t="str">
        <f aca="false">IF($A371="","",IF($J371=0,"Sem registro anterior",IF($K371&lt;21,"Histórico insuficiente",IF($J371&lt;0.8,"Subcarga",IF($J371&lt;=1.3,"Zona ideal",IF($J371&lt;=1.5,"Atenção","Risco elevado"))))))</f>
        <v/>
      </c>
      <c r="M371" s="27"/>
    </row>
    <row r="372" customFormat="false" ht="15" hidden="false" customHeight="false" outlineLevel="0" collapsed="false">
      <c r="A372" s="29"/>
      <c r="B372" s="40" t="n">
        <f aca="false">IF($A372="",0,INT(($A372-Macrociclo!$C$11)/7)+1)</f>
        <v>0</v>
      </c>
      <c r="C372" s="27"/>
      <c r="D372" s="27"/>
      <c r="E372" s="28"/>
      <c r="F372" s="28"/>
      <c r="G372" s="44" t="n">
        <f aca="false">IF(OR($E372="",$F372=""),0,$E372*$F372)</f>
        <v>0</v>
      </c>
      <c r="H372" s="44" t="n">
        <f aca="false">IF($A372="",0,SUMIFS($G$8:$G$1007,$C$8:$C$1007,$C372,$A$8:$A$1007,"&gt;="&amp;$A372-6,$A$8:$A$1007,"&lt;="&amp;$A372))</f>
        <v>0</v>
      </c>
      <c r="I372" s="44" t="n">
        <f aca="false">IF($A372="",0,SUMIFS($G$8:$G$1007,$C$8:$C$1007,$C372,$A$8:$A$1007,"&gt;="&amp;$A372-27,$A$8:$A$1007,"&lt;="&amp;$A372)/4)</f>
        <v>0</v>
      </c>
      <c r="J372" s="144" t="n">
        <f aca="false">IF(OR($A372="",$I372=0),0,$H372/$I372)</f>
        <v>0</v>
      </c>
      <c r="K372" s="40" t="n">
        <f aca="false">IF($A372="",0,$A372-SUMPRODUCT(MIN(($C$8:$C$1007=$C372)*$A$8:$A$1007+($C$8:$C$1007&lt;&gt;$C372)*100000))+1)</f>
        <v>0</v>
      </c>
      <c r="L372" s="26" t="str">
        <f aca="false">IF($A372="","",IF($J372=0,"Sem registro anterior",IF($K372&lt;21,"Histórico insuficiente",IF($J372&lt;0.8,"Subcarga",IF($J372&lt;=1.3,"Zona ideal",IF($J372&lt;=1.5,"Atenção","Risco elevado"))))))</f>
        <v/>
      </c>
      <c r="M372" s="27"/>
    </row>
    <row r="373" customFormat="false" ht="15" hidden="false" customHeight="false" outlineLevel="0" collapsed="false">
      <c r="A373" s="29"/>
      <c r="B373" s="40" t="n">
        <f aca="false">IF($A373="",0,INT(($A373-Macrociclo!$C$11)/7)+1)</f>
        <v>0</v>
      </c>
      <c r="C373" s="27"/>
      <c r="D373" s="27"/>
      <c r="E373" s="28"/>
      <c r="F373" s="28"/>
      <c r="G373" s="44" t="n">
        <f aca="false">IF(OR($E373="",$F373=""),0,$E373*$F373)</f>
        <v>0</v>
      </c>
      <c r="H373" s="44" t="n">
        <f aca="false">IF($A373="",0,SUMIFS($G$8:$G$1007,$C$8:$C$1007,$C373,$A$8:$A$1007,"&gt;="&amp;$A373-6,$A$8:$A$1007,"&lt;="&amp;$A373))</f>
        <v>0</v>
      </c>
      <c r="I373" s="44" t="n">
        <f aca="false">IF($A373="",0,SUMIFS($G$8:$G$1007,$C$8:$C$1007,$C373,$A$8:$A$1007,"&gt;="&amp;$A373-27,$A$8:$A$1007,"&lt;="&amp;$A373)/4)</f>
        <v>0</v>
      </c>
      <c r="J373" s="144" t="n">
        <f aca="false">IF(OR($A373="",$I373=0),0,$H373/$I373)</f>
        <v>0</v>
      </c>
      <c r="K373" s="40" t="n">
        <f aca="false">IF($A373="",0,$A373-SUMPRODUCT(MIN(($C$8:$C$1007=$C373)*$A$8:$A$1007+($C$8:$C$1007&lt;&gt;$C373)*100000))+1)</f>
        <v>0</v>
      </c>
      <c r="L373" s="26" t="str">
        <f aca="false">IF($A373="","",IF($J373=0,"Sem registro anterior",IF($K373&lt;21,"Histórico insuficiente",IF($J373&lt;0.8,"Subcarga",IF($J373&lt;=1.3,"Zona ideal",IF($J373&lt;=1.5,"Atenção","Risco elevado"))))))</f>
        <v/>
      </c>
      <c r="M373" s="27"/>
    </row>
    <row r="374" customFormat="false" ht="15" hidden="false" customHeight="false" outlineLevel="0" collapsed="false">
      <c r="A374" s="29"/>
      <c r="B374" s="40" t="n">
        <f aca="false">IF($A374="",0,INT(($A374-Macrociclo!$C$11)/7)+1)</f>
        <v>0</v>
      </c>
      <c r="C374" s="27"/>
      <c r="D374" s="27"/>
      <c r="E374" s="28"/>
      <c r="F374" s="28"/>
      <c r="G374" s="44" t="n">
        <f aca="false">IF(OR($E374="",$F374=""),0,$E374*$F374)</f>
        <v>0</v>
      </c>
      <c r="H374" s="44" t="n">
        <f aca="false">IF($A374="",0,SUMIFS($G$8:$G$1007,$C$8:$C$1007,$C374,$A$8:$A$1007,"&gt;="&amp;$A374-6,$A$8:$A$1007,"&lt;="&amp;$A374))</f>
        <v>0</v>
      </c>
      <c r="I374" s="44" t="n">
        <f aca="false">IF($A374="",0,SUMIFS($G$8:$G$1007,$C$8:$C$1007,$C374,$A$8:$A$1007,"&gt;="&amp;$A374-27,$A$8:$A$1007,"&lt;="&amp;$A374)/4)</f>
        <v>0</v>
      </c>
      <c r="J374" s="144" t="n">
        <f aca="false">IF(OR($A374="",$I374=0),0,$H374/$I374)</f>
        <v>0</v>
      </c>
      <c r="K374" s="40" t="n">
        <f aca="false">IF($A374="",0,$A374-SUMPRODUCT(MIN(($C$8:$C$1007=$C374)*$A$8:$A$1007+($C$8:$C$1007&lt;&gt;$C374)*100000))+1)</f>
        <v>0</v>
      </c>
      <c r="L374" s="26" t="str">
        <f aca="false">IF($A374="","",IF($J374=0,"Sem registro anterior",IF($K374&lt;21,"Histórico insuficiente",IF($J374&lt;0.8,"Subcarga",IF($J374&lt;=1.3,"Zona ideal",IF($J374&lt;=1.5,"Atenção","Risco elevado"))))))</f>
        <v/>
      </c>
      <c r="M374" s="27"/>
    </row>
    <row r="375" customFormat="false" ht="15" hidden="false" customHeight="false" outlineLevel="0" collapsed="false">
      <c r="A375" s="29"/>
      <c r="B375" s="40" t="n">
        <f aca="false">IF($A375="",0,INT(($A375-Macrociclo!$C$11)/7)+1)</f>
        <v>0</v>
      </c>
      <c r="C375" s="27"/>
      <c r="D375" s="27"/>
      <c r="E375" s="28"/>
      <c r="F375" s="28"/>
      <c r="G375" s="44" t="n">
        <f aca="false">IF(OR($E375="",$F375=""),0,$E375*$F375)</f>
        <v>0</v>
      </c>
      <c r="H375" s="44" t="n">
        <f aca="false">IF($A375="",0,SUMIFS($G$8:$G$1007,$C$8:$C$1007,$C375,$A$8:$A$1007,"&gt;="&amp;$A375-6,$A$8:$A$1007,"&lt;="&amp;$A375))</f>
        <v>0</v>
      </c>
      <c r="I375" s="44" t="n">
        <f aca="false">IF($A375="",0,SUMIFS($G$8:$G$1007,$C$8:$C$1007,$C375,$A$8:$A$1007,"&gt;="&amp;$A375-27,$A$8:$A$1007,"&lt;="&amp;$A375)/4)</f>
        <v>0</v>
      </c>
      <c r="J375" s="144" t="n">
        <f aca="false">IF(OR($A375="",$I375=0),0,$H375/$I375)</f>
        <v>0</v>
      </c>
      <c r="K375" s="40" t="n">
        <f aca="false">IF($A375="",0,$A375-SUMPRODUCT(MIN(($C$8:$C$1007=$C375)*$A$8:$A$1007+($C$8:$C$1007&lt;&gt;$C375)*100000))+1)</f>
        <v>0</v>
      </c>
      <c r="L375" s="26" t="str">
        <f aca="false">IF($A375="","",IF($J375=0,"Sem registro anterior",IF($K375&lt;21,"Histórico insuficiente",IF($J375&lt;0.8,"Subcarga",IF($J375&lt;=1.3,"Zona ideal",IF($J375&lt;=1.5,"Atenção","Risco elevado"))))))</f>
        <v/>
      </c>
      <c r="M375" s="27"/>
    </row>
    <row r="376" customFormat="false" ht="15" hidden="false" customHeight="false" outlineLevel="0" collapsed="false">
      <c r="A376" s="29"/>
      <c r="B376" s="40" t="n">
        <f aca="false">IF($A376="",0,INT(($A376-Macrociclo!$C$11)/7)+1)</f>
        <v>0</v>
      </c>
      <c r="C376" s="27"/>
      <c r="D376" s="27"/>
      <c r="E376" s="28"/>
      <c r="F376" s="28"/>
      <c r="G376" s="44" t="n">
        <f aca="false">IF(OR($E376="",$F376=""),0,$E376*$F376)</f>
        <v>0</v>
      </c>
      <c r="H376" s="44" t="n">
        <f aca="false">IF($A376="",0,SUMIFS($G$8:$G$1007,$C$8:$C$1007,$C376,$A$8:$A$1007,"&gt;="&amp;$A376-6,$A$8:$A$1007,"&lt;="&amp;$A376))</f>
        <v>0</v>
      </c>
      <c r="I376" s="44" t="n">
        <f aca="false">IF($A376="",0,SUMIFS($G$8:$G$1007,$C$8:$C$1007,$C376,$A$8:$A$1007,"&gt;="&amp;$A376-27,$A$8:$A$1007,"&lt;="&amp;$A376)/4)</f>
        <v>0</v>
      </c>
      <c r="J376" s="144" t="n">
        <f aca="false">IF(OR($A376="",$I376=0),0,$H376/$I376)</f>
        <v>0</v>
      </c>
      <c r="K376" s="40" t="n">
        <f aca="false">IF($A376="",0,$A376-SUMPRODUCT(MIN(($C$8:$C$1007=$C376)*$A$8:$A$1007+($C$8:$C$1007&lt;&gt;$C376)*100000))+1)</f>
        <v>0</v>
      </c>
      <c r="L376" s="26" t="str">
        <f aca="false">IF($A376="","",IF($J376=0,"Sem registro anterior",IF($K376&lt;21,"Histórico insuficiente",IF($J376&lt;0.8,"Subcarga",IF($J376&lt;=1.3,"Zona ideal",IF($J376&lt;=1.5,"Atenção","Risco elevado"))))))</f>
        <v/>
      </c>
      <c r="M376" s="27"/>
    </row>
    <row r="377" customFormat="false" ht="15" hidden="false" customHeight="false" outlineLevel="0" collapsed="false">
      <c r="A377" s="29"/>
      <c r="B377" s="40" t="n">
        <f aca="false">IF($A377="",0,INT(($A377-Macrociclo!$C$11)/7)+1)</f>
        <v>0</v>
      </c>
      <c r="C377" s="27"/>
      <c r="D377" s="27"/>
      <c r="E377" s="28"/>
      <c r="F377" s="28"/>
      <c r="G377" s="44" t="n">
        <f aca="false">IF(OR($E377="",$F377=""),0,$E377*$F377)</f>
        <v>0</v>
      </c>
      <c r="H377" s="44" t="n">
        <f aca="false">IF($A377="",0,SUMIFS($G$8:$G$1007,$C$8:$C$1007,$C377,$A$8:$A$1007,"&gt;="&amp;$A377-6,$A$8:$A$1007,"&lt;="&amp;$A377))</f>
        <v>0</v>
      </c>
      <c r="I377" s="44" t="n">
        <f aca="false">IF($A377="",0,SUMIFS($G$8:$G$1007,$C$8:$C$1007,$C377,$A$8:$A$1007,"&gt;="&amp;$A377-27,$A$8:$A$1007,"&lt;="&amp;$A377)/4)</f>
        <v>0</v>
      </c>
      <c r="J377" s="144" t="n">
        <f aca="false">IF(OR($A377="",$I377=0),0,$H377/$I377)</f>
        <v>0</v>
      </c>
      <c r="K377" s="40" t="n">
        <f aca="false">IF($A377="",0,$A377-SUMPRODUCT(MIN(($C$8:$C$1007=$C377)*$A$8:$A$1007+($C$8:$C$1007&lt;&gt;$C377)*100000))+1)</f>
        <v>0</v>
      </c>
      <c r="L377" s="26" t="str">
        <f aca="false">IF($A377="","",IF($J377=0,"Sem registro anterior",IF($K377&lt;21,"Histórico insuficiente",IF($J377&lt;0.8,"Subcarga",IF($J377&lt;=1.3,"Zona ideal",IF($J377&lt;=1.5,"Atenção","Risco elevado"))))))</f>
        <v/>
      </c>
      <c r="M377" s="27"/>
    </row>
    <row r="378" customFormat="false" ht="15" hidden="false" customHeight="false" outlineLevel="0" collapsed="false">
      <c r="A378" s="29"/>
      <c r="B378" s="40" t="n">
        <f aca="false">IF($A378="",0,INT(($A378-Macrociclo!$C$11)/7)+1)</f>
        <v>0</v>
      </c>
      <c r="C378" s="27"/>
      <c r="D378" s="27"/>
      <c r="E378" s="28"/>
      <c r="F378" s="28"/>
      <c r="G378" s="44" t="n">
        <f aca="false">IF(OR($E378="",$F378=""),0,$E378*$F378)</f>
        <v>0</v>
      </c>
      <c r="H378" s="44" t="n">
        <f aca="false">IF($A378="",0,SUMIFS($G$8:$G$1007,$C$8:$C$1007,$C378,$A$8:$A$1007,"&gt;="&amp;$A378-6,$A$8:$A$1007,"&lt;="&amp;$A378))</f>
        <v>0</v>
      </c>
      <c r="I378" s="44" t="n">
        <f aca="false">IF($A378="",0,SUMIFS($G$8:$G$1007,$C$8:$C$1007,$C378,$A$8:$A$1007,"&gt;="&amp;$A378-27,$A$8:$A$1007,"&lt;="&amp;$A378)/4)</f>
        <v>0</v>
      </c>
      <c r="J378" s="144" t="n">
        <f aca="false">IF(OR($A378="",$I378=0),0,$H378/$I378)</f>
        <v>0</v>
      </c>
      <c r="K378" s="40" t="n">
        <f aca="false">IF($A378="",0,$A378-SUMPRODUCT(MIN(($C$8:$C$1007=$C378)*$A$8:$A$1007+($C$8:$C$1007&lt;&gt;$C378)*100000))+1)</f>
        <v>0</v>
      </c>
      <c r="L378" s="26" t="str">
        <f aca="false">IF($A378="","",IF($J378=0,"Sem registro anterior",IF($K378&lt;21,"Histórico insuficiente",IF($J378&lt;0.8,"Subcarga",IF($J378&lt;=1.3,"Zona ideal",IF($J378&lt;=1.5,"Atenção","Risco elevado"))))))</f>
        <v/>
      </c>
      <c r="M378" s="27"/>
    </row>
    <row r="379" customFormat="false" ht="15" hidden="false" customHeight="false" outlineLevel="0" collapsed="false">
      <c r="A379" s="29"/>
      <c r="B379" s="40" t="n">
        <f aca="false">IF($A379="",0,INT(($A379-Macrociclo!$C$11)/7)+1)</f>
        <v>0</v>
      </c>
      <c r="C379" s="27"/>
      <c r="D379" s="27"/>
      <c r="E379" s="28"/>
      <c r="F379" s="28"/>
      <c r="G379" s="44" t="n">
        <f aca="false">IF(OR($E379="",$F379=""),0,$E379*$F379)</f>
        <v>0</v>
      </c>
      <c r="H379" s="44" t="n">
        <f aca="false">IF($A379="",0,SUMIFS($G$8:$G$1007,$C$8:$C$1007,$C379,$A$8:$A$1007,"&gt;="&amp;$A379-6,$A$8:$A$1007,"&lt;="&amp;$A379))</f>
        <v>0</v>
      </c>
      <c r="I379" s="44" t="n">
        <f aca="false">IF($A379="",0,SUMIFS($G$8:$G$1007,$C$8:$C$1007,$C379,$A$8:$A$1007,"&gt;="&amp;$A379-27,$A$8:$A$1007,"&lt;="&amp;$A379)/4)</f>
        <v>0</v>
      </c>
      <c r="J379" s="144" t="n">
        <f aca="false">IF(OR($A379="",$I379=0),0,$H379/$I379)</f>
        <v>0</v>
      </c>
      <c r="K379" s="40" t="n">
        <f aca="false">IF($A379="",0,$A379-SUMPRODUCT(MIN(($C$8:$C$1007=$C379)*$A$8:$A$1007+($C$8:$C$1007&lt;&gt;$C379)*100000))+1)</f>
        <v>0</v>
      </c>
      <c r="L379" s="26" t="str">
        <f aca="false">IF($A379="","",IF($J379=0,"Sem registro anterior",IF($K379&lt;21,"Histórico insuficiente",IF($J379&lt;0.8,"Subcarga",IF($J379&lt;=1.3,"Zona ideal",IF($J379&lt;=1.5,"Atenção","Risco elevado"))))))</f>
        <v/>
      </c>
      <c r="M379" s="27"/>
    </row>
    <row r="380" customFormat="false" ht="15" hidden="false" customHeight="false" outlineLevel="0" collapsed="false">
      <c r="A380" s="29"/>
      <c r="B380" s="40" t="n">
        <f aca="false">IF($A380="",0,INT(($A380-Macrociclo!$C$11)/7)+1)</f>
        <v>0</v>
      </c>
      <c r="C380" s="27"/>
      <c r="D380" s="27"/>
      <c r="E380" s="28"/>
      <c r="F380" s="28"/>
      <c r="G380" s="44" t="n">
        <f aca="false">IF(OR($E380="",$F380=""),0,$E380*$F380)</f>
        <v>0</v>
      </c>
      <c r="H380" s="44" t="n">
        <f aca="false">IF($A380="",0,SUMIFS($G$8:$G$1007,$C$8:$C$1007,$C380,$A$8:$A$1007,"&gt;="&amp;$A380-6,$A$8:$A$1007,"&lt;="&amp;$A380))</f>
        <v>0</v>
      </c>
      <c r="I380" s="44" t="n">
        <f aca="false">IF($A380="",0,SUMIFS($G$8:$G$1007,$C$8:$C$1007,$C380,$A$8:$A$1007,"&gt;="&amp;$A380-27,$A$8:$A$1007,"&lt;="&amp;$A380)/4)</f>
        <v>0</v>
      </c>
      <c r="J380" s="144" t="n">
        <f aca="false">IF(OR($A380="",$I380=0),0,$H380/$I380)</f>
        <v>0</v>
      </c>
      <c r="K380" s="40" t="n">
        <f aca="false">IF($A380="",0,$A380-SUMPRODUCT(MIN(($C$8:$C$1007=$C380)*$A$8:$A$1007+($C$8:$C$1007&lt;&gt;$C380)*100000))+1)</f>
        <v>0</v>
      </c>
      <c r="L380" s="26" t="str">
        <f aca="false">IF($A380="","",IF($J380=0,"Sem registro anterior",IF($K380&lt;21,"Histórico insuficiente",IF($J380&lt;0.8,"Subcarga",IF($J380&lt;=1.3,"Zona ideal",IF($J380&lt;=1.5,"Atenção","Risco elevado"))))))</f>
        <v/>
      </c>
      <c r="M380" s="27"/>
    </row>
    <row r="381" customFormat="false" ht="15" hidden="false" customHeight="false" outlineLevel="0" collapsed="false">
      <c r="A381" s="29"/>
      <c r="B381" s="40" t="n">
        <f aca="false">IF($A381="",0,INT(($A381-Macrociclo!$C$11)/7)+1)</f>
        <v>0</v>
      </c>
      <c r="C381" s="27"/>
      <c r="D381" s="27"/>
      <c r="E381" s="28"/>
      <c r="F381" s="28"/>
      <c r="G381" s="44" t="n">
        <f aca="false">IF(OR($E381="",$F381=""),0,$E381*$F381)</f>
        <v>0</v>
      </c>
      <c r="H381" s="44" t="n">
        <f aca="false">IF($A381="",0,SUMIFS($G$8:$G$1007,$C$8:$C$1007,$C381,$A$8:$A$1007,"&gt;="&amp;$A381-6,$A$8:$A$1007,"&lt;="&amp;$A381))</f>
        <v>0</v>
      </c>
      <c r="I381" s="44" t="n">
        <f aca="false">IF($A381="",0,SUMIFS($G$8:$G$1007,$C$8:$C$1007,$C381,$A$8:$A$1007,"&gt;="&amp;$A381-27,$A$8:$A$1007,"&lt;="&amp;$A381)/4)</f>
        <v>0</v>
      </c>
      <c r="J381" s="144" t="n">
        <f aca="false">IF(OR($A381="",$I381=0),0,$H381/$I381)</f>
        <v>0</v>
      </c>
      <c r="K381" s="40" t="n">
        <f aca="false">IF($A381="",0,$A381-SUMPRODUCT(MIN(($C$8:$C$1007=$C381)*$A$8:$A$1007+($C$8:$C$1007&lt;&gt;$C381)*100000))+1)</f>
        <v>0</v>
      </c>
      <c r="L381" s="26" t="str">
        <f aca="false">IF($A381="","",IF($J381=0,"Sem registro anterior",IF($K381&lt;21,"Histórico insuficiente",IF($J381&lt;0.8,"Subcarga",IF($J381&lt;=1.3,"Zona ideal",IF($J381&lt;=1.5,"Atenção","Risco elevado"))))))</f>
        <v/>
      </c>
      <c r="M381" s="27"/>
    </row>
    <row r="382" customFormat="false" ht="15" hidden="false" customHeight="false" outlineLevel="0" collapsed="false">
      <c r="A382" s="29"/>
      <c r="B382" s="40" t="n">
        <f aca="false">IF($A382="",0,INT(($A382-Macrociclo!$C$11)/7)+1)</f>
        <v>0</v>
      </c>
      <c r="C382" s="27"/>
      <c r="D382" s="27"/>
      <c r="E382" s="28"/>
      <c r="F382" s="28"/>
      <c r="G382" s="44" t="n">
        <f aca="false">IF(OR($E382="",$F382=""),0,$E382*$F382)</f>
        <v>0</v>
      </c>
      <c r="H382" s="44" t="n">
        <f aca="false">IF($A382="",0,SUMIFS($G$8:$G$1007,$C$8:$C$1007,$C382,$A$8:$A$1007,"&gt;="&amp;$A382-6,$A$8:$A$1007,"&lt;="&amp;$A382))</f>
        <v>0</v>
      </c>
      <c r="I382" s="44" t="n">
        <f aca="false">IF($A382="",0,SUMIFS($G$8:$G$1007,$C$8:$C$1007,$C382,$A$8:$A$1007,"&gt;="&amp;$A382-27,$A$8:$A$1007,"&lt;="&amp;$A382)/4)</f>
        <v>0</v>
      </c>
      <c r="J382" s="144" t="n">
        <f aca="false">IF(OR($A382="",$I382=0),0,$H382/$I382)</f>
        <v>0</v>
      </c>
      <c r="K382" s="40" t="n">
        <f aca="false">IF($A382="",0,$A382-SUMPRODUCT(MIN(($C$8:$C$1007=$C382)*$A$8:$A$1007+($C$8:$C$1007&lt;&gt;$C382)*100000))+1)</f>
        <v>0</v>
      </c>
      <c r="L382" s="26" t="str">
        <f aca="false">IF($A382="","",IF($J382=0,"Sem registro anterior",IF($K382&lt;21,"Histórico insuficiente",IF($J382&lt;0.8,"Subcarga",IF($J382&lt;=1.3,"Zona ideal",IF($J382&lt;=1.5,"Atenção","Risco elevado"))))))</f>
        <v/>
      </c>
      <c r="M382" s="27"/>
    </row>
    <row r="383" customFormat="false" ht="15" hidden="false" customHeight="false" outlineLevel="0" collapsed="false">
      <c r="A383" s="29"/>
      <c r="B383" s="40" t="n">
        <f aca="false">IF($A383="",0,INT(($A383-Macrociclo!$C$11)/7)+1)</f>
        <v>0</v>
      </c>
      <c r="C383" s="27"/>
      <c r="D383" s="27"/>
      <c r="E383" s="28"/>
      <c r="F383" s="28"/>
      <c r="G383" s="44" t="n">
        <f aca="false">IF(OR($E383="",$F383=""),0,$E383*$F383)</f>
        <v>0</v>
      </c>
      <c r="H383" s="44" t="n">
        <f aca="false">IF($A383="",0,SUMIFS($G$8:$G$1007,$C$8:$C$1007,$C383,$A$8:$A$1007,"&gt;="&amp;$A383-6,$A$8:$A$1007,"&lt;="&amp;$A383))</f>
        <v>0</v>
      </c>
      <c r="I383" s="44" t="n">
        <f aca="false">IF($A383="",0,SUMIFS($G$8:$G$1007,$C$8:$C$1007,$C383,$A$8:$A$1007,"&gt;="&amp;$A383-27,$A$8:$A$1007,"&lt;="&amp;$A383)/4)</f>
        <v>0</v>
      </c>
      <c r="J383" s="144" t="n">
        <f aca="false">IF(OR($A383="",$I383=0),0,$H383/$I383)</f>
        <v>0</v>
      </c>
      <c r="K383" s="40" t="n">
        <f aca="false">IF($A383="",0,$A383-SUMPRODUCT(MIN(($C$8:$C$1007=$C383)*$A$8:$A$1007+($C$8:$C$1007&lt;&gt;$C383)*100000))+1)</f>
        <v>0</v>
      </c>
      <c r="L383" s="26" t="str">
        <f aca="false">IF($A383="","",IF($J383=0,"Sem registro anterior",IF($K383&lt;21,"Histórico insuficiente",IF($J383&lt;0.8,"Subcarga",IF($J383&lt;=1.3,"Zona ideal",IF($J383&lt;=1.5,"Atenção","Risco elevado"))))))</f>
        <v/>
      </c>
      <c r="M383" s="27"/>
    </row>
    <row r="384" customFormat="false" ht="15" hidden="false" customHeight="false" outlineLevel="0" collapsed="false">
      <c r="A384" s="29"/>
      <c r="B384" s="40" t="n">
        <f aca="false">IF($A384="",0,INT(($A384-Macrociclo!$C$11)/7)+1)</f>
        <v>0</v>
      </c>
      <c r="C384" s="27"/>
      <c r="D384" s="27"/>
      <c r="E384" s="28"/>
      <c r="F384" s="28"/>
      <c r="G384" s="44" t="n">
        <f aca="false">IF(OR($E384="",$F384=""),0,$E384*$F384)</f>
        <v>0</v>
      </c>
      <c r="H384" s="44" t="n">
        <f aca="false">IF($A384="",0,SUMIFS($G$8:$G$1007,$C$8:$C$1007,$C384,$A$8:$A$1007,"&gt;="&amp;$A384-6,$A$8:$A$1007,"&lt;="&amp;$A384))</f>
        <v>0</v>
      </c>
      <c r="I384" s="44" t="n">
        <f aca="false">IF($A384="",0,SUMIFS($G$8:$G$1007,$C$8:$C$1007,$C384,$A$8:$A$1007,"&gt;="&amp;$A384-27,$A$8:$A$1007,"&lt;="&amp;$A384)/4)</f>
        <v>0</v>
      </c>
      <c r="J384" s="144" t="n">
        <f aca="false">IF(OR($A384="",$I384=0),0,$H384/$I384)</f>
        <v>0</v>
      </c>
      <c r="K384" s="40" t="n">
        <f aca="false">IF($A384="",0,$A384-SUMPRODUCT(MIN(($C$8:$C$1007=$C384)*$A$8:$A$1007+($C$8:$C$1007&lt;&gt;$C384)*100000))+1)</f>
        <v>0</v>
      </c>
      <c r="L384" s="26" t="str">
        <f aca="false">IF($A384="","",IF($J384=0,"Sem registro anterior",IF($K384&lt;21,"Histórico insuficiente",IF($J384&lt;0.8,"Subcarga",IF($J384&lt;=1.3,"Zona ideal",IF($J384&lt;=1.5,"Atenção","Risco elevado"))))))</f>
        <v/>
      </c>
      <c r="M384" s="27"/>
    </row>
    <row r="385" customFormat="false" ht="15" hidden="false" customHeight="false" outlineLevel="0" collapsed="false">
      <c r="A385" s="29"/>
      <c r="B385" s="40" t="n">
        <f aca="false">IF($A385="",0,INT(($A385-Macrociclo!$C$11)/7)+1)</f>
        <v>0</v>
      </c>
      <c r="C385" s="27"/>
      <c r="D385" s="27"/>
      <c r="E385" s="28"/>
      <c r="F385" s="28"/>
      <c r="G385" s="44" t="n">
        <f aca="false">IF(OR($E385="",$F385=""),0,$E385*$F385)</f>
        <v>0</v>
      </c>
      <c r="H385" s="44" t="n">
        <f aca="false">IF($A385="",0,SUMIFS($G$8:$G$1007,$C$8:$C$1007,$C385,$A$8:$A$1007,"&gt;="&amp;$A385-6,$A$8:$A$1007,"&lt;="&amp;$A385))</f>
        <v>0</v>
      </c>
      <c r="I385" s="44" t="n">
        <f aca="false">IF($A385="",0,SUMIFS($G$8:$G$1007,$C$8:$C$1007,$C385,$A$8:$A$1007,"&gt;="&amp;$A385-27,$A$8:$A$1007,"&lt;="&amp;$A385)/4)</f>
        <v>0</v>
      </c>
      <c r="J385" s="144" t="n">
        <f aca="false">IF(OR($A385="",$I385=0),0,$H385/$I385)</f>
        <v>0</v>
      </c>
      <c r="K385" s="40" t="n">
        <f aca="false">IF($A385="",0,$A385-SUMPRODUCT(MIN(($C$8:$C$1007=$C385)*$A$8:$A$1007+($C$8:$C$1007&lt;&gt;$C385)*100000))+1)</f>
        <v>0</v>
      </c>
      <c r="L385" s="26" t="str">
        <f aca="false">IF($A385="","",IF($J385=0,"Sem registro anterior",IF($K385&lt;21,"Histórico insuficiente",IF($J385&lt;0.8,"Subcarga",IF($J385&lt;=1.3,"Zona ideal",IF($J385&lt;=1.5,"Atenção","Risco elevado"))))))</f>
        <v/>
      </c>
      <c r="M385" s="27"/>
    </row>
    <row r="386" customFormat="false" ht="15" hidden="false" customHeight="false" outlineLevel="0" collapsed="false">
      <c r="A386" s="29"/>
      <c r="B386" s="40" t="n">
        <f aca="false">IF($A386="",0,INT(($A386-Macrociclo!$C$11)/7)+1)</f>
        <v>0</v>
      </c>
      <c r="C386" s="27"/>
      <c r="D386" s="27"/>
      <c r="E386" s="28"/>
      <c r="F386" s="28"/>
      <c r="G386" s="44" t="n">
        <f aca="false">IF(OR($E386="",$F386=""),0,$E386*$F386)</f>
        <v>0</v>
      </c>
      <c r="H386" s="44" t="n">
        <f aca="false">IF($A386="",0,SUMIFS($G$8:$G$1007,$C$8:$C$1007,$C386,$A$8:$A$1007,"&gt;="&amp;$A386-6,$A$8:$A$1007,"&lt;="&amp;$A386))</f>
        <v>0</v>
      </c>
      <c r="I386" s="44" t="n">
        <f aca="false">IF($A386="",0,SUMIFS($G$8:$G$1007,$C$8:$C$1007,$C386,$A$8:$A$1007,"&gt;="&amp;$A386-27,$A$8:$A$1007,"&lt;="&amp;$A386)/4)</f>
        <v>0</v>
      </c>
      <c r="J386" s="144" t="n">
        <f aca="false">IF(OR($A386="",$I386=0),0,$H386/$I386)</f>
        <v>0</v>
      </c>
      <c r="K386" s="40" t="n">
        <f aca="false">IF($A386="",0,$A386-SUMPRODUCT(MIN(($C$8:$C$1007=$C386)*$A$8:$A$1007+($C$8:$C$1007&lt;&gt;$C386)*100000))+1)</f>
        <v>0</v>
      </c>
      <c r="L386" s="26" t="str">
        <f aca="false">IF($A386="","",IF($J386=0,"Sem registro anterior",IF($K386&lt;21,"Histórico insuficiente",IF($J386&lt;0.8,"Subcarga",IF($J386&lt;=1.3,"Zona ideal",IF($J386&lt;=1.5,"Atenção","Risco elevado"))))))</f>
        <v/>
      </c>
      <c r="M386" s="27"/>
    </row>
    <row r="387" customFormat="false" ht="15" hidden="false" customHeight="false" outlineLevel="0" collapsed="false">
      <c r="A387" s="29"/>
      <c r="B387" s="40" t="n">
        <f aca="false">IF($A387="",0,INT(($A387-Macrociclo!$C$11)/7)+1)</f>
        <v>0</v>
      </c>
      <c r="C387" s="27"/>
      <c r="D387" s="27"/>
      <c r="E387" s="28"/>
      <c r="F387" s="28"/>
      <c r="G387" s="44" t="n">
        <f aca="false">IF(OR($E387="",$F387=""),0,$E387*$F387)</f>
        <v>0</v>
      </c>
      <c r="H387" s="44" t="n">
        <f aca="false">IF($A387="",0,SUMIFS($G$8:$G$1007,$C$8:$C$1007,$C387,$A$8:$A$1007,"&gt;="&amp;$A387-6,$A$8:$A$1007,"&lt;="&amp;$A387))</f>
        <v>0</v>
      </c>
      <c r="I387" s="44" t="n">
        <f aca="false">IF($A387="",0,SUMIFS($G$8:$G$1007,$C$8:$C$1007,$C387,$A$8:$A$1007,"&gt;="&amp;$A387-27,$A$8:$A$1007,"&lt;="&amp;$A387)/4)</f>
        <v>0</v>
      </c>
      <c r="J387" s="144" t="n">
        <f aca="false">IF(OR($A387="",$I387=0),0,$H387/$I387)</f>
        <v>0</v>
      </c>
      <c r="K387" s="40" t="n">
        <f aca="false">IF($A387="",0,$A387-SUMPRODUCT(MIN(($C$8:$C$1007=$C387)*$A$8:$A$1007+($C$8:$C$1007&lt;&gt;$C387)*100000))+1)</f>
        <v>0</v>
      </c>
      <c r="L387" s="26" t="str">
        <f aca="false">IF($A387="","",IF($J387=0,"Sem registro anterior",IF($K387&lt;21,"Histórico insuficiente",IF($J387&lt;0.8,"Subcarga",IF($J387&lt;=1.3,"Zona ideal",IF($J387&lt;=1.5,"Atenção","Risco elevado"))))))</f>
        <v/>
      </c>
      <c r="M387" s="27"/>
    </row>
    <row r="388" customFormat="false" ht="15" hidden="false" customHeight="false" outlineLevel="0" collapsed="false">
      <c r="A388" s="29"/>
      <c r="B388" s="40" t="n">
        <f aca="false">IF($A388="",0,INT(($A388-Macrociclo!$C$11)/7)+1)</f>
        <v>0</v>
      </c>
      <c r="C388" s="27"/>
      <c r="D388" s="27"/>
      <c r="E388" s="28"/>
      <c r="F388" s="28"/>
      <c r="G388" s="44" t="n">
        <f aca="false">IF(OR($E388="",$F388=""),0,$E388*$F388)</f>
        <v>0</v>
      </c>
      <c r="H388" s="44" t="n">
        <f aca="false">IF($A388="",0,SUMIFS($G$8:$G$1007,$C$8:$C$1007,$C388,$A$8:$A$1007,"&gt;="&amp;$A388-6,$A$8:$A$1007,"&lt;="&amp;$A388))</f>
        <v>0</v>
      </c>
      <c r="I388" s="44" t="n">
        <f aca="false">IF($A388="",0,SUMIFS($G$8:$G$1007,$C$8:$C$1007,$C388,$A$8:$A$1007,"&gt;="&amp;$A388-27,$A$8:$A$1007,"&lt;="&amp;$A388)/4)</f>
        <v>0</v>
      </c>
      <c r="J388" s="144" t="n">
        <f aca="false">IF(OR($A388="",$I388=0),0,$H388/$I388)</f>
        <v>0</v>
      </c>
      <c r="K388" s="40" t="n">
        <f aca="false">IF($A388="",0,$A388-SUMPRODUCT(MIN(($C$8:$C$1007=$C388)*$A$8:$A$1007+($C$8:$C$1007&lt;&gt;$C388)*100000))+1)</f>
        <v>0</v>
      </c>
      <c r="L388" s="26" t="str">
        <f aca="false">IF($A388="","",IF($J388=0,"Sem registro anterior",IF($K388&lt;21,"Histórico insuficiente",IF($J388&lt;0.8,"Subcarga",IF($J388&lt;=1.3,"Zona ideal",IF($J388&lt;=1.5,"Atenção","Risco elevado"))))))</f>
        <v/>
      </c>
      <c r="M388" s="27"/>
    </row>
    <row r="389" customFormat="false" ht="15" hidden="false" customHeight="false" outlineLevel="0" collapsed="false">
      <c r="A389" s="29"/>
      <c r="B389" s="40" t="n">
        <f aca="false">IF($A389="",0,INT(($A389-Macrociclo!$C$11)/7)+1)</f>
        <v>0</v>
      </c>
      <c r="C389" s="27"/>
      <c r="D389" s="27"/>
      <c r="E389" s="28"/>
      <c r="F389" s="28"/>
      <c r="G389" s="44" t="n">
        <f aca="false">IF(OR($E389="",$F389=""),0,$E389*$F389)</f>
        <v>0</v>
      </c>
      <c r="H389" s="44" t="n">
        <f aca="false">IF($A389="",0,SUMIFS($G$8:$G$1007,$C$8:$C$1007,$C389,$A$8:$A$1007,"&gt;="&amp;$A389-6,$A$8:$A$1007,"&lt;="&amp;$A389))</f>
        <v>0</v>
      </c>
      <c r="I389" s="44" t="n">
        <f aca="false">IF($A389="",0,SUMIFS($G$8:$G$1007,$C$8:$C$1007,$C389,$A$8:$A$1007,"&gt;="&amp;$A389-27,$A$8:$A$1007,"&lt;="&amp;$A389)/4)</f>
        <v>0</v>
      </c>
      <c r="J389" s="144" t="n">
        <f aca="false">IF(OR($A389="",$I389=0),0,$H389/$I389)</f>
        <v>0</v>
      </c>
      <c r="K389" s="40" t="n">
        <f aca="false">IF($A389="",0,$A389-SUMPRODUCT(MIN(($C$8:$C$1007=$C389)*$A$8:$A$1007+($C$8:$C$1007&lt;&gt;$C389)*100000))+1)</f>
        <v>0</v>
      </c>
      <c r="L389" s="26" t="str">
        <f aca="false">IF($A389="","",IF($J389=0,"Sem registro anterior",IF($K389&lt;21,"Histórico insuficiente",IF($J389&lt;0.8,"Subcarga",IF($J389&lt;=1.3,"Zona ideal",IF($J389&lt;=1.5,"Atenção","Risco elevado"))))))</f>
        <v/>
      </c>
      <c r="M389" s="27"/>
    </row>
    <row r="390" customFormat="false" ht="15" hidden="false" customHeight="false" outlineLevel="0" collapsed="false">
      <c r="A390" s="29"/>
      <c r="B390" s="40" t="n">
        <f aca="false">IF($A390="",0,INT(($A390-Macrociclo!$C$11)/7)+1)</f>
        <v>0</v>
      </c>
      <c r="C390" s="27"/>
      <c r="D390" s="27"/>
      <c r="E390" s="28"/>
      <c r="F390" s="28"/>
      <c r="G390" s="44" t="n">
        <f aca="false">IF(OR($E390="",$F390=""),0,$E390*$F390)</f>
        <v>0</v>
      </c>
      <c r="H390" s="44" t="n">
        <f aca="false">IF($A390="",0,SUMIFS($G$8:$G$1007,$C$8:$C$1007,$C390,$A$8:$A$1007,"&gt;="&amp;$A390-6,$A$8:$A$1007,"&lt;="&amp;$A390))</f>
        <v>0</v>
      </c>
      <c r="I390" s="44" t="n">
        <f aca="false">IF($A390="",0,SUMIFS($G$8:$G$1007,$C$8:$C$1007,$C390,$A$8:$A$1007,"&gt;="&amp;$A390-27,$A$8:$A$1007,"&lt;="&amp;$A390)/4)</f>
        <v>0</v>
      </c>
      <c r="J390" s="144" t="n">
        <f aca="false">IF(OR($A390="",$I390=0),0,$H390/$I390)</f>
        <v>0</v>
      </c>
      <c r="K390" s="40" t="n">
        <f aca="false">IF($A390="",0,$A390-SUMPRODUCT(MIN(($C$8:$C$1007=$C390)*$A$8:$A$1007+($C$8:$C$1007&lt;&gt;$C390)*100000))+1)</f>
        <v>0</v>
      </c>
      <c r="L390" s="26" t="str">
        <f aca="false">IF($A390="","",IF($J390=0,"Sem registro anterior",IF($K390&lt;21,"Histórico insuficiente",IF($J390&lt;0.8,"Subcarga",IF($J390&lt;=1.3,"Zona ideal",IF($J390&lt;=1.5,"Atenção","Risco elevado"))))))</f>
        <v/>
      </c>
      <c r="M390" s="27"/>
    </row>
    <row r="391" customFormat="false" ht="15" hidden="false" customHeight="false" outlineLevel="0" collapsed="false">
      <c r="A391" s="29"/>
      <c r="B391" s="40" t="n">
        <f aca="false">IF($A391="",0,INT(($A391-Macrociclo!$C$11)/7)+1)</f>
        <v>0</v>
      </c>
      <c r="C391" s="27"/>
      <c r="D391" s="27"/>
      <c r="E391" s="28"/>
      <c r="F391" s="28"/>
      <c r="G391" s="44" t="n">
        <f aca="false">IF(OR($E391="",$F391=""),0,$E391*$F391)</f>
        <v>0</v>
      </c>
      <c r="H391" s="44" t="n">
        <f aca="false">IF($A391="",0,SUMIFS($G$8:$G$1007,$C$8:$C$1007,$C391,$A$8:$A$1007,"&gt;="&amp;$A391-6,$A$8:$A$1007,"&lt;="&amp;$A391))</f>
        <v>0</v>
      </c>
      <c r="I391" s="44" t="n">
        <f aca="false">IF($A391="",0,SUMIFS($G$8:$G$1007,$C$8:$C$1007,$C391,$A$8:$A$1007,"&gt;="&amp;$A391-27,$A$8:$A$1007,"&lt;="&amp;$A391)/4)</f>
        <v>0</v>
      </c>
      <c r="J391" s="144" t="n">
        <f aca="false">IF(OR($A391="",$I391=0),0,$H391/$I391)</f>
        <v>0</v>
      </c>
      <c r="K391" s="40" t="n">
        <f aca="false">IF($A391="",0,$A391-SUMPRODUCT(MIN(($C$8:$C$1007=$C391)*$A$8:$A$1007+($C$8:$C$1007&lt;&gt;$C391)*100000))+1)</f>
        <v>0</v>
      </c>
      <c r="L391" s="26" t="str">
        <f aca="false">IF($A391="","",IF($J391=0,"Sem registro anterior",IF($K391&lt;21,"Histórico insuficiente",IF($J391&lt;0.8,"Subcarga",IF($J391&lt;=1.3,"Zona ideal",IF($J391&lt;=1.5,"Atenção","Risco elevado"))))))</f>
        <v/>
      </c>
      <c r="M391" s="27"/>
    </row>
    <row r="392" customFormat="false" ht="15" hidden="false" customHeight="false" outlineLevel="0" collapsed="false">
      <c r="A392" s="29"/>
      <c r="B392" s="40" t="n">
        <f aca="false">IF($A392="",0,INT(($A392-Macrociclo!$C$11)/7)+1)</f>
        <v>0</v>
      </c>
      <c r="C392" s="27"/>
      <c r="D392" s="27"/>
      <c r="E392" s="28"/>
      <c r="F392" s="28"/>
      <c r="G392" s="44" t="n">
        <f aca="false">IF(OR($E392="",$F392=""),0,$E392*$F392)</f>
        <v>0</v>
      </c>
      <c r="H392" s="44" t="n">
        <f aca="false">IF($A392="",0,SUMIFS($G$8:$G$1007,$C$8:$C$1007,$C392,$A$8:$A$1007,"&gt;="&amp;$A392-6,$A$8:$A$1007,"&lt;="&amp;$A392))</f>
        <v>0</v>
      </c>
      <c r="I392" s="44" t="n">
        <f aca="false">IF($A392="",0,SUMIFS($G$8:$G$1007,$C$8:$C$1007,$C392,$A$8:$A$1007,"&gt;="&amp;$A392-27,$A$8:$A$1007,"&lt;="&amp;$A392)/4)</f>
        <v>0</v>
      </c>
      <c r="J392" s="144" t="n">
        <f aca="false">IF(OR($A392="",$I392=0),0,$H392/$I392)</f>
        <v>0</v>
      </c>
      <c r="K392" s="40" t="n">
        <f aca="false">IF($A392="",0,$A392-SUMPRODUCT(MIN(($C$8:$C$1007=$C392)*$A$8:$A$1007+($C$8:$C$1007&lt;&gt;$C392)*100000))+1)</f>
        <v>0</v>
      </c>
      <c r="L392" s="26" t="str">
        <f aca="false">IF($A392="","",IF($J392=0,"Sem registro anterior",IF($K392&lt;21,"Histórico insuficiente",IF($J392&lt;0.8,"Subcarga",IF($J392&lt;=1.3,"Zona ideal",IF($J392&lt;=1.5,"Atenção","Risco elevado"))))))</f>
        <v/>
      </c>
      <c r="M392" s="27"/>
    </row>
    <row r="393" customFormat="false" ht="15" hidden="false" customHeight="false" outlineLevel="0" collapsed="false">
      <c r="A393" s="29"/>
      <c r="B393" s="40" t="n">
        <f aca="false">IF($A393="",0,INT(($A393-Macrociclo!$C$11)/7)+1)</f>
        <v>0</v>
      </c>
      <c r="C393" s="27"/>
      <c r="D393" s="27"/>
      <c r="E393" s="28"/>
      <c r="F393" s="28"/>
      <c r="G393" s="44" t="n">
        <f aca="false">IF(OR($E393="",$F393=""),0,$E393*$F393)</f>
        <v>0</v>
      </c>
      <c r="H393" s="44" t="n">
        <f aca="false">IF($A393="",0,SUMIFS($G$8:$G$1007,$C$8:$C$1007,$C393,$A$8:$A$1007,"&gt;="&amp;$A393-6,$A$8:$A$1007,"&lt;="&amp;$A393))</f>
        <v>0</v>
      </c>
      <c r="I393" s="44" t="n">
        <f aca="false">IF($A393="",0,SUMIFS($G$8:$G$1007,$C$8:$C$1007,$C393,$A$8:$A$1007,"&gt;="&amp;$A393-27,$A$8:$A$1007,"&lt;="&amp;$A393)/4)</f>
        <v>0</v>
      </c>
      <c r="J393" s="144" t="n">
        <f aca="false">IF(OR($A393="",$I393=0),0,$H393/$I393)</f>
        <v>0</v>
      </c>
      <c r="K393" s="40" t="n">
        <f aca="false">IF($A393="",0,$A393-SUMPRODUCT(MIN(($C$8:$C$1007=$C393)*$A$8:$A$1007+($C$8:$C$1007&lt;&gt;$C393)*100000))+1)</f>
        <v>0</v>
      </c>
      <c r="L393" s="26" t="str">
        <f aca="false">IF($A393="","",IF($J393=0,"Sem registro anterior",IF($K393&lt;21,"Histórico insuficiente",IF($J393&lt;0.8,"Subcarga",IF($J393&lt;=1.3,"Zona ideal",IF($J393&lt;=1.5,"Atenção","Risco elevado"))))))</f>
        <v/>
      </c>
      <c r="M393" s="27"/>
    </row>
    <row r="394" customFormat="false" ht="15" hidden="false" customHeight="false" outlineLevel="0" collapsed="false">
      <c r="A394" s="29"/>
      <c r="B394" s="40" t="n">
        <f aca="false">IF($A394="",0,INT(($A394-Macrociclo!$C$11)/7)+1)</f>
        <v>0</v>
      </c>
      <c r="C394" s="27"/>
      <c r="D394" s="27"/>
      <c r="E394" s="28"/>
      <c r="F394" s="28"/>
      <c r="G394" s="44" t="n">
        <f aca="false">IF(OR($E394="",$F394=""),0,$E394*$F394)</f>
        <v>0</v>
      </c>
      <c r="H394" s="44" t="n">
        <f aca="false">IF($A394="",0,SUMIFS($G$8:$G$1007,$C$8:$C$1007,$C394,$A$8:$A$1007,"&gt;="&amp;$A394-6,$A$8:$A$1007,"&lt;="&amp;$A394))</f>
        <v>0</v>
      </c>
      <c r="I394" s="44" t="n">
        <f aca="false">IF($A394="",0,SUMIFS($G$8:$G$1007,$C$8:$C$1007,$C394,$A$8:$A$1007,"&gt;="&amp;$A394-27,$A$8:$A$1007,"&lt;="&amp;$A394)/4)</f>
        <v>0</v>
      </c>
      <c r="J394" s="144" t="n">
        <f aca="false">IF(OR($A394="",$I394=0),0,$H394/$I394)</f>
        <v>0</v>
      </c>
      <c r="K394" s="40" t="n">
        <f aca="false">IF($A394="",0,$A394-SUMPRODUCT(MIN(($C$8:$C$1007=$C394)*$A$8:$A$1007+($C$8:$C$1007&lt;&gt;$C394)*100000))+1)</f>
        <v>0</v>
      </c>
      <c r="L394" s="26" t="str">
        <f aca="false">IF($A394="","",IF($J394=0,"Sem registro anterior",IF($K394&lt;21,"Histórico insuficiente",IF($J394&lt;0.8,"Subcarga",IF($J394&lt;=1.3,"Zona ideal",IF($J394&lt;=1.5,"Atenção","Risco elevado"))))))</f>
        <v/>
      </c>
      <c r="M394" s="27"/>
    </row>
    <row r="395" customFormat="false" ht="15" hidden="false" customHeight="false" outlineLevel="0" collapsed="false">
      <c r="A395" s="29"/>
      <c r="B395" s="40" t="n">
        <f aca="false">IF($A395="",0,INT(($A395-Macrociclo!$C$11)/7)+1)</f>
        <v>0</v>
      </c>
      <c r="C395" s="27"/>
      <c r="D395" s="27"/>
      <c r="E395" s="28"/>
      <c r="F395" s="28"/>
      <c r="G395" s="44" t="n">
        <f aca="false">IF(OR($E395="",$F395=""),0,$E395*$F395)</f>
        <v>0</v>
      </c>
      <c r="H395" s="44" t="n">
        <f aca="false">IF($A395="",0,SUMIFS($G$8:$G$1007,$C$8:$C$1007,$C395,$A$8:$A$1007,"&gt;="&amp;$A395-6,$A$8:$A$1007,"&lt;="&amp;$A395))</f>
        <v>0</v>
      </c>
      <c r="I395" s="44" t="n">
        <f aca="false">IF($A395="",0,SUMIFS($G$8:$G$1007,$C$8:$C$1007,$C395,$A$8:$A$1007,"&gt;="&amp;$A395-27,$A$8:$A$1007,"&lt;="&amp;$A395)/4)</f>
        <v>0</v>
      </c>
      <c r="J395" s="144" t="n">
        <f aca="false">IF(OR($A395="",$I395=0),0,$H395/$I395)</f>
        <v>0</v>
      </c>
      <c r="K395" s="40" t="n">
        <f aca="false">IF($A395="",0,$A395-SUMPRODUCT(MIN(($C$8:$C$1007=$C395)*$A$8:$A$1007+($C$8:$C$1007&lt;&gt;$C395)*100000))+1)</f>
        <v>0</v>
      </c>
      <c r="L395" s="26" t="str">
        <f aca="false">IF($A395="","",IF($J395=0,"Sem registro anterior",IF($K395&lt;21,"Histórico insuficiente",IF($J395&lt;0.8,"Subcarga",IF($J395&lt;=1.3,"Zona ideal",IF($J395&lt;=1.5,"Atenção","Risco elevado"))))))</f>
        <v/>
      </c>
      <c r="M395" s="27"/>
    </row>
    <row r="396" customFormat="false" ht="15" hidden="false" customHeight="false" outlineLevel="0" collapsed="false">
      <c r="A396" s="29"/>
      <c r="B396" s="40" t="n">
        <f aca="false">IF($A396="",0,INT(($A396-Macrociclo!$C$11)/7)+1)</f>
        <v>0</v>
      </c>
      <c r="C396" s="27"/>
      <c r="D396" s="27"/>
      <c r="E396" s="28"/>
      <c r="F396" s="28"/>
      <c r="G396" s="44" t="n">
        <f aca="false">IF(OR($E396="",$F396=""),0,$E396*$F396)</f>
        <v>0</v>
      </c>
      <c r="H396" s="44" t="n">
        <f aca="false">IF($A396="",0,SUMIFS($G$8:$G$1007,$C$8:$C$1007,$C396,$A$8:$A$1007,"&gt;="&amp;$A396-6,$A$8:$A$1007,"&lt;="&amp;$A396))</f>
        <v>0</v>
      </c>
      <c r="I396" s="44" t="n">
        <f aca="false">IF($A396="",0,SUMIFS($G$8:$G$1007,$C$8:$C$1007,$C396,$A$8:$A$1007,"&gt;="&amp;$A396-27,$A$8:$A$1007,"&lt;="&amp;$A396)/4)</f>
        <v>0</v>
      </c>
      <c r="J396" s="144" t="n">
        <f aca="false">IF(OR($A396="",$I396=0),0,$H396/$I396)</f>
        <v>0</v>
      </c>
      <c r="K396" s="40" t="n">
        <f aca="false">IF($A396="",0,$A396-SUMPRODUCT(MIN(($C$8:$C$1007=$C396)*$A$8:$A$1007+($C$8:$C$1007&lt;&gt;$C396)*100000))+1)</f>
        <v>0</v>
      </c>
      <c r="L396" s="26" t="str">
        <f aca="false">IF($A396="","",IF($J396=0,"Sem registro anterior",IF($K396&lt;21,"Histórico insuficiente",IF($J396&lt;0.8,"Subcarga",IF($J396&lt;=1.3,"Zona ideal",IF($J396&lt;=1.5,"Atenção","Risco elevado"))))))</f>
        <v/>
      </c>
      <c r="M396" s="27"/>
    </row>
    <row r="397" customFormat="false" ht="15" hidden="false" customHeight="false" outlineLevel="0" collapsed="false">
      <c r="A397" s="29"/>
      <c r="B397" s="40" t="n">
        <f aca="false">IF($A397="",0,INT(($A397-Macrociclo!$C$11)/7)+1)</f>
        <v>0</v>
      </c>
      <c r="C397" s="27"/>
      <c r="D397" s="27"/>
      <c r="E397" s="28"/>
      <c r="F397" s="28"/>
      <c r="G397" s="44" t="n">
        <f aca="false">IF(OR($E397="",$F397=""),0,$E397*$F397)</f>
        <v>0</v>
      </c>
      <c r="H397" s="44" t="n">
        <f aca="false">IF($A397="",0,SUMIFS($G$8:$G$1007,$C$8:$C$1007,$C397,$A$8:$A$1007,"&gt;="&amp;$A397-6,$A$8:$A$1007,"&lt;="&amp;$A397))</f>
        <v>0</v>
      </c>
      <c r="I397" s="44" t="n">
        <f aca="false">IF($A397="",0,SUMIFS($G$8:$G$1007,$C$8:$C$1007,$C397,$A$8:$A$1007,"&gt;="&amp;$A397-27,$A$8:$A$1007,"&lt;="&amp;$A397)/4)</f>
        <v>0</v>
      </c>
      <c r="J397" s="144" t="n">
        <f aca="false">IF(OR($A397="",$I397=0),0,$H397/$I397)</f>
        <v>0</v>
      </c>
      <c r="K397" s="40" t="n">
        <f aca="false">IF($A397="",0,$A397-SUMPRODUCT(MIN(($C$8:$C$1007=$C397)*$A$8:$A$1007+($C$8:$C$1007&lt;&gt;$C397)*100000))+1)</f>
        <v>0</v>
      </c>
      <c r="L397" s="26" t="str">
        <f aca="false">IF($A397="","",IF($J397=0,"Sem registro anterior",IF($K397&lt;21,"Histórico insuficiente",IF($J397&lt;0.8,"Subcarga",IF($J397&lt;=1.3,"Zona ideal",IF($J397&lt;=1.5,"Atenção","Risco elevado"))))))</f>
        <v/>
      </c>
      <c r="M397" s="27"/>
    </row>
    <row r="398" customFormat="false" ht="15" hidden="false" customHeight="false" outlineLevel="0" collapsed="false">
      <c r="A398" s="29"/>
      <c r="B398" s="40" t="n">
        <f aca="false">IF($A398="",0,INT(($A398-Macrociclo!$C$11)/7)+1)</f>
        <v>0</v>
      </c>
      <c r="C398" s="27"/>
      <c r="D398" s="27"/>
      <c r="E398" s="28"/>
      <c r="F398" s="28"/>
      <c r="G398" s="44" t="n">
        <f aca="false">IF(OR($E398="",$F398=""),0,$E398*$F398)</f>
        <v>0</v>
      </c>
      <c r="H398" s="44" t="n">
        <f aca="false">IF($A398="",0,SUMIFS($G$8:$G$1007,$C$8:$C$1007,$C398,$A$8:$A$1007,"&gt;="&amp;$A398-6,$A$8:$A$1007,"&lt;="&amp;$A398))</f>
        <v>0</v>
      </c>
      <c r="I398" s="44" t="n">
        <f aca="false">IF($A398="",0,SUMIFS($G$8:$G$1007,$C$8:$C$1007,$C398,$A$8:$A$1007,"&gt;="&amp;$A398-27,$A$8:$A$1007,"&lt;="&amp;$A398)/4)</f>
        <v>0</v>
      </c>
      <c r="J398" s="144" t="n">
        <f aca="false">IF(OR($A398="",$I398=0),0,$H398/$I398)</f>
        <v>0</v>
      </c>
      <c r="K398" s="40" t="n">
        <f aca="false">IF($A398="",0,$A398-SUMPRODUCT(MIN(($C$8:$C$1007=$C398)*$A$8:$A$1007+($C$8:$C$1007&lt;&gt;$C398)*100000))+1)</f>
        <v>0</v>
      </c>
      <c r="L398" s="26" t="str">
        <f aca="false">IF($A398="","",IF($J398=0,"Sem registro anterior",IF($K398&lt;21,"Histórico insuficiente",IF($J398&lt;0.8,"Subcarga",IF($J398&lt;=1.3,"Zona ideal",IF($J398&lt;=1.5,"Atenção","Risco elevado"))))))</f>
        <v/>
      </c>
      <c r="M398" s="27"/>
    </row>
    <row r="399" customFormat="false" ht="15" hidden="false" customHeight="false" outlineLevel="0" collapsed="false">
      <c r="A399" s="29"/>
      <c r="B399" s="40" t="n">
        <f aca="false">IF($A399="",0,INT(($A399-Macrociclo!$C$11)/7)+1)</f>
        <v>0</v>
      </c>
      <c r="C399" s="27"/>
      <c r="D399" s="27"/>
      <c r="E399" s="28"/>
      <c r="F399" s="28"/>
      <c r="G399" s="44" t="n">
        <f aca="false">IF(OR($E399="",$F399=""),0,$E399*$F399)</f>
        <v>0</v>
      </c>
      <c r="H399" s="44" t="n">
        <f aca="false">IF($A399="",0,SUMIFS($G$8:$G$1007,$C$8:$C$1007,$C399,$A$8:$A$1007,"&gt;="&amp;$A399-6,$A$8:$A$1007,"&lt;="&amp;$A399))</f>
        <v>0</v>
      </c>
      <c r="I399" s="44" t="n">
        <f aca="false">IF($A399="",0,SUMIFS($G$8:$G$1007,$C$8:$C$1007,$C399,$A$8:$A$1007,"&gt;="&amp;$A399-27,$A$8:$A$1007,"&lt;="&amp;$A399)/4)</f>
        <v>0</v>
      </c>
      <c r="J399" s="144" t="n">
        <f aca="false">IF(OR($A399="",$I399=0),0,$H399/$I399)</f>
        <v>0</v>
      </c>
      <c r="K399" s="40" t="n">
        <f aca="false">IF($A399="",0,$A399-SUMPRODUCT(MIN(($C$8:$C$1007=$C399)*$A$8:$A$1007+($C$8:$C$1007&lt;&gt;$C399)*100000))+1)</f>
        <v>0</v>
      </c>
      <c r="L399" s="26" t="str">
        <f aca="false">IF($A399="","",IF($J399=0,"Sem registro anterior",IF($K399&lt;21,"Histórico insuficiente",IF($J399&lt;0.8,"Subcarga",IF($J399&lt;=1.3,"Zona ideal",IF($J399&lt;=1.5,"Atenção","Risco elevado"))))))</f>
        <v/>
      </c>
      <c r="M399" s="27"/>
    </row>
    <row r="400" customFormat="false" ht="15" hidden="false" customHeight="false" outlineLevel="0" collapsed="false">
      <c r="A400" s="29"/>
      <c r="B400" s="40" t="n">
        <f aca="false">IF($A400="",0,INT(($A400-Macrociclo!$C$11)/7)+1)</f>
        <v>0</v>
      </c>
      <c r="C400" s="27"/>
      <c r="D400" s="27"/>
      <c r="E400" s="28"/>
      <c r="F400" s="28"/>
      <c r="G400" s="44" t="n">
        <f aca="false">IF(OR($E400="",$F400=""),0,$E400*$F400)</f>
        <v>0</v>
      </c>
      <c r="H400" s="44" t="n">
        <f aca="false">IF($A400="",0,SUMIFS($G$8:$G$1007,$C$8:$C$1007,$C400,$A$8:$A$1007,"&gt;="&amp;$A400-6,$A$8:$A$1007,"&lt;="&amp;$A400))</f>
        <v>0</v>
      </c>
      <c r="I400" s="44" t="n">
        <f aca="false">IF($A400="",0,SUMIFS($G$8:$G$1007,$C$8:$C$1007,$C400,$A$8:$A$1007,"&gt;="&amp;$A400-27,$A$8:$A$1007,"&lt;="&amp;$A400)/4)</f>
        <v>0</v>
      </c>
      <c r="J400" s="144" t="n">
        <f aca="false">IF(OR($A400="",$I400=0),0,$H400/$I400)</f>
        <v>0</v>
      </c>
      <c r="K400" s="40" t="n">
        <f aca="false">IF($A400="",0,$A400-SUMPRODUCT(MIN(($C$8:$C$1007=$C400)*$A$8:$A$1007+($C$8:$C$1007&lt;&gt;$C400)*100000))+1)</f>
        <v>0</v>
      </c>
      <c r="L400" s="26" t="str">
        <f aca="false">IF($A400="","",IF($J400=0,"Sem registro anterior",IF($K400&lt;21,"Histórico insuficiente",IF($J400&lt;0.8,"Subcarga",IF($J400&lt;=1.3,"Zona ideal",IF($J400&lt;=1.5,"Atenção","Risco elevado"))))))</f>
        <v/>
      </c>
      <c r="M400" s="27"/>
    </row>
    <row r="401" customFormat="false" ht="15" hidden="false" customHeight="false" outlineLevel="0" collapsed="false">
      <c r="A401" s="29"/>
      <c r="B401" s="40" t="n">
        <f aca="false">IF($A401="",0,INT(($A401-Macrociclo!$C$11)/7)+1)</f>
        <v>0</v>
      </c>
      <c r="C401" s="27"/>
      <c r="D401" s="27"/>
      <c r="E401" s="28"/>
      <c r="F401" s="28"/>
      <c r="G401" s="44" t="n">
        <f aca="false">IF(OR($E401="",$F401=""),0,$E401*$F401)</f>
        <v>0</v>
      </c>
      <c r="H401" s="44" t="n">
        <f aca="false">IF($A401="",0,SUMIFS($G$8:$G$1007,$C$8:$C$1007,$C401,$A$8:$A$1007,"&gt;="&amp;$A401-6,$A$8:$A$1007,"&lt;="&amp;$A401))</f>
        <v>0</v>
      </c>
      <c r="I401" s="44" t="n">
        <f aca="false">IF($A401="",0,SUMIFS($G$8:$G$1007,$C$8:$C$1007,$C401,$A$8:$A$1007,"&gt;="&amp;$A401-27,$A$8:$A$1007,"&lt;="&amp;$A401)/4)</f>
        <v>0</v>
      </c>
      <c r="J401" s="144" t="n">
        <f aca="false">IF(OR($A401="",$I401=0),0,$H401/$I401)</f>
        <v>0</v>
      </c>
      <c r="K401" s="40" t="n">
        <f aca="false">IF($A401="",0,$A401-SUMPRODUCT(MIN(($C$8:$C$1007=$C401)*$A$8:$A$1007+($C$8:$C$1007&lt;&gt;$C401)*100000))+1)</f>
        <v>0</v>
      </c>
      <c r="L401" s="26" t="str">
        <f aca="false">IF($A401="","",IF($J401=0,"Sem registro anterior",IF($K401&lt;21,"Histórico insuficiente",IF($J401&lt;0.8,"Subcarga",IF($J401&lt;=1.3,"Zona ideal",IF($J401&lt;=1.5,"Atenção","Risco elevado"))))))</f>
        <v/>
      </c>
      <c r="M401" s="27"/>
    </row>
    <row r="402" customFormat="false" ht="15" hidden="false" customHeight="false" outlineLevel="0" collapsed="false">
      <c r="A402" s="29"/>
      <c r="B402" s="40" t="n">
        <f aca="false">IF($A402="",0,INT(($A402-Macrociclo!$C$11)/7)+1)</f>
        <v>0</v>
      </c>
      <c r="C402" s="27"/>
      <c r="D402" s="27"/>
      <c r="E402" s="28"/>
      <c r="F402" s="28"/>
      <c r="G402" s="44" t="n">
        <f aca="false">IF(OR($E402="",$F402=""),0,$E402*$F402)</f>
        <v>0</v>
      </c>
      <c r="H402" s="44" t="n">
        <f aca="false">IF($A402="",0,SUMIFS($G$8:$G$1007,$C$8:$C$1007,$C402,$A$8:$A$1007,"&gt;="&amp;$A402-6,$A$8:$A$1007,"&lt;="&amp;$A402))</f>
        <v>0</v>
      </c>
      <c r="I402" s="44" t="n">
        <f aca="false">IF($A402="",0,SUMIFS($G$8:$G$1007,$C$8:$C$1007,$C402,$A$8:$A$1007,"&gt;="&amp;$A402-27,$A$8:$A$1007,"&lt;="&amp;$A402)/4)</f>
        <v>0</v>
      </c>
      <c r="J402" s="144" t="n">
        <f aca="false">IF(OR($A402="",$I402=0),0,$H402/$I402)</f>
        <v>0</v>
      </c>
      <c r="K402" s="40" t="n">
        <f aca="false">IF($A402="",0,$A402-SUMPRODUCT(MIN(($C$8:$C$1007=$C402)*$A$8:$A$1007+($C$8:$C$1007&lt;&gt;$C402)*100000))+1)</f>
        <v>0</v>
      </c>
      <c r="L402" s="26" t="str">
        <f aca="false">IF($A402="","",IF($J402=0,"Sem registro anterior",IF($K402&lt;21,"Histórico insuficiente",IF($J402&lt;0.8,"Subcarga",IF($J402&lt;=1.3,"Zona ideal",IF($J402&lt;=1.5,"Atenção","Risco elevado"))))))</f>
        <v/>
      </c>
      <c r="M402" s="27"/>
    </row>
    <row r="403" customFormat="false" ht="15" hidden="false" customHeight="false" outlineLevel="0" collapsed="false">
      <c r="A403" s="29"/>
      <c r="B403" s="40" t="n">
        <f aca="false">IF($A403="",0,INT(($A403-Macrociclo!$C$11)/7)+1)</f>
        <v>0</v>
      </c>
      <c r="C403" s="27"/>
      <c r="D403" s="27"/>
      <c r="E403" s="28"/>
      <c r="F403" s="28"/>
      <c r="G403" s="44" t="n">
        <f aca="false">IF(OR($E403="",$F403=""),0,$E403*$F403)</f>
        <v>0</v>
      </c>
      <c r="H403" s="44" t="n">
        <f aca="false">IF($A403="",0,SUMIFS($G$8:$G$1007,$C$8:$C$1007,$C403,$A$8:$A$1007,"&gt;="&amp;$A403-6,$A$8:$A$1007,"&lt;="&amp;$A403))</f>
        <v>0</v>
      </c>
      <c r="I403" s="44" t="n">
        <f aca="false">IF($A403="",0,SUMIFS($G$8:$G$1007,$C$8:$C$1007,$C403,$A$8:$A$1007,"&gt;="&amp;$A403-27,$A$8:$A$1007,"&lt;="&amp;$A403)/4)</f>
        <v>0</v>
      </c>
      <c r="J403" s="144" t="n">
        <f aca="false">IF(OR($A403="",$I403=0),0,$H403/$I403)</f>
        <v>0</v>
      </c>
      <c r="K403" s="40" t="n">
        <f aca="false">IF($A403="",0,$A403-SUMPRODUCT(MIN(($C$8:$C$1007=$C403)*$A$8:$A$1007+($C$8:$C$1007&lt;&gt;$C403)*100000))+1)</f>
        <v>0</v>
      </c>
      <c r="L403" s="26" t="str">
        <f aca="false">IF($A403="","",IF($J403=0,"Sem registro anterior",IF($K403&lt;21,"Histórico insuficiente",IF($J403&lt;0.8,"Subcarga",IF($J403&lt;=1.3,"Zona ideal",IF($J403&lt;=1.5,"Atenção","Risco elevado"))))))</f>
        <v/>
      </c>
      <c r="M403" s="27"/>
    </row>
    <row r="404" customFormat="false" ht="15" hidden="false" customHeight="false" outlineLevel="0" collapsed="false">
      <c r="A404" s="29"/>
      <c r="B404" s="40" t="n">
        <f aca="false">IF($A404="",0,INT(($A404-Macrociclo!$C$11)/7)+1)</f>
        <v>0</v>
      </c>
      <c r="C404" s="27"/>
      <c r="D404" s="27"/>
      <c r="E404" s="28"/>
      <c r="F404" s="28"/>
      <c r="G404" s="44" t="n">
        <f aca="false">IF(OR($E404="",$F404=""),0,$E404*$F404)</f>
        <v>0</v>
      </c>
      <c r="H404" s="44" t="n">
        <f aca="false">IF($A404="",0,SUMIFS($G$8:$G$1007,$C$8:$C$1007,$C404,$A$8:$A$1007,"&gt;="&amp;$A404-6,$A$8:$A$1007,"&lt;="&amp;$A404))</f>
        <v>0</v>
      </c>
      <c r="I404" s="44" t="n">
        <f aca="false">IF($A404="",0,SUMIFS($G$8:$G$1007,$C$8:$C$1007,$C404,$A$8:$A$1007,"&gt;="&amp;$A404-27,$A$8:$A$1007,"&lt;="&amp;$A404)/4)</f>
        <v>0</v>
      </c>
      <c r="J404" s="144" t="n">
        <f aca="false">IF(OR($A404="",$I404=0),0,$H404/$I404)</f>
        <v>0</v>
      </c>
      <c r="K404" s="40" t="n">
        <f aca="false">IF($A404="",0,$A404-SUMPRODUCT(MIN(($C$8:$C$1007=$C404)*$A$8:$A$1007+($C$8:$C$1007&lt;&gt;$C404)*100000))+1)</f>
        <v>0</v>
      </c>
      <c r="L404" s="26" t="str">
        <f aca="false">IF($A404="","",IF($J404=0,"Sem registro anterior",IF($K404&lt;21,"Histórico insuficiente",IF($J404&lt;0.8,"Subcarga",IF($J404&lt;=1.3,"Zona ideal",IF($J404&lt;=1.5,"Atenção","Risco elevado"))))))</f>
        <v/>
      </c>
      <c r="M404" s="27"/>
    </row>
    <row r="405" customFormat="false" ht="15" hidden="false" customHeight="false" outlineLevel="0" collapsed="false">
      <c r="A405" s="29"/>
      <c r="B405" s="40" t="n">
        <f aca="false">IF($A405="",0,INT(($A405-Macrociclo!$C$11)/7)+1)</f>
        <v>0</v>
      </c>
      <c r="C405" s="27"/>
      <c r="D405" s="27"/>
      <c r="E405" s="28"/>
      <c r="F405" s="28"/>
      <c r="G405" s="44" t="n">
        <f aca="false">IF(OR($E405="",$F405=""),0,$E405*$F405)</f>
        <v>0</v>
      </c>
      <c r="H405" s="44" t="n">
        <f aca="false">IF($A405="",0,SUMIFS($G$8:$G$1007,$C$8:$C$1007,$C405,$A$8:$A$1007,"&gt;="&amp;$A405-6,$A$8:$A$1007,"&lt;="&amp;$A405))</f>
        <v>0</v>
      </c>
      <c r="I405" s="44" t="n">
        <f aca="false">IF($A405="",0,SUMIFS($G$8:$G$1007,$C$8:$C$1007,$C405,$A$8:$A$1007,"&gt;="&amp;$A405-27,$A$8:$A$1007,"&lt;="&amp;$A405)/4)</f>
        <v>0</v>
      </c>
      <c r="J405" s="144" t="n">
        <f aca="false">IF(OR($A405="",$I405=0),0,$H405/$I405)</f>
        <v>0</v>
      </c>
      <c r="K405" s="40" t="n">
        <f aca="false">IF($A405="",0,$A405-SUMPRODUCT(MIN(($C$8:$C$1007=$C405)*$A$8:$A$1007+($C$8:$C$1007&lt;&gt;$C405)*100000))+1)</f>
        <v>0</v>
      </c>
      <c r="L405" s="26" t="str">
        <f aca="false">IF($A405="","",IF($J405=0,"Sem registro anterior",IF($K405&lt;21,"Histórico insuficiente",IF($J405&lt;0.8,"Subcarga",IF($J405&lt;=1.3,"Zona ideal",IF($J405&lt;=1.5,"Atenção","Risco elevado"))))))</f>
        <v/>
      </c>
      <c r="M405" s="27"/>
    </row>
    <row r="406" customFormat="false" ht="15" hidden="false" customHeight="false" outlineLevel="0" collapsed="false">
      <c r="A406" s="29"/>
      <c r="B406" s="40" t="n">
        <f aca="false">IF($A406="",0,INT(($A406-Macrociclo!$C$11)/7)+1)</f>
        <v>0</v>
      </c>
      <c r="C406" s="27"/>
      <c r="D406" s="27"/>
      <c r="E406" s="28"/>
      <c r="F406" s="28"/>
      <c r="G406" s="44" t="n">
        <f aca="false">IF(OR($E406="",$F406=""),0,$E406*$F406)</f>
        <v>0</v>
      </c>
      <c r="H406" s="44" t="n">
        <f aca="false">IF($A406="",0,SUMIFS($G$8:$G$1007,$C$8:$C$1007,$C406,$A$8:$A$1007,"&gt;="&amp;$A406-6,$A$8:$A$1007,"&lt;="&amp;$A406))</f>
        <v>0</v>
      </c>
      <c r="I406" s="44" t="n">
        <f aca="false">IF($A406="",0,SUMIFS($G$8:$G$1007,$C$8:$C$1007,$C406,$A$8:$A$1007,"&gt;="&amp;$A406-27,$A$8:$A$1007,"&lt;="&amp;$A406)/4)</f>
        <v>0</v>
      </c>
      <c r="J406" s="144" t="n">
        <f aca="false">IF(OR($A406="",$I406=0),0,$H406/$I406)</f>
        <v>0</v>
      </c>
      <c r="K406" s="40" t="n">
        <f aca="false">IF($A406="",0,$A406-SUMPRODUCT(MIN(($C$8:$C$1007=$C406)*$A$8:$A$1007+($C$8:$C$1007&lt;&gt;$C406)*100000))+1)</f>
        <v>0</v>
      </c>
      <c r="L406" s="26" t="str">
        <f aca="false">IF($A406="","",IF($J406=0,"Sem registro anterior",IF($K406&lt;21,"Histórico insuficiente",IF($J406&lt;0.8,"Subcarga",IF($J406&lt;=1.3,"Zona ideal",IF($J406&lt;=1.5,"Atenção","Risco elevado"))))))</f>
        <v/>
      </c>
      <c r="M406" s="27"/>
    </row>
    <row r="407" customFormat="false" ht="15" hidden="false" customHeight="false" outlineLevel="0" collapsed="false">
      <c r="A407" s="29"/>
      <c r="B407" s="40" t="n">
        <f aca="false">IF($A407="",0,INT(($A407-Macrociclo!$C$11)/7)+1)</f>
        <v>0</v>
      </c>
      <c r="C407" s="27"/>
      <c r="D407" s="27"/>
      <c r="E407" s="28"/>
      <c r="F407" s="28"/>
      <c r="G407" s="44" t="n">
        <f aca="false">IF(OR($E407="",$F407=""),0,$E407*$F407)</f>
        <v>0</v>
      </c>
      <c r="H407" s="44" t="n">
        <f aca="false">IF($A407="",0,SUMIFS($G$8:$G$1007,$C$8:$C$1007,$C407,$A$8:$A$1007,"&gt;="&amp;$A407-6,$A$8:$A$1007,"&lt;="&amp;$A407))</f>
        <v>0</v>
      </c>
      <c r="I407" s="44" t="n">
        <f aca="false">IF($A407="",0,SUMIFS($G$8:$G$1007,$C$8:$C$1007,$C407,$A$8:$A$1007,"&gt;="&amp;$A407-27,$A$8:$A$1007,"&lt;="&amp;$A407)/4)</f>
        <v>0</v>
      </c>
      <c r="J407" s="144" t="n">
        <f aca="false">IF(OR($A407="",$I407=0),0,$H407/$I407)</f>
        <v>0</v>
      </c>
      <c r="K407" s="40" t="n">
        <f aca="false">IF($A407="",0,$A407-SUMPRODUCT(MIN(($C$8:$C$1007=$C407)*$A$8:$A$1007+($C$8:$C$1007&lt;&gt;$C407)*100000))+1)</f>
        <v>0</v>
      </c>
      <c r="L407" s="26" t="str">
        <f aca="false">IF($A407="","",IF($J407=0,"Sem registro anterior",IF($K407&lt;21,"Histórico insuficiente",IF($J407&lt;0.8,"Subcarga",IF($J407&lt;=1.3,"Zona ideal",IF($J407&lt;=1.5,"Atenção","Risco elevado"))))))</f>
        <v/>
      </c>
      <c r="M407" s="27"/>
    </row>
    <row r="408" customFormat="false" ht="15" hidden="false" customHeight="false" outlineLevel="0" collapsed="false">
      <c r="A408" s="29"/>
      <c r="B408" s="40" t="n">
        <f aca="false">IF($A408="",0,INT(($A408-Macrociclo!$C$11)/7)+1)</f>
        <v>0</v>
      </c>
      <c r="C408" s="27"/>
      <c r="D408" s="27"/>
      <c r="E408" s="28"/>
      <c r="F408" s="28"/>
      <c r="G408" s="44" t="n">
        <f aca="false">IF(OR($E408="",$F408=""),0,$E408*$F408)</f>
        <v>0</v>
      </c>
      <c r="H408" s="44" t="n">
        <f aca="false">IF($A408="",0,SUMIFS($G$8:$G$1007,$C$8:$C$1007,$C408,$A$8:$A$1007,"&gt;="&amp;$A408-6,$A$8:$A$1007,"&lt;="&amp;$A408))</f>
        <v>0</v>
      </c>
      <c r="I408" s="44" t="n">
        <f aca="false">IF($A408="",0,SUMIFS($G$8:$G$1007,$C$8:$C$1007,$C408,$A$8:$A$1007,"&gt;="&amp;$A408-27,$A$8:$A$1007,"&lt;="&amp;$A408)/4)</f>
        <v>0</v>
      </c>
      <c r="J408" s="144" t="n">
        <f aca="false">IF(OR($A408="",$I408=0),0,$H408/$I408)</f>
        <v>0</v>
      </c>
      <c r="K408" s="40" t="n">
        <f aca="false">IF($A408="",0,$A408-SUMPRODUCT(MIN(($C$8:$C$1007=$C408)*$A$8:$A$1007+($C$8:$C$1007&lt;&gt;$C408)*100000))+1)</f>
        <v>0</v>
      </c>
      <c r="L408" s="26" t="str">
        <f aca="false">IF($A408="","",IF($J408=0,"Sem registro anterior",IF($K408&lt;21,"Histórico insuficiente",IF($J408&lt;0.8,"Subcarga",IF($J408&lt;=1.3,"Zona ideal",IF($J408&lt;=1.5,"Atenção","Risco elevado"))))))</f>
        <v/>
      </c>
      <c r="M408" s="27"/>
    </row>
    <row r="409" customFormat="false" ht="15" hidden="false" customHeight="false" outlineLevel="0" collapsed="false">
      <c r="A409" s="29"/>
      <c r="B409" s="40" t="n">
        <f aca="false">IF($A409="",0,INT(($A409-Macrociclo!$C$11)/7)+1)</f>
        <v>0</v>
      </c>
      <c r="C409" s="27"/>
      <c r="D409" s="27"/>
      <c r="E409" s="28"/>
      <c r="F409" s="28"/>
      <c r="G409" s="44" t="n">
        <f aca="false">IF(OR($E409="",$F409=""),0,$E409*$F409)</f>
        <v>0</v>
      </c>
      <c r="H409" s="44" t="n">
        <f aca="false">IF($A409="",0,SUMIFS($G$8:$G$1007,$C$8:$C$1007,$C409,$A$8:$A$1007,"&gt;="&amp;$A409-6,$A$8:$A$1007,"&lt;="&amp;$A409))</f>
        <v>0</v>
      </c>
      <c r="I409" s="44" t="n">
        <f aca="false">IF($A409="",0,SUMIFS($G$8:$G$1007,$C$8:$C$1007,$C409,$A$8:$A$1007,"&gt;="&amp;$A409-27,$A$8:$A$1007,"&lt;="&amp;$A409)/4)</f>
        <v>0</v>
      </c>
      <c r="J409" s="144" t="n">
        <f aca="false">IF(OR($A409="",$I409=0),0,$H409/$I409)</f>
        <v>0</v>
      </c>
      <c r="K409" s="40" t="n">
        <f aca="false">IF($A409="",0,$A409-SUMPRODUCT(MIN(($C$8:$C$1007=$C409)*$A$8:$A$1007+($C$8:$C$1007&lt;&gt;$C409)*100000))+1)</f>
        <v>0</v>
      </c>
      <c r="L409" s="26" t="str">
        <f aca="false">IF($A409="","",IF($J409=0,"Sem registro anterior",IF($K409&lt;21,"Histórico insuficiente",IF($J409&lt;0.8,"Subcarga",IF($J409&lt;=1.3,"Zona ideal",IF($J409&lt;=1.5,"Atenção","Risco elevado"))))))</f>
        <v/>
      </c>
      <c r="M409" s="27"/>
    </row>
    <row r="410" customFormat="false" ht="15" hidden="false" customHeight="false" outlineLevel="0" collapsed="false">
      <c r="A410" s="29"/>
      <c r="B410" s="40" t="n">
        <f aca="false">IF($A410="",0,INT(($A410-Macrociclo!$C$11)/7)+1)</f>
        <v>0</v>
      </c>
      <c r="C410" s="27"/>
      <c r="D410" s="27"/>
      <c r="E410" s="28"/>
      <c r="F410" s="28"/>
      <c r="G410" s="44" t="n">
        <f aca="false">IF(OR($E410="",$F410=""),0,$E410*$F410)</f>
        <v>0</v>
      </c>
      <c r="H410" s="44" t="n">
        <f aca="false">IF($A410="",0,SUMIFS($G$8:$G$1007,$C$8:$C$1007,$C410,$A$8:$A$1007,"&gt;="&amp;$A410-6,$A$8:$A$1007,"&lt;="&amp;$A410))</f>
        <v>0</v>
      </c>
      <c r="I410" s="44" t="n">
        <f aca="false">IF($A410="",0,SUMIFS($G$8:$G$1007,$C$8:$C$1007,$C410,$A$8:$A$1007,"&gt;="&amp;$A410-27,$A$8:$A$1007,"&lt;="&amp;$A410)/4)</f>
        <v>0</v>
      </c>
      <c r="J410" s="144" t="n">
        <f aca="false">IF(OR($A410="",$I410=0),0,$H410/$I410)</f>
        <v>0</v>
      </c>
      <c r="K410" s="40" t="n">
        <f aca="false">IF($A410="",0,$A410-SUMPRODUCT(MIN(($C$8:$C$1007=$C410)*$A$8:$A$1007+($C$8:$C$1007&lt;&gt;$C410)*100000))+1)</f>
        <v>0</v>
      </c>
      <c r="L410" s="26" t="str">
        <f aca="false">IF($A410="","",IF($J410=0,"Sem registro anterior",IF($K410&lt;21,"Histórico insuficiente",IF($J410&lt;0.8,"Subcarga",IF($J410&lt;=1.3,"Zona ideal",IF($J410&lt;=1.5,"Atenção","Risco elevado"))))))</f>
        <v/>
      </c>
      <c r="M410" s="27"/>
    </row>
    <row r="411" customFormat="false" ht="15" hidden="false" customHeight="false" outlineLevel="0" collapsed="false">
      <c r="A411" s="29"/>
      <c r="B411" s="40" t="n">
        <f aca="false">IF($A411="",0,INT(($A411-Macrociclo!$C$11)/7)+1)</f>
        <v>0</v>
      </c>
      <c r="C411" s="27"/>
      <c r="D411" s="27"/>
      <c r="E411" s="28"/>
      <c r="F411" s="28"/>
      <c r="G411" s="44" t="n">
        <f aca="false">IF(OR($E411="",$F411=""),0,$E411*$F411)</f>
        <v>0</v>
      </c>
      <c r="H411" s="44" t="n">
        <f aca="false">IF($A411="",0,SUMIFS($G$8:$G$1007,$C$8:$C$1007,$C411,$A$8:$A$1007,"&gt;="&amp;$A411-6,$A$8:$A$1007,"&lt;="&amp;$A411))</f>
        <v>0</v>
      </c>
      <c r="I411" s="44" t="n">
        <f aca="false">IF($A411="",0,SUMIFS($G$8:$G$1007,$C$8:$C$1007,$C411,$A$8:$A$1007,"&gt;="&amp;$A411-27,$A$8:$A$1007,"&lt;="&amp;$A411)/4)</f>
        <v>0</v>
      </c>
      <c r="J411" s="144" t="n">
        <f aca="false">IF(OR($A411="",$I411=0),0,$H411/$I411)</f>
        <v>0</v>
      </c>
      <c r="K411" s="40" t="n">
        <f aca="false">IF($A411="",0,$A411-SUMPRODUCT(MIN(($C$8:$C$1007=$C411)*$A$8:$A$1007+($C$8:$C$1007&lt;&gt;$C411)*100000))+1)</f>
        <v>0</v>
      </c>
      <c r="L411" s="26" t="str">
        <f aca="false">IF($A411="","",IF($J411=0,"Sem registro anterior",IF($K411&lt;21,"Histórico insuficiente",IF($J411&lt;0.8,"Subcarga",IF($J411&lt;=1.3,"Zona ideal",IF($J411&lt;=1.5,"Atenção","Risco elevado"))))))</f>
        <v/>
      </c>
      <c r="M411" s="27"/>
    </row>
    <row r="412" customFormat="false" ht="15" hidden="false" customHeight="false" outlineLevel="0" collapsed="false">
      <c r="A412" s="29"/>
      <c r="B412" s="40" t="n">
        <f aca="false">IF($A412="",0,INT(($A412-Macrociclo!$C$11)/7)+1)</f>
        <v>0</v>
      </c>
      <c r="C412" s="27"/>
      <c r="D412" s="27"/>
      <c r="E412" s="28"/>
      <c r="F412" s="28"/>
      <c r="G412" s="44" t="n">
        <f aca="false">IF(OR($E412="",$F412=""),0,$E412*$F412)</f>
        <v>0</v>
      </c>
      <c r="H412" s="44" t="n">
        <f aca="false">IF($A412="",0,SUMIFS($G$8:$G$1007,$C$8:$C$1007,$C412,$A$8:$A$1007,"&gt;="&amp;$A412-6,$A$8:$A$1007,"&lt;="&amp;$A412))</f>
        <v>0</v>
      </c>
      <c r="I412" s="44" t="n">
        <f aca="false">IF($A412="",0,SUMIFS($G$8:$G$1007,$C$8:$C$1007,$C412,$A$8:$A$1007,"&gt;="&amp;$A412-27,$A$8:$A$1007,"&lt;="&amp;$A412)/4)</f>
        <v>0</v>
      </c>
      <c r="J412" s="144" t="n">
        <f aca="false">IF(OR($A412="",$I412=0),0,$H412/$I412)</f>
        <v>0</v>
      </c>
      <c r="K412" s="40" t="n">
        <f aca="false">IF($A412="",0,$A412-SUMPRODUCT(MIN(($C$8:$C$1007=$C412)*$A$8:$A$1007+($C$8:$C$1007&lt;&gt;$C412)*100000))+1)</f>
        <v>0</v>
      </c>
      <c r="L412" s="26" t="str">
        <f aca="false">IF($A412="","",IF($J412=0,"Sem registro anterior",IF($K412&lt;21,"Histórico insuficiente",IF($J412&lt;0.8,"Subcarga",IF($J412&lt;=1.3,"Zona ideal",IF($J412&lt;=1.5,"Atenção","Risco elevado"))))))</f>
        <v/>
      </c>
      <c r="M412" s="27"/>
    </row>
    <row r="413" customFormat="false" ht="15" hidden="false" customHeight="false" outlineLevel="0" collapsed="false">
      <c r="A413" s="29"/>
      <c r="B413" s="40" t="n">
        <f aca="false">IF($A413="",0,INT(($A413-Macrociclo!$C$11)/7)+1)</f>
        <v>0</v>
      </c>
      <c r="C413" s="27"/>
      <c r="D413" s="27"/>
      <c r="E413" s="28"/>
      <c r="F413" s="28"/>
      <c r="G413" s="44" t="n">
        <f aca="false">IF(OR($E413="",$F413=""),0,$E413*$F413)</f>
        <v>0</v>
      </c>
      <c r="H413" s="44" t="n">
        <f aca="false">IF($A413="",0,SUMIFS($G$8:$G$1007,$C$8:$C$1007,$C413,$A$8:$A$1007,"&gt;="&amp;$A413-6,$A$8:$A$1007,"&lt;="&amp;$A413))</f>
        <v>0</v>
      </c>
      <c r="I413" s="44" t="n">
        <f aca="false">IF($A413="",0,SUMIFS($G$8:$G$1007,$C$8:$C$1007,$C413,$A$8:$A$1007,"&gt;="&amp;$A413-27,$A$8:$A$1007,"&lt;="&amp;$A413)/4)</f>
        <v>0</v>
      </c>
      <c r="J413" s="144" t="n">
        <f aca="false">IF(OR($A413="",$I413=0),0,$H413/$I413)</f>
        <v>0</v>
      </c>
      <c r="K413" s="40" t="n">
        <f aca="false">IF($A413="",0,$A413-SUMPRODUCT(MIN(($C$8:$C$1007=$C413)*$A$8:$A$1007+($C$8:$C$1007&lt;&gt;$C413)*100000))+1)</f>
        <v>0</v>
      </c>
      <c r="L413" s="26" t="str">
        <f aca="false">IF($A413="","",IF($J413=0,"Sem registro anterior",IF($K413&lt;21,"Histórico insuficiente",IF($J413&lt;0.8,"Subcarga",IF($J413&lt;=1.3,"Zona ideal",IF($J413&lt;=1.5,"Atenção","Risco elevado"))))))</f>
        <v/>
      </c>
      <c r="M413" s="27"/>
    </row>
    <row r="414" customFormat="false" ht="15" hidden="false" customHeight="false" outlineLevel="0" collapsed="false">
      <c r="A414" s="29"/>
      <c r="B414" s="40" t="n">
        <f aca="false">IF($A414="",0,INT(($A414-Macrociclo!$C$11)/7)+1)</f>
        <v>0</v>
      </c>
      <c r="C414" s="27"/>
      <c r="D414" s="27"/>
      <c r="E414" s="28"/>
      <c r="F414" s="28"/>
      <c r="G414" s="44" t="n">
        <f aca="false">IF(OR($E414="",$F414=""),0,$E414*$F414)</f>
        <v>0</v>
      </c>
      <c r="H414" s="44" t="n">
        <f aca="false">IF($A414="",0,SUMIFS($G$8:$G$1007,$C$8:$C$1007,$C414,$A$8:$A$1007,"&gt;="&amp;$A414-6,$A$8:$A$1007,"&lt;="&amp;$A414))</f>
        <v>0</v>
      </c>
      <c r="I414" s="44" t="n">
        <f aca="false">IF($A414="",0,SUMIFS($G$8:$G$1007,$C$8:$C$1007,$C414,$A$8:$A$1007,"&gt;="&amp;$A414-27,$A$8:$A$1007,"&lt;="&amp;$A414)/4)</f>
        <v>0</v>
      </c>
      <c r="J414" s="144" t="n">
        <f aca="false">IF(OR($A414="",$I414=0),0,$H414/$I414)</f>
        <v>0</v>
      </c>
      <c r="K414" s="40" t="n">
        <f aca="false">IF($A414="",0,$A414-SUMPRODUCT(MIN(($C$8:$C$1007=$C414)*$A$8:$A$1007+($C$8:$C$1007&lt;&gt;$C414)*100000))+1)</f>
        <v>0</v>
      </c>
      <c r="L414" s="26" t="str">
        <f aca="false">IF($A414="","",IF($J414=0,"Sem registro anterior",IF($K414&lt;21,"Histórico insuficiente",IF($J414&lt;0.8,"Subcarga",IF($J414&lt;=1.3,"Zona ideal",IF($J414&lt;=1.5,"Atenção","Risco elevado"))))))</f>
        <v/>
      </c>
      <c r="M414" s="27"/>
    </row>
    <row r="415" customFormat="false" ht="15" hidden="false" customHeight="false" outlineLevel="0" collapsed="false">
      <c r="A415" s="29"/>
      <c r="B415" s="40" t="n">
        <f aca="false">IF($A415="",0,INT(($A415-Macrociclo!$C$11)/7)+1)</f>
        <v>0</v>
      </c>
      <c r="C415" s="27"/>
      <c r="D415" s="27"/>
      <c r="E415" s="28"/>
      <c r="F415" s="28"/>
      <c r="G415" s="44" t="n">
        <f aca="false">IF(OR($E415="",$F415=""),0,$E415*$F415)</f>
        <v>0</v>
      </c>
      <c r="H415" s="44" t="n">
        <f aca="false">IF($A415="",0,SUMIFS($G$8:$G$1007,$C$8:$C$1007,$C415,$A$8:$A$1007,"&gt;="&amp;$A415-6,$A$8:$A$1007,"&lt;="&amp;$A415))</f>
        <v>0</v>
      </c>
      <c r="I415" s="44" t="n">
        <f aca="false">IF($A415="",0,SUMIFS($G$8:$G$1007,$C$8:$C$1007,$C415,$A$8:$A$1007,"&gt;="&amp;$A415-27,$A$8:$A$1007,"&lt;="&amp;$A415)/4)</f>
        <v>0</v>
      </c>
      <c r="J415" s="144" t="n">
        <f aca="false">IF(OR($A415="",$I415=0),0,$H415/$I415)</f>
        <v>0</v>
      </c>
      <c r="K415" s="40" t="n">
        <f aca="false">IF($A415="",0,$A415-SUMPRODUCT(MIN(($C$8:$C$1007=$C415)*$A$8:$A$1007+($C$8:$C$1007&lt;&gt;$C415)*100000))+1)</f>
        <v>0</v>
      </c>
      <c r="L415" s="26" t="str">
        <f aca="false">IF($A415="","",IF($J415=0,"Sem registro anterior",IF($K415&lt;21,"Histórico insuficiente",IF($J415&lt;0.8,"Subcarga",IF($J415&lt;=1.3,"Zona ideal",IF($J415&lt;=1.5,"Atenção","Risco elevado"))))))</f>
        <v/>
      </c>
      <c r="M415" s="27"/>
    </row>
    <row r="416" customFormat="false" ht="15" hidden="false" customHeight="false" outlineLevel="0" collapsed="false">
      <c r="A416" s="29"/>
      <c r="B416" s="40" t="n">
        <f aca="false">IF($A416="",0,INT(($A416-Macrociclo!$C$11)/7)+1)</f>
        <v>0</v>
      </c>
      <c r="C416" s="27"/>
      <c r="D416" s="27"/>
      <c r="E416" s="28"/>
      <c r="F416" s="28"/>
      <c r="G416" s="44" t="n">
        <f aca="false">IF(OR($E416="",$F416=""),0,$E416*$F416)</f>
        <v>0</v>
      </c>
      <c r="H416" s="44" t="n">
        <f aca="false">IF($A416="",0,SUMIFS($G$8:$G$1007,$C$8:$C$1007,$C416,$A$8:$A$1007,"&gt;="&amp;$A416-6,$A$8:$A$1007,"&lt;="&amp;$A416))</f>
        <v>0</v>
      </c>
      <c r="I416" s="44" t="n">
        <f aca="false">IF($A416="",0,SUMIFS($G$8:$G$1007,$C$8:$C$1007,$C416,$A$8:$A$1007,"&gt;="&amp;$A416-27,$A$8:$A$1007,"&lt;="&amp;$A416)/4)</f>
        <v>0</v>
      </c>
      <c r="J416" s="144" t="n">
        <f aca="false">IF(OR($A416="",$I416=0),0,$H416/$I416)</f>
        <v>0</v>
      </c>
      <c r="K416" s="40" t="n">
        <f aca="false">IF($A416="",0,$A416-SUMPRODUCT(MIN(($C$8:$C$1007=$C416)*$A$8:$A$1007+($C$8:$C$1007&lt;&gt;$C416)*100000))+1)</f>
        <v>0</v>
      </c>
      <c r="L416" s="26" t="str">
        <f aca="false">IF($A416="","",IF($J416=0,"Sem registro anterior",IF($K416&lt;21,"Histórico insuficiente",IF($J416&lt;0.8,"Subcarga",IF($J416&lt;=1.3,"Zona ideal",IF($J416&lt;=1.5,"Atenção","Risco elevado"))))))</f>
        <v/>
      </c>
      <c r="M416" s="27"/>
    </row>
    <row r="417" customFormat="false" ht="15" hidden="false" customHeight="false" outlineLevel="0" collapsed="false">
      <c r="A417" s="29"/>
      <c r="B417" s="40" t="n">
        <f aca="false">IF($A417="",0,INT(($A417-Macrociclo!$C$11)/7)+1)</f>
        <v>0</v>
      </c>
      <c r="C417" s="27"/>
      <c r="D417" s="27"/>
      <c r="E417" s="28"/>
      <c r="F417" s="28"/>
      <c r="G417" s="44" t="n">
        <f aca="false">IF(OR($E417="",$F417=""),0,$E417*$F417)</f>
        <v>0</v>
      </c>
      <c r="H417" s="44" t="n">
        <f aca="false">IF($A417="",0,SUMIFS($G$8:$G$1007,$C$8:$C$1007,$C417,$A$8:$A$1007,"&gt;="&amp;$A417-6,$A$8:$A$1007,"&lt;="&amp;$A417))</f>
        <v>0</v>
      </c>
      <c r="I417" s="44" t="n">
        <f aca="false">IF($A417="",0,SUMIFS($G$8:$G$1007,$C$8:$C$1007,$C417,$A$8:$A$1007,"&gt;="&amp;$A417-27,$A$8:$A$1007,"&lt;="&amp;$A417)/4)</f>
        <v>0</v>
      </c>
      <c r="J417" s="144" t="n">
        <f aca="false">IF(OR($A417="",$I417=0),0,$H417/$I417)</f>
        <v>0</v>
      </c>
      <c r="K417" s="40" t="n">
        <f aca="false">IF($A417="",0,$A417-SUMPRODUCT(MIN(($C$8:$C$1007=$C417)*$A$8:$A$1007+($C$8:$C$1007&lt;&gt;$C417)*100000))+1)</f>
        <v>0</v>
      </c>
      <c r="L417" s="26" t="str">
        <f aca="false">IF($A417="","",IF($J417=0,"Sem registro anterior",IF($K417&lt;21,"Histórico insuficiente",IF($J417&lt;0.8,"Subcarga",IF($J417&lt;=1.3,"Zona ideal",IF($J417&lt;=1.5,"Atenção","Risco elevado"))))))</f>
        <v/>
      </c>
      <c r="M417" s="27"/>
    </row>
    <row r="418" customFormat="false" ht="15" hidden="false" customHeight="false" outlineLevel="0" collapsed="false">
      <c r="A418" s="29"/>
      <c r="B418" s="40" t="n">
        <f aca="false">IF($A418="",0,INT(($A418-Macrociclo!$C$11)/7)+1)</f>
        <v>0</v>
      </c>
      <c r="C418" s="27"/>
      <c r="D418" s="27"/>
      <c r="E418" s="28"/>
      <c r="F418" s="28"/>
      <c r="G418" s="44" t="n">
        <f aca="false">IF(OR($E418="",$F418=""),0,$E418*$F418)</f>
        <v>0</v>
      </c>
      <c r="H418" s="44" t="n">
        <f aca="false">IF($A418="",0,SUMIFS($G$8:$G$1007,$C$8:$C$1007,$C418,$A$8:$A$1007,"&gt;="&amp;$A418-6,$A$8:$A$1007,"&lt;="&amp;$A418))</f>
        <v>0</v>
      </c>
      <c r="I418" s="44" t="n">
        <f aca="false">IF($A418="",0,SUMIFS($G$8:$G$1007,$C$8:$C$1007,$C418,$A$8:$A$1007,"&gt;="&amp;$A418-27,$A$8:$A$1007,"&lt;="&amp;$A418)/4)</f>
        <v>0</v>
      </c>
      <c r="J418" s="144" t="n">
        <f aca="false">IF(OR($A418="",$I418=0),0,$H418/$I418)</f>
        <v>0</v>
      </c>
      <c r="K418" s="40" t="n">
        <f aca="false">IF($A418="",0,$A418-SUMPRODUCT(MIN(($C$8:$C$1007=$C418)*$A$8:$A$1007+($C$8:$C$1007&lt;&gt;$C418)*100000))+1)</f>
        <v>0</v>
      </c>
      <c r="L418" s="26" t="str">
        <f aca="false">IF($A418="","",IF($J418=0,"Sem registro anterior",IF($K418&lt;21,"Histórico insuficiente",IF($J418&lt;0.8,"Subcarga",IF($J418&lt;=1.3,"Zona ideal",IF($J418&lt;=1.5,"Atenção","Risco elevado"))))))</f>
        <v/>
      </c>
      <c r="M418" s="27"/>
    </row>
    <row r="419" customFormat="false" ht="15" hidden="false" customHeight="false" outlineLevel="0" collapsed="false">
      <c r="A419" s="29"/>
      <c r="B419" s="40" t="n">
        <f aca="false">IF($A419="",0,INT(($A419-Macrociclo!$C$11)/7)+1)</f>
        <v>0</v>
      </c>
      <c r="C419" s="27"/>
      <c r="D419" s="27"/>
      <c r="E419" s="28"/>
      <c r="F419" s="28"/>
      <c r="G419" s="44" t="n">
        <f aca="false">IF(OR($E419="",$F419=""),0,$E419*$F419)</f>
        <v>0</v>
      </c>
      <c r="H419" s="44" t="n">
        <f aca="false">IF($A419="",0,SUMIFS($G$8:$G$1007,$C$8:$C$1007,$C419,$A$8:$A$1007,"&gt;="&amp;$A419-6,$A$8:$A$1007,"&lt;="&amp;$A419))</f>
        <v>0</v>
      </c>
      <c r="I419" s="44" t="n">
        <f aca="false">IF($A419="",0,SUMIFS($G$8:$G$1007,$C$8:$C$1007,$C419,$A$8:$A$1007,"&gt;="&amp;$A419-27,$A$8:$A$1007,"&lt;="&amp;$A419)/4)</f>
        <v>0</v>
      </c>
      <c r="J419" s="144" t="n">
        <f aca="false">IF(OR($A419="",$I419=0),0,$H419/$I419)</f>
        <v>0</v>
      </c>
      <c r="K419" s="40" t="n">
        <f aca="false">IF($A419="",0,$A419-SUMPRODUCT(MIN(($C$8:$C$1007=$C419)*$A$8:$A$1007+($C$8:$C$1007&lt;&gt;$C419)*100000))+1)</f>
        <v>0</v>
      </c>
      <c r="L419" s="26" t="str">
        <f aca="false">IF($A419="","",IF($J419=0,"Sem registro anterior",IF($K419&lt;21,"Histórico insuficiente",IF($J419&lt;0.8,"Subcarga",IF($J419&lt;=1.3,"Zona ideal",IF($J419&lt;=1.5,"Atenção","Risco elevado"))))))</f>
        <v/>
      </c>
      <c r="M419" s="27"/>
    </row>
    <row r="420" customFormat="false" ht="15" hidden="false" customHeight="false" outlineLevel="0" collapsed="false">
      <c r="A420" s="29"/>
      <c r="B420" s="40" t="n">
        <f aca="false">IF($A420="",0,INT(($A420-Macrociclo!$C$11)/7)+1)</f>
        <v>0</v>
      </c>
      <c r="C420" s="27"/>
      <c r="D420" s="27"/>
      <c r="E420" s="28"/>
      <c r="F420" s="28"/>
      <c r="G420" s="44" t="n">
        <f aca="false">IF(OR($E420="",$F420=""),0,$E420*$F420)</f>
        <v>0</v>
      </c>
      <c r="H420" s="44" t="n">
        <f aca="false">IF($A420="",0,SUMIFS($G$8:$G$1007,$C$8:$C$1007,$C420,$A$8:$A$1007,"&gt;="&amp;$A420-6,$A$8:$A$1007,"&lt;="&amp;$A420))</f>
        <v>0</v>
      </c>
      <c r="I420" s="44" t="n">
        <f aca="false">IF($A420="",0,SUMIFS($G$8:$G$1007,$C$8:$C$1007,$C420,$A$8:$A$1007,"&gt;="&amp;$A420-27,$A$8:$A$1007,"&lt;="&amp;$A420)/4)</f>
        <v>0</v>
      </c>
      <c r="J420" s="144" t="n">
        <f aca="false">IF(OR($A420="",$I420=0),0,$H420/$I420)</f>
        <v>0</v>
      </c>
      <c r="K420" s="40" t="n">
        <f aca="false">IF($A420="",0,$A420-SUMPRODUCT(MIN(($C$8:$C$1007=$C420)*$A$8:$A$1007+($C$8:$C$1007&lt;&gt;$C420)*100000))+1)</f>
        <v>0</v>
      </c>
      <c r="L420" s="26" t="str">
        <f aca="false">IF($A420="","",IF($J420=0,"Sem registro anterior",IF($K420&lt;21,"Histórico insuficiente",IF($J420&lt;0.8,"Subcarga",IF($J420&lt;=1.3,"Zona ideal",IF($J420&lt;=1.5,"Atenção","Risco elevado"))))))</f>
        <v/>
      </c>
      <c r="M420" s="27"/>
    </row>
    <row r="421" customFormat="false" ht="15" hidden="false" customHeight="false" outlineLevel="0" collapsed="false">
      <c r="A421" s="29"/>
      <c r="B421" s="40" t="n">
        <f aca="false">IF($A421="",0,INT(($A421-Macrociclo!$C$11)/7)+1)</f>
        <v>0</v>
      </c>
      <c r="C421" s="27"/>
      <c r="D421" s="27"/>
      <c r="E421" s="28"/>
      <c r="F421" s="28"/>
      <c r="G421" s="44" t="n">
        <f aca="false">IF(OR($E421="",$F421=""),0,$E421*$F421)</f>
        <v>0</v>
      </c>
      <c r="H421" s="44" t="n">
        <f aca="false">IF($A421="",0,SUMIFS($G$8:$G$1007,$C$8:$C$1007,$C421,$A$8:$A$1007,"&gt;="&amp;$A421-6,$A$8:$A$1007,"&lt;="&amp;$A421))</f>
        <v>0</v>
      </c>
      <c r="I421" s="44" t="n">
        <f aca="false">IF($A421="",0,SUMIFS($G$8:$G$1007,$C$8:$C$1007,$C421,$A$8:$A$1007,"&gt;="&amp;$A421-27,$A$8:$A$1007,"&lt;="&amp;$A421)/4)</f>
        <v>0</v>
      </c>
      <c r="J421" s="144" t="n">
        <f aca="false">IF(OR($A421="",$I421=0),0,$H421/$I421)</f>
        <v>0</v>
      </c>
      <c r="K421" s="40" t="n">
        <f aca="false">IF($A421="",0,$A421-SUMPRODUCT(MIN(($C$8:$C$1007=$C421)*$A$8:$A$1007+($C$8:$C$1007&lt;&gt;$C421)*100000))+1)</f>
        <v>0</v>
      </c>
      <c r="L421" s="26" t="str">
        <f aca="false">IF($A421="","",IF($J421=0,"Sem registro anterior",IF($K421&lt;21,"Histórico insuficiente",IF($J421&lt;0.8,"Subcarga",IF($J421&lt;=1.3,"Zona ideal",IF($J421&lt;=1.5,"Atenção","Risco elevado"))))))</f>
        <v/>
      </c>
      <c r="M421" s="27"/>
    </row>
    <row r="422" customFormat="false" ht="15" hidden="false" customHeight="false" outlineLevel="0" collapsed="false">
      <c r="A422" s="29"/>
      <c r="B422" s="40" t="n">
        <f aca="false">IF($A422="",0,INT(($A422-Macrociclo!$C$11)/7)+1)</f>
        <v>0</v>
      </c>
      <c r="C422" s="27"/>
      <c r="D422" s="27"/>
      <c r="E422" s="28"/>
      <c r="F422" s="28"/>
      <c r="G422" s="44" t="n">
        <f aca="false">IF(OR($E422="",$F422=""),0,$E422*$F422)</f>
        <v>0</v>
      </c>
      <c r="H422" s="44" t="n">
        <f aca="false">IF($A422="",0,SUMIFS($G$8:$G$1007,$C$8:$C$1007,$C422,$A$8:$A$1007,"&gt;="&amp;$A422-6,$A$8:$A$1007,"&lt;="&amp;$A422))</f>
        <v>0</v>
      </c>
      <c r="I422" s="44" t="n">
        <f aca="false">IF($A422="",0,SUMIFS($G$8:$G$1007,$C$8:$C$1007,$C422,$A$8:$A$1007,"&gt;="&amp;$A422-27,$A$8:$A$1007,"&lt;="&amp;$A422)/4)</f>
        <v>0</v>
      </c>
      <c r="J422" s="144" t="n">
        <f aca="false">IF(OR($A422="",$I422=0),0,$H422/$I422)</f>
        <v>0</v>
      </c>
      <c r="K422" s="40" t="n">
        <f aca="false">IF($A422="",0,$A422-SUMPRODUCT(MIN(($C$8:$C$1007=$C422)*$A$8:$A$1007+($C$8:$C$1007&lt;&gt;$C422)*100000))+1)</f>
        <v>0</v>
      </c>
      <c r="L422" s="26" t="str">
        <f aca="false">IF($A422="","",IF($J422=0,"Sem registro anterior",IF($K422&lt;21,"Histórico insuficiente",IF($J422&lt;0.8,"Subcarga",IF($J422&lt;=1.3,"Zona ideal",IF($J422&lt;=1.5,"Atenção","Risco elevado"))))))</f>
        <v/>
      </c>
      <c r="M422" s="27"/>
    </row>
    <row r="423" customFormat="false" ht="15" hidden="false" customHeight="false" outlineLevel="0" collapsed="false">
      <c r="A423" s="29"/>
      <c r="B423" s="40" t="n">
        <f aca="false">IF($A423="",0,INT(($A423-Macrociclo!$C$11)/7)+1)</f>
        <v>0</v>
      </c>
      <c r="C423" s="27"/>
      <c r="D423" s="27"/>
      <c r="E423" s="28"/>
      <c r="F423" s="28"/>
      <c r="G423" s="44" t="n">
        <f aca="false">IF(OR($E423="",$F423=""),0,$E423*$F423)</f>
        <v>0</v>
      </c>
      <c r="H423" s="44" t="n">
        <f aca="false">IF($A423="",0,SUMIFS($G$8:$G$1007,$C$8:$C$1007,$C423,$A$8:$A$1007,"&gt;="&amp;$A423-6,$A$8:$A$1007,"&lt;="&amp;$A423))</f>
        <v>0</v>
      </c>
      <c r="I423" s="44" t="n">
        <f aca="false">IF($A423="",0,SUMIFS($G$8:$G$1007,$C$8:$C$1007,$C423,$A$8:$A$1007,"&gt;="&amp;$A423-27,$A$8:$A$1007,"&lt;="&amp;$A423)/4)</f>
        <v>0</v>
      </c>
      <c r="J423" s="144" t="n">
        <f aca="false">IF(OR($A423="",$I423=0),0,$H423/$I423)</f>
        <v>0</v>
      </c>
      <c r="K423" s="40" t="n">
        <f aca="false">IF($A423="",0,$A423-SUMPRODUCT(MIN(($C$8:$C$1007=$C423)*$A$8:$A$1007+($C$8:$C$1007&lt;&gt;$C423)*100000))+1)</f>
        <v>0</v>
      </c>
      <c r="L423" s="26" t="str">
        <f aca="false">IF($A423="","",IF($J423=0,"Sem registro anterior",IF($K423&lt;21,"Histórico insuficiente",IF($J423&lt;0.8,"Subcarga",IF($J423&lt;=1.3,"Zona ideal",IF($J423&lt;=1.5,"Atenção","Risco elevado"))))))</f>
        <v/>
      </c>
      <c r="M423" s="27"/>
    </row>
    <row r="424" customFormat="false" ht="15" hidden="false" customHeight="false" outlineLevel="0" collapsed="false">
      <c r="A424" s="29"/>
      <c r="B424" s="40" t="n">
        <f aca="false">IF($A424="",0,INT(($A424-Macrociclo!$C$11)/7)+1)</f>
        <v>0</v>
      </c>
      <c r="C424" s="27"/>
      <c r="D424" s="27"/>
      <c r="E424" s="28"/>
      <c r="F424" s="28"/>
      <c r="G424" s="44" t="n">
        <f aca="false">IF(OR($E424="",$F424=""),0,$E424*$F424)</f>
        <v>0</v>
      </c>
      <c r="H424" s="44" t="n">
        <f aca="false">IF($A424="",0,SUMIFS($G$8:$G$1007,$C$8:$C$1007,$C424,$A$8:$A$1007,"&gt;="&amp;$A424-6,$A$8:$A$1007,"&lt;="&amp;$A424))</f>
        <v>0</v>
      </c>
      <c r="I424" s="44" t="n">
        <f aca="false">IF($A424="",0,SUMIFS($G$8:$G$1007,$C$8:$C$1007,$C424,$A$8:$A$1007,"&gt;="&amp;$A424-27,$A$8:$A$1007,"&lt;="&amp;$A424)/4)</f>
        <v>0</v>
      </c>
      <c r="J424" s="144" t="n">
        <f aca="false">IF(OR($A424="",$I424=0),0,$H424/$I424)</f>
        <v>0</v>
      </c>
      <c r="K424" s="40" t="n">
        <f aca="false">IF($A424="",0,$A424-SUMPRODUCT(MIN(($C$8:$C$1007=$C424)*$A$8:$A$1007+($C$8:$C$1007&lt;&gt;$C424)*100000))+1)</f>
        <v>0</v>
      </c>
      <c r="L424" s="26" t="str">
        <f aca="false">IF($A424="","",IF($J424=0,"Sem registro anterior",IF($K424&lt;21,"Histórico insuficiente",IF($J424&lt;0.8,"Subcarga",IF($J424&lt;=1.3,"Zona ideal",IF($J424&lt;=1.5,"Atenção","Risco elevado"))))))</f>
        <v/>
      </c>
      <c r="M424" s="27"/>
    </row>
    <row r="425" customFormat="false" ht="15" hidden="false" customHeight="false" outlineLevel="0" collapsed="false">
      <c r="A425" s="29"/>
      <c r="B425" s="40" t="n">
        <f aca="false">IF($A425="",0,INT(($A425-Macrociclo!$C$11)/7)+1)</f>
        <v>0</v>
      </c>
      <c r="C425" s="27"/>
      <c r="D425" s="27"/>
      <c r="E425" s="28"/>
      <c r="F425" s="28"/>
      <c r="G425" s="44" t="n">
        <f aca="false">IF(OR($E425="",$F425=""),0,$E425*$F425)</f>
        <v>0</v>
      </c>
      <c r="H425" s="44" t="n">
        <f aca="false">IF($A425="",0,SUMIFS($G$8:$G$1007,$C$8:$C$1007,$C425,$A$8:$A$1007,"&gt;="&amp;$A425-6,$A$8:$A$1007,"&lt;="&amp;$A425))</f>
        <v>0</v>
      </c>
      <c r="I425" s="44" t="n">
        <f aca="false">IF($A425="",0,SUMIFS($G$8:$G$1007,$C$8:$C$1007,$C425,$A$8:$A$1007,"&gt;="&amp;$A425-27,$A$8:$A$1007,"&lt;="&amp;$A425)/4)</f>
        <v>0</v>
      </c>
      <c r="J425" s="144" t="n">
        <f aca="false">IF(OR($A425="",$I425=0),0,$H425/$I425)</f>
        <v>0</v>
      </c>
      <c r="K425" s="40" t="n">
        <f aca="false">IF($A425="",0,$A425-SUMPRODUCT(MIN(($C$8:$C$1007=$C425)*$A$8:$A$1007+($C$8:$C$1007&lt;&gt;$C425)*100000))+1)</f>
        <v>0</v>
      </c>
      <c r="L425" s="26" t="str">
        <f aca="false">IF($A425="","",IF($J425=0,"Sem registro anterior",IF($K425&lt;21,"Histórico insuficiente",IF($J425&lt;0.8,"Subcarga",IF($J425&lt;=1.3,"Zona ideal",IF($J425&lt;=1.5,"Atenção","Risco elevado"))))))</f>
        <v/>
      </c>
      <c r="M425" s="27"/>
    </row>
    <row r="426" customFormat="false" ht="15" hidden="false" customHeight="false" outlineLevel="0" collapsed="false">
      <c r="A426" s="29"/>
      <c r="B426" s="40" t="n">
        <f aca="false">IF($A426="",0,INT(($A426-Macrociclo!$C$11)/7)+1)</f>
        <v>0</v>
      </c>
      <c r="C426" s="27"/>
      <c r="D426" s="27"/>
      <c r="E426" s="28"/>
      <c r="F426" s="28"/>
      <c r="G426" s="44" t="n">
        <f aca="false">IF(OR($E426="",$F426=""),0,$E426*$F426)</f>
        <v>0</v>
      </c>
      <c r="H426" s="44" t="n">
        <f aca="false">IF($A426="",0,SUMIFS($G$8:$G$1007,$C$8:$C$1007,$C426,$A$8:$A$1007,"&gt;="&amp;$A426-6,$A$8:$A$1007,"&lt;="&amp;$A426))</f>
        <v>0</v>
      </c>
      <c r="I426" s="44" t="n">
        <f aca="false">IF($A426="",0,SUMIFS($G$8:$G$1007,$C$8:$C$1007,$C426,$A$8:$A$1007,"&gt;="&amp;$A426-27,$A$8:$A$1007,"&lt;="&amp;$A426)/4)</f>
        <v>0</v>
      </c>
      <c r="J426" s="144" t="n">
        <f aca="false">IF(OR($A426="",$I426=0),0,$H426/$I426)</f>
        <v>0</v>
      </c>
      <c r="K426" s="40" t="n">
        <f aca="false">IF($A426="",0,$A426-SUMPRODUCT(MIN(($C$8:$C$1007=$C426)*$A$8:$A$1007+($C$8:$C$1007&lt;&gt;$C426)*100000))+1)</f>
        <v>0</v>
      </c>
      <c r="L426" s="26" t="str">
        <f aca="false">IF($A426="","",IF($J426=0,"Sem registro anterior",IF($K426&lt;21,"Histórico insuficiente",IF($J426&lt;0.8,"Subcarga",IF($J426&lt;=1.3,"Zona ideal",IF($J426&lt;=1.5,"Atenção","Risco elevado"))))))</f>
        <v/>
      </c>
      <c r="M426" s="27"/>
    </row>
    <row r="427" customFormat="false" ht="15" hidden="false" customHeight="false" outlineLevel="0" collapsed="false">
      <c r="A427" s="29"/>
      <c r="B427" s="40" t="n">
        <f aca="false">IF($A427="",0,INT(($A427-Macrociclo!$C$11)/7)+1)</f>
        <v>0</v>
      </c>
      <c r="C427" s="27"/>
      <c r="D427" s="27"/>
      <c r="E427" s="28"/>
      <c r="F427" s="28"/>
      <c r="G427" s="44" t="n">
        <f aca="false">IF(OR($E427="",$F427=""),0,$E427*$F427)</f>
        <v>0</v>
      </c>
      <c r="H427" s="44" t="n">
        <f aca="false">IF($A427="",0,SUMIFS($G$8:$G$1007,$C$8:$C$1007,$C427,$A$8:$A$1007,"&gt;="&amp;$A427-6,$A$8:$A$1007,"&lt;="&amp;$A427))</f>
        <v>0</v>
      </c>
      <c r="I427" s="44" t="n">
        <f aca="false">IF($A427="",0,SUMIFS($G$8:$G$1007,$C$8:$C$1007,$C427,$A$8:$A$1007,"&gt;="&amp;$A427-27,$A$8:$A$1007,"&lt;="&amp;$A427)/4)</f>
        <v>0</v>
      </c>
      <c r="J427" s="144" t="n">
        <f aca="false">IF(OR($A427="",$I427=0),0,$H427/$I427)</f>
        <v>0</v>
      </c>
      <c r="K427" s="40" t="n">
        <f aca="false">IF($A427="",0,$A427-SUMPRODUCT(MIN(($C$8:$C$1007=$C427)*$A$8:$A$1007+($C$8:$C$1007&lt;&gt;$C427)*100000))+1)</f>
        <v>0</v>
      </c>
      <c r="L427" s="26" t="str">
        <f aca="false">IF($A427="","",IF($J427=0,"Sem registro anterior",IF($K427&lt;21,"Histórico insuficiente",IF($J427&lt;0.8,"Subcarga",IF($J427&lt;=1.3,"Zona ideal",IF($J427&lt;=1.5,"Atenção","Risco elevado"))))))</f>
        <v/>
      </c>
      <c r="M427" s="27"/>
    </row>
    <row r="428" customFormat="false" ht="15" hidden="false" customHeight="false" outlineLevel="0" collapsed="false">
      <c r="A428" s="29"/>
      <c r="B428" s="40" t="n">
        <f aca="false">IF($A428="",0,INT(($A428-Macrociclo!$C$11)/7)+1)</f>
        <v>0</v>
      </c>
      <c r="C428" s="27"/>
      <c r="D428" s="27"/>
      <c r="E428" s="28"/>
      <c r="F428" s="28"/>
      <c r="G428" s="44" t="n">
        <f aca="false">IF(OR($E428="",$F428=""),0,$E428*$F428)</f>
        <v>0</v>
      </c>
      <c r="H428" s="44" t="n">
        <f aca="false">IF($A428="",0,SUMIFS($G$8:$G$1007,$C$8:$C$1007,$C428,$A$8:$A$1007,"&gt;="&amp;$A428-6,$A$8:$A$1007,"&lt;="&amp;$A428))</f>
        <v>0</v>
      </c>
      <c r="I428" s="44" t="n">
        <f aca="false">IF($A428="",0,SUMIFS($G$8:$G$1007,$C$8:$C$1007,$C428,$A$8:$A$1007,"&gt;="&amp;$A428-27,$A$8:$A$1007,"&lt;="&amp;$A428)/4)</f>
        <v>0</v>
      </c>
      <c r="J428" s="144" t="n">
        <f aca="false">IF(OR($A428="",$I428=0),0,$H428/$I428)</f>
        <v>0</v>
      </c>
      <c r="K428" s="40" t="n">
        <f aca="false">IF($A428="",0,$A428-SUMPRODUCT(MIN(($C$8:$C$1007=$C428)*$A$8:$A$1007+($C$8:$C$1007&lt;&gt;$C428)*100000))+1)</f>
        <v>0</v>
      </c>
      <c r="L428" s="26" t="str">
        <f aca="false">IF($A428="","",IF($J428=0,"Sem registro anterior",IF($K428&lt;21,"Histórico insuficiente",IF($J428&lt;0.8,"Subcarga",IF($J428&lt;=1.3,"Zona ideal",IF($J428&lt;=1.5,"Atenção","Risco elevado"))))))</f>
        <v/>
      </c>
      <c r="M428" s="27"/>
    </row>
    <row r="429" customFormat="false" ht="15" hidden="false" customHeight="false" outlineLevel="0" collapsed="false">
      <c r="A429" s="29"/>
      <c r="B429" s="40" t="n">
        <f aca="false">IF($A429="",0,INT(($A429-Macrociclo!$C$11)/7)+1)</f>
        <v>0</v>
      </c>
      <c r="C429" s="27"/>
      <c r="D429" s="27"/>
      <c r="E429" s="28"/>
      <c r="F429" s="28"/>
      <c r="G429" s="44" t="n">
        <f aca="false">IF(OR($E429="",$F429=""),0,$E429*$F429)</f>
        <v>0</v>
      </c>
      <c r="H429" s="44" t="n">
        <f aca="false">IF($A429="",0,SUMIFS($G$8:$G$1007,$C$8:$C$1007,$C429,$A$8:$A$1007,"&gt;="&amp;$A429-6,$A$8:$A$1007,"&lt;="&amp;$A429))</f>
        <v>0</v>
      </c>
      <c r="I429" s="44" t="n">
        <f aca="false">IF($A429="",0,SUMIFS($G$8:$G$1007,$C$8:$C$1007,$C429,$A$8:$A$1007,"&gt;="&amp;$A429-27,$A$8:$A$1007,"&lt;="&amp;$A429)/4)</f>
        <v>0</v>
      </c>
      <c r="J429" s="144" t="n">
        <f aca="false">IF(OR($A429="",$I429=0),0,$H429/$I429)</f>
        <v>0</v>
      </c>
      <c r="K429" s="40" t="n">
        <f aca="false">IF($A429="",0,$A429-SUMPRODUCT(MIN(($C$8:$C$1007=$C429)*$A$8:$A$1007+($C$8:$C$1007&lt;&gt;$C429)*100000))+1)</f>
        <v>0</v>
      </c>
      <c r="L429" s="26" t="str">
        <f aca="false">IF($A429="","",IF($J429=0,"Sem registro anterior",IF($K429&lt;21,"Histórico insuficiente",IF($J429&lt;0.8,"Subcarga",IF($J429&lt;=1.3,"Zona ideal",IF($J429&lt;=1.5,"Atenção","Risco elevado"))))))</f>
        <v/>
      </c>
      <c r="M429" s="27"/>
    </row>
    <row r="430" customFormat="false" ht="15" hidden="false" customHeight="false" outlineLevel="0" collapsed="false">
      <c r="A430" s="29"/>
      <c r="B430" s="40" t="n">
        <f aca="false">IF($A430="",0,INT(($A430-Macrociclo!$C$11)/7)+1)</f>
        <v>0</v>
      </c>
      <c r="C430" s="27"/>
      <c r="D430" s="27"/>
      <c r="E430" s="28"/>
      <c r="F430" s="28"/>
      <c r="G430" s="44" t="n">
        <f aca="false">IF(OR($E430="",$F430=""),0,$E430*$F430)</f>
        <v>0</v>
      </c>
      <c r="H430" s="44" t="n">
        <f aca="false">IF($A430="",0,SUMIFS($G$8:$G$1007,$C$8:$C$1007,$C430,$A$8:$A$1007,"&gt;="&amp;$A430-6,$A$8:$A$1007,"&lt;="&amp;$A430))</f>
        <v>0</v>
      </c>
      <c r="I430" s="44" t="n">
        <f aca="false">IF($A430="",0,SUMIFS($G$8:$G$1007,$C$8:$C$1007,$C430,$A$8:$A$1007,"&gt;="&amp;$A430-27,$A$8:$A$1007,"&lt;="&amp;$A430)/4)</f>
        <v>0</v>
      </c>
      <c r="J430" s="144" t="n">
        <f aca="false">IF(OR($A430="",$I430=0),0,$H430/$I430)</f>
        <v>0</v>
      </c>
      <c r="K430" s="40" t="n">
        <f aca="false">IF($A430="",0,$A430-SUMPRODUCT(MIN(($C$8:$C$1007=$C430)*$A$8:$A$1007+($C$8:$C$1007&lt;&gt;$C430)*100000))+1)</f>
        <v>0</v>
      </c>
      <c r="L430" s="26" t="str">
        <f aca="false">IF($A430="","",IF($J430=0,"Sem registro anterior",IF($K430&lt;21,"Histórico insuficiente",IF($J430&lt;0.8,"Subcarga",IF($J430&lt;=1.3,"Zona ideal",IF($J430&lt;=1.5,"Atenção","Risco elevado"))))))</f>
        <v/>
      </c>
      <c r="M430" s="27"/>
    </row>
    <row r="431" customFormat="false" ht="15" hidden="false" customHeight="false" outlineLevel="0" collapsed="false">
      <c r="A431" s="29"/>
      <c r="B431" s="40" t="n">
        <f aca="false">IF($A431="",0,INT(($A431-Macrociclo!$C$11)/7)+1)</f>
        <v>0</v>
      </c>
      <c r="C431" s="27"/>
      <c r="D431" s="27"/>
      <c r="E431" s="28"/>
      <c r="F431" s="28"/>
      <c r="G431" s="44" t="n">
        <f aca="false">IF(OR($E431="",$F431=""),0,$E431*$F431)</f>
        <v>0</v>
      </c>
      <c r="H431" s="44" t="n">
        <f aca="false">IF($A431="",0,SUMIFS($G$8:$G$1007,$C$8:$C$1007,$C431,$A$8:$A$1007,"&gt;="&amp;$A431-6,$A$8:$A$1007,"&lt;="&amp;$A431))</f>
        <v>0</v>
      </c>
      <c r="I431" s="44" t="n">
        <f aca="false">IF($A431="",0,SUMIFS($G$8:$G$1007,$C$8:$C$1007,$C431,$A$8:$A$1007,"&gt;="&amp;$A431-27,$A$8:$A$1007,"&lt;="&amp;$A431)/4)</f>
        <v>0</v>
      </c>
      <c r="J431" s="144" t="n">
        <f aca="false">IF(OR($A431="",$I431=0),0,$H431/$I431)</f>
        <v>0</v>
      </c>
      <c r="K431" s="40" t="n">
        <f aca="false">IF($A431="",0,$A431-SUMPRODUCT(MIN(($C$8:$C$1007=$C431)*$A$8:$A$1007+($C$8:$C$1007&lt;&gt;$C431)*100000))+1)</f>
        <v>0</v>
      </c>
      <c r="L431" s="26" t="str">
        <f aca="false">IF($A431="","",IF($J431=0,"Sem registro anterior",IF($K431&lt;21,"Histórico insuficiente",IF($J431&lt;0.8,"Subcarga",IF($J431&lt;=1.3,"Zona ideal",IF($J431&lt;=1.5,"Atenção","Risco elevado"))))))</f>
        <v/>
      </c>
      <c r="M431" s="27"/>
    </row>
    <row r="432" customFormat="false" ht="15" hidden="false" customHeight="false" outlineLevel="0" collapsed="false">
      <c r="A432" s="29"/>
      <c r="B432" s="40" t="n">
        <f aca="false">IF($A432="",0,INT(($A432-Macrociclo!$C$11)/7)+1)</f>
        <v>0</v>
      </c>
      <c r="C432" s="27"/>
      <c r="D432" s="27"/>
      <c r="E432" s="28"/>
      <c r="F432" s="28"/>
      <c r="G432" s="44" t="n">
        <f aca="false">IF(OR($E432="",$F432=""),0,$E432*$F432)</f>
        <v>0</v>
      </c>
      <c r="H432" s="44" t="n">
        <f aca="false">IF($A432="",0,SUMIFS($G$8:$G$1007,$C$8:$C$1007,$C432,$A$8:$A$1007,"&gt;="&amp;$A432-6,$A$8:$A$1007,"&lt;="&amp;$A432))</f>
        <v>0</v>
      </c>
      <c r="I432" s="44" t="n">
        <f aca="false">IF($A432="",0,SUMIFS($G$8:$G$1007,$C$8:$C$1007,$C432,$A$8:$A$1007,"&gt;="&amp;$A432-27,$A$8:$A$1007,"&lt;="&amp;$A432)/4)</f>
        <v>0</v>
      </c>
      <c r="J432" s="144" t="n">
        <f aca="false">IF(OR($A432="",$I432=0),0,$H432/$I432)</f>
        <v>0</v>
      </c>
      <c r="K432" s="40" t="n">
        <f aca="false">IF($A432="",0,$A432-SUMPRODUCT(MIN(($C$8:$C$1007=$C432)*$A$8:$A$1007+($C$8:$C$1007&lt;&gt;$C432)*100000))+1)</f>
        <v>0</v>
      </c>
      <c r="L432" s="26" t="str">
        <f aca="false">IF($A432="","",IF($J432=0,"Sem registro anterior",IF($K432&lt;21,"Histórico insuficiente",IF($J432&lt;0.8,"Subcarga",IF($J432&lt;=1.3,"Zona ideal",IF($J432&lt;=1.5,"Atenção","Risco elevado"))))))</f>
        <v/>
      </c>
      <c r="M432" s="27"/>
    </row>
    <row r="433" customFormat="false" ht="15" hidden="false" customHeight="false" outlineLevel="0" collapsed="false">
      <c r="A433" s="29"/>
      <c r="B433" s="40" t="n">
        <f aca="false">IF($A433="",0,INT(($A433-Macrociclo!$C$11)/7)+1)</f>
        <v>0</v>
      </c>
      <c r="C433" s="27"/>
      <c r="D433" s="27"/>
      <c r="E433" s="28"/>
      <c r="F433" s="28"/>
      <c r="G433" s="44" t="n">
        <f aca="false">IF(OR($E433="",$F433=""),0,$E433*$F433)</f>
        <v>0</v>
      </c>
      <c r="H433" s="44" t="n">
        <f aca="false">IF($A433="",0,SUMIFS($G$8:$G$1007,$C$8:$C$1007,$C433,$A$8:$A$1007,"&gt;="&amp;$A433-6,$A$8:$A$1007,"&lt;="&amp;$A433))</f>
        <v>0</v>
      </c>
      <c r="I433" s="44" t="n">
        <f aca="false">IF($A433="",0,SUMIFS($G$8:$G$1007,$C$8:$C$1007,$C433,$A$8:$A$1007,"&gt;="&amp;$A433-27,$A$8:$A$1007,"&lt;="&amp;$A433)/4)</f>
        <v>0</v>
      </c>
      <c r="J433" s="144" t="n">
        <f aca="false">IF(OR($A433="",$I433=0),0,$H433/$I433)</f>
        <v>0</v>
      </c>
      <c r="K433" s="40" t="n">
        <f aca="false">IF($A433="",0,$A433-SUMPRODUCT(MIN(($C$8:$C$1007=$C433)*$A$8:$A$1007+($C$8:$C$1007&lt;&gt;$C433)*100000))+1)</f>
        <v>0</v>
      </c>
      <c r="L433" s="26" t="str">
        <f aca="false">IF($A433="","",IF($J433=0,"Sem registro anterior",IF($K433&lt;21,"Histórico insuficiente",IF($J433&lt;0.8,"Subcarga",IF($J433&lt;=1.3,"Zona ideal",IF($J433&lt;=1.5,"Atenção","Risco elevado"))))))</f>
        <v/>
      </c>
      <c r="M433" s="27"/>
    </row>
    <row r="434" customFormat="false" ht="15" hidden="false" customHeight="false" outlineLevel="0" collapsed="false">
      <c r="A434" s="29"/>
      <c r="B434" s="40" t="n">
        <f aca="false">IF($A434="",0,INT(($A434-Macrociclo!$C$11)/7)+1)</f>
        <v>0</v>
      </c>
      <c r="C434" s="27"/>
      <c r="D434" s="27"/>
      <c r="E434" s="28"/>
      <c r="F434" s="28"/>
      <c r="G434" s="44" t="n">
        <f aca="false">IF(OR($E434="",$F434=""),0,$E434*$F434)</f>
        <v>0</v>
      </c>
      <c r="H434" s="44" t="n">
        <f aca="false">IF($A434="",0,SUMIFS($G$8:$G$1007,$C$8:$C$1007,$C434,$A$8:$A$1007,"&gt;="&amp;$A434-6,$A$8:$A$1007,"&lt;="&amp;$A434))</f>
        <v>0</v>
      </c>
      <c r="I434" s="44" t="n">
        <f aca="false">IF($A434="",0,SUMIFS($G$8:$G$1007,$C$8:$C$1007,$C434,$A$8:$A$1007,"&gt;="&amp;$A434-27,$A$8:$A$1007,"&lt;="&amp;$A434)/4)</f>
        <v>0</v>
      </c>
      <c r="J434" s="144" t="n">
        <f aca="false">IF(OR($A434="",$I434=0),0,$H434/$I434)</f>
        <v>0</v>
      </c>
      <c r="K434" s="40" t="n">
        <f aca="false">IF($A434="",0,$A434-SUMPRODUCT(MIN(($C$8:$C$1007=$C434)*$A$8:$A$1007+($C$8:$C$1007&lt;&gt;$C434)*100000))+1)</f>
        <v>0</v>
      </c>
      <c r="L434" s="26" t="str">
        <f aca="false">IF($A434="","",IF($J434=0,"Sem registro anterior",IF($K434&lt;21,"Histórico insuficiente",IF($J434&lt;0.8,"Subcarga",IF($J434&lt;=1.3,"Zona ideal",IF($J434&lt;=1.5,"Atenção","Risco elevado"))))))</f>
        <v/>
      </c>
      <c r="M434" s="27"/>
    </row>
    <row r="435" customFormat="false" ht="15" hidden="false" customHeight="false" outlineLevel="0" collapsed="false">
      <c r="A435" s="29"/>
      <c r="B435" s="40" t="n">
        <f aca="false">IF($A435="",0,INT(($A435-Macrociclo!$C$11)/7)+1)</f>
        <v>0</v>
      </c>
      <c r="C435" s="27"/>
      <c r="D435" s="27"/>
      <c r="E435" s="28"/>
      <c r="F435" s="28"/>
      <c r="G435" s="44" t="n">
        <f aca="false">IF(OR($E435="",$F435=""),0,$E435*$F435)</f>
        <v>0</v>
      </c>
      <c r="H435" s="44" t="n">
        <f aca="false">IF($A435="",0,SUMIFS($G$8:$G$1007,$C$8:$C$1007,$C435,$A$8:$A$1007,"&gt;="&amp;$A435-6,$A$8:$A$1007,"&lt;="&amp;$A435))</f>
        <v>0</v>
      </c>
      <c r="I435" s="44" t="n">
        <f aca="false">IF($A435="",0,SUMIFS($G$8:$G$1007,$C$8:$C$1007,$C435,$A$8:$A$1007,"&gt;="&amp;$A435-27,$A$8:$A$1007,"&lt;="&amp;$A435)/4)</f>
        <v>0</v>
      </c>
      <c r="J435" s="144" t="n">
        <f aca="false">IF(OR($A435="",$I435=0),0,$H435/$I435)</f>
        <v>0</v>
      </c>
      <c r="K435" s="40" t="n">
        <f aca="false">IF($A435="",0,$A435-SUMPRODUCT(MIN(($C$8:$C$1007=$C435)*$A$8:$A$1007+($C$8:$C$1007&lt;&gt;$C435)*100000))+1)</f>
        <v>0</v>
      </c>
      <c r="L435" s="26" t="str">
        <f aca="false">IF($A435="","",IF($J435=0,"Sem registro anterior",IF($K435&lt;21,"Histórico insuficiente",IF($J435&lt;0.8,"Subcarga",IF($J435&lt;=1.3,"Zona ideal",IF($J435&lt;=1.5,"Atenção","Risco elevado"))))))</f>
        <v/>
      </c>
      <c r="M435" s="27"/>
    </row>
    <row r="436" customFormat="false" ht="15" hidden="false" customHeight="false" outlineLevel="0" collapsed="false">
      <c r="A436" s="29"/>
      <c r="B436" s="40" t="n">
        <f aca="false">IF($A436="",0,INT(($A436-Macrociclo!$C$11)/7)+1)</f>
        <v>0</v>
      </c>
      <c r="C436" s="27"/>
      <c r="D436" s="27"/>
      <c r="E436" s="28"/>
      <c r="F436" s="28"/>
      <c r="G436" s="44" t="n">
        <f aca="false">IF(OR($E436="",$F436=""),0,$E436*$F436)</f>
        <v>0</v>
      </c>
      <c r="H436" s="44" t="n">
        <f aca="false">IF($A436="",0,SUMIFS($G$8:$G$1007,$C$8:$C$1007,$C436,$A$8:$A$1007,"&gt;="&amp;$A436-6,$A$8:$A$1007,"&lt;="&amp;$A436))</f>
        <v>0</v>
      </c>
      <c r="I436" s="44" t="n">
        <f aca="false">IF($A436="",0,SUMIFS($G$8:$G$1007,$C$8:$C$1007,$C436,$A$8:$A$1007,"&gt;="&amp;$A436-27,$A$8:$A$1007,"&lt;="&amp;$A436)/4)</f>
        <v>0</v>
      </c>
      <c r="J436" s="144" t="n">
        <f aca="false">IF(OR($A436="",$I436=0),0,$H436/$I436)</f>
        <v>0</v>
      </c>
      <c r="K436" s="40" t="n">
        <f aca="false">IF($A436="",0,$A436-SUMPRODUCT(MIN(($C$8:$C$1007=$C436)*$A$8:$A$1007+($C$8:$C$1007&lt;&gt;$C436)*100000))+1)</f>
        <v>0</v>
      </c>
      <c r="L436" s="26" t="str">
        <f aca="false">IF($A436="","",IF($J436=0,"Sem registro anterior",IF($K436&lt;21,"Histórico insuficiente",IF($J436&lt;0.8,"Subcarga",IF($J436&lt;=1.3,"Zona ideal",IF($J436&lt;=1.5,"Atenção","Risco elevado"))))))</f>
        <v/>
      </c>
      <c r="M436" s="27"/>
    </row>
    <row r="437" customFormat="false" ht="15" hidden="false" customHeight="false" outlineLevel="0" collapsed="false">
      <c r="A437" s="29"/>
      <c r="B437" s="40" t="n">
        <f aca="false">IF($A437="",0,INT(($A437-Macrociclo!$C$11)/7)+1)</f>
        <v>0</v>
      </c>
      <c r="C437" s="27"/>
      <c r="D437" s="27"/>
      <c r="E437" s="28"/>
      <c r="F437" s="28"/>
      <c r="G437" s="44" t="n">
        <f aca="false">IF(OR($E437="",$F437=""),0,$E437*$F437)</f>
        <v>0</v>
      </c>
      <c r="H437" s="44" t="n">
        <f aca="false">IF($A437="",0,SUMIFS($G$8:$G$1007,$C$8:$C$1007,$C437,$A$8:$A$1007,"&gt;="&amp;$A437-6,$A$8:$A$1007,"&lt;="&amp;$A437))</f>
        <v>0</v>
      </c>
      <c r="I437" s="44" t="n">
        <f aca="false">IF($A437="",0,SUMIFS($G$8:$G$1007,$C$8:$C$1007,$C437,$A$8:$A$1007,"&gt;="&amp;$A437-27,$A$8:$A$1007,"&lt;="&amp;$A437)/4)</f>
        <v>0</v>
      </c>
      <c r="J437" s="144" t="n">
        <f aca="false">IF(OR($A437="",$I437=0),0,$H437/$I437)</f>
        <v>0</v>
      </c>
      <c r="K437" s="40" t="n">
        <f aca="false">IF($A437="",0,$A437-SUMPRODUCT(MIN(($C$8:$C$1007=$C437)*$A$8:$A$1007+($C$8:$C$1007&lt;&gt;$C437)*100000))+1)</f>
        <v>0</v>
      </c>
      <c r="L437" s="26" t="str">
        <f aca="false">IF($A437="","",IF($J437=0,"Sem registro anterior",IF($K437&lt;21,"Histórico insuficiente",IF($J437&lt;0.8,"Subcarga",IF($J437&lt;=1.3,"Zona ideal",IF($J437&lt;=1.5,"Atenção","Risco elevado"))))))</f>
        <v/>
      </c>
      <c r="M437" s="27"/>
    </row>
    <row r="438" customFormat="false" ht="15" hidden="false" customHeight="false" outlineLevel="0" collapsed="false">
      <c r="A438" s="29"/>
      <c r="B438" s="40" t="n">
        <f aca="false">IF($A438="",0,INT(($A438-Macrociclo!$C$11)/7)+1)</f>
        <v>0</v>
      </c>
      <c r="C438" s="27"/>
      <c r="D438" s="27"/>
      <c r="E438" s="28"/>
      <c r="F438" s="28"/>
      <c r="G438" s="44" t="n">
        <f aca="false">IF(OR($E438="",$F438=""),0,$E438*$F438)</f>
        <v>0</v>
      </c>
      <c r="H438" s="44" t="n">
        <f aca="false">IF($A438="",0,SUMIFS($G$8:$G$1007,$C$8:$C$1007,$C438,$A$8:$A$1007,"&gt;="&amp;$A438-6,$A$8:$A$1007,"&lt;="&amp;$A438))</f>
        <v>0</v>
      </c>
      <c r="I438" s="44" t="n">
        <f aca="false">IF($A438="",0,SUMIFS($G$8:$G$1007,$C$8:$C$1007,$C438,$A$8:$A$1007,"&gt;="&amp;$A438-27,$A$8:$A$1007,"&lt;="&amp;$A438)/4)</f>
        <v>0</v>
      </c>
      <c r="J438" s="144" t="n">
        <f aca="false">IF(OR($A438="",$I438=0),0,$H438/$I438)</f>
        <v>0</v>
      </c>
      <c r="K438" s="40" t="n">
        <f aca="false">IF($A438="",0,$A438-SUMPRODUCT(MIN(($C$8:$C$1007=$C438)*$A$8:$A$1007+($C$8:$C$1007&lt;&gt;$C438)*100000))+1)</f>
        <v>0</v>
      </c>
      <c r="L438" s="26" t="str">
        <f aca="false">IF($A438="","",IF($J438=0,"Sem registro anterior",IF($K438&lt;21,"Histórico insuficiente",IF($J438&lt;0.8,"Subcarga",IF($J438&lt;=1.3,"Zona ideal",IF($J438&lt;=1.5,"Atenção","Risco elevado"))))))</f>
        <v/>
      </c>
      <c r="M438" s="27"/>
    </row>
    <row r="439" customFormat="false" ht="15" hidden="false" customHeight="false" outlineLevel="0" collapsed="false">
      <c r="A439" s="29"/>
      <c r="B439" s="40" t="n">
        <f aca="false">IF($A439="",0,INT(($A439-Macrociclo!$C$11)/7)+1)</f>
        <v>0</v>
      </c>
      <c r="C439" s="27"/>
      <c r="D439" s="27"/>
      <c r="E439" s="28"/>
      <c r="F439" s="28"/>
      <c r="G439" s="44" t="n">
        <f aca="false">IF(OR($E439="",$F439=""),0,$E439*$F439)</f>
        <v>0</v>
      </c>
      <c r="H439" s="44" t="n">
        <f aca="false">IF($A439="",0,SUMIFS($G$8:$G$1007,$C$8:$C$1007,$C439,$A$8:$A$1007,"&gt;="&amp;$A439-6,$A$8:$A$1007,"&lt;="&amp;$A439))</f>
        <v>0</v>
      </c>
      <c r="I439" s="44" t="n">
        <f aca="false">IF($A439="",0,SUMIFS($G$8:$G$1007,$C$8:$C$1007,$C439,$A$8:$A$1007,"&gt;="&amp;$A439-27,$A$8:$A$1007,"&lt;="&amp;$A439)/4)</f>
        <v>0</v>
      </c>
      <c r="J439" s="144" t="n">
        <f aca="false">IF(OR($A439="",$I439=0),0,$H439/$I439)</f>
        <v>0</v>
      </c>
      <c r="K439" s="40" t="n">
        <f aca="false">IF($A439="",0,$A439-SUMPRODUCT(MIN(($C$8:$C$1007=$C439)*$A$8:$A$1007+($C$8:$C$1007&lt;&gt;$C439)*100000))+1)</f>
        <v>0</v>
      </c>
      <c r="L439" s="26" t="str">
        <f aca="false">IF($A439="","",IF($J439=0,"Sem registro anterior",IF($K439&lt;21,"Histórico insuficiente",IF($J439&lt;0.8,"Subcarga",IF($J439&lt;=1.3,"Zona ideal",IF($J439&lt;=1.5,"Atenção","Risco elevado"))))))</f>
        <v/>
      </c>
      <c r="M439" s="27"/>
    </row>
    <row r="440" customFormat="false" ht="15" hidden="false" customHeight="false" outlineLevel="0" collapsed="false">
      <c r="A440" s="29"/>
      <c r="B440" s="40" t="n">
        <f aca="false">IF($A440="",0,INT(($A440-Macrociclo!$C$11)/7)+1)</f>
        <v>0</v>
      </c>
      <c r="C440" s="27"/>
      <c r="D440" s="27"/>
      <c r="E440" s="28"/>
      <c r="F440" s="28"/>
      <c r="G440" s="44" t="n">
        <f aca="false">IF(OR($E440="",$F440=""),0,$E440*$F440)</f>
        <v>0</v>
      </c>
      <c r="H440" s="44" t="n">
        <f aca="false">IF($A440="",0,SUMIFS($G$8:$G$1007,$C$8:$C$1007,$C440,$A$8:$A$1007,"&gt;="&amp;$A440-6,$A$8:$A$1007,"&lt;="&amp;$A440))</f>
        <v>0</v>
      </c>
      <c r="I440" s="44" t="n">
        <f aca="false">IF($A440="",0,SUMIFS($G$8:$G$1007,$C$8:$C$1007,$C440,$A$8:$A$1007,"&gt;="&amp;$A440-27,$A$8:$A$1007,"&lt;="&amp;$A440)/4)</f>
        <v>0</v>
      </c>
      <c r="J440" s="144" t="n">
        <f aca="false">IF(OR($A440="",$I440=0),0,$H440/$I440)</f>
        <v>0</v>
      </c>
      <c r="K440" s="40" t="n">
        <f aca="false">IF($A440="",0,$A440-SUMPRODUCT(MIN(($C$8:$C$1007=$C440)*$A$8:$A$1007+($C$8:$C$1007&lt;&gt;$C440)*100000))+1)</f>
        <v>0</v>
      </c>
      <c r="L440" s="26" t="str">
        <f aca="false">IF($A440="","",IF($J440=0,"Sem registro anterior",IF($K440&lt;21,"Histórico insuficiente",IF($J440&lt;0.8,"Subcarga",IF($J440&lt;=1.3,"Zona ideal",IF($J440&lt;=1.5,"Atenção","Risco elevado"))))))</f>
        <v/>
      </c>
      <c r="M440" s="27"/>
    </row>
    <row r="441" customFormat="false" ht="15" hidden="false" customHeight="false" outlineLevel="0" collapsed="false">
      <c r="A441" s="29"/>
      <c r="B441" s="40" t="n">
        <f aca="false">IF($A441="",0,INT(($A441-Macrociclo!$C$11)/7)+1)</f>
        <v>0</v>
      </c>
      <c r="C441" s="27"/>
      <c r="D441" s="27"/>
      <c r="E441" s="28"/>
      <c r="F441" s="28"/>
      <c r="G441" s="44" t="n">
        <f aca="false">IF(OR($E441="",$F441=""),0,$E441*$F441)</f>
        <v>0</v>
      </c>
      <c r="H441" s="44" t="n">
        <f aca="false">IF($A441="",0,SUMIFS($G$8:$G$1007,$C$8:$C$1007,$C441,$A$8:$A$1007,"&gt;="&amp;$A441-6,$A$8:$A$1007,"&lt;="&amp;$A441))</f>
        <v>0</v>
      </c>
      <c r="I441" s="44" t="n">
        <f aca="false">IF($A441="",0,SUMIFS($G$8:$G$1007,$C$8:$C$1007,$C441,$A$8:$A$1007,"&gt;="&amp;$A441-27,$A$8:$A$1007,"&lt;="&amp;$A441)/4)</f>
        <v>0</v>
      </c>
      <c r="J441" s="144" t="n">
        <f aca="false">IF(OR($A441="",$I441=0),0,$H441/$I441)</f>
        <v>0</v>
      </c>
      <c r="K441" s="40" t="n">
        <f aca="false">IF($A441="",0,$A441-SUMPRODUCT(MIN(($C$8:$C$1007=$C441)*$A$8:$A$1007+($C$8:$C$1007&lt;&gt;$C441)*100000))+1)</f>
        <v>0</v>
      </c>
      <c r="L441" s="26" t="str">
        <f aca="false">IF($A441="","",IF($J441=0,"Sem registro anterior",IF($K441&lt;21,"Histórico insuficiente",IF($J441&lt;0.8,"Subcarga",IF($J441&lt;=1.3,"Zona ideal",IF($J441&lt;=1.5,"Atenção","Risco elevado"))))))</f>
        <v/>
      </c>
      <c r="M441" s="27"/>
    </row>
    <row r="442" customFormat="false" ht="15" hidden="false" customHeight="false" outlineLevel="0" collapsed="false">
      <c r="A442" s="29"/>
      <c r="B442" s="40" t="n">
        <f aca="false">IF($A442="",0,INT(($A442-Macrociclo!$C$11)/7)+1)</f>
        <v>0</v>
      </c>
      <c r="C442" s="27"/>
      <c r="D442" s="27"/>
      <c r="E442" s="28"/>
      <c r="F442" s="28"/>
      <c r="G442" s="44" t="n">
        <f aca="false">IF(OR($E442="",$F442=""),0,$E442*$F442)</f>
        <v>0</v>
      </c>
      <c r="H442" s="44" t="n">
        <f aca="false">IF($A442="",0,SUMIFS($G$8:$G$1007,$C$8:$C$1007,$C442,$A$8:$A$1007,"&gt;="&amp;$A442-6,$A$8:$A$1007,"&lt;="&amp;$A442))</f>
        <v>0</v>
      </c>
      <c r="I442" s="44" t="n">
        <f aca="false">IF($A442="",0,SUMIFS($G$8:$G$1007,$C$8:$C$1007,$C442,$A$8:$A$1007,"&gt;="&amp;$A442-27,$A$8:$A$1007,"&lt;="&amp;$A442)/4)</f>
        <v>0</v>
      </c>
      <c r="J442" s="144" t="n">
        <f aca="false">IF(OR($A442="",$I442=0),0,$H442/$I442)</f>
        <v>0</v>
      </c>
      <c r="K442" s="40" t="n">
        <f aca="false">IF($A442="",0,$A442-SUMPRODUCT(MIN(($C$8:$C$1007=$C442)*$A$8:$A$1007+($C$8:$C$1007&lt;&gt;$C442)*100000))+1)</f>
        <v>0</v>
      </c>
      <c r="L442" s="26" t="str">
        <f aca="false">IF($A442="","",IF($J442=0,"Sem registro anterior",IF($K442&lt;21,"Histórico insuficiente",IF($J442&lt;0.8,"Subcarga",IF($J442&lt;=1.3,"Zona ideal",IF($J442&lt;=1.5,"Atenção","Risco elevado"))))))</f>
        <v/>
      </c>
      <c r="M442" s="27"/>
    </row>
    <row r="443" customFormat="false" ht="15" hidden="false" customHeight="false" outlineLevel="0" collapsed="false">
      <c r="A443" s="29"/>
      <c r="B443" s="40" t="n">
        <f aca="false">IF($A443="",0,INT(($A443-Macrociclo!$C$11)/7)+1)</f>
        <v>0</v>
      </c>
      <c r="C443" s="27"/>
      <c r="D443" s="27"/>
      <c r="E443" s="28"/>
      <c r="F443" s="28"/>
      <c r="G443" s="44" t="n">
        <f aca="false">IF(OR($E443="",$F443=""),0,$E443*$F443)</f>
        <v>0</v>
      </c>
      <c r="H443" s="44" t="n">
        <f aca="false">IF($A443="",0,SUMIFS($G$8:$G$1007,$C$8:$C$1007,$C443,$A$8:$A$1007,"&gt;="&amp;$A443-6,$A$8:$A$1007,"&lt;="&amp;$A443))</f>
        <v>0</v>
      </c>
      <c r="I443" s="44" t="n">
        <f aca="false">IF($A443="",0,SUMIFS($G$8:$G$1007,$C$8:$C$1007,$C443,$A$8:$A$1007,"&gt;="&amp;$A443-27,$A$8:$A$1007,"&lt;="&amp;$A443)/4)</f>
        <v>0</v>
      </c>
      <c r="J443" s="144" t="n">
        <f aca="false">IF(OR($A443="",$I443=0),0,$H443/$I443)</f>
        <v>0</v>
      </c>
      <c r="K443" s="40" t="n">
        <f aca="false">IF($A443="",0,$A443-SUMPRODUCT(MIN(($C$8:$C$1007=$C443)*$A$8:$A$1007+($C$8:$C$1007&lt;&gt;$C443)*100000))+1)</f>
        <v>0</v>
      </c>
      <c r="L443" s="26" t="str">
        <f aca="false">IF($A443="","",IF($J443=0,"Sem registro anterior",IF($K443&lt;21,"Histórico insuficiente",IF($J443&lt;0.8,"Subcarga",IF($J443&lt;=1.3,"Zona ideal",IF($J443&lt;=1.5,"Atenção","Risco elevado"))))))</f>
        <v/>
      </c>
      <c r="M443" s="27"/>
    </row>
    <row r="444" customFormat="false" ht="15" hidden="false" customHeight="false" outlineLevel="0" collapsed="false">
      <c r="A444" s="29"/>
      <c r="B444" s="40" t="n">
        <f aca="false">IF($A444="",0,INT(($A444-Macrociclo!$C$11)/7)+1)</f>
        <v>0</v>
      </c>
      <c r="C444" s="27"/>
      <c r="D444" s="27"/>
      <c r="E444" s="28"/>
      <c r="F444" s="28"/>
      <c r="G444" s="44" t="n">
        <f aca="false">IF(OR($E444="",$F444=""),0,$E444*$F444)</f>
        <v>0</v>
      </c>
      <c r="H444" s="44" t="n">
        <f aca="false">IF($A444="",0,SUMIFS($G$8:$G$1007,$C$8:$C$1007,$C444,$A$8:$A$1007,"&gt;="&amp;$A444-6,$A$8:$A$1007,"&lt;="&amp;$A444))</f>
        <v>0</v>
      </c>
      <c r="I444" s="44" t="n">
        <f aca="false">IF($A444="",0,SUMIFS($G$8:$G$1007,$C$8:$C$1007,$C444,$A$8:$A$1007,"&gt;="&amp;$A444-27,$A$8:$A$1007,"&lt;="&amp;$A444)/4)</f>
        <v>0</v>
      </c>
      <c r="J444" s="144" t="n">
        <f aca="false">IF(OR($A444="",$I444=0),0,$H444/$I444)</f>
        <v>0</v>
      </c>
      <c r="K444" s="40" t="n">
        <f aca="false">IF($A444="",0,$A444-SUMPRODUCT(MIN(($C$8:$C$1007=$C444)*$A$8:$A$1007+($C$8:$C$1007&lt;&gt;$C444)*100000))+1)</f>
        <v>0</v>
      </c>
      <c r="L444" s="26" t="str">
        <f aca="false">IF($A444="","",IF($J444=0,"Sem registro anterior",IF($K444&lt;21,"Histórico insuficiente",IF($J444&lt;0.8,"Subcarga",IF($J444&lt;=1.3,"Zona ideal",IF($J444&lt;=1.5,"Atenção","Risco elevado"))))))</f>
        <v/>
      </c>
      <c r="M444" s="27"/>
    </row>
    <row r="445" customFormat="false" ht="15" hidden="false" customHeight="false" outlineLevel="0" collapsed="false">
      <c r="A445" s="29"/>
      <c r="B445" s="40" t="n">
        <f aca="false">IF($A445="",0,INT(($A445-Macrociclo!$C$11)/7)+1)</f>
        <v>0</v>
      </c>
      <c r="C445" s="27"/>
      <c r="D445" s="27"/>
      <c r="E445" s="28"/>
      <c r="F445" s="28"/>
      <c r="G445" s="44" t="n">
        <f aca="false">IF(OR($E445="",$F445=""),0,$E445*$F445)</f>
        <v>0</v>
      </c>
      <c r="H445" s="44" t="n">
        <f aca="false">IF($A445="",0,SUMIFS($G$8:$G$1007,$C$8:$C$1007,$C445,$A$8:$A$1007,"&gt;="&amp;$A445-6,$A$8:$A$1007,"&lt;="&amp;$A445))</f>
        <v>0</v>
      </c>
      <c r="I445" s="44" t="n">
        <f aca="false">IF($A445="",0,SUMIFS($G$8:$G$1007,$C$8:$C$1007,$C445,$A$8:$A$1007,"&gt;="&amp;$A445-27,$A$8:$A$1007,"&lt;="&amp;$A445)/4)</f>
        <v>0</v>
      </c>
      <c r="J445" s="144" t="n">
        <f aca="false">IF(OR($A445="",$I445=0),0,$H445/$I445)</f>
        <v>0</v>
      </c>
      <c r="K445" s="40" t="n">
        <f aca="false">IF($A445="",0,$A445-SUMPRODUCT(MIN(($C$8:$C$1007=$C445)*$A$8:$A$1007+($C$8:$C$1007&lt;&gt;$C445)*100000))+1)</f>
        <v>0</v>
      </c>
      <c r="L445" s="26" t="str">
        <f aca="false">IF($A445="","",IF($J445=0,"Sem registro anterior",IF($K445&lt;21,"Histórico insuficiente",IF($J445&lt;0.8,"Subcarga",IF($J445&lt;=1.3,"Zona ideal",IF($J445&lt;=1.5,"Atenção","Risco elevado"))))))</f>
        <v/>
      </c>
      <c r="M445" s="27"/>
    </row>
    <row r="446" customFormat="false" ht="15" hidden="false" customHeight="false" outlineLevel="0" collapsed="false">
      <c r="A446" s="29"/>
      <c r="B446" s="40" t="n">
        <f aca="false">IF($A446="",0,INT(($A446-Macrociclo!$C$11)/7)+1)</f>
        <v>0</v>
      </c>
      <c r="C446" s="27"/>
      <c r="D446" s="27"/>
      <c r="E446" s="28"/>
      <c r="F446" s="28"/>
      <c r="G446" s="44" t="n">
        <f aca="false">IF(OR($E446="",$F446=""),0,$E446*$F446)</f>
        <v>0</v>
      </c>
      <c r="H446" s="44" t="n">
        <f aca="false">IF($A446="",0,SUMIFS($G$8:$G$1007,$C$8:$C$1007,$C446,$A$8:$A$1007,"&gt;="&amp;$A446-6,$A$8:$A$1007,"&lt;="&amp;$A446))</f>
        <v>0</v>
      </c>
      <c r="I446" s="44" t="n">
        <f aca="false">IF($A446="",0,SUMIFS($G$8:$G$1007,$C$8:$C$1007,$C446,$A$8:$A$1007,"&gt;="&amp;$A446-27,$A$8:$A$1007,"&lt;="&amp;$A446)/4)</f>
        <v>0</v>
      </c>
      <c r="J446" s="144" t="n">
        <f aca="false">IF(OR($A446="",$I446=0),0,$H446/$I446)</f>
        <v>0</v>
      </c>
      <c r="K446" s="40" t="n">
        <f aca="false">IF($A446="",0,$A446-SUMPRODUCT(MIN(($C$8:$C$1007=$C446)*$A$8:$A$1007+($C$8:$C$1007&lt;&gt;$C446)*100000))+1)</f>
        <v>0</v>
      </c>
      <c r="L446" s="26" t="str">
        <f aca="false">IF($A446="","",IF($J446=0,"Sem registro anterior",IF($K446&lt;21,"Histórico insuficiente",IF($J446&lt;0.8,"Subcarga",IF($J446&lt;=1.3,"Zona ideal",IF($J446&lt;=1.5,"Atenção","Risco elevado"))))))</f>
        <v/>
      </c>
      <c r="M446" s="27"/>
    </row>
    <row r="447" customFormat="false" ht="15" hidden="false" customHeight="false" outlineLevel="0" collapsed="false">
      <c r="A447" s="29"/>
      <c r="B447" s="40" t="n">
        <f aca="false">IF($A447="",0,INT(($A447-Macrociclo!$C$11)/7)+1)</f>
        <v>0</v>
      </c>
      <c r="C447" s="27"/>
      <c r="D447" s="27"/>
      <c r="E447" s="28"/>
      <c r="F447" s="28"/>
      <c r="G447" s="44" t="n">
        <f aca="false">IF(OR($E447="",$F447=""),0,$E447*$F447)</f>
        <v>0</v>
      </c>
      <c r="H447" s="44" t="n">
        <f aca="false">IF($A447="",0,SUMIFS($G$8:$G$1007,$C$8:$C$1007,$C447,$A$8:$A$1007,"&gt;="&amp;$A447-6,$A$8:$A$1007,"&lt;="&amp;$A447))</f>
        <v>0</v>
      </c>
      <c r="I447" s="44" t="n">
        <f aca="false">IF($A447="",0,SUMIFS($G$8:$G$1007,$C$8:$C$1007,$C447,$A$8:$A$1007,"&gt;="&amp;$A447-27,$A$8:$A$1007,"&lt;="&amp;$A447)/4)</f>
        <v>0</v>
      </c>
      <c r="J447" s="144" t="n">
        <f aca="false">IF(OR($A447="",$I447=0),0,$H447/$I447)</f>
        <v>0</v>
      </c>
      <c r="K447" s="40" t="n">
        <f aca="false">IF($A447="",0,$A447-SUMPRODUCT(MIN(($C$8:$C$1007=$C447)*$A$8:$A$1007+($C$8:$C$1007&lt;&gt;$C447)*100000))+1)</f>
        <v>0</v>
      </c>
      <c r="L447" s="26" t="str">
        <f aca="false">IF($A447="","",IF($J447=0,"Sem registro anterior",IF($K447&lt;21,"Histórico insuficiente",IF($J447&lt;0.8,"Subcarga",IF($J447&lt;=1.3,"Zona ideal",IF($J447&lt;=1.5,"Atenção","Risco elevado"))))))</f>
        <v/>
      </c>
      <c r="M447" s="27"/>
    </row>
    <row r="448" customFormat="false" ht="15" hidden="false" customHeight="false" outlineLevel="0" collapsed="false">
      <c r="A448" s="29"/>
      <c r="B448" s="40" t="n">
        <f aca="false">IF($A448="",0,INT(($A448-Macrociclo!$C$11)/7)+1)</f>
        <v>0</v>
      </c>
      <c r="C448" s="27"/>
      <c r="D448" s="27"/>
      <c r="E448" s="28"/>
      <c r="F448" s="28"/>
      <c r="G448" s="44" t="n">
        <f aca="false">IF(OR($E448="",$F448=""),0,$E448*$F448)</f>
        <v>0</v>
      </c>
      <c r="H448" s="44" t="n">
        <f aca="false">IF($A448="",0,SUMIFS($G$8:$G$1007,$C$8:$C$1007,$C448,$A$8:$A$1007,"&gt;="&amp;$A448-6,$A$8:$A$1007,"&lt;="&amp;$A448))</f>
        <v>0</v>
      </c>
      <c r="I448" s="44" t="n">
        <f aca="false">IF($A448="",0,SUMIFS($G$8:$G$1007,$C$8:$C$1007,$C448,$A$8:$A$1007,"&gt;="&amp;$A448-27,$A$8:$A$1007,"&lt;="&amp;$A448)/4)</f>
        <v>0</v>
      </c>
      <c r="J448" s="144" t="n">
        <f aca="false">IF(OR($A448="",$I448=0),0,$H448/$I448)</f>
        <v>0</v>
      </c>
      <c r="K448" s="40" t="n">
        <f aca="false">IF($A448="",0,$A448-SUMPRODUCT(MIN(($C$8:$C$1007=$C448)*$A$8:$A$1007+($C$8:$C$1007&lt;&gt;$C448)*100000))+1)</f>
        <v>0</v>
      </c>
      <c r="L448" s="26" t="str">
        <f aca="false">IF($A448="","",IF($J448=0,"Sem registro anterior",IF($K448&lt;21,"Histórico insuficiente",IF($J448&lt;0.8,"Subcarga",IF($J448&lt;=1.3,"Zona ideal",IF($J448&lt;=1.5,"Atenção","Risco elevado"))))))</f>
        <v/>
      </c>
      <c r="M448" s="27"/>
    </row>
    <row r="449" customFormat="false" ht="15" hidden="false" customHeight="false" outlineLevel="0" collapsed="false">
      <c r="A449" s="29"/>
      <c r="B449" s="40" t="n">
        <f aca="false">IF($A449="",0,INT(($A449-Macrociclo!$C$11)/7)+1)</f>
        <v>0</v>
      </c>
      <c r="C449" s="27"/>
      <c r="D449" s="27"/>
      <c r="E449" s="28"/>
      <c r="F449" s="28"/>
      <c r="G449" s="44" t="n">
        <f aca="false">IF(OR($E449="",$F449=""),0,$E449*$F449)</f>
        <v>0</v>
      </c>
      <c r="H449" s="44" t="n">
        <f aca="false">IF($A449="",0,SUMIFS($G$8:$G$1007,$C$8:$C$1007,$C449,$A$8:$A$1007,"&gt;="&amp;$A449-6,$A$8:$A$1007,"&lt;="&amp;$A449))</f>
        <v>0</v>
      </c>
      <c r="I449" s="44" t="n">
        <f aca="false">IF($A449="",0,SUMIFS($G$8:$G$1007,$C$8:$C$1007,$C449,$A$8:$A$1007,"&gt;="&amp;$A449-27,$A$8:$A$1007,"&lt;="&amp;$A449)/4)</f>
        <v>0</v>
      </c>
      <c r="J449" s="144" t="n">
        <f aca="false">IF(OR($A449="",$I449=0),0,$H449/$I449)</f>
        <v>0</v>
      </c>
      <c r="K449" s="40" t="n">
        <f aca="false">IF($A449="",0,$A449-SUMPRODUCT(MIN(($C$8:$C$1007=$C449)*$A$8:$A$1007+($C$8:$C$1007&lt;&gt;$C449)*100000))+1)</f>
        <v>0</v>
      </c>
      <c r="L449" s="26" t="str">
        <f aca="false">IF($A449="","",IF($J449=0,"Sem registro anterior",IF($K449&lt;21,"Histórico insuficiente",IF($J449&lt;0.8,"Subcarga",IF($J449&lt;=1.3,"Zona ideal",IF($J449&lt;=1.5,"Atenção","Risco elevado"))))))</f>
        <v/>
      </c>
      <c r="M449" s="27"/>
    </row>
    <row r="450" customFormat="false" ht="15" hidden="false" customHeight="false" outlineLevel="0" collapsed="false">
      <c r="A450" s="29"/>
      <c r="B450" s="40" t="n">
        <f aca="false">IF($A450="",0,INT(($A450-Macrociclo!$C$11)/7)+1)</f>
        <v>0</v>
      </c>
      <c r="C450" s="27"/>
      <c r="D450" s="27"/>
      <c r="E450" s="28"/>
      <c r="F450" s="28"/>
      <c r="G450" s="44" t="n">
        <f aca="false">IF(OR($E450="",$F450=""),0,$E450*$F450)</f>
        <v>0</v>
      </c>
      <c r="H450" s="44" t="n">
        <f aca="false">IF($A450="",0,SUMIFS($G$8:$G$1007,$C$8:$C$1007,$C450,$A$8:$A$1007,"&gt;="&amp;$A450-6,$A$8:$A$1007,"&lt;="&amp;$A450))</f>
        <v>0</v>
      </c>
      <c r="I450" s="44" t="n">
        <f aca="false">IF($A450="",0,SUMIFS($G$8:$G$1007,$C$8:$C$1007,$C450,$A$8:$A$1007,"&gt;="&amp;$A450-27,$A$8:$A$1007,"&lt;="&amp;$A450)/4)</f>
        <v>0</v>
      </c>
      <c r="J450" s="144" t="n">
        <f aca="false">IF(OR($A450="",$I450=0),0,$H450/$I450)</f>
        <v>0</v>
      </c>
      <c r="K450" s="40" t="n">
        <f aca="false">IF($A450="",0,$A450-SUMPRODUCT(MIN(($C$8:$C$1007=$C450)*$A$8:$A$1007+($C$8:$C$1007&lt;&gt;$C450)*100000))+1)</f>
        <v>0</v>
      </c>
      <c r="L450" s="26" t="str">
        <f aca="false">IF($A450="","",IF($J450=0,"Sem registro anterior",IF($K450&lt;21,"Histórico insuficiente",IF($J450&lt;0.8,"Subcarga",IF($J450&lt;=1.3,"Zona ideal",IF($J450&lt;=1.5,"Atenção","Risco elevado"))))))</f>
        <v/>
      </c>
      <c r="M450" s="27"/>
    </row>
    <row r="451" customFormat="false" ht="15" hidden="false" customHeight="false" outlineLevel="0" collapsed="false">
      <c r="A451" s="29"/>
      <c r="B451" s="40" t="n">
        <f aca="false">IF($A451="",0,INT(($A451-Macrociclo!$C$11)/7)+1)</f>
        <v>0</v>
      </c>
      <c r="C451" s="27"/>
      <c r="D451" s="27"/>
      <c r="E451" s="28"/>
      <c r="F451" s="28"/>
      <c r="G451" s="44" t="n">
        <f aca="false">IF(OR($E451="",$F451=""),0,$E451*$F451)</f>
        <v>0</v>
      </c>
      <c r="H451" s="44" t="n">
        <f aca="false">IF($A451="",0,SUMIFS($G$8:$G$1007,$C$8:$C$1007,$C451,$A$8:$A$1007,"&gt;="&amp;$A451-6,$A$8:$A$1007,"&lt;="&amp;$A451))</f>
        <v>0</v>
      </c>
      <c r="I451" s="44" t="n">
        <f aca="false">IF($A451="",0,SUMIFS($G$8:$G$1007,$C$8:$C$1007,$C451,$A$8:$A$1007,"&gt;="&amp;$A451-27,$A$8:$A$1007,"&lt;="&amp;$A451)/4)</f>
        <v>0</v>
      </c>
      <c r="J451" s="144" t="n">
        <f aca="false">IF(OR($A451="",$I451=0),0,$H451/$I451)</f>
        <v>0</v>
      </c>
      <c r="K451" s="40" t="n">
        <f aca="false">IF($A451="",0,$A451-SUMPRODUCT(MIN(($C$8:$C$1007=$C451)*$A$8:$A$1007+($C$8:$C$1007&lt;&gt;$C451)*100000))+1)</f>
        <v>0</v>
      </c>
      <c r="L451" s="26" t="str">
        <f aca="false">IF($A451="","",IF($J451=0,"Sem registro anterior",IF($K451&lt;21,"Histórico insuficiente",IF($J451&lt;0.8,"Subcarga",IF($J451&lt;=1.3,"Zona ideal",IF($J451&lt;=1.5,"Atenção","Risco elevado"))))))</f>
        <v/>
      </c>
      <c r="M451" s="27"/>
    </row>
    <row r="452" customFormat="false" ht="15" hidden="false" customHeight="false" outlineLevel="0" collapsed="false">
      <c r="A452" s="29"/>
      <c r="B452" s="40" t="n">
        <f aca="false">IF($A452="",0,INT(($A452-Macrociclo!$C$11)/7)+1)</f>
        <v>0</v>
      </c>
      <c r="C452" s="27"/>
      <c r="D452" s="27"/>
      <c r="E452" s="28"/>
      <c r="F452" s="28"/>
      <c r="G452" s="44" t="n">
        <f aca="false">IF(OR($E452="",$F452=""),0,$E452*$F452)</f>
        <v>0</v>
      </c>
      <c r="H452" s="44" t="n">
        <f aca="false">IF($A452="",0,SUMIFS($G$8:$G$1007,$C$8:$C$1007,$C452,$A$8:$A$1007,"&gt;="&amp;$A452-6,$A$8:$A$1007,"&lt;="&amp;$A452))</f>
        <v>0</v>
      </c>
      <c r="I452" s="44" t="n">
        <f aca="false">IF($A452="",0,SUMIFS($G$8:$G$1007,$C$8:$C$1007,$C452,$A$8:$A$1007,"&gt;="&amp;$A452-27,$A$8:$A$1007,"&lt;="&amp;$A452)/4)</f>
        <v>0</v>
      </c>
      <c r="J452" s="144" t="n">
        <f aca="false">IF(OR($A452="",$I452=0),0,$H452/$I452)</f>
        <v>0</v>
      </c>
      <c r="K452" s="40" t="n">
        <f aca="false">IF($A452="",0,$A452-SUMPRODUCT(MIN(($C$8:$C$1007=$C452)*$A$8:$A$1007+($C$8:$C$1007&lt;&gt;$C452)*100000))+1)</f>
        <v>0</v>
      </c>
      <c r="L452" s="26" t="str">
        <f aca="false">IF($A452="","",IF($J452=0,"Sem registro anterior",IF($K452&lt;21,"Histórico insuficiente",IF($J452&lt;0.8,"Subcarga",IF($J452&lt;=1.3,"Zona ideal",IF($J452&lt;=1.5,"Atenção","Risco elevado"))))))</f>
        <v/>
      </c>
      <c r="M452" s="27"/>
    </row>
    <row r="453" customFormat="false" ht="15" hidden="false" customHeight="false" outlineLevel="0" collapsed="false">
      <c r="A453" s="29"/>
      <c r="B453" s="40" t="n">
        <f aca="false">IF($A453="",0,INT(($A453-Macrociclo!$C$11)/7)+1)</f>
        <v>0</v>
      </c>
      <c r="C453" s="27"/>
      <c r="D453" s="27"/>
      <c r="E453" s="28"/>
      <c r="F453" s="28"/>
      <c r="G453" s="44" t="n">
        <f aca="false">IF(OR($E453="",$F453=""),0,$E453*$F453)</f>
        <v>0</v>
      </c>
      <c r="H453" s="44" t="n">
        <f aca="false">IF($A453="",0,SUMIFS($G$8:$G$1007,$C$8:$C$1007,$C453,$A$8:$A$1007,"&gt;="&amp;$A453-6,$A$8:$A$1007,"&lt;="&amp;$A453))</f>
        <v>0</v>
      </c>
      <c r="I453" s="44" t="n">
        <f aca="false">IF($A453="",0,SUMIFS($G$8:$G$1007,$C$8:$C$1007,$C453,$A$8:$A$1007,"&gt;="&amp;$A453-27,$A$8:$A$1007,"&lt;="&amp;$A453)/4)</f>
        <v>0</v>
      </c>
      <c r="J453" s="144" t="n">
        <f aca="false">IF(OR($A453="",$I453=0),0,$H453/$I453)</f>
        <v>0</v>
      </c>
      <c r="K453" s="40" t="n">
        <f aca="false">IF($A453="",0,$A453-SUMPRODUCT(MIN(($C$8:$C$1007=$C453)*$A$8:$A$1007+($C$8:$C$1007&lt;&gt;$C453)*100000))+1)</f>
        <v>0</v>
      </c>
      <c r="L453" s="26" t="str">
        <f aca="false">IF($A453="","",IF($J453=0,"Sem registro anterior",IF($K453&lt;21,"Histórico insuficiente",IF($J453&lt;0.8,"Subcarga",IF($J453&lt;=1.3,"Zona ideal",IF($J453&lt;=1.5,"Atenção","Risco elevado"))))))</f>
        <v/>
      </c>
      <c r="M453" s="27"/>
    </row>
    <row r="454" customFormat="false" ht="15" hidden="false" customHeight="false" outlineLevel="0" collapsed="false">
      <c r="A454" s="29"/>
      <c r="B454" s="40" t="n">
        <f aca="false">IF($A454="",0,INT(($A454-Macrociclo!$C$11)/7)+1)</f>
        <v>0</v>
      </c>
      <c r="C454" s="27"/>
      <c r="D454" s="27"/>
      <c r="E454" s="28"/>
      <c r="F454" s="28"/>
      <c r="G454" s="44" t="n">
        <f aca="false">IF(OR($E454="",$F454=""),0,$E454*$F454)</f>
        <v>0</v>
      </c>
      <c r="H454" s="44" t="n">
        <f aca="false">IF($A454="",0,SUMIFS($G$8:$G$1007,$C$8:$C$1007,$C454,$A$8:$A$1007,"&gt;="&amp;$A454-6,$A$8:$A$1007,"&lt;="&amp;$A454))</f>
        <v>0</v>
      </c>
      <c r="I454" s="44" t="n">
        <f aca="false">IF($A454="",0,SUMIFS($G$8:$G$1007,$C$8:$C$1007,$C454,$A$8:$A$1007,"&gt;="&amp;$A454-27,$A$8:$A$1007,"&lt;="&amp;$A454)/4)</f>
        <v>0</v>
      </c>
      <c r="J454" s="144" t="n">
        <f aca="false">IF(OR($A454="",$I454=0),0,$H454/$I454)</f>
        <v>0</v>
      </c>
      <c r="K454" s="40" t="n">
        <f aca="false">IF($A454="",0,$A454-SUMPRODUCT(MIN(($C$8:$C$1007=$C454)*$A$8:$A$1007+($C$8:$C$1007&lt;&gt;$C454)*100000))+1)</f>
        <v>0</v>
      </c>
      <c r="L454" s="26" t="str">
        <f aca="false">IF($A454="","",IF($J454=0,"Sem registro anterior",IF($K454&lt;21,"Histórico insuficiente",IF($J454&lt;0.8,"Subcarga",IF($J454&lt;=1.3,"Zona ideal",IF($J454&lt;=1.5,"Atenção","Risco elevado"))))))</f>
        <v/>
      </c>
      <c r="M454" s="27"/>
    </row>
    <row r="455" customFormat="false" ht="15" hidden="false" customHeight="false" outlineLevel="0" collapsed="false">
      <c r="A455" s="29"/>
      <c r="B455" s="40" t="n">
        <f aca="false">IF($A455="",0,INT(($A455-Macrociclo!$C$11)/7)+1)</f>
        <v>0</v>
      </c>
      <c r="C455" s="27"/>
      <c r="D455" s="27"/>
      <c r="E455" s="28"/>
      <c r="F455" s="28"/>
      <c r="G455" s="44" t="n">
        <f aca="false">IF(OR($E455="",$F455=""),0,$E455*$F455)</f>
        <v>0</v>
      </c>
      <c r="H455" s="44" t="n">
        <f aca="false">IF($A455="",0,SUMIFS($G$8:$G$1007,$C$8:$C$1007,$C455,$A$8:$A$1007,"&gt;="&amp;$A455-6,$A$8:$A$1007,"&lt;="&amp;$A455))</f>
        <v>0</v>
      </c>
      <c r="I455" s="44" t="n">
        <f aca="false">IF($A455="",0,SUMIFS($G$8:$G$1007,$C$8:$C$1007,$C455,$A$8:$A$1007,"&gt;="&amp;$A455-27,$A$8:$A$1007,"&lt;="&amp;$A455)/4)</f>
        <v>0</v>
      </c>
      <c r="J455" s="144" t="n">
        <f aca="false">IF(OR($A455="",$I455=0),0,$H455/$I455)</f>
        <v>0</v>
      </c>
      <c r="K455" s="40" t="n">
        <f aca="false">IF($A455="",0,$A455-SUMPRODUCT(MIN(($C$8:$C$1007=$C455)*$A$8:$A$1007+($C$8:$C$1007&lt;&gt;$C455)*100000))+1)</f>
        <v>0</v>
      </c>
      <c r="L455" s="26" t="str">
        <f aca="false">IF($A455="","",IF($J455=0,"Sem registro anterior",IF($K455&lt;21,"Histórico insuficiente",IF($J455&lt;0.8,"Subcarga",IF($J455&lt;=1.3,"Zona ideal",IF($J455&lt;=1.5,"Atenção","Risco elevado"))))))</f>
        <v/>
      </c>
      <c r="M455" s="27"/>
    </row>
    <row r="456" customFormat="false" ht="15" hidden="false" customHeight="false" outlineLevel="0" collapsed="false">
      <c r="A456" s="29"/>
      <c r="B456" s="40" t="n">
        <f aca="false">IF($A456="",0,INT(($A456-Macrociclo!$C$11)/7)+1)</f>
        <v>0</v>
      </c>
      <c r="C456" s="27"/>
      <c r="D456" s="27"/>
      <c r="E456" s="28"/>
      <c r="F456" s="28"/>
      <c r="G456" s="44" t="n">
        <f aca="false">IF(OR($E456="",$F456=""),0,$E456*$F456)</f>
        <v>0</v>
      </c>
      <c r="H456" s="44" t="n">
        <f aca="false">IF($A456="",0,SUMIFS($G$8:$G$1007,$C$8:$C$1007,$C456,$A$8:$A$1007,"&gt;="&amp;$A456-6,$A$8:$A$1007,"&lt;="&amp;$A456))</f>
        <v>0</v>
      </c>
      <c r="I456" s="44" t="n">
        <f aca="false">IF($A456="",0,SUMIFS($G$8:$G$1007,$C$8:$C$1007,$C456,$A$8:$A$1007,"&gt;="&amp;$A456-27,$A$8:$A$1007,"&lt;="&amp;$A456)/4)</f>
        <v>0</v>
      </c>
      <c r="J456" s="144" t="n">
        <f aca="false">IF(OR($A456="",$I456=0),0,$H456/$I456)</f>
        <v>0</v>
      </c>
      <c r="K456" s="40" t="n">
        <f aca="false">IF($A456="",0,$A456-SUMPRODUCT(MIN(($C$8:$C$1007=$C456)*$A$8:$A$1007+($C$8:$C$1007&lt;&gt;$C456)*100000))+1)</f>
        <v>0</v>
      </c>
      <c r="L456" s="26" t="str">
        <f aca="false">IF($A456="","",IF($J456=0,"Sem registro anterior",IF($K456&lt;21,"Histórico insuficiente",IF($J456&lt;0.8,"Subcarga",IF($J456&lt;=1.3,"Zona ideal",IF($J456&lt;=1.5,"Atenção","Risco elevado"))))))</f>
        <v/>
      </c>
      <c r="M456" s="27"/>
    </row>
    <row r="457" customFormat="false" ht="15" hidden="false" customHeight="false" outlineLevel="0" collapsed="false">
      <c r="A457" s="29"/>
      <c r="B457" s="40" t="n">
        <f aca="false">IF($A457="",0,INT(($A457-Macrociclo!$C$11)/7)+1)</f>
        <v>0</v>
      </c>
      <c r="C457" s="27"/>
      <c r="D457" s="27"/>
      <c r="E457" s="28"/>
      <c r="F457" s="28"/>
      <c r="G457" s="44" t="n">
        <f aca="false">IF(OR($E457="",$F457=""),0,$E457*$F457)</f>
        <v>0</v>
      </c>
      <c r="H457" s="44" t="n">
        <f aca="false">IF($A457="",0,SUMIFS($G$8:$G$1007,$C$8:$C$1007,$C457,$A$8:$A$1007,"&gt;="&amp;$A457-6,$A$8:$A$1007,"&lt;="&amp;$A457))</f>
        <v>0</v>
      </c>
      <c r="I457" s="44" t="n">
        <f aca="false">IF($A457="",0,SUMIFS($G$8:$G$1007,$C$8:$C$1007,$C457,$A$8:$A$1007,"&gt;="&amp;$A457-27,$A$8:$A$1007,"&lt;="&amp;$A457)/4)</f>
        <v>0</v>
      </c>
      <c r="J457" s="144" t="n">
        <f aca="false">IF(OR($A457="",$I457=0),0,$H457/$I457)</f>
        <v>0</v>
      </c>
      <c r="K457" s="40" t="n">
        <f aca="false">IF($A457="",0,$A457-SUMPRODUCT(MIN(($C$8:$C$1007=$C457)*$A$8:$A$1007+($C$8:$C$1007&lt;&gt;$C457)*100000))+1)</f>
        <v>0</v>
      </c>
      <c r="L457" s="26" t="str">
        <f aca="false">IF($A457="","",IF($J457=0,"Sem registro anterior",IF($K457&lt;21,"Histórico insuficiente",IF($J457&lt;0.8,"Subcarga",IF($J457&lt;=1.3,"Zona ideal",IF($J457&lt;=1.5,"Atenção","Risco elevado"))))))</f>
        <v/>
      </c>
      <c r="M457" s="27"/>
    </row>
    <row r="458" customFormat="false" ht="15" hidden="false" customHeight="false" outlineLevel="0" collapsed="false">
      <c r="A458" s="29"/>
      <c r="B458" s="40" t="n">
        <f aca="false">IF($A458="",0,INT(($A458-Macrociclo!$C$11)/7)+1)</f>
        <v>0</v>
      </c>
      <c r="C458" s="27"/>
      <c r="D458" s="27"/>
      <c r="E458" s="28"/>
      <c r="F458" s="28"/>
      <c r="G458" s="44" t="n">
        <f aca="false">IF(OR($E458="",$F458=""),0,$E458*$F458)</f>
        <v>0</v>
      </c>
      <c r="H458" s="44" t="n">
        <f aca="false">IF($A458="",0,SUMIFS($G$8:$G$1007,$C$8:$C$1007,$C458,$A$8:$A$1007,"&gt;="&amp;$A458-6,$A$8:$A$1007,"&lt;="&amp;$A458))</f>
        <v>0</v>
      </c>
      <c r="I458" s="44" t="n">
        <f aca="false">IF($A458="",0,SUMIFS($G$8:$G$1007,$C$8:$C$1007,$C458,$A$8:$A$1007,"&gt;="&amp;$A458-27,$A$8:$A$1007,"&lt;="&amp;$A458)/4)</f>
        <v>0</v>
      </c>
      <c r="J458" s="144" t="n">
        <f aca="false">IF(OR($A458="",$I458=0),0,$H458/$I458)</f>
        <v>0</v>
      </c>
      <c r="K458" s="40" t="n">
        <f aca="false">IF($A458="",0,$A458-SUMPRODUCT(MIN(($C$8:$C$1007=$C458)*$A$8:$A$1007+($C$8:$C$1007&lt;&gt;$C458)*100000))+1)</f>
        <v>0</v>
      </c>
      <c r="L458" s="26" t="str">
        <f aca="false">IF($A458="","",IF($J458=0,"Sem registro anterior",IF($K458&lt;21,"Histórico insuficiente",IF($J458&lt;0.8,"Subcarga",IF($J458&lt;=1.3,"Zona ideal",IF($J458&lt;=1.5,"Atenção","Risco elevado"))))))</f>
        <v/>
      </c>
      <c r="M458" s="27"/>
    </row>
    <row r="459" customFormat="false" ht="15" hidden="false" customHeight="false" outlineLevel="0" collapsed="false">
      <c r="A459" s="29"/>
      <c r="B459" s="40" t="n">
        <f aca="false">IF($A459="",0,INT(($A459-Macrociclo!$C$11)/7)+1)</f>
        <v>0</v>
      </c>
      <c r="C459" s="27"/>
      <c r="D459" s="27"/>
      <c r="E459" s="28"/>
      <c r="F459" s="28"/>
      <c r="G459" s="44" t="n">
        <f aca="false">IF(OR($E459="",$F459=""),0,$E459*$F459)</f>
        <v>0</v>
      </c>
      <c r="H459" s="44" t="n">
        <f aca="false">IF($A459="",0,SUMIFS($G$8:$G$1007,$C$8:$C$1007,$C459,$A$8:$A$1007,"&gt;="&amp;$A459-6,$A$8:$A$1007,"&lt;="&amp;$A459))</f>
        <v>0</v>
      </c>
      <c r="I459" s="44" t="n">
        <f aca="false">IF($A459="",0,SUMIFS($G$8:$G$1007,$C$8:$C$1007,$C459,$A$8:$A$1007,"&gt;="&amp;$A459-27,$A$8:$A$1007,"&lt;="&amp;$A459)/4)</f>
        <v>0</v>
      </c>
      <c r="J459" s="144" t="n">
        <f aca="false">IF(OR($A459="",$I459=0),0,$H459/$I459)</f>
        <v>0</v>
      </c>
      <c r="K459" s="40" t="n">
        <f aca="false">IF($A459="",0,$A459-SUMPRODUCT(MIN(($C$8:$C$1007=$C459)*$A$8:$A$1007+($C$8:$C$1007&lt;&gt;$C459)*100000))+1)</f>
        <v>0</v>
      </c>
      <c r="L459" s="26" t="str">
        <f aca="false">IF($A459="","",IF($J459=0,"Sem registro anterior",IF($K459&lt;21,"Histórico insuficiente",IF($J459&lt;0.8,"Subcarga",IF($J459&lt;=1.3,"Zona ideal",IF($J459&lt;=1.5,"Atenção","Risco elevado"))))))</f>
        <v/>
      </c>
      <c r="M459" s="27"/>
    </row>
    <row r="460" customFormat="false" ht="15" hidden="false" customHeight="false" outlineLevel="0" collapsed="false">
      <c r="A460" s="29"/>
      <c r="B460" s="40" t="n">
        <f aca="false">IF($A460="",0,INT(($A460-Macrociclo!$C$11)/7)+1)</f>
        <v>0</v>
      </c>
      <c r="C460" s="27"/>
      <c r="D460" s="27"/>
      <c r="E460" s="28"/>
      <c r="F460" s="28"/>
      <c r="G460" s="44" t="n">
        <f aca="false">IF(OR($E460="",$F460=""),0,$E460*$F460)</f>
        <v>0</v>
      </c>
      <c r="H460" s="44" t="n">
        <f aca="false">IF($A460="",0,SUMIFS($G$8:$G$1007,$C$8:$C$1007,$C460,$A$8:$A$1007,"&gt;="&amp;$A460-6,$A$8:$A$1007,"&lt;="&amp;$A460))</f>
        <v>0</v>
      </c>
      <c r="I460" s="44" t="n">
        <f aca="false">IF($A460="",0,SUMIFS($G$8:$G$1007,$C$8:$C$1007,$C460,$A$8:$A$1007,"&gt;="&amp;$A460-27,$A$8:$A$1007,"&lt;="&amp;$A460)/4)</f>
        <v>0</v>
      </c>
      <c r="J460" s="144" t="n">
        <f aca="false">IF(OR($A460="",$I460=0),0,$H460/$I460)</f>
        <v>0</v>
      </c>
      <c r="K460" s="40" t="n">
        <f aca="false">IF($A460="",0,$A460-SUMPRODUCT(MIN(($C$8:$C$1007=$C460)*$A$8:$A$1007+($C$8:$C$1007&lt;&gt;$C460)*100000))+1)</f>
        <v>0</v>
      </c>
      <c r="L460" s="26" t="str">
        <f aca="false">IF($A460="","",IF($J460=0,"Sem registro anterior",IF($K460&lt;21,"Histórico insuficiente",IF($J460&lt;0.8,"Subcarga",IF($J460&lt;=1.3,"Zona ideal",IF($J460&lt;=1.5,"Atenção","Risco elevado"))))))</f>
        <v/>
      </c>
      <c r="M460" s="27"/>
    </row>
    <row r="461" customFormat="false" ht="15" hidden="false" customHeight="false" outlineLevel="0" collapsed="false">
      <c r="A461" s="29"/>
      <c r="B461" s="40" t="n">
        <f aca="false">IF($A461="",0,INT(($A461-Macrociclo!$C$11)/7)+1)</f>
        <v>0</v>
      </c>
      <c r="C461" s="27"/>
      <c r="D461" s="27"/>
      <c r="E461" s="28"/>
      <c r="F461" s="28"/>
      <c r="G461" s="44" t="n">
        <f aca="false">IF(OR($E461="",$F461=""),0,$E461*$F461)</f>
        <v>0</v>
      </c>
      <c r="H461" s="44" t="n">
        <f aca="false">IF($A461="",0,SUMIFS($G$8:$G$1007,$C$8:$C$1007,$C461,$A$8:$A$1007,"&gt;="&amp;$A461-6,$A$8:$A$1007,"&lt;="&amp;$A461))</f>
        <v>0</v>
      </c>
      <c r="I461" s="44" t="n">
        <f aca="false">IF($A461="",0,SUMIFS($G$8:$G$1007,$C$8:$C$1007,$C461,$A$8:$A$1007,"&gt;="&amp;$A461-27,$A$8:$A$1007,"&lt;="&amp;$A461)/4)</f>
        <v>0</v>
      </c>
      <c r="J461" s="144" t="n">
        <f aca="false">IF(OR($A461="",$I461=0),0,$H461/$I461)</f>
        <v>0</v>
      </c>
      <c r="K461" s="40" t="n">
        <f aca="false">IF($A461="",0,$A461-SUMPRODUCT(MIN(($C$8:$C$1007=$C461)*$A$8:$A$1007+($C$8:$C$1007&lt;&gt;$C461)*100000))+1)</f>
        <v>0</v>
      </c>
      <c r="L461" s="26" t="str">
        <f aca="false">IF($A461="","",IF($J461=0,"Sem registro anterior",IF($K461&lt;21,"Histórico insuficiente",IF($J461&lt;0.8,"Subcarga",IF($J461&lt;=1.3,"Zona ideal",IF($J461&lt;=1.5,"Atenção","Risco elevado"))))))</f>
        <v/>
      </c>
      <c r="M461" s="27"/>
    </row>
    <row r="462" customFormat="false" ht="15" hidden="false" customHeight="false" outlineLevel="0" collapsed="false">
      <c r="A462" s="29"/>
      <c r="B462" s="40" t="n">
        <f aca="false">IF($A462="",0,INT(($A462-Macrociclo!$C$11)/7)+1)</f>
        <v>0</v>
      </c>
      <c r="C462" s="27"/>
      <c r="D462" s="27"/>
      <c r="E462" s="28"/>
      <c r="F462" s="28"/>
      <c r="G462" s="44" t="n">
        <f aca="false">IF(OR($E462="",$F462=""),0,$E462*$F462)</f>
        <v>0</v>
      </c>
      <c r="H462" s="44" t="n">
        <f aca="false">IF($A462="",0,SUMIFS($G$8:$G$1007,$C$8:$C$1007,$C462,$A$8:$A$1007,"&gt;="&amp;$A462-6,$A$8:$A$1007,"&lt;="&amp;$A462))</f>
        <v>0</v>
      </c>
      <c r="I462" s="44" t="n">
        <f aca="false">IF($A462="",0,SUMIFS($G$8:$G$1007,$C$8:$C$1007,$C462,$A$8:$A$1007,"&gt;="&amp;$A462-27,$A$8:$A$1007,"&lt;="&amp;$A462)/4)</f>
        <v>0</v>
      </c>
      <c r="J462" s="144" t="n">
        <f aca="false">IF(OR($A462="",$I462=0),0,$H462/$I462)</f>
        <v>0</v>
      </c>
      <c r="K462" s="40" t="n">
        <f aca="false">IF($A462="",0,$A462-SUMPRODUCT(MIN(($C$8:$C$1007=$C462)*$A$8:$A$1007+($C$8:$C$1007&lt;&gt;$C462)*100000))+1)</f>
        <v>0</v>
      </c>
      <c r="L462" s="26" t="str">
        <f aca="false">IF($A462="","",IF($J462=0,"Sem registro anterior",IF($K462&lt;21,"Histórico insuficiente",IF($J462&lt;0.8,"Subcarga",IF($J462&lt;=1.3,"Zona ideal",IF($J462&lt;=1.5,"Atenção","Risco elevado"))))))</f>
        <v/>
      </c>
      <c r="M462" s="27"/>
    </row>
    <row r="463" customFormat="false" ht="15" hidden="false" customHeight="false" outlineLevel="0" collapsed="false">
      <c r="A463" s="29"/>
      <c r="B463" s="40" t="n">
        <f aca="false">IF($A463="",0,INT(($A463-Macrociclo!$C$11)/7)+1)</f>
        <v>0</v>
      </c>
      <c r="C463" s="27"/>
      <c r="D463" s="27"/>
      <c r="E463" s="28"/>
      <c r="F463" s="28"/>
      <c r="G463" s="44" t="n">
        <f aca="false">IF(OR($E463="",$F463=""),0,$E463*$F463)</f>
        <v>0</v>
      </c>
      <c r="H463" s="44" t="n">
        <f aca="false">IF($A463="",0,SUMIFS($G$8:$G$1007,$C$8:$C$1007,$C463,$A$8:$A$1007,"&gt;="&amp;$A463-6,$A$8:$A$1007,"&lt;="&amp;$A463))</f>
        <v>0</v>
      </c>
      <c r="I463" s="44" t="n">
        <f aca="false">IF($A463="",0,SUMIFS($G$8:$G$1007,$C$8:$C$1007,$C463,$A$8:$A$1007,"&gt;="&amp;$A463-27,$A$8:$A$1007,"&lt;="&amp;$A463)/4)</f>
        <v>0</v>
      </c>
      <c r="J463" s="144" t="n">
        <f aca="false">IF(OR($A463="",$I463=0),0,$H463/$I463)</f>
        <v>0</v>
      </c>
      <c r="K463" s="40" t="n">
        <f aca="false">IF($A463="",0,$A463-SUMPRODUCT(MIN(($C$8:$C$1007=$C463)*$A$8:$A$1007+($C$8:$C$1007&lt;&gt;$C463)*100000))+1)</f>
        <v>0</v>
      </c>
      <c r="L463" s="26" t="str">
        <f aca="false">IF($A463="","",IF($J463=0,"Sem registro anterior",IF($K463&lt;21,"Histórico insuficiente",IF($J463&lt;0.8,"Subcarga",IF($J463&lt;=1.3,"Zona ideal",IF($J463&lt;=1.5,"Atenção","Risco elevado"))))))</f>
        <v/>
      </c>
      <c r="M463" s="27"/>
    </row>
    <row r="464" customFormat="false" ht="15" hidden="false" customHeight="false" outlineLevel="0" collapsed="false">
      <c r="A464" s="29"/>
      <c r="B464" s="40" t="n">
        <f aca="false">IF($A464="",0,INT(($A464-Macrociclo!$C$11)/7)+1)</f>
        <v>0</v>
      </c>
      <c r="C464" s="27"/>
      <c r="D464" s="27"/>
      <c r="E464" s="28"/>
      <c r="F464" s="28"/>
      <c r="G464" s="44" t="n">
        <f aca="false">IF(OR($E464="",$F464=""),0,$E464*$F464)</f>
        <v>0</v>
      </c>
      <c r="H464" s="44" t="n">
        <f aca="false">IF($A464="",0,SUMIFS($G$8:$G$1007,$C$8:$C$1007,$C464,$A$8:$A$1007,"&gt;="&amp;$A464-6,$A$8:$A$1007,"&lt;="&amp;$A464))</f>
        <v>0</v>
      </c>
      <c r="I464" s="44" t="n">
        <f aca="false">IF($A464="",0,SUMIFS($G$8:$G$1007,$C$8:$C$1007,$C464,$A$8:$A$1007,"&gt;="&amp;$A464-27,$A$8:$A$1007,"&lt;="&amp;$A464)/4)</f>
        <v>0</v>
      </c>
      <c r="J464" s="144" t="n">
        <f aca="false">IF(OR($A464="",$I464=0),0,$H464/$I464)</f>
        <v>0</v>
      </c>
      <c r="K464" s="40" t="n">
        <f aca="false">IF($A464="",0,$A464-SUMPRODUCT(MIN(($C$8:$C$1007=$C464)*$A$8:$A$1007+($C$8:$C$1007&lt;&gt;$C464)*100000))+1)</f>
        <v>0</v>
      </c>
      <c r="L464" s="26" t="str">
        <f aca="false">IF($A464="","",IF($J464=0,"Sem registro anterior",IF($K464&lt;21,"Histórico insuficiente",IF($J464&lt;0.8,"Subcarga",IF($J464&lt;=1.3,"Zona ideal",IF($J464&lt;=1.5,"Atenção","Risco elevado"))))))</f>
        <v/>
      </c>
      <c r="M464" s="27"/>
    </row>
    <row r="465" customFormat="false" ht="15" hidden="false" customHeight="false" outlineLevel="0" collapsed="false">
      <c r="A465" s="29"/>
      <c r="B465" s="40" t="n">
        <f aca="false">IF($A465="",0,INT(($A465-Macrociclo!$C$11)/7)+1)</f>
        <v>0</v>
      </c>
      <c r="C465" s="27"/>
      <c r="D465" s="27"/>
      <c r="E465" s="28"/>
      <c r="F465" s="28"/>
      <c r="G465" s="44" t="n">
        <f aca="false">IF(OR($E465="",$F465=""),0,$E465*$F465)</f>
        <v>0</v>
      </c>
      <c r="H465" s="44" t="n">
        <f aca="false">IF($A465="",0,SUMIFS($G$8:$G$1007,$C$8:$C$1007,$C465,$A$8:$A$1007,"&gt;="&amp;$A465-6,$A$8:$A$1007,"&lt;="&amp;$A465))</f>
        <v>0</v>
      </c>
      <c r="I465" s="44" t="n">
        <f aca="false">IF($A465="",0,SUMIFS($G$8:$G$1007,$C$8:$C$1007,$C465,$A$8:$A$1007,"&gt;="&amp;$A465-27,$A$8:$A$1007,"&lt;="&amp;$A465)/4)</f>
        <v>0</v>
      </c>
      <c r="J465" s="144" t="n">
        <f aca="false">IF(OR($A465="",$I465=0),0,$H465/$I465)</f>
        <v>0</v>
      </c>
      <c r="K465" s="40" t="n">
        <f aca="false">IF($A465="",0,$A465-SUMPRODUCT(MIN(($C$8:$C$1007=$C465)*$A$8:$A$1007+($C$8:$C$1007&lt;&gt;$C465)*100000))+1)</f>
        <v>0</v>
      </c>
      <c r="L465" s="26" t="str">
        <f aca="false">IF($A465="","",IF($J465=0,"Sem registro anterior",IF($K465&lt;21,"Histórico insuficiente",IF($J465&lt;0.8,"Subcarga",IF($J465&lt;=1.3,"Zona ideal",IF($J465&lt;=1.5,"Atenção","Risco elevado"))))))</f>
        <v/>
      </c>
      <c r="M465" s="27"/>
    </row>
    <row r="466" customFormat="false" ht="15" hidden="false" customHeight="false" outlineLevel="0" collapsed="false">
      <c r="A466" s="29"/>
      <c r="B466" s="40" t="n">
        <f aca="false">IF($A466="",0,INT(($A466-Macrociclo!$C$11)/7)+1)</f>
        <v>0</v>
      </c>
      <c r="C466" s="27"/>
      <c r="D466" s="27"/>
      <c r="E466" s="28"/>
      <c r="F466" s="28"/>
      <c r="G466" s="44" t="n">
        <f aca="false">IF(OR($E466="",$F466=""),0,$E466*$F466)</f>
        <v>0</v>
      </c>
      <c r="H466" s="44" t="n">
        <f aca="false">IF($A466="",0,SUMIFS($G$8:$G$1007,$C$8:$C$1007,$C466,$A$8:$A$1007,"&gt;="&amp;$A466-6,$A$8:$A$1007,"&lt;="&amp;$A466))</f>
        <v>0</v>
      </c>
      <c r="I466" s="44" t="n">
        <f aca="false">IF($A466="",0,SUMIFS($G$8:$G$1007,$C$8:$C$1007,$C466,$A$8:$A$1007,"&gt;="&amp;$A466-27,$A$8:$A$1007,"&lt;="&amp;$A466)/4)</f>
        <v>0</v>
      </c>
      <c r="J466" s="144" t="n">
        <f aca="false">IF(OR($A466="",$I466=0),0,$H466/$I466)</f>
        <v>0</v>
      </c>
      <c r="K466" s="40" t="n">
        <f aca="false">IF($A466="",0,$A466-SUMPRODUCT(MIN(($C$8:$C$1007=$C466)*$A$8:$A$1007+($C$8:$C$1007&lt;&gt;$C466)*100000))+1)</f>
        <v>0</v>
      </c>
      <c r="L466" s="26" t="str">
        <f aca="false">IF($A466="","",IF($J466=0,"Sem registro anterior",IF($K466&lt;21,"Histórico insuficiente",IF($J466&lt;0.8,"Subcarga",IF($J466&lt;=1.3,"Zona ideal",IF($J466&lt;=1.5,"Atenção","Risco elevado"))))))</f>
        <v/>
      </c>
      <c r="M466" s="27"/>
    </row>
    <row r="467" customFormat="false" ht="15" hidden="false" customHeight="false" outlineLevel="0" collapsed="false">
      <c r="A467" s="29"/>
      <c r="B467" s="40" t="n">
        <f aca="false">IF($A467="",0,INT(($A467-Macrociclo!$C$11)/7)+1)</f>
        <v>0</v>
      </c>
      <c r="C467" s="27"/>
      <c r="D467" s="27"/>
      <c r="E467" s="28"/>
      <c r="F467" s="28"/>
      <c r="G467" s="44" t="n">
        <f aca="false">IF(OR($E467="",$F467=""),0,$E467*$F467)</f>
        <v>0</v>
      </c>
      <c r="H467" s="44" t="n">
        <f aca="false">IF($A467="",0,SUMIFS($G$8:$G$1007,$C$8:$C$1007,$C467,$A$8:$A$1007,"&gt;="&amp;$A467-6,$A$8:$A$1007,"&lt;="&amp;$A467))</f>
        <v>0</v>
      </c>
      <c r="I467" s="44" t="n">
        <f aca="false">IF($A467="",0,SUMIFS($G$8:$G$1007,$C$8:$C$1007,$C467,$A$8:$A$1007,"&gt;="&amp;$A467-27,$A$8:$A$1007,"&lt;="&amp;$A467)/4)</f>
        <v>0</v>
      </c>
      <c r="J467" s="144" t="n">
        <f aca="false">IF(OR($A467="",$I467=0),0,$H467/$I467)</f>
        <v>0</v>
      </c>
      <c r="K467" s="40" t="n">
        <f aca="false">IF($A467="",0,$A467-SUMPRODUCT(MIN(($C$8:$C$1007=$C467)*$A$8:$A$1007+($C$8:$C$1007&lt;&gt;$C467)*100000))+1)</f>
        <v>0</v>
      </c>
      <c r="L467" s="26" t="str">
        <f aca="false">IF($A467="","",IF($J467=0,"Sem registro anterior",IF($K467&lt;21,"Histórico insuficiente",IF($J467&lt;0.8,"Subcarga",IF($J467&lt;=1.3,"Zona ideal",IF($J467&lt;=1.5,"Atenção","Risco elevado"))))))</f>
        <v/>
      </c>
      <c r="M467" s="27"/>
    </row>
    <row r="468" customFormat="false" ht="15" hidden="false" customHeight="false" outlineLevel="0" collapsed="false">
      <c r="A468" s="29"/>
      <c r="B468" s="40" t="n">
        <f aca="false">IF($A468="",0,INT(($A468-Macrociclo!$C$11)/7)+1)</f>
        <v>0</v>
      </c>
      <c r="C468" s="27"/>
      <c r="D468" s="27"/>
      <c r="E468" s="28"/>
      <c r="F468" s="28"/>
      <c r="G468" s="44" t="n">
        <f aca="false">IF(OR($E468="",$F468=""),0,$E468*$F468)</f>
        <v>0</v>
      </c>
      <c r="H468" s="44" t="n">
        <f aca="false">IF($A468="",0,SUMIFS($G$8:$G$1007,$C$8:$C$1007,$C468,$A$8:$A$1007,"&gt;="&amp;$A468-6,$A$8:$A$1007,"&lt;="&amp;$A468))</f>
        <v>0</v>
      </c>
      <c r="I468" s="44" t="n">
        <f aca="false">IF($A468="",0,SUMIFS($G$8:$G$1007,$C$8:$C$1007,$C468,$A$8:$A$1007,"&gt;="&amp;$A468-27,$A$8:$A$1007,"&lt;="&amp;$A468)/4)</f>
        <v>0</v>
      </c>
      <c r="J468" s="144" t="n">
        <f aca="false">IF(OR($A468="",$I468=0),0,$H468/$I468)</f>
        <v>0</v>
      </c>
      <c r="K468" s="40" t="n">
        <f aca="false">IF($A468="",0,$A468-SUMPRODUCT(MIN(($C$8:$C$1007=$C468)*$A$8:$A$1007+($C$8:$C$1007&lt;&gt;$C468)*100000))+1)</f>
        <v>0</v>
      </c>
      <c r="L468" s="26" t="str">
        <f aca="false">IF($A468="","",IF($J468=0,"Sem registro anterior",IF($K468&lt;21,"Histórico insuficiente",IF($J468&lt;0.8,"Subcarga",IF($J468&lt;=1.3,"Zona ideal",IF($J468&lt;=1.5,"Atenção","Risco elevado"))))))</f>
        <v/>
      </c>
      <c r="M468" s="27"/>
    </row>
    <row r="469" customFormat="false" ht="15" hidden="false" customHeight="false" outlineLevel="0" collapsed="false">
      <c r="A469" s="29"/>
      <c r="B469" s="40" t="n">
        <f aca="false">IF($A469="",0,INT(($A469-Macrociclo!$C$11)/7)+1)</f>
        <v>0</v>
      </c>
      <c r="C469" s="27"/>
      <c r="D469" s="27"/>
      <c r="E469" s="28"/>
      <c r="F469" s="28"/>
      <c r="G469" s="44" t="n">
        <f aca="false">IF(OR($E469="",$F469=""),0,$E469*$F469)</f>
        <v>0</v>
      </c>
      <c r="H469" s="44" t="n">
        <f aca="false">IF($A469="",0,SUMIFS($G$8:$G$1007,$C$8:$C$1007,$C469,$A$8:$A$1007,"&gt;="&amp;$A469-6,$A$8:$A$1007,"&lt;="&amp;$A469))</f>
        <v>0</v>
      </c>
      <c r="I469" s="44" t="n">
        <f aca="false">IF($A469="",0,SUMIFS($G$8:$G$1007,$C$8:$C$1007,$C469,$A$8:$A$1007,"&gt;="&amp;$A469-27,$A$8:$A$1007,"&lt;="&amp;$A469)/4)</f>
        <v>0</v>
      </c>
      <c r="J469" s="144" t="n">
        <f aca="false">IF(OR($A469="",$I469=0),0,$H469/$I469)</f>
        <v>0</v>
      </c>
      <c r="K469" s="40" t="n">
        <f aca="false">IF($A469="",0,$A469-SUMPRODUCT(MIN(($C$8:$C$1007=$C469)*$A$8:$A$1007+($C$8:$C$1007&lt;&gt;$C469)*100000))+1)</f>
        <v>0</v>
      </c>
      <c r="L469" s="26" t="str">
        <f aca="false">IF($A469="","",IF($J469=0,"Sem registro anterior",IF($K469&lt;21,"Histórico insuficiente",IF($J469&lt;0.8,"Subcarga",IF($J469&lt;=1.3,"Zona ideal",IF($J469&lt;=1.5,"Atenção","Risco elevado"))))))</f>
        <v/>
      </c>
      <c r="M469" s="27"/>
    </row>
    <row r="470" customFormat="false" ht="15" hidden="false" customHeight="false" outlineLevel="0" collapsed="false">
      <c r="A470" s="29"/>
      <c r="B470" s="40" t="n">
        <f aca="false">IF($A470="",0,INT(($A470-Macrociclo!$C$11)/7)+1)</f>
        <v>0</v>
      </c>
      <c r="C470" s="27"/>
      <c r="D470" s="27"/>
      <c r="E470" s="28"/>
      <c r="F470" s="28"/>
      <c r="G470" s="44" t="n">
        <f aca="false">IF(OR($E470="",$F470=""),0,$E470*$F470)</f>
        <v>0</v>
      </c>
      <c r="H470" s="44" t="n">
        <f aca="false">IF($A470="",0,SUMIFS($G$8:$G$1007,$C$8:$C$1007,$C470,$A$8:$A$1007,"&gt;="&amp;$A470-6,$A$8:$A$1007,"&lt;="&amp;$A470))</f>
        <v>0</v>
      </c>
      <c r="I470" s="44" t="n">
        <f aca="false">IF($A470="",0,SUMIFS($G$8:$G$1007,$C$8:$C$1007,$C470,$A$8:$A$1007,"&gt;="&amp;$A470-27,$A$8:$A$1007,"&lt;="&amp;$A470)/4)</f>
        <v>0</v>
      </c>
      <c r="J470" s="144" t="n">
        <f aca="false">IF(OR($A470="",$I470=0),0,$H470/$I470)</f>
        <v>0</v>
      </c>
      <c r="K470" s="40" t="n">
        <f aca="false">IF($A470="",0,$A470-SUMPRODUCT(MIN(($C$8:$C$1007=$C470)*$A$8:$A$1007+($C$8:$C$1007&lt;&gt;$C470)*100000))+1)</f>
        <v>0</v>
      </c>
      <c r="L470" s="26" t="str">
        <f aca="false">IF($A470="","",IF($J470=0,"Sem registro anterior",IF($K470&lt;21,"Histórico insuficiente",IF($J470&lt;0.8,"Subcarga",IF($J470&lt;=1.3,"Zona ideal",IF($J470&lt;=1.5,"Atenção","Risco elevado"))))))</f>
        <v/>
      </c>
      <c r="M470" s="27"/>
    </row>
    <row r="471" customFormat="false" ht="15" hidden="false" customHeight="false" outlineLevel="0" collapsed="false">
      <c r="A471" s="29"/>
      <c r="B471" s="40" t="n">
        <f aca="false">IF($A471="",0,INT(($A471-Macrociclo!$C$11)/7)+1)</f>
        <v>0</v>
      </c>
      <c r="C471" s="27"/>
      <c r="D471" s="27"/>
      <c r="E471" s="28"/>
      <c r="F471" s="28"/>
      <c r="G471" s="44" t="n">
        <f aca="false">IF(OR($E471="",$F471=""),0,$E471*$F471)</f>
        <v>0</v>
      </c>
      <c r="H471" s="44" t="n">
        <f aca="false">IF($A471="",0,SUMIFS($G$8:$G$1007,$C$8:$C$1007,$C471,$A$8:$A$1007,"&gt;="&amp;$A471-6,$A$8:$A$1007,"&lt;="&amp;$A471))</f>
        <v>0</v>
      </c>
      <c r="I471" s="44" t="n">
        <f aca="false">IF($A471="",0,SUMIFS($G$8:$G$1007,$C$8:$C$1007,$C471,$A$8:$A$1007,"&gt;="&amp;$A471-27,$A$8:$A$1007,"&lt;="&amp;$A471)/4)</f>
        <v>0</v>
      </c>
      <c r="J471" s="144" t="n">
        <f aca="false">IF(OR($A471="",$I471=0),0,$H471/$I471)</f>
        <v>0</v>
      </c>
      <c r="K471" s="40" t="n">
        <f aca="false">IF($A471="",0,$A471-SUMPRODUCT(MIN(($C$8:$C$1007=$C471)*$A$8:$A$1007+($C$8:$C$1007&lt;&gt;$C471)*100000))+1)</f>
        <v>0</v>
      </c>
      <c r="L471" s="26" t="str">
        <f aca="false">IF($A471="","",IF($J471=0,"Sem registro anterior",IF($K471&lt;21,"Histórico insuficiente",IF($J471&lt;0.8,"Subcarga",IF($J471&lt;=1.3,"Zona ideal",IF($J471&lt;=1.5,"Atenção","Risco elevado"))))))</f>
        <v/>
      </c>
      <c r="M471" s="27"/>
    </row>
    <row r="472" customFormat="false" ht="15" hidden="false" customHeight="false" outlineLevel="0" collapsed="false">
      <c r="A472" s="29"/>
      <c r="B472" s="40" t="n">
        <f aca="false">IF($A472="",0,INT(($A472-Macrociclo!$C$11)/7)+1)</f>
        <v>0</v>
      </c>
      <c r="C472" s="27"/>
      <c r="D472" s="27"/>
      <c r="E472" s="28"/>
      <c r="F472" s="28"/>
      <c r="G472" s="44" t="n">
        <f aca="false">IF(OR($E472="",$F472=""),0,$E472*$F472)</f>
        <v>0</v>
      </c>
      <c r="H472" s="44" t="n">
        <f aca="false">IF($A472="",0,SUMIFS($G$8:$G$1007,$C$8:$C$1007,$C472,$A$8:$A$1007,"&gt;="&amp;$A472-6,$A$8:$A$1007,"&lt;="&amp;$A472))</f>
        <v>0</v>
      </c>
      <c r="I472" s="44" t="n">
        <f aca="false">IF($A472="",0,SUMIFS($G$8:$G$1007,$C$8:$C$1007,$C472,$A$8:$A$1007,"&gt;="&amp;$A472-27,$A$8:$A$1007,"&lt;="&amp;$A472)/4)</f>
        <v>0</v>
      </c>
      <c r="J472" s="144" t="n">
        <f aca="false">IF(OR($A472="",$I472=0),0,$H472/$I472)</f>
        <v>0</v>
      </c>
      <c r="K472" s="40" t="n">
        <f aca="false">IF($A472="",0,$A472-SUMPRODUCT(MIN(($C$8:$C$1007=$C472)*$A$8:$A$1007+($C$8:$C$1007&lt;&gt;$C472)*100000))+1)</f>
        <v>0</v>
      </c>
      <c r="L472" s="26" t="str">
        <f aca="false">IF($A472="","",IF($J472=0,"Sem registro anterior",IF($K472&lt;21,"Histórico insuficiente",IF($J472&lt;0.8,"Subcarga",IF($J472&lt;=1.3,"Zona ideal",IF($J472&lt;=1.5,"Atenção","Risco elevado"))))))</f>
        <v/>
      </c>
      <c r="M472" s="27"/>
    </row>
    <row r="473" customFormat="false" ht="15" hidden="false" customHeight="false" outlineLevel="0" collapsed="false">
      <c r="A473" s="29"/>
      <c r="B473" s="40" t="n">
        <f aca="false">IF($A473="",0,INT(($A473-Macrociclo!$C$11)/7)+1)</f>
        <v>0</v>
      </c>
      <c r="C473" s="27"/>
      <c r="D473" s="27"/>
      <c r="E473" s="28"/>
      <c r="F473" s="28"/>
      <c r="G473" s="44" t="n">
        <f aca="false">IF(OR($E473="",$F473=""),0,$E473*$F473)</f>
        <v>0</v>
      </c>
      <c r="H473" s="44" t="n">
        <f aca="false">IF($A473="",0,SUMIFS($G$8:$G$1007,$C$8:$C$1007,$C473,$A$8:$A$1007,"&gt;="&amp;$A473-6,$A$8:$A$1007,"&lt;="&amp;$A473))</f>
        <v>0</v>
      </c>
      <c r="I473" s="44" t="n">
        <f aca="false">IF($A473="",0,SUMIFS($G$8:$G$1007,$C$8:$C$1007,$C473,$A$8:$A$1007,"&gt;="&amp;$A473-27,$A$8:$A$1007,"&lt;="&amp;$A473)/4)</f>
        <v>0</v>
      </c>
      <c r="J473" s="144" t="n">
        <f aca="false">IF(OR($A473="",$I473=0),0,$H473/$I473)</f>
        <v>0</v>
      </c>
      <c r="K473" s="40" t="n">
        <f aca="false">IF($A473="",0,$A473-SUMPRODUCT(MIN(($C$8:$C$1007=$C473)*$A$8:$A$1007+($C$8:$C$1007&lt;&gt;$C473)*100000))+1)</f>
        <v>0</v>
      </c>
      <c r="L473" s="26" t="str">
        <f aca="false">IF($A473="","",IF($J473=0,"Sem registro anterior",IF($K473&lt;21,"Histórico insuficiente",IF($J473&lt;0.8,"Subcarga",IF($J473&lt;=1.3,"Zona ideal",IF($J473&lt;=1.5,"Atenção","Risco elevado"))))))</f>
        <v/>
      </c>
      <c r="M473" s="27"/>
    </row>
    <row r="474" customFormat="false" ht="15" hidden="false" customHeight="false" outlineLevel="0" collapsed="false">
      <c r="A474" s="29"/>
      <c r="B474" s="40" t="n">
        <f aca="false">IF($A474="",0,INT(($A474-Macrociclo!$C$11)/7)+1)</f>
        <v>0</v>
      </c>
      <c r="C474" s="27"/>
      <c r="D474" s="27"/>
      <c r="E474" s="28"/>
      <c r="F474" s="28"/>
      <c r="G474" s="44" t="n">
        <f aca="false">IF(OR($E474="",$F474=""),0,$E474*$F474)</f>
        <v>0</v>
      </c>
      <c r="H474" s="44" t="n">
        <f aca="false">IF($A474="",0,SUMIFS($G$8:$G$1007,$C$8:$C$1007,$C474,$A$8:$A$1007,"&gt;="&amp;$A474-6,$A$8:$A$1007,"&lt;="&amp;$A474))</f>
        <v>0</v>
      </c>
      <c r="I474" s="44" t="n">
        <f aca="false">IF($A474="",0,SUMIFS($G$8:$G$1007,$C$8:$C$1007,$C474,$A$8:$A$1007,"&gt;="&amp;$A474-27,$A$8:$A$1007,"&lt;="&amp;$A474)/4)</f>
        <v>0</v>
      </c>
      <c r="J474" s="144" t="n">
        <f aca="false">IF(OR($A474="",$I474=0),0,$H474/$I474)</f>
        <v>0</v>
      </c>
      <c r="K474" s="40" t="n">
        <f aca="false">IF($A474="",0,$A474-SUMPRODUCT(MIN(($C$8:$C$1007=$C474)*$A$8:$A$1007+($C$8:$C$1007&lt;&gt;$C474)*100000))+1)</f>
        <v>0</v>
      </c>
      <c r="L474" s="26" t="str">
        <f aca="false">IF($A474="","",IF($J474=0,"Sem registro anterior",IF($K474&lt;21,"Histórico insuficiente",IF($J474&lt;0.8,"Subcarga",IF($J474&lt;=1.3,"Zona ideal",IF($J474&lt;=1.5,"Atenção","Risco elevado"))))))</f>
        <v/>
      </c>
      <c r="M474" s="27"/>
    </row>
    <row r="475" customFormat="false" ht="15" hidden="false" customHeight="false" outlineLevel="0" collapsed="false">
      <c r="A475" s="29"/>
      <c r="B475" s="40" t="n">
        <f aca="false">IF($A475="",0,INT(($A475-Macrociclo!$C$11)/7)+1)</f>
        <v>0</v>
      </c>
      <c r="C475" s="27"/>
      <c r="D475" s="27"/>
      <c r="E475" s="28"/>
      <c r="F475" s="28"/>
      <c r="G475" s="44" t="n">
        <f aca="false">IF(OR($E475="",$F475=""),0,$E475*$F475)</f>
        <v>0</v>
      </c>
      <c r="H475" s="44" t="n">
        <f aca="false">IF($A475="",0,SUMIFS($G$8:$G$1007,$C$8:$C$1007,$C475,$A$8:$A$1007,"&gt;="&amp;$A475-6,$A$8:$A$1007,"&lt;="&amp;$A475))</f>
        <v>0</v>
      </c>
      <c r="I475" s="44" t="n">
        <f aca="false">IF($A475="",0,SUMIFS($G$8:$G$1007,$C$8:$C$1007,$C475,$A$8:$A$1007,"&gt;="&amp;$A475-27,$A$8:$A$1007,"&lt;="&amp;$A475)/4)</f>
        <v>0</v>
      </c>
      <c r="J475" s="144" t="n">
        <f aca="false">IF(OR($A475="",$I475=0),0,$H475/$I475)</f>
        <v>0</v>
      </c>
      <c r="K475" s="40" t="n">
        <f aca="false">IF($A475="",0,$A475-SUMPRODUCT(MIN(($C$8:$C$1007=$C475)*$A$8:$A$1007+($C$8:$C$1007&lt;&gt;$C475)*100000))+1)</f>
        <v>0</v>
      </c>
      <c r="L475" s="26" t="str">
        <f aca="false">IF($A475="","",IF($J475=0,"Sem registro anterior",IF($K475&lt;21,"Histórico insuficiente",IF($J475&lt;0.8,"Subcarga",IF($J475&lt;=1.3,"Zona ideal",IF($J475&lt;=1.5,"Atenção","Risco elevado"))))))</f>
        <v/>
      </c>
      <c r="M475" s="27"/>
    </row>
    <row r="476" customFormat="false" ht="15" hidden="false" customHeight="false" outlineLevel="0" collapsed="false">
      <c r="A476" s="29"/>
      <c r="B476" s="40" t="n">
        <f aca="false">IF($A476="",0,INT(($A476-Macrociclo!$C$11)/7)+1)</f>
        <v>0</v>
      </c>
      <c r="C476" s="27"/>
      <c r="D476" s="27"/>
      <c r="E476" s="28"/>
      <c r="F476" s="28"/>
      <c r="G476" s="44" t="n">
        <f aca="false">IF(OR($E476="",$F476=""),0,$E476*$F476)</f>
        <v>0</v>
      </c>
      <c r="H476" s="44" t="n">
        <f aca="false">IF($A476="",0,SUMIFS($G$8:$G$1007,$C$8:$C$1007,$C476,$A$8:$A$1007,"&gt;="&amp;$A476-6,$A$8:$A$1007,"&lt;="&amp;$A476))</f>
        <v>0</v>
      </c>
      <c r="I476" s="44" t="n">
        <f aca="false">IF($A476="",0,SUMIFS($G$8:$G$1007,$C$8:$C$1007,$C476,$A$8:$A$1007,"&gt;="&amp;$A476-27,$A$8:$A$1007,"&lt;="&amp;$A476)/4)</f>
        <v>0</v>
      </c>
      <c r="J476" s="144" t="n">
        <f aca="false">IF(OR($A476="",$I476=0),0,$H476/$I476)</f>
        <v>0</v>
      </c>
      <c r="K476" s="40" t="n">
        <f aca="false">IF($A476="",0,$A476-SUMPRODUCT(MIN(($C$8:$C$1007=$C476)*$A$8:$A$1007+($C$8:$C$1007&lt;&gt;$C476)*100000))+1)</f>
        <v>0</v>
      </c>
      <c r="L476" s="26" t="str">
        <f aca="false">IF($A476="","",IF($J476=0,"Sem registro anterior",IF($K476&lt;21,"Histórico insuficiente",IF($J476&lt;0.8,"Subcarga",IF($J476&lt;=1.3,"Zona ideal",IF($J476&lt;=1.5,"Atenção","Risco elevado"))))))</f>
        <v/>
      </c>
      <c r="M476" s="27"/>
    </row>
    <row r="477" customFormat="false" ht="15" hidden="false" customHeight="false" outlineLevel="0" collapsed="false">
      <c r="A477" s="29"/>
      <c r="B477" s="40" t="n">
        <f aca="false">IF($A477="",0,INT(($A477-Macrociclo!$C$11)/7)+1)</f>
        <v>0</v>
      </c>
      <c r="C477" s="27"/>
      <c r="D477" s="27"/>
      <c r="E477" s="28"/>
      <c r="F477" s="28"/>
      <c r="G477" s="44" t="n">
        <f aca="false">IF(OR($E477="",$F477=""),0,$E477*$F477)</f>
        <v>0</v>
      </c>
      <c r="H477" s="44" t="n">
        <f aca="false">IF($A477="",0,SUMIFS($G$8:$G$1007,$C$8:$C$1007,$C477,$A$8:$A$1007,"&gt;="&amp;$A477-6,$A$8:$A$1007,"&lt;="&amp;$A477))</f>
        <v>0</v>
      </c>
      <c r="I477" s="44" t="n">
        <f aca="false">IF($A477="",0,SUMIFS($G$8:$G$1007,$C$8:$C$1007,$C477,$A$8:$A$1007,"&gt;="&amp;$A477-27,$A$8:$A$1007,"&lt;="&amp;$A477)/4)</f>
        <v>0</v>
      </c>
      <c r="J477" s="144" t="n">
        <f aca="false">IF(OR($A477="",$I477=0),0,$H477/$I477)</f>
        <v>0</v>
      </c>
      <c r="K477" s="40" t="n">
        <f aca="false">IF($A477="",0,$A477-SUMPRODUCT(MIN(($C$8:$C$1007=$C477)*$A$8:$A$1007+($C$8:$C$1007&lt;&gt;$C477)*100000))+1)</f>
        <v>0</v>
      </c>
      <c r="L477" s="26" t="str">
        <f aca="false">IF($A477="","",IF($J477=0,"Sem registro anterior",IF($K477&lt;21,"Histórico insuficiente",IF($J477&lt;0.8,"Subcarga",IF($J477&lt;=1.3,"Zona ideal",IF($J477&lt;=1.5,"Atenção","Risco elevado"))))))</f>
        <v/>
      </c>
      <c r="M477" s="27"/>
    </row>
    <row r="478" customFormat="false" ht="15" hidden="false" customHeight="false" outlineLevel="0" collapsed="false">
      <c r="A478" s="29"/>
      <c r="B478" s="40" t="n">
        <f aca="false">IF($A478="",0,INT(($A478-Macrociclo!$C$11)/7)+1)</f>
        <v>0</v>
      </c>
      <c r="C478" s="27"/>
      <c r="D478" s="27"/>
      <c r="E478" s="28"/>
      <c r="F478" s="28"/>
      <c r="G478" s="44" t="n">
        <f aca="false">IF(OR($E478="",$F478=""),0,$E478*$F478)</f>
        <v>0</v>
      </c>
      <c r="H478" s="44" t="n">
        <f aca="false">IF($A478="",0,SUMIFS($G$8:$G$1007,$C$8:$C$1007,$C478,$A$8:$A$1007,"&gt;="&amp;$A478-6,$A$8:$A$1007,"&lt;="&amp;$A478))</f>
        <v>0</v>
      </c>
      <c r="I478" s="44" t="n">
        <f aca="false">IF($A478="",0,SUMIFS($G$8:$G$1007,$C$8:$C$1007,$C478,$A$8:$A$1007,"&gt;="&amp;$A478-27,$A$8:$A$1007,"&lt;="&amp;$A478)/4)</f>
        <v>0</v>
      </c>
      <c r="J478" s="144" t="n">
        <f aca="false">IF(OR($A478="",$I478=0),0,$H478/$I478)</f>
        <v>0</v>
      </c>
      <c r="K478" s="40" t="n">
        <f aca="false">IF($A478="",0,$A478-SUMPRODUCT(MIN(($C$8:$C$1007=$C478)*$A$8:$A$1007+($C$8:$C$1007&lt;&gt;$C478)*100000))+1)</f>
        <v>0</v>
      </c>
      <c r="L478" s="26" t="str">
        <f aca="false">IF($A478="","",IF($J478=0,"Sem registro anterior",IF($K478&lt;21,"Histórico insuficiente",IF($J478&lt;0.8,"Subcarga",IF($J478&lt;=1.3,"Zona ideal",IF($J478&lt;=1.5,"Atenção","Risco elevado"))))))</f>
        <v/>
      </c>
      <c r="M478" s="27"/>
    </row>
    <row r="479" customFormat="false" ht="15" hidden="false" customHeight="false" outlineLevel="0" collapsed="false">
      <c r="A479" s="29"/>
      <c r="B479" s="40" t="n">
        <f aca="false">IF($A479="",0,INT(($A479-Macrociclo!$C$11)/7)+1)</f>
        <v>0</v>
      </c>
      <c r="C479" s="27"/>
      <c r="D479" s="27"/>
      <c r="E479" s="28"/>
      <c r="F479" s="28"/>
      <c r="G479" s="44" t="n">
        <f aca="false">IF(OR($E479="",$F479=""),0,$E479*$F479)</f>
        <v>0</v>
      </c>
      <c r="H479" s="44" t="n">
        <f aca="false">IF($A479="",0,SUMIFS($G$8:$G$1007,$C$8:$C$1007,$C479,$A$8:$A$1007,"&gt;="&amp;$A479-6,$A$8:$A$1007,"&lt;="&amp;$A479))</f>
        <v>0</v>
      </c>
      <c r="I479" s="44" t="n">
        <f aca="false">IF($A479="",0,SUMIFS($G$8:$G$1007,$C$8:$C$1007,$C479,$A$8:$A$1007,"&gt;="&amp;$A479-27,$A$8:$A$1007,"&lt;="&amp;$A479)/4)</f>
        <v>0</v>
      </c>
      <c r="J479" s="144" t="n">
        <f aca="false">IF(OR($A479="",$I479=0),0,$H479/$I479)</f>
        <v>0</v>
      </c>
      <c r="K479" s="40" t="n">
        <f aca="false">IF($A479="",0,$A479-SUMPRODUCT(MIN(($C$8:$C$1007=$C479)*$A$8:$A$1007+($C$8:$C$1007&lt;&gt;$C479)*100000))+1)</f>
        <v>0</v>
      </c>
      <c r="L479" s="26" t="str">
        <f aca="false">IF($A479="","",IF($J479=0,"Sem registro anterior",IF($K479&lt;21,"Histórico insuficiente",IF($J479&lt;0.8,"Subcarga",IF($J479&lt;=1.3,"Zona ideal",IF($J479&lt;=1.5,"Atenção","Risco elevado"))))))</f>
        <v/>
      </c>
      <c r="M479" s="27"/>
    </row>
    <row r="480" customFormat="false" ht="15" hidden="false" customHeight="false" outlineLevel="0" collapsed="false">
      <c r="A480" s="29"/>
      <c r="B480" s="40" t="n">
        <f aca="false">IF($A480="",0,INT(($A480-Macrociclo!$C$11)/7)+1)</f>
        <v>0</v>
      </c>
      <c r="C480" s="27"/>
      <c r="D480" s="27"/>
      <c r="E480" s="28"/>
      <c r="F480" s="28"/>
      <c r="G480" s="44" t="n">
        <f aca="false">IF(OR($E480="",$F480=""),0,$E480*$F480)</f>
        <v>0</v>
      </c>
      <c r="H480" s="44" t="n">
        <f aca="false">IF($A480="",0,SUMIFS($G$8:$G$1007,$C$8:$C$1007,$C480,$A$8:$A$1007,"&gt;="&amp;$A480-6,$A$8:$A$1007,"&lt;="&amp;$A480))</f>
        <v>0</v>
      </c>
      <c r="I480" s="44" t="n">
        <f aca="false">IF($A480="",0,SUMIFS($G$8:$G$1007,$C$8:$C$1007,$C480,$A$8:$A$1007,"&gt;="&amp;$A480-27,$A$8:$A$1007,"&lt;="&amp;$A480)/4)</f>
        <v>0</v>
      </c>
      <c r="J480" s="144" t="n">
        <f aca="false">IF(OR($A480="",$I480=0),0,$H480/$I480)</f>
        <v>0</v>
      </c>
      <c r="K480" s="40" t="n">
        <f aca="false">IF($A480="",0,$A480-SUMPRODUCT(MIN(($C$8:$C$1007=$C480)*$A$8:$A$1007+($C$8:$C$1007&lt;&gt;$C480)*100000))+1)</f>
        <v>0</v>
      </c>
      <c r="L480" s="26" t="str">
        <f aca="false">IF($A480="","",IF($J480=0,"Sem registro anterior",IF($K480&lt;21,"Histórico insuficiente",IF($J480&lt;0.8,"Subcarga",IF($J480&lt;=1.3,"Zona ideal",IF($J480&lt;=1.5,"Atenção","Risco elevado"))))))</f>
        <v/>
      </c>
      <c r="M480" s="27"/>
    </row>
    <row r="481" customFormat="false" ht="15" hidden="false" customHeight="false" outlineLevel="0" collapsed="false">
      <c r="A481" s="29"/>
      <c r="B481" s="40" t="n">
        <f aca="false">IF($A481="",0,INT(($A481-Macrociclo!$C$11)/7)+1)</f>
        <v>0</v>
      </c>
      <c r="C481" s="27"/>
      <c r="D481" s="27"/>
      <c r="E481" s="28"/>
      <c r="F481" s="28"/>
      <c r="G481" s="44" t="n">
        <f aca="false">IF(OR($E481="",$F481=""),0,$E481*$F481)</f>
        <v>0</v>
      </c>
      <c r="H481" s="44" t="n">
        <f aca="false">IF($A481="",0,SUMIFS($G$8:$G$1007,$C$8:$C$1007,$C481,$A$8:$A$1007,"&gt;="&amp;$A481-6,$A$8:$A$1007,"&lt;="&amp;$A481))</f>
        <v>0</v>
      </c>
      <c r="I481" s="44" t="n">
        <f aca="false">IF($A481="",0,SUMIFS($G$8:$G$1007,$C$8:$C$1007,$C481,$A$8:$A$1007,"&gt;="&amp;$A481-27,$A$8:$A$1007,"&lt;="&amp;$A481)/4)</f>
        <v>0</v>
      </c>
      <c r="J481" s="144" t="n">
        <f aca="false">IF(OR($A481="",$I481=0),0,$H481/$I481)</f>
        <v>0</v>
      </c>
      <c r="K481" s="40" t="n">
        <f aca="false">IF($A481="",0,$A481-SUMPRODUCT(MIN(($C$8:$C$1007=$C481)*$A$8:$A$1007+($C$8:$C$1007&lt;&gt;$C481)*100000))+1)</f>
        <v>0</v>
      </c>
      <c r="L481" s="26" t="str">
        <f aca="false">IF($A481="","",IF($J481=0,"Sem registro anterior",IF($K481&lt;21,"Histórico insuficiente",IF($J481&lt;0.8,"Subcarga",IF($J481&lt;=1.3,"Zona ideal",IF($J481&lt;=1.5,"Atenção","Risco elevado"))))))</f>
        <v/>
      </c>
      <c r="M481" s="27"/>
    </row>
    <row r="482" customFormat="false" ht="15" hidden="false" customHeight="false" outlineLevel="0" collapsed="false">
      <c r="A482" s="29"/>
      <c r="B482" s="40" t="n">
        <f aca="false">IF($A482="",0,INT(($A482-Macrociclo!$C$11)/7)+1)</f>
        <v>0</v>
      </c>
      <c r="C482" s="27"/>
      <c r="D482" s="27"/>
      <c r="E482" s="28"/>
      <c r="F482" s="28"/>
      <c r="G482" s="44" t="n">
        <f aca="false">IF(OR($E482="",$F482=""),0,$E482*$F482)</f>
        <v>0</v>
      </c>
      <c r="H482" s="44" t="n">
        <f aca="false">IF($A482="",0,SUMIFS($G$8:$G$1007,$C$8:$C$1007,$C482,$A$8:$A$1007,"&gt;="&amp;$A482-6,$A$8:$A$1007,"&lt;="&amp;$A482))</f>
        <v>0</v>
      </c>
      <c r="I482" s="44" t="n">
        <f aca="false">IF($A482="",0,SUMIFS($G$8:$G$1007,$C$8:$C$1007,$C482,$A$8:$A$1007,"&gt;="&amp;$A482-27,$A$8:$A$1007,"&lt;="&amp;$A482)/4)</f>
        <v>0</v>
      </c>
      <c r="J482" s="144" t="n">
        <f aca="false">IF(OR($A482="",$I482=0),0,$H482/$I482)</f>
        <v>0</v>
      </c>
      <c r="K482" s="40" t="n">
        <f aca="false">IF($A482="",0,$A482-SUMPRODUCT(MIN(($C$8:$C$1007=$C482)*$A$8:$A$1007+($C$8:$C$1007&lt;&gt;$C482)*100000))+1)</f>
        <v>0</v>
      </c>
      <c r="L482" s="26" t="str">
        <f aca="false">IF($A482="","",IF($J482=0,"Sem registro anterior",IF($K482&lt;21,"Histórico insuficiente",IF($J482&lt;0.8,"Subcarga",IF($J482&lt;=1.3,"Zona ideal",IF($J482&lt;=1.5,"Atenção","Risco elevado"))))))</f>
        <v/>
      </c>
      <c r="M482" s="27"/>
    </row>
    <row r="483" customFormat="false" ht="15" hidden="false" customHeight="false" outlineLevel="0" collapsed="false">
      <c r="A483" s="29"/>
      <c r="B483" s="40" t="n">
        <f aca="false">IF($A483="",0,INT(($A483-Macrociclo!$C$11)/7)+1)</f>
        <v>0</v>
      </c>
      <c r="C483" s="27"/>
      <c r="D483" s="27"/>
      <c r="E483" s="28"/>
      <c r="F483" s="28"/>
      <c r="G483" s="44" t="n">
        <f aca="false">IF(OR($E483="",$F483=""),0,$E483*$F483)</f>
        <v>0</v>
      </c>
      <c r="H483" s="44" t="n">
        <f aca="false">IF($A483="",0,SUMIFS($G$8:$G$1007,$C$8:$C$1007,$C483,$A$8:$A$1007,"&gt;="&amp;$A483-6,$A$8:$A$1007,"&lt;="&amp;$A483))</f>
        <v>0</v>
      </c>
      <c r="I483" s="44" t="n">
        <f aca="false">IF($A483="",0,SUMIFS($G$8:$G$1007,$C$8:$C$1007,$C483,$A$8:$A$1007,"&gt;="&amp;$A483-27,$A$8:$A$1007,"&lt;="&amp;$A483)/4)</f>
        <v>0</v>
      </c>
      <c r="J483" s="144" t="n">
        <f aca="false">IF(OR($A483="",$I483=0),0,$H483/$I483)</f>
        <v>0</v>
      </c>
      <c r="K483" s="40" t="n">
        <f aca="false">IF($A483="",0,$A483-SUMPRODUCT(MIN(($C$8:$C$1007=$C483)*$A$8:$A$1007+($C$8:$C$1007&lt;&gt;$C483)*100000))+1)</f>
        <v>0</v>
      </c>
      <c r="L483" s="26" t="str">
        <f aca="false">IF($A483="","",IF($J483=0,"Sem registro anterior",IF($K483&lt;21,"Histórico insuficiente",IF($J483&lt;0.8,"Subcarga",IF($J483&lt;=1.3,"Zona ideal",IF($J483&lt;=1.5,"Atenção","Risco elevado"))))))</f>
        <v/>
      </c>
      <c r="M483" s="27"/>
    </row>
    <row r="484" customFormat="false" ht="15" hidden="false" customHeight="false" outlineLevel="0" collapsed="false">
      <c r="A484" s="29"/>
      <c r="B484" s="40" t="n">
        <f aca="false">IF($A484="",0,INT(($A484-Macrociclo!$C$11)/7)+1)</f>
        <v>0</v>
      </c>
      <c r="C484" s="27"/>
      <c r="D484" s="27"/>
      <c r="E484" s="28"/>
      <c r="F484" s="28"/>
      <c r="G484" s="44" t="n">
        <f aca="false">IF(OR($E484="",$F484=""),0,$E484*$F484)</f>
        <v>0</v>
      </c>
      <c r="H484" s="44" t="n">
        <f aca="false">IF($A484="",0,SUMIFS($G$8:$G$1007,$C$8:$C$1007,$C484,$A$8:$A$1007,"&gt;="&amp;$A484-6,$A$8:$A$1007,"&lt;="&amp;$A484))</f>
        <v>0</v>
      </c>
      <c r="I484" s="44" t="n">
        <f aca="false">IF($A484="",0,SUMIFS($G$8:$G$1007,$C$8:$C$1007,$C484,$A$8:$A$1007,"&gt;="&amp;$A484-27,$A$8:$A$1007,"&lt;="&amp;$A484)/4)</f>
        <v>0</v>
      </c>
      <c r="J484" s="144" t="n">
        <f aca="false">IF(OR($A484="",$I484=0),0,$H484/$I484)</f>
        <v>0</v>
      </c>
      <c r="K484" s="40" t="n">
        <f aca="false">IF($A484="",0,$A484-SUMPRODUCT(MIN(($C$8:$C$1007=$C484)*$A$8:$A$1007+($C$8:$C$1007&lt;&gt;$C484)*100000))+1)</f>
        <v>0</v>
      </c>
      <c r="L484" s="26" t="str">
        <f aca="false">IF($A484="","",IF($J484=0,"Sem registro anterior",IF($K484&lt;21,"Histórico insuficiente",IF($J484&lt;0.8,"Subcarga",IF($J484&lt;=1.3,"Zona ideal",IF($J484&lt;=1.5,"Atenção","Risco elevado"))))))</f>
        <v/>
      </c>
      <c r="M484" s="27"/>
    </row>
    <row r="485" customFormat="false" ht="15" hidden="false" customHeight="false" outlineLevel="0" collapsed="false">
      <c r="A485" s="29"/>
      <c r="B485" s="40" t="n">
        <f aca="false">IF($A485="",0,INT(($A485-Macrociclo!$C$11)/7)+1)</f>
        <v>0</v>
      </c>
      <c r="C485" s="27"/>
      <c r="D485" s="27"/>
      <c r="E485" s="28"/>
      <c r="F485" s="28"/>
      <c r="G485" s="44" t="n">
        <f aca="false">IF(OR($E485="",$F485=""),0,$E485*$F485)</f>
        <v>0</v>
      </c>
      <c r="H485" s="44" t="n">
        <f aca="false">IF($A485="",0,SUMIFS($G$8:$G$1007,$C$8:$C$1007,$C485,$A$8:$A$1007,"&gt;="&amp;$A485-6,$A$8:$A$1007,"&lt;="&amp;$A485))</f>
        <v>0</v>
      </c>
      <c r="I485" s="44" t="n">
        <f aca="false">IF($A485="",0,SUMIFS($G$8:$G$1007,$C$8:$C$1007,$C485,$A$8:$A$1007,"&gt;="&amp;$A485-27,$A$8:$A$1007,"&lt;="&amp;$A485)/4)</f>
        <v>0</v>
      </c>
      <c r="J485" s="144" t="n">
        <f aca="false">IF(OR($A485="",$I485=0),0,$H485/$I485)</f>
        <v>0</v>
      </c>
      <c r="K485" s="40" t="n">
        <f aca="false">IF($A485="",0,$A485-SUMPRODUCT(MIN(($C$8:$C$1007=$C485)*$A$8:$A$1007+($C$8:$C$1007&lt;&gt;$C485)*100000))+1)</f>
        <v>0</v>
      </c>
      <c r="L485" s="26" t="str">
        <f aca="false">IF($A485="","",IF($J485=0,"Sem registro anterior",IF($K485&lt;21,"Histórico insuficiente",IF($J485&lt;0.8,"Subcarga",IF($J485&lt;=1.3,"Zona ideal",IF($J485&lt;=1.5,"Atenção","Risco elevado"))))))</f>
        <v/>
      </c>
      <c r="M485" s="27"/>
    </row>
    <row r="486" customFormat="false" ht="15" hidden="false" customHeight="false" outlineLevel="0" collapsed="false">
      <c r="A486" s="29"/>
      <c r="B486" s="40" t="n">
        <f aca="false">IF($A486="",0,INT(($A486-Macrociclo!$C$11)/7)+1)</f>
        <v>0</v>
      </c>
      <c r="C486" s="27"/>
      <c r="D486" s="27"/>
      <c r="E486" s="28"/>
      <c r="F486" s="28"/>
      <c r="G486" s="44" t="n">
        <f aca="false">IF(OR($E486="",$F486=""),0,$E486*$F486)</f>
        <v>0</v>
      </c>
      <c r="H486" s="44" t="n">
        <f aca="false">IF($A486="",0,SUMIFS($G$8:$G$1007,$C$8:$C$1007,$C486,$A$8:$A$1007,"&gt;="&amp;$A486-6,$A$8:$A$1007,"&lt;="&amp;$A486))</f>
        <v>0</v>
      </c>
      <c r="I486" s="44" t="n">
        <f aca="false">IF($A486="",0,SUMIFS($G$8:$G$1007,$C$8:$C$1007,$C486,$A$8:$A$1007,"&gt;="&amp;$A486-27,$A$8:$A$1007,"&lt;="&amp;$A486)/4)</f>
        <v>0</v>
      </c>
      <c r="J486" s="144" t="n">
        <f aca="false">IF(OR($A486="",$I486=0),0,$H486/$I486)</f>
        <v>0</v>
      </c>
      <c r="K486" s="40" t="n">
        <f aca="false">IF($A486="",0,$A486-SUMPRODUCT(MIN(($C$8:$C$1007=$C486)*$A$8:$A$1007+($C$8:$C$1007&lt;&gt;$C486)*100000))+1)</f>
        <v>0</v>
      </c>
      <c r="L486" s="26" t="str">
        <f aca="false">IF($A486="","",IF($J486=0,"Sem registro anterior",IF($K486&lt;21,"Histórico insuficiente",IF($J486&lt;0.8,"Subcarga",IF($J486&lt;=1.3,"Zona ideal",IF($J486&lt;=1.5,"Atenção","Risco elevado"))))))</f>
        <v/>
      </c>
      <c r="M486" s="27"/>
    </row>
    <row r="487" customFormat="false" ht="15" hidden="false" customHeight="false" outlineLevel="0" collapsed="false">
      <c r="A487" s="29"/>
      <c r="B487" s="40" t="n">
        <f aca="false">IF($A487="",0,INT(($A487-Macrociclo!$C$11)/7)+1)</f>
        <v>0</v>
      </c>
      <c r="C487" s="27"/>
      <c r="D487" s="27"/>
      <c r="E487" s="28"/>
      <c r="F487" s="28"/>
      <c r="G487" s="44" t="n">
        <f aca="false">IF(OR($E487="",$F487=""),0,$E487*$F487)</f>
        <v>0</v>
      </c>
      <c r="H487" s="44" t="n">
        <f aca="false">IF($A487="",0,SUMIFS($G$8:$G$1007,$C$8:$C$1007,$C487,$A$8:$A$1007,"&gt;="&amp;$A487-6,$A$8:$A$1007,"&lt;="&amp;$A487))</f>
        <v>0</v>
      </c>
      <c r="I487" s="44" t="n">
        <f aca="false">IF($A487="",0,SUMIFS($G$8:$G$1007,$C$8:$C$1007,$C487,$A$8:$A$1007,"&gt;="&amp;$A487-27,$A$8:$A$1007,"&lt;="&amp;$A487)/4)</f>
        <v>0</v>
      </c>
      <c r="J487" s="144" t="n">
        <f aca="false">IF(OR($A487="",$I487=0),0,$H487/$I487)</f>
        <v>0</v>
      </c>
      <c r="K487" s="40" t="n">
        <f aca="false">IF($A487="",0,$A487-SUMPRODUCT(MIN(($C$8:$C$1007=$C487)*$A$8:$A$1007+($C$8:$C$1007&lt;&gt;$C487)*100000))+1)</f>
        <v>0</v>
      </c>
      <c r="L487" s="26" t="str">
        <f aca="false">IF($A487="","",IF($J487=0,"Sem registro anterior",IF($K487&lt;21,"Histórico insuficiente",IF($J487&lt;0.8,"Subcarga",IF($J487&lt;=1.3,"Zona ideal",IF($J487&lt;=1.5,"Atenção","Risco elevado"))))))</f>
        <v/>
      </c>
      <c r="M487" s="27"/>
    </row>
    <row r="488" customFormat="false" ht="15" hidden="false" customHeight="false" outlineLevel="0" collapsed="false">
      <c r="A488" s="29"/>
      <c r="B488" s="40" t="n">
        <f aca="false">IF($A488="",0,INT(($A488-Macrociclo!$C$11)/7)+1)</f>
        <v>0</v>
      </c>
      <c r="C488" s="27"/>
      <c r="D488" s="27"/>
      <c r="E488" s="28"/>
      <c r="F488" s="28"/>
      <c r="G488" s="44" t="n">
        <f aca="false">IF(OR($E488="",$F488=""),0,$E488*$F488)</f>
        <v>0</v>
      </c>
      <c r="H488" s="44" t="n">
        <f aca="false">IF($A488="",0,SUMIFS($G$8:$G$1007,$C$8:$C$1007,$C488,$A$8:$A$1007,"&gt;="&amp;$A488-6,$A$8:$A$1007,"&lt;="&amp;$A488))</f>
        <v>0</v>
      </c>
      <c r="I488" s="44" t="n">
        <f aca="false">IF($A488="",0,SUMIFS($G$8:$G$1007,$C$8:$C$1007,$C488,$A$8:$A$1007,"&gt;="&amp;$A488-27,$A$8:$A$1007,"&lt;="&amp;$A488)/4)</f>
        <v>0</v>
      </c>
      <c r="J488" s="144" t="n">
        <f aca="false">IF(OR($A488="",$I488=0),0,$H488/$I488)</f>
        <v>0</v>
      </c>
      <c r="K488" s="40" t="n">
        <f aca="false">IF($A488="",0,$A488-SUMPRODUCT(MIN(($C$8:$C$1007=$C488)*$A$8:$A$1007+($C$8:$C$1007&lt;&gt;$C488)*100000))+1)</f>
        <v>0</v>
      </c>
      <c r="L488" s="26" t="str">
        <f aca="false">IF($A488="","",IF($J488=0,"Sem registro anterior",IF($K488&lt;21,"Histórico insuficiente",IF($J488&lt;0.8,"Subcarga",IF($J488&lt;=1.3,"Zona ideal",IF($J488&lt;=1.5,"Atenção","Risco elevado"))))))</f>
        <v/>
      </c>
      <c r="M488" s="27"/>
    </row>
    <row r="489" customFormat="false" ht="15" hidden="false" customHeight="false" outlineLevel="0" collapsed="false">
      <c r="A489" s="29"/>
      <c r="B489" s="40" t="n">
        <f aca="false">IF($A489="",0,INT(($A489-Macrociclo!$C$11)/7)+1)</f>
        <v>0</v>
      </c>
      <c r="C489" s="27"/>
      <c r="D489" s="27"/>
      <c r="E489" s="28"/>
      <c r="F489" s="28"/>
      <c r="G489" s="44" t="n">
        <f aca="false">IF(OR($E489="",$F489=""),0,$E489*$F489)</f>
        <v>0</v>
      </c>
      <c r="H489" s="44" t="n">
        <f aca="false">IF($A489="",0,SUMIFS($G$8:$G$1007,$C$8:$C$1007,$C489,$A$8:$A$1007,"&gt;="&amp;$A489-6,$A$8:$A$1007,"&lt;="&amp;$A489))</f>
        <v>0</v>
      </c>
      <c r="I489" s="44" t="n">
        <f aca="false">IF($A489="",0,SUMIFS($G$8:$G$1007,$C$8:$C$1007,$C489,$A$8:$A$1007,"&gt;="&amp;$A489-27,$A$8:$A$1007,"&lt;="&amp;$A489)/4)</f>
        <v>0</v>
      </c>
      <c r="J489" s="144" t="n">
        <f aca="false">IF(OR($A489="",$I489=0),0,$H489/$I489)</f>
        <v>0</v>
      </c>
      <c r="K489" s="40" t="n">
        <f aca="false">IF($A489="",0,$A489-SUMPRODUCT(MIN(($C$8:$C$1007=$C489)*$A$8:$A$1007+($C$8:$C$1007&lt;&gt;$C489)*100000))+1)</f>
        <v>0</v>
      </c>
      <c r="L489" s="26" t="str">
        <f aca="false">IF($A489="","",IF($J489=0,"Sem registro anterior",IF($K489&lt;21,"Histórico insuficiente",IF($J489&lt;0.8,"Subcarga",IF($J489&lt;=1.3,"Zona ideal",IF($J489&lt;=1.5,"Atenção","Risco elevado"))))))</f>
        <v/>
      </c>
      <c r="M489" s="27"/>
    </row>
    <row r="490" customFormat="false" ht="15" hidden="false" customHeight="false" outlineLevel="0" collapsed="false">
      <c r="A490" s="29"/>
      <c r="B490" s="40" t="n">
        <f aca="false">IF($A490="",0,INT(($A490-Macrociclo!$C$11)/7)+1)</f>
        <v>0</v>
      </c>
      <c r="C490" s="27"/>
      <c r="D490" s="27"/>
      <c r="E490" s="28"/>
      <c r="F490" s="28"/>
      <c r="G490" s="44" t="n">
        <f aca="false">IF(OR($E490="",$F490=""),0,$E490*$F490)</f>
        <v>0</v>
      </c>
      <c r="H490" s="44" t="n">
        <f aca="false">IF($A490="",0,SUMIFS($G$8:$G$1007,$C$8:$C$1007,$C490,$A$8:$A$1007,"&gt;="&amp;$A490-6,$A$8:$A$1007,"&lt;="&amp;$A490))</f>
        <v>0</v>
      </c>
      <c r="I490" s="44" t="n">
        <f aca="false">IF($A490="",0,SUMIFS($G$8:$G$1007,$C$8:$C$1007,$C490,$A$8:$A$1007,"&gt;="&amp;$A490-27,$A$8:$A$1007,"&lt;="&amp;$A490)/4)</f>
        <v>0</v>
      </c>
      <c r="J490" s="144" t="n">
        <f aca="false">IF(OR($A490="",$I490=0),0,$H490/$I490)</f>
        <v>0</v>
      </c>
      <c r="K490" s="40" t="n">
        <f aca="false">IF($A490="",0,$A490-SUMPRODUCT(MIN(($C$8:$C$1007=$C490)*$A$8:$A$1007+($C$8:$C$1007&lt;&gt;$C490)*100000))+1)</f>
        <v>0</v>
      </c>
      <c r="L490" s="26" t="str">
        <f aca="false">IF($A490="","",IF($J490=0,"Sem registro anterior",IF($K490&lt;21,"Histórico insuficiente",IF($J490&lt;0.8,"Subcarga",IF($J490&lt;=1.3,"Zona ideal",IF($J490&lt;=1.5,"Atenção","Risco elevado"))))))</f>
        <v/>
      </c>
      <c r="M490" s="27"/>
    </row>
    <row r="491" customFormat="false" ht="15" hidden="false" customHeight="false" outlineLevel="0" collapsed="false">
      <c r="A491" s="29"/>
      <c r="B491" s="40" t="n">
        <f aca="false">IF($A491="",0,INT(($A491-Macrociclo!$C$11)/7)+1)</f>
        <v>0</v>
      </c>
      <c r="C491" s="27"/>
      <c r="D491" s="27"/>
      <c r="E491" s="28"/>
      <c r="F491" s="28"/>
      <c r="G491" s="44" t="n">
        <f aca="false">IF(OR($E491="",$F491=""),0,$E491*$F491)</f>
        <v>0</v>
      </c>
      <c r="H491" s="44" t="n">
        <f aca="false">IF($A491="",0,SUMIFS($G$8:$G$1007,$C$8:$C$1007,$C491,$A$8:$A$1007,"&gt;="&amp;$A491-6,$A$8:$A$1007,"&lt;="&amp;$A491))</f>
        <v>0</v>
      </c>
      <c r="I491" s="44" t="n">
        <f aca="false">IF($A491="",0,SUMIFS($G$8:$G$1007,$C$8:$C$1007,$C491,$A$8:$A$1007,"&gt;="&amp;$A491-27,$A$8:$A$1007,"&lt;="&amp;$A491)/4)</f>
        <v>0</v>
      </c>
      <c r="J491" s="144" t="n">
        <f aca="false">IF(OR($A491="",$I491=0),0,$H491/$I491)</f>
        <v>0</v>
      </c>
      <c r="K491" s="40" t="n">
        <f aca="false">IF($A491="",0,$A491-SUMPRODUCT(MIN(($C$8:$C$1007=$C491)*$A$8:$A$1007+($C$8:$C$1007&lt;&gt;$C491)*100000))+1)</f>
        <v>0</v>
      </c>
      <c r="L491" s="26" t="str">
        <f aca="false">IF($A491="","",IF($J491=0,"Sem registro anterior",IF($K491&lt;21,"Histórico insuficiente",IF($J491&lt;0.8,"Subcarga",IF($J491&lt;=1.3,"Zona ideal",IF($J491&lt;=1.5,"Atenção","Risco elevado"))))))</f>
        <v/>
      </c>
      <c r="M491" s="27"/>
    </row>
    <row r="492" customFormat="false" ht="15" hidden="false" customHeight="false" outlineLevel="0" collapsed="false">
      <c r="A492" s="29"/>
      <c r="B492" s="40" t="n">
        <f aca="false">IF($A492="",0,INT(($A492-Macrociclo!$C$11)/7)+1)</f>
        <v>0</v>
      </c>
      <c r="C492" s="27"/>
      <c r="D492" s="27"/>
      <c r="E492" s="28"/>
      <c r="F492" s="28"/>
      <c r="G492" s="44" t="n">
        <f aca="false">IF(OR($E492="",$F492=""),0,$E492*$F492)</f>
        <v>0</v>
      </c>
      <c r="H492" s="44" t="n">
        <f aca="false">IF($A492="",0,SUMIFS($G$8:$G$1007,$C$8:$C$1007,$C492,$A$8:$A$1007,"&gt;="&amp;$A492-6,$A$8:$A$1007,"&lt;="&amp;$A492))</f>
        <v>0</v>
      </c>
      <c r="I492" s="44" t="n">
        <f aca="false">IF($A492="",0,SUMIFS($G$8:$G$1007,$C$8:$C$1007,$C492,$A$8:$A$1007,"&gt;="&amp;$A492-27,$A$8:$A$1007,"&lt;="&amp;$A492)/4)</f>
        <v>0</v>
      </c>
      <c r="J492" s="144" t="n">
        <f aca="false">IF(OR($A492="",$I492=0),0,$H492/$I492)</f>
        <v>0</v>
      </c>
      <c r="K492" s="40" t="n">
        <f aca="false">IF($A492="",0,$A492-SUMPRODUCT(MIN(($C$8:$C$1007=$C492)*$A$8:$A$1007+($C$8:$C$1007&lt;&gt;$C492)*100000))+1)</f>
        <v>0</v>
      </c>
      <c r="L492" s="26" t="str">
        <f aca="false">IF($A492="","",IF($J492=0,"Sem registro anterior",IF($K492&lt;21,"Histórico insuficiente",IF($J492&lt;0.8,"Subcarga",IF($J492&lt;=1.3,"Zona ideal",IF($J492&lt;=1.5,"Atenção","Risco elevado"))))))</f>
        <v/>
      </c>
      <c r="M492" s="27"/>
    </row>
    <row r="493" customFormat="false" ht="15" hidden="false" customHeight="false" outlineLevel="0" collapsed="false">
      <c r="A493" s="29"/>
      <c r="B493" s="40" t="n">
        <f aca="false">IF($A493="",0,INT(($A493-Macrociclo!$C$11)/7)+1)</f>
        <v>0</v>
      </c>
      <c r="C493" s="27"/>
      <c r="D493" s="27"/>
      <c r="E493" s="28"/>
      <c r="F493" s="28"/>
      <c r="G493" s="44" t="n">
        <f aca="false">IF(OR($E493="",$F493=""),0,$E493*$F493)</f>
        <v>0</v>
      </c>
      <c r="H493" s="44" t="n">
        <f aca="false">IF($A493="",0,SUMIFS($G$8:$G$1007,$C$8:$C$1007,$C493,$A$8:$A$1007,"&gt;="&amp;$A493-6,$A$8:$A$1007,"&lt;="&amp;$A493))</f>
        <v>0</v>
      </c>
      <c r="I493" s="44" t="n">
        <f aca="false">IF($A493="",0,SUMIFS($G$8:$G$1007,$C$8:$C$1007,$C493,$A$8:$A$1007,"&gt;="&amp;$A493-27,$A$8:$A$1007,"&lt;="&amp;$A493)/4)</f>
        <v>0</v>
      </c>
      <c r="J493" s="144" t="n">
        <f aca="false">IF(OR($A493="",$I493=0),0,$H493/$I493)</f>
        <v>0</v>
      </c>
      <c r="K493" s="40" t="n">
        <f aca="false">IF($A493="",0,$A493-SUMPRODUCT(MIN(($C$8:$C$1007=$C493)*$A$8:$A$1007+($C$8:$C$1007&lt;&gt;$C493)*100000))+1)</f>
        <v>0</v>
      </c>
      <c r="L493" s="26" t="str">
        <f aca="false">IF($A493="","",IF($J493=0,"Sem registro anterior",IF($K493&lt;21,"Histórico insuficiente",IF($J493&lt;0.8,"Subcarga",IF($J493&lt;=1.3,"Zona ideal",IF($J493&lt;=1.5,"Atenção","Risco elevado"))))))</f>
        <v/>
      </c>
      <c r="M493" s="27"/>
    </row>
    <row r="494" customFormat="false" ht="15" hidden="false" customHeight="false" outlineLevel="0" collapsed="false">
      <c r="A494" s="29"/>
      <c r="B494" s="40" t="n">
        <f aca="false">IF($A494="",0,INT(($A494-Macrociclo!$C$11)/7)+1)</f>
        <v>0</v>
      </c>
      <c r="C494" s="27"/>
      <c r="D494" s="27"/>
      <c r="E494" s="28"/>
      <c r="F494" s="28"/>
      <c r="G494" s="44" t="n">
        <f aca="false">IF(OR($E494="",$F494=""),0,$E494*$F494)</f>
        <v>0</v>
      </c>
      <c r="H494" s="44" t="n">
        <f aca="false">IF($A494="",0,SUMIFS($G$8:$G$1007,$C$8:$C$1007,$C494,$A$8:$A$1007,"&gt;="&amp;$A494-6,$A$8:$A$1007,"&lt;="&amp;$A494))</f>
        <v>0</v>
      </c>
      <c r="I494" s="44" t="n">
        <f aca="false">IF($A494="",0,SUMIFS($G$8:$G$1007,$C$8:$C$1007,$C494,$A$8:$A$1007,"&gt;="&amp;$A494-27,$A$8:$A$1007,"&lt;="&amp;$A494)/4)</f>
        <v>0</v>
      </c>
      <c r="J494" s="144" t="n">
        <f aca="false">IF(OR($A494="",$I494=0),0,$H494/$I494)</f>
        <v>0</v>
      </c>
      <c r="K494" s="40" t="n">
        <f aca="false">IF($A494="",0,$A494-SUMPRODUCT(MIN(($C$8:$C$1007=$C494)*$A$8:$A$1007+($C$8:$C$1007&lt;&gt;$C494)*100000))+1)</f>
        <v>0</v>
      </c>
      <c r="L494" s="26" t="str">
        <f aca="false">IF($A494="","",IF($J494=0,"Sem registro anterior",IF($K494&lt;21,"Histórico insuficiente",IF($J494&lt;0.8,"Subcarga",IF($J494&lt;=1.3,"Zona ideal",IF($J494&lt;=1.5,"Atenção","Risco elevado"))))))</f>
        <v/>
      </c>
      <c r="M494" s="27"/>
    </row>
    <row r="495" customFormat="false" ht="15" hidden="false" customHeight="false" outlineLevel="0" collapsed="false">
      <c r="A495" s="29"/>
      <c r="B495" s="40" t="n">
        <f aca="false">IF($A495="",0,INT(($A495-Macrociclo!$C$11)/7)+1)</f>
        <v>0</v>
      </c>
      <c r="C495" s="27"/>
      <c r="D495" s="27"/>
      <c r="E495" s="28"/>
      <c r="F495" s="28"/>
      <c r="G495" s="44" t="n">
        <f aca="false">IF(OR($E495="",$F495=""),0,$E495*$F495)</f>
        <v>0</v>
      </c>
      <c r="H495" s="44" t="n">
        <f aca="false">IF($A495="",0,SUMIFS($G$8:$G$1007,$C$8:$C$1007,$C495,$A$8:$A$1007,"&gt;="&amp;$A495-6,$A$8:$A$1007,"&lt;="&amp;$A495))</f>
        <v>0</v>
      </c>
      <c r="I495" s="44" t="n">
        <f aca="false">IF($A495="",0,SUMIFS($G$8:$G$1007,$C$8:$C$1007,$C495,$A$8:$A$1007,"&gt;="&amp;$A495-27,$A$8:$A$1007,"&lt;="&amp;$A495)/4)</f>
        <v>0</v>
      </c>
      <c r="J495" s="144" t="n">
        <f aca="false">IF(OR($A495="",$I495=0),0,$H495/$I495)</f>
        <v>0</v>
      </c>
      <c r="K495" s="40" t="n">
        <f aca="false">IF($A495="",0,$A495-SUMPRODUCT(MIN(($C$8:$C$1007=$C495)*$A$8:$A$1007+($C$8:$C$1007&lt;&gt;$C495)*100000))+1)</f>
        <v>0</v>
      </c>
      <c r="L495" s="26" t="str">
        <f aca="false">IF($A495="","",IF($J495=0,"Sem registro anterior",IF($K495&lt;21,"Histórico insuficiente",IF($J495&lt;0.8,"Subcarga",IF($J495&lt;=1.3,"Zona ideal",IF($J495&lt;=1.5,"Atenção","Risco elevado"))))))</f>
        <v/>
      </c>
      <c r="M495" s="27"/>
    </row>
    <row r="496" customFormat="false" ht="15" hidden="false" customHeight="false" outlineLevel="0" collapsed="false">
      <c r="A496" s="29"/>
      <c r="B496" s="40" t="n">
        <f aca="false">IF($A496="",0,INT(($A496-Macrociclo!$C$11)/7)+1)</f>
        <v>0</v>
      </c>
      <c r="C496" s="27"/>
      <c r="D496" s="27"/>
      <c r="E496" s="28"/>
      <c r="F496" s="28"/>
      <c r="G496" s="44" t="n">
        <f aca="false">IF(OR($E496="",$F496=""),0,$E496*$F496)</f>
        <v>0</v>
      </c>
      <c r="H496" s="44" t="n">
        <f aca="false">IF($A496="",0,SUMIFS($G$8:$G$1007,$C$8:$C$1007,$C496,$A$8:$A$1007,"&gt;="&amp;$A496-6,$A$8:$A$1007,"&lt;="&amp;$A496))</f>
        <v>0</v>
      </c>
      <c r="I496" s="44" t="n">
        <f aca="false">IF($A496="",0,SUMIFS($G$8:$G$1007,$C$8:$C$1007,$C496,$A$8:$A$1007,"&gt;="&amp;$A496-27,$A$8:$A$1007,"&lt;="&amp;$A496)/4)</f>
        <v>0</v>
      </c>
      <c r="J496" s="144" t="n">
        <f aca="false">IF(OR($A496="",$I496=0),0,$H496/$I496)</f>
        <v>0</v>
      </c>
      <c r="K496" s="40" t="n">
        <f aca="false">IF($A496="",0,$A496-SUMPRODUCT(MIN(($C$8:$C$1007=$C496)*$A$8:$A$1007+($C$8:$C$1007&lt;&gt;$C496)*100000))+1)</f>
        <v>0</v>
      </c>
      <c r="L496" s="26" t="str">
        <f aca="false">IF($A496="","",IF($J496=0,"Sem registro anterior",IF($K496&lt;21,"Histórico insuficiente",IF($J496&lt;0.8,"Subcarga",IF($J496&lt;=1.3,"Zona ideal",IF($J496&lt;=1.5,"Atenção","Risco elevado"))))))</f>
        <v/>
      </c>
      <c r="M496" s="27"/>
    </row>
    <row r="497" customFormat="false" ht="15" hidden="false" customHeight="false" outlineLevel="0" collapsed="false">
      <c r="A497" s="29"/>
      <c r="B497" s="40" t="n">
        <f aca="false">IF($A497="",0,INT(($A497-Macrociclo!$C$11)/7)+1)</f>
        <v>0</v>
      </c>
      <c r="C497" s="27"/>
      <c r="D497" s="27"/>
      <c r="E497" s="28"/>
      <c r="F497" s="28"/>
      <c r="G497" s="44" t="n">
        <f aca="false">IF(OR($E497="",$F497=""),0,$E497*$F497)</f>
        <v>0</v>
      </c>
      <c r="H497" s="44" t="n">
        <f aca="false">IF($A497="",0,SUMIFS($G$8:$G$1007,$C$8:$C$1007,$C497,$A$8:$A$1007,"&gt;="&amp;$A497-6,$A$8:$A$1007,"&lt;="&amp;$A497))</f>
        <v>0</v>
      </c>
      <c r="I497" s="44" t="n">
        <f aca="false">IF($A497="",0,SUMIFS($G$8:$G$1007,$C$8:$C$1007,$C497,$A$8:$A$1007,"&gt;="&amp;$A497-27,$A$8:$A$1007,"&lt;="&amp;$A497)/4)</f>
        <v>0</v>
      </c>
      <c r="J497" s="144" t="n">
        <f aca="false">IF(OR($A497="",$I497=0),0,$H497/$I497)</f>
        <v>0</v>
      </c>
      <c r="K497" s="40" t="n">
        <f aca="false">IF($A497="",0,$A497-SUMPRODUCT(MIN(($C$8:$C$1007=$C497)*$A$8:$A$1007+($C$8:$C$1007&lt;&gt;$C497)*100000))+1)</f>
        <v>0</v>
      </c>
      <c r="L497" s="26" t="str">
        <f aca="false">IF($A497="","",IF($J497=0,"Sem registro anterior",IF($K497&lt;21,"Histórico insuficiente",IF($J497&lt;0.8,"Subcarga",IF($J497&lt;=1.3,"Zona ideal",IF($J497&lt;=1.5,"Atenção","Risco elevado"))))))</f>
        <v/>
      </c>
      <c r="M497" s="27"/>
    </row>
    <row r="498" customFormat="false" ht="15" hidden="false" customHeight="false" outlineLevel="0" collapsed="false">
      <c r="A498" s="29"/>
      <c r="B498" s="40" t="n">
        <f aca="false">IF($A498="",0,INT(($A498-Macrociclo!$C$11)/7)+1)</f>
        <v>0</v>
      </c>
      <c r="C498" s="27"/>
      <c r="D498" s="27"/>
      <c r="E498" s="28"/>
      <c r="F498" s="28"/>
      <c r="G498" s="44" t="n">
        <f aca="false">IF(OR($E498="",$F498=""),0,$E498*$F498)</f>
        <v>0</v>
      </c>
      <c r="H498" s="44" t="n">
        <f aca="false">IF($A498="",0,SUMIFS($G$8:$G$1007,$C$8:$C$1007,$C498,$A$8:$A$1007,"&gt;="&amp;$A498-6,$A$8:$A$1007,"&lt;="&amp;$A498))</f>
        <v>0</v>
      </c>
      <c r="I498" s="44" t="n">
        <f aca="false">IF($A498="",0,SUMIFS($G$8:$G$1007,$C$8:$C$1007,$C498,$A$8:$A$1007,"&gt;="&amp;$A498-27,$A$8:$A$1007,"&lt;="&amp;$A498)/4)</f>
        <v>0</v>
      </c>
      <c r="J498" s="144" t="n">
        <f aca="false">IF(OR($A498="",$I498=0),0,$H498/$I498)</f>
        <v>0</v>
      </c>
      <c r="K498" s="40" t="n">
        <f aca="false">IF($A498="",0,$A498-SUMPRODUCT(MIN(($C$8:$C$1007=$C498)*$A$8:$A$1007+($C$8:$C$1007&lt;&gt;$C498)*100000))+1)</f>
        <v>0</v>
      </c>
      <c r="L498" s="26" t="str">
        <f aca="false">IF($A498="","",IF($J498=0,"Sem registro anterior",IF($K498&lt;21,"Histórico insuficiente",IF($J498&lt;0.8,"Subcarga",IF($J498&lt;=1.3,"Zona ideal",IF($J498&lt;=1.5,"Atenção","Risco elevado"))))))</f>
        <v/>
      </c>
      <c r="M498" s="27"/>
    </row>
    <row r="499" customFormat="false" ht="15" hidden="false" customHeight="false" outlineLevel="0" collapsed="false">
      <c r="A499" s="29"/>
      <c r="B499" s="40" t="n">
        <f aca="false">IF($A499="",0,INT(($A499-Macrociclo!$C$11)/7)+1)</f>
        <v>0</v>
      </c>
      <c r="C499" s="27"/>
      <c r="D499" s="27"/>
      <c r="E499" s="28"/>
      <c r="F499" s="28"/>
      <c r="G499" s="44" t="n">
        <f aca="false">IF(OR($E499="",$F499=""),0,$E499*$F499)</f>
        <v>0</v>
      </c>
      <c r="H499" s="44" t="n">
        <f aca="false">IF($A499="",0,SUMIFS($G$8:$G$1007,$C$8:$C$1007,$C499,$A$8:$A$1007,"&gt;="&amp;$A499-6,$A$8:$A$1007,"&lt;="&amp;$A499))</f>
        <v>0</v>
      </c>
      <c r="I499" s="44" t="n">
        <f aca="false">IF($A499="",0,SUMIFS($G$8:$G$1007,$C$8:$C$1007,$C499,$A$8:$A$1007,"&gt;="&amp;$A499-27,$A$8:$A$1007,"&lt;="&amp;$A499)/4)</f>
        <v>0</v>
      </c>
      <c r="J499" s="144" t="n">
        <f aca="false">IF(OR($A499="",$I499=0),0,$H499/$I499)</f>
        <v>0</v>
      </c>
      <c r="K499" s="40" t="n">
        <f aca="false">IF($A499="",0,$A499-SUMPRODUCT(MIN(($C$8:$C$1007=$C499)*$A$8:$A$1007+($C$8:$C$1007&lt;&gt;$C499)*100000))+1)</f>
        <v>0</v>
      </c>
      <c r="L499" s="26" t="str">
        <f aca="false">IF($A499="","",IF($J499=0,"Sem registro anterior",IF($K499&lt;21,"Histórico insuficiente",IF($J499&lt;0.8,"Subcarga",IF($J499&lt;=1.3,"Zona ideal",IF($J499&lt;=1.5,"Atenção","Risco elevado"))))))</f>
        <v/>
      </c>
      <c r="M499" s="27"/>
    </row>
    <row r="500" customFormat="false" ht="15" hidden="false" customHeight="false" outlineLevel="0" collapsed="false">
      <c r="A500" s="29"/>
      <c r="B500" s="40" t="n">
        <f aca="false">IF($A500="",0,INT(($A500-Macrociclo!$C$11)/7)+1)</f>
        <v>0</v>
      </c>
      <c r="C500" s="27"/>
      <c r="D500" s="27"/>
      <c r="E500" s="28"/>
      <c r="F500" s="28"/>
      <c r="G500" s="44" t="n">
        <f aca="false">IF(OR($E500="",$F500=""),0,$E500*$F500)</f>
        <v>0</v>
      </c>
      <c r="H500" s="44" t="n">
        <f aca="false">IF($A500="",0,SUMIFS($G$8:$G$1007,$C$8:$C$1007,$C500,$A$8:$A$1007,"&gt;="&amp;$A500-6,$A$8:$A$1007,"&lt;="&amp;$A500))</f>
        <v>0</v>
      </c>
      <c r="I500" s="44" t="n">
        <f aca="false">IF($A500="",0,SUMIFS($G$8:$G$1007,$C$8:$C$1007,$C500,$A$8:$A$1007,"&gt;="&amp;$A500-27,$A$8:$A$1007,"&lt;="&amp;$A500)/4)</f>
        <v>0</v>
      </c>
      <c r="J500" s="144" t="n">
        <f aca="false">IF(OR($A500="",$I500=0),0,$H500/$I500)</f>
        <v>0</v>
      </c>
      <c r="K500" s="40" t="n">
        <f aca="false">IF($A500="",0,$A500-SUMPRODUCT(MIN(($C$8:$C$1007=$C500)*$A$8:$A$1007+($C$8:$C$1007&lt;&gt;$C500)*100000))+1)</f>
        <v>0</v>
      </c>
      <c r="L500" s="26" t="str">
        <f aca="false">IF($A500="","",IF($J500=0,"Sem registro anterior",IF($K500&lt;21,"Histórico insuficiente",IF($J500&lt;0.8,"Subcarga",IF($J500&lt;=1.3,"Zona ideal",IF($J500&lt;=1.5,"Atenção","Risco elevado"))))))</f>
        <v/>
      </c>
      <c r="M500" s="27"/>
    </row>
    <row r="501" customFormat="false" ht="15" hidden="false" customHeight="false" outlineLevel="0" collapsed="false">
      <c r="A501" s="29"/>
      <c r="B501" s="40" t="n">
        <f aca="false">IF($A501="",0,INT(($A501-Macrociclo!$C$11)/7)+1)</f>
        <v>0</v>
      </c>
      <c r="C501" s="27"/>
      <c r="D501" s="27"/>
      <c r="E501" s="28"/>
      <c r="F501" s="28"/>
      <c r="G501" s="44" t="n">
        <f aca="false">IF(OR($E501="",$F501=""),0,$E501*$F501)</f>
        <v>0</v>
      </c>
      <c r="H501" s="44" t="n">
        <f aca="false">IF($A501="",0,SUMIFS($G$8:$G$1007,$C$8:$C$1007,$C501,$A$8:$A$1007,"&gt;="&amp;$A501-6,$A$8:$A$1007,"&lt;="&amp;$A501))</f>
        <v>0</v>
      </c>
      <c r="I501" s="44" t="n">
        <f aca="false">IF($A501="",0,SUMIFS($G$8:$G$1007,$C$8:$C$1007,$C501,$A$8:$A$1007,"&gt;="&amp;$A501-27,$A$8:$A$1007,"&lt;="&amp;$A501)/4)</f>
        <v>0</v>
      </c>
      <c r="J501" s="144" t="n">
        <f aca="false">IF(OR($A501="",$I501=0),0,$H501/$I501)</f>
        <v>0</v>
      </c>
      <c r="K501" s="40" t="n">
        <f aca="false">IF($A501="",0,$A501-SUMPRODUCT(MIN(($C$8:$C$1007=$C501)*$A$8:$A$1007+($C$8:$C$1007&lt;&gt;$C501)*100000))+1)</f>
        <v>0</v>
      </c>
      <c r="L501" s="26" t="str">
        <f aca="false">IF($A501="","",IF($J501=0,"Sem registro anterior",IF($K501&lt;21,"Histórico insuficiente",IF($J501&lt;0.8,"Subcarga",IF($J501&lt;=1.3,"Zona ideal",IF($J501&lt;=1.5,"Atenção","Risco elevado"))))))</f>
        <v/>
      </c>
      <c r="M501" s="27"/>
    </row>
    <row r="502" customFormat="false" ht="15" hidden="false" customHeight="false" outlineLevel="0" collapsed="false">
      <c r="A502" s="29"/>
      <c r="B502" s="40" t="n">
        <f aca="false">IF($A502="",0,INT(($A502-Macrociclo!$C$11)/7)+1)</f>
        <v>0</v>
      </c>
      <c r="C502" s="27"/>
      <c r="D502" s="27"/>
      <c r="E502" s="28"/>
      <c r="F502" s="28"/>
      <c r="G502" s="44" t="n">
        <f aca="false">IF(OR($E502="",$F502=""),0,$E502*$F502)</f>
        <v>0</v>
      </c>
      <c r="H502" s="44" t="n">
        <f aca="false">IF($A502="",0,SUMIFS($G$8:$G$1007,$C$8:$C$1007,$C502,$A$8:$A$1007,"&gt;="&amp;$A502-6,$A$8:$A$1007,"&lt;="&amp;$A502))</f>
        <v>0</v>
      </c>
      <c r="I502" s="44" t="n">
        <f aca="false">IF($A502="",0,SUMIFS($G$8:$G$1007,$C$8:$C$1007,$C502,$A$8:$A$1007,"&gt;="&amp;$A502-27,$A$8:$A$1007,"&lt;="&amp;$A502)/4)</f>
        <v>0</v>
      </c>
      <c r="J502" s="144" t="n">
        <f aca="false">IF(OR($A502="",$I502=0),0,$H502/$I502)</f>
        <v>0</v>
      </c>
      <c r="K502" s="40" t="n">
        <f aca="false">IF($A502="",0,$A502-SUMPRODUCT(MIN(($C$8:$C$1007=$C502)*$A$8:$A$1007+($C$8:$C$1007&lt;&gt;$C502)*100000))+1)</f>
        <v>0</v>
      </c>
      <c r="L502" s="26" t="str">
        <f aca="false">IF($A502="","",IF($J502=0,"Sem registro anterior",IF($K502&lt;21,"Histórico insuficiente",IF($J502&lt;0.8,"Subcarga",IF($J502&lt;=1.3,"Zona ideal",IF($J502&lt;=1.5,"Atenção","Risco elevado"))))))</f>
        <v/>
      </c>
      <c r="M502" s="27"/>
    </row>
    <row r="503" customFormat="false" ht="15" hidden="false" customHeight="false" outlineLevel="0" collapsed="false">
      <c r="A503" s="29"/>
      <c r="B503" s="40" t="n">
        <f aca="false">IF($A503="",0,INT(($A503-Macrociclo!$C$11)/7)+1)</f>
        <v>0</v>
      </c>
      <c r="C503" s="27"/>
      <c r="D503" s="27"/>
      <c r="E503" s="28"/>
      <c r="F503" s="28"/>
      <c r="G503" s="44" t="n">
        <f aca="false">IF(OR($E503="",$F503=""),0,$E503*$F503)</f>
        <v>0</v>
      </c>
      <c r="H503" s="44" t="n">
        <f aca="false">IF($A503="",0,SUMIFS($G$8:$G$1007,$C$8:$C$1007,$C503,$A$8:$A$1007,"&gt;="&amp;$A503-6,$A$8:$A$1007,"&lt;="&amp;$A503))</f>
        <v>0</v>
      </c>
      <c r="I503" s="44" t="n">
        <f aca="false">IF($A503="",0,SUMIFS($G$8:$G$1007,$C$8:$C$1007,$C503,$A$8:$A$1007,"&gt;="&amp;$A503-27,$A$8:$A$1007,"&lt;="&amp;$A503)/4)</f>
        <v>0</v>
      </c>
      <c r="J503" s="144" t="n">
        <f aca="false">IF(OR($A503="",$I503=0),0,$H503/$I503)</f>
        <v>0</v>
      </c>
      <c r="K503" s="40" t="n">
        <f aca="false">IF($A503="",0,$A503-SUMPRODUCT(MIN(($C$8:$C$1007=$C503)*$A$8:$A$1007+($C$8:$C$1007&lt;&gt;$C503)*100000))+1)</f>
        <v>0</v>
      </c>
      <c r="L503" s="26" t="str">
        <f aca="false">IF($A503="","",IF($J503=0,"Sem registro anterior",IF($K503&lt;21,"Histórico insuficiente",IF($J503&lt;0.8,"Subcarga",IF($J503&lt;=1.3,"Zona ideal",IF($J503&lt;=1.5,"Atenção","Risco elevado"))))))</f>
        <v/>
      </c>
      <c r="M503" s="27"/>
    </row>
    <row r="504" customFormat="false" ht="15" hidden="false" customHeight="false" outlineLevel="0" collapsed="false">
      <c r="A504" s="29"/>
      <c r="B504" s="40" t="n">
        <f aca="false">IF($A504="",0,INT(($A504-Macrociclo!$C$11)/7)+1)</f>
        <v>0</v>
      </c>
      <c r="C504" s="27"/>
      <c r="D504" s="27"/>
      <c r="E504" s="28"/>
      <c r="F504" s="28"/>
      <c r="G504" s="44" t="n">
        <f aca="false">IF(OR($E504="",$F504=""),0,$E504*$F504)</f>
        <v>0</v>
      </c>
      <c r="H504" s="44" t="n">
        <f aca="false">IF($A504="",0,SUMIFS($G$8:$G$1007,$C$8:$C$1007,$C504,$A$8:$A$1007,"&gt;="&amp;$A504-6,$A$8:$A$1007,"&lt;="&amp;$A504))</f>
        <v>0</v>
      </c>
      <c r="I504" s="44" t="n">
        <f aca="false">IF($A504="",0,SUMIFS($G$8:$G$1007,$C$8:$C$1007,$C504,$A$8:$A$1007,"&gt;="&amp;$A504-27,$A$8:$A$1007,"&lt;="&amp;$A504)/4)</f>
        <v>0</v>
      </c>
      <c r="J504" s="144" t="n">
        <f aca="false">IF(OR($A504="",$I504=0),0,$H504/$I504)</f>
        <v>0</v>
      </c>
      <c r="K504" s="40" t="n">
        <f aca="false">IF($A504="",0,$A504-SUMPRODUCT(MIN(($C$8:$C$1007=$C504)*$A$8:$A$1007+($C$8:$C$1007&lt;&gt;$C504)*100000))+1)</f>
        <v>0</v>
      </c>
      <c r="L504" s="26" t="str">
        <f aca="false">IF($A504="","",IF($J504=0,"Sem registro anterior",IF($K504&lt;21,"Histórico insuficiente",IF($J504&lt;0.8,"Subcarga",IF($J504&lt;=1.3,"Zona ideal",IF($J504&lt;=1.5,"Atenção","Risco elevado"))))))</f>
        <v/>
      </c>
      <c r="M504" s="27"/>
    </row>
    <row r="505" customFormat="false" ht="15" hidden="false" customHeight="false" outlineLevel="0" collapsed="false">
      <c r="A505" s="29"/>
      <c r="B505" s="40" t="n">
        <f aca="false">IF($A505="",0,INT(($A505-Macrociclo!$C$11)/7)+1)</f>
        <v>0</v>
      </c>
      <c r="C505" s="27"/>
      <c r="D505" s="27"/>
      <c r="E505" s="28"/>
      <c r="F505" s="28"/>
      <c r="G505" s="44" t="n">
        <f aca="false">IF(OR($E505="",$F505=""),0,$E505*$F505)</f>
        <v>0</v>
      </c>
      <c r="H505" s="44" t="n">
        <f aca="false">IF($A505="",0,SUMIFS($G$8:$G$1007,$C$8:$C$1007,$C505,$A$8:$A$1007,"&gt;="&amp;$A505-6,$A$8:$A$1007,"&lt;="&amp;$A505))</f>
        <v>0</v>
      </c>
      <c r="I505" s="44" t="n">
        <f aca="false">IF($A505="",0,SUMIFS($G$8:$G$1007,$C$8:$C$1007,$C505,$A$8:$A$1007,"&gt;="&amp;$A505-27,$A$8:$A$1007,"&lt;="&amp;$A505)/4)</f>
        <v>0</v>
      </c>
      <c r="J505" s="144" t="n">
        <f aca="false">IF(OR($A505="",$I505=0),0,$H505/$I505)</f>
        <v>0</v>
      </c>
      <c r="K505" s="40" t="n">
        <f aca="false">IF($A505="",0,$A505-SUMPRODUCT(MIN(($C$8:$C$1007=$C505)*$A$8:$A$1007+($C$8:$C$1007&lt;&gt;$C505)*100000))+1)</f>
        <v>0</v>
      </c>
      <c r="L505" s="26" t="str">
        <f aca="false">IF($A505="","",IF($J505=0,"Sem registro anterior",IF($K505&lt;21,"Histórico insuficiente",IF($J505&lt;0.8,"Subcarga",IF($J505&lt;=1.3,"Zona ideal",IF($J505&lt;=1.5,"Atenção","Risco elevado"))))))</f>
        <v/>
      </c>
      <c r="M505" s="27"/>
    </row>
    <row r="506" customFormat="false" ht="15" hidden="false" customHeight="false" outlineLevel="0" collapsed="false">
      <c r="A506" s="29"/>
      <c r="B506" s="40" t="n">
        <f aca="false">IF($A506="",0,INT(($A506-Macrociclo!$C$11)/7)+1)</f>
        <v>0</v>
      </c>
      <c r="C506" s="27"/>
      <c r="D506" s="27"/>
      <c r="E506" s="28"/>
      <c r="F506" s="28"/>
      <c r="G506" s="44" t="n">
        <f aca="false">IF(OR($E506="",$F506=""),0,$E506*$F506)</f>
        <v>0</v>
      </c>
      <c r="H506" s="44" t="n">
        <f aca="false">IF($A506="",0,SUMIFS($G$8:$G$1007,$C$8:$C$1007,$C506,$A$8:$A$1007,"&gt;="&amp;$A506-6,$A$8:$A$1007,"&lt;="&amp;$A506))</f>
        <v>0</v>
      </c>
      <c r="I506" s="44" t="n">
        <f aca="false">IF($A506="",0,SUMIFS($G$8:$G$1007,$C$8:$C$1007,$C506,$A$8:$A$1007,"&gt;="&amp;$A506-27,$A$8:$A$1007,"&lt;="&amp;$A506)/4)</f>
        <v>0</v>
      </c>
      <c r="J506" s="144" t="n">
        <f aca="false">IF(OR($A506="",$I506=0),0,$H506/$I506)</f>
        <v>0</v>
      </c>
      <c r="K506" s="40" t="n">
        <f aca="false">IF($A506="",0,$A506-SUMPRODUCT(MIN(($C$8:$C$1007=$C506)*$A$8:$A$1007+($C$8:$C$1007&lt;&gt;$C506)*100000))+1)</f>
        <v>0</v>
      </c>
      <c r="L506" s="26" t="str">
        <f aca="false">IF($A506="","",IF($J506=0,"Sem registro anterior",IF($K506&lt;21,"Histórico insuficiente",IF($J506&lt;0.8,"Subcarga",IF($J506&lt;=1.3,"Zona ideal",IF($J506&lt;=1.5,"Atenção","Risco elevado"))))))</f>
        <v/>
      </c>
      <c r="M506" s="27"/>
    </row>
    <row r="507" customFormat="false" ht="15" hidden="false" customHeight="false" outlineLevel="0" collapsed="false">
      <c r="A507" s="29"/>
      <c r="B507" s="40" t="n">
        <f aca="false">IF($A507="",0,INT(($A507-Macrociclo!$C$11)/7)+1)</f>
        <v>0</v>
      </c>
      <c r="C507" s="27"/>
      <c r="D507" s="27"/>
      <c r="E507" s="28"/>
      <c r="F507" s="28"/>
      <c r="G507" s="44" t="n">
        <f aca="false">IF(OR($E507="",$F507=""),0,$E507*$F507)</f>
        <v>0</v>
      </c>
      <c r="H507" s="44" t="n">
        <f aca="false">IF($A507="",0,SUMIFS($G$8:$G$1007,$C$8:$C$1007,$C507,$A$8:$A$1007,"&gt;="&amp;$A507-6,$A$8:$A$1007,"&lt;="&amp;$A507))</f>
        <v>0</v>
      </c>
      <c r="I507" s="44" t="n">
        <f aca="false">IF($A507="",0,SUMIFS($G$8:$G$1007,$C$8:$C$1007,$C507,$A$8:$A$1007,"&gt;="&amp;$A507-27,$A$8:$A$1007,"&lt;="&amp;$A507)/4)</f>
        <v>0</v>
      </c>
      <c r="J507" s="144" t="n">
        <f aca="false">IF(OR($A507="",$I507=0),0,$H507/$I507)</f>
        <v>0</v>
      </c>
      <c r="K507" s="40" t="n">
        <f aca="false">IF($A507="",0,$A507-SUMPRODUCT(MIN(($C$8:$C$1007=$C507)*$A$8:$A$1007+($C$8:$C$1007&lt;&gt;$C507)*100000))+1)</f>
        <v>0</v>
      </c>
      <c r="L507" s="26" t="str">
        <f aca="false">IF($A507="","",IF($J507=0,"Sem registro anterior",IF($K507&lt;21,"Histórico insuficiente",IF($J507&lt;0.8,"Subcarga",IF($J507&lt;=1.3,"Zona ideal",IF($J507&lt;=1.5,"Atenção","Risco elevado"))))))</f>
        <v/>
      </c>
      <c r="M507" s="27"/>
    </row>
    <row r="508" customFormat="false" ht="15" hidden="false" customHeight="false" outlineLevel="0" collapsed="false">
      <c r="A508" s="29"/>
      <c r="B508" s="40" t="n">
        <f aca="false">IF($A508="",0,INT(($A508-Macrociclo!$C$11)/7)+1)</f>
        <v>0</v>
      </c>
      <c r="C508" s="27"/>
      <c r="D508" s="27"/>
      <c r="E508" s="28"/>
      <c r="F508" s="28"/>
      <c r="G508" s="44" t="n">
        <f aca="false">IF(OR($E508="",$F508=""),0,$E508*$F508)</f>
        <v>0</v>
      </c>
      <c r="H508" s="44" t="n">
        <f aca="false">IF($A508="",0,SUMIFS($G$8:$G$1007,$C$8:$C$1007,$C508,$A$8:$A$1007,"&gt;="&amp;$A508-6,$A$8:$A$1007,"&lt;="&amp;$A508))</f>
        <v>0</v>
      </c>
      <c r="I508" s="44" t="n">
        <f aca="false">IF($A508="",0,SUMIFS($G$8:$G$1007,$C$8:$C$1007,$C508,$A$8:$A$1007,"&gt;="&amp;$A508-27,$A$8:$A$1007,"&lt;="&amp;$A508)/4)</f>
        <v>0</v>
      </c>
      <c r="J508" s="144" t="n">
        <f aca="false">IF(OR($A508="",$I508=0),0,$H508/$I508)</f>
        <v>0</v>
      </c>
      <c r="K508" s="40" t="n">
        <f aca="false">IF($A508="",0,$A508-SUMPRODUCT(MIN(($C$8:$C$1007=$C508)*$A$8:$A$1007+($C$8:$C$1007&lt;&gt;$C508)*100000))+1)</f>
        <v>0</v>
      </c>
      <c r="L508" s="26" t="str">
        <f aca="false">IF($A508="","",IF($J508=0,"Sem registro anterior",IF($K508&lt;21,"Histórico insuficiente",IF($J508&lt;0.8,"Subcarga",IF($J508&lt;=1.3,"Zona ideal",IF($J508&lt;=1.5,"Atenção","Risco elevado"))))))</f>
        <v/>
      </c>
      <c r="M508" s="27"/>
    </row>
    <row r="509" customFormat="false" ht="15" hidden="false" customHeight="false" outlineLevel="0" collapsed="false">
      <c r="A509" s="29"/>
      <c r="B509" s="40" t="n">
        <f aca="false">IF($A509="",0,INT(($A509-Macrociclo!$C$11)/7)+1)</f>
        <v>0</v>
      </c>
      <c r="C509" s="27"/>
      <c r="D509" s="27"/>
      <c r="E509" s="28"/>
      <c r="F509" s="28"/>
      <c r="G509" s="44" t="n">
        <f aca="false">IF(OR($E509="",$F509=""),0,$E509*$F509)</f>
        <v>0</v>
      </c>
      <c r="H509" s="44" t="n">
        <f aca="false">IF($A509="",0,SUMIFS($G$8:$G$1007,$C$8:$C$1007,$C509,$A$8:$A$1007,"&gt;="&amp;$A509-6,$A$8:$A$1007,"&lt;="&amp;$A509))</f>
        <v>0</v>
      </c>
      <c r="I509" s="44" t="n">
        <f aca="false">IF($A509="",0,SUMIFS($G$8:$G$1007,$C$8:$C$1007,$C509,$A$8:$A$1007,"&gt;="&amp;$A509-27,$A$8:$A$1007,"&lt;="&amp;$A509)/4)</f>
        <v>0</v>
      </c>
      <c r="J509" s="144" t="n">
        <f aca="false">IF(OR($A509="",$I509=0),0,$H509/$I509)</f>
        <v>0</v>
      </c>
      <c r="K509" s="40" t="n">
        <f aca="false">IF($A509="",0,$A509-SUMPRODUCT(MIN(($C$8:$C$1007=$C509)*$A$8:$A$1007+($C$8:$C$1007&lt;&gt;$C509)*100000))+1)</f>
        <v>0</v>
      </c>
      <c r="L509" s="26" t="str">
        <f aca="false">IF($A509="","",IF($J509=0,"Sem registro anterior",IF($K509&lt;21,"Histórico insuficiente",IF($J509&lt;0.8,"Subcarga",IF($J509&lt;=1.3,"Zona ideal",IF($J509&lt;=1.5,"Atenção","Risco elevado"))))))</f>
        <v/>
      </c>
      <c r="M509" s="27"/>
    </row>
    <row r="510" customFormat="false" ht="15" hidden="false" customHeight="false" outlineLevel="0" collapsed="false">
      <c r="A510" s="29"/>
      <c r="B510" s="40" t="n">
        <f aca="false">IF($A510="",0,INT(($A510-Macrociclo!$C$11)/7)+1)</f>
        <v>0</v>
      </c>
      <c r="C510" s="27"/>
      <c r="D510" s="27"/>
      <c r="E510" s="28"/>
      <c r="F510" s="28"/>
      <c r="G510" s="44" t="n">
        <f aca="false">IF(OR($E510="",$F510=""),0,$E510*$F510)</f>
        <v>0</v>
      </c>
      <c r="H510" s="44" t="n">
        <f aca="false">IF($A510="",0,SUMIFS($G$8:$G$1007,$C$8:$C$1007,$C510,$A$8:$A$1007,"&gt;="&amp;$A510-6,$A$8:$A$1007,"&lt;="&amp;$A510))</f>
        <v>0</v>
      </c>
      <c r="I510" s="44" t="n">
        <f aca="false">IF($A510="",0,SUMIFS($G$8:$G$1007,$C$8:$C$1007,$C510,$A$8:$A$1007,"&gt;="&amp;$A510-27,$A$8:$A$1007,"&lt;="&amp;$A510)/4)</f>
        <v>0</v>
      </c>
      <c r="J510" s="144" t="n">
        <f aca="false">IF(OR($A510="",$I510=0),0,$H510/$I510)</f>
        <v>0</v>
      </c>
      <c r="K510" s="40" t="n">
        <f aca="false">IF($A510="",0,$A510-SUMPRODUCT(MIN(($C$8:$C$1007=$C510)*$A$8:$A$1007+($C$8:$C$1007&lt;&gt;$C510)*100000))+1)</f>
        <v>0</v>
      </c>
      <c r="L510" s="26" t="str">
        <f aca="false">IF($A510="","",IF($J510=0,"Sem registro anterior",IF($K510&lt;21,"Histórico insuficiente",IF($J510&lt;0.8,"Subcarga",IF($J510&lt;=1.3,"Zona ideal",IF($J510&lt;=1.5,"Atenção","Risco elevado"))))))</f>
        <v/>
      </c>
      <c r="M510" s="27"/>
    </row>
    <row r="511" customFormat="false" ht="15" hidden="false" customHeight="false" outlineLevel="0" collapsed="false">
      <c r="A511" s="29"/>
      <c r="B511" s="40" t="n">
        <f aca="false">IF($A511="",0,INT(($A511-Macrociclo!$C$11)/7)+1)</f>
        <v>0</v>
      </c>
      <c r="C511" s="27"/>
      <c r="D511" s="27"/>
      <c r="E511" s="28"/>
      <c r="F511" s="28"/>
      <c r="G511" s="44" t="n">
        <f aca="false">IF(OR($E511="",$F511=""),0,$E511*$F511)</f>
        <v>0</v>
      </c>
      <c r="H511" s="44" t="n">
        <f aca="false">IF($A511="",0,SUMIFS($G$8:$G$1007,$C$8:$C$1007,$C511,$A$8:$A$1007,"&gt;="&amp;$A511-6,$A$8:$A$1007,"&lt;="&amp;$A511))</f>
        <v>0</v>
      </c>
      <c r="I511" s="44" t="n">
        <f aca="false">IF($A511="",0,SUMIFS($G$8:$G$1007,$C$8:$C$1007,$C511,$A$8:$A$1007,"&gt;="&amp;$A511-27,$A$8:$A$1007,"&lt;="&amp;$A511)/4)</f>
        <v>0</v>
      </c>
      <c r="J511" s="144" t="n">
        <f aca="false">IF(OR($A511="",$I511=0),0,$H511/$I511)</f>
        <v>0</v>
      </c>
      <c r="K511" s="40" t="n">
        <f aca="false">IF($A511="",0,$A511-SUMPRODUCT(MIN(($C$8:$C$1007=$C511)*$A$8:$A$1007+($C$8:$C$1007&lt;&gt;$C511)*100000))+1)</f>
        <v>0</v>
      </c>
      <c r="L511" s="26" t="str">
        <f aca="false">IF($A511="","",IF($J511=0,"Sem registro anterior",IF($K511&lt;21,"Histórico insuficiente",IF($J511&lt;0.8,"Subcarga",IF($J511&lt;=1.3,"Zona ideal",IF($J511&lt;=1.5,"Atenção","Risco elevado"))))))</f>
        <v/>
      </c>
      <c r="M511" s="27"/>
    </row>
    <row r="512" customFormat="false" ht="15" hidden="false" customHeight="false" outlineLevel="0" collapsed="false">
      <c r="A512" s="29"/>
      <c r="B512" s="40" t="n">
        <f aca="false">IF($A512="",0,INT(($A512-Macrociclo!$C$11)/7)+1)</f>
        <v>0</v>
      </c>
      <c r="C512" s="27"/>
      <c r="D512" s="27"/>
      <c r="E512" s="28"/>
      <c r="F512" s="28"/>
      <c r="G512" s="44" t="n">
        <f aca="false">IF(OR($E512="",$F512=""),0,$E512*$F512)</f>
        <v>0</v>
      </c>
      <c r="H512" s="44" t="n">
        <f aca="false">IF($A512="",0,SUMIFS($G$8:$G$1007,$C$8:$C$1007,$C512,$A$8:$A$1007,"&gt;="&amp;$A512-6,$A$8:$A$1007,"&lt;="&amp;$A512))</f>
        <v>0</v>
      </c>
      <c r="I512" s="44" t="n">
        <f aca="false">IF($A512="",0,SUMIFS($G$8:$G$1007,$C$8:$C$1007,$C512,$A$8:$A$1007,"&gt;="&amp;$A512-27,$A$8:$A$1007,"&lt;="&amp;$A512)/4)</f>
        <v>0</v>
      </c>
      <c r="J512" s="144" t="n">
        <f aca="false">IF(OR($A512="",$I512=0),0,$H512/$I512)</f>
        <v>0</v>
      </c>
      <c r="K512" s="40" t="n">
        <f aca="false">IF($A512="",0,$A512-SUMPRODUCT(MIN(($C$8:$C$1007=$C512)*$A$8:$A$1007+($C$8:$C$1007&lt;&gt;$C512)*100000))+1)</f>
        <v>0</v>
      </c>
      <c r="L512" s="26" t="str">
        <f aca="false">IF($A512="","",IF($J512=0,"Sem registro anterior",IF($K512&lt;21,"Histórico insuficiente",IF($J512&lt;0.8,"Subcarga",IF($J512&lt;=1.3,"Zona ideal",IF($J512&lt;=1.5,"Atenção","Risco elevado"))))))</f>
        <v/>
      </c>
      <c r="M512" s="27"/>
    </row>
    <row r="513" customFormat="false" ht="15" hidden="false" customHeight="false" outlineLevel="0" collapsed="false">
      <c r="A513" s="29"/>
      <c r="B513" s="40" t="n">
        <f aca="false">IF($A513="",0,INT(($A513-Macrociclo!$C$11)/7)+1)</f>
        <v>0</v>
      </c>
      <c r="C513" s="27"/>
      <c r="D513" s="27"/>
      <c r="E513" s="28"/>
      <c r="F513" s="28"/>
      <c r="G513" s="44" t="n">
        <f aca="false">IF(OR($E513="",$F513=""),0,$E513*$F513)</f>
        <v>0</v>
      </c>
      <c r="H513" s="44" t="n">
        <f aca="false">IF($A513="",0,SUMIFS($G$8:$G$1007,$C$8:$C$1007,$C513,$A$8:$A$1007,"&gt;="&amp;$A513-6,$A$8:$A$1007,"&lt;="&amp;$A513))</f>
        <v>0</v>
      </c>
      <c r="I513" s="44" t="n">
        <f aca="false">IF($A513="",0,SUMIFS($G$8:$G$1007,$C$8:$C$1007,$C513,$A$8:$A$1007,"&gt;="&amp;$A513-27,$A$8:$A$1007,"&lt;="&amp;$A513)/4)</f>
        <v>0</v>
      </c>
      <c r="J513" s="144" t="n">
        <f aca="false">IF(OR($A513="",$I513=0),0,$H513/$I513)</f>
        <v>0</v>
      </c>
      <c r="K513" s="40" t="n">
        <f aca="false">IF($A513="",0,$A513-SUMPRODUCT(MIN(($C$8:$C$1007=$C513)*$A$8:$A$1007+($C$8:$C$1007&lt;&gt;$C513)*100000))+1)</f>
        <v>0</v>
      </c>
      <c r="L513" s="26" t="str">
        <f aca="false">IF($A513="","",IF($J513=0,"Sem registro anterior",IF($K513&lt;21,"Histórico insuficiente",IF($J513&lt;0.8,"Subcarga",IF($J513&lt;=1.3,"Zona ideal",IF($J513&lt;=1.5,"Atenção","Risco elevado"))))))</f>
        <v/>
      </c>
      <c r="M513" s="27"/>
    </row>
    <row r="514" customFormat="false" ht="15" hidden="false" customHeight="false" outlineLevel="0" collapsed="false">
      <c r="A514" s="29"/>
      <c r="B514" s="40" t="n">
        <f aca="false">IF($A514="",0,INT(($A514-Macrociclo!$C$11)/7)+1)</f>
        <v>0</v>
      </c>
      <c r="C514" s="27"/>
      <c r="D514" s="27"/>
      <c r="E514" s="28"/>
      <c r="F514" s="28"/>
      <c r="G514" s="44" t="n">
        <f aca="false">IF(OR($E514="",$F514=""),0,$E514*$F514)</f>
        <v>0</v>
      </c>
      <c r="H514" s="44" t="n">
        <f aca="false">IF($A514="",0,SUMIFS($G$8:$G$1007,$C$8:$C$1007,$C514,$A$8:$A$1007,"&gt;="&amp;$A514-6,$A$8:$A$1007,"&lt;="&amp;$A514))</f>
        <v>0</v>
      </c>
      <c r="I514" s="44" t="n">
        <f aca="false">IF($A514="",0,SUMIFS($G$8:$G$1007,$C$8:$C$1007,$C514,$A$8:$A$1007,"&gt;="&amp;$A514-27,$A$8:$A$1007,"&lt;="&amp;$A514)/4)</f>
        <v>0</v>
      </c>
      <c r="J514" s="144" t="n">
        <f aca="false">IF(OR($A514="",$I514=0),0,$H514/$I514)</f>
        <v>0</v>
      </c>
      <c r="K514" s="40" t="n">
        <f aca="false">IF($A514="",0,$A514-SUMPRODUCT(MIN(($C$8:$C$1007=$C514)*$A$8:$A$1007+($C$8:$C$1007&lt;&gt;$C514)*100000))+1)</f>
        <v>0</v>
      </c>
      <c r="L514" s="26" t="str">
        <f aca="false">IF($A514="","",IF($J514=0,"Sem registro anterior",IF($K514&lt;21,"Histórico insuficiente",IF($J514&lt;0.8,"Subcarga",IF($J514&lt;=1.3,"Zona ideal",IF($J514&lt;=1.5,"Atenção","Risco elevado"))))))</f>
        <v/>
      </c>
      <c r="M514" s="27"/>
    </row>
    <row r="515" customFormat="false" ht="15" hidden="false" customHeight="false" outlineLevel="0" collapsed="false">
      <c r="A515" s="29"/>
      <c r="B515" s="40" t="n">
        <f aca="false">IF($A515="",0,INT(($A515-Macrociclo!$C$11)/7)+1)</f>
        <v>0</v>
      </c>
      <c r="C515" s="27"/>
      <c r="D515" s="27"/>
      <c r="E515" s="28"/>
      <c r="F515" s="28"/>
      <c r="G515" s="44" t="n">
        <f aca="false">IF(OR($E515="",$F515=""),0,$E515*$F515)</f>
        <v>0</v>
      </c>
      <c r="H515" s="44" t="n">
        <f aca="false">IF($A515="",0,SUMIFS($G$8:$G$1007,$C$8:$C$1007,$C515,$A$8:$A$1007,"&gt;="&amp;$A515-6,$A$8:$A$1007,"&lt;="&amp;$A515))</f>
        <v>0</v>
      </c>
      <c r="I515" s="44" t="n">
        <f aca="false">IF($A515="",0,SUMIFS($G$8:$G$1007,$C$8:$C$1007,$C515,$A$8:$A$1007,"&gt;="&amp;$A515-27,$A$8:$A$1007,"&lt;="&amp;$A515)/4)</f>
        <v>0</v>
      </c>
      <c r="J515" s="144" t="n">
        <f aca="false">IF(OR($A515="",$I515=0),0,$H515/$I515)</f>
        <v>0</v>
      </c>
      <c r="K515" s="40" t="n">
        <f aca="false">IF($A515="",0,$A515-SUMPRODUCT(MIN(($C$8:$C$1007=$C515)*$A$8:$A$1007+($C$8:$C$1007&lt;&gt;$C515)*100000))+1)</f>
        <v>0</v>
      </c>
      <c r="L515" s="26" t="str">
        <f aca="false">IF($A515="","",IF($J515=0,"Sem registro anterior",IF($K515&lt;21,"Histórico insuficiente",IF($J515&lt;0.8,"Subcarga",IF($J515&lt;=1.3,"Zona ideal",IF($J515&lt;=1.5,"Atenção","Risco elevado"))))))</f>
        <v/>
      </c>
      <c r="M515" s="27"/>
    </row>
    <row r="516" customFormat="false" ht="15" hidden="false" customHeight="false" outlineLevel="0" collapsed="false">
      <c r="A516" s="29"/>
      <c r="B516" s="40" t="n">
        <f aca="false">IF($A516="",0,INT(($A516-Macrociclo!$C$11)/7)+1)</f>
        <v>0</v>
      </c>
      <c r="C516" s="27"/>
      <c r="D516" s="27"/>
      <c r="E516" s="28"/>
      <c r="F516" s="28"/>
      <c r="G516" s="44" t="n">
        <f aca="false">IF(OR($E516="",$F516=""),0,$E516*$F516)</f>
        <v>0</v>
      </c>
      <c r="H516" s="44" t="n">
        <f aca="false">IF($A516="",0,SUMIFS($G$8:$G$1007,$C$8:$C$1007,$C516,$A$8:$A$1007,"&gt;="&amp;$A516-6,$A$8:$A$1007,"&lt;="&amp;$A516))</f>
        <v>0</v>
      </c>
      <c r="I516" s="44" t="n">
        <f aca="false">IF($A516="",0,SUMIFS($G$8:$G$1007,$C$8:$C$1007,$C516,$A$8:$A$1007,"&gt;="&amp;$A516-27,$A$8:$A$1007,"&lt;="&amp;$A516)/4)</f>
        <v>0</v>
      </c>
      <c r="J516" s="144" t="n">
        <f aca="false">IF(OR($A516="",$I516=0),0,$H516/$I516)</f>
        <v>0</v>
      </c>
      <c r="K516" s="40" t="n">
        <f aca="false">IF($A516="",0,$A516-SUMPRODUCT(MIN(($C$8:$C$1007=$C516)*$A$8:$A$1007+($C$8:$C$1007&lt;&gt;$C516)*100000))+1)</f>
        <v>0</v>
      </c>
      <c r="L516" s="26" t="str">
        <f aca="false">IF($A516="","",IF($J516=0,"Sem registro anterior",IF($K516&lt;21,"Histórico insuficiente",IF($J516&lt;0.8,"Subcarga",IF($J516&lt;=1.3,"Zona ideal",IF($J516&lt;=1.5,"Atenção","Risco elevado"))))))</f>
        <v/>
      </c>
      <c r="M516" s="27"/>
    </row>
    <row r="517" customFormat="false" ht="15" hidden="false" customHeight="false" outlineLevel="0" collapsed="false">
      <c r="A517" s="29"/>
      <c r="B517" s="40" t="n">
        <f aca="false">IF($A517="",0,INT(($A517-Macrociclo!$C$11)/7)+1)</f>
        <v>0</v>
      </c>
      <c r="C517" s="27"/>
      <c r="D517" s="27"/>
      <c r="E517" s="28"/>
      <c r="F517" s="28"/>
      <c r="G517" s="44" t="n">
        <f aca="false">IF(OR($E517="",$F517=""),0,$E517*$F517)</f>
        <v>0</v>
      </c>
      <c r="H517" s="44" t="n">
        <f aca="false">IF($A517="",0,SUMIFS($G$8:$G$1007,$C$8:$C$1007,$C517,$A$8:$A$1007,"&gt;="&amp;$A517-6,$A$8:$A$1007,"&lt;="&amp;$A517))</f>
        <v>0</v>
      </c>
      <c r="I517" s="44" t="n">
        <f aca="false">IF($A517="",0,SUMIFS($G$8:$G$1007,$C$8:$C$1007,$C517,$A$8:$A$1007,"&gt;="&amp;$A517-27,$A$8:$A$1007,"&lt;="&amp;$A517)/4)</f>
        <v>0</v>
      </c>
      <c r="J517" s="144" t="n">
        <f aca="false">IF(OR($A517="",$I517=0),0,$H517/$I517)</f>
        <v>0</v>
      </c>
      <c r="K517" s="40" t="n">
        <f aca="false">IF($A517="",0,$A517-SUMPRODUCT(MIN(($C$8:$C$1007=$C517)*$A$8:$A$1007+($C$8:$C$1007&lt;&gt;$C517)*100000))+1)</f>
        <v>0</v>
      </c>
      <c r="L517" s="26" t="str">
        <f aca="false">IF($A517="","",IF($J517=0,"Sem registro anterior",IF($K517&lt;21,"Histórico insuficiente",IF($J517&lt;0.8,"Subcarga",IF($J517&lt;=1.3,"Zona ideal",IF($J517&lt;=1.5,"Atenção","Risco elevado"))))))</f>
        <v/>
      </c>
      <c r="M517" s="27"/>
    </row>
    <row r="518" customFormat="false" ht="15" hidden="false" customHeight="false" outlineLevel="0" collapsed="false">
      <c r="A518" s="29"/>
      <c r="B518" s="40" t="n">
        <f aca="false">IF($A518="",0,INT(($A518-Macrociclo!$C$11)/7)+1)</f>
        <v>0</v>
      </c>
      <c r="C518" s="27"/>
      <c r="D518" s="27"/>
      <c r="E518" s="28"/>
      <c r="F518" s="28"/>
      <c r="G518" s="44" t="n">
        <f aca="false">IF(OR($E518="",$F518=""),0,$E518*$F518)</f>
        <v>0</v>
      </c>
      <c r="H518" s="44" t="n">
        <f aca="false">IF($A518="",0,SUMIFS($G$8:$G$1007,$C$8:$C$1007,$C518,$A$8:$A$1007,"&gt;="&amp;$A518-6,$A$8:$A$1007,"&lt;="&amp;$A518))</f>
        <v>0</v>
      </c>
      <c r="I518" s="44" t="n">
        <f aca="false">IF($A518="",0,SUMIFS($G$8:$G$1007,$C$8:$C$1007,$C518,$A$8:$A$1007,"&gt;="&amp;$A518-27,$A$8:$A$1007,"&lt;="&amp;$A518)/4)</f>
        <v>0</v>
      </c>
      <c r="J518" s="144" t="n">
        <f aca="false">IF(OR($A518="",$I518=0),0,$H518/$I518)</f>
        <v>0</v>
      </c>
      <c r="K518" s="40" t="n">
        <f aca="false">IF($A518="",0,$A518-SUMPRODUCT(MIN(($C$8:$C$1007=$C518)*$A$8:$A$1007+($C$8:$C$1007&lt;&gt;$C518)*100000))+1)</f>
        <v>0</v>
      </c>
      <c r="L518" s="26" t="str">
        <f aca="false">IF($A518="","",IF($J518=0,"Sem registro anterior",IF($K518&lt;21,"Histórico insuficiente",IF($J518&lt;0.8,"Subcarga",IF($J518&lt;=1.3,"Zona ideal",IF($J518&lt;=1.5,"Atenção","Risco elevado"))))))</f>
        <v/>
      </c>
      <c r="M518" s="27"/>
    </row>
    <row r="519" customFormat="false" ht="15" hidden="false" customHeight="false" outlineLevel="0" collapsed="false">
      <c r="A519" s="29"/>
      <c r="B519" s="40" t="n">
        <f aca="false">IF($A519="",0,INT(($A519-Macrociclo!$C$11)/7)+1)</f>
        <v>0</v>
      </c>
      <c r="C519" s="27"/>
      <c r="D519" s="27"/>
      <c r="E519" s="28"/>
      <c r="F519" s="28"/>
      <c r="G519" s="44" t="n">
        <f aca="false">IF(OR($E519="",$F519=""),0,$E519*$F519)</f>
        <v>0</v>
      </c>
      <c r="H519" s="44" t="n">
        <f aca="false">IF($A519="",0,SUMIFS($G$8:$G$1007,$C$8:$C$1007,$C519,$A$8:$A$1007,"&gt;="&amp;$A519-6,$A$8:$A$1007,"&lt;="&amp;$A519))</f>
        <v>0</v>
      </c>
      <c r="I519" s="44" t="n">
        <f aca="false">IF($A519="",0,SUMIFS($G$8:$G$1007,$C$8:$C$1007,$C519,$A$8:$A$1007,"&gt;="&amp;$A519-27,$A$8:$A$1007,"&lt;="&amp;$A519)/4)</f>
        <v>0</v>
      </c>
      <c r="J519" s="144" t="n">
        <f aca="false">IF(OR($A519="",$I519=0),0,$H519/$I519)</f>
        <v>0</v>
      </c>
      <c r="K519" s="40" t="n">
        <f aca="false">IF($A519="",0,$A519-SUMPRODUCT(MIN(($C$8:$C$1007=$C519)*$A$8:$A$1007+($C$8:$C$1007&lt;&gt;$C519)*100000))+1)</f>
        <v>0</v>
      </c>
      <c r="L519" s="26" t="str">
        <f aca="false">IF($A519="","",IF($J519=0,"Sem registro anterior",IF($K519&lt;21,"Histórico insuficiente",IF($J519&lt;0.8,"Subcarga",IF($J519&lt;=1.3,"Zona ideal",IF($J519&lt;=1.5,"Atenção","Risco elevado"))))))</f>
        <v/>
      </c>
      <c r="M519" s="27"/>
    </row>
    <row r="520" customFormat="false" ht="15" hidden="false" customHeight="false" outlineLevel="0" collapsed="false">
      <c r="A520" s="29"/>
      <c r="B520" s="40" t="n">
        <f aca="false">IF($A520="",0,INT(($A520-Macrociclo!$C$11)/7)+1)</f>
        <v>0</v>
      </c>
      <c r="C520" s="27"/>
      <c r="D520" s="27"/>
      <c r="E520" s="28"/>
      <c r="F520" s="28"/>
      <c r="G520" s="44" t="n">
        <f aca="false">IF(OR($E520="",$F520=""),0,$E520*$F520)</f>
        <v>0</v>
      </c>
      <c r="H520" s="44" t="n">
        <f aca="false">IF($A520="",0,SUMIFS($G$8:$G$1007,$C$8:$C$1007,$C520,$A$8:$A$1007,"&gt;="&amp;$A520-6,$A$8:$A$1007,"&lt;="&amp;$A520))</f>
        <v>0</v>
      </c>
      <c r="I520" s="44" t="n">
        <f aca="false">IF($A520="",0,SUMIFS($G$8:$G$1007,$C$8:$C$1007,$C520,$A$8:$A$1007,"&gt;="&amp;$A520-27,$A$8:$A$1007,"&lt;="&amp;$A520)/4)</f>
        <v>0</v>
      </c>
      <c r="J520" s="144" t="n">
        <f aca="false">IF(OR($A520="",$I520=0),0,$H520/$I520)</f>
        <v>0</v>
      </c>
      <c r="K520" s="40" t="n">
        <f aca="false">IF($A520="",0,$A520-SUMPRODUCT(MIN(($C$8:$C$1007=$C520)*$A$8:$A$1007+($C$8:$C$1007&lt;&gt;$C520)*100000))+1)</f>
        <v>0</v>
      </c>
      <c r="L520" s="26" t="str">
        <f aca="false">IF($A520="","",IF($J520=0,"Sem registro anterior",IF($K520&lt;21,"Histórico insuficiente",IF($J520&lt;0.8,"Subcarga",IF($J520&lt;=1.3,"Zona ideal",IF($J520&lt;=1.5,"Atenção","Risco elevado"))))))</f>
        <v/>
      </c>
      <c r="M520" s="27"/>
    </row>
    <row r="521" customFormat="false" ht="15" hidden="false" customHeight="false" outlineLevel="0" collapsed="false">
      <c r="A521" s="29"/>
      <c r="B521" s="40" t="n">
        <f aca="false">IF($A521="",0,INT(($A521-Macrociclo!$C$11)/7)+1)</f>
        <v>0</v>
      </c>
      <c r="C521" s="27"/>
      <c r="D521" s="27"/>
      <c r="E521" s="28"/>
      <c r="F521" s="28"/>
      <c r="G521" s="44" t="n">
        <f aca="false">IF(OR($E521="",$F521=""),0,$E521*$F521)</f>
        <v>0</v>
      </c>
      <c r="H521" s="44" t="n">
        <f aca="false">IF($A521="",0,SUMIFS($G$8:$G$1007,$C$8:$C$1007,$C521,$A$8:$A$1007,"&gt;="&amp;$A521-6,$A$8:$A$1007,"&lt;="&amp;$A521))</f>
        <v>0</v>
      </c>
      <c r="I521" s="44" t="n">
        <f aca="false">IF($A521="",0,SUMIFS($G$8:$G$1007,$C$8:$C$1007,$C521,$A$8:$A$1007,"&gt;="&amp;$A521-27,$A$8:$A$1007,"&lt;="&amp;$A521)/4)</f>
        <v>0</v>
      </c>
      <c r="J521" s="144" t="n">
        <f aca="false">IF(OR($A521="",$I521=0),0,$H521/$I521)</f>
        <v>0</v>
      </c>
      <c r="K521" s="40" t="n">
        <f aca="false">IF($A521="",0,$A521-SUMPRODUCT(MIN(($C$8:$C$1007=$C521)*$A$8:$A$1007+($C$8:$C$1007&lt;&gt;$C521)*100000))+1)</f>
        <v>0</v>
      </c>
      <c r="L521" s="26" t="str">
        <f aca="false">IF($A521="","",IF($J521=0,"Sem registro anterior",IF($K521&lt;21,"Histórico insuficiente",IF($J521&lt;0.8,"Subcarga",IF($J521&lt;=1.3,"Zona ideal",IF($J521&lt;=1.5,"Atenção","Risco elevado"))))))</f>
        <v/>
      </c>
      <c r="M521" s="27"/>
    </row>
    <row r="522" customFormat="false" ht="15" hidden="false" customHeight="false" outlineLevel="0" collapsed="false">
      <c r="A522" s="29"/>
      <c r="B522" s="40" t="n">
        <f aca="false">IF($A522="",0,INT(($A522-Macrociclo!$C$11)/7)+1)</f>
        <v>0</v>
      </c>
      <c r="C522" s="27"/>
      <c r="D522" s="27"/>
      <c r="E522" s="28"/>
      <c r="F522" s="28"/>
      <c r="G522" s="44" t="n">
        <f aca="false">IF(OR($E522="",$F522=""),0,$E522*$F522)</f>
        <v>0</v>
      </c>
      <c r="H522" s="44" t="n">
        <f aca="false">IF($A522="",0,SUMIFS($G$8:$G$1007,$C$8:$C$1007,$C522,$A$8:$A$1007,"&gt;="&amp;$A522-6,$A$8:$A$1007,"&lt;="&amp;$A522))</f>
        <v>0</v>
      </c>
      <c r="I522" s="44" t="n">
        <f aca="false">IF($A522="",0,SUMIFS($G$8:$G$1007,$C$8:$C$1007,$C522,$A$8:$A$1007,"&gt;="&amp;$A522-27,$A$8:$A$1007,"&lt;="&amp;$A522)/4)</f>
        <v>0</v>
      </c>
      <c r="J522" s="144" t="n">
        <f aca="false">IF(OR($A522="",$I522=0),0,$H522/$I522)</f>
        <v>0</v>
      </c>
      <c r="K522" s="40" t="n">
        <f aca="false">IF($A522="",0,$A522-SUMPRODUCT(MIN(($C$8:$C$1007=$C522)*$A$8:$A$1007+($C$8:$C$1007&lt;&gt;$C522)*100000))+1)</f>
        <v>0</v>
      </c>
      <c r="L522" s="26" t="str">
        <f aca="false">IF($A522="","",IF($J522=0,"Sem registro anterior",IF($K522&lt;21,"Histórico insuficiente",IF($J522&lt;0.8,"Subcarga",IF($J522&lt;=1.3,"Zona ideal",IF($J522&lt;=1.5,"Atenção","Risco elevado"))))))</f>
        <v/>
      </c>
      <c r="M522" s="27"/>
    </row>
    <row r="523" customFormat="false" ht="15" hidden="false" customHeight="false" outlineLevel="0" collapsed="false">
      <c r="A523" s="29"/>
      <c r="B523" s="40" t="n">
        <f aca="false">IF($A523="",0,INT(($A523-Macrociclo!$C$11)/7)+1)</f>
        <v>0</v>
      </c>
      <c r="C523" s="27"/>
      <c r="D523" s="27"/>
      <c r="E523" s="28"/>
      <c r="F523" s="28"/>
      <c r="G523" s="44" t="n">
        <f aca="false">IF(OR($E523="",$F523=""),0,$E523*$F523)</f>
        <v>0</v>
      </c>
      <c r="H523" s="44" t="n">
        <f aca="false">IF($A523="",0,SUMIFS($G$8:$G$1007,$C$8:$C$1007,$C523,$A$8:$A$1007,"&gt;="&amp;$A523-6,$A$8:$A$1007,"&lt;="&amp;$A523))</f>
        <v>0</v>
      </c>
      <c r="I523" s="44" t="n">
        <f aca="false">IF($A523="",0,SUMIFS($G$8:$G$1007,$C$8:$C$1007,$C523,$A$8:$A$1007,"&gt;="&amp;$A523-27,$A$8:$A$1007,"&lt;="&amp;$A523)/4)</f>
        <v>0</v>
      </c>
      <c r="J523" s="144" t="n">
        <f aca="false">IF(OR($A523="",$I523=0),0,$H523/$I523)</f>
        <v>0</v>
      </c>
      <c r="K523" s="40" t="n">
        <f aca="false">IF($A523="",0,$A523-SUMPRODUCT(MIN(($C$8:$C$1007=$C523)*$A$8:$A$1007+($C$8:$C$1007&lt;&gt;$C523)*100000))+1)</f>
        <v>0</v>
      </c>
      <c r="L523" s="26" t="str">
        <f aca="false">IF($A523="","",IF($J523=0,"Sem registro anterior",IF($K523&lt;21,"Histórico insuficiente",IF($J523&lt;0.8,"Subcarga",IF($J523&lt;=1.3,"Zona ideal",IF($J523&lt;=1.5,"Atenção","Risco elevado"))))))</f>
        <v/>
      </c>
      <c r="M523" s="27"/>
    </row>
    <row r="524" customFormat="false" ht="15" hidden="false" customHeight="false" outlineLevel="0" collapsed="false">
      <c r="A524" s="29"/>
      <c r="B524" s="40" t="n">
        <f aca="false">IF($A524="",0,INT(($A524-Macrociclo!$C$11)/7)+1)</f>
        <v>0</v>
      </c>
      <c r="C524" s="27"/>
      <c r="D524" s="27"/>
      <c r="E524" s="28"/>
      <c r="F524" s="28"/>
      <c r="G524" s="44" t="n">
        <f aca="false">IF(OR($E524="",$F524=""),0,$E524*$F524)</f>
        <v>0</v>
      </c>
      <c r="H524" s="44" t="n">
        <f aca="false">IF($A524="",0,SUMIFS($G$8:$G$1007,$C$8:$C$1007,$C524,$A$8:$A$1007,"&gt;="&amp;$A524-6,$A$8:$A$1007,"&lt;="&amp;$A524))</f>
        <v>0</v>
      </c>
      <c r="I524" s="44" t="n">
        <f aca="false">IF($A524="",0,SUMIFS($G$8:$G$1007,$C$8:$C$1007,$C524,$A$8:$A$1007,"&gt;="&amp;$A524-27,$A$8:$A$1007,"&lt;="&amp;$A524)/4)</f>
        <v>0</v>
      </c>
      <c r="J524" s="144" t="n">
        <f aca="false">IF(OR($A524="",$I524=0),0,$H524/$I524)</f>
        <v>0</v>
      </c>
      <c r="K524" s="40" t="n">
        <f aca="false">IF($A524="",0,$A524-SUMPRODUCT(MIN(($C$8:$C$1007=$C524)*$A$8:$A$1007+($C$8:$C$1007&lt;&gt;$C524)*100000))+1)</f>
        <v>0</v>
      </c>
      <c r="L524" s="26" t="str">
        <f aca="false">IF($A524="","",IF($J524=0,"Sem registro anterior",IF($K524&lt;21,"Histórico insuficiente",IF($J524&lt;0.8,"Subcarga",IF($J524&lt;=1.3,"Zona ideal",IF($J524&lt;=1.5,"Atenção","Risco elevado"))))))</f>
        <v/>
      </c>
      <c r="M524" s="27"/>
    </row>
    <row r="525" customFormat="false" ht="15" hidden="false" customHeight="false" outlineLevel="0" collapsed="false">
      <c r="A525" s="29"/>
      <c r="B525" s="40" t="n">
        <f aca="false">IF($A525="",0,INT(($A525-Macrociclo!$C$11)/7)+1)</f>
        <v>0</v>
      </c>
      <c r="C525" s="27"/>
      <c r="D525" s="27"/>
      <c r="E525" s="28"/>
      <c r="F525" s="28"/>
      <c r="G525" s="44" t="n">
        <f aca="false">IF(OR($E525="",$F525=""),0,$E525*$F525)</f>
        <v>0</v>
      </c>
      <c r="H525" s="44" t="n">
        <f aca="false">IF($A525="",0,SUMIFS($G$8:$G$1007,$C$8:$C$1007,$C525,$A$8:$A$1007,"&gt;="&amp;$A525-6,$A$8:$A$1007,"&lt;="&amp;$A525))</f>
        <v>0</v>
      </c>
      <c r="I525" s="44" t="n">
        <f aca="false">IF($A525="",0,SUMIFS($G$8:$G$1007,$C$8:$C$1007,$C525,$A$8:$A$1007,"&gt;="&amp;$A525-27,$A$8:$A$1007,"&lt;="&amp;$A525)/4)</f>
        <v>0</v>
      </c>
      <c r="J525" s="144" t="n">
        <f aca="false">IF(OR($A525="",$I525=0),0,$H525/$I525)</f>
        <v>0</v>
      </c>
      <c r="K525" s="40" t="n">
        <f aca="false">IF($A525="",0,$A525-SUMPRODUCT(MIN(($C$8:$C$1007=$C525)*$A$8:$A$1007+($C$8:$C$1007&lt;&gt;$C525)*100000))+1)</f>
        <v>0</v>
      </c>
      <c r="L525" s="26" t="str">
        <f aca="false">IF($A525="","",IF($J525=0,"Sem registro anterior",IF($K525&lt;21,"Histórico insuficiente",IF($J525&lt;0.8,"Subcarga",IF($J525&lt;=1.3,"Zona ideal",IF($J525&lt;=1.5,"Atenção","Risco elevado"))))))</f>
        <v/>
      </c>
      <c r="M525" s="27"/>
    </row>
    <row r="526" customFormat="false" ht="15" hidden="false" customHeight="false" outlineLevel="0" collapsed="false">
      <c r="A526" s="29"/>
      <c r="B526" s="40" t="n">
        <f aca="false">IF($A526="",0,INT(($A526-Macrociclo!$C$11)/7)+1)</f>
        <v>0</v>
      </c>
      <c r="C526" s="27"/>
      <c r="D526" s="27"/>
      <c r="E526" s="28"/>
      <c r="F526" s="28"/>
      <c r="G526" s="44" t="n">
        <f aca="false">IF(OR($E526="",$F526=""),0,$E526*$F526)</f>
        <v>0</v>
      </c>
      <c r="H526" s="44" t="n">
        <f aca="false">IF($A526="",0,SUMIFS($G$8:$G$1007,$C$8:$C$1007,$C526,$A$8:$A$1007,"&gt;="&amp;$A526-6,$A$8:$A$1007,"&lt;="&amp;$A526))</f>
        <v>0</v>
      </c>
      <c r="I526" s="44" t="n">
        <f aca="false">IF($A526="",0,SUMIFS($G$8:$G$1007,$C$8:$C$1007,$C526,$A$8:$A$1007,"&gt;="&amp;$A526-27,$A$8:$A$1007,"&lt;="&amp;$A526)/4)</f>
        <v>0</v>
      </c>
      <c r="J526" s="144" t="n">
        <f aca="false">IF(OR($A526="",$I526=0),0,$H526/$I526)</f>
        <v>0</v>
      </c>
      <c r="K526" s="40" t="n">
        <f aca="false">IF($A526="",0,$A526-SUMPRODUCT(MIN(($C$8:$C$1007=$C526)*$A$8:$A$1007+($C$8:$C$1007&lt;&gt;$C526)*100000))+1)</f>
        <v>0</v>
      </c>
      <c r="L526" s="26" t="str">
        <f aca="false">IF($A526="","",IF($J526=0,"Sem registro anterior",IF($K526&lt;21,"Histórico insuficiente",IF($J526&lt;0.8,"Subcarga",IF($J526&lt;=1.3,"Zona ideal",IF($J526&lt;=1.5,"Atenção","Risco elevado"))))))</f>
        <v/>
      </c>
      <c r="M526" s="27"/>
    </row>
    <row r="527" customFormat="false" ht="15" hidden="false" customHeight="false" outlineLevel="0" collapsed="false">
      <c r="A527" s="29"/>
      <c r="B527" s="40" t="n">
        <f aca="false">IF($A527="",0,INT(($A527-Macrociclo!$C$11)/7)+1)</f>
        <v>0</v>
      </c>
      <c r="C527" s="27"/>
      <c r="D527" s="27"/>
      <c r="E527" s="28"/>
      <c r="F527" s="28"/>
      <c r="G527" s="44" t="n">
        <f aca="false">IF(OR($E527="",$F527=""),0,$E527*$F527)</f>
        <v>0</v>
      </c>
      <c r="H527" s="44" t="n">
        <f aca="false">IF($A527="",0,SUMIFS($G$8:$G$1007,$C$8:$C$1007,$C527,$A$8:$A$1007,"&gt;="&amp;$A527-6,$A$8:$A$1007,"&lt;="&amp;$A527))</f>
        <v>0</v>
      </c>
      <c r="I527" s="44" t="n">
        <f aca="false">IF($A527="",0,SUMIFS($G$8:$G$1007,$C$8:$C$1007,$C527,$A$8:$A$1007,"&gt;="&amp;$A527-27,$A$8:$A$1007,"&lt;="&amp;$A527)/4)</f>
        <v>0</v>
      </c>
      <c r="J527" s="144" t="n">
        <f aca="false">IF(OR($A527="",$I527=0),0,$H527/$I527)</f>
        <v>0</v>
      </c>
      <c r="K527" s="40" t="n">
        <f aca="false">IF($A527="",0,$A527-SUMPRODUCT(MIN(($C$8:$C$1007=$C527)*$A$8:$A$1007+($C$8:$C$1007&lt;&gt;$C527)*100000))+1)</f>
        <v>0</v>
      </c>
      <c r="L527" s="26" t="str">
        <f aca="false">IF($A527="","",IF($J527=0,"Sem registro anterior",IF($K527&lt;21,"Histórico insuficiente",IF($J527&lt;0.8,"Subcarga",IF($J527&lt;=1.3,"Zona ideal",IF($J527&lt;=1.5,"Atenção","Risco elevado"))))))</f>
        <v/>
      </c>
      <c r="M527" s="27"/>
    </row>
    <row r="528" customFormat="false" ht="15" hidden="false" customHeight="false" outlineLevel="0" collapsed="false">
      <c r="A528" s="29"/>
      <c r="B528" s="40" t="n">
        <f aca="false">IF($A528="",0,INT(($A528-Macrociclo!$C$11)/7)+1)</f>
        <v>0</v>
      </c>
      <c r="C528" s="27"/>
      <c r="D528" s="27"/>
      <c r="E528" s="28"/>
      <c r="F528" s="28"/>
      <c r="G528" s="44" t="n">
        <f aca="false">IF(OR($E528="",$F528=""),0,$E528*$F528)</f>
        <v>0</v>
      </c>
      <c r="H528" s="44" t="n">
        <f aca="false">IF($A528="",0,SUMIFS($G$8:$G$1007,$C$8:$C$1007,$C528,$A$8:$A$1007,"&gt;="&amp;$A528-6,$A$8:$A$1007,"&lt;="&amp;$A528))</f>
        <v>0</v>
      </c>
      <c r="I528" s="44" t="n">
        <f aca="false">IF($A528="",0,SUMIFS($G$8:$G$1007,$C$8:$C$1007,$C528,$A$8:$A$1007,"&gt;="&amp;$A528-27,$A$8:$A$1007,"&lt;="&amp;$A528)/4)</f>
        <v>0</v>
      </c>
      <c r="J528" s="144" t="n">
        <f aca="false">IF(OR($A528="",$I528=0),0,$H528/$I528)</f>
        <v>0</v>
      </c>
      <c r="K528" s="40" t="n">
        <f aca="false">IF($A528="",0,$A528-SUMPRODUCT(MIN(($C$8:$C$1007=$C528)*$A$8:$A$1007+($C$8:$C$1007&lt;&gt;$C528)*100000))+1)</f>
        <v>0</v>
      </c>
      <c r="L528" s="26" t="str">
        <f aca="false">IF($A528="","",IF($J528=0,"Sem registro anterior",IF($K528&lt;21,"Histórico insuficiente",IF($J528&lt;0.8,"Subcarga",IF($J528&lt;=1.3,"Zona ideal",IF($J528&lt;=1.5,"Atenção","Risco elevado"))))))</f>
        <v/>
      </c>
      <c r="M528" s="27"/>
    </row>
    <row r="529" customFormat="false" ht="15" hidden="false" customHeight="false" outlineLevel="0" collapsed="false">
      <c r="A529" s="29"/>
      <c r="B529" s="40" t="n">
        <f aca="false">IF($A529="",0,INT(($A529-Macrociclo!$C$11)/7)+1)</f>
        <v>0</v>
      </c>
      <c r="C529" s="27"/>
      <c r="D529" s="27"/>
      <c r="E529" s="28"/>
      <c r="F529" s="28"/>
      <c r="G529" s="44" t="n">
        <f aca="false">IF(OR($E529="",$F529=""),0,$E529*$F529)</f>
        <v>0</v>
      </c>
      <c r="H529" s="44" t="n">
        <f aca="false">IF($A529="",0,SUMIFS($G$8:$G$1007,$C$8:$C$1007,$C529,$A$8:$A$1007,"&gt;="&amp;$A529-6,$A$8:$A$1007,"&lt;="&amp;$A529))</f>
        <v>0</v>
      </c>
      <c r="I529" s="44" t="n">
        <f aca="false">IF($A529="",0,SUMIFS($G$8:$G$1007,$C$8:$C$1007,$C529,$A$8:$A$1007,"&gt;="&amp;$A529-27,$A$8:$A$1007,"&lt;="&amp;$A529)/4)</f>
        <v>0</v>
      </c>
      <c r="J529" s="144" t="n">
        <f aca="false">IF(OR($A529="",$I529=0),0,$H529/$I529)</f>
        <v>0</v>
      </c>
      <c r="K529" s="40" t="n">
        <f aca="false">IF($A529="",0,$A529-SUMPRODUCT(MIN(($C$8:$C$1007=$C529)*$A$8:$A$1007+($C$8:$C$1007&lt;&gt;$C529)*100000))+1)</f>
        <v>0</v>
      </c>
      <c r="L529" s="26" t="str">
        <f aca="false">IF($A529="","",IF($J529=0,"Sem registro anterior",IF($K529&lt;21,"Histórico insuficiente",IF($J529&lt;0.8,"Subcarga",IF($J529&lt;=1.3,"Zona ideal",IF($J529&lt;=1.5,"Atenção","Risco elevado"))))))</f>
        <v/>
      </c>
      <c r="M529" s="27"/>
    </row>
    <row r="530" customFormat="false" ht="15" hidden="false" customHeight="false" outlineLevel="0" collapsed="false">
      <c r="A530" s="29"/>
      <c r="B530" s="40" t="n">
        <f aca="false">IF($A530="",0,INT(($A530-Macrociclo!$C$11)/7)+1)</f>
        <v>0</v>
      </c>
      <c r="C530" s="27"/>
      <c r="D530" s="27"/>
      <c r="E530" s="28"/>
      <c r="F530" s="28"/>
      <c r="G530" s="44" t="n">
        <f aca="false">IF(OR($E530="",$F530=""),0,$E530*$F530)</f>
        <v>0</v>
      </c>
      <c r="H530" s="44" t="n">
        <f aca="false">IF($A530="",0,SUMIFS($G$8:$G$1007,$C$8:$C$1007,$C530,$A$8:$A$1007,"&gt;="&amp;$A530-6,$A$8:$A$1007,"&lt;="&amp;$A530))</f>
        <v>0</v>
      </c>
      <c r="I530" s="44" t="n">
        <f aca="false">IF($A530="",0,SUMIFS($G$8:$G$1007,$C$8:$C$1007,$C530,$A$8:$A$1007,"&gt;="&amp;$A530-27,$A$8:$A$1007,"&lt;="&amp;$A530)/4)</f>
        <v>0</v>
      </c>
      <c r="J530" s="144" t="n">
        <f aca="false">IF(OR($A530="",$I530=0),0,$H530/$I530)</f>
        <v>0</v>
      </c>
      <c r="K530" s="40" t="n">
        <f aca="false">IF($A530="",0,$A530-SUMPRODUCT(MIN(($C$8:$C$1007=$C530)*$A$8:$A$1007+($C$8:$C$1007&lt;&gt;$C530)*100000))+1)</f>
        <v>0</v>
      </c>
      <c r="L530" s="26" t="str">
        <f aca="false">IF($A530="","",IF($J530=0,"Sem registro anterior",IF($K530&lt;21,"Histórico insuficiente",IF($J530&lt;0.8,"Subcarga",IF($J530&lt;=1.3,"Zona ideal",IF($J530&lt;=1.5,"Atenção","Risco elevado"))))))</f>
        <v/>
      </c>
      <c r="M530" s="27"/>
    </row>
    <row r="531" customFormat="false" ht="15" hidden="false" customHeight="false" outlineLevel="0" collapsed="false">
      <c r="A531" s="29"/>
      <c r="B531" s="40" t="n">
        <f aca="false">IF($A531="",0,INT(($A531-Macrociclo!$C$11)/7)+1)</f>
        <v>0</v>
      </c>
      <c r="C531" s="27"/>
      <c r="D531" s="27"/>
      <c r="E531" s="28"/>
      <c r="F531" s="28"/>
      <c r="G531" s="44" t="n">
        <f aca="false">IF(OR($E531="",$F531=""),0,$E531*$F531)</f>
        <v>0</v>
      </c>
      <c r="H531" s="44" t="n">
        <f aca="false">IF($A531="",0,SUMIFS($G$8:$G$1007,$C$8:$C$1007,$C531,$A$8:$A$1007,"&gt;="&amp;$A531-6,$A$8:$A$1007,"&lt;="&amp;$A531))</f>
        <v>0</v>
      </c>
      <c r="I531" s="44" t="n">
        <f aca="false">IF($A531="",0,SUMIFS($G$8:$G$1007,$C$8:$C$1007,$C531,$A$8:$A$1007,"&gt;="&amp;$A531-27,$A$8:$A$1007,"&lt;="&amp;$A531)/4)</f>
        <v>0</v>
      </c>
      <c r="J531" s="144" t="n">
        <f aca="false">IF(OR($A531="",$I531=0),0,$H531/$I531)</f>
        <v>0</v>
      </c>
      <c r="K531" s="40" t="n">
        <f aca="false">IF($A531="",0,$A531-SUMPRODUCT(MIN(($C$8:$C$1007=$C531)*$A$8:$A$1007+($C$8:$C$1007&lt;&gt;$C531)*100000))+1)</f>
        <v>0</v>
      </c>
      <c r="L531" s="26" t="str">
        <f aca="false">IF($A531="","",IF($J531=0,"Sem registro anterior",IF($K531&lt;21,"Histórico insuficiente",IF($J531&lt;0.8,"Subcarga",IF($J531&lt;=1.3,"Zona ideal",IF($J531&lt;=1.5,"Atenção","Risco elevado"))))))</f>
        <v/>
      </c>
      <c r="M531" s="27"/>
    </row>
    <row r="532" customFormat="false" ht="15" hidden="false" customHeight="false" outlineLevel="0" collapsed="false">
      <c r="A532" s="29"/>
      <c r="B532" s="40" t="n">
        <f aca="false">IF($A532="",0,INT(($A532-Macrociclo!$C$11)/7)+1)</f>
        <v>0</v>
      </c>
      <c r="C532" s="27"/>
      <c r="D532" s="27"/>
      <c r="E532" s="28"/>
      <c r="F532" s="28"/>
      <c r="G532" s="44" t="n">
        <f aca="false">IF(OR($E532="",$F532=""),0,$E532*$F532)</f>
        <v>0</v>
      </c>
      <c r="H532" s="44" t="n">
        <f aca="false">IF($A532="",0,SUMIFS($G$8:$G$1007,$C$8:$C$1007,$C532,$A$8:$A$1007,"&gt;="&amp;$A532-6,$A$8:$A$1007,"&lt;="&amp;$A532))</f>
        <v>0</v>
      </c>
      <c r="I532" s="44" t="n">
        <f aca="false">IF($A532="",0,SUMIFS($G$8:$G$1007,$C$8:$C$1007,$C532,$A$8:$A$1007,"&gt;="&amp;$A532-27,$A$8:$A$1007,"&lt;="&amp;$A532)/4)</f>
        <v>0</v>
      </c>
      <c r="J532" s="144" t="n">
        <f aca="false">IF(OR($A532="",$I532=0),0,$H532/$I532)</f>
        <v>0</v>
      </c>
      <c r="K532" s="40" t="n">
        <f aca="false">IF($A532="",0,$A532-SUMPRODUCT(MIN(($C$8:$C$1007=$C532)*$A$8:$A$1007+($C$8:$C$1007&lt;&gt;$C532)*100000))+1)</f>
        <v>0</v>
      </c>
      <c r="L532" s="26" t="str">
        <f aca="false">IF($A532="","",IF($J532=0,"Sem registro anterior",IF($K532&lt;21,"Histórico insuficiente",IF($J532&lt;0.8,"Subcarga",IF($J532&lt;=1.3,"Zona ideal",IF($J532&lt;=1.5,"Atenção","Risco elevado"))))))</f>
        <v/>
      </c>
      <c r="M532" s="27"/>
    </row>
    <row r="533" customFormat="false" ht="15" hidden="false" customHeight="false" outlineLevel="0" collapsed="false">
      <c r="A533" s="29"/>
      <c r="B533" s="40" t="n">
        <f aca="false">IF($A533="",0,INT(($A533-Macrociclo!$C$11)/7)+1)</f>
        <v>0</v>
      </c>
      <c r="C533" s="27"/>
      <c r="D533" s="27"/>
      <c r="E533" s="28"/>
      <c r="F533" s="28"/>
      <c r="G533" s="44" t="n">
        <f aca="false">IF(OR($E533="",$F533=""),0,$E533*$F533)</f>
        <v>0</v>
      </c>
      <c r="H533" s="44" t="n">
        <f aca="false">IF($A533="",0,SUMIFS($G$8:$G$1007,$C$8:$C$1007,$C533,$A$8:$A$1007,"&gt;="&amp;$A533-6,$A$8:$A$1007,"&lt;="&amp;$A533))</f>
        <v>0</v>
      </c>
      <c r="I533" s="44" t="n">
        <f aca="false">IF($A533="",0,SUMIFS($G$8:$G$1007,$C$8:$C$1007,$C533,$A$8:$A$1007,"&gt;="&amp;$A533-27,$A$8:$A$1007,"&lt;="&amp;$A533)/4)</f>
        <v>0</v>
      </c>
      <c r="J533" s="144" t="n">
        <f aca="false">IF(OR($A533="",$I533=0),0,$H533/$I533)</f>
        <v>0</v>
      </c>
      <c r="K533" s="40" t="n">
        <f aca="false">IF($A533="",0,$A533-SUMPRODUCT(MIN(($C$8:$C$1007=$C533)*$A$8:$A$1007+($C$8:$C$1007&lt;&gt;$C533)*100000))+1)</f>
        <v>0</v>
      </c>
      <c r="L533" s="26" t="str">
        <f aca="false">IF($A533="","",IF($J533=0,"Sem registro anterior",IF($K533&lt;21,"Histórico insuficiente",IF($J533&lt;0.8,"Subcarga",IF($J533&lt;=1.3,"Zona ideal",IF($J533&lt;=1.5,"Atenção","Risco elevado"))))))</f>
        <v/>
      </c>
      <c r="M533" s="27"/>
    </row>
    <row r="534" customFormat="false" ht="15" hidden="false" customHeight="false" outlineLevel="0" collapsed="false">
      <c r="A534" s="29"/>
      <c r="B534" s="40" t="n">
        <f aca="false">IF($A534="",0,INT(($A534-Macrociclo!$C$11)/7)+1)</f>
        <v>0</v>
      </c>
      <c r="C534" s="27"/>
      <c r="D534" s="27"/>
      <c r="E534" s="28"/>
      <c r="F534" s="28"/>
      <c r="G534" s="44" t="n">
        <f aca="false">IF(OR($E534="",$F534=""),0,$E534*$F534)</f>
        <v>0</v>
      </c>
      <c r="H534" s="44" t="n">
        <f aca="false">IF($A534="",0,SUMIFS($G$8:$G$1007,$C$8:$C$1007,$C534,$A$8:$A$1007,"&gt;="&amp;$A534-6,$A$8:$A$1007,"&lt;="&amp;$A534))</f>
        <v>0</v>
      </c>
      <c r="I534" s="44" t="n">
        <f aca="false">IF($A534="",0,SUMIFS($G$8:$G$1007,$C$8:$C$1007,$C534,$A$8:$A$1007,"&gt;="&amp;$A534-27,$A$8:$A$1007,"&lt;="&amp;$A534)/4)</f>
        <v>0</v>
      </c>
      <c r="J534" s="144" t="n">
        <f aca="false">IF(OR($A534="",$I534=0),0,$H534/$I534)</f>
        <v>0</v>
      </c>
      <c r="K534" s="40" t="n">
        <f aca="false">IF($A534="",0,$A534-SUMPRODUCT(MIN(($C$8:$C$1007=$C534)*$A$8:$A$1007+($C$8:$C$1007&lt;&gt;$C534)*100000))+1)</f>
        <v>0</v>
      </c>
      <c r="L534" s="26" t="str">
        <f aca="false">IF($A534="","",IF($J534=0,"Sem registro anterior",IF($K534&lt;21,"Histórico insuficiente",IF($J534&lt;0.8,"Subcarga",IF($J534&lt;=1.3,"Zona ideal",IF($J534&lt;=1.5,"Atenção","Risco elevado"))))))</f>
        <v/>
      </c>
      <c r="M534" s="27"/>
    </row>
    <row r="535" customFormat="false" ht="15" hidden="false" customHeight="false" outlineLevel="0" collapsed="false">
      <c r="A535" s="29"/>
      <c r="B535" s="40" t="n">
        <f aca="false">IF($A535="",0,INT(($A535-Macrociclo!$C$11)/7)+1)</f>
        <v>0</v>
      </c>
      <c r="C535" s="27"/>
      <c r="D535" s="27"/>
      <c r="E535" s="28"/>
      <c r="F535" s="28"/>
      <c r="G535" s="44" t="n">
        <f aca="false">IF(OR($E535="",$F535=""),0,$E535*$F535)</f>
        <v>0</v>
      </c>
      <c r="H535" s="44" t="n">
        <f aca="false">IF($A535="",0,SUMIFS($G$8:$G$1007,$C$8:$C$1007,$C535,$A$8:$A$1007,"&gt;="&amp;$A535-6,$A$8:$A$1007,"&lt;="&amp;$A535))</f>
        <v>0</v>
      </c>
      <c r="I535" s="44" t="n">
        <f aca="false">IF($A535="",0,SUMIFS($G$8:$G$1007,$C$8:$C$1007,$C535,$A$8:$A$1007,"&gt;="&amp;$A535-27,$A$8:$A$1007,"&lt;="&amp;$A535)/4)</f>
        <v>0</v>
      </c>
      <c r="J535" s="144" t="n">
        <f aca="false">IF(OR($A535="",$I535=0),0,$H535/$I535)</f>
        <v>0</v>
      </c>
      <c r="K535" s="40" t="n">
        <f aca="false">IF($A535="",0,$A535-SUMPRODUCT(MIN(($C$8:$C$1007=$C535)*$A$8:$A$1007+($C$8:$C$1007&lt;&gt;$C535)*100000))+1)</f>
        <v>0</v>
      </c>
      <c r="L535" s="26" t="str">
        <f aca="false">IF($A535="","",IF($J535=0,"Sem registro anterior",IF($K535&lt;21,"Histórico insuficiente",IF($J535&lt;0.8,"Subcarga",IF($J535&lt;=1.3,"Zona ideal",IF($J535&lt;=1.5,"Atenção","Risco elevado"))))))</f>
        <v/>
      </c>
      <c r="M535" s="27"/>
    </row>
    <row r="536" customFormat="false" ht="15" hidden="false" customHeight="false" outlineLevel="0" collapsed="false">
      <c r="A536" s="29"/>
      <c r="B536" s="40" t="n">
        <f aca="false">IF($A536="",0,INT(($A536-Macrociclo!$C$11)/7)+1)</f>
        <v>0</v>
      </c>
      <c r="C536" s="27"/>
      <c r="D536" s="27"/>
      <c r="E536" s="28"/>
      <c r="F536" s="28"/>
      <c r="G536" s="44" t="n">
        <f aca="false">IF(OR($E536="",$F536=""),0,$E536*$F536)</f>
        <v>0</v>
      </c>
      <c r="H536" s="44" t="n">
        <f aca="false">IF($A536="",0,SUMIFS($G$8:$G$1007,$C$8:$C$1007,$C536,$A$8:$A$1007,"&gt;="&amp;$A536-6,$A$8:$A$1007,"&lt;="&amp;$A536))</f>
        <v>0</v>
      </c>
      <c r="I536" s="44" t="n">
        <f aca="false">IF($A536="",0,SUMIFS($G$8:$G$1007,$C$8:$C$1007,$C536,$A$8:$A$1007,"&gt;="&amp;$A536-27,$A$8:$A$1007,"&lt;="&amp;$A536)/4)</f>
        <v>0</v>
      </c>
      <c r="J536" s="144" t="n">
        <f aca="false">IF(OR($A536="",$I536=0),0,$H536/$I536)</f>
        <v>0</v>
      </c>
      <c r="K536" s="40" t="n">
        <f aca="false">IF($A536="",0,$A536-SUMPRODUCT(MIN(($C$8:$C$1007=$C536)*$A$8:$A$1007+($C$8:$C$1007&lt;&gt;$C536)*100000))+1)</f>
        <v>0</v>
      </c>
      <c r="L536" s="26" t="str">
        <f aca="false">IF($A536="","",IF($J536=0,"Sem registro anterior",IF($K536&lt;21,"Histórico insuficiente",IF($J536&lt;0.8,"Subcarga",IF($J536&lt;=1.3,"Zona ideal",IF($J536&lt;=1.5,"Atenção","Risco elevado"))))))</f>
        <v/>
      </c>
      <c r="M536" s="27"/>
    </row>
    <row r="537" customFormat="false" ht="15" hidden="false" customHeight="false" outlineLevel="0" collapsed="false">
      <c r="A537" s="29"/>
      <c r="B537" s="40" t="n">
        <f aca="false">IF($A537="",0,INT(($A537-Macrociclo!$C$11)/7)+1)</f>
        <v>0</v>
      </c>
      <c r="C537" s="27"/>
      <c r="D537" s="27"/>
      <c r="E537" s="28"/>
      <c r="F537" s="28"/>
      <c r="G537" s="44" t="n">
        <f aca="false">IF(OR($E537="",$F537=""),0,$E537*$F537)</f>
        <v>0</v>
      </c>
      <c r="H537" s="44" t="n">
        <f aca="false">IF($A537="",0,SUMIFS($G$8:$G$1007,$C$8:$C$1007,$C537,$A$8:$A$1007,"&gt;="&amp;$A537-6,$A$8:$A$1007,"&lt;="&amp;$A537))</f>
        <v>0</v>
      </c>
      <c r="I537" s="44" t="n">
        <f aca="false">IF($A537="",0,SUMIFS($G$8:$G$1007,$C$8:$C$1007,$C537,$A$8:$A$1007,"&gt;="&amp;$A537-27,$A$8:$A$1007,"&lt;="&amp;$A537)/4)</f>
        <v>0</v>
      </c>
      <c r="J537" s="144" t="n">
        <f aca="false">IF(OR($A537="",$I537=0),0,$H537/$I537)</f>
        <v>0</v>
      </c>
      <c r="K537" s="40" t="n">
        <f aca="false">IF($A537="",0,$A537-SUMPRODUCT(MIN(($C$8:$C$1007=$C537)*$A$8:$A$1007+($C$8:$C$1007&lt;&gt;$C537)*100000))+1)</f>
        <v>0</v>
      </c>
      <c r="L537" s="26" t="str">
        <f aca="false">IF($A537="","",IF($J537=0,"Sem registro anterior",IF($K537&lt;21,"Histórico insuficiente",IF($J537&lt;0.8,"Subcarga",IF($J537&lt;=1.3,"Zona ideal",IF($J537&lt;=1.5,"Atenção","Risco elevado"))))))</f>
        <v/>
      </c>
      <c r="M537" s="27"/>
    </row>
    <row r="538" customFormat="false" ht="15" hidden="false" customHeight="false" outlineLevel="0" collapsed="false">
      <c r="A538" s="29"/>
      <c r="B538" s="40" t="n">
        <f aca="false">IF($A538="",0,INT(($A538-Macrociclo!$C$11)/7)+1)</f>
        <v>0</v>
      </c>
      <c r="C538" s="27"/>
      <c r="D538" s="27"/>
      <c r="E538" s="28"/>
      <c r="F538" s="28"/>
      <c r="G538" s="44" t="n">
        <f aca="false">IF(OR($E538="",$F538=""),0,$E538*$F538)</f>
        <v>0</v>
      </c>
      <c r="H538" s="44" t="n">
        <f aca="false">IF($A538="",0,SUMIFS($G$8:$G$1007,$C$8:$C$1007,$C538,$A$8:$A$1007,"&gt;="&amp;$A538-6,$A$8:$A$1007,"&lt;="&amp;$A538))</f>
        <v>0</v>
      </c>
      <c r="I538" s="44" t="n">
        <f aca="false">IF($A538="",0,SUMIFS($G$8:$G$1007,$C$8:$C$1007,$C538,$A$8:$A$1007,"&gt;="&amp;$A538-27,$A$8:$A$1007,"&lt;="&amp;$A538)/4)</f>
        <v>0</v>
      </c>
      <c r="J538" s="144" t="n">
        <f aca="false">IF(OR($A538="",$I538=0),0,$H538/$I538)</f>
        <v>0</v>
      </c>
      <c r="K538" s="40" t="n">
        <f aca="false">IF($A538="",0,$A538-SUMPRODUCT(MIN(($C$8:$C$1007=$C538)*$A$8:$A$1007+($C$8:$C$1007&lt;&gt;$C538)*100000))+1)</f>
        <v>0</v>
      </c>
      <c r="L538" s="26" t="str">
        <f aca="false">IF($A538="","",IF($J538=0,"Sem registro anterior",IF($K538&lt;21,"Histórico insuficiente",IF($J538&lt;0.8,"Subcarga",IF($J538&lt;=1.3,"Zona ideal",IF($J538&lt;=1.5,"Atenção","Risco elevado"))))))</f>
        <v/>
      </c>
      <c r="M538" s="27"/>
    </row>
    <row r="539" customFormat="false" ht="15" hidden="false" customHeight="false" outlineLevel="0" collapsed="false">
      <c r="A539" s="29"/>
      <c r="B539" s="40" t="n">
        <f aca="false">IF($A539="",0,INT(($A539-Macrociclo!$C$11)/7)+1)</f>
        <v>0</v>
      </c>
      <c r="C539" s="27"/>
      <c r="D539" s="27"/>
      <c r="E539" s="28"/>
      <c r="F539" s="28"/>
      <c r="G539" s="44" t="n">
        <f aca="false">IF(OR($E539="",$F539=""),0,$E539*$F539)</f>
        <v>0</v>
      </c>
      <c r="H539" s="44" t="n">
        <f aca="false">IF($A539="",0,SUMIFS($G$8:$G$1007,$C$8:$C$1007,$C539,$A$8:$A$1007,"&gt;="&amp;$A539-6,$A$8:$A$1007,"&lt;="&amp;$A539))</f>
        <v>0</v>
      </c>
      <c r="I539" s="44" t="n">
        <f aca="false">IF($A539="",0,SUMIFS($G$8:$G$1007,$C$8:$C$1007,$C539,$A$8:$A$1007,"&gt;="&amp;$A539-27,$A$8:$A$1007,"&lt;="&amp;$A539)/4)</f>
        <v>0</v>
      </c>
      <c r="J539" s="144" t="n">
        <f aca="false">IF(OR($A539="",$I539=0),0,$H539/$I539)</f>
        <v>0</v>
      </c>
      <c r="K539" s="40" t="n">
        <f aca="false">IF($A539="",0,$A539-SUMPRODUCT(MIN(($C$8:$C$1007=$C539)*$A$8:$A$1007+($C$8:$C$1007&lt;&gt;$C539)*100000))+1)</f>
        <v>0</v>
      </c>
      <c r="L539" s="26" t="str">
        <f aca="false">IF($A539="","",IF($J539=0,"Sem registro anterior",IF($K539&lt;21,"Histórico insuficiente",IF($J539&lt;0.8,"Subcarga",IF($J539&lt;=1.3,"Zona ideal",IF($J539&lt;=1.5,"Atenção","Risco elevado"))))))</f>
        <v/>
      </c>
      <c r="M539" s="27"/>
    </row>
    <row r="540" customFormat="false" ht="15" hidden="false" customHeight="false" outlineLevel="0" collapsed="false">
      <c r="A540" s="29"/>
      <c r="B540" s="40" t="n">
        <f aca="false">IF($A540="",0,INT(($A540-Macrociclo!$C$11)/7)+1)</f>
        <v>0</v>
      </c>
      <c r="C540" s="27"/>
      <c r="D540" s="27"/>
      <c r="E540" s="28"/>
      <c r="F540" s="28"/>
      <c r="G540" s="44" t="n">
        <f aca="false">IF(OR($E540="",$F540=""),0,$E540*$F540)</f>
        <v>0</v>
      </c>
      <c r="H540" s="44" t="n">
        <f aca="false">IF($A540="",0,SUMIFS($G$8:$G$1007,$C$8:$C$1007,$C540,$A$8:$A$1007,"&gt;="&amp;$A540-6,$A$8:$A$1007,"&lt;="&amp;$A540))</f>
        <v>0</v>
      </c>
      <c r="I540" s="44" t="n">
        <f aca="false">IF($A540="",0,SUMIFS($G$8:$G$1007,$C$8:$C$1007,$C540,$A$8:$A$1007,"&gt;="&amp;$A540-27,$A$8:$A$1007,"&lt;="&amp;$A540)/4)</f>
        <v>0</v>
      </c>
      <c r="J540" s="144" t="n">
        <f aca="false">IF(OR($A540="",$I540=0),0,$H540/$I540)</f>
        <v>0</v>
      </c>
      <c r="K540" s="40" t="n">
        <f aca="false">IF($A540="",0,$A540-SUMPRODUCT(MIN(($C$8:$C$1007=$C540)*$A$8:$A$1007+($C$8:$C$1007&lt;&gt;$C540)*100000))+1)</f>
        <v>0</v>
      </c>
      <c r="L540" s="26" t="str">
        <f aca="false">IF($A540="","",IF($J540=0,"Sem registro anterior",IF($K540&lt;21,"Histórico insuficiente",IF($J540&lt;0.8,"Subcarga",IF($J540&lt;=1.3,"Zona ideal",IF($J540&lt;=1.5,"Atenção","Risco elevado"))))))</f>
        <v/>
      </c>
      <c r="M540" s="27"/>
    </row>
    <row r="541" customFormat="false" ht="15" hidden="false" customHeight="false" outlineLevel="0" collapsed="false">
      <c r="A541" s="29"/>
      <c r="B541" s="40" t="n">
        <f aca="false">IF($A541="",0,INT(($A541-Macrociclo!$C$11)/7)+1)</f>
        <v>0</v>
      </c>
      <c r="C541" s="27"/>
      <c r="D541" s="27"/>
      <c r="E541" s="28"/>
      <c r="F541" s="28"/>
      <c r="G541" s="44" t="n">
        <f aca="false">IF(OR($E541="",$F541=""),0,$E541*$F541)</f>
        <v>0</v>
      </c>
      <c r="H541" s="44" t="n">
        <f aca="false">IF($A541="",0,SUMIFS($G$8:$G$1007,$C$8:$C$1007,$C541,$A$8:$A$1007,"&gt;="&amp;$A541-6,$A$8:$A$1007,"&lt;="&amp;$A541))</f>
        <v>0</v>
      </c>
      <c r="I541" s="44" t="n">
        <f aca="false">IF($A541="",0,SUMIFS($G$8:$G$1007,$C$8:$C$1007,$C541,$A$8:$A$1007,"&gt;="&amp;$A541-27,$A$8:$A$1007,"&lt;="&amp;$A541)/4)</f>
        <v>0</v>
      </c>
      <c r="J541" s="144" t="n">
        <f aca="false">IF(OR($A541="",$I541=0),0,$H541/$I541)</f>
        <v>0</v>
      </c>
      <c r="K541" s="40" t="n">
        <f aca="false">IF($A541="",0,$A541-SUMPRODUCT(MIN(($C$8:$C$1007=$C541)*$A$8:$A$1007+($C$8:$C$1007&lt;&gt;$C541)*100000))+1)</f>
        <v>0</v>
      </c>
      <c r="L541" s="26" t="str">
        <f aca="false">IF($A541="","",IF($J541=0,"Sem registro anterior",IF($K541&lt;21,"Histórico insuficiente",IF($J541&lt;0.8,"Subcarga",IF($J541&lt;=1.3,"Zona ideal",IF($J541&lt;=1.5,"Atenção","Risco elevado"))))))</f>
        <v/>
      </c>
      <c r="M541" s="27"/>
    </row>
    <row r="542" customFormat="false" ht="15" hidden="false" customHeight="false" outlineLevel="0" collapsed="false">
      <c r="A542" s="29"/>
      <c r="B542" s="40" t="n">
        <f aca="false">IF($A542="",0,INT(($A542-Macrociclo!$C$11)/7)+1)</f>
        <v>0</v>
      </c>
      <c r="C542" s="27"/>
      <c r="D542" s="27"/>
      <c r="E542" s="28"/>
      <c r="F542" s="28"/>
      <c r="G542" s="44" t="n">
        <f aca="false">IF(OR($E542="",$F542=""),0,$E542*$F542)</f>
        <v>0</v>
      </c>
      <c r="H542" s="44" t="n">
        <f aca="false">IF($A542="",0,SUMIFS($G$8:$G$1007,$C$8:$C$1007,$C542,$A$8:$A$1007,"&gt;="&amp;$A542-6,$A$8:$A$1007,"&lt;="&amp;$A542))</f>
        <v>0</v>
      </c>
      <c r="I542" s="44" t="n">
        <f aca="false">IF($A542="",0,SUMIFS($G$8:$G$1007,$C$8:$C$1007,$C542,$A$8:$A$1007,"&gt;="&amp;$A542-27,$A$8:$A$1007,"&lt;="&amp;$A542)/4)</f>
        <v>0</v>
      </c>
      <c r="J542" s="144" t="n">
        <f aca="false">IF(OR($A542="",$I542=0),0,$H542/$I542)</f>
        <v>0</v>
      </c>
      <c r="K542" s="40" t="n">
        <f aca="false">IF($A542="",0,$A542-SUMPRODUCT(MIN(($C$8:$C$1007=$C542)*$A$8:$A$1007+($C$8:$C$1007&lt;&gt;$C542)*100000))+1)</f>
        <v>0</v>
      </c>
      <c r="L542" s="26" t="str">
        <f aca="false">IF($A542="","",IF($J542=0,"Sem registro anterior",IF($K542&lt;21,"Histórico insuficiente",IF($J542&lt;0.8,"Subcarga",IF($J542&lt;=1.3,"Zona ideal",IF($J542&lt;=1.5,"Atenção","Risco elevado"))))))</f>
        <v/>
      </c>
      <c r="M542" s="27"/>
    </row>
    <row r="543" customFormat="false" ht="15" hidden="false" customHeight="false" outlineLevel="0" collapsed="false">
      <c r="A543" s="29"/>
      <c r="B543" s="40" t="n">
        <f aca="false">IF($A543="",0,INT(($A543-Macrociclo!$C$11)/7)+1)</f>
        <v>0</v>
      </c>
      <c r="C543" s="27"/>
      <c r="D543" s="27"/>
      <c r="E543" s="28"/>
      <c r="F543" s="28"/>
      <c r="G543" s="44" t="n">
        <f aca="false">IF(OR($E543="",$F543=""),0,$E543*$F543)</f>
        <v>0</v>
      </c>
      <c r="H543" s="44" t="n">
        <f aca="false">IF($A543="",0,SUMIFS($G$8:$G$1007,$C$8:$C$1007,$C543,$A$8:$A$1007,"&gt;="&amp;$A543-6,$A$8:$A$1007,"&lt;="&amp;$A543))</f>
        <v>0</v>
      </c>
      <c r="I543" s="44" t="n">
        <f aca="false">IF($A543="",0,SUMIFS($G$8:$G$1007,$C$8:$C$1007,$C543,$A$8:$A$1007,"&gt;="&amp;$A543-27,$A$8:$A$1007,"&lt;="&amp;$A543)/4)</f>
        <v>0</v>
      </c>
      <c r="J543" s="144" t="n">
        <f aca="false">IF(OR($A543="",$I543=0),0,$H543/$I543)</f>
        <v>0</v>
      </c>
      <c r="K543" s="40" t="n">
        <f aca="false">IF($A543="",0,$A543-SUMPRODUCT(MIN(($C$8:$C$1007=$C543)*$A$8:$A$1007+($C$8:$C$1007&lt;&gt;$C543)*100000))+1)</f>
        <v>0</v>
      </c>
      <c r="L543" s="26" t="str">
        <f aca="false">IF($A543="","",IF($J543=0,"Sem registro anterior",IF($K543&lt;21,"Histórico insuficiente",IF($J543&lt;0.8,"Subcarga",IF($J543&lt;=1.3,"Zona ideal",IF($J543&lt;=1.5,"Atenção","Risco elevado"))))))</f>
        <v/>
      </c>
      <c r="M543" s="27"/>
    </row>
    <row r="544" customFormat="false" ht="15" hidden="false" customHeight="false" outlineLevel="0" collapsed="false">
      <c r="A544" s="29"/>
      <c r="B544" s="40" t="n">
        <f aca="false">IF($A544="",0,INT(($A544-Macrociclo!$C$11)/7)+1)</f>
        <v>0</v>
      </c>
      <c r="C544" s="27"/>
      <c r="D544" s="27"/>
      <c r="E544" s="28"/>
      <c r="F544" s="28"/>
      <c r="G544" s="44" t="n">
        <f aca="false">IF(OR($E544="",$F544=""),0,$E544*$F544)</f>
        <v>0</v>
      </c>
      <c r="H544" s="44" t="n">
        <f aca="false">IF($A544="",0,SUMIFS($G$8:$G$1007,$C$8:$C$1007,$C544,$A$8:$A$1007,"&gt;="&amp;$A544-6,$A$8:$A$1007,"&lt;="&amp;$A544))</f>
        <v>0</v>
      </c>
      <c r="I544" s="44" t="n">
        <f aca="false">IF($A544="",0,SUMIFS($G$8:$G$1007,$C$8:$C$1007,$C544,$A$8:$A$1007,"&gt;="&amp;$A544-27,$A$8:$A$1007,"&lt;="&amp;$A544)/4)</f>
        <v>0</v>
      </c>
      <c r="J544" s="144" t="n">
        <f aca="false">IF(OR($A544="",$I544=0),0,$H544/$I544)</f>
        <v>0</v>
      </c>
      <c r="K544" s="40" t="n">
        <f aca="false">IF($A544="",0,$A544-SUMPRODUCT(MIN(($C$8:$C$1007=$C544)*$A$8:$A$1007+($C$8:$C$1007&lt;&gt;$C544)*100000))+1)</f>
        <v>0</v>
      </c>
      <c r="L544" s="26" t="str">
        <f aca="false">IF($A544="","",IF($J544=0,"Sem registro anterior",IF($K544&lt;21,"Histórico insuficiente",IF($J544&lt;0.8,"Subcarga",IF($J544&lt;=1.3,"Zona ideal",IF($J544&lt;=1.5,"Atenção","Risco elevado"))))))</f>
        <v/>
      </c>
      <c r="M544" s="27"/>
    </row>
    <row r="545" customFormat="false" ht="15" hidden="false" customHeight="false" outlineLevel="0" collapsed="false">
      <c r="A545" s="29"/>
      <c r="B545" s="40" t="n">
        <f aca="false">IF($A545="",0,INT(($A545-Macrociclo!$C$11)/7)+1)</f>
        <v>0</v>
      </c>
      <c r="C545" s="27"/>
      <c r="D545" s="27"/>
      <c r="E545" s="28"/>
      <c r="F545" s="28"/>
      <c r="G545" s="44" t="n">
        <f aca="false">IF(OR($E545="",$F545=""),0,$E545*$F545)</f>
        <v>0</v>
      </c>
      <c r="H545" s="44" t="n">
        <f aca="false">IF($A545="",0,SUMIFS($G$8:$G$1007,$C$8:$C$1007,$C545,$A$8:$A$1007,"&gt;="&amp;$A545-6,$A$8:$A$1007,"&lt;="&amp;$A545))</f>
        <v>0</v>
      </c>
      <c r="I545" s="44" t="n">
        <f aca="false">IF($A545="",0,SUMIFS($G$8:$G$1007,$C$8:$C$1007,$C545,$A$8:$A$1007,"&gt;="&amp;$A545-27,$A$8:$A$1007,"&lt;="&amp;$A545)/4)</f>
        <v>0</v>
      </c>
      <c r="J545" s="144" t="n">
        <f aca="false">IF(OR($A545="",$I545=0),0,$H545/$I545)</f>
        <v>0</v>
      </c>
      <c r="K545" s="40" t="n">
        <f aca="false">IF($A545="",0,$A545-SUMPRODUCT(MIN(($C$8:$C$1007=$C545)*$A$8:$A$1007+($C$8:$C$1007&lt;&gt;$C545)*100000))+1)</f>
        <v>0</v>
      </c>
      <c r="L545" s="26" t="str">
        <f aca="false">IF($A545="","",IF($J545=0,"Sem registro anterior",IF($K545&lt;21,"Histórico insuficiente",IF($J545&lt;0.8,"Subcarga",IF($J545&lt;=1.3,"Zona ideal",IF($J545&lt;=1.5,"Atenção","Risco elevado"))))))</f>
        <v/>
      </c>
      <c r="M545" s="27"/>
    </row>
    <row r="546" customFormat="false" ht="15" hidden="false" customHeight="false" outlineLevel="0" collapsed="false">
      <c r="A546" s="29"/>
      <c r="B546" s="40" t="n">
        <f aca="false">IF($A546="",0,INT(($A546-Macrociclo!$C$11)/7)+1)</f>
        <v>0</v>
      </c>
      <c r="C546" s="27"/>
      <c r="D546" s="27"/>
      <c r="E546" s="28"/>
      <c r="F546" s="28"/>
      <c r="G546" s="44" t="n">
        <f aca="false">IF(OR($E546="",$F546=""),0,$E546*$F546)</f>
        <v>0</v>
      </c>
      <c r="H546" s="44" t="n">
        <f aca="false">IF($A546="",0,SUMIFS($G$8:$G$1007,$C$8:$C$1007,$C546,$A$8:$A$1007,"&gt;="&amp;$A546-6,$A$8:$A$1007,"&lt;="&amp;$A546))</f>
        <v>0</v>
      </c>
      <c r="I546" s="44" t="n">
        <f aca="false">IF($A546="",0,SUMIFS($G$8:$G$1007,$C$8:$C$1007,$C546,$A$8:$A$1007,"&gt;="&amp;$A546-27,$A$8:$A$1007,"&lt;="&amp;$A546)/4)</f>
        <v>0</v>
      </c>
      <c r="J546" s="144" t="n">
        <f aca="false">IF(OR($A546="",$I546=0),0,$H546/$I546)</f>
        <v>0</v>
      </c>
      <c r="K546" s="40" t="n">
        <f aca="false">IF($A546="",0,$A546-SUMPRODUCT(MIN(($C$8:$C$1007=$C546)*$A$8:$A$1007+($C$8:$C$1007&lt;&gt;$C546)*100000))+1)</f>
        <v>0</v>
      </c>
      <c r="L546" s="26" t="str">
        <f aca="false">IF($A546="","",IF($J546=0,"Sem registro anterior",IF($K546&lt;21,"Histórico insuficiente",IF($J546&lt;0.8,"Subcarga",IF($J546&lt;=1.3,"Zona ideal",IF($J546&lt;=1.5,"Atenção","Risco elevado"))))))</f>
        <v/>
      </c>
      <c r="M546" s="27"/>
    </row>
    <row r="547" customFormat="false" ht="15" hidden="false" customHeight="false" outlineLevel="0" collapsed="false">
      <c r="A547" s="29"/>
      <c r="B547" s="40" t="n">
        <f aca="false">IF($A547="",0,INT(($A547-Macrociclo!$C$11)/7)+1)</f>
        <v>0</v>
      </c>
      <c r="C547" s="27"/>
      <c r="D547" s="27"/>
      <c r="E547" s="28"/>
      <c r="F547" s="28"/>
      <c r="G547" s="44" t="n">
        <f aca="false">IF(OR($E547="",$F547=""),0,$E547*$F547)</f>
        <v>0</v>
      </c>
      <c r="H547" s="44" t="n">
        <f aca="false">IF($A547="",0,SUMIFS($G$8:$G$1007,$C$8:$C$1007,$C547,$A$8:$A$1007,"&gt;="&amp;$A547-6,$A$8:$A$1007,"&lt;="&amp;$A547))</f>
        <v>0</v>
      </c>
      <c r="I547" s="44" t="n">
        <f aca="false">IF($A547="",0,SUMIFS($G$8:$G$1007,$C$8:$C$1007,$C547,$A$8:$A$1007,"&gt;="&amp;$A547-27,$A$8:$A$1007,"&lt;="&amp;$A547)/4)</f>
        <v>0</v>
      </c>
      <c r="J547" s="144" t="n">
        <f aca="false">IF(OR($A547="",$I547=0),0,$H547/$I547)</f>
        <v>0</v>
      </c>
      <c r="K547" s="40" t="n">
        <f aca="false">IF($A547="",0,$A547-SUMPRODUCT(MIN(($C$8:$C$1007=$C547)*$A$8:$A$1007+($C$8:$C$1007&lt;&gt;$C547)*100000))+1)</f>
        <v>0</v>
      </c>
      <c r="L547" s="26" t="str">
        <f aca="false">IF($A547="","",IF($J547=0,"Sem registro anterior",IF($K547&lt;21,"Histórico insuficiente",IF($J547&lt;0.8,"Subcarga",IF($J547&lt;=1.3,"Zona ideal",IF($J547&lt;=1.5,"Atenção","Risco elevado"))))))</f>
        <v/>
      </c>
      <c r="M547" s="27"/>
    </row>
    <row r="548" customFormat="false" ht="15" hidden="false" customHeight="false" outlineLevel="0" collapsed="false">
      <c r="A548" s="29"/>
      <c r="B548" s="40" t="n">
        <f aca="false">IF($A548="",0,INT(($A548-Macrociclo!$C$11)/7)+1)</f>
        <v>0</v>
      </c>
      <c r="C548" s="27"/>
      <c r="D548" s="27"/>
      <c r="E548" s="28"/>
      <c r="F548" s="28"/>
      <c r="G548" s="44" t="n">
        <f aca="false">IF(OR($E548="",$F548=""),0,$E548*$F548)</f>
        <v>0</v>
      </c>
      <c r="H548" s="44" t="n">
        <f aca="false">IF($A548="",0,SUMIFS($G$8:$G$1007,$C$8:$C$1007,$C548,$A$8:$A$1007,"&gt;="&amp;$A548-6,$A$8:$A$1007,"&lt;="&amp;$A548))</f>
        <v>0</v>
      </c>
      <c r="I548" s="44" t="n">
        <f aca="false">IF($A548="",0,SUMIFS($G$8:$G$1007,$C$8:$C$1007,$C548,$A$8:$A$1007,"&gt;="&amp;$A548-27,$A$8:$A$1007,"&lt;="&amp;$A548)/4)</f>
        <v>0</v>
      </c>
      <c r="J548" s="144" t="n">
        <f aca="false">IF(OR($A548="",$I548=0),0,$H548/$I548)</f>
        <v>0</v>
      </c>
      <c r="K548" s="40" t="n">
        <f aca="false">IF($A548="",0,$A548-SUMPRODUCT(MIN(($C$8:$C$1007=$C548)*$A$8:$A$1007+($C$8:$C$1007&lt;&gt;$C548)*100000))+1)</f>
        <v>0</v>
      </c>
      <c r="L548" s="26" t="str">
        <f aca="false">IF($A548="","",IF($J548=0,"Sem registro anterior",IF($K548&lt;21,"Histórico insuficiente",IF($J548&lt;0.8,"Subcarga",IF($J548&lt;=1.3,"Zona ideal",IF($J548&lt;=1.5,"Atenção","Risco elevado"))))))</f>
        <v/>
      </c>
      <c r="M548" s="27"/>
    </row>
    <row r="549" customFormat="false" ht="15" hidden="false" customHeight="false" outlineLevel="0" collapsed="false">
      <c r="A549" s="29"/>
      <c r="B549" s="40" t="n">
        <f aca="false">IF($A549="",0,INT(($A549-Macrociclo!$C$11)/7)+1)</f>
        <v>0</v>
      </c>
      <c r="C549" s="27"/>
      <c r="D549" s="27"/>
      <c r="E549" s="28"/>
      <c r="F549" s="28"/>
      <c r="G549" s="44" t="n">
        <f aca="false">IF(OR($E549="",$F549=""),0,$E549*$F549)</f>
        <v>0</v>
      </c>
      <c r="H549" s="44" t="n">
        <f aca="false">IF($A549="",0,SUMIFS($G$8:$G$1007,$C$8:$C$1007,$C549,$A$8:$A$1007,"&gt;="&amp;$A549-6,$A$8:$A$1007,"&lt;="&amp;$A549))</f>
        <v>0</v>
      </c>
      <c r="I549" s="44" t="n">
        <f aca="false">IF($A549="",0,SUMIFS($G$8:$G$1007,$C$8:$C$1007,$C549,$A$8:$A$1007,"&gt;="&amp;$A549-27,$A$8:$A$1007,"&lt;="&amp;$A549)/4)</f>
        <v>0</v>
      </c>
      <c r="J549" s="144" t="n">
        <f aca="false">IF(OR($A549="",$I549=0),0,$H549/$I549)</f>
        <v>0</v>
      </c>
      <c r="K549" s="40" t="n">
        <f aca="false">IF($A549="",0,$A549-SUMPRODUCT(MIN(($C$8:$C$1007=$C549)*$A$8:$A$1007+($C$8:$C$1007&lt;&gt;$C549)*100000))+1)</f>
        <v>0</v>
      </c>
      <c r="L549" s="26" t="str">
        <f aca="false">IF($A549="","",IF($J549=0,"Sem registro anterior",IF($K549&lt;21,"Histórico insuficiente",IF($J549&lt;0.8,"Subcarga",IF($J549&lt;=1.3,"Zona ideal",IF($J549&lt;=1.5,"Atenção","Risco elevado"))))))</f>
        <v/>
      </c>
      <c r="M549" s="27"/>
    </row>
    <row r="550" customFormat="false" ht="15" hidden="false" customHeight="false" outlineLevel="0" collapsed="false">
      <c r="A550" s="29"/>
      <c r="B550" s="40" t="n">
        <f aca="false">IF($A550="",0,INT(($A550-Macrociclo!$C$11)/7)+1)</f>
        <v>0</v>
      </c>
      <c r="C550" s="27"/>
      <c r="D550" s="27"/>
      <c r="E550" s="28"/>
      <c r="F550" s="28"/>
      <c r="G550" s="44" t="n">
        <f aca="false">IF(OR($E550="",$F550=""),0,$E550*$F550)</f>
        <v>0</v>
      </c>
      <c r="H550" s="44" t="n">
        <f aca="false">IF($A550="",0,SUMIFS($G$8:$G$1007,$C$8:$C$1007,$C550,$A$8:$A$1007,"&gt;="&amp;$A550-6,$A$8:$A$1007,"&lt;="&amp;$A550))</f>
        <v>0</v>
      </c>
      <c r="I550" s="44" t="n">
        <f aca="false">IF($A550="",0,SUMIFS($G$8:$G$1007,$C$8:$C$1007,$C550,$A$8:$A$1007,"&gt;="&amp;$A550-27,$A$8:$A$1007,"&lt;="&amp;$A550)/4)</f>
        <v>0</v>
      </c>
      <c r="J550" s="144" t="n">
        <f aca="false">IF(OR($A550="",$I550=0),0,$H550/$I550)</f>
        <v>0</v>
      </c>
      <c r="K550" s="40" t="n">
        <f aca="false">IF($A550="",0,$A550-SUMPRODUCT(MIN(($C$8:$C$1007=$C550)*$A$8:$A$1007+($C$8:$C$1007&lt;&gt;$C550)*100000))+1)</f>
        <v>0</v>
      </c>
      <c r="L550" s="26" t="str">
        <f aca="false">IF($A550="","",IF($J550=0,"Sem registro anterior",IF($K550&lt;21,"Histórico insuficiente",IF($J550&lt;0.8,"Subcarga",IF($J550&lt;=1.3,"Zona ideal",IF($J550&lt;=1.5,"Atenção","Risco elevado"))))))</f>
        <v/>
      </c>
      <c r="M550" s="27"/>
    </row>
    <row r="551" customFormat="false" ht="15" hidden="false" customHeight="false" outlineLevel="0" collapsed="false">
      <c r="A551" s="29"/>
      <c r="B551" s="40" t="n">
        <f aca="false">IF($A551="",0,INT(($A551-Macrociclo!$C$11)/7)+1)</f>
        <v>0</v>
      </c>
      <c r="C551" s="27"/>
      <c r="D551" s="27"/>
      <c r="E551" s="28"/>
      <c r="F551" s="28"/>
      <c r="G551" s="44" t="n">
        <f aca="false">IF(OR($E551="",$F551=""),0,$E551*$F551)</f>
        <v>0</v>
      </c>
      <c r="H551" s="44" t="n">
        <f aca="false">IF($A551="",0,SUMIFS($G$8:$G$1007,$C$8:$C$1007,$C551,$A$8:$A$1007,"&gt;="&amp;$A551-6,$A$8:$A$1007,"&lt;="&amp;$A551))</f>
        <v>0</v>
      </c>
      <c r="I551" s="44" t="n">
        <f aca="false">IF($A551="",0,SUMIFS($G$8:$G$1007,$C$8:$C$1007,$C551,$A$8:$A$1007,"&gt;="&amp;$A551-27,$A$8:$A$1007,"&lt;="&amp;$A551)/4)</f>
        <v>0</v>
      </c>
      <c r="J551" s="144" t="n">
        <f aca="false">IF(OR($A551="",$I551=0),0,$H551/$I551)</f>
        <v>0</v>
      </c>
      <c r="K551" s="40" t="n">
        <f aca="false">IF($A551="",0,$A551-SUMPRODUCT(MIN(($C$8:$C$1007=$C551)*$A$8:$A$1007+($C$8:$C$1007&lt;&gt;$C551)*100000))+1)</f>
        <v>0</v>
      </c>
      <c r="L551" s="26" t="str">
        <f aca="false">IF($A551="","",IF($J551=0,"Sem registro anterior",IF($K551&lt;21,"Histórico insuficiente",IF($J551&lt;0.8,"Subcarga",IF($J551&lt;=1.3,"Zona ideal",IF($J551&lt;=1.5,"Atenção","Risco elevado"))))))</f>
        <v/>
      </c>
      <c r="M551" s="27"/>
    </row>
    <row r="552" customFormat="false" ht="15" hidden="false" customHeight="false" outlineLevel="0" collapsed="false">
      <c r="A552" s="29"/>
      <c r="B552" s="40" t="n">
        <f aca="false">IF($A552="",0,INT(($A552-Macrociclo!$C$11)/7)+1)</f>
        <v>0</v>
      </c>
      <c r="C552" s="27"/>
      <c r="D552" s="27"/>
      <c r="E552" s="28"/>
      <c r="F552" s="28"/>
      <c r="G552" s="44" t="n">
        <f aca="false">IF(OR($E552="",$F552=""),0,$E552*$F552)</f>
        <v>0</v>
      </c>
      <c r="H552" s="44" t="n">
        <f aca="false">IF($A552="",0,SUMIFS($G$8:$G$1007,$C$8:$C$1007,$C552,$A$8:$A$1007,"&gt;="&amp;$A552-6,$A$8:$A$1007,"&lt;="&amp;$A552))</f>
        <v>0</v>
      </c>
      <c r="I552" s="44" t="n">
        <f aca="false">IF($A552="",0,SUMIFS($G$8:$G$1007,$C$8:$C$1007,$C552,$A$8:$A$1007,"&gt;="&amp;$A552-27,$A$8:$A$1007,"&lt;="&amp;$A552)/4)</f>
        <v>0</v>
      </c>
      <c r="J552" s="144" t="n">
        <f aca="false">IF(OR($A552="",$I552=0),0,$H552/$I552)</f>
        <v>0</v>
      </c>
      <c r="K552" s="40" t="n">
        <f aca="false">IF($A552="",0,$A552-SUMPRODUCT(MIN(($C$8:$C$1007=$C552)*$A$8:$A$1007+($C$8:$C$1007&lt;&gt;$C552)*100000))+1)</f>
        <v>0</v>
      </c>
      <c r="L552" s="26" t="str">
        <f aca="false">IF($A552="","",IF($J552=0,"Sem registro anterior",IF($K552&lt;21,"Histórico insuficiente",IF($J552&lt;0.8,"Subcarga",IF($J552&lt;=1.3,"Zona ideal",IF($J552&lt;=1.5,"Atenção","Risco elevado"))))))</f>
        <v/>
      </c>
      <c r="M552" s="27"/>
    </row>
    <row r="553" customFormat="false" ht="15" hidden="false" customHeight="false" outlineLevel="0" collapsed="false">
      <c r="A553" s="29"/>
      <c r="B553" s="40" t="n">
        <f aca="false">IF($A553="",0,INT(($A553-Macrociclo!$C$11)/7)+1)</f>
        <v>0</v>
      </c>
      <c r="C553" s="27"/>
      <c r="D553" s="27"/>
      <c r="E553" s="28"/>
      <c r="F553" s="28"/>
      <c r="G553" s="44" t="n">
        <f aca="false">IF(OR($E553="",$F553=""),0,$E553*$F553)</f>
        <v>0</v>
      </c>
      <c r="H553" s="44" t="n">
        <f aca="false">IF($A553="",0,SUMIFS($G$8:$G$1007,$C$8:$C$1007,$C553,$A$8:$A$1007,"&gt;="&amp;$A553-6,$A$8:$A$1007,"&lt;="&amp;$A553))</f>
        <v>0</v>
      </c>
      <c r="I553" s="44" t="n">
        <f aca="false">IF($A553="",0,SUMIFS($G$8:$G$1007,$C$8:$C$1007,$C553,$A$8:$A$1007,"&gt;="&amp;$A553-27,$A$8:$A$1007,"&lt;="&amp;$A553)/4)</f>
        <v>0</v>
      </c>
      <c r="J553" s="144" t="n">
        <f aca="false">IF(OR($A553="",$I553=0),0,$H553/$I553)</f>
        <v>0</v>
      </c>
      <c r="K553" s="40" t="n">
        <f aca="false">IF($A553="",0,$A553-SUMPRODUCT(MIN(($C$8:$C$1007=$C553)*$A$8:$A$1007+($C$8:$C$1007&lt;&gt;$C553)*100000))+1)</f>
        <v>0</v>
      </c>
      <c r="L553" s="26" t="str">
        <f aca="false">IF($A553="","",IF($J553=0,"Sem registro anterior",IF($K553&lt;21,"Histórico insuficiente",IF($J553&lt;0.8,"Subcarga",IF($J553&lt;=1.3,"Zona ideal",IF($J553&lt;=1.5,"Atenção","Risco elevado"))))))</f>
        <v/>
      </c>
      <c r="M553" s="27"/>
    </row>
    <row r="554" customFormat="false" ht="15" hidden="false" customHeight="false" outlineLevel="0" collapsed="false">
      <c r="A554" s="29"/>
      <c r="B554" s="40" t="n">
        <f aca="false">IF($A554="",0,INT(($A554-Macrociclo!$C$11)/7)+1)</f>
        <v>0</v>
      </c>
      <c r="C554" s="27"/>
      <c r="D554" s="27"/>
      <c r="E554" s="28"/>
      <c r="F554" s="28"/>
      <c r="G554" s="44" t="n">
        <f aca="false">IF(OR($E554="",$F554=""),0,$E554*$F554)</f>
        <v>0</v>
      </c>
      <c r="H554" s="44" t="n">
        <f aca="false">IF($A554="",0,SUMIFS($G$8:$G$1007,$C$8:$C$1007,$C554,$A$8:$A$1007,"&gt;="&amp;$A554-6,$A$8:$A$1007,"&lt;="&amp;$A554))</f>
        <v>0</v>
      </c>
      <c r="I554" s="44" t="n">
        <f aca="false">IF($A554="",0,SUMIFS($G$8:$G$1007,$C$8:$C$1007,$C554,$A$8:$A$1007,"&gt;="&amp;$A554-27,$A$8:$A$1007,"&lt;="&amp;$A554)/4)</f>
        <v>0</v>
      </c>
      <c r="J554" s="144" t="n">
        <f aca="false">IF(OR($A554="",$I554=0),0,$H554/$I554)</f>
        <v>0</v>
      </c>
      <c r="K554" s="40" t="n">
        <f aca="false">IF($A554="",0,$A554-SUMPRODUCT(MIN(($C$8:$C$1007=$C554)*$A$8:$A$1007+($C$8:$C$1007&lt;&gt;$C554)*100000))+1)</f>
        <v>0</v>
      </c>
      <c r="L554" s="26" t="str">
        <f aca="false">IF($A554="","",IF($J554=0,"Sem registro anterior",IF($K554&lt;21,"Histórico insuficiente",IF($J554&lt;0.8,"Subcarga",IF($J554&lt;=1.3,"Zona ideal",IF($J554&lt;=1.5,"Atenção","Risco elevado"))))))</f>
        <v/>
      </c>
      <c r="M554" s="27"/>
    </row>
    <row r="555" customFormat="false" ht="15" hidden="false" customHeight="false" outlineLevel="0" collapsed="false">
      <c r="A555" s="29"/>
      <c r="B555" s="40" t="n">
        <f aca="false">IF($A555="",0,INT(($A555-Macrociclo!$C$11)/7)+1)</f>
        <v>0</v>
      </c>
      <c r="C555" s="27"/>
      <c r="D555" s="27"/>
      <c r="E555" s="28"/>
      <c r="F555" s="28"/>
      <c r="G555" s="44" t="n">
        <f aca="false">IF(OR($E555="",$F555=""),0,$E555*$F555)</f>
        <v>0</v>
      </c>
      <c r="H555" s="44" t="n">
        <f aca="false">IF($A555="",0,SUMIFS($G$8:$G$1007,$C$8:$C$1007,$C555,$A$8:$A$1007,"&gt;="&amp;$A555-6,$A$8:$A$1007,"&lt;="&amp;$A555))</f>
        <v>0</v>
      </c>
      <c r="I555" s="44" t="n">
        <f aca="false">IF($A555="",0,SUMIFS($G$8:$G$1007,$C$8:$C$1007,$C555,$A$8:$A$1007,"&gt;="&amp;$A555-27,$A$8:$A$1007,"&lt;="&amp;$A555)/4)</f>
        <v>0</v>
      </c>
      <c r="J555" s="144" t="n">
        <f aca="false">IF(OR($A555="",$I555=0),0,$H555/$I555)</f>
        <v>0</v>
      </c>
      <c r="K555" s="40" t="n">
        <f aca="false">IF($A555="",0,$A555-SUMPRODUCT(MIN(($C$8:$C$1007=$C555)*$A$8:$A$1007+($C$8:$C$1007&lt;&gt;$C555)*100000))+1)</f>
        <v>0</v>
      </c>
      <c r="L555" s="26" t="str">
        <f aca="false">IF($A555="","",IF($J555=0,"Sem registro anterior",IF($K555&lt;21,"Histórico insuficiente",IF($J555&lt;0.8,"Subcarga",IF($J555&lt;=1.3,"Zona ideal",IF($J555&lt;=1.5,"Atenção","Risco elevado"))))))</f>
        <v/>
      </c>
      <c r="M555" s="27"/>
    </row>
    <row r="556" customFormat="false" ht="15" hidden="false" customHeight="false" outlineLevel="0" collapsed="false">
      <c r="A556" s="29"/>
      <c r="B556" s="40" t="n">
        <f aca="false">IF($A556="",0,INT(($A556-Macrociclo!$C$11)/7)+1)</f>
        <v>0</v>
      </c>
      <c r="C556" s="27"/>
      <c r="D556" s="27"/>
      <c r="E556" s="28"/>
      <c r="F556" s="28"/>
      <c r="G556" s="44" t="n">
        <f aca="false">IF(OR($E556="",$F556=""),0,$E556*$F556)</f>
        <v>0</v>
      </c>
      <c r="H556" s="44" t="n">
        <f aca="false">IF($A556="",0,SUMIFS($G$8:$G$1007,$C$8:$C$1007,$C556,$A$8:$A$1007,"&gt;="&amp;$A556-6,$A$8:$A$1007,"&lt;="&amp;$A556))</f>
        <v>0</v>
      </c>
      <c r="I556" s="44" t="n">
        <f aca="false">IF($A556="",0,SUMIFS($G$8:$G$1007,$C$8:$C$1007,$C556,$A$8:$A$1007,"&gt;="&amp;$A556-27,$A$8:$A$1007,"&lt;="&amp;$A556)/4)</f>
        <v>0</v>
      </c>
      <c r="J556" s="144" t="n">
        <f aca="false">IF(OR($A556="",$I556=0),0,$H556/$I556)</f>
        <v>0</v>
      </c>
      <c r="K556" s="40" t="n">
        <f aca="false">IF($A556="",0,$A556-SUMPRODUCT(MIN(($C$8:$C$1007=$C556)*$A$8:$A$1007+($C$8:$C$1007&lt;&gt;$C556)*100000))+1)</f>
        <v>0</v>
      </c>
      <c r="L556" s="26" t="str">
        <f aca="false">IF($A556="","",IF($J556=0,"Sem registro anterior",IF($K556&lt;21,"Histórico insuficiente",IF($J556&lt;0.8,"Subcarga",IF($J556&lt;=1.3,"Zona ideal",IF($J556&lt;=1.5,"Atenção","Risco elevado"))))))</f>
        <v/>
      </c>
      <c r="M556" s="27"/>
    </row>
    <row r="557" customFormat="false" ht="15" hidden="false" customHeight="false" outlineLevel="0" collapsed="false">
      <c r="A557" s="29"/>
      <c r="B557" s="40" t="n">
        <f aca="false">IF($A557="",0,INT(($A557-Macrociclo!$C$11)/7)+1)</f>
        <v>0</v>
      </c>
      <c r="C557" s="27"/>
      <c r="D557" s="27"/>
      <c r="E557" s="28"/>
      <c r="F557" s="28"/>
      <c r="G557" s="44" t="n">
        <f aca="false">IF(OR($E557="",$F557=""),0,$E557*$F557)</f>
        <v>0</v>
      </c>
      <c r="H557" s="44" t="n">
        <f aca="false">IF($A557="",0,SUMIFS($G$8:$G$1007,$C$8:$C$1007,$C557,$A$8:$A$1007,"&gt;="&amp;$A557-6,$A$8:$A$1007,"&lt;="&amp;$A557))</f>
        <v>0</v>
      </c>
      <c r="I557" s="44" t="n">
        <f aca="false">IF($A557="",0,SUMIFS($G$8:$G$1007,$C$8:$C$1007,$C557,$A$8:$A$1007,"&gt;="&amp;$A557-27,$A$8:$A$1007,"&lt;="&amp;$A557)/4)</f>
        <v>0</v>
      </c>
      <c r="J557" s="144" t="n">
        <f aca="false">IF(OR($A557="",$I557=0),0,$H557/$I557)</f>
        <v>0</v>
      </c>
      <c r="K557" s="40" t="n">
        <f aca="false">IF($A557="",0,$A557-SUMPRODUCT(MIN(($C$8:$C$1007=$C557)*$A$8:$A$1007+($C$8:$C$1007&lt;&gt;$C557)*100000))+1)</f>
        <v>0</v>
      </c>
      <c r="L557" s="26" t="str">
        <f aca="false">IF($A557="","",IF($J557=0,"Sem registro anterior",IF($K557&lt;21,"Histórico insuficiente",IF($J557&lt;0.8,"Subcarga",IF($J557&lt;=1.3,"Zona ideal",IF($J557&lt;=1.5,"Atenção","Risco elevado"))))))</f>
        <v/>
      </c>
      <c r="M557" s="27"/>
    </row>
    <row r="558" customFormat="false" ht="15" hidden="false" customHeight="false" outlineLevel="0" collapsed="false">
      <c r="A558" s="29"/>
      <c r="B558" s="40" t="n">
        <f aca="false">IF($A558="",0,INT(($A558-Macrociclo!$C$11)/7)+1)</f>
        <v>0</v>
      </c>
      <c r="C558" s="27"/>
      <c r="D558" s="27"/>
      <c r="E558" s="28"/>
      <c r="F558" s="28"/>
      <c r="G558" s="44" t="n">
        <f aca="false">IF(OR($E558="",$F558=""),0,$E558*$F558)</f>
        <v>0</v>
      </c>
      <c r="H558" s="44" t="n">
        <f aca="false">IF($A558="",0,SUMIFS($G$8:$G$1007,$C$8:$C$1007,$C558,$A$8:$A$1007,"&gt;="&amp;$A558-6,$A$8:$A$1007,"&lt;="&amp;$A558))</f>
        <v>0</v>
      </c>
      <c r="I558" s="44" t="n">
        <f aca="false">IF($A558="",0,SUMIFS($G$8:$G$1007,$C$8:$C$1007,$C558,$A$8:$A$1007,"&gt;="&amp;$A558-27,$A$8:$A$1007,"&lt;="&amp;$A558)/4)</f>
        <v>0</v>
      </c>
      <c r="J558" s="144" t="n">
        <f aca="false">IF(OR($A558="",$I558=0),0,$H558/$I558)</f>
        <v>0</v>
      </c>
      <c r="K558" s="40" t="n">
        <f aca="false">IF($A558="",0,$A558-SUMPRODUCT(MIN(($C$8:$C$1007=$C558)*$A$8:$A$1007+($C$8:$C$1007&lt;&gt;$C558)*100000))+1)</f>
        <v>0</v>
      </c>
      <c r="L558" s="26" t="str">
        <f aca="false">IF($A558="","",IF($J558=0,"Sem registro anterior",IF($K558&lt;21,"Histórico insuficiente",IF($J558&lt;0.8,"Subcarga",IF($J558&lt;=1.3,"Zona ideal",IF($J558&lt;=1.5,"Atenção","Risco elevado"))))))</f>
        <v/>
      </c>
      <c r="M558" s="27"/>
    </row>
    <row r="559" customFormat="false" ht="15" hidden="false" customHeight="false" outlineLevel="0" collapsed="false">
      <c r="A559" s="29"/>
      <c r="B559" s="40" t="n">
        <f aca="false">IF($A559="",0,INT(($A559-Macrociclo!$C$11)/7)+1)</f>
        <v>0</v>
      </c>
      <c r="C559" s="27"/>
      <c r="D559" s="27"/>
      <c r="E559" s="28"/>
      <c r="F559" s="28"/>
      <c r="G559" s="44" t="n">
        <f aca="false">IF(OR($E559="",$F559=""),0,$E559*$F559)</f>
        <v>0</v>
      </c>
      <c r="H559" s="44" t="n">
        <f aca="false">IF($A559="",0,SUMIFS($G$8:$G$1007,$C$8:$C$1007,$C559,$A$8:$A$1007,"&gt;="&amp;$A559-6,$A$8:$A$1007,"&lt;="&amp;$A559))</f>
        <v>0</v>
      </c>
      <c r="I559" s="44" t="n">
        <f aca="false">IF($A559="",0,SUMIFS($G$8:$G$1007,$C$8:$C$1007,$C559,$A$8:$A$1007,"&gt;="&amp;$A559-27,$A$8:$A$1007,"&lt;="&amp;$A559)/4)</f>
        <v>0</v>
      </c>
      <c r="J559" s="144" t="n">
        <f aca="false">IF(OR($A559="",$I559=0),0,$H559/$I559)</f>
        <v>0</v>
      </c>
      <c r="K559" s="40" t="n">
        <f aca="false">IF($A559="",0,$A559-SUMPRODUCT(MIN(($C$8:$C$1007=$C559)*$A$8:$A$1007+($C$8:$C$1007&lt;&gt;$C559)*100000))+1)</f>
        <v>0</v>
      </c>
      <c r="L559" s="26" t="str">
        <f aca="false">IF($A559="","",IF($J559=0,"Sem registro anterior",IF($K559&lt;21,"Histórico insuficiente",IF($J559&lt;0.8,"Subcarga",IF($J559&lt;=1.3,"Zona ideal",IF($J559&lt;=1.5,"Atenção","Risco elevado"))))))</f>
        <v/>
      </c>
      <c r="M559" s="27"/>
    </row>
    <row r="560" customFormat="false" ht="15" hidden="false" customHeight="false" outlineLevel="0" collapsed="false">
      <c r="A560" s="29"/>
      <c r="B560" s="40" t="n">
        <f aca="false">IF($A560="",0,INT(($A560-Macrociclo!$C$11)/7)+1)</f>
        <v>0</v>
      </c>
      <c r="C560" s="27"/>
      <c r="D560" s="27"/>
      <c r="E560" s="28"/>
      <c r="F560" s="28"/>
      <c r="G560" s="44" t="n">
        <f aca="false">IF(OR($E560="",$F560=""),0,$E560*$F560)</f>
        <v>0</v>
      </c>
      <c r="H560" s="44" t="n">
        <f aca="false">IF($A560="",0,SUMIFS($G$8:$G$1007,$C$8:$C$1007,$C560,$A$8:$A$1007,"&gt;="&amp;$A560-6,$A$8:$A$1007,"&lt;="&amp;$A560))</f>
        <v>0</v>
      </c>
      <c r="I560" s="44" t="n">
        <f aca="false">IF($A560="",0,SUMIFS($G$8:$G$1007,$C$8:$C$1007,$C560,$A$8:$A$1007,"&gt;="&amp;$A560-27,$A$8:$A$1007,"&lt;="&amp;$A560)/4)</f>
        <v>0</v>
      </c>
      <c r="J560" s="144" t="n">
        <f aca="false">IF(OR($A560="",$I560=0),0,$H560/$I560)</f>
        <v>0</v>
      </c>
      <c r="K560" s="40" t="n">
        <f aca="false">IF($A560="",0,$A560-SUMPRODUCT(MIN(($C$8:$C$1007=$C560)*$A$8:$A$1007+($C$8:$C$1007&lt;&gt;$C560)*100000))+1)</f>
        <v>0</v>
      </c>
      <c r="L560" s="26" t="str">
        <f aca="false">IF($A560="","",IF($J560=0,"Sem registro anterior",IF($K560&lt;21,"Histórico insuficiente",IF($J560&lt;0.8,"Subcarga",IF($J560&lt;=1.3,"Zona ideal",IF($J560&lt;=1.5,"Atenção","Risco elevado"))))))</f>
        <v/>
      </c>
      <c r="M560" s="27"/>
    </row>
    <row r="561" customFormat="false" ht="15" hidden="false" customHeight="false" outlineLevel="0" collapsed="false">
      <c r="A561" s="29"/>
      <c r="B561" s="40" t="n">
        <f aca="false">IF($A561="",0,INT(($A561-Macrociclo!$C$11)/7)+1)</f>
        <v>0</v>
      </c>
      <c r="C561" s="27"/>
      <c r="D561" s="27"/>
      <c r="E561" s="28"/>
      <c r="F561" s="28"/>
      <c r="G561" s="44" t="n">
        <f aca="false">IF(OR($E561="",$F561=""),0,$E561*$F561)</f>
        <v>0</v>
      </c>
      <c r="H561" s="44" t="n">
        <f aca="false">IF($A561="",0,SUMIFS($G$8:$G$1007,$C$8:$C$1007,$C561,$A$8:$A$1007,"&gt;="&amp;$A561-6,$A$8:$A$1007,"&lt;="&amp;$A561))</f>
        <v>0</v>
      </c>
      <c r="I561" s="44" t="n">
        <f aca="false">IF($A561="",0,SUMIFS($G$8:$G$1007,$C$8:$C$1007,$C561,$A$8:$A$1007,"&gt;="&amp;$A561-27,$A$8:$A$1007,"&lt;="&amp;$A561)/4)</f>
        <v>0</v>
      </c>
      <c r="J561" s="144" t="n">
        <f aca="false">IF(OR($A561="",$I561=0),0,$H561/$I561)</f>
        <v>0</v>
      </c>
      <c r="K561" s="40" t="n">
        <f aca="false">IF($A561="",0,$A561-SUMPRODUCT(MIN(($C$8:$C$1007=$C561)*$A$8:$A$1007+($C$8:$C$1007&lt;&gt;$C561)*100000))+1)</f>
        <v>0</v>
      </c>
      <c r="L561" s="26" t="str">
        <f aca="false">IF($A561="","",IF($J561=0,"Sem registro anterior",IF($K561&lt;21,"Histórico insuficiente",IF($J561&lt;0.8,"Subcarga",IF($J561&lt;=1.3,"Zona ideal",IF($J561&lt;=1.5,"Atenção","Risco elevado"))))))</f>
        <v/>
      </c>
      <c r="M561" s="27"/>
    </row>
    <row r="562" customFormat="false" ht="15" hidden="false" customHeight="false" outlineLevel="0" collapsed="false">
      <c r="A562" s="29"/>
      <c r="B562" s="40" t="n">
        <f aca="false">IF($A562="",0,INT(($A562-Macrociclo!$C$11)/7)+1)</f>
        <v>0</v>
      </c>
      <c r="C562" s="27"/>
      <c r="D562" s="27"/>
      <c r="E562" s="28"/>
      <c r="F562" s="28"/>
      <c r="G562" s="44" t="n">
        <f aca="false">IF(OR($E562="",$F562=""),0,$E562*$F562)</f>
        <v>0</v>
      </c>
      <c r="H562" s="44" t="n">
        <f aca="false">IF($A562="",0,SUMIFS($G$8:$G$1007,$C$8:$C$1007,$C562,$A$8:$A$1007,"&gt;="&amp;$A562-6,$A$8:$A$1007,"&lt;="&amp;$A562))</f>
        <v>0</v>
      </c>
      <c r="I562" s="44" t="n">
        <f aca="false">IF($A562="",0,SUMIFS($G$8:$G$1007,$C$8:$C$1007,$C562,$A$8:$A$1007,"&gt;="&amp;$A562-27,$A$8:$A$1007,"&lt;="&amp;$A562)/4)</f>
        <v>0</v>
      </c>
      <c r="J562" s="144" t="n">
        <f aca="false">IF(OR($A562="",$I562=0),0,$H562/$I562)</f>
        <v>0</v>
      </c>
      <c r="K562" s="40" t="n">
        <f aca="false">IF($A562="",0,$A562-SUMPRODUCT(MIN(($C$8:$C$1007=$C562)*$A$8:$A$1007+($C$8:$C$1007&lt;&gt;$C562)*100000))+1)</f>
        <v>0</v>
      </c>
      <c r="L562" s="26" t="str">
        <f aca="false">IF($A562="","",IF($J562=0,"Sem registro anterior",IF($K562&lt;21,"Histórico insuficiente",IF($J562&lt;0.8,"Subcarga",IF($J562&lt;=1.3,"Zona ideal",IF($J562&lt;=1.5,"Atenção","Risco elevado"))))))</f>
        <v/>
      </c>
      <c r="M562" s="27"/>
    </row>
    <row r="563" customFormat="false" ht="15" hidden="false" customHeight="false" outlineLevel="0" collapsed="false">
      <c r="A563" s="29"/>
      <c r="B563" s="40" t="n">
        <f aca="false">IF($A563="",0,INT(($A563-Macrociclo!$C$11)/7)+1)</f>
        <v>0</v>
      </c>
      <c r="C563" s="27"/>
      <c r="D563" s="27"/>
      <c r="E563" s="28"/>
      <c r="F563" s="28"/>
      <c r="G563" s="44" t="n">
        <f aca="false">IF(OR($E563="",$F563=""),0,$E563*$F563)</f>
        <v>0</v>
      </c>
      <c r="H563" s="44" t="n">
        <f aca="false">IF($A563="",0,SUMIFS($G$8:$G$1007,$C$8:$C$1007,$C563,$A$8:$A$1007,"&gt;="&amp;$A563-6,$A$8:$A$1007,"&lt;="&amp;$A563))</f>
        <v>0</v>
      </c>
      <c r="I563" s="44" t="n">
        <f aca="false">IF($A563="",0,SUMIFS($G$8:$G$1007,$C$8:$C$1007,$C563,$A$8:$A$1007,"&gt;="&amp;$A563-27,$A$8:$A$1007,"&lt;="&amp;$A563)/4)</f>
        <v>0</v>
      </c>
      <c r="J563" s="144" t="n">
        <f aca="false">IF(OR($A563="",$I563=0),0,$H563/$I563)</f>
        <v>0</v>
      </c>
      <c r="K563" s="40" t="n">
        <f aca="false">IF($A563="",0,$A563-SUMPRODUCT(MIN(($C$8:$C$1007=$C563)*$A$8:$A$1007+($C$8:$C$1007&lt;&gt;$C563)*100000))+1)</f>
        <v>0</v>
      </c>
      <c r="L563" s="26" t="str">
        <f aca="false">IF($A563="","",IF($J563=0,"Sem registro anterior",IF($K563&lt;21,"Histórico insuficiente",IF($J563&lt;0.8,"Subcarga",IF($J563&lt;=1.3,"Zona ideal",IF($J563&lt;=1.5,"Atenção","Risco elevado"))))))</f>
        <v/>
      </c>
      <c r="M563" s="27"/>
    </row>
    <row r="564" customFormat="false" ht="15" hidden="false" customHeight="false" outlineLevel="0" collapsed="false">
      <c r="A564" s="29"/>
      <c r="B564" s="40" t="n">
        <f aca="false">IF($A564="",0,INT(($A564-Macrociclo!$C$11)/7)+1)</f>
        <v>0</v>
      </c>
      <c r="C564" s="27"/>
      <c r="D564" s="27"/>
      <c r="E564" s="28"/>
      <c r="F564" s="28"/>
      <c r="G564" s="44" t="n">
        <f aca="false">IF(OR($E564="",$F564=""),0,$E564*$F564)</f>
        <v>0</v>
      </c>
      <c r="H564" s="44" t="n">
        <f aca="false">IF($A564="",0,SUMIFS($G$8:$G$1007,$C$8:$C$1007,$C564,$A$8:$A$1007,"&gt;="&amp;$A564-6,$A$8:$A$1007,"&lt;="&amp;$A564))</f>
        <v>0</v>
      </c>
      <c r="I564" s="44" t="n">
        <f aca="false">IF($A564="",0,SUMIFS($G$8:$G$1007,$C$8:$C$1007,$C564,$A$8:$A$1007,"&gt;="&amp;$A564-27,$A$8:$A$1007,"&lt;="&amp;$A564)/4)</f>
        <v>0</v>
      </c>
      <c r="J564" s="144" t="n">
        <f aca="false">IF(OR($A564="",$I564=0),0,$H564/$I564)</f>
        <v>0</v>
      </c>
      <c r="K564" s="40" t="n">
        <f aca="false">IF($A564="",0,$A564-SUMPRODUCT(MIN(($C$8:$C$1007=$C564)*$A$8:$A$1007+($C$8:$C$1007&lt;&gt;$C564)*100000))+1)</f>
        <v>0</v>
      </c>
      <c r="L564" s="26" t="str">
        <f aca="false">IF($A564="","",IF($J564=0,"Sem registro anterior",IF($K564&lt;21,"Histórico insuficiente",IF($J564&lt;0.8,"Subcarga",IF($J564&lt;=1.3,"Zona ideal",IF($J564&lt;=1.5,"Atenção","Risco elevado"))))))</f>
        <v/>
      </c>
      <c r="M564" s="27"/>
    </row>
    <row r="565" customFormat="false" ht="15" hidden="false" customHeight="false" outlineLevel="0" collapsed="false">
      <c r="A565" s="29"/>
      <c r="B565" s="40" t="n">
        <f aca="false">IF($A565="",0,INT(($A565-Macrociclo!$C$11)/7)+1)</f>
        <v>0</v>
      </c>
      <c r="C565" s="27"/>
      <c r="D565" s="27"/>
      <c r="E565" s="28"/>
      <c r="F565" s="28"/>
      <c r="G565" s="44" t="n">
        <f aca="false">IF(OR($E565="",$F565=""),0,$E565*$F565)</f>
        <v>0</v>
      </c>
      <c r="H565" s="44" t="n">
        <f aca="false">IF($A565="",0,SUMIFS($G$8:$G$1007,$C$8:$C$1007,$C565,$A$8:$A$1007,"&gt;="&amp;$A565-6,$A$8:$A$1007,"&lt;="&amp;$A565))</f>
        <v>0</v>
      </c>
      <c r="I565" s="44" t="n">
        <f aca="false">IF($A565="",0,SUMIFS($G$8:$G$1007,$C$8:$C$1007,$C565,$A$8:$A$1007,"&gt;="&amp;$A565-27,$A$8:$A$1007,"&lt;="&amp;$A565)/4)</f>
        <v>0</v>
      </c>
      <c r="J565" s="144" t="n">
        <f aca="false">IF(OR($A565="",$I565=0),0,$H565/$I565)</f>
        <v>0</v>
      </c>
      <c r="K565" s="40" t="n">
        <f aca="false">IF($A565="",0,$A565-SUMPRODUCT(MIN(($C$8:$C$1007=$C565)*$A$8:$A$1007+($C$8:$C$1007&lt;&gt;$C565)*100000))+1)</f>
        <v>0</v>
      </c>
      <c r="L565" s="26" t="str">
        <f aca="false">IF($A565="","",IF($J565=0,"Sem registro anterior",IF($K565&lt;21,"Histórico insuficiente",IF($J565&lt;0.8,"Subcarga",IF($J565&lt;=1.3,"Zona ideal",IF($J565&lt;=1.5,"Atenção","Risco elevado"))))))</f>
        <v/>
      </c>
      <c r="M565" s="27"/>
    </row>
    <row r="566" customFormat="false" ht="15" hidden="false" customHeight="false" outlineLevel="0" collapsed="false">
      <c r="A566" s="29"/>
      <c r="B566" s="40" t="n">
        <f aca="false">IF($A566="",0,INT(($A566-Macrociclo!$C$11)/7)+1)</f>
        <v>0</v>
      </c>
      <c r="C566" s="27"/>
      <c r="D566" s="27"/>
      <c r="E566" s="28"/>
      <c r="F566" s="28"/>
      <c r="G566" s="44" t="n">
        <f aca="false">IF(OR($E566="",$F566=""),0,$E566*$F566)</f>
        <v>0</v>
      </c>
      <c r="H566" s="44" t="n">
        <f aca="false">IF($A566="",0,SUMIFS($G$8:$G$1007,$C$8:$C$1007,$C566,$A$8:$A$1007,"&gt;="&amp;$A566-6,$A$8:$A$1007,"&lt;="&amp;$A566))</f>
        <v>0</v>
      </c>
      <c r="I566" s="44" t="n">
        <f aca="false">IF($A566="",0,SUMIFS($G$8:$G$1007,$C$8:$C$1007,$C566,$A$8:$A$1007,"&gt;="&amp;$A566-27,$A$8:$A$1007,"&lt;="&amp;$A566)/4)</f>
        <v>0</v>
      </c>
      <c r="J566" s="144" t="n">
        <f aca="false">IF(OR($A566="",$I566=0),0,$H566/$I566)</f>
        <v>0</v>
      </c>
      <c r="K566" s="40" t="n">
        <f aca="false">IF($A566="",0,$A566-SUMPRODUCT(MIN(($C$8:$C$1007=$C566)*$A$8:$A$1007+($C$8:$C$1007&lt;&gt;$C566)*100000))+1)</f>
        <v>0</v>
      </c>
      <c r="L566" s="26" t="str">
        <f aca="false">IF($A566="","",IF($J566=0,"Sem registro anterior",IF($K566&lt;21,"Histórico insuficiente",IF($J566&lt;0.8,"Subcarga",IF($J566&lt;=1.3,"Zona ideal",IF($J566&lt;=1.5,"Atenção","Risco elevado"))))))</f>
        <v/>
      </c>
      <c r="M566" s="27"/>
    </row>
    <row r="567" customFormat="false" ht="15" hidden="false" customHeight="false" outlineLevel="0" collapsed="false">
      <c r="A567" s="29"/>
      <c r="B567" s="40" t="n">
        <f aca="false">IF($A567="",0,INT(($A567-Macrociclo!$C$11)/7)+1)</f>
        <v>0</v>
      </c>
      <c r="C567" s="27"/>
      <c r="D567" s="27"/>
      <c r="E567" s="28"/>
      <c r="F567" s="28"/>
      <c r="G567" s="44" t="n">
        <f aca="false">IF(OR($E567="",$F567=""),0,$E567*$F567)</f>
        <v>0</v>
      </c>
      <c r="H567" s="44" t="n">
        <f aca="false">IF($A567="",0,SUMIFS($G$8:$G$1007,$C$8:$C$1007,$C567,$A$8:$A$1007,"&gt;="&amp;$A567-6,$A$8:$A$1007,"&lt;="&amp;$A567))</f>
        <v>0</v>
      </c>
      <c r="I567" s="44" t="n">
        <f aca="false">IF($A567="",0,SUMIFS($G$8:$G$1007,$C$8:$C$1007,$C567,$A$8:$A$1007,"&gt;="&amp;$A567-27,$A$8:$A$1007,"&lt;="&amp;$A567)/4)</f>
        <v>0</v>
      </c>
      <c r="J567" s="144" t="n">
        <f aca="false">IF(OR($A567="",$I567=0),0,$H567/$I567)</f>
        <v>0</v>
      </c>
      <c r="K567" s="40" t="n">
        <f aca="false">IF($A567="",0,$A567-SUMPRODUCT(MIN(($C$8:$C$1007=$C567)*$A$8:$A$1007+($C$8:$C$1007&lt;&gt;$C567)*100000))+1)</f>
        <v>0</v>
      </c>
      <c r="L567" s="26" t="str">
        <f aca="false">IF($A567="","",IF($J567=0,"Sem registro anterior",IF($K567&lt;21,"Histórico insuficiente",IF($J567&lt;0.8,"Subcarga",IF($J567&lt;=1.3,"Zona ideal",IF($J567&lt;=1.5,"Atenção","Risco elevado"))))))</f>
        <v/>
      </c>
      <c r="M567" s="27"/>
    </row>
    <row r="568" customFormat="false" ht="15" hidden="false" customHeight="false" outlineLevel="0" collapsed="false">
      <c r="A568" s="29"/>
      <c r="B568" s="40" t="n">
        <f aca="false">IF($A568="",0,INT(($A568-Macrociclo!$C$11)/7)+1)</f>
        <v>0</v>
      </c>
      <c r="C568" s="27"/>
      <c r="D568" s="27"/>
      <c r="E568" s="28"/>
      <c r="F568" s="28"/>
      <c r="G568" s="44" t="n">
        <f aca="false">IF(OR($E568="",$F568=""),0,$E568*$F568)</f>
        <v>0</v>
      </c>
      <c r="H568" s="44" t="n">
        <f aca="false">IF($A568="",0,SUMIFS($G$8:$G$1007,$C$8:$C$1007,$C568,$A$8:$A$1007,"&gt;="&amp;$A568-6,$A$8:$A$1007,"&lt;="&amp;$A568))</f>
        <v>0</v>
      </c>
      <c r="I568" s="44" t="n">
        <f aca="false">IF($A568="",0,SUMIFS($G$8:$G$1007,$C$8:$C$1007,$C568,$A$8:$A$1007,"&gt;="&amp;$A568-27,$A$8:$A$1007,"&lt;="&amp;$A568)/4)</f>
        <v>0</v>
      </c>
      <c r="J568" s="144" t="n">
        <f aca="false">IF(OR($A568="",$I568=0),0,$H568/$I568)</f>
        <v>0</v>
      </c>
      <c r="K568" s="40" t="n">
        <f aca="false">IF($A568="",0,$A568-SUMPRODUCT(MIN(($C$8:$C$1007=$C568)*$A$8:$A$1007+($C$8:$C$1007&lt;&gt;$C568)*100000))+1)</f>
        <v>0</v>
      </c>
      <c r="L568" s="26" t="str">
        <f aca="false">IF($A568="","",IF($J568=0,"Sem registro anterior",IF($K568&lt;21,"Histórico insuficiente",IF($J568&lt;0.8,"Subcarga",IF($J568&lt;=1.3,"Zona ideal",IF($J568&lt;=1.5,"Atenção","Risco elevado"))))))</f>
        <v/>
      </c>
      <c r="M568" s="27"/>
    </row>
    <row r="569" customFormat="false" ht="15" hidden="false" customHeight="false" outlineLevel="0" collapsed="false">
      <c r="A569" s="29"/>
      <c r="B569" s="40" t="n">
        <f aca="false">IF($A569="",0,INT(($A569-Macrociclo!$C$11)/7)+1)</f>
        <v>0</v>
      </c>
      <c r="C569" s="27"/>
      <c r="D569" s="27"/>
      <c r="E569" s="28"/>
      <c r="F569" s="28"/>
      <c r="G569" s="44" t="n">
        <f aca="false">IF(OR($E569="",$F569=""),0,$E569*$F569)</f>
        <v>0</v>
      </c>
      <c r="H569" s="44" t="n">
        <f aca="false">IF($A569="",0,SUMIFS($G$8:$G$1007,$C$8:$C$1007,$C569,$A$8:$A$1007,"&gt;="&amp;$A569-6,$A$8:$A$1007,"&lt;="&amp;$A569))</f>
        <v>0</v>
      </c>
      <c r="I569" s="44" t="n">
        <f aca="false">IF($A569="",0,SUMIFS($G$8:$G$1007,$C$8:$C$1007,$C569,$A$8:$A$1007,"&gt;="&amp;$A569-27,$A$8:$A$1007,"&lt;="&amp;$A569)/4)</f>
        <v>0</v>
      </c>
      <c r="J569" s="144" t="n">
        <f aca="false">IF(OR($A569="",$I569=0),0,$H569/$I569)</f>
        <v>0</v>
      </c>
      <c r="K569" s="40" t="n">
        <f aca="false">IF($A569="",0,$A569-SUMPRODUCT(MIN(($C$8:$C$1007=$C569)*$A$8:$A$1007+($C$8:$C$1007&lt;&gt;$C569)*100000))+1)</f>
        <v>0</v>
      </c>
      <c r="L569" s="26" t="str">
        <f aca="false">IF($A569="","",IF($J569=0,"Sem registro anterior",IF($K569&lt;21,"Histórico insuficiente",IF($J569&lt;0.8,"Subcarga",IF($J569&lt;=1.3,"Zona ideal",IF($J569&lt;=1.5,"Atenção","Risco elevado"))))))</f>
        <v/>
      </c>
      <c r="M569" s="27"/>
    </row>
    <row r="570" customFormat="false" ht="15" hidden="false" customHeight="false" outlineLevel="0" collapsed="false">
      <c r="A570" s="29"/>
      <c r="B570" s="40" t="n">
        <f aca="false">IF($A570="",0,INT(($A570-Macrociclo!$C$11)/7)+1)</f>
        <v>0</v>
      </c>
      <c r="C570" s="27"/>
      <c r="D570" s="27"/>
      <c r="E570" s="28"/>
      <c r="F570" s="28"/>
      <c r="G570" s="44" t="n">
        <f aca="false">IF(OR($E570="",$F570=""),0,$E570*$F570)</f>
        <v>0</v>
      </c>
      <c r="H570" s="44" t="n">
        <f aca="false">IF($A570="",0,SUMIFS($G$8:$G$1007,$C$8:$C$1007,$C570,$A$8:$A$1007,"&gt;="&amp;$A570-6,$A$8:$A$1007,"&lt;="&amp;$A570))</f>
        <v>0</v>
      </c>
      <c r="I570" s="44" t="n">
        <f aca="false">IF($A570="",0,SUMIFS($G$8:$G$1007,$C$8:$C$1007,$C570,$A$8:$A$1007,"&gt;="&amp;$A570-27,$A$8:$A$1007,"&lt;="&amp;$A570)/4)</f>
        <v>0</v>
      </c>
      <c r="J570" s="144" t="n">
        <f aca="false">IF(OR($A570="",$I570=0),0,$H570/$I570)</f>
        <v>0</v>
      </c>
      <c r="K570" s="40" t="n">
        <f aca="false">IF($A570="",0,$A570-SUMPRODUCT(MIN(($C$8:$C$1007=$C570)*$A$8:$A$1007+($C$8:$C$1007&lt;&gt;$C570)*100000))+1)</f>
        <v>0</v>
      </c>
      <c r="L570" s="26" t="str">
        <f aca="false">IF($A570="","",IF($J570=0,"Sem registro anterior",IF($K570&lt;21,"Histórico insuficiente",IF($J570&lt;0.8,"Subcarga",IF($J570&lt;=1.3,"Zona ideal",IF($J570&lt;=1.5,"Atenção","Risco elevado"))))))</f>
        <v/>
      </c>
      <c r="M570" s="27"/>
    </row>
    <row r="571" customFormat="false" ht="15" hidden="false" customHeight="false" outlineLevel="0" collapsed="false">
      <c r="A571" s="29"/>
      <c r="B571" s="40" t="n">
        <f aca="false">IF($A571="",0,INT(($A571-Macrociclo!$C$11)/7)+1)</f>
        <v>0</v>
      </c>
      <c r="C571" s="27"/>
      <c r="D571" s="27"/>
      <c r="E571" s="28"/>
      <c r="F571" s="28"/>
      <c r="G571" s="44" t="n">
        <f aca="false">IF(OR($E571="",$F571=""),0,$E571*$F571)</f>
        <v>0</v>
      </c>
      <c r="H571" s="44" t="n">
        <f aca="false">IF($A571="",0,SUMIFS($G$8:$G$1007,$C$8:$C$1007,$C571,$A$8:$A$1007,"&gt;="&amp;$A571-6,$A$8:$A$1007,"&lt;="&amp;$A571))</f>
        <v>0</v>
      </c>
      <c r="I571" s="44" t="n">
        <f aca="false">IF($A571="",0,SUMIFS($G$8:$G$1007,$C$8:$C$1007,$C571,$A$8:$A$1007,"&gt;="&amp;$A571-27,$A$8:$A$1007,"&lt;="&amp;$A571)/4)</f>
        <v>0</v>
      </c>
      <c r="J571" s="144" t="n">
        <f aca="false">IF(OR($A571="",$I571=0),0,$H571/$I571)</f>
        <v>0</v>
      </c>
      <c r="K571" s="40" t="n">
        <f aca="false">IF($A571="",0,$A571-SUMPRODUCT(MIN(($C$8:$C$1007=$C571)*$A$8:$A$1007+($C$8:$C$1007&lt;&gt;$C571)*100000))+1)</f>
        <v>0</v>
      </c>
      <c r="L571" s="26" t="str">
        <f aca="false">IF($A571="","",IF($J571=0,"Sem registro anterior",IF($K571&lt;21,"Histórico insuficiente",IF($J571&lt;0.8,"Subcarga",IF($J571&lt;=1.3,"Zona ideal",IF($J571&lt;=1.5,"Atenção","Risco elevado"))))))</f>
        <v/>
      </c>
      <c r="M571" s="27"/>
    </row>
    <row r="572" customFormat="false" ht="15" hidden="false" customHeight="false" outlineLevel="0" collapsed="false">
      <c r="A572" s="29"/>
      <c r="B572" s="40" t="n">
        <f aca="false">IF($A572="",0,INT(($A572-Macrociclo!$C$11)/7)+1)</f>
        <v>0</v>
      </c>
      <c r="C572" s="27"/>
      <c r="D572" s="27"/>
      <c r="E572" s="28"/>
      <c r="F572" s="28"/>
      <c r="G572" s="44" t="n">
        <f aca="false">IF(OR($E572="",$F572=""),0,$E572*$F572)</f>
        <v>0</v>
      </c>
      <c r="H572" s="44" t="n">
        <f aca="false">IF($A572="",0,SUMIFS($G$8:$G$1007,$C$8:$C$1007,$C572,$A$8:$A$1007,"&gt;="&amp;$A572-6,$A$8:$A$1007,"&lt;="&amp;$A572))</f>
        <v>0</v>
      </c>
      <c r="I572" s="44" t="n">
        <f aca="false">IF($A572="",0,SUMIFS($G$8:$G$1007,$C$8:$C$1007,$C572,$A$8:$A$1007,"&gt;="&amp;$A572-27,$A$8:$A$1007,"&lt;="&amp;$A572)/4)</f>
        <v>0</v>
      </c>
      <c r="J572" s="144" t="n">
        <f aca="false">IF(OR($A572="",$I572=0),0,$H572/$I572)</f>
        <v>0</v>
      </c>
      <c r="K572" s="40" t="n">
        <f aca="false">IF($A572="",0,$A572-SUMPRODUCT(MIN(($C$8:$C$1007=$C572)*$A$8:$A$1007+($C$8:$C$1007&lt;&gt;$C572)*100000))+1)</f>
        <v>0</v>
      </c>
      <c r="L572" s="26" t="str">
        <f aca="false">IF($A572="","",IF($J572=0,"Sem registro anterior",IF($K572&lt;21,"Histórico insuficiente",IF($J572&lt;0.8,"Subcarga",IF($J572&lt;=1.3,"Zona ideal",IF($J572&lt;=1.5,"Atenção","Risco elevado"))))))</f>
        <v/>
      </c>
      <c r="M572" s="27"/>
    </row>
    <row r="573" customFormat="false" ht="15" hidden="false" customHeight="false" outlineLevel="0" collapsed="false">
      <c r="A573" s="29"/>
      <c r="B573" s="40" t="n">
        <f aca="false">IF($A573="",0,INT(($A573-Macrociclo!$C$11)/7)+1)</f>
        <v>0</v>
      </c>
      <c r="C573" s="27"/>
      <c r="D573" s="27"/>
      <c r="E573" s="28"/>
      <c r="F573" s="28"/>
      <c r="G573" s="44" t="n">
        <f aca="false">IF(OR($E573="",$F573=""),0,$E573*$F573)</f>
        <v>0</v>
      </c>
      <c r="H573" s="44" t="n">
        <f aca="false">IF($A573="",0,SUMIFS($G$8:$G$1007,$C$8:$C$1007,$C573,$A$8:$A$1007,"&gt;="&amp;$A573-6,$A$8:$A$1007,"&lt;="&amp;$A573))</f>
        <v>0</v>
      </c>
      <c r="I573" s="44" t="n">
        <f aca="false">IF($A573="",0,SUMIFS($G$8:$G$1007,$C$8:$C$1007,$C573,$A$8:$A$1007,"&gt;="&amp;$A573-27,$A$8:$A$1007,"&lt;="&amp;$A573)/4)</f>
        <v>0</v>
      </c>
      <c r="J573" s="144" t="n">
        <f aca="false">IF(OR($A573="",$I573=0),0,$H573/$I573)</f>
        <v>0</v>
      </c>
      <c r="K573" s="40" t="n">
        <f aca="false">IF($A573="",0,$A573-SUMPRODUCT(MIN(($C$8:$C$1007=$C573)*$A$8:$A$1007+($C$8:$C$1007&lt;&gt;$C573)*100000))+1)</f>
        <v>0</v>
      </c>
      <c r="L573" s="26" t="str">
        <f aca="false">IF($A573="","",IF($J573=0,"Sem registro anterior",IF($K573&lt;21,"Histórico insuficiente",IF($J573&lt;0.8,"Subcarga",IF($J573&lt;=1.3,"Zona ideal",IF($J573&lt;=1.5,"Atenção","Risco elevado"))))))</f>
        <v/>
      </c>
      <c r="M573" s="27"/>
    </row>
    <row r="574" customFormat="false" ht="15" hidden="false" customHeight="false" outlineLevel="0" collapsed="false">
      <c r="A574" s="29"/>
      <c r="B574" s="40" t="n">
        <f aca="false">IF($A574="",0,INT(($A574-Macrociclo!$C$11)/7)+1)</f>
        <v>0</v>
      </c>
      <c r="C574" s="27"/>
      <c r="D574" s="27"/>
      <c r="E574" s="28"/>
      <c r="F574" s="28"/>
      <c r="G574" s="44" t="n">
        <f aca="false">IF(OR($E574="",$F574=""),0,$E574*$F574)</f>
        <v>0</v>
      </c>
      <c r="H574" s="44" t="n">
        <f aca="false">IF($A574="",0,SUMIFS($G$8:$G$1007,$C$8:$C$1007,$C574,$A$8:$A$1007,"&gt;="&amp;$A574-6,$A$8:$A$1007,"&lt;="&amp;$A574))</f>
        <v>0</v>
      </c>
      <c r="I574" s="44" t="n">
        <f aca="false">IF($A574="",0,SUMIFS($G$8:$G$1007,$C$8:$C$1007,$C574,$A$8:$A$1007,"&gt;="&amp;$A574-27,$A$8:$A$1007,"&lt;="&amp;$A574)/4)</f>
        <v>0</v>
      </c>
      <c r="J574" s="144" t="n">
        <f aca="false">IF(OR($A574="",$I574=0),0,$H574/$I574)</f>
        <v>0</v>
      </c>
      <c r="K574" s="40" t="n">
        <f aca="false">IF($A574="",0,$A574-SUMPRODUCT(MIN(($C$8:$C$1007=$C574)*$A$8:$A$1007+($C$8:$C$1007&lt;&gt;$C574)*100000))+1)</f>
        <v>0</v>
      </c>
      <c r="L574" s="26" t="str">
        <f aca="false">IF($A574="","",IF($J574=0,"Sem registro anterior",IF($K574&lt;21,"Histórico insuficiente",IF($J574&lt;0.8,"Subcarga",IF($J574&lt;=1.3,"Zona ideal",IF($J574&lt;=1.5,"Atenção","Risco elevado"))))))</f>
        <v/>
      </c>
      <c r="M574" s="27"/>
    </row>
    <row r="575" customFormat="false" ht="15" hidden="false" customHeight="false" outlineLevel="0" collapsed="false">
      <c r="A575" s="29"/>
      <c r="B575" s="40" t="n">
        <f aca="false">IF($A575="",0,INT(($A575-Macrociclo!$C$11)/7)+1)</f>
        <v>0</v>
      </c>
      <c r="C575" s="27"/>
      <c r="D575" s="27"/>
      <c r="E575" s="28"/>
      <c r="F575" s="28"/>
      <c r="G575" s="44" t="n">
        <f aca="false">IF(OR($E575="",$F575=""),0,$E575*$F575)</f>
        <v>0</v>
      </c>
      <c r="H575" s="44" t="n">
        <f aca="false">IF($A575="",0,SUMIFS($G$8:$G$1007,$C$8:$C$1007,$C575,$A$8:$A$1007,"&gt;="&amp;$A575-6,$A$8:$A$1007,"&lt;="&amp;$A575))</f>
        <v>0</v>
      </c>
      <c r="I575" s="44" t="n">
        <f aca="false">IF($A575="",0,SUMIFS($G$8:$G$1007,$C$8:$C$1007,$C575,$A$8:$A$1007,"&gt;="&amp;$A575-27,$A$8:$A$1007,"&lt;="&amp;$A575)/4)</f>
        <v>0</v>
      </c>
      <c r="J575" s="144" t="n">
        <f aca="false">IF(OR($A575="",$I575=0),0,$H575/$I575)</f>
        <v>0</v>
      </c>
      <c r="K575" s="40" t="n">
        <f aca="false">IF($A575="",0,$A575-SUMPRODUCT(MIN(($C$8:$C$1007=$C575)*$A$8:$A$1007+($C$8:$C$1007&lt;&gt;$C575)*100000))+1)</f>
        <v>0</v>
      </c>
      <c r="L575" s="26" t="str">
        <f aca="false">IF($A575="","",IF($J575=0,"Sem registro anterior",IF($K575&lt;21,"Histórico insuficiente",IF($J575&lt;0.8,"Subcarga",IF($J575&lt;=1.3,"Zona ideal",IF($J575&lt;=1.5,"Atenção","Risco elevado"))))))</f>
        <v/>
      </c>
      <c r="M575" s="27"/>
    </row>
    <row r="576" customFormat="false" ht="15" hidden="false" customHeight="false" outlineLevel="0" collapsed="false">
      <c r="A576" s="29"/>
      <c r="B576" s="40" t="n">
        <f aca="false">IF($A576="",0,INT(($A576-Macrociclo!$C$11)/7)+1)</f>
        <v>0</v>
      </c>
      <c r="C576" s="27"/>
      <c r="D576" s="27"/>
      <c r="E576" s="28"/>
      <c r="F576" s="28"/>
      <c r="G576" s="44" t="n">
        <f aca="false">IF(OR($E576="",$F576=""),0,$E576*$F576)</f>
        <v>0</v>
      </c>
      <c r="H576" s="44" t="n">
        <f aca="false">IF($A576="",0,SUMIFS($G$8:$G$1007,$C$8:$C$1007,$C576,$A$8:$A$1007,"&gt;="&amp;$A576-6,$A$8:$A$1007,"&lt;="&amp;$A576))</f>
        <v>0</v>
      </c>
      <c r="I576" s="44" t="n">
        <f aca="false">IF($A576="",0,SUMIFS($G$8:$G$1007,$C$8:$C$1007,$C576,$A$8:$A$1007,"&gt;="&amp;$A576-27,$A$8:$A$1007,"&lt;="&amp;$A576)/4)</f>
        <v>0</v>
      </c>
      <c r="J576" s="144" t="n">
        <f aca="false">IF(OR($A576="",$I576=0),0,$H576/$I576)</f>
        <v>0</v>
      </c>
      <c r="K576" s="40" t="n">
        <f aca="false">IF($A576="",0,$A576-SUMPRODUCT(MIN(($C$8:$C$1007=$C576)*$A$8:$A$1007+($C$8:$C$1007&lt;&gt;$C576)*100000))+1)</f>
        <v>0</v>
      </c>
      <c r="L576" s="26" t="str">
        <f aca="false">IF($A576="","",IF($J576=0,"Sem registro anterior",IF($K576&lt;21,"Histórico insuficiente",IF($J576&lt;0.8,"Subcarga",IF($J576&lt;=1.3,"Zona ideal",IF($J576&lt;=1.5,"Atenção","Risco elevado"))))))</f>
        <v/>
      </c>
      <c r="M576" s="27"/>
    </row>
    <row r="577" customFormat="false" ht="15" hidden="false" customHeight="false" outlineLevel="0" collapsed="false">
      <c r="A577" s="29"/>
      <c r="B577" s="40" t="n">
        <f aca="false">IF($A577="",0,INT(($A577-Macrociclo!$C$11)/7)+1)</f>
        <v>0</v>
      </c>
      <c r="C577" s="27"/>
      <c r="D577" s="27"/>
      <c r="E577" s="28"/>
      <c r="F577" s="28"/>
      <c r="G577" s="44" t="n">
        <f aca="false">IF(OR($E577="",$F577=""),0,$E577*$F577)</f>
        <v>0</v>
      </c>
      <c r="H577" s="44" t="n">
        <f aca="false">IF($A577="",0,SUMIFS($G$8:$G$1007,$C$8:$C$1007,$C577,$A$8:$A$1007,"&gt;="&amp;$A577-6,$A$8:$A$1007,"&lt;="&amp;$A577))</f>
        <v>0</v>
      </c>
      <c r="I577" s="44" t="n">
        <f aca="false">IF($A577="",0,SUMIFS($G$8:$G$1007,$C$8:$C$1007,$C577,$A$8:$A$1007,"&gt;="&amp;$A577-27,$A$8:$A$1007,"&lt;="&amp;$A577)/4)</f>
        <v>0</v>
      </c>
      <c r="J577" s="144" t="n">
        <f aca="false">IF(OR($A577="",$I577=0),0,$H577/$I577)</f>
        <v>0</v>
      </c>
      <c r="K577" s="40" t="n">
        <f aca="false">IF($A577="",0,$A577-SUMPRODUCT(MIN(($C$8:$C$1007=$C577)*$A$8:$A$1007+($C$8:$C$1007&lt;&gt;$C577)*100000))+1)</f>
        <v>0</v>
      </c>
      <c r="L577" s="26" t="str">
        <f aca="false">IF($A577="","",IF($J577=0,"Sem registro anterior",IF($K577&lt;21,"Histórico insuficiente",IF($J577&lt;0.8,"Subcarga",IF($J577&lt;=1.3,"Zona ideal",IF($J577&lt;=1.5,"Atenção","Risco elevado"))))))</f>
        <v/>
      </c>
      <c r="M577" s="27"/>
    </row>
    <row r="578" customFormat="false" ht="15" hidden="false" customHeight="false" outlineLevel="0" collapsed="false">
      <c r="A578" s="29"/>
      <c r="B578" s="40" t="n">
        <f aca="false">IF($A578="",0,INT(($A578-Macrociclo!$C$11)/7)+1)</f>
        <v>0</v>
      </c>
      <c r="C578" s="27"/>
      <c r="D578" s="27"/>
      <c r="E578" s="28"/>
      <c r="F578" s="28"/>
      <c r="G578" s="44" t="n">
        <f aca="false">IF(OR($E578="",$F578=""),0,$E578*$F578)</f>
        <v>0</v>
      </c>
      <c r="H578" s="44" t="n">
        <f aca="false">IF($A578="",0,SUMIFS($G$8:$G$1007,$C$8:$C$1007,$C578,$A$8:$A$1007,"&gt;="&amp;$A578-6,$A$8:$A$1007,"&lt;="&amp;$A578))</f>
        <v>0</v>
      </c>
      <c r="I578" s="44" t="n">
        <f aca="false">IF($A578="",0,SUMIFS($G$8:$G$1007,$C$8:$C$1007,$C578,$A$8:$A$1007,"&gt;="&amp;$A578-27,$A$8:$A$1007,"&lt;="&amp;$A578)/4)</f>
        <v>0</v>
      </c>
      <c r="J578" s="144" t="n">
        <f aca="false">IF(OR($A578="",$I578=0),0,$H578/$I578)</f>
        <v>0</v>
      </c>
      <c r="K578" s="40" t="n">
        <f aca="false">IF($A578="",0,$A578-SUMPRODUCT(MIN(($C$8:$C$1007=$C578)*$A$8:$A$1007+($C$8:$C$1007&lt;&gt;$C578)*100000))+1)</f>
        <v>0</v>
      </c>
      <c r="L578" s="26" t="str">
        <f aca="false">IF($A578="","",IF($J578=0,"Sem registro anterior",IF($K578&lt;21,"Histórico insuficiente",IF($J578&lt;0.8,"Subcarga",IF($J578&lt;=1.3,"Zona ideal",IF($J578&lt;=1.5,"Atenção","Risco elevado"))))))</f>
        <v/>
      </c>
      <c r="M578" s="27"/>
    </row>
    <row r="579" customFormat="false" ht="15" hidden="false" customHeight="false" outlineLevel="0" collapsed="false">
      <c r="A579" s="29"/>
      <c r="B579" s="40" t="n">
        <f aca="false">IF($A579="",0,INT(($A579-Macrociclo!$C$11)/7)+1)</f>
        <v>0</v>
      </c>
      <c r="C579" s="27"/>
      <c r="D579" s="27"/>
      <c r="E579" s="28"/>
      <c r="F579" s="28"/>
      <c r="G579" s="44" t="n">
        <f aca="false">IF(OR($E579="",$F579=""),0,$E579*$F579)</f>
        <v>0</v>
      </c>
      <c r="H579" s="44" t="n">
        <f aca="false">IF($A579="",0,SUMIFS($G$8:$G$1007,$C$8:$C$1007,$C579,$A$8:$A$1007,"&gt;="&amp;$A579-6,$A$8:$A$1007,"&lt;="&amp;$A579))</f>
        <v>0</v>
      </c>
      <c r="I579" s="44" t="n">
        <f aca="false">IF($A579="",0,SUMIFS($G$8:$G$1007,$C$8:$C$1007,$C579,$A$8:$A$1007,"&gt;="&amp;$A579-27,$A$8:$A$1007,"&lt;="&amp;$A579)/4)</f>
        <v>0</v>
      </c>
      <c r="J579" s="144" t="n">
        <f aca="false">IF(OR($A579="",$I579=0),0,$H579/$I579)</f>
        <v>0</v>
      </c>
      <c r="K579" s="40" t="n">
        <f aca="false">IF($A579="",0,$A579-SUMPRODUCT(MIN(($C$8:$C$1007=$C579)*$A$8:$A$1007+($C$8:$C$1007&lt;&gt;$C579)*100000))+1)</f>
        <v>0</v>
      </c>
      <c r="L579" s="26" t="str">
        <f aca="false">IF($A579="","",IF($J579=0,"Sem registro anterior",IF($K579&lt;21,"Histórico insuficiente",IF($J579&lt;0.8,"Subcarga",IF($J579&lt;=1.3,"Zona ideal",IF($J579&lt;=1.5,"Atenção","Risco elevado"))))))</f>
        <v/>
      </c>
      <c r="M579" s="27"/>
    </row>
    <row r="580" customFormat="false" ht="15" hidden="false" customHeight="false" outlineLevel="0" collapsed="false">
      <c r="A580" s="29"/>
      <c r="B580" s="40" t="n">
        <f aca="false">IF($A580="",0,INT(($A580-Macrociclo!$C$11)/7)+1)</f>
        <v>0</v>
      </c>
      <c r="C580" s="27"/>
      <c r="D580" s="27"/>
      <c r="E580" s="28"/>
      <c r="F580" s="28"/>
      <c r="G580" s="44" t="n">
        <f aca="false">IF(OR($E580="",$F580=""),0,$E580*$F580)</f>
        <v>0</v>
      </c>
      <c r="H580" s="44" t="n">
        <f aca="false">IF($A580="",0,SUMIFS($G$8:$G$1007,$C$8:$C$1007,$C580,$A$8:$A$1007,"&gt;="&amp;$A580-6,$A$8:$A$1007,"&lt;="&amp;$A580))</f>
        <v>0</v>
      </c>
      <c r="I580" s="44" t="n">
        <f aca="false">IF($A580="",0,SUMIFS($G$8:$G$1007,$C$8:$C$1007,$C580,$A$8:$A$1007,"&gt;="&amp;$A580-27,$A$8:$A$1007,"&lt;="&amp;$A580)/4)</f>
        <v>0</v>
      </c>
      <c r="J580" s="144" t="n">
        <f aca="false">IF(OR($A580="",$I580=0),0,$H580/$I580)</f>
        <v>0</v>
      </c>
      <c r="K580" s="40" t="n">
        <f aca="false">IF($A580="",0,$A580-SUMPRODUCT(MIN(($C$8:$C$1007=$C580)*$A$8:$A$1007+($C$8:$C$1007&lt;&gt;$C580)*100000))+1)</f>
        <v>0</v>
      </c>
      <c r="L580" s="26" t="str">
        <f aca="false">IF($A580="","",IF($J580=0,"Sem registro anterior",IF($K580&lt;21,"Histórico insuficiente",IF($J580&lt;0.8,"Subcarga",IF($J580&lt;=1.3,"Zona ideal",IF($J580&lt;=1.5,"Atenção","Risco elevado"))))))</f>
        <v/>
      </c>
      <c r="M580" s="27"/>
    </row>
    <row r="581" customFormat="false" ht="15" hidden="false" customHeight="false" outlineLevel="0" collapsed="false">
      <c r="A581" s="29"/>
      <c r="B581" s="40" t="n">
        <f aca="false">IF($A581="",0,INT(($A581-Macrociclo!$C$11)/7)+1)</f>
        <v>0</v>
      </c>
      <c r="C581" s="27"/>
      <c r="D581" s="27"/>
      <c r="E581" s="28"/>
      <c r="F581" s="28"/>
      <c r="G581" s="44" t="n">
        <f aca="false">IF(OR($E581="",$F581=""),0,$E581*$F581)</f>
        <v>0</v>
      </c>
      <c r="H581" s="44" t="n">
        <f aca="false">IF($A581="",0,SUMIFS($G$8:$G$1007,$C$8:$C$1007,$C581,$A$8:$A$1007,"&gt;="&amp;$A581-6,$A$8:$A$1007,"&lt;="&amp;$A581))</f>
        <v>0</v>
      </c>
      <c r="I581" s="44" t="n">
        <f aca="false">IF($A581="",0,SUMIFS($G$8:$G$1007,$C$8:$C$1007,$C581,$A$8:$A$1007,"&gt;="&amp;$A581-27,$A$8:$A$1007,"&lt;="&amp;$A581)/4)</f>
        <v>0</v>
      </c>
      <c r="J581" s="144" t="n">
        <f aca="false">IF(OR($A581="",$I581=0),0,$H581/$I581)</f>
        <v>0</v>
      </c>
      <c r="K581" s="40" t="n">
        <f aca="false">IF($A581="",0,$A581-SUMPRODUCT(MIN(($C$8:$C$1007=$C581)*$A$8:$A$1007+($C$8:$C$1007&lt;&gt;$C581)*100000))+1)</f>
        <v>0</v>
      </c>
      <c r="L581" s="26" t="str">
        <f aca="false">IF($A581="","",IF($J581=0,"Sem registro anterior",IF($K581&lt;21,"Histórico insuficiente",IF($J581&lt;0.8,"Subcarga",IF($J581&lt;=1.3,"Zona ideal",IF($J581&lt;=1.5,"Atenção","Risco elevado"))))))</f>
        <v/>
      </c>
      <c r="M581" s="27"/>
    </row>
    <row r="582" customFormat="false" ht="15" hidden="false" customHeight="false" outlineLevel="0" collapsed="false">
      <c r="A582" s="29"/>
      <c r="B582" s="40" t="n">
        <f aca="false">IF($A582="",0,INT(($A582-Macrociclo!$C$11)/7)+1)</f>
        <v>0</v>
      </c>
      <c r="C582" s="27"/>
      <c r="D582" s="27"/>
      <c r="E582" s="28"/>
      <c r="F582" s="28"/>
      <c r="G582" s="44" t="n">
        <f aca="false">IF(OR($E582="",$F582=""),0,$E582*$F582)</f>
        <v>0</v>
      </c>
      <c r="H582" s="44" t="n">
        <f aca="false">IF($A582="",0,SUMIFS($G$8:$G$1007,$C$8:$C$1007,$C582,$A$8:$A$1007,"&gt;="&amp;$A582-6,$A$8:$A$1007,"&lt;="&amp;$A582))</f>
        <v>0</v>
      </c>
      <c r="I582" s="44" t="n">
        <f aca="false">IF($A582="",0,SUMIFS($G$8:$G$1007,$C$8:$C$1007,$C582,$A$8:$A$1007,"&gt;="&amp;$A582-27,$A$8:$A$1007,"&lt;="&amp;$A582)/4)</f>
        <v>0</v>
      </c>
      <c r="J582" s="144" t="n">
        <f aca="false">IF(OR($A582="",$I582=0),0,$H582/$I582)</f>
        <v>0</v>
      </c>
      <c r="K582" s="40" t="n">
        <f aca="false">IF($A582="",0,$A582-SUMPRODUCT(MIN(($C$8:$C$1007=$C582)*$A$8:$A$1007+($C$8:$C$1007&lt;&gt;$C582)*100000))+1)</f>
        <v>0</v>
      </c>
      <c r="L582" s="26" t="str">
        <f aca="false">IF($A582="","",IF($J582=0,"Sem registro anterior",IF($K582&lt;21,"Histórico insuficiente",IF($J582&lt;0.8,"Subcarga",IF($J582&lt;=1.3,"Zona ideal",IF($J582&lt;=1.5,"Atenção","Risco elevado"))))))</f>
        <v/>
      </c>
      <c r="M582" s="27"/>
    </row>
    <row r="583" customFormat="false" ht="15" hidden="false" customHeight="false" outlineLevel="0" collapsed="false">
      <c r="A583" s="29"/>
      <c r="B583" s="40" t="n">
        <f aca="false">IF($A583="",0,INT(($A583-Macrociclo!$C$11)/7)+1)</f>
        <v>0</v>
      </c>
      <c r="C583" s="27"/>
      <c r="D583" s="27"/>
      <c r="E583" s="28"/>
      <c r="F583" s="28"/>
      <c r="G583" s="44" t="n">
        <f aca="false">IF(OR($E583="",$F583=""),0,$E583*$F583)</f>
        <v>0</v>
      </c>
      <c r="H583" s="44" t="n">
        <f aca="false">IF($A583="",0,SUMIFS($G$8:$G$1007,$C$8:$C$1007,$C583,$A$8:$A$1007,"&gt;="&amp;$A583-6,$A$8:$A$1007,"&lt;="&amp;$A583))</f>
        <v>0</v>
      </c>
      <c r="I583" s="44" t="n">
        <f aca="false">IF($A583="",0,SUMIFS($G$8:$G$1007,$C$8:$C$1007,$C583,$A$8:$A$1007,"&gt;="&amp;$A583-27,$A$8:$A$1007,"&lt;="&amp;$A583)/4)</f>
        <v>0</v>
      </c>
      <c r="J583" s="144" t="n">
        <f aca="false">IF(OR($A583="",$I583=0),0,$H583/$I583)</f>
        <v>0</v>
      </c>
      <c r="K583" s="40" t="n">
        <f aca="false">IF($A583="",0,$A583-SUMPRODUCT(MIN(($C$8:$C$1007=$C583)*$A$8:$A$1007+($C$8:$C$1007&lt;&gt;$C583)*100000))+1)</f>
        <v>0</v>
      </c>
      <c r="L583" s="26" t="str">
        <f aca="false">IF($A583="","",IF($J583=0,"Sem registro anterior",IF($K583&lt;21,"Histórico insuficiente",IF($J583&lt;0.8,"Subcarga",IF($J583&lt;=1.3,"Zona ideal",IF($J583&lt;=1.5,"Atenção","Risco elevado"))))))</f>
        <v/>
      </c>
      <c r="M583" s="27"/>
    </row>
    <row r="584" customFormat="false" ht="15" hidden="false" customHeight="false" outlineLevel="0" collapsed="false">
      <c r="A584" s="29"/>
      <c r="B584" s="40" t="n">
        <f aca="false">IF($A584="",0,INT(($A584-Macrociclo!$C$11)/7)+1)</f>
        <v>0</v>
      </c>
      <c r="C584" s="27"/>
      <c r="D584" s="27"/>
      <c r="E584" s="28"/>
      <c r="F584" s="28"/>
      <c r="G584" s="44" t="n">
        <f aca="false">IF(OR($E584="",$F584=""),0,$E584*$F584)</f>
        <v>0</v>
      </c>
      <c r="H584" s="44" t="n">
        <f aca="false">IF($A584="",0,SUMIFS($G$8:$G$1007,$C$8:$C$1007,$C584,$A$8:$A$1007,"&gt;="&amp;$A584-6,$A$8:$A$1007,"&lt;="&amp;$A584))</f>
        <v>0</v>
      </c>
      <c r="I584" s="44" t="n">
        <f aca="false">IF($A584="",0,SUMIFS($G$8:$G$1007,$C$8:$C$1007,$C584,$A$8:$A$1007,"&gt;="&amp;$A584-27,$A$8:$A$1007,"&lt;="&amp;$A584)/4)</f>
        <v>0</v>
      </c>
      <c r="J584" s="144" t="n">
        <f aca="false">IF(OR($A584="",$I584=0),0,$H584/$I584)</f>
        <v>0</v>
      </c>
      <c r="K584" s="40" t="n">
        <f aca="false">IF($A584="",0,$A584-SUMPRODUCT(MIN(($C$8:$C$1007=$C584)*$A$8:$A$1007+($C$8:$C$1007&lt;&gt;$C584)*100000))+1)</f>
        <v>0</v>
      </c>
      <c r="L584" s="26" t="str">
        <f aca="false">IF($A584="","",IF($J584=0,"Sem registro anterior",IF($K584&lt;21,"Histórico insuficiente",IF($J584&lt;0.8,"Subcarga",IF($J584&lt;=1.3,"Zona ideal",IF($J584&lt;=1.5,"Atenção","Risco elevado"))))))</f>
        <v/>
      </c>
      <c r="M584" s="27"/>
    </row>
    <row r="585" customFormat="false" ht="15" hidden="false" customHeight="false" outlineLevel="0" collapsed="false">
      <c r="A585" s="29"/>
      <c r="B585" s="40" t="n">
        <f aca="false">IF($A585="",0,INT(($A585-Macrociclo!$C$11)/7)+1)</f>
        <v>0</v>
      </c>
      <c r="C585" s="27"/>
      <c r="D585" s="27"/>
      <c r="E585" s="28"/>
      <c r="F585" s="28"/>
      <c r="G585" s="44" t="n">
        <f aca="false">IF(OR($E585="",$F585=""),0,$E585*$F585)</f>
        <v>0</v>
      </c>
      <c r="H585" s="44" t="n">
        <f aca="false">IF($A585="",0,SUMIFS($G$8:$G$1007,$C$8:$C$1007,$C585,$A$8:$A$1007,"&gt;="&amp;$A585-6,$A$8:$A$1007,"&lt;="&amp;$A585))</f>
        <v>0</v>
      </c>
      <c r="I585" s="44" t="n">
        <f aca="false">IF($A585="",0,SUMIFS($G$8:$G$1007,$C$8:$C$1007,$C585,$A$8:$A$1007,"&gt;="&amp;$A585-27,$A$8:$A$1007,"&lt;="&amp;$A585)/4)</f>
        <v>0</v>
      </c>
      <c r="J585" s="144" t="n">
        <f aca="false">IF(OR($A585="",$I585=0),0,$H585/$I585)</f>
        <v>0</v>
      </c>
      <c r="K585" s="40" t="n">
        <f aca="false">IF($A585="",0,$A585-SUMPRODUCT(MIN(($C$8:$C$1007=$C585)*$A$8:$A$1007+($C$8:$C$1007&lt;&gt;$C585)*100000))+1)</f>
        <v>0</v>
      </c>
      <c r="L585" s="26" t="str">
        <f aca="false">IF($A585="","",IF($J585=0,"Sem registro anterior",IF($K585&lt;21,"Histórico insuficiente",IF($J585&lt;0.8,"Subcarga",IF($J585&lt;=1.3,"Zona ideal",IF($J585&lt;=1.5,"Atenção","Risco elevado"))))))</f>
        <v/>
      </c>
      <c r="M585" s="27"/>
    </row>
    <row r="586" customFormat="false" ht="15" hidden="false" customHeight="false" outlineLevel="0" collapsed="false">
      <c r="A586" s="29"/>
      <c r="B586" s="40" t="n">
        <f aca="false">IF($A586="",0,INT(($A586-Macrociclo!$C$11)/7)+1)</f>
        <v>0</v>
      </c>
      <c r="C586" s="27"/>
      <c r="D586" s="27"/>
      <c r="E586" s="28"/>
      <c r="F586" s="28"/>
      <c r="G586" s="44" t="n">
        <f aca="false">IF(OR($E586="",$F586=""),0,$E586*$F586)</f>
        <v>0</v>
      </c>
      <c r="H586" s="44" t="n">
        <f aca="false">IF($A586="",0,SUMIFS($G$8:$G$1007,$C$8:$C$1007,$C586,$A$8:$A$1007,"&gt;="&amp;$A586-6,$A$8:$A$1007,"&lt;="&amp;$A586))</f>
        <v>0</v>
      </c>
      <c r="I586" s="44" t="n">
        <f aca="false">IF($A586="",0,SUMIFS($G$8:$G$1007,$C$8:$C$1007,$C586,$A$8:$A$1007,"&gt;="&amp;$A586-27,$A$8:$A$1007,"&lt;="&amp;$A586)/4)</f>
        <v>0</v>
      </c>
      <c r="J586" s="144" t="n">
        <f aca="false">IF(OR($A586="",$I586=0),0,$H586/$I586)</f>
        <v>0</v>
      </c>
      <c r="K586" s="40" t="n">
        <f aca="false">IF($A586="",0,$A586-SUMPRODUCT(MIN(($C$8:$C$1007=$C586)*$A$8:$A$1007+($C$8:$C$1007&lt;&gt;$C586)*100000))+1)</f>
        <v>0</v>
      </c>
      <c r="L586" s="26" t="str">
        <f aca="false">IF($A586="","",IF($J586=0,"Sem registro anterior",IF($K586&lt;21,"Histórico insuficiente",IF($J586&lt;0.8,"Subcarga",IF($J586&lt;=1.3,"Zona ideal",IF($J586&lt;=1.5,"Atenção","Risco elevado"))))))</f>
        <v/>
      </c>
      <c r="M586" s="27"/>
    </row>
    <row r="587" customFormat="false" ht="15" hidden="false" customHeight="false" outlineLevel="0" collapsed="false">
      <c r="A587" s="29"/>
      <c r="B587" s="40" t="n">
        <f aca="false">IF($A587="",0,INT(($A587-Macrociclo!$C$11)/7)+1)</f>
        <v>0</v>
      </c>
      <c r="C587" s="27"/>
      <c r="D587" s="27"/>
      <c r="E587" s="28"/>
      <c r="F587" s="28"/>
      <c r="G587" s="44" t="n">
        <f aca="false">IF(OR($E587="",$F587=""),0,$E587*$F587)</f>
        <v>0</v>
      </c>
      <c r="H587" s="44" t="n">
        <f aca="false">IF($A587="",0,SUMIFS($G$8:$G$1007,$C$8:$C$1007,$C587,$A$8:$A$1007,"&gt;="&amp;$A587-6,$A$8:$A$1007,"&lt;="&amp;$A587))</f>
        <v>0</v>
      </c>
      <c r="I587" s="44" t="n">
        <f aca="false">IF($A587="",0,SUMIFS($G$8:$G$1007,$C$8:$C$1007,$C587,$A$8:$A$1007,"&gt;="&amp;$A587-27,$A$8:$A$1007,"&lt;="&amp;$A587)/4)</f>
        <v>0</v>
      </c>
      <c r="J587" s="144" t="n">
        <f aca="false">IF(OR($A587="",$I587=0),0,$H587/$I587)</f>
        <v>0</v>
      </c>
      <c r="K587" s="40" t="n">
        <f aca="false">IF($A587="",0,$A587-SUMPRODUCT(MIN(($C$8:$C$1007=$C587)*$A$8:$A$1007+($C$8:$C$1007&lt;&gt;$C587)*100000))+1)</f>
        <v>0</v>
      </c>
      <c r="L587" s="26" t="str">
        <f aca="false">IF($A587="","",IF($J587=0,"Sem registro anterior",IF($K587&lt;21,"Histórico insuficiente",IF($J587&lt;0.8,"Subcarga",IF($J587&lt;=1.3,"Zona ideal",IF($J587&lt;=1.5,"Atenção","Risco elevado"))))))</f>
        <v/>
      </c>
      <c r="M587" s="27"/>
    </row>
    <row r="588" customFormat="false" ht="15" hidden="false" customHeight="false" outlineLevel="0" collapsed="false">
      <c r="A588" s="29"/>
      <c r="B588" s="40" t="n">
        <f aca="false">IF($A588="",0,INT(($A588-Macrociclo!$C$11)/7)+1)</f>
        <v>0</v>
      </c>
      <c r="C588" s="27"/>
      <c r="D588" s="27"/>
      <c r="E588" s="28"/>
      <c r="F588" s="28"/>
      <c r="G588" s="44" t="n">
        <f aca="false">IF(OR($E588="",$F588=""),0,$E588*$F588)</f>
        <v>0</v>
      </c>
      <c r="H588" s="44" t="n">
        <f aca="false">IF($A588="",0,SUMIFS($G$8:$G$1007,$C$8:$C$1007,$C588,$A$8:$A$1007,"&gt;="&amp;$A588-6,$A$8:$A$1007,"&lt;="&amp;$A588))</f>
        <v>0</v>
      </c>
      <c r="I588" s="44" t="n">
        <f aca="false">IF($A588="",0,SUMIFS($G$8:$G$1007,$C$8:$C$1007,$C588,$A$8:$A$1007,"&gt;="&amp;$A588-27,$A$8:$A$1007,"&lt;="&amp;$A588)/4)</f>
        <v>0</v>
      </c>
      <c r="J588" s="144" t="n">
        <f aca="false">IF(OR($A588="",$I588=0),0,$H588/$I588)</f>
        <v>0</v>
      </c>
      <c r="K588" s="40" t="n">
        <f aca="false">IF($A588="",0,$A588-SUMPRODUCT(MIN(($C$8:$C$1007=$C588)*$A$8:$A$1007+($C$8:$C$1007&lt;&gt;$C588)*100000))+1)</f>
        <v>0</v>
      </c>
      <c r="L588" s="26" t="str">
        <f aca="false">IF($A588="","",IF($J588=0,"Sem registro anterior",IF($K588&lt;21,"Histórico insuficiente",IF($J588&lt;0.8,"Subcarga",IF($J588&lt;=1.3,"Zona ideal",IF($J588&lt;=1.5,"Atenção","Risco elevado"))))))</f>
        <v/>
      </c>
      <c r="M588" s="27"/>
    </row>
    <row r="589" customFormat="false" ht="15" hidden="false" customHeight="false" outlineLevel="0" collapsed="false">
      <c r="A589" s="29"/>
      <c r="B589" s="40" t="n">
        <f aca="false">IF($A589="",0,INT(($A589-Macrociclo!$C$11)/7)+1)</f>
        <v>0</v>
      </c>
      <c r="C589" s="27"/>
      <c r="D589" s="27"/>
      <c r="E589" s="28"/>
      <c r="F589" s="28"/>
      <c r="G589" s="44" t="n">
        <f aca="false">IF(OR($E589="",$F589=""),0,$E589*$F589)</f>
        <v>0</v>
      </c>
      <c r="H589" s="44" t="n">
        <f aca="false">IF($A589="",0,SUMIFS($G$8:$G$1007,$C$8:$C$1007,$C589,$A$8:$A$1007,"&gt;="&amp;$A589-6,$A$8:$A$1007,"&lt;="&amp;$A589))</f>
        <v>0</v>
      </c>
      <c r="I589" s="44" t="n">
        <f aca="false">IF($A589="",0,SUMIFS($G$8:$G$1007,$C$8:$C$1007,$C589,$A$8:$A$1007,"&gt;="&amp;$A589-27,$A$8:$A$1007,"&lt;="&amp;$A589)/4)</f>
        <v>0</v>
      </c>
      <c r="J589" s="144" t="n">
        <f aca="false">IF(OR($A589="",$I589=0),0,$H589/$I589)</f>
        <v>0</v>
      </c>
      <c r="K589" s="40" t="n">
        <f aca="false">IF($A589="",0,$A589-SUMPRODUCT(MIN(($C$8:$C$1007=$C589)*$A$8:$A$1007+($C$8:$C$1007&lt;&gt;$C589)*100000))+1)</f>
        <v>0</v>
      </c>
      <c r="L589" s="26" t="str">
        <f aca="false">IF($A589="","",IF($J589=0,"Sem registro anterior",IF($K589&lt;21,"Histórico insuficiente",IF($J589&lt;0.8,"Subcarga",IF($J589&lt;=1.3,"Zona ideal",IF($J589&lt;=1.5,"Atenção","Risco elevado"))))))</f>
        <v/>
      </c>
      <c r="M589" s="27"/>
    </row>
    <row r="590" customFormat="false" ht="15" hidden="false" customHeight="false" outlineLevel="0" collapsed="false">
      <c r="A590" s="29"/>
      <c r="B590" s="40" t="n">
        <f aca="false">IF($A590="",0,INT(($A590-Macrociclo!$C$11)/7)+1)</f>
        <v>0</v>
      </c>
      <c r="C590" s="27"/>
      <c r="D590" s="27"/>
      <c r="E590" s="28"/>
      <c r="F590" s="28"/>
      <c r="G590" s="44" t="n">
        <f aca="false">IF(OR($E590="",$F590=""),0,$E590*$F590)</f>
        <v>0</v>
      </c>
      <c r="H590" s="44" t="n">
        <f aca="false">IF($A590="",0,SUMIFS($G$8:$G$1007,$C$8:$C$1007,$C590,$A$8:$A$1007,"&gt;="&amp;$A590-6,$A$8:$A$1007,"&lt;="&amp;$A590))</f>
        <v>0</v>
      </c>
      <c r="I590" s="44" t="n">
        <f aca="false">IF($A590="",0,SUMIFS($G$8:$G$1007,$C$8:$C$1007,$C590,$A$8:$A$1007,"&gt;="&amp;$A590-27,$A$8:$A$1007,"&lt;="&amp;$A590)/4)</f>
        <v>0</v>
      </c>
      <c r="J590" s="144" t="n">
        <f aca="false">IF(OR($A590="",$I590=0),0,$H590/$I590)</f>
        <v>0</v>
      </c>
      <c r="K590" s="40" t="n">
        <f aca="false">IF($A590="",0,$A590-SUMPRODUCT(MIN(($C$8:$C$1007=$C590)*$A$8:$A$1007+($C$8:$C$1007&lt;&gt;$C590)*100000))+1)</f>
        <v>0</v>
      </c>
      <c r="L590" s="26" t="str">
        <f aca="false">IF($A590="","",IF($J590=0,"Sem registro anterior",IF($K590&lt;21,"Histórico insuficiente",IF($J590&lt;0.8,"Subcarga",IF($J590&lt;=1.3,"Zona ideal",IF($J590&lt;=1.5,"Atenção","Risco elevado"))))))</f>
        <v/>
      </c>
      <c r="M590" s="27"/>
    </row>
    <row r="591" customFormat="false" ht="15" hidden="false" customHeight="false" outlineLevel="0" collapsed="false">
      <c r="A591" s="29"/>
      <c r="B591" s="40" t="n">
        <f aca="false">IF($A591="",0,INT(($A591-Macrociclo!$C$11)/7)+1)</f>
        <v>0</v>
      </c>
      <c r="C591" s="27"/>
      <c r="D591" s="27"/>
      <c r="E591" s="28"/>
      <c r="F591" s="28"/>
      <c r="G591" s="44" t="n">
        <f aca="false">IF(OR($E591="",$F591=""),0,$E591*$F591)</f>
        <v>0</v>
      </c>
      <c r="H591" s="44" t="n">
        <f aca="false">IF($A591="",0,SUMIFS($G$8:$G$1007,$C$8:$C$1007,$C591,$A$8:$A$1007,"&gt;="&amp;$A591-6,$A$8:$A$1007,"&lt;="&amp;$A591))</f>
        <v>0</v>
      </c>
      <c r="I591" s="44" t="n">
        <f aca="false">IF($A591="",0,SUMIFS($G$8:$G$1007,$C$8:$C$1007,$C591,$A$8:$A$1007,"&gt;="&amp;$A591-27,$A$8:$A$1007,"&lt;="&amp;$A591)/4)</f>
        <v>0</v>
      </c>
      <c r="J591" s="144" t="n">
        <f aca="false">IF(OR($A591="",$I591=0),0,$H591/$I591)</f>
        <v>0</v>
      </c>
      <c r="K591" s="40" t="n">
        <f aca="false">IF($A591="",0,$A591-SUMPRODUCT(MIN(($C$8:$C$1007=$C591)*$A$8:$A$1007+($C$8:$C$1007&lt;&gt;$C591)*100000))+1)</f>
        <v>0</v>
      </c>
      <c r="L591" s="26" t="str">
        <f aca="false">IF($A591="","",IF($J591=0,"Sem registro anterior",IF($K591&lt;21,"Histórico insuficiente",IF($J591&lt;0.8,"Subcarga",IF($J591&lt;=1.3,"Zona ideal",IF($J591&lt;=1.5,"Atenção","Risco elevado"))))))</f>
        <v/>
      </c>
      <c r="M591" s="27"/>
    </row>
    <row r="592" customFormat="false" ht="15" hidden="false" customHeight="false" outlineLevel="0" collapsed="false">
      <c r="A592" s="29"/>
      <c r="B592" s="40" t="n">
        <f aca="false">IF($A592="",0,INT(($A592-Macrociclo!$C$11)/7)+1)</f>
        <v>0</v>
      </c>
      <c r="C592" s="27"/>
      <c r="D592" s="27"/>
      <c r="E592" s="28"/>
      <c r="F592" s="28"/>
      <c r="G592" s="44" t="n">
        <f aca="false">IF(OR($E592="",$F592=""),0,$E592*$F592)</f>
        <v>0</v>
      </c>
      <c r="H592" s="44" t="n">
        <f aca="false">IF($A592="",0,SUMIFS($G$8:$G$1007,$C$8:$C$1007,$C592,$A$8:$A$1007,"&gt;="&amp;$A592-6,$A$8:$A$1007,"&lt;="&amp;$A592))</f>
        <v>0</v>
      </c>
      <c r="I592" s="44" t="n">
        <f aca="false">IF($A592="",0,SUMIFS($G$8:$G$1007,$C$8:$C$1007,$C592,$A$8:$A$1007,"&gt;="&amp;$A592-27,$A$8:$A$1007,"&lt;="&amp;$A592)/4)</f>
        <v>0</v>
      </c>
      <c r="J592" s="144" t="n">
        <f aca="false">IF(OR($A592="",$I592=0),0,$H592/$I592)</f>
        <v>0</v>
      </c>
      <c r="K592" s="40" t="n">
        <f aca="false">IF($A592="",0,$A592-SUMPRODUCT(MIN(($C$8:$C$1007=$C592)*$A$8:$A$1007+($C$8:$C$1007&lt;&gt;$C592)*100000))+1)</f>
        <v>0</v>
      </c>
      <c r="L592" s="26" t="str">
        <f aca="false">IF($A592="","",IF($J592=0,"Sem registro anterior",IF($K592&lt;21,"Histórico insuficiente",IF($J592&lt;0.8,"Subcarga",IF($J592&lt;=1.3,"Zona ideal",IF($J592&lt;=1.5,"Atenção","Risco elevado"))))))</f>
        <v/>
      </c>
      <c r="M592" s="27"/>
    </row>
    <row r="593" customFormat="false" ht="15" hidden="false" customHeight="false" outlineLevel="0" collapsed="false">
      <c r="A593" s="29"/>
      <c r="B593" s="40" t="n">
        <f aca="false">IF($A593="",0,INT(($A593-Macrociclo!$C$11)/7)+1)</f>
        <v>0</v>
      </c>
      <c r="C593" s="27"/>
      <c r="D593" s="27"/>
      <c r="E593" s="28"/>
      <c r="F593" s="28"/>
      <c r="G593" s="44" t="n">
        <f aca="false">IF(OR($E593="",$F593=""),0,$E593*$F593)</f>
        <v>0</v>
      </c>
      <c r="H593" s="44" t="n">
        <f aca="false">IF($A593="",0,SUMIFS($G$8:$G$1007,$C$8:$C$1007,$C593,$A$8:$A$1007,"&gt;="&amp;$A593-6,$A$8:$A$1007,"&lt;="&amp;$A593))</f>
        <v>0</v>
      </c>
      <c r="I593" s="44" t="n">
        <f aca="false">IF($A593="",0,SUMIFS($G$8:$G$1007,$C$8:$C$1007,$C593,$A$8:$A$1007,"&gt;="&amp;$A593-27,$A$8:$A$1007,"&lt;="&amp;$A593)/4)</f>
        <v>0</v>
      </c>
      <c r="J593" s="144" t="n">
        <f aca="false">IF(OR($A593="",$I593=0),0,$H593/$I593)</f>
        <v>0</v>
      </c>
      <c r="K593" s="40" t="n">
        <f aca="false">IF($A593="",0,$A593-SUMPRODUCT(MIN(($C$8:$C$1007=$C593)*$A$8:$A$1007+($C$8:$C$1007&lt;&gt;$C593)*100000))+1)</f>
        <v>0</v>
      </c>
      <c r="L593" s="26" t="str">
        <f aca="false">IF($A593="","",IF($J593=0,"Sem registro anterior",IF($K593&lt;21,"Histórico insuficiente",IF($J593&lt;0.8,"Subcarga",IF($J593&lt;=1.3,"Zona ideal",IF($J593&lt;=1.5,"Atenção","Risco elevado"))))))</f>
        <v/>
      </c>
      <c r="M593" s="27"/>
    </row>
    <row r="594" customFormat="false" ht="15" hidden="false" customHeight="false" outlineLevel="0" collapsed="false">
      <c r="A594" s="29"/>
      <c r="B594" s="40" t="n">
        <f aca="false">IF($A594="",0,INT(($A594-Macrociclo!$C$11)/7)+1)</f>
        <v>0</v>
      </c>
      <c r="C594" s="27"/>
      <c r="D594" s="27"/>
      <c r="E594" s="28"/>
      <c r="F594" s="28"/>
      <c r="G594" s="44" t="n">
        <f aca="false">IF(OR($E594="",$F594=""),0,$E594*$F594)</f>
        <v>0</v>
      </c>
      <c r="H594" s="44" t="n">
        <f aca="false">IF($A594="",0,SUMIFS($G$8:$G$1007,$C$8:$C$1007,$C594,$A$8:$A$1007,"&gt;="&amp;$A594-6,$A$8:$A$1007,"&lt;="&amp;$A594))</f>
        <v>0</v>
      </c>
      <c r="I594" s="44" t="n">
        <f aca="false">IF($A594="",0,SUMIFS($G$8:$G$1007,$C$8:$C$1007,$C594,$A$8:$A$1007,"&gt;="&amp;$A594-27,$A$8:$A$1007,"&lt;="&amp;$A594)/4)</f>
        <v>0</v>
      </c>
      <c r="J594" s="144" t="n">
        <f aca="false">IF(OR($A594="",$I594=0),0,$H594/$I594)</f>
        <v>0</v>
      </c>
      <c r="K594" s="40" t="n">
        <f aca="false">IF($A594="",0,$A594-SUMPRODUCT(MIN(($C$8:$C$1007=$C594)*$A$8:$A$1007+($C$8:$C$1007&lt;&gt;$C594)*100000))+1)</f>
        <v>0</v>
      </c>
      <c r="L594" s="26" t="str">
        <f aca="false">IF($A594="","",IF($J594=0,"Sem registro anterior",IF($K594&lt;21,"Histórico insuficiente",IF($J594&lt;0.8,"Subcarga",IF($J594&lt;=1.3,"Zona ideal",IF($J594&lt;=1.5,"Atenção","Risco elevado"))))))</f>
        <v/>
      </c>
      <c r="M594" s="27"/>
    </row>
    <row r="595" customFormat="false" ht="15" hidden="false" customHeight="false" outlineLevel="0" collapsed="false">
      <c r="A595" s="29"/>
      <c r="B595" s="40" t="n">
        <f aca="false">IF($A595="",0,INT(($A595-Macrociclo!$C$11)/7)+1)</f>
        <v>0</v>
      </c>
      <c r="C595" s="27"/>
      <c r="D595" s="27"/>
      <c r="E595" s="28"/>
      <c r="F595" s="28"/>
      <c r="G595" s="44" t="n">
        <f aca="false">IF(OR($E595="",$F595=""),0,$E595*$F595)</f>
        <v>0</v>
      </c>
      <c r="H595" s="44" t="n">
        <f aca="false">IF($A595="",0,SUMIFS($G$8:$G$1007,$C$8:$C$1007,$C595,$A$8:$A$1007,"&gt;="&amp;$A595-6,$A$8:$A$1007,"&lt;="&amp;$A595))</f>
        <v>0</v>
      </c>
      <c r="I595" s="44" t="n">
        <f aca="false">IF($A595="",0,SUMIFS($G$8:$G$1007,$C$8:$C$1007,$C595,$A$8:$A$1007,"&gt;="&amp;$A595-27,$A$8:$A$1007,"&lt;="&amp;$A595)/4)</f>
        <v>0</v>
      </c>
      <c r="J595" s="144" t="n">
        <f aca="false">IF(OR($A595="",$I595=0),0,$H595/$I595)</f>
        <v>0</v>
      </c>
      <c r="K595" s="40" t="n">
        <f aca="false">IF($A595="",0,$A595-SUMPRODUCT(MIN(($C$8:$C$1007=$C595)*$A$8:$A$1007+($C$8:$C$1007&lt;&gt;$C595)*100000))+1)</f>
        <v>0</v>
      </c>
      <c r="L595" s="26" t="str">
        <f aca="false">IF($A595="","",IF($J595=0,"Sem registro anterior",IF($K595&lt;21,"Histórico insuficiente",IF($J595&lt;0.8,"Subcarga",IF($J595&lt;=1.3,"Zona ideal",IF($J595&lt;=1.5,"Atenção","Risco elevado"))))))</f>
        <v/>
      </c>
      <c r="M595" s="27"/>
    </row>
    <row r="596" customFormat="false" ht="15" hidden="false" customHeight="false" outlineLevel="0" collapsed="false">
      <c r="A596" s="29"/>
      <c r="B596" s="40" t="n">
        <f aca="false">IF($A596="",0,INT(($A596-Macrociclo!$C$11)/7)+1)</f>
        <v>0</v>
      </c>
      <c r="C596" s="27"/>
      <c r="D596" s="27"/>
      <c r="E596" s="28"/>
      <c r="F596" s="28"/>
      <c r="G596" s="44" t="n">
        <f aca="false">IF(OR($E596="",$F596=""),0,$E596*$F596)</f>
        <v>0</v>
      </c>
      <c r="H596" s="44" t="n">
        <f aca="false">IF($A596="",0,SUMIFS($G$8:$G$1007,$C$8:$C$1007,$C596,$A$8:$A$1007,"&gt;="&amp;$A596-6,$A$8:$A$1007,"&lt;="&amp;$A596))</f>
        <v>0</v>
      </c>
      <c r="I596" s="44" t="n">
        <f aca="false">IF($A596="",0,SUMIFS($G$8:$G$1007,$C$8:$C$1007,$C596,$A$8:$A$1007,"&gt;="&amp;$A596-27,$A$8:$A$1007,"&lt;="&amp;$A596)/4)</f>
        <v>0</v>
      </c>
      <c r="J596" s="144" t="n">
        <f aca="false">IF(OR($A596="",$I596=0),0,$H596/$I596)</f>
        <v>0</v>
      </c>
      <c r="K596" s="40" t="n">
        <f aca="false">IF($A596="",0,$A596-SUMPRODUCT(MIN(($C$8:$C$1007=$C596)*$A$8:$A$1007+($C$8:$C$1007&lt;&gt;$C596)*100000))+1)</f>
        <v>0</v>
      </c>
      <c r="L596" s="26" t="str">
        <f aca="false">IF($A596="","",IF($J596=0,"Sem registro anterior",IF($K596&lt;21,"Histórico insuficiente",IF($J596&lt;0.8,"Subcarga",IF($J596&lt;=1.3,"Zona ideal",IF($J596&lt;=1.5,"Atenção","Risco elevado"))))))</f>
        <v/>
      </c>
      <c r="M596" s="27"/>
    </row>
    <row r="597" customFormat="false" ht="15" hidden="false" customHeight="false" outlineLevel="0" collapsed="false">
      <c r="A597" s="29"/>
      <c r="B597" s="40" t="n">
        <f aca="false">IF($A597="",0,INT(($A597-Macrociclo!$C$11)/7)+1)</f>
        <v>0</v>
      </c>
      <c r="C597" s="27"/>
      <c r="D597" s="27"/>
      <c r="E597" s="28"/>
      <c r="F597" s="28"/>
      <c r="G597" s="44" t="n">
        <f aca="false">IF(OR($E597="",$F597=""),0,$E597*$F597)</f>
        <v>0</v>
      </c>
      <c r="H597" s="44" t="n">
        <f aca="false">IF($A597="",0,SUMIFS($G$8:$G$1007,$C$8:$C$1007,$C597,$A$8:$A$1007,"&gt;="&amp;$A597-6,$A$8:$A$1007,"&lt;="&amp;$A597))</f>
        <v>0</v>
      </c>
      <c r="I597" s="44" t="n">
        <f aca="false">IF($A597="",0,SUMIFS($G$8:$G$1007,$C$8:$C$1007,$C597,$A$8:$A$1007,"&gt;="&amp;$A597-27,$A$8:$A$1007,"&lt;="&amp;$A597)/4)</f>
        <v>0</v>
      </c>
      <c r="J597" s="144" t="n">
        <f aca="false">IF(OR($A597="",$I597=0),0,$H597/$I597)</f>
        <v>0</v>
      </c>
      <c r="K597" s="40" t="n">
        <f aca="false">IF($A597="",0,$A597-SUMPRODUCT(MIN(($C$8:$C$1007=$C597)*$A$8:$A$1007+($C$8:$C$1007&lt;&gt;$C597)*100000))+1)</f>
        <v>0</v>
      </c>
      <c r="L597" s="26" t="str">
        <f aca="false">IF($A597="","",IF($J597=0,"Sem registro anterior",IF($K597&lt;21,"Histórico insuficiente",IF($J597&lt;0.8,"Subcarga",IF($J597&lt;=1.3,"Zona ideal",IF($J597&lt;=1.5,"Atenção","Risco elevado"))))))</f>
        <v/>
      </c>
      <c r="M597" s="27"/>
    </row>
    <row r="598" customFormat="false" ht="15" hidden="false" customHeight="false" outlineLevel="0" collapsed="false">
      <c r="A598" s="29"/>
      <c r="B598" s="40" t="n">
        <f aca="false">IF($A598="",0,INT(($A598-Macrociclo!$C$11)/7)+1)</f>
        <v>0</v>
      </c>
      <c r="C598" s="27"/>
      <c r="D598" s="27"/>
      <c r="E598" s="28"/>
      <c r="F598" s="28"/>
      <c r="G598" s="44" t="n">
        <f aca="false">IF(OR($E598="",$F598=""),0,$E598*$F598)</f>
        <v>0</v>
      </c>
      <c r="H598" s="44" t="n">
        <f aca="false">IF($A598="",0,SUMIFS($G$8:$G$1007,$C$8:$C$1007,$C598,$A$8:$A$1007,"&gt;="&amp;$A598-6,$A$8:$A$1007,"&lt;="&amp;$A598))</f>
        <v>0</v>
      </c>
      <c r="I598" s="44" t="n">
        <f aca="false">IF($A598="",0,SUMIFS($G$8:$G$1007,$C$8:$C$1007,$C598,$A$8:$A$1007,"&gt;="&amp;$A598-27,$A$8:$A$1007,"&lt;="&amp;$A598)/4)</f>
        <v>0</v>
      </c>
      <c r="J598" s="144" t="n">
        <f aca="false">IF(OR($A598="",$I598=0),0,$H598/$I598)</f>
        <v>0</v>
      </c>
      <c r="K598" s="40" t="n">
        <f aca="false">IF($A598="",0,$A598-SUMPRODUCT(MIN(($C$8:$C$1007=$C598)*$A$8:$A$1007+($C$8:$C$1007&lt;&gt;$C598)*100000))+1)</f>
        <v>0</v>
      </c>
      <c r="L598" s="26" t="str">
        <f aca="false">IF($A598="","",IF($J598=0,"Sem registro anterior",IF($K598&lt;21,"Histórico insuficiente",IF($J598&lt;0.8,"Subcarga",IF($J598&lt;=1.3,"Zona ideal",IF($J598&lt;=1.5,"Atenção","Risco elevado"))))))</f>
        <v/>
      </c>
      <c r="M598" s="27"/>
    </row>
    <row r="599" customFormat="false" ht="15" hidden="false" customHeight="false" outlineLevel="0" collapsed="false">
      <c r="A599" s="29"/>
      <c r="B599" s="40" t="n">
        <f aca="false">IF($A599="",0,INT(($A599-Macrociclo!$C$11)/7)+1)</f>
        <v>0</v>
      </c>
      <c r="C599" s="27"/>
      <c r="D599" s="27"/>
      <c r="E599" s="28"/>
      <c r="F599" s="28"/>
      <c r="G599" s="44" t="n">
        <f aca="false">IF(OR($E599="",$F599=""),0,$E599*$F599)</f>
        <v>0</v>
      </c>
      <c r="H599" s="44" t="n">
        <f aca="false">IF($A599="",0,SUMIFS($G$8:$G$1007,$C$8:$C$1007,$C599,$A$8:$A$1007,"&gt;="&amp;$A599-6,$A$8:$A$1007,"&lt;="&amp;$A599))</f>
        <v>0</v>
      </c>
      <c r="I599" s="44" t="n">
        <f aca="false">IF($A599="",0,SUMIFS($G$8:$G$1007,$C$8:$C$1007,$C599,$A$8:$A$1007,"&gt;="&amp;$A599-27,$A$8:$A$1007,"&lt;="&amp;$A599)/4)</f>
        <v>0</v>
      </c>
      <c r="J599" s="144" t="n">
        <f aca="false">IF(OR($A599="",$I599=0),0,$H599/$I599)</f>
        <v>0</v>
      </c>
      <c r="K599" s="40" t="n">
        <f aca="false">IF($A599="",0,$A599-SUMPRODUCT(MIN(($C$8:$C$1007=$C599)*$A$8:$A$1007+($C$8:$C$1007&lt;&gt;$C599)*100000))+1)</f>
        <v>0</v>
      </c>
      <c r="L599" s="26" t="str">
        <f aca="false">IF($A599="","",IF($J599=0,"Sem registro anterior",IF($K599&lt;21,"Histórico insuficiente",IF($J599&lt;0.8,"Subcarga",IF($J599&lt;=1.3,"Zona ideal",IF($J599&lt;=1.5,"Atenção","Risco elevado"))))))</f>
        <v/>
      </c>
      <c r="M599" s="27"/>
    </row>
    <row r="600" customFormat="false" ht="15" hidden="false" customHeight="false" outlineLevel="0" collapsed="false">
      <c r="A600" s="29"/>
      <c r="B600" s="40" t="n">
        <f aca="false">IF($A600="",0,INT(($A600-Macrociclo!$C$11)/7)+1)</f>
        <v>0</v>
      </c>
      <c r="C600" s="27"/>
      <c r="D600" s="27"/>
      <c r="E600" s="28"/>
      <c r="F600" s="28"/>
      <c r="G600" s="44" t="n">
        <f aca="false">IF(OR($E600="",$F600=""),0,$E600*$F600)</f>
        <v>0</v>
      </c>
      <c r="H600" s="44" t="n">
        <f aca="false">IF($A600="",0,SUMIFS($G$8:$G$1007,$C$8:$C$1007,$C600,$A$8:$A$1007,"&gt;="&amp;$A600-6,$A$8:$A$1007,"&lt;="&amp;$A600))</f>
        <v>0</v>
      </c>
      <c r="I600" s="44" t="n">
        <f aca="false">IF($A600="",0,SUMIFS($G$8:$G$1007,$C$8:$C$1007,$C600,$A$8:$A$1007,"&gt;="&amp;$A600-27,$A$8:$A$1007,"&lt;="&amp;$A600)/4)</f>
        <v>0</v>
      </c>
      <c r="J600" s="144" t="n">
        <f aca="false">IF(OR($A600="",$I600=0),0,$H600/$I600)</f>
        <v>0</v>
      </c>
      <c r="K600" s="40" t="n">
        <f aca="false">IF($A600="",0,$A600-SUMPRODUCT(MIN(($C$8:$C$1007=$C600)*$A$8:$A$1007+($C$8:$C$1007&lt;&gt;$C600)*100000))+1)</f>
        <v>0</v>
      </c>
      <c r="L600" s="26" t="str">
        <f aca="false">IF($A600="","",IF($J600=0,"Sem registro anterior",IF($K600&lt;21,"Histórico insuficiente",IF($J600&lt;0.8,"Subcarga",IF($J600&lt;=1.3,"Zona ideal",IF($J600&lt;=1.5,"Atenção","Risco elevado"))))))</f>
        <v/>
      </c>
      <c r="M600" s="27"/>
    </row>
    <row r="601" customFormat="false" ht="15" hidden="false" customHeight="false" outlineLevel="0" collapsed="false">
      <c r="A601" s="29"/>
      <c r="B601" s="40" t="n">
        <f aca="false">IF($A601="",0,INT(($A601-Macrociclo!$C$11)/7)+1)</f>
        <v>0</v>
      </c>
      <c r="C601" s="27"/>
      <c r="D601" s="27"/>
      <c r="E601" s="28"/>
      <c r="F601" s="28"/>
      <c r="G601" s="44" t="n">
        <f aca="false">IF(OR($E601="",$F601=""),0,$E601*$F601)</f>
        <v>0</v>
      </c>
      <c r="H601" s="44" t="n">
        <f aca="false">IF($A601="",0,SUMIFS($G$8:$G$1007,$C$8:$C$1007,$C601,$A$8:$A$1007,"&gt;="&amp;$A601-6,$A$8:$A$1007,"&lt;="&amp;$A601))</f>
        <v>0</v>
      </c>
      <c r="I601" s="44" t="n">
        <f aca="false">IF($A601="",0,SUMIFS($G$8:$G$1007,$C$8:$C$1007,$C601,$A$8:$A$1007,"&gt;="&amp;$A601-27,$A$8:$A$1007,"&lt;="&amp;$A601)/4)</f>
        <v>0</v>
      </c>
      <c r="J601" s="144" t="n">
        <f aca="false">IF(OR($A601="",$I601=0),0,$H601/$I601)</f>
        <v>0</v>
      </c>
      <c r="K601" s="40" t="n">
        <f aca="false">IF($A601="",0,$A601-SUMPRODUCT(MIN(($C$8:$C$1007=$C601)*$A$8:$A$1007+($C$8:$C$1007&lt;&gt;$C601)*100000))+1)</f>
        <v>0</v>
      </c>
      <c r="L601" s="26" t="str">
        <f aca="false">IF($A601="","",IF($J601=0,"Sem registro anterior",IF($K601&lt;21,"Histórico insuficiente",IF($J601&lt;0.8,"Subcarga",IF($J601&lt;=1.3,"Zona ideal",IF($J601&lt;=1.5,"Atenção","Risco elevado"))))))</f>
        <v/>
      </c>
      <c r="M601" s="27"/>
    </row>
    <row r="602" customFormat="false" ht="15" hidden="false" customHeight="false" outlineLevel="0" collapsed="false">
      <c r="A602" s="29"/>
      <c r="B602" s="40" t="n">
        <f aca="false">IF($A602="",0,INT(($A602-Macrociclo!$C$11)/7)+1)</f>
        <v>0</v>
      </c>
      <c r="C602" s="27"/>
      <c r="D602" s="27"/>
      <c r="E602" s="28"/>
      <c r="F602" s="28"/>
      <c r="G602" s="44" t="n">
        <f aca="false">IF(OR($E602="",$F602=""),0,$E602*$F602)</f>
        <v>0</v>
      </c>
      <c r="H602" s="44" t="n">
        <f aca="false">IF($A602="",0,SUMIFS($G$8:$G$1007,$C$8:$C$1007,$C602,$A$8:$A$1007,"&gt;="&amp;$A602-6,$A$8:$A$1007,"&lt;="&amp;$A602))</f>
        <v>0</v>
      </c>
      <c r="I602" s="44" t="n">
        <f aca="false">IF($A602="",0,SUMIFS($G$8:$G$1007,$C$8:$C$1007,$C602,$A$8:$A$1007,"&gt;="&amp;$A602-27,$A$8:$A$1007,"&lt;="&amp;$A602)/4)</f>
        <v>0</v>
      </c>
      <c r="J602" s="144" t="n">
        <f aca="false">IF(OR($A602="",$I602=0),0,$H602/$I602)</f>
        <v>0</v>
      </c>
      <c r="K602" s="40" t="n">
        <f aca="false">IF($A602="",0,$A602-SUMPRODUCT(MIN(($C$8:$C$1007=$C602)*$A$8:$A$1007+($C$8:$C$1007&lt;&gt;$C602)*100000))+1)</f>
        <v>0</v>
      </c>
      <c r="L602" s="26" t="str">
        <f aca="false">IF($A602="","",IF($J602=0,"Sem registro anterior",IF($K602&lt;21,"Histórico insuficiente",IF($J602&lt;0.8,"Subcarga",IF($J602&lt;=1.3,"Zona ideal",IF($J602&lt;=1.5,"Atenção","Risco elevado"))))))</f>
        <v/>
      </c>
      <c r="M602" s="27"/>
    </row>
    <row r="603" customFormat="false" ht="15" hidden="false" customHeight="false" outlineLevel="0" collapsed="false">
      <c r="A603" s="29"/>
      <c r="B603" s="40" t="n">
        <f aca="false">IF($A603="",0,INT(($A603-Macrociclo!$C$11)/7)+1)</f>
        <v>0</v>
      </c>
      <c r="C603" s="27"/>
      <c r="D603" s="27"/>
      <c r="E603" s="28"/>
      <c r="F603" s="28"/>
      <c r="G603" s="44" t="n">
        <f aca="false">IF(OR($E603="",$F603=""),0,$E603*$F603)</f>
        <v>0</v>
      </c>
      <c r="H603" s="44" t="n">
        <f aca="false">IF($A603="",0,SUMIFS($G$8:$G$1007,$C$8:$C$1007,$C603,$A$8:$A$1007,"&gt;="&amp;$A603-6,$A$8:$A$1007,"&lt;="&amp;$A603))</f>
        <v>0</v>
      </c>
      <c r="I603" s="44" t="n">
        <f aca="false">IF($A603="",0,SUMIFS($G$8:$G$1007,$C$8:$C$1007,$C603,$A$8:$A$1007,"&gt;="&amp;$A603-27,$A$8:$A$1007,"&lt;="&amp;$A603)/4)</f>
        <v>0</v>
      </c>
      <c r="J603" s="144" t="n">
        <f aca="false">IF(OR($A603="",$I603=0),0,$H603/$I603)</f>
        <v>0</v>
      </c>
      <c r="K603" s="40" t="n">
        <f aca="false">IF($A603="",0,$A603-SUMPRODUCT(MIN(($C$8:$C$1007=$C603)*$A$8:$A$1007+($C$8:$C$1007&lt;&gt;$C603)*100000))+1)</f>
        <v>0</v>
      </c>
      <c r="L603" s="26" t="str">
        <f aca="false">IF($A603="","",IF($J603=0,"Sem registro anterior",IF($K603&lt;21,"Histórico insuficiente",IF($J603&lt;0.8,"Subcarga",IF($J603&lt;=1.3,"Zona ideal",IF($J603&lt;=1.5,"Atenção","Risco elevado"))))))</f>
        <v/>
      </c>
      <c r="M603" s="27"/>
    </row>
    <row r="604" customFormat="false" ht="15" hidden="false" customHeight="false" outlineLevel="0" collapsed="false">
      <c r="A604" s="29"/>
      <c r="B604" s="40" t="n">
        <f aca="false">IF($A604="",0,INT(($A604-Macrociclo!$C$11)/7)+1)</f>
        <v>0</v>
      </c>
      <c r="C604" s="27"/>
      <c r="D604" s="27"/>
      <c r="E604" s="28"/>
      <c r="F604" s="28"/>
      <c r="G604" s="44" t="n">
        <f aca="false">IF(OR($E604="",$F604=""),0,$E604*$F604)</f>
        <v>0</v>
      </c>
      <c r="H604" s="44" t="n">
        <f aca="false">IF($A604="",0,SUMIFS($G$8:$G$1007,$C$8:$C$1007,$C604,$A$8:$A$1007,"&gt;="&amp;$A604-6,$A$8:$A$1007,"&lt;="&amp;$A604))</f>
        <v>0</v>
      </c>
      <c r="I604" s="44" t="n">
        <f aca="false">IF($A604="",0,SUMIFS($G$8:$G$1007,$C$8:$C$1007,$C604,$A$8:$A$1007,"&gt;="&amp;$A604-27,$A$8:$A$1007,"&lt;="&amp;$A604)/4)</f>
        <v>0</v>
      </c>
      <c r="J604" s="144" t="n">
        <f aca="false">IF(OR($A604="",$I604=0),0,$H604/$I604)</f>
        <v>0</v>
      </c>
      <c r="K604" s="40" t="n">
        <f aca="false">IF($A604="",0,$A604-SUMPRODUCT(MIN(($C$8:$C$1007=$C604)*$A$8:$A$1007+($C$8:$C$1007&lt;&gt;$C604)*100000))+1)</f>
        <v>0</v>
      </c>
      <c r="L604" s="26" t="str">
        <f aca="false">IF($A604="","",IF($J604=0,"Sem registro anterior",IF($K604&lt;21,"Histórico insuficiente",IF($J604&lt;0.8,"Subcarga",IF($J604&lt;=1.3,"Zona ideal",IF($J604&lt;=1.5,"Atenção","Risco elevado"))))))</f>
        <v/>
      </c>
      <c r="M604" s="27"/>
    </row>
    <row r="605" customFormat="false" ht="15" hidden="false" customHeight="false" outlineLevel="0" collapsed="false">
      <c r="A605" s="29"/>
      <c r="B605" s="40" t="n">
        <f aca="false">IF($A605="",0,INT(($A605-Macrociclo!$C$11)/7)+1)</f>
        <v>0</v>
      </c>
      <c r="C605" s="27"/>
      <c r="D605" s="27"/>
      <c r="E605" s="28"/>
      <c r="F605" s="28"/>
      <c r="G605" s="44" t="n">
        <f aca="false">IF(OR($E605="",$F605=""),0,$E605*$F605)</f>
        <v>0</v>
      </c>
      <c r="H605" s="44" t="n">
        <f aca="false">IF($A605="",0,SUMIFS($G$8:$G$1007,$C$8:$C$1007,$C605,$A$8:$A$1007,"&gt;="&amp;$A605-6,$A$8:$A$1007,"&lt;="&amp;$A605))</f>
        <v>0</v>
      </c>
      <c r="I605" s="44" t="n">
        <f aca="false">IF($A605="",0,SUMIFS($G$8:$G$1007,$C$8:$C$1007,$C605,$A$8:$A$1007,"&gt;="&amp;$A605-27,$A$8:$A$1007,"&lt;="&amp;$A605)/4)</f>
        <v>0</v>
      </c>
      <c r="J605" s="144" t="n">
        <f aca="false">IF(OR($A605="",$I605=0),0,$H605/$I605)</f>
        <v>0</v>
      </c>
      <c r="K605" s="40" t="n">
        <f aca="false">IF($A605="",0,$A605-SUMPRODUCT(MIN(($C$8:$C$1007=$C605)*$A$8:$A$1007+($C$8:$C$1007&lt;&gt;$C605)*100000))+1)</f>
        <v>0</v>
      </c>
      <c r="L605" s="26" t="str">
        <f aca="false">IF($A605="","",IF($J605=0,"Sem registro anterior",IF($K605&lt;21,"Histórico insuficiente",IF($J605&lt;0.8,"Subcarga",IF($J605&lt;=1.3,"Zona ideal",IF($J605&lt;=1.5,"Atenção","Risco elevado"))))))</f>
        <v/>
      </c>
      <c r="M605" s="27"/>
    </row>
    <row r="606" customFormat="false" ht="15" hidden="false" customHeight="false" outlineLevel="0" collapsed="false">
      <c r="A606" s="29"/>
      <c r="B606" s="40" t="n">
        <f aca="false">IF($A606="",0,INT(($A606-Macrociclo!$C$11)/7)+1)</f>
        <v>0</v>
      </c>
      <c r="C606" s="27"/>
      <c r="D606" s="27"/>
      <c r="E606" s="28"/>
      <c r="F606" s="28"/>
      <c r="G606" s="44" t="n">
        <f aca="false">IF(OR($E606="",$F606=""),0,$E606*$F606)</f>
        <v>0</v>
      </c>
      <c r="H606" s="44" t="n">
        <f aca="false">IF($A606="",0,SUMIFS($G$8:$G$1007,$C$8:$C$1007,$C606,$A$8:$A$1007,"&gt;="&amp;$A606-6,$A$8:$A$1007,"&lt;="&amp;$A606))</f>
        <v>0</v>
      </c>
      <c r="I606" s="44" t="n">
        <f aca="false">IF($A606="",0,SUMIFS($G$8:$G$1007,$C$8:$C$1007,$C606,$A$8:$A$1007,"&gt;="&amp;$A606-27,$A$8:$A$1007,"&lt;="&amp;$A606)/4)</f>
        <v>0</v>
      </c>
      <c r="J606" s="144" t="n">
        <f aca="false">IF(OR($A606="",$I606=0),0,$H606/$I606)</f>
        <v>0</v>
      </c>
      <c r="K606" s="40" t="n">
        <f aca="false">IF($A606="",0,$A606-SUMPRODUCT(MIN(($C$8:$C$1007=$C606)*$A$8:$A$1007+($C$8:$C$1007&lt;&gt;$C606)*100000))+1)</f>
        <v>0</v>
      </c>
      <c r="L606" s="26" t="str">
        <f aca="false">IF($A606="","",IF($J606=0,"Sem registro anterior",IF($K606&lt;21,"Histórico insuficiente",IF($J606&lt;0.8,"Subcarga",IF($J606&lt;=1.3,"Zona ideal",IF($J606&lt;=1.5,"Atenção","Risco elevado"))))))</f>
        <v/>
      </c>
      <c r="M606" s="27"/>
    </row>
    <row r="607" customFormat="false" ht="15" hidden="false" customHeight="false" outlineLevel="0" collapsed="false">
      <c r="A607" s="29"/>
      <c r="B607" s="40" t="n">
        <f aca="false">IF($A607="",0,INT(($A607-Macrociclo!$C$11)/7)+1)</f>
        <v>0</v>
      </c>
      <c r="C607" s="27"/>
      <c r="D607" s="27"/>
      <c r="E607" s="28"/>
      <c r="F607" s="28"/>
      <c r="G607" s="44" t="n">
        <f aca="false">IF(OR($E607="",$F607=""),0,$E607*$F607)</f>
        <v>0</v>
      </c>
      <c r="H607" s="44" t="n">
        <f aca="false">IF($A607="",0,SUMIFS($G$8:$G$1007,$C$8:$C$1007,$C607,$A$8:$A$1007,"&gt;="&amp;$A607-6,$A$8:$A$1007,"&lt;="&amp;$A607))</f>
        <v>0</v>
      </c>
      <c r="I607" s="44" t="n">
        <f aca="false">IF($A607="",0,SUMIFS($G$8:$G$1007,$C$8:$C$1007,$C607,$A$8:$A$1007,"&gt;="&amp;$A607-27,$A$8:$A$1007,"&lt;="&amp;$A607)/4)</f>
        <v>0</v>
      </c>
      <c r="J607" s="144" t="n">
        <f aca="false">IF(OR($A607="",$I607=0),0,$H607/$I607)</f>
        <v>0</v>
      </c>
      <c r="K607" s="40" t="n">
        <f aca="false">IF($A607="",0,$A607-SUMPRODUCT(MIN(($C$8:$C$1007=$C607)*$A$8:$A$1007+($C$8:$C$1007&lt;&gt;$C607)*100000))+1)</f>
        <v>0</v>
      </c>
      <c r="L607" s="26" t="str">
        <f aca="false">IF($A607="","",IF($J607=0,"Sem registro anterior",IF($K607&lt;21,"Histórico insuficiente",IF($J607&lt;0.8,"Subcarga",IF($J607&lt;=1.3,"Zona ideal",IF($J607&lt;=1.5,"Atenção","Risco elevado"))))))</f>
        <v/>
      </c>
      <c r="M607" s="27"/>
    </row>
    <row r="608" customFormat="false" ht="15" hidden="false" customHeight="false" outlineLevel="0" collapsed="false">
      <c r="A608" s="29"/>
      <c r="B608" s="40" t="n">
        <f aca="false">IF($A608="",0,INT(($A608-Macrociclo!$C$11)/7)+1)</f>
        <v>0</v>
      </c>
      <c r="C608" s="27"/>
      <c r="D608" s="27"/>
      <c r="E608" s="28"/>
      <c r="F608" s="28"/>
      <c r="G608" s="44" t="n">
        <f aca="false">IF(OR($E608="",$F608=""),0,$E608*$F608)</f>
        <v>0</v>
      </c>
      <c r="H608" s="44" t="n">
        <f aca="false">IF($A608="",0,SUMIFS($G$8:$G$1007,$C$8:$C$1007,$C608,$A$8:$A$1007,"&gt;="&amp;$A608-6,$A$8:$A$1007,"&lt;="&amp;$A608))</f>
        <v>0</v>
      </c>
      <c r="I608" s="44" t="n">
        <f aca="false">IF($A608="",0,SUMIFS($G$8:$G$1007,$C$8:$C$1007,$C608,$A$8:$A$1007,"&gt;="&amp;$A608-27,$A$8:$A$1007,"&lt;="&amp;$A608)/4)</f>
        <v>0</v>
      </c>
      <c r="J608" s="144" t="n">
        <f aca="false">IF(OR($A608="",$I608=0),0,$H608/$I608)</f>
        <v>0</v>
      </c>
      <c r="K608" s="40" t="n">
        <f aca="false">IF($A608="",0,$A608-SUMPRODUCT(MIN(($C$8:$C$1007=$C608)*$A$8:$A$1007+($C$8:$C$1007&lt;&gt;$C608)*100000))+1)</f>
        <v>0</v>
      </c>
      <c r="L608" s="26" t="str">
        <f aca="false">IF($A608="","",IF($J608=0,"Sem registro anterior",IF($K608&lt;21,"Histórico insuficiente",IF($J608&lt;0.8,"Subcarga",IF($J608&lt;=1.3,"Zona ideal",IF($J608&lt;=1.5,"Atenção","Risco elevado"))))))</f>
        <v/>
      </c>
      <c r="M608" s="27"/>
    </row>
    <row r="609" customFormat="false" ht="15" hidden="false" customHeight="false" outlineLevel="0" collapsed="false">
      <c r="A609" s="29"/>
      <c r="B609" s="40" t="n">
        <f aca="false">IF($A609="",0,INT(($A609-Macrociclo!$C$11)/7)+1)</f>
        <v>0</v>
      </c>
      <c r="C609" s="27"/>
      <c r="D609" s="27"/>
      <c r="E609" s="28"/>
      <c r="F609" s="28"/>
      <c r="G609" s="44" t="n">
        <f aca="false">IF(OR($E609="",$F609=""),0,$E609*$F609)</f>
        <v>0</v>
      </c>
      <c r="H609" s="44" t="n">
        <f aca="false">IF($A609="",0,SUMIFS($G$8:$G$1007,$C$8:$C$1007,$C609,$A$8:$A$1007,"&gt;="&amp;$A609-6,$A$8:$A$1007,"&lt;="&amp;$A609))</f>
        <v>0</v>
      </c>
      <c r="I609" s="44" t="n">
        <f aca="false">IF($A609="",0,SUMIFS($G$8:$G$1007,$C$8:$C$1007,$C609,$A$8:$A$1007,"&gt;="&amp;$A609-27,$A$8:$A$1007,"&lt;="&amp;$A609)/4)</f>
        <v>0</v>
      </c>
      <c r="J609" s="144" t="n">
        <f aca="false">IF(OR($A609="",$I609=0),0,$H609/$I609)</f>
        <v>0</v>
      </c>
      <c r="K609" s="40" t="n">
        <f aca="false">IF($A609="",0,$A609-SUMPRODUCT(MIN(($C$8:$C$1007=$C609)*$A$8:$A$1007+($C$8:$C$1007&lt;&gt;$C609)*100000))+1)</f>
        <v>0</v>
      </c>
      <c r="L609" s="26" t="str">
        <f aca="false">IF($A609="","",IF($J609=0,"Sem registro anterior",IF($K609&lt;21,"Histórico insuficiente",IF($J609&lt;0.8,"Subcarga",IF($J609&lt;=1.3,"Zona ideal",IF($J609&lt;=1.5,"Atenção","Risco elevado"))))))</f>
        <v/>
      </c>
      <c r="M609" s="27"/>
    </row>
    <row r="610" customFormat="false" ht="15" hidden="false" customHeight="false" outlineLevel="0" collapsed="false">
      <c r="A610" s="29"/>
      <c r="B610" s="40" t="n">
        <f aca="false">IF($A610="",0,INT(($A610-Macrociclo!$C$11)/7)+1)</f>
        <v>0</v>
      </c>
      <c r="C610" s="27"/>
      <c r="D610" s="27"/>
      <c r="E610" s="28"/>
      <c r="F610" s="28"/>
      <c r="G610" s="44" t="n">
        <f aca="false">IF(OR($E610="",$F610=""),0,$E610*$F610)</f>
        <v>0</v>
      </c>
      <c r="H610" s="44" t="n">
        <f aca="false">IF($A610="",0,SUMIFS($G$8:$G$1007,$C$8:$C$1007,$C610,$A$8:$A$1007,"&gt;="&amp;$A610-6,$A$8:$A$1007,"&lt;="&amp;$A610))</f>
        <v>0</v>
      </c>
      <c r="I610" s="44" t="n">
        <f aca="false">IF($A610="",0,SUMIFS($G$8:$G$1007,$C$8:$C$1007,$C610,$A$8:$A$1007,"&gt;="&amp;$A610-27,$A$8:$A$1007,"&lt;="&amp;$A610)/4)</f>
        <v>0</v>
      </c>
      <c r="J610" s="144" t="n">
        <f aca="false">IF(OR($A610="",$I610=0),0,$H610/$I610)</f>
        <v>0</v>
      </c>
      <c r="K610" s="40" t="n">
        <f aca="false">IF($A610="",0,$A610-SUMPRODUCT(MIN(($C$8:$C$1007=$C610)*$A$8:$A$1007+($C$8:$C$1007&lt;&gt;$C610)*100000))+1)</f>
        <v>0</v>
      </c>
      <c r="L610" s="26" t="str">
        <f aca="false">IF($A610="","",IF($J610=0,"Sem registro anterior",IF($K610&lt;21,"Histórico insuficiente",IF($J610&lt;0.8,"Subcarga",IF($J610&lt;=1.3,"Zona ideal",IF($J610&lt;=1.5,"Atenção","Risco elevado"))))))</f>
        <v/>
      </c>
      <c r="M610" s="27"/>
    </row>
    <row r="611" customFormat="false" ht="15" hidden="false" customHeight="false" outlineLevel="0" collapsed="false">
      <c r="A611" s="29"/>
      <c r="B611" s="40" t="n">
        <f aca="false">IF($A611="",0,INT(($A611-Macrociclo!$C$11)/7)+1)</f>
        <v>0</v>
      </c>
      <c r="C611" s="27"/>
      <c r="D611" s="27"/>
      <c r="E611" s="28"/>
      <c r="F611" s="28"/>
      <c r="G611" s="44" t="n">
        <f aca="false">IF(OR($E611="",$F611=""),0,$E611*$F611)</f>
        <v>0</v>
      </c>
      <c r="H611" s="44" t="n">
        <f aca="false">IF($A611="",0,SUMIFS($G$8:$G$1007,$C$8:$C$1007,$C611,$A$8:$A$1007,"&gt;="&amp;$A611-6,$A$8:$A$1007,"&lt;="&amp;$A611))</f>
        <v>0</v>
      </c>
      <c r="I611" s="44" t="n">
        <f aca="false">IF($A611="",0,SUMIFS($G$8:$G$1007,$C$8:$C$1007,$C611,$A$8:$A$1007,"&gt;="&amp;$A611-27,$A$8:$A$1007,"&lt;="&amp;$A611)/4)</f>
        <v>0</v>
      </c>
      <c r="J611" s="144" t="n">
        <f aca="false">IF(OR($A611="",$I611=0),0,$H611/$I611)</f>
        <v>0</v>
      </c>
      <c r="K611" s="40" t="n">
        <f aca="false">IF($A611="",0,$A611-SUMPRODUCT(MIN(($C$8:$C$1007=$C611)*$A$8:$A$1007+($C$8:$C$1007&lt;&gt;$C611)*100000))+1)</f>
        <v>0</v>
      </c>
      <c r="L611" s="26" t="str">
        <f aca="false">IF($A611="","",IF($J611=0,"Sem registro anterior",IF($K611&lt;21,"Histórico insuficiente",IF($J611&lt;0.8,"Subcarga",IF($J611&lt;=1.3,"Zona ideal",IF($J611&lt;=1.5,"Atenção","Risco elevado"))))))</f>
        <v/>
      </c>
      <c r="M611" s="27"/>
    </row>
    <row r="612" customFormat="false" ht="15" hidden="false" customHeight="false" outlineLevel="0" collapsed="false">
      <c r="A612" s="29"/>
      <c r="B612" s="40" t="n">
        <f aca="false">IF($A612="",0,INT(($A612-Macrociclo!$C$11)/7)+1)</f>
        <v>0</v>
      </c>
      <c r="C612" s="27"/>
      <c r="D612" s="27"/>
      <c r="E612" s="28"/>
      <c r="F612" s="28"/>
      <c r="G612" s="44" t="n">
        <f aca="false">IF(OR($E612="",$F612=""),0,$E612*$F612)</f>
        <v>0</v>
      </c>
      <c r="H612" s="44" t="n">
        <f aca="false">IF($A612="",0,SUMIFS($G$8:$G$1007,$C$8:$C$1007,$C612,$A$8:$A$1007,"&gt;="&amp;$A612-6,$A$8:$A$1007,"&lt;="&amp;$A612))</f>
        <v>0</v>
      </c>
      <c r="I612" s="44" t="n">
        <f aca="false">IF($A612="",0,SUMIFS($G$8:$G$1007,$C$8:$C$1007,$C612,$A$8:$A$1007,"&gt;="&amp;$A612-27,$A$8:$A$1007,"&lt;="&amp;$A612)/4)</f>
        <v>0</v>
      </c>
      <c r="J612" s="144" t="n">
        <f aca="false">IF(OR($A612="",$I612=0),0,$H612/$I612)</f>
        <v>0</v>
      </c>
      <c r="K612" s="40" t="n">
        <f aca="false">IF($A612="",0,$A612-SUMPRODUCT(MIN(($C$8:$C$1007=$C612)*$A$8:$A$1007+($C$8:$C$1007&lt;&gt;$C612)*100000))+1)</f>
        <v>0</v>
      </c>
      <c r="L612" s="26" t="str">
        <f aca="false">IF($A612="","",IF($J612=0,"Sem registro anterior",IF($K612&lt;21,"Histórico insuficiente",IF($J612&lt;0.8,"Subcarga",IF($J612&lt;=1.3,"Zona ideal",IF($J612&lt;=1.5,"Atenção","Risco elevado"))))))</f>
        <v/>
      </c>
      <c r="M612" s="27"/>
    </row>
    <row r="613" customFormat="false" ht="15" hidden="false" customHeight="false" outlineLevel="0" collapsed="false">
      <c r="A613" s="29"/>
      <c r="B613" s="40" t="n">
        <f aca="false">IF($A613="",0,INT(($A613-Macrociclo!$C$11)/7)+1)</f>
        <v>0</v>
      </c>
      <c r="C613" s="27"/>
      <c r="D613" s="27"/>
      <c r="E613" s="28"/>
      <c r="F613" s="28"/>
      <c r="G613" s="44" t="n">
        <f aca="false">IF(OR($E613="",$F613=""),0,$E613*$F613)</f>
        <v>0</v>
      </c>
      <c r="H613" s="44" t="n">
        <f aca="false">IF($A613="",0,SUMIFS($G$8:$G$1007,$C$8:$C$1007,$C613,$A$8:$A$1007,"&gt;="&amp;$A613-6,$A$8:$A$1007,"&lt;="&amp;$A613))</f>
        <v>0</v>
      </c>
      <c r="I613" s="44" t="n">
        <f aca="false">IF($A613="",0,SUMIFS($G$8:$G$1007,$C$8:$C$1007,$C613,$A$8:$A$1007,"&gt;="&amp;$A613-27,$A$8:$A$1007,"&lt;="&amp;$A613)/4)</f>
        <v>0</v>
      </c>
      <c r="J613" s="144" t="n">
        <f aca="false">IF(OR($A613="",$I613=0),0,$H613/$I613)</f>
        <v>0</v>
      </c>
      <c r="K613" s="40" t="n">
        <f aca="false">IF($A613="",0,$A613-SUMPRODUCT(MIN(($C$8:$C$1007=$C613)*$A$8:$A$1007+($C$8:$C$1007&lt;&gt;$C613)*100000))+1)</f>
        <v>0</v>
      </c>
      <c r="L613" s="26" t="str">
        <f aca="false">IF($A613="","",IF($J613=0,"Sem registro anterior",IF($K613&lt;21,"Histórico insuficiente",IF($J613&lt;0.8,"Subcarga",IF($J613&lt;=1.3,"Zona ideal",IF($J613&lt;=1.5,"Atenção","Risco elevado"))))))</f>
        <v/>
      </c>
      <c r="M613" s="27"/>
    </row>
    <row r="614" customFormat="false" ht="15" hidden="false" customHeight="false" outlineLevel="0" collapsed="false">
      <c r="A614" s="29"/>
      <c r="B614" s="40" t="n">
        <f aca="false">IF($A614="",0,INT(($A614-Macrociclo!$C$11)/7)+1)</f>
        <v>0</v>
      </c>
      <c r="C614" s="27"/>
      <c r="D614" s="27"/>
      <c r="E614" s="28"/>
      <c r="F614" s="28"/>
      <c r="G614" s="44" t="n">
        <f aca="false">IF(OR($E614="",$F614=""),0,$E614*$F614)</f>
        <v>0</v>
      </c>
      <c r="H614" s="44" t="n">
        <f aca="false">IF($A614="",0,SUMIFS($G$8:$G$1007,$C$8:$C$1007,$C614,$A$8:$A$1007,"&gt;="&amp;$A614-6,$A$8:$A$1007,"&lt;="&amp;$A614))</f>
        <v>0</v>
      </c>
      <c r="I614" s="44" t="n">
        <f aca="false">IF($A614="",0,SUMIFS($G$8:$G$1007,$C$8:$C$1007,$C614,$A$8:$A$1007,"&gt;="&amp;$A614-27,$A$8:$A$1007,"&lt;="&amp;$A614)/4)</f>
        <v>0</v>
      </c>
      <c r="J614" s="144" t="n">
        <f aca="false">IF(OR($A614="",$I614=0),0,$H614/$I614)</f>
        <v>0</v>
      </c>
      <c r="K614" s="40" t="n">
        <f aca="false">IF($A614="",0,$A614-SUMPRODUCT(MIN(($C$8:$C$1007=$C614)*$A$8:$A$1007+($C$8:$C$1007&lt;&gt;$C614)*100000))+1)</f>
        <v>0</v>
      </c>
      <c r="L614" s="26" t="str">
        <f aca="false">IF($A614="","",IF($J614=0,"Sem registro anterior",IF($K614&lt;21,"Histórico insuficiente",IF($J614&lt;0.8,"Subcarga",IF($J614&lt;=1.3,"Zona ideal",IF($J614&lt;=1.5,"Atenção","Risco elevado"))))))</f>
        <v/>
      </c>
      <c r="M614" s="27"/>
    </row>
    <row r="615" customFormat="false" ht="15" hidden="false" customHeight="false" outlineLevel="0" collapsed="false">
      <c r="A615" s="29"/>
      <c r="B615" s="40" t="n">
        <f aca="false">IF($A615="",0,INT(($A615-Macrociclo!$C$11)/7)+1)</f>
        <v>0</v>
      </c>
      <c r="C615" s="27"/>
      <c r="D615" s="27"/>
      <c r="E615" s="28"/>
      <c r="F615" s="28"/>
      <c r="G615" s="44" t="n">
        <f aca="false">IF(OR($E615="",$F615=""),0,$E615*$F615)</f>
        <v>0</v>
      </c>
      <c r="H615" s="44" t="n">
        <f aca="false">IF($A615="",0,SUMIFS($G$8:$G$1007,$C$8:$C$1007,$C615,$A$8:$A$1007,"&gt;="&amp;$A615-6,$A$8:$A$1007,"&lt;="&amp;$A615))</f>
        <v>0</v>
      </c>
      <c r="I615" s="44" t="n">
        <f aca="false">IF($A615="",0,SUMIFS($G$8:$G$1007,$C$8:$C$1007,$C615,$A$8:$A$1007,"&gt;="&amp;$A615-27,$A$8:$A$1007,"&lt;="&amp;$A615)/4)</f>
        <v>0</v>
      </c>
      <c r="J615" s="144" t="n">
        <f aca="false">IF(OR($A615="",$I615=0),0,$H615/$I615)</f>
        <v>0</v>
      </c>
      <c r="K615" s="40" t="n">
        <f aca="false">IF($A615="",0,$A615-SUMPRODUCT(MIN(($C$8:$C$1007=$C615)*$A$8:$A$1007+($C$8:$C$1007&lt;&gt;$C615)*100000))+1)</f>
        <v>0</v>
      </c>
      <c r="L615" s="26" t="str">
        <f aca="false">IF($A615="","",IF($J615=0,"Sem registro anterior",IF($K615&lt;21,"Histórico insuficiente",IF($J615&lt;0.8,"Subcarga",IF($J615&lt;=1.3,"Zona ideal",IF($J615&lt;=1.5,"Atenção","Risco elevado"))))))</f>
        <v/>
      </c>
      <c r="M615" s="27"/>
    </row>
    <row r="616" customFormat="false" ht="15" hidden="false" customHeight="false" outlineLevel="0" collapsed="false">
      <c r="A616" s="29"/>
      <c r="B616" s="40" t="n">
        <f aca="false">IF($A616="",0,INT(($A616-Macrociclo!$C$11)/7)+1)</f>
        <v>0</v>
      </c>
      <c r="C616" s="27"/>
      <c r="D616" s="27"/>
      <c r="E616" s="28"/>
      <c r="F616" s="28"/>
      <c r="G616" s="44" t="n">
        <f aca="false">IF(OR($E616="",$F616=""),0,$E616*$F616)</f>
        <v>0</v>
      </c>
      <c r="H616" s="44" t="n">
        <f aca="false">IF($A616="",0,SUMIFS($G$8:$G$1007,$C$8:$C$1007,$C616,$A$8:$A$1007,"&gt;="&amp;$A616-6,$A$8:$A$1007,"&lt;="&amp;$A616))</f>
        <v>0</v>
      </c>
      <c r="I616" s="44" t="n">
        <f aca="false">IF($A616="",0,SUMIFS($G$8:$G$1007,$C$8:$C$1007,$C616,$A$8:$A$1007,"&gt;="&amp;$A616-27,$A$8:$A$1007,"&lt;="&amp;$A616)/4)</f>
        <v>0</v>
      </c>
      <c r="J616" s="144" t="n">
        <f aca="false">IF(OR($A616="",$I616=0),0,$H616/$I616)</f>
        <v>0</v>
      </c>
      <c r="K616" s="40" t="n">
        <f aca="false">IF($A616="",0,$A616-SUMPRODUCT(MIN(($C$8:$C$1007=$C616)*$A$8:$A$1007+($C$8:$C$1007&lt;&gt;$C616)*100000))+1)</f>
        <v>0</v>
      </c>
      <c r="L616" s="26" t="str">
        <f aca="false">IF($A616="","",IF($J616=0,"Sem registro anterior",IF($K616&lt;21,"Histórico insuficiente",IF($J616&lt;0.8,"Subcarga",IF($J616&lt;=1.3,"Zona ideal",IF($J616&lt;=1.5,"Atenção","Risco elevado"))))))</f>
        <v/>
      </c>
      <c r="M616" s="27"/>
    </row>
    <row r="617" customFormat="false" ht="15" hidden="false" customHeight="false" outlineLevel="0" collapsed="false">
      <c r="A617" s="29"/>
      <c r="B617" s="40" t="n">
        <f aca="false">IF($A617="",0,INT(($A617-Macrociclo!$C$11)/7)+1)</f>
        <v>0</v>
      </c>
      <c r="C617" s="27"/>
      <c r="D617" s="27"/>
      <c r="E617" s="28"/>
      <c r="F617" s="28"/>
      <c r="G617" s="44" t="n">
        <f aca="false">IF(OR($E617="",$F617=""),0,$E617*$F617)</f>
        <v>0</v>
      </c>
      <c r="H617" s="44" t="n">
        <f aca="false">IF($A617="",0,SUMIFS($G$8:$G$1007,$C$8:$C$1007,$C617,$A$8:$A$1007,"&gt;="&amp;$A617-6,$A$8:$A$1007,"&lt;="&amp;$A617))</f>
        <v>0</v>
      </c>
      <c r="I617" s="44" t="n">
        <f aca="false">IF($A617="",0,SUMIFS($G$8:$G$1007,$C$8:$C$1007,$C617,$A$8:$A$1007,"&gt;="&amp;$A617-27,$A$8:$A$1007,"&lt;="&amp;$A617)/4)</f>
        <v>0</v>
      </c>
      <c r="J617" s="144" t="n">
        <f aca="false">IF(OR($A617="",$I617=0),0,$H617/$I617)</f>
        <v>0</v>
      </c>
      <c r="K617" s="40" t="n">
        <f aca="false">IF($A617="",0,$A617-SUMPRODUCT(MIN(($C$8:$C$1007=$C617)*$A$8:$A$1007+($C$8:$C$1007&lt;&gt;$C617)*100000))+1)</f>
        <v>0</v>
      </c>
      <c r="L617" s="26" t="str">
        <f aca="false">IF($A617="","",IF($J617=0,"Sem registro anterior",IF($K617&lt;21,"Histórico insuficiente",IF($J617&lt;0.8,"Subcarga",IF($J617&lt;=1.3,"Zona ideal",IF($J617&lt;=1.5,"Atenção","Risco elevado"))))))</f>
        <v/>
      </c>
      <c r="M617" s="27"/>
    </row>
    <row r="618" customFormat="false" ht="15" hidden="false" customHeight="false" outlineLevel="0" collapsed="false">
      <c r="A618" s="29"/>
      <c r="B618" s="40" t="n">
        <f aca="false">IF($A618="",0,INT(($A618-Macrociclo!$C$11)/7)+1)</f>
        <v>0</v>
      </c>
      <c r="C618" s="27"/>
      <c r="D618" s="27"/>
      <c r="E618" s="28"/>
      <c r="F618" s="28"/>
      <c r="G618" s="44" t="n">
        <f aca="false">IF(OR($E618="",$F618=""),0,$E618*$F618)</f>
        <v>0</v>
      </c>
      <c r="H618" s="44" t="n">
        <f aca="false">IF($A618="",0,SUMIFS($G$8:$G$1007,$C$8:$C$1007,$C618,$A$8:$A$1007,"&gt;="&amp;$A618-6,$A$8:$A$1007,"&lt;="&amp;$A618))</f>
        <v>0</v>
      </c>
      <c r="I618" s="44" t="n">
        <f aca="false">IF($A618="",0,SUMIFS($G$8:$G$1007,$C$8:$C$1007,$C618,$A$8:$A$1007,"&gt;="&amp;$A618-27,$A$8:$A$1007,"&lt;="&amp;$A618)/4)</f>
        <v>0</v>
      </c>
      <c r="J618" s="144" t="n">
        <f aca="false">IF(OR($A618="",$I618=0),0,$H618/$I618)</f>
        <v>0</v>
      </c>
      <c r="K618" s="40" t="n">
        <f aca="false">IF($A618="",0,$A618-SUMPRODUCT(MIN(($C$8:$C$1007=$C618)*$A$8:$A$1007+($C$8:$C$1007&lt;&gt;$C618)*100000))+1)</f>
        <v>0</v>
      </c>
      <c r="L618" s="26" t="str">
        <f aca="false">IF($A618="","",IF($J618=0,"Sem registro anterior",IF($K618&lt;21,"Histórico insuficiente",IF($J618&lt;0.8,"Subcarga",IF($J618&lt;=1.3,"Zona ideal",IF($J618&lt;=1.5,"Atenção","Risco elevado"))))))</f>
        <v/>
      </c>
      <c r="M618" s="27"/>
    </row>
    <row r="619" customFormat="false" ht="15" hidden="false" customHeight="false" outlineLevel="0" collapsed="false">
      <c r="A619" s="29"/>
      <c r="B619" s="40" t="n">
        <f aca="false">IF($A619="",0,INT(($A619-Macrociclo!$C$11)/7)+1)</f>
        <v>0</v>
      </c>
      <c r="C619" s="27"/>
      <c r="D619" s="27"/>
      <c r="E619" s="28"/>
      <c r="F619" s="28"/>
      <c r="G619" s="44" t="n">
        <f aca="false">IF(OR($E619="",$F619=""),0,$E619*$F619)</f>
        <v>0</v>
      </c>
      <c r="H619" s="44" t="n">
        <f aca="false">IF($A619="",0,SUMIFS($G$8:$G$1007,$C$8:$C$1007,$C619,$A$8:$A$1007,"&gt;="&amp;$A619-6,$A$8:$A$1007,"&lt;="&amp;$A619))</f>
        <v>0</v>
      </c>
      <c r="I619" s="44" t="n">
        <f aca="false">IF($A619="",0,SUMIFS($G$8:$G$1007,$C$8:$C$1007,$C619,$A$8:$A$1007,"&gt;="&amp;$A619-27,$A$8:$A$1007,"&lt;="&amp;$A619)/4)</f>
        <v>0</v>
      </c>
      <c r="J619" s="144" t="n">
        <f aca="false">IF(OR($A619="",$I619=0),0,$H619/$I619)</f>
        <v>0</v>
      </c>
      <c r="K619" s="40" t="n">
        <f aca="false">IF($A619="",0,$A619-SUMPRODUCT(MIN(($C$8:$C$1007=$C619)*$A$8:$A$1007+($C$8:$C$1007&lt;&gt;$C619)*100000))+1)</f>
        <v>0</v>
      </c>
      <c r="L619" s="26" t="str">
        <f aca="false">IF($A619="","",IF($J619=0,"Sem registro anterior",IF($K619&lt;21,"Histórico insuficiente",IF($J619&lt;0.8,"Subcarga",IF($J619&lt;=1.3,"Zona ideal",IF($J619&lt;=1.5,"Atenção","Risco elevado"))))))</f>
        <v/>
      </c>
      <c r="M619" s="27"/>
    </row>
    <row r="620" customFormat="false" ht="15" hidden="false" customHeight="false" outlineLevel="0" collapsed="false">
      <c r="A620" s="29"/>
      <c r="B620" s="40" t="n">
        <f aca="false">IF($A620="",0,INT(($A620-Macrociclo!$C$11)/7)+1)</f>
        <v>0</v>
      </c>
      <c r="C620" s="27"/>
      <c r="D620" s="27"/>
      <c r="E620" s="28"/>
      <c r="F620" s="28"/>
      <c r="G620" s="44" t="n">
        <f aca="false">IF(OR($E620="",$F620=""),0,$E620*$F620)</f>
        <v>0</v>
      </c>
      <c r="H620" s="44" t="n">
        <f aca="false">IF($A620="",0,SUMIFS($G$8:$G$1007,$C$8:$C$1007,$C620,$A$8:$A$1007,"&gt;="&amp;$A620-6,$A$8:$A$1007,"&lt;="&amp;$A620))</f>
        <v>0</v>
      </c>
      <c r="I620" s="44" t="n">
        <f aca="false">IF($A620="",0,SUMIFS($G$8:$G$1007,$C$8:$C$1007,$C620,$A$8:$A$1007,"&gt;="&amp;$A620-27,$A$8:$A$1007,"&lt;="&amp;$A620)/4)</f>
        <v>0</v>
      </c>
      <c r="J620" s="144" t="n">
        <f aca="false">IF(OR($A620="",$I620=0),0,$H620/$I620)</f>
        <v>0</v>
      </c>
      <c r="K620" s="40" t="n">
        <f aca="false">IF($A620="",0,$A620-SUMPRODUCT(MIN(($C$8:$C$1007=$C620)*$A$8:$A$1007+($C$8:$C$1007&lt;&gt;$C620)*100000))+1)</f>
        <v>0</v>
      </c>
      <c r="L620" s="26" t="str">
        <f aca="false">IF($A620="","",IF($J620=0,"Sem registro anterior",IF($K620&lt;21,"Histórico insuficiente",IF($J620&lt;0.8,"Subcarga",IF($J620&lt;=1.3,"Zona ideal",IF($J620&lt;=1.5,"Atenção","Risco elevado"))))))</f>
        <v/>
      </c>
      <c r="M620" s="27"/>
    </row>
    <row r="621" customFormat="false" ht="15" hidden="false" customHeight="false" outlineLevel="0" collapsed="false">
      <c r="A621" s="29"/>
      <c r="B621" s="40" t="n">
        <f aca="false">IF($A621="",0,INT(($A621-Macrociclo!$C$11)/7)+1)</f>
        <v>0</v>
      </c>
      <c r="C621" s="27"/>
      <c r="D621" s="27"/>
      <c r="E621" s="28"/>
      <c r="F621" s="28"/>
      <c r="G621" s="44" t="n">
        <f aca="false">IF(OR($E621="",$F621=""),0,$E621*$F621)</f>
        <v>0</v>
      </c>
      <c r="H621" s="44" t="n">
        <f aca="false">IF($A621="",0,SUMIFS($G$8:$G$1007,$C$8:$C$1007,$C621,$A$8:$A$1007,"&gt;="&amp;$A621-6,$A$8:$A$1007,"&lt;="&amp;$A621))</f>
        <v>0</v>
      </c>
      <c r="I621" s="44" t="n">
        <f aca="false">IF($A621="",0,SUMIFS($G$8:$G$1007,$C$8:$C$1007,$C621,$A$8:$A$1007,"&gt;="&amp;$A621-27,$A$8:$A$1007,"&lt;="&amp;$A621)/4)</f>
        <v>0</v>
      </c>
      <c r="J621" s="144" t="n">
        <f aca="false">IF(OR($A621="",$I621=0),0,$H621/$I621)</f>
        <v>0</v>
      </c>
      <c r="K621" s="40" t="n">
        <f aca="false">IF($A621="",0,$A621-SUMPRODUCT(MIN(($C$8:$C$1007=$C621)*$A$8:$A$1007+($C$8:$C$1007&lt;&gt;$C621)*100000))+1)</f>
        <v>0</v>
      </c>
      <c r="L621" s="26" t="str">
        <f aca="false">IF($A621="","",IF($J621=0,"Sem registro anterior",IF($K621&lt;21,"Histórico insuficiente",IF($J621&lt;0.8,"Subcarga",IF($J621&lt;=1.3,"Zona ideal",IF($J621&lt;=1.5,"Atenção","Risco elevado"))))))</f>
        <v/>
      </c>
      <c r="M621" s="27"/>
    </row>
    <row r="622" customFormat="false" ht="15" hidden="false" customHeight="false" outlineLevel="0" collapsed="false">
      <c r="A622" s="29"/>
      <c r="B622" s="40" t="n">
        <f aca="false">IF($A622="",0,INT(($A622-Macrociclo!$C$11)/7)+1)</f>
        <v>0</v>
      </c>
      <c r="C622" s="27"/>
      <c r="D622" s="27"/>
      <c r="E622" s="28"/>
      <c r="F622" s="28"/>
      <c r="G622" s="44" t="n">
        <f aca="false">IF(OR($E622="",$F622=""),0,$E622*$F622)</f>
        <v>0</v>
      </c>
      <c r="H622" s="44" t="n">
        <f aca="false">IF($A622="",0,SUMIFS($G$8:$G$1007,$C$8:$C$1007,$C622,$A$8:$A$1007,"&gt;="&amp;$A622-6,$A$8:$A$1007,"&lt;="&amp;$A622))</f>
        <v>0</v>
      </c>
      <c r="I622" s="44" t="n">
        <f aca="false">IF($A622="",0,SUMIFS($G$8:$G$1007,$C$8:$C$1007,$C622,$A$8:$A$1007,"&gt;="&amp;$A622-27,$A$8:$A$1007,"&lt;="&amp;$A622)/4)</f>
        <v>0</v>
      </c>
      <c r="J622" s="144" t="n">
        <f aca="false">IF(OR($A622="",$I622=0),0,$H622/$I622)</f>
        <v>0</v>
      </c>
      <c r="K622" s="40" t="n">
        <f aca="false">IF($A622="",0,$A622-SUMPRODUCT(MIN(($C$8:$C$1007=$C622)*$A$8:$A$1007+($C$8:$C$1007&lt;&gt;$C622)*100000))+1)</f>
        <v>0</v>
      </c>
      <c r="L622" s="26" t="str">
        <f aca="false">IF($A622="","",IF($J622=0,"Sem registro anterior",IF($K622&lt;21,"Histórico insuficiente",IF($J622&lt;0.8,"Subcarga",IF($J622&lt;=1.3,"Zona ideal",IF($J622&lt;=1.5,"Atenção","Risco elevado"))))))</f>
        <v/>
      </c>
      <c r="M622" s="27"/>
    </row>
    <row r="623" customFormat="false" ht="15" hidden="false" customHeight="false" outlineLevel="0" collapsed="false">
      <c r="A623" s="29"/>
      <c r="B623" s="40" t="n">
        <f aca="false">IF($A623="",0,INT(($A623-Macrociclo!$C$11)/7)+1)</f>
        <v>0</v>
      </c>
      <c r="C623" s="27"/>
      <c r="D623" s="27"/>
      <c r="E623" s="28"/>
      <c r="F623" s="28"/>
      <c r="G623" s="44" t="n">
        <f aca="false">IF(OR($E623="",$F623=""),0,$E623*$F623)</f>
        <v>0</v>
      </c>
      <c r="H623" s="44" t="n">
        <f aca="false">IF($A623="",0,SUMIFS($G$8:$G$1007,$C$8:$C$1007,$C623,$A$8:$A$1007,"&gt;="&amp;$A623-6,$A$8:$A$1007,"&lt;="&amp;$A623))</f>
        <v>0</v>
      </c>
      <c r="I623" s="44" t="n">
        <f aca="false">IF($A623="",0,SUMIFS($G$8:$G$1007,$C$8:$C$1007,$C623,$A$8:$A$1007,"&gt;="&amp;$A623-27,$A$8:$A$1007,"&lt;="&amp;$A623)/4)</f>
        <v>0</v>
      </c>
      <c r="J623" s="144" t="n">
        <f aca="false">IF(OR($A623="",$I623=0),0,$H623/$I623)</f>
        <v>0</v>
      </c>
      <c r="K623" s="40" t="n">
        <f aca="false">IF($A623="",0,$A623-SUMPRODUCT(MIN(($C$8:$C$1007=$C623)*$A$8:$A$1007+($C$8:$C$1007&lt;&gt;$C623)*100000))+1)</f>
        <v>0</v>
      </c>
      <c r="L623" s="26" t="str">
        <f aca="false">IF($A623="","",IF($J623=0,"Sem registro anterior",IF($K623&lt;21,"Histórico insuficiente",IF($J623&lt;0.8,"Subcarga",IF($J623&lt;=1.3,"Zona ideal",IF($J623&lt;=1.5,"Atenção","Risco elevado"))))))</f>
        <v/>
      </c>
      <c r="M623" s="27"/>
    </row>
    <row r="624" customFormat="false" ht="15" hidden="false" customHeight="false" outlineLevel="0" collapsed="false">
      <c r="A624" s="29"/>
      <c r="B624" s="40" t="n">
        <f aca="false">IF($A624="",0,INT(($A624-Macrociclo!$C$11)/7)+1)</f>
        <v>0</v>
      </c>
      <c r="C624" s="27"/>
      <c r="D624" s="27"/>
      <c r="E624" s="28"/>
      <c r="F624" s="28"/>
      <c r="G624" s="44" t="n">
        <f aca="false">IF(OR($E624="",$F624=""),0,$E624*$F624)</f>
        <v>0</v>
      </c>
      <c r="H624" s="44" t="n">
        <f aca="false">IF($A624="",0,SUMIFS($G$8:$G$1007,$C$8:$C$1007,$C624,$A$8:$A$1007,"&gt;="&amp;$A624-6,$A$8:$A$1007,"&lt;="&amp;$A624))</f>
        <v>0</v>
      </c>
      <c r="I624" s="44" t="n">
        <f aca="false">IF($A624="",0,SUMIFS($G$8:$G$1007,$C$8:$C$1007,$C624,$A$8:$A$1007,"&gt;="&amp;$A624-27,$A$8:$A$1007,"&lt;="&amp;$A624)/4)</f>
        <v>0</v>
      </c>
      <c r="J624" s="144" t="n">
        <f aca="false">IF(OR($A624="",$I624=0),0,$H624/$I624)</f>
        <v>0</v>
      </c>
      <c r="K624" s="40" t="n">
        <f aca="false">IF($A624="",0,$A624-SUMPRODUCT(MIN(($C$8:$C$1007=$C624)*$A$8:$A$1007+($C$8:$C$1007&lt;&gt;$C624)*100000))+1)</f>
        <v>0</v>
      </c>
      <c r="L624" s="26" t="str">
        <f aca="false">IF($A624="","",IF($J624=0,"Sem registro anterior",IF($K624&lt;21,"Histórico insuficiente",IF($J624&lt;0.8,"Subcarga",IF($J624&lt;=1.3,"Zona ideal",IF($J624&lt;=1.5,"Atenção","Risco elevado"))))))</f>
        <v/>
      </c>
      <c r="M624" s="27"/>
    </row>
    <row r="625" customFormat="false" ht="15" hidden="false" customHeight="false" outlineLevel="0" collapsed="false">
      <c r="A625" s="29"/>
      <c r="B625" s="40" t="n">
        <f aca="false">IF($A625="",0,INT(($A625-Macrociclo!$C$11)/7)+1)</f>
        <v>0</v>
      </c>
      <c r="C625" s="27"/>
      <c r="D625" s="27"/>
      <c r="E625" s="28"/>
      <c r="F625" s="28"/>
      <c r="G625" s="44" t="n">
        <f aca="false">IF(OR($E625="",$F625=""),0,$E625*$F625)</f>
        <v>0</v>
      </c>
      <c r="H625" s="44" t="n">
        <f aca="false">IF($A625="",0,SUMIFS($G$8:$G$1007,$C$8:$C$1007,$C625,$A$8:$A$1007,"&gt;="&amp;$A625-6,$A$8:$A$1007,"&lt;="&amp;$A625))</f>
        <v>0</v>
      </c>
      <c r="I625" s="44" t="n">
        <f aca="false">IF($A625="",0,SUMIFS($G$8:$G$1007,$C$8:$C$1007,$C625,$A$8:$A$1007,"&gt;="&amp;$A625-27,$A$8:$A$1007,"&lt;="&amp;$A625)/4)</f>
        <v>0</v>
      </c>
      <c r="J625" s="144" t="n">
        <f aca="false">IF(OR($A625="",$I625=0),0,$H625/$I625)</f>
        <v>0</v>
      </c>
      <c r="K625" s="40" t="n">
        <f aca="false">IF($A625="",0,$A625-SUMPRODUCT(MIN(($C$8:$C$1007=$C625)*$A$8:$A$1007+($C$8:$C$1007&lt;&gt;$C625)*100000))+1)</f>
        <v>0</v>
      </c>
      <c r="L625" s="26" t="str">
        <f aca="false">IF($A625="","",IF($J625=0,"Sem registro anterior",IF($K625&lt;21,"Histórico insuficiente",IF($J625&lt;0.8,"Subcarga",IF($J625&lt;=1.3,"Zona ideal",IF($J625&lt;=1.5,"Atenção","Risco elevado"))))))</f>
        <v/>
      </c>
      <c r="M625" s="27"/>
    </row>
    <row r="626" customFormat="false" ht="15" hidden="false" customHeight="false" outlineLevel="0" collapsed="false">
      <c r="A626" s="29"/>
      <c r="B626" s="40" t="n">
        <f aca="false">IF($A626="",0,INT(($A626-Macrociclo!$C$11)/7)+1)</f>
        <v>0</v>
      </c>
      <c r="C626" s="27"/>
      <c r="D626" s="27"/>
      <c r="E626" s="28"/>
      <c r="F626" s="28"/>
      <c r="G626" s="44" t="n">
        <f aca="false">IF(OR($E626="",$F626=""),0,$E626*$F626)</f>
        <v>0</v>
      </c>
      <c r="H626" s="44" t="n">
        <f aca="false">IF($A626="",0,SUMIFS($G$8:$G$1007,$C$8:$C$1007,$C626,$A$8:$A$1007,"&gt;="&amp;$A626-6,$A$8:$A$1007,"&lt;="&amp;$A626))</f>
        <v>0</v>
      </c>
      <c r="I626" s="44" t="n">
        <f aca="false">IF($A626="",0,SUMIFS($G$8:$G$1007,$C$8:$C$1007,$C626,$A$8:$A$1007,"&gt;="&amp;$A626-27,$A$8:$A$1007,"&lt;="&amp;$A626)/4)</f>
        <v>0</v>
      </c>
      <c r="J626" s="144" t="n">
        <f aca="false">IF(OR($A626="",$I626=0),0,$H626/$I626)</f>
        <v>0</v>
      </c>
      <c r="K626" s="40" t="n">
        <f aca="false">IF($A626="",0,$A626-SUMPRODUCT(MIN(($C$8:$C$1007=$C626)*$A$8:$A$1007+($C$8:$C$1007&lt;&gt;$C626)*100000))+1)</f>
        <v>0</v>
      </c>
      <c r="L626" s="26" t="str">
        <f aca="false">IF($A626="","",IF($J626=0,"Sem registro anterior",IF($K626&lt;21,"Histórico insuficiente",IF($J626&lt;0.8,"Subcarga",IF($J626&lt;=1.3,"Zona ideal",IF($J626&lt;=1.5,"Atenção","Risco elevado"))))))</f>
        <v/>
      </c>
      <c r="M626" s="27"/>
    </row>
    <row r="627" customFormat="false" ht="15" hidden="false" customHeight="false" outlineLevel="0" collapsed="false">
      <c r="A627" s="29"/>
      <c r="B627" s="40" t="n">
        <f aca="false">IF($A627="",0,INT(($A627-Macrociclo!$C$11)/7)+1)</f>
        <v>0</v>
      </c>
      <c r="C627" s="27"/>
      <c r="D627" s="27"/>
      <c r="E627" s="28"/>
      <c r="F627" s="28"/>
      <c r="G627" s="44" t="n">
        <f aca="false">IF(OR($E627="",$F627=""),0,$E627*$F627)</f>
        <v>0</v>
      </c>
      <c r="H627" s="44" t="n">
        <f aca="false">IF($A627="",0,SUMIFS($G$8:$G$1007,$C$8:$C$1007,$C627,$A$8:$A$1007,"&gt;="&amp;$A627-6,$A$8:$A$1007,"&lt;="&amp;$A627))</f>
        <v>0</v>
      </c>
      <c r="I627" s="44" t="n">
        <f aca="false">IF($A627="",0,SUMIFS($G$8:$G$1007,$C$8:$C$1007,$C627,$A$8:$A$1007,"&gt;="&amp;$A627-27,$A$8:$A$1007,"&lt;="&amp;$A627)/4)</f>
        <v>0</v>
      </c>
      <c r="J627" s="144" t="n">
        <f aca="false">IF(OR($A627="",$I627=0),0,$H627/$I627)</f>
        <v>0</v>
      </c>
      <c r="K627" s="40" t="n">
        <f aca="false">IF($A627="",0,$A627-SUMPRODUCT(MIN(($C$8:$C$1007=$C627)*$A$8:$A$1007+($C$8:$C$1007&lt;&gt;$C627)*100000))+1)</f>
        <v>0</v>
      </c>
      <c r="L627" s="26" t="str">
        <f aca="false">IF($A627="","",IF($J627=0,"Sem registro anterior",IF($K627&lt;21,"Histórico insuficiente",IF($J627&lt;0.8,"Subcarga",IF($J627&lt;=1.3,"Zona ideal",IF($J627&lt;=1.5,"Atenção","Risco elevado"))))))</f>
        <v/>
      </c>
      <c r="M627" s="27"/>
    </row>
    <row r="628" customFormat="false" ht="15" hidden="false" customHeight="false" outlineLevel="0" collapsed="false">
      <c r="A628" s="29"/>
      <c r="B628" s="40" t="n">
        <f aca="false">IF($A628="",0,INT(($A628-Macrociclo!$C$11)/7)+1)</f>
        <v>0</v>
      </c>
      <c r="C628" s="27"/>
      <c r="D628" s="27"/>
      <c r="E628" s="28"/>
      <c r="F628" s="28"/>
      <c r="G628" s="44" t="n">
        <f aca="false">IF(OR($E628="",$F628=""),0,$E628*$F628)</f>
        <v>0</v>
      </c>
      <c r="H628" s="44" t="n">
        <f aca="false">IF($A628="",0,SUMIFS($G$8:$G$1007,$C$8:$C$1007,$C628,$A$8:$A$1007,"&gt;="&amp;$A628-6,$A$8:$A$1007,"&lt;="&amp;$A628))</f>
        <v>0</v>
      </c>
      <c r="I628" s="44" t="n">
        <f aca="false">IF($A628="",0,SUMIFS($G$8:$G$1007,$C$8:$C$1007,$C628,$A$8:$A$1007,"&gt;="&amp;$A628-27,$A$8:$A$1007,"&lt;="&amp;$A628)/4)</f>
        <v>0</v>
      </c>
      <c r="J628" s="144" t="n">
        <f aca="false">IF(OR($A628="",$I628=0),0,$H628/$I628)</f>
        <v>0</v>
      </c>
      <c r="K628" s="40" t="n">
        <f aca="false">IF($A628="",0,$A628-SUMPRODUCT(MIN(($C$8:$C$1007=$C628)*$A$8:$A$1007+($C$8:$C$1007&lt;&gt;$C628)*100000))+1)</f>
        <v>0</v>
      </c>
      <c r="L628" s="26" t="str">
        <f aca="false">IF($A628="","",IF($J628=0,"Sem registro anterior",IF($K628&lt;21,"Histórico insuficiente",IF($J628&lt;0.8,"Subcarga",IF($J628&lt;=1.3,"Zona ideal",IF($J628&lt;=1.5,"Atenção","Risco elevado"))))))</f>
        <v/>
      </c>
      <c r="M628" s="27"/>
    </row>
    <row r="629" customFormat="false" ht="15" hidden="false" customHeight="false" outlineLevel="0" collapsed="false">
      <c r="A629" s="29"/>
      <c r="B629" s="40" t="n">
        <f aca="false">IF($A629="",0,INT(($A629-Macrociclo!$C$11)/7)+1)</f>
        <v>0</v>
      </c>
      <c r="C629" s="27"/>
      <c r="D629" s="27"/>
      <c r="E629" s="28"/>
      <c r="F629" s="28"/>
      <c r="G629" s="44" t="n">
        <f aca="false">IF(OR($E629="",$F629=""),0,$E629*$F629)</f>
        <v>0</v>
      </c>
      <c r="H629" s="44" t="n">
        <f aca="false">IF($A629="",0,SUMIFS($G$8:$G$1007,$C$8:$C$1007,$C629,$A$8:$A$1007,"&gt;="&amp;$A629-6,$A$8:$A$1007,"&lt;="&amp;$A629))</f>
        <v>0</v>
      </c>
      <c r="I629" s="44" t="n">
        <f aca="false">IF($A629="",0,SUMIFS($G$8:$G$1007,$C$8:$C$1007,$C629,$A$8:$A$1007,"&gt;="&amp;$A629-27,$A$8:$A$1007,"&lt;="&amp;$A629)/4)</f>
        <v>0</v>
      </c>
      <c r="J629" s="144" t="n">
        <f aca="false">IF(OR($A629="",$I629=0),0,$H629/$I629)</f>
        <v>0</v>
      </c>
      <c r="K629" s="40" t="n">
        <f aca="false">IF($A629="",0,$A629-SUMPRODUCT(MIN(($C$8:$C$1007=$C629)*$A$8:$A$1007+($C$8:$C$1007&lt;&gt;$C629)*100000))+1)</f>
        <v>0</v>
      </c>
      <c r="L629" s="26" t="str">
        <f aca="false">IF($A629="","",IF($J629=0,"Sem registro anterior",IF($K629&lt;21,"Histórico insuficiente",IF($J629&lt;0.8,"Subcarga",IF($J629&lt;=1.3,"Zona ideal",IF($J629&lt;=1.5,"Atenção","Risco elevado"))))))</f>
        <v/>
      </c>
      <c r="M629" s="27"/>
    </row>
    <row r="630" customFormat="false" ht="15" hidden="false" customHeight="false" outlineLevel="0" collapsed="false">
      <c r="A630" s="29"/>
      <c r="B630" s="40" t="n">
        <f aca="false">IF($A630="",0,INT(($A630-Macrociclo!$C$11)/7)+1)</f>
        <v>0</v>
      </c>
      <c r="C630" s="27"/>
      <c r="D630" s="27"/>
      <c r="E630" s="28"/>
      <c r="F630" s="28"/>
      <c r="G630" s="44" t="n">
        <f aca="false">IF(OR($E630="",$F630=""),0,$E630*$F630)</f>
        <v>0</v>
      </c>
      <c r="H630" s="44" t="n">
        <f aca="false">IF($A630="",0,SUMIFS($G$8:$G$1007,$C$8:$C$1007,$C630,$A$8:$A$1007,"&gt;="&amp;$A630-6,$A$8:$A$1007,"&lt;="&amp;$A630))</f>
        <v>0</v>
      </c>
      <c r="I630" s="44" t="n">
        <f aca="false">IF($A630="",0,SUMIFS($G$8:$G$1007,$C$8:$C$1007,$C630,$A$8:$A$1007,"&gt;="&amp;$A630-27,$A$8:$A$1007,"&lt;="&amp;$A630)/4)</f>
        <v>0</v>
      </c>
      <c r="J630" s="144" t="n">
        <f aca="false">IF(OR($A630="",$I630=0),0,$H630/$I630)</f>
        <v>0</v>
      </c>
      <c r="K630" s="40" t="n">
        <f aca="false">IF($A630="",0,$A630-SUMPRODUCT(MIN(($C$8:$C$1007=$C630)*$A$8:$A$1007+($C$8:$C$1007&lt;&gt;$C630)*100000))+1)</f>
        <v>0</v>
      </c>
      <c r="L630" s="26" t="str">
        <f aca="false">IF($A630="","",IF($J630=0,"Sem registro anterior",IF($K630&lt;21,"Histórico insuficiente",IF($J630&lt;0.8,"Subcarga",IF($J630&lt;=1.3,"Zona ideal",IF($J630&lt;=1.5,"Atenção","Risco elevado"))))))</f>
        <v/>
      </c>
      <c r="M630" s="27"/>
    </row>
    <row r="631" customFormat="false" ht="15" hidden="false" customHeight="false" outlineLevel="0" collapsed="false">
      <c r="A631" s="29"/>
      <c r="B631" s="40" t="n">
        <f aca="false">IF($A631="",0,INT(($A631-Macrociclo!$C$11)/7)+1)</f>
        <v>0</v>
      </c>
      <c r="C631" s="27"/>
      <c r="D631" s="27"/>
      <c r="E631" s="28"/>
      <c r="F631" s="28"/>
      <c r="G631" s="44" t="n">
        <f aca="false">IF(OR($E631="",$F631=""),0,$E631*$F631)</f>
        <v>0</v>
      </c>
      <c r="H631" s="44" t="n">
        <f aca="false">IF($A631="",0,SUMIFS($G$8:$G$1007,$C$8:$C$1007,$C631,$A$8:$A$1007,"&gt;="&amp;$A631-6,$A$8:$A$1007,"&lt;="&amp;$A631))</f>
        <v>0</v>
      </c>
      <c r="I631" s="44" t="n">
        <f aca="false">IF($A631="",0,SUMIFS($G$8:$G$1007,$C$8:$C$1007,$C631,$A$8:$A$1007,"&gt;="&amp;$A631-27,$A$8:$A$1007,"&lt;="&amp;$A631)/4)</f>
        <v>0</v>
      </c>
      <c r="J631" s="144" t="n">
        <f aca="false">IF(OR($A631="",$I631=0),0,$H631/$I631)</f>
        <v>0</v>
      </c>
      <c r="K631" s="40" t="n">
        <f aca="false">IF($A631="",0,$A631-SUMPRODUCT(MIN(($C$8:$C$1007=$C631)*$A$8:$A$1007+($C$8:$C$1007&lt;&gt;$C631)*100000))+1)</f>
        <v>0</v>
      </c>
      <c r="L631" s="26" t="str">
        <f aca="false">IF($A631="","",IF($J631=0,"Sem registro anterior",IF($K631&lt;21,"Histórico insuficiente",IF($J631&lt;0.8,"Subcarga",IF($J631&lt;=1.3,"Zona ideal",IF($J631&lt;=1.5,"Atenção","Risco elevado"))))))</f>
        <v/>
      </c>
      <c r="M631" s="27"/>
    </row>
    <row r="632" customFormat="false" ht="15" hidden="false" customHeight="false" outlineLevel="0" collapsed="false">
      <c r="A632" s="29"/>
      <c r="B632" s="40" t="n">
        <f aca="false">IF($A632="",0,INT(($A632-Macrociclo!$C$11)/7)+1)</f>
        <v>0</v>
      </c>
      <c r="C632" s="27"/>
      <c r="D632" s="27"/>
      <c r="E632" s="28"/>
      <c r="F632" s="28"/>
      <c r="G632" s="44" t="n">
        <f aca="false">IF(OR($E632="",$F632=""),0,$E632*$F632)</f>
        <v>0</v>
      </c>
      <c r="H632" s="44" t="n">
        <f aca="false">IF($A632="",0,SUMIFS($G$8:$G$1007,$C$8:$C$1007,$C632,$A$8:$A$1007,"&gt;="&amp;$A632-6,$A$8:$A$1007,"&lt;="&amp;$A632))</f>
        <v>0</v>
      </c>
      <c r="I632" s="44" t="n">
        <f aca="false">IF($A632="",0,SUMIFS($G$8:$G$1007,$C$8:$C$1007,$C632,$A$8:$A$1007,"&gt;="&amp;$A632-27,$A$8:$A$1007,"&lt;="&amp;$A632)/4)</f>
        <v>0</v>
      </c>
      <c r="J632" s="144" t="n">
        <f aca="false">IF(OR($A632="",$I632=0),0,$H632/$I632)</f>
        <v>0</v>
      </c>
      <c r="K632" s="40" t="n">
        <f aca="false">IF($A632="",0,$A632-SUMPRODUCT(MIN(($C$8:$C$1007=$C632)*$A$8:$A$1007+($C$8:$C$1007&lt;&gt;$C632)*100000))+1)</f>
        <v>0</v>
      </c>
      <c r="L632" s="26" t="str">
        <f aca="false">IF($A632="","",IF($J632=0,"Sem registro anterior",IF($K632&lt;21,"Histórico insuficiente",IF($J632&lt;0.8,"Subcarga",IF($J632&lt;=1.3,"Zona ideal",IF($J632&lt;=1.5,"Atenção","Risco elevado"))))))</f>
        <v/>
      </c>
      <c r="M632" s="27"/>
    </row>
    <row r="633" customFormat="false" ht="15" hidden="false" customHeight="false" outlineLevel="0" collapsed="false">
      <c r="A633" s="29"/>
      <c r="B633" s="40" t="n">
        <f aca="false">IF($A633="",0,INT(($A633-Macrociclo!$C$11)/7)+1)</f>
        <v>0</v>
      </c>
      <c r="C633" s="27"/>
      <c r="D633" s="27"/>
      <c r="E633" s="28"/>
      <c r="F633" s="28"/>
      <c r="G633" s="44" t="n">
        <f aca="false">IF(OR($E633="",$F633=""),0,$E633*$F633)</f>
        <v>0</v>
      </c>
      <c r="H633" s="44" t="n">
        <f aca="false">IF($A633="",0,SUMIFS($G$8:$G$1007,$C$8:$C$1007,$C633,$A$8:$A$1007,"&gt;="&amp;$A633-6,$A$8:$A$1007,"&lt;="&amp;$A633))</f>
        <v>0</v>
      </c>
      <c r="I633" s="44" t="n">
        <f aca="false">IF($A633="",0,SUMIFS($G$8:$G$1007,$C$8:$C$1007,$C633,$A$8:$A$1007,"&gt;="&amp;$A633-27,$A$8:$A$1007,"&lt;="&amp;$A633)/4)</f>
        <v>0</v>
      </c>
      <c r="J633" s="144" t="n">
        <f aca="false">IF(OR($A633="",$I633=0),0,$H633/$I633)</f>
        <v>0</v>
      </c>
      <c r="K633" s="40" t="n">
        <f aca="false">IF($A633="",0,$A633-SUMPRODUCT(MIN(($C$8:$C$1007=$C633)*$A$8:$A$1007+($C$8:$C$1007&lt;&gt;$C633)*100000))+1)</f>
        <v>0</v>
      </c>
      <c r="L633" s="26" t="str">
        <f aca="false">IF($A633="","",IF($J633=0,"Sem registro anterior",IF($K633&lt;21,"Histórico insuficiente",IF($J633&lt;0.8,"Subcarga",IF($J633&lt;=1.3,"Zona ideal",IF($J633&lt;=1.5,"Atenção","Risco elevado"))))))</f>
        <v/>
      </c>
      <c r="M633" s="27"/>
    </row>
    <row r="634" customFormat="false" ht="15" hidden="false" customHeight="false" outlineLevel="0" collapsed="false">
      <c r="A634" s="29"/>
      <c r="B634" s="40" t="n">
        <f aca="false">IF($A634="",0,INT(($A634-Macrociclo!$C$11)/7)+1)</f>
        <v>0</v>
      </c>
      <c r="C634" s="27"/>
      <c r="D634" s="27"/>
      <c r="E634" s="28"/>
      <c r="F634" s="28"/>
      <c r="G634" s="44" t="n">
        <f aca="false">IF(OR($E634="",$F634=""),0,$E634*$F634)</f>
        <v>0</v>
      </c>
      <c r="H634" s="44" t="n">
        <f aca="false">IF($A634="",0,SUMIFS($G$8:$G$1007,$C$8:$C$1007,$C634,$A$8:$A$1007,"&gt;="&amp;$A634-6,$A$8:$A$1007,"&lt;="&amp;$A634))</f>
        <v>0</v>
      </c>
      <c r="I634" s="44" t="n">
        <f aca="false">IF($A634="",0,SUMIFS($G$8:$G$1007,$C$8:$C$1007,$C634,$A$8:$A$1007,"&gt;="&amp;$A634-27,$A$8:$A$1007,"&lt;="&amp;$A634)/4)</f>
        <v>0</v>
      </c>
      <c r="J634" s="144" t="n">
        <f aca="false">IF(OR($A634="",$I634=0),0,$H634/$I634)</f>
        <v>0</v>
      </c>
      <c r="K634" s="40" t="n">
        <f aca="false">IF($A634="",0,$A634-SUMPRODUCT(MIN(($C$8:$C$1007=$C634)*$A$8:$A$1007+($C$8:$C$1007&lt;&gt;$C634)*100000))+1)</f>
        <v>0</v>
      </c>
      <c r="L634" s="26" t="str">
        <f aca="false">IF($A634="","",IF($J634=0,"Sem registro anterior",IF($K634&lt;21,"Histórico insuficiente",IF($J634&lt;0.8,"Subcarga",IF($J634&lt;=1.3,"Zona ideal",IF($J634&lt;=1.5,"Atenção","Risco elevado"))))))</f>
        <v/>
      </c>
      <c r="M634" s="27"/>
    </row>
    <row r="635" customFormat="false" ht="15" hidden="false" customHeight="false" outlineLevel="0" collapsed="false">
      <c r="A635" s="29"/>
      <c r="B635" s="40" t="n">
        <f aca="false">IF($A635="",0,INT(($A635-Macrociclo!$C$11)/7)+1)</f>
        <v>0</v>
      </c>
      <c r="C635" s="27"/>
      <c r="D635" s="27"/>
      <c r="E635" s="28"/>
      <c r="F635" s="28"/>
      <c r="G635" s="44" t="n">
        <f aca="false">IF(OR($E635="",$F635=""),0,$E635*$F635)</f>
        <v>0</v>
      </c>
      <c r="H635" s="44" t="n">
        <f aca="false">IF($A635="",0,SUMIFS($G$8:$G$1007,$C$8:$C$1007,$C635,$A$8:$A$1007,"&gt;="&amp;$A635-6,$A$8:$A$1007,"&lt;="&amp;$A635))</f>
        <v>0</v>
      </c>
      <c r="I635" s="44" t="n">
        <f aca="false">IF($A635="",0,SUMIFS($G$8:$G$1007,$C$8:$C$1007,$C635,$A$8:$A$1007,"&gt;="&amp;$A635-27,$A$8:$A$1007,"&lt;="&amp;$A635)/4)</f>
        <v>0</v>
      </c>
      <c r="J635" s="144" t="n">
        <f aca="false">IF(OR($A635="",$I635=0),0,$H635/$I635)</f>
        <v>0</v>
      </c>
      <c r="K635" s="40" t="n">
        <f aca="false">IF($A635="",0,$A635-SUMPRODUCT(MIN(($C$8:$C$1007=$C635)*$A$8:$A$1007+($C$8:$C$1007&lt;&gt;$C635)*100000))+1)</f>
        <v>0</v>
      </c>
      <c r="L635" s="26" t="str">
        <f aca="false">IF($A635="","",IF($J635=0,"Sem registro anterior",IF($K635&lt;21,"Histórico insuficiente",IF($J635&lt;0.8,"Subcarga",IF($J635&lt;=1.3,"Zona ideal",IF($J635&lt;=1.5,"Atenção","Risco elevado"))))))</f>
        <v/>
      </c>
      <c r="M635" s="27"/>
    </row>
    <row r="636" customFormat="false" ht="15" hidden="false" customHeight="false" outlineLevel="0" collapsed="false">
      <c r="A636" s="29"/>
      <c r="B636" s="40" t="n">
        <f aca="false">IF($A636="",0,INT(($A636-Macrociclo!$C$11)/7)+1)</f>
        <v>0</v>
      </c>
      <c r="C636" s="27"/>
      <c r="D636" s="27"/>
      <c r="E636" s="28"/>
      <c r="F636" s="28"/>
      <c r="G636" s="44" t="n">
        <f aca="false">IF(OR($E636="",$F636=""),0,$E636*$F636)</f>
        <v>0</v>
      </c>
      <c r="H636" s="44" t="n">
        <f aca="false">IF($A636="",0,SUMIFS($G$8:$G$1007,$C$8:$C$1007,$C636,$A$8:$A$1007,"&gt;="&amp;$A636-6,$A$8:$A$1007,"&lt;="&amp;$A636))</f>
        <v>0</v>
      </c>
      <c r="I636" s="44" t="n">
        <f aca="false">IF($A636="",0,SUMIFS($G$8:$G$1007,$C$8:$C$1007,$C636,$A$8:$A$1007,"&gt;="&amp;$A636-27,$A$8:$A$1007,"&lt;="&amp;$A636)/4)</f>
        <v>0</v>
      </c>
      <c r="J636" s="144" t="n">
        <f aca="false">IF(OR($A636="",$I636=0),0,$H636/$I636)</f>
        <v>0</v>
      </c>
      <c r="K636" s="40" t="n">
        <f aca="false">IF($A636="",0,$A636-SUMPRODUCT(MIN(($C$8:$C$1007=$C636)*$A$8:$A$1007+($C$8:$C$1007&lt;&gt;$C636)*100000))+1)</f>
        <v>0</v>
      </c>
      <c r="L636" s="26" t="str">
        <f aca="false">IF($A636="","",IF($J636=0,"Sem registro anterior",IF($K636&lt;21,"Histórico insuficiente",IF($J636&lt;0.8,"Subcarga",IF($J636&lt;=1.3,"Zona ideal",IF($J636&lt;=1.5,"Atenção","Risco elevado"))))))</f>
        <v/>
      </c>
      <c r="M636" s="27"/>
    </row>
    <row r="637" customFormat="false" ht="15" hidden="false" customHeight="false" outlineLevel="0" collapsed="false">
      <c r="A637" s="29"/>
      <c r="B637" s="40" t="n">
        <f aca="false">IF($A637="",0,INT(($A637-Macrociclo!$C$11)/7)+1)</f>
        <v>0</v>
      </c>
      <c r="C637" s="27"/>
      <c r="D637" s="27"/>
      <c r="E637" s="28"/>
      <c r="F637" s="28"/>
      <c r="G637" s="44" t="n">
        <f aca="false">IF(OR($E637="",$F637=""),0,$E637*$F637)</f>
        <v>0</v>
      </c>
      <c r="H637" s="44" t="n">
        <f aca="false">IF($A637="",0,SUMIFS($G$8:$G$1007,$C$8:$C$1007,$C637,$A$8:$A$1007,"&gt;="&amp;$A637-6,$A$8:$A$1007,"&lt;="&amp;$A637))</f>
        <v>0</v>
      </c>
      <c r="I637" s="44" t="n">
        <f aca="false">IF($A637="",0,SUMIFS($G$8:$G$1007,$C$8:$C$1007,$C637,$A$8:$A$1007,"&gt;="&amp;$A637-27,$A$8:$A$1007,"&lt;="&amp;$A637)/4)</f>
        <v>0</v>
      </c>
      <c r="J637" s="144" t="n">
        <f aca="false">IF(OR($A637="",$I637=0),0,$H637/$I637)</f>
        <v>0</v>
      </c>
      <c r="K637" s="40" t="n">
        <f aca="false">IF($A637="",0,$A637-SUMPRODUCT(MIN(($C$8:$C$1007=$C637)*$A$8:$A$1007+($C$8:$C$1007&lt;&gt;$C637)*100000))+1)</f>
        <v>0</v>
      </c>
      <c r="L637" s="26" t="str">
        <f aca="false">IF($A637="","",IF($J637=0,"Sem registro anterior",IF($K637&lt;21,"Histórico insuficiente",IF($J637&lt;0.8,"Subcarga",IF($J637&lt;=1.3,"Zona ideal",IF($J637&lt;=1.5,"Atenção","Risco elevado"))))))</f>
        <v/>
      </c>
      <c r="M637" s="27"/>
    </row>
    <row r="638" customFormat="false" ht="15" hidden="false" customHeight="false" outlineLevel="0" collapsed="false">
      <c r="A638" s="29"/>
      <c r="B638" s="40" t="n">
        <f aca="false">IF($A638="",0,INT(($A638-Macrociclo!$C$11)/7)+1)</f>
        <v>0</v>
      </c>
      <c r="C638" s="27"/>
      <c r="D638" s="27"/>
      <c r="E638" s="28"/>
      <c r="F638" s="28"/>
      <c r="G638" s="44" t="n">
        <f aca="false">IF(OR($E638="",$F638=""),0,$E638*$F638)</f>
        <v>0</v>
      </c>
      <c r="H638" s="44" t="n">
        <f aca="false">IF($A638="",0,SUMIFS($G$8:$G$1007,$C$8:$C$1007,$C638,$A$8:$A$1007,"&gt;="&amp;$A638-6,$A$8:$A$1007,"&lt;="&amp;$A638))</f>
        <v>0</v>
      </c>
      <c r="I638" s="44" t="n">
        <f aca="false">IF($A638="",0,SUMIFS($G$8:$G$1007,$C$8:$C$1007,$C638,$A$8:$A$1007,"&gt;="&amp;$A638-27,$A$8:$A$1007,"&lt;="&amp;$A638)/4)</f>
        <v>0</v>
      </c>
      <c r="J638" s="144" t="n">
        <f aca="false">IF(OR($A638="",$I638=0),0,$H638/$I638)</f>
        <v>0</v>
      </c>
      <c r="K638" s="40" t="n">
        <f aca="false">IF($A638="",0,$A638-SUMPRODUCT(MIN(($C$8:$C$1007=$C638)*$A$8:$A$1007+($C$8:$C$1007&lt;&gt;$C638)*100000))+1)</f>
        <v>0</v>
      </c>
      <c r="L638" s="26" t="str">
        <f aca="false">IF($A638="","",IF($J638=0,"Sem registro anterior",IF($K638&lt;21,"Histórico insuficiente",IF($J638&lt;0.8,"Subcarga",IF($J638&lt;=1.3,"Zona ideal",IF($J638&lt;=1.5,"Atenção","Risco elevado"))))))</f>
        <v/>
      </c>
      <c r="M638" s="27"/>
    </row>
    <row r="639" customFormat="false" ht="15" hidden="false" customHeight="false" outlineLevel="0" collapsed="false">
      <c r="A639" s="29"/>
      <c r="B639" s="40" t="n">
        <f aca="false">IF($A639="",0,INT(($A639-Macrociclo!$C$11)/7)+1)</f>
        <v>0</v>
      </c>
      <c r="C639" s="27"/>
      <c r="D639" s="27"/>
      <c r="E639" s="28"/>
      <c r="F639" s="28"/>
      <c r="G639" s="44" t="n">
        <f aca="false">IF(OR($E639="",$F639=""),0,$E639*$F639)</f>
        <v>0</v>
      </c>
      <c r="H639" s="44" t="n">
        <f aca="false">IF($A639="",0,SUMIFS($G$8:$G$1007,$C$8:$C$1007,$C639,$A$8:$A$1007,"&gt;="&amp;$A639-6,$A$8:$A$1007,"&lt;="&amp;$A639))</f>
        <v>0</v>
      </c>
      <c r="I639" s="44" t="n">
        <f aca="false">IF($A639="",0,SUMIFS($G$8:$G$1007,$C$8:$C$1007,$C639,$A$8:$A$1007,"&gt;="&amp;$A639-27,$A$8:$A$1007,"&lt;="&amp;$A639)/4)</f>
        <v>0</v>
      </c>
      <c r="J639" s="144" t="n">
        <f aca="false">IF(OR($A639="",$I639=0),0,$H639/$I639)</f>
        <v>0</v>
      </c>
      <c r="K639" s="40" t="n">
        <f aca="false">IF($A639="",0,$A639-SUMPRODUCT(MIN(($C$8:$C$1007=$C639)*$A$8:$A$1007+($C$8:$C$1007&lt;&gt;$C639)*100000))+1)</f>
        <v>0</v>
      </c>
      <c r="L639" s="26" t="str">
        <f aca="false">IF($A639="","",IF($J639=0,"Sem registro anterior",IF($K639&lt;21,"Histórico insuficiente",IF($J639&lt;0.8,"Subcarga",IF($J639&lt;=1.3,"Zona ideal",IF($J639&lt;=1.5,"Atenção","Risco elevado"))))))</f>
        <v/>
      </c>
      <c r="M639" s="27"/>
    </row>
    <row r="640" customFormat="false" ht="15" hidden="false" customHeight="false" outlineLevel="0" collapsed="false">
      <c r="A640" s="29"/>
      <c r="B640" s="40" t="n">
        <f aca="false">IF($A640="",0,INT(($A640-Macrociclo!$C$11)/7)+1)</f>
        <v>0</v>
      </c>
      <c r="C640" s="27"/>
      <c r="D640" s="27"/>
      <c r="E640" s="28"/>
      <c r="F640" s="28"/>
      <c r="G640" s="44" t="n">
        <f aca="false">IF(OR($E640="",$F640=""),0,$E640*$F640)</f>
        <v>0</v>
      </c>
      <c r="H640" s="44" t="n">
        <f aca="false">IF($A640="",0,SUMIFS($G$8:$G$1007,$C$8:$C$1007,$C640,$A$8:$A$1007,"&gt;="&amp;$A640-6,$A$8:$A$1007,"&lt;="&amp;$A640))</f>
        <v>0</v>
      </c>
      <c r="I640" s="44" t="n">
        <f aca="false">IF($A640="",0,SUMIFS($G$8:$G$1007,$C$8:$C$1007,$C640,$A$8:$A$1007,"&gt;="&amp;$A640-27,$A$8:$A$1007,"&lt;="&amp;$A640)/4)</f>
        <v>0</v>
      </c>
      <c r="J640" s="144" t="n">
        <f aca="false">IF(OR($A640="",$I640=0),0,$H640/$I640)</f>
        <v>0</v>
      </c>
      <c r="K640" s="40" t="n">
        <f aca="false">IF($A640="",0,$A640-SUMPRODUCT(MIN(($C$8:$C$1007=$C640)*$A$8:$A$1007+($C$8:$C$1007&lt;&gt;$C640)*100000))+1)</f>
        <v>0</v>
      </c>
      <c r="L640" s="26" t="str">
        <f aca="false">IF($A640="","",IF($J640=0,"Sem registro anterior",IF($K640&lt;21,"Histórico insuficiente",IF($J640&lt;0.8,"Subcarga",IF($J640&lt;=1.3,"Zona ideal",IF($J640&lt;=1.5,"Atenção","Risco elevado"))))))</f>
        <v/>
      </c>
      <c r="M640" s="27"/>
    </row>
    <row r="641" customFormat="false" ht="15" hidden="false" customHeight="false" outlineLevel="0" collapsed="false">
      <c r="A641" s="29"/>
      <c r="B641" s="40" t="n">
        <f aca="false">IF($A641="",0,INT(($A641-Macrociclo!$C$11)/7)+1)</f>
        <v>0</v>
      </c>
      <c r="C641" s="27"/>
      <c r="D641" s="27"/>
      <c r="E641" s="28"/>
      <c r="F641" s="28"/>
      <c r="G641" s="44" t="n">
        <f aca="false">IF(OR($E641="",$F641=""),0,$E641*$F641)</f>
        <v>0</v>
      </c>
      <c r="H641" s="44" t="n">
        <f aca="false">IF($A641="",0,SUMIFS($G$8:$G$1007,$C$8:$C$1007,$C641,$A$8:$A$1007,"&gt;="&amp;$A641-6,$A$8:$A$1007,"&lt;="&amp;$A641))</f>
        <v>0</v>
      </c>
      <c r="I641" s="44" t="n">
        <f aca="false">IF($A641="",0,SUMIFS($G$8:$G$1007,$C$8:$C$1007,$C641,$A$8:$A$1007,"&gt;="&amp;$A641-27,$A$8:$A$1007,"&lt;="&amp;$A641)/4)</f>
        <v>0</v>
      </c>
      <c r="J641" s="144" t="n">
        <f aca="false">IF(OR($A641="",$I641=0),0,$H641/$I641)</f>
        <v>0</v>
      </c>
      <c r="K641" s="40" t="n">
        <f aca="false">IF($A641="",0,$A641-SUMPRODUCT(MIN(($C$8:$C$1007=$C641)*$A$8:$A$1007+($C$8:$C$1007&lt;&gt;$C641)*100000))+1)</f>
        <v>0</v>
      </c>
      <c r="L641" s="26" t="str">
        <f aca="false">IF($A641="","",IF($J641=0,"Sem registro anterior",IF($K641&lt;21,"Histórico insuficiente",IF($J641&lt;0.8,"Subcarga",IF($J641&lt;=1.3,"Zona ideal",IF($J641&lt;=1.5,"Atenção","Risco elevado"))))))</f>
        <v/>
      </c>
      <c r="M641" s="27"/>
    </row>
    <row r="642" customFormat="false" ht="15" hidden="false" customHeight="false" outlineLevel="0" collapsed="false">
      <c r="A642" s="29"/>
      <c r="B642" s="40" t="n">
        <f aca="false">IF($A642="",0,INT(($A642-Macrociclo!$C$11)/7)+1)</f>
        <v>0</v>
      </c>
      <c r="C642" s="27"/>
      <c r="D642" s="27"/>
      <c r="E642" s="28"/>
      <c r="F642" s="28"/>
      <c r="G642" s="44" t="n">
        <f aca="false">IF(OR($E642="",$F642=""),0,$E642*$F642)</f>
        <v>0</v>
      </c>
      <c r="H642" s="44" t="n">
        <f aca="false">IF($A642="",0,SUMIFS($G$8:$G$1007,$C$8:$C$1007,$C642,$A$8:$A$1007,"&gt;="&amp;$A642-6,$A$8:$A$1007,"&lt;="&amp;$A642))</f>
        <v>0</v>
      </c>
      <c r="I642" s="44" t="n">
        <f aca="false">IF($A642="",0,SUMIFS($G$8:$G$1007,$C$8:$C$1007,$C642,$A$8:$A$1007,"&gt;="&amp;$A642-27,$A$8:$A$1007,"&lt;="&amp;$A642)/4)</f>
        <v>0</v>
      </c>
      <c r="J642" s="144" t="n">
        <f aca="false">IF(OR($A642="",$I642=0),0,$H642/$I642)</f>
        <v>0</v>
      </c>
      <c r="K642" s="40" t="n">
        <f aca="false">IF($A642="",0,$A642-SUMPRODUCT(MIN(($C$8:$C$1007=$C642)*$A$8:$A$1007+($C$8:$C$1007&lt;&gt;$C642)*100000))+1)</f>
        <v>0</v>
      </c>
      <c r="L642" s="26" t="str">
        <f aca="false">IF($A642="","",IF($J642=0,"Sem registro anterior",IF($K642&lt;21,"Histórico insuficiente",IF($J642&lt;0.8,"Subcarga",IF($J642&lt;=1.3,"Zona ideal",IF($J642&lt;=1.5,"Atenção","Risco elevado"))))))</f>
        <v/>
      </c>
      <c r="M642" s="27"/>
    </row>
    <row r="643" customFormat="false" ht="15" hidden="false" customHeight="false" outlineLevel="0" collapsed="false">
      <c r="A643" s="29"/>
      <c r="B643" s="40" t="n">
        <f aca="false">IF($A643="",0,INT(($A643-Macrociclo!$C$11)/7)+1)</f>
        <v>0</v>
      </c>
      <c r="C643" s="27"/>
      <c r="D643" s="27"/>
      <c r="E643" s="28"/>
      <c r="F643" s="28"/>
      <c r="G643" s="44" t="n">
        <f aca="false">IF(OR($E643="",$F643=""),0,$E643*$F643)</f>
        <v>0</v>
      </c>
      <c r="H643" s="44" t="n">
        <f aca="false">IF($A643="",0,SUMIFS($G$8:$G$1007,$C$8:$C$1007,$C643,$A$8:$A$1007,"&gt;="&amp;$A643-6,$A$8:$A$1007,"&lt;="&amp;$A643))</f>
        <v>0</v>
      </c>
      <c r="I643" s="44" t="n">
        <f aca="false">IF($A643="",0,SUMIFS($G$8:$G$1007,$C$8:$C$1007,$C643,$A$8:$A$1007,"&gt;="&amp;$A643-27,$A$8:$A$1007,"&lt;="&amp;$A643)/4)</f>
        <v>0</v>
      </c>
      <c r="J643" s="144" t="n">
        <f aca="false">IF(OR($A643="",$I643=0),0,$H643/$I643)</f>
        <v>0</v>
      </c>
      <c r="K643" s="40" t="n">
        <f aca="false">IF($A643="",0,$A643-SUMPRODUCT(MIN(($C$8:$C$1007=$C643)*$A$8:$A$1007+($C$8:$C$1007&lt;&gt;$C643)*100000))+1)</f>
        <v>0</v>
      </c>
      <c r="L643" s="26" t="str">
        <f aca="false">IF($A643="","",IF($J643=0,"Sem registro anterior",IF($K643&lt;21,"Histórico insuficiente",IF($J643&lt;0.8,"Subcarga",IF($J643&lt;=1.3,"Zona ideal",IF($J643&lt;=1.5,"Atenção","Risco elevado"))))))</f>
        <v/>
      </c>
      <c r="M643" s="27"/>
    </row>
    <row r="644" customFormat="false" ht="15" hidden="false" customHeight="false" outlineLevel="0" collapsed="false">
      <c r="A644" s="29"/>
      <c r="B644" s="40" t="n">
        <f aca="false">IF($A644="",0,INT(($A644-Macrociclo!$C$11)/7)+1)</f>
        <v>0</v>
      </c>
      <c r="C644" s="27"/>
      <c r="D644" s="27"/>
      <c r="E644" s="28"/>
      <c r="F644" s="28"/>
      <c r="G644" s="44" t="n">
        <f aca="false">IF(OR($E644="",$F644=""),0,$E644*$F644)</f>
        <v>0</v>
      </c>
      <c r="H644" s="44" t="n">
        <f aca="false">IF($A644="",0,SUMIFS($G$8:$G$1007,$C$8:$C$1007,$C644,$A$8:$A$1007,"&gt;="&amp;$A644-6,$A$8:$A$1007,"&lt;="&amp;$A644))</f>
        <v>0</v>
      </c>
      <c r="I644" s="44" t="n">
        <f aca="false">IF($A644="",0,SUMIFS($G$8:$G$1007,$C$8:$C$1007,$C644,$A$8:$A$1007,"&gt;="&amp;$A644-27,$A$8:$A$1007,"&lt;="&amp;$A644)/4)</f>
        <v>0</v>
      </c>
      <c r="J644" s="144" t="n">
        <f aca="false">IF(OR($A644="",$I644=0),0,$H644/$I644)</f>
        <v>0</v>
      </c>
      <c r="K644" s="40" t="n">
        <f aca="false">IF($A644="",0,$A644-SUMPRODUCT(MIN(($C$8:$C$1007=$C644)*$A$8:$A$1007+($C$8:$C$1007&lt;&gt;$C644)*100000))+1)</f>
        <v>0</v>
      </c>
      <c r="L644" s="26" t="str">
        <f aca="false">IF($A644="","",IF($J644=0,"Sem registro anterior",IF($K644&lt;21,"Histórico insuficiente",IF($J644&lt;0.8,"Subcarga",IF($J644&lt;=1.3,"Zona ideal",IF($J644&lt;=1.5,"Atenção","Risco elevado"))))))</f>
        <v/>
      </c>
      <c r="M644" s="27"/>
    </row>
    <row r="645" customFormat="false" ht="15" hidden="false" customHeight="false" outlineLevel="0" collapsed="false">
      <c r="A645" s="29"/>
      <c r="B645" s="40" t="n">
        <f aca="false">IF($A645="",0,INT(($A645-Macrociclo!$C$11)/7)+1)</f>
        <v>0</v>
      </c>
      <c r="C645" s="27"/>
      <c r="D645" s="27"/>
      <c r="E645" s="28"/>
      <c r="F645" s="28"/>
      <c r="G645" s="44" t="n">
        <f aca="false">IF(OR($E645="",$F645=""),0,$E645*$F645)</f>
        <v>0</v>
      </c>
      <c r="H645" s="44" t="n">
        <f aca="false">IF($A645="",0,SUMIFS($G$8:$G$1007,$C$8:$C$1007,$C645,$A$8:$A$1007,"&gt;="&amp;$A645-6,$A$8:$A$1007,"&lt;="&amp;$A645))</f>
        <v>0</v>
      </c>
      <c r="I645" s="44" t="n">
        <f aca="false">IF($A645="",0,SUMIFS($G$8:$G$1007,$C$8:$C$1007,$C645,$A$8:$A$1007,"&gt;="&amp;$A645-27,$A$8:$A$1007,"&lt;="&amp;$A645)/4)</f>
        <v>0</v>
      </c>
      <c r="J645" s="144" t="n">
        <f aca="false">IF(OR($A645="",$I645=0),0,$H645/$I645)</f>
        <v>0</v>
      </c>
      <c r="K645" s="40" t="n">
        <f aca="false">IF($A645="",0,$A645-SUMPRODUCT(MIN(($C$8:$C$1007=$C645)*$A$8:$A$1007+($C$8:$C$1007&lt;&gt;$C645)*100000))+1)</f>
        <v>0</v>
      </c>
      <c r="L645" s="26" t="str">
        <f aca="false">IF($A645="","",IF($J645=0,"Sem registro anterior",IF($K645&lt;21,"Histórico insuficiente",IF($J645&lt;0.8,"Subcarga",IF($J645&lt;=1.3,"Zona ideal",IF($J645&lt;=1.5,"Atenção","Risco elevado"))))))</f>
        <v/>
      </c>
      <c r="M645" s="27"/>
    </row>
    <row r="646" customFormat="false" ht="15" hidden="false" customHeight="false" outlineLevel="0" collapsed="false">
      <c r="A646" s="29"/>
      <c r="B646" s="40" t="n">
        <f aca="false">IF($A646="",0,INT(($A646-Macrociclo!$C$11)/7)+1)</f>
        <v>0</v>
      </c>
      <c r="C646" s="27"/>
      <c r="D646" s="27"/>
      <c r="E646" s="28"/>
      <c r="F646" s="28"/>
      <c r="G646" s="44" t="n">
        <f aca="false">IF(OR($E646="",$F646=""),0,$E646*$F646)</f>
        <v>0</v>
      </c>
      <c r="H646" s="44" t="n">
        <f aca="false">IF($A646="",0,SUMIFS($G$8:$G$1007,$C$8:$C$1007,$C646,$A$8:$A$1007,"&gt;="&amp;$A646-6,$A$8:$A$1007,"&lt;="&amp;$A646))</f>
        <v>0</v>
      </c>
      <c r="I646" s="44" t="n">
        <f aca="false">IF($A646="",0,SUMIFS($G$8:$G$1007,$C$8:$C$1007,$C646,$A$8:$A$1007,"&gt;="&amp;$A646-27,$A$8:$A$1007,"&lt;="&amp;$A646)/4)</f>
        <v>0</v>
      </c>
      <c r="J646" s="144" t="n">
        <f aca="false">IF(OR($A646="",$I646=0),0,$H646/$I646)</f>
        <v>0</v>
      </c>
      <c r="K646" s="40" t="n">
        <f aca="false">IF($A646="",0,$A646-SUMPRODUCT(MIN(($C$8:$C$1007=$C646)*$A$8:$A$1007+($C$8:$C$1007&lt;&gt;$C646)*100000))+1)</f>
        <v>0</v>
      </c>
      <c r="L646" s="26" t="str">
        <f aca="false">IF($A646="","",IF($J646=0,"Sem registro anterior",IF($K646&lt;21,"Histórico insuficiente",IF($J646&lt;0.8,"Subcarga",IF($J646&lt;=1.3,"Zona ideal",IF($J646&lt;=1.5,"Atenção","Risco elevado"))))))</f>
        <v/>
      </c>
      <c r="M646" s="27"/>
    </row>
    <row r="647" customFormat="false" ht="15" hidden="false" customHeight="false" outlineLevel="0" collapsed="false">
      <c r="A647" s="29"/>
      <c r="B647" s="40" t="n">
        <f aca="false">IF($A647="",0,INT(($A647-Macrociclo!$C$11)/7)+1)</f>
        <v>0</v>
      </c>
      <c r="C647" s="27"/>
      <c r="D647" s="27"/>
      <c r="E647" s="28"/>
      <c r="F647" s="28"/>
      <c r="G647" s="44" t="n">
        <f aca="false">IF(OR($E647="",$F647=""),0,$E647*$F647)</f>
        <v>0</v>
      </c>
      <c r="H647" s="44" t="n">
        <f aca="false">IF($A647="",0,SUMIFS($G$8:$G$1007,$C$8:$C$1007,$C647,$A$8:$A$1007,"&gt;="&amp;$A647-6,$A$8:$A$1007,"&lt;="&amp;$A647))</f>
        <v>0</v>
      </c>
      <c r="I647" s="44" t="n">
        <f aca="false">IF($A647="",0,SUMIFS($G$8:$G$1007,$C$8:$C$1007,$C647,$A$8:$A$1007,"&gt;="&amp;$A647-27,$A$8:$A$1007,"&lt;="&amp;$A647)/4)</f>
        <v>0</v>
      </c>
      <c r="J647" s="144" t="n">
        <f aca="false">IF(OR($A647="",$I647=0),0,$H647/$I647)</f>
        <v>0</v>
      </c>
      <c r="K647" s="40" t="n">
        <f aca="false">IF($A647="",0,$A647-SUMPRODUCT(MIN(($C$8:$C$1007=$C647)*$A$8:$A$1007+($C$8:$C$1007&lt;&gt;$C647)*100000))+1)</f>
        <v>0</v>
      </c>
      <c r="L647" s="26" t="str">
        <f aca="false">IF($A647="","",IF($J647=0,"Sem registro anterior",IF($K647&lt;21,"Histórico insuficiente",IF($J647&lt;0.8,"Subcarga",IF($J647&lt;=1.3,"Zona ideal",IF($J647&lt;=1.5,"Atenção","Risco elevado"))))))</f>
        <v/>
      </c>
      <c r="M647" s="27"/>
    </row>
    <row r="648" customFormat="false" ht="15" hidden="false" customHeight="false" outlineLevel="0" collapsed="false">
      <c r="A648" s="29"/>
      <c r="B648" s="40" t="n">
        <f aca="false">IF($A648="",0,INT(($A648-Macrociclo!$C$11)/7)+1)</f>
        <v>0</v>
      </c>
      <c r="C648" s="27"/>
      <c r="D648" s="27"/>
      <c r="E648" s="28"/>
      <c r="F648" s="28"/>
      <c r="G648" s="44" t="n">
        <f aca="false">IF(OR($E648="",$F648=""),0,$E648*$F648)</f>
        <v>0</v>
      </c>
      <c r="H648" s="44" t="n">
        <f aca="false">IF($A648="",0,SUMIFS($G$8:$G$1007,$C$8:$C$1007,$C648,$A$8:$A$1007,"&gt;="&amp;$A648-6,$A$8:$A$1007,"&lt;="&amp;$A648))</f>
        <v>0</v>
      </c>
      <c r="I648" s="44" t="n">
        <f aca="false">IF($A648="",0,SUMIFS($G$8:$G$1007,$C$8:$C$1007,$C648,$A$8:$A$1007,"&gt;="&amp;$A648-27,$A$8:$A$1007,"&lt;="&amp;$A648)/4)</f>
        <v>0</v>
      </c>
      <c r="J648" s="144" t="n">
        <f aca="false">IF(OR($A648="",$I648=0),0,$H648/$I648)</f>
        <v>0</v>
      </c>
      <c r="K648" s="40" t="n">
        <f aca="false">IF($A648="",0,$A648-SUMPRODUCT(MIN(($C$8:$C$1007=$C648)*$A$8:$A$1007+($C$8:$C$1007&lt;&gt;$C648)*100000))+1)</f>
        <v>0</v>
      </c>
      <c r="L648" s="26" t="str">
        <f aca="false">IF($A648="","",IF($J648=0,"Sem registro anterior",IF($K648&lt;21,"Histórico insuficiente",IF($J648&lt;0.8,"Subcarga",IF($J648&lt;=1.3,"Zona ideal",IF($J648&lt;=1.5,"Atenção","Risco elevado"))))))</f>
        <v/>
      </c>
      <c r="M648" s="27"/>
    </row>
    <row r="649" customFormat="false" ht="15" hidden="false" customHeight="false" outlineLevel="0" collapsed="false">
      <c r="A649" s="29"/>
      <c r="B649" s="40" t="n">
        <f aca="false">IF($A649="",0,INT(($A649-Macrociclo!$C$11)/7)+1)</f>
        <v>0</v>
      </c>
      <c r="C649" s="27"/>
      <c r="D649" s="27"/>
      <c r="E649" s="28"/>
      <c r="F649" s="28"/>
      <c r="G649" s="44" t="n">
        <f aca="false">IF(OR($E649="",$F649=""),0,$E649*$F649)</f>
        <v>0</v>
      </c>
      <c r="H649" s="44" t="n">
        <f aca="false">IF($A649="",0,SUMIFS($G$8:$G$1007,$C$8:$C$1007,$C649,$A$8:$A$1007,"&gt;="&amp;$A649-6,$A$8:$A$1007,"&lt;="&amp;$A649))</f>
        <v>0</v>
      </c>
      <c r="I649" s="44" t="n">
        <f aca="false">IF($A649="",0,SUMIFS($G$8:$G$1007,$C$8:$C$1007,$C649,$A$8:$A$1007,"&gt;="&amp;$A649-27,$A$8:$A$1007,"&lt;="&amp;$A649)/4)</f>
        <v>0</v>
      </c>
      <c r="J649" s="144" t="n">
        <f aca="false">IF(OR($A649="",$I649=0),0,$H649/$I649)</f>
        <v>0</v>
      </c>
      <c r="K649" s="40" t="n">
        <f aca="false">IF($A649="",0,$A649-SUMPRODUCT(MIN(($C$8:$C$1007=$C649)*$A$8:$A$1007+($C$8:$C$1007&lt;&gt;$C649)*100000))+1)</f>
        <v>0</v>
      </c>
      <c r="L649" s="26" t="str">
        <f aca="false">IF($A649="","",IF($J649=0,"Sem registro anterior",IF($K649&lt;21,"Histórico insuficiente",IF($J649&lt;0.8,"Subcarga",IF($J649&lt;=1.3,"Zona ideal",IF($J649&lt;=1.5,"Atenção","Risco elevado"))))))</f>
        <v/>
      </c>
      <c r="M649" s="27"/>
    </row>
    <row r="650" customFormat="false" ht="15" hidden="false" customHeight="false" outlineLevel="0" collapsed="false">
      <c r="A650" s="29"/>
      <c r="B650" s="40" t="n">
        <f aca="false">IF($A650="",0,INT(($A650-Macrociclo!$C$11)/7)+1)</f>
        <v>0</v>
      </c>
      <c r="C650" s="27"/>
      <c r="D650" s="27"/>
      <c r="E650" s="28"/>
      <c r="F650" s="28"/>
      <c r="G650" s="44" t="n">
        <f aca="false">IF(OR($E650="",$F650=""),0,$E650*$F650)</f>
        <v>0</v>
      </c>
      <c r="H650" s="44" t="n">
        <f aca="false">IF($A650="",0,SUMIFS($G$8:$G$1007,$C$8:$C$1007,$C650,$A$8:$A$1007,"&gt;="&amp;$A650-6,$A$8:$A$1007,"&lt;="&amp;$A650))</f>
        <v>0</v>
      </c>
      <c r="I650" s="44" t="n">
        <f aca="false">IF($A650="",0,SUMIFS($G$8:$G$1007,$C$8:$C$1007,$C650,$A$8:$A$1007,"&gt;="&amp;$A650-27,$A$8:$A$1007,"&lt;="&amp;$A650)/4)</f>
        <v>0</v>
      </c>
      <c r="J650" s="144" t="n">
        <f aca="false">IF(OR($A650="",$I650=0),0,$H650/$I650)</f>
        <v>0</v>
      </c>
      <c r="K650" s="40" t="n">
        <f aca="false">IF($A650="",0,$A650-SUMPRODUCT(MIN(($C$8:$C$1007=$C650)*$A$8:$A$1007+($C$8:$C$1007&lt;&gt;$C650)*100000))+1)</f>
        <v>0</v>
      </c>
      <c r="L650" s="26" t="str">
        <f aca="false">IF($A650="","",IF($J650=0,"Sem registro anterior",IF($K650&lt;21,"Histórico insuficiente",IF($J650&lt;0.8,"Subcarga",IF($J650&lt;=1.3,"Zona ideal",IF($J650&lt;=1.5,"Atenção","Risco elevado"))))))</f>
        <v/>
      </c>
      <c r="M650" s="27"/>
    </row>
    <row r="651" customFormat="false" ht="15" hidden="false" customHeight="false" outlineLevel="0" collapsed="false">
      <c r="A651" s="29"/>
      <c r="B651" s="40" t="n">
        <f aca="false">IF($A651="",0,INT(($A651-Macrociclo!$C$11)/7)+1)</f>
        <v>0</v>
      </c>
      <c r="C651" s="27"/>
      <c r="D651" s="27"/>
      <c r="E651" s="28"/>
      <c r="F651" s="28"/>
      <c r="G651" s="44" t="n">
        <f aca="false">IF(OR($E651="",$F651=""),0,$E651*$F651)</f>
        <v>0</v>
      </c>
      <c r="H651" s="44" t="n">
        <f aca="false">IF($A651="",0,SUMIFS($G$8:$G$1007,$C$8:$C$1007,$C651,$A$8:$A$1007,"&gt;="&amp;$A651-6,$A$8:$A$1007,"&lt;="&amp;$A651))</f>
        <v>0</v>
      </c>
      <c r="I651" s="44" t="n">
        <f aca="false">IF($A651="",0,SUMIFS($G$8:$G$1007,$C$8:$C$1007,$C651,$A$8:$A$1007,"&gt;="&amp;$A651-27,$A$8:$A$1007,"&lt;="&amp;$A651)/4)</f>
        <v>0</v>
      </c>
      <c r="J651" s="144" t="n">
        <f aca="false">IF(OR($A651="",$I651=0),0,$H651/$I651)</f>
        <v>0</v>
      </c>
      <c r="K651" s="40" t="n">
        <f aca="false">IF($A651="",0,$A651-SUMPRODUCT(MIN(($C$8:$C$1007=$C651)*$A$8:$A$1007+($C$8:$C$1007&lt;&gt;$C651)*100000))+1)</f>
        <v>0</v>
      </c>
      <c r="L651" s="26" t="str">
        <f aca="false">IF($A651="","",IF($J651=0,"Sem registro anterior",IF($K651&lt;21,"Histórico insuficiente",IF($J651&lt;0.8,"Subcarga",IF($J651&lt;=1.3,"Zona ideal",IF($J651&lt;=1.5,"Atenção","Risco elevado"))))))</f>
        <v/>
      </c>
      <c r="M651" s="27"/>
    </row>
    <row r="652" customFormat="false" ht="15" hidden="false" customHeight="false" outlineLevel="0" collapsed="false">
      <c r="A652" s="29"/>
      <c r="B652" s="40" t="n">
        <f aca="false">IF($A652="",0,INT(($A652-Macrociclo!$C$11)/7)+1)</f>
        <v>0</v>
      </c>
      <c r="C652" s="27"/>
      <c r="D652" s="27"/>
      <c r="E652" s="28"/>
      <c r="F652" s="28"/>
      <c r="G652" s="44" t="n">
        <f aca="false">IF(OR($E652="",$F652=""),0,$E652*$F652)</f>
        <v>0</v>
      </c>
      <c r="H652" s="44" t="n">
        <f aca="false">IF($A652="",0,SUMIFS($G$8:$G$1007,$C$8:$C$1007,$C652,$A$8:$A$1007,"&gt;="&amp;$A652-6,$A$8:$A$1007,"&lt;="&amp;$A652))</f>
        <v>0</v>
      </c>
      <c r="I652" s="44" t="n">
        <f aca="false">IF($A652="",0,SUMIFS($G$8:$G$1007,$C$8:$C$1007,$C652,$A$8:$A$1007,"&gt;="&amp;$A652-27,$A$8:$A$1007,"&lt;="&amp;$A652)/4)</f>
        <v>0</v>
      </c>
      <c r="J652" s="144" t="n">
        <f aca="false">IF(OR($A652="",$I652=0),0,$H652/$I652)</f>
        <v>0</v>
      </c>
      <c r="K652" s="40" t="n">
        <f aca="false">IF($A652="",0,$A652-SUMPRODUCT(MIN(($C$8:$C$1007=$C652)*$A$8:$A$1007+($C$8:$C$1007&lt;&gt;$C652)*100000))+1)</f>
        <v>0</v>
      </c>
      <c r="L652" s="26" t="str">
        <f aca="false">IF($A652="","",IF($J652=0,"Sem registro anterior",IF($K652&lt;21,"Histórico insuficiente",IF($J652&lt;0.8,"Subcarga",IF($J652&lt;=1.3,"Zona ideal",IF($J652&lt;=1.5,"Atenção","Risco elevado"))))))</f>
        <v/>
      </c>
      <c r="M652" s="27"/>
    </row>
    <row r="653" customFormat="false" ht="15" hidden="false" customHeight="false" outlineLevel="0" collapsed="false">
      <c r="A653" s="29"/>
      <c r="B653" s="40" t="n">
        <f aca="false">IF($A653="",0,INT(($A653-Macrociclo!$C$11)/7)+1)</f>
        <v>0</v>
      </c>
      <c r="C653" s="27"/>
      <c r="D653" s="27"/>
      <c r="E653" s="28"/>
      <c r="F653" s="28"/>
      <c r="G653" s="44" t="n">
        <f aca="false">IF(OR($E653="",$F653=""),0,$E653*$F653)</f>
        <v>0</v>
      </c>
      <c r="H653" s="44" t="n">
        <f aca="false">IF($A653="",0,SUMIFS($G$8:$G$1007,$C$8:$C$1007,$C653,$A$8:$A$1007,"&gt;="&amp;$A653-6,$A$8:$A$1007,"&lt;="&amp;$A653))</f>
        <v>0</v>
      </c>
      <c r="I653" s="44" t="n">
        <f aca="false">IF($A653="",0,SUMIFS($G$8:$G$1007,$C$8:$C$1007,$C653,$A$8:$A$1007,"&gt;="&amp;$A653-27,$A$8:$A$1007,"&lt;="&amp;$A653)/4)</f>
        <v>0</v>
      </c>
      <c r="J653" s="144" t="n">
        <f aca="false">IF(OR($A653="",$I653=0),0,$H653/$I653)</f>
        <v>0</v>
      </c>
      <c r="K653" s="40" t="n">
        <f aca="false">IF($A653="",0,$A653-SUMPRODUCT(MIN(($C$8:$C$1007=$C653)*$A$8:$A$1007+($C$8:$C$1007&lt;&gt;$C653)*100000))+1)</f>
        <v>0</v>
      </c>
      <c r="L653" s="26" t="str">
        <f aca="false">IF($A653="","",IF($J653=0,"Sem registro anterior",IF($K653&lt;21,"Histórico insuficiente",IF($J653&lt;0.8,"Subcarga",IF($J653&lt;=1.3,"Zona ideal",IF($J653&lt;=1.5,"Atenção","Risco elevado"))))))</f>
        <v/>
      </c>
      <c r="M653" s="27"/>
    </row>
    <row r="654" customFormat="false" ht="15" hidden="false" customHeight="false" outlineLevel="0" collapsed="false">
      <c r="A654" s="29"/>
      <c r="B654" s="40" t="n">
        <f aca="false">IF($A654="",0,INT(($A654-Macrociclo!$C$11)/7)+1)</f>
        <v>0</v>
      </c>
      <c r="C654" s="27"/>
      <c r="D654" s="27"/>
      <c r="E654" s="28"/>
      <c r="F654" s="28"/>
      <c r="G654" s="44" t="n">
        <f aca="false">IF(OR($E654="",$F654=""),0,$E654*$F654)</f>
        <v>0</v>
      </c>
      <c r="H654" s="44" t="n">
        <f aca="false">IF($A654="",0,SUMIFS($G$8:$G$1007,$C$8:$C$1007,$C654,$A$8:$A$1007,"&gt;="&amp;$A654-6,$A$8:$A$1007,"&lt;="&amp;$A654))</f>
        <v>0</v>
      </c>
      <c r="I654" s="44" t="n">
        <f aca="false">IF($A654="",0,SUMIFS($G$8:$G$1007,$C$8:$C$1007,$C654,$A$8:$A$1007,"&gt;="&amp;$A654-27,$A$8:$A$1007,"&lt;="&amp;$A654)/4)</f>
        <v>0</v>
      </c>
      <c r="J654" s="144" t="n">
        <f aca="false">IF(OR($A654="",$I654=0),0,$H654/$I654)</f>
        <v>0</v>
      </c>
      <c r="K654" s="40" t="n">
        <f aca="false">IF($A654="",0,$A654-SUMPRODUCT(MIN(($C$8:$C$1007=$C654)*$A$8:$A$1007+($C$8:$C$1007&lt;&gt;$C654)*100000))+1)</f>
        <v>0</v>
      </c>
      <c r="L654" s="26" t="str">
        <f aca="false">IF($A654="","",IF($J654=0,"Sem registro anterior",IF($K654&lt;21,"Histórico insuficiente",IF($J654&lt;0.8,"Subcarga",IF($J654&lt;=1.3,"Zona ideal",IF($J654&lt;=1.5,"Atenção","Risco elevado"))))))</f>
        <v/>
      </c>
      <c r="M654" s="27"/>
    </row>
    <row r="655" customFormat="false" ht="15" hidden="false" customHeight="false" outlineLevel="0" collapsed="false">
      <c r="A655" s="29"/>
      <c r="B655" s="40" t="n">
        <f aca="false">IF($A655="",0,INT(($A655-Macrociclo!$C$11)/7)+1)</f>
        <v>0</v>
      </c>
      <c r="C655" s="27"/>
      <c r="D655" s="27"/>
      <c r="E655" s="28"/>
      <c r="F655" s="28"/>
      <c r="G655" s="44" t="n">
        <f aca="false">IF(OR($E655="",$F655=""),0,$E655*$F655)</f>
        <v>0</v>
      </c>
      <c r="H655" s="44" t="n">
        <f aca="false">IF($A655="",0,SUMIFS($G$8:$G$1007,$C$8:$C$1007,$C655,$A$8:$A$1007,"&gt;="&amp;$A655-6,$A$8:$A$1007,"&lt;="&amp;$A655))</f>
        <v>0</v>
      </c>
      <c r="I655" s="44" t="n">
        <f aca="false">IF($A655="",0,SUMIFS($G$8:$G$1007,$C$8:$C$1007,$C655,$A$8:$A$1007,"&gt;="&amp;$A655-27,$A$8:$A$1007,"&lt;="&amp;$A655)/4)</f>
        <v>0</v>
      </c>
      <c r="J655" s="144" t="n">
        <f aca="false">IF(OR($A655="",$I655=0),0,$H655/$I655)</f>
        <v>0</v>
      </c>
      <c r="K655" s="40" t="n">
        <f aca="false">IF($A655="",0,$A655-SUMPRODUCT(MIN(($C$8:$C$1007=$C655)*$A$8:$A$1007+($C$8:$C$1007&lt;&gt;$C655)*100000))+1)</f>
        <v>0</v>
      </c>
      <c r="L655" s="26" t="str">
        <f aca="false">IF($A655="","",IF($J655=0,"Sem registro anterior",IF($K655&lt;21,"Histórico insuficiente",IF($J655&lt;0.8,"Subcarga",IF($J655&lt;=1.3,"Zona ideal",IF($J655&lt;=1.5,"Atenção","Risco elevado"))))))</f>
        <v/>
      </c>
      <c r="M655" s="27"/>
    </row>
    <row r="656" customFormat="false" ht="15" hidden="false" customHeight="false" outlineLevel="0" collapsed="false">
      <c r="A656" s="29"/>
      <c r="B656" s="40" t="n">
        <f aca="false">IF($A656="",0,INT(($A656-Macrociclo!$C$11)/7)+1)</f>
        <v>0</v>
      </c>
      <c r="C656" s="27"/>
      <c r="D656" s="27"/>
      <c r="E656" s="28"/>
      <c r="F656" s="28"/>
      <c r="G656" s="44" t="n">
        <f aca="false">IF(OR($E656="",$F656=""),0,$E656*$F656)</f>
        <v>0</v>
      </c>
      <c r="H656" s="44" t="n">
        <f aca="false">IF($A656="",0,SUMIFS($G$8:$G$1007,$C$8:$C$1007,$C656,$A$8:$A$1007,"&gt;="&amp;$A656-6,$A$8:$A$1007,"&lt;="&amp;$A656))</f>
        <v>0</v>
      </c>
      <c r="I656" s="44" t="n">
        <f aca="false">IF($A656="",0,SUMIFS($G$8:$G$1007,$C$8:$C$1007,$C656,$A$8:$A$1007,"&gt;="&amp;$A656-27,$A$8:$A$1007,"&lt;="&amp;$A656)/4)</f>
        <v>0</v>
      </c>
      <c r="J656" s="144" t="n">
        <f aca="false">IF(OR($A656="",$I656=0),0,$H656/$I656)</f>
        <v>0</v>
      </c>
      <c r="K656" s="40" t="n">
        <f aca="false">IF($A656="",0,$A656-SUMPRODUCT(MIN(($C$8:$C$1007=$C656)*$A$8:$A$1007+($C$8:$C$1007&lt;&gt;$C656)*100000))+1)</f>
        <v>0</v>
      </c>
      <c r="L656" s="26" t="str">
        <f aca="false">IF($A656="","",IF($J656=0,"Sem registro anterior",IF($K656&lt;21,"Histórico insuficiente",IF($J656&lt;0.8,"Subcarga",IF($J656&lt;=1.3,"Zona ideal",IF($J656&lt;=1.5,"Atenção","Risco elevado"))))))</f>
        <v/>
      </c>
      <c r="M656" s="27"/>
    </row>
    <row r="657" customFormat="false" ht="15" hidden="false" customHeight="false" outlineLevel="0" collapsed="false">
      <c r="A657" s="29"/>
      <c r="B657" s="40" t="n">
        <f aca="false">IF($A657="",0,INT(($A657-Macrociclo!$C$11)/7)+1)</f>
        <v>0</v>
      </c>
      <c r="C657" s="27"/>
      <c r="D657" s="27"/>
      <c r="E657" s="28"/>
      <c r="F657" s="28"/>
      <c r="G657" s="44" t="n">
        <f aca="false">IF(OR($E657="",$F657=""),0,$E657*$F657)</f>
        <v>0</v>
      </c>
      <c r="H657" s="44" t="n">
        <f aca="false">IF($A657="",0,SUMIFS($G$8:$G$1007,$C$8:$C$1007,$C657,$A$8:$A$1007,"&gt;="&amp;$A657-6,$A$8:$A$1007,"&lt;="&amp;$A657))</f>
        <v>0</v>
      </c>
      <c r="I657" s="44" t="n">
        <f aca="false">IF($A657="",0,SUMIFS($G$8:$G$1007,$C$8:$C$1007,$C657,$A$8:$A$1007,"&gt;="&amp;$A657-27,$A$8:$A$1007,"&lt;="&amp;$A657)/4)</f>
        <v>0</v>
      </c>
      <c r="J657" s="144" t="n">
        <f aca="false">IF(OR($A657="",$I657=0),0,$H657/$I657)</f>
        <v>0</v>
      </c>
      <c r="K657" s="40" t="n">
        <f aca="false">IF($A657="",0,$A657-SUMPRODUCT(MIN(($C$8:$C$1007=$C657)*$A$8:$A$1007+($C$8:$C$1007&lt;&gt;$C657)*100000))+1)</f>
        <v>0</v>
      </c>
      <c r="L657" s="26" t="str">
        <f aca="false">IF($A657="","",IF($J657=0,"Sem registro anterior",IF($K657&lt;21,"Histórico insuficiente",IF($J657&lt;0.8,"Subcarga",IF($J657&lt;=1.3,"Zona ideal",IF($J657&lt;=1.5,"Atenção","Risco elevado"))))))</f>
        <v/>
      </c>
      <c r="M657" s="27"/>
    </row>
    <row r="658" customFormat="false" ht="15" hidden="false" customHeight="false" outlineLevel="0" collapsed="false">
      <c r="A658" s="29"/>
      <c r="B658" s="40" t="n">
        <f aca="false">IF($A658="",0,INT(($A658-Macrociclo!$C$11)/7)+1)</f>
        <v>0</v>
      </c>
      <c r="C658" s="27"/>
      <c r="D658" s="27"/>
      <c r="E658" s="28"/>
      <c r="F658" s="28"/>
      <c r="G658" s="44" t="n">
        <f aca="false">IF(OR($E658="",$F658=""),0,$E658*$F658)</f>
        <v>0</v>
      </c>
      <c r="H658" s="44" t="n">
        <f aca="false">IF($A658="",0,SUMIFS($G$8:$G$1007,$C$8:$C$1007,$C658,$A$8:$A$1007,"&gt;="&amp;$A658-6,$A$8:$A$1007,"&lt;="&amp;$A658))</f>
        <v>0</v>
      </c>
      <c r="I658" s="44" t="n">
        <f aca="false">IF($A658="",0,SUMIFS($G$8:$G$1007,$C$8:$C$1007,$C658,$A$8:$A$1007,"&gt;="&amp;$A658-27,$A$8:$A$1007,"&lt;="&amp;$A658)/4)</f>
        <v>0</v>
      </c>
      <c r="J658" s="144" t="n">
        <f aca="false">IF(OR($A658="",$I658=0),0,$H658/$I658)</f>
        <v>0</v>
      </c>
      <c r="K658" s="40" t="n">
        <f aca="false">IF($A658="",0,$A658-SUMPRODUCT(MIN(($C$8:$C$1007=$C658)*$A$8:$A$1007+($C$8:$C$1007&lt;&gt;$C658)*100000))+1)</f>
        <v>0</v>
      </c>
      <c r="L658" s="26" t="str">
        <f aca="false">IF($A658="","",IF($J658=0,"Sem registro anterior",IF($K658&lt;21,"Histórico insuficiente",IF($J658&lt;0.8,"Subcarga",IF($J658&lt;=1.3,"Zona ideal",IF($J658&lt;=1.5,"Atenção","Risco elevado"))))))</f>
        <v/>
      </c>
      <c r="M658" s="27"/>
    </row>
    <row r="659" customFormat="false" ht="15" hidden="false" customHeight="false" outlineLevel="0" collapsed="false">
      <c r="A659" s="29"/>
      <c r="B659" s="40" t="n">
        <f aca="false">IF($A659="",0,INT(($A659-Macrociclo!$C$11)/7)+1)</f>
        <v>0</v>
      </c>
      <c r="C659" s="27"/>
      <c r="D659" s="27"/>
      <c r="E659" s="28"/>
      <c r="F659" s="28"/>
      <c r="G659" s="44" t="n">
        <f aca="false">IF(OR($E659="",$F659=""),0,$E659*$F659)</f>
        <v>0</v>
      </c>
      <c r="H659" s="44" t="n">
        <f aca="false">IF($A659="",0,SUMIFS($G$8:$G$1007,$C$8:$C$1007,$C659,$A$8:$A$1007,"&gt;="&amp;$A659-6,$A$8:$A$1007,"&lt;="&amp;$A659))</f>
        <v>0</v>
      </c>
      <c r="I659" s="44" t="n">
        <f aca="false">IF($A659="",0,SUMIFS($G$8:$G$1007,$C$8:$C$1007,$C659,$A$8:$A$1007,"&gt;="&amp;$A659-27,$A$8:$A$1007,"&lt;="&amp;$A659)/4)</f>
        <v>0</v>
      </c>
      <c r="J659" s="144" t="n">
        <f aca="false">IF(OR($A659="",$I659=0),0,$H659/$I659)</f>
        <v>0</v>
      </c>
      <c r="K659" s="40" t="n">
        <f aca="false">IF($A659="",0,$A659-SUMPRODUCT(MIN(($C$8:$C$1007=$C659)*$A$8:$A$1007+($C$8:$C$1007&lt;&gt;$C659)*100000))+1)</f>
        <v>0</v>
      </c>
      <c r="L659" s="26" t="str">
        <f aca="false">IF($A659="","",IF($J659=0,"Sem registro anterior",IF($K659&lt;21,"Histórico insuficiente",IF($J659&lt;0.8,"Subcarga",IF($J659&lt;=1.3,"Zona ideal",IF($J659&lt;=1.5,"Atenção","Risco elevado"))))))</f>
        <v/>
      </c>
      <c r="M659" s="27"/>
    </row>
    <row r="660" customFormat="false" ht="15" hidden="false" customHeight="false" outlineLevel="0" collapsed="false">
      <c r="A660" s="29"/>
      <c r="B660" s="40" t="n">
        <f aca="false">IF($A660="",0,INT(($A660-Macrociclo!$C$11)/7)+1)</f>
        <v>0</v>
      </c>
      <c r="C660" s="27"/>
      <c r="D660" s="27"/>
      <c r="E660" s="28"/>
      <c r="F660" s="28"/>
      <c r="G660" s="44" t="n">
        <f aca="false">IF(OR($E660="",$F660=""),0,$E660*$F660)</f>
        <v>0</v>
      </c>
      <c r="H660" s="44" t="n">
        <f aca="false">IF($A660="",0,SUMIFS($G$8:$G$1007,$C$8:$C$1007,$C660,$A$8:$A$1007,"&gt;="&amp;$A660-6,$A$8:$A$1007,"&lt;="&amp;$A660))</f>
        <v>0</v>
      </c>
      <c r="I660" s="44" t="n">
        <f aca="false">IF($A660="",0,SUMIFS($G$8:$G$1007,$C$8:$C$1007,$C660,$A$8:$A$1007,"&gt;="&amp;$A660-27,$A$8:$A$1007,"&lt;="&amp;$A660)/4)</f>
        <v>0</v>
      </c>
      <c r="J660" s="144" t="n">
        <f aca="false">IF(OR($A660="",$I660=0),0,$H660/$I660)</f>
        <v>0</v>
      </c>
      <c r="K660" s="40" t="n">
        <f aca="false">IF($A660="",0,$A660-SUMPRODUCT(MIN(($C$8:$C$1007=$C660)*$A$8:$A$1007+($C$8:$C$1007&lt;&gt;$C660)*100000))+1)</f>
        <v>0</v>
      </c>
      <c r="L660" s="26" t="str">
        <f aca="false">IF($A660="","",IF($J660=0,"Sem registro anterior",IF($K660&lt;21,"Histórico insuficiente",IF($J660&lt;0.8,"Subcarga",IF($J660&lt;=1.3,"Zona ideal",IF($J660&lt;=1.5,"Atenção","Risco elevado"))))))</f>
        <v/>
      </c>
      <c r="M660" s="27"/>
    </row>
    <row r="661" customFormat="false" ht="15" hidden="false" customHeight="false" outlineLevel="0" collapsed="false">
      <c r="A661" s="29"/>
      <c r="B661" s="40" t="n">
        <f aca="false">IF($A661="",0,INT(($A661-Macrociclo!$C$11)/7)+1)</f>
        <v>0</v>
      </c>
      <c r="C661" s="27"/>
      <c r="D661" s="27"/>
      <c r="E661" s="28"/>
      <c r="F661" s="28"/>
      <c r="G661" s="44" t="n">
        <f aca="false">IF(OR($E661="",$F661=""),0,$E661*$F661)</f>
        <v>0</v>
      </c>
      <c r="H661" s="44" t="n">
        <f aca="false">IF($A661="",0,SUMIFS($G$8:$G$1007,$C$8:$C$1007,$C661,$A$8:$A$1007,"&gt;="&amp;$A661-6,$A$8:$A$1007,"&lt;="&amp;$A661))</f>
        <v>0</v>
      </c>
      <c r="I661" s="44" t="n">
        <f aca="false">IF($A661="",0,SUMIFS($G$8:$G$1007,$C$8:$C$1007,$C661,$A$8:$A$1007,"&gt;="&amp;$A661-27,$A$8:$A$1007,"&lt;="&amp;$A661)/4)</f>
        <v>0</v>
      </c>
      <c r="J661" s="144" t="n">
        <f aca="false">IF(OR($A661="",$I661=0),0,$H661/$I661)</f>
        <v>0</v>
      </c>
      <c r="K661" s="40" t="n">
        <f aca="false">IF($A661="",0,$A661-SUMPRODUCT(MIN(($C$8:$C$1007=$C661)*$A$8:$A$1007+($C$8:$C$1007&lt;&gt;$C661)*100000))+1)</f>
        <v>0</v>
      </c>
      <c r="L661" s="26" t="str">
        <f aca="false">IF($A661="","",IF($J661=0,"Sem registro anterior",IF($K661&lt;21,"Histórico insuficiente",IF($J661&lt;0.8,"Subcarga",IF($J661&lt;=1.3,"Zona ideal",IF($J661&lt;=1.5,"Atenção","Risco elevado"))))))</f>
        <v/>
      </c>
      <c r="M661" s="27"/>
    </row>
    <row r="662" customFormat="false" ht="15" hidden="false" customHeight="false" outlineLevel="0" collapsed="false">
      <c r="A662" s="29"/>
      <c r="B662" s="40" t="n">
        <f aca="false">IF($A662="",0,INT(($A662-Macrociclo!$C$11)/7)+1)</f>
        <v>0</v>
      </c>
      <c r="C662" s="27"/>
      <c r="D662" s="27"/>
      <c r="E662" s="28"/>
      <c r="F662" s="28"/>
      <c r="G662" s="44" t="n">
        <f aca="false">IF(OR($E662="",$F662=""),0,$E662*$F662)</f>
        <v>0</v>
      </c>
      <c r="H662" s="44" t="n">
        <f aca="false">IF($A662="",0,SUMIFS($G$8:$G$1007,$C$8:$C$1007,$C662,$A$8:$A$1007,"&gt;="&amp;$A662-6,$A$8:$A$1007,"&lt;="&amp;$A662))</f>
        <v>0</v>
      </c>
      <c r="I662" s="44" t="n">
        <f aca="false">IF($A662="",0,SUMIFS($G$8:$G$1007,$C$8:$C$1007,$C662,$A$8:$A$1007,"&gt;="&amp;$A662-27,$A$8:$A$1007,"&lt;="&amp;$A662)/4)</f>
        <v>0</v>
      </c>
      <c r="J662" s="144" t="n">
        <f aca="false">IF(OR($A662="",$I662=0),0,$H662/$I662)</f>
        <v>0</v>
      </c>
      <c r="K662" s="40" t="n">
        <f aca="false">IF($A662="",0,$A662-SUMPRODUCT(MIN(($C$8:$C$1007=$C662)*$A$8:$A$1007+($C$8:$C$1007&lt;&gt;$C662)*100000))+1)</f>
        <v>0</v>
      </c>
      <c r="L662" s="26" t="str">
        <f aca="false">IF($A662="","",IF($J662=0,"Sem registro anterior",IF($K662&lt;21,"Histórico insuficiente",IF($J662&lt;0.8,"Subcarga",IF($J662&lt;=1.3,"Zona ideal",IF($J662&lt;=1.5,"Atenção","Risco elevado"))))))</f>
        <v/>
      </c>
      <c r="M662" s="27"/>
    </row>
    <row r="663" customFormat="false" ht="15" hidden="false" customHeight="false" outlineLevel="0" collapsed="false">
      <c r="A663" s="29"/>
      <c r="B663" s="40" t="n">
        <f aca="false">IF($A663="",0,INT(($A663-Macrociclo!$C$11)/7)+1)</f>
        <v>0</v>
      </c>
      <c r="C663" s="27"/>
      <c r="D663" s="27"/>
      <c r="E663" s="28"/>
      <c r="F663" s="28"/>
      <c r="G663" s="44" t="n">
        <f aca="false">IF(OR($E663="",$F663=""),0,$E663*$F663)</f>
        <v>0</v>
      </c>
      <c r="H663" s="44" t="n">
        <f aca="false">IF($A663="",0,SUMIFS($G$8:$G$1007,$C$8:$C$1007,$C663,$A$8:$A$1007,"&gt;="&amp;$A663-6,$A$8:$A$1007,"&lt;="&amp;$A663))</f>
        <v>0</v>
      </c>
      <c r="I663" s="44" t="n">
        <f aca="false">IF($A663="",0,SUMIFS($G$8:$G$1007,$C$8:$C$1007,$C663,$A$8:$A$1007,"&gt;="&amp;$A663-27,$A$8:$A$1007,"&lt;="&amp;$A663)/4)</f>
        <v>0</v>
      </c>
      <c r="J663" s="144" t="n">
        <f aca="false">IF(OR($A663="",$I663=0),0,$H663/$I663)</f>
        <v>0</v>
      </c>
      <c r="K663" s="40" t="n">
        <f aca="false">IF($A663="",0,$A663-SUMPRODUCT(MIN(($C$8:$C$1007=$C663)*$A$8:$A$1007+($C$8:$C$1007&lt;&gt;$C663)*100000))+1)</f>
        <v>0</v>
      </c>
      <c r="L663" s="26" t="str">
        <f aca="false">IF($A663="","",IF($J663=0,"Sem registro anterior",IF($K663&lt;21,"Histórico insuficiente",IF($J663&lt;0.8,"Subcarga",IF($J663&lt;=1.3,"Zona ideal",IF($J663&lt;=1.5,"Atenção","Risco elevado"))))))</f>
        <v/>
      </c>
      <c r="M663" s="27"/>
    </row>
    <row r="664" customFormat="false" ht="15" hidden="false" customHeight="false" outlineLevel="0" collapsed="false">
      <c r="A664" s="29"/>
      <c r="B664" s="40" t="n">
        <f aca="false">IF($A664="",0,INT(($A664-Macrociclo!$C$11)/7)+1)</f>
        <v>0</v>
      </c>
      <c r="C664" s="27"/>
      <c r="D664" s="27"/>
      <c r="E664" s="28"/>
      <c r="F664" s="28"/>
      <c r="G664" s="44" t="n">
        <f aca="false">IF(OR($E664="",$F664=""),0,$E664*$F664)</f>
        <v>0</v>
      </c>
      <c r="H664" s="44" t="n">
        <f aca="false">IF($A664="",0,SUMIFS($G$8:$G$1007,$C$8:$C$1007,$C664,$A$8:$A$1007,"&gt;="&amp;$A664-6,$A$8:$A$1007,"&lt;="&amp;$A664))</f>
        <v>0</v>
      </c>
      <c r="I664" s="44" t="n">
        <f aca="false">IF($A664="",0,SUMIFS($G$8:$G$1007,$C$8:$C$1007,$C664,$A$8:$A$1007,"&gt;="&amp;$A664-27,$A$8:$A$1007,"&lt;="&amp;$A664)/4)</f>
        <v>0</v>
      </c>
      <c r="J664" s="144" t="n">
        <f aca="false">IF(OR($A664="",$I664=0),0,$H664/$I664)</f>
        <v>0</v>
      </c>
      <c r="K664" s="40" t="n">
        <f aca="false">IF($A664="",0,$A664-SUMPRODUCT(MIN(($C$8:$C$1007=$C664)*$A$8:$A$1007+($C$8:$C$1007&lt;&gt;$C664)*100000))+1)</f>
        <v>0</v>
      </c>
      <c r="L664" s="26" t="str">
        <f aca="false">IF($A664="","",IF($J664=0,"Sem registro anterior",IF($K664&lt;21,"Histórico insuficiente",IF($J664&lt;0.8,"Subcarga",IF($J664&lt;=1.3,"Zona ideal",IF($J664&lt;=1.5,"Atenção","Risco elevado"))))))</f>
        <v/>
      </c>
      <c r="M664" s="27"/>
    </row>
    <row r="665" customFormat="false" ht="15" hidden="false" customHeight="false" outlineLevel="0" collapsed="false">
      <c r="A665" s="29"/>
      <c r="B665" s="40" t="n">
        <f aca="false">IF($A665="",0,INT(($A665-Macrociclo!$C$11)/7)+1)</f>
        <v>0</v>
      </c>
      <c r="C665" s="27"/>
      <c r="D665" s="27"/>
      <c r="E665" s="28"/>
      <c r="F665" s="28"/>
      <c r="G665" s="44" t="n">
        <f aca="false">IF(OR($E665="",$F665=""),0,$E665*$F665)</f>
        <v>0</v>
      </c>
      <c r="H665" s="44" t="n">
        <f aca="false">IF($A665="",0,SUMIFS($G$8:$G$1007,$C$8:$C$1007,$C665,$A$8:$A$1007,"&gt;="&amp;$A665-6,$A$8:$A$1007,"&lt;="&amp;$A665))</f>
        <v>0</v>
      </c>
      <c r="I665" s="44" t="n">
        <f aca="false">IF($A665="",0,SUMIFS($G$8:$G$1007,$C$8:$C$1007,$C665,$A$8:$A$1007,"&gt;="&amp;$A665-27,$A$8:$A$1007,"&lt;="&amp;$A665)/4)</f>
        <v>0</v>
      </c>
      <c r="J665" s="144" t="n">
        <f aca="false">IF(OR($A665="",$I665=0),0,$H665/$I665)</f>
        <v>0</v>
      </c>
      <c r="K665" s="40" t="n">
        <f aca="false">IF($A665="",0,$A665-SUMPRODUCT(MIN(($C$8:$C$1007=$C665)*$A$8:$A$1007+($C$8:$C$1007&lt;&gt;$C665)*100000))+1)</f>
        <v>0</v>
      </c>
      <c r="L665" s="26" t="str">
        <f aca="false">IF($A665="","",IF($J665=0,"Sem registro anterior",IF($K665&lt;21,"Histórico insuficiente",IF($J665&lt;0.8,"Subcarga",IF($J665&lt;=1.3,"Zona ideal",IF($J665&lt;=1.5,"Atenção","Risco elevado"))))))</f>
        <v/>
      </c>
      <c r="M665" s="27"/>
    </row>
    <row r="666" customFormat="false" ht="15" hidden="false" customHeight="false" outlineLevel="0" collapsed="false">
      <c r="A666" s="29"/>
      <c r="B666" s="40" t="n">
        <f aca="false">IF($A666="",0,INT(($A666-Macrociclo!$C$11)/7)+1)</f>
        <v>0</v>
      </c>
      <c r="C666" s="27"/>
      <c r="D666" s="27"/>
      <c r="E666" s="28"/>
      <c r="F666" s="28"/>
      <c r="G666" s="44" t="n">
        <f aca="false">IF(OR($E666="",$F666=""),0,$E666*$F666)</f>
        <v>0</v>
      </c>
      <c r="H666" s="44" t="n">
        <f aca="false">IF($A666="",0,SUMIFS($G$8:$G$1007,$C$8:$C$1007,$C666,$A$8:$A$1007,"&gt;="&amp;$A666-6,$A$8:$A$1007,"&lt;="&amp;$A666))</f>
        <v>0</v>
      </c>
      <c r="I666" s="44" t="n">
        <f aca="false">IF($A666="",0,SUMIFS($G$8:$G$1007,$C$8:$C$1007,$C666,$A$8:$A$1007,"&gt;="&amp;$A666-27,$A$8:$A$1007,"&lt;="&amp;$A666)/4)</f>
        <v>0</v>
      </c>
      <c r="J666" s="144" t="n">
        <f aca="false">IF(OR($A666="",$I666=0),0,$H666/$I666)</f>
        <v>0</v>
      </c>
      <c r="K666" s="40" t="n">
        <f aca="false">IF($A666="",0,$A666-SUMPRODUCT(MIN(($C$8:$C$1007=$C666)*$A$8:$A$1007+($C$8:$C$1007&lt;&gt;$C666)*100000))+1)</f>
        <v>0</v>
      </c>
      <c r="L666" s="26" t="str">
        <f aca="false">IF($A666="","",IF($J666=0,"Sem registro anterior",IF($K666&lt;21,"Histórico insuficiente",IF($J666&lt;0.8,"Subcarga",IF($J666&lt;=1.3,"Zona ideal",IF($J666&lt;=1.5,"Atenção","Risco elevado"))))))</f>
        <v/>
      </c>
      <c r="M666" s="27"/>
    </row>
    <row r="667" customFormat="false" ht="15" hidden="false" customHeight="false" outlineLevel="0" collapsed="false">
      <c r="A667" s="29"/>
      <c r="B667" s="40" t="n">
        <f aca="false">IF($A667="",0,INT(($A667-Macrociclo!$C$11)/7)+1)</f>
        <v>0</v>
      </c>
      <c r="C667" s="27"/>
      <c r="D667" s="27"/>
      <c r="E667" s="28"/>
      <c r="F667" s="28"/>
      <c r="G667" s="44" t="n">
        <f aca="false">IF(OR($E667="",$F667=""),0,$E667*$F667)</f>
        <v>0</v>
      </c>
      <c r="H667" s="44" t="n">
        <f aca="false">IF($A667="",0,SUMIFS($G$8:$G$1007,$C$8:$C$1007,$C667,$A$8:$A$1007,"&gt;="&amp;$A667-6,$A$8:$A$1007,"&lt;="&amp;$A667))</f>
        <v>0</v>
      </c>
      <c r="I667" s="44" t="n">
        <f aca="false">IF($A667="",0,SUMIFS($G$8:$G$1007,$C$8:$C$1007,$C667,$A$8:$A$1007,"&gt;="&amp;$A667-27,$A$8:$A$1007,"&lt;="&amp;$A667)/4)</f>
        <v>0</v>
      </c>
      <c r="J667" s="144" t="n">
        <f aca="false">IF(OR($A667="",$I667=0),0,$H667/$I667)</f>
        <v>0</v>
      </c>
      <c r="K667" s="40" t="n">
        <f aca="false">IF($A667="",0,$A667-SUMPRODUCT(MIN(($C$8:$C$1007=$C667)*$A$8:$A$1007+($C$8:$C$1007&lt;&gt;$C667)*100000))+1)</f>
        <v>0</v>
      </c>
      <c r="L667" s="26" t="str">
        <f aca="false">IF($A667="","",IF($J667=0,"Sem registro anterior",IF($K667&lt;21,"Histórico insuficiente",IF($J667&lt;0.8,"Subcarga",IF($J667&lt;=1.3,"Zona ideal",IF($J667&lt;=1.5,"Atenção","Risco elevado"))))))</f>
        <v/>
      </c>
      <c r="M667" s="27"/>
    </row>
    <row r="668" customFormat="false" ht="15" hidden="false" customHeight="false" outlineLevel="0" collapsed="false">
      <c r="A668" s="29"/>
      <c r="B668" s="40" t="n">
        <f aca="false">IF($A668="",0,INT(($A668-Macrociclo!$C$11)/7)+1)</f>
        <v>0</v>
      </c>
      <c r="C668" s="27"/>
      <c r="D668" s="27"/>
      <c r="E668" s="28"/>
      <c r="F668" s="28"/>
      <c r="G668" s="44" t="n">
        <f aca="false">IF(OR($E668="",$F668=""),0,$E668*$F668)</f>
        <v>0</v>
      </c>
      <c r="H668" s="44" t="n">
        <f aca="false">IF($A668="",0,SUMIFS($G$8:$G$1007,$C$8:$C$1007,$C668,$A$8:$A$1007,"&gt;="&amp;$A668-6,$A$8:$A$1007,"&lt;="&amp;$A668))</f>
        <v>0</v>
      </c>
      <c r="I668" s="44" t="n">
        <f aca="false">IF($A668="",0,SUMIFS($G$8:$G$1007,$C$8:$C$1007,$C668,$A$8:$A$1007,"&gt;="&amp;$A668-27,$A$8:$A$1007,"&lt;="&amp;$A668)/4)</f>
        <v>0</v>
      </c>
      <c r="J668" s="144" t="n">
        <f aca="false">IF(OR($A668="",$I668=0),0,$H668/$I668)</f>
        <v>0</v>
      </c>
      <c r="K668" s="40" t="n">
        <f aca="false">IF($A668="",0,$A668-SUMPRODUCT(MIN(($C$8:$C$1007=$C668)*$A$8:$A$1007+($C$8:$C$1007&lt;&gt;$C668)*100000))+1)</f>
        <v>0</v>
      </c>
      <c r="L668" s="26" t="str">
        <f aca="false">IF($A668="","",IF($J668=0,"Sem registro anterior",IF($K668&lt;21,"Histórico insuficiente",IF($J668&lt;0.8,"Subcarga",IF($J668&lt;=1.3,"Zona ideal",IF($J668&lt;=1.5,"Atenção","Risco elevado"))))))</f>
        <v/>
      </c>
      <c r="M668" s="27"/>
    </row>
    <row r="669" customFormat="false" ht="15" hidden="false" customHeight="false" outlineLevel="0" collapsed="false">
      <c r="A669" s="29"/>
      <c r="B669" s="40" t="n">
        <f aca="false">IF($A669="",0,INT(($A669-Macrociclo!$C$11)/7)+1)</f>
        <v>0</v>
      </c>
      <c r="C669" s="27"/>
      <c r="D669" s="27"/>
      <c r="E669" s="28"/>
      <c r="F669" s="28"/>
      <c r="G669" s="44" t="n">
        <f aca="false">IF(OR($E669="",$F669=""),0,$E669*$F669)</f>
        <v>0</v>
      </c>
      <c r="H669" s="44" t="n">
        <f aca="false">IF($A669="",0,SUMIFS($G$8:$G$1007,$C$8:$C$1007,$C669,$A$8:$A$1007,"&gt;="&amp;$A669-6,$A$8:$A$1007,"&lt;="&amp;$A669))</f>
        <v>0</v>
      </c>
      <c r="I669" s="44" t="n">
        <f aca="false">IF($A669="",0,SUMIFS($G$8:$G$1007,$C$8:$C$1007,$C669,$A$8:$A$1007,"&gt;="&amp;$A669-27,$A$8:$A$1007,"&lt;="&amp;$A669)/4)</f>
        <v>0</v>
      </c>
      <c r="J669" s="144" t="n">
        <f aca="false">IF(OR($A669="",$I669=0),0,$H669/$I669)</f>
        <v>0</v>
      </c>
      <c r="K669" s="40" t="n">
        <f aca="false">IF($A669="",0,$A669-SUMPRODUCT(MIN(($C$8:$C$1007=$C669)*$A$8:$A$1007+($C$8:$C$1007&lt;&gt;$C669)*100000))+1)</f>
        <v>0</v>
      </c>
      <c r="L669" s="26" t="str">
        <f aca="false">IF($A669="","",IF($J669=0,"Sem registro anterior",IF($K669&lt;21,"Histórico insuficiente",IF($J669&lt;0.8,"Subcarga",IF($J669&lt;=1.3,"Zona ideal",IF($J669&lt;=1.5,"Atenção","Risco elevado"))))))</f>
        <v/>
      </c>
      <c r="M669" s="27"/>
    </row>
    <row r="670" customFormat="false" ht="15" hidden="false" customHeight="false" outlineLevel="0" collapsed="false">
      <c r="A670" s="29"/>
      <c r="B670" s="40" t="n">
        <f aca="false">IF($A670="",0,INT(($A670-Macrociclo!$C$11)/7)+1)</f>
        <v>0</v>
      </c>
      <c r="C670" s="27"/>
      <c r="D670" s="27"/>
      <c r="E670" s="28"/>
      <c r="F670" s="28"/>
      <c r="G670" s="44" t="n">
        <f aca="false">IF(OR($E670="",$F670=""),0,$E670*$F670)</f>
        <v>0</v>
      </c>
      <c r="H670" s="44" t="n">
        <f aca="false">IF($A670="",0,SUMIFS($G$8:$G$1007,$C$8:$C$1007,$C670,$A$8:$A$1007,"&gt;="&amp;$A670-6,$A$8:$A$1007,"&lt;="&amp;$A670))</f>
        <v>0</v>
      </c>
      <c r="I670" s="44" t="n">
        <f aca="false">IF($A670="",0,SUMIFS($G$8:$G$1007,$C$8:$C$1007,$C670,$A$8:$A$1007,"&gt;="&amp;$A670-27,$A$8:$A$1007,"&lt;="&amp;$A670)/4)</f>
        <v>0</v>
      </c>
      <c r="J670" s="144" t="n">
        <f aca="false">IF(OR($A670="",$I670=0),0,$H670/$I670)</f>
        <v>0</v>
      </c>
      <c r="K670" s="40" t="n">
        <f aca="false">IF($A670="",0,$A670-SUMPRODUCT(MIN(($C$8:$C$1007=$C670)*$A$8:$A$1007+($C$8:$C$1007&lt;&gt;$C670)*100000))+1)</f>
        <v>0</v>
      </c>
      <c r="L670" s="26" t="str">
        <f aca="false">IF($A670="","",IF($J670=0,"Sem registro anterior",IF($K670&lt;21,"Histórico insuficiente",IF($J670&lt;0.8,"Subcarga",IF($J670&lt;=1.3,"Zona ideal",IF($J670&lt;=1.5,"Atenção","Risco elevado"))))))</f>
        <v/>
      </c>
      <c r="M670" s="27"/>
    </row>
    <row r="671" customFormat="false" ht="15" hidden="false" customHeight="false" outlineLevel="0" collapsed="false">
      <c r="A671" s="29"/>
      <c r="B671" s="40" t="n">
        <f aca="false">IF($A671="",0,INT(($A671-Macrociclo!$C$11)/7)+1)</f>
        <v>0</v>
      </c>
      <c r="C671" s="27"/>
      <c r="D671" s="27"/>
      <c r="E671" s="28"/>
      <c r="F671" s="28"/>
      <c r="G671" s="44" t="n">
        <f aca="false">IF(OR($E671="",$F671=""),0,$E671*$F671)</f>
        <v>0</v>
      </c>
      <c r="H671" s="44" t="n">
        <f aca="false">IF($A671="",0,SUMIFS($G$8:$G$1007,$C$8:$C$1007,$C671,$A$8:$A$1007,"&gt;="&amp;$A671-6,$A$8:$A$1007,"&lt;="&amp;$A671))</f>
        <v>0</v>
      </c>
      <c r="I671" s="44" t="n">
        <f aca="false">IF($A671="",0,SUMIFS($G$8:$G$1007,$C$8:$C$1007,$C671,$A$8:$A$1007,"&gt;="&amp;$A671-27,$A$8:$A$1007,"&lt;="&amp;$A671)/4)</f>
        <v>0</v>
      </c>
      <c r="J671" s="144" t="n">
        <f aca="false">IF(OR($A671="",$I671=0),0,$H671/$I671)</f>
        <v>0</v>
      </c>
      <c r="K671" s="40" t="n">
        <f aca="false">IF($A671="",0,$A671-SUMPRODUCT(MIN(($C$8:$C$1007=$C671)*$A$8:$A$1007+($C$8:$C$1007&lt;&gt;$C671)*100000))+1)</f>
        <v>0</v>
      </c>
      <c r="L671" s="26" t="str">
        <f aca="false">IF($A671="","",IF($J671=0,"Sem registro anterior",IF($K671&lt;21,"Histórico insuficiente",IF($J671&lt;0.8,"Subcarga",IF($J671&lt;=1.3,"Zona ideal",IF($J671&lt;=1.5,"Atenção","Risco elevado"))))))</f>
        <v/>
      </c>
      <c r="M671" s="27"/>
    </row>
    <row r="672" customFormat="false" ht="15" hidden="false" customHeight="false" outlineLevel="0" collapsed="false">
      <c r="A672" s="29"/>
      <c r="B672" s="40" t="n">
        <f aca="false">IF($A672="",0,INT(($A672-Macrociclo!$C$11)/7)+1)</f>
        <v>0</v>
      </c>
      <c r="C672" s="27"/>
      <c r="D672" s="27"/>
      <c r="E672" s="28"/>
      <c r="F672" s="28"/>
      <c r="G672" s="44" t="n">
        <f aca="false">IF(OR($E672="",$F672=""),0,$E672*$F672)</f>
        <v>0</v>
      </c>
      <c r="H672" s="44" t="n">
        <f aca="false">IF($A672="",0,SUMIFS($G$8:$G$1007,$C$8:$C$1007,$C672,$A$8:$A$1007,"&gt;="&amp;$A672-6,$A$8:$A$1007,"&lt;="&amp;$A672))</f>
        <v>0</v>
      </c>
      <c r="I672" s="44" t="n">
        <f aca="false">IF($A672="",0,SUMIFS($G$8:$G$1007,$C$8:$C$1007,$C672,$A$8:$A$1007,"&gt;="&amp;$A672-27,$A$8:$A$1007,"&lt;="&amp;$A672)/4)</f>
        <v>0</v>
      </c>
      <c r="J672" s="144" t="n">
        <f aca="false">IF(OR($A672="",$I672=0),0,$H672/$I672)</f>
        <v>0</v>
      </c>
      <c r="K672" s="40" t="n">
        <f aca="false">IF($A672="",0,$A672-SUMPRODUCT(MIN(($C$8:$C$1007=$C672)*$A$8:$A$1007+($C$8:$C$1007&lt;&gt;$C672)*100000))+1)</f>
        <v>0</v>
      </c>
      <c r="L672" s="26" t="str">
        <f aca="false">IF($A672="","",IF($J672=0,"Sem registro anterior",IF($K672&lt;21,"Histórico insuficiente",IF($J672&lt;0.8,"Subcarga",IF($J672&lt;=1.3,"Zona ideal",IF($J672&lt;=1.5,"Atenção","Risco elevado"))))))</f>
        <v/>
      </c>
      <c r="M672" s="27"/>
    </row>
    <row r="673" customFormat="false" ht="15" hidden="false" customHeight="false" outlineLevel="0" collapsed="false">
      <c r="A673" s="29"/>
      <c r="B673" s="40" t="n">
        <f aca="false">IF($A673="",0,INT(($A673-Macrociclo!$C$11)/7)+1)</f>
        <v>0</v>
      </c>
      <c r="C673" s="27"/>
      <c r="D673" s="27"/>
      <c r="E673" s="28"/>
      <c r="F673" s="28"/>
      <c r="G673" s="44" t="n">
        <f aca="false">IF(OR($E673="",$F673=""),0,$E673*$F673)</f>
        <v>0</v>
      </c>
      <c r="H673" s="44" t="n">
        <f aca="false">IF($A673="",0,SUMIFS($G$8:$G$1007,$C$8:$C$1007,$C673,$A$8:$A$1007,"&gt;="&amp;$A673-6,$A$8:$A$1007,"&lt;="&amp;$A673))</f>
        <v>0</v>
      </c>
      <c r="I673" s="44" t="n">
        <f aca="false">IF($A673="",0,SUMIFS($G$8:$G$1007,$C$8:$C$1007,$C673,$A$8:$A$1007,"&gt;="&amp;$A673-27,$A$8:$A$1007,"&lt;="&amp;$A673)/4)</f>
        <v>0</v>
      </c>
      <c r="J673" s="144" t="n">
        <f aca="false">IF(OR($A673="",$I673=0),0,$H673/$I673)</f>
        <v>0</v>
      </c>
      <c r="K673" s="40" t="n">
        <f aca="false">IF($A673="",0,$A673-SUMPRODUCT(MIN(($C$8:$C$1007=$C673)*$A$8:$A$1007+($C$8:$C$1007&lt;&gt;$C673)*100000))+1)</f>
        <v>0</v>
      </c>
      <c r="L673" s="26" t="str">
        <f aca="false">IF($A673="","",IF($J673=0,"Sem registro anterior",IF($K673&lt;21,"Histórico insuficiente",IF($J673&lt;0.8,"Subcarga",IF($J673&lt;=1.3,"Zona ideal",IF($J673&lt;=1.5,"Atenção","Risco elevado"))))))</f>
        <v/>
      </c>
      <c r="M673" s="27"/>
    </row>
    <row r="674" customFormat="false" ht="15" hidden="false" customHeight="false" outlineLevel="0" collapsed="false">
      <c r="A674" s="29"/>
      <c r="B674" s="40" t="n">
        <f aca="false">IF($A674="",0,INT(($A674-Macrociclo!$C$11)/7)+1)</f>
        <v>0</v>
      </c>
      <c r="C674" s="27"/>
      <c r="D674" s="27"/>
      <c r="E674" s="28"/>
      <c r="F674" s="28"/>
      <c r="G674" s="44" t="n">
        <f aca="false">IF(OR($E674="",$F674=""),0,$E674*$F674)</f>
        <v>0</v>
      </c>
      <c r="H674" s="44" t="n">
        <f aca="false">IF($A674="",0,SUMIFS($G$8:$G$1007,$C$8:$C$1007,$C674,$A$8:$A$1007,"&gt;="&amp;$A674-6,$A$8:$A$1007,"&lt;="&amp;$A674))</f>
        <v>0</v>
      </c>
      <c r="I674" s="44" t="n">
        <f aca="false">IF($A674="",0,SUMIFS($G$8:$G$1007,$C$8:$C$1007,$C674,$A$8:$A$1007,"&gt;="&amp;$A674-27,$A$8:$A$1007,"&lt;="&amp;$A674)/4)</f>
        <v>0</v>
      </c>
      <c r="J674" s="144" t="n">
        <f aca="false">IF(OR($A674="",$I674=0),0,$H674/$I674)</f>
        <v>0</v>
      </c>
      <c r="K674" s="40" t="n">
        <f aca="false">IF($A674="",0,$A674-SUMPRODUCT(MIN(($C$8:$C$1007=$C674)*$A$8:$A$1007+($C$8:$C$1007&lt;&gt;$C674)*100000))+1)</f>
        <v>0</v>
      </c>
      <c r="L674" s="26" t="str">
        <f aca="false">IF($A674="","",IF($J674=0,"Sem registro anterior",IF($K674&lt;21,"Histórico insuficiente",IF($J674&lt;0.8,"Subcarga",IF($J674&lt;=1.3,"Zona ideal",IF($J674&lt;=1.5,"Atenção","Risco elevado"))))))</f>
        <v/>
      </c>
      <c r="M674" s="27"/>
    </row>
    <row r="675" customFormat="false" ht="15" hidden="false" customHeight="false" outlineLevel="0" collapsed="false">
      <c r="A675" s="29"/>
      <c r="B675" s="40" t="n">
        <f aca="false">IF($A675="",0,INT(($A675-Macrociclo!$C$11)/7)+1)</f>
        <v>0</v>
      </c>
      <c r="C675" s="27"/>
      <c r="D675" s="27"/>
      <c r="E675" s="28"/>
      <c r="F675" s="28"/>
      <c r="G675" s="44" t="n">
        <f aca="false">IF(OR($E675="",$F675=""),0,$E675*$F675)</f>
        <v>0</v>
      </c>
      <c r="H675" s="44" t="n">
        <f aca="false">IF($A675="",0,SUMIFS($G$8:$G$1007,$C$8:$C$1007,$C675,$A$8:$A$1007,"&gt;="&amp;$A675-6,$A$8:$A$1007,"&lt;="&amp;$A675))</f>
        <v>0</v>
      </c>
      <c r="I675" s="44" t="n">
        <f aca="false">IF($A675="",0,SUMIFS($G$8:$G$1007,$C$8:$C$1007,$C675,$A$8:$A$1007,"&gt;="&amp;$A675-27,$A$8:$A$1007,"&lt;="&amp;$A675)/4)</f>
        <v>0</v>
      </c>
      <c r="J675" s="144" t="n">
        <f aca="false">IF(OR($A675="",$I675=0),0,$H675/$I675)</f>
        <v>0</v>
      </c>
      <c r="K675" s="40" t="n">
        <f aca="false">IF($A675="",0,$A675-SUMPRODUCT(MIN(($C$8:$C$1007=$C675)*$A$8:$A$1007+($C$8:$C$1007&lt;&gt;$C675)*100000))+1)</f>
        <v>0</v>
      </c>
      <c r="L675" s="26" t="str">
        <f aca="false">IF($A675="","",IF($J675=0,"Sem registro anterior",IF($K675&lt;21,"Histórico insuficiente",IF($J675&lt;0.8,"Subcarga",IF($J675&lt;=1.3,"Zona ideal",IF($J675&lt;=1.5,"Atenção","Risco elevado"))))))</f>
        <v/>
      </c>
      <c r="M675" s="27"/>
    </row>
    <row r="676" customFormat="false" ht="15" hidden="false" customHeight="false" outlineLevel="0" collapsed="false">
      <c r="A676" s="29"/>
      <c r="B676" s="40" t="n">
        <f aca="false">IF($A676="",0,INT(($A676-Macrociclo!$C$11)/7)+1)</f>
        <v>0</v>
      </c>
      <c r="C676" s="27"/>
      <c r="D676" s="27"/>
      <c r="E676" s="28"/>
      <c r="F676" s="28"/>
      <c r="G676" s="44" t="n">
        <f aca="false">IF(OR($E676="",$F676=""),0,$E676*$F676)</f>
        <v>0</v>
      </c>
      <c r="H676" s="44" t="n">
        <f aca="false">IF($A676="",0,SUMIFS($G$8:$G$1007,$C$8:$C$1007,$C676,$A$8:$A$1007,"&gt;="&amp;$A676-6,$A$8:$A$1007,"&lt;="&amp;$A676))</f>
        <v>0</v>
      </c>
      <c r="I676" s="44" t="n">
        <f aca="false">IF($A676="",0,SUMIFS($G$8:$G$1007,$C$8:$C$1007,$C676,$A$8:$A$1007,"&gt;="&amp;$A676-27,$A$8:$A$1007,"&lt;="&amp;$A676)/4)</f>
        <v>0</v>
      </c>
      <c r="J676" s="144" t="n">
        <f aca="false">IF(OR($A676="",$I676=0),0,$H676/$I676)</f>
        <v>0</v>
      </c>
      <c r="K676" s="40" t="n">
        <f aca="false">IF($A676="",0,$A676-SUMPRODUCT(MIN(($C$8:$C$1007=$C676)*$A$8:$A$1007+($C$8:$C$1007&lt;&gt;$C676)*100000))+1)</f>
        <v>0</v>
      </c>
      <c r="L676" s="26" t="str">
        <f aca="false">IF($A676="","",IF($J676=0,"Sem registro anterior",IF($K676&lt;21,"Histórico insuficiente",IF($J676&lt;0.8,"Subcarga",IF($J676&lt;=1.3,"Zona ideal",IF($J676&lt;=1.5,"Atenção","Risco elevado"))))))</f>
        <v/>
      </c>
      <c r="M676" s="27"/>
    </row>
    <row r="677" customFormat="false" ht="15" hidden="false" customHeight="false" outlineLevel="0" collapsed="false">
      <c r="A677" s="29"/>
      <c r="B677" s="40" t="n">
        <f aca="false">IF($A677="",0,INT(($A677-Macrociclo!$C$11)/7)+1)</f>
        <v>0</v>
      </c>
      <c r="C677" s="27"/>
      <c r="D677" s="27"/>
      <c r="E677" s="28"/>
      <c r="F677" s="28"/>
      <c r="G677" s="44" t="n">
        <f aca="false">IF(OR($E677="",$F677=""),0,$E677*$F677)</f>
        <v>0</v>
      </c>
      <c r="H677" s="44" t="n">
        <f aca="false">IF($A677="",0,SUMIFS($G$8:$G$1007,$C$8:$C$1007,$C677,$A$8:$A$1007,"&gt;="&amp;$A677-6,$A$8:$A$1007,"&lt;="&amp;$A677))</f>
        <v>0</v>
      </c>
      <c r="I677" s="44" t="n">
        <f aca="false">IF($A677="",0,SUMIFS($G$8:$G$1007,$C$8:$C$1007,$C677,$A$8:$A$1007,"&gt;="&amp;$A677-27,$A$8:$A$1007,"&lt;="&amp;$A677)/4)</f>
        <v>0</v>
      </c>
      <c r="J677" s="144" t="n">
        <f aca="false">IF(OR($A677="",$I677=0),0,$H677/$I677)</f>
        <v>0</v>
      </c>
      <c r="K677" s="40" t="n">
        <f aca="false">IF($A677="",0,$A677-SUMPRODUCT(MIN(($C$8:$C$1007=$C677)*$A$8:$A$1007+($C$8:$C$1007&lt;&gt;$C677)*100000))+1)</f>
        <v>0</v>
      </c>
      <c r="L677" s="26" t="str">
        <f aca="false">IF($A677="","",IF($J677=0,"Sem registro anterior",IF($K677&lt;21,"Histórico insuficiente",IF($J677&lt;0.8,"Subcarga",IF($J677&lt;=1.3,"Zona ideal",IF($J677&lt;=1.5,"Atenção","Risco elevado"))))))</f>
        <v/>
      </c>
      <c r="M677" s="27"/>
    </row>
    <row r="678" customFormat="false" ht="15" hidden="false" customHeight="false" outlineLevel="0" collapsed="false">
      <c r="A678" s="29"/>
      <c r="B678" s="40" t="n">
        <f aca="false">IF($A678="",0,INT(($A678-Macrociclo!$C$11)/7)+1)</f>
        <v>0</v>
      </c>
      <c r="C678" s="27"/>
      <c r="D678" s="27"/>
      <c r="E678" s="28"/>
      <c r="F678" s="28"/>
      <c r="G678" s="44" t="n">
        <f aca="false">IF(OR($E678="",$F678=""),0,$E678*$F678)</f>
        <v>0</v>
      </c>
      <c r="H678" s="44" t="n">
        <f aca="false">IF($A678="",0,SUMIFS($G$8:$G$1007,$C$8:$C$1007,$C678,$A$8:$A$1007,"&gt;="&amp;$A678-6,$A$8:$A$1007,"&lt;="&amp;$A678))</f>
        <v>0</v>
      </c>
      <c r="I678" s="44" t="n">
        <f aca="false">IF($A678="",0,SUMIFS($G$8:$G$1007,$C$8:$C$1007,$C678,$A$8:$A$1007,"&gt;="&amp;$A678-27,$A$8:$A$1007,"&lt;="&amp;$A678)/4)</f>
        <v>0</v>
      </c>
      <c r="J678" s="144" t="n">
        <f aca="false">IF(OR($A678="",$I678=0),0,$H678/$I678)</f>
        <v>0</v>
      </c>
      <c r="K678" s="40" t="n">
        <f aca="false">IF($A678="",0,$A678-SUMPRODUCT(MIN(($C$8:$C$1007=$C678)*$A$8:$A$1007+($C$8:$C$1007&lt;&gt;$C678)*100000))+1)</f>
        <v>0</v>
      </c>
      <c r="L678" s="26" t="str">
        <f aca="false">IF($A678="","",IF($J678=0,"Sem registro anterior",IF($K678&lt;21,"Histórico insuficiente",IF($J678&lt;0.8,"Subcarga",IF($J678&lt;=1.3,"Zona ideal",IF($J678&lt;=1.5,"Atenção","Risco elevado"))))))</f>
        <v/>
      </c>
      <c r="M678" s="27"/>
    </row>
    <row r="679" customFormat="false" ht="15" hidden="false" customHeight="false" outlineLevel="0" collapsed="false">
      <c r="A679" s="29"/>
      <c r="B679" s="40" t="n">
        <f aca="false">IF($A679="",0,INT(($A679-Macrociclo!$C$11)/7)+1)</f>
        <v>0</v>
      </c>
      <c r="C679" s="27"/>
      <c r="D679" s="27"/>
      <c r="E679" s="28"/>
      <c r="F679" s="28"/>
      <c r="G679" s="44" t="n">
        <f aca="false">IF(OR($E679="",$F679=""),0,$E679*$F679)</f>
        <v>0</v>
      </c>
      <c r="H679" s="44" t="n">
        <f aca="false">IF($A679="",0,SUMIFS($G$8:$G$1007,$C$8:$C$1007,$C679,$A$8:$A$1007,"&gt;="&amp;$A679-6,$A$8:$A$1007,"&lt;="&amp;$A679))</f>
        <v>0</v>
      </c>
      <c r="I679" s="44" t="n">
        <f aca="false">IF($A679="",0,SUMIFS($G$8:$G$1007,$C$8:$C$1007,$C679,$A$8:$A$1007,"&gt;="&amp;$A679-27,$A$8:$A$1007,"&lt;="&amp;$A679)/4)</f>
        <v>0</v>
      </c>
      <c r="J679" s="144" t="n">
        <f aca="false">IF(OR($A679="",$I679=0),0,$H679/$I679)</f>
        <v>0</v>
      </c>
      <c r="K679" s="40" t="n">
        <f aca="false">IF($A679="",0,$A679-SUMPRODUCT(MIN(($C$8:$C$1007=$C679)*$A$8:$A$1007+($C$8:$C$1007&lt;&gt;$C679)*100000))+1)</f>
        <v>0</v>
      </c>
      <c r="L679" s="26" t="str">
        <f aca="false">IF($A679="","",IF($J679=0,"Sem registro anterior",IF($K679&lt;21,"Histórico insuficiente",IF($J679&lt;0.8,"Subcarga",IF($J679&lt;=1.3,"Zona ideal",IF($J679&lt;=1.5,"Atenção","Risco elevado"))))))</f>
        <v/>
      </c>
      <c r="M679" s="27"/>
    </row>
    <row r="680" customFormat="false" ht="15" hidden="false" customHeight="false" outlineLevel="0" collapsed="false">
      <c r="A680" s="29"/>
      <c r="B680" s="40" t="n">
        <f aca="false">IF($A680="",0,INT(($A680-Macrociclo!$C$11)/7)+1)</f>
        <v>0</v>
      </c>
      <c r="C680" s="27"/>
      <c r="D680" s="27"/>
      <c r="E680" s="28"/>
      <c r="F680" s="28"/>
      <c r="G680" s="44" t="n">
        <f aca="false">IF(OR($E680="",$F680=""),0,$E680*$F680)</f>
        <v>0</v>
      </c>
      <c r="H680" s="44" t="n">
        <f aca="false">IF($A680="",0,SUMIFS($G$8:$G$1007,$C$8:$C$1007,$C680,$A$8:$A$1007,"&gt;="&amp;$A680-6,$A$8:$A$1007,"&lt;="&amp;$A680))</f>
        <v>0</v>
      </c>
      <c r="I680" s="44" t="n">
        <f aca="false">IF($A680="",0,SUMIFS($G$8:$G$1007,$C$8:$C$1007,$C680,$A$8:$A$1007,"&gt;="&amp;$A680-27,$A$8:$A$1007,"&lt;="&amp;$A680)/4)</f>
        <v>0</v>
      </c>
      <c r="J680" s="144" t="n">
        <f aca="false">IF(OR($A680="",$I680=0),0,$H680/$I680)</f>
        <v>0</v>
      </c>
      <c r="K680" s="40" t="n">
        <f aca="false">IF($A680="",0,$A680-SUMPRODUCT(MIN(($C$8:$C$1007=$C680)*$A$8:$A$1007+($C$8:$C$1007&lt;&gt;$C680)*100000))+1)</f>
        <v>0</v>
      </c>
      <c r="L680" s="26" t="str">
        <f aca="false">IF($A680="","",IF($J680=0,"Sem registro anterior",IF($K680&lt;21,"Histórico insuficiente",IF($J680&lt;0.8,"Subcarga",IF($J680&lt;=1.3,"Zona ideal",IF($J680&lt;=1.5,"Atenção","Risco elevado"))))))</f>
        <v/>
      </c>
      <c r="M680" s="27"/>
    </row>
    <row r="681" customFormat="false" ht="15" hidden="false" customHeight="false" outlineLevel="0" collapsed="false">
      <c r="A681" s="29"/>
      <c r="B681" s="40" t="n">
        <f aca="false">IF($A681="",0,INT(($A681-Macrociclo!$C$11)/7)+1)</f>
        <v>0</v>
      </c>
      <c r="C681" s="27"/>
      <c r="D681" s="27"/>
      <c r="E681" s="28"/>
      <c r="F681" s="28"/>
      <c r="G681" s="44" t="n">
        <f aca="false">IF(OR($E681="",$F681=""),0,$E681*$F681)</f>
        <v>0</v>
      </c>
      <c r="H681" s="44" t="n">
        <f aca="false">IF($A681="",0,SUMIFS($G$8:$G$1007,$C$8:$C$1007,$C681,$A$8:$A$1007,"&gt;="&amp;$A681-6,$A$8:$A$1007,"&lt;="&amp;$A681))</f>
        <v>0</v>
      </c>
      <c r="I681" s="44" t="n">
        <f aca="false">IF($A681="",0,SUMIFS($G$8:$G$1007,$C$8:$C$1007,$C681,$A$8:$A$1007,"&gt;="&amp;$A681-27,$A$8:$A$1007,"&lt;="&amp;$A681)/4)</f>
        <v>0</v>
      </c>
      <c r="J681" s="144" t="n">
        <f aca="false">IF(OR($A681="",$I681=0),0,$H681/$I681)</f>
        <v>0</v>
      </c>
      <c r="K681" s="40" t="n">
        <f aca="false">IF($A681="",0,$A681-SUMPRODUCT(MIN(($C$8:$C$1007=$C681)*$A$8:$A$1007+($C$8:$C$1007&lt;&gt;$C681)*100000))+1)</f>
        <v>0</v>
      </c>
      <c r="L681" s="26" t="str">
        <f aca="false">IF($A681="","",IF($J681=0,"Sem registro anterior",IF($K681&lt;21,"Histórico insuficiente",IF($J681&lt;0.8,"Subcarga",IF($J681&lt;=1.3,"Zona ideal",IF($J681&lt;=1.5,"Atenção","Risco elevado"))))))</f>
        <v/>
      </c>
      <c r="M681" s="27"/>
    </row>
    <row r="682" customFormat="false" ht="15" hidden="false" customHeight="false" outlineLevel="0" collapsed="false">
      <c r="A682" s="29"/>
      <c r="B682" s="40" t="n">
        <f aca="false">IF($A682="",0,INT(($A682-Macrociclo!$C$11)/7)+1)</f>
        <v>0</v>
      </c>
      <c r="C682" s="27"/>
      <c r="D682" s="27"/>
      <c r="E682" s="28"/>
      <c r="F682" s="28"/>
      <c r="G682" s="44" t="n">
        <f aca="false">IF(OR($E682="",$F682=""),0,$E682*$F682)</f>
        <v>0</v>
      </c>
      <c r="H682" s="44" t="n">
        <f aca="false">IF($A682="",0,SUMIFS($G$8:$G$1007,$C$8:$C$1007,$C682,$A$8:$A$1007,"&gt;="&amp;$A682-6,$A$8:$A$1007,"&lt;="&amp;$A682))</f>
        <v>0</v>
      </c>
      <c r="I682" s="44" t="n">
        <f aca="false">IF($A682="",0,SUMIFS($G$8:$G$1007,$C$8:$C$1007,$C682,$A$8:$A$1007,"&gt;="&amp;$A682-27,$A$8:$A$1007,"&lt;="&amp;$A682)/4)</f>
        <v>0</v>
      </c>
      <c r="J682" s="144" t="n">
        <f aca="false">IF(OR($A682="",$I682=0),0,$H682/$I682)</f>
        <v>0</v>
      </c>
      <c r="K682" s="40" t="n">
        <f aca="false">IF($A682="",0,$A682-SUMPRODUCT(MIN(($C$8:$C$1007=$C682)*$A$8:$A$1007+($C$8:$C$1007&lt;&gt;$C682)*100000))+1)</f>
        <v>0</v>
      </c>
      <c r="L682" s="26" t="str">
        <f aca="false">IF($A682="","",IF($J682=0,"Sem registro anterior",IF($K682&lt;21,"Histórico insuficiente",IF($J682&lt;0.8,"Subcarga",IF($J682&lt;=1.3,"Zona ideal",IF($J682&lt;=1.5,"Atenção","Risco elevado"))))))</f>
        <v/>
      </c>
      <c r="M682" s="27"/>
    </row>
    <row r="683" customFormat="false" ht="15" hidden="false" customHeight="false" outlineLevel="0" collapsed="false">
      <c r="A683" s="29"/>
      <c r="B683" s="40" t="n">
        <f aca="false">IF($A683="",0,INT(($A683-Macrociclo!$C$11)/7)+1)</f>
        <v>0</v>
      </c>
      <c r="C683" s="27"/>
      <c r="D683" s="27"/>
      <c r="E683" s="28"/>
      <c r="F683" s="28"/>
      <c r="G683" s="44" t="n">
        <f aca="false">IF(OR($E683="",$F683=""),0,$E683*$F683)</f>
        <v>0</v>
      </c>
      <c r="H683" s="44" t="n">
        <f aca="false">IF($A683="",0,SUMIFS($G$8:$G$1007,$C$8:$C$1007,$C683,$A$8:$A$1007,"&gt;="&amp;$A683-6,$A$8:$A$1007,"&lt;="&amp;$A683))</f>
        <v>0</v>
      </c>
      <c r="I683" s="44" t="n">
        <f aca="false">IF($A683="",0,SUMIFS($G$8:$G$1007,$C$8:$C$1007,$C683,$A$8:$A$1007,"&gt;="&amp;$A683-27,$A$8:$A$1007,"&lt;="&amp;$A683)/4)</f>
        <v>0</v>
      </c>
      <c r="J683" s="144" t="n">
        <f aca="false">IF(OR($A683="",$I683=0),0,$H683/$I683)</f>
        <v>0</v>
      </c>
      <c r="K683" s="40" t="n">
        <f aca="false">IF($A683="",0,$A683-SUMPRODUCT(MIN(($C$8:$C$1007=$C683)*$A$8:$A$1007+($C$8:$C$1007&lt;&gt;$C683)*100000))+1)</f>
        <v>0</v>
      </c>
      <c r="L683" s="26" t="str">
        <f aca="false">IF($A683="","",IF($J683=0,"Sem registro anterior",IF($K683&lt;21,"Histórico insuficiente",IF($J683&lt;0.8,"Subcarga",IF($J683&lt;=1.3,"Zona ideal",IF($J683&lt;=1.5,"Atenção","Risco elevado"))))))</f>
        <v/>
      </c>
      <c r="M683" s="27"/>
    </row>
    <row r="684" customFormat="false" ht="15" hidden="false" customHeight="false" outlineLevel="0" collapsed="false">
      <c r="A684" s="29"/>
      <c r="B684" s="40" t="n">
        <f aca="false">IF($A684="",0,INT(($A684-Macrociclo!$C$11)/7)+1)</f>
        <v>0</v>
      </c>
      <c r="C684" s="27"/>
      <c r="D684" s="27"/>
      <c r="E684" s="28"/>
      <c r="F684" s="28"/>
      <c r="G684" s="44" t="n">
        <f aca="false">IF(OR($E684="",$F684=""),0,$E684*$F684)</f>
        <v>0</v>
      </c>
      <c r="H684" s="44" t="n">
        <f aca="false">IF($A684="",0,SUMIFS($G$8:$G$1007,$C$8:$C$1007,$C684,$A$8:$A$1007,"&gt;="&amp;$A684-6,$A$8:$A$1007,"&lt;="&amp;$A684))</f>
        <v>0</v>
      </c>
      <c r="I684" s="44" t="n">
        <f aca="false">IF($A684="",0,SUMIFS($G$8:$G$1007,$C$8:$C$1007,$C684,$A$8:$A$1007,"&gt;="&amp;$A684-27,$A$8:$A$1007,"&lt;="&amp;$A684)/4)</f>
        <v>0</v>
      </c>
      <c r="J684" s="144" t="n">
        <f aca="false">IF(OR($A684="",$I684=0),0,$H684/$I684)</f>
        <v>0</v>
      </c>
      <c r="K684" s="40" t="n">
        <f aca="false">IF($A684="",0,$A684-SUMPRODUCT(MIN(($C$8:$C$1007=$C684)*$A$8:$A$1007+($C$8:$C$1007&lt;&gt;$C684)*100000))+1)</f>
        <v>0</v>
      </c>
      <c r="L684" s="26" t="str">
        <f aca="false">IF($A684="","",IF($J684=0,"Sem registro anterior",IF($K684&lt;21,"Histórico insuficiente",IF($J684&lt;0.8,"Subcarga",IF($J684&lt;=1.3,"Zona ideal",IF($J684&lt;=1.5,"Atenção","Risco elevado"))))))</f>
        <v/>
      </c>
      <c r="M684" s="27"/>
    </row>
    <row r="685" customFormat="false" ht="15" hidden="false" customHeight="false" outlineLevel="0" collapsed="false">
      <c r="A685" s="29"/>
      <c r="B685" s="40" t="n">
        <f aca="false">IF($A685="",0,INT(($A685-Macrociclo!$C$11)/7)+1)</f>
        <v>0</v>
      </c>
      <c r="C685" s="27"/>
      <c r="D685" s="27"/>
      <c r="E685" s="28"/>
      <c r="F685" s="28"/>
      <c r="G685" s="44" t="n">
        <f aca="false">IF(OR($E685="",$F685=""),0,$E685*$F685)</f>
        <v>0</v>
      </c>
      <c r="H685" s="44" t="n">
        <f aca="false">IF($A685="",0,SUMIFS($G$8:$G$1007,$C$8:$C$1007,$C685,$A$8:$A$1007,"&gt;="&amp;$A685-6,$A$8:$A$1007,"&lt;="&amp;$A685))</f>
        <v>0</v>
      </c>
      <c r="I685" s="44" t="n">
        <f aca="false">IF($A685="",0,SUMIFS($G$8:$G$1007,$C$8:$C$1007,$C685,$A$8:$A$1007,"&gt;="&amp;$A685-27,$A$8:$A$1007,"&lt;="&amp;$A685)/4)</f>
        <v>0</v>
      </c>
      <c r="J685" s="144" t="n">
        <f aca="false">IF(OR($A685="",$I685=0),0,$H685/$I685)</f>
        <v>0</v>
      </c>
      <c r="K685" s="40" t="n">
        <f aca="false">IF($A685="",0,$A685-SUMPRODUCT(MIN(($C$8:$C$1007=$C685)*$A$8:$A$1007+($C$8:$C$1007&lt;&gt;$C685)*100000))+1)</f>
        <v>0</v>
      </c>
      <c r="L685" s="26" t="str">
        <f aca="false">IF($A685="","",IF($J685=0,"Sem registro anterior",IF($K685&lt;21,"Histórico insuficiente",IF($J685&lt;0.8,"Subcarga",IF($J685&lt;=1.3,"Zona ideal",IF($J685&lt;=1.5,"Atenção","Risco elevado"))))))</f>
        <v/>
      </c>
      <c r="M685" s="27"/>
    </row>
    <row r="686" customFormat="false" ht="15" hidden="false" customHeight="false" outlineLevel="0" collapsed="false">
      <c r="A686" s="29"/>
      <c r="B686" s="40" t="n">
        <f aca="false">IF($A686="",0,INT(($A686-Macrociclo!$C$11)/7)+1)</f>
        <v>0</v>
      </c>
      <c r="C686" s="27"/>
      <c r="D686" s="27"/>
      <c r="E686" s="28"/>
      <c r="F686" s="28"/>
      <c r="G686" s="44" t="n">
        <f aca="false">IF(OR($E686="",$F686=""),0,$E686*$F686)</f>
        <v>0</v>
      </c>
      <c r="H686" s="44" t="n">
        <f aca="false">IF($A686="",0,SUMIFS($G$8:$G$1007,$C$8:$C$1007,$C686,$A$8:$A$1007,"&gt;="&amp;$A686-6,$A$8:$A$1007,"&lt;="&amp;$A686))</f>
        <v>0</v>
      </c>
      <c r="I686" s="44" t="n">
        <f aca="false">IF($A686="",0,SUMIFS($G$8:$G$1007,$C$8:$C$1007,$C686,$A$8:$A$1007,"&gt;="&amp;$A686-27,$A$8:$A$1007,"&lt;="&amp;$A686)/4)</f>
        <v>0</v>
      </c>
      <c r="J686" s="144" t="n">
        <f aca="false">IF(OR($A686="",$I686=0),0,$H686/$I686)</f>
        <v>0</v>
      </c>
      <c r="K686" s="40" t="n">
        <f aca="false">IF($A686="",0,$A686-SUMPRODUCT(MIN(($C$8:$C$1007=$C686)*$A$8:$A$1007+($C$8:$C$1007&lt;&gt;$C686)*100000))+1)</f>
        <v>0</v>
      </c>
      <c r="L686" s="26" t="str">
        <f aca="false">IF($A686="","",IF($J686=0,"Sem registro anterior",IF($K686&lt;21,"Histórico insuficiente",IF($J686&lt;0.8,"Subcarga",IF($J686&lt;=1.3,"Zona ideal",IF($J686&lt;=1.5,"Atenção","Risco elevado"))))))</f>
        <v/>
      </c>
      <c r="M686" s="27"/>
    </row>
    <row r="687" customFormat="false" ht="15" hidden="false" customHeight="false" outlineLevel="0" collapsed="false">
      <c r="A687" s="29"/>
      <c r="B687" s="40" t="n">
        <f aca="false">IF($A687="",0,INT(($A687-Macrociclo!$C$11)/7)+1)</f>
        <v>0</v>
      </c>
      <c r="C687" s="27"/>
      <c r="D687" s="27"/>
      <c r="E687" s="28"/>
      <c r="F687" s="28"/>
      <c r="G687" s="44" t="n">
        <f aca="false">IF(OR($E687="",$F687=""),0,$E687*$F687)</f>
        <v>0</v>
      </c>
      <c r="H687" s="44" t="n">
        <f aca="false">IF($A687="",0,SUMIFS($G$8:$G$1007,$C$8:$C$1007,$C687,$A$8:$A$1007,"&gt;="&amp;$A687-6,$A$8:$A$1007,"&lt;="&amp;$A687))</f>
        <v>0</v>
      </c>
      <c r="I687" s="44" t="n">
        <f aca="false">IF($A687="",0,SUMIFS($G$8:$G$1007,$C$8:$C$1007,$C687,$A$8:$A$1007,"&gt;="&amp;$A687-27,$A$8:$A$1007,"&lt;="&amp;$A687)/4)</f>
        <v>0</v>
      </c>
      <c r="J687" s="144" t="n">
        <f aca="false">IF(OR($A687="",$I687=0),0,$H687/$I687)</f>
        <v>0</v>
      </c>
      <c r="K687" s="40" t="n">
        <f aca="false">IF($A687="",0,$A687-SUMPRODUCT(MIN(($C$8:$C$1007=$C687)*$A$8:$A$1007+($C$8:$C$1007&lt;&gt;$C687)*100000))+1)</f>
        <v>0</v>
      </c>
      <c r="L687" s="26" t="str">
        <f aca="false">IF($A687="","",IF($J687=0,"Sem registro anterior",IF($K687&lt;21,"Histórico insuficiente",IF($J687&lt;0.8,"Subcarga",IF($J687&lt;=1.3,"Zona ideal",IF($J687&lt;=1.5,"Atenção","Risco elevado"))))))</f>
        <v/>
      </c>
      <c r="M687" s="27"/>
    </row>
    <row r="688" customFormat="false" ht="15" hidden="false" customHeight="false" outlineLevel="0" collapsed="false">
      <c r="A688" s="29"/>
      <c r="B688" s="40" t="n">
        <f aca="false">IF($A688="",0,INT(($A688-Macrociclo!$C$11)/7)+1)</f>
        <v>0</v>
      </c>
      <c r="C688" s="27"/>
      <c r="D688" s="27"/>
      <c r="E688" s="28"/>
      <c r="F688" s="28"/>
      <c r="G688" s="44" t="n">
        <f aca="false">IF(OR($E688="",$F688=""),0,$E688*$F688)</f>
        <v>0</v>
      </c>
      <c r="H688" s="44" t="n">
        <f aca="false">IF($A688="",0,SUMIFS($G$8:$G$1007,$C$8:$C$1007,$C688,$A$8:$A$1007,"&gt;="&amp;$A688-6,$A$8:$A$1007,"&lt;="&amp;$A688))</f>
        <v>0</v>
      </c>
      <c r="I688" s="44" t="n">
        <f aca="false">IF($A688="",0,SUMIFS($G$8:$G$1007,$C$8:$C$1007,$C688,$A$8:$A$1007,"&gt;="&amp;$A688-27,$A$8:$A$1007,"&lt;="&amp;$A688)/4)</f>
        <v>0</v>
      </c>
      <c r="J688" s="144" t="n">
        <f aca="false">IF(OR($A688="",$I688=0),0,$H688/$I688)</f>
        <v>0</v>
      </c>
      <c r="K688" s="40" t="n">
        <f aca="false">IF($A688="",0,$A688-SUMPRODUCT(MIN(($C$8:$C$1007=$C688)*$A$8:$A$1007+($C$8:$C$1007&lt;&gt;$C688)*100000))+1)</f>
        <v>0</v>
      </c>
      <c r="L688" s="26" t="str">
        <f aca="false">IF($A688="","",IF($J688=0,"Sem registro anterior",IF($K688&lt;21,"Histórico insuficiente",IF($J688&lt;0.8,"Subcarga",IF($J688&lt;=1.3,"Zona ideal",IF($J688&lt;=1.5,"Atenção","Risco elevado"))))))</f>
        <v/>
      </c>
      <c r="M688" s="27"/>
    </row>
    <row r="689" customFormat="false" ht="15" hidden="false" customHeight="false" outlineLevel="0" collapsed="false">
      <c r="A689" s="29"/>
      <c r="B689" s="40" t="n">
        <f aca="false">IF($A689="",0,INT(($A689-Macrociclo!$C$11)/7)+1)</f>
        <v>0</v>
      </c>
      <c r="C689" s="27"/>
      <c r="D689" s="27"/>
      <c r="E689" s="28"/>
      <c r="F689" s="28"/>
      <c r="G689" s="44" t="n">
        <f aca="false">IF(OR($E689="",$F689=""),0,$E689*$F689)</f>
        <v>0</v>
      </c>
      <c r="H689" s="44" t="n">
        <f aca="false">IF($A689="",0,SUMIFS($G$8:$G$1007,$C$8:$C$1007,$C689,$A$8:$A$1007,"&gt;="&amp;$A689-6,$A$8:$A$1007,"&lt;="&amp;$A689))</f>
        <v>0</v>
      </c>
      <c r="I689" s="44" t="n">
        <f aca="false">IF($A689="",0,SUMIFS($G$8:$G$1007,$C$8:$C$1007,$C689,$A$8:$A$1007,"&gt;="&amp;$A689-27,$A$8:$A$1007,"&lt;="&amp;$A689)/4)</f>
        <v>0</v>
      </c>
      <c r="J689" s="144" t="n">
        <f aca="false">IF(OR($A689="",$I689=0),0,$H689/$I689)</f>
        <v>0</v>
      </c>
      <c r="K689" s="40" t="n">
        <f aca="false">IF($A689="",0,$A689-SUMPRODUCT(MIN(($C$8:$C$1007=$C689)*$A$8:$A$1007+($C$8:$C$1007&lt;&gt;$C689)*100000))+1)</f>
        <v>0</v>
      </c>
      <c r="L689" s="26" t="str">
        <f aca="false">IF($A689="","",IF($J689=0,"Sem registro anterior",IF($K689&lt;21,"Histórico insuficiente",IF($J689&lt;0.8,"Subcarga",IF($J689&lt;=1.3,"Zona ideal",IF($J689&lt;=1.5,"Atenção","Risco elevado"))))))</f>
        <v/>
      </c>
      <c r="M689" s="27"/>
    </row>
    <row r="690" customFormat="false" ht="15" hidden="false" customHeight="false" outlineLevel="0" collapsed="false">
      <c r="A690" s="29"/>
      <c r="B690" s="40" t="n">
        <f aca="false">IF($A690="",0,INT(($A690-Macrociclo!$C$11)/7)+1)</f>
        <v>0</v>
      </c>
      <c r="C690" s="27"/>
      <c r="D690" s="27"/>
      <c r="E690" s="28"/>
      <c r="F690" s="28"/>
      <c r="G690" s="44" t="n">
        <f aca="false">IF(OR($E690="",$F690=""),0,$E690*$F690)</f>
        <v>0</v>
      </c>
      <c r="H690" s="44" t="n">
        <f aca="false">IF($A690="",0,SUMIFS($G$8:$G$1007,$C$8:$C$1007,$C690,$A$8:$A$1007,"&gt;="&amp;$A690-6,$A$8:$A$1007,"&lt;="&amp;$A690))</f>
        <v>0</v>
      </c>
      <c r="I690" s="44" t="n">
        <f aca="false">IF($A690="",0,SUMIFS($G$8:$G$1007,$C$8:$C$1007,$C690,$A$8:$A$1007,"&gt;="&amp;$A690-27,$A$8:$A$1007,"&lt;="&amp;$A690)/4)</f>
        <v>0</v>
      </c>
      <c r="J690" s="144" t="n">
        <f aca="false">IF(OR($A690="",$I690=0),0,$H690/$I690)</f>
        <v>0</v>
      </c>
      <c r="K690" s="40" t="n">
        <f aca="false">IF($A690="",0,$A690-SUMPRODUCT(MIN(($C$8:$C$1007=$C690)*$A$8:$A$1007+($C$8:$C$1007&lt;&gt;$C690)*100000))+1)</f>
        <v>0</v>
      </c>
      <c r="L690" s="26" t="str">
        <f aca="false">IF($A690="","",IF($J690=0,"Sem registro anterior",IF($K690&lt;21,"Histórico insuficiente",IF($J690&lt;0.8,"Subcarga",IF($J690&lt;=1.3,"Zona ideal",IF($J690&lt;=1.5,"Atenção","Risco elevado"))))))</f>
        <v/>
      </c>
      <c r="M690" s="27"/>
    </row>
    <row r="691" customFormat="false" ht="15" hidden="false" customHeight="false" outlineLevel="0" collapsed="false">
      <c r="A691" s="29"/>
      <c r="B691" s="40" t="n">
        <f aca="false">IF($A691="",0,INT(($A691-Macrociclo!$C$11)/7)+1)</f>
        <v>0</v>
      </c>
      <c r="C691" s="27"/>
      <c r="D691" s="27"/>
      <c r="E691" s="28"/>
      <c r="F691" s="28"/>
      <c r="G691" s="44" t="n">
        <f aca="false">IF(OR($E691="",$F691=""),0,$E691*$F691)</f>
        <v>0</v>
      </c>
      <c r="H691" s="44" t="n">
        <f aca="false">IF($A691="",0,SUMIFS($G$8:$G$1007,$C$8:$C$1007,$C691,$A$8:$A$1007,"&gt;="&amp;$A691-6,$A$8:$A$1007,"&lt;="&amp;$A691))</f>
        <v>0</v>
      </c>
      <c r="I691" s="44" t="n">
        <f aca="false">IF($A691="",0,SUMIFS($G$8:$G$1007,$C$8:$C$1007,$C691,$A$8:$A$1007,"&gt;="&amp;$A691-27,$A$8:$A$1007,"&lt;="&amp;$A691)/4)</f>
        <v>0</v>
      </c>
      <c r="J691" s="144" t="n">
        <f aca="false">IF(OR($A691="",$I691=0),0,$H691/$I691)</f>
        <v>0</v>
      </c>
      <c r="K691" s="40" t="n">
        <f aca="false">IF($A691="",0,$A691-SUMPRODUCT(MIN(($C$8:$C$1007=$C691)*$A$8:$A$1007+($C$8:$C$1007&lt;&gt;$C691)*100000))+1)</f>
        <v>0</v>
      </c>
      <c r="L691" s="26" t="str">
        <f aca="false">IF($A691="","",IF($J691=0,"Sem registro anterior",IF($K691&lt;21,"Histórico insuficiente",IF($J691&lt;0.8,"Subcarga",IF($J691&lt;=1.3,"Zona ideal",IF($J691&lt;=1.5,"Atenção","Risco elevado"))))))</f>
        <v/>
      </c>
      <c r="M691" s="27"/>
    </row>
    <row r="692" customFormat="false" ht="15" hidden="false" customHeight="false" outlineLevel="0" collapsed="false">
      <c r="A692" s="29"/>
      <c r="B692" s="40" t="n">
        <f aca="false">IF($A692="",0,INT(($A692-Macrociclo!$C$11)/7)+1)</f>
        <v>0</v>
      </c>
      <c r="C692" s="27"/>
      <c r="D692" s="27"/>
      <c r="E692" s="28"/>
      <c r="F692" s="28"/>
      <c r="G692" s="44" t="n">
        <f aca="false">IF(OR($E692="",$F692=""),0,$E692*$F692)</f>
        <v>0</v>
      </c>
      <c r="H692" s="44" t="n">
        <f aca="false">IF($A692="",0,SUMIFS($G$8:$G$1007,$C$8:$C$1007,$C692,$A$8:$A$1007,"&gt;="&amp;$A692-6,$A$8:$A$1007,"&lt;="&amp;$A692))</f>
        <v>0</v>
      </c>
      <c r="I692" s="44" t="n">
        <f aca="false">IF($A692="",0,SUMIFS($G$8:$G$1007,$C$8:$C$1007,$C692,$A$8:$A$1007,"&gt;="&amp;$A692-27,$A$8:$A$1007,"&lt;="&amp;$A692)/4)</f>
        <v>0</v>
      </c>
      <c r="J692" s="144" t="n">
        <f aca="false">IF(OR($A692="",$I692=0),0,$H692/$I692)</f>
        <v>0</v>
      </c>
      <c r="K692" s="40" t="n">
        <f aca="false">IF($A692="",0,$A692-SUMPRODUCT(MIN(($C$8:$C$1007=$C692)*$A$8:$A$1007+($C$8:$C$1007&lt;&gt;$C692)*100000))+1)</f>
        <v>0</v>
      </c>
      <c r="L692" s="26" t="str">
        <f aca="false">IF($A692="","",IF($J692=0,"Sem registro anterior",IF($K692&lt;21,"Histórico insuficiente",IF($J692&lt;0.8,"Subcarga",IF($J692&lt;=1.3,"Zona ideal",IF($J692&lt;=1.5,"Atenção","Risco elevado"))))))</f>
        <v/>
      </c>
      <c r="M692" s="27"/>
    </row>
    <row r="693" customFormat="false" ht="15" hidden="false" customHeight="false" outlineLevel="0" collapsed="false">
      <c r="A693" s="29"/>
      <c r="B693" s="40" t="n">
        <f aca="false">IF($A693="",0,INT(($A693-Macrociclo!$C$11)/7)+1)</f>
        <v>0</v>
      </c>
      <c r="C693" s="27"/>
      <c r="D693" s="27"/>
      <c r="E693" s="28"/>
      <c r="F693" s="28"/>
      <c r="G693" s="44" t="n">
        <f aca="false">IF(OR($E693="",$F693=""),0,$E693*$F693)</f>
        <v>0</v>
      </c>
      <c r="H693" s="44" t="n">
        <f aca="false">IF($A693="",0,SUMIFS($G$8:$G$1007,$C$8:$C$1007,$C693,$A$8:$A$1007,"&gt;="&amp;$A693-6,$A$8:$A$1007,"&lt;="&amp;$A693))</f>
        <v>0</v>
      </c>
      <c r="I693" s="44" t="n">
        <f aca="false">IF($A693="",0,SUMIFS($G$8:$G$1007,$C$8:$C$1007,$C693,$A$8:$A$1007,"&gt;="&amp;$A693-27,$A$8:$A$1007,"&lt;="&amp;$A693)/4)</f>
        <v>0</v>
      </c>
      <c r="J693" s="144" t="n">
        <f aca="false">IF(OR($A693="",$I693=0),0,$H693/$I693)</f>
        <v>0</v>
      </c>
      <c r="K693" s="40" t="n">
        <f aca="false">IF($A693="",0,$A693-SUMPRODUCT(MIN(($C$8:$C$1007=$C693)*$A$8:$A$1007+($C$8:$C$1007&lt;&gt;$C693)*100000))+1)</f>
        <v>0</v>
      </c>
      <c r="L693" s="26" t="str">
        <f aca="false">IF($A693="","",IF($J693=0,"Sem registro anterior",IF($K693&lt;21,"Histórico insuficiente",IF($J693&lt;0.8,"Subcarga",IF($J693&lt;=1.3,"Zona ideal",IF($J693&lt;=1.5,"Atenção","Risco elevado"))))))</f>
        <v/>
      </c>
      <c r="M693" s="27"/>
    </row>
    <row r="694" customFormat="false" ht="15" hidden="false" customHeight="false" outlineLevel="0" collapsed="false">
      <c r="A694" s="29"/>
      <c r="B694" s="40" t="n">
        <f aca="false">IF($A694="",0,INT(($A694-Macrociclo!$C$11)/7)+1)</f>
        <v>0</v>
      </c>
      <c r="C694" s="27"/>
      <c r="D694" s="27"/>
      <c r="E694" s="28"/>
      <c r="F694" s="28"/>
      <c r="G694" s="44" t="n">
        <f aca="false">IF(OR($E694="",$F694=""),0,$E694*$F694)</f>
        <v>0</v>
      </c>
      <c r="H694" s="44" t="n">
        <f aca="false">IF($A694="",0,SUMIFS($G$8:$G$1007,$C$8:$C$1007,$C694,$A$8:$A$1007,"&gt;="&amp;$A694-6,$A$8:$A$1007,"&lt;="&amp;$A694))</f>
        <v>0</v>
      </c>
      <c r="I694" s="44" t="n">
        <f aca="false">IF($A694="",0,SUMIFS($G$8:$G$1007,$C$8:$C$1007,$C694,$A$8:$A$1007,"&gt;="&amp;$A694-27,$A$8:$A$1007,"&lt;="&amp;$A694)/4)</f>
        <v>0</v>
      </c>
      <c r="J694" s="144" t="n">
        <f aca="false">IF(OR($A694="",$I694=0),0,$H694/$I694)</f>
        <v>0</v>
      </c>
      <c r="K694" s="40" t="n">
        <f aca="false">IF($A694="",0,$A694-SUMPRODUCT(MIN(($C$8:$C$1007=$C694)*$A$8:$A$1007+($C$8:$C$1007&lt;&gt;$C694)*100000))+1)</f>
        <v>0</v>
      </c>
      <c r="L694" s="26" t="str">
        <f aca="false">IF($A694="","",IF($J694=0,"Sem registro anterior",IF($K694&lt;21,"Histórico insuficiente",IF($J694&lt;0.8,"Subcarga",IF($J694&lt;=1.3,"Zona ideal",IF($J694&lt;=1.5,"Atenção","Risco elevado"))))))</f>
        <v/>
      </c>
      <c r="M694" s="27"/>
    </row>
    <row r="695" customFormat="false" ht="15" hidden="false" customHeight="false" outlineLevel="0" collapsed="false">
      <c r="A695" s="29"/>
      <c r="B695" s="40" t="n">
        <f aca="false">IF($A695="",0,INT(($A695-Macrociclo!$C$11)/7)+1)</f>
        <v>0</v>
      </c>
      <c r="C695" s="27"/>
      <c r="D695" s="27"/>
      <c r="E695" s="28"/>
      <c r="F695" s="28"/>
      <c r="G695" s="44" t="n">
        <f aca="false">IF(OR($E695="",$F695=""),0,$E695*$F695)</f>
        <v>0</v>
      </c>
      <c r="H695" s="44" t="n">
        <f aca="false">IF($A695="",0,SUMIFS($G$8:$G$1007,$C$8:$C$1007,$C695,$A$8:$A$1007,"&gt;="&amp;$A695-6,$A$8:$A$1007,"&lt;="&amp;$A695))</f>
        <v>0</v>
      </c>
      <c r="I695" s="44" t="n">
        <f aca="false">IF($A695="",0,SUMIFS($G$8:$G$1007,$C$8:$C$1007,$C695,$A$8:$A$1007,"&gt;="&amp;$A695-27,$A$8:$A$1007,"&lt;="&amp;$A695)/4)</f>
        <v>0</v>
      </c>
      <c r="J695" s="144" t="n">
        <f aca="false">IF(OR($A695="",$I695=0),0,$H695/$I695)</f>
        <v>0</v>
      </c>
      <c r="K695" s="40" t="n">
        <f aca="false">IF($A695="",0,$A695-SUMPRODUCT(MIN(($C$8:$C$1007=$C695)*$A$8:$A$1007+($C$8:$C$1007&lt;&gt;$C695)*100000))+1)</f>
        <v>0</v>
      </c>
      <c r="L695" s="26" t="str">
        <f aca="false">IF($A695="","",IF($J695=0,"Sem registro anterior",IF($K695&lt;21,"Histórico insuficiente",IF($J695&lt;0.8,"Subcarga",IF($J695&lt;=1.3,"Zona ideal",IF($J695&lt;=1.5,"Atenção","Risco elevado"))))))</f>
        <v/>
      </c>
      <c r="M695" s="27"/>
    </row>
    <row r="696" customFormat="false" ht="15" hidden="false" customHeight="false" outlineLevel="0" collapsed="false">
      <c r="A696" s="29"/>
      <c r="B696" s="40" t="n">
        <f aca="false">IF($A696="",0,INT(($A696-Macrociclo!$C$11)/7)+1)</f>
        <v>0</v>
      </c>
      <c r="C696" s="27"/>
      <c r="D696" s="27"/>
      <c r="E696" s="28"/>
      <c r="F696" s="28"/>
      <c r="G696" s="44" t="n">
        <f aca="false">IF(OR($E696="",$F696=""),0,$E696*$F696)</f>
        <v>0</v>
      </c>
      <c r="H696" s="44" t="n">
        <f aca="false">IF($A696="",0,SUMIFS($G$8:$G$1007,$C$8:$C$1007,$C696,$A$8:$A$1007,"&gt;="&amp;$A696-6,$A$8:$A$1007,"&lt;="&amp;$A696))</f>
        <v>0</v>
      </c>
      <c r="I696" s="44" t="n">
        <f aca="false">IF($A696="",0,SUMIFS($G$8:$G$1007,$C$8:$C$1007,$C696,$A$8:$A$1007,"&gt;="&amp;$A696-27,$A$8:$A$1007,"&lt;="&amp;$A696)/4)</f>
        <v>0</v>
      </c>
      <c r="J696" s="144" t="n">
        <f aca="false">IF(OR($A696="",$I696=0),0,$H696/$I696)</f>
        <v>0</v>
      </c>
      <c r="K696" s="40" t="n">
        <f aca="false">IF($A696="",0,$A696-SUMPRODUCT(MIN(($C$8:$C$1007=$C696)*$A$8:$A$1007+($C$8:$C$1007&lt;&gt;$C696)*100000))+1)</f>
        <v>0</v>
      </c>
      <c r="L696" s="26" t="str">
        <f aca="false">IF($A696="","",IF($J696=0,"Sem registro anterior",IF($K696&lt;21,"Histórico insuficiente",IF($J696&lt;0.8,"Subcarga",IF($J696&lt;=1.3,"Zona ideal",IF($J696&lt;=1.5,"Atenção","Risco elevado"))))))</f>
        <v/>
      </c>
      <c r="M696" s="27"/>
    </row>
    <row r="697" customFormat="false" ht="15" hidden="false" customHeight="false" outlineLevel="0" collapsed="false">
      <c r="A697" s="29"/>
      <c r="B697" s="40" t="n">
        <f aca="false">IF($A697="",0,INT(($A697-Macrociclo!$C$11)/7)+1)</f>
        <v>0</v>
      </c>
      <c r="C697" s="27"/>
      <c r="D697" s="27"/>
      <c r="E697" s="28"/>
      <c r="F697" s="28"/>
      <c r="G697" s="44" t="n">
        <f aca="false">IF(OR($E697="",$F697=""),0,$E697*$F697)</f>
        <v>0</v>
      </c>
      <c r="H697" s="44" t="n">
        <f aca="false">IF($A697="",0,SUMIFS($G$8:$G$1007,$C$8:$C$1007,$C697,$A$8:$A$1007,"&gt;="&amp;$A697-6,$A$8:$A$1007,"&lt;="&amp;$A697))</f>
        <v>0</v>
      </c>
      <c r="I697" s="44" t="n">
        <f aca="false">IF($A697="",0,SUMIFS($G$8:$G$1007,$C$8:$C$1007,$C697,$A$8:$A$1007,"&gt;="&amp;$A697-27,$A$8:$A$1007,"&lt;="&amp;$A697)/4)</f>
        <v>0</v>
      </c>
      <c r="J697" s="144" t="n">
        <f aca="false">IF(OR($A697="",$I697=0),0,$H697/$I697)</f>
        <v>0</v>
      </c>
      <c r="K697" s="40" t="n">
        <f aca="false">IF($A697="",0,$A697-SUMPRODUCT(MIN(($C$8:$C$1007=$C697)*$A$8:$A$1007+($C$8:$C$1007&lt;&gt;$C697)*100000))+1)</f>
        <v>0</v>
      </c>
      <c r="L697" s="26" t="str">
        <f aca="false">IF($A697="","",IF($J697=0,"Sem registro anterior",IF($K697&lt;21,"Histórico insuficiente",IF($J697&lt;0.8,"Subcarga",IF($J697&lt;=1.3,"Zona ideal",IF($J697&lt;=1.5,"Atenção","Risco elevado"))))))</f>
        <v/>
      </c>
      <c r="M697" s="27"/>
    </row>
    <row r="698" customFormat="false" ht="15" hidden="false" customHeight="false" outlineLevel="0" collapsed="false">
      <c r="A698" s="29"/>
      <c r="B698" s="40" t="n">
        <f aca="false">IF($A698="",0,INT(($A698-Macrociclo!$C$11)/7)+1)</f>
        <v>0</v>
      </c>
      <c r="C698" s="27"/>
      <c r="D698" s="27"/>
      <c r="E698" s="28"/>
      <c r="F698" s="28"/>
      <c r="G698" s="44" t="n">
        <f aca="false">IF(OR($E698="",$F698=""),0,$E698*$F698)</f>
        <v>0</v>
      </c>
      <c r="H698" s="44" t="n">
        <f aca="false">IF($A698="",0,SUMIFS($G$8:$G$1007,$C$8:$C$1007,$C698,$A$8:$A$1007,"&gt;="&amp;$A698-6,$A$8:$A$1007,"&lt;="&amp;$A698))</f>
        <v>0</v>
      </c>
      <c r="I698" s="44" t="n">
        <f aca="false">IF($A698="",0,SUMIFS($G$8:$G$1007,$C$8:$C$1007,$C698,$A$8:$A$1007,"&gt;="&amp;$A698-27,$A$8:$A$1007,"&lt;="&amp;$A698)/4)</f>
        <v>0</v>
      </c>
      <c r="J698" s="144" t="n">
        <f aca="false">IF(OR($A698="",$I698=0),0,$H698/$I698)</f>
        <v>0</v>
      </c>
      <c r="K698" s="40" t="n">
        <f aca="false">IF($A698="",0,$A698-SUMPRODUCT(MIN(($C$8:$C$1007=$C698)*$A$8:$A$1007+($C$8:$C$1007&lt;&gt;$C698)*100000))+1)</f>
        <v>0</v>
      </c>
      <c r="L698" s="26" t="str">
        <f aca="false">IF($A698="","",IF($J698=0,"Sem registro anterior",IF($K698&lt;21,"Histórico insuficiente",IF($J698&lt;0.8,"Subcarga",IF($J698&lt;=1.3,"Zona ideal",IF($J698&lt;=1.5,"Atenção","Risco elevado"))))))</f>
        <v/>
      </c>
      <c r="M698" s="27"/>
    </row>
    <row r="699" customFormat="false" ht="15" hidden="false" customHeight="false" outlineLevel="0" collapsed="false">
      <c r="A699" s="29"/>
      <c r="B699" s="40" t="n">
        <f aca="false">IF($A699="",0,INT(($A699-Macrociclo!$C$11)/7)+1)</f>
        <v>0</v>
      </c>
      <c r="C699" s="27"/>
      <c r="D699" s="27"/>
      <c r="E699" s="28"/>
      <c r="F699" s="28"/>
      <c r="G699" s="44" t="n">
        <f aca="false">IF(OR($E699="",$F699=""),0,$E699*$F699)</f>
        <v>0</v>
      </c>
      <c r="H699" s="44" t="n">
        <f aca="false">IF($A699="",0,SUMIFS($G$8:$G$1007,$C$8:$C$1007,$C699,$A$8:$A$1007,"&gt;="&amp;$A699-6,$A$8:$A$1007,"&lt;="&amp;$A699))</f>
        <v>0</v>
      </c>
      <c r="I699" s="44" t="n">
        <f aca="false">IF($A699="",0,SUMIFS($G$8:$G$1007,$C$8:$C$1007,$C699,$A$8:$A$1007,"&gt;="&amp;$A699-27,$A$8:$A$1007,"&lt;="&amp;$A699)/4)</f>
        <v>0</v>
      </c>
      <c r="J699" s="144" t="n">
        <f aca="false">IF(OR($A699="",$I699=0),0,$H699/$I699)</f>
        <v>0</v>
      </c>
      <c r="K699" s="40" t="n">
        <f aca="false">IF($A699="",0,$A699-SUMPRODUCT(MIN(($C$8:$C$1007=$C699)*$A$8:$A$1007+($C$8:$C$1007&lt;&gt;$C699)*100000))+1)</f>
        <v>0</v>
      </c>
      <c r="L699" s="26" t="str">
        <f aca="false">IF($A699="","",IF($J699=0,"Sem registro anterior",IF($K699&lt;21,"Histórico insuficiente",IF($J699&lt;0.8,"Subcarga",IF($J699&lt;=1.3,"Zona ideal",IF($J699&lt;=1.5,"Atenção","Risco elevado"))))))</f>
        <v/>
      </c>
      <c r="M699" s="27"/>
    </row>
    <row r="700" customFormat="false" ht="15" hidden="false" customHeight="false" outlineLevel="0" collapsed="false">
      <c r="A700" s="29"/>
      <c r="B700" s="40" t="n">
        <f aca="false">IF($A700="",0,INT(($A700-Macrociclo!$C$11)/7)+1)</f>
        <v>0</v>
      </c>
      <c r="C700" s="27"/>
      <c r="D700" s="27"/>
      <c r="E700" s="28"/>
      <c r="F700" s="28"/>
      <c r="G700" s="44" t="n">
        <f aca="false">IF(OR($E700="",$F700=""),0,$E700*$F700)</f>
        <v>0</v>
      </c>
      <c r="H700" s="44" t="n">
        <f aca="false">IF($A700="",0,SUMIFS($G$8:$G$1007,$C$8:$C$1007,$C700,$A$8:$A$1007,"&gt;="&amp;$A700-6,$A$8:$A$1007,"&lt;="&amp;$A700))</f>
        <v>0</v>
      </c>
      <c r="I700" s="44" t="n">
        <f aca="false">IF($A700="",0,SUMIFS($G$8:$G$1007,$C$8:$C$1007,$C700,$A$8:$A$1007,"&gt;="&amp;$A700-27,$A$8:$A$1007,"&lt;="&amp;$A700)/4)</f>
        <v>0</v>
      </c>
      <c r="J700" s="144" t="n">
        <f aca="false">IF(OR($A700="",$I700=0),0,$H700/$I700)</f>
        <v>0</v>
      </c>
      <c r="K700" s="40" t="n">
        <f aca="false">IF($A700="",0,$A700-SUMPRODUCT(MIN(($C$8:$C$1007=$C700)*$A$8:$A$1007+($C$8:$C$1007&lt;&gt;$C700)*100000))+1)</f>
        <v>0</v>
      </c>
      <c r="L700" s="26" t="str">
        <f aca="false">IF($A700="","",IF($J700=0,"Sem registro anterior",IF($K700&lt;21,"Histórico insuficiente",IF($J700&lt;0.8,"Subcarga",IF($J700&lt;=1.3,"Zona ideal",IF($J700&lt;=1.5,"Atenção","Risco elevado"))))))</f>
        <v/>
      </c>
      <c r="M700" s="27"/>
    </row>
    <row r="701" customFormat="false" ht="15" hidden="false" customHeight="false" outlineLevel="0" collapsed="false">
      <c r="A701" s="29"/>
      <c r="B701" s="40" t="n">
        <f aca="false">IF($A701="",0,INT(($A701-Macrociclo!$C$11)/7)+1)</f>
        <v>0</v>
      </c>
      <c r="C701" s="27"/>
      <c r="D701" s="27"/>
      <c r="E701" s="28"/>
      <c r="F701" s="28"/>
      <c r="G701" s="44" t="n">
        <f aca="false">IF(OR($E701="",$F701=""),0,$E701*$F701)</f>
        <v>0</v>
      </c>
      <c r="H701" s="44" t="n">
        <f aca="false">IF($A701="",0,SUMIFS($G$8:$G$1007,$C$8:$C$1007,$C701,$A$8:$A$1007,"&gt;="&amp;$A701-6,$A$8:$A$1007,"&lt;="&amp;$A701))</f>
        <v>0</v>
      </c>
      <c r="I701" s="44" t="n">
        <f aca="false">IF($A701="",0,SUMIFS($G$8:$G$1007,$C$8:$C$1007,$C701,$A$8:$A$1007,"&gt;="&amp;$A701-27,$A$8:$A$1007,"&lt;="&amp;$A701)/4)</f>
        <v>0</v>
      </c>
      <c r="J701" s="144" t="n">
        <f aca="false">IF(OR($A701="",$I701=0),0,$H701/$I701)</f>
        <v>0</v>
      </c>
      <c r="K701" s="40" t="n">
        <f aca="false">IF($A701="",0,$A701-SUMPRODUCT(MIN(($C$8:$C$1007=$C701)*$A$8:$A$1007+($C$8:$C$1007&lt;&gt;$C701)*100000))+1)</f>
        <v>0</v>
      </c>
      <c r="L701" s="26" t="str">
        <f aca="false">IF($A701="","",IF($J701=0,"Sem registro anterior",IF($K701&lt;21,"Histórico insuficiente",IF($J701&lt;0.8,"Subcarga",IF($J701&lt;=1.3,"Zona ideal",IF($J701&lt;=1.5,"Atenção","Risco elevado"))))))</f>
        <v/>
      </c>
      <c r="M701" s="27"/>
    </row>
    <row r="702" customFormat="false" ht="15" hidden="false" customHeight="false" outlineLevel="0" collapsed="false">
      <c r="A702" s="29"/>
      <c r="B702" s="40" t="n">
        <f aca="false">IF($A702="",0,INT(($A702-Macrociclo!$C$11)/7)+1)</f>
        <v>0</v>
      </c>
      <c r="C702" s="27"/>
      <c r="D702" s="27"/>
      <c r="E702" s="28"/>
      <c r="F702" s="28"/>
      <c r="G702" s="44" t="n">
        <f aca="false">IF(OR($E702="",$F702=""),0,$E702*$F702)</f>
        <v>0</v>
      </c>
      <c r="H702" s="44" t="n">
        <f aca="false">IF($A702="",0,SUMIFS($G$8:$G$1007,$C$8:$C$1007,$C702,$A$8:$A$1007,"&gt;="&amp;$A702-6,$A$8:$A$1007,"&lt;="&amp;$A702))</f>
        <v>0</v>
      </c>
      <c r="I702" s="44" t="n">
        <f aca="false">IF($A702="",0,SUMIFS($G$8:$G$1007,$C$8:$C$1007,$C702,$A$8:$A$1007,"&gt;="&amp;$A702-27,$A$8:$A$1007,"&lt;="&amp;$A702)/4)</f>
        <v>0</v>
      </c>
      <c r="J702" s="144" t="n">
        <f aca="false">IF(OR($A702="",$I702=0),0,$H702/$I702)</f>
        <v>0</v>
      </c>
      <c r="K702" s="40" t="n">
        <f aca="false">IF($A702="",0,$A702-SUMPRODUCT(MIN(($C$8:$C$1007=$C702)*$A$8:$A$1007+($C$8:$C$1007&lt;&gt;$C702)*100000))+1)</f>
        <v>0</v>
      </c>
      <c r="L702" s="26" t="str">
        <f aca="false">IF($A702="","",IF($J702=0,"Sem registro anterior",IF($K702&lt;21,"Histórico insuficiente",IF($J702&lt;0.8,"Subcarga",IF($J702&lt;=1.3,"Zona ideal",IF($J702&lt;=1.5,"Atenção","Risco elevado"))))))</f>
        <v/>
      </c>
      <c r="M702" s="27"/>
    </row>
    <row r="703" customFormat="false" ht="15" hidden="false" customHeight="false" outlineLevel="0" collapsed="false">
      <c r="A703" s="29"/>
      <c r="B703" s="40" t="n">
        <f aca="false">IF($A703="",0,INT(($A703-Macrociclo!$C$11)/7)+1)</f>
        <v>0</v>
      </c>
      <c r="C703" s="27"/>
      <c r="D703" s="27"/>
      <c r="E703" s="28"/>
      <c r="F703" s="28"/>
      <c r="G703" s="44" t="n">
        <f aca="false">IF(OR($E703="",$F703=""),0,$E703*$F703)</f>
        <v>0</v>
      </c>
      <c r="H703" s="44" t="n">
        <f aca="false">IF($A703="",0,SUMIFS($G$8:$G$1007,$C$8:$C$1007,$C703,$A$8:$A$1007,"&gt;="&amp;$A703-6,$A$8:$A$1007,"&lt;="&amp;$A703))</f>
        <v>0</v>
      </c>
      <c r="I703" s="44" t="n">
        <f aca="false">IF($A703="",0,SUMIFS($G$8:$G$1007,$C$8:$C$1007,$C703,$A$8:$A$1007,"&gt;="&amp;$A703-27,$A$8:$A$1007,"&lt;="&amp;$A703)/4)</f>
        <v>0</v>
      </c>
      <c r="J703" s="144" t="n">
        <f aca="false">IF(OR($A703="",$I703=0),0,$H703/$I703)</f>
        <v>0</v>
      </c>
      <c r="K703" s="40" t="n">
        <f aca="false">IF($A703="",0,$A703-SUMPRODUCT(MIN(($C$8:$C$1007=$C703)*$A$8:$A$1007+($C$8:$C$1007&lt;&gt;$C703)*100000))+1)</f>
        <v>0</v>
      </c>
      <c r="L703" s="26" t="str">
        <f aca="false">IF($A703="","",IF($J703=0,"Sem registro anterior",IF($K703&lt;21,"Histórico insuficiente",IF($J703&lt;0.8,"Subcarga",IF($J703&lt;=1.3,"Zona ideal",IF($J703&lt;=1.5,"Atenção","Risco elevado"))))))</f>
        <v/>
      </c>
      <c r="M703" s="27"/>
    </row>
    <row r="704" customFormat="false" ht="15" hidden="false" customHeight="false" outlineLevel="0" collapsed="false">
      <c r="A704" s="29"/>
      <c r="B704" s="40" t="n">
        <f aca="false">IF($A704="",0,INT(($A704-Macrociclo!$C$11)/7)+1)</f>
        <v>0</v>
      </c>
      <c r="C704" s="27"/>
      <c r="D704" s="27"/>
      <c r="E704" s="28"/>
      <c r="F704" s="28"/>
      <c r="G704" s="44" t="n">
        <f aca="false">IF(OR($E704="",$F704=""),0,$E704*$F704)</f>
        <v>0</v>
      </c>
      <c r="H704" s="44" t="n">
        <f aca="false">IF($A704="",0,SUMIFS($G$8:$G$1007,$C$8:$C$1007,$C704,$A$8:$A$1007,"&gt;="&amp;$A704-6,$A$8:$A$1007,"&lt;="&amp;$A704))</f>
        <v>0</v>
      </c>
      <c r="I704" s="44" t="n">
        <f aca="false">IF($A704="",0,SUMIFS($G$8:$G$1007,$C$8:$C$1007,$C704,$A$8:$A$1007,"&gt;="&amp;$A704-27,$A$8:$A$1007,"&lt;="&amp;$A704)/4)</f>
        <v>0</v>
      </c>
      <c r="J704" s="144" t="n">
        <f aca="false">IF(OR($A704="",$I704=0),0,$H704/$I704)</f>
        <v>0</v>
      </c>
      <c r="K704" s="40" t="n">
        <f aca="false">IF($A704="",0,$A704-SUMPRODUCT(MIN(($C$8:$C$1007=$C704)*$A$8:$A$1007+($C$8:$C$1007&lt;&gt;$C704)*100000))+1)</f>
        <v>0</v>
      </c>
      <c r="L704" s="26" t="str">
        <f aca="false">IF($A704="","",IF($J704=0,"Sem registro anterior",IF($K704&lt;21,"Histórico insuficiente",IF($J704&lt;0.8,"Subcarga",IF($J704&lt;=1.3,"Zona ideal",IF($J704&lt;=1.5,"Atenção","Risco elevado"))))))</f>
        <v/>
      </c>
      <c r="M704" s="27"/>
    </row>
    <row r="705" customFormat="false" ht="15" hidden="false" customHeight="false" outlineLevel="0" collapsed="false">
      <c r="A705" s="29"/>
      <c r="B705" s="40" t="n">
        <f aca="false">IF($A705="",0,INT(($A705-Macrociclo!$C$11)/7)+1)</f>
        <v>0</v>
      </c>
      <c r="C705" s="27"/>
      <c r="D705" s="27"/>
      <c r="E705" s="28"/>
      <c r="F705" s="28"/>
      <c r="G705" s="44" t="n">
        <f aca="false">IF(OR($E705="",$F705=""),0,$E705*$F705)</f>
        <v>0</v>
      </c>
      <c r="H705" s="44" t="n">
        <f aca="false">IF($A705="",0,SUMIFS($G$8:$G$1007,$C$8:$C$1007,$C705,$A$8:$A$1007,"&gt;="&amp;$A705-6,$A$8:$A$1007,"&lt;="&amp;$A705))</f>
        <v>0</v>
      </c>
      <c r="I705" s="44" t="n">
        <f aca="false">IF($A705="",0,SUMIFS($G$8:$G$1007,$C$8:$C$1007,$C705,$A$8:$A$1007,"&gt;="&amp;$A705-27,$A$8:$A$1007,"&lt;="&amp;$A705)/4)</f>
        <v>0</v>
      </c>
      <c r="J705" s="144" t="n">
        <f aca="false">IF(OR($A705="",$I705=0),0,$H705/$I705)</f>
        <v>0</v>
      </c>
      <c r="K705" s="40" t="n">
        <f aca="false">IF($A705="",0,$A705-SUMPRODUCT(MIN(($C$8:$C$1007=$C705)*$A$8:$A$1007+($C$8:$C$1007&lt;&gt;$C705)*100000))+1)</f>
        <v>0</v>
      </c>
      <c r="L705" s="26" t="str">
        <f aca="false">IF($A705="","",IF($J705=0,"Sem registro anterior",IF($K705&lt;21,"Histórico insuficiente",IF($J705&lt;0.8,"Subcarga",IF($J705&lt;=1.3,"Zona ideal",IF($J705&lt;=1.5,"Atenção","Risco elevado"))))))</f>
        <v/>
      </c>
      <c r="M705" s="27"/>
    </row>
    <row r="706" customFormat="false" ht="15" hidden="false" customHeight="false" outlineLevel="0" collapsed="false">
      <c r="A706" s="29"/>
      <c r="B706" s="40" t="n">
        <f aca="false">IF($A706="",0,INT(($A706-Macrociclo!$C$11)/7)+1)</f>
        <v>0</v>
      </c>
      <c r="C706" s="27"/>
      <c r="D706" s="27"/>
      <c r="E706" s="28"/>
      <c r="F706" s="28"/>
      <c r="G706" s="44" t="n">
        <f aca="false">IF(OR($E706="",$F706=""),0,$E706*$F706)</f>
        <v>0</v>
      </c>
      <c r="H706" s="44" t="n">
        <f aca="false">IF($A706="",0,SUMIFS($G$8:$G$1007,$C$8:$C$1007,$C706,$A$8:$A$1007,"&gt;="&amp;$A706-6,$A$8:$A$1007,"&lt;="&amp;$A706))</f>
        <v>0</v>
      </c>
      <c r="I706" s="44" t="n">
        <f aca="false">IF($A706="",0,SUMIFS($G$8:$G$1007,$C$8:$C$1007,$C706,$A$8:$A$1007,"&gt;="&amp;$A706-27,$A$8:$A$1007,"&lt;="&amp;$A706)/4)</f>
        <v>0</v>
      </c>
      <c r="J706" s="144" t="n">
        <f aca="false">IF(OR($A706="",$I706=0),0,$H706/$I706)</f>
        <v>0</v>
      </c>
      <c r="K706" s="40" t="n">
        <f aca="false">IF($A706="",0,$A706-SUMPRODUCT(MIN(($C$8:$C$1007=$C706)*$A$8:$A$1007+($C$8:$C$1007&lt;&gt;$C706)*100000))+1)</f>
        <v>0</v>
      </c>
      <c r="L706" s="26" t="str">
        <f aca="false">IF($A706="","",IF($J706=0,"Sem registro anterior",IF($K706&lt;21,"Histórico insuficiente",IF($J706&lt;0.8,"Subcarga",IF($J706&lt;=1.3,"Zona ideal",IF($J706&lt;=1.5,"Atenção","Risco elevado"))))))</f>
        <v/>
      </c>
      <c r="M706" s="27"/>
    </row>
    <row r="707" customFormat="false" ht="15" hidden="false" customHeight="false" outlineLevel="0" collapsed="false">
      <c r="A707" s="29"/>
      <c r="B707" s="40" t="n">
        <f aca="false">IF($A707="",0,INT(($A707-Macrociclo!$C$11)/7)+1)</f>
        <v>0</v>
      </c>
      <c r="C707" s="27"/>
      <c r="D707" s="27"/>
      <c r="E707" s="28"/>
      <c r="F707" s="28"/>
      <c r="G707" s="44" t="n">
        <f aca="false">IF(OR($E707="",$F707=""),0,$E707*$F707)</f>
        <v>0</v>
      </c>
      <c r="H707" s="44" t="n">
        <f aca="false">IF($A707="",0,SUMIFS($G$8:$G$1007,$C$8:$C$1007,$C707,$A$8:$A$1007,"&gt;="&amp;$A707-6,$A$8:$A$1007,"&lt;="&amp;$A707))</f>
        <v>0</v>
      </c>
      <c r="I707" s="44" t="n">
        <f aca="false">IF($A707="",0,SUMIFS($G$8:$G$1007,$C$8:$C$1007,$C707,$A$8:$A$1007,"&gt;="&amp;$A707-27,$A$8:$A$1007,"&lt;="&amp;$A707)/4)</f>
        <v>0</v>
      </c>
      <c r="J707" s="144" t="n">
        <f aca="false">IF(OR($A707="",$I707=0),0,$H707/$I707)</f>
        <v>0</v>
      </c>
      <c r="K707" s="40" t="n">
        <f aca="false">IF($A707="",0,$A707-SUMPRODUCT(MIN(($C$8:$C$1007=$C707)*$A$8:$A$1007+($C$8:$C$1007&lt;&gt;$C707)*100000))+1)</f>
        <v>0</v>
      </c>
      <c r="L707" s="26" t="str">
        <f aca="false">IF($A707="","",IF($J707=0,"Sem registro anterior",IF($K707&lt;21,"Histórico insuficiente",IF($J707&lt;0.8,"Subcarga",IF($J707&lt;=1.3,"Zona ideal",IF($J707&lt;=1.5,"Atenção","Risco elevado"))))))</f>
        <v/>
      </c>
      <c r="M707" s="27"/>
    </row>
    <row r="708" customFormat="false" ht="15" hidden="false" customHeight="false" outlineLevel="0" collapsed="false">
      <c r="A708" s="29"/>
      <c r="B708" s="40" t="n">
        <f aca="false">IF($A708="",0,INT(($A708-Macrociclo!$C$11)/7)+1)</f>
        <v>0</v>
      </c>
      <c r="C708" s="27"/>
      <c r="D708" s="27"/>
      <c r="E708" s="28"/>
      <c r="F708" s="28"/>
      <c r="G708" s="44" t="n">
        <f aca="false">IF(OR($E708="",$F708=""),0,$E708*$F708)</f>
        <v>0</v>
      </c>
      <c r="H708" s="44" t="n">
        <f aca="false">IF($A708="",0,SUMIFS($G$8:$G$1007,$C$8:$C$1007,$C708,$A$8:$A$1007,"&gt;="&amp;$A708-6,$A$8:$A$1007,"&lt;="&amp;$A708))</f>
        <v>0</v>
      </c>
      <c r="I708" s="44" t="n">
        <f aca="false">IF($A708="",0,SUMIFS($G$8:$G$1007,$C$8:$C$1007,$C708,$A$8:$A$1007,"&gt;="&amp;$A708-27,$A$8:$A$1007,"&lt;="&amp;$A708)/4)</f>
        <v>0</v>
      </c>
      <c r="J708" s="144" t="n">
        <f aca="false">IF(OR($A708="",$I708=0),0,$H708/$I708)</f>
        <v>0</v>
      </c>
      <c r="K708" s="40" t="n">
        <f aca="false">IF($A708="",0,$A708-SUMPRODUCT(MIN(($C$8:$C$1007=$C708)*$A$8:$A$1007+($C$8:$C$1007&lt;&gt;$C708)*100000))+1)</f>
        <v>0</v>
      </c>
      <c r="L708" s="26" t="str">
        <f aca="false">IF($A708="","",IF($J708=0,"Sem registro anterior",IF($K708&lt;21,"Histórico insuficiente",IF($J708&lt;0.8,"Subcarga",IF($J708&lt;=1.3,"Zona ideal",IF($J708&lt;=1.5,"Atenção","Risco elevado"))))))</f>
        <v/>
      </c>
      <c r="M708" s="27"/>
    </row>
    <row r="709" customFormat="false" ht="15" hidden="false" customHeight="false" outlineLevel="0" collapsed="false">
      <c r="A709" s="29"/>
      <c r="B709" s="40" t="n">
        <f aca="false">IF($A709="",0,INT(($A709-Macrociclo!$C$11)/7)+1)</f>
        <v>0</v>
      </c>
      <c r="C709" s="27"/>
      <c r="D709" s="27"/>
      <c r="E709" s="28"/>
      <c r="F709" s="28"/>
      <c r="G709" s="44" t="n">
        <f aca="false">IF(OR($E709="",$F709=""),0,$E709*$F709)</f>
        <v>0</v>
      </c>
      <c r="H709" s="44" t="n">
        <f aca="false">IF($A709="",0,SUMIFS($G$8:$G$1007,$C$8:$C$1007,$C709,$A$8:$A$1007,"&gt;="&amp;$A709-6,$A$8:$A$1007,"&lt;="&amp;$A709))</f>
        <v>0</v>
      </c>
      <c r="I709" s="44" t="n">
        <f aca="false">IF($A709="",0,SUMIFS($G$8:$G$1007,$C$8:$C$1007,$C709,$A$8:$A$1007,"&gt;="&amp;$A709-27,$A$8:$A$1007,"&lt;="&amp;$A709)/4)</f>
        <v>0</v>
      </c>
      <c r="J709" s="144" t="n">
        <f aca="false">IF(OR($A709="",$I709=0),0,$H709/$I709)</f>
        <v>0</v>
      </c>
      <c r="K709" s="40" t="n">
        <f aca="false">IF($A709="",0,$A709-SUMPRODUCT(MIN(($C$8:$C$1007=$C709)*$A$8:$A$1007+($C$8:$C$1007&lt;&gt;$C709)*100000))+1)</f>
        <v>0</v>
      </c>
      <c r="L709" s="26" t="str">
        <f aca="false">IF($A709="","",IF($J709=0,"Sem registro anterior",IF($K709&lt;21,"Histórico insuficiente",IF($J709&lt;0.8,"Subcarga",IF($J709&lt;=1.3,"Zona ideal",IF($J709&lt;=1.5,"Atenção","Risco elevado"))))))</f>
        <v/>
      </c>
      <c r="M709" s="27"/>
    </row>
    <row r="710" customFormat="false" ht="15" hidden="false" customHeight="false" outlineLevel="0" collapsed="false">
      <c r="A710" s="29"/>
      <c r="B710" s="40" t="n">
        <f aca="false">IF($A710="",0,INT(($A710-Macrociclo!$C$11)/7)+1)</f>
        <v>0</v>
      </c>
      <c r="C710" s="27"/>
      <c r="D710" s="27"/>
      <c r="E710" s="28"/>
      <c r="F710" s="28"/>
      <c r="G710" s="44" t="n">
        <f aca="false">IF(OR($E710="",$F710=""),0,$E710*$F710)</f>
        <v>0</v>
      </c>
      <c r="H710" s="44" t="n">
        <f aca="false">IF($A710="",0,SUMIFS($G$8:$G$1007,$C$8:$C$1007,$C710,$A$8:$A$1007,"&gt;="&amp;$A710-6,$A$8:$A$1007,"&lt;="&amp;$A710))</f>
        <v>0</v>
      </c>
      <c r="I710" s="44" t="n">
        <f aca="false">IF($A710="",0,SUMIFS($G$8:$G$1007,$C$8:$C$1007,$C710,$A$8:$A$1007,"&gt;="&amp;$A710-27,$A$8:$A$1007,"&lt;="&amp;$A710)/4)</f>
        <v>0</v>
      </c>
      <c r="J710" s="144" t="n">
        <f aca="false">IF(OR($A710="",$I710=0),0,$H710/$I710)</f>
        <v>0</v>
      </c>
      <c r="K710" s="40" t="n">
        <f aca="false">IF($A710="",0,$A710-SUMPRODUCT(MIN(($C$8:$C$1007=$C710)*$A$8:$A$1007+($C$8:$C$1007&lt;&gt;$C710)*100000))+1)</f>
        <v>0</v>
      </c>
      <c r="L710" s="26" t="str">
        <f aca="false">IF($A710="","",IF($J710=0,"Sem registro anterior",IF($K710&lt;21,"Histórico insuficiente",IF($J710&lt;0.8,"Subcarga",IF($J710&lt;=1.3,"Zona ideal",IF($J710&lt;=1.5,"Atenção","Risco elevado"))))))</f>
        <v/>
      </c>
      <c r="M710" s="27"/>
    </row>
    <row r="711" customFormat="false" ht="15" hidden="false" customHeight="false" outlineLevel="0" collapsed="false">
      <c r="A711" s="29"/>
      <c r="B711" s="40" t="n">
        <f aca="false">IF($A711="",0,INT(($A711-Macrociclo!$C$11)/7)+1)</f>
        <v>0</v>
      </c>
      <c r="C711" s="27"/>
      <c r="D711" s="27"/>
      <c r="E711" s="28"/>
      <c r="F711" s="28"/>
      <c r="G711" s="44" t="n">
        <f aca="false">IF(OR($E711="",$F711=""),0,$E711*$F711)</f>
        <v>0</v>
      </c>
      <c r="H711" s="44" t="n">
        <f aca="false">IF($A711="",0,SUMIFS($G$8:$G$1007,$C$8:$C$1007,$C711,$A$8:$A$1007,"&gt;="&amp;$A711-6,$A$8:$A$1007,"&lt;="&amp;$A711))</f>
        <v>0</v>
      </c>
      <c r="I711" s="44" t="n">
        <f aca="false">IF($A711="",0,SUMIFS($G$8:$G$1007,$C$8:$C$1007,$C711,$A$8:$A$1007,"&gt;="&amp;$A711-27,$A$8:$A$1007,"&lt;="&amp;$A711)/4)</f>
        <v>0</v>
      </c>
      <c r="J711" s="144" t="n">
        <f aca="false">IF(OR($A711="",$I711=0),0,$H711/$I711)</f>
        <v>0</v>
      </c>
      <c r="K711" s="40" t="n">
        <f aca="false">IF($A711="",0,$A711-SUMPRODUCT(MIN(($C$8:$C$1007=$C711)*$A$8:$A$1007+($C$8:$C$1007&lt;&gt;$C711)*100000))+1)</f>
        <v>0</v>
      </c>
      <c r="L711" s="26" t="str">
        <f aca="false">IF($A711="","",IF($J711=0,"Sem registro anterior",IF($K711&lt;21,"Histórico insuficiente",IF($J711&lt;0.8,"Subcarga",IF($J711&lt;=1.3,"Zona ideal",IF($J711&lt;=1.5,"Atenção","Risco elevado"))))))</f>
        <v/>
      </c>
      <c r="M711" s="27"/>
    </row>
    <row r="712" customFormat="false" ht="15" hidden="false" customHeight="false" outlineLevel="0" collapsed="false">
      <c r="A712" s="29"/>
      <c r="B712" s="40" t="n">
        <f aca="false">IF($A712="",0,INT(($A712-Macrociclo!$C$11)/7)+1)</f>
        <v>0</v>
      </c>
      <c r="C712" s="27"/>
      <c r="D712" s="27"/>
      <c r="E712" s="28"/>
      <c r="F712" s="28"/>
      <c r="G712" s="44" t="n">
        <f aca="false">IF(OR($E712="",$F712=""),0,$E712*$F712)</f>
        <v>0</v>
      </c>
      <c r="H712" s="44" t="n">
        <f aca="false">IF($A712="",0,SUMIFS($G$8:$G$1007,$C$8:$C$1007,$C712,$A$8:$A$1007,"&gt;="&amp;$A712-6,$A$8:$A$1007,"&lt;="&amp;$A712))</f>
        <v>0</v>
      </c>
      <c r="I712" s="44" t="n">
        <f aca="false">IF($A712="",0,SUMIFS($G$8:$G$1007,$C$8:$C$1007,$C712,$A$8:$A$1007,"&gt;="&amp;$A712-27,$A$8:$A$1007,"&lt;="&amp;$A712)/4)</f>
        <v>0</v>
      </c>
      <c r="J712" s="144" t="n">
        <f aca="false">IF(OR($A712="",$I712=0),0,$H712/$I712)</f>
        <v>0</v>
      </c>
      <c r="K712" s="40" t="n">
        <f aca="false">IF($A712="",0,$A712-SUMPRODUCT(MIN(($C$8:$C$1007=$C712)*$A$8:$A$1007+($C$8:$C$1007&lt;&gt;$C712)*100000))+1)</f>
        <v>0</v>
      </c>
      <c r="L712" s="26" t="str">
        <f aca="false">IF($A712="","",IF($J712=0,"Sem registro anterior",IF($K712&lt;21,"Histórico insuficiente",IF($J712&lt;0.8,"Subcarga",IF($J712&lt;=1.3,"Zona ideal",IF($J712&lt;=1.5,"Atenção","Risco elevado"))))))</f>
        <v/>
      </c>
      <c r="M712" s="27"/>
    </row>
    <row r="713" customFormat="false" ht="15" hidden="false" customHeight="false" outlineLevel="0" collapsed="false">
      <c r="A713" s="29"/>
      <c r="B713" s="40" t="n">
        <f aca="false">IF($A713="",0,INT(($A713-Macrociclo!$C$11)/7)+1)</f>
        <v>0</v>
      </c>
      <c r="C713" s="27"/>
      <c r="D713" s="27"/>
      <c r="E713" s="28"/>
      <c r="F713" s="28"/>
      <c r="G713" s="44" t="n">
        <f aca="false">IF(OR($E713="",$F713=""),0,$E713*$F713)</f>
        <v>0</v>
      </c>
      <c r="H713" s="44" t="n">
        <f aca="false">IF($A713="",0,SUMIFS($G$8:$G$1007,$C$8:$C$1007,$C713,$A$8:$A$1007,"&gt;="&amp;$A713-6,$A$8:$A$1007,"&lt;="&amp;$A713))</f>
        <v>0</v>
      </c>
      <c r="I713" s="44" t="n">
        <f aca="false">IF($A713="",0,SUMIFS($G$8:$G$1007,$C$8:$C$1007,$C713,$A$8:$A$1007,"&gt;="&amp;$A713-27,$A$8:$A$1007,"&lt;="&amp;$A713)/4)</f>
        <v>0</v>
      </c>
      <c r="J713" s="144" t="n">
        <f aca="false">IF(OR($A713="",$I713=0),0,$H713/$I713)</f>
        <v>0</v>
      </c>
      <c r="K713" s="40" t="n">
        <f aca="false">IF($A713="",0,$A713-SUMPRODUCT(MIN(($C$8:$C$1007=$C713)*$A$8:$A$1007+($C$8:$C$1007&lt;&gt;$C713)*100000))+1)</f>
        <v>0</v>
      </c>
      <c r="L713" s="26" t="str">
        <f aca="false">IF($A713="","",IF($J713=0,"Sem registro anterior",IF($K713&lt;21,"Histórico insuficiente",IF($J713&lt;0.8,"Subcarga",IF($J713&lt;=1.3,"Zona ideal",IF($J713&lt;=1.5,"Atenção","Risco elevado"))))))</f>
        <v/>
      </c>
      <c r="M713" s="27"/>
    </row>
    <row r="714" customFormat="false" ht="15" hidden="false" customHeight="false" outlineLevel="0" collapsed="false">
      <c r="A714" s="29"/>
      <c r="B714" s="40" t="n">
        <f aca="false">IF($A714="",0,INT(($A714-Macrociclo!$C$11)/7)+1)</f>
        <v>0</v>
      </c>
      <c r="C714" s="27"/>
      <c r="D714" s="27"/>
      <c r="E714" s="28"/>
      <c r="F714" s="28"/>
      <c r="G714" s="44" t="n">
        <f aca="false">IF(OR($E714="",$F714=""),0,$E714*$F714)</f>
        <v>0</v>
      </c>
      <c r="H714" s="44" t="n">
        <f aca="false">IF($A714="",0,SUMIFS($G$8:$G$1007,$C$8:$C$1007,$C714,$A$8:$A$1007,"&gt;="&amp;$A714-6,$A$8:$A$1007,"&lt;="&amp;$A714))</f>
        <v>0</v>
      </c>
      <c r="I714" s="44" t="n">
        <f aca="false">IF($A714="",0,SUMIFS($G$8:$G$1007,$C$8:$C$1007,$C714,$A$8:$A$1007,"&gt;="&amp;$A714-27,$A$8:$A$1007,"&lt;="&amp;$A714)/4)</f>
        <v>0</v>
      </c>
      <c r="J714" s="144" t="n">
        <f aca="false">IF(OR($A714="",$I714=0),0,$H714/$I714)</f>
        <v>0</v>
      </c>
      <c r="K714" s="40" t="n">
        <f aca="false">IF($A714="",0,$A714-SUMPRODUCT(MIN(($C$8:$C$1007=$C714)*$A$8:$A$1007+($C$8:$C$1007&lt;&gt;$C714)*100000))+1)</f>
        <v>0</v>
      </c>
      <c r="L714" s="26" t="str">
        <f aca="false">IF($A714="","",IF($J714=0,"Sem registro anterior",IF($K714&lt;21,"Histórico insuficiente",IF($J714&lt;0.8,"Subcarga",IF($J714&lt;=1.3,"Zona ideal",IF($J714&lt;=1.5,"Atenção","Risco elevado"))))))</f>
        <v/>
      </c>
      <c r="M714" s="27"/>
    </row>
    <row r="715" customFormat="false" ht="15" hidden="false" customHeight="false" outlineLevel="0" collapsed="false">
      <c r="A715" s="29"/>
      <c r="B715" s="40" t="n">
        <f aca="false">IF($A715="",0,INT(($A715-Macrociclo!$C$11)/7)+1)</f>
        <v>0</v>
      </c>
      <c r="C715" s="27"/>
      <c r="D715" s="27"/>
      <c r="E715" s="28"/>
      <c r="F715" s="28"/>
      <c r="G715" s="44" t="n">
        <f aca="false">IF(OR($E715="",$F715=""),0,$E715*$F715)</f>
        <v>0</v>
      </c>
      <c r="H715" s="44" t="n">
        <f aca="false">IF($A715="",0,SUMIFS($G$8:$G$1007,$C$8:$C$1007,$C715,$A$8:$A$1007,"&gt;="&amp;$A715-6,$A$8:$A$1007,"&lt;="&amp;$A715))</f>
        <v>0</v>
      </c>
      <c r="I715" s="44" t="n">
        <f aca="false">IF($A715="",0,SUMIFS($G$8:$G$1007,$C$8:$C$1007,$C715,$A$8:$A$1007,"&gt;="&amp;$A715-27,$A$8:$A$1007,"&lt;="&amp;$A715)/4)</f>
        <v>0</v>
      </c>
      <c r="J715" s="144" t="n">
        <f aca="false">IF(OR($A715="",$I715=0),0,$H715/$I715)</f>
        <v>0</v>
      </c>
      <c r="K715" s="40" t="n">
        <f aca="false">IF($A715="",0,$A715-SUMPRODUCT(MIN(($C$8:$C$1007=$C715)*$A$8:$A$1007+($C$8:$C$1007&lt;&gt;$C715)*100000))+1)</f>
        <v>0</v>
      </c>
      <c r="L715" s="26" t="str">
        <f aca="false">IF($A715="","",IF($J715=0,"Sem registro anterior",IF($K715&lt;21,"Histórico insuficiente",IF($J715&lt;0.8,"Subcarga",IF($J715&lt;=1.3,"Zona ideal",IF($J715&lt;=1.5,"Atenção","Risco elevado"))))))</f>
        <v/>
      </c>
      <c r="M715" s="27"/>
    </row>
    <row r="716" customFormat="false" ht="15" hidden="false" customHeight="false" outlineLevel="0" collapsed="false">
      <c r="A716" s="29"/>
      <c r="B716" s="40" t="n">
        <f aca="false">IF($A716="",0,INT(($A716-Macrociclo!$C$11)/7)+1)</f>
        <v>0</v>
      </c>
      <c r="C716" s="27"/>
      <c r="D716" s="27"/>
      <c r="E716" s="28"/>
      <c r="F716" s="28"/>
      <c r="G716" s="44" t="n">
        <f aca="false">IF(OR($E716="",$F716=""),0,$E716*$F716)</f>
        <v>0</v>
      </c>
      <c r="H716" s="44" t="n">
        <f aca="false">IF($A716="",0,SUMIFS($G$8:$G$1007,$C$8:$C$1007,$C716,$A$8:$A$1007,"&gt;="&amp;$A716-6,$A$8:$A$1007,"&lt;="&amp;$A716))</f>
        <v>0</v>
      </c>
      <c r="I716" s="44" t="n">
        <f aca="false">IF($A716="",0,SUMIFS($G$8:$G$1007,$C$8:$C$1007,$C716,$A$8:$A$1007,"&gt;="&amp;$A716-27,$A$8:$A$1007,"&lt;="&amp;$A716)/4)</f>
        <v>0</v>
      </c>
      <c r="J716" s="144" t="n">
        <f aca="false">IF(OR($A716="",$I716=0),0,$H716/$I716)</f>
        <v>0</v>
      </c>
      <c r="K716" s="40" t="n">
        <f aca="false">IF($A716="",0,$A716-SUMPRODUCT(MIN(($C$8:$C$1007=$C716)*$A$8:$A$1007+($C$8:$C$1007&lt;&gt;$C716)*100000))+1)</f>
        <v>0</v>
      </c>
      <c r="L716" s="26" t="str">
        <f aca="false">IF($A716="","",IF($J716=0,"Sem registro anterior",IF($K716&lt;21,"Histórico insuficiente",IF($J716&lt;0.8,"Subcarga",IF($J716&lt;=1.3,"Zona ideal",IF($J716&lt;=1.5,"Atenção","Risco elevado"))))))</f>
        <v/>
      </c>
      <c r="M716" s="27"/>
    </row>
    <row r="717" customFormat="false" ht="15" hidden="false" customHeight="false" outlineLevel="0" collapsed="false">
      <c r="A717" s="29"/>
      <c r="B717" s="40" t="n">
        <f aca="false">IF($A717="",0,INT(($A717-Macrociclo!$C$11)/7)+1)</f>
        <v>0</v>
      </c>
      <c r="C717" s="27"/>
      <c r="D717" s="27"/>
      <c r="E717" s="28"/>
      <c r="F717" s="28"/>
      <c r="G717" s="44" t="n">
        <f aca="false">IF(OR($E717="",$F717=""),0,$E717*$F717)</f>
        <v>0</v>
      </c>
      <c r="H717" s="44" t="n">
        <f aca="false">IF($A717="",0,SUMIFS($G$8:$G$1007,$C$8:$C$1007,$C717,$A$8:$A$1007,"&gt;="&amp;$A717-6,$A$8:$A$1007,"&lt;="&amp;$A717))</f>
        <v>0</v>
      </c>
      <c r="I717" s="44" t="n">
        <f aca="false">IF($A717="",0,SUMIFS($G$8:$G$1007,$C$8:$C$1007,$C717,$A$8:$A$1007,"&gt;="&amp;$A717-27,$A$8:$A$1007,"&lt;="&amp;$A717)/4)</f>
        <v>0</v>
      </c>
      <c r="J717" s="144" t="n">
        <f aca="false">IF(OR($A717="",$I717=0),0,$H717/$I717)</f>
        <v>0</v>
      </c>
      <c r="K717" s="40" t="n">
        <f aca="false">IF($A717="",0,$A717-SUMPRODUCT(MIN(($C$8:$C$1007=$C717)*$A$8:$A$1007+($C$8:$C$1007&lt;&gt;$C717)*100000))+1)</f>
        <v>0</v>
      </c>
      <c r="L717" s="26" t="str">
        <f aca="false">IF($A717="","",IF($J717=0,"Sem registro anterior",IF($K717&lt;21,"Histórico insuficiente",IF($J717&lt;0.8,"Subcarga",IF($J717&lt;=1.3,"Zona ideal",IF($J717&lt;=1.5,"Atenção","Risco elevado"))))))</f>
        <v/>
      </c>
      <c r="M717" s="27"/>
    </row>
    <row r="718" customFormat="false" ht="15" hidden="false" customHeight="false" outlineLevel="0" collapsed="false">
      <c r="A718" s="29"/>
      <c r="B718" s="40" t="n">
        <f aca="false">IF($A718="",0,INT(($A718-Macrociclo!$C$11)/7)+1)</f>
        <v>0</v>
      </c>
      <c r="C718" s="27"/>
      <c r="D718" s="27"/>
      <c r="E718" s="28"/>
      <c r="F718" s="28"/>
      <c r="G718" s="44" t="n">
        <f aca="false">IF(OR($E718="",$F718=""),0,$E718*$F718)</f>
        <v>0</v>
      </c>
      <c r="H718" s="44" t="n">
        <f aca="false">IF($A718="",0,SUMIFS($G$8:$G$1007,$C$8:$C$1007,$C718,$A$8:$A$1007,"&gt;="&amp;$A718-6,$A$8:$A$1007,"&lt;="&amp;$A718))</f>
        <v>0</v>
      </c>
      <c r="I718" s="44" t="n">
        <f aca="false">IF($A718="",0,SUMIFS($G$8:$G$1007,$C$8:$C$1007,$C718,$A$8:$A$1007,"&gt;="&amp;$A718-27,$A$8:$A$1007,"&lt;="&amp;$A718)/4)</f>
        <v>0</v>
      </c>
      <c r="J718" s="144" t="n">
        <f aca="false">IF(OR($A718="",$I718=0),0,$H718/$I718)</f>
        <v>0</v>
      </c>
      <c r="K718" s="40" t="n">
        <f aca="false">IF($A718="",0,$A718-SUMPRODUCT(MIN(($C$8:$C$1007=$C718)*$A$8:$A$1007+($C$8:$C$1007&lt;&gt;$C718)*100000))+1)</f>
        <v>0</v>
      </c>
      <c r="L718" s="26" t="str">
        <f aca="false">IF($A718="","",IF($J718=0,"Sem registro anterior",IF($K718&lt;21,"Histórico insuficiente",IF($J718&lt;0.8,"Subcarga",IF($J718&lt;=1.3,"Zona ideal",IF($J718&lt;=1.5,"Atenção","Risco elevado"))))))</f>
        <v/>
      </c>
      <c r="M718" s="27"/>
    </row>
    <row r="719" customFormat="false" ht="15" hidden="false" customHeight="false" outlineLevel="0" collapsed="false">
      <c r="A719" s="29"/>
      <c r="B719" s="40" t="n">
        <f aca="false">IF($A719="",0,INT(($A719-Macrociclo!$C$11)/7)+1)</f>
        <v>0</v>
      </c>
      <c r="C719" s="27"/>
      <c r="D719" s="27"/>
      <c r="E719" s="28"/>
      <c r="F719" s="28"/>
      <c r="G719" s="44" t="n">
        <f aca="false">IF(OR($E719="",$F719=""),0,$E719*$F719)</f>
        <v>0</v>
      </c>
      <c r="H719" s="44" t="n">
        <f aca="false">IF($A719="",0,SUMIFS($G$8:$G$1007,$C$8:$C$1007,$C719,$A$8:$A$1007,"&gt;="&amp;$A719-6,$A$8:$A$1007,"&lt;="&amp;$A719))</f>
        <v>0</v>
      </c>
      <c r="I719" s="44" t="n">
        <f aca="false">IF($A719="",0,SUMIFS($G$8:$G$1007,$C$8:$C$1007,$C719,$A$8:$A$1007,"&gt;="&amp;$A719-27,$A$8:$A$1007,"&lt;="&amp;$A719)/4)</f>
        <v>0</v>
      </c>
      <c r="J719" s="144" t="n">
        <f aca="false">IF(OR($A719="",$I719=0),0,$H719/$I719)</f>
        <v>0</v>
      </c>
      <c r="K719" s="40" t="n">
        <f aca="false">IF($A719="",0,$A719-SUMPRODUCT(MIN(($C$8:$C$1007=$C719)*$A$8:$A$1007+($C$8:$C$1007&lt;&gt;$C719)*100000))+1)</f>
        <v>0</v>
      </c>
      <c r="L719" s="26" t="str">
        <f aca="false">IF($A719="","",IF($J719=0,"Sem registro anterior",IF($K719&lt;21,"Histórico insuficiente",IF($J719&lt;0.8,"Subcarga",IF($J719&lt;=1.3,"Zona ideal",IF($J719&lt;=1.5,"Atenção","Risco elevado"))))))</f>
        <v/>
      </c>
      <c r="M719" s="27"/>
    </row>
    <row r="720" customFormat="false" ht="15" hidden="false" customHeight="false" outlineLevel="0" collapsed="false">
      <c r="A720" s="29"/>
      <c r="B720" s="40" t="n">
        <f aca="false">IF($A720="",0,INT(($A720-Macrociclo!$C$11)/7)+1)</f>
        <v>0</v>
      </c>
      <c r="C720" s="27"/>
      <c r="D720" s="27"/>
      <c r="E720" s="28"/>
      <c r="F720" s="28"/>
      <c r="G720" s="44" t="n">
        <f aca="false">IF(OR($E720="",$F720=""),0,$E720*$F720)</f>
        <v>0</v>
      </c>
      <c r="H720" s="44" t="n">
        <f aca="false">IF($A720="",0,SUMIFS($G$8:$G$1007,$C$8:$C$1007,$C720,$A$8:$A$1007,"&gt;="&amp;$A720-6,$A$8:$A$1007,"&lt;="&amp;$A720))</f>
        <v>0</v>
      </c>
      <c r="I720" s="44" t="n">
        <f aca="false">IF($A720="",0,SUMIFS($G$8:$G$1007,$C$8:$C$1007,$C720,$A$8:$A$1007,"&gt;="&amp;$A720-27,$A$8:$A$1007,"&lt;="&amp;$A720)/4)</f>
        <v>0</v>
      </c>
      <c r="J720" s="144" t="n">
        <f aca="false">IF(OR($A720="",$I720=0),0,$H720/$I720)</f>
        <v>0</v>
      </c>
      <c r="K720" s="40" t="n">
        <f aca="false">IF($A720="",0,$A720-SUMPRODUCT(MIN(($C$8:$C$1007=$C720)*$A$8:$A$1007+($C$8:$C$1007&lt;&gt;$C720)*100000))+1)</f>
        <v>0</v>
      </c>
      <c r="L720" s="26" t="str">
        <f aca="false">IF($A720="","",IF($J720=0,"Sem registro anterior",IF($K720&lt;21,"Histórico insuficiente",IF($J720&lt;0.8,"Subcarga",IF($J720&lt;=1.3,"Zona ideal",IF($J720&lt;=1.5,"Atenção","Risco elevado"))))))</f>
        <v/>
      </c>
      <c r="M720" s="27"/>
    </row>
    <row r="721" customFormat="false" ht="15" hidden="false" customHeight="false" outlineLevel="0" collapsed="false">
      <c r="A721" s="29"/>
      <c r="B721" s="40" t="n">
        <f aca="false">IF($A721="",0,INT(($A721-Macrociclo!$C$11)/7)+1)</f>
        <v>0</v>
      </c>
      <c r="C721" s="27"/>
      <c r="D721" s="27"/>
      <c r="E721" s="28"/>
      <c r="F721" s="28"/>
      <c r="G721" s="44" t="n">
        <f aca="false">IF(OR($E721="",$F721=""),0,$E721*$F721)</f>
        <v>0</v>
      </c>
      <c r="H721" s="44" t="n">
        <f aca="false">IF($A721="",0,SUMIFS($G$8:$G$1007,$C$8:$C$1007,$C721,$A$8:$A$1007,"&gt;="&amp;$A721-6,$A$8:$A$1007,"&lt;="&amp;$A721))</f>
        <v>0</v>
      </c>
      <c r="I721" s="44" t="n">
        <f aca="false">IF($A721="",0,SUMIFS($G$8:$G$1007,$C$8:$C$1007,$C721,$A$8:$A$1007,"&gt;="&amp;$A721-27,$A$8:$A$1007,"&lt;="&amp;$A721)/4)</f>
        <v>0</v>
      </c>
      <c r="J721" s="144" t="n">
        <f aca="false">IF(OR($A721="",$I721=0),0,$H721/$I721)</f>
        <v>0</v>
      </c>
      <c r="K721" s="40" t="n">
        <f aca="false">IF($A721="",0,$A721-SUMPRODUCT(MIN(($C$8:$C$1007=$C721)*$A$8:$A$1007+($C$8:$C$1007&lt;&gt;$C721)*100000))+1)</f>
        <v>0</v>
      </c>
      <c r="L721" s="26" t="str">
        <f aca="false">IF($A721="","",IF($J721=0,"Sem registro anterior",IF($K721&lt;21,"Histórico insuficiente",IF($J721&lt;0.8,"Subcarga",IF($J721&lt;=1.3,"Zona ideal",IF($J721&lt;=1.5,"Atenção","Risco elevado"))))))</f>
        <v/>
      </c>
      <c r="M721" s="27"/>
    </row>
    <row r="722" customFormat="false" ht="15" hidden="false" customHeight="false" outlineLevel="0" collapsed="false">
      <c r="A722" s="29"/>
      <c r="B722" s="40" t="n">
        <f aca="false">IF($A722="",0,INT(($A722-Macrociclo!$C$11)/7)+1)</f>
        <v>0</v>
      </c>
      <c r="C722" s="27"/>
      <c r="D722" s="27"/>
      <c r="E722" s="28"/>
      <c r="F722" s="28"/>
      <c r="G722" s="44" t="n">
        <f aca="false">IF(OR($E722="",$F722=""),0,$E722*$F722)</f>
        <v>0</v>
      </c>
      <c r="H722" s="44" t="n">
        <f aca="false">IF($A722="",0,SUMIFS($G$8:$G$1007,$C$8:$C$1007,$C722,$A$8:$A$1007,"&gt;="&amp;$A722-6,$A$8:$A$1007,"&lt;="&amp;$A722))</f>
        <v>0</v>
      </c>
      <c r="I722" s="44" t="n">
        <f aca="false">IF($A722="",0,SUMIFS($G$8:$G$1007,$C$8:$C$1007,$C722,$A$8:$A$1007,"&gt;="&amp;$A722-27,$A$8:$A$1007,"&lt;="&amp;$A722)/4)</f>
        <v>0</v>
      </c>
      <c r="J722" s="144" t="n">
        <f aca="false">IF(OR($A722="",$I722=0),0,$H722/$I722)</f>
        <v>0</v>
      </c>
      <c r="K722" s="40" t="n">
        <f aca="false">IF($A722="",0,$A722-SUMPRODUCT(MIN(($C$8:$C$1007=$C722)*$A$8:$A$1007+($C$8:$C$1007&lt;&gt;$C722)*100000))+1)</f>
        <v>0</v>
      </c>
      <c r="L722" s="26" t="str">
        <f aca="false">IF($A722="","",IF($J722=0,"Sem registro anterior",IF($K722&lt;21,"Histórico insuficiente",IF($J722&lt;0.8,"Subcarga",IF($J722&lt;=1.3,"Zona ideal",IF($J722&lt;=1.5,"Atenção","Risco elevado"))))))</f>
        <v/>
      </c>
      <c r="M722" s="27"/>
    </row>
    <row r="723" customFormat="false" ht="15" hidden="false" customHeight="false" outlineLevel="0" collapsed="false">
      <c r="A723" s="29"/>
      <c r="B723" s="40" t="n">
        <f aca="false">IF($A723="",0,INT(($A723-Macrociclo!$C$11)/7)+1)</f>
        <v>0</v>
      </c>
      <c r="C723" s="27"/>
      <c r="D723" s="27"/>
      <c r="E723" s="28"/>
      <c r="F723" s="28"/>
      <c r="G723" s="44" t="n">
        <f aca="false">IF(OR($E723="",$F723=""),0,$E723*$F723)</f>
        <v>0</v>
      </c>
      <c r="H723" s="44" t="n">
        <f aca="false">IF($A723="",0,SUMIFS($G$8:$G$1007,$C$8:$C$1007,$C723,$A$8:$A$1007,"&gt;="&amp;$A723-6,$A$8:$A$1007,"&lt;="&amp;$A723))</f>
        <v>0</v>
      </c>
      <c r="I723" s="44" t="n">
        <f aca="false">IF($A723="",0,SUMIFS($G$8:$G$1007,$C$8:$C$1007,$C723,$A$8:$A$1007,"&gt;="&amp;$A723-27,$A$8:$A$1007,"&lt;="&amp;$A723)/4)</f>
        <v>0</v>
      </c>
      <c r="J723" s="144" t="n">
        <f aca="false">IF(OR($A723="",$I723=0),0,$H723/$I723)</f>
        <v>0</v>
      </c>
      <c r="K723" s="40" t="n">
        <f aca="false">IF($A723="",0,$A723-SUMPRODUCT(MIN(($C$8:$C$1007=$C723)*$A$8:$A$1007+($C$8:$C$1007&lt;&gt;$C723)*100000))+1)</f>
        <v>0</v>
      </c>
      <c r="L723" s="26" t="str">
        <f aca="false">IF($A723="","",IF($J723=0,"Sem registro anterior",IF($K723&lt;21,"Histórico insuficiente",IF($J723&lt;0.8,"Subcarga",IF($J723&lt;=1.3,"Zona ideal",IF($J723&lt;=1.5,"Atenção","Risco elevado"))))))</f>
        <v/>
      </c>
      <c r="M723" s="27"/>
    </row>
    <row r="724" customFormat="false" ht="15" hidden="false" customHeight="false" outlineLevel="0" collapsed="false">
      <c r="A724" s="29"/>
      <c r="B724" s="40" t="n">
        <f aca="false">IF($A724="",0,INT(($A724-Macrociclo!$C$11)/7)+1)</f>
        <v>0</v>
      </c>
      <c r="C724" s="27"/>
      <c r="D724" s="27"/>
      <c r="E724" s="28"/>
      <c r="F724" s="28"/>
      <c r="G724" s="44" t="n">
        <f aca="false">IF(OR($E724="",$F724=""),0,$E724*$F724)</f>
        <v>0</v>
      </c>
      <c r="H724" s="44" t="n">
        <f aca="false">IF($A724="",0,SUMIFS($G$8:$G$1007,$C$8:$C$1007,$C724,$A$8:$A$1007,"&gt;="&amp;$A724-6,$A$8:$A$1007,"&lt;="&amp;$A724))</f>
        <v>0</v>
      </c>
      <c r="I724" s="44" t="n">
        <f aca="false">IF($A724="",0,SUMIFS($G$8:$G$1007,$C$8:$C$1007,$C724,$A$8:$A$1007,"&gt;="&amp;$A724-27,$A$8:$A$1007,"&lt;="&amp;$A724)/4)</f>
        <v>0</v>
      </c>
      <c r="J724" s="144" t="n">
        <f aca="false">IF(OR($A724="",$I724=0),0,$H724/$I724)</f>
        <v>0</v>
      </c>
      <c r="K724" s="40" t="n">
        <f aca="false">IF($A724="",0,$A724-SUMPRODUCT(MIN(($C$8:$C$1007=$C724)*$A$8:$A$1007+($C$8:$C$1007&lt;&gt;$C724)*100000))+1)</f>
        <v>0</v>
      </c>
      <c r="L724" s="26" t="str">
        <f aca="false">IF($A724="","",IF($J724=0,"Sem registro anterior",IF($K724&lt;21,"Histórico insuficiente",IF($J724&lt;0.8,"Subcarga",IF($J724&lt;=1.3,"Zona ideal",IF($J724&lt;=1.5,"Atenção","Risco elevado"))))))</f>
        <v/>
      </c>
      <c r="M724" s="27"/>
    </row>
    <row r="725" customFormat="false" ht="15" hidden="false" customHeight="false" outlineLevel="0" collapsed="false">
      <c r="A725" s="29"/>
      <c r="B725" s="40" t="n">
        <f aca="false">IF($A725="",0,INT(($A725-Macrociclo!$C$11)/7)+1)</f>
        <v>0</v>
      </c>
      <c r="C725" s="27"/>
      <c r="D725" s="27"/>
      <c r="E725" s="28"/>
      <c r="F725" s="28"/>
      <c r="G725" s="44" t="n">
        <f aca="false">IF(OR($E725="",$F725=""),0,$E725*$F725)</f>
        <v>0</v>
      </c>
      <c r="H725" s="44" t="n">
        <f aca="false">IF($A725="",0,SUMIFS($G$8:$G$1007,$C$8:$C$1007,$C725,$A$8:$A$1007,"&gt;="&amp;$A725-6,$A$8:$A$1007,"&lt;="&amp;$A725))</f>
        <v>0</v>
      </c>
      <c r="I725" s="44" t="n">
        <f aca="false">IF($A725="",0,SUMIFS($G$8:$G$1007,$C$8:$C$1007,$C725,$A$8:$A$1007,"&gt;="&amp;$A725-27,$A$8:$A$1007,"&lt;="&amp;$A725)/4)</f>
        <v>0</v>
      </c>
      <c r="J725" s="144" t="n">
        <f aca="false">IF(OR($A725="",$I725=0),0,$H725/$I725)</f>
        <v>0</v>
      </c>
      <c r="K725" s="40" t="n">
        <f aca="false">IF($A725="",0,$A725-SUMPRODUCT(MIN(($C$8:$C$1007=$C725)*$A$8:$A$1007+($C$8:$C$1007&lt;&gt;$C725)*100000))+1)</f>
        <v>0</v>
      </c>
      <c r="L725" s="26" t="str">
        <f aca="false">IF($A725="","",IF($J725=0,"Sem registro anterior",IF($K725&lt;21,"Histórico insuficiente",IF($J725&lt;0.8,"Subcarga",IF($J725&lt;=1.3,"Zona ideal",IF($J725&lt;=1.5,"Atenção","Risco elevado"))))))</f>
        <v/>
      </c>
      <c r="M725" s="27"/>
    </row>
    <row r="726" customFormat="false" ht="15" hidden="false" customHeight="false" outlineLevel="0" collapsed="false">
      <c r="A726" s="29"/>
      <c r="B726" s="40" t="n">
        <f aca="false">IF($A726="",0,INT(($A726-Macrociclo!$C$11)/7)+1)</f>
        <v>0</v>
      </c>
      <c r="C726" s="27"/>
      <c r="D726" s="27"/>
      <c r="E726" s="28"/>
      <c r="F726" s="28"/>
      <c r="G726" s="44" t="n">
        <f aca="false">IF(OR($E726="",$F726=""),0,$E726*$F726)</f>
        <v>0</v>
      </c>
      <c r="H726" s="44" t="n">
        <f aca="false">IF($A726="",0,SUMIFS($G$8:$G$1007,$C$8:$C$1007,$C726,$A$8:$A$1007,"&gt;="&amp;$A726-6,$A$8:$A$1007,"&lt;="&amp;$A726))</f>
        <v>0</v>
      </c>
      <c r="I726" s="44" t="n">
        <f aca="false">IF($A726="",0,SUMIFS($G$8:$G$1007,$C$8:$C$1007,$C726,$A$8:$A$1007,"&gt;="&amp;$A726-27,$A$8:$A$1007,"&lt;="&amp;$A726)/4)</f>
        <v>0</v>
      </c>
      <c r="J726" s="144" t="n">
        <f aca="false">IF(OR($A726="",$I726=0),0,$H726/$I726)</f>
        <v>0</v>
      </c>
      <c r="K726" s="40" t="n">
        <f aca="false">IF($A726="",0,$A726-SUMPRODUCT(MIN(($C$8:$C$1007=$C726)*$A$8:$A$1007+($C$8:$C$1007&lt;&gt;$C726)*100000))+1)</f>
        <v>0</v>
      </c>
      <c r="L726" s="26" t="str">
        <f aca="false">IF($A726="","",IF($J726=0,"Sem registro anterior",IF($K726&lt;21,"Histórico insuficiente",IF($J726&lt;0.8,"Subcarga",IF($J726&lt;=1.3,"Zona ideal",IF($J726&lt;=1.5,"Atenção","Risco elevado"))))))</f>
        <v/>
      </c>
      <c r="M726" s="27"/>
    </row>
    <row r="727" customFormat="false" ht="15" hidden="false" customHeight="false" outlineLevel="0" collapsed="false">
      <c r="A727" s="29"/>
      <c r="B727" s="40" t="n">
        <f aca="false">IF($A727="",0,INT(($A727-Macrociclo!$C$11)/7)+1)</f>
        <v>0</v>
      </c>
      <c r="C727" s="27"/>
      <c r="D727" s="27"/>
      <c r="E727" s="28"/>
      <c r="F727" s="28"/>
      <c r="G727" s="44" t="n">
        <f aca="false">IF(OR($E727="",$F727=""),0,$E727*$F727)</f>
        <v>0</v>
      </c>
      <c r="H727" s="44" t="n">
        <f aca="false">IF($A727="",0,SUMIFS($G$8:$G$1007,$C$8:$C$1007,$C727,$A$8:$A$1007,"&gt;="&amp;$A727-6,$A$8:$A$1007,"&lt;="&amp;$A727))</f>
        <v>0</v>
      </c>
      <c r="I727" s="44" t="n">
        <f aca="false">IF($A727="",0,SUMIFS($G$8:$G$1007,$C$8:$C$1007,$C727,$A$8:$A$1007,"&gt;="&amp;$A727-27,$A$8:$A$1007,"&lt;="&amp;$A727)/4)</f>
        <v>0</v>
      </c>
      <c r="J727" s="144" t="n">
        <f aca="false">IF(OR($A727="",$I727=0),0,$H727/$I727)</f>
        <v>0</v>
      </c>
      <c r="K727" s="40" t="n">
        <f aca="false">IF($A727="",0,$A727-SUMPRODUCT(MIN(($C$8:$C$1007=$C727)*$A$8:$A$1007+($C$8:$C$1007&lt;&gt;$C727)*100000))+1)</f>
        <v>0</v>
      </c>
      <c r="L727" s="26" t="str">
        <f aca="false">IF($A727="","",IF($J727=0,"Sem registro anterior",IF($K727&lt;21,"Histórico insuficiente",IF($J727&lt;0.8,"Subcarga",IF($J727&lt;=1.3,"Zona ideal",IF($J727&lt;=1.5,"Atenção","Risco elevado"))))))</f>
        <v/>
      </c>
      <c r="M727" s="27"/>
    </row>
    <row r="728" customFormat="false" ht="15" hidden="false" customHeight="false" outlineLevel="0" collapsed="false">
      <c r="A728" s="29"/>
      <c r="B728" s="40" t="n">
        <f aca="false">IF($A728="",0,INT(($A728-Macrociclo!$C$11)/7)+1)</f>
        <v>0</v>
      </c>
      <c r="C728" s="27"/>
      <c r="D728" s="27"/>
      <c r="E728" s="28"/>
      <c r="F728" s="28"/>
      <c r="G728" s="44" t="n">
        <f aca="false">IF(OR($E728="",$F728=""),0,$E728*$F728)</f>
        <v>0</v>
      </c>
      <c r="H728" s="44" t="n">
        <f aca="false">IF($A728="",0,SUMIFS($G$8:$G$1007,$C$8:$C$1007,$C728,$A$8:$A$1007,"&gt;="&amp;$A728-6,$A$8:$A$1007,"&lt;="&amp;$A728))</f>
        <v>0</v>
      </c>
      <c r="I728" s="44" t="n">
        <f aca="false">IF($A728="",0,SUMIFS($G$8:$G$1007,$C$8:$C$1007,$C728,$A$8:$A$1007,"&gt;="&amp;$A728-27,$A$8:$A$1007,"&lt;="&amp;$A728)/4)</f>
        <v>0</v>
      </c>
      <c r="J728" s="144" t="n">
        <f aca="false">IF(OR($A728="",$I728=0),0,$H728/$I728)</f>
        <v>0</v>
      </c>
      <c r="K728" s="40" t="n">
        <f aca="false">IF($A728="",0,$A728-SUMPRODUCT(MIN(($C$8:$C$1007=$C728)*$A$8:$A$1007+($C$8:$C$1007&lt;&gt;$C728)*100000))+1)</f>
        <v>0</v>
      </c>
      <c r="L728" s="26" t="str">
        <f aca="false">IF($A728="","",IF($J728=0,"Sem registro anterior",IF($K728&lt;21,"Histórico insuficiente",IF($J728&lt;0.8,"Subcarga",IF($J728&lt;=1.3,"Zona ideal",IF($J728&lt;=1.5,"Atenção","Risco elevado"))))))</f>
        <v/>
      </c>
      <c r="M728" s="27"/>
    </row>
    <row r="729" customFormat="false" ht="15" hidden="false" customHeight="false" outlineLevel="0" collapsed="false">
      <c r="A729" s="29"/>
      <c r="B729" s="40" t="n">
        <f aca="false">IF($A729="",0,INT(($A729-Macrociclo!$C$11)/7)+1)</f>
        <v>0</v>
      </c>
      <c r="C729" s="27"/>
      <c r="D729" s="27"/>
      <c r="E729" s="28"/>
      <c r="F729" s="28"/>
      <c r="G729" s="44" t="n">
        <f aca="false">IF(OR($E729="",$F729=""),0,$E729*$F729)</f>
        <v>0</v>
      </c>
      <c r="H729" s="44" t="n">
        <f aca="false">IF($A729="",0,SUMIFS($G$8:$G$1007,$C$8:$C$1007,$C729,$A$8:$A$1007,"&gt;="&amp;$A729-6,$A$8:$A$1007,"&lt;="&amp;$A729))</f>
        <v>0</v>
      </c>
      <c r="I729" s="44" t="n">
        <f aca="false">IF($A729="",0,SUMIFS($G$8:$G$1007,$C$8:$C$1007,$C729,$A$8:$A$1007,"&gt;="&amp;$A729-27,$A$8:$A$1007,"&lt;="&amp;$A729)/4)</f>
        <v>0</v>
      </c>
      <c r="J729" s="144" t="n">
        <f aca="false">IF(OR($A729="",$I729=0),0,$H729/$I729)</f>
        <v>0</v>
      </c>
      <c r="K729" s="40" t="n">
        <f aca="false">IF($A729="",0,$A729-SUMPRODUCT(MIN(($C$8:$C$1007=$C729)*$A$8:$A$1007+($C$8:$C$1007&lt;&gt;$C729)*100000))+1)</f>
        <v>0</v>
      </c>
      <c r="L729" s="26" t="str">
        <f aca="false">IF($A729="","",IF($J729=0,"Sem registro anterior",IF($K729&lt;21,"Histórico insuficiente",IF($J729&lt;0.8,"Subcarga",IF($J729&lt;=1.3,"Zona ideal",IF($J729&lt;=1.5,"Atenção","Risco elevado"))))))</f>
        <v/>
      </c>
      <c r="M729" s="27"/>
    </row>
    <row r="730" customFormat="false" ht="15" hidden="false" customHeight="false" outlineLevel="0" collapsed="false">
      <c r="A730" s="29"/>
      <c r="B730" s="40" t="n">
        <f aca="false">IF($A730="",0,INT(($A730-Macrociclo!$C$11)/7)+1)</f>
        <v>0</v>
      </c>
      <c r="C730" s="27"/>
      <c r="D730" s="27"/>
      <c r="E730" s="28"/>
      <c r="F730" s="28"/>
      <c r="G730" s="44" t="n">
        <f aca="false">IF(OR($E730="",$F730=""),0,$E730*$F730)</f>
        <v>0</v>
      </c>
      <c r="H730" s="44" t="n">
        <f aca="false">IF($A730="",0,SUMIFS($G$8:$G$1007,$C$8:$C$1007,$C730,$A$8:$A$1007,"&gt;="&amp;$A730-6,$A$8:$A$1007,"&lt;="&amp;$A730))</f>
        <v>0</v>
      </c>
      <c r="I730" s="44" t="n">
        <f aca="false">IF($A730="",0,SUMIFS($G$8:$G$1007,$C$8:$C$1007,$C730,$A$8:$A$1007,"&gt;="&amp;$A730-27,$A$8:$A$1007,"&lt;="&amp;$A730)/4)</f>
        <v>0</v>
      </c>
      <c r="J730" s="144" t="n">
        <f aca="false">IF(OR($A730="",$I730=0),0,$H730/$I730)</f>
        <v>0</v>
      </c>
      <c r="K730" s="40" t="n">
        <f aca="false">IF($A730="",0,$A730-SUMPRODUCT(MIN(($C$8:$C$1007=$C730)*$A$8:$A$1007+($C$8:$C$1007&lt;&gt;$C730)*100000))+1)</f>
        <v>0</v>
      </c>
      <c r="L730" s="26" t="str">
        <f aca="false">IF($A730="","",IF($J730=0,"Sem registro anterior",IF($K730&lt;21,"Histórico insuficiente",IF($J730&lt;0.8,"Subcarga",IF($J730&lt;=1.3,"Zona ideal",IF($J730&lt;=1.5,"Atenção","Risco elevado"))))))</f>
        <v/>
      </c>
      <c r="M730" s="27"/>
    </row>
    <row r="731" customFormat="false" ht="15" hidden="false" customHeight="false" outlineLevel="0" collapsed="false">
      <c r="A731" s="29"/>
      <c r="B731" s="40" t="n">
        <f aca="false">IF($A731="",0,INT(($A731-Macrociclo!$C$11)/7)+1)</f>
        <v>0</v>
      </c>
      <c r="C731" s="27"/>
      <c r="D731" s="27"/>
      <c r="E731" s="28"/>
      <c r="F731" s="28"/>
      <c r="G731" s="44" t="n">
        <f aca="false">IF(OR($E731="",$F731=""),0,$E731*$F731)</f>
        <v>0</v>
      </c>
      <c r="H731" s="44" t="n">
        <f aca="false">IF($A731="",0,SUMIFS($G$8:$G$1007,$C$8:$C$1007,$C731,$A$8:$A$1007,"&gt;="&amp;$A731-6,$A$8:$A$1007,"&lt;="&amp;$A731))</f>
        <v>0</v>
      </c>
      <c r="I731" s="44" t="n">
        <f aca="false">IF($A731="",0,SUMIFS($G$8:$G$1007,$C$8:$C$1007,$C731,$A$8:$A$1007,"&gt;="&amp;$A731-27,$A$8:$A$1007,"&lt;="&amp;$A731)/4)</f>
        <v>0</v>
      </c>
      <c r="J731" s="144" t="n">
        <f aca="false">IF(OR($A731="",$I731=0),0,$H731/$I731)</f>
        <v>0</v>
      </c>
      <c r="K731" s="40" t="n">
        <f aca="false">IF($A731="",0,$A731-SUMPRODUCT(MIN(($C$8:$C$1007=$C731)*$A$8:$A$1007+($C$8:$C$1007&lt;&gt;$C731)*100000))+1)</f>
        <v>0</v>
      </c>
      <c r="L731" s="26" t="str">
        <f aca="false">IF($A731="","",IF($J731=0,"Sem registro anterior",IF($K731&lt;21,"Histórico insuficiente",IF($J731&lt;0.8,"Subcarga",IF($J731&lt;=1.3,"Zona ideal",IF($J731&lt;=1.5,"Atenção","Risco elevado"))))))</f>
        <v/>
      </c>
      <c r="M731" s="27"/>
    </row>
    <row r="732" customFormat="false" ht="15" hidden="false" customHeight="false" outlineLevel="0" collapsed="false">
      <c r="A732" s="29"/>
      <c r="B732" s="40" t="n">
        <f aca="false">IF($A732="",0,INT(($A732-Macrociclo!$C$11)/7)+1)</f>
        <v>0</v>
      </c>
      <c r="C732" s="27"/>
      <c r="D732" s="27"/>
      <c r="E732" s="28"/>
      <c r="F732" s="28"/>
      <c r="G732" s="44" t="n">
        <f aca="false">IF(OR($E732="",$F732=""),0,$E732*$F732)</f>
        <v>0</v>
      </c>
      <c r="H732" s="44" t="n">
        <f aca="false">IF($A732="",0,SUMIFS($G$8:$G$1007,$C$8:$C$1007,$C732,$A$8:$A$1007,"&gt;="&amp;$A732-6,$A$8:$A$1007,"&lt;="&amp;$A732))</f>
        <v>0</v>
      </c>
      <c r="I732" s="44" t="n">
        <f aca="false">IF($A732="",0,SUMIFS($G$8:$G$1007,$C$8:$C$1007,$C732,$A$8:$A$1007,"&gt;="&amp;$A732-27,$A$8:$A$1007,"&lt;="&amp;$A732)/4)</f>
        <v>0</v>
      </c>
      <c r="J732" s="144" t="n">
        <f aca="false">IF(OR($A732="",$I732=0),0,$H732/$I732)</f>
        <v>0</v>
      </c>
      <c r="K732" s="40" t="n">
        <f aca="false">IF($A732="",0,$A732-SUMPRODUCT(MIN(($C$8:$C$1007=$C732)*$A$8:$A$1007+($C$8:$C$1007&lt;&gt;$C732)*100000))+1)</f>
        <v>0</v>
      </c>
      <c r="L732" s="26" t="str">
        <f aca="false">IF($A732="","",IF($J732=0,"Sem registro anterior",IF($K732&lt;21,"Histórico insuficiente",IF($J732&lt;0.8,"Subcarga",IF($J732&lt;=1.3,"Zona ideal",IF($J732&lt;=1.5,"Atenção","Risco elevado"))))))</f>
        <v/>
      </c>
      <c r="M732" s="27"/>
    </row>
    <row r="733" customFormat="false" ht="15" hidden="false" customHeight="false" outlineLevel="0" collapsed="false">
      <c r="A733" s="29"/>
      <c r="B733" s="40" t="n">
        <f aca="false">IF($A733="",0,INT(($A733-Macrociclo!$C$11)/7)+1)</f>
        <v>0</v>
      </c>
      <c r="C733" s="27"/>
      <c r="D733" s="27"/>
      <c r="E733" s="28"/>
      <c r="F733" s="28"/>
      <c r="G733" s="44" t="n">
        <f aca="false">IF(OR($E733="",$F733=""),0,$E733*$F733)</f>
        <v>0</v>
      </c>
      <c r="H733" s="44" t="n">
        <f aca="false">IF($A733="",0,SUMIFS($G$8:$G$1007,$C$8:$C$1007,$C733,$A$8:$A$1007,"&gt;="&amp;$A733-6,$A$8:$A$1007,"&lt;="&amp;$A733))</f>
        <v>0</v>
      </c>
      <c r="I733" s="44" t="n">
        <f aca="false">IF($A733="",0,SUMIFS($G$8:$G$1007,$C$8:$C$1007,$C733,$A$8:$A$1007,"&gt;="&amp;$A733-27,$A$8:$A$1007,"&lt;="&amp;$A733)/4)</f>
        <v>0</v>
      </c>
      <c r="J733" s="144" t="n">
        <f aca="false">IF(OR($A733="",$I733=0),0,$H733/$I733)</f>
        <v>0</v>
      </c>
      <c r="K733" s="40" t="n">
        <f aca="false">IF($A733="",0,$A733-SUMPRODUCT(MIN(($C$8:$C$1007=$C733)*$A$8:$A$1007+($C$8:$C$1007&lt;&gt;$C733)*100000))+1)</f>
        <v>0</v>
      </c>
      <c r="L733" s="26" t="str">
        <f aca="false">IF($A733="","",IF($J733=0,"Sem registro anterior",IF($K733&lt;21,"Histórico insuficiente",IF($J733&lt;0.8,"Subcarga",IF($J733&lt;=1.3,"Zona ideal",IF($J733&lt;=1.5,"Atenção","Risco elevado"))))))</f>
        <v/>
      </c>
      <c r="M733" s="27"/>
    </row>
    <row r="734" customFormat="false" ht="15" hidden="false" customHeight="false" outlineLevel="0" collapsed="false">
      <c r="A734" s="29"/>
      <c r="B734" s="40" t="n">
        <f aca="false">IF($A734="",0,INT(($A734-Macrociclo!$C$11)/7)+1)</f>
        <v>0</v>
      </c>
      <c r="C734" s="27"/>
      <c r="D734" s="27"/>
      <c r="E734" s="28"/>
      <c r="F734" s="28"/>
      <c r="G734" s="44" t="n">
        <f aca="false">IF(OR($E734="",$F734=""),0,$E734*$F734)</f>
        <v>0</v>
      </c>
      <c r="H734" s="44" t="n">
        <f aca="false">IF($A734="",0,SUMIFS($G$8:$G$1007,$C$8:$C$1007,$C734,$A$8:$A$1007,"&gt;="&amp;$A734-6,$A$8:$A$1007,"&lt;="&amp;$A734))</f>
        <v>0</v>
      </c>
      <c r="I734" s="44" t="n">
        <f aca="false">IF($A734="",0,SUMIFS($G$8:$G$1007,$C$8:$C$1007,$C734,$A$8:$A$1007,"&gt;="&amp;$A734-27,$A$8:$A$1007,"&lt;="&amp;$A734)/4)</f>
        <v>0</v>
      </c>
      <c r="J734" s="144" t="n">
        <f aca="false">IF(OR($A734="",$I734=0),0,$H734/$I734)</f>
        <v>0</v>
      </c>
      <c r="K734" s="40" t="n">
        <f aca="false">IF($A734="",0,$A734-SUMPRODUCT(MIN(($C$8:$C$1007=$C734)*$A$8:$A$1007+($C$8:$C$1007&lt;&gt;$C734)*100000))+1)</f>
        <v>0</v>
      </c>
      <c r="L734" s="26" t="str">
        <f aca="false">IF($A734="","",IF($J734=0,"Sem registro anterior",IF($K734&lt;21,"Histórico insuficiente",IF($J734&lt;0.8,"Subcarga",IF($J734&lt;=1.3,"Zona ideal",IF($J734&lt;=1.5,"Atenção","Risco elevado"))))))</f>
        <v/>
      </c>
      <c r="M734" s="27"/>
    </row>
    <row r="735" customFormat="false" ht="15" hidden="false" customHeight="false" outlineLevel="0" collapsed="false">
      <c r="A735" s="29"/>
      <c r="B735" s="40" t="n">
        <f aca="false">IF($A735="",0,INT(($A735-Macrociclo!$C$11)/7)+1)</f>
        <v>0</v>
      </c>
      <c r="C735" s="27"/>
      <c r="D735" s="27"/>
      <c r="E735" s="28"/>
      <c r="F735" s="28"/>
      <c r="G735" s="44" t="n">
        <f aca="false">IF(OR($E735="",$F735=""),0,$E735*$F735)</f>
        <v>0</v>
      </c>
      <c r="H735" s="44" t="n">
        <f aca="false">IF($A735="",0,SUMIFS($G$8:$G$1007,$C$8:$C$1007,$C735,$A$8:$A$1007,"&gt;="&amp;$A735-6,$A$8:$A$1007,"&lt;="&amp;$A735))</f>
        <v>0</v>
      </c>
      <c r="I735" s="44" t="n">
        <f aca="false">IF($A735="",0,SUMIFS($G$8:$G$1007,$C$8:$C$1007,$C735,$A$8:$A$1007,"&gt;="&amp;$A735-27,$A$8:$A$1007,"&lt;="&amp;$A735)/4)</f>
        <v>0</v>
      </c>
      <c r="J735" s="144" t="n">
        <f aca="false">IF(OR($A735="",$I735=0),0,$H735/$I735)</f>
        <v>0</v>
      </c>
      <c r="K735" s="40" t="n">
        <f aca="false">IF($A735="",0,$A735-SUMPRODUCT(MIN(($C$8:$C$1007=$C735)*$A$8:$A$1007+($C$8:$C$1007&lt;&gt;$C735)*100000))+1)</f>
        <v>0</v>
      </c>
      <c r="L735" s="26" t="str">
        <f aca="false">IF($A735="","",IF($J735=0,"Sem registro anterior",IF($K735&lt;21,"Histórico insuficiente",IF($J735&lt;0.8,"Subcarga",IF($J735&lt;=1.3,"Zona ideal",IF($J735&lt;=1.5,"Atenção","Risco elevado"))))))</f>
        <v/>
      </c>
      <c r="M735" s="27"/>
    </row>
    <row r="736" customFormat="false" ht="15" hidden="false" customHeight="false" outlineLevel="0" collapsed="false">
      <c r="A736" s="29"/>
      <c r="B736" s="40" t="n">
        <f aca="false">IF($A736="",0,INT(($A736-Macrociclo!$C$11)/7)+1)</f>
        <v>0</v>
      </c>
      <c r="C736" s="27"/>
      <c r="D736" s="27"/>
      <c r="E736" s="28"/>
      <c r="F736" s="28"/>
      <c r="G736" s="44" t="n">
        <f aca="false">IF(OR($E736="",$F736=""),0,$E736*$F736)</f>
        <v>0</v>
      </c>
      <c r="H736" s="44" t="n">
        <f aca="false">IF($A736="",0,SUMIFS($G$8:$G$1007,$C$8:$C$1007,$C736,$A$8:$A$1007,"&gt;="&amp;$A736-6,$A$8:$A$1007,"&lt;="&amp;$A736))</f>
        <v>0</v>
      </c>
      <c r="I736" s="44" t="n">
        <f aca="false">IF($A736="",0,SUMIFS($G$8:$G$1007,$C$8:$C$1007,$C736,$A$8:$A$1007,"&gt;="&amp;$A736-27,$A$8:$A$1007,"&lt;="&amp;$A736)/4)</f>
        <v>0</v>
      </c>
      <c r="J736" s="144" t="n">
        <f aca="false">IF(OR($A736="",$I736=0),0,$H736/$I736)</f>
        <v>0</v>
      </c>
      <c r="K736" s="40" t="n">
        <f aca="false">IF($A736="",0,$A736-SUMPRODUCT(MIN(($C$8:$C$1007=$C736)*$A$8:$A$1007+($C$8:$C$1007&lt;&gt;$C736)*100000))+1)</f>
        <v>0</v>
      </c>
      <c r="L736" s="26" t="str">
        <f aca="false">IF($A736="","",IF($J736=0,"Sem registro anterior",IF($K736&lt;21,"Histórico insuficiente",IF($J736&lt;0.8,"Subcarga",IF($J736&lt;=1.3,"Zona ideal",IF($J736&lt;=1.5,"Atenção","Risco elevado"))))))</f>
        <v/>
      </c>
      <c r="M736" s="27"/>
    </row>
    <row r="737" customFormat="false" ht="15" hidden="false" customHeight="false" outlineLevel="0" collapsed="false">
      <c r="A737" s="29"/>
      <c r="B737" s="40" t="n">
        <f aca="false">IF($A737="",0,INT(($A737-Macrociclo!$C$11)/7)+1)</f>
        <v>0</v>
      </c>
      <c r="C737" s="27"/>
      <c r="D737" s="27"/>
      <c r="E737" s="28"/>
      <c r="F737" s="28"/>
      <c r="G737" s="44" t="n">
        <f aca="false">IF(OR($E737="",$F737=""),0,$E737*$F737)</f>
        <v>0</v>
      </c>
      <c r="H737" s="44" t="n">
        <f aca="false">IF($A737="",0,SUMIFS($G$8:$G$1007,$C$8:$C$1007,$C737,$A$8:$A$1007,"&gt;="&amp;$A737-6,$A$8:$A$1007,"&lt;="&amp;$A737))</f>
        <v>0</v>
      </c>
      <c r="I737" s="44" t="n">
        <f aca="false">IF($A737="",0,SUMIFS($G$8:$G$1007,$C$8:$C$1007,$C737,$A$8:$A$1007,"&gt;="&amp;$A737-27,$A$8:$A$1007,"&lt;="&amp;$A737)/4)</f>
        <v>0</v>
      </c>
      <c r="J737" s="144" t="n">
        <f aca="false">IF(OR($A737="",$I737=0),0,$H737/$I737)</f>
        <v>0</v>
      </c>
      <c r="K737" s="40" t="n">
        <f aca="false">IF($A737="",0,$A737-SUMPRODUCT(MIN(($C$8:$C$1007=$C737)*$A$8:$A$1007+($C$8:$C$1007&lt;&gt;$C737)*100000))+1)</f>
        <v>0</v>
      </c>
      <c r="L737" s="26" t="str">
        <f aca="false">IF($A737="","",IF($J737=0,"Sem registro anterior",IF($K737&lt;21,"Histórico insuficiente",IF($J737&lt;0.8,"Subcarga",IF($J737&lt;=1.3,"Zona ideal",IF($J737&lt;=1.5,"Atenção","Risco elevado"))))))</f>
        <v/>
      </c>
      <c r="M737" s="27"/>
    </row>
    <row r="738" customFormat="false" ht="15" hidden="false" customHeight="false" outlineLevel="0" collapsed="false">
      <c r="A738" s="29"/>
      <c r="B738" s="40" t="n">
        <f aca="false">IF($A738="",0,INT(($A738-Macrociclo!$C$11)/7)+1)</f>
        <v>0</v>
      </c>
      <c r="C738" s="27"/>
      <c r="D738" s="27"/>
      <c r="E738" s="28"/>
      <c r="F738" s="28"/>
      <c r="G738" s="44" t="n">
        <f aca="false">IF(OR($E738="",$F738=""),0,$E738*$F738)</f>
        <v>0</v>
      </c>
      <c r="H738" s="44" t="n">
        <f aca="false">IF($A738="",0,SUMIFS($G$8:$G$1007,$C$8:$C$1007,$C738,$A$8:$A$1007,"&gt;="&amp;$A738-6,$A$8:$A$1007,"&lt;="&amp;$A738))</f>
        <v>0</v>
      </c>
      <c r="I738" s="44" t="n">
        <f aca="false">IF($A738="",0,SUMIFS($G$8:$G$1007,$C$8:$C$1007,$C738,$A$8:$A$1007,"&gt;="&amp;$A738-27,$A$8:$A$1007,"&lt;="&amp;$A738)/4)</f>
        <v>0</v>
      </c>
      <c r="J738" s="144" t="n">
        <f aca="false">IF(OR($A738="",$I738=0),0,$H738/$I738)</f>
        <v>0</v>
      </c>
      <c r="K738" s="40" t="n">
        <f aca="false">IF($A738="",0,$A738-SUMPRODUCT(MIN(($C$8:$C$1007=$C738)*$A$8:$A$1007+($C$8:$C$1007&lt;&gt;$C738)*100000))+1)</f>
        <v>0</v>
      </c>
      <c r="L738" s="26" t="str">
        <f aca="false">IF($A738="","",IF($J738=0,"Sem registro anterior",IF($K738&lt;21,"Histórico insuficiente",IF($J738&lt;0.8,"Subcarga",IF($J738&lt;=1.3,"Zona ideal",IF($J738&lt;=1.5,"Atenção","Risco elevado"))))))</f>
        <v/>
      </c>
      <c r="M738" s="27"/>
    </row>
    <row r="739" customFormat="false" ht="15" hidden="false" customHeight="false" outlineLevel="0" collapsed="false">
      <c r="A739" s="29"/>
      <c r="B739" s="40" t="n">
        <f aca="false">IF($A739="",0,INT(($A739-Macrociclo!$C$11)/7)+1)</f>
        <v>0</v>
      </c>
      <c r="C739" s="27"/>
      <c r="D739" s="27"/>
      <c r="E739" s="28"/>
      <c r="F739" s="28"/>
      <c r="G739" s="44" t="n">
        <f aca="false">IF(OR($E739="",$F739=""),0,$E739*$F739)</f>
        <v>0</v>
      </c>
      <c r="H739" s="44" t="n">
        <f aca="false">IF($A739="",0,SUMIFS($G$8:$G$1007,$C$8:$C$1007,$C739,$A$8:$A$1007,"&gt;="&amp;$A739-6,$A$8:$A$1007,"&lt;="&amp;$A739))</f>
        <v>0</v>
      </c>
      <c r="I739" s="44" t="n">
        <f aca="false">IF($A739="",0,SUMIFS($G$8:$G$1007,$C$8:$C$1007,$C739,$A$8:$A$1007,"&gt;="&amp;$A739-27,$A$8:$A$1007,"&lt;="&amp;$A739)/4)</f>
        <v>0</v>
      </c>
      <c r="J739" s="144" t="n">
        <f aca="false">IF(OR($A739="",$I739=0),0,$H739/$I739)</f>
        <v>0</v>
      </c>
      <c r="K739" s="40" t="n">
        <f aca="false">IF($A739="",0,$A739-SUMPRODUCT(MIN(($C$8:$C$1007=$C739)*$A$8:$A$1007+($C$8:$C$1007&lt;&gt;$C739)*100000))+1)</f>
        <v>0</v>
      </c>
      <c r="L739" s="26" t="str">
        <f aca="false">IF($A739="","",IF($J739=0,"Sem registro anterior",IF($K739&lt;21,"Histórico insuficiente",IF($J739&lt;0.8,"Subcarga",IF($J739&lt;=1.3,"Zona ideal",IF($J739&lt;=1.5,"Atenção","Risco elevado"))))))</f>
        <v/>
      </c>
      <c r="M739" s="27"/>
    </row>
    <row r="740" customFormat="false" ht="15" hidden="false" customHeight="false" outlineLevel="0" collapsed="false">
      <c r="A740" s="29"/>
      <c r="B740" s="40" t="n">
        <f aca="false">IF($A740="",0,INT(($A740-Macrociclo!$C$11)/7)+1)</f>
        <v>0</v>
      </c>
      <c r="C740" s="27"/>
      <c r="D740" s="27"/>
      <c r="E740" s="28"/>
      <c r="F740" s="28"/>
      <c r="G740" s="44" t="n">
        <f aca="false">IF(OR($E740="",$F740=""),0,$E740*$F740)</f>
        <v>0</v>
      </c>
      <c r="H740" s="44" t="n">
        <f aca="false">IF($A740="",0,SUMIFS($G$8:$G$1007,$C$8:$C$1007,$C740,$A$8:$A$1007,"&gt;="&amp;$A740-6,$A$8:$A$1007,"&lt;="&amp;$A740))</f>
        <v>0</v>
      </c>
      <c r="I740" s="44" t="n">
        <f aca="false">IF($A740="",0,SUMIFS($G$8:$G$1007,$C$8:$C$1007,$C740,$A$8:$A$1007,"&gt;="&amp;$A740-27,$A$8:$A$1007,"&lt;="&amp;$A740)/4)</f>
        <v>0</v>
      </c>
      <c r="J740" s="144" t="n">
        <f aca="false">IF(OR($A740="",$I740=0),0,$H740/$I740)</f>
        <v>0</v>
      </c>
      <c r="K740" s="40" t="n">
        <f aca="false">IF($A740="",0,$A740-SUMPRODUCT(MIN(($C$8:$C$1007=$C740)*$A$8:$A$1007+($C$8:$C$1007&lt;&gt;$C740)*100000))+1)</f>
        <v>0</v>
      </c>
      <c r="L740" s="26" t="str">
        <f aca="false">IF($A740="","",IF($J740=0,"Sem registro anterior",IF($K740&lt;21,"Histórico insuficiente",IF($J740&lt;0.8,"Subcarga",IF($J740&lt;=1.3,"Zona ideal",IF($J740&lt;=1.5,"Atenção","Risco elevado"))))))</f>
        <v/>
      </c>
      <c r="M740" s="27"/>
    </row>
    <row r="741" customFormat="false" ht="15" hidden="false" customHeight="false" outlineLevel="0" collapsed="false">
      <c r="A741" s="29"/>
      <c r="B741" s="40" t="n">
        <f aca="false">IF($A741="",0,INT(($A741-Macrociclo!$C$11)/7)+1)</f>
        <v>0</v>
      </c>
      <c r="C741" s="27"/>
      <c r="D741" s="27"/>
      <c r="E741" s="28"/>
      <c r="F741" s="28"/>
      <c r="G741" s="44" t="n">
        <f aca="false">IF(OR($E741="",$F741=""),0,$E741*$F741)</f>
        <v>0</v>
      </c>
      <c r="H741" s="44" t="n">
        <f aca="false">IF($A741="",0,SUMIFS($G$8:$G$1007,$C$8:$C$1007,$C741,$A$8:$A$1007,"&gt;="&amp;$A741-6,$A$8:$A$1007,"&lt;="&amp;$A741))</f>
        <v>0</v>
      </c>
      <c r="I741" s="44" t="n">
        <f aca="false">IF($A741="",0,SUMIFS($G$8:$G$1007,$C$8:$C$1007,$C741,$A$8:$A$1007,"&gt;="&amp;$A741-27,$A$8:$A$1007,"&lt;="&amp;$A741)/4)</f>
        <v>0</v>
      </c>
      <c r="J741" s="144" t="n">
        <f aca="false">IF(OR($A741="",$I741=0),0,$H741/$I741)</f>
        <v>0</v>
      </c>
      <c r="K741" s="40" t="n">
        <f aca="false">IF($A741="",0,$A741-SUMPRODUCT(MIN(($C$8:$C$1007=$C741)*$A$8:$A$1007+($C$8:$C$1007&lt;&gt;$C741)*100000))+1)</f>
        <v>0</v>
      </c>
      <c r="L741" s="26" t="str">
        <f aca="false">IF($A741="","",IF($J741=0,"Sem registro anterior",IF($K741&lt;21,"Histórico insuficiente",IF($J741&lt;0.8,"Subcarga",IF($J741&lt;=1.3,"Zona ideal",IF($J741&lt;=1.5,"Atenção","Risco elevado"))))))</f>
        <v/>
      </c>
      <c r="M741" s="27"/>
    </row>
    <row r="742" customFormat="false" ht="15" hidden="false" customHeight="false" outlineLevel="0" collapsed="false">
      <c r="A742" s="29"/>
      <c r="B742" s="40" t="n">
        <f aca="false">IF($A742="",0,INT(($A742-Macrociclo!$C$11)/7)+1)</f>
        <v>0</v>
      </c>
      <c r="C742" s="27"/>
      <c r="D742" s="27"/>
      <c r="E742" s="28"/>
      <c r="F742" s="28"/>
      <c r="G742" s="44" t="n">
        <f aca="false">IF(OR($E742="",$F742=""),0,$E742*$F742)</f>
        <v>0</v>
      </c>
      <c r="H742" s="44" t="n">
        <f aca="false">IF($A742="",0,SUMIFS($G$8:$G$1007,$C$8:$C$1007,$C742,$A$8:$A$1007,"&gt;="&amp;$A742-6,$A$8:$A$1007,"&lt;="&amp;$A742))</f>
        <v>0</v>
      </c>
      <c r="I742" s="44" t="n">
        <f aca="false">IF($A742="",0,SUMIFS($G$8:$G$1007,$C$8:$C$1007,$C742,$A$8:$A$1007,"&gt;="&amp;$A742-27,$A$8:$A$1007,"&lt;="&amp;$A742)/4)</f>
        <v>0</v>
      </c>
      <c r="J742" s="144" t="n">
        <f aca="false">IF(OR($A742="",$I742=0),0,$H742/$I742)</f>
        <v>0</v>
      </c>
      <c r="K742" s="40" t="n">
        <f aca="false">IF($A742="",0,$A742-SUMPRODUCT(MIN(($C$8:$C$1007=$C742)*$A$8:$A$1007+($C$8:$C$1007&lt;&gt;$C742)*100000))+1)</f>
        <v>0</v>
      </c>
      <c r="L742" s="26" t="str">
        <f aca="false">IF($A742="","",IF($J742=0,"Sem registro anterior",IF($K742&lt;21,"Histórico insuficiente",IF($J742&lt;0.8,"Subcarga",IF($J742&lt;=1.3,"Zona ideal",IF($J742&lt;=1.5,"Atenção","Risco elevado"))))))</f>
        <v/>
      </c>
      <c r="M742" s="27"/>
    </row>
    <row r="743" customFormat="false" ht="15" hidden="false" customHeight="false" outlineLevel="0" collapsed="false">
      <c r="A743" s="29"/>
      <c r="B743" s="40" t="n">
        <f aca="false">IF($A743="",0,INT(($A743-Macrociclo!$C$11)/7)+1)</f>
        <v>0</v>
      </c>
      <c r="C743" s="27"/>
      <c r="D743" s="27"/>
      <c r="E743" s="28"/>
      <c r="F743" s="28"/>
      <c r="G743" s="44" t="n">
        <f aca="false">IF(OR($E743="",$F743=""),0,$E743*$F743)</f>
        <v>0</v>
      </c>
      <c r="H743" s="44" t="n">
        <f aca="false">IF($A743="",0,SUMIFS($G$8:$G$1007,$C$8:$C$1007,$C743,$A$8:$A$1007,"&gt;="&amp;$A743-6,$A$8:$A$1007,"&lt;="&amp;$A743))</f>
        <v>0</v>
      </c>
      <c r="I743" s="44" t="n">
        <f aca="false">IF($A743="",0,SUMIFS($G$8:$G$1007,$C$8:$C$1007,$C743,$A$8:$A$1007,"&gt;="&amp;$A743-27,$A$8:$A$1007,"&lt;="&amp;$A743)/4)</f>
        <v>0</v>
      </c>
      <c r="J743" s="144" t="n">
        <f aca="false">IF(OR($A743="",$I743=0),0,$H743/$I743)</f>
        <v>0</v>
      </c>
      <c r="K743" s="40" t="n">
        <f aca="false">IF($A743="",0,$A743-SUMPRODUCT(MIN(($C$8:$C$1007=$C743)*$A$8:$A$1007+($C$8:$C$1007&lt;&gt;$C743)*100000))+1)</f>
        <v>0</v>
      </c>
      <c r="L743" s="26" t="str">
        <f aca="false">IF($A743="","",IF($J743=0,"Sem registro anterior",IF($K743&lt;21,"Histórico insuficiente",IF($J743&lt;0.8,"Subcarga",IF($J743&lt;=1.3,"Zona ideal",IF($J743&lt;=1.5,"Atenção","Risco elevado"))))))</f>
        <v/>
      </c>
      <c r="M743" s="27"/>
    </row>
    <row r="744" customFormat="false" ht="15" hidden="false" customHeight="false" outlineLevel="0" collapsed="false">
      <c r="A744" s="29"/>
      <c r="B744" s="40" t="n">
        <f aca="false">IF($A744="",0,INT(($A744-Macrociclo!$C$11)/7)+1)</f>
        <v>0</v>
      </c>
      <c r="C744" s="27"/>
      <c r="D744" s="27"/>
      <c r="E744" s="28"/>
      <c r="F744" s="28"/>
      <c r="G744" s="44" t="n">
        <f aca="false">IF(OR($E744="",$F744=""),0,$E744*$F744)</f>
        <v>0</v>
      </c>
      <c r="H744" s="44" t="n">
        <f aca="false">IF($A744="",0,SUMIFS($G$8:$G$1007,$C$8:$C$1007,$C744,$A$8:$A$1007,"&gt;="&amp;$A744-6,$A$8:$A$1007,"&lt;="&amp;$A744))</f>
        <v>0</v>
      </c>
      <c r="I744" s="44" t="n">
        <f aca="false">IF($A744="",0,SUMIFS($G$8:$G$1007,$C$8:$C$1007,$C744,$A$8:$A$1007,"&gt;="&amp;$A744-27,$A$8:$A$1007,"&lt;="&amp;$A744)/4)</f>
        <v>0</v>
      </c>
      <c r="J744" s="144" t="n">
        <f aca="false">IF(OR($A744="",$I744=0),0,$H744/$I744)</f>
        <v>0</v>
      </c>
      <c r="K744" s="40" t="n">
        <f aca="false">IF($A744="",0,$A744-SUMPRODUCT(MIN(($C$8:$C$1007=$C744)*$A$8:$A$1007+($C$8:$C$1007&lt;&gt;$C744)*100000))+1)</f>
        <v>0</v>
      </c>
      <c r="L744" s="26" t="str">
        <f aca="false">IF($A744="","",IF($J744=0,"Sem registro anterior",IF($K744&lt;21,"Histórico insuficiente",IF($J744&lt;0.8,"Subcarga",IF($J744&lt;=1.3,"Zona ideal",IF($J744&lt;=1.5,"Atenção","Risco elevado"))))))</f>
        <v/>
      </c>
      <c r="M744" s="27"/>
    </row>
    <row r="745" customFormat="false" ht="15" hidden="false" customHeight="false" outlineLevel="0" collapsed="false">
      <c r="A745" s="29"/>
      <c r="B745" s="40" t="n">
        <f aca="false">IF($A745="",0,INT(($A745-Macrociclo!$C$11)/7)+1)</f>
        <v>0</v>
      </c>
      <c r="C745" s="27"/>
      <c r="D745" s="27"/>
      <c r="E745" s="28"/>
      <c r="F745" s="28"/>
      <c r="G745" s="44" t="n">
        <f aca="false">IF(OR($E745="",$F745=""),0,$E745*$F745)</f>
        <v>0</v>
      </c>
      <c r="H745" s="44" t="n">
        <f aca="false">IF($A745="",0,SUMIFS($G$8:$G$1007,$C$8:$C$1007,$C745,$A$8:$A$1007,"&gt;="&amp;$A745-6,$A$8:$A$1007,"&lt;="&amp;$A745))</f>
        <v>0</v>
      </c>
      <c r="I745" s="44" t="n">
        <f aca="false">IF($A745="",0,SUMIFS($G$8:$G$1007,$C$8:$C$1007,$C745,$A$8:$A$1007,"&gt;="&amp;$A745-27,$A$8:$A$1007,"&lt;="&amp;$A745)/4)</f>
        <v>0</v>
      </c>
      <c r="J745" s="144" t="n">
        <f aca="false">IF(OR($A745="",$I745=0),0,$H745/$I745)</f>
        <v>0</v>
      </c>
      <c r="K745" s="40" t="n">
        <f aca="false">IF($A745="",0,$A745-SUMPRODUCT(MIN(($C$8:$C$1007=$C745)*$A$8:$A$1007+($C$8:$C$1007&lt;&gt;$C745)*100000))+1)</f>
        <v>0</v>
      </c>
      <c r="L745" s="26" t="str">
        <f aca="false">IF($A745="","",IF($J745=0,"Sem registro anterior",IF($K745&lt;21,"Histórico insuficiente",IF($J745&lt;0.8,"Subcarga",IF($J745&lt;=1.3,"Zona ideal",IF($J745&lt;=1.5,"Atenção","Risco elevado"))))))</f>
        <v/>
      </c>
      <c r="M745" s="27"/>
    </row>
    <row r="746" customFormat="false" ht="15" hidden="false" customHeight="false" outlineLevel="0" collapsed="false">
      <c r="A746" s="29"/>
      <c r="B746" s="40" t="n">
        <f aca="false">IF($A746="",0,INT(($A746-Macrociclo!$C$11)/7)+1)</f>
        <v>0</v>
      </c>
      <c r="C746" s="27"/>
      <c r="D746" s="27"/>
      <c r="E746" s="28"/>
      <c r="F746" s="28"/>
      <c r="G746" s="44" t="n">
        <f aca="false">IF(OR($E746="",$F746=""),0,$E746*$F746)</f>
        <v>0</v>
      </c>
      <c r="H746" s="44" t="n">
        <f aca="false">IF($A746="",0,SUMIFS($G$8:$G$1007,$C$8:$C$1007,$C746,$A$8:$A$1007,"&gt;="&amp;$A746-6,$A$8:$A$1007,"&lt;="&amp;$A746))</f>
        <v>0</v>
      </c>
      <c r="I746" s="44" t="n">
        <f aca="false">IF($A746="",0,SUMIFS($G$8:$G$1007,$C$8:$C$1007,$C746,$A$8:$A$1007,"&gt;="&amp;$A746-27,$A$8:$A$1007,"&lt;="&amp;$A746)/4)</f>
        <v>0</v>
      </c>
      <c r="J746" s="144" t="n">
        <f aca="false">IF(OR($A746="",$I746=0),0,$H746/$I746)</f>
        <v>0</v>
      </c>
      <c r="K746" s="40" t="n">
        <f aca="false">IF($A746="",0,$A746-SUMPRODUCT(MIN(($C$8:$C$1007=$C746)*$A$8:$A$1007+($C$8:$C$1007&lt;&gt;$C746)*100000))+1)</f>
        <v>0</v>
      </c>
      <c r="L746" s="26" t="str">
        <f aca="false">IF($A746="","",IF($J746=0,"Sem registro anterior",IF($K746&lt;21,"Histórico insuficiente",IF($J746&lt;0.8,"Subcarga",IF($J746&lt;=1.3,"Zona ideal",IF($J746&lt;=1.5,"Atenção","Risco elevado"))))))</f>
        <v/>
      </c>
      <c r="M746" s="27"/>
    </row>
    <row r="747" customFormat="false" ht="15" hidden="false" customHeight="false" outlineLevel="0" collapsed="false">
      <c r="A747" s="29"/>
      <c r="B747" s="40" t="n">
        <f aca="false">IF($A747="",0,INT(($A747-Macrociclo!$C$11)/7)+1)</f>
        <v>0</v>
      </c>
      <c r="C747" s="27"/>
      <c r="D747" s="27"/>
      <c r="E747" s="28"/>
      <c r="F747" s="28"/>
      <c r="G747" s="44" t="n">
        <f aca="false">IF(OR($E747="",$F747=""),0,$E747*$F747)</f>
        <v>0</v>
      </c>
      <c r="H747" s="44" t="n">
        <f aca="false">IF($A747="",0,SUMIFS($G$8:$G$1007,$C$8:$C$1007,$C747,$A$8:$A$1007,"&gt;="&amp;$A747-6,$A$8:$A$1007,"&lt;="&amp;$A747))</f>
        <v>0</v>
      </c>
      <c r="I747" s="44" t="n">
        <f aca="false">IF($A747="",0,SUMIFS($G$8:$G$1007,$C$8:$C$1007,$C747,$A$8:$A$1007,"&gt;="&amp;$A747-27,$A$8:$A$1007,"&lt;="&amp;$A747)/4)</f>
        <v>0</v>
      </c>
      <c r="J747" s="144" t="n">
        <f aca="false">IF(OR($A747="",$I747=0),0,$H747/$I747)</f>
        <v>0</v>
      </c>
      <c r="K747" s="40" t="n">
        <f aca="false">IF($A747="",0,$A747-SUMPRODUCT(MIN(($C$8:$C$1007=$C747)*$A$8:$A$1007+($C$8:$C$1007&lt;&gt;$C747)*100000))+1)</f>
        <v>0</v>
      </c>
      <c r="L747" s="26" t="str">
        <f aca="false">IF($A747="","",IF($J747=0,"Sem registro anterior",IF($K747&lt;21,"Histórico insuficiente",IF($J747&lt;0.8,"Subcarga",IF($J747&lt;=1.3,"Zona ideal",IF($J747&lt;=1.5,"Atenção","Risco elevado"))))))</f>
        <v/>
      </c>
      <c r="M747" s="27"/>
    </row>
    <row r="748" customFormat="false" ht="15" hidden="false" customHeight="false" outlineLevel="0" collapsed="false">
      <c r="A748" s="29"/>
      <c r="B748" s="40" t="n">
        <f aca="false">IF($A748="",0,INT(($A748-Macrociclo!$C$11)/7)+1)</f>
        <v>0</v>
      </c>
      <c r="C748" s="27"/>
      <c r="D748" s="27"/>
      <c r="E748" s="28"/>
      <c r="F748" s="28"/>
      <c r="G748" s="44" t="n">
        <f aca="false">IF(OR($E748="",$F748=""),0,$E748*$F748)</f>
        <v>0</v>
      </c>
      <c r="H748" s="44" t="n">
        <f aca="false">IF($A748="",0,SUMIFS($G$8:$G$1007,$C$8:$C$1007,$C748,$A$8:$A$1007,"&gt;="&amp;$A748-6,$A$8:$A$1007,"&lt;="&amp;$A748))</f>
        <v>0</v>
      </c>
      <c r="I748" s="44" t="n">
        <f aca="false">IF($A748="",0,SUMIFS($G$8:$G$1007,$C$8:$C$1007,$C748,$A$8:$A$1007,"&gt;="&amp;$A748-27,$A$8:$A$1007,"&lt;="&amp;$A748)/4)</f>
        <v>0</v>
      </c>
      <c r="J748" s="144" t="n">
        <f aca="false">IF(OR($A748="",$I748=0),0,$H748/$I748)</f>
        <v>0</v>
      </c>
      <c r="K748" s="40" t="n">
        <f aca="false">IF($A748="",0,$A748-SUMPRODUCT(MIN(($C$8:$C$1007=$C748)*$A$8:$A$1007+($C$8:$C$1007&lt;&gt;$C748)*100000))+1)</f>
        <v>0</v>
      </c>
      <c r="L748" s="26" t="str">
        <f aca="false">IF($A748="","",IF($J748=0,"Sem registro anterior",IF($K748&lt;21,"Histórico insuficiente",IF($J748&lt;0.8,"Subcarga",IF($J748&lt;=1.3,"Zona ideal",IF($J748&lt;=1.5,"Atenção","Risco elevado"))))))</f>
        <v/>
      </c>
      <c r="M748" s="27"/>
    </row>
    <row r="749" customFormat="false" ht="15" hidden="false" customHeight="false" outlineLevel="0" collapsed="false">
      <c r="A749" s="29"/>
      <c r="B749" s="40" t="n">
        <f aca="false">IF($A749="",0,INT(($A749-Macrociclo!$C$11)/7)+1)</f>
        <v>0</v>
      </c>
      <c r="C749" s="27"/>
      <c r="D749" s="27"/>
      <c r="E749" s="28"/>
      <c r="F749" s="28"/>
      <c r="G749" s="44" t="n">
        <f aca="false">IF(OR($E749="",$F749=""),0,$E749*$F749)</f>
        <v>0</v>
      </c>
      <c r="H749" s="44" t="n">
        <f aca="false">IF($A749="",0,SUMIFS($G$8:$G$1007,$C$8:$C$1007,$C749,$A$8:$A$1007,"&gt;="&amp;$A749-6,$A$8:$A$1007,"&lt;="&amp;$A749))</f>
        <v>0</v>
      </c>
      <c r="I749" s="44" t="n">
        <f aca="false">IF($A749="",0,SUMIFS($G$8:$G$1007,$C$8:$C$1007,$C749,$A$8:$A$1007,"&gt;="&amp;$A749-27,$A$8:$A$1007,"&lt;="&amp;$A749)/4)</f>
        <v>0</v>
      </c>
      <c r="J749" s="144" t="n">
        <f aca="false">IF(OR($A749="",$I749=0),0,$H749/$I749)</f>
        <v>0</v>
      </c>
      <c r="K749" s="40" t="n">
        <f aca="false">IF($A749="",0,$A749-SUMPRODUCT(MIN(($C$8:$C$1007=$C749)*$A$8:$A$1007+($C$8:$C$1007&lt;&gt;$C749)*100000))+1)</f>
        <v>0</v>
      </c>
      <c r="L749" s="26" t="str">
        <f aca="false">IF($A749="","",IF($J749=0,"Sem registro anterior",IF($K749&lt;21,"Histórico insuficiente",IF($J749&lt;0.8,"Subcarga",IF($J749&lt;=1.3,"Zona ideal",IF($J749&lt;=1.5,"Atenção","Risco elevado"))))))</f>
        <v/>
      </c>
      <c r="M749" s="27"/>
    </row>
    <row r="750" customFormat="false" ht="15" hidden="false" customHeight="false" outlineLevel="0" collapsed="false">
      <c r="A750" s="29"/>
      <c r="B750" s="40" t="n">
        <f aca="false">IF($A750="",0,INT(($A750-Macrociclo!$C$11)/7)+1)</f>
        <v>0</v>
      </c>
      <c r="C750" s="27"/>
      <c r="D750" s="27"/>
      <c r="E750" s="28"/>
      <c r="F750" s="28"/>
      <c r="G750" s="44" t="n">
        <f aca="false">IF(OR($E750="",$F750=""),0,$E750*$F750)</f>
        <v>0</v>
      </c>
      <c r="H750" s="44" t="n">
        <f aca="false">IF($A750="",0,SUMIFS($G$8:$G$1007,$C$8:$C$1007,$C750,$A$8:$A$1007,"&gt;="&amp;$A750-6,$A$8:$A$1007,"&lt;="&amp;$A750))</f>
        <v>0</v>
      </c>
      <c r="I750" s="44" t="n">
        <f aca="false">IF($A750="",0,SUMIFS($G$8:$G$1007,$C$8:$C$1007,$C750,$A$8:$A$1007,"&gt;="&amp;$A750-27,$A$8:$A$1007,"&lt;="&amp;$A750)/4)</f>
        <v>0</v>
      </c>
      <c r="J750" s="144" t="n">
        <f aca="false">IF(OR($A750="",$I750=0),0,$H750/$I750)</f>
        <v>0</v>
      </c>
      <c r="K750" s="40" t="n">
        <f aca="false">IF($A750="",0,$A750-SUMPRODUCT(MIN(($C$8:$C$1007=$C750)*$A$8:$A$1007+($C$8:$C$1007&lt;&gt;$C750)*100000))+1)</f>
        <v>0</v>
      </c>
      <c r="L750" s="26" t="str">
        <f aca="false">IF($A750="","",IF($J750=0,"Sem registro anterior",IF($K750&lt;21,"Histórico insuficiente",IF($J750&lt;0.8,"Subcarga",IF($J750&lt;=1.3,"Zona ideal",IF($J750&lt;=1.5,"Atenção","Risco elevado"))))))</f>
        <v/>
      </c>
      <c r="M750" s="27"/>
    </row>
    <row r="751" customFormat="false" ht="15" hidden="false" customHeight="false" outlineLevel="0" collapsed="false">
      <c r="A751" s="29"/>
      <c r="B751" s="40" t="n">
        <f aca="false">IF($A751="",0,INT(($A751-Macrociclo!$C$11)/7)+1)</f>
        <v>0</v>
      </c>
      <c r="C751" s="27"/>
      <c r="D751" s="27"/>
      <c r="E751" s="28"/>
      <c r="F751" s="28"/>
      <c r="G751" s="44" t="n">
        <f aca="false">IF(OR($E751="",$F751=""),0,$E751*$F751)</f>
        <v>0</v>
      </c>
      <c r="H751" s="44" t="n">
        <f aca="false">IF($A751="",0,SUMIFS($G$8:$G$1007,$C$8:$C$1007,$C751,$A$8:$A$1007,"&gt;="&amp;$A751-6,$A$8:$A$1007,"&lt;="&amp;$A751))</f>
        <v>0</v>
      </c>
      <c r="I751" s="44" t="n">
        <f aca="false">IF($A751="",0,SUMIFS($G$8:$G$1007,$C$8:$C$1007,$C751,$A$8:$A$1007,"&gt;="&amp;$A751-27,$A$8:$A$1007,"&lt;="&amp;$A751)/4)</f>
        <v>0</v>
      </c>
      <c r="J751" s="144" t="n">
        <f aca="false">IF(OR($A751="",$I751=0),0,$H751/$I751)</f>
        <v>0</v>
      </c>
      <c r="K751" s="40" t="n">
        <f aca="false">IF($A751="",0,$A751-SUMPRODUCT(MIN(($C$8:$C$1007=$C751)*$A$8:$A$1007+($C$8:$C$1007&lt;&gt;$C751)*100000))+1)</f>
        <v>0</v>
      </c>
      <c r="L751" s="26" t="str">
        <f aca="false">IF($A751="","",IF($J751=0,"Sem registro anterior",IF($K751&lt;21,"Histórico insuficiente",IF($J751&lt;0.8,"Subcarga",IF($J751&lt;=1.3,"Zona ideal",IF($J751&lt;=1.5,"Atenção","Risco elevado"))))))</f>
        <v/>
      </c>
      <c r="M751" s="27"/>
    </row>
    <row r="752" customFormat="false" ht="15" hidden="false" customHeight="false" outlineLevel="0" collapsed="false">
      <c r="A752" s="29"/>
      <c r="B752" s="40" t="n">
        <f aca="false">IF($A752="",0,INT(($A752-Macrociclo!$C$11)/7)+1)</f>
        <v>0</v>
      </c>
      <c r="C752" s="27"/>
      <c r="D752" s="27"/>
      <c r="E752" s="28"/>
      <c r="F752" s="28"/>
      <c r="G752" s="44" t="n">
        <f aca="false">IF(OR($E752="",$F752=""),0,$E752*$F752)</f>
        <v>0</v>
      </c>
      <c r="H752" s="44" t="n">
        <f aca="false">IF($A752="",0,SUMIFS($G$8:$G$1007,$C$8:$C$1007,$C752,$A$8:$A$1007,"&gt;="&amp;$A752-6,$A$8:$A$1007,"&lt;="&amp;$A752))</f>
        <v>0</v>
      </c>
      <c r="I752" s="44" t="n">
        <f aca="false">IF($A752="",0,SUMIFS($G$8:$G$1007,$C$8:$C$1007,$C752,$A$8:$A$1007,"&gt;="&amp;$A752-27,$A$8:$A$1007,"&lt;="&amp;$A752)/4)</f>
        <v>0</v>
      </c>
      <c r="J752" s="144" t="n">
        <f aca="false">IF(OR($A752="",$I752=0),0,$H752/$I752)</f>
        <v>0</v>
      </c>
      <c r="K752" s="40" t="n">
        <f aca="false">IF($A752="",0,$A752-SUMPRODUCT(MIN(($C$8:$C$1007=$C752)*$A$8:$A$1007+($C$8:$C$1007&lt;&gt;$C752)*100000))+1)</f>
        <v>0</v>
      </c>
      <c r="L752" s="26" t="str">
        <f aca="false">IF($A752="","",IF($J752=0,"Sem registro anterior",IF($K752&lt;21,"Histórico insuficiente",IF($J752&lt;0.8,"Subcarga",IF($J752&lt;=1.3,"Zona ideal",IF($J752&lt;=1.5,"Atenção","Risco elevado"))))))</f>
        <v/>
      </c>
      <c r="M752" s="27"/>
    </row>
    <row r="753" customFormat="false" ht="15" hidden="false" customHeight="false" outlineLevel="0" collapsed="false">
      <c r="A753" s="29"/>
      <c r="B753" s="40" t="n">
        <f aca="false">IF($A753="",0,INT(($A753-Macrociclo!$C$11)/7)+1)</f>
        <v>0</v>
      </c>
      <c r="C753" s="27"/>
      <c r="D753" s="27"/>
      <c r="E753" s="28"/>
      <c r="F753" s="28"/>
      <c r="G753" s="44" t="n">
        <f aca="false">IF(OR($E753="",$F753=""),0,$E753*$F753)</f>
        <v>0</v>
      </c>
      <c r="H753" s="44" t="n">
        <f aca="false">IF($A753="",0,SUMIFS($G$8:$G$1007,$C$8:$C$1007,$C753,$A$8:$A$1007,"&gt;="&amp;$A753-6,$A$8:$A$1007,"&lt;="&amp;$A753))</f>
        <v>0</v>
      </c>
      <c r="I753" s="44" t="n">
        <f aca="false">IF($A753="",0,SUMIFS($G$8:$G$1007,$C$8:$C$1007,$C753,$A$8:$A$1007,"&gt;="&amp;$A753-27,$A$8:$A$1007,"&lt;="&amp;$A753)/4)</f>
        <v>0</v>
      </c>
      <c r="J753" s="144" t="n">
        <f aca="false">IF(OR($A753="",$I753=0),0,$H753/$I753)</f>
        <v>0</v>
      </c>
      <c r="K753" s="40" t="n">
        <f aca="false">IF($A753="",0,$A753-SUMPRODUCT(MIN(($C$8:$C$1007=$C753)*$A$8:$A$1007+($C$8:$C$1007&lt;&gt;$C753)*100000))+1)</f>
        <v>0</v>
      </c>
      <c r="L753" s="26" t="str">
        <f aca="false">IF($A753="","",IF($J753=0,"Sem registro anterior",IF($K753&lt;21,"Histórico insuficiente",IF($J753&lt;0.8,"Subcarga",IF($J753&lt;=1.3,"Zona ideal",IF($J753&lt;=1.5,"Atenção","Risco elevado"))))))</f>
        <v/>
      </c>
      <c r="M753" s="27"/>
    </row>
    <row r="754" customFormat="false" ht="15" hidden="false" customHeight="false" outlineLevel="0" collapsed="false">
      <c r="A754" s="29"/>
      <c r="B754" s="40" t="n">
        <f aca="false">IF($A754="",0,INT(($A754-Macrociclo!$C$11)/7)+1)</f>
        <v>0</v>
      </c>
      <c r="C754" s="27"/>
      <c r="D754" s="27"/>
      <c r="E754" s="28"/>
      <c r="F754" s="28"/>
      <c r="G754" s="44" t="n">
        <f aca="false">IF(OR($E754="",$F754=""),0,$E754*$F754)</f>
        <v>0</v>
      </c>
      <c r="H754" s="44" t="n">
        <f aca="false">IF($A754="",0,SUMIFS($G$8:$G$1007,$C$8:$C$1007,$C754,$A$8:$A$1007,"&gt;="&amp;$A754-6,$A$8:$A$1007,"&lt;="&amp;$A754))</f>
        <v>0</v>
      </c>
      <c r="I754" s="44" t="n">
        <f aca="false">IF($A754="",0,SUMIFS($G$8:$G$1007,$C$8:$C$1007,$C754,$A$8:$A$1007,"&gt;="&amp;$A754-27,$A$8:$A$1007,"&lt;="&amp;$A754)/4)</f>
        <v>0</v>
      </c>
      <c r="J754" s="144" t="n">
        <f aca="false">IF(OR($A754="",$I754=0),0,$H754/$I754)</f>
        <v>0</v>
      </c>
      <c r="K754" s="40" t="n">
        <f aca="false">IF($A754="",0,$A754-SUMPRODUCT(MIN(($C$8:$C$1007=$C754)*$A$8:$A$1007+($C$8:$C$1007&lt;&gt;$C754)*100000))+1)</f>
        <v>0</v>
      </c>
      <c r="L754" s="26" t="str">
        <f aca="false">IF($A754="","",IF($J754=0,"Sem registro anterior",IF($K754&lt;21,"Histórico insuficiente",IF($J754&lt;0.8,"Subcarga",IF($J754&lt;=1.3,"Zona ideal",IF($J754&lt;=1.5,"Atenção","Risco elevado"))))))</f>
        <v/>
      </c>
      <c r="M754" s="27"/>
    </row>
    <row r="755" customFormat="false" ht="15" hidden="false" customHeight="false" outlineLevel="0" collapsed="false">
      <c r="A755" s="29"/>
      <c r="B755" s="40" t="n">
        <f aca="false">IF($A755="",0,INT(($A755-Macrociclo!$C$11)/7)+1)</f>
        <v>0</v>
      </c>
      <c r="C755" s="27"/>
      <c r="D755" s="27"/>
      <c r="E755" s="28"/>
      <c r="F755" s="28"/>
      <c r="G755" s="44" t="n">
        <f aca="false">IF(OR($E755="",$F755=""),0,$E755*$F755)</f>
        <v>0</v>
      </c>
      <c r="H755" s="44" t="n">
        <f aca="false">IF($A755="",0,SUMIFS($G$8:$G$1007,$C$8:$C$1007,$C755,$A$8:$A$1007,"&gt;="&amp;$A755-6,$A$8:$A$1007,"&lt;="&amp;$A755))</f>
        <v>0</v>
      </c>
      <c r="I755" s="44" t="n">
        <f aca="false">IF($A755="",0,SUMIFS($G$8:$G$1007,$C$8:$C$1007,$C755,$A$8:$A$1007,"&gt;="&amp;$A755-27,$A$8:$A$1007,"&lt;="&amp;$A755)/4)</f>
        <v>0</v>
      </c>
      <c r="J755" s="144" t="n">
        <f aca="false">IF(OR($A755="",$I755=0),0,$H755/$I755)</f>
        <v>0</v>
      </c>
      <c r="K755" s="40" t="n">
        <f aca="false">IF($A755="",0,$A755-SUMPRODUCT(MIN(($C$8:$C$1007=$C755)*$A$8:$A$1007+($C$8:$C$1007&lt;&gt;$C755)*100000))+1)</f>
        <v>0</v>
      </c>
      <c r="L755" s="26" t="str">
        <f aca="false">IF($A755="","",IF($J755=0,"Sem registro anterior",IF($K755&lt;21,"Histórico insuficiente",IF($J755&lt;0.8,"Subcarga",IF($J755&lt;=1.3,"Zona ideal",IF($J755&lt;=1.5,"Atenção","Risco elevado"))))))</f>
        <v/>
      </c>
      <c r="M755" s="27"/>
    </row>
    <row r="756" customFormat="false" ht="15" hidden="false" customHeight="false" outlineLevel="0" collapsed="false">
      <c r="A756" s="29"/>
      <c r="B756" s="40" t="n">
        <f aca="false">IF($A756="",0,INT(($A756-Macrociclo!$C$11)/7)+1)</f>
        <v>0</v>
      </c>
      <c r="C756" s="27"/>
      <c r="D756" s="27"/>
      <c r="E756" s="28"/>
      <c r="F756" s="28"/>
      <c r="G756" s="44" t="n">
        <f aca="false">IF(OR($E756="",$F756=""),0,$E756*$F756)</f>
        <v>0</v>
      </c>
      <c r="H756" s="44" t="n">
        <f aca="false">IF($A756="",0,SUMIFS($G$8:$G$1007,$C$8:$C$1007,$C756,$A$8:$A$1007,"&gt;="&amp;$A756-6,$A$8:$A$1007,"&lt;="&amp;$A756))</f>
        <v>0</v>
      </c>
      <c r="I756" s="44" t="n">
        <f aca="false">IF($A756="",0,SUMIFS($G$8:$G$1007,$C$8:$C$1007,$C756,$A$8:$A$1007,"&gt;="&amp;$A756-27,$A$8:$A$1007,"&lt;="&amp;$A756)/4)</f>
        <v>0</v>
      </c>
      <c r="J756" s="144" t="n">
        <f aca="false">IF(OR($A756="",$I756=0),0,$H756/$I756)</f>
        <v>0</v>
      </c>
      <c r="K756" s="40" t="n">
        <f aca="false">IF($A756="",0,$A756-SUMPRODUCT(MIN(($C$8:$C$1007=$C756)*$A$8:$A$1007+($C$8:$C$1007&lt;&gt;$C756)*100000))+1)</f>
        <v>0</v>
      </c>
      <c r="L756" s="26" t="str">
        <f aca="false">IF($A756="","",IF($J756=0,"Sem registro anterior",IF($K756&lt;21,"Histórico insuficiente",IF($J756&lt;0.8,"Subcarga",IF($J756&lt;=1.3,"Zona ideal",IF($J756&lt;=1.5,"Atenção","Risco elevado"))))))</f>
        <v/>
      </c>
      <c r="M756" s="27"/>
    </row>
    <row r="757" customFormat="false" ht="15" hidden="false" customHeight="false" outlineLevel="0" collapsed="false">
      <c r="A757" s="29"/>
      <c r="B757" s="40" t="n">
        <f aca="false">IF($A757="",0,INT(($A757-Macrociclo!$C$11)/7)+1)</f>
        <v>0</v>
      </c>
      <c r="C757" s="27"/>
      <c r="D757" s="27"/>
      <c r="E757" s="28"/>
      <c r="F757" s="28"/>
      <c r="G757" s="44" t="n">
        <f aca="false">IF(OR($E757="",$F757=""),0,$E757*$F757)</f>
        <v>0</v>
      </c>
      <c r="H757" s="44" t="n">
        <f aca="false">IF($A757="",0,SUMIFS($G$8:$G$1007,$C$8:$C$1007,$C757,$A$8:$A$1007,"&gt;="&amp;$A757-6,$A$8:$A$1007,"&lt;="&amp;$A757))</f>
        <v>0</v>
      </c>
      <c r="I757" s="44" t="n">
        <f aca="false">IF($A757="",0,SUMIFS($G$8:$G$1007,$C$8:$C$1007,$C757,$A$8:$A$1007,"&gt;="&amp;$A757-27,$A$8:$A$1007,"&lt;="&amp;$A757)/4)</f>
        <v>0</v>
      </c>
      <c r="J757" s="144" t="n">
        <f aca="false">IF(OR($A757="",$I757=0),0,$H757/$I757)</f>
        <v>0</v>
      </c>
      <c r="K757" s="40" t="n">
        <f aca="false">IF($A757="",0,$A757-SUMPRODUCT(MIN(($C$8:$C$1007=$C757)*$A$8:$A$1007+($C$8:$C$1007&lt;&gt;$C757)*100000))+1)</f>
        <v>0</v>
      </c>
      <c r="L757" s="26" t="str">
        <f aca="false">IF($A757="","",IF($J757=0,"Sem registro anterior",IF($K757&lt;21,"Histórico insuficiente",IF($J757&lt;0.8,"Subcarga",IF($J757&lt;=1.3,"Zona ideal",IF($J757&lt;=1.5,"Atenção","Risco elevado"))))))</f>
        <v/>
      </c>
      <c r="M757" s="27"/>
    </row>
    <row r="758" customFormat="false" ht="15" hidden="false" customHeight="false" outlineLevel="0" collapsed="false">
      <c r="A758" s="29"/>
      <c r="B758" s="40" t="n">
        <f aca="false">IF($A758="",0,INT(($A758-Macrociclo!$C$11)/7)+1)</f>
        <v>0</v>
      </c>
      <c r="C758" s="27"/>
      <c r="D758" s="27"/>
      <c r="E758" s="28"/>
      <c r="F758" s="28"/>
      <c r="G758" s="44" t="n">
        <f aca="false">IF(OR($E758="",$F758=""),0,$E758*$F758)</f>
        <v>0</v>
      </c>
      <c r="H758" s="44" t="n">
        <f aca="false">IF($A758="",0,SUMIFS($G$8:$G$1007,$C$8:$C$1007,$C758,$A$8:$A$1007,"&gt;="&amp;$A758-6,$A$8:$A$1007,"&lt;="&amp;$A758))</f>
        <v>0</v>
      </c>
      <c r="I758" s="44" t="n">
        <f aca="false">IF($A758="",0,SUMIFS($G$8:$G$1007,$C$8:$C$1007,$C758,$A$8:$A$1007,"&gt;="&amp;$A758-27,$A$8:$A$1007,"&lt;="&amp;$A758)/4)</f>
        <v>0</v>
      </c>
      <c r="J758" s="144" t="n">
        <f aca="false">IF(OR($A758="",$I758=0),0,$H758/$I758)</f>
        <v>0</v>
      </c>
      <c r="K758" s="40" t="n">
        <f aca="false">IF($A758="",0,$A758-SUMPRODUCT(MIN(($C$8:$C$1007=$C758)*$A$8:$A$1007+($C$8:$C$1007&lt;&gt;$C758)*100000))+1)</f>
        <v>0</v>
      </c>
      <c r="L758" s="26" t="str">
        <f aca="false">IF($A758="","",IF($J758=0,"Sem registro anterior",IF($K758&lt;21,"Histórico insuficiente",IF($J758&lt;0.8,"Subcarga",IF($J758&lt;=1.3,"Zona ideal",IF($J758&lt;=1.5,"Atenção","Risco elevado"))))))</f>
        <v/>
      </c>
      <c r="M758" s="27"/>
    </row>
    <row r="759" customFormat="false" ht="15" hidden="false" customHeight="false" outlineLevel="0" collapsed="false">
      <c r="A759" s="29"/>
      <c r="B759" s="40" t="n">
        <f aca="false">IF($A759="",0,INT(($A759-Macrociclo!$C$11)/7)+1)</f>
        <v>0</v>
      </c>
      <c r="C759" s="27"/>
      <c r="D759" s="27"/>
      <c r="E759" s="28"/>
      <c r="F759" s="28"/>
      <c r="G759" s="44" t="n">
        <f aca="false">IF(OR($E759="",$F759=""),0,$E759*$F759)</f>
        <v>0</v>
      </c>
      <c r="H759" s="44" t="n">
        <f aca="false">IF($A759="",0,SUMIFS($G$8:$G$1007,$C$8:$C$1007,$C759,$A$8:$A$1007,"&gt;="&amp;$A759-6,$A$8:$A$1007,"&lt;="&amp;$A759))</f>
        <v>0</v>
      </c>
      <c r="I759" s="44" t="n">
        <f aca="false">IF($A759="",0,SUMIFS($G$8:$G$1007,$C$8:$C$1007,$C759,$A$8:$A$1007,"&gt;="&amp;$A759-27,$A$8:$A$1007,"&lt;="&amp;$A759)/4)</f>
        <v>0</v>
      </c>
      <c r="J759" s="144" t="n">
        <f aca="false">IF(OR($A759="",$I759=0),0,$H759/$I759)</f>
        <v>0</v>
      </c>
      <c r="K759" s="40" t="n">
        <f aca="false">IF($A759="",0,$A759-SUMPRODUCT(MIN(($C$8:$C$1007=$C759)*$A$8:$A$1007+($C$8:$C$1007&lt;&gt;$C759)*100000))+1)</f>
        <v>0</v>
      </c>
      <c r="L759" s="26" t="str">
        <f aca="false">IF($A759="","",IF($J759=0,"Sem registro anterior",IF($K759&lt;21,"Histórico insuficiente",IF($J759&lt;0.8,"Subcarga",IF($J759&lt;=1.3,"Zona ideal",IF($J759&lt;=1.5,"Atenção","Risco elevado"))))))</f>
        <v/>
      </c>
      <c r="M759" s="27"/>
    </row>
    <row r="760" customFormat="false" ht="15" hidden="false" customHeight="false" outlineLevel="0" collapsed="false">
      <c r="A760" s="29"/>
      <c r="B760" s="40" t="n">
        <f aca="false">IF($A760="",0,INT(($A760-Macrociclo!$C$11)/7)+1)</f>
        <v>0</v>
      </c>
      <c r="C760" s="27"/>
      <c r="D760" s="27"/>
      <c r="E760" s="28"/>
      <c r="F760" s="28"/>
      <c r="G760" s="44" t="n">
        <f aca="false">IF(OR($E760="",$F760=""),0,$E760*$F760)</f>
        <v>0</v>
      </c>
      <c r="H760" s="44" t="n">
        <f aca="false">IF($A760="",0,SUMIFS($G$8:$G$1007,$C$8:$C$1007,$C760,$A$8:$A$1007,"&gt;="&amp;$A760-6,$A$8:$A$1007,"&lt;="&amp;$A760))</f>
        <v>0</v>
      </c>
      <c r="I760" s="44" t="n">
        <f aca="false">IF($A760="",0,SUMIFS($G$8:$G$1007,$C$8:$C$1007,$C760,$A$8:$A$1007,"&gt;="&amp;$A760-27,$A$8:$A$1007,"&lt;="&amp;$A760)/4)</f>
        <v>0</v>
      </c>
      <c r="J760" s="144" t="n">
        <f aca="false">IF(OR($A760="",$I760=0),0,$H760/$I760)</f>
        <v>0</v>
      </c>
      <c r="K760" s="40" t="n">
        <f aca="false">IF($A760="",0,$A760-SUMPRODUCT(MIN(($C$8:$C$1007=$C760)*$A$8:$A$1007+($C$8:$C$1007&lt;&gt;$C760)*100000))+1)</f>
        <v>0</v>
      </c>
      <c r="L760" s="26" t="str">
        <f aca="false">IF($A760="","",IF($J760=0,"Sem registro anterior",IF($K760&lt;21,"Histórico insuficiente",IF($J760&lt;0.8,"Subcarga",IF($J760&lt;=1.3,"Zona ideal",IF($J760&lt;=1.5,"Atenção","Risco elevado"))))))</f>
        <v/>
      </c>
      <c r="M760" s="27"/>
    </row>
    <row r="761" customFormat="false" ht="15" hidden="false" customHeight="false" outlineLevel="0" collapsed="false">
      <c r="A761" s="29"/>
      <c r="B761" s="40" t="n">
        <f aca="false">IF($A761="",0,INT(($A761-Macrociclo!$C$11)/7)+1)</f>
        <v>0</v>
      </c>
      <c r="C761" s="27"/>
      <c r="D761" s="27"/>
      <c r="E761" s="28"/>
      <c r="F761" s="28"/>
      <c r="G761" s="44" t="n">
        <f aca="false">IF(OR($E761="",$F761=""),0,$E761*$F761)</f>
        <v>0</v>
      </c>
      <c r="H761" s="44" t="n">
        <f aca="false">IF($A761="",0,SUMIFS($G$8:$G$1007,$C$8:$C$1007,$C761,$A$8:$A$1007,"&gt;="&amp;$A761-6,$A$8:$A$1007,"&lt;="&amp;$A761))</f>
        <v>0</v>
      </c>
      <c r="I761" s="44" t="n">
        <f aca="false">IF($A761="",0,SUMIFS($G$8:$G$1007,$C$8:$C$1007,$C761,$A$8:$A$1007,"&gt;="&amp;$A761-27,$A$8:$A$1007,"&lt;="&amp;$A761)/4)</f>
        <v>0</v>
      </c>
      <c r="J761" s="144" t="n">
        <f aca="false">IF(OR($A761="",$I761=0),0,$H761/$I761)</f>
        <v>0</v>
      </c>
      <c r="K761" s="40" t="n">
        <f aca="false">IF($A761="",0,$A761-SUMPRODUCT(MIN(($C$8:$C$1007=$C761)*$A$8:$A$1007+($C$8:$C$1007&lt;&gt;$C761)*100000))+1)</f>
        <v>0</v>
      </c>
      <c r="L761" s="26" t="str">
        <f aca="false">IF($A761="","",IF($J761=0,"Sem registro anterior",IF($K761&lt;21,"Histórico insuficiente",IF($J761&lt;0.8,"Subcarga",IF($J761&lt;=1.3,"Zona ideal",IF($J761&lt;=1.5,"Atenção","Risco elevado"))))))</f>
        <v/>
      </c>
      <c r="M761" s="27"/>
    </row>
    <row r="762" customFormat="false" ht="15" hidden="false" customHeight="false" outlineLevel="0" collapsed="false">
      <c r="A762" s="29"/>
      <c r="B762" s="40" t="n">
        <f aca="false">IF($A762="",0,INT(($A762-Macrociclo!$C$11)/7)+1)</f>
        <v>0</v>
      </c>
      <c r="C762" s="27"/>
      <c r="D762" s="27"/>
      <c r="E762" s="28"/>
      <c r="F762" s="28"/>
      <c r="G762" s="44" t="n">
        <f aca="false">IF(OR($E762="",$F762=""),0,$E762*$F762)</f>
        <v>0</v>
      </c>
      <c r="H762" s="44" t="n">
        <f aca="false">IF($A762="",0,SUMIFS($G$8:$G$1007,$C$8:$C$1007,$C762,$A$8:$A$1007,"&gt;="&amp;$A762-6,$A$8:$A$1007,"&lt;="&amp;$A762))</f>
        <v>0</v>
      </c>
      <c r="I762" s="44" t="n">
        <f aca="false">IF($A762="",0,SUMIFS($G$8:$G$1007,$C$8:$C$1007,$C762,$A$8:$A$1007,"&gt;="&amp;$A762-27,$A$8:$A$1007,"&lt;="&amp;$A762)/4)</f>
        <v>0</v>
      </c>
      <c r="J762" s="144" t="n">
        <f aca="false">IF(OR($A762="",$I762=0),0,$H762/$I762)</f>
        <v>0</v>
      </c>
      <c r="K762" s="40" t="n">
        <f aca="false">IF($A762="",0,$A762-SUMPRODUCT(MIN(($C$8:$C$1007=$C762)*$A$8:$A$1007+($C$8:$C$1007&lt;&gt;$C762)*100000))+1)</f>
        <v>0</v>
      </c>
      <c r="L762" s="26" t="str">
        <f aca="false">IF($A762="","",IF($J762=0,"Sem registro anterior",IF($K762&lt;21,"Histórico insuficiente",IF($J762&lt;0.8,"Subcarga",IF($J762&lt;=1.3,"Zona ideal",IF($J762&lt;=1.5,"Atenção","Risco elevado"))))))</f>
        <v/>
      </c>
      <c r="M762" s="27"/>
    </row>
    <row r="763" customFormat="false" ht="15" hidden="false" customHeight="false" outlineLevel="0" collapsed="false">
      <c r="A763" s="29"/>
      <c r="B763" s="40" t="n">
        <f aca="false">IF($A763="",0,INT(($A763-Macrociclo!$C$11)/7)+1)</f>
        <v>0</v>
      </c>
      <c r="C763" s="27"/>
      <c r="D763" s="27"/>
      <c r="E763" s="28"/>
      <c r="F763" s="28"/>
      <c r="G763" s="44" t="n">
        <f aca="false">IF(OR($E763="",$F763=""),0,$E763*$F763)</f>
        <v>0</v>
      </c>
      <c r="H763" s="44" t="n">
        <f aca="false">IF($A763="",0,SUMIFS($G$8:$G$1007,$C$8:$C$1007,$C763,$A$8:$A$1007,"&gt;="&amp;$A763-6,$A$8:$A$1007,"&lt;="&amp;$A763))</f>
        <v>0</v>
      </c>
      <c r="I763" s="44" t="n">
        <f aca="false">IF($A763="",0,SUMIFS($G$8:$G$1007,$C$8:$C$1007,$C763,$A$8:$A$1007,"&gt;="&amp;$A763-27,$A$8:$A$1007,"&lt;="&amp;$A763)/4)</f>
        <v>0</v>
      </c>
      <c r="J763" s="144" t="n">
        <f aca="false">IF(OR($A763="",$I763=0),0,$H763/$I763)</f>
        <v>0</v>
      </c>
      <c r="K763" s="40" t="n">
        <f aca="false">IF($A763="",0,$A763-SUMPRODUCT(MIN(($C$8:$C$1007=$C763)*$A$8:$A$1007+($C$8:$C$1007&lt;&gt;$C763)*100000))+1)</f>
        <v>0</v>
      </c>
      <c r="L763" s="26" t="str">
        <f aca="false">IF($A763="","",IF($J763=0,"Sem registro anterior",IF($K763&lt;21,"Histórico insuficiente",IF($J763&lt;0.8,"Subcarga",IF($J763&lt;=1.3,"Zona ideal",IF($J763&lt;=1.5,"Atenção","Risco elevado"))))))</f>
        <v/>
      </c>
      <c r="M763" s="27"/>
    </row>
    <row r="764" customFormat="false" ht="15" hidden="false" customHeight="false" outlineLevel="0" collapsed="false">
      <c r="A764" s="29"/>
      <c r="B764" s="40" t="n">
        <f aca="false">IF($A764="",0,INT(($A764-Macrociclo!$C$11)/7)+1)</f>
        <v>0</v>
      </c>
      <c r="C764" s="27"/>
      <c r="D764" s="27"/>
      <c r="E764" s="28"/>
      <c r="F764" s="28"/>
      <c r="G764" s="44" t="n">
        <f aca="false">IF(OR($E764="",$F764=""),0,$E764*$F764)</f>
        <v>0</v>
      </c>
      <c r="H764" s="44" t="n">
        <f aca="false">IF($A764="",0,SUMIFS($G$8:$G$1007,$C$8:$C$1007,$C764,$A$8:$A$1007,"&gt;="&amp;$A764-6,$A$8:$A$1007,"&lt;="&amp;$A764))</f>
        <v>0</v>
      </c>
      <c r="I764" s="44" t="n">
        <f aca="false">IF($A764="",0,SUMIFS($G$8:$G$1007,$C$8:$C$1007,$C764,$A$8:$A$1007,"&gt;="&amp;$A764-27,$A$8:$A$1007,"&lt;="&amp;$A764)/4)</f>
        <v>0</v>
      </c>
      <c r="J764" s="144" t="n">
        <f aca="false">IF(OR($A764="",$I764=0),0,$H764/$I764)</f>
        <v>0</v>
      </c>
      <c r="K764" s="40" t="n">
        <f aca="false">IF($A764="",0,$A764-SUMPRODUCT(MIN(($C$8:$C$1007=$C764)*$A$8:$A$1007+($C$8:$C$1007&lt;&gt;$C764)*100000))+1)</f>
        <v>0</v>
      </c>
      <c r="L764" s="26" t="str">
        <f aca="false">IF($A764="","",IF($J764=0,"Sem registro anterior",IF($K764&lt;21,"Histórico insuficiente",IF($J764&lt;0.8,"Subcarga",IF($J764&lt;=1.3,"Zona ideal",IF($J764&lt;=1.5,"Atenção","Risco elevado"))))))</f>
        <v/>
      </c>
      <c r="M764" s="27"/>
    </row>
    <row r="765" customFormat="false" ht="15" hidden="false" customHeight="false" outlineLevel="0" collapsed="false">
      <c r="A765" s="29"/>
      <c r="B765" s="40" t="n">
        <f aca="false">IF($A765="",0,INT(($A765-Macrociclo!$C$11)/7)+1)</f>
        <v>0</v>
      </c>
      <c r="C765" s="27"/>
      <c r="D765" s="27"/>
      <c r="E765" s="28"/>
      <c r="F765" s="28"/>
      <c r="G765" s="44" t="n">
        <f aca="false">IF(OR($E765="",$F765=""),0,$E765*$F765)</f>
        <v>0</v>
      </c>
      <c r="H765" s="44" t="n">
        <f aca="false">IF($A765="",0,SUMIFS($G$8:$G$1007,$C$8:$C$1007,$C765,$A$8:$A$1007,"&gt;="&amp;$A765-6,$A$8:$A$1007,"&lt;="&amp;$A765))</f>
        <v>0</v>
      </c>
      <c r="I765" s="44" t="n">
        <f aca="false">IF($A765="",0,SUMIFS($G$8:$G$1007,$C$8:$C$1007,$C765,$A$8:$A$1007,"&gt;="&amp;$A765-27,$A$8:$A$1007,"&lt;="&amp;$A765)/4)</f>
        <v>0</v>
      </c>
      <c r="J765" s="144" t="n">
        <f aca="false">IF(OR($A765="",$I765=0),0,$H765/$I765)</f>
        <v>0</v>
      </c>
      <c r="K765" s="40" t="n">
        <f aca="false">IF($A765="",0,$A765-SUMPRODUCT(MIN(($C$8:$C$1007=$C765)*$A$8:$A$1007+($C$8:$C$1007&lt;&gt;$C765)*100000))+1)</f>
        <v>0</v>
      </c>
      <c r="L765" s="26" t="str">
        <f aca="false">IF($A765="","",IF($J765=0,"Sem registro anterior",IF($K765&lt;21,"Histórico insuficiente",IF($J765&lt;0.8,"Subcarga",IF($J765&lt;=1.3,"Zona ideal",IF($J765&lt;=1.5,"Atenção","Risco elevado"))))))</f>
        <v/>
      </c>
      <c r="M765" s="27"/>
    </row>
    <row r="766" customFormat="false" ht="15" hidden="false" customHeight="false" outlineLevel="0" collapsed="false">
      <c r="A766" s="29"/>
      <c r="B766" s="40" t="n">
        <f aca="false">IF($A766="",0,INT(($A766-Macrociclo!$C$11)/7)+1)</f>
        <v>0</v>
      </c>
      <c r="C766" s="27"/>
      <c r="D766" s="27"/>
      <c r="E766" s="28"/>
      <c r="F766" s="28"/>
      <c r="G766" s="44" t="n">
        <f aca="false">IF(OR($E766="",$F766=""),0,$E766*$F766)</f>
        <v>0</v>
      </c>
      <c r="H766" s="44" t="n">
        <f aca="false">IF($A766="",0,SUMIFS($G$8:$G$1007,$C$8:$C$1007,$C766,$A$8:$A$1007,"&gt;="&amp;$A766-6,$A$8:$A$1007,"&lt;="&amp;$A766))</f>
        <v>0</v>
      </c>
      <c r="I766" s="44" t="n">
        <f aca="false">IF($A766="",0,SUMIFS($G$8:$G$1007,$C$8:$C$1007,$C766,$A$8:$A$1007,"&gt;="&amp;$A766-27,$A$8:$A$1007,"&lt;="&amp;$A766)/4)</f>
        <v>0</v>
      </c>
      <c r="J766" s="144" t="n">
        <f aca="false">IF(OR($A766="",$I766=0),0,$H766/$I766)</f>
        <v>0</v>
      </c>
      <c r="K766" s="40" t="n">
        <f aca="false">IF($A766="",0,$A766-SUMPRODUCT(MIN(($C$8:$C$1007=$C766)*$A$8:$A$1007+($C$8:$C$1007&lt;&gt;$C766)*100000))+1)</f>
        <v>0</v>
      </c>
      <c r="L766" s="26" t="str">
        <f aca="false">IF($A766="","",IF($J766=0,"Sem registro anterior",IF($K766&lt;21,"Histórico insuficiente",IF($J766&lt;0.8,"Subcarga",IF($J766&lt;=1.3,"Zona ideal",IF($J766&lt;=1.5,"Atenção","Risco elevado"))))))</f>
        <v/>
      </c>
      <c r="M766" s="27"/>
    </row>
    <row r="767" customFormat="false" ht="15" hidden="false" customHeight="false" outlineLevel="0" collapsed="false">
      <c r="A767" s="29"/>
      <c r="B767" s="40" t="n">
        <f aca="false">IF($A767="",0,INT(($A767-Macrociclo!$C$11)/7)+1)</f>
        <v>0</v>
      </c>
      <c r="C767" s="27"/>
      <c r="D767" s="27"/>
      <c r="E767" s="28"/>
      <c r="F767" s="28"/>
      <c r="G767" s="44" t="n">
        <f aca="false">IF(OR($E767="",$F767=""),0,$E767*$F767)</f>
        <v>0</v>
      </c>
      <c r="H767" s="44" t="n">
        <f aca="false">IF($A767="",0,SUMIFS($G$8:$G$1007,$C$8:$C$1007,$C767,$A$8:$A$1007,"&gt;="&amp;$A767-6,$A$8:$A$1007,"&lt;="&amp;$A767))</f>
        <v>0</v>
      </c>
      <c r="I767" s="44" t="n">
        <f aca="false">IF($A767="",0,SUMIFS($G$8:$G$1007,$C$8:$C$1007,$C767,$A$8:$A$1007,"&gt;="&amp;$A767-27,$A$8:$A$1007,"&lt;="&amp;$A767)/4)</f>
        <v>0</v>
      </c>
      <c r="J767" s="144" t="n">
        <f aca="false">IF(OR($A767="",$I767=0),0,$H767/$I767)</f>
        <v>0</v>
      </c>
      <c r="K767" s="40" t="n">
        <f aca="false">IF($A767="",0,$A767-SUMPRODUCT(MIN(($C$8:$C$1007=$C767)*$A$8:$A$1007+($C$8:$C$1007&lt;&gt;$C767)*100000))+1)</f>
        <v>0</v>
      </c>
      <c r="L767" s="26" t="str">
        <f aca="false">IF($A767="","",IF($J767=0,"Sem registro anterior",IF($K767&lt;21,"Histórico insuficiente",IF($J767&lt;0.8,"Subcarga",IF($J767&lt;=1.3,"Zona ideal",IF($J767&lt;=1.5,"Atenção","Risco elevado"))))))</f>
        <v/>
      </c>
      <c r="M767" s="27"/>
    </row>
    <row r="768" customFormat="false" ht="15" hidden="false" customHeight="false" outlineLevel="0" collapsed="false">
      <c r="A768" s="29"/>
      <c r="B768" s="40" t="n">
        <f aca="false">IF($A768="",0,INT(($A768-Macrociclo!$C$11)/7)+1)</f>
        <v>0</v>
      </c>
      <c r="C768" s="27"/>
      <c r="D768" s="27"/>
      <c r="E768" s="28"/>
      <c r="F768" s="28"/>
      <c r="G768" s="44" t="n">
        <f aca="false">IF(OR($E768="",$F768=""),0,$E768*$F768)</f>
        <v>0</v>
      </c>
      <c r="H768" s="44" t="n">
        <f aca="false">IF($A768="",0,SUMIFS($G$8:$G$1007,$C$8:$C$1007,$C768,$A$8:$A$1007,"&gt;="&amp;$A768-6,$A$8:$A$1007,"&lt;="&amp;$A768))</f>
        <v>0</v>
      </c>
      <c r="I768" s="44" t="n">
        <f aca="false">IF($A768="",0,SUMIFS($G$8:$G$1007,$C$8:$C$1007,$C768,$A$8:$A$1007,"&gt;="&amp;$A768-27,$A$8:$A$1007,"&lt;="&amp;$A768)/4)</f>
        <v>0</v>
      </c>
      <c r="J768" s="144" t="n">
        <f aca="false">IF(OR($A768="",$I768=0),0,$H768/$I768)</f>
        <v>0</v>
      </c>
      <c r="K768" s="40" t="n">
        <f aca="false">IF($A768="",0,$A768-SUMPRODUCT(MIN(($C$8:$C$1007=$C768)*$A$8:$A$1007+($C$8:$C$1007&lt;&gt;$C768)*100000))+1)</f>
        <v>0</v>
      </c>
      <c r="L768" s="26" t="str">
        <f aca="false">IF($A768="","",IF($J768=0,"Sem registro anterior",IF($K768&lt;21,"Histórico insuficiente",IF($J768&lt;0.8,"Subcarga",IF($J768&lt;=1.3,"Zona ideal",IF($J768&lt;=1.5,"Atenção","Risco elevado"))))))</f>
        <v/>
      </c>
      <c r="M768" s="27"/>
    </row>
    <row r="769" customFormat="false" ht="15" hidden="false" customHeight="false" outlineLevel="0" collapsed="false">
      <c r="A769" s="29"/>
      <c r="B769" s="40" t="n">
        <f aca="false">IF($A769="",0,INT(($A769-Macrociclo!$C$11)/7)+1)</f>
        <v>0</v>
      </c>
      <c r="C769" s="27"/>
      <c r="D769" s="27"/>
      <c r="E769" s="28"/>
      <c r="F769" s="28"/>
      <c r="G769" s="44" t="n">
        <f aca="false">IF(OR($E769="",$F769=""),0,$E769*$F769)</f>
        <v>0</v>
      </c>
      <c r="H769" s="44" t="n">
        <f aca="false">IF($A769="",0,SUMIFS($G$8:$G$1007,$C$8:$C$1007,$C769,$A$8:$A$1007,"&gt;="&amp;$A769-6,$A$8:$A$1007,"&lt;="&amp;$A769))</f>
        <v>0</v>
      </c>
      <c r="I769" s="44" t="n">
        <f aca="false">IF($A769="",0,SUMIFS($G$8:$G$1007,$C$8:$C$1007,$C769,$A$8:$A$1007,"&gt;="&amp;$A769-27,$A$8:$A$1007,"&lt;="&amp;$A769)/4)</f>
        <v>0</v>
      </c>
      <c r="J769" s="144" t="n">
        <f aca="false">IF(OR($A769="",$I769=0),0,$H769/$I769)</f>
        <v>0</v>
      </c>
      <c r="K769" s="40" t="n">
        <f aca="false">IF($A769="",0,$A769-SUMPRODUCT(MIN(($C$8:$C$1007=$C769)*$A$8:$A$1007+($C$8:$C$1007&lt;&gt;$C769)*100000))+1)</f>
        <v>0</v>
      </c>
      <c r="L769" s="26" t="str">
        <f aca="false">IF($A769="","",IF($J769=0,"Sem registro anterior",IF($K769&lt;21,"Histórico insuficiente",IF($J769&lt;0.8,"Subcarga",IF($J769&lt;=1.3,"Zona ideal",IF($J769&lt;=1.5,"Atenção","Risco elevado"))))))</f>
        <v/>
      </c>
      <c r="M769" s="27"/>
    </row>
    <row r="770" customFormat="false" ht="15" hidden="false" customHeight="false" outlineLevel="0" collapsed="false">
      <c r="A770" s="29"/>
      <c r="B770" s="40" t="n">
        <f aca="false">IF($A770="",0,INT(($A770-Macrociclo!$C$11)/7)+1)</f>
        <v>0</v>
      </c>
      <c r="C770" s="27"/>
      <c r="D770" s="27"/>
      <c r="E770" s="28"/>
      <c r="F770" s="28"/>
      <c r="G770" s="44" t="n">
        <f aca="false">IF(OR($E770="",$F770=""),0,$E770*$F770)</f>
        <v>0</v>
      </c>
      <c r="H770" s="44" t="n">
        <f aca="false">IF($A770="",0,SUMIFS($G$8:$G$1007,$C$8:$C$1007,$C770,$A$8:$A$1007,"&gt;="&amp;$A770-6,$A$8:$A$1007,"&lt;="&amp;$A770))</f>
        <v>0</v>
      </c>
      <c r="I770" s="44" t="n">
        <f aca="false">IF($A770="",0,SUMIFS($G$8:$G$1007,$C$8:$C$1007,$C770,$A$8:$A$1007,"&gt;="&amp;$A770-27,$A$8:$A$1007,"&lt;="&amp;$A770)/4)</f>
        <v>0</v>
      </c>
      <c r="J770" s="144" t="n">
        <f aca="false">IF(OR($A770="",$I770=0),0,$H770/$I770)</f>
        <v>0</v>
      </c>
      <c r="K770" s="40" t="n">
        <f aca="false">IF($A770="",0,$A770-SUMPRODUCT(MIN(($C$8:$C$1007=$C770)*$A$8:$A$1007+($C$8:$C$1007&lt;&gt;$C770)*100000))+1)</f>
        <v>0</v>
      </c>
      <c r="L770" s="26" t="str">
        <f aca="false">IF($A770="","",IF($J770=0,"Sem registro anterior",IF($K770&lt;21,"Histórico insuficiente",IF($J770&lt;0.8,"Subcarga",IF($J770&lt;=1.3,"Zona ideal",IF($J770&lt;=1.5,"Atenção","Risco elevado"))))))</f>
        <v/>
      </c>
      <c r="M770" s="27"/>
    </row>
    <row r="771" customFormat="false" ht="15" hidden="false" customHeight="false" outlineLevel="0" collapsed="false">
      <c r="A771" s="29"/>
      <c r="B771" s="40" t="n">
        <f aca="false">IF($A771="",0,INT(($A771-Macrociclo!$C$11)/7)+1)</f>
        <v>0</v>
      </c>
      <c r="C771" s="27"/>
      <c r="D771" s="27"/>
      <c r="E771" s="28"/>
      <c r="F771" s="28"/>
      <c r="G771" s="44" t="n">
        <f aca="false">IF(OR($E771="",$F771=""),0,$E771*$F771)</f>
        <v>0</v>
      </c>
      <c r="H771" s="44" t="n">
        <f aca="false">IF($A771="",0,SUMIFS($G$8:$G$1007,$C$8:$C$1007,$C771,$A$8:$A$1007,"&gt;="&amp;$A771-6,$A$8:$A$1007,"&lt;="&amp;$A771))</f>
        <v>0</v>
      </c>
      <c r="I771" s="44" t="n">
        <f aca="false">IF($A771="",0,SUMIFS($G$8:$G$1007,$C$8:$C$1007,$C771,$A$8:$A$1007,"&gt;="&amp;$A771-27,$A$8:$A$1007,"&lt;="&amp;$A771)/4)</f>
        <v>0</v>
      </c>
      <c r="J771" s="144" t="n">
        <f aca="false">IF(OR($A771="",$I771=0),0,$H771/$I771)</f>
        <v>0</v>
      </c>
      <c r="K771" s="40" t="n">
        <f aca="false">IF($A771="",0,$A771-SUMPRODUCT(MIN(($C$8:$C$1007=$C771)*$A$8:$A$1007+($C$8:$C$1007&lt;&gt;$C771)*100000))+1)</f>
        <v>0</v>
      </c>
      <c r="L771" s="26" t="str">
        <f aca="false">IF($A771="","",IF($J771=0,"Sem registro anterior",IF($K771&lt;21,"Histórico insuficiente",IF($J771&lt;0.8,"Subcarga",IF($J771&lt;=1.3,"Zona ideal",IF($J771&lt;=1.5,"Atenção","Risco elevado"))))))</f>
        <v/>
      </c>
      <c r="M771" s="27"/>
    </row>
    <row r="772" customFormat="false" ht="15" hidden="false" customHeight="false" outlineLevel="0" collapsed="false">
      <c r="A772" s="29"/>
      <c r="B772" s="40" t="n">
        <f aca="false">IF($A772="",0,INT(($A772-Macrociclo!$C$11)/7)+1)</f>
        <v>0</v>
      </c>
      <c r="C772" s="27"/>
      <c r="D772" s="27"/>
      <c r="E772" s="28"/>
      <c r="F772" s="28"/>
      <c r="G772" s="44" t="n">
        <f aca="false">IF(OR($E772="",$F772=""),0,$E772*$F772)</f>
        <v>0</v>
      </c>
      <c r="H772" s="44" t="n">
        <f aca="false">IF($A772="",0,SUMIFS($G$8:$G$1007,$C$8:$C$1007,$C772,$A$8:$A$1007,"&gt;="&amp;$A772-6,$A$8:$A$1007,"&lt;="&amp;$A772))</f>
        <v>0</v>
      </c>
      <c r="I772" s="44" t="n">
        <f aca="false">IF($A772="",0,SUMIFS($G$8:$G$1007,$C$8:$C$1007,$C772,$A$8:$A$1007,"&gt;="&amp;$A772-27,$A$8:$A$1007,"&lt;="&amp;$A772)/4)</f>
        <v>0</v>
      </c>
      <c r="J772" s="144" t="n">
        <f aca="false">IF(OR($A772="",$I772=0),0,$H772/$I772)</f>
        <v>0</v>
      </c>
      <c r="K772" s="40" t="n">
        <f aca="false">IF($A772="",0,$A772-SUMPRODUCT(MIN(($C$8:$C$1007=$C772)*$A$8:$A$1007+($C$8:$C$1007&lt;&gt;$C772)*100000))+1)</f>
        <v>0</v>
      </c>
      <c r="L772" s="26" t="str">
        <f aca="false">IF($A772="","",IF($J772=0,"Sem registro anterior",IF($K772&lt;21,"Histórico insuficiente",IF($J772&lt;0.8,"Subcarga",IF($J772&lt;=1.3,"Zona ideal",IF($J772&lt;=1.5,"Atenção","Risco elevado"))))))</f>
        <v/>
      </c>
      <c r="M772" s="27"/>
    </row>
    <row r="773" customFormat="false" ht="15" hidden="false" customHeight="false" outlineLevel="0" collapsed="false">
      <c r="A773" s="29"/>
      <c r="B773" s="40" t="n">
        <f aca="false">IF($A773="",0,INT(($A773-Macrociclo!$C$11)/7)+1)</f>
        <v>0</v>
      </c>
      <c r="C773" s="27"/>
      <c r="D773" s="27"/>
      <c r="E773" s="28"/>
      <c r="F773" s="28"/>
      <c r="G773" s="44" t="n">
        <f aca="false">IF(OR($E773="",$F773=""),0,$E773*$F773)</f>
        <v>0</v>
      </c>
      <c r="H773" s="44" t="n">
        <f aca="false">IF($A773="",0,SUMIFS($G$8:$G$1007,$C$8:$C$1007,$C773,$A$8:$A$1007,"&gt;="&amp;$A773-6,$A$8:$A$1007,"&lt;="&amp;$A773))</f>
        <v>0</v>
      </c>
      <c r="I773" s="44" t="n">
        <f aca="false">IF($A773="",0,SUMIFS($G$8:$G$1007,$C$8:$C$1007,$C773,$A$8:$A$1007,"&gt;="&amp;$A773-27,$A$8:$A$1007,"&lt;="&amp;$A773)/4)</f>
        <v>0</v>
      </c>
      <c r="J773" s="144" t="n">
        <f aca="false">IF(OR($A773="",$I773=0),0,$H773/$I773)</f>
        <v>0</v>
      </c>
      <c r="K773" s="40" t="n">
        <f aca="false">IF($A773="",0,$A773-SUMPRODUCT(MIN(($C$8:$C$1007=$C773)*$A$8:$A$1007+($C$8:$C$1007&lt;&gt;$C773)*100000))+1)</f>
        <v>0</v>
      </c>
      <c r="L773" s="26" t="str">
        <f aca="false">IF($A773="","",IF($J773=0,"Sem registro anterior",IF($K773&lt;21,"Histórico insuficiente",IF($J773&lt;0.8,"Subcarga",IF($J773&lt;=1.3,"Zona ideal",IF($J773&lt;=1.5,"Atenção","Risco elevado"))))))</f>
        <v/>
      </c>
      <c r="M773" s="27"/>
    </row>
    <row r="774" customFormat="false" ht="15" hidden="false" customHeight="false" outlineLevel="0" collapsed="false">
      <c r="A774" s="29"/>
      <c r="B774" s="40" t="n">
        <f aca="false">IF($A774="",0,INT(($A774-Macrociclo!$C$11)/7)+1)</f>
        <v>0</v>
      </c>
      <c r="C774" s="27"/>
      <c r="D774" s="27"/>
      <c r="E774" s="28"/>
      <c r="F774" s="28"/>
      <c r="G774" s="44" t="n">
        <f aca="false">IF(OR($E774="",$F774=""),0,$E774*$F774)</f>
        <v>0</v>
      </c>
      <c r="H774" s="44" t="n">
        <f aca="false">IF($A774="",0,SUMIFS($G$8:$G$1007,$C$8:$C$1007,$C774,$A$8:$A$1007,"&gt;="&amp;$A774-6,$A$8:$A$1007,"&lt;="&amp;$A774))</f>
        <v>0</v>
      </c>
      <c r="I774" s="44" t="n">
        <f aca="false">IF($A774="",0,SUMIFS($G$8:$G$1007,$C$8:$C$1007,$C774,$A$8:$A$1007,"&gt;="&amp;$A774-27,$A$8:$A$1007,"&lt;="&amp;$A774)/4)</f>
        <v>0</v>
      </c>
      <c r="J774" s="144" t="n">
        <f aca="false">IF(OR($A774="",$I774=0),0,$H774/$I774)</f>
        <v>0</v>
      </c>
      <c r="K774" s="40" t="n">
        <f aca="false">IF($A774="",0,$A774-SUMPRODUCT(MIN(($C$8:$C$1007=$C774)*$A$8:$A$1007+($C$8:$C$1007&lt;&gt;$C774)*100000))+1)</f>
        <v>0</v>
      </c>
      <c r="L774" s="26" t="str">
        <f aca="false">IF($A774="","",IF($J774=0,"Sem registro anterior",IF($K774&lt;21,"Histórico insuficiente",IF($J774&lt;0.8,"Subcarga",IF($J774&lt;=1.3,"Zona ideal",IF($J774&lt;=1.5,"Atenção","Risco elevado"))))))</f>
        <v/>
      </c>
      <c r="M774" s="27"/>
    </row>
    <row r="775" customFormat="false" ht="15" hidden="false" customHeight="false" outlineLevel="0" collapsed="false">
      <c r="A775" s="29"/>
      <c r="B775" s="40" t="n">
        <f aca="false">IF($A775="",0,INT(($A775-Macrociclo!$C$11)/7)+1)</f>
        <v>0</v>
      </c>
      <c r="C775" s="27"/>
      <c r="D775" s="27"/>
      <c r="E775" s="28"/>
      <c r="F775" s="28"/>
      <c r="G775" s="44" t="n">
        <f aca="false">IF(OR($E775="",$F775=""),0,$E775*$F775)</f>
        <v>0</v>
      </c>
      <c r="H775" s="44" t="n">
        <f aca="false">IF($A775="",0,SUMIFS($G$8:$G$1007,$C$8:$C$1007,$C775,$A$8:$A$1007,"&gt;="&amp;$A775-6,$A$8:$A$1007,"&lt;="&amp;$A775))</f>
        <v>0</v>
      </c>
      <c r="I775" s="44" t="n">
        <f aca="false">IF($A775="",0,SUMIFS($G$8:$G$1007,$C$8:$C$1007,$C775,$A$8:$A$1007,"&gt;="&amp;$A775-27,$A$8:$A$1007,"&lt;="&amp;$A775)/4)</f>
        <v>0</v>
      </c>
      <c r="J775" s="144" t="n">
        <f aca="false">IF(OR($A775="",$I775=0),0,$H775/$I775)</f>
        <v>0</v>
      </c>
      <c r="K775" s="40" t="n">
        <f aca="false">IF($A775="",0,$A775-SUMPRODUCT(MIN(($C$8:$C$1007=$C775)*$A$8:$A$1007+($C$8:$C$1007&lt;&gt;$C775)*100000))+1)</f>
        <v>0</v>
      </c>
      <c r="L775" s="26" t="str">
        <f aca="false">IF($A775="","",IF($J775=0,"Sem registro anterior",IF($K775&lt;21,"Histórico insuficiente",IF($J775&lt;0.8,"Subcarga",IF($J775&lt;=1.3,"Zona ideal",IF($J775&lt;=1.5,"Atenção","Risco elevado"))))))</f>
        <v/>
      </c>
      <c r="M775" s="27"/>
    </row>
    <row r="776" customFormat="false" ht="15" hidden="false" customHeight="false" outlineLevel="0" collapsed="false">
      <c r="A776" s="29"/>
      <c r="B776" s="40" t="n">
        <f aca="false">IF($A776="",0,INT(($A776-Macrociclo!$C$11)/7)+1)</f>
        <v>0</v>
      </c>
      <c r="C776" s="27"/>
      <c r="D776" s="27"/>
      <c r="E776" s="28"/>
      <c r="F776" s="28"/>
      <c r="G776" s="44" t="n">
        <f aca="false">IF(OR($E776="",$F776=""),0,$E776*$F776)</f>
        <v>0</v>
      </c>
      <c r="H776" s="44" t="n">
        <f aca="false">IF($A776="",0,SUMIFS($G$8:$G$1007,$C$8:$C$1007,$C776,$A$8:$A$1007,"&gt;="&amp;$A776-6,$A$8:$A$1007,"&lt;="&amp;$A776))</f>
        <v>0</v>
      </c>
      <c r="I776" s="44" t="n">
        <f aca="false">IF($A776="",0,SUMIFS($G$8:$G$1007,$C$8:$C$1007,$C776,$A$8:$A$1007,"&gt;="&amp;$A776-27,$A$8:$A$1007,"&lt;="&amp;$A776)/4)</f>
        <v>0</v>
      </c>
      <c r="J776" s="144" t="n">
        <f aca="false">IF(OR($A776="",$I776=0),0,$H776/$I776)</f>
        <v>0</v>
      </c>
      <c r="K776" s="40" t="n">
        <f aca="false">IF($A776="",0,$A776-SUMPRODUCT(MIN(($C$8:$C$1007=$C776)*$A$8:$A$1007+($C$8:$C$1007&lt;&gt;$C776)*100000))+1)</f>
        <v>0</v>
      </c>
      <c r="L776" s="26" t="str">
        <f aca="false">IF($A776="","",IF($J776=0,"Sem registro anterior",IF($K776&lt;21,"Histórico insuficiente",IF($J776&lt;0.8,"Subcarga",IF($J776&lt;=1.3,"Zona ideal",IF($J776&lt;=1.5,"Atenção","Risco elevado"))))))</f>
        <v/>
      </c>
      <c r="M776" s="27"/>
    </row>
    <row r="777" customFormat="false" ht="15" hidden="false" customHeight="false" outlineLevel="0" collapsed="false">
      <c r="A777" s="29"/>
      <c r="B777" s="40" t="n">
        <f aca="false">IF($A777="",0,INT(($A777-Macrociclo!$C$11)/7)+1)</f>
        <v>0</v>
      </c>
      <c r="C777" s="27"/>
      <c r="D777" s="27"/>
      <c r="E777" s="28"/>
      <c r="F777" s="28"/>
      <c r="G777" s="44" t="n">
        <f aca="false">IF(OR($E777="",$F777=""),0,$E777*$F777)</f>
        <v>0</v>
      </c>
      <c r="H777" s="44" t="n">
        <f aca="false">IF($A777="",0,SUMIFS($G$8:$G$1007,$C$8:$C$1007,$C777,$A$8:$A$1007,"&gt;="&amp;$A777-6,$A$8:$A$1007,"&lt;="&amp;$A777))</f>
        <v>0</v>
      </c>
      <c r="I777" s="44" t="n">
        <f aca="false">IF($A777="",0,SUMIFS($G$8:$G$1007,$C$8:$C$1007,$C777,$A$8:$A$1007,"&gt;="&amp;$A777-27,$A$8:$A$1007,"&lt;="&amp;$A777)/4)</f>
        <v>0</v>
      </c>
      <c r="J777" s="144" t="n">
        <f aca="false">IF(OR($A777="",$I777=0),0,$H777/$I777)</f>
        <v>0</v>
      </c>
      <c r="K777" s="40" t="n">
        <f aca="false">IF($A777="",0,$A777-SUMPRODUCT(MIN(($C$8:$C$1007=$C777)*$A$8:$A$1007+($C$8:$C$1007&lt;&gt;$C777)*100000))+1)</f>
        <v>0</v>
      </c>
      <c r="L777" s="26" t="str">
        <f aca="false">IF($A777="","",IF($J777=0,"Sem registro anterior",IF($K777&lt;21,"Histórico insuficiente",IF($J777&lt;0.8,"Subcarga",IF($J777&lt;=1.3,"Zona ideal",IF($J777&lt;=1.5,"Atenção","Risco elevado"))))))</f>
        <v/>
      </c>
      <c r="M777" s="27"/>
    </row>
    <row r="778" customFormat="false" ht="15" hidden="false" customHeight="false" outlineLevel="0" collapsed="false">
      <c r="A778" s="29"/>
      <c r="B778" s="40" t="n">
        <f aca="false">IF($A778="",0,INT(($A778-Macrociclo!$C$11)/7)+1)</f>
        <v>0</v>
      </c>
      <c r="C778" s="27"/>
      <c r="D778" s="27"/>
      <c r="E778" s="28"/>
      <c r="F778" s="28"/>
      <c r="G778" s="44" t="n">
        <f aca="false">IF(OR($E778="",$F778=""),0,$E778*$F778)</f>
        <v>0</v>
      </c>
      <c r="H778" s="44" t="n">
        <f aca="false">IF($A778="",0,SUMIFS($G$8:$G$1007,$C$8:$C$1007,$C778,$A$8:$A$1007,"&gt;="&amp;$A778-6,$A$8:$A$1007,"&lt;="&amp;$A778))</f>
        <v>0</v>
      </c>
      <c r="I778" s="44" t="n">
        <f aca="false">IF($A778="",0,SUMIFS($G$8:$G$1007,$C$8:$C$1007,$C778,$A$8:$A$1007,"&gt;="&amp;$A778-27,$A$8:$A$1007,"&lt;="&amp;$A778)/4)</f>
        <v>0</v>
      </c>
      <c r="J778" s="144" t="n">
        <f aca="false">IF(OR($A778="",$I778=0),0,$H778/$I778)</f>
        <v>0</v>
      </c>
      <c r="K778" s="40" t="n">
        <f aca="false">IF($A778="",0,$A778-SUMPRODUCT(MIN(($C$8:$C$1007=$C778)*$A$8:$A$1007+($C$8:$C$1007&lt;&gt;$C778)*100000))+1)</f>
        <v>0</v>
      </c>
      <c r="L778" s="26" t="str">
        <f aca="false">IF($A778="","",IF($J778=0,"Sem registro anterior",IF($K778&lt;21,"Histórico insuficiente",IF($J778&lt;0.8,"Subcarga",IF($J778&lt;=1.3,"Zona ideal",IF($J778&lt;=1.5,"Atenção","Risco elevado"))))))</f>
        <v/>
      </c>
      <c r="M778" s="27"/>
    </row>
    <row r="779" customFormat="false" ht="15" hidden="false" customHeight="false" outlineLevel="0" collapsed="false">
      <c r="A779" s="29"/>
      <c r="B779" s="40" t="n">
        <f aca="false">IF($A779="",0,INT(($A779-Macrociclo!$C$11)/7)+1)</f>
        <v>0</v>
      </c>
      <c r="C779" s="27"/>
      <c r="D779" s="27"/>
      <c r="E779" s="28"/>
      <c r="F779" s="28"/>
      <c r="G779" s="44" t="n">
        <f aca="false">IF(OR($E779="",$F779=""),0,$E779*$F779)</f>
        <v>0</v>
      </c>
      <c r="H779" s="44" t="n">
        <f aca="false">IF($A779="",0,SUMIFS($G$8:$G$1007,$C$8:$C$1007,$C779,$A$8:$A$1007,"&gt;="&amp;$A779-6,$A$8:$A$1007,"&lt;="&amp;$A779))</f>
        <v>0</v>
      </c>
      <c r="I779" s="44" t="n">
        <f aca="false">IF($A779="",0,SUMIFS($G$8:$G$1007,$C$8:$C$1007,$C779,$A$8:$A$1007,"&gt;="&amp;$A779-27,$A$8:$A$1007,"&lt;="&amp;$A779)/4)</f>
        <v>0</v>
      </c>
      <c r="J779" s="144" t="n">
        <f aca="false">IF(OR($A779="",$I779=0),0,$H779/$I779)</f>
        <v>0</v>
      </c>
      <c r="K779" s="40" t="n">
        <f aca="false">IF($A779="",0,$A779-SUMPRODUCT(MIN(($C$8:$C$1007=$C779)*$A$8:$A$1007+($C$8:$C$1007&lt;&gt;$C779)*100000))+1)</f>
        <v>0</v>
      </c>
      <c r="L779" s="26" t="str">
        <f aca="false">IF($A779="","",IF($J779=0,"Sem registro anterior",IF($K779&lt;21,"Histórico insuficiente",IF($J779&lt;0.8,"Subcarga",IF($J779&lt;=1.3,"Zona ideal",IF($J779&lt;=1.5,"Atenção","Risco elevado"))))))</f>
        <v/>
      </c>
      <c r="M779" s="27"/>
    </row>
    <row r="780" customFormat="false" ht="15" hidden="false" customHeight="false" outlineLevel="0" collapsed="false">
      <c r="A780" s="29"/>
      <c r="B780" s="40" t="n">
        <f aca="false">IF($A780="",0,INT(($A780-Macrociclo!$C$11)/7)+1)</f>
        <v>0</v>
      </c>
      <c r="C780" s="27"/>
      <c r="D780" s="27"/>
      <c r="E780" s="28"/>
      <c r="F780" s="28"/>
      <c r="G780" s="44" t="n">
        <f aca="false">IF(OR($E780="",$F780=""),0,$E780*$F780)</f>
        <v>0</v>
      </c>
      <c r="H780" s="44" t="n">
        <f aca="false">IF($A780="",0,SUMIFS($G$8:$G$1007,$C$8:$C$1007,$C780,$A$8:$A$1007,"&gt;="&amp;$A780-6,$A$8:$A$1007,"&lt;="&amp;$A780))</f>
        <v>0</v>
      </c>
      <c r="I780" s="44" t="n">
        <f aca="false">IF($A780="",0,SUMIFS($G$8:$G$1007,$C$8:$C$1007,$C780,$A$8:$A$1007,"&gt;="&amp;$A780-27,$A$8:$A$1007,"&lt;="&amp;$A780)/4)</f>
        <v>0</v>
      </c>
      <c r="J780" s="144" t="n">
        <f aca="false">IF(OR($A780="",$I780=0),0,$H780/$I780)</f>
        <v>0</v>
      </c>
      <c r="K780" s="40" t="n">
        <f aca="false">IF($A780="",0,$A780-SUMPRODUCT(MIN(($C$8:$C$1007=$C780)*$A$8:$A$1007+($C$8:$C$1007&lt;&gt;$C780)*100000))+1)</f>
        <v>0</v>
      </c>
      <c r="L780" s="26" t="str">
        <f aca="false">IF($A780="","",IF($J780=0,"Sem registro anterior",IF($K780&lt;21,"Histórico insuficiente",IF($J780&lt;0.8,"Subcarga",IF($J780&lt;=1.3,"Zona ideal",IF($J780&lt;=1.5,"Atenção","Risco elevado"))))))</f>
        <v/>
      </c>
      <c r="M780" s="27"/>
    </row>
    <row r="781" customFormat="false" ht="15" hidden="false" customHeight="false" outlineLevel="0" collapsed="false">
      <c r="A781" s="29"/>
      <c r="B781" s="40" t="n">
        <f aca="false">IF($A781="",0,INT(($A781-Macrociclo!$C$11)/7)+1)</f>
        <v>0</v>
      </c>
      <c r="C781" s="27"/>
      <c r="D781" s="27"/>
      <c r="E781" s="28"/>
      <c r="F781" s="28"/>
      <c r="G781" s="44" t="n">
        <f aca="false">IF(OR($E781="",$F781=""),0,$E781*$F781)</f>
        <v>0</v>
      </c>
      <c r="H781" s="44" t="n">
        <f aca="false">IF($A781="",0,SUMIFS($G$8:$G$1007,$C$8:$C$1007,$C781,$A$8:$A$1007,"&gt;="&amp;$A781-6,$A$8:$A$1007,"&lt;="&amp;$A781))</f>
        <v>0</v>
      </c>
      <c r="I781" s="44" t="n">
        <f aca="false">IF($A781="",0,SUMIFS($G$8:$G$1007,$C$8:$C$1007,$C781,$A$8:$A$1007,"&gt;="&amp;$A781-27,$A$8:$A$1007,"&lt;="&amp;$A781)/4)</f>
        <v>0</v>
      </c>
      <c r="J781" s="144" t="n">
        <f aca="false">IF(OR($A781="",$I781=0),0,$H781/$I781)</f>
        <v>0</v>
      </c>
      <c r="K781" s="40" t="n">
        <f aca="false">IF($A781="",0,$A781-SUMPRODUCT(MIN(($C$8:$C$1007=$C781)*$A$8:$A$1007+($C$8:$C$1007&lt;&gt;$C781)*100000))+1)</f>
        <v>0</v>
      </c>
      <c r="L781" s="26" t="str">
        <f aca="false">IF($A781="","",IF($J781=0,"Sem registro anterior",IF($K781&lt;21,"Histórico insuficiente",IF($J781&lt;0.8,"Subcarga",IF($J781&lt;=1.3,"Zona ideal",IF($J781&lt;=1.5,"Atenção","Risco elevado"))))))</f>
        <v/>
      </c>
      <c r="M781" s="27"/>
    </row>
    <row r="782" customFormat="false" ht="15" hidden="false" customHeight="false" outlineLevel="0" collapsed="false">
      <c r="A782" s="29"/>
      <c r="B782" s="40" t="n">
        <f aca="false">IF($A782="",0,INT(($A782-Macrociclo!$C$11)/7)+1)</f>
        <v>0</v>
      </c>
      <c r="C782" s="27"/>
      <c r="D782" s="27"/>
      <c r="E782" s="28"/>
      <c r="F782" s="28"/>
      <c r="G782" s="44" t="n">
        <f aca="false">IF(OR($E782="",$F782=""),0,$E782*$F782)</f>
        <v>0</v>
      </c>
      <c r="H782" s="44" t="n">
        <f aca="false">IF($A782="",0,SUMIFS($G$8:$G$1007,$C$8:$C$1007,$C782,$A$8:$A$1007,"&gt;="&amp;$A782-6,$A$8:$A$1007,"&lt;="&amp;$A782))</f>
        <v>0</v>
      </c>
      <c r="I782" s="44" t="n">
        <f aca="false">IF($A782="",0,SUMIFS($G$8:$G$1007,$C$8:$C$1007,$C782,$A$8:$A$1007,"&gt;="&amp;$A782-27,$A$8:$A$1007,"&lt;="&amp;$A782)/4)</f>
        <v>0</v>
      </c>
      <c r="J782" s="144" t="n">
        <f aca="false">IF(OR($A782="",$I782=0),0,$H782/$I782)</f>
        <v>0</v>
      </c>
      <c r="K782" s="40" t="n">
        <f aca="false">IF($A782="",0,$A782-SUMPRODUCT(MIN(($C$8:$C$1007=$C782)*$A$8:$A$1007+($C$8:$C$1007&lt;&gt;$C782)*100000))+1)</f>
        <v>0</v>
      </c>
      <c r="L782" s="26" t="str">
        <f aca="false">IF($A782="","",IF($J782=0,"Sem registro anterior",IF($K782&lt;21,"Histórico insuficiente",IF($J782&lt;0.8,"Subcarga",IF($J782&lt;=1.3,"Zona ideal",IF($J782&lt;=1.5,"Atenção","Risco elevado"))))))</f>
        <v/>
      </c>
      <c r="M782" s="27"/>
    </row>
    <row r="783" customFormat="false" ht="15" hidden="false" customHeight="false" outlineLevel="0" collapsed="false">
      <c r="A783" s="29"/>
      <c r="B783" s="40" t="n">
        <f aca="false">IF($A783="",0,INT(($A783-Macrociclo!$C$11)/7)+1)</f>
        <v>0</v>
      </c>
      <c r="C783" s="27"/>
      <c r="D783" s="27"/>
      <c r="E783" s="28"/>
      <c r="F783" s="28"/>
      <c r="G783" s="44" t="n">
        <f aca="false">IF(OR($E783="",$F783=""),0,$E783*$F783)</f>
        <v>0</v>
      </c>
      <c r="H783" s="44" t="n">
        <f aca="false">IF($A783="",0,SUMIFS($G$8:$G$1007,$C$8:$C$1007,$C783,$A$8:$A$1007,"&gt;="&amp;$A783-6,$A$8:$A$1007,"&lt;="&amp;$A783))</f>
        <v>0</v>
      </c>
      <c r="I783" s="44" t="n">
        <f aca="false">IF($A783="",0,SUMIFS($G$8:$G$1007,$C$8:$C$1007,$C783,$A$8:$A$1007,"&gt;="&amp;$A783-27,$A$8:$A$1007,"&lt;="&amp;$A783)/4)</f>
        <v>0</v>
      </c>
      <c r="J783" s="144" t="n">
        <f aca="false">IF(OR($A783="",$I783=0),0,$H783/$I783)</f>
        <v>0</v>
      </c>
      <c r="K783" s="40" t="n">
        <f aca="false">IF($A783="",0,$A783-SUMPRODUCT(MIN(($C$8:$C$1007=$C783)*$A$8:$A$1007+($C$8:$C$1007&lt;&gt;$C783)*100000))+1)</f>
        <v>0</v>
      </c>
      <c r="L783" s="26" t="str">
        <f aca="false">IF($A783="","",IF($J783=0,"Sem registro anterior",IF($K783&lt;21,"Histórico insuficiente",IF($J783&lt;0.8,"Subcarga",IF($J783&lt;=1.3,"Zona ideal",IF($J783&lt;=1.5,"Atenção","Risco elevado"))))))</f>
        <v/>
      </c>
      <c r="M783" s="27"/>
    </row>
    <row r="784" customFormat="false" ht="15" hidden="false" customHeight="false" outlineLevel="0" collapsed="false">
      <c r="A784" s="29"/>
      <c r="B784" s="40" t="n">
        <f aca="false">IF($A784="",0,INT(($A784-Macrociclo!$C$11)/7)+1)</f>
        <v>0</v>
      </c>
      <c r="C784" s="27"/>
      <c r="D784" s="27"/>
      <c r="E784" s="28"/>
      <c r="F784" s="28"/>
      <c r="G784" s="44" t="n">
        <f aca="false">IF(OR($E784="",$F784=""),0,$E784*$F784)</f>
        <v>0</v>
      </c>
      <c r="H784" s="44" t="n">
        <f aca="false">IF($A784="",0,SUMIFS($G$8:$G$1007,$C$8:$C$1007,$C784,$A$8:$A$1007,"&gt;="&amp;$A784-6,$A$8:$A$1007,"&lt;="&amp;$A784))</f>
        <v>0</v>
      </c>
      <c r="I784" s="44" t="n">
        <f aca="false">IF($A784="",0,SUMIFS($G$8:$G$1007,$C$8:$C$1007,$C784,$A$8:$A$1007,"&gt;="&amp;$A784-27,$A$8:$A$1007,"&lt;="&amp;$A784)/4)</f>
        <v>0</v>
      </c>
      <c r="J784" s="144" t="n">
        <f aca="false">IF(OR($A784="",$I784=0),0,$H784/$I784)</f>
        <v>0</v>
      </c>
      <c r="K784" s="40" t="n">
        <f aca="false">IF($A784="",0,$A784-SUMPRODUCT(MIN(($C$8:$C$1007=$C784)*$A$8:$A$1007+($C$8:$C$1007&lt;&gt;$C784)*100000))+1)</f>
        <v>0</v>
      </c>
      <c r="L784" s="26" t="str">
        <f aca="false">IF($A784="","",IF($J784=0,"Sem registro anterior",IF($K784&lt;21,"Histórico insuficiente",IF($J784&lt;0.8,"Subcarga",IF($J784&lt;=1.3,"Zona ideal",IF($J784&lt;=1.5,"Atenção","Risco elevado"))))))</f>
        <v/>
      </c>
      <c r="M784" s="27"/>
    </row>
    <row r="785" customFormat="false" ht="15" hidden="false" customHeight="false" outlineLevel="0" collapsed="false">
      <c r="A785" s="29"/>
      <c r="B785" s="40" t="n">
        <f aca="false">IF($A785="",0,INT(($A785-Macrociclo!$C$11)/7)+1)</f>
        <v>0</v>
      </c>
      <c r="C785" s="27"/>
      <c r="D785" s="27"/>
      <c r="E785" s="28"/>
      <c r="F785" s="28"/>
      <c r="G785" s="44" t="n">
        <f aca="false">IF(OR($E785="",$F785=""),0,$E785*$F785)</f>
        <v>0</v>
      </c>
      <c r="H785" s="44" t="n">
        <f aca="false">IF($A785="",0,SUMIFS($G$8:$G$1007,$C$8:$C$1007,$C785,$A$8:$A$1007,"&gt;="&amp;$A785-6,$A$8:$A$1007,"&lt;="&amp;$A785))</f>
        <v>0</v>
      </c>
      <c r="I785" s="44" t="n">
        <f aca="false">IF($A785="",0,SUMIFS($G$8:$G$1007,$C$8:$C$1007,$C785,$A$8:$A$1007,"&gt;="&amp;$A785-27,$A$8:$A$1007,"&lt;="&amp;$A785)/4)</f>
        <v>0</v>
      </c>
      <c r="J785" s="144" t="n">
        <f aca="false">IF(OR($A785="",$I785=0),0,$H785/$I785)</f>
        <v>0</v>
      </c>
      <c r="K785" s="40" t="n">
        <f aca="false">IF($A785="",0,$A785-SUMPRODUCT(MIN(($C$8:$C$1007=$C785)*$A$8:$A$1007+($C$8:$C$1007&lt;&gt;$C785)*100000))+1)</f>
        <v>0</v>
      </c>
      <c r="L785" s="26" t="str">
        <f aca="false">IF($A785="","",IF($J785=0,"Sem registro anterior",IF($K785&lt;21,"Histórico insuficiente",IF($J785&lt;0.8,"Subcarga",IF($J785&lt;=1.3,"Zona ideal",IF($J785&lt;=1.5,"Atenção","Risco elevado"))))))</f>
        <v/>
      </c>
      <c r="M785" s="27"/>
    </row>
    <row r="786" customFormat="false" ht="15" hidden="false" customHeight="false" outlineLevel="0" collapsed="false">
      <c r="A786" s="29"/>
      <c r="B786" s="40" t="n">
        <f aca="false">IF($A786="",0,INT(($A786-Macrociclo!$C$11)/7)+1)</f>
        <v>0</v>
      </c>
      <c r="C786" s="27"/>
      <c r="D786" s="27"/>
      <c r="E786" s="28"/>
      <c r="F786" s="28"/>
      <c r="G786" s="44" t="n">
        <f aca="false">IF(OR($E786="",$F786=""),0,$E786*$F786)</f>
        <v>0</v>
      </c>
      <c r="H786" s="44" t="n">
        <f aca="false">IF($A786="",0,SUMIFS($G$8:$G$1007,$C$8:$C$1007,$C786,$A$8:$A$1007,"&gt;="&amp;$A786-6,$A$8:$A$1007,"&lt;="&amp;$A786))</f>
        <v>0</v>
      </c>
      <c r="I786" s="44" t="n">
        <f aca="false">IF($A786="",0,SUMIFS($G$8:$G$1007,$C$8:$C$1007,$C786,$A$8:$A$1007,"&gt;="&amp;$A786-27,$A$8:$A$1007,"&lt;="&amp;$A786)/4)</f>
        <v>0</v>
      </c>
      <c r="J786" s="144" t="n">
        <f aca="false">IF(OR($A786="",$I786=0),0,$H786/$I786)</f>
        <v>0</v>
      </c>
      <c r="K786" s="40" t="n">
        <f aca="false">IF($A786="",0,$A786-SUMPRODUCT(MIN(($C$8:$C$1007=$C786)*$A$8:$A$1007+($C$8:$C$1007&lt;&gt;$C786)*100000))+1)</f>
        <v>0</v>
      </c>
      <c r="L786" s="26" t="str">
        <f aca="false">IF($A786="","",IF($J786=0,"Sem registro anterior",IF($K786&lt;21,"Histórico insuficiente",IF($J786&lt;0.8,"Subcarga",IF($J786&lt;=1.3,"Zona ideal",IF($J786&lt;=1.5,"Atenção","Risco elevado"))))))</f>
        <v/>
      </c>
      <c r="M786" s="27"/>
    </row>
    <row r="787" customFormat="false" ht="15" hidden="false" customHeight="false" outlineLevel="0" collapsed="false">
      <c r="A787" s="29"/>
      <c r="B787" s="40" t="n">
        <f aca="false">IF($A787="",0,INT(($A787-Macrociclo!$C$11)/7)+1)</f>
        <v>0</v>
      </c>
      <c r="C787" s="27"/>
      <c r="D787" s="27"/>
      <c r="E787" s="28"/>
      <c r="F787" s="28"/>
      <c r="G787" s="44" t="n">
        <f aca="false">IF(OR($E787="",$F787=""),0,$E787*$F787)</f>
        <v>0</v>
      </c>
      <c r="H787" s="44" t="n">
        <f aca="false">IF($A787="",0,SUMIFS($G$8:$G$1007,$C$8:$C$1007,$C787,$A$8:$A$1007,"&gt;="&amp;$A787-6,$A$8:$A$1007,"&lt;="&amp;$A787))</f>
        <v>0</v>
      </c>
      <c r="I787" s="44" t="n">
        <f aca="false">IF($A787="",0,SUMIFS($G$8:$G$1007,$C$8:$C$1007,$C787,$A$8:$A$1007,"&gt;="&amp;$A787-27,$A$8:$A$1007,"&lt;="&amp;$A787)/4)</f>
        <v>0</v>
      </c>
      <c r="J787" s="144" t="n">
        <f aca="false">IF(OR($A787="",$I787=0),0,$H787/$I787)</f>
        <v>0</v>
      </c>
      <c r="K787" s="40" t="n">
        <f aca="false">IF($A787="",0,$A787-SUMPRODUCT(MIN(($C$8:$C$1007=$C787)*$A$8:$A$1007+($C$8:$C$1007&lt;&gt;$C787)*100000))+1)</f>
        <v>0</v>
      </c>
      <c r="L787" s="26" t="str">
        <f aca="false">IF($A787="","",IF($J787=0,"Sem registro anterior",IF($K787&lt;21,"Histórico insuficiente",IF($J787&lt;0.8,"Subcarga",IF($J787&lt;=1.3,"Zona ideal",IF($J787&lt;=1.5,"Atenção","Risco elevado"))))))</f>
        <v/>
      </c>
      <c r="M787" s="27"/>
    </row>
    <row r="788" customFormat="false" ht="15" hidden="false" customHeight="false" outlineLevel="0" collapsed="false">
      <c r="A788" s="29"/>
      <c r="B788" s="40" t="n">
        <f aca="false">IF($A788="",0,INT(($A788-Macrociclo!$C$11)/7)+1)</f>
        <v>0</v>
      </c>
      <c r="C788" s="27"/>
      <c r="D788" s="27"/>
      <c r="E788" s="28"/>
      <c r="F788" s="28"/>
      <c r="G788" s="44" t="n">
        <f aca="false">IF(OR($E788="",$F788=""),0,$E788*$F788)</f>
        <v>0</v>
      </c>
      <c r="H788" s="44" t="n">
        <f aca="false">IF($A788="",0,SUMIFS($G$8:$G$1007,$C$8:$C$1007,$C788,$A$8:$A$1007,"&gt;="&amp;$A788-6,$A$8:$A$1007,"&lt;="&amp;$A788))</f>
        <v>0</v>
      </c>
      <c r="I788" s="44" t="n">
        <f aca="false">IF($A788="",0,SUMIFS($G$8:$G$1007,$C$8:$C$1007,$C788,$A$8:$A$1007,"&gt;="&amp;$A788-27,$A$8:$A$1007,"&lt;="&amp;$A788)/4)</f>
        <v>0</v>
      </c>
      <c r="J788" s="144" t="n">
        <f aca="false">IF(OR($A788="",$I788=0),0,$H788/$I788)</f>
        <v>0</v>
      </c>
      <c r="K788" s="40" t="n">
        <f aca="false">IF($A788="",0,$A788-SUMPRODUCT(MIN(($C$8:$C$1007=$C788)*$A$8:$A$1007+($C$8:$C$1007&lt;&gt;$C788)*100000))+1)</f>
        <v>0</v>
      </c>
      <c r="L788" s="26" t="str">
        <f aca="false">IF($A788="","",IF($J788=0,"Sem registro anterior",IF($K788&lt;21,"Histórico insuficiente",IF($J788&lt;0.8,"Subcarga",IF($J788&lt;=1.3,"Zona ideal",IF($J788&lt;=1.5,"Atenção","Risco elevado"))))))</f>
        <v/>
      </c>
      <c r="M788" s="27"/>
    </row>
    <row r="789" customFormat="false" ht="15" hidden="false" customHeight="false" outlineLevel="0" collapsed="false">
      <c r="A789" s="29"/>
      <c r="B789" s="40" t="n">
        <f aca="false">IF($A789="",0,INT(($A789-Macrociclo!$C$11)/7)+1)</f>
        <v>0</v>
      </c>
      <c r="C789" s="27"/>
      <c r="D789" s="27"/>
      <c r="E789" s="28"/>
      <c r="F789" s="28"/>
      <c r="G789" s="44" t="n">
        <f aca="false">IF(OR($E789="",$F789=""),0,$E789*$F789)</f>
        <v>0</v>
      </c>
      <c r="H789" s="44" t="n">
        <f aca="false">IF($A789="",0,SUMIFS($G$8:$G$1007,$C$8:$C$1007,$C789,$A$8:$A$1007,"&gt;="&amp;$A789-6,$A$8:$A$1007,"&lt;="&amp;$A789))</f>
        <v>0</v>
      </c>
      <c r="I789" s="44" t="n">
        <f aca="false">IF($A789="",0,SUMIFS($G$8:$G$1007,$C$8:$C$1007,$C789,$A$8:$A$1007,"&gt;="&amp;$A789-27,$A$8:$A$1007,"&lt;="&amp;$A789)/4)</f>
        <v>0</v>
      </c>
      <c r="J789" s="144" t="n">
        <f aca="false">IF(OR($A789="",$I789=0),0,$H789/$I789)</f>
        <v>0</v>
      </c>
      <c r="K789" s="40" t="n">
        <f aca="false">IF($A789="",0,$A789-SUMPRODUCT(MIN(($C$8:$C$1007=$C789)*$A$8:$A$1007+($C$8:$C$1007&lt;&gt;$C789)*100000))+1)</f>
        <v>0</v>
      </c>
      <c r="L789" s="26" t="str">
        <f aca="false">IF($A789="","",IF($J789=0,"Sem registro anterior",IF($K789&lt;21,"Histórico insuficiente",IF($J789&lt;0.8,"Subcarga",IF($J789&lt;=1.3,"Zona ideal",IF($J789&lt;=1.5,"Atenção","Risco elevado"))))))</f>
        <v/>
      </c>
      <c r="M789" s="27"/>
    </row>
    <row r="790" customFormat="false" ht="15" hidden="false" customHeight="false" outlineLevel="0" collapsed="false">
      <c r="A790" s="29"/>
      <c r="B790" s="40" t="n">
        <f aca="false">IF($A790="",0,INT(($A790-Macrociclo!$C$11)/7)+1)</f>
        <v>0</v>
      </c>
      <c r="C790" s="27"/>
      <c r="D790" s="27"/>
      <c r="E790" s="28"/>
      <c r="F790" s="28"/>
      <c r="G790" s="44" t="n">
        <f aca="false">IF(OR($E790="",$F790=""),0,$E790*$F790)</f>
        <v>0</v>
      </c>
      <c r="H790" s="44" t="n">
        <f aca="false">IF($A790="",0,SUMIFS($G$8:$G$1007,$C$8:$C$1007,$C790,$A$8:$A$1007,"&gt;="&amp;$A790-6,$A$8:$A$1007,"&lt;="&amp;$A790))</f>
        <v>0</v>
      </c>
      <c r="I790" s="44" t="n">
        <f aca="false">IF($A790="",0,SUMIFS($G$8:$G$1007,$C$8:$C$1007,$C790,$A$8:$A$1007,"&gt;="&amp;$A790-27,$A$8:$A$1007,"&lt;="&amp;$A790)/4)</f>
        <v>0</v>
      </c>
      <c r="J790" s="144" t="n">
        <f aca="false">IF(OR($A790="",$I790=0),0,$H790/$I790)</f>
        <v>0</v>
      </c>
      <c r="K790" s="40" t="n">
        <f aca="false">IF($A790="",0,$A790-SUMPRODUCT(MIN(($C$8:$C$1007=$C790)*$A$8:$A$1007+($C$8:$C$1007&lt;&gt;$C790)*100000))+1)</f>
        <v>0</v>
      </c>
      <c r="L790" s="26" t="str">
        <f aca="false">IF($A790="","",IF($J790=0,"Sem registro anterior",IF($K790&lt;21,"Histórico insuficiente",IF($J790&lt;0.8,"Subcarga",IF($J790&lt;=1.3,"Zona ideal",IF($J790&lt;=1.5,"Atenção","Risco elevado"))))))</f>
        <v/>
      </c>
      <c r="M790" s="27"/>
    </row>
    <row r="791" customFormat="false" ht="15" hidden="false" customHeight="false" outlineLevel="0" collapsed="false">
      <c r="A791" s="29"/>
      <c r="B791" s="40" t="n">
        <f aca="false">IF($A791="",0,INT(($A791-Macrociclo!$C$11)/7)+1)</f>
        <v>0</v>
      </c>
      <c r="C791" s="27"/>
      <c r="D791" s="27"/>
      <c r="E791" s="28"/>
      <c r="F791" s="28"/>
      <c r="G791" s="44" t="n">
        <f aca="false">IF(OR($E791="",$F791=""),0,$E791*$F791)</f>
        <v>0</v>
      </c>
      <c r="H791" s="44" t="n">
        <f aca="false">IF($A791="",0,SUMIFS($G$8:$G$1007,$C$8:$C$1007,$C791,$A$8:$A$1007,"&gt;="&amp;$A791-6,$A$8:$A$1007,"&lt;="&amp;$A791))</f>
        <v>0</v>
      </c>
      <c r="I791" s="44" t="n">
        <f aca="false">IF($A791="",0,SUMIFS($G$8:$G$1007,$C$8:$C$1007,$C791,$A$8:$A$1007,"&gt;="&amp;$A791-27,$A$8:$A$1007,"&lt;="&amp;$A791)/4)</f>
        <v>0</v>
      </c>
      <c r="J791" s="144" t="n">
        <f aca="false">IF(OR($A791="",$I791=0),0,$H791/$I791)</f>
        <v>0</v>
      </c>
      <c r="K791" s="40" t="n">
        <f aca="false">IF($A791="",0,$A791-SUMPRODUCT(MIN(($C$8:$C$1007=$C791)*$A$8:$A$1007+($C$8:$C$1007&lt;&gt;$C791)*100000))+1)</f>
        <v>0</v>
      </c>
      <c r="L791" s="26" t="str">
        <f aca="false">IF($A791="","",IF($J791=0,"Sem registro anterior",IF($K791&lt;21,"Histórico insuficiente",IF($J791&lt;0.8,"Subcarga",IF($J791&lt;=1.3,"Zona ideal",IF($J791&lt;=1.5,"Atenção","Risco elevado"))))))</f>
        <v/>
      </c>
      <c r="M791" s="27"/>
    </row>
    <row r="792" customFormat="false" ht="15" hidden="false" customHeight="false" outlineLevel="0" collapsed="false">
      <c r="A792" s="29"/>
      <c r="B792" s="40" t="n">
        <f aca="false">IF($A792="",0,INT(($A792-Macrociclo!$C$11)/7)+1)</f>
        <v>0</v>
      </c>
      <c r="C792" s="27"/>
      <c r="D792" s="27"/>
      <c r="E792" s="28"/>
      <c r="F792" s="28"/>
      <c r="G792" s="44" t="n">
        <f aca="false">IF(OR($E792="",$F792=""),0,$E792*$F792)</f>
        <v>0</v>
      </c>
      <c r="H792" s="44" t="n">
        <f aca="false">IF($A792="",0,SUMIFS($G$8:$G$1007,$C$8:$C$1007,$C792,$A$8:$A$1007,"&gt;="&amp;$A792-6,$A$8:$A$1007,"&lt;="&amp;$A792))</f>
        <v>0</v>
      </c>
      <c r="I792" s="44" t="n">
        <f aca="false">IF($A792="",0,SUMIFS($G$8:$G$1007,$C$8:$C$1007,$C792,$A$8:$A$1007,"&gt;="&amp;$A792-27,$A$8:$A$1007,"&lt;="&amp;$A792)/4)</f>
        <v>0</v>
      </c>
      <c r="J792" s="144" t="n">
        <f aca="false">IF(OR($A792="",$I792=0),0,$H792/$I792)</f>
        <v>0</v>
      </c>
      <c r="K792" s="40" t="n">
        <f aca="false">IF($A792="",0,$A792-SUMPRODUCT(MIN(($C$8:$C$1007=$C792)*$A$8:$A$1007+($C$8:$C$1007&lt;&gt;$C792)*100000))+1)</f>
        <v>0</v>
      </c>
      <c r="L792" s="26" t="str">
        <f aca="false">IF($A792="","",IF($J792=0,"Sem registro anterior",IF($K792&lt;21,"Histórico insuficiente",IF($J792&lt;0.8,"Subcarga",IF($J792&lt;=1.3,"Zona ideal",IF($J792&lt;=1.5,"Atenção","Risco elevado"))))))</f>
        <v/>
      </c>
      <c r="M792" s="27"/>
    </row>
    <row r="793" customFormat="false" ht="15" hidden="false" customHeight="false" outlineLevel="0" collapsed="false">
      <c r="A793" s="29"/>
      <c r="B793" s="40" t="n">
        <f aca="false">IF($A793="",0,INT(($A793-Macrociclo!$C$11)/7)+1)</f>
        <v>0</v>
      </c>
      <c r="C793" s="27"/>
      <c r="D793" s="27"/>
      <c r="E793" s="28"/>
      <c r="F793" s="28"/>
      <c r="G793" s="44" t="n">
        <f aca="false">IF(OR($E793="",$F793=""),0,$E793*$F793)</f>
        <v>0</v>
      </c>
      <c r="H793" s="44" t="n">
        <f aca="false">IF($A793="",0,SUMIFS($G$8:$G$1007,$C$8:$C$1007,$C793,$A$8:$A$1007,"&gt;="&amp;$A793-6,$A$8:$A$1007,"&lt;="&amp;$A793))</f>
        <v>0</v>
      </c>
      <c r="I793" s="44" t="n">
        <f aca="false">IF($A793="",0,SUMIFS($G$8:$G$1007,$C$8:$C$1007,$C793,$A$8:$A$1007,"&gt;="&amp;$A793-27,$A$8:$A$1007,"&lt;="&amp;$A793)/4)</f>
        <v>0</v>
      </c>
      <c r="J793" s="144" t="n">
        <f aca="false">IF(OR($A793="",$I793=0),0,$H793/$I793)</f>
        <v>0</v>
      </c>
      <c r="K793" s="40" t="n">
        <f aca="false">IF($A793="",0,$A793-SUMPRODUCT(MIN(($C$8:$C$1007=$C793)*$A$8:$A$1007+($C$8:$C$1007&lt;&gt;$C793)*100000))+1)</f>
        <v>0</v>
      </c>
      <c r="L793" s="26" t="str">
        <f aca="false">IF($A793="","",IF($J793=0,"Sem registro anterior",IF($K793&lt;21,"Histórico insuficiente",IF($J793&lt;0.8,"Subcarga",IF($J793&lt;=1.3,"Zona ideal",IF($J793&lt;=1.5,"Atenção","Risco elevado"))))))</f>
        <v/>
      </c>
      <c r="M793" s="27"/>
    </row>
    <row r="794" customFormat="false" ht="15" hidden="false" customHeight="false" outlineLevel="0" collapsed="false">
      <c r="A794" s="29"/>
      <c r="B794" s="40" t="n">
        <f aca="false">IF($A794="",0,INT(($A794-Macrociclo!$C$11)/7)+1)</f>
        <v>0</v>
      </c>
      <c r="C794" s="27"/>
      <c r="D794" s="27"/>
      <c r="E794" s="28"/>
      <c r="F794" s="28"/>
      <c r="G794" s="44" t="n">
        <f aca="false">IF(OR($E794="",$F794=""),0,$E794*$F794)</f>
        <v>0</v>
      </c>
      <c r="H794" s="44" t="n">
        <f aca="false">IF($A794="",0,SUMIFS($G$8:$G$1007,$C$8:$C$1007,$C794,$A$8:$A$1007,"&gt;="&amp;$A794-6,$A$8:$A$1007,"&lt;="&amp;$A794))</f>
        <v>0</v>
      </c>
      <c r="I794" s="44" t="n">
        <f aca="false">IF($A794="",0,SUMIFS($G$8:$G$1007,$C$8:$C$1007,$C794,$A$8:$A$1007,"&gt;="&amp;$A794-27,$A$8:$A$1007,"&lt;="&amp;$A794)/4)</f>
        <v>0</v>
      </c>
      <c r="J794" s="144" t="n">
        <f aca="false">IF(OR($A794="",$I794=0),0,$H794/$I794)</f>
        <v>0</v>
      </c>
      <c r="K794" s="40" t="n">
        <f aca="false">IF($A794="",0,$A794-SUMPRODUCT(MIN(($C$8:$C$1007=$C794)*$A$8:$A$1007+($C$8:$C$1007&lt;&gt;$C794)*100000))+1)</f>
        <v>0</v>
      </c>
      <c r="L794" s="26" t="str">
        <f aca="false">IF($A794="","",IF($J794=0,"Sem registro anterior",IF($K794&lt;21,"Histórico insuficiente",IF($J794&lt;0.8,"Subcarga",IF($J794&lt;=1.3,"Zona ideal",IF($J794&lt;=1.5,"Atenção","Risco elevado"))))))</f>
        <v/>
      </c>
      <c r="M794" s="27"/>
    </row>
    <row r="795" customFormat="false" ht="15" hidden="false" customHeight="false" outlineLevel="0" collapsed="false">
      <c r="A795" s="29"/>
      <c r="B795" s="40" t="n">
        <f aca="false">IF($A795="",0,INT(($A795-Macrociclo!$C$11)/7)+1)</f>
        <v>0</v>
      </c>
      <c r="C795" s="27"/>
      <c r="D795" s="27"/>
      <c r="E795" s="28"/>
      <c r="F795" s="28"/>
      <c r="G795" s="44" t="n">
        <f aca="false">IF(OR($E795="",$F795=""),0,$E795*$F795)</f>
        <v>0</v>
      </c>
      <c r="H795" s="44" t="n">
        <f aca="false">IF($A795="",0,SUMIFS($G$8:$G$1007,$C$8:$C$1007,$C795,$A$8:$A$1007,"&gt;="&amp;$A795-6,$A$8:$A$1007,"&lt;="&amp;$A795))</f>
        <v>0</v>
      </c>
      <c r="I795" s="44" t="n">
        <f aca="false">IF($A795="",0,SUMIFS($G$8:$G$1007,$C$8:$C$1007,$C795,$A$8:$A$1007,"&gt;="&amp;$A795-27,$A$8:$A$1007,"&lt;="&amp;$A795)/4)</f>
        <v>0</v>
      </c>
      <c r="J795" s="144" t="n">
        <f aca="false">IF(OR($A795="",$I795=0),0,$H795/$I795)</f>
        <v>0</v>
      </c>
      <c r="K795" s="40" t="n">
        <f aca="false">IF($A795="",0,$A795-SUMPRODUCT(MIN(($C$8:$C$1007=$C795)*$A$8:$A$1007+($C$8:$C$1007&lt;&gt;$C795)*100000))+1)</f>
        <v>0</v>
      </c>
      <c r="L795" s="26" t="str">
        <f aca="false">IF($A795="","",IF($J795=0,"Sem registro anterior",IF($K795&lt;21,"Histórico insuficiente",IF($J795&lt;0.8,"Subcarga",IF($J795&lt;=1.3,"Zona ideal",IF($J795&lt;=1.5,"Atenção","Risco elevado"))))))</f>
        <v/>
      </c>
      <c r="M795" s="27"/>
    </row>
    <row r="796" customFormat="false" ht="15" hidden="false" customHeight="false" outlineLevel="0" collapsed="false">
      <c r="A796" s="29"/>
      <c r="B796" s="40" t="n">
        <f aca="false">IF($A796="",0,INT(($A796-Macrociclo!$C$11)/7)+1)</f>
        <v>0</v>
      </c>
      <c r="C796" s="27"/>
      <c r="D796" s="27"/>
      <c r="E796" s="28"/>
      <c r="F796" s="28"/>
      <c r="G796" s="44" t="n">
        <f aca="false">IF(OR($E796="",$F796=""),0,$E796*$F796)</f>
        <v>0</v>
      </c>
      <c r="H796" s="44" t="n">
        <f aca="false">IF($A796="",0,SUMIFS($G$8:$G$1007,$C$8:$C$1007,$C796,$A$8:$A$1007,"&gt;="&amp;$A796-6,$A$8:$A$1007,"&lt;="&amp;$A796))</f>
        <v>0</v>
      </c>
      <c r="I796" s="44" t="n">
        <f aca="false">IF($A796="",0,SUMIFS($G$8:$G$1007,$C$8:$C$1007,$C796,$A$8:$A$1007,"&gt;="&amp;$A796-27,$A$8:$A$1007,"&lt;="&amp;$A796)/4)</f>
        <v>0</v>
      </c>
      <c r="J796" s="144" t="n">
        <f aca="false">IF(OR($A796="",$I796=0),0,$H796/$I796)</f>
        <v>0</v>
      </c>
      <c r="K796" s="40" t="n">
        <f aca="false">IF($A796="",0,$A796-SUMPRODUCT(MIN(($C$8:$C$1007=$C796)*$A$8:$A$1007+($C$8:$C$1007&lt;&gt;$C796)*100000))+1)</f>
        <v>0</v>
      </c>
      <c r="L796" s="26" t="str">
        <f aca="false">IF($A796="","",IF($J796=0,"Sem registro anterior",IF($K796&lt;21,"Histórico insuficiente",IF($J796&lt;0.8,"Subcarga",IF($J796&lt;=1.3,"Zona ideal",IF($J796&lt;=1.5,"Atenção","Risco elevado"))))))</f>
        <v/>
      </c>
      <c r="M796" s="27"/>
    </row>
    <row r="797" customFormat="false" ht="15" hidden="false" customHeight="false" outlineLevel="0" collapsed="false">
      <c r="A797" s="29"/>
      <c r="B797" s="40" t="n">
        <f aca="false">IF($A797="",0,INT(($A797-Macrociclo!$C$11)/7)+1)</f>
        <v>0</v>
      </c>
      <c r="C797" s="27"/>
      <c r="D797" s="27"/>
      <c r="E797" s="28"/>
      <c r="F797" s="28"/>
      <c r="G797" s="44" t="n">
        <f aca="false">IF(OR($E797="",$F797=""),0,$E797*$F797)</f>
        <v>0</v>
      </c>
      <c r="H797" s="44" t="n">
        <f aca="false">IF($A797="",0,SUMIFS($G$8:$G$1007,$C$8:$C$1007,$C797,$A$8:$A$1007,"&gt;="&amp;$A797-6,$A$8:$A$1007,"&lt;="&amp;$A797))</f>
        <v>0</v>
      </c>
      <c r="I797" s="44" t="n">
        <f aca="false">IF($A797="",0,SUMIFS($G$8:$G$1007,$C$8:$C$1007,$C797,$A$8:$A$1007,"&gt;="&amp;$A797-27,$A$8:$A$1007,"&lt;="&amp;$A797)/4)</f>
        <v>0</v>
      </c>
      <c r="J797" s="144" t="n">
        <f aca="false">IF(OR($A797="",$I797=0),0,$H797/$I797)</f>
        <v>0</v>
      </c>
      <c r="K797" s="40" t="n">
        <f aca="false">IF($A797="",0,$A797-SUMPRODUCT(MIN(($C$8:$C$1007=$C797)*$A$8:$A$1007+($C$8:$C$1007&lt;&gt;$C797)*100000))+1)</f>
        <v>0</v>
      </c>
      <c r="L797" s="26" t="str">
        <f aca="false">IF($A797="","",IF($J797=0,"Sem registro anterior",IF($K797&lt;21,"Histórico insuficiente",IF($J797&lt;0.8,"Subcarga",IF($J797&lt;=1.3,"Zona ideal",IF($J797&lt;=1.5,"Atenção","Risco elevado"))))))</f>
        <v/>
      </c>
      <c r="M797" s="27"/>
    </row>
    <row r="798" customFormat="false" ht="15" hidden="false" customHeight="false" outlineLevel="0" collapsed="false">
      <c r="A798" s="29"/>
      <c r="B798" s="40" t="n">
        <f aca="false">IF($A798="",0,INT(($A798-Macrociclo!$C$11)/7)+1)</f>
        <v>0</v>
      </c>
      <c r="C798" s="27"/>
      <c r="D798" s="27"/>
      <c r="E798" s="28"/>
      <c r="F798" s="28"/>
      <c r="G798" s="44" t="n">
        <f aca="false">IF(OR($E798="",$F798=""),0,$E798*$F798)</f>
        <v>0</v>
      </c>
      <c r="H798" s="44" t="n">
        <f aca="false">IF($A798="",0,SUMIFS($G$8:$G$1007,$C$8:$C$1007,$C798,$A$8:$A$1007,"&gt;="&amp;$A798-6,$A$8:$A$1007,"&lt;="&amp;$A798))</f>
        <v>0</v>
      </c>
      <c r="I798" s="44" t="n">
        <f aca="false">IF($A798="",0,SUMIFS($G$8:$G$1007,$C$8:$C$1007,$C798,$A$8:$A$1007,"&gt;="&amp;$A798-27,$A$8:$A$1007,"&lt;="&amp;$A798)/4)</f>
        <v>0</v>
      </c>
      <c r="J798" s="144" t="n">
        <f aca="false">IF(OR($A798="",$I798=0),0,$H798/$I798)</f>
        <v>0</v>
      </c>
      <c r="K798" s="40" t="n">
        <f aca="false">IF($A798="",0,$A798-SUMPRODUCT(MIN(($C$8:$C$1007=$C798)*$A$8:$A$1007+($C$8:$C$1007&lt;&gt;$C798)*100000))+1)</f>
        <v>0</v>
      </c>
      <c r="L798" s="26" t="str">
        <f aca="false">IF($A798="","",IF($J798=0,"Sem registro anterior",IF($K798&lt;21,"Histórico insuficiente",IF($J798&lt;0.8,"Subcarga",IF($J798&lt;=1.3,"Zona ideal",IF($J798&lt;=1.5,"Atenção","Risco elevado"))))))</f>
        <v/>
      </c>
      <c r="M798" s="27"/>
    </row>
    <row r="799" customFormat="false" ht="15" hidden="false" customHeight="false" outlineLevel="0" collapsed="false">
      <c r="A799" s="29"/>
      <c r="B799" s="40" t="n">
        <f aca="false">IF($A799="",0,INT(($A799-Macrociclo!$C$11)/7)+1)</f>
        <v>0</v>
      </c>
      <c r="C799" s="27"/>
      <c r="D799" s="27"/>
      <c r="E799" s="28"/>
      <c r="F799" s="28"/>
      <c r="G799" s="44" t="n">
        <f aca="false">IF(OR($E799="",$F799=""),0,$E799*$F799)</f>
        <v>0</v>
      </c>
      <c r="H799" s="44" t="n">
        <f aca="false">IF($A799="",0,SUMIFS($G$8:$G$1007,$C$8:$C$1007,$C799,$A$8:$A$1007,"&gt;="&amp;$A799-6,$A$8:$A$1007,"&lt;="&amp;$A799))</f>
        <v>0</v>
      </c>
      <c r="I799" s="44" t="n">
        <f aca="false">IF($A799="",0,SUMIFS($G$8:$G$1007,$C$8:$C$1007,$C799,$A$8:$A$1007,"&gt;="&amp;$A799-27,$A$8:$A$1007,"&lt;="&amp;$A799)/4)</f>
        <v>0</v>
      </c>
      <c r="J799" s="144" t="n">
        <f aca="false">IF(OR($A799="",$I799=0),0,$H799/$I799)</f>
        <v>0</v>
      </c>
      <c r="K799" s="40" t="n">
        <f aca="false">IF($A799="",0,$A799-SUMPRODUCT(MIN(($C$8:$C$1007=$C799)*$A$8:$A$1007+($C$8:$C$1007&lt;&gt;$C799)*100000))+1)</f>
        <v>0</v>
      </c>
      <c r="L799" s="26" t="str">
        <f aca="false">IF($A799="","",IF($J799=0,"Sem registro anterior",IF($K799&lt;21,"Histórico insuficiente",IF($J799&lt;0.8,"Subcarga",IF($J799&lt;=1.3,"Zona ideal",IF($J799&lt;=1.5,"Atenção","Risco elevado"))))))</f>
        <v/>
      </c>
      <c r="M799" s="27"/>
    </row>
    <row r="800" customFormat="false" ht="15" hidden="false" customHeight="false" outlineLevel="0" collapsed="false">
      <c r="A800" s="29"/>
      <c r="B800" s="40" t="n">
        <f aca="false">IF($A800="",0,INT(($A800-Macrociclo!$C$11)/7)+1)</f>
        <v>0</v>
      </c>
      <c r="C800" s="27"/>
      <c r="D800" s="27"/>
      <c r="E800" s="28"/>
      <c r="F800" s="28"/>
      <c r="G800" s="44" t="n">
        <f aca="false">IF(OR($E800="",$F800=""),0,$E800*$F800)</f>
        <v>0</v>
      </c>
      <c r="H800" s="44" t="n">
        <f aca="false">IF($A800="",0,SUMIFS($G$8:$G$1007,$C$8:$C$1007,$C800,$A$8:$A$1007,"&gt;="&amp;$A800-6,$A$8:$A$1007,"&lt;="&amp;$A800))</f>
        <v>0</v>
      </c>
      <c r="I800" s="44" t="n">
        <f aca="false">IF($A800="",0,SUMIFS($G$8:$G$1007,$C$8:$C$1007,$C800,$A$8:$A$1007,"&gt;="&amp;$A800-27,$A$8:$A$1007,"&lt;="&amp;$A800)/4)</f>
        <v>0</v>
      </c>
      <c r="J800" s="144" t="n">
        <f aca="false">IF(OR($A800="",$I800=0),0,$H800/$I800)</f>
        <v>0</v>
      </c>
      <c r="K800" s="40" t="n">
        <f aca="false">IF($A800="",0,$A800-SUMPRODUCT(MIN(($C$8:$C$1007=$C800)*$A$8:$A$1007+($C$8:$C$1007&lt;&gt;$C800)*100000))+1)</f>
        <v>0</v>
      </c>
      <c r="L800" s="26" t="str">
        <f aca="false">IF($A800="","",IF($J800=0,"Sem registro anterior",IF($K800&lt;21,"Histórico insuficiente",IF($J800&lt;0.8,"Subcarga",IF($J800&lt;=1.3,"Zona ideal",IF($J800&lt;=1.5,"Atenção","Risco elevado"))))))</f>
        <v/>
      </c>
      <c r="M800" s="27"/>
    </row>
    <row r="801" customFormat="false" ht="15" hidden="false" customHeight="false" outlineLevel="0" collapsed="false">
      <c r="A801" s="29"/>
      <c r="B801" s="40" t="n">
        <f aca="false">IF($A801="",0,INT(($A801-Macrociclo!$C$11)/7)+1)</f>
        <v>0</v>
      </c>
      <c r="C801" s="27"/>
      <c r="D801" s="27"/>
      <c r="E801" s="28"/>
      <c r="F801" s="28"/>
      <c r="G801" s="44" t="n">
        <f aca="false">IF(OR($E801="",$F801=""),0,$E801*$F801)</f>
        <v>0</v>
      </c>
      <c r="H801" s="44" t="n">
        <f aca="false">IF($A801="",0,SUMIFS($G$8:$G$1007,$C$8:$C$1007,$C801,$A$8:$A$1007,"&gt;="&amp;$A801-6,$A$8:$A$1007,"&lt;="&amp;$A801))</f>
        <v>0</v>
      </c>
      <c r="I801" s="44" t="n">
        <f aca="false">IF($A801="",0,SUMIFS($G$8:$G$1007,$C$8:$C$1007,$C801,$A$8:$A$1007,"&gt;="&amp;$A801-27,$A$8:$A$1007,"&lt;="&amp;$A801)/4)</f>
        <v>0</v>
      </c>
      <c r="J801" s="144" t="n">
        <f aca="false">IF(OR($A801="",$I801=0),0,$H801/$I801)</f>
        <v>0</v>
      </c>
      <c r="K801" s="40" t="n">
        <f aca="false">IF($A801="",0,$A801-SUMPRODUCT(MIN(($C$8:$C$1007=$C801)*$A$8:$A$1007+($C$8:$C$1007&lt;&gt;$C801)*100000))+1)</f>
        <v>0</v>
      </c>
      <c r="L801" s="26" t="str">
        <f aca="false">IF($A801="","",IF($J801=0,"Sem registro anterior",IF($K801&lt;21,"Histórico insuficiente",IF($J801&lt;0.8,"Subcarga",IF($J801&lt;=1.3,"Zona ideal",IF($J801&lt;=1.5,"Atenção","Risco elevado"))))))</f>
        <v/>
      </c>
      <c r="M801" s="27"/>
    </row>
    <row r="802" customFormat="false" ht="15" hidden="false" customHeight="false" outlineLevel="0" collapsed="false">
      <c r="A802" s="29"/>
      <c r="B802" s="40" t="n">
        <f aca="false">IF($A802="",0,INT(($A802-Macrociclo!$C$11)/7)+1)</f>
        <v>0</v>
      </c>
      <c r="C802" s="27"/>
      <c r="D802" s="27"/>
      <c r="E802" s="28"/>
      <c r="F802" s="28"/>
      <c r="G802" s="44" t="n">
        <f aca="false">IF(OR($E802="",$F802=""),0,$E802*$F802)</f>
        <v>0</v>
      </c>
      <c r="H802" s="44" t="n">
        <f aca="false">IF($A802="",0,SUMIFS($G$8:$G$1007,$C$8:$C$1007,$C802,$A$8:$A$1007,"&gt;="&amp;$A802-6,$A$8:$A$1007,"&lt;="&amp;$A802))</f>
        <v>0</v>
      </c>
      <c r="I802" s="44" t="n">
        <f aca="false">IF($A802="",0,SUMIFS($G$8:$G$1007,$C$8:$C$1007,$C802,$A$8:$A$1007,"&gt;="&amp;$A802-27,$A$8:$A$1007,"&lt;="&amp;$A802)/4)</f>
        <v>0</v>
      </c>
      <c r="J802" s="144" t="n">
        <f aca="false">IF(OR($A802="",$I802=0),0,$H802/$I802)</f>
        <v>0</v>
      </c>
      <c r="K802" s="40" t="n">
        <f aca="false">IF($A802="",0,$A802-SUMPRODUCT(MIN(($C$8:$C$1007=$C802)*$A$8:$A$1007+($C$8:$C$1007&lt;&gt;$C802)*100000))+1)</f>
        <v>0</v>
      </c>
      <c r="L802" s="26" t="str">
        <f aca="false">IF($A802="","",IF($J802=0,"Sem registro anterior",IF($K802&lt;21,"Histórico insuficiente",IF($J802&lt;0.8,"Subcarga",IF($J802&lt;=1.3,"Zona ideal",IF($J802&lt;=1.5,"Atenção","Risco elevado"))))))</f>
        <v/>
      </c>
      <c r="M802" s="27"/>
    </row>
    <row r="803" customFormat="false" ht="15" hidden="false" customHeight="false" outlineLevel="0" collapsed="false">
      <c r="A803" s="29"/>
      <c r="B803" s="40" t="n">
        <f aca="false">IF($A803="",0,INT(($A803-Macrociclo!$C$11)/7)+1)</f>
        <v>0</v>
      </c>
      <c r="C803" s="27"/>
      <c r="D803" s="27"/>
      <c r="E803" s="28"/>
      <c r="F803" s="28"/>
      <c r="G803" s="44" t="n">
        <f aca="false">IF(OR($E803="",$F803=""),0,$E803*$F803)</f>
        <v>0</v>
      </c>
      <c r="H803" s="44" t="n">
        <f aca="false">IF($A803="",0,SUMIFS($G$8:$G$1007,$C$8:$C$1007,$C803,$A$8:$A$1007,"&gt;="&amp;$A803-6,$A$8:$A$1007,"&lt;="&amp;$A803))</f>
        <v>0</v>
      </c>
      <c r="I803" s="44" t="n">
        <f aca="false">IF($A803="",0,SUMIFS($G$8:$G$1007,$C$8:$C$1007,$C803,$A$8:$A$1007,"&gt;="&amp;$A803-27,$A$8:$A$1007,"&lt;="&amp;$A803)/4)</f>
        <v>0</v>
      </c>
      <c r="J803" s="144" t="n">
        <f aca="false">IF(OR($A803="",$I803=0),0,$H803/$I803)</f>
        <v>0</v>
      </c>
      <c r="K803" s="40" t="n">
        <f aca="false">IF($A803="",0,$A803-SUMPRODUCT(MIN(($C$8:$C$1007=$C803)*$A$8:$A$1007+($C$8:$C$1007&lt;&gt;$C803)*100000))+1)</f>
        <v>0</v>
      </c>
      <c r="L803" s="26" t="str">
        <f aca="false">IF($A803="","",IF($J803=0,"Sem registro anterior",IF($K803&lt;21,"Histórico insuficiente",IF($J803&lt;0.8,"Subcarga",IF($J803&lt;=1.3,"Zona ideal",IF($J803&lt;=1.5,"Atenção","Risco elevado"))))))</f>
        <v/>
      </c>
      <c r="M803" s="27"/>
    </row>
    <row r="804" customFormat="false" ht="15" hidden="false" customHeight="false" outlineLevel="0" collapsed="false">
      <c r="A804" s="29"/>
      <c r="B804" s="40" t="n">
        <f aca="false">IF($A804="",0,INT(($A804-Macrociclo!$C$11)/7)+1)</f>
        <v>0</v>
      </c>
      <c r="C804" s="27"/>
      <c r="D804" s="27"/>
      <c r="E804" s="28"/>
      <c r="F804" s="28"/>
      <c r="G804" s="44" t="n">
        <f aca="false">IF(OR($E804="",$F804=""),0,$E804*$F804)</f>
        <v>0</v>
      </c>
      <c r="H804" s="44" t="n">
        <f aca="false">IF($A804="",0,SUMIFS($G$8:$G$1007,$C$8:$C$1007,$C804,$A$8:$A$1007,"&gt;="&amp;$A804-6,$A$8:$A$1007,"&lt;="&amp;$A804))</f>
        <v>0</v>
      </c>
      <c r="I804" s="44" t="n">
        <f aca="false">IF($A804="",0,SUMIFS($G$8:$G$1007,$C$8:$C$1007,$C804,$A$8:$A$1007,"&gt;="&amp;$A804-27,$A$8:$A$1007,"&lt;="&amp;$A804)/4)</f>
        <v>0</v>
      </c>
      <c r="J804" s="144" t="n">
        <f aca="false">IF(OR($A804="",$I804=0),0,$H804/$I804)</f>
        <v>0</v>
      </c>
      <c r="K804" s="40" t="n">
        <f aca="false">IF($A804="",0,$A804-SUMPRODUCT(MIN(($C$8:$C$1007=$C804)*$A$8:$A$1007+($C$8:$C$1007&lt;&gt;$C804)*100000))+1)</f>
        <v>0</v>
      </c>
      <c r="L804" s="26" t="str">
        <f aca="false">IF($A804="","",IF($J804=0,"Sem registro anterior",IF($K804&lt;21,"Histórico insuficiente",IF($J804&lt;0.8,"Subcarga",IF($J804&lt;=1.3,"Zona ideal",IF($J804&lt;=1.5,"Atenção","Risco elevado"))))))</f>
        <v/>
      </c>
      <c r="M804" s="27"/>
    </row>
    <row r="805" customFormat="false" ht="15" hidden="false" customHeight="false" outlineLevel="0" collapsed="false">
      <c r="A805" s="29"/>
      <c r="B805" s="40" t="n">
        <f aca="false">IF($A805="",0,INT(($A805-Macrociclo!$C$11)/7)+1)</f>
        <v>0</v>
      </c>
      <c r="C805" s="27"/>
      <c r="D805" s="27"/>
      <c r="E805" s="28"/>
      <c r="F805" s="28"/>
      <c r="G805" s="44" t="n">
        <f aca="false">IF(OR($E805="",$F805=""),0,$E805*$F805)</f>
        <v>0</v>
      </c>
      <c r="H805" s="44" t="n">
        <f aca="false">IF($A805="",0,SUMIFS($G$8:$G$1007,$C$8:$C$1007,$C805,$A$8:$A$1007,"&gt;="&amp;$A805-6,$A$8:$A$1007,"&lt;="&amp;$A805))</f>
        <v>0</v>
      </c>
      <c r="I805" s="44" t="n">
        <f aca="false">IF($A805="",0,SUMIFS($G$8:$G$1007,$C$8:$C$1007,$C805,$A$8:$A$1007,"&gt;="&amp;$A805-27,$A$8:$A$1007,"&lt;="&amp;$A805)/4)</f>
        <v>0</v>
      </c>
      <c r="J805" s="144" t="n">
        <f aca="false">IF(OR($A805="",$I805=0),0,$H805/$I805)</f>
        <v>0</v>
      </c>
      <c r="K805" s="40" t="n">
        <f aca="false">IF($A805="",0,$A805-SUMPRODUCT(MIN(($C$8:$C$1007=$C805)*$A$8:$A$1007+($C$8:$C$1007&lt;&gt;$C805)*100000))+1)</f>
        <v>0</v>
      </c>
      <c r="L805" s="26" t="str">
        <f aca="false">IF($A805="","",IF($J805=0,"Sem registro anterior",IF($K805&lt;21,"Histórico insuficiente",IF($J805&lt;0.8,"Subcarga",IF($J805&lt;=1.3,"Zona ideal",IF($J805&lt;=1.5,"Atenção","Risco elevado"))))))</f>
        <v/>
      </c>
      <c r="M805" s="27"/>
    </row>
    <row r="806" customFormat="false" ht="15" hidden="false" customHeight="false" outlineLevel="0" collapsed="false">
      <c r="A806" s="29"/>
      <c r="B806" s="40" t="n">
        <f aca="false">IF($A806="",0,INT(($A806-Macrociclo!$C$11)/7)+1)</f>
        <v>0</v>
      </c>
      <c r="C806" s="27"/>
      <c r="D806" s="27"/>
      <c r="E806" s="28"/>
      <c r="F806" s="28"/>
      <c r="G806" s="44" t="n">
        <f aca="false">IF(OR($E806="",$F806=""),0,$E806*$F806)</f>
        <v>0</v>
      </c>
      <c r="H806" s="44" t="n">
        <f aca="false">IF($A806="",0,SUMIFS($G$8:$G$1007,$C$8:$C$1007,$C806,$A$8:$A$1007,"&gt;="&amp;$A806-6,$A$8:$A$1007,"&lt;="&amp;$A806))</f>
        <v>0</v>
      </c>
      <c r="I806" s="44" t="n">
        <f aca="false">IF($A806="",0,SUMIFS($G$8:$G$1007,$C$8:$C$1007,$C806,$A$8:$A$1007,"&gt;="&amp;$A806-27,$A$8:$A$1007,"&lt;="&amp;$A806)/4)</f>
        <v>0</v>
      </c>
      <c r="J806" s="144" t="n">
        <f aca="false">IF(OR($A806="",$I806=0),0,$H806/$I806)</f>
        <v>0</v>
      </c>
      <c r="K806" s="40" t="n">
        <f aca="false">IF($A806="",0,$A806-SUMPRODUCT(MIN(($C$8:$C$1007=$C806)*$A$8:$A$1007+($C$8:$C$1007&lt;&gt;$C806)*100000))+1)</f>
        <v>0</v>
      </c>
      <c r="L806" s="26" t="str">
        <f aca="false">IF($A806="","",IF($J806=0,"Sem registro anterior",IF($K806&lt;21,"Histórico insuficiente",IF($J806&lt;0.8,"Subcarga",IF($J806&lt;=1.3,"Zona ideal",IF($J806&lt;=1.5,"Atenção","Risco elevado"))))))</f>
        <v/>
      </c>
      <c r="M806" s="27"/>
    </row>
    <row r="807" customFormat="false" ht="15" hidden="false" customHeight="false" outlineLevel="0" collapsed="false">
      <c r="A807" s="29"/>
      <c r="B807" s="40" t="n">
        <f aca="false">IF($A807="",0,INT(($A807-Macrociclo!$C$11)/7)+1)</f>
        <v>0</v>
      </c>
      <c r="C807" s="27"/>
      <c r="D807" s="27"/>
      <c r="E807" s="28"/>
      <c r="F807" s="28"/>
      <c r="G807" s="44" t="n">
        <f aca="false">IF(OR($E807="",$F807=""),0,$E807*$F807)</f>
        <v>0</v>
      </c>
      <c r="H807" s="44" t="n">
        <f aca="false">IF($A807="",0,SUMIFS($G$8:$G$1007,$C$8:$C$1007,$C807,$A$8:$A$1007,"&gt;="&amp;$A807-6,$A$8:$A$1007,"&lt;="&amp;$A807))</f>
        <v>0</v>
      </c>
      <c r="I807" s="44" t="n">
        <f aca="false">IF($A807="",0,SUMIFS($G$8:$G$1007,$C$8:$C$1007,$C807,$A$8:$A$1007,"&gt;="&amp;$A807-27,$A$8:$A$1007,"&lt;="&amp;$A807)/4)</f>
        <v>0</v>
      </c>
      <c r="J807" s="144" t="n">
        <f aca="false">IF(OR($A807="",$I807=0),0,$H807/$I807)</f>
        <v>0</v>
      </c>
      <c r="K807" s="40" t="n">
        <f aca="false">IF($A807="",0,$A807-SUMPRODUCT(MIN(($C$8:$C$1007=$C807)*$A$8:$A$1007+($C$8:$C$1007&lt;&gt;$C807)*100000))+1)</f>
        <v>0</v>
      </c>
      <c r="L807" s="26" t="str">
        <f aca="false">IF($A807="","",IF($J807=0,"Sem registro anterior",IF($K807&lt;21,"Histórico insuficiente",IF($J807&lt;0.8,"Subcarga",IF($J807&lt;=1.3,"Zona ideal",IF($J807&lt;=1.5,"Atenção","Risco elevado"))))))</f>
        <v/>
      </c>
      <c r="M807" s="27"/>
    </row>
    <row r="808" customFormat="false" ht="15" hidden="false" customHeight="false" outlineLevel="0" collapsed="false">
      <c r="A808" s="29"/>
      <c r="B808" s="40" t="n">
        <f aca="false">IF($A808="",0,INT(($A808-Macrociclo!$C$11)/7)+1)</f>
        <v>0</v>
      </c>
      <c r="C808" s="27"/>
      <c r="D808" s="27"/>
      <c r="E808" s="28"/>
      <c r="F808" s="28"/>
      <c r="G808" s="44" t="n">
        <f aca="false">IF(OR($E808="",$F808=""),0,$E808*$F808)</f>
        <v>0</v>
      </c>
      <c r="H808" s="44" t="n">
        <f aca="false">IF($A808="",0,SUMIFS($G$8:$G$1007,$C$8:$C$1007,$C808,$A$8:$A$1007,"&gt;="&amp;$A808-6,$A$8:$A$1007,"&lt;="&amp;$A808))</f>
        <v>0</v>
      </c>
      <c r="I808" s="44" t="n">
        <f aca="false">IF($A808="",0,SUMIFS($G$8:$G$1007,$C$8:$C$1007,$C808,$A$8:$A$1007,"&gt;="&amp;$A808-27,$A$8:$A$1007,"&lt;="&amp;$A808)/4)</f>
        <v>0</v>
      </c>
      <c r="J808" s="144" t="n">
        <f aca="false">IF(OR($A808="",$I808=0),0,$H808/$I808)</f>
        <v>0</v>
      </c>
      <c r="K808" s="40" t="n">
        <f aca="false">IF($A808="",0,$A808-SUMPRODUCT(MIN(($C$8:$C$1007=$C808)*$A$8:$A$1007+($C$8:$C$1007&lt;&gt;$C808)*100000))+1)</f>
        <v>0</v>
      </c>
      <c r="L808" s="26" t="str">
        <f aca="false">IF($A808="","",IF($J808=0,"Sem registro anterior",IF($K808&lt;21,"Histórico insuficiente",IF($J808&lt;0.8,"Subcarga",IF($J808&lt;=1.3,"Zona ideal",IF($J808&lt;=1.5,"Atenção","Risco elevado"))))))</f>
        <v/>
      </c>
      <c r="M808" s="27"/>
    </row>
    <row r="809" customFormat="false" ht="15" hidden="false" customHeight="false" outlineLevel="0" collapsed="false">
      <c r="A809" s="29"/>
      <c r="B809" s="40" t="n">
        <f aca="false">IF($A809="",0,INT(($A809-Macrociclo!$C$11)/7)+1)</f>
        <v>0</v>
      </c>
      <c r="C809" s="27"/>
      <c r="D809" s="27"/>
      <c r="E809" s="28"/>
      <c r="F809" s="28"/>
      <c r="G809" s="44" t="n">
        <f aca="false">IF(OR($E809="",$F809=""),0,$E809*$F809)</f>
        <v>0</v>
      </c>
      <c r="H809" s="44" t="n">
        <f aca="false">IF($A809="",0,SUMIFS($G$8:$G$1007,$C$8:$C$1007,$C809,$A$8:$A$1007,"&gt;="&amp;$A809-6,$A$8:$A$1007,"&lt;="&amp;$A809))</f>
        <v>0</v>
      </c>
      <c r="I809" s="44" t="n">
        <f aca="false">IF($A809="",0,SUMIFS($G$8:$G$1007,$C$8:$C$1007,$C809,$A$8:$A$1007,"&gt;="&amp;$A809-27,$A$8:$A$1007,"&lt;="&amp;$A809)/4)</f>
        <v>0</v>
      </c>
      <c r="J809" s="144" t="n">
        <f aca="false">IF(OR($A809="",$I809=0),0,$H809/$I809)</f>
        <v>0</v>
      </c>
      <c r="K809" s="40" t="n">
        <f aca="false">IF($A809="",0,$A809-SUMPRODUCT(MIN(($C$8:$C$1007=$C809)*$A$8:$A$1007+($C$8:$C$1007&lt;&gt;$C809)*100000))+1)</f>
        <v>0</v>
      </c>
      <c r="L809" s="26" t="str">
        <f aca="false">IF($A809="","",IF($J809=0,"Sem registro anterior",IF($K809&lt;21,"Histórico insuficiente",IF($J809&lt;0.8,"Subcarga",IF($J809&lt;=1.3,"Zona ideal",IF($J809&lt;=1.5,"Atenção","Risco elevado"))))))</f>
        <v/>
      </c>
      <c r="M809" s="27"/>
    </row>
    <row r="810" customFormat="false" ht="15" hidden="false" customHeight="false" outlineLevel="0" collapsed="false">
      <c r="A810" s="29"/>
      <c r="B810" s="40" t="n">
        <f aca="false">IF($A810="",0,INT(($A810-Macrociclo!$C$11)/7)+1)</f>
        <v>0</v>
      </c>
      <c r="C810" s="27"/>
      <c r="D810" s="27"/>
      <c r="E810" s="28"/>
      <c r="F810" s="28"/>
      <c r="G810" s="44" t="n">
        <f aca="false">IF(OR($E810="",$F810=""),0,$E810*$F810)</f>
        <v>0</v>
      </c>
      <c r="H810" s="44" t="n">
        <f aca="false">IF($A810="",0,SUMIFS($G$8:$G$1007,$C$8:$C$1007,$C810,$A$8:$A$1007,"&gt;="&amp;$A810-6,$A$8:$A$1007,"&lt;="&amp;$A810))</f>
        <v>0</v>
      </c>
      <c r="I810" s="44" t="n">
        <f aca="false">IF($A810="",0,SUMIFS($G$8:$G$1007,$C$8:$C$1007,$C810,$A$8:$A$1007,"&gt;="&amp;$A810-27,$A$8:$A$1007,"&lt;="&amp;$A810)/4)</f>
        <v>0</v>
      </c>
      <c r="J810" s="144" t="n">
        <f aca="false">IF(OR($A810="",$I810=0),0,$H810/$I810)</f>
        <v>0</v>
      </c>
      <c r="K810" s="40" t="n">
        <f aca="false">IF($A810="",0,$A810-SUMPRODUCT(MIN(($C$8:$C$1007=$C810)*$A$8:$A$1007+($C$8:$C$1007&lt;&gt;$C810)*100000))+1)</f>
        <v>0</v>
      </c>
      <c r="L810" s="26" t="str">
        <f aca="false">IF($A810="","",IF($J810=0,"Sem registro anterior",IF($K810&lt;21,"Histórico insuficiente",IF($J810&lt;0.8,"Subcarga",IF($J810&lt;=1.3,"Zona ideal",IF($J810&lt;=1.5,"Atenção","Risco elevado"))))))</f>
        <v/>
      </c>
      <c r="M810" s="27"/>
    </row>
    <row r="811" customFormat="false" ht="15" hidden="false" customHeight="false" outlineLevel="0" collapsed="false">
      <c r="A811" s="29"/>
      <c r="B811" s="40" t="n">
        <f aca="false">IF($A811="",0,INT(($A811-Macrociclo!$C$11)/7)+1)</f>
        <v>0</v>
      </c>
      <c r="C811" s="27"/>
      <c r="D811" s="27"/>
      <c r="E811" s="28"/>
      <c r="F811" s="28"/>
      <c r="G811" s="44" t="n">
        <f aca="false">IF(OR($E811="",$F811=""),0,$E811*$F811)</f>
        <v>0</v>
      </c>
      <c r="H811" s="44" t="n">
        <f aca="false">IF($A811="",0,SUMIFS($G$8:$G$1007,$C$8:$C$1007,$C811,$A$8:$A$1007,"&gt;="&amp;$A811-6,$A$8:$A$1007,"&lt;="&amp;$A811))</f>
        <v>0</v>
      </c>
      <c r="I811" s="44" t="n">
        <f aca="false">IF($A811="",0,SUMIFS($G$8:$G$1007,$C$8:$C$1007,$C811,$A$8:$A$1007,"&gt;="&amp;$A811-27,$A$8:$A$1007,"&lt;="&amp;$A811)/4)</f>
        <v>0</v>
      </c>
      <c r="J811" s="144" t="n">
        <f aca="false">IF(OR($A811="",$I811=0),0,$H811/$I811)</f>
        <v>0</v>
      </c>
      <c r="K811" s="40" t="n">
        <f aca="false">IF($A811="",0,$A811-SUMPRODUCT(MIN(($C$8:$C$1007=$C811)*$A$8:$A$1007+($C$8:$C$1007&lt;&gt;$C811)*100000))+1)</f>
        <v>0</v>
      </c>
      <c r="L811" s="26" t="str">
        <f aca="false">IF($A811="","",IF($J811=0,"Sem registro anterior",IF($K811&lt;21,"Histórico insuficiente",IF($J811&lt;0.8,"Subcarga",IF($J811&lt;=1.3,"Zona ideal",IF($J811&lt;=1.5,"Atenção","Risco elevado"))))))</f>
        <v/>
      </c>
      <c r="M811" s="27"/>
    </row>
    <row r="812" customFormat="false" ht="15" hidden="false" customHeight="false" outlineLevel="0" collapsed="false">
      <c r="A812" s="29"/>
      <c r="B812" s="40" t="n">
        <f aca="false">IF($A812="",0,INT(($A812-Macrociclo!$C$11)/7)+1)</f>
        <v>0</v>
      </c>
      <c r="C812" s="27"/>
      <c r="D812" s="27"/>
      <c r="E812" s="28"/>
      <c r="F812" s="28"/>
      <c r="G812" s="44" t="n">
        <f aca="false">IF(OR($E812="",$F812=""),0,$E812*$F812)</f>
        <v>0</v>
      </c>
      <c r="H812" s="44" t="n">
        <f aca="false">IF($A812="",0,SUMIFS($G$8:$G$1007,$C$8:$C$1007,$C812,$A$8:$A$1007,"&gt;="&amp;$A812-6,$A$8:$A$1007,"&lt;="&amp;$A812))</f>
        <v>0</v>
      </c>
      <c r="I812" s="44" t="n">
        <f aca="false">IF($A812="",0,SUMIFS($G$8:$G$1007,$C$8:$C$1007,$C812,$A$8:$A$1007,"&gt;="&amp;$A812-27,$A$8:$A$1007,"&lt;="&amp;$A812)/4)</f>
        <v>0</v>
      </c>
      <c r="J812" s="144" t="n">
        <f aca="false">IF(OR($A812="",$I812=0),0,$H812/$I812)</f>
        <v>0</v>
      </c>
      <c r="K812" s="40" t="n">
        <f aca="false">IF($A812="",0,$A812-SUMPRODUCT(MIN(($C$8:$C$1007=$C812)*$A$8:$A$1007+($C$8:$C$1007&lt;&gt;$C812)*100000))+1)</f>
        <v>0</v>
      </c>
      <c r="L812" s="26" t="str">
        <f aca="false">IF($A812="","",IF($J812=0,"Sem registro anterior",IF($K812&lt;21,"Histórico insuficiente",IF($J812&lt;0.8,"Subcarga",IF($J812&lt;=1.3,"Zona ideal",IF($J812&lt;=1.5,"Atenção","Risco elevado"))))))</f>
        <v/>
      </c>
      <c r="M812" s="27"/>
    </row>
    <row r="813" customFormat="false" ht="15" hidden="false" customHeight="false" outlineLevel="0" collapsed="false">
      <c r="A813" s="29"/>
      <c r="B813" s="40" t="n">
        <f aca="false">IF($A813="",0,INT(($A813-Macrociclo!$C$11)/7)+1)</f>
        <v>0</v>
      </c>
      <c r="C813" s="27"/>
      <c r="D813" s="27"/>
      <c r="E813" s="28"/>
      <c r="F813" s="28"/>
      <c r="G813" s="44" t="n">
        <f aca="false">IF(OR($E813="",$F813=""),0,$E813*$F813)</f>
        <v>0</v>
      </c>
      <c r="H813" s="44" t="n">
        <f aca="false">IF($A813="",0,SUMIFS($G$8:$G$1007,$C$8:$C$1007,$C813,$A$8:$A$1007,"&gt;="&amp;$A813-6,$A$8:$A$1007,"&lt;="&amp;$A813))</f>
        <v>0</v>
      </c>
      <c r="I813" s="44" t="n">
        <f aca="false">IF($A813="",0,SUMIFS($G$8:$G$1007,$C$8:$C$1007,$C813,$A$8:$A$1007,"&gt;="&amp;$A813-27,$A$8:$A$1007,"&lt;="&amp;$A813)/4)</f>
        <v>0</v>
      </c>
      <c r="J813" s="144" t="n">
        <f aca="false">IF(OR($A813="",$I813=0),0,$H813/$I813)</f>
        <v>0</v>
      </c>
      <c r="K813" s="40" t="n">
        <f aca="false">IF($A813="",0,$A813-SUMPRODUCT(MIN(($C$8:$C$1007=$C813)*$A$8:$A$1007+($C$8:$C$1007&lt;&gt;$C813)*100000))+1)</f>
        <v>0</v>
      </c>
      <c r="L813" s="26" t="str">
        <f aca="false">IF($A813="","",IF($J813=0,"Sem registro anterior",IF($K813&lt;21,"Histórico insuficiente",IF($J813&lt;0.8,"Subcarga",IF($J813&lt;=1.3,"Zona ideal",IF($J813&lt;=1.5,"Atenção","Risco elevado"))))))</f>
        <v/>
      </c>
      <c r="M813" s="27"/>
    </row>
    <row r="814" customFormat="false" ht="15" hidden="false" customHeight="false" outlineLevel="0" collapsed="false">
      <c r="A814" s="29"/>
      <c r="B814" s="40" t="n">
        <f aca="false">IF($A814="",0,INT(($A814-Macrociclo!$C$11)/7)+1)</f>
        <v>0</v>
      </c>
      <c r="C814" s="27"/>
      <c r="D814" s="27"/>
      <c r="E814" s="28"/>
      <c r="F814" s="28"/>
      <c r="G814" s="44" t="n">
        <f aca="false">IF(OR($E814="",$F814=""),0,$E814*$F814)</f>
        <v>0</v>
      </c>
      <c r="H814" s="44" t="n">
        <f aca="false">IF($A814="",0,SUMIFS($G$8:$G$1007,$C$8:$C$1007,$C814,$A$8:$A$1007,"&gt;="&amp;$A814-6,$A$8:$A$1007,"&lt;="&amp;$A814))</f>
        <v>0</v>
      </c>
      <c r="I814" s="44" t="n">
        <f aca="false">IF($A814="",0,SUMIFS($G$8:$G$1007,$C$8:$C$1007,$C814,$A$8:$A$1007,"&gt;="&amp;$A814-27,$A$8:$A$1007,"&lt;="&amp;$A814)/4)</f>
        <v>0</v>
      </c>
      <c r="J814" s="144" t="n">
        <f aca="false">IF(OR($A814="",$I814=0),0,$H814/$I814)</f>
        <v>0</v>
      </c>
      <c r="K814" s="40" t="n">
        <f aca="false">IF($A814="",0,$A814-SUMPRODUCT(MIN(($C$8:$C$1007=$C814)*$A$8:$A$1007+($C$8:$C$1007&lt;&gt;$C814)*100000))+1)</f>
        <v>0</v>
      </c>
      <c r="L814" s="26" t="str">
        <f aca="false">IF($A814="","",IF($J814=0,"Sem registro anterior",IF($K814&lt;21,"Histórico insuficiente",IF($J814&lt;0.8,"Subcarga",IF($J814&lt;=1.3,"Zona ideal",IF($J814&lt;=1.5,"Atenção","Risco elevado"))))))</f>
        <v/>
      </c>
      <c r="M814" s="27"/>
    </row>
    <row r="815" customFormat="false" ht="15" hidden="false" customHeight="false" outlineLevel="0" collapsed="false">
      <c r="A815" s="29"/>
      <c r="B815" s="40" t="n">
        <f aca="false">IF($A815="",0,INT(($A815-Macrociclo!$C$11)/7)+1)</f>
        <v>0</v>
      </c>
      <c r="C815" s="27"/>
      <c r="D815" s="27"/>
      <c r="E815" s="28"/>
      <c r="F815" s="28"/>
      <c r="G815" s="44" t="n">
        <f aca="false">IF(OR($E815="",$F815=""),0,$E815*$F815)</f>
        <v>0</v>
      </c>
      <c r="H815" s="44" t="n">
        <f aca="false">IF($A815="",0,SUMIFS($G$8:$G$1007,$C$8:$C$1007,$C815,$A$8:$A$1007,"&gt;="&amp;$A815-6,$A$8:$A$1007,"&lt;="&amp;$A815))</f>
        <v>0</v>
      </c>
      <c r="I815" s="44" t="n">
        <f aca="false">IF($A815="",0,SUMIFS($G$8:$G$1007,$C$8:$C$1007,$C815,$A$8:$A$1007,"&gt;="&amp;$A815-27,$A$8:$A$1007,"&lt;="&amp;$A815)/4)</f>
        <v>0</v>
      </c>
      <c r="J815" s="144" t="n">
        <f aca="false">IF(OR($A815="",$I815=0),0,$H815/$I815)</f>
        <v>0</v>
      </c>
      <c r="K815" s="40" t="n">
        <f aca="false">IF($A815="",0,$A815-SUMPRODUCT(MIN(($C$8:$C$1007=$C815)*$A$8:$A$1007+($C$8:$C$1007&lt;&gt;$C815)*100000))+1)</f>
        <v>0</v>
      </c>
      <c r="L815" s="26" t="str">
        <f aca="false">IF($A815="","",IF($J815=0,"Sem registro anterior",IF($K815&lt;21,"Histórico insuficiente",IF($J815&lt;0.8,"Subcarga",IF($J815&lt;=1.3,"Zona ideal",IF($J815&lt;=1.5,"Atenção","Risco elevado"))))))</f>
        <v/>
      </c>
      <c r="M815" s="27"/>
    </row>
    <row r="816" customFormat="false" ht="15" hidden="false" customHeight="false" outlineLevel="0" collapsed="false">
      <c r="A816" s="29"/>
      <c r="B816" s="40" t="n">
        <f aca="false">IF($A816="",0,INT(($A816-Macrociclo!$C$11)/7)+1)</f>
        <v>0</v>
      </c>
      <c r="C816" s="27"/>
      <c r="D816" s="27"/>
      <c r="E816" s="28"/>
      <c r="F816" s="28"/>
      <c r="G816" s="44" t="n">
        <f aca="false">IF(OR($E816="",$F816=""),0,$E816*$F816)</f>
        <v>0</v>
      </c>
      <c r="H816" s="44" t="n">
        <f aca="false">IF($A816="",0,SUMIFS($G$8:$G$1007,$C$8:$C$1007,$C816,$A$8:$A$1007,"&gt;="&amp;$A816-6,$A$8:$A$1007,"&lt;="&amp;$A816))</f>
        <v>0</v>
      </c>
      <c r="I816" s="44" t="n">
        <f aca="false">IF($A816="",0,SUMIFS($G$8:$G$1007,$C$8:$C$1007,$C816,$A$8:$A$1007,"&gt;="&amp;$A816-27,$A$8:$A$1007,"&lt;="&amp;$A816)/4)</f>
        <v>0</v>
      </c>
      <c r="J816" s="144" t="n">
        <f aca="false">IF(OR($A816="",$I816=0),0,$H816/$I816)</f>
        <v>0</v>
      </c>
      <c r="K816" s="40" t="n">
        <f aca="false">IF($A816="",0,$A816-SUMPRODUCT(MIN(($C$8:$C$1007=$C816)*$A$8:$A$1007+($C$8:$C$1007&lt;&gt;$C816)*100000))+1)</f>
        <v>0</v>
      </c>
      <c r="L816" s="26" t="str">
        <f aca="false">IF($A816="","",IF($J816=0,"Sem registro anterior",IF($K816&lt;21,"Histórico insuficiente",IF($J816&lt;0.8,"Subcarga",IF($J816&lt;=1.3,"Zona ideal",IF($J816&lt;=1.5,"Atenção","Risco elevado"))))))</f>
        <v/>
      </c>
      <c r="M816" s="27"/>
    </row>
    <row r="817" customFormat="false" ht="15" hidden="false" customHeight="false" outlineLevel="0" collapsed="false">
      <c r="A817" s="29"/>
      <c r="B817" s="40" t="n">
        <f aca="false">IF($A817="",0,INT(($A817-Macrociclo!$C$11)/7)+1)</f>
        <v>0</v>
      </c>
      <c r="C817" s="27"/>
      <c r="D817" s="27"/>
      <c r="E817" s="28"/>
      <c r="F817" s="28"/>
      <c r="G817" s="44" t="n">
        <f aca="false">IF(OR($E817="",$F817=""),0,$E817*$F817)</f>
        <v>0</v>
      </c>
      <c r="H817" s="44" t="n">
        <f aca="false">IF($A817="",0,SUMIFS($G$8:$G$1007,$C$8:$C$1007,$C817,$A$8:$A$1007,"&gt;="&amp;$A817-6,$A$8:$A$1007,"&lt;="&amp;$A817))</f>
        <v>0</v>
      </c>
      <c r="I817" s="44" t="n">
        <f aca="false">IF($A817="",0,SUMIFS($G$8:$G$1007,$C$8:$C$1007,$C817,$A$8:$A$1007,"&gt;="&amp;$A817-27,$A$8:$A$1007,"&lt;="&amp;$A817)/4)</f>
        <v>0</v>
      </c>
      <c r="J817" s="144" t="n">
        <f aca="false">IF(OR($A817="",$I817=0),0,$H817/$I817)</f>
        <v>0</v>
      </c>
      <c r="K817" s="40" t="n">
        <f aca="false">IF($A817="",0,$A817-SUMPRODUCT(MIN(($C$8:$C$1007=$C817)*$A$8:$A$1007+($C$8:$C$1007&lt;&gt;$C817)*100000))+1)</f>
        <v>0</v>
      </c>
      <c r="L817" s="26" t="str">
        <f aca="false">IF($A817="","",IF($J817=0,"Sem registro anterior",IF($K817&lt;21,"Histórico insuficiente",IF($J817&lt;0.8,"Subcarga",IF($J817&lt;=1.3,"Zona ideal",IF($J817&lt;=1.5,"Atenção","Risco elevado"))))))</f>
        <v/>
      </c>
      <c r="M817" s="27"/>
    </row>
    <row r="818" customFormat="false" ht="15" hidden="false" customHeight="false" outlineLevel="0" collapsed="false">
      <c r="A818" s="29"/>
      <c r="B818" s="40" t="n">
        <f aca="false">IF($A818="",0,INT(($A818-Macrociclo!$C$11)/7)+1)</f>
        <v>0</v>
      </c>
      <c r="C818" s="27"/>
      <c r="D818" s="27"/>
      <c r="E818" s="28"/>
      <c r="F818" s="28"/>
      <c r="G818" s="44" t="n">
        <f aca="false">IF(OR($E818="",$F818=""),0,$E818*$F818)</f>
        <v>0</v>
      </c>
      <c r="H818" s="44" t="n">
        <f aca="false">IF($A818="",0,SUMIFS($G$8:$G$1007,$C$8:$C$1007,$C818,$A$8:$A$1007,"&gt;="&amp;$A818-6,$A$8:$A$1007,"&lt;="&amp;$A818))</f>
        <v>0</v>
      </c>
      <c r="I818" s="44" t="n">
        <f aca="false">IF($A818="",0,SUMIFS($G$8:$G$1007,$C$8:$C$1007,$C818,$A$8:$A$1007,"&gt;="&amp;$A818-27,$A$8:$A$1007,"&lt;="&amp;$A818)/4)</f>
        <v>0</v>
      </c>
      <c r="J818" s="144" t="n">
        <f aca="false">IF(OR($A818="",$I818=0),0,$H818/$I818)</f>
        <v>0</v>
      </c>
      <c r="K818" s="40" t="n">
        <f aca="false">IF($A818="",0,$A818-SUMPRODUCT(MIN(($C$8:$C$1007=$C818)*$A$8:$A$1007+($C$8:$C$1007&lt;&gt;$C818)*100000))+1)</f>
        <v>0</v>
      </c>
      <c r="L818" s="26" t="str">
        <f aca="false">IF($A818="","",IF($J818=0,"Sem registro anterior",IF($K818&lt;21,"Histórico insuficiente",IF($J818&lt;0.8,"Subcarga",IF($J818&lt;=1.3,"Zona ideal",IF($J818&lt;=1.5,"Atenção","Risco elevado"))))))</f>
        <v/>
      </c>
      <c r="M818" s="27"/>
    </row>
    <row r="819" customFormat="false" ht="15" hidden="false" customHeight="false" outlineLevel="0" collapsed="false">
      <c r="A819" s="29"/>
      <c r="B819" s="40" t="n">
        <f aca="false">IF($A819="",0,INT(($A819-Macrociclo!$C$11)/7)+1)</f>
        <v>0</v>
      </c>
      <c r="C819" s="27"/>
      <c r="D819" s="27"/>
      <c r="E819" s="28"/>
      <c r="F819" s="28"/>
      <c r="G819" s="44" t="n">
        <f aca="false">IF(OR($E819="",$F819=""),0,$E819*$F819)</f>
        <v>0</v>
      </c>
      <c r="H819" s="44" t="n">
        <f aca="false">IF($A819="",0,SUMIFS($G$8:$G$1007,$C$8:$C$1007,$C819,$A$8:$A$1007,"&gt;="&amp;$A819-6,$A$8:$A$1007,"&lt;="&amp;$A819))</f>
        <v>0</v>
      </c>
      <c r="I819" s="44" t="n">
        <f aca="false">IF($A819="",0,SUMIFS($G$8:$G$1007,$C$8:$C$1007,$C819,$A$8:$A$1007,"&gt;="&amp;$A819-27,$A$8:$A$1007,"&lt;="&amp;$A819)/4)</f>
        <v>0</v>
      </c>
      <c r="J819" s="144" t="n">
        <f aca="false">IF(OR($A819="",$I819=0),0,$H819/$I819)</f>
        <v>0</v>
      </c>
      <c r="K819" s="40" t="n">
        <f aca="false">IF($A819="",0,$A819-SUMPRODUCT(MIN(($C$8:$C$1007=$C819)*$A$8:$A$1007+($C$8:$C$1007&lt;&gt;$C819)*100000))+1)</f>
        <v>0</v>
      </c>
      <c r="L819" s="26" t="str">
        <f aca="false">IF($A819="","",IF($J819=0,"Sem registro anterior",IF($K819&lt;21,"Histórico insuficiente",IF($J819&lt;0.8,"Subcarga",IF($J819&lt;=1.3,"Zona ideal",IF($J819&lt;=1.5,"Atenção","Risco elevado"))))))</f>
        <v/>
      </c>
      <c r="M819" s="27"/>
    </row>
    <row r="820" customFormat="false" ht="15" hidden="false" customHeight="false" outlineLevel="0" collapsed="false">
      <c r="A820" s="29"/>
      <c r="B820" s="40" t="n">
        <f aca="false">IF($A820="",0,INT(($A820-Macrociclo!$C$11)/7)+1)</f>
        <v>0</v>
      </c>
      <c r="C820" s="27"/>
      <c r="D820" s="27"/>
      <c r="E820" s="28"/>
      <c r="F820" s="28"/>
      <c r="G820" s="44" t="n">
        <f aca="false">IF(OR($E820="",$F820=""),0,$E820*$F820)</f>
        <v>0</v>
      </c>
      <c r="H820" s="44" t="n">
        <f aca="false">IF($A820="",0,SUMIFS($G$8:$G$1007,$C$8:$C$1007,$C820,$A$8:$A$1007,"&gt;="&amp;$A820-6,$A$8:$A$1007,"&lt;="&amp;$A820))</f>
        <v>0</v>
      </c>
      <c r="I820" s="44" t="n">
        <f aca="false">IF($A820="",0,SUMIFS($G$8:$G$1007,$C$8:$C$1007,$C820,$A$8:$A$1007,"&gt;="&amp;$A820-27,$A$8:$A$1007,"&lt;="&amp;$A820)/4)</f>
        <v>0</v>
      </c>
      <c r="J820" s="144" t="n">
        <f aca="false">IF(OR($A820="",$I820=0),0,$H820/$I820)</f>
        <v>0</v>
      </c>
      <c r="K820" s="40" t="n">
        <f aca="false">IF($A820="",0,$A820-SUMPRODUCT(MIN(($C$8:$C$1007=$C820)*$A$8:$A$1007+($C$8:$C$1007&lt;&gt;$C820)*100000))+1)</f>
        <v>0</v>
      </c>
      <c r="L820" s="26" t="str">
        <f aca="false">IF($A820="","",IF($J820=0,"Sem registro anterior",IF($K820&lt;21,"Histórico insuficiente",IF($J820&lt;0.8,"Subcarga",IF($J820&lt;=1.3,"Zona ideal",IF($J820&lt;=1.5,"Atenção","Risco elevado"))))))</f>
        <v/>
      </c>
      <c r="M820" s="27"/>
    </row>
    <row r="821" customFormat="false" ht="15" hidden="false" customHeight="false" outlineLevel="0" collapsed="false">
      <c r="A821" s="29"/>
      <c r="B821" s="40" t="n">
        <f aca="false">IF($A821="",0,INT(($A821-Macrociclo!$C$11)/7)+1)</f>
        <v>0</v>
      </c>
      <c r="C821" s="27"/>
      <c r="D821" s="27"/>
      <c r="E821" s="28"/>
      <c r="F821" s="28"/>
      <c r="G821" s="44" t="n">
        <f aca="false">IF(OR($E821="",$F821=""),0,$E821*$F821)</f>
        <v>0</v>
      </c>
      <c r="H821" s="44" t="n">
        <f aca="false">IF($A821="",0,SUMIFS($G$8:$G$1007,$C$8:$C$1007,$C821,$A$8:$A$1007,"&gt;="&amp;$A821-6,$A$8:$A$1007,"&lt;="&amp;$A821))</f>
        <v>0</v>
      </c>
      <c r="I821" s="44" t="n">
        <f aca="false">IF($A821="",0,SUMIFS($G$8:$G$1007,$C$8:$C$1007,$C821,$A$8:$A$1007,"&gt;="&amp;$A821-27,$A$8:$A$1007,"&lt;="&amp;$A821)/4)</f>
        <v>0</v>
      </c>
      <c r="J821" s="144" t="n">
        <f aca="false">IF(OR($A821="",$I821=0),0,$H821/$I821)</f>
        <v>0</v>
      </c>
      <c r="K821" s="40" t="n">
        <f aca="false">IF($A821="",0,$A821-SUMPRODUCT(MIN(($C$8:$C$1007=$C821)*$A$8:$A$1007+($C$8:$C$1007&lt;&gt;$C821)*100000))+1)</f>
        <v>0</v>
      </c>
      <c r="L821" s="26" t="str">
        <f aca="false">IF($A821="","",IF($J821=0,"Sem registro anterior",IF($K821&lt;21,"Histórico insuficiente",IF($J821&lt;0.8,"Subcarga",IF($J821&lt;=1.3,"Zona ideal",IF($J821&lt;=1.5,"Atenção","Risco elevado"))))))</f>
        <v/>
      </c>
      <c r="M821" s="27"/>
    </row>
    <row r="822" customFormat="false" ht="15" hidden="false" customHeight="false" outlineLevel="0" collapsed="false">
      <c r="A822" s="29"/>
      <c r="B822" s="40" t="n">
        <f aca="false">IF($A822="",0,INT(($A822-Macrociclo!$C$11)/7)+1)</f>
        <v>0</v>
      </c>
      <c r="C822" s="27"/>
      <c r="D822" s="27"/>
      <c r="E822" s="28"/>
      <c r="F822" s="28"/>
      <c r="G822" s="44" t="n">
        <f aca="false">IF(OR($E822="",$F822=""),0,$E822*$F822)</f>
        <v>0</v>
      </c>
      <c r="H822" s="44" t="n">
        <f aca="false">IF($A822="",0,SUMIFS($G$8:$G$1007,$C$8:$C$1007,$C822,$A$8:$A$1007,"&gt;="&amp;$A822-6,$A$8:$A$1007,"&lt;="&amp;$A822))</f>
        <v>0</v>
      </c>
      <c r="I822" s="44" t="n">
        <f aca="false">IF($A822="",0,SUMIFS($G$8:$G$1007,$C$8:$C$1007,$C822,$A$8:$A$1007,"&gt;="&amp;$A822-27,$A$8:$A$1007,"&lt;="&amp;$A822)/4)</f>
        <v>0</v>
      </c>
      <c r="J822" s="144" t="n">
        <f aca="false">IF(OR($A822="",$I822=0),0,$H822/$I822)</f>
        <v>0</v>
      </c>
      <c r="K822" s="40" t="n">
        <f aca="false">IF($A822="",0,$A822-SUMPRODUCT(MIN(($C$8:$C$1007=$C822)*$A$8:$A$1007+($C$8:$C$1007&lt;&gt;$C822)*100000))+1)</f>
        <v>0</v>
      </c>
      <c r="L822" s="26" t="str">
        <f aca="false">IF($A822="","",IF($J822=0,"Sem registro anterior",IF($K822&lt;21,"Histórico insuficiente",IF($J822&lt;0.8,"Subcarga",IF($J822&lt;=1.3,"Zona ideal",IF($J822&lt;=1.5,"Atenção","Risco elevado"))))))</f>
        <v/>
      </c>
      <c r="M822" s="27"/>
    </row>
    <row r="823" customFormat="false" ht="15" hidden="false" customHeight="false" outlineLevel="0" collapsed="false">
      <c r="A823" s="29"/>
      <c r="B823" s="40" t="n">
        <f aca="false">IF($A823="",0,INT(($A823-Macrociclo!$C$11)/7)+1)</f>
        <v>0</v>
      </c>
      <c r="C823" s="27"/>
      <c r="D823" s="27"/>
      <c r="E823" s="28"/>
      <c r="F823" s="28"/>
      <c r="G823" s="44" t="n">
        <f aca="false">IF(OR($E823="",$F823=""),0,$E823*$F823)</f>
        <v>0</v>
      </c>
      <c r="H823" s="44" t="n">
        <f aca="false">IF($A823="",0,SUMIFS($G$8:$G$1007,$C$8:$C$1007,$C823,$A$8:$A$1007,"&gt;="&amp;$A823-6,$A$8:$A$1007,"&lt;="&amp;$A823))</f>
        <v>0</v>
      </c>
      <c r="I823" s="44" t="n">
        <f aca="false">IF($A823="",0,SUMIFS($G$8:$G$1007,$C$8:$C$1007,$C823,$A$8:$A$1007,"&gt;="&amp;$A823-27,$A$8:$A$1007,"&lt;="&amp;$A823)/4)</f>
        <v>0</v>
      </c>
      <c r="J823" s="144" t="n">
        <f aca="false">IF(OR($A823="",$I823=0),0,$H823/$I823)</f>
        <v>0</v>
      </c>
      <c r="K823" s="40" t="n">
        <f aca="false">IF($A823="",0,$A823-SUMPRODUCT(MIN(($C$8:$C$1007=$C823)*$A$8:$A$1007+($C$8:$C$1007&lt;&gt;$C823)*100000))+1)</f>
        <v>0</v>
      </c>
      <c r="L823" s="26" t="str">
        <f aca="false">IF($A823="","",IF($J823=0,"Sem registro anterior",IF($K823&lt;21,"Histórico insuficiente",IF($J823&lt;0.8,"Subcarga",IF($J823&lt;=1.3,"Zona ideal",IF($J823&lt;=1.5,"Atenção","Risco elevado"))))))</f>
        <v/>
      </c>
      <c r="M823" s="27"/>
    </row>
    <row r="824" customFormat="false" ht="15" hidden="false" customHeight="false" outlineLevel="0" collapsed="false">
      <c r="A824" s="29"/>
      <c r="B824" s="40" t="n">
        <f aca="false">IF($A824="",0,INT(($A824-Macrociclo!$C$11)/7)+1)</f>
        <v>0</v>
      </c>
      <c r="C824" s="27"/>
      <c r="D824" s="27"/>
      <c r="E824" s="28"/>
      <c r="F824" s="28"/>
      <c r="G824" s="44" t="n">
        <f aca="false">IF(OR($E824="",$F824=""),0,$E824*$F824)</f>
        <v>0</v>
      </c>
      <c r="H824" s="44" t="n">
        <f aca="false">IF($A824="",0,SUMIFS($G$8:$G$1007,$C$8:$C$1007,$C824,$A$8:$A$1007,"&gt;="&amp;$A824-6,$A$8:$A$1007,"&lt;="&amp;$A824))</f>
        <v>0</v>
      </c>
      <c r="I824" s="44" t="n">
        <f aca="false">IF($A824="",0,SUMIFS($G$8:$G$1007,$C$8:$C$1007,$C824,$A$8:$A$1007,"&gt;="&amp;$A824-27,$A$8:$A$1007,"&lt;="&amp;$A824)/4)</f>
        <v>0</v>
      </c>
      <c r="J824" s="144" t="n">
        <f aca="false">IF(OR($A824="",$I824=0),0,$H824/$I824)</f>
        <v>0</v>
      </c>
      <c r="K824" s="40" t="n">
        <f aca="false">IF($A824="",0,$A824-SUMPRODUCT(MIN(($C$8:$C$1007=$C824)*$A$8:$A$1007+($C$8:$C$1007&lt;&gt;$C824)*100000))+1)</f>
        <v>0</v>
      </c>
      <c r="L824" s="26" t="str">
        <f aca="false">IF($A824="","",IF($J824=0,"Sem registro anterior",IF($K824&lt;21,"Histórico insuficiente",IF($J824&lt;0.8,"Subcarga",IF($J824&lt;=1.3,"Zona ideal",IF($J824&lt;=1.5,"Atenção","Risco elevado"))))))</f>
        <v/>
      </c>
      <c r="M824" s="27"/>
    </row>
    <row r="825" customFormat="false" ht="15" hidden="false" customHeight="false" outlineLevel="0" collapsed="false">
      <c r="A825" s="29"/>
      <c r="B825" s="40" t="n">
        <f aca="false">IF($A825="",0,INT(($A825-Macrociclo!$C$11)/7)+1)</f>
        <v>0</v>
      </c>
      <c r="C825" s="27"/>
      <c r="D825" s="27"/>
      <c r="E825" s="28"/>
      <c r="F825" s="28"/>
      <c r="G825" s="44" t="n">
        <f aca="false">IF(OR($E825="",$F825=""),0,$E825*$F825)</f>
        <v>0</v>
      </c>
      <c r="H825" s="44" t="n">
        <f aca="false">IF($A825="",0,SUMIFS($G$8:$G$1007,$C$8:$C$1007,$C825,$A$8:$A$1007,"&gt;="&amp;$A825-6,$A$8:$A$1007,"&lt;="&amp;$A825))</f>
        <v>0</v>
      </c>
      <c r="I825" s="44" t="n">
        <f aca="false">IF($A825="",0,SUMIFS($G$8:$G$1007,$C$8:$C$1007,$C825,$A$8:$A$1007,"&gt;="&amp;$A825-27,$A$8:$A$1007,"&lt;="&amp;$A825)/4)</f>
        <v>0</v>
      </c>
      <c r="J825" s="144" t="n">
        <f aca="false">IF(OR($A825="",$I825=0),0,$H825/$I825)</f>
        <v>0</v>
      </c>
      <c r="K825" s="40" t="n">
        <f aca="false">IF($A825="",0,$A825-SUMPRODUCT(MIN(($C$8:$C$1007=$C825)*$A$8:$A$1007+($C$8:$C$1007&lt;&gt;$C825)*100000))+1)</f>
        <v>0</v>
      </c>
      <c r="L825" s="26" t="str">
        <f aca="false">IF($A825="","",IF($J825=0,"Sem registro anterior",IF($K825&lt;21,"Histórico insuficiente",IF($J825&lt;0.8,"Subcarga",IF($J825&lt;=1.3,"Zona ideal",IF($J825&lt;=1.5,"Atenção","Risco elevado"))))))</f>
        <v/>
      </c>
      <c r="M825" s="27"/>
    </row>
    <row r="826" customFormat="false" ht="15" hidden="false" customHeight="false" outlineLevel="0" collapsed="false">
      <c r="A826" s="29"/>
      <c r="B826" s="40" t="n">
        <f aca="false">IF($A826="",0,INT(($A826-Macrociclo!$C$11)/7)+1)</f>
        <v>0</v>
      </c>
      <c r="C826" s="27"/>
      <c r="D826" s="27"/>
      <c r="E826" s="28"/>
      <c r="F826" s="28"/>
      <c r="G826" s="44" t="n">
        <f aca="false">IF(OR($E826="",$F826=""),0,$E826*$F826)</f>
        <v>0</v>
      </c>
      <c r="H826" s="44" t="n">
        <f aca="false">IF($A826="",0,SUMIFS($G$8:$G$1007,$C$8:$C$1007,$C826,$A$8:$A$1007,"&gt;="&amp;$A826-6,$A$8:$A$1007,"&lt;="&amp;$A826))</f>
        <v>0</v>
      </c>
      <c r="I826" s="44" t="n">
        <f aca="false">IF($A826="",0,SUMIFS($G$8:$G$1007,$C$8:$C$1007,$C826,$A$8:$A$1007,"&gt;="&amp;$A826-27,$A$8:$A$1007,"&lt;="&amp;$A826)/4)</f>
        <v>0</v>
      </c>
      <c r="J826" s="144" t="n">
        <f aca="false">IF(OR($A826="",$I826=0),0,$H826/$I826)</f>
        <v>0</v>
      </c>
      <c r="K826" s="40" t="n">
        <f aca="false">IF($A826="",0,$A826-SUMPRODUCT(MIN(($C$8:$C$1007=$C826)*$A$8:$A$1007+($C$8:$C$1007&lt;&gt;$C826)*100000))+1)</f>
        <v>0</v>
      </c>
      <c r="L826" s="26" t="str">
        <f aca="false">IF($A826="","",IF($J826=0,"Sem registro anterior",IF($K826&lt;21,"Histórico insuficiente",IF($J826&lt;0.8,"Subcarga",IF($J826&lt;=1.3,"Zona ideal",IF($J826&lt;=1.5,"Atenção","Risco elevado"))))))</f>
        <v/>
      </c>
      <c r="M826" s="27"/>
    </row>
    <row r="827" customFormat="false" ht="15" hidden="false" customHeight="false" outlineLevel="0" collapsed="false">
      <c r="A827" s="29"/>
      <c r="B827" s="40" t="n">
        <f aca="false">IF($A827="",0,INT(($A827-Macrociclo!$C$11)/7)+1)</f>
        <v>0</v>
      </c>
      <c r="C827" s="27"/>
      <c r="D827" s="27"/>
      <c r="E827" s="28"/>
      <c r="F827" s="28"/>
      <c r="G827" s="44" t="n">
        <f aca="false">IF(OR($E827="",$F827=""),0,$E827*$F827)</f>
        <v>0</v>
      </c>
      <c r="H827" s="44" t="n">
        <f aca="false">IF($A827="",0,SUMIFS($G$8:$G$1007,$C$8:$C$1007,$C827,$A$8:$A$1007,"&gt;="&amp;$A827-6,$A$8:$A$1007,"&lt;="&amp;$A827))</f>
        <v>0</v>
      </c>
      <c r="I827" s="44" t="n">
        <f aca="false">IF($A827="",0,SUMIFS($G$8:$G$1007,$C$8:$C$1007,$C827,$A$8:$A$1007,"&gt;="&amp;$A827-27,$A$8:$A$1007,"&lt;="&amp;$A827)/4)</f>
        <v>0</v>
      </c>
      <c r="J827" s="144" t="n">
        <f aca="false">IF(OR($A827="",$I827=0),0,$H827/$I827)</f>
        <v>0</v>
      </c>
      <c r="K827" s="40" t="n">
        <f aca="false">IF($A827="",0,$A827-SUMPRODUCT(MIN(($C$8:$C$1007=$C827)*$A$8:$A$1007+($C$8:$C$1007&lt;&gt;$C827)*100000))+1)</f>
        <v>0</v>
      </c>
      <c r="L827" s="26" t="str">
        <f aca="false">IF($A827="","",IF($J827=0,"Sem registro anterior",IF($K827&lt;21,"Histórico insuficiente",IF($J827&lt;0.8,"Subcarga",IF($J827&lt;=1.3,"Zona ideal",IF($J827&lt;=1.5,"Atenção","Risco elevado"))))))</f>
        <v/>
      </c>
      <c r="M827" s="27"/>
    </row>
    <row r="828" customFormat="false" ht="15" hidden="false" customHeight="false" outlineLevel="0" collapsed="false">
      <c r="A828" s="29"/>
      <c r="B828" s="40" t="n">
        <f aca="false">IF($A828="",0,INT(($A828-Macrociclo!$C$11)/7)+1)</f>
        <v>0</v>
      </c>
      <c r="C828" s="27"/>
      <c r="D828" s="27"/>
      <c r="E828" s="28"/>
      <c r="F828" s="28"/>
      <c r="G828" s="44" t="n">
        <f aca="false">IF(OR($E828="",$F828=""),0,$E828*$F828)</f>
        <v>0</v>
      </c>
      <c r="H828" s="44" t="n">
        <f aca="false">IF($A828="",0,SUMIFS($G$8:$G$1007,$C$8:$C$1007,$C828,$A$8:$A$1007,"&gt;="&amp;$A828-6,$A$8:$A$1007,"&lt;="&amp;$A828))</f>
        <v>0</v>
      </c>
      <c r="I828" s="44" t="n">
        <f aca="false">IF($A828="",0,SUMIFS($G$8:$G$1007,$C$8:$C$1007,$C828,$A$8:$A$1007,"&gt;="&amp;$A828-27,$A$8:$A$1007,"&lt;="&amp;$A828)/4)</f>
        <v>0</v>
      </c>
      <c r="J828" s="144" t="n">
        <f aca="false">IF(OR($A828="",$I828=0),0,$H828/$I828)</f>
        <v>0</v>
      </c>
      <c r="K828" s="40" t="n">
        <f aca="false">IF($A828="",0,$A828-SUMPRODUCT(MIN(($C$8:$C$1007=$C828)*$A$8:$A$1007+($C$8:$C$1007&lt;&gt;$C828)*100000))+1)</f>
        <v>0</v>
      </c>
      <c r="L828" s="26" t="str">
        <f aca="false">IF($A828="","",IF($J828=0,"Sem registro anterior",IF($K828&lt;21,"Histórico insuficiente",IF($J828&lt;0.8,"Subcarga",IF($J828&lt;=1.3,"Zona ideal",IF($J828&lt;=1.5,"Atenção","Risco elevado"))))))</f>
        <v/>
      </c>
      <c r="M828" s="27"/>
    </row>
    <row r="829" customFormat="false" ht="15" hidden="false" customHeight="false" outlineLevel="0" collapsed="false">
      <c r="A829" s="29"/>
      <c r="B829" s="40" t="n">
        <f aca="false">IF($A829="",0,INT(($A829-Macrociclo!$C$11)/7)+1)</f>
        <v>0</v>
      </c>
      <c r="C829" s="27"/>
      <c r="D829" s="27"/>
      <c r="E829" s="28"/>
      <c r="F829" s="28"/>
      <c r="G829" s="44" t="n">
        <f aca="false">IF(OR($E829="",$F829=""),0,$E829*$F829)</f>
        <v>0</v>
      </c>
      <c r="H829" s="44" t="n">
        <f aca="false">IF($A829="",0,SUMIFS($G$8:$G$1007,$C$8:$C$1007,$C829,$A$8:$A$1007,"&gt;="&amp;$A829-6,$A$8:$A$1007,"&lt;="&amp;$A829))</f>
        <v>0</v>
      </c>
      <c r="I829" s="44" t="n">
        <f aca="false">IF($A829="",0,SUMIFS($G$8:$G$1007,$C$8:$C$1007,$C829,$A$8:$A$1007,"&gt;="&amp;$A829-27,$A$8:$A$1007,"&lt;="&amp;$A829)/4)</f>
        <v>0</v>
      </c>
      <c r="J829" s="144" t="n">
        <f aca="false">IF(OR($A829="",$I829=0),0,$H829/$I829)</f>
        <v>0</v>
      </c>
      <c r="K829" s="40" t="n">
        <f aca="false">IF($A829="",0,$A829-SUMPRODUCT(MIN(($C$8:$C$1007=$C829)*$A$8:$A$1007+($C$8:$C$1007&lt;&gt;$C829)*100000))+1)</f>
        <v>0</v>
      </c>
      <c r="L829" s="26" t="str">
        <f aca="false">IF($A829="","",IF($J829=0,"Sem registro anterior",IF($K829&lt;21,"Histórico insuficiente",IF($J829&lt;0.8,"Subcarga",IF($J829&lt;=1.3,"Zona ideal",IF($J829&lt;=1.5,"Atenção","Risco elevado"))))))</f>
        <v/>
      </c>
      <c r="M829" s="27"/>
    </row>
    <row r="830" customFormat="false" ht="15" hidden="false" customHeight="false" outlineLevel="0" collapsed="false">
      <c r="A830" s="29"/>
      <c r="B830" s="40" t="n">
        <f aca="false">IF($A830="",0,INT(($A830-Macrociclo!$C$11)/7)+1)</f>
        <v>0</v>
      </c>
      <c r="C830" s="27"/>
      <c r="D830" s="27"/>
      <c r="E830" s="28"/>
      <c r="F830" s="28"/>
      <c r="G830" s="44" t="n">
        <f aca="false">IF(OR($E830="",$F830=""),0,$E830*$F830)</f>
        <v>0</v>
      </c>
      <c r="H830" s="44" t="n">
        <f aca="false">IF($A830="",0,SUMIFS($G$8:$G$1007,$C$8:$C$1007,$C830,$A$8:$A$1007,"&gt;="&amp;$A830-6,$A$8:$A$1007,"&lt;="&amp;$A830))</f>
        <v>0</v>
      </c>
      <c r="I830" s="44" t="n">
        <f aca="false">IF($A830="",0,SUMIFS($G$8:$G$1007,$C$8:$C$1007,$C830,$A$8:$A$1007,"&gt;="&amp;$A830-27,$A$8:$A$1007,"&lt;="&amp;$A830)/4)</f>
        <v>0</v>
      </c>
      <c r="J830" s="144" t="n">
        <f aca="false">IF(OR($A830="",$I830=0),0,$H830/$I830)</f>
        <v>0</v>
      </c>
      <c r="K830" s="40" t="n">
        <f aca="false">IF($A830="",0,$A830-SUMPRODUCT(MIN(($C$8:$C$1007=$C830)*$A$8:$A$1007+($C$8:$C$1007&lt;&gt;$C830)*100000))+1)</f>
        <v>0</v>
      </c>
      <c r="L830" s="26" t="str">
        <f aca="false">IF($A830="","",IF($J830=0,"Sem registro anterior",IF($K830&lt;21,"Histórico insuficiente",IF($J830&lt;0.8,"Subcarga",IF($J830&lt;=1.3,"Zona ideal",IF($J830&lt;=1.5,"Atenção","Risco elevado"))))))</f>
        <v/>
      </c>
      <c r="M830" s="27"/>
    </row>
    <row r="831" customFormat="false" ht="15" hidden="false" customHeight="false" outlineLevel="0" collapsed="false">
      <c r="A831" s="29"/>
      <c r="B831" s="40" t="n">
        <f aca="false">IF($A831="",0,INT(($A831-Macrociclo!$C$11)/7)+1)</f>
        <v>0</v>
      </c>
      <c r="C831" s="27"/>
      <c r="D831" s="27"/>
      <c r="E831" s="28"/>
      <c r="F831" s="28"/>
      <c r="G831" s="44" t="n">
        <f aca="false">IF(OR($E831="",$F831=""),0,$E831*$F831)</f>
        <v>0</v>
      </c>
      <c r="H831" s="44" t="n">
        <f aca="false">IF($A831="",0,SUMIFS($G$8:$G$1007,$C$8:$C$1007,$C831,$A$8:$A$1007,"&gt;="&amp;$A831-6,$A$8:$A$1007,"&lt;="&amp;$A831))</f>
        <v>0</v>
      </c>
      <c r="I831" s="44" t="n">
        <f aca="false">IF($A831="",0,SUMIFS($G$8:$G$1007,$C$8:$C$1007,$C831,$A$8:$A$1007,"&gt;="&amp;$A831-27,$A$8:$A$1007,"&lt;="&amp;$A831)/4)</f>
        <v>0</v>
      </c>
      <c r="J831" s="144" t="n">
        <f aca="false">IF(OR($A831="",$I831=0),0,$H831/$I831)</f>
        <v>0</v>
      </c>
      <c r="K831" s="40" t="n">
        <f aca="false">IF($A831="",0,$A831-SUMPRODUCT(MIN(($C$8:$C$1007=$C831)*$A$8:$A$1007+($C$8:$C$1007&lt;&gt;$C831)*100000))+1)</f>
        <v>0</v>
      </c>
      <c r="L831" s="26" t="str">
        <f aca="false">IF($A831="","",IF($J831=0,"Sem registro anterior",IF($K831&lt;21,"Histórico insuficiente",IF($J831&lt;0.8,"Subcarga",IF($J831&lt;=1.3,"Zona ideal",IF($J831&lt;=1.5,"Atenção","Risco elevado"))))))</f>
        <v/>
      </c>
      <c r="M831" s="27"/>
    </row>
    <row r="832" customFormat="false" ht="15" hidden="false" customHeight="false" outlineLevel="0" collapsed="false">
      <c r="A832" s="29"/>
      <c r="B832" s="40" t="n">
        <f aca="false">IF($A832="",0,INT(($A832-Macrociclo!$C$11)/7)+1)</f>
        <v>0</v>
      </c>
      <c r="C832" s="27"/>
      <c r="D832" s="27"/>
      <c r="E832" s="28"/>
      <c r="F832" s="28"/>
      <c r="G832" s="44" t="n">
        <f aca="false">IF(OR($E832="",$F832=""),0,$E832*$F832)</f>
        <v>0</v>
      </c>
      <c r="H832" s="44" t="n">
        <f aca="false">IF($A832="",0,SUMIFS($G$8:$G$1007,$C$8:$C$1007,$C832,$A$8:$A$1007,"&gt;="&amp;$A832-6,$A$8:$A$1007,"&lt;="&amp;$A832))</f>
        <v>0</v>
      </c>
      <c r="I832" s="44" t="n">
        <f aca="false">IF($A832="",0,SUMIFS($G$8:$G$1007,$C$8:$C$1007,$C832,$A$8:$A$1007,"&gt;="&amp;$A832-27,$A$8:$A$1007,"&lt;="&amp;$A832)/4)</f>
        <v>0</v>
      </c>
      <c r="J832" s="144" t="n">
        <f aca="false">IF(OR($A832="",$I832=0),0,$H832/$I832)</f>
        <v>0</v>
      </c>
      <c r="K832" s="40" t="n">
        <f aca="false">IF($A832="",0,$A832-SUMPRODUCT(MIN(($C$8:$C$1007=$C832)*$A$8:$A$1007+($C$8:$C$1007&lt;&gt;$C832)*100000))+1)</f>
        <v>0</v>
      </c>
      <c r="L832" s="26" t="str">
        <f aca="false">IF($A832="","",IF($J832=0,"Sem registro anterior",IF($K832&lt;21,"Histórico insuficiente",IF($J832&lt;0.8,"Subcarga",IF($J832&lt;=1.3,"Zona ideal",IF($J832&lt;=1.5,"Atenção","Risco elevado"))))))</f>
        <v/>
      </c>
      <c r="M832" s="27"/>
    </row>
    <row r="833" customFormat="false" ht="15" hidden="false" customHeight="false" outlineLevel="0" collapsed="false">
      <c r="A833" s="29"/>
      <c r="B833" s="40" t="n">
        <f aca="false">IF($A833="",0,INT(($A833-Macrociclo!$C$11)/7)+1)</f>
        <v>0</v>
      </c>
      <c r="C833" s="27"/>
      <c r="D833" s="27"/>
      <c r="E833" s="28"/>
      <c r="F833" s="28"/>
      <c r="G833" s="44" t="n">
        <f aca="false">IF(OR($E833="",$F833=""),0,$E833*$F833)</f>
        <v>0</v>
      </c>
      <c r="H833" s="44" t="n">
        <f aca="false">IF($A833="",0,SUMIFS($G$8:$G$1007,$C$8:$C$1007,$C833,$A$8:$A$1007,"&gt;="&amp;$A833-6,$A$8:$A$1007,"&lt;="&amp;$A833))</f>
        <v>0</v>
      </c>
      <c r="I833" s="44" t="n">
        <f aca="false">IF($A833="",0,SUMIFS($G$8:$G$1007,$C$8:$C$1007,$C833,$A$8:$A$1007,"&gt;="&amp;$A833-27,$A$8:$A$1007,"&lt;="&amp;$A833)/4)</f>
        <v>0</v>
      </c>
      <c r="J833" s="144" t="n">
        <f aca="false">IF(OR($A833="",$I833=0),0,$H833/$I833)</f>
        <v>0</v>
      </c>
      <c r="K833" s="40" t="n">
        <f aca="false">IF($A833="",0,$A833-SUMPRODUCT(MIN(($C$8:$C$1007=$C833)*$A$8:$A$1007+($C$8:$C$1007&lt;&gt;$C833)*100000))+1)</f>
        <v>0</v>
      </c>
      <c r="L833" s="26" t="str">
        <f aca="false">IF($A833="","",IF($J833=0,"Sem registro anterior",IF($K833&lt;21,"Histórico insuficiente",IF($J833&lt;0.8,"Subcarga",IF($J833&lt;=1.3,"Zona ideal",IF($J833&lt;=1.5,"Atenção","Risco elevado"))))))</f>
        <v/>
      </c>
      <c r="M833" s="27"/>
    </row>
    <row r="834" customFormat="false" ht="15" hidden="false" customHeight="false" outlineLevel="0" collapsed="false">
      <c r="A834" s="29"/>
      <c r="B834" s="40" t="n">
        <f aca="false">IF($A834="",0,INT(($A834-Macrociclo!$C$11)/7)+1)</f>
        <v>0</v>
      </c>
      <c r="C834" s="27"/>
      <c r="D834" s="27"/>
      <c r="E834" s="28"/>
      <c r="F834" s="28"/>
      <c r="G834" s="44" t="n">
        <f aca="false">IF(OR($E834="",$F834=""),0,$E834*$F834)</f>
        <v>0</v>
      </c>
      <c r="H834" s="44" t="n">
        <f aca="false">IF($A834="",0,SUMIFS($G$8:$G$1007,$C$8:$C$1007,$C834,$A$8:$A$1007,"&gt;="&amp;$A834-6,$A$8:$A$1007,"&lt;="&amp;$A834))</f>
        <v>0</v>
      </c>
      <c r="I834" s="44" t="n">
        <f aca="false">IF($A834="",0,SUMIFS($G$8:$G$1007,$C$8:$C$1007,$C834,$A$8:$A$1007,"&gt;="&amp;$A834-27,$A$8:$A$1007,"&lt;="&amp;$A834)/4)</f>
        <v>0</v>
      </c>
      <c r="J834" s="144" t="n">
        <f aca="false">IF(OR($A834="",$I834=0),0,$H834/$I834)</f>
        <v>0</v>
      </c>
      <c r="K834" s="40" t="n">
        <f aca="false">IF($A834="",0,$A834-SUMPRODUCT(MIN(($C$8:$C$1007=$C834)*$A$8:$A$1007+($C$8:$C$1007&lt;&gt;$C834)*100000))+1)</f>
        <v>0</v>
      </c>
      <c r="L834" s="26" t="str">
        <f aca="false">IF($A834="","",IF($J834=0,"Sem registro anterior",IF($K834&lt;21,"Histórico insuficiente",IF($J834&lt;0.8,"Subcarga",IF($J834&lt;=1.3,"Zona ideal",IF($J834&lt;=1.5,"Atenção","Risco elevado"))))))</f>
        <v/>
      </c>
      <c r="M834" s="27"/>
    </row>
    <row r="835" customFormat="false" ht="15" hidden="false" customHeight="false" outlineLevel="0" collapsed="false">
      <c r="A835" s="29"/>
      <c r="B835" s="40" t="n">
        <f aca="false">IF($A835="",0,INT(($A835-Macrociclo!$C$11)/7)+1)</f>
        <v>0</v>
      </c>
      <c r="C835" s="27"/>
      <c r="D835" s="27"/>
      <c r="E835" s="28"/>
      <c r="F835" s="28"/>
      <c r="G835" s="44" t="n">
        <f aca="false">IF(OR($E835="",$F835=""),0,$E835*$F835)</f>
        <v>0</v>
      </c>
      <c r="H835" s="44" t="n">
        <f aca="false">IF($A835="",0,SUMIFS($G$8:$G$1007,$C$8:$C$1007,$C835,$A$8:$A$1007,"&gt;="&amp;$A835-6,$A$8:$A$1007,"&lt;="&amp;$A835))</f>
        <v>0</v>
      </c>
      <c r="I835" s="44" t="n">
        <f aca="false">IF($A835="",0,SUMIFS($G$8:$G$1007,$C$8:$C$1007,$C835,$A$8:$A$1007,"&gt;="&amp;$A835-27,$A$8:$A$1007,"&lt;="&amp;$A835)/4)</f>
        <v>0</v>
      </c>
      <c r="J835" s="144" t="n">
        <f aca="false">IF(OR($A835="",$I835=0),0,$H835/$I835)</f>
        <v>0</v>
      </c>
      <c r="K835" s="40" t="n">
        <f aca="false">IF($A835="",0,$A835-SUMPRODUCT(MIN(($C$8:$C$1007=$C835)*$A$8:$A$1007+($C$8:$C$1007&lt;&gt;$C835)*100000))+1)</f>
        <v>0</v>
      </c>
      <c r="L835" s="26" t="str">
        <f aca="false">IF($A835="","",IF($J835=0,"Sem registro anterior",IF($K835&lt;21,"Histórico insuficiente",IF($J835&lt;0.8,"Subcarga",IF($J835&lt;=1.3,"Zona ideal",IF($J835&lt;=1.5,"Atenção","Risco elevado"))))))</f>
        <v/>
      </c>
      <c r="M835" s="27"/>
    </row>
    <row r="836" customFormat="false" ht="15" hidden="false" customHeight="false" outlineLevel="0" collapsed="false">
      <c r="A836" s="29"/>
      <c r="B836" s="40" t="n">
        <f aca="false">IF($A836="",0,INT(($A836-Macrociclo!$C$11)/7)+1)</f>
        <v>0</v>
      </c>
      <c r="C836" s="27"/>
      <c r="D836" s="27"/>
      <c r="E836" s="28"/>
      <c r="F836" s="28"/>
      <c r="G836" s="44" t="n">
        <f aca="false">IF(OR($E836="",$F836=""),0,$E836*$F836)</f>
        <v>0</v>
      </c>
      <c r="H836" s="44" t="n">
        <f aca="false">IF($A836="",0,SUMIFS($G$8:$G$1007,$C$8:$C$1007,$C836,$A$8:$A$1007,"&gt;="&amp;$A836-6,$A$8:$A$1007,"&lt;="&amp;$A836))</f>
        <v>0</v>
      </c>
      <c r="I836" s="44" t="n">
        <f aca="false">IF($A836="",0,SUMIFS($G$8:$G$1007,$C$8:$C$1007,$C836,$A$8:$A$1007,"&gt;="&amp;$A836-27,$A$8:$A$1007,"&lt;="&amp;$A836)/4)</f>
        <v>0</v>
      </c>
      <c r="J836" s="144" t="n">
        <f aca="false">IF(OR($A836="",$I836=0),0,$H836/$I836)</f>
        <v>0</v>
      </c>
      <c r="K836" s="40" t="n">
        <f aca="false">IF($A836="",0,$A836-SUMPRODUCT(MIN(($C$8:$C$1007=$C836)*$A$8:$A$1007+($C$8:$C$1007&lt;&gt;$C836)*100000))+1)</f>
        <v>0</v>
      </c>
      <c r="L836" s="26" t="str">
        <f aca="false">IF($A836="","",IF($J836=0,"Sem registro anterior",IF($K836&lt;21,"Histórico insuficiente",IF($J836&lt;0.8,"Subcarga",IF($J836&lt;=1.3,"Zona ideal",IF($J836&lt;=1.5,"Atenção","Risco elevado"))))))</f>
        <v/>
      </c>
      <c r="M836" s="27"/>
    </row>
    <row r="837" customFormat="false" ht="15" hidden="false" customHeight="false" outlineLevel="0" collapsed="false">
      <c r="A837" s="29"/>
      <c r="B837" s="40" t="n">
        <f aca="false">IF($A837="",0,INT(($A837-Macrociclo!$C$11)/7)+1)</f>
        <v>0</v>
      </c>
      <c r="C837" s="27"/>
      <c r="D837" s="27"/>
      <c r="E837" s="28"/>
      <c r="F837" s="28"/>
      <c r="G837" s="44" t="n">
        <f aca="false">IF(OR($E837="",$F837=""),0,$E837*$F837)</f>
        <v>0</v>
      </c>
      <c r="H837" s="44" t="n">
        <f aca="false">IF($A837="",0,SUMIFS($G$8:$G$1007,$C$8:$C$1007,$C837,$A$8:$A$1007,"&gt;="&amp;$A837-6,$A$8:$A$1007,"&lt;="&amp;$A837))</f>
        <v>0</v>
      </c>
      <c r="I837" s="44" t="n">
        <f aca="false">IF($A837="",0,SUMIFS($G$8:$G$1007,$C$8:$C$1007,$C837,$A$8:$A$1007,"&gt;="&amp;$A837-27,$A$8:$A$1007,"&lt;="&amp;$A837)/4)</f>
        <v>0</v>
      </c>
      <c r="J837" s="144" t="n">
        <f aca="false">IF(OR($A837="",$I837=0),0,$H837/$I837)</f>
        <v>0</v>
      </c>
      <c r="K837" s="40" t="n">
        <f aca="false">IF($A837="",0,$A837-SUMPRODUCT(MIN(($C$8:$C$1007=$C837)*$A$8:$A$1007+($C$8:$C$1007&lt;&gt;$C837)*100000))+1)</f>
        <v>0</v>
      </c>
      <c r="L837" s="26" t="str">
        <f aca="false">IF($A837="","",IF($J837=0,"Sem registro anterior",IF($K837&lt;21,"Histórico insuficiente",IF($J837&lt;0.8,"Subcarga",IF($J837&lt;=1.3,"Zona ideal",IF($J837&lt;=1.5,"Atenção","Risco elevado"))))))</f>
        <v/>
      </c>
      <c r="M837" s="27"/>
    </row>
    <row r="838" customFormat="false" ht="15" hidden="false" customHeight="false" outlineLevel="0" collapsed="false">
      <c r="A838" s="29"/>
      <c r="B838" s="40" t="n">
        <f aca="false">IF($A838="",0,INT(($A838-Macrociclo!$C$11)/7)+1)</f>
        <v>0</v>
      </c>
      <c r="C838" s="27"/>
      <c r="D838" s="27"/>
      <c r="E838" s="28"/>
      <c r="F838" s="28"/>
      <c r="G838" s="44" t="n">
        <f aca="false">IF(OR($E838="",$F838=""),0,$E838*$F838)</f>
        <v>0</v>
      </c>
      <c r="H838" s="44" t="n">
        <f aca="false">IF($A838="",0,SUMIFS($G$8:$G$1007,$C$8:$C$1007,$C838,$A$8:$A$1007,"&gt;="&amp;$A838-6,$A$8:$A$1007,"&lt;="&amp;$A838))</f>
        <v>0</v>
      </c>
      <c r="I838" s="44" t="n">
        <f aca="false">IF($A838="",0,SUMIFS($G$8:$G$1007,$C$8:$C$1007,$C838,$A$8:$A$1007,"&gt;="&amp;$A838-27,$A$8:$A$1007,"&lt;="&amp;$A838)/4)</f>
        <v>0</v>
      </c>
      <c r="J838" s="144" t="n">
        <f aca="false">IF(OR($A838="",$I838=0),0,$H838/$I838)</f>
        <v>0</v>
      </c>
      <c r="K838" s="40" t="n">
        <f aca="false">IF($A838="",0,$A838-SUMPRODUCT(MIN(($C$8:$C$1007=$C838)*$A$8:$A$1007+($C$8:$C$1007&lt;&gt;$C838)*100000))+1)</f>
        <v>0</v>
      </c>
      <c r="L838" s="26" t="str">
        <f aca="false">IF($A838="","",IF($J838=0,"Sem registro anterior",IF($K838&lt;21,"Histórico insuficiente",IF($J838&lt;0.8,"Subcarga",IF($J838&lt;=1.3,"Zona ideal",IF($J838&lt;=1.5,"Atenção","Risco elevado"))))))</f>
        <v/>
      </c>
      <c r="M838" s="27"/>
    </row>
    <row r="839" customFormat="false" ht="15" hidden="false" customHeight="false" outlineLevel="0" collapsed="false">
      <c r="A839" s="29"/>
      <c r="B839" s="40" t="n">
        <f aca="false">IF($A839="",0,INT(($A839-Macrociclo!$C$11)/7)+1)</f>
        <v>0</v>
      </c>
      <c r="C839" s="27"/>
      <c r="D839" s="27"/>
      <c r="E839" s="28"/>
      <c r="F839" s="28"/>
      <c r="G839" s="44" t="n">
        <f aca="false">IF(OR($E839="",$F839=""),0,$E839*$F839)</f>
        <v>0</v>
      </c>
      <c r="H839" s="44" t="n">
        <f aca="false">IF($A839="",0,SUMIFS($G$8:$G$1007,$C$8:$C$1007,$C839,$A$8:$A$1007,"&gt;="&amp;$A839-6,$A$8:$A$1007,"&lt;="&amp;$A839))</f>
        <v>0</v>
      </c>
      <c r="I839" s="44" t="n">
        <f aca="false">IF($A839="",0,SUMIFS($G$8:$G$1007,$C$8:$C$1007,$C839,$A$8:$A$1007,"&gt;="&amp;$A839-27,$A$8:$A$1007,"&lt;="&amp;$A839)/4)</f>
        <v>0</v>
      </c>
      <c r="J839" s="144" t="n">
        <f aca="false">IF(OR($A839="",$I839=0),0,$H839/$I839)</f>
        <v>0</v>
      </c>
      <c r="K839" s="40" t="n">
        <f aca="false">IF($A839="",0,$A839-SUMPRODUCT(MIN(($C$8:$C$1007=$C839)*$A$8:$A$1007+($C$8:$C$1007&lt;&gt;$C839)*100000))+1)</f>
        <v>0</v>
      </c>
      <c r="L839" s="26" t="str">
        <f aca="false">IF($A839="","",IF($J839=0,"Sem registro anterior",IF($K839&lt;21,"Histórico insuficiente",IF($J839&lt;0.8,"Subcarga",IF($J839&lt;=1.3,"Zona ideal",IF($J839&lt;=1.5,"Atenção","Risco elevado"))))))</f>
        <v/>
      </c>
      <c r="M839" s="27"/>
    </row>
    <row r="840" customFormat="false" ht="15" hidden="false" customHeight="false" outlineLevel="0" collapsed="false">
      <c r="A840" s="29"/>
      <c r="B840" s="40" t="n">
        <f aca="false">IF($A840="",0,INT(($A840-Macrociclo!$C$11)/7)+1)</f>
        <v>0</v>
      </c>
      <c r="C840" s="27"/>
      <c r="D840" s="27"/>
      <c r="E840" s="28"/>
      <c r="F840" s="28"/>
      <c r="G840" s="44" t="n">
        <f aca="false">IF(OR($E840="",$F840=""),0,$E840*$F840)</f>
        <v>0</v>
      </c>
      <c r="H840" s="44" t="n">
        <f aca="false">IF($A840="",0,SUMIFS($G$8:$G$1007,$C$8:$C$1007,$C840,$A$8:$A$1007,"&gt;="&amp;$A840-6,$A$8:$A$1007,"&lt;="&amp;$A840))</f>
        <v>0</v>
      </c>
      <c r="I840" s="44" t="n">
        <f aca="false">IF($A840="",0,SUMIFS($G$8:$G$1007,$C$8:$C$1007,$C840,$A$8:$A$1007,"&gt;="&amp;$A840-27,$A$8:$A$1007,"&lt;="&amp;$A840)/4)</f>
        <v>0</v>
      </c>
      <c r="J840" s="144" t="n">
        <f aca="false">IF(OR($A840="",$I840=0),0,$H840/$I840)</f>
        <v>0</v>
      </c>
      <c r="K840" s="40" t="n">
        <f aca="false">IF($A840="",0,$A840-SUMPRODUCT(MIN(($C$8:$C$1007=$C840)*$A$8:$A$1007+($C$8:$C$1007&lt;&gt;$C840)*100000))+1)</f>
        <v>0</v>
      </c>
      <c r="L840" s="26" t="str">
        <f aca="false">IF($A840="","",IF($J840=0,"Sem registro anterior",IF($K840&lt;21,"Histórico insuficiente",IF($J840&lt;0.8,"Subcarga",IF($J840&lt;=1.3,"Zona ideal",IF($J840&lt;=1.5,"Atenção","Risco elevado"))))))</f>
        <v/>
      </c>
      <c r="M840" s="27"/>
    </row>
    <row r="841" customFormat="false" ht="15" hidden="false" customHeight="false" outlineLevel="0" collapsed="false">
      <c r="A841" s="29"/>
      <c r="B841" s="40" t="n">
        <f aca="false">IF($A841="",0,INT(($A841-Macrociclo!$C$11)/7)+1)</f>
        <v>0</v>
      </c>
      <c r="C841" s="27"/>
      <c r="D841" s="27"/>
      <c r="E841" s="28"/>
      <c r="F841" s="28"/>
      <c r="G841" s="44" t="n">
        <f aca="false">IF(OR($E841="",$F841=""),0,$E841*$F841)</f>
        <v>0</v>
      </c>
      <c r="H841" s="44" t="n">
        <f aca="false">IF($A841="",0,SUMIFS($G$8:$G$1007,$C$8:$C$1007,$C841,$A$8:$A$1007,"&gt;="&amp;$A841-6,$A$8:$A$1007,"&lt;="&amp;$A841))</f>
        <v>0</v>
      </c>
      <c r="I841" s="44" t="n">
        <f aca="false">IF($A841="",0,SUMIFS($G$8:$G$1007,$C$8:$C$1007,$C841,$A$8:$A$1007,"&gt;="&amp;$A841-27,$A$8:$A$1007,"&lt;="&amp;$A841)/4)</f>
        <v>0</v>
      </c>
      <c r="J841" s="144" t="n">
        <f aca="false">IF(OR($A841="",$I841=0),0,$H841/$I841)</f>
        <v>0</v>
      </c>
      <c r="K841" s="40" t="n">
        <f aca="false">IF($A841="",0,$A841-SUMPRODUCT(MIN(($C$8:$C$1007=$C841)*$A$8:$A$1007+($C$8:$C$1007&lt;&gt;$C841)*100000))+1)</f>
        <v>0</v>
      </c>
      <c r="L841" s="26" t="str">
        <f aca="false">IF($A841="","",IF($J841=0,"Sem registro anterior",IF($K841&lt;21,"Histórico insuficiente",IF($J841&lt;0.8,"Subcarga",IF($J841&lt;=1.3,"Zona ideal",IF($J841&lt;=1.5,"Atenção","Risco elevado"))))))</f>
        <v/>
      </c>
      <c r="M841" s="27"/>
    </row>
    <row r="842" customFormat="false" ht="15" hidden="false" customHeight="false" outlineLevel="0" collapsed="false">
      <c r="A842" s="29"/>
      <c r="B842" s="40" t="n">
        <f aca="false">IF($A842="",0,INT(($A842-Macrociclo!$C$11)/7)+1)</f>
        <v>0</v>
      </c>
      <c r="C842" s="27"/>
      <c r="D842" s="27"/>
      <c r="E842" s="28"/>
      <c r="F842" s="28"/>
      <c r="G842" s="44" t="n">
        <f aca="false">IF(OR($E842="",$F842=""),0,$E842*$F842)</f>
        <v>0</v>
      </c>
      <c r="H842" s="44" t="n">
        <f aca="false">IF($A842="",0,SUMIFS($G$8:$G$1007,$C$8:$C$1007,$C842,$A$8:$A$1007,"&gt;="&amp;$A842-6,$A$8:$A$1007,"&lt;="&amp;$A842))</f>
        <v>0</v>
      </c>
      <c r="I842" s="44" t="n">
        <f aca="false">IF($A842="",0,SUMIFS($G$8:$G$1007,$C$8:$C$1007,$C842,$A$8:$A$1007,"&gt;="&amp;$A842-27,$A$8:$A$1007,"&lt;="&amp;$A842)/4)</f>
        <v>0</v>
      </c>
      <c r="J842" s="144" t="n">
        <f aca="false">IF(OR($A842="",$I842=0),0,$H842/$I842)</f>
        <v>0</v>
      </c>
      <c r="K842" s="40" t="n">
        <f aca="false">IF($A842="",0,$A842-SUMPRODUCT(MIN(($C$8:$C$1007=$C842)*$A$8:$A$1007+($C$8:$C$1007&lt;&gt;$C842)*100000))+1)</f>
        <v>0</v>
      </c>
      <c r="L842" s="26" t="str">
        <f aca="false">IF($A842="","",IF($J842=0,"Sem registro anterior",IF($K842&lt;21,"Histórico insuficiente",IF($J842&lt;0.8,"Subcarga",IF($J842&lt;=1.3,"Zona ideal",IF($J842&lt;=1.5,"Atenção","Risco elevado"))))))</f>
        <v/>
      </c>
      <c r="M842" s="27"/>
    </row>
    <row r="843" customFormat="false" ht="15" hidden="false" customHeight="false" outlineLevel="0" collapsed="false">
      <c r="A843" s="29"/>
      <c r="B843" s="40" t="n">
        <f aca="false">IF($A843="",0,INT(($A843-Macrociclo!$C$11)/7)+1)</f>
        <v>0</v>
      </c>
      <c r="C843" s="27"/>
      <c r="D843" s="27"/>
      <c r="E843" s="28"/>
      <c r="F843" s="28"/>
      <c r="G843" s="44" t="n">
        <f aca="false">IF(OR($E843="",$F843=""),0,$E843*$F843)</f>
        <v>0</v>
      </c>
      <c r="H843" s="44" t="n">
        <f aca="false">IF($A843="",0,SUMIFS($G$8:$G$1007,$C$8:$C$1007,$C843,$A$8:$A$1007,"&gt;="&amp;$A843-6,$A$8:$A$1007,"&lt;="&amp;$A843))</f>
        <v>0</v>
      </c>
      <c r="I843" s="44" t="n">
        <f aca="false">IF($A843="",0,SUMIFS($G$8:$G$1007,$C$8:$C$1007,$C843,$A$8:$A$1007,"&gt;="&amp;$A843-27,$A$8:$A$1007,"&lt;="&amp;$A843)/4)</f>
        <v>0</v>
      </c>
      <c r="J843" s="144" t="n">
        <f aca="false">IF(OR($A843="",$I843=0),0,$H843/$I843)</f>
        <v>0</v>
      </c>
      <c r="K843" s="40" t="n">
        <f aca="false">IF($A843="",0,$A843-SUMPRODUCT(MIN(($C$8:$C$1007=$C843)*$A$8:$A$1007+($C$8:$C$1007&lt;&gt;$C843)*100000))+1)</f>
        <v>0</v>
      </c>
      <c r="L843" s="26" t="str">
        <f aca="false">IF($A843="","",IF($J843=0,"Sem registro anterior",IF($K843&lt;21,"Histórico insuficiente",IF($J843&lt;0.8,"Subcarga",IF($J843&lt;=1.3,"Zona ideal",IF($J843&lt;=1.5,"Atenção","Risco elevado"))))))</f>
        <v/>
      </c>
      <c r="M843" s="27"/>
    </row>
    <row r="844" customFormat="false" ht="15" hidden="false" customHeight="false" outlineLevel="0" collapsed="false">
      <c r="A844" s="29"/>
      <c r="B844" s="40" t="n">
        <f aca="false">IF($A844="",0,INT(($A844-Macrociclo!$C$11)/7)+1)</f>
        <v>0</v>
      </c>
      <c r="C844" s="27"/>
      <c r="D844" s="27"/>
      <c r="E844" s="28"/>
      <c r="F844" s="28"/>
      <c r="G844" s="44" t="n">
        <f aca="false">IF(OR($E844="",$F844=""),0,$E844*$F844)</f>
        <v>0</v>
      </c>
      <c r="H844" s="44" t="n">
        <f aca="false">IF($A844="",0,SUMIFS($G$8:$G$1007,$C$8:$C$1007,$C844,$A$8:$A$1007,"&gt;="&amp;$A844-6,$A$8:$A$1007,"&lt;="&amp;$A844))</f>
        <v>0</v>
      </c>
      <c r="I844" s="44" t="n">
        <f aca="false">IF($A844="",0,SUMIFS($G$8:$G$1007,$C$8:$C$1007,$C844,$A$8:$A$1007,"&gt;="&amp;$A844-27,$A$8:$A$1007,"&lt;="&amp;$A844)/4)</f>
        <v>0</v>
      </c>
      <c r="J844" s="144" t="n">
        <f aca="false">IF(OR($A844="",$I844=0),0,$H844/$I844)</f>
        <v>0</v>
      </c>
      <c r="K844" s="40" t="n">
        <f aca="false">IF($A844="",0,$A844-SUMPRODUCT(MIN(($C$8:$C$1007=$C844)*$A$8:$A$1007+($C$8:$C$1007&lt;&gt;$C844)*100000))+1)</f>
        <v>0</v>
      </c>
      <c r="L844" s="26" t="str">
        <f aca="false">IF($A844="","",IF($J844=0,"Sem registro anterior",IF($K844&lt;21,"Histórico insuficiente",IF($J844&lt;0.8,"Subcarga",IF($J844&lt;=1.3,"Zona ideal",IF($J844&lt;=1.5,"Atenção","Risco elevado"))))))</f>
        <v/>
      </c>
      <c r="M844" s="27"/>
    </row>
    <row r="845" customFormat="false" ht="15" hidden="false" customHeight="false" outlineLevel="0" collapsed="false">
      <c r="A845" s="29"/>
      <c r="B845" s="40" t="n">
        <f aca="false">IF($A845="",0,INT(($A845-Macrociclo!$C$11)/7)+1)</f>
        <v>0</v>
      </c>
      <c r="C845" s="27"/>
      <c r="D845" s="27"/>
      <c r="E845" s="28"/>
      <c r="F845" s="28"/>
      <c r="G845" s="44" t="n">
        <f aca="false">IF(OR($E845="",$F845=""),0,$E845*$F845)</f>
        <v>0</v>
      </c>
      <c r="H845" s="44" t="n">
        <f aca="false">IF($A845="",0,SUMIFS($G$8:$G$1007,$C$8:$C$1007,$C845,$A$8:$A$1007,"&gt;="&amp;$A845-6,$A$8:$A$1007,"&lt;="&amp;$A845))</f>
        <v>0</v>
      </c>
      <c r="I845" s="44" t="n">
        <f aca="false">IF($A845="",0,SUMIFS($G$8:$G$1007,$C$8:$C$1007,$C845,$A$8:$A$1007,"&gt;="&amp;$A845-27,$A$8:$A$1007,"&lt;="&amp;$A845)/4)</f>
        <v>0</v>
      </c>
      <c r="J845" s="144" t="n">
        <f aca="false">IF(OR($A845="",$I845=0),0,$H845/$I845)</f>
        <v>0</v>
      </c>
      <c r="K845" s="40" t="n">
        <f aca="false">IF($A845="",0,$A845-SUMPRODUCT(MIN(($C$8:$C$1007=$C845)*$A$8:$A$1007+($C$8:$C$1007&lt;&gt;$C845)*100000))+1)</f>
        <v>0</v>
      </c>
      <c r="L845" s="26" t="str">
        <f aca="false">IF($A845="","",IF($J845=0,"Sem registro anterior",IF($K845&lt;21,"Histórico insuficiente",IF($J845&lt;0.8,"Subcarga",IF($J845&lt;=1.3,"Zona ideal",IF($J845&lt;=1.5,"Atenção","Risco elevado"))))))</f>
        <v/>
      </c>
      <c r="M845" s="27"/>
    </row>
    <row r="846" customFormat="false" ht="15" hidden="false" customHeight="false" outlineLevel="0" collapsed="false">
      <c r="A846" s="29"/>
      <c r="B846" s="40" t="n">
        <f aca="false">IF($A846="",0,INT(($A846-Macrociclo!$C$11)/7)+1)</f>
        <v>0</v>
      </c>
      <c r="C846" s="27"/>
      <c r="D846" s="27"/>
      <c r="E846" s="28"/>
      <c r="F846" s="28"/>
      <c r="G846" s="44" t="n">
        <f aca="false">IF(OR($E846="",$F846=""),0,$E846*$F846)</f>
        <v>0</v>
      </c>
      <c r="H846" s="44" t="n">
        <f aca="false">IF($A846="",0,SUMIFS($G$8:$G$1007,$C$8:$C$1007,$C846,$A$8:$A$1007,"&gt;="&amp;$A846-6,$A$8:$A$1007,"&lt;="&amp;$A846))</f>
        <v>0</v>
      </c>
      <c r="I846" s="44" t="n">
        <f aca="false">IF($A846="",0,SUMIFS($G$8:$G$1007,$C$8:$C$1007,$C846,$A$8:$A$1007,"&gt;="&amp;$A846-27,$A$8:$A$1007,"&lt;="&amp;$A846)/4)</f>
        <v>0</v>
      </c>
      <c r="J846" s="144" t="n">
        <f aca="false">IF(OR($A846="",$I846=0),0,$H846/$I846)</f>
        <v>0</v>
      </c>
      <c r="K846" s="40" t="n">
        <f aca="false">IF($A846="",0,$A846-SUMPRODUCT(MIN(($C$8:$C$1007=$C846)*$A$8:$A$1007+($C$8:$C$1007&lt;&gt;$C846)*100000))+1)</f>
        <v>0</v>
      </c>
      <c r="L846" s="26" t="str">
        <f aca="false">IF($A846="","",IF($J846=0,"Sem registro anterior",IF($K846&lt;21,"Histórico insuficiente",IF($J846&lt;0.8,"Subcarga",IF($J846&lt;=1.3,"Zona ideal",IF($J846&lt;=1.5,"Atenção","Risco elevado"))))))</f>
        <v/>
      </c>
      <c r="M846" s="27"/>
    </row>
    <row r="847" customFormat="false" ht="15" hidden="false" customHeight="false" outlineLevel="0" collapsed="false">
      <c r="A847" s="29"/>
      <c r="B847" s="40" t="n">
        <f aca="false">IF($A847="",0,INT(($A847-Macrociclo!$C$11)/7)+1)</f>
        <v>0</v>
      </c>
      <c r="C847" s="27"/>
      <c r="D847" s="27"/>
      <c r="E847" s="28"/>
      <c r="F847" s="28"/>
      <c r="G847" s="44" t="n">
        <f aca="false">IF(OR($E847="",$F847=""),0,$E847*$F847)</f>
        <v>0</v>
      </c>
      <c r="H847" s="44" t="n">
        <f aca="false">IF($A847="",0,SUMIFS($G$8:$G$1007,$C$8:$C$1007,$C847,$A$8:$A$1007,"&gt;="&amp;$A847-6,$A$8:$A$1007,"&lt;="&amp;$A847))</f>
        <v>0</v>
      </c>
      <c r="I847" s="44" t="n">
        <f aca="false">IF($A847="",0,SUMIFS($G$8:$G$1007,$C$8:$C$1007,$C847,$A$8:$A$1007,"&gt;="&amp;$A847-27,$A$8:$A$1007,"&lt;="&amp;$A847)/4)</f>
        <v>0</v>
      </c>
      <c r="J847" s="144" t="n">
        <f aca="false">IF(OR($A847="",$I847=0),0,$H847/$I847)</f>
        <v>0</v>
      </c>
      <c r="K847" s="40" t="n">
        <f aca="false">IF($A847="",0,$A847-SUMPRODUCT(MIN(($C$8:$C$1007=$C847)*$A$8:$A$1007+($C$8:$C$1007&lt;&gt;$C847)*100000))+1)</f>
        <v>0</v>
      </c>
      <c r="L847" s="26" t="str">
        <f aca="false">IF($A847="","",IF($J847=0,"Sem registro anterior",IF($K847&lt;21,"Histórico insuficiente",IF($J847&lt;0.8,"Subcarga",IF($J847&lt;=1.3,"Zona ideal",IF($J847&lt;=1.5,"Atenção","Risco elevado"))))))</f>
        <v/>
      </c>
      <c r="M847" s="27"/>
    </row>
    <row r="848" customFormat="false" ht="15" hidden="false" customHeight="false" outlineLevel="0" collapsed="false">
      <c r="A848" s="29"/>
      <c r="B848" s="40" t="n">
        <f aca="false">IF($A848="",0,INT(($A848-Macrociclo!$C$11)/7)+1)</f>
        <v>0</v>
      </c>
      <c r="C848" s="27"/>
      <c r="D848" s="27"/>
      <c r="E848" s="28"/>
      <c r="F848" s="28"/>
      <c r="G848" s="44" t="n">
        <f aca="false">IF(OR($E848="",$F848=""),0,$E848*$F848)</f>
        <v>0</v>
      </c>
      <c r="H848" s="44" t="n">
        <f aca="false">IF($A848="",0,SUMIFS($G$8:$G$1007,$C$8:$C$1007,$C848,$A$8:$A$1007,"&gt;="&amp;$A848-6,$A$8:$A$1007,"&lt;="&amp;$A848))</f>
        <v>0</v>
      </c>
      <c r="I848" s="44" t="n">
        <f aca="false">IF($A848="",0,SUMIFS($G$8:$G$1007,$C$8:$C$1007,$C848,$A$8:$A$1007,"&gt;="&amp;$A848-27,$A$8:$A$1007,"&lt;="&amp;$A848)/4)</f>
        <v>0</v>
      </c>
      <c r="J848" s="144" t="n">
        <f aca="false">IF(OR($A848="",$I848=0),0,$H848/$I848)</f>
        <v>0</v>
      </c>
      <c r="K848" s="40" t="n">
        <f aca="false">IF($A848="",0,$A848-SUMPRODUCT(MIN(($C$8:$C$1007=$C848)*$A$8:$A$1007+($C$8:$C$1007&lt;&gt;$C848)*100000))+1)</f>
        <v>0</v>
      </c>
      <c r="L848" s="26" t="str">
        <f aca="false">IF($A848="","",IF($J848=0,"Sem registro anterior",IF($K848&lt;21,"Histórico insuficiente",IF($J848&lt;0.8,"Subcarga",IF($J848&lt;=1.3,"Zona ideal",IF($J848&lt;=1.5,"Atenção","Risco elevado"))))))</f>
        <v/>
      </c>
      <c r="M848" s="27"/>
    </row>
    <row r="849" customFormat="false" ht="15" hidden="false" customHeight="false" outlineLevel="0" collapsed="false">
      <c r="A849" s="29"/>
      <c r="B849" s="40" t="n">
        <f aca="false">IF($A849="",0,INT(($A849-Macrociclo!$C$11)/7)+1)</f>
        <v>0</v>
      </c>
      <c r="C849" s="27"/>
      <c r="D849" s="27"/>
      <c r="E849" s="28"/>
      <c r="F849" s="28"/>
      <c r="G849" s="44" t="n">
        <f aca="false">IF(OR($E849="",$F849=""),0,$E849*$F849)</f>
        <v>0</v>
      </c>
      <c r="H849" s="44" t="n">
        <f aca="false">IF($A849="",0,SUMIFS($G$8:$G$1007,$C$8:$C$1007,$C849,$A$8:$A$1007,"&gt;="&amp;$A849-6,$A$8:$A$1007,"&lt;="&amp;$A849))</f>
        <v>0</v>
      </c>
      <c r="I849" s="44" t="n">
        <f aca="false">IF($A849="",0,SUMIFS($G$8:$G$1007,$C$8:$C$1007,$C849,$A$8:$A$1007,"&gt;="&amp;$A849-27,$A$8:$A$1007,"&lt;="&amp;$A849)/4)</f>
        <v>0</v>
      </c>
      <c r="J849" s="144" t="n">
        <f aca="false">IF(OR($A849="",$I849=0),0,$H849/$I849)</f>
        <v>0</v>
      </c>
      <c r="K849" s="40" t="n">
        <f aca="false">IF($A849="",0,$A849-SUMPRODUCT(MIN(($C$8:$C$1007=$C849)*$A$8:$A$1007+($C$8:$C$1007&lt;&gt;$C849)*100000))+1)</f>
        <v>0</v>
      </c>
      <c r="L849" s="26" t="str">
        <f aca="false">IF($A849="","",IF($J849=0,"Sem registro anterior",IF($K849&lt;21,"Histórico insuficiente",IF($J849&lt;0.8,"Subcarga",IF($J849&lt;=1.3,"Zona ideal",IF($J849&lt;=1.5,"Atenção","Risco elevado"))))))</f>
        <v/>
      </c>
      <c r="M849" s="27"/>
    </row>
    <row r="850" customFormat="false" ht="15" hidden="false" customHeight="false" outlineLevel="0" collapsed="false">
      <c r="A850" s="29"/>
      <c r="B850" s="40" t="n">
        <f aca="false">IF($A850="",0,INT(($A850-Macrociclo!$C$11)/7)+1)</f>
        <v>0</v>
      </c>
      <c r="C850" s="27"/>
      <c r="D850" s="27"/>
      <c r="E850" s="28"/>
      <c r="F850" s="28"/>
      <c r="G850" s="44" t="n">
        <f aca="false">IF(OR($E850="",$F850=""),0,$E850*$F850)</f>
        <v>0</v>
      </c>
      <c r="H850" s="44" t="n">
        <f aca="false">IF($A850="",0,SUMIFS($G$8:$G$1007,$C$8:$C$1007,$C850,$A$8:$A$1007,"&gt;="&amp;$A850-6,$A$8:$A$1007,"&lt;="&amp;$A850))</f>
        <v>0</v>
      </c>
      <c r="I850" s="44" t="n">
        <f aca="false">IF($A850="",0,SUMIFS($G$8:$G$1007,$C$8:$C$1007,$C850,$A$8:$A$1007,"&gt;="&amp;$A850-27,$A$8:$A$1007,"&lt;="&amp;$A850)/4)</f>
        <v>0</v>
      </c>
      <c r="J850" s="144" t="n">
        <f aca="false">IF(OR($A850="",$I850=0),0,$H850/$I850)</f>
        <v>0</v>
      </c>
      <c r="K850" s="40" t="n">
        <f aca="false">IF($A850="",0,$A850-SUMPRODUCT(MIN(($C$8:$C$1007=$C850)*$A$8:$A$1007+($C$8:$C$1007&lt;&gt;$C850)*100000))+1)</f>
        <v>0</v>
      </c>
      <c r="L850" s="26" t="str">
        <f aca="false">IF($A850="","",IF($J850=0,"Sem registro anterior",IF($K850&lt;21,"Histórico insuficiente",IF($J850&lt;0.8,"Subcarga",IF($J850&lt;=1.3,"Zona ideal",IF($J850&lt;=1.5,"Atenção","Risco elevado"))))))</f>
        <v/>
      </c>
      <c r="M850" s="27"/>
    </row>
    <row r="851" customFormat="false" ht="15" hidden="false" customHeight="false" outlineLevel="0" collapsed="false">
      <c r="A851" s="29"/>
      <c r="B851" s="40" t="n">
        <f aca="false">IF($A851="",0,INT(($A851-Macrociclo!$C$11)/7)+1)</f>
        <v>0</v>
      </c>
      <c r="C851" s="27"/>
      <c r="D851" s="27"/>
      <c r="E851" s="28"/>
      <c r="F851" s="28"/>
      <c r="G851" s="44" t="n">
        <f aca="false">IF(OR($E851="",$F851=""),0,$E851*$F851)</f>
        <v>0</v>
      </c>
      <c r="H851" s="44" t="n">
        <f aca="false">IF($A851="",0,SUMIFS($G$8:$G$1007,$C$8:$C$1007,$C851,$A$8:$A$1007,"&gt;="&amp;$A851-6,$A$8:$A$1007,"&lt;="&amp;$A851))</f>
        <v>0</v>
      </c>
      <c r="I851" s="44" t="n">
        <f aca="false">IF($A851="",0,SUMIFS($G$8:$G$1007,$C$8:$C$1007,$C851,$A$8:$A$1007,"&gt;="&amp;$A851-27,$A$8:$A$1007,"&lt;="&amp;$A851)/4)</f>
        <v>0</v>
      </c>
      <c r="J851" s="144" t="n">
        <f aca="false">IF(OR($A851="",$I851=0),0,$H851/$I851)</f>
        <v>0</v>
      </c>
      <c r="K851" s="40" t="n">
        <f aca="false">IF($A851="",0,$A851-SUMPRODUCT(MIN(($C$8:$C$1007=$C851)*$A$8:$A$1007+($C$8:$C$1007&lt;&gt;$C851)*100000))+1)</f>
        <v>0</v>
      </c>
      <c r="L851" s="26" t="str">
        <f aca="false">IF($A851="","",IF($J851=0,"Sem registro anterior",IF($K851&lt;21,"Histórico insuficiente",IF($J851&lt;0.8,"Subcarga",IF($J851&lt;=1.3,"Zona ideal",IF($J851&lt;=1.5,"Atenção","Risco elevado"))))))</f>
        <v/>
      </c>
      <c r="M851" s="27"/>
    </row>
    <row r="852" customFormat="false" ht="15" hidden="false" customHeight="false" outlineLevel="0" collapsed="false">
      <c r="A852" s="29"/>
      <c r="B852" s="40" t="n">
        <f aca="false">IF($A852="",0,INT(($A852-Macrociclo!$C$11)/7)+1)</f>
        <v>0</v>
      </c>
      <c r="C852" s="27"/>
      <c r="D852" s="27"/>
      <c r="E852" s="28"/>
      <c r="F852" s="28"/>
      <c r="G852" s="44" t="n">
        <f aca="false">IF(OR($E852="",$F852=""),0,$E852*$F852)</f>
        <v>0</v>
      </c>
      <c r="H852" s="44" t="n">
        <f aca="false">IF($A852="",0,SUMIFS($G$8:$G$1007,$C$8:$C$1007,$C852,$A$8:$A$1007,"&gt;="&amp;$A852-6,$A$8:$A$1007,"&lt;="&amp;$A852))</f>
        <v>0</v>
      </c>
      <c r="I852" s="44" t="n">
        <f aca="false">IF($A852="",0,SUMIFS($G$8:$G$1007,$C$8:$C$1007,$C852,$A$8:$A$1007,"&gt;="&amp;$A852-27,$A$8:$A$1007,"&lt;="&amp;$A852)/4)</f>
        <v>0</v>
      </c>
      <c r="J852" s="144" t="n">
        <f aca="false">IF(OR($A852="",$I852=0),0,$H852/$I852)</f>
        <v>0</v>
      </c>
      <c r="K852" s="40" t="n">
        <f aca="false">IF($A852="",0,$A852-SUMPRODUCT(MIN(($C$8:$C$1007=$C852)*$A$8:$A$1007+($C$8:$C$1007&lt;&gt;$C852)*100000))+1)</f>
        <v>0</v>
      </c>
      <c r="L852" s="26" t="str">
        <f aca="false">IF($A852="","",IF($J852=0,"Sem registro anterior",IF($K852&lt;21,"Histórico insuficiente",IF($J852&lt;0.8,"Subcarga",IF($J852&lt;=1.3,"Zona ideal",IF($J852&lt;=1.5,"Atenção","Risco elevado"))))))</f>
        <v/>
      </c>
      <c r="M852" s="27"/>
    </row>
    <row r="853" customFormat="false" ht="15" hidden="false" customHeight="false" outlineLevel="0" collapsed="false">
      <c r="A853" s="29"/>
      <c r="B853" s="40" t="n">
        <f aca="false">IF($A853="",0,INT(($A853-Macrociclo!$C$11)/7)+1)</f>
        <v>0</v>
      </c>
      <c r="C853" s="27"/>
      <c r="D853" s="27"/>
      <c r="E853" s="28"/>
      <c r="F853" s="28"/>
      <c r="G853" s="44" t="n">
        <f aca="false">IF(OR($E853="",$F853=""),0,$E853*$F853)</f>
        <v>0</v>
      </c>
      <c r="H853" s="44" t="n">
        <f aca="false">IF($A853="",0,SUMIFS($G$8:$G$1007,$C$8:$C$1007,$C853,$A$8:$A$1007,"&gt;="&amp;$A853-6,$A$8:$A$1007,"&lt;="&amp;$A853))</f>
        <v>0</v>
      </c>
      <c r="I853" s="44" t="n">
        <f aca="false">IF($A853="",0,SUMIFS($G$8:$G$1007,$C$8:$C$1007,$C853,$A$8:$A$1007,"&gt;="&amp;$A853-27,$A$8:$A$1007,"&lt;="&amp;$A853)/4)</f>
        <v>0</v>
      </c>
      <c r="J853" s="144" t="n">
        <f aca="false">IF(OR($A853="",$I853=0),0,$H853/$I853)</f>
        <v>0</v>
      </c>
      <c r="K853" s="40" t="n">
        <f aca="false">IF($A853="",0,$A853-SUMPRODUCT(MIN(($C$8:$C$1007=$C853)*$A$8:$A$1007+($C$8:$C$1007&lt;&gt;$C853)*100000))+1)</f>
        <v>0</v>
      </c>
      <c r="L853" s="26" t="str">
        <f aca="false">IF($A853="","",IF($J853=0,"Sem registro anterior",IF($K853&lt;21,"Histórico insuficiente",IF($J853&lt;0.8,"Subcarga",IF($J853&lt;=1.3,"Zona ideal",IF($J853&lt;=1.5,"Atenção","Risco elevado"))))))</f>
        <v/>
      </c>
      <c r="M853" s="27"/>
    </row>
    <row r="854" customFormat="false" ht="15" hidden="false" customHeight="false" outlineLevel="0" collapsed="false">
      <c r="A854" s="29"/>
      <c r="B854" s="40" t="n">
        <f aca="false">IF($A854="",0,INT(($A854-Macrociclo!$C$11)/7)+1)</f>
        <v>0</v>
      </c>
      <c r="C854" s="27"/>
      <c r="D854" s="27"/>
      <c r="E854" s="28"/>
      <c r="F854" s="28"/>
      <c r="G854" s="44" t="n">
        <f aca="false">IF(OR($E854="",$F854=""),0,$E854*$F854)</f>
        <v>0</v>
      </c>
      <c r="H854" s="44" t="n">
        <f aca="false">IF($A854="",0,SUMIFS($G$8:$G$1007,$C$8:$C$1007,$C854,$A$8:$A$1007,"&gt;="&amp;$A854-6,$A$8:$A$1007,"&lt;="&amp;$A854))</f>
        <v>0</v>
      </c>
      <c r="I854" s="44" t="n">
        <f aca="false">IF($A854="",0,SUMIFS($G$8:$G$1007,$C$8:$C$1007,$C854,$A$8:$A$1007,"&gt;="&amp;$A854-27,$A$8:$A$1007,"&lt;="&amp;$A854)/4)</f>
        <v>0</v>
      </c>
      <c r="J854" s="144" t="n">
        <f aca="false">IF(OR($A854="",$I854=0),0,$H854/$I854)</f>
        <v>0</v>
      </c>
      <c r="K854" s="40" t="n">
        <f aca="false">IF($A854="",0,$A854-SUMPRODUCT(MIN(($C$8:$C$1007=$C854)*$A$8:$A$1007+($C$8:$C$1007&lt;&gt;$C854)*100000))+1)</f>
        <v>0</v>
      </c>
      <c r="L854" s="26" t="str">
        <f aca="false">IF($A854="","",IF($J854=0,"Sem registro anterior",IF($K854&lt;21,"Histórico insuficiente",IF($J854&lt;0.8,"Subcarga",IF($J854&lt;=1.3,"Zona ideal",IF($J854&lt;=1.5,"Atenção","Risco elevado"))))))</f>
        <v/>
      </c>
      <c r="M854" s="27"/>
    </row>
    <row r="855" customFormat="false" ht="15" hidden="false" customHeight="false" outlineLevel="0" collapsed="false">
      <c r="A855" s="29"/>
      <c r="B855" s="40" t="n">
        <f aca="false">IF($A855="",0,INT(($A855-Macrociclo!$C$11)/7)+1)</f>
        <v>0</v>
      </c>
      <c r="C855" s="27"/>
      <c r="D855" s="27"/>
      <c r="E855" s="28"/>
      <c r="F855" s="28"/>
      <c r="G855" s="44" t="n">
        <f aca="false">IF(OR($E855="",$F855=""),0,$E855*$F855)</f>
        <v>0</v>
      </c>
      <c r="H855" s="44" t="n">
        <f aca="false">IF($A855="",0,SUMIFS($G$8:$G$1007,$C$8:$C$1007,$C855,$A$8:$A$1007,"&gt;="&amp;$A855-6,$A$8:$A$1007,"&lt;="&amp;$A855))</f>
        <v>0</v>
      </c>
      <c r="I855" s="44" t="n">
        <f aca="false">IF($A855="",0,SUMIFS($G$8:$G$1007,$C$8:$C$1007,$C855,$A$8:$A$1007,"&gt;="&amp;$A855-27,$A$8:$A$1007,"&lt;="&amp;$A855)/4)</f>
        <v>0</v>
      </c>
      <c r="J855" s="144" t="n">
        <f aca="false">IF(OR($A855="",$I855=0),0,$H855/$I855)</f>
        <v>0</v>
      </c>
      <c r="K855" s="40" t="n">
        <f aca="false">IF($A855="",0,$A855-SUMPRODUCT(MIN(($C$8:$C$1007=$C855)*$A$8:$A$1007+($C$8:$C$1007&lt;&gt;$C855)*100000))+1)</f>
        <v>0</v>
      </c>
      <c r="L855" s="26" t="str">
        <f aca="false">IF($A855="","",IF($J855=0,"Sem registro anterior",IF($K855&lt;21,"Histórico insuficiente",IF($J855&lt;0.8,"Subcarga",IF($J855&lt;=1.3,"Zona ideal",IF($J855&lt;=1.5,"Atenção","Risco elevado"))))))</f>
        <v/>
      </c>
      <c r="M855" s="27"/>
    </row>
    <row r="856" customFormat="false" ht="15" hidden="false" customHeight="false" outlineLevel="0" collapsed="false">
      <c r="A856" s="29"/>
      <c r="B856" s="40" t="n">
        <f aca="false">IF($A856="",0,INT(($A856-Macrociclo!$C$11)/7)+1)</f>
        <v>0</v>
      </c>
      <c r="C856" s="27"/>
      <c r="D856" s="27"/>
      <c r="E856" s="28"/>
      <c r="F856" s="28"/>
      <c r="G856" s="44" t="n">
        <f aca="false">IF(OR($E856="",$F856=""),0,$E856*$F856)</f>
        <v>0</v>
      </c>
      <c r="H856" s="44" t="n">
        <f aca="false">IF($A856="",0,SUMIFS($G$8:$G$1007,$C$8:$C$1007,$C856,$A$8:$A$1007,"&gt;="&amp;$A856-6,$A$8:$A$1007,"&lt;="&amp;$A856))</f>
        <v>0</v>
      </c>
      <c r="I856" s="44" t="n">
        <f aca="false">IF($A856="",0,SUMIFS($G$8:$G$1007,$C$8:$C$1007,$C856,$A$8:$A$1007,"&gt;="&amp;$A856-27,$A$8:$A$1007,"&lt;="&amp;$A856)/4)</f>
        <v>0</v>
      </c>
      <c r="J856" s="144" t="n">
        <f aca="false">IF(OR($A856="",$I856=0),0,$H856/$I856)</f>
        <v>0</v>
      </c>
      <c r="K856" s="40" t="n">
        <f aca="false">IF($A856="",0,$A856-SUMPRODUCT(MIN(($C$8:$C$1007=$C856)*$A$8:$A$1007+($C$8:$C$1007&lt;&gt;$C856)*100000))+1)</f>
        <v>0</v>
      </c>
      <c r="L856" s="26" t="str">
        <f aca="false">IF($A856="","",IF($J856=0,"Sem registro anterior",IF($K856&lt;21,"Histórico insuficiente",IF($J856&lt;0.8,"Subcarga",IF($J856&lt;=1.3,"Zona ideal",IF($J856&lt;=1.5,"Atenção","Risco elevado"))))))</f>
        <v/>
      </c>
      <c r="M856" s="27"/>
    </row>
    <row r="857" customFormat="false" ht="15" hidden="false" customHeight="false" outlineLevel="0" collapsed="false">
      <c r="A857" s="29"/>
      <c r="B857" s="40" t="n">
        <f aca="false">IF($A857="",0,INT(($A857-Macrociclo!$C$11)/7)+1)</f>
        <v>0</v>
      </c>
      <c r="C857" s="27"/>
      <c r="D857" s="27"/>
      <c r="E857" s="28"/>
      <c r="F857" s="28"/>
      <c r="G857" s="44" t="n">
        <f aca="false">IF(OR($E857="",$F857=""),0,$E857*$F857)</f>
        <v>0</v>
      </c>
      <c r="H857" s="44" t="n">
        <f aca="false">IF($A857="",0,SUMIFS($G$8:$G$1007,$C$8:$C$1007,$C857,$A$8:$A$1007,"&gt;="&amp;$A857-6,$A$8:$A$1007,"&lt;="&amp;$A857))</f>
        <v>0</v>
      </c>
      <c r="I857" s="44" t="n">
        <f aca="false">IF($A857="",0,SUMIFS($G$8:$G$1007,$C$8:$C$1007,$C857,$A$8:$A$1007,"&gt;="&amp;$A857-27,$A$8:$A$1007,"&lt;="&amp;$A857)/4)</f>
        <v>0</v>
      </c>
      <c r="J857" s="144" t="n">
        <f aca="false">IF(OR($A857="",$I857=0),0,$H857/$I857)</f>
        <v>0</v>
      </c>
      <c r="K857" s="40" t="n">
        <f aca="false">IF($A857="",0,$A857-SUMPRODUCT(MIN(($C$8:$C$1007=$C857)*$A$8:$A$1007+($C$8:$C$1007&lt;&gt;$C857)*100000))+1)</f>
        <v>0</v>
      </c>
      <c r="L857" s="26" t="str">
        <f aca="false">IF($A857="","",IF($J857=0,"Sem registro anterior",IF($K857&lt;21,"Histórico insuficiente",IF($J857&lt;0.8,"Subcarga",IF($J857&lt;=1.3,"Zona ideal",IF($J857&lt;=1.5,"Atenção","Risco elevado"))))))</f>
        <v/>
      </c>
      <c r="M857" s="27"/>
    </row>
    <row r="858" customFormat="false" ht="15" hidden="false" customHeight="false" outlineLevel="0" collapsed="false">
      <c r="A858" s="29"/>
      <c r="B858" s="40" t="n">
        <f aca="false">IF($A858="",0,INT(($A858-Macrociclo!$C$11)/7)+1)</f>
        <v>0</v>
      </c>
      <c r="C858" s="27"/>
      <c r="D858" s="27"/>
      <c r="E858" s="28"/>
      <c r="F858" s="28"/>
      <c r="G858" s="44" t="n">
        <f aca="false">IF(OR($E858="",$F858=""),0,$E858*$F858)</f>
        <v>0</v>
      </c>
      <c r="H858" s="44" t="n">
        <f aca="false">IF($A858="",0,SUMIFS($G$8:$G$1007,$C$8:$C$1007,$C858,$A$8:$A$1007,"&gt;="&amp;$A858-6,$A$8:$A$1007,"&lt;="&amp;$A858))</f>
        <v>0</v>
      </c>
      <c r="I858" s="44" t="n">
        <f aca="false">IF($A858="",0,SUMIFS($G$8:$G$1007,$C$8:$C$1007,$C858,$A$8:$A$1007,"&gt;="&amp;$A858-27,$A$8:$A$1007,"&lt;="&amp;$A858)/4)</f>
        <v>0</v>
      </c>
      <c r="J858" s="144" t="n">
        <f aca="false">IF(OR($A858="",$I858=0),0,$H858/$I858)</f>
        <v>0</v>
      </c>
      <c r="K858" s="40" t="n">
        <f aca="false">IF($A858="",0,$A858-SUMPRODUCT(MIN(($C$8:$C$1007=$C858)*$A$8:$A$1007+($C$8:$C$1007&lt;&gt;$C858)*100000))+1)</f>
        <v>0</v>
      </c>
      <c r="L858" s="26" t="str">
        <f aca="false">IF($A858="","",IF($J858=0,"Sem registro anterior",IF($K858&lt;21,"Histórico insuficiente",IF($J858&lt;0.8,"Subcarga",IF($J858&lt;=1.3,"Zona ideal",IF($J858&lt;=1.5,"Atenção","Risco elevado"))))))</f>
        <v/>
      </c>
      <c r="M858" s="27"/>
    </row>
    <row r="859" customFormat="false" ht="15" hidden="false" customHeight="false" outlineLevel="0" collapsed="false">
      <c r="A859" s="29"/>
      <c r="B859" s="40" t="n">
        <f aca="false">IF($A859="",0,INT(($A859-Macrociclo!$C$11)/7)+1)</f>
        <v>0</v>
      </c>
      <c r="C859" s="27"/>
      <c r="D859" s="27"/>
      <c r="E859" s="28"/>
      <c r="F859" s="28"/>
      <c r="G859" s="44" t="n">
        <f aca="false">IF(OR($E859="",$F859=""),0,$E859*$F859)</f>
        <v>0</v>
      </c>
      <c r="H859" s="44" t="n">
        <f aca="false">IF($A859="",0,SUMIFS($G$8:$G$1007,$C$8:$C$1007,$C859,$A$8:$A$1007,"&gt;="&amp;$A859-6,$A$8:$A$1007,"&lt;="&amp;$A859))</f>
        <v>0</v>
      </c>
      <c r="I859" s="44" t="n">
        <f aca="false">IF($A859="",0,SUMIFS($G$8:$G$1007,$C$8:$C$1007,$C859,$A$8:$A$1007,"&gt;="&amp;$A859-27,$A$8:$A$1007,"&lt;="&amp;$A859)/4)</f>
        <v>0</v>
      </c>
      <c r="J859" s="144" t="n">
        <f aca="false">IF(OR($A859="",$I859=0),0,$H859/$I859)</f>
        <v>0</v>
      </c>
      <c r="K859" s="40" t="n">
        <f aca="false">IF($A859="",0,$A859-SUMPRODUCT(MIN(($C$8:$C$1007=$C859)*$A$8:$A$1007+($C$8:$C$1007&lt;&gt;$C859)*100000))+1)</f>
        <v>0</v>
      </c>
      <c r="L859" s="26" t="str">
        <f aca="false">IF($A859="","",IF($J859=0,"Sem registro anterior",IF($K859&lt;21,"Histórico insuficiente",IF($J859&lt;0.8,"Subcarga",IF($J859&lt;=1.3,"Zona ideal",IF($J859&lt;=1.5,"Atenção","Risco elevado"))))))</f>
        <v/>
      </c>
      <c r="M859" s="27"/>
    </row>
    <row r="860" customFormat="false" ht="15" hidden="false" customHeight="false" outlineLevel="0" collapsed="false">
      <c r="A860" s="29"/>
      <c r="B860" s="40" t="n">
        <f aca="false">IF($A860="",0,INT(($A860-Macrociclo!$C$11)/7)+1)</f>
        <v>0</v>
      </c>
      <c r="C860" s="27"/>
      <c r="D860" s="27"/>
      <c r="E860" s="28"/>
      <c r="F860" s="28"/>
      <c r="G860" s="44" t="n">
        <f aca="false">IF(OR($E860="",$F860=""),0,$E860*$F860)</f>
        <v>0</v>
      </c>
      <c r="H860" s="44" t="n">
        <f aca="false">IF($A860="",0,SUMIFS($G$8:$G$1007,$C$8:$C$1007,$C860,$A$8:$A$1007,"&gt;="&amp;$A860-6,$A$8:$A$1007,"&lt;="&amp;$A860))</f>
        <v>0</v>
      </c>
      <c r="I860" s="44" t="n">
        <f aca="false">IF($A860="",0,SUMIFS($G$8:$G$1007,$C$8:$C$1007,$C860,$A$8:$A$1007,"&gt;="&amp;$A860-27,$A$8:$A$1007,"&lt;="&amp;$A860)/4)</f>
        <v>0</v>
      </c>
      <c r="J860" s="144" t="n">
        <f aca="false">IF(OR($A860="",$I860=0),0,$H860/$I860)</f>
        <v>0</v>
      </c>
      <c r="K860" s="40" t="n">
        <f aca="false">IF($A860="",0,$A860-SUMPRODUCT(MIN(($C$8:$C$1007=$C860)*$A$8:$A$1007+($C$8:$C$1007&lt;&gt;$C860)*100000))+1)</f>
        <v>0</v>
      </c>
      <c r="L860" s="26" t="str">
        <f aca="false">IF($A860="","",IF($J860=0,"Sem registro anterior",IF($K860&lt;21,"Histórico insuficiente",IF($J860&lt;0.8,"Subcarga",IF($J860&lt;=1.3,"Zona ideal",IF($J860&lt;=1.5,"Atenção","Risco elevado"))))))</f>
        <v/>
      </c>
      <c r="M860" s="27"/>
    </row>
    <row r="861" customFormat="false" ht="15" hidden="false" customHeight="false" outlineLevel="0" collapsed="false">
      <c r="A861" s="29"/>
      <c r="B861" s="40" t="n">
        <f aca="false">IF($A861="",0,INT(($A861-Macrociclo!$C$11)/7)+1)</f>
        <v>0</v>
      </c>
      <c r="C861" s="27"/>
      <c r="D861" s="27"/>
      <c r="E861" s="28"/>
      <c r="F861" s="28"/>
      <c r="G861" s="44" t="n">
        <f aca="false">IF(OR($E861="",$F861=""),0,$E861*$F861)</f>
        <v>0</v>
      </c>
      <c r="H861" s="44" t="n">
        <f aca="false">IF($A861="",0,SUMIFS($G$8:$G$1007,$C$8:$C$1007,$C861,$A$8:$A$1007,"&gt;="&amp;$A861-6,$A$8:$A$1007,"&lt;="&amp;$A861))</f>
        <v>0</v>
      </c>
      <c r="I861" s="44" t="n">
        <f aca="false">IF($A861="",0,SUMIFS($G$8:$G$1007,$C$8:$C$1007,$C861,$A$8:$A$1007,"&gt;="&amp;$A861-27,$A$8:$A$1007,"&lt;="&amp;$A861)/4)</f>
        <v>0</v>
      </c>
      <c r="J861" s="144" t="n">
        <f aca="false">IF(OR($A861="",$I861=0),0,$H861/$I861)</f>
        <v>0</v>
      </c>
      <c r="K861" s="40" t="n">
        <f aca="false">IF($A861="",0,$A861-SUMPRODUCT(MIN(($C$8:$C$1007=$C861)*$A$8:$A$1007+($C$8:$C$1007&lt;&gt;$C861)*100000))+1)</f>
        <v>0</v>
      </c>
      <c r="L861" s="26" t="str">
        <f aca="false">IF($A861="","",IF($J861=0,"Sem registro anterior",IF($K861&lt;21,"Histórico insuficiente",IF($J861&lt;0.8,"Subcarga",IF($J861&lt;=1.3,"Zona ideal",IF($J861&lt;=1.5,"Atenção","Risco elevado"))))))</f>
        <v/>
      </c>
      <c r="M861" s="27"/>
    </row>
    <row r="862" customFormat="false" ht="15" hidden="false" customHeight="false" outlineLevel="0" collapsed="false">
      <c r="A862" s="29"/>
      <c r="B862" s="40" t="n">
        <f aca="false">IF($A862="",0,INT(($A862-Macrociclo!$C$11)/7)+1)</f>
        <v>0</v>
      </c>
      <c r="C862" s="27"/>
      <c r="D862" s="27"/>
      <c r="E862" s="28"/>
      <c r="F862" s="28"/>
      <c r="G862" s="44" t="n">
        <f aca="false">IF(OR($E862="",$F862=""),0,$E862*$F862)</f>
        <v>0</v>
      </c>
      <c r="H862" s="44" t="n">
        <f aca="false">IF($A862="",0,SUMIFS($G$8:$G$1007,$C$8:$C$1007,$C862,$A$8:$A$1007,"&gt;="&amp;$A862-6,$A$8:$A$1007,"&lt;="&amp;$A862))</f>
        <v>0</v>
      </c>
      <c r="I862" s="44" t="n">
        <f aca="false">IF($A862="",0,SUMIFS($G$8:$G$1007,$C$8:$C$1007,$C862,$A$8:$A$1007,"&gt;="&amp;$A862-27,$A$8:$A$1007,"&lt;="&amp;$A862)/4)</f>
        <v>0</v>
      </c>
      <c r="J862" s="144" t="n">
        <f aca="false">IF(OR($A862="",$I862=0),0,$H862/$I862)</f>
        <v>0</v>
      </c>
      <c r="K862" s="40" t="n">
        <f aca="false">IF($A862="",0,$A862-SUMPRODUCT(MIN(($C$8:$C$1007=$C862)*$A$8:$A$1007+($C$8:$C$1007&lt;&gt;$C862)*100000))+1)</f>
        <v>0</v>
      </c>
      <c r="L862" s="26" t="str">
        <f aca="false">IF($A862="","",IF($J862=0,"Sem registro anterior",IF($K862&lt;21,"Histórico insuficiente",IF($J862&lt;0.8,"Subcarga",IF($J862&lt;=1.3,"Zona ideal",IF($J862&lt;=1.5,"Atenção","Risco elevado"))))))</f>
        <v/>
      </c>
      <c r="M862" s="27"/>
    </row>
    <row r="863" customFormat="false" ht="15" hidden="false" customHeight="false" outlineLevel="0" collapsed="false">
      <c r="A863" s="29"/>
      <c r="B863" s="40" t="n">
        <f aca="false">IF($A863="",0,INT(($A863-Macrociclo!$C$11)/7)+1)</f>
        <v>0</v>
      </c>
      <c r="C863" s="27"/>
      <c r="D863" s="27"/>
      <c r="E863" s="28"/>
      <c r="F863" s="28"/>
      <c r="G863" s="44" t="n">
        <f aca="false">IF(OR($E863="",$F863=""),0,$E863*$F863)</f>
        <v>0</v>
      </c>
      <c r="H863" s="44" t="n">
        <f aca="false">IF($A863="",0,SUMIFS($G$8:$G$1007,$C$8:$C$1007,$C863,$A$8:$A$1007,"&gt;="&amp;$A863-6,$A$8:$A$1007,"&lt;="&amp;$A863))</f>
        <v>0</v>
      </c>
      <c r="I863" s="44" t="n">
        <f aca="false">IF($A863="",0,SUMIFS($G$8:$G$1007,$C$8:$C$1007,$C863,$A$8:$A$1007,"&gt;="&amp;$A863-27,$A$8:$A$1007,"&lt;="&amp;$A863)/4)</f>
        <v>0</v>
      </c>
      <c r="J863" s="144" t="n">
        <f aca="false">IF(OR($A863="",$I863=0),0,$H863/$I863)</f>
        <v>0</v>
      </c>
      <c r="K863" s="40" t="n">
        <f aca="false">IF($A863="",0,$A863-SUMPRODUCT(MIN(($C$8:$C$1007=$C863)*$A$8:$A$1007+($C$8:$C$1007&lt;&gt;$C863)*100000))+1)</f>
        <v>0</v>
      </c>
      <c r="L863" s="26" t="str">
        <f aca="false">IF($A863="","",IF($J863=0,"Sem registro anterior",IF($K863&lt;21,"Histórico insuficiente",IF($J863&lt;0.8,"Subcarga",IF($J863&lt;=1.3,"Zona ideal",IF($J863&lt;=1.5,"Atenção","Risco elevado"))))))</f>
        <v/>
      </c>
      <c r="M863" s="27"/>
    </row>
    <row r="864" customFormat="false" ht="15" hidden="false" customHeight="false" outlineLevel="0" collapsed="false">
      <c r="A864" s="29"/>
      <c r="B864" s="40" t="n">
        <f aca="false">IF($A864="",0,INT(($A864-Macrociclo!$C$11)/7)+1)</f>
        <v>0</v>
      </c>
      <c r="C864" s="27"/>
      <c r="D864" s="27"/>
      <c r="E864" s="28"/>
      <c r="F864" s="28"/>
      <c r="G864" s="44" t="n">
        <f aca="false">IF(OR($E864="",$F864=""),0,$E864*$F864)</f>
        <v>0</v>
      </c>
      <c r="H864" s="44" t="n">
        <f aca="false">IF($A864="",0,SUMIFS($G$8:$G$1007,$C$8:$C$1007,$C864,$A$8:$A$1007,"&gt;="&amp;$A864-6,$A$8:$A$1007,"&lt;="&amp;$A864))</f>
        <v>0</v>
      </c>
      <c r="I864" s="44" t="n">
        <f aca="false">IF($A864="",0,SUMIFS($G$8:$G$1007,$C$8:$C$1007,$C864,$A$8:$A$1007,"&gt;="&amp;$A864-27,$A$8:$A$1007,"&lt;="&amp;$A864)/4)</f>
        <v>0</v>
      </c>
      <c r="J864" s="144" t="n">
        <f aca="false">IF(OR($A864="",$I864=0),0,$H864/$I864)</f>
        <v>0</v>
      </c>
      <c r="K864" s="40" t="n">
        <f aca="false">IF($A864="",0,$A864-SUMPRODUCT(MIN(($C$8:$C$1007=$C864)*$A$8:$A$1007+($C$8:$C$1007&lt;&gt;$C864)*100000))+1)</f>
        <v>0</v>
      </c>
      <c r="L864" s="26" t="str">
        <f aca="false">IF($A864="","",IF($J864=0,"Sem registro anterior",IF($K864&lt;21,"Histórico insuficiente",IF($J864&lt;0.8,"Subcarga",IF($J864&lt;=1.3,"Zona ideal",IF($J864&lt;=1.5,"Atenção","Risco elevado"))))))</f>
        <v/>
      </c>
      <c r="M864" s="27"/>
    </row>
    <row r="865" customFormat="false" ht="15" hidden="false" customHeight="false" outlineLevel="0" collapsed="false">
      <c r="A865" s="29"/>
      <c r="B865" s="40" t="n">
        <f aca="false">IF($A865="",0,INT(($A865-Macrociclo!$C$11)/7)+1)</f>
        <v>0</v>
      </c>
      <c r="C865" s="27"/>
      <c r="D865" s="27"/>
      <c r="E865" s="28"/>
      <c r="F865" s="28"/>
      <c r="G865" s="44" t="n">
        <f aca="false">IF(OR($E865="",$F865=""),0,$E865*$F865)</f>
        <v>0</v>
      </c>
      <c r="H865" s="44" t="n">
        <f aca="false">IF($A865="",0,SUMIFS($G$8:$G$1007,$C$8:$C$1007,$C865,$A$8:$A$1007,"&gt;="&amp;$A865-6,$A$8:$A$1007,"&lt;="&amp;$A865))</f>
        <v>0</v>
      </c>
      <c r="I865" s="44" t="n">
        <f aca="false">IF($A865="",0,SUMIFS($G$8:$G$1007,$C$8:$C$1007,$C865,$A$8:$A$1007,"&gt;="&amp;$A865-27,$A$8:$A$1007,"&lt;="&amp;$A865)/4)</f>
        <v>0</v>
      </c>
      <c r="J865" s="144" t="n">
        <f aca="false">IF(OR($A865="",$I865=0),0,$H865/$I865)</f>
        <v>0</v>
      </c>
      <c r="K865" s="40" t="n">
        <f aca="false">IF($A865="",0,$A865-SUMPRODUCT(MIN(($C$8:$C$1007=$C865)*$A$8:$A$1007+($C$8:$C$1007&lt;&gt;$C865)*100000))+1)</f>
        <v>0</v>
      </c>
      <c r="L865" s="26" t="str">
        <f aca="false">IF($A865="","",IF($J865=0,"Sem registro anterior",IF($K865&lt;21,"Histórico insuficiente",IF($J865&lt;0.8,"Subcarga",IF($J865&lt;=1.3,"Zona ideal",IF($J865&lt;=1.5,"Atenção","Risco elevado"))))))</f>
        <v/>
      </c>
      <c r="M865" s="27"/>
    </row>
    <row r="866" customFormat="false" ht="15" hidden="false" customHeight="false" outlineLevel="0" collapsed="false">
      <c r="A866" s="29"/>
      <c r="B866" s="40" t="n">
        <f aca="false">IF($A866="",0,INT(($A866-Macrociclo!$C$11)/7)+1)</f>
        <v>0</v>
      </c>
      <c r="C866" s="27"/>
      <c r="D866" s="27"/>
      <c r="E866" s="28"/>
      <c r="F866" s="28"/>
      <c r="G866" s="44" t="n">
        <f aca="false">IF(OR($E866="",$F866=""),0,$E866*$F866)</f>
        <v>0</v>
      </c>
      <c r="H866" s="44" t="n">
        <f aca="false">IF($A866="",0,SUMIFS($G$8:$G$1007,$C$8:$C$1007,$C866,$A$8:$A$1007,"&gt;="&amp;$A866-6,$A$8:$A$1007,"&lt;="&amp;$A866))</f>
        <v>0</v>
      </c>
      <c r="I866" s="44" t="n">
        <f aca="false">IF($A866="",0,SUMIFS($G$8:$G$1007,$C$8:$C$1007,$C866,$A$8:$A$1007,"&gt;="&amp;$A866-27,$A$8:$A$1007,"&lt;="&amp;$A866)/4)</f>
        <v>0</v>
      </c>
      <c r="J866" s="144" t="n">
        <f aca="false">IF(OR($A866="",$I866=0),0,$H866/$I866)</f>
        <v>0</v>
      </c>
      <c r="K866" s="40" t="n">
        <f aca="false">IF($A866="",0,$A866-SUMPRODUCT(MIN(($C$8:$C$1007=$C866)*$A$8:$A$1007+($C$8:$C$1007&lt;&gt;$C866)*100000))+1)</f>
        <v>0</v>
      </c>
      <c r="L866" s="26" t="str">
        <f aca="false">IF($A866="","",IF($J866=0,"Sem registro anterior",IF($K866&lt;21,"Histórico insuficiente",IF($J866&lt;0.8,"Subcarga",IF($J866&lt;=1.3,"Zona ideal",IF($J866&lt;=1.5,"Atenção","Risco elevado"))))))</f>
        <v/>
      </c>
      <c r="M866" s="27"/>
    </row>
    <row r="867" customFormat="false" ht="15" hidden="false" customHeight="false" outlineLevel="0" collapsed="false">
      <c r="A867" s="29"/>
      <c r="B867" s="40" t="n">
        <f aca="false">IF($A867="",0,INT(($A867-Macrociclo!$C$11)/7)+1)</f>
        <v>0</v>
      </c>
      <c r="C867" s="27"/>
      <c r="D867" s="27"/>
      <c r="E867" s="28"/>
      <c r="F867" s="28"/>
      <c r="G867" s="44" t="n">
        <f aca="false">IF(OR($E867="",$F867=""),0,$E867*$F867)</f>
        <v>0</v>
      </c>
      <c r="H867" s="44" t="n">
        <f aca="false">IF($A867="",0,SUMIFS($G$8:$G$1007,$C$8:$C$1007,$C867,$A$8:$A$1007,"&gt;="&amp;$A867-6,$A$8:$A$1007,"&lt;="&amp;$A867))</f>
        <v>0</v>
      </c>
      <c r="I867" s="44" t="n">
        <f aca="false">IF($A867="",0,SUMIFS($G$8:$G$1007,$C$8:$C$1007,$C867,$A$8:$A$1007,"&gt;="&amp;$A867-27,$A$8:$A$1007,"&lt;="&amp;$A867)/4)</f>
        <v>0</v>
      </c>
      <c r="J867" s="144" t="n">
        <f aca="false">IF(OR($A867="",$I867=0),0,$H867/$I867)</f>
        <v>0</v>
      </c>
      <c r="K867" s="40" t="n">
        <f aca="false">IF($A867="",0,$A867-SUMPRODUCT(MIN(($C$8:$C$1007=$C867)*$A$8:$A$1007+($C$8:$C$1007&lt;&gt;$C867)*100000))+1)</f>
        <v>0</v>
      </c>
      <c r="L867" s="26" t="str">
        <f aca="false">IF($A867="","",IF($J867=0,"Sem registro anterior",IF($K867&lt;21,"Histórico insuficiente",IF($J867&lt;0.8,"Subcarga",IF($J867&lt;=1.3,"Zona ideal",IF($J867&lt;=1.5,"Atenção","Risco elevado"))))))</f>
        <v/>
      </c>
      <c r="M867" s="27"/>
    </row>
    <row r="868" customFormat="false" ht="15" hidden="false" customHeight="false" outlineLevel="0" collapsed="false">
      <c r="A868" s="29"/>
      <c r="B868" s="40" t="n">
        <f aca="false">IF($A868="",0,INT(($A868-Macrociclo!$C$11)/7)+1)</f>
        <v>0</v>
      </c>
      <c r="C868" s="27"/>
      <c r="D868" s="27"/>
      <c r="E868" s="28"/>
      <c r="F868" s="28"/>
      <c r="G868" s="44" t="n">
        <f aca="false">IF(OR($E868="",$F868=""),0,$E868*$F868)</f>
        <v>0</v>
      </c>
      <c r="H868" s="44" t="n">
        <f aca="false">IF($A868="",0,SUMIFS($G$8:$G$1007,$C$8:$C$1007,$C868,$A$8:$A$1007,"&gt;="&amp;$A868-6,$A$8:$A$1007,"&lt;="&amp;$A868))</f>
        <v>0</v>
      </c>
      <c r="I868" s="44" t="n">
        <f aca="false">IF($A868="",0,SUMIFS($G$8:$G$1007,$C$8:$C$1007,$C868,$A$8:$A$1007,"&gt;="&amp;$A868-27,$A$8:$A$1007,"&lt;="&amp;$A868)/4)</f>
        <v>0</v>
      </c>
      <c r="J868" s="144" t="n">
        <f aca="false">IF(OR($A868="",$I868=0),0,$H868/$I868)</f>
        <v>0</v>
      </c>
      <c r="K868" s="40" t="n">
        <f aca="false">IF($A868="",0,$A868-SUMPRODUCT(MIN(($C$8:$C$1007=$C868)*$A$8:$A$1007+($C$8:$C$1007&lt;&gt;$C868)*100000))+1)</f>
        <v>0</v>
      </c>
      <c r="L868" s="26" t="str">
        <f aca="false">IF($A868="","",IF($J868=0,"Sem registro anterior",IF($K868&lt;21,"Histórico insuficiente",IF($J868&lt;0.8,"Subcarga",IF($J868&lt;=1.3,"Zona ideal",IF($J868&lt;=1.5,"Atenção","Risco elevado"))))))</f>
        <v/>
      </c>
      <c r="M868" s="27"/>
    </row>
    <row r="869" customFormat="false" ht="15" hidden="false" customHeight="false" outlineLevel="0" collapsed="false">
      <c r="A869" s="29"/>
      <c r="B869" s="40" t="n">
        <f aca="false">IF($A869="",0,INT(($A869-Macrociclo!$C$11)/7)+1)</f>
        <v>0</v>
      </c>
      <c r="C869" s="27"/>
      <c r="D869" s="27"/>
      <c r="E869" s="28"/>
      <c r="F869" s="28"/>
      <c r="G869" s="44" t="n">
        <f aca="false">IF(OR($E869="",$F869=""),0,$E869*$F869)</f>
        <v>0</v>
      </c>
      <c r="H869" s="44" t="n">
        <f aca="false">IF($A869="",0,SUMIFS($G$8:$G$1007,$C$8:$C$1007,$C869,$A$8:$A$1007,"&gt;="&amp;$A869-6,$A$8:$A$1007,"&lt;="&amp;$A869))</f>
        <v>0</v>
      </c>
      <c r="I869" s="44" t="n">
        <f aca="false">IF($A869="",0,SUMIFS($G$8:$G$1007,$C$8:$C$1007,$C869,$A$8:$A$1007,"&gt;="&amp;$A869-27,$A$8:$A$1007,"&lt;="&amp;$A869)/4)</f>
        <v>0</v>
      </c>
      <c r="J869" s="144" t="n">
        <f aca="false">IF(OR($A869="",$I869=0),0,$H869/$I869)</f>
        <v>0</v>
      </c>
      <c r="K869" s="40" t="n">
        <f aca="false">IF($A869="",0,$A869-SUMPRODUCT(MIN(($C$8:$C$1007=$C869)*$A$8:$A$1007+($C$8:$C$1007&lt;&gt;$C869)*100000))+1)</f>
        <v>0</v>
      </c>
      <c r="L869" s="26" t="str">
        <f aca="false">IF($A869="","",IF($J869=0,"Sem registro anterior",IF($K869&lt;21,"Histórico insuficiente",IF($J869&lt;0.8,"Subcarga",IF($J869&lt;=1.3,"Zona ideal",IF($J869&lt;=1.5,"Atenção","Risco elevado"))))))</f>
        <v/>
      </c>
      <c r="M869" s="27"/>
    </row>
    <row r="870" customFormat="false" ht="15" hidden="false" customHeight="false" outlineLevel="0" collapsed="false">
      <c r="A870" s="29"/>
      <c r="B870" s="40" t="n">
        <f aca="false">IF($A870="",0,INT(($A870-Macrociclo!$C$11)/7)+1)</f>
        <v>0</v>
      </c>
      <c r="C870" s="27"/>
      <c r="D870" s="27"/>
      <c r="E870" s="28"/>
      <c r="F870" s="28"/>
      <c r="G870" s="44" t="n">
        <f aca="false">IF(OR($E870="",$F870=""),0,$E870*$F870)</f>
        <v>0</v>
      </c>
      <c r="H870" s="44" t="n">
        <f aca="false">IF($A870="",0,SUMIFS($G$8:$G$1007,$C$8:$C$1007,$C870,$A$8:$A$1007,"&gt;="&amp;$A870-6,$A$8:$A$1007,"&lt;="&amp;$A870))</f>
        <v>0</v>
      </c>
      <c r="I870" s="44" t="n">
        <f aca="false">IF($A870="",0,SUMIFS($G$8:$G$1007,$C$8:$C$1007,$C870,$A$8:$A$1007,"&gt;="&amp;$A870-27,$A$8:$A$1007,"&lt;="&amp;$A870)/4)</f>
        <v>0</v>
      </c>
      <c r="J870" s="144" t="n">
        <f aca="false">IF(OR($A870="",$I870=0),0,$H870/$I870)</f>
        <v>0</v>
      </c>
      <c r="K870" s="40" t="n">
        <f aca="false">IF($A870="",0,$A870-SUMPRODUCT(MIN(($C$8:$C$1007=$C870)*$A$8:$A$1007+($C$8:$C$1007&lt;&gt;$C870)*100000))+1)</f>
        <v>0</v>
      </c>
      <c r="L870" s="26" t="str">
        <f aca="false">IF($A870="","",IF($J870=0,"Sem registro anterior",IF($K870&lt;21,"Histórico insuficiente",IF($J870&lt;0.8,"Subcarga",IF($J870&lt;=1.3,"Zona ideal",IF($J870&lt;=1.5,"Atenção","Risco elevado"))))))</f>
        <v/>
      </c>
      <c r="M870" s="27"/>
    </row>
    <row r="871" customFormat="false" ht="15" hidden="false" customHeight="false" outlineLevel="0" collapsed="false">
      <c r="A871" s="29"/>
      <c r="B871" s="40" t="n">
        <f aca="false">IF($A871="",0,INT(($A871-Macrociclo!$C$11)/7)+1)</f>
        <v>0</v>
      </c>
      <c r="C871" s="27"/>
      <c r="D871" s="27"/>
      <c r="E871" s="28"/>
      <c r="F871" s="28"/>
      <c r="G871" s="44" t="n">
        <f aca="false">IF(OR($E871="",$F871=""),0,$E871*$F871)</f>
        <v>0</v>
      </c>
      <c r="H871" s="44" t="n">
        <f aca="false">IF($A871="",0,SUMIFS($G$8:$G$1007,$C$8:$C$1007,$C871,$A$8:$A$1007,"&gt;="&amp;$A871-6,$A$8:$A$1007,"&lt;="&amp;$A871))</f>
        <v>0</v>
      </c>
      <c r="I871" s="44" t="n">
        <f aca="false">IF($A871="",0,SUMIFS($G$8:$G$1007,$C$8:$C$1007,$C871,$A$8:$A$1007,"&gt;="&amp;$A871-27,$A$8:$A$1007,"&lt;="&amp;$A871)/4)</f>
        <v>0</v>
      </c>
      <c r="J871" s="144" t="n">
        <f aca="false">IF(OR($A871="",$I871=0),0,$H871/$I871)</f>
        <v>0</v>
      </c>
      <c r="K871" s="40" t="n">
        <f aca="false">IF($A871="",0,$A871-SUMPRODUCT(MIN(($C$8:$C$1007=$C871)*$A$8:$A$1007+($C$8:$C$1007&lt;&gt;$C871)*100000))+1)</f>
        <v>0</v>
      </c>
      <c r="L871" s="26" t="str">
        <f aca="false">IF($A871="","",IF($J871=0,"Sem registro anterior",IF($K871&lt;21,"Histórico insuficiente",IF($J871&lt;0.8,"Subcarga",IF($J871&lt;=1.3,"Zona ideal",IF($J871&lt;=1.5,"Atenção","Risco elevado"))))))</f>
        <v/>
      </c>
      <c r="M871" s="27"/>
    </row>
    <row r="872" customFormat="false" ht="15" hidden="false" customHeight="false" outlineLevel="0" collapsed="false">
      <c r="A872" s="29"/>
      <c r="B872" s="40" t="n">
        <f aca="false">IF($A872="",0,INT(($A872-Macrociclo!$C$11)/7)+1)</f>
        <v>0</v>
      </c>
      <c r="C872" s="27"/>
      <c r="D872" s="27"/>
      <c r="E872" s="28"/>
      <c r="F872" s="28"/>
      <c r="G872" s="44" t="n">
        <f aca="false">IF(OR($E872="",$F872=""),0,$E872*$F872)</f>
        <v>0</v>
      </c>
      <c r="H872" s="44" t="n">
        <f aca="false">IF($A872="",0,SUMIFS($G$8:$G$1007,$C$8:$C$1007,$C872,$A$8:$A$1007,"&gt;="&amp;$A872-6,$A$8:$A$1007,"&lt;="&amp;$A872))</f>
        <v>0</v>
      </c>
      <c r="I872" s="44" t="n">
        <f aca="false">IF($A872="",0,SUMIFS($G$8:$G$1007,$C$8:$C$1007,$C872,$A$8:$A$1007,"&gt;="&amp;$A872-27,$A$8:$A$1007,"&lt;="&amp;$A872)/4)</f>
        <v>0</v>
      </c>
      <c r="J872" s="144" t="n">
        <f aca="false">IF(OR($A872="",$I872=0),0,$H872/$I872)</f>
        <v>0</v>
      </c>
      <c r="K872" s="40" t="n">
        <f aca="false">IF($A872="",0,$A872-SUMPRODUCT(MIN(($C$8:$C$1007=$C872)*$A$8:$A$1007+($C$8:$C$1007&lt;&gt;$C872)*100000))+1)</f>
        <v>0</v>
      </c>
      <c r="L872" s="26" t="str">
        <f aca="false">IF($A872="","",IF($J872=0,"Sem registro anterior",IF($K872&lt;21,"Histórico insuficiente",IF($J872&lt;0.8,"Subcarga",IF($J872&lt;=1.3,"Zona ideal",IF($J872&lt;=1.5,"Atenção","Risco elevado"))))))</f>
        <v/>
      </c>
      <c r="M872" s="27"/>
    </row>
    <row r="873" customFormat="false" ht="15" hidden="false" customHeight="false" outlineLevel="0" collapsed="false">
      <c r="A873" s="29"/>
      <c r="B873" s="40" t="n">
        <f aca="false">IF($A873="",0,INT(($A873-Macrociclo!$C$11)/7)+1)</f>
        <v>0</v>
      </c>
      <c r="C873" s="27"/>
      <c r="D873" s="27"/>
      <c r="E873" s="28"/>
      <c r="F873" s="28"/>
      <c r="G873" s="44" t="n">
        <f aca="false">IF(OR($E873="",$F873=""),0,$E873*$F873)</f>
        <v>0</v>
      </c>
      <c r="H873" s="44" t="n">
        <f aca="false">IF($A873="",0,SUMIFS($G$8:$G$1007,$C$8:$C$1007,$C873,$A$8:$A$1007,"&gt;="&amp;$A873-6,$A$8:$A$1007,"&lt;="&amp;$A873))</f>
        <v>0</v>
      </c>
      <c r="I873" s="44" t="n">
        <f aca="false">IF($A873="",0,SUMIFS($G$8:$G$1007,$C$8:$C$1007,$C873,$A$8:$A$1007,"&gt;="&amp;$A873-27,$A$8:$A$1007,"&lt;="&amp;$A873)/4)</f>
        <v>0</v>
      </c>
      <c r="J873" s="144" t="n">
        <f aca="false">IF(OR($A873="",$I873=0),0,$H873/$I873)</f>
        <v>0</v>
      </c>
      <c r="K873" s="40" t="n">
        <f aca="false">IF($A873="",0,$A873-SUMPRODUCT(MIN(($C$8:$C$1007=$C873)*$A$8:$A$1007+($C$8:$C$1007&lt;&gt;$C873)*100000))+1)</f>
        <v>0</v>
      </c>
      <c r="L873" s="26" t="str">
        <f aca="false">IF($A873="","",IF($J873=0,"Sem registro anterior",IF($K873&lt;21,"Histórico insuficiente",IF($J873&lt;0.8,"Subcarga",IF($J873&lt;=1.3,"Zona ideal",IF($J873&lt;=1.5,"Atenção","Risco elevado"))))))</f>
        <v/>
      </c>
      <c r="M873" s="27"/>
    </row>
    <row r="874" customFormat="false" ht="15" hidden="false" customHeight="false" outlineLevel="0" collapsed="false">
      <c r="A874" s="29"/>
      <c r="B874" s="40" t="n">
        <f aca="false">IF($A874="",0,INT(($A874-Macrociclo!$C$11)/7)+1)</f>
        <v>0</v>
      </c>
      <c r="C874" s="27"/>
      <c r="D874" s="27"/>
      <c r="E874" s="28"/>
      <c r="F874" s="28"/>
      <c r="G874" s="44" t="n">
        <f aca="false">IF(OR($E874="",$F874=""),0,$E874*$F874)</f>
        <v>0</v>
      </c>
      <c r="H874" s="44" t="n">
        <f aca="false">IF($A874="",0,SUMIFS($G$8:$G$1007,$C$8:$C$1007,$C874,$A$8:$A$1007,"&gt;="&amp;$A874-6,$A$8:$A$1007,"&lt;="&amp;$A874))</f>
        <v>0</v>
      </c>
      <c r="I874" s="44" t="n">
        <f aca="false">IF($A874="",0,SUMIFS($G$8:$G$1007,$C$8:$C$1007,$C874,$A$8:$A$1007,"&gt;="&amp;$A874-27,$A$8:$A$1007,"&lt;="&amp;$A874)/4)</f>
        <v>0</v>
      </c>
      <c r="J874" s="144" t="n">
        <f aca="false">IF(OR($A874="",$I874=0),0,$H874/$I874)</f>
        <v>0</v>
      </c>
      <c r="K874" s="40" t="n">
        <f aca="false">IF($A874="",0,$A874-SUMPRODUCT(MIN(($C$8:$C$1007=$C874)*$A$8:$A$1007+($C$8:$C$1007&lt;&gt;$C874)*100000))+1)</f>
        <v>0</v>
      </c>
      <c r="L874" s="26" t="str">
        <f aca="false">IF($A874="","",IF($J874=0,"Sem registro anterior",IF($K874&lt;21,"Histórico insuficiente",IF($J874&lt;0.8,"Subcarga",IF($J874&lt;=1.3,"Zona ideal",IF($J874&lt;=1.5,"Atenção","Risco elevado"))))))</f>
        <v/>
      </c>
      <c r="M874" s="27"/>
    </row>
    <row r="875" customFormat="false" ht="15" hidden="false" customHeight="false" outlineLevel="0" collapsed="false">
      <c r="A875" s="29"/>
      <c r="B875" s="40" t="n">
        <f aca="false">IF($A875="",0,INT(($A875-Macrociclo!$C$11)/7)+1)</f>
        <v>0</v>
      </c>
      <c r="C875" s="27"/>
      <c r="D875" s="27"/>
      <c r="E875" s="28"/>
      <c r="F875" s="28"/>
      <c r="G875" s="44" t="n">
        <f aca="false">IF(OR($E875="",$F875=""),0,$E875*$F875)</f>
        <v>0</v>
      </c>
      <c r="H875" s="44" t="n">
        <f aca="false">IF($A875="",0,SUMIFS($G$8:$G$1007,$C$8:$C$1007,$C875,$A$8:$A$1007,"&gt;="&amp;$A875-6,$A$8:$A$1007,"&lt;="&amp;$A875))</f>
        <v>0</v>
      </c>
      <c r="I875" s="44" t="n">
        <f aca="false">IF($A875="",0,SUMIFS($G$8:$G$1007,$C$8:$C$1007,$C875,$A$8:$A$1007,"&gt;="&amp;$A875-27,$A$8:$A$1007,"&lt;="&amp;$A875)/4)</f>
        <v>0</v>
      </c>
      <c r="J875" s="144" t="n">
        <f aca="false">IF(OR($A875="",$I875=0),0,$H875/$I875)</f>
        <v>0</v>
      </c>
      <c r="K875" s="40" t="n">
        <f aca="false">IF($A875="",0,$A875-SUMPRODUCT(MIN(($C$8:$C$1007=$C875)*$A$8:$A$1007+($C$8:$C$1007&lt;&gt;$C875)*100000))+1)</f>
        <v>0</v>
      </c>
      <c r="L875" s="26" t="str">
        <f aca="false">IF($A875="","",IF($J875=0,"Sem registro anterior",IF($K875&lt;21,"Histórico insuficiente",IF($J875&lt;0.8,"Subcarga",IF($J875&lt;=1.3,"Zona ideal",IF($J875&lt;=1.5,"Atenção","Risco elevado"))))))</f>
        <v/>
      </c>
      <c r="M875" s="27"/>
    </row>
    <row r="876" customFormat="false" ht="15" hidden="false" customHeight="false" outlineLevel="0" collapsed="false">
      <c r="A876" s="29"/>
      <c r="B876" s="40" t="n">
        <f aca="false">IF($A876="",0,INT(($A876-Macrociclo!$C$11)/7)+1)</f>
        <v>0</v>
      </c>
      <c r="C876" s="27"/>
      <c r="D876" s="27"/>
      <c r="E876" s="28"/>
      <c r="F876" s="28"/>
      <c r="G876" s="44" t="n">
        <f aca="false">IF(OR($E876="",$F876=""),0,$E876*$F876)</f>
        <v>0</v>
      </c>
      <c r="H876" s="44" t="n">
        <f aca="false">IF($A876="",0,SUMIFS($G$8:$G$1007,$C$8:$C$1007,$C876,$A$8:$A$1007,"&gt;="&amp;$A876-6,$A$8:$A$1007,"&lt;="&amp;$A876))</f>
        <v>0</v>
      </c>
      <c r="I876" s="44" t="n">
        <f aca="false">IF($A876="",0,SUMIFS($G$8:$G$1007,$C$8:$C$1007,$C876,$A$8:$A$1007,"&gt;="&amp;$A876-27,$A$8:$A$1007,"&lt;="&amp;$A876)/4)</f>
        <v>0</v>
      </c>
      <c r="J876" s="144" t="n">
        <f aca="false">IF(OR($A876="",$I876=0),0,$H876/$I876)</f>
        <v>0</v>
      </c>
      <c r="K876" s="40" t="n">
        <f aca="false">IF($A876="",0,$A876-SUMPRODUCT(MIN(($C$8:$C$1007=$C876)*$A$8:$A$1007+($C$8:$C$1007&lt;&gt;$C876)*100000))+1)</f>
        <v>0</v>
      </c>
      <c r="L876" s="26" t="str">
        <f aca="false">IF($A876="","",IF($J876=0,"Sem registro anterior",IF($K876&lt;21,"Histórico insuficiente",IF($J876&lt;0.8,"Subcarga",IF($J876&lt;=1.3,"Zona ideal",IF($J876&lt;=1.5,"Atenção","Risco elevado"))))))</f>
        <v/>
      </c>
      <c r="M876" s="27"/>
    </row>
    <row r="877" customFormat="false" ht="15" hidden="false" customHeight="false" outlineLevel="0" collapsed="false">
      <c r="A877" s="29"/>
      <c r="B877" s="40" t="n">
        <f aca="false">IF($A877="",0,INT(($A877-Macrociclo!$C$11)/7)+1)</f>
        <v>0</v>
      </c>
      <c r="C877" s="27"/>
      <c r="D877" s="27"/>
      <c r="E877" s="28"/>
      <c r="F877" s="28"/>
      <c r="G877" s="44" t="n">
        <f aca="false">IF(OR($E877="",$F877=""),0,$E877*$F877)</f>
        <v>0</v>
      </c>
      <c r="H877" s="44" t="n">
        <f aca="false">IF($A877="",0,SUMIFS($G$8:$G$1007,$C$8:$C$1007,$C877,$A$8:$A$1007,"&gt;="&amp;$A877-6,$A$8:$A$1007,"&lt;="&amp;$A877))</f>
        <v>0</v>
      </c>
      <c r="I877" s="44" t="n">
        <f aca="false">IF($A877="",0,SUMIFS($G$8:$G$1007,$C$8:$C$1007,$C877,$A$8:$A$1007,"&gt;="&amp;$A877-27,$A$8:$A$1007,"&lt;="&amp;$A877)/4)</f>
        <v>0</v>
      </c>
      <c r="J877" s="144" t="n">
        <f aca="false">IF(OR($A877="",$I877=0),0,$H877/$I877)</f>
        <v>0</v>
      </c>
      <c r="K877" s="40" t="n">
        <f aca="false">IF($A877="",0,$A877-SUMPRODUCT(MIN(($C$8:$C$1007=$C877)*$A$8:$A$1007+($C$8:$C$1007&lt;&gt;$C877)*100000))+1)</f>
        <v>0</v>
      </c>
      <c r="L877" s="26" t="str">
        <f aca="false">IF($A877="","",IF($J877=0,"Sem registro anterior",IF($K877&lt;21,"Histórico insuficiente",IF($J877&lt;0.8,"Subcarga",IF($J877&lt;=1.3,"Zona ideal",IF($J877&lt;=1.5,"Atenção","Risco elevado"))))))</f>
        <v/>
      </c>
      <c r="M877" s="27"/>
    </row>
    <row r="878" customFormat="false" ht="15" hidden="false" customHeight="false" outlineLevel="0" collapsed="false">
      <c r="A878" s="29"/>
      <c r="B878" s="40" t="n">
        <f aca="false">IF($A878="",0,INT(($A878-Macrociclo!$C$11)/7)+1)</f>
        <v>0</v>
      </c>
      <c r="C878" s="27"/>
      <c r="D878" s="27"/>
      <c r="E878" s="28"/>
      <c r="F878" s="28"/>
      <c r="G878" s="44" t="n">
        <f aca="false">IF(OR($E878="",$F878=""),0,$E878*$F878)</f>
        <v>0</v>
      </c>
      <c r="H878" s="44" t="n">
        <f aca="false">IF($A878="",0,SUMIFS($G$8:$G$1007,$C$8:$C$1007,$C878,$A$8:$A$1007,"&gt;="&amp;$A878-6,$A$8:$A$1007,"&lt;="&amp;$A878))</f>
        <v>0</v>
      </c>
      <c r="I878" s="44" t="n">
        <f aca="false">IF($A878="",0,SUMIFS($G$8:$G$1007,$C$8:$C$1007,$C878,$A$8:$A$1007,"&gt;="&amp;$A878-27,$A$8:$A$1007,"&lt;="&amp;$A878)/4)</f>
        <v>0</v>
      </c>
      <c r="J878" s="144" t="n">
        <f aca="false">IF(OR($A878="",$I878=0),0,$H878/$I878)</f>
        <v>0</v>
      </c>
      <c r="K878" s="40" t="n">
        <f aca="false">IF($A878="",0,$A878-SUMPRODUCT(MIN(($C$8:$C$1007=$C878)*$A$8:$A$1007+($C$8:$C$1007&lt;&gt;$C878)*100000))+1)</f>
        <v>0</v>
      </c>
      <c r="L878" s="26" t="str">
        <f aca="false">IF($A878="","",IF($J878=0,"Sem registro anterior",IF($K878&lt;21,"Histórico insuficiente",IF($J878&lt;0.8,"Subcarga",IF($J878&lt;=1.3,"Zona ideal",IF($J878&lt;=1.5,"Atenção","Risco elevado"))))))</f>
        <v/>
      </c>
      <c r="M878" s="27"/>
    </row>
    <row r="879" customFormat="false" ht="15" hidden="false" customHeight="false" outlineLevel="0" collapsed="false">
      <c r="A879" s="29"/>
      <c r="B879" s="40" t="n">
        <f aca="false">IF($A879="",0,INT(($A879-Macrociclo!$C$11)/7)+1)</f>
        <v>0</v>
      </c>
      <c r="C879" s="27"/>
      <c r="D879" s="27"/>
      <c r="E879" s="28"/>
      <c r="F879" s="28"/>
      <c r="G879" s="44" t="n">
        <f aca="false">IF(OR($E879="",$F879=""),0,$E879*$F879)</f>
        <v>0</v>
      </c>
      <c r="H879" s="44" t="n">
        <f aca="false">IF($A879="",0,SUMIFS($G$8:$G$1007,$C$8:$C$1007,$C879,$A$8:$A$1007,"&gt;="&amp;$A879-6,$A$8:$A$1007,"&lt;="&amp;$A879))</f>
        <v>0</v>
      </c>
      <c r="I879" s="44" t="n">
        <f aca="false">IF($A879="",0,SUMIFS($G$8:$G$1007,$C$8:$C$1007,$C879,$A$8:$A$1007,"&gt;="&amp;$A879-27,$A$8:$A$1007,"&lt;="&amp;$A879)/4)</f>
        <v>0</v>
      </c>
      <c r="J879" s="144" t="n">
        <f aca="false">IF(OR($A879="",$I879=0),0,$H879/$I879)</f>
        <v>0</v>
      </c>
      <c r="K879" s="40" t="n">
        <f aca="false">IF($A879="",0,$A879-SUMPRODUCT(MIN(($C$8:$C$1007=$C879)*$A$8:$A$1007+($C$8:$C$1007&lt;&gt;$C879)*100000))+1)</f>
        <v>0</v>
      </c>
      <c r="L879" s="26" t="str">
        <f aca="false">IF($A879="","",IF($J879=0,"Sem registro anterior",IF($K879&lt;21,"Histórico insuficiente",IF($J879&lt;0.8,"Subcarga",IF($J879&lt;=1.3,"Zona ideal",IF($J879&lt;=1.5,"Atenção","Risco elevado"))))))</f>
        <v/>
      </c>
      <c r="M879" s="27"/>
    </row>
    <row r="880" customFormat="false" ht="15" hidden="false" customHeight="false" outlineLevel="0" collapsed="false">
      <c r="A880" s="29"/>
      <c r="B880" s="40" t="n">
        <f aca="false">IF($A880="",0,INT(($A880-Macrociclo!$C$11)/7)+1)</f>
        <v>0</v>
      </c>
      <c r="C880" s="27"/>
      <c r="D880" s="27"/>
      <c r="E880" s="28"/>
      <c r="F880" s="28"/>
      <c r="G880" s="44" t="n">
        <f aca="false">IF(OR($E880="",$F880=""),0,$E880*$F880)</f>
        <v>0</v>
      </c>
      <c r="H880" s="44" t="n">
        <f aca="false">IF($A880="",0,SUMIFS($G$8:$G$1007,$C$8:$C$1007,$C880,$A$8:$A$1007,"&gt;="&amp;$A880-6,$A$8:$A$1007,"&lt;="&amp;$A880))</f>
        <v>0</v>
      </c>
      <c r="I880" s="44" t="n">
        <f aca="false">IF($A880="",0,SUMIFS($G$8:$G$1007,$C$8:$C$1007,$C880,$A$8:$A$1007,"&gt;="&amp;$A880-27,$A$8:$A$1007,"&lt;="&amp;$A880)/4)</f>
        <v>0</v>
      </c>
      <c r="J880" s="144" t="n">
        <f aca="false">IF(OR($A880="",$I880=0),0,$H880/$I880)</f>
        <v>0</v>
      </c>
      <c r="K880" s="40" t="n">
        <f aca="false">IF($A880="",0,$A880-SUMPRODUCT(MIN(($C$8:$C$1007=$C880)*$A$8:$A$1007+($C$8:$C$1007&lt;&gt;$C880)*100000))+1)</f>
        <v>0</v>
      </c>
      <c r="L880" s="26" t="str">
        <f aca="false">IF($A880="","",IF($J880=0,"Sem registro anterior",IF($K880&lt;21,"Histórico insuficiente",IF($J880&lt;0.8,"Subcarga",IF($J880&lt;=1.3,"Zona ideal",IF($J880&lt;=1.5,"Atenção","Risco elevado"))))))</f>
        <v/>
      </c>
      <c r="M880" s="27"/>
    </row>
    <row r="881" customFormat="false" ht="15" hidden="false" customHeight="false" outlineLevel="0" collapsed="false">
      <c r="A881" s="29"/>
      <c r="B881" s="40" t="n">
        <f aca="false">IF($A881="",0,INT(($A881-Macrociclo!$C$11)/7)+1)</f>
        <v>0</v>
      </c>
      <c r="C881" s="27"/>
      <c r="D881" s="27"/>
      <c r="E881" s="28"/>
      <c r="F881" s="28"/>
      <c r="G881" s="44" t="n">
        <f aca="false">IF(OR($E881="",$F881=""),0,$E881*$F881)</f>
        <v>0</v>
      </c>
      <c r="H881" s="44" t="n">
        <f aca="false">IF($A881="",0,SUMIFS($G$8:$G$1007,$C$8:$C$1007,$C881,$A$8:$A$1007,"&gt;="&amp;$A881-6,$A$8:$A$1007,"&lt;="&amp;$A881))</f>
        <v>0</v>
      </c>
      <c r="I881" s="44" t="n">
        <f aca="false">IF($A881="",0,SUMIFS($G$8:$G$1007,$C$8:$C$1007,$C881,$A$8:$A$1007,"&gt;="&amp;$A881-27,$A$8:$A$1007,"&lt;="&amp;$A881)/4)</f>
        <v>0</v>
      </c>
      <c r="J881" s="144" t="n">
        <f aca="false">IF(OR($A881="",$I881=0),0,$H881/$I881)</f>
        <v>0</v>
      </c>
      <c r="K881" s="40" t="n">
        <f aca="false">IF($A881="",0,$A881-SUMPRODUCT(MIN(($C$8:$C$1007=$C881)*$A$8:$A$1007+($C$8:$C$1007&lt;&gt;$C881)*100000))+1)</f>
        <v>0</v>
      </c>
      <c r="L881" s="26" t="str">
        <f aca="false">IF($A881="","",IF($J881=0,"Sem registro anterior",IF($K881&lt;21,"Histórico insuficiente",IF($J881&lt;0.8,"Subcarga",IF($J881&lt;=1.3,"Zona ideal",IF($J881&lt;=1.5,"Atenção","Risco elevado"))))))</f>
        <v/>
      </c>
      <c r="M881" s="27"/>
    </row>
    <row r="882" customFormat="false" ht="15" hidden="false" customHeight="false" outlineLevel="0" collapsed="false">
      <c r="A882" s="29"/>
      <c r="B882" s="40" t="n">
        <f aca="false">IF($A882="",0,INT(($A882-Macrociclo!$C$11)/7)+1)</f>
        <v>0</v>
      </c>
      <c r="C882" s="27"/>
      <c r="D882" s="27"/>
      <c r="E882" s="28"/>
      <c r="F882" s="28"/>
      <c r="G882" s="44" t="n">
        <f aca="false">IF(OR($E882="",$F882=""),0,$E882*$F882)</f>
        <v>0</v>
      </c>
      <c r="H882" s="44" t="n">
        <f aca="false">IF($A882="",0,SUMIFS($G$8:$G$1007,$C$8:$C$1007,$C882,$A$8:$A$1007,"&gt;="&amp;$A882-6,$A$8:$A$1007,"&lt;="&amp;$A882))</f>
        <v>0</v>
      </c>
      <c r="I882" s="44" t="n">
        <f aca="false">IF($A882="",0,SUMIFS($G$8:$G$1007,$C$8:$C$1007,$C882,$A$8:$A$1007,"&gt;="&amp;$A882-27,$A$8:$A$1007,"&lt;="&amp;$A882)/4)</f>
        <v>0</v>
      </c>
      <c r="J882" s="144" t="n">
        <f aca="false">IF(OR($A882="",$I882=0),0,$H882/$I882)</f>
        <v>0</v>
      </c>
      <c r="K882" s="40" t="n">
        <f aca="false">IF($A882="",0,$A882-SUMPRODUCT(MIN(($C$8:$C$1007=$C882)*$A$8:$A$1007+($C$8:$C$1007&lt;&gt;$C882)*100000))+1)</f>
        <v>0</v>
      </c>
      <c r="L882" s="26" t="str">
        <f aca="false">IF($A882="","",IF($J882=0,"Sem registro anterior",IF($K882&lt;21,"Histórico insuficiente",IF($J882&lt;0.8,"Subcarga",IF($J882&lt;=1.3,"Zona ideal",IF($J882&lt;=1.5,"Atenção","Risco elevado"))))))</f>
        <v/>
      </c>
      <c r="M882" s="27"/>
    </row>
    <row r="883" customFormat="false" ht="15" hidden="false" customHeight="false" outlineLevel="0" collapsed="false">
      <c r="A883" s="29"/>
      <c r="B883" s="40" t="n">
        <f aca="false">IF($A883="",0,INT(($A883-Macrociclo!$C$11)/7)+1)</f>
        <v>0</v>
      </c>
      <c r="C883" s="27"/>
      <c r="D883" s="27"/>
      <c r="E883" s="28"/>
      <c r="F883" s="28"/>
      <c r="G883" s="44" t="n">
        <f aca="false">IF(OR($E883="",$F883=""),0,$E883*$F883)</f>
        <v>0</v>
      </c>
      <c r="H883" s="44" t="n">
        <f aca="false">IF($A883="",0,SUMIFS($G$8:$G$1007,$C$8:$C$1007,$C883,$A$8:$A$1007,"&gt;="&amp;$A883-6,$A$8:$A$1007,"&lt;="&amp;$A883))</f>
        <v>0</v>
      </c>
      <c r="I883" s="44" t="n">
        <f aca="false">IF($A883="",0,SUMIFS($G$8:$G$1007,$C$8:$C$1007,$C883,$A$8:$A$1007,"&gt;="&amp;$A883-27,$A$8:$A$1007,"&lt;="&amp;$A883)/4)</f>
        <v>0</v>
      </c>
      <c r="J883" s="144" t="n">
        <f aca="false">IF(OR($A883="",$I883=0),0,$H883/$I883)</f>
        <v>0</v>
      </c>
      <c r="K883" s="40" t="n">
        <f aca="false">IF($A883="",0,$A883-SUMPRODUCT(MIN(($C$8:$C$1007=$C883)*$A$8:$A$1007+($C$8:$C$1007&lt;&gt;$C883)*100000))+1)</f>
        <v>0</v>
      </c>
      <c r="L883" s="26" t="str">
        <f aca="false">IF($A883="","",IF($J883=0,"Sem registro anterior",IF($K883&lt;21,"Histórico insuficiente",IF($J883&lt;0.8,"Subcarga",IF($J883&lt;=1.3,"Zona ideal",IF($J883&lt;=1.5,"Atenção","Risco elevado"))))))</f>
        <v/>
      </c>
      <c r="M883" s="27"/>
    </row>
    <row r="884" customFormat="false" ht="15" hidden="false" customHeight="false" outlineLevel="0" collapsed="false">
      <c r="A884" s="29"/>
      <c r="B884" s="40" t="n">
        <f aca="false">IF($A884="",0,INT(($A884-Macrociclo!$C$11)/7)+1)</f>
        <v>0</v>
      </c>
      <c r="C884" s="27"/>
      <c r="D884" s="27"/>
      <c r="E884" s="28"/>
      <c r="F884" s="28"/>
      <c r="G884" s="44" t="n">
        <f aca="false">IF(OR($E884="",$F884=""),0,$E884*$F884)</f>
        <v>0</v>
      </c>
      <c r="H884" s="44" t="n">
        <f aca="false">IF($A884="",0,SUMIFS($G$8:$G$1007,$C$8:$C$1007,$C884,$A$8:$A$1007,"&gt;="&amp;$A884-6,$A$8:$A$1007,"&lt;="&amp;$A884))</f>
        <v>0</v>
      </c>
      <c r="I884" s="44" t="n">
        <f aca="false">IF($A884="",0,SUMIFS($G$8:$G$1007,$C$8:$C$1007,$C884,$A$8:$A$1007,"&gt;="&amp;$A884-27,$A$8:$A$1007,"&lt;="&amp;$A884)/4)</f>
        <v>0</v>
      </c>
      <c r="J884" s="144" t="n">
        <f aca="false">IF(OR($A884="",$I884=0),0,$H884/$I884)</f>
        <v>0</v>
      </c>
      <c r="K884" s="40" t="n">
        <f aca="false">IF($A884="",0,$A884-SUMPRODUCT(MIN(($C$8:$C$1007=$C884)*$A$8:$A$1007+($C$8:$C$1007&lt;&gt;$C884)*100000))+1)</f>
        <v>0</v>
      </c>
      <c r="L884" s="26" t="str">
        <f aca="false">IF($A884="","",IF($J884=0,"Sem registro anterior",IF($K884&lt;21,"Histórico insuficiente",IF($J884&lt;0.8,"Subcarga",IF($J884&lt;=1.3,"Zona ideal",IF($J884&lt;=1.5,"Atenção","Risco elevado"))))))</f>
        <v/>
      </c>
      <c r="M884" s="27"/>
    </row>
    <row r="885" customFormat="false" ht="15" hidden="false" customHeight="false" outlineLevel="0" collapsed="false">
      <c r="A885" s="29"/>
      <c r="B885" s="40" t="n">
        <f aca="false">IF($A885="",0,INT(($A885-Macrociclo!$C$11)/7)+1)</f>
        <v>0</v>
      </c>
      <c r="C885" s="27"/>
      <c r="D885" s="27"/>
      <c r="E885" s="28"/>
      <c r="F885" s="28"/>
      <c r="G885" s="44" t="n">
        <f aca="false">IF(OR($E885="",$F885=""),0,$E885*$F885)</f>
        <v>0</v>
      </c>
      <c r="H885" s="44" t="n">
        <f aca="false">IF($A885="",0,SUMIFS($G$8:$G$1007,$C$8:$C$1007,$C885,$A$8:$A$1007,"&gt;="&amp;$A885-6,$A$8:$A$1007,"&lt;="&amp;$A885))</f>
        <v>0</v>
      </c>
      <c r="I885" s="44" t="n">
        <f aca="false">IF($A885="",0,SUMIFS($G$8:$G$1007,$C$8:$C$1007,$C885,$A$8:$A$1007,"&gt;="&amp;$A885-27,$A$8:$A$1007,"&lt;="&amp;$A885)/4)</f>
        <v>0</v>
      </c>
      <c r="J885" s="144" t="n">
        <f aca="false">IF(OR($A885="",$I885=0),0,$H885/$I885)</f>
        <v>0</v>
      </c>
      <c r="K885" s="40" t="n">
        <f aca="false">IF($A885="",0,$A885-SUMPRODUCT(MIN(($C$8:$C$1007=$C885)*$A$8:$A$1007+($C$8:$C$1007&lt;&gt;$C885)*100000))+1)</f>
        <v>0</v>
      </c>
      <c r="L885" s="26" t="str">
        <f aca="false">IF($A885="","",IF($J885=0,"Sem registro anterior",IF($K885&lt;21,"Histórico insuficiente",IF($J885&lt;0.8,"Subcarga",IF($J885&lt;=1.3,"Zona ideal",IF($J885&lt;=1.5,"Atenção","Risco elevado"))))))</f>
        <v/>
      </c>
      <c r="M885" s="27"/>
    </row>
    <row r="886" customFormat="false" ht="15" hidden="false" customHeight="false" outlineLevel="0" collapsed="false">
      <c r="A886" s="29"/>
      <c r="B886" s="40" t="n">
        <f aca="false">IF($A886="",0,INT(($A886-Macrociclo!$C$11)/7)+1)</f>
        <v>0</v>
      </c>
      <c r="C886" s="27"/>
      <c r="D886" s="27"/>
      <c r="E886" s="28"/>
      <c r="F886" s="28"/>
      <c r="G886" s="44" t="n">
        <f aca="false">IF(OR($E886="",$F886=""),0,$E886*$F886)</f>
        <v>0</v>
      </c>
      <c r="H886" s="44" t="n">
        <f aca="false">IF($A886="",0,SUMIFS($G$8:$G$1007,$C$8:$C$1007,$C886,$A$8:$A$1007,"&gt;="&amp;$A886-6,$A$8:$A$1007,"&lt;="&amp;$A886))</f>
        <v>0</v>
      </c>
      <c r="I886" s="44" t="n">
        <f aca="false">IF($A886="",0,SUMIFS($G$8:$G$1007,$C$8:$C$1007,$C886,$A$8:$A$1007,"&gt;="&amp;$A886-27,$A$8:$A$1007,"&lt;="&amp;$A886)/4)</f>
        <v>0</v>
      </c>
      <c r="J886" s="144" t="n">
        <f aca="false">IF(OR($A886="",$I886=0),0,$H886/$I886)</f>
        <v>0</v>
      </c>
      <c r="K886" s="40" t="n">
        <f aca="false">IF($A886="",0,$A886-SUMPRODUCT(MIN(($C$8:$C$1007=$C886)*$A$8:$A$1007+($C$8:$C$1007&lt;&gt;$C886)*100000))+1)</f>
        <v>0</v>
      </c>
      <c r="L886" s="26" t="str">
        <f aca="false">IF($A886="","",IF($J886=0,"Sem registro anterior",IF($K886&lt;21,"Histórico insuficiente",IF($J886&lt;0.8,"Subcarga",IF($J886&lt;=1.3,"Zona ideal",IF($J886&lt;=1.5,"Atenção","Risco elevado"))))))</f>
        <v/>
      </c>
      <c r="M886" s="27"/>
    </row>
    <row r="887" customFormat="false" ht="15" hidden="false" customHeight="false" outlineLevel="0" collapsed="false">
      <c r="A887" s="29"/>
      <c r="B887" s="40" t="n">
        <f aca="false">IF($A887="",0,INT(($A887-Macrociclo!$C$11)/7)+1)</f>
        <v>0</v>
      </c>
      <c r="C887" s="27"/>
      <c r="D887" s="27"/>
      <c r="E887" s="28"/>
      <c r="F887" s="28"/>
      <c r="G887" s="44" t="n">
        <f aca="false">IF(OR($E887="",$F887=""),0,$E887*$F887)</f>
        <v>0</v>
      </c>
      <c r="H887" s="44" t="n">
        <f aca="false">IF($A887="",0,SUMIFS($G$8:$G$1007,$C$8:$C$1007,$C887,$A$8:$A$1007,"&gt;="&amp;$A887-6,$A$8:$A$1007,"&lt;="&amp;$A887))</f>
        <v>0</v>
      </c>
      <c r="I887" s="44" t="n">
        <f aca="false">IF($A887="",0,SUMIFS($G$8:$G$1007,$C$8:$C$1007,$C887,$A$8:$A$1007,"&gt;="&amp;$A887-27,$A$8:$A$1007,"&lt;="&amp;$A887)/4)</f>
        <v>0</v>
      </c>
      <c r="J887" s="144" t="n">
        <f aca="false">IF(OR($A887="",$I887=0),0,$H887/$I887)</f>
        <v>0</v>
      </c>
      <c r="K887" s="40" t="n">
        <f aca="false">IF($A887="",0,$A887-SUMPRODUCT(MIN(($C$8:$C$1007=$C887)*$A$8:$A$1007+($C$8:$C$1007&lt;&gt;$C887)*100000))+1)</f>
        <v>0</v>
      </c>
      <c r="L887" s="26" t="str">
        <f aca="false">IF($A887="","",IF($J887=0,"Sem registro anterior",IF($K887&lt;21,"Histórico insuficiente",IF($J887&lt;0.8,"Subcarga",IF($J887&lt;=1.3,"Zona ideal",IF($J887&lt;=1.5,"Atenção","Risco elevado"))))))</f>
        <v/>
      </c>
      <c r="M887" s="27"/>
    </row>
    <row r="888" customFormat="false" ht="15" hidden="false" customHeight="false" outlineLevel="0" collapsed="false">
      <c r="A888" s="29"/>
      <c r="B888" s="40" t="n">
        <f aca="false">IF($A888="",0,INT(($A888-Macrociclo!$C$11)/7)+1)</f>
        <v>0</v>
      </c>
      <c r="C888" s="27"/>
      <c r="D888" s="27"/>
      <c r="E888" s="28"/>
      <c r="F888" s="28"/>
      <c r="G888" s="44" t="n">
        <f aca="false">IF(OR($E888="",$F888=""),0,$E888*$F888)</f>
        <v>0</v>
      </c>
      <c r="H888" s="44" t="n">
        <f aca="false">IF($A888="",0,SUMIFS($G$8:$G$1007,$C$8:$C$1007,$C888,$A$8:$A$1007,"&gt;="&amp;$A888-6,$A$8:$A$1007,"&lt;="&amp;$A888))</f>
        <v>0</v>
      </c>
      <c r="I888" s="44" t="n">
        <f aca="false">IF($A888="",0,SUMIFS($G$8:$G$1007,$C$8:$C$1007,$C888,$A$8:$A$1007,"&gt;="&amp;$A888-27,$A$8:$A$1007,"&lt;="&amp;$A888)/4)</f>
        <v>0</v>
      </c>
      <c r="J888" s="144" t="n">
        <f aca="false">IF(OR($A888="",$I888=0),0,$H888/$I888)</f>
        <v>0</v>
      </c>
      <c r="K888" s="40" t="n">
        <f aca="false">IF($A888="",0,$A888-SUMPRODUCT(MIN(($C$8:$C$1007=$C888)*$A$8:$A$1007+($C$8:$C$1007&lt;&gt;$C888)*100000))+1)</f>
        <v>0</v>
      </c>
      <c r="L888" s="26" t="str">
        <f aca="false">IF($A888="","",IF($J888=0,"Sem registro anterior",IF($K888&lt;21,"Histórico insuficiente",IF($J888&lt;0.8,"Subcarga",IF($J888&lt;=1.3,"Zona ideal",IF($J888&lt;=1.5,"Atenção","Risco elevado"))))))</f>
        <v/>
      </c>
      <c r="M888" s="27"/>
    </row>
    <row r="889" customFormat="false" ht="15" hidden="false" customHeight="false" outlineLevel="0" collapsed="false">
      <c r="A889" s="29"/>
      <c r="B889" s="40" t="n">
        <f aca="false">IF($A889="",0,INT(($A889-Macrociclo!$C$11)/7)+1)</f>
        <v>0</v>
      </c>
      <c r="C889" s="27"/>
      <c r="D889" s="27"/>
      <c r="E889" s="28"/>
      <c r="F889" s="28"/>
      <c r="G889" s="44" t="n">
        <f aca="false">IF(OR($E889="",$F889=""),0,$E889*$F889)</f>
        <v>0</v>
      </c>
      <c r="H889" s="44" t="n">
        <f aca="false">IF($A889="",0,SUMIFS($G$8:$G$1007,$C$8:$C$1007,$C889,$A$8:$A$1007,"&gt;="&amp;$A889-6,$A$8:$A$1007,"&lt;="&amp;$A889))</f>
        <v>0</v>
      </c>
      <c r="I889" s="44" t="n">
        <f aca="false">IF($A889="",0,SUMIFS($G$8:$G$1007,$C$8:$C$1007,$C889,$A$8:$A$1007,"&gt;="&amp;$A889-27,$A$8:$A$1007,"&lt;="&amp;$A889)/4)</f>
        <v>0</v>
      </c>
      <c r="J889" s="144" t="n">
        <f aca="false">IF(OR($A889="",$I889=0),0,$H889/$I889)</f>
        <v>0</v>
      </c>
      <c r="K889" s="40" t="n">
        <f aca="false">IF($A889="",0,$A889-SUMPRODUCT(MIN(($C$8:$C$1007=$C889)*$A$8:$A$1007+($C$8:$C$1007&lt;&gt;$C889)*100000))+1)</f>
        <v>0</v>
      </c>
      <c r="L889" s="26" t="str">
        <f aca="false">IF($A889="","",IF($J889=0,"Sem registro anterior",IF($K889&lt;21,"Histórico insuficiente",IF($J889&lt;0.8,"Subcarga",IF($J889&lt;=1.3,"Zona ideal",IF($J889&lt;=1.5,"Atenção","Risco elevado"))))))</f>
        <v/>
      </c>
      <c r="M889" s="27"/>
    </row>
    <row r="890" customFormat="false" ht="15" hidden="false" customHeight="false" outlineLevel="0" collapsed="false">
      <c r="A890" s="29"/>
      <c r="B890" s="40" t="n">
        <f aca="false">IF($A890="",0,INT(($A890-Macrociclo!$C$11)/7)+1)</f>
        <v>0</v>
      </c>
      <c r="C890" s="27"/>
      <c r="D890" s="27"/>
      <c r="E890" s="28"/>
      <c r="F890" s="28"/>
      <c r="G890" s="44" t="n">
        <f aca="false">IF(OR($E890="",$F890=""),0,$E890*$F890)</f>
        <v>0</v>
      </c>
      <c r="H890" s="44" t="n">
        <f aca="false">IF($A890="",0,SUMIFS($G$8:$G$1007,$C$8:$C$1007,$C890,$A$8:$A$1007,"&gt;="&amp;$A890-6,$A$8:$A$1007,"&lt;="&amp;$A890))</f>
        <v>0</v>
      </c>
      <c r="I890" s="44" t="n">
        <f aca="false">IF($A890="",0,SUMIFS($G$8:$G$1007,$C$8:$C$1007,$C890,$A$8:$A$1007,"&gt;="&amp;$A890-27,$A$8:$A$1007,"&lt;="&amp;$A890)/4)</f>
        <v>0</v>
      </c>
      <c r="J890" s="144" t="n">
        <f aca="false">IF(OR($A890="",$I890=0),0,$H890/$I890)</f>
        <v>0</v>
      </c>
      <c r="K890" s="40" t="n">
        <f aca="false">IF($A890="",0,$A890-SUMPRODUCT(MIN(($C$8:$C$1007=$C890)*$A$8:$A$1007+($C$8:$C$1007&lt;&gt;$C890)*100000))+1)</f>
        <v>0</v>
      </c>
      <c r="L890" s="26" t="str">
        <f aca="false">IF($A890="","",IF($J890=0,"Sem registro anterior",IF($K890&lt;21,"Histórico insuficiente",IF($J890&lt;0.8,"Subcarga",IF($J890&lt;=1.3,"Zona ideal",IF($J890&lt;=1.5,"Atenção","Risco elevado"))))))</f>
        <v/>
      </c>
      <c r="M890" s="27"/>
    </row>
    <row r="891" customFormat="false" ht="15" hidden="false" customHeight="false" outlineLevel="0" collapsed="false">
      <c r="A891" s="29"/>
      <c r="B891" s="40" t="n">
        <f aca="false">IF($A891="",0,INT(($A891-Macrociclo!$C$11)/7)+1)</f>
        <v>0</v>
      </c>
      <c r="C891" s="27"/>
      <c r="D891" s="27"/>
      <c r="E891" s="28"/>
      <c r="F891" s="28"/>
      <c r="G891" s="44" t="n">
        <f aca="false">IF(OR($E891="",$F891=""),0,$E891*$F891)</f>
        <v>0</v>
      </c>
      <c r="H891" s="44" t="n">
        <f aca="false">IF($A891="",0,SUMIFS($G$8:$G$1007,$C$8:$C$1007,$C891,$A$8:$A$1007,"&gt;="&amp;$A891-6,$A$8:$A$1007,"&lt;="&amp;$A891))</f>
        <v>0</v>
      </c>
      <c r="I891" s="44" t="n">
        <f aca="false">IF($A891="",0,SUMIFS($G$8:$G$1007,$C$8:$C$1007,$C891,$A$8:$A$1007,"&gt;="&amp;$A891-27,$A$8:$A$1007,"&lt;="&amp;$A891)/4)</f>
        <v>0</v>
      </c>
      <c r="J891" s="144" t="n">
        <f aca="false">IF(OR($A891="",$I891=0),0,$H891/$I891)</f>
        <v>0</v>
      </c>
      <c r="K891" s="40" t="n">
        <f aca="false">IF($A891="",0,$A891-SUMPRODUCT(MIN(($C$8:$C$1007=$C891)*$A$8:$A$1007+($C$8:$C$1007&lt;&gt;$C891)*100000))+1)</f>
        <v>0</v>
      </c>
      <c r="L891" s="26" t="str">
        <f aca="false">IF($A891="","",IF($J891=0,"Sem registro anterior",IF($K891&lt;21,"Histórico insuficiente",IF($J891&lt;0.8,"Subcarga",IF($J891&lt;=1.3,"Zona ideal",IF($J891&lt;=1.5,"Atenção","Risco elevado"))))))</f>
        <v/>
      </c>
      <c r="M891" s="27"/>
    </row>
    <row r="892" customFormat="false" ht="15" hidden="false" customHeight="false" outlineLevel="0" collapsed="false">
      <c r="A892" s="29"/>
      <c r="B892" s="40" t="n">
        <f aca="false">IF($A892="",0,INT(($A892-Macrociclo!$C$11)/7)+1)</f>
        <v>0</v>
      </c>
      <c r="C892" s="27"/>
      <c r="D892" s="27"/>
      <c r="E892" s="28"/>
      <c r="F892" s="28"/>
      <c r="G892" s="44" t="n">
        <f aca="false">IF(OR($E892="",$F892=""),0,$E892*$F892)</f>
        <v>0</v>
      </c>
      <c r="H892" s="44" t="n">
        <f aca="false">IF($A892="",0,SUMIFS($G$8:$G$1007,$C$8:$C$1007,$C892,$A$8:$A$1007,"&gt;="&amp;$A892-6,$A$8:$A$1007,"&lt;="&amp;$A892))</f>
        <v>0</v>
      </c>
      <c r="I892" s="44" t="n">
        <f aca="false">IF($A892="",0,SUMIFS($G$8:$G$1007,$C$8:$C$1007,$C892,$A$8:$A$1007,"&gt;="&amp;$A892-27,$A$8:$A$1007,"&lt;="&amp;$A892)/4)</f>
        <v>0</v>
      </c>
      <c r="J892" s="144" t="n">
        <f aca="false">IF(OR($A892="",$I892=0),0,$H892/$I892)</f>
        <v>0</v>
      </c>
      <c r="K892" s="40" t="n">
        <f aca="false">IF($A892="",0,$A892-SUMPRODUCT(MIN(($C$8:$C$1007=$C892)*$A$8:$A$1007+($C$8:$C$1007&lt;&gt;$C892)*100000))+1)</f>
        <v>0</v>
      </c>
      <c r="L892" s="26" t="str">
        <f aca="false">IF($A892="","",IF($J892=0,"Sem registro anterior",IF($K892&lt;21,"Histórico insuficiente",IF($J892&lt;0.8,"Subcarga",IF($J892&lt;=1.3,"Zona ideal",IF($J892&lt;=1.5,"Atenção","Risco elevado"))))))</f>
        <v/>
      </c>
      <c r="M892" s="27"/>
    </row>
    <row r="893" customFormat="false" ht="15" hidden="false" customHeight="false" outlineLevel="0" collapsed="false">
      <c r="A893" s="29"/>
      <c r="B893" s="40" t="n">
        <f aca="false">IF($A893="",0,INT(($A893-Macrociclo!$C$11)/7)+1)</f>
        <v>0</v>
      </c>
      <c r="C893" s="27"/>
      <c r="D893" s="27"/>
      <c r="E893" s="28"/>
      <c r="F893" s="28"/>
      <c r="G893" s="44" t="n">
        <f aca="false">IF(OR($E893="",$F893=""),0,$E893*$F893)</f>
        <v>0</v>
      </c>
      <c r="H893" s="44" t="n">
        <f aca="false">IF($A893="",0,SUMIFS($G$8:$G$1007,$C$8:$C$1007,$C893,$A$8:$A$1007,"&gt;="&amp;$A893-6,$A$8:$A$1007,"&lt;="&amp;$A893))</f>
        <v>0</v>
      </c>
      <c r="I893" s="44" t="n">
        <f aca="false">IF($A893="",0,SUMIFS($G$8:$G$1007,$C$8:$C$1007,$C893,$A$8:$A$1007,"&gt;="&amp;$A893-27,$A$8:$A$1007,"&lt;="&amp;$A893)/4)</f>
        <v>0</v>
      </c>
      <c r="J893" s="144" t="n">
        <f aca="false">IF(OR($A893="",$I893=0),0,$H893/$I893)</f>
        <v>0</v>
      </c>
      <c r="K893" s="40" t="n">
        <f aca="false">IF($A893="",0,$A893-SUMPRODUCT(MIN(($C$8:$C$1007=$C893)*$A$8:$A$1007+($C$8:$C$1007&lt;&gt;$C893)*100000))+1)</f>
        <v>0</v>
      </c>
      <c r="L893" s="26" t="str">
        <f aca="false">IF($A893="","",IF($J893=0,"Sem registro anterior",IF($K893&lt;21,"Histórico insuficiente",IF($J893&lt;0.8,"Subcarga",IF($J893&lt;=1.3,"Zona ideal",IF($J893&lt;=1.5,"Atenção","Risco elevado"))))))</f>
        <v/>
      </c>
      <c r="M893" s="27"/>
    </row>
    <row r="894" customFormat="false" ht="15" hidden="false" customHeight="false" outlineLevel="0" collapsed="false">
      <c r="A894" s="29"/>
      <c r="B894" s="40" t="n">
        <f aca="false">IF($A894="",0,INT(($A894-Macrociclo!$C$11)/7)+1)</f>
        <v>0</v>
      </c>
      <c r="C894" s="27"/>
      <c r="D894" s="27"/>
      <c r="E894" s="28"/>
      <c r="F894" s="28"/>
      <c r="G894" s="44" t="n">
        <f aca="false">IF(OR($E894="",$F894=""),0,$E894*$F894)</f>
        <v>0</v>
      </c>
      <c r="H894" s="44" t="n">
        <f aca="false">IF($A894="",0,SUMIFS($G$8:$G$1007,$C$8:$C$1007,$C894,$A$8:$A$1007,"&gt;="&amp;$A894-6,$A$8:$A$1007,"&lt;="&amp;$A894))</f>
        <v>0</v>
      </c>
      <c r="I894" s="44" t="n">
        <f aca="false">IF($A894="",0,SUMIFS($G$8:$G$1007,$C$8:$C$1007,$C894,$A$8:$A$1007,"&gt;="&amp;$A894-27,$A$8:$A$1007,"&lt;="&amp;$A894)/4)</f>
        <v>0</v>
      </c>
      <c r="J894" s="144" t="n">
        <f aca="false">IF(OR($A894="",$I894=0),0,$H894/$I894)</f>
        <v>0</v>
      </c>
      <c r="K894" s="40" t="n">
        <f aca="false">IF($A894="",0,$A894-SUMPRODUCT(MIN(($C$8:$C$1007=$C894)*$A$8:$A$1007+($C$8:$C$1007&lt;&gt;$C894)*100000))+1)</f>
        <v>0</v>
      </c>
      <c r="L894" s="26" t="str">
        <f aca="false">IF($A894="","",IF($J894=0,"Sem registro anterior",IF($K894&lt;21,"Histórico insuficiente",IF($J894&lt;0.8,"Subcarga",IF($J894&lt;=1.3,"Zona ideal",IF($J894&lt;=1.5,"Atenção","Risco elevado"))))))</f>
        <v/>
      </c>
      <c r="M894" s="27"/>
    </row>
    <row r="895" customFormat="false" ht="15" hidden="false" customHeight="false" outlineLevel="0" collapsed="false">
      <c r="A895" s="29"/>
      <c r="B895" s="40" t="n">
        <f aca="false">IF($A895="",0,INT(($A895-Macrociclo!$C$11)/7)+1)</f>
        <v>0</v>
      </c>
      <c r="C895" s="27"/>
      <c r="D895" s="27"/>
      <c r="E895" s="28"/>
      <c r="F895" s="28"/>
      <c r="G895" s="44" t="n">
        <f aca="false">IF(OR($E895="",$F895=""),0,$E895*$F895)</f>
        <v>0</v>
      </c>
      <c r="H895" s="44" t="n">
        <f aca="false">IF($A895="",0,SUMIFS($G$8:$G$1007,$C$8:$C$1007,$C895,$A$8:$A$1007,"&gt;="&amp;$A895-6,$A$8:$A$1007,"&lt;="&amp;$A895))</f>
        <v>0</v>
      </c>
      <c r="I895" s="44" t="n">
        <f aca="false">IF($A895="",0,SUMIFS($G$8:$G$1007,$C$8:$C$1007,$C895,$A$8:$A$1007,"&gt;="&amp;$A895-27,$A$8:$A$1007,"&lt;="&amp;$A895)/4)</f>
        <v>0</v>
      </c>
      <c r="J895" s="144" t="n">
        <f aca="false">IF(OR($A895="",$I895=0),0,$H895/$I895)</f>
        <v>0</v>
      </c>
      <c r="K895" s="40" t="n">
        <f aca="false">IF($A895="",0,$A895-SUMPRODUCT(MIN(($C$8:$C$1007=$C895)*$A$8:$A$1007+($C$8:$C$1007&lt;&gt;$C895)*100000))+1)</f>
        <v>0</v>
      </c>
      <c r="L895" s="26" t="str">
        <f aca="false">IF($A895="","",IF($J895=0,"Sem registro anterior",IF($K895&lt;21,"Histórico insuficiente",IF($J895&lt;0.8,"Subcarga",IF($J895&lt;=1.3,"Zona ideal",IF($J895&lt;=1.5,"Atenção","Risco elevado"))))))</f>
        <v/>
      </c>
      <c r="M895" s="27"/>
    </row>
    <row r="896" customFormat="false" ht="15" hidden="false" customHeight="false" outlineLevel="0" collapsed="false">
      <c r="A896" s="29"/>
      <c r="B896" s="40" t="n">
        <f aca="false">IF($A896="",0,INT(($A896-Macrociclo!$C$11)/7)+1)</f>
        <v>0</v>
      </c>
      <c r="C896" s="27"/>
      <c r="D896" s="27"/>
      <c r="E896" s="28"/>
      <c r="F896" s="28"/>
      <c r="G896" s="44" t="n">
        <f aca="false">IF(OR($E896="",$F896=""),0,$E896*$F896)</f>
        <v>0</v>
      </c>
      <c r="H896" s="44" t="n">
        <f aca="false">IF($A896="",0,SUMIFS($G$8:$G$1007,$C$8:$C$1007,$C896,$A$8:$A$1007,"&gt;="&amp;$A896-6,$A$8:$A$1007,"&lt;="&amp;$A896))</f>
        <v>0</v>
      </c>
      <c r="I896" s="44" t="n">
        <f aca="false">IF($A896="",0,SUMIFS($G$8:$G$1007,$C$8:$C$1007,$C896,$A$8:$A$1007,"&gt;="&amp;$A896-27,$A$8:$A$1007,"&lt;="&amp;$A896)/4)</f>
        <v>0</v>
      </c>
      <c r="J896" s="144" t="n">
        <f aca="false">IF(OR($A896="",$I896=0),0,$H896/$I896)</f>
        <v>0</v>
      </c>
      <c r="K896" s="40" t="n">
        <f aca="false">IF($A896="",0,$A896-SUMPRODUCT(MIN(($C$8:$C$1007=$C896)*$A$8:$A$1007+($C$8:$C$1007&lt;&gt;$C896)*100000))+1)</f>
        <v>0</v>
      </c>
      <c r="L896" s="26" t="str">
        <f aca="false">IF($A896="","",IF($J896=0,"Sem registro anterior",IF($K896&lt;21,"Histórico insuficiente",IF($J896&lt;0.8,"Subcarga",IF($J896&lt;=1.3,"Zona ideal",IF($J896&lt;=1.5,"Atenção","Risco elevado"))))))</f>
        <v/>
      </c>
      <c r="M896" s="27"/>
    </row>
    <row r="897" customFormat="false" ht="15" hidden="false" customHeight="false" outlineLevel="0" collapsed="false">
      <c r="A897" s="29"/>
      <c r="B897" s="40" t="n">
        <f aca="false">IF($A897="",0,INT(($A897-Macrociclo!$C$11)/7)+1)</f>
        <v>0</v>
      </c>
      <c r="C897" s="27"/>
      <c r="D897" s="27"/>
      <c r="E897" s="28"/>
      <c r="F897" s="28"/>
      <c r="G897" s="44" t="n">
        <f aca="false">IF(OR($E897="",$F897=""),0,$E897*$F897)</f>
        <v>0</v>
      </c>
      <c r="H897" s="44" t="n">
        <f aca="false">IF($A897="",0,SUMIFS($G$8:$G$1007,$C$8:$C$1007,$C897,$A$8:$A$1007,"&gt;="&amp;$A897-6,$A$8:$A$1007,"&lt;="&amp;$A897))</f>
        <v>0</v>
      </c>
      <c r="I897" s="44" t="n">
        <f aca="false">IF($A897="",0,SUMIFS($G$8:$G$1007,$C$8:$C$1007,$C897,$A$8:$A$1007,"&gt;="&amp;$A897-27,$A$8:$A$1007,"&lt;="&amp;$A897)/4)</f>
        <v>0</v>
      </c>
      <c r="J897" s="144" t="n">
        <f aca="false">IF(OR($A897="",$I897=0),0,$H897/$I897)</f>
        <v>0</v>
      </c>
      <c r="K897" s="40" t="n">
        <f aca="false">IF($A897="",0,$A897-SUMPRODUCT(MIN(($C$8:$C$1007=$C897)*$A$8:$A$1007+($C$8:$C$1007&lt;&gt;$C897)*100000))+1)</f>
        <v>0</v>
      </c>
      <c r="L897" s="26" t="str">
        <f aca="false">IF($A897="","",IF($J897=0,"Sem registro anterior",IF($K897&lt;21,"Histórico insuficiente",IF($J897&lt;0.8,"Subcarga",IF($J897&lt;=1.3,"Zona ideal",IF($J897&lt;=1.5,"Atenção","Risco elevado"))))))</f>
        <v/>
      </c>
      <c r="M897" s="27"/>
    </row>
    <row r="898" customFormat="false" ht="15" hidden="false" customHeight="false" outlineLevel="0" collapsed="false">
      <c r="A898" s="29"/>
      <c r="B898" s="40" t="n">
        <f aca="false">IF($A898="",0,INT(($A898-Macrociclo!$C$11)/7)+1)</f>
        <v>0</v>
      </c>
      <c r="C898" s="27"/>
      <c r="D898" s="27"/>
      <c r="E898" s="28"/>
      <c r="F898" s="28"/>
      <c r="G898" s="44" t="n">
        <f aca="false">IF(OR($E898="",$F898=""),0,$E898*$F898)</f>
        <v>0</v>
      </c>
      <c r="H898" s="44" t="n">
        <f aca="false">IF($A898="",0,SUMIFS($G$8:$G$1007,$C$8:$C$1007,$C898,$A$8:$A$1007,"&gt;="&amp;$A898-6,$A$8:$A$1007,"&lt;="&amp;$A898))</f>
        <v>0</v>
      </c>
      <c r="I898" s="44" t="n">
        <f aca="false">IF($A898="",0,SUMIFS($G$8:$G$1007,$C$8:$C$1007,$C898,$A$8:$A$1007,"&gt;="&amp;$A898-27,$A$8:$A$1007,"&lt;="&amp;$A898)/4)</f>
        <v>0</v>
      </c>
      <c r="J898" s="144" t="n">
        <f aca="false">IF(OR($A898="",$I898=0),0,$H898/$I898)</f>
        <v>0</v>
      </c>
      <c r="K898" s="40" t="n">
        <f aca="false">IF($A898="",0,$A898-SUMPRODUCT(MIN(($C$8:$C$1007=$C898)*$A$8:$A$1007+($C$8:$C$1007&lt;&gt;$C898)*100000))+1)</f>
        <v>0</v>
      </c>
      <c r="L898" s="26" t="str">
        <f aca="false">IF($A898="","",IF($J898=0,"Sem registro anterior",IF($K898&lt;21,"Histórico insuficiente",IF($J898&lt;0.8,"Subcarga",IF($J898&lt;=1.3,"Zona ideal",IF($J898&lt;=1.5,"Atenção","Risco elevado"))))))</f>
        <v/>
      </c>
      <c r="M898" s="27"/>
    </row>
    <row r="899" customFormat="false" ht="15" hidden="false" customHeight="false" outlineLevel="0" collapsed="false">
      <c r="A899" s="29"/>
      <c r="B899" s="40" t="n">
        <f aca="false">IF($A899="",0,INT(($A899-Macrociclo!$C$11)/7)+1)</f>
        <v>0</v>
      </c>
      <c r="C899" s="27"/>
      <c r="D899" s="27"/>
      <c r="E899" s="28"/>
      <c r="F899" s="28"/>
      <c r="G899" s="44" t="n">
        <f aca="false">IF(OR($E899="",$F899=""),0,$E899*$F899)</f>
        <v>0</v>
      </c>
      <c r="H899" s="44" t="n">
        <f aca="false">IF($A899="",0,SUMIFS($G$8:$G$1007,$C$8:$C$1007,$C899,$A$8:$A$1007,"&gt;="&amp;$A899-6,$A$8:$A$1007,"&lt;="&amp;$A899))</f>
        <v>0</v>
      </c>
      <c r="I899" s="44" t="n">
        <f aca="false">IF($A899="",0,SUMIFS($G$8:$G$1007,$C$8:$C$1007,$C899,$A$8:$A$1007,"&gt;="&amp;$A899-27,$A$8:$A$1007,"&lt;="&amp;$A899)/4)</f>
        <v>0</v>
      </c>
      <c r="J899" s="144" t="n">
        <f aca="false">IF(OR($A899="",$I899=0),0,$H899/$I899)</f>
        <v>0</v>
      </c>
      <c r="K899" s="40" t="n">
        <f aca="false">IF($A899="",0,$A899-SUMPRODUCT(MIN(($C$8:$C$1007=$C899)*$A$8:$A$1007+($C$8:$C$1007&lt;&gt;$C899)*100000))+1)</f>
        <v>0</v>
      </c>
      <c r="L899" s="26" t="str">
        <f aca="false">IF($A899="","",IF($J899=0,"Sem registro anterior",IF($K899&lt;21,"Histórico insuficiente",IF($J899&lt;0.8,"Subcarga",IF($J899&lt;=1.3,"Zona ideal",IF($J899&lt;=1.5,"Atenção","Risco elevado"))))))</f>
        <v/>
      </c>
      <c r="M899" s="27"/>
    </row>
    <row r="900" customFormat="false" ht="15" hidden="false" customHeight="false" outlineLevel="0" collapsed="false">
      <c r="A900" s="29"/>
      <c r="B900" s="40" t="n">
        <f aca="false">IF($A900="",0,INT(($A900-Macrociclo!$C$11)/7)+1)</f>
        <v>0</v>
      </c>
      <c r="C900" s="27"/>
      <c r="D900" s="27"/>
      <c r="E900" s="28"/>
      <c r="F900" s="28"/>
      <c r="G900" s="44" t="n">
        <f aca="false">IF(OR($E900="",$F900=""),0,$E900*$F900)</f>
        <v>0</v>
      </c>
      <c r="H900" s="44" t="n">
        <f aca="false">IF($A900="",0,SUMIFS($G$8:$G$1007,$C$8:$C$1007,$C900,$A$8:$A$1007,"&gt;="&amp;$A900-6,$A$8:$A$1007,"&lt;="&amp;$A900))</f>
        <v>0</v>
      </c>
      <c r="I900" s="44" t="n">
        <f aca="false">IF($A900="",0,SUMIFS($G$8:$G$1007,$C$8:$C$1007,$C900,$A$8:$A$1007,"&gt;="&amp;$A900-27,$A$8:$A$1007,"&lt;="&amp;$A900)/4)</f>
        <v>0</v>
      </c>
      <c r="J900" s="144" t="n">
        <f aca="false">IF(OR($A900="",$I900=0),0,$H900/$I900)</f>
        <v>0</v>
      </c>
      <c r="K900" s="40" t="n">
        <f aca="false">IF($A900="",0,$A900-SUMPRODUCT(MIN(($C$8:$C$1007=$C900)*$A$8:$A$1007+($C$8:$C$1007&lt;&gt;$C900)*100000))+1)</f>
        <v>0</v>
      </c>
      <c r="L900" s="26" t="str">
        <f aca="false">IF($A900="","",IF($J900=0,"Sem registro anterior",IF($K900&lt;21,"Histórico insuficiente",IF($J900&lt;0.8,"Subcarga",IF($J900&lt;=1.3,"Zona ideal",IF($J900&lt;=1.5,"Atenção","Risco elevado"))))))</f>
        <v/>
      </c>
      <c r="M900" s="27"/>
    </row>
    <row r="901" customFormat="false" ht="15" hidden="false" customHeight="false" outlineLevel="0" collapsed="false">
      <c r="A901" s="29"/>
      <c r="B901" s="40" t="n">
        <f aca="false">IF($A901="",0,INT(($A901-Macrociclo!$C$11)/7)+1)</f>
        <v>0</v>
      </c>
      <c r="C901" s="27"/>
      <c r="D901" s="27"/>
      <c r="E901" s="28"/>
      <c r="F901" s="28"/>
      <c r="G901" s="44" t="n">
        <f aca="false">IF(OR($E901="",$F901=""),0,$E901*$F901)</f>
        <v>0</v>
      </c>
      <c r="H901" s="44" t="n">
        <f aca="false">IF($A901="",0,SUMIFS($G$8:$G$1007,$C$8:$C$1007,$C901,$A$8:$A$1007,"&gt;="&amp;$A901-6,$A$8:$A$1007,"&lt;="&amp;$A901))</f>
        <v>0</v>
      </c>
      <c r="I901" s="44" t="n">
        <f aca="false">IF($A901="",0,SUMIFS($G$8:$G$1007,$C$8:$C$1007,$C901,$A$8:$A$1007,"&gt;="&amp;$A901-27,$A$8:$A$1007,"&lt;="&amp;$A901)/4)</f>
        <v>0</v>
      </c>
      <c r="J901" s="144" t="n">
        <f aca="false">IF(OR($A901="",$I901=0),0,$H901/$I901)</f>
        <v>0</v>
      </c>
      <c r="K901" s="40" t="n">
        <f aca="false">IF($A901="",0,$A901-SUMPRODUCT(MIN(($C$8:$C$1007=$C901)*$A$8:$A$1007+($C$8:$C$1007&lt;&gt;$C901)*100000))+1)</f>
        <v>0</v>
      </c>
      <c r="L901" s="26" t="str">
        <f aca="false">IF($A901="","",IF($J901=0,"Sem registro anterior",IF($K901&lt;21,"Histórico insuficiente",IF($J901&lt;0.8,"Subcarga",IF($J901&lt;=1.3,"Zona ideal",IF($J901&lt;=1.5,"Atenção","Risco elevado"))))))</f>
        <v/>
      </c>
      <c r="M901" s="27"/>
    </row>
    <row r="902" customFormat="false" ht="15" hidden="false" customHeight="false" outlineLevel="0" collapsed="false">
      <c r="A902" s="29"/>
      <c r="B902" s="40" t="n">
        <f aca="false">IF($A902="",0,INT(($A902-Macrociclo!$C$11)/7)+1)</f>
        <v>0</v>
      </c>
      <c r="C902" s="27"/>
      <c r="D902" s="27"/>
      <c r="E902" s="28"/>
      <c r="F902" s="28"/>
      <c r="G902" s="44" t="n">
        <f aca="false">IF(OR($E902="",$F902=""),0,$E902*$F902)</f>
        <v>0</v>
      </c>
      <c r="H902" s="44" t="n">
        <f aca="false">IF($A902="",0,SUMIFS($G$8:$G$1007,$C$8:$C$1007,$C902,$A$8:$A$1007,"&gt;="&amp;$A902-6,$A$8:$A$1007,"&lt;="&amp;$A902))</f>
        <v>0</v>
      </c>
      <c r="I902" s="44" t="n">
        <f aca="false">IF($A902="",0,SUMIFS($G$8:$G$1007,$C$8:$C$1007,$C902,$A$8:$A$1007,"&gt;="&amp;$A902-27,$A$8:$A$1007,"&lt;="&amp;$A902)/4)</f>
        <v>0</v>
      </c>
      <c r="J902" s="144" t="n">
        <f aca="false">IF(OR($A902="",$I902=0),0,$H902/$I902)</f>
        <v>0</v>
      </c>
      <c r="K902" s="40" t="n">
        <f aca="false">IF($A902="",0,$A902-SUMPRODUCT(MIN(($C$8:$C$1007=$C902)*$A$8:$A$1007+($C$8:$C$1007&lt;&gt;$C902)*100000))+1)</f>
        <v>0</v>
      </c>
      <c r="L902" s="26" t="str">
        <f aca="false">IF($A902="","",IF($J902=0,"Sem registro anterior",IF($K902&lt;21,"Histórico insuficiente",IF($J902&lt;0.8,"Subcarga",IF($J902&lt;=1.3,"Zona ideal",IF($J902&lt;=1.5,"Atenção","Risco elevado"))))))</f>
        <v/>
      </c>
      <c r="M902" s="27"/>
    </row>
    <row r="903" customFormat="false" ht="15" hidden="false" customHeight="false" outlineLevel="0" collapsed="false">
      <c r="A903" s="29"/>
      <c r="B903" s="40" t="n">
        <f aca="false">IF($A903="",0,INT(($A903-Macrociclo!$C$11)/7)+1)</f>
        <v>0</v>
      </c>
      <c r="C903" s="27"/>
      <c r="D903" s="27"/>
      <c r="E903" s="28"/>
      <c r="F903" s="28"/>
      <c r="G903" s="44" t="n">
        <f aca="false">IF(OR($E903="",$F903=""),0,$E903*$F903)</f>
        <v>0</v>
      </c>
      <c r="H903" s="44" t="n">
        <f aca="false">IF($A903="",0,SUMIFS($G$8:$G$1007,$C$8:$C$1007,$C903,$A$8:$A$1007,"&gt;="&amp;$A903-6,$A$8:$A$1007,"&lt;="&amp;$A903))</f>
        <v>0</v>
      </c>
      <c r="I903" s="44" t="n">
        <f aca="false">IF($A903="",0,SUMIFS($G$8:$G$1007,$C$8:$C$1007,$C903,$A$8:$A$1007,"&gt;="&amp;$A903-27,$A$8:$A$1007,"&lt;="&amp;$A903)/4)</f>
        <v>0</v>
      </c>
      <c r="J903" s="144" t="n">
        <f aca="false">IF(OR($A903="",$I903=0),0,$H903/$I903)</f>
        <v>0</v>
      </c>
      <c r="K903" s="40" t="n">
        <f aca="false">IF($A903="",0,$A903-SUMPRODUCT(MIN(($C$8:$C$1007=$C903)*$A$8:$A$1007+($C$8:$C$1007&lt;&gt;$C903)*100000))+1)</f>
        <v>0</v>
      </c>
      <c r="L903" s="26" t="str">
        <f aca="false">IF($A903="","",IF($J903=0,"Sem registro anterior",IF($K903&lt;21,"Histórico insuficiente",IF($J903&lt;0.8,"Subcarga",IF($J903&lt;=1.3,"Zona ideal",IF($J903&lt;=1.5,"Atenção","Risco elevado"))))))</f>
        <v/>
      </c>
      <c r="M903" s="27"/>
    </row>
    <row r="904" customFormat="false" ht="15" hidden="false" customHeight="false" outlineLevel="0" collapsed="false">
      <c r="A904" s="29"/>
      <c r="B904" s="40" t="n">
        <f aca="false">IF($A904="",0,INT(($A904-Macrociclo!$C$11)/7)+1)</f>
        <v>0</v>
      </c>
      <c r="C904" s="27"/>
      <c r="D904" s="27"/>
      <c r="E904" s="28"/>
      <c r="F904" s="28"/>
      <c r="G904" s="44" t="n">
        <f aca="false">IF(OR($E904="",$F904=""),0,$E904*$F904)</f>
        <v>0</v>
      </c>
      <c r="H904" s="44" t="n">
        <f aca="false">IF($A904="",0,SUMIFS($G$8:$G$1007,$C$8:$C$1007,$C904,$A$8:$A$1007,"&gt;="&amp;$A904-6,$A$8:$A$1007,"&lt;="&amp;$A904))</f>
        <v>0</v>
      </c>
      <c r="I904" s="44" t="n">
        <f aca="false">IF($A904="",0,SUMIFS($G$8:$G$1007,$C$8:$C$1007,$C904,$A$8:$A$1007,"&gt;="&amp;$A904-27,$A$8:$A$1007,"&lt;="&amp;$A904)/4)</f>
        <v>0</v>
      </c>
      <c r="J904" s="144" t="n">
        <f aca="false">IF(OR($A904="",$I904=0),0,$H904/$I904)</f>
        <v>0</v>
      </c>
      <c r="K904" s="40" t="n">
        <f aca="false">IF($A904="",0,$A904-SUMPRODUCT(MIN(($C$8:$C$1007=$C904)*$A$8:$A$1007+($C$8:$C$1007&lt;&gt;$C904)*100000))+1)</f>
        <v>0</v>
      </c>
      <c r="L904" s="26" t="str">
        <f aca="false">IF($A904="","",IF($J904=0,"Sem registro anterior",IF($K904&lt;21,"Histórico insuficiente",IF($J904&lt;0.8,"Subcarga",IF($J904&lt;=1.3,"Zona ideal",IF($J904&lt;=1.5,"Atenção","Risco elevado"))))))</f>
        <v/>
      </c>
      <c r="M904" s="27"/>
    </row>
    <row r="905" customFormat="false" ht="15" hidden="false" customHeight="false" outlineLevel="0" collapsed="false">
      <c r="A905" s="29"/>
      <c r="B905" s="40" t="n">
        <f aca="false">IF($A905="",0,INT(($A905-Macrociclo!$C$11)/7)+1)</f>
        <v>0</v>
      </c>
      <c r="C905" s="27"/>
      <c r="D905" s="27"/>
      <c r="E905" s="28"/>
      <c r="F905" s="28"/>
      <c r="G905" s="44" t="n">
        <f aca="false">IF(OR($E905="",$F905=""),0,$E905*$F905)</f>
        <v>0</v>
      </c>
      <c r="H905" s="44" t="n">
        <f aca="false">IF($A905="",0,SUMIFS($G$8:$G$1007,$C$8:$C$1007,$C905,$A$8:$A$1007,"&gt;="&amp;$A905-6,$A$8:$A$1007,"&lt;="&amp;$A905))</f>
        <v>0</v>
      </c>
      <c r="I905" s="44" t="n">
        <f aca="false">IF($A905="",0,SUMIFS($G$8:$G$1007,$C$8:$C$1007,$C905,$A$8:$A$1007,"&gt;="&amp;$A905-27,$A$8:$A$1007,"&lt;="&amp;$A905)/4)</f>
        <v>0</v>
      </c>
      <c r="J905" s="144" t="n">
        <f aca="false">IF(OR($A905="",$I905=0),0,$H905/$I905)</f>
        <v>0</v>
      </c>
      <c r="K905" s="40" t="n">
        <f aca="false">IF($A905="",0,$A905-SUMPRODUCT(MIN(($C$8:$C$1007=$C905)*$A$8:$A$1007+($C$8:$C$1007&lt;&gt;$C905)*100000))+1)</f>
        <v>0</v>
      </c>
      <c r="L905" s="26" t="str">
        <f aca="false">IF($A905="","",IF($J905=0,"Sem registro anterior",IF($K905&lt;21,"Histórico insuficiente",IF($J905&lt;0.8,"Subcarga",IF($J905&lt;=1.3,"Zona ideal",IF($J905&lt;=1.5,"Atenção","Risco elevado"))))))</f>
        <v/>
      </c>
      <c r="M905" s="27"/>
    </row>
    <row r="906" customFormat="false" ht="15" hidden="false" customHeight="false" outlineLevel="0" collapsed="false">
      <c r="A906" s="29"/>
      <c r="B906" s="40" t="n">
        <f aca="false">IF($A906="",0,INT(($A906-Macrociclo!$C$11)/7)+1)</f>
        <v>0</v>
      </c>
      <c r="C906" s="27"/>
      <c r="D906" s="27"/>
      <c r="E906" s="28"/>
      <c r="F906" s="28"/>
      <c r="G906" s="44" t="n">
        <f aca="false">IF(OR($E906="",$F906=""),0,$E906*$F906)</f>
        <v>0</v>
      </c>
      <c r="H906" s="44" t="n">
        <f aca="false">IF($A906="",0,SUMIFS($G$8:$G$1007,$C$8:$C$1007,$C906,$A$8:$A$1007,"&gt;="&amp;$A906-6,$A$8:$A$1007,"&lt;="&amp;$A906))</f>
        <v>0</v>
      </c>
      <c r="I906" s="44" t="n">
        <f aca="false">IF($A906="",0,SUMIFS($G$8:$G$1007,$C$8:$C$1007,$C906,$A$8:$A$1007,"&gt;="&amp;$A906-27,$A$8:$A$1007,"&lt;="&amp;$A906)/4)</f>
        <v>0</v>
      </c>
      <c r="J906" s="144" t="n">
        <f aca="false">IF(OR($A906="",$I906=0),0,$H906/$I906)</f>
        <v>0</v>
      </c>
      <c r="K906" s="40" t="n">
        <f aca="false">IF($A906="",0,$A906-SUMPRODUCT(MIN(($C$8:$C$1007=$C906)*$A$8:$A$1007+($C$8:$C$1007&lt;&gt;$C906)*100000))+1)</f>
        <v>0</v>
      </c>
      <c r="L906" s="26" t="str">
        <f aca="false">IF($A906="","",IF($J906=0,"Sem registro anterior",IF($K906&lt;21,"Histórico insuficiente",IF($J906&lt;0.8,"Subcarga",IF($J906&lt;=1.3,"Zona ideal",IF($J906&lt;=1.5,"Atenção","Risco elevado"))))))</f>
        <v/>
      </c>
      <c r="M906" s="27"/>
    </row>
    <row r="907" customFormat="false" ht="15" hidden="false" customHeight="false" outlineLevel="0" collapsed="false">
      <c r="A907" s="29"/>
      <c r="B907" s="40" t="n">
        <f aca="false">IF($A907="",0,INT(($A907-Macrociclo!$C$11)/7)+1)</f>
        <v>0</v>
      </c>
      <c r="C907" s="27"/>
      <c r="D907" s="27"/>
      <c r="E907" s="28"/>
      <c r="F907" s="28"/>
      <c r="G907" s="44" t="n">
        <f aca="false">IF(OR($E907="",$F907=""),0,$E907*$F907)</f>
        <v>0</v>
      </c>
      <c r="H907" s="44" t="n">
        <f aca="false">IF($A907="",0,SUMIFS($G$8:$G$1007,$C$8:$C$1007,$C907,$A$8:$A$1007,"&gt;="&amp;$A907-6,$A$8:$A$1007,"&lt;="&amp;$A907))</f>
        <v>0</v>
      </c>
      <c r="I907" s="44" t="n">
        <f aca="false">IF($A907="",0,SUMIFS($G$8:$G$1007,$C$8:$C$1007,$C907,$A$8:$A$1007,"&gt;="&amp;$A907-27,$A$8:$A$1007,"&lt;="&amp;$A907)/4)</f>
        <v>0</v>
      </c>
      <c r="J907" s="144" t="n">
        <f aca="false">IF(OR($A907="",$I907=0),0,$H907/$I907)</f>
        <v>0</v>
      </c>
      <c r="K907" s="40" t="n">
        <f aca="false">IF($A907="",0,$A907-SUMPRODUCT(MIN(($C$8:$C$1007=$C907)*$A$8:$A$1007+($C$8:$C$1007&lt;&gt;$C907)*100000))+1)</f>
        <v>0</v>
      </c>
      <c r="L907" s="26" t="str">
        <f aca="false">IF($A907="","",IF($J907=0,"Sem registro anterior",IF($K907&lt;21,"Histórico insuficiente",IF($J907&lt;0.8,"Subcarga",IF($J907&lt;=1.3,"Zona ideal",IF($J907&lt;=1.5,"Atenção","Risco elevado"))))))</f>
        <v/>
      </c>
      <c r="M907" s="27"/>
    </row>
    <row r="908" customFormat="false" ht="15" hidden="false" customHeight="false" outlineLevel="0" collapsed="false">
      <c r="A908" s="29"/>
      <c r="B908" s="40" t="n">
        <f aca="false">IF($A908="",0,INT(($A908-Macrociclo!$C$11)/7)+1)</f>
        <v>0</v>
      </c>
      <c r="C908" s="27"/>
      <c r="D908" s="27"/>
      <c r="E908" s="28"/>
      <c r="F908" s="28"/>
      <c r="G908" s="44" t="n">
        <f aca="false">IF(OR($E908="",$F908=""),0,$E908*$F908)</f>
        <v>0</v>
      </c>
      <c r="H908" s="44" t="n">
        <f aca="false">IF($A908="",0,SUMIFS($G$8:$G$1007,$C$8:$C$1007,$C908,$A$8:$A$1007,"&gt;="&amp;$A908-6,$A$8:$A$1007,"&lt;="&amp;$A908))</f>
        <v>0</v>
      </c>
      <c r="I908" s="44" t="n">
        <f aca="false">IF($A908="",0,SUMIFS($G$8:$G$1007,$C$8:$C$1007,$C908,$A$8:$A$1007,"&gt;="&amp;$A908-27,$A$8:$A$1007,"&lt;="&amp;$A908)/4)</f>
        <v>0</v>
      </c>
      <c r="J908" s="144" t="n">
        <f aca="false">IF(OR($A908="",$I908=0),0,$H908/$I908)</f>
        <v>0</v>
      </c>
      <c r="K908" s="40" t="n">
        <f aca="false">IF($A908="",0,$A908-SUMPRODUCT(MIN(($C$8:$C$1007=$C908)*$A$8:$A$1007+($C$8:$C$1007&lt;&gt;$C908)*100000))+1)</f>
        <v>0</v>
      </c>
      <c r="L908" s="26" t="str">
        <f aca="false">IF($A908="","",IF($J908=0,"Sem registro anterior",IF($K908&lt;21,"Histórico insuficiente",IF($J908&lt;0.8,"Subcarga",IF($J908&lt;=1.3,"Zona ideal",IF($J908&lt;=1.5,"Atenção","Risco elevado"))))))</f>
        <v/>
      </c>
      <c r="M908" s="27"/>
    </row>
    <row r="909" customFormat="false" ht="15" hidden="false" customHeight="false" outlineLevel="0" collapsed="false">
      <c r="A909" s="29"/>
      <c r="B909" s="40" t="n">
        <f aca="false">IF($A909="",0,INT(($A909-Macrociclo!$C$11)/7)+1)</f>
        <v>0</v>
      </c>
      <c r="C909" s="27"/>
      <c r="D909" s="27"/>
      <c r="E909" s="28"/>
      <c r="F909" s="28"/>
      <c r="G909" s="44" t="n">
        <f aca="false">IF(OR($E909="",$F909=""),0,$E909*$F909)</f>
        <v>0</v>
      </c>
      <c r="H909" s="44" t="n">
        <f aca="false">IF($A909="",0,SUMIFS($G$8:$G$1007,$C$8:$C$1007,$C909,$A$8:$A$1007,"&gt;="&amp;$A909-6,$A$8:$A$1007,"&lt;="&amp;$A909))</f>
        <v>0</v>
      </c>
      <c r="I909" s="44" t="n">
        <f aca="false">IF($A909="",0,SUMIFS($G$8:$G$1007,$C$8:$C$1007,$C909,$A$8:$A$1007,"&gt;="&amp;$A909-27,$A$8:$A$1007,"&lt;="&amp;$A909)/4)</f>
        <v>0</v>
      </c>
      <c r="J909" s="144" t="n">
        <f aca="false">IF(OR($A909="",$I909=0),0,$H909/$I909)</f>
        <v>0</v>
      </c>
      <c r="K909" s="40" t="n">
        <f aca="false">IF($A909="",0,$A909-SUMPRODUCT(MIN(($C$8:$C$1007=$C909)*$A$8:$A$1007+($C$8:$C$1007&lt;&gt;$C909)*100000))+1)</f>
        <v>0</v>
      </c>
      <c r="L909" s="26" t="str">
        <f aca="false">IF($A909="","",IF($J909=0,"Sem registro anterior",IF($K909&lt;21,"Histórico insuficiente",IF($J909&lt;0.8,"Subcarga",IF($J909&lt;=1.3,"Zona ideal",IF($J909&lt;=1.5,"Atenção","Risco elevado"))))))</f>
        <v/>
      </c>
      <c r="M909" s="27"/>
    </row>
    <row r="910" customFormat="false" ht="15" hidden="false" customHeight="false" outlineLevel="0" collapsed="false">
      <c r="A910" s="29"/>
      <c r="B910" s="40" t="n">
        <f aca="false">IF($A910="",0,INT(($A910-Macrociclo!$C$11)/7)+1)</f>
        <v>0</v>
      </c>
      <c r="C910" s="27"/>
      <c r="D910" s="27"/>
      <c r="E910" s="28"/>
      <c r="F910" s="28"/>
      <c r="G910" s="44" t="n">
        <f aca="false">IF(OR($E910="",$F910=""),0,$E910*$F910)</f>
        <v>0</v>
      </c>
      <c r="H910" s="44" t="n">
        <f aca="false">IF($A910="",0,SUMIFS($G$8:$G$1007,$C$8:$C$1007,$C910,$A$8:$A$1007,"&gt;="&amp;$A910-6,$A$8:$A$1007,"&lt;="&amp;$A910))</f>
        <v>0</v>
      </c>
      <c r="I910" s="44" t="n">
        <f aca="false">IF($A910="",0,SUMIFS($G$8:$G$1007,$C$8:$C$1007,$C910,$A$8:$A$1007,"&gt;="&amp;$A910-27,$A$8:$A$1007,"&lt;="&amp;$A910)/4)</f>
        <v>0</v>
      </c>
      <c r="J910" s="144" t="n">
        <f aca="false">IF(OR($A910="",$I910=0),0,$H910/$I910)</f>
        <v>0</v>
      </c>
      <c r="K910" s="40" t="n">
        <f aca="false">IF($A910="",0,$A910-SUMPRODUCT(MIN(($C$8:$C$1007=$C910)*$A$8:$A$1007+($C$8:$C$1007&lt;&gt;$C910)*100000))+1)</f>
        <v>0</v>
      </c>
      <c r="L910" s="26" t="str">
        <f aca="false">IF($A910="","",IF($J910=0,"Sem registro anterior",IF($K910&lt;21,"Histórico insuficiente",IF($J910&lt;0.8,"Subcarga",IF($J910&lt;=1.3,"Zona ideal",IF($J910&lt;=1.5,"Atenção","Risco elevado"))))))</f>
        <v/>
      </c>
      <c r="M910" s="27"/>
    </row>
    <row r="911" customFormat="false" ht="15" hidden="false" customHeight="false" outlineLevel="0" collapsed="false">
      <c r="A911" s="29"/>
      <c r="B911" s="40" t="n">
        <f aca="false">IF($A911="",0,INT(($A911-Macrociclo!$C$11)/7)+1)</f>
        <v>0</v>
      </c>
      <c r="C911" s="27"/>
      <c r="D911" s="27"/>
      <c r="E911" s="28"/>
      <c r="F911" s="28"/>
      <c r="G911" s="44" t="n">
        <f aca="false">IF(OR($E911="",$F911=""),0,$E911*$F911)</f>
        <v>0</v>
      </c>
      <c r="H911" s="44" t="n">
        <f aca="false">IF($A911="",0,SUMIFS($G$8:$G$1007,$C$8:$C$1007,$C911,$A$8:$A$1007,"&gt;="&amp;$A911-6,$A$8:$A$1007,"&lt;="&amp;$A911))</f>
        <v>0</v>
      </c>
      <c r="I911" s="44" t="n">
        <f aca="false">IF($A911="",0,SUMIFS($G$8:$G$1007,$C$8:$C$1007,$C911,$A$8:$A$1007,"&gt;="&amp;$A911-27,$A$8:$A$1007,"&lt;="&amp;$A911)/4)</f>
        <v>0</v>
      </c>
      <c r="J911" s="144" t="n">
        <f aca="false">IF(OR($A911="",$I911=0),0,$H911/$I911)</f>
        <v>0</v>
      </c>
      <c r="K911" s="40" t="n">
        <f aca="false">IF($A911="",0,$A911-SUMPRODUCT(MIN(($C$8:$C$1007=$C911)*$A$8:$A$1007+($C$8:$C$1007&lt;&gt;$C911)*100000))+1)</f>
        <v>0</v>
      </c>
      <c r="L911" s="26" t="str">
        <f aca="false">IF($A911="","",IF($J911=0,"Sem registro anterior",IF($K911&lt;21,"Histórico insuficiente",IF($J911&lt;0.8,"Subcarga",IF($J911&lt;=1.3,"Zona ideal",IF($J911&lt;=1.5,"Atenção","Risco elevado"))))))</f>
        <v/>
      </c>
      <c r="M911" s="27"/>
    </row>
    <row r="912" customFormat="false" ht="15" hidden="false" customHeight="false" outlineLevel="0" collapsed="false">
      <c r="A912" s="29"/>
      <c r="B912" s="40" t="n">
        <f aca="false">IF($A912="",0,INT(($A912-Macrociclo!$C$11)/7)+1)</f>
        <v>0</v>
      </c>
      <c r="C912" s="27"/>
      <c r="D912" s="27"/>
      <c r="E912" s="28"/>
      <c r="F912" s="28"/>
      <c r="G912" s="44" t="n">
        <f aca="false">IF(OR($E912="",$F912=""),0,$E912*$F912)</f>
        <v>0</v>
      </c>
      <c r="H912" s="44" t="n">
        <f aca="false">IF($A912="",0,SUMIFS($G$8:$G$1007,$C$8:$C$1007,$C912,$A$8:$A$1007,"&gt;="&amp;$A912-6,$A$8:$A$1007,"&lt;="&amp;$A912))</f>
        <v>0</v>
      </c>
      <c r="I912" s="44" t="n">
        <f aca="false">IF($A912="",0,SUMIFS($G$8:$G$1007,$C$8:$C$1007,$C912,$A$8:$A$1007,"&gt;="&amp;$A912-27,$A$8:$A$1007,"&lt;="&amp;$A912)/4)</f>
        <v>0</v>
      </c>
      <c r="J912" s="144" t="n">
        <f aca="false">IF(OR($A912="",$I912=0),0,$H912/$I912)</f>
        <v>0</v>
      </c>
      <c r="K912" s="40" t="n">
        <f aca="false">IF($A912="",0,$A912-SUMPRODUCT(MIN(($C$8:$C$1007=$C912)*$A$8:$A$1007+($C$8:$C$1007&lt;&gt;$C912)*100000))+1)</f>
        <v>0</v>
      </c>
      <c r="L912" s="26" t="str">
        <f aca="false">IF($A912="","",IF($J912=0,"Sem registro anterior",IF($K912&lt;21,"Histórico insuficiente",IF($J912&lt;0.8,"Subcarga",IF($J912&lt;=1.3,"Zona ideal",IF($J912&lt;=1.5,"Atenção","Risco elevado"))))))</f>
        <v/>
      </c>
      <c r="M912" s="27"/>
    </row>
    <row r="913" customFormat="false" ht="15" hidden="false" customHeight="false" outlineLevel="0" collapsed="false">
      <c r="A913" s="29"/>
      <c r="B913" s="40" t="n">
        <f aca="false">IF($A913="",0,INT(($A913-Macrociclo!$C$11)/7)+1)</f>
        <v>0</v>
      </c>
      <c r="C913" s="27"/>
      <c r="D913" s="27"/>
      <c r="E913" s="28"/>
      <c r="F913" s="28"/>
      <c r="G913" s="44" t="n">
        <f aca="false">IF(OR($E913="",$F913=""),0,$E913*$F913)</f>
        <v>0</v>
      </c>
      <c r="H913" s="44" t="n">
        <f aca="false">IF($A913="",0,SUMIFS($G$8:$G$1007,$C$8:$C$1007,$C913,$A$8:$A$1007,"&gt;="&amp;$A913-6,$A$8:$A$1007,"&lt;="&amp;$A913))</f>
        <v>0</v>
      </c>
      <c r="I913" s="44" t="n">
        <f aca="false">IF($A913="",0,SUMIFS($G$8:$G$1007,$C$8:$C$1007,$C913,$A$8:$A$1007,"&gt;="&amp;$A913-27,$A$8:$A$1007,"&lt;="&amp;$A913)/4)</f>
        <v>0</v>
      </c>
      <c r="J913" s="144" t="n">
        <f aca="false">IF(OR($A913="",$I913=0),0,$H913/$I913)</f>
        <v>0</v>
      </c>
      <c r="K913" s="40" t="n">
        <f aca="false">IF($A913="",0,$A913-SUMPRODUCT(MIN(($C$8:$C$1007=$C913)*$A$8:$A$1007+($C$8:$C$1007&lt;&gt;$C913)*100000))+1)</f>
        <v>0</v>
      </c>
      <c r="L913" s="26" t="str">
        <f aca="false">IF($A913="","",IF($J913=0,"Sem registro anterior",IF($K913&lt;21,"Histórico insuficiente",IF($J913&lt;0.8,"Subcarga",IF($J913&lt;=1.3,"Zona ideal",IF($J913&lt;=1.5,"Atenção","Risco elevado"))))))</f>
        <v/>
      </c>
      <c r="M913" s="27"/>
    </row>
    <row r="914" customFormat="false" ht="15" hidden="false" customHeight="false" outlineLevel="0" collapsed="false">
      <c r="A914" s="29"/>
      <c r="B914" s="40" t="n">
        <f aca="false">IF($A914="",0,INT(($A914-Macrociclo!$C$11)/7)+1)</f>
        <v>0</v>
      </c>
      <c r="C914" s="27"/>
      <c r="D914" s="27"/>
      <c r="E914" s="28"/>
      <c r="F914" s="28"/>
      <c r="G914" s="44" t="n">
        <f aca="false">IF(OR($E914="",$F914=""),0,$E914*$F914)</f>
        <v>0</v>
      </c>
      <c r="H914" s="44" t="n">
        <f aca="false">IF($A914="",0,SUMIFS($G$8:$G$1007,$C$8:$C$1007,$C914,$A$8:$A$1007,"&gt;="&amp;$A914-6,$A$8:$A$1007,"&lt;="&amp;$A914))</f>
        <v>0</v>
      </c>
      <c r="I914" s="44" t="n">
        <f aca="false">IF($A914="",0,SUMIFS($G$8:$G$1007,$C$8:$C$1007,$C914,$A$8:$A$1007,"&gt;="&amp;$A914-27,$A$8:$A$1007,"&lt;="&amp;$A914)/4)</f>
        <v>0</v>
      </c>
      <c r="J914" s="144" t="n">
        <f aca="false">IF(OR($A914="",$I914=0),0,$H914/$I914)</f>
        <v>0</v>
      </c>
      <c r="K914" s="40" t="n">
        <f aca="false">IF($A914="",0,$A914-SUMPRODUCT(MIN(($C$8:$C$1007=$C914)*$A$8:$A$1007+($C$8:$C$1007&lt;&gt;$C914)*100000))+1)</f>
        <v>0</v>
      </c>
      <c r="L914" s="26" t="str">
        <f aca="false">IF($A914="","",IF($J914=0,"Sem registro anterior",IF($K914&lt;21,"Histórico insuficiente",IF($J914&lt;0.8,"Subcarga",IF($J914&lt;=1.3,"Zona ideal",IF($J914&lt;=1.5,"Atenção","Risco elevado"))))))</f>
        <v/>
      </c>
      <c r="M914" s="27"/>
    </row>
    <row r="915" customFormat="false" ht="15" hidden="false" customHeight="false" outlineLevel="0" collapsed="false">
      <c r="A915" s="29"/>
      <c r="B915" s="40" t="n">
        <f aca="false">IF($A915="",0,INT(($A915-Macrociclo!$C$11)/7)+1)</f>
        <v>0</v>
      </c>
      <c r="C915" s="27"/>
      <c r="D915" s="27"/>
      <c r="E915" s="28"/>
      <c r="F915" s="28"/>
      <c r="G915" s="44" t="n">
        <f aca="false">IF(OR($E915="",$F915=""),0,$E915*$F915)</f>
        <v>0</v>
      </c>
      <c r="H915" s="44" t="n">
        <f aca="false">IF($A915="",0,SUMIFS($G$8:$G$1007,$C$8:$C$1007,$C915,$A$8:$A$1007,"&gt;="&amp;$A915-6,$A$8:$A$1007,"&lt;="&amp;$A915))</f>
        <v>0</v>
      </c>
      <c r="I915" s="44" t="n">
        <f aca="false">IF($A915="",0,SUMIFS($G$8:$G$1007,$C$8:$C$1007,$C915,$A$8:$A$1007,"&gt;="&amp;$A915-27,$A$8:$A$1007,"&lt;="&amp;$A915)/4)</f>
        <v>0</v>
      </c>
      <c r="J915" s="144" t="n">
        <f aca="false">IF(OR($A915="",$I915=0),0,$H915/$I915)</f>
        <v>0</v>
      </c>
      <c r="K915" s="40" t="n">
        <f aca="false">IF($A915="",0,$A915-SUMPRODUCT(MIN(($C$8:$C$1007=$C915)*$A$8:$A$1007+($C$8:$C$1007&lt;&gt;$C915)*100000))+1)</f>
        <v>0</v>
      </c>
      <c r="L915" s="26" t="str">
        <f aca="false">IF($A915="","",IF($J915=0,"Sem registro anterior",IF($K915&lt;21,"Histórico insuficiente",IF($J915&lt;0.8,"Subcarga",IF($J915&lt;=1.3,"Zona ideal",IF($J915&lt;=1.5,"Atenção","Risco elevado"))))))</f>
        <v/>
      </c>
      <c r="M915" s="27"/>
    </row>
    <row r="916" customFormat="false" ht="15" hidden="false" customHeight="false" outlineLevel="0" collapsed="false">
      <c r="A916" s="29"/>
      <c r="B916" s="40" t="n">
        <f aca="false">IF($A916="",0,INT(($A916-Macrociclo!$C$11)/7)+1)</f>
        <v>0</v>
      </c>
      <c r="C916" s="27"/>
      <c r="D916" s="27"/>
      <c r="E916" s="28"/>
      <c r="F916" s="28"/>
      <c r="G916" s="44" t="n">
        <f aca="false">IF(OR($E916="",$F916=""),0,$E916*$F916)</f>
        <v>0</v>
      </c>
      <c r="H916" s="44" t="n">
        <f aca="false">IF($A916="",0,SUMIFS($G$8:$G$1007,$C$8:$C$1007,$C916,$A$8:$A$1007,"&gt;="&amp;$A916-6,$A$8:$A$1007,"&lt;="&amp;$A916))</f>
        <v>0</v>
      </c>
      <c r="I916" s="44" t="n">
        <f aca="false">IF($A916="",0,SUMIFS($G$8:$G$1007,$C$8:$C$1007,$C916,$A$8:$A$1007,"&gt;="&amp;$A916-27,$A$8:$A$1007,"&lt;="&amp;$A916)/4)</f>
        <v>0</v>
      </c>
      <c r="J916" s="144" t="n">
        <f aca="false">IF(OR($A916="",$I916=0),0,$H916/$I916)</f>
        <v>0</v>
      </c>
      <c r="K916" s="40" t="n">
        <f aca="false">IF($A916="",0,$A916-SUMPRODUCT(MIN(($C$8:$C$1007=$C916)*$A$8:$A$1007+($C$8:$C$1007&lt;&gt;$C916)*100000))+1)</f>
        <v>0</v>
      </c>
      <c r="L916" s="26" t="str">
        <f aca="false">IF($A916="","",IF($J916=0,"Sem registro anterior",IF($K916&lt;21,"Histórico insuficiente",IF($J916&lt;0.8,"Subcarga",IF($J916&lt;=1.3,"Zona ideal",IF($J916&lt;=1.5,"Atenção","Risco elevado"))))))</f>
        <v/>
      </c>
      <c r="M916" s="27"/>
    </row>
    <row r="917" customFormat="false" ht="15" hidden="false" customHeight="false" outlineLevel="0" collapsed="false">
      <c r="A917" s="29"/>
      <c r="B917" s="40" t="n">
        <f aca="false">IF($A917="",0,INT(($A917-Macrociclo!$C$11)/7)+1)</f>
        <v>0</v>
      </c>
      <c r="C917" s="27"/>
      <c r="D917" s="27"/>
      <c r="E917" s="28"/>
      <c r="F917" s="28"/>
      <c r="G917" s="44" t="n">
        <f aca="false">IF(OR($E917="",$F917=""),0,$E917*$F917)</f>
        <v>0</v>
      </c>
      <c r="H917" s="44" t="n">
        <f aca="false">IF($A917="",0,SUMIFS($G$8:$G$1007,$C$8:$C$1007,$C917,$A$8:$A$1007,"&gt;="&amp;$A917-6,$A$8:$A$1007,"&lt;="&amp;$A917))</f>
        <v>0</v>
      </c>
      <c r="I917" s="44" t="n">
        <f aca="false">IF($A917="",0,SUMIFS($G$8:$G$1007,$C$8:$C$1007,$C917,$A$8:$A$1007,"&gt;="&amp;$A917-27,$A$8:$A$1007,"&lt;="&amp;$A917)/4)</f>
        <v>0</v>
      </c>
      <c r="J917" s="144" t="n">
        <f aca="false">IF(OR($A917="",$I917=0),0,$H917/$I917)</f>
        <v>0</v>
      </c>
      <c r="K917" s="40" t="n">
        <f aca="false">IF($A917="",0,$A917-SUMPRODUCT(MIN(($C$8:$C$1007=$C917)*$A$8:$A$1007+($C$8:$C$1007&lt;&gt;$C917)*100000))+1)</f>
        <v>0</v>
      </c>
      <c r="L917" s="26" t="str">
        <f aca="false">IF($A917="","",IF($J917=0,"Sem registro anterior",IF($K917&lt;21,"Histórico insuficiente",IF($J917&lt;0.8,"Subcarga",IF($J917&lt;=1.3,"Zona ideal",IF($J917&lt;=1.5,"Atenção","Risco elevado"))))))</f>
        <v/>
      </c>
      <c r="M917" s="27"/>
    </row>
    <row r="918" customFormat="false" ht="15" hidden="false" customHeight="false" outlineLevel="0" collapsed="false">
      <c r="A918" s="29"/>
      <c r="B918" s="40" t="n">
        <f aca="false">IF($A918="",0,INT(($A918-Macrociclo!$C$11)/7)+1)</f>
        <v>0</v>
      </c>
      <c r="C918" s="27"/>
      <c r="D918" s="27"/>
      <c r="E918" s="28"/>
      <c r="F918" s="28"/>
      <c r="G918" s="44" t="n">
        <f aca="false">IF(OR($E918="",$F918=""),0,$E918*$F918)</f>
        <v>0</v>
      </c>
      <c r="H918" s="44" t="n">
        <f aca="false">IF($A918="",0,SUMIFS($G$8:$G$1007,$C$8:$C$1007,$C918,$A$8:$A$1007,"&gt;="&amp;$A918-6,$A$8:$A$1007,"&lt;="&amp;$A918))</f>
        <v>0</v>
      </c>
      <c r="I918" s="44" t="n">
        <f aca="false">IF($A918="",0,SUMIFS($G$8:$G$1007,$C$8:$C$1007,$C918,$A$8:$A$1007,"&gt;="&amp;$A918-27,$A$8:$A$1007,"&lt;="&amp;$A918)/4)</f>
        <v>0</v>
      </c>
      <c r="J918" s="144" t="n">
        <f aca="false">IF(OR($A918="",$I918=0),0,$H918/$I918)</f>
        <v>0</v>
      </c>
      <c r="K918" s="40" t="n">
        <f aca="false">IF($A918="",0,$A918-SUMPRODUCT(MIN(($C$8:$C$1007=$C918)*$A$8:$A$1007+($C$8:$C$1007&lt;&gt;$C918)*100000))+1)</f>
        <v>0</v>
      </c>
      <c r="L918" s="26" t="str">
        <f aca="false">IF($A918="","",IF($J918=0,"Sem registro anterior",IF($K918&lt;21,"Histórico insuficiente",IF($J918&lt;0.8,"Subcarga",IF($J918&lt;=1.3,"Zona ideal",IF($J918&lt;=1.5,"Atenção","Risco elevado"))))))</f>
        <v/>
      </c>
      <c r="M918" s="27"/>
    </row>
    <row r="919" customFormat="false" ht="15" hidden="false" customHeight="false" outlineLevel="0" collapsed="false">
      <c r="A919" s="29"/>
      <c r="B919" s="40" t="n">
        <f aca="false">IF($A919="",0,INT(($A919-Macrociclo!$C$11)/7)+1)</f>
        <v>0</v>
      </c>
      <c r="C919" s="27"/>
      <c r="D919" s="27"/>
      <c r="E919" s="28"/>
      <c r="F919" s="28"/>
      <c r="G919" s="44" t="n">
        <f aca="false">IF(OR($E919="",$F919=""),0,$E919*$F919)</f>
        <v>0</v>
      </c>
      <c r="H919" s="44" t="n">
        <f aca="false">IF($A919="",0,SUMIFS($G$8:$G$1007,$C$8:$C$1007,$C919,$A$8:$A$1007,"&gt;="&amp;$A919-6,$A$8:$A$1007,"&lt;="&amp;$A919))</f>
        <v>0</v>
      </c>
      <c r="I919" s="44" t="n">
        <f aca="false">IF($A919="",0,SUMIFS($G$8:$G$1007,$C$8:$C$1007,$C919,$A$8:$A$1007,"&gt;="&amp;$A919-27,$A$8:$A$1007,"&lt;="&amp;$A919)/4)</f>
        <v>0</v>
      </c>
      <c r="J919" s="144" t="n">
        <f aca="false">IF(OR($A919="",$I919=0),0,$H919/$I919)</f>
        <v>0</v>
      </c>
      <c r="K919" s="40" t="n">
        <f aca="false">IF($A919="",0,$A919-SUMPRODUCT(MIN(($C$8:$C$1007=$C919)*$A$8:$A$1007+($C$8:$C$1007&lt;&gt;$C919)*100000))+1)</f>
        <v>0</v>
      </c>
      <c r="L919" s="26" t="str">
        <f aca="false">IF($A919="","",IF($J919=0,"Sem registro anterior",IF($K919&lt;21,"Histórico insuficiente",IF($J919&lt;0.8,"Subcarga",IF($J919&lt;=1.3,"Zona ideal",IF($J919&lt;=1.5,"Atenção","Risco elevado"))))))</f>
        <v/>
      </c>
      <c r="M919" s="27"/>
    </row>
    <row r="920" customFormat="false" ht="15" hidden="false" customHeight="false" outlineLevel="0" collapsed="false">
      <c r="A920" s="29"/>
      <c r="B920" s="40" t="n">
        <f aca="false">IF($A920="",0,INT(($A920-Macrociclo!$C$11)/7)+1)</f>
        <v>0</v>
      </c>
      <c r="C920" s="27"/>
      <c r="D920" s="27"/>
      <c r="E920" s="28"/>
      <c r="F920" s="28"/>
      <c r="G920" s="44" t="n">
        <f aca="false">IF(OR($E920="",$F920=""),0,$E920*$F920)</f>
        <v>0</v>
      </c>
      <c r="H920" s="44" t="n">
        <f aca="false">IF($A920="",0,SUMIFS($G$8:$G$1007,$C$8:$C$1007,$C920,$A$8:$A$1007,"&gt;="&amp;$A920-6,$A$8:$A$1007,"&lt;="&amp;$A920))</f>
        <v>0</v>
      </c>
      <c r="I920" s="44" t="n">
        <f aca="false">IF($A920="",0,SUMIFS($G$8:$G$1007,$C$8:$C$1007,$C920,$A$8:$A$1007,"&gt;="&amp;$A920-27,$A$8:$A$1007,"&lt;="&amp;$A920)/4)</f>
        <v>0</v>
      </c>
      <c r="J920" s="144" t="n">
        <f aca="false">IF(OR($A920="",$I920=0),0,$H920/$I920)</f>
        <v>0</v>
      </c>
      <c r="K920" s="40" t="n">
        <f aca="false">IF($A920="",0,$A920-SUMPRODUCT(MIN(($C$8:$C$1007=$C920)*$A$8:$A$1007+($C$8:$C$1007&lt;&gt;$C920)*100000))+1)</f>
        <v>0</v>
      </c>
      <c r="L920" s="26" t="str">
        <f aca="false">IF($A920="","",IF($J920=0,"Sem registro anterior",IF($K920&lt;21,"Histórico insuficiente",IF($J920&lt;0.8,"Subcarga",IF($J920&lt;=1.3,"Zona ideal",IF($J920&lt;=1.5,"Atenção","Risco elevado"))))))</f>
        <v/>
      </c>
      <c r="M920" s="27"/>
    </row>
    <row r="921" customFormat="false" ht="15" hidden="false" customHeight="false" outlineLevel="0" collapsed="false">
      <c r="A921" s="29"/>
      <c r="B921" s="40" t="n">
        <f aca="false">IF($A921="",0,INT(($A921-Macrociclo!$C$11)/7)+1)</f>
        <v>0</v>
      </c>
      <c r="C921" s="27"/>
      <c r="D921" s="27"/>
      <c r="E921" s="28"/>
      <c r="F921" s="28"/>
      <c r="G921" s="44" t="n">
        <f aca="false">IF(OR($E921="",$F921=""),0,$E921*$F921)</f>
        <v>0</v>
      </c>
      <c r="H921" s="44" t="n">
        <f aca="false">IF($A921="",0,SUMIFS($G$8:$G$1007,$C$8:$C$1007,$C921,$A$8:$A$1007,"&gt;="&amp;$A921-6,$A$8:$A$1007,"&lt;="&amp;$A921))</f>
        <v>0</v>
      </c>
      <c r="I921" s="44" t="n">
        <f aca="false">IF($A921="",0,SUMIFS($G$8:$G$1007,$C$8:$C$1007,$C921,$A$8:$A$1007,"&gt;="&amp;$A921-27,$A$8:$A$1007,"&lt;="&amp;$A921)/4)</f>
        <v>0</v>
      </c>
      <c r="J921" s="144" t="n">
        <f aca="false">IF(OR($A921="",$I921=0),0,$H921/$I921)</f>
        <v>0</v>
      </c>
      <c r="K921" s="40" t="n">
        <f aca="false">IF($A921="",0,$A921-SUMPRODUCT(MIN(($C$8:$C$1007=$C921)*$A$8:$A$1007+($C$8:$C$1007&lt;&gt;$C921)*100000))+1)</f>
        <v>0</v>
      </c>
      <c r="L921" s="26" t="str">
        <f aca="false">IF($A921="","",IF($J921=0,"Sem registro anterior",IF($K921&lt;21,"Histórico insuficiente",IF($J921&lt;0.8,"Subcarga",IF($J921&lt;=1.3,"Zona ideal",IF($J921&lt;=1.5,"Atenção","Risco elevado"))))))</f>
        <v/>
      </c>
      <c r="M921" s="27"/>
    </row>
    <row r="922" customFormat="false" ht="15" hidden="false" customHeight="false" outlineLevel="0" collapsed="false">
      <c r="A922" s="29"/>
      <c r="B922" s="40" t="n">
        <f aca="false">IF($A922="",0,INT(($A922-Macrociclo!$C$11)/7)+1)</f>
        <v>0</v>
      </c>
      <c r="C922" s="27"/>
      <c r="D922" s="27"/>
      <c r="E922" s="28"/>
      <c r="F922" s="28"/>
      <c r="G922" s="44" t="n">
        <f aca="false">IF(OR($E922="",$F922=""),0,$E922*$F922)</f>
        <v>0</v>
      </c>
      <c r="H922" s="44" t="n">
        <f aca="false">IF($A922="",0,SUMIFS($G$8:$G$1007,$C$8:$C$1007,$C922,$A$8:$A$1007,"&gt;="&amp;$A922-6,$A$8:$A$1007,"&lt;="&amp;$A922))</f>
        <v>0</v>
      </c>
      <c r="I922" s="44" t="n">
        <f aca="false">IF($A922="",0,SUMIFS($G$8:$G$1007,$C$8:$C$1007,$C922,$A$8:$A$1007,"&gt;="&amp;$A922-27,$A$8:$A$1007,"&lt;="&amp;$A922)/4)</f>
        <v>0</v>
      </c>
      <c r="J922" s="144" t="n">
        <f aca="false">IF(OR($A922="",$I922=0),0,$H922/$I922)</f>
        <v>0</v>
      </c>
      <c r="K922" s="40" t="n">
        <f aca="false">IF($A922="",0,$A922-SUMPRODUCT(MIN(($C$8:$C$1007=$C922)*$A$8:$A$1007+($C$8:$C$1007&lt;&gt;$C922)*100000))+1)</f>
        <v>0</v>
      </c>
      <c r="L922" s="26" t="str">
        <f aca="false">IF($A922="","",IF($J922=0,"Sem registro anterior",IF($K922&lt;21,"Histórico insuficiente",IF($J922&lt;0.8,"Subcarga",IF($J922&lt;=1.3,"Zona ideal",IF($J922&lt;=1.5,"Atenção","Risco elevado"))))))</f>
        <v/>
      </c>
      <c r="M922" s="27"/>
    </row>
    <row r="923" customFormat="false" ht="15" hidden="false" customHeight="false" outlineLevel="0" collapsed="false">
      <c r="A923" s="29"/>
      <c r="B923" s="40" t="n">
        <f aca="false">IF($A923="",0,INT(($A923-Macrociclo!$C$11)/7)+1)</f>
        <v>0</v>
      </c>
      <c r="C923" s="27"/>
      <c r="D923" s="27"/>
      <c r="E923" s="28"/>
      <c r="F923" s="28"/>
      <c r="G923" s="44" t="n">
        <f aca="false">IF(OR($E923="",$F923=""),0,$E923*$F923)</f>
        <v>0</v>
      </c>
      <c r="H923" s="44" t="n">
        <f aca="false">IF($A923="",0,SUMIFS($G$8:$G$1007,$C$8:$C$1007,$C923,$A$8:$A$1007,"&gt;="&amp;$A923-6,$A$8:$A$1007,"&lt;="&amp;$A923))</f>
        <v>0</v>
      </c>
      <c r="I923" s="44" t="n">
        <f aca="false">IF($A923="",0,SUMIFS($G$8:$G$1007,$C$8:$C$1007,$C923,$A$8:$A$1007,"&gt;="&amp;$A923-27,$A$8:$A$1007,"&lt;="&amp;$A923)/4)</f>
        <v>0</v>
      </c>
      <c r="J923" s="144" t="n">
        <f aca="false">IF(OR($A923="",$I923=0),0,$H923/$I923)</f>
        <v>0</v>
      </c>
      <c r="K923" s="40" t="n">
        <f aca="false">IF($A923="",0,$A923-SUMPRODUCT(MIN(($C$8:$C$1007=$C923)*$A$8:$A$1007+($C$8:$C$1007&lt;&gt;$C923)*100000))+1)</f>
        <v>0</v>
      </c>
      <c r="L923" s="26" t="str">
        <f aca="false">IF($A923="","",IF($J923=0,"Sem registro anterior",IF($K923&lt;21,"Histórico insuficiente",IF($J923&lt;0.8,"Subcarga",IF($J923&lt;=1.3,"Zona ideal",IF($J923&lt;=1.5,"Atenção","Risco elevado"))))))</f>
        <v/>
      </c>
      <c r="M923" s="27"/>
    </row>
    <row r="924" customFormat="false" ht="15" hidden="false" customHeight="false" outlineLevel="0" collapsed="false">
      <c r="A924" s="29"/>
      <c r="B924" s="40" t="n">
        <f aca="false">IF($A924="",0,INT(($A924-Macrociclo!$C$11)/7)+1)</f>
        <v>0</v>
      </c>
      <c r="C924" s="27"/>
      <c r="D924" s="27"/>
      <c r="E924" s="28"/>
      <c r="F924" s="28"/>
      <c r="G924" s="44" t="n">
        <f aca="false">IF(OR($E924="",$F924=""),0,$E924*$F924)</f>
        <v>0</v>
      </c>
      <c r="H924" s="44" t="n">
        <f aca="false">IF($A924="",0,SUMIFS($G$8:$G$1007,$C$8:$C$1007,$C924,$A$8:$A$1007,"&gt;="&amp;$A924-6,$A$8:$A$1007,"&lt;="&amp;$A924))</f>
        <v>0</v>
      </c>
      <c r="I924" s="44" t="n">
        <f aca="false">IF($A924="",0,SUMIFS($G$8:$G$1007,$C$8:$C$1007,$C924,$A$8:$A$1007,"&gt;="&amp;$A924-27,$A$8:$A$1007,"&lt;="&amp;$A924)/4)</f>
        <v>0</v>
      </c>
      <c r="J924" s="144" t="n">
        <f aca="false">IF(OR($A924="",$I924=0),0,$H924/$I924)</f>
        <v>0</v>
      </c>
      <c r="K924" s="40" t="n">
        <f aca="false">IF($A924="",0,$A924-SUMPRODUCT(MIN(($C$8:$C$1007=$C924)*$A$8:$A$1007+($C$8:$C$1007&lt;&gt;$C924)*100000))+1)</f>
        <v>0</v>
      </c>
      <c r="L924" s="26" t="str">
        <f aca="false">IF($A924="","",IF($J924=0,"Sem registro anterior",IF($K924&lt;21,"Histórico insuficiente",IF($J924&lt;0.8,"Subcarga",IF($J924&lt;=1.3,"Zona ideal",IF($J924&lt;=1.5,"Atenção","Risco elevado"))))))</f>
        <v/>
      </c>
      <c r="M924" s="27"/>
    </row>
    <row r="925" customFormat="false" ht="15" hidden="false" customHeight="false" outlineLevel="0" collapsed="false">
      <c r="A925" s="29"/>
      <c r="B925" s="40" t="n">
        <f aca="false">IF($A925="",0,INT(($A925-Macrociclo!$C$11)/7)+1)</f>
        <v>0</v>
      </c>
      <c r="C925" s="27"/>
      <c r="D925" s="27"/>
      <c r="E925" s="28"/>
      <c r="F925" s="28"/>
      <c r="G925" s="44" t="n">
        <f aca="false">IF(OR($E925="",$F925=""),0,$E925*$F925)</f>
        <v>0</v>
      </c>
      <c r="H925" s="44" t="n">
        <f aca="false">IF($A925="",0,SUMIFS($G$8:$G$1007,$C$8:$C$1007,$C925,$A$8:$A$1007,"&gt;="&amp;$A925-6,$A$8:$A$1007,"&lt;="&amp;$A925))</f>
        <v>0</v>
      </c>
      <c r="I925" s="44" t="n">
        <f aca="false">IF($A925="",0,SUMIFS($G$8:$G$1007,$C$8:$C$1007,$C925,$A$8:$A$1007,"&gt;="&amp;$A925-27,$A$8:$A$1007,"&lt;="&amp;$A925)/4)</f>
        <v>0</v>
      </c>
      <c r="J925" s="144" t="n">
        <f aca="false">IF(OR($A925="",$I925=0),0,$H925/$I925)</f>
        <v>0</v>
      </c>
      <c r="K925" s="40" t="n">
        <f aca="false">IF($A925="",0,$A925-SUMPRODUCT(MIN(($C$8:$C$1007=$C925)*$A$8:$A$1007+($C$8:$C$1007&lt;&gt;$C925)*100000))+1)</f>
        <v>0</v>
      </c>
      <c r="L925" s="26" t="str">
        <f aca="false">IF($A925="","",IF($J925=0,"Sem registro anterior",IF($K925&lt;21,"Histórico insuficiente",IF($J925&lt;0.8,"Subcarga",IF($J925&lt;=1.3,"Zona ideal",IF($J925&lt;=1.5,"Atenção","Risco elevado"))))))</f>
        <v/>
      </c>
      <c r="M925" s="27"/>
    </row>
    <row r="926" customFormat="false" ht="15" hidden="false" customHeight="false" outlineLevel="0" collapsed="false">
      <c r="A926" s="29"/>
      <c r="B926" s="40" t="n">
        <f aca="false">IF($A926="",0,INT(($A926-Macrociclo!$C$11)/7)+1)</f>
        <v>0</v>
      </c>
      <c r="C926" s="27"/>
      <c r="D926" s="27"/>
      <c r="E926" s="28"/>
      <c r="F926" s="28"/>
      <c r="G926" s="44" t="n">
        <f aca="false">IF(OR($E926="",$F926=""),0,$E926*$F926)</f>
        <v>0</v>
      </c>
      <c r="H926" s="44" t="n">
        <f aca="false">IF($A926="",0,SUMIFS($G$8:$G$1007,$C$8:$C$1007,$C926,$A$8:$A$1007,"&gt;="&amp;$A926-6,$A$8:$A$1007,"&lt;="&amp;$A926))</f>
        <v>0</v>
      </c>
      <c r="I926" s="44" t="n">
        <f aca="false">IF($A926="",0,SUMIFS($G$8:$G$1007,$C$8:$C$1007,$C926,$A$8:$A$1007,"&gt;="&amp;$A926-27,$A$8:$A$1007,"&lt;="&amp;$A926)/4)</f>
        <v>0</v>
      </c>
      <c r="J926" s="144" t="n">
        <f aca="false">IF(OR($A926="",$I926=0),0,$H926/$I926)</f>
        <v>0</v>
      </c>
      <c r="K926" s="40" t="n">
        <f aca="false">IF($A926="",0,$A926-SUMPRODUCT(MIN(($C$8:$C$1007=$C926)*$A$8:$A$1007+($C$8:$C$1007&lt;&gt;$C926)*100000))+1)</f>
        <v>0</v>
      </c>
      <c r="L926" s="26" t="str">
        <f aca="false">IF($A926="","",IF($J926=0,"Sem registro anterior",IF($K926&lt;21,"Histórico insuficiente",IF($J926&lt;0.8,"Subcarga",IF($J926&lt;=1.3,"Zona ideal",IF($J926&lt;=1.5,"Atenção","Risco elevado"))))))</f>
        <v/>
      </c>
      <c r="M926" s="27"/>
    </row>
    <row r="927" customFormat="false" ht="15" hidden="false" customHeight="false" outlineLevel="0" collapsed="false">
      <c r="A927" s="29"/>
      <c r="B927" s="40" t="n">
        <f aca="false">IF($A927="",0,INT(($A927-Macrociclo!$C$11)/7)+1)</f>
        <v>0</v>
      </c>
      <c r="C927" s="27"/>
      <c r="D927" s="27"/>
      <c r="E927" s="28"/>
      <c r="F927" s="28"/>
      <c r="G927" s="44" t="n">
        <f aca="false">IF(OR($E927="",$F927=""),0,$E927*$F927)</f>
        <v>0</v>
      </c>
      <c r="H927" s="44" t="n">
        <f aca="false">IF($A927="",0,SUMIFS($G$8:$G$1007,$C$8:$C$1007,$C927,$A$8:$A$1007,"&gt;="&amp;$A927-6,$A$8:$A$1007,"&lt;="&amp;$A927))</f>
        <v>0</v>
      </c>
      <c r="I927" s="44" t="n">
        <f aca="false">IF($A927="",0,SUMIFS($G$8:$G$1007,$C$8:$C$1007,$C927,$A$8:$A$1007,"&gt;="&amp;$A927-27,$A$8:$A$1007,"&lt;="&amp;$A927)/4)</f>
        <v>0</v>
      </c>
      <c r="J927" s="144" t="n">
        <f aca="false">IF(OR($A927="",$I927=0),0,$H927/$I927)</f>
        <v>0</v>
      </c>
      <c r="K927" s="40" t="n">
        <f aca="false">IF($A927="",0,$A927-SUMPRODUCT(MIN(($C$8:$C$1007=$C927)*$A$8:$A$1007+($C$8:$C$1007&lt;&gt;$C927)*100000))+1)</f>
        <v>0</v>
      </c>
      <c r="L927" s="26" t="str">
        <f aca="false">IF($A927="","",IF($J927=0,"Sem registro anterior",IF($K927&lt;21,"Histórico insuficiente",IF($J927&lt;0.8,"Subcarga",IF($J927&lt;=1.3,"Zona ideal",IF($J927&lt;=1.5,"Atenção","Risco elevado"))))))</f>
        <v/>
      </c>
      <c r="M927" s="27"/>
    </row>
    <row r="928" customFormat="false" ht="15" hidden="false" customHeight="false" outlineLevel="0" collapsed="false">
      <c r="A928" s="29"/>
      <c r="B928" s="40" t="n">
        <f aca="false">IF($A928="",0,INT(($A928-Macrociclo!$C$11)/7)+1)</f>
        <v>0</v>
      </c>
      <c r="C928" s="27"/>
      <c r="D928" s="27"/>
      <c r="E928" s="28"/>
      <c r="F928" s="28"/>
      <c r="G928" s="44" t="n">
        <f aca="false">IF(OR($E928="",$F928=""),0,$E928*$F928)</f>
        <v>0</v>
      </c>
      <c r="H928" s="44" t="n">
        <f aca="false">IF($A928="",0,SUMIFS($G$8:$G$1007,$C$8:$C$1007,$C928,$A$8:$A$1007,"&gt;="&amp;$A928-6,$A$8:$A$1007,"&lt;="&amp;$A928))</f>
        <v>0</v>
      </c>
      <c r="I928" s="44" t="n">
        <f aca="false">IF($A928="",0,SUMIFS($G$8:$G$1007,$C$8:$C$1007,$C928,$A$8:$A$1007,"&gt;="&amp;$A928-27,$A$8:$A$1007,"&lt;="&amp;$A928)/4)</f>
        <v>0</v>
      </c>
      <c r="J928" s="144" t="n">
        <f aca="false">IF(OR($A928="",$I928=0),0,$H928/$I928)</f>
        <v>0</v>
      </c>
      <c r="K928" s="40" t="n">
        <f aca="false">IF($A928="",0,$A928-SUMPRODUCT(MIN(($C$8:$C$1007=$C928)*$A$8:$A$1007+($C$8:$C$1007&lt;&gt;$C928)*100000))+1)</f>
        <v>0</v>
      </c>
      <c r="L928" s="26" t="str">
        <f aca="false">IF($A928="","",IF($J928=0,"Sem registro anterior",IF($K928&lt;21,"Histórico insuficiente",IF($J928&lt;0.8,"Subcarga",IF($J928&lt;=1.3,"Zona ideal",IF($J928&lt;=1.5,"Atenção","Risco elevado"))))))</f>
        <v/>
      </c>
      <c r="M928" s="27"/>
    </row>
    <row r="929" customFormat="false" ht="15" hidden="false" customHeight="false" outlineLevel="0" collapsed="false">
      <c r="A929" s="29"/>
      <c r="B929" s="40" t="n">
        <f aca="false">IF($A929="",0,INT(($A929-Macrociclo!$C$11)/7)+1)</f>
        <v>0</v>
      </c>
      <c r="C929" s="27"/>
      <c r="D929" s="27"/>
      <c r="E929" s="28"/>
      <c r="F929" s="28"/>
      <c r="G929" s="44" t="n">
        <f aca="false">IF(OR($E929="",$F929=""),0,$E929*$F929)</f>
        <v>0</v>
      </c>
      <c r="H929" s="44" t="n">
        <f aca="false">IF($A929="",0,SUMIFS($G$8:$G$1007,$C$8:$C$1007,$C929,$A$8:$A$1007,"&gt;="&amp;$A929-6,$A$8:$A$1007,"&lt;="&amp;$A929))</f>
        <v>0</v>
      </c>
      <c r="I929" s="44" t="n">
        <f aca="false">IF($A929="",0,SUMIFS($G$8:$G$1007,$C$8:$C$1007,$C929,$A$8:$A$1007,"&gt;="&amp;$A929-27,$A$8:$A$1007,"&lt;="&amp;$A929)/4)</f>
        <v>0</v>
      </c>
      <c r="J929" s="144" t="n">
        <f aca="false">IF(OR($A929="",$I929=0),0,$H929/$I929)</f>
        <v>0</v>
      </c>
      <c r="K929" s="40" t="n">
        <f aca="false">IF($A929="",0,$A929-SUMPRODUCT(MIN(($C$8:$C$1007=$C929)*$A$8:$A$1007+($C$8:$C$1007&lt;&gt;$C929)*100000))+1)</f>
        <v>0</v>
      </c>
      <c r="L929" s="26" t="str">
        <f aca="false">IF($A929="","",IF($J929=0,"Sem registro anterior",IF($K929&lt;21,"Histórico insuficiente",IF($J929&lt;0.8,"Subcarga",IF($J929&lt;=1.3,"Zona ideal",IF($J929&lt;=1.5,"Atenção","Risco elevado"))))))</f>
        <v/>
      </c>
      <c r="M929" s="27"/>
    </row>
    <row r="930" customFormat="false" ht="15" hidden="false" customHeight="false" outlineLevel="0" collapsed="false">
      <c r="A930" s="29"/>
      <c r="B930" s="40" t="n">
        <f aca="false">IF($A930="",0,INT(($A930-Macrociclo!$C$11)/7)+1)</f>
        <v>0</v>
      </c>
      <c r="C930" s="27"/>
      <c r="D930" s="27"/>
      <c r="E930" s="28"/>
      <c r="F930" s="28"/>
      <c r="G930" s="44" t="n">
        <f aca="false">IF(OR($E930="",$F930=""),0,$E930*$F930)</f>
        <v>0</v>
      </c>
      <c r="H930" s="44" t="n">
        <f aca="false">IF($A930="",0,SUMIFS($G$8:$G$1007,$C$8:$C$1007,$C930,$A$8:$A$1007,"&gt;="&amp;$A930-6,$A$8:$A$1007,"&lt;="&amp;$A930))</f>
        <v>0</v>
      </c>
      <c r="I930" s="44" t="n">
        <f aca="false">IF($A930="",0,SUMIFS($G$8:$G$1007,$C$8:$C$1007,$C930,$A$8:$A$1007,"&gt;="&amp;$A930-27,$A$8:$A$1007,"&lt;="&amp;$A930)/4)</f>
        <v>0</v>
      </c>
      <c r="J930" s="144" t="n">
        <f aca="false">IF(OR($A930="",$I930=0),0,$H930/$I930)</f>
        <v>0</v>
      </c>
      <c r="K930" s="40" t="n">
        <f aca="false">IF($A930="",0,$A930-SUMPRODUCT(MIN(($C$8:$C$1007=$C930)*$A$8:$A$1007+($C$8:$C$1007&lt;&gt;$C930)*100000))+1)</f>
        <v>0</v>
      </c>
      <c r="L930" s="26" t="str">
        <f aca="false">IF($A930="","",IF($J930=0,"Sem registro anterior",IF($K930&lt;21,"Histórico insuficiente",IF($J930&lt;0.8,"Subcarga",IF($J930&lt;=1.3,"Zona ideal",IF($J930&lt;=1.5,"Atenção","Risco elevado"))))))</f>
        <v/>
      </c>
      <c r="M930" s="27"/>
    </row>
    <row r="931" customFormat="false" ht="15" hidden="false" customHeight="false" outlineLevel="0" collapsed="false">
      <c r="A931" s="29"/>
      <c r="B931" s="40" t="n">
        <f aca="false">IF($A931="",0,INT(($A931-Macrociclo!$C$11)/7)+1)</f>
        <v>0</v>
      </c>
      <c r="C931" s="27"/>
      <c r="D931" s="27"/>
      <c r="E931" s="28"/>
      <c r="F931" s="28"/>
      <c r="G931" s="44" t="n">
        <f aca="false">IF(OR($E931="",$F931=""),0,$E931*$F931)</f>
        <v>0</v>
      </c>
      <c r="H931" s="44" t="n">
        <f aca="false">IF($A931="",0,SUMIFS($G$8:$G$1007,$C$8:$C$1007,$C931,$A$8:$A$1007,"&gt;="&amp;$A931-6,$A$8:$A$1007,"&lt;="&amp;$A931))</f>
        <v>0</v>
      </c>
      <c r="I931" s="44" t="n">
        <f aca="false">IF($A931="",0,SUMIFS($G$8:$G$1007,$C$8:$C$1007,$C931,$A$8:$A$1007,"&gt;="&amp;$A931-27,$A$8:$A$1007,"&lt;="&amp;$A931)/4)</f>
        <v>0</v>
      </c>
      <c r="J931" s="144" t="n">
        <f aca="false">IF(OR($A931="",$I931=0),0,$H931/$I931)</f>
        <v>0</v>
      </c>
      <c r="K931" s="40" t="n">
        <f aca="false">IF($A931="",0,$A931-SUMPRODUCT(MIN(($C$8:$C$1007=$C931)*$A$8:$A$1007+($C$8:$C$1007&lt;&gt;$C931)*100000))+1)</f>
        <v>0</v>
      </c>
      <c r="L931" s="26" t="str">
        <f aca="false">IF($A931="","",IF($J931=0,"Sem registro anterior",IF($K931&lt;21,"Histórico insuficiente",IF($J931&lt;0.8,"Subcarga",IF($J931&lt;=1.3,"Zona ideal",IF($J931&lt;=1.5,"Atenção","Risco elevado"))))))</f>
        <v/>
      </c>
      <c r="M931" s="27"/>
    </row>
    <row r="932" customFormat="false" ht="15" hidden="false" customHeight="false" outlineLevel="0" collapsed="false">
      <c r="A932" s="29"/>
      <c r="B932" s="40" t="n">
        <f aca="false">IF($A932="",0,INT(($A932-Macrociclo!$C$11)/7)+1)</f>
        <v>0</v>
      </c>
      <c r="C932" s="27"/>
      <c r="D932" s="27"/>
      <c r="E932" s="28"/>
      <c r="F932" s="28"/>
      <c r="G932" s="44" t="n">
        <f aca="false">IF(OR($E932="",$F932=""),0,$E932*$F932)</f>
        <v>0</v>
      </c>
      <c r="H932" s="44" t="n">
        <f aca="false">IF($A932="",0,SUMIFS($G$8:$G$1007,$C$8:$C$1007,$C932,$A$8:$A$1007,"&gt;="&amp;$A932-6,$A$8:$A$1007,"&lt;="&amp;$A932))</f>
        <v>0</v>
      </c>
      <c r="I932" s="44" t="n">
        <f aca="false">IF($A932="",0,SUMIFS($G$8:$G$1007,$C$8:$C$1007,$C932,$A$8:$A$1007,"&gt;="&amp;$A932-27,$A$8:$A$1007,"&lt;="&amp;$A932)/4)</f>
        <v>0</v>
      </c>
      <c r="J932" s="144" t="n">
        <f aca="false">IF(OR($A932="",$I932=0),0,$H932/$I932)</f>
        <v>0</v>
      </c>
      <c r="K932" s="40" t="n">
        <f aca="false">IF($A932="",0,$A932-SUMPRODUCT(MIN(($C$8:$C$1007=$C932)*$A$8:$A$1007+($C$8:$C$1007&lt;&gt;$C932)*100000))+1)</f>
        <v>0</v>
      </c>
      <c r="L932" s="26" t="str">
        <f aca="false">IF($A932="","",IF($J932=0,"Sem registro anterior",IF($K932&lt;21,"Histórico insuficiente",IF($J932&lt;0.8,"Subcarga",IF($J932&lt;=1.3,"Zona ideal",IF($J932&lt;=1.5,"Atenção","Risco elevado"))))))</f>
        <v/>
      </c>
      <c r="M932" s="27"/>
    </row>
    <row r="933" customFormat="false" ht="15" hidden="false" customHeight="false" outlineLevel="0" collapsed="false">
      <c r="A933" s="29"/>
      <c r="B933" s="40" t="n">
        <f aca="false">IF($A933="",0,INT(($A933-Macrociclo!$C$11)/7)+1)</f>
        <v>0</v>
      </c>
      <c r="C933" s="27"/>
      <c r="D933" s="27"/>
      <c r="E933" s="28"/>
      <c r="F933" s="28"/>
      <c r="G933" s="44" t="n">
        <f aca="false">IF(OR($E933="",$F933=""),0,$E933*$F933)</f>
        <v>0</v>
      </c>
      <c r="H933" s="44" t="n">
        <f aca="false">IF($A933="",0,SUMIFS($G$8:$G$1007,$C$8:$C$1007,$C933,$A$8:$A$1007,"&gt;="&amp;$A933-6,$A$8:$A$1007,"&lt;="&amp;$A933))</f>
        <v>0</v>
      </c>
      <c r="I933" s="44" t="n">
        <f aca="false">IF($A933="",0,SUMIFS($G$8:$G$1007,$C$8:$C$1007,$C933,$A$8:$A$1007,"&gt;="&amp;$A933-27,$A$8:$A$1007,"&lt;="&amp;$A933)/4)</f>
        <v>0</v>
      </c>
      <c r="J933" s="144" t="n">
        <f aca="false">IF(OR($A933="",$I933=0),0,$H933/$I933)</f>
        <v>0</v>
      </c>
      <c r="K933" s="40" t="n">
        <f aca="false">IF($A933="",0,$A933-SUMPRODUCT(MIN(($C$8:$C$1007=$C933)*$A$8:$A$1007+($C$8:$C$1007&lt;&gt;$C933)*100000))+1)</f>
        <v>0</v>
      </c>
      <c r="L933" s="26" t="str">
        <f aca="false">IF($A933="","",IF($J933=0,"Sem registro anterior",IF($K933&lt;21,"Histórico insuficiente",IF($J933&lt;0.8,"Subcarga",IF($J933&lt;=1.3,"Zona ideal",IF($J933&lt;=1.5,"Atenção","Risco elevado"))))))</f>
        <v/>
      </c>
      <c r="M933" s="27"/>
    </row>
    <row r="934" customFormat="false" ht="15" hidden="false" customHeight="false" outlineLevel="0" collapsed="false">
      <c r="A934" s="29"/>
      <c r="B934" s="40" t="n">
        <f aca="false">IF($A934="",0,INT(($A934-Macrociclo!$C$11)/7)+1)</f>
        <v>0</v>
      </c>
      <c r="C934" s="27"/>
      <c r="D934" s="27"/>
      <c r="E934" s="28"/>
      <c r="F934" s="28"/>
      <c r="G934" s="44" t="n">
        <f aca="false">IF(OR($E934="",$F934=""),0,$E934*$F934)</f>
        <v>0</v>
      </c>
      <c r="H934" s="44" t="n">
        <f aca="false">IF($A934="",0,SUMIFS($G$8:$G$1007,$C$8:$C$1007,$C934,$A$8:$A$1007,"&gt;="&amp;$A934-6,$A$8:$A$1007,"&lt;="&amp;$A934))</f>
        <v>0</v>
      </c>
      <c r="I934" s="44" t="n">
        <f aca="false">IF($A934="",0,SUMIFS($G$8:$G$1007,$C$8:$C$1007,$C934,$A$8:$A$1007,"&gt;="&amp;$A934-27,$A$8:$A$1007,"&lt;="&amp;$A934)/4)</f>
        <v>0</v>
      </c>
      <c r="J934" s="144" t="n">
        <f aca="false">IF(OR($A934="",$I934=0),0,$H934/$I934)</f>
        <v>0</v>
      </c>
      <c r="K934" s="40" t="n">
        <f aca="false">IF($A934="",0,$A934-SUMPRODUCT(MIN(($C$8:$C$1007=$C934)*$A$8:$A$1007+($C$8:$C$1007&lt;&gt;$C934)*100000))+1)</f>
        <v>0</v>
      </c>
      <c r="L934" s="26" t="str">
        <f aca="false">IF($A934="","",IF($J934=0,"Sem registro anterior",IF($K934&lt;21,"Histórico insuficiente",IF($J934&lt;0.8,"Subcarga",IF($J934&lt;=1.3,"Zona ideal",IF($J934&lt;=1.5,"Atenção","Risco elevado"))))))</f>
        <v/>
      </c>
      <c r="M934" s="27"/>
    </row>
    <row r="935" customFormat="false" ht="15" hidden="false" customHeight="false" outlineLevel="0" collapsed="false">
      <c r="A935" s="29"/>
      <c r="B935" s="40" t="n">
        <f aca="false">IF($A935="",0,INT(($A935-Macrociclo!$C$11)/7)+1)</f>
        <v>0</v>
      </c>
      <c r="C935" s="27"/>
      <c r="D935" s="27"/>
      <c r="E935" s="28"/>
      <c r="F935" s="28"/>
      <c r="G935" s="44" t="n">
        <f aca="false">IF(OR($E935="",$F935=""),0,$E935*$F935)</f>
        <v>0</v>
      </c>
      <c r="H935" s="44" t="n">
        <f aca="false">IF($A935="",0,SUMIFS($G$8:$G$1007,$C$8:$C$1007,$C935,$A$8:$A$1007,"&gt;="&amp;$A935-6,$A$8:$A$1007,"&lt;="&amp;$A935))</f>
        <v>0</v>
      </c>
      <c r="I935" s="44" t="n">
        <f aca="false">IF($A935="",0,SUMIFS($G$8:$G$1007,$C$8:$C$1007,$C935,$A$8:$A$1007,"&gt;="&amp;$A935-27,$A$8:$A$1007,"&lt;="&amp;$A935)/4)</f>
        <v>0</v>
      </c>
      <c r="J935" s="144" t="n">
        <f aca="false">IF(OR($A935="",$I935=0),0,$H935/$I935)</f>
        <v>0</v>
      </c>
      <c r="K935" s="40" t="n">
        <f aca="false">IF($A935="",0,$A935-SUMPRODUCT(MIN(($C$8:$C$1007=$C935)*$A$8:$A$1007+($C$8:$C$1007&lt;&gt;$C935)*100000))+1)</f>
        <v>0</v>
      </c>
      <c r="L935" s="26" t="str">
        <f aca="false">IF($A935="","",IF($J935=0,"Sem registro anterior",IF($K935&lt;21,"Histórico insuficiente",IF($J935&lt;0.8,"Subcarga",IF($J935&lt;=1.3,"Zona ideal",IF($J935&lt;=1.5,"Atenção","Risco elevado"))))))</f>
        <v/>
      </c>
      <c r="M935" s="27"/>
    </row>
    <row r="936" customFormat="false" ht="15" hidden="false" customHeight="false" outlineLevel="0" collapsed="false">
      <c r="A936" s="29"/>
      <c r="B936" s="40" t="n">
        <f aca="false">IF($A936="",0,INT(($A936-Macrociclo!$C$11)/7)+1)</f>
        <v>0</v>
      </c>
      <c r="C936" s="27"/>
      <c r="D936" s="27"/>
      <c r="E936" s="28"/>
      <c r="F936" s="28"/>
      <c r="G936" s="44" t="n">
        <f aca="false">IF(OR($E936="",$F936=""),0,$E936*$F936)</f>
        <v>0</v>
      </c>
      <c r="H936" s="44" t="n">
        <f aca="false">IF($A936="",0,SUMIFS($G$8:$G$1007,$C$8:$C$1007,$C936,$A$8:$A$1007,"&gt;="&amp;$A936-6,$A$8:$A$1007,"&lt;="&amp;$A936))</f>
        <v>0</v>
      </c>
      <c r="I936" s="44" t="n">
        <f aca="false">IF($A936="",0,SUMIFS($G$8:$G$1007,$C$8:$C$1007,$C936,$A$8:$A$1007,"&gt;="&amp;$A936-27,$A$8:$A$1007,"&lt;="&amp;$A936)/4)</f>
        <v>0</v>
      </c>
      <c r="J936" s="144" t="n">
        <f aca="false">IF(OR($A936="",$I936=0),0,$H936/$I936)</f>
        <v>0</v>
      </c>
      <c r="K936" s="40" t="n">
        <f aca="false">IF($A936="",0,$A936-SUMPRODUCT(MIN(($C$8:$C$1007=$C936)*$A$8:$A$1007+($C$8:$C$1007&lt;&gt;$C936)*100000))+1)</f>
        <v>0</v>
      </c>
      <c r="L936" s="26" t="str">
        <f aca="false">IF($A936="","",IF($J936=0,"Sem registro anterior",IF($K936&lt;21,"Histórico insuficiente",IF($J936&lt;0.8,"Subcarga",IF($J936&lt;=1.3,"Zona ideal",IF($J936&lt;=1.5,"Atenção","Risco elevado"))))))</f>
        <v/>
      </c>
      <c r="M936" s="27"/>
    </row>
    <row r="937" customFormat="false" ht="15" hidden="false" customHeight="false" outlineLevel="0" collapsed="false">
      <c r="A937" s="29"/>
      <c r="B937" s="40" t="n">
        <f aca="false">IF($A937="",0,INT(($A937-Macrociclo!$C$11)/7)+1)</f>
        <v>0</v>
      </c>
      <c r="C937" s="27"/>
      <c r="D937" s="27"/>
      <c r="E937" s="28"/>
      <c r="F937" s="28"/>
      <c r="G937" s="44" t="n">
        <f aca="false">IF(OR($E937="",$F937=""),0,$E937*$F937)</f>
        <v>0</v>
      </c>
      <c r="H937" s="44" t="n">
        <f aca="false">IF($A937="",0,SUMIFS($G$8:$G$1007,$C$8:$C$1007,$C937,$A$8:$A$1007,"&gt;="&amp;$A937-6,$A$8:$A$1007,"&lt;="&amp;$A937))</f>
        <v>0</v>
      </c>
      <c r="I937" s="44" t="n">
        <f aca="false">IF($A937="",0,SUMIFS($G$8:$G$1007,$C$8:$C$1007,$C937,$A$8:$A$1007,"&gt;="&amp;$A937-27,$A$8:$A$1007,"&lt;="&amp;$A937)/4)</f>
        <v>0</v>
      </c>
      <c r="J937" s="144" t="n">
        <f aca="false">IF(OR($A937="",$I937=0),0,$H937/$I937)</f>
        <v>0</v>
      </c>
      <c r="K937" s="40" t="n">
        <f aca="false">IF($A937="",0,$A937-SUMPRODUCT(MIN(($C$8:$C$1007=$C937)*$A$8:$A$1007+($C$8:$C$1007&lt;&gt;$C937)*100000))+1)</f>
        <v>0</v>
      </c>
      <c r="L937" s="26" t="str">
        <f aca="false">IF($A937="","",IF($J937=0,"Sem registro anterior",IF($K937&lt;21,"Histórico insuficiente",IF($J937&lt;0.8,"Subcarga",IF($J937&lt;=1.3,"Zona ideal",IF($J937&lt;=1.5,"Atenção","Risco elevado"))))))</f>
        <v/>
      </c>
      <c r="M937" s="27"/>
    </row>
    <row r="938" customFormat="false" ht="15" hidden="false" customHeight="false" outlineLevel="0" collapsed="false">
      <c r="A938" s="29"/>
      <c r="B938" s="40" t="n">
        <f aca="false">IF($A938="",0,INT(($A938-Macrociclo!$C$11)/7)+1)</f>
        <v>0</v>
      </c>
      <c r="C938" s="27"/>
      <c r="D938" s="27"/>
      <c r="E938" s="28"/>
      <c r="F938" s="28"/>
      <c r="G938" s="44" t="n">
        <f aca="false">IF(OR($E938="",$F938=""),0,$E938*$F938)</f>
        <v>0</v>
      </c>
      <c r="H938" s="44" t="n">
        <f aca="false">IF($A938="",0,SUMIFS($G$8:$G$1007,$C$8:$C$1007,$C938,$A$8:$A$1007,"&gt;="&amp;$A938-6,$A$8:$A$1007,"&lt;="&amp;$A938))</f>
        <v>0</v>
      </c>
      <c r="I938" s="44" t="n">
        <f aca="false">IF($A938="",0,SUMIFS($G$8:$G$1007,$C$8:$C$1007,$C938,$A$8:$A$1007,"&gt;="&amp;$A938-27,$A$8:$A$1007,"&lt;="&amp;$A938)/4)</f>
        <v>0</v>
      </c>
      <c r="J938" s="144" t="n">
        <f aca="false">IF(OR($A938="",$I938=0),0,$H938/$I938)</f>
        <v>0</v>
      </c>
      <c r="K938" s="40" t="n">
        <f aca="false">IF($A938="",0,$A938-SUMPRODUCT(MIN(($C$8:$C$1007=$C938)*$A$8:$A$1007+($C$8:$C$1007&lt;&gt;$C938)*100000))+1)</f>
        <v>0</v>
      </c>
      <c r="L938" s="26" t="str">
        <f aca="false">IF($A938="","",IF($J938=0,"Sem registro anterior",IF($K938&lt;21,"Histórico insuficiente",IF($J938&lt;0.8,"Subcarga",IF($J938&lt;=1.3,"Zona ideal",IF($J938&lt;=1.5,"Atenção","Risco elevado"))))))</f>
        <v/>
      </c>
      <c r="M938" s="27"/>
    </row>
    <row r="939" customFormat="false" ht="15" hidden="false" customHeight="false" outlineLevel="0" collapsed="false">
      <c r="A939" s="29"/>
      <c r="B939" s="40" t="n">
        <f aca="false">IF($A939="",0,INT(($A939-Macrociclo!$C$11)/7)+1)</f>
        <v>0</v>
      </c>
      <c r="C939" s="27"/>
      <c r="D939" s="27"/>
      <c r="E939" s="28"/>
      <c r="F939" s="28"/>
      <c r="G939" s="44" t="n">
        <f aca="false">IF(OR($E939="",$F939=""),0,$E939*$F939)</f>
        <v>0</v>
      </c>
      <c r="H939" s="44" t="n">
        <f aca="false">IF($A939="",0,SUMIFS($G$8:$G$1007,$C$8:$C$1007,$C939,$A$8:$A$1007,"&gt;="&amp;$A939-6,$A$8:$A$1007,"&lt;="&amp;$A939))</f>
        <v>0</v>
      </c>
      <c r="I939" s="44" t="n">
        <f aca="false">IF($A939="",0,SUMIFS($G$8:$G$1007,$C$8:$C$1007,$C939,$A$8:$A$1007,"&gt;="&amp;$A939-27,$A$8:$A$1007,"&lt;="&amp;$A939)/4)</f>
        <v>0</v>
      </c>
      <c r="J939" s="144" t="n">
        <f aca="false">IF(OR($A939="",$I939=0),0,$H939/$I939)</f>
        <v>0</v>
      </c>
      <c r="K939" s="40" t="n">
        <f aca="false">IF($A939="",0,$A939-SUMPRODUCT(MIN(($C$8:$C$1007=$C939)*$A$8:$A$1007+($C$8:$C$1007&lt;&gt;$C939)*100000))+1)</f>
        <v>0</v>
      </c>
      <c r="L939" s="26" t="str">
        <f aca="false">IF($A939="","",IF($J939=0,"Sem registro anterior",IF($K939&lt;21,"Histórico insuficiente",IF($J939&lt;0.8,"Subcarga",IF($J939&lt;=1.3,"Zona ideal",IF($J939&lt;=1.5,"Atenção","Risco elevado"))))))</f>
        <v/>
      </c>
      <c r="M939" s="27"/>
    </row>
    <row r="940" customFormat="false" ht="15" hidden="false" customHeight="false" outlineLevel="0" collapsed="false">
      <c r="A940" s="29"/>
      <c r="B940" s="40" t="n">
        <f aca="false">IF($A940="",0,INT(($A940-Macrociclo!$C$11)/7)+1)</f>
        <v>0</v>
      </c>
      <c r="C940" s="27"/>
      <c r="D940" s="27"/>
      <c r="E940" s="28"/>
      <c r="F940" s="28"/>
      <c r="G940" s="44" t="n">
        <f aca="false">IF(OR($E940="",$F940=""),0,$E940*$F940)</f>
        <v>0</v>
      </c>
      <c r="H940" s="44" t="n">
        <f aca="false">IF($A940="",0,SUMIFS($G$8:$G$1007,$C$8:$C$1007,$C940,$A$8:$A$1007,"&gt;="&amp;$A940-6,$A$8:$A$1007,"&lt;="&amp;$A940))</f>
        <v>0</v>
      </c>
      <c r="I940" s="44" t="n">
        <f aca="false">IF($A940="",0,SUMIFS($G$8:$G$1007,$C$8:$C$1007,$C940,$A$8:$A$1007,"&gt;="&amp;$A940-27,$A$8:$A$1007,"&lt;="&amp;$A940)/4)</f>
        <v>0</v>
      </c>
      <c r="J940" s="144" t="n">
        <f aca="false">IF(OR($A940="",$I940=0),0,$H940/$I940)</f>
        <v>0</v>
      </c>
      <c r="K940" s="40" t="n">
        <f aca="false">IF($A940="",0,$A940-SUMPRODUCT(MIN(($C$8:$C$1007=$C940)*$A$8:$A$1007+($C$8:$C$1007&lt;&gt;$C940)*100000))+1)</f>
        <v>0</v>
      </c>
      <c r="L940" s="26" t="str">
        <f aca="false">IF($A940="","",IF($J940=0,"Sem registro anterior",IF($K940&lt;21,"Histórico insuficiente",IF($J940&lt;0.8,"Subcarga",IF($J940&lt;=1.3,"Zona ideal",IF($J940&lt;=1.5,"Atenção","Risco elevado"))))))</f>
        <v/>
      </c>
      <c r="M940" s="27"/>
    </row>
    <row r="941" customFormat="false" ht="15" hidden="false" customHeight="false" outlineLevel="0" collapsed="false">
      <c r="A941" s="29"/>
      <c r="B941" s="40" t="n">
        <f aca="false">IF($A941="",0,INT(($A941-Macrociclo!$C$11)/7)+1)</f>
        <v>0</v>
      </c>
      <c r="C941" s="27"/>
      <c r="D941" s="27"/>
      <c r="E941" s="28"/>
      <c r="F941" s="28"/>
      <c r="G941" s="44" t="n">
        <f aca="false">IF(OR($E941="",$F941=""),0,$E941*$F941)</f>
        <v>0</v>
      </c>
      <c r="H941" s="44" t="n">
        <f aca="false">IF($A941="",0,SUMIFS($G$8:$G$1007,$C$8:$C$1007,$C941,$A$8:$A$1007,"&gt;="&amp;$A941-6,$A$8:$A$1007,"&lt;="&amp;$A941))</f>
        <v>0</v>
      </c>
      <c r="I941" s="44" t="n">
        <f aca="false">IF($A941="",0,SUMIFS($G$8:$G$1007,$C$8:$C$1007,$C941,$A$8:$A$1007,"&gt;="&amp;$A941-27,$A$8:$A$1007,"&lt;="&amp;$A941)/4)</f>
        <v>0</v>
      </c>
      <c r="J941" s="144" t="n">
        <f aca="false">IF(OR($A941="",$I941=0),0,$H941/$I941)</f>
        <v>0</v>
      </c>
      <c r="K941" s="40" t="n">
        <f aca="false">IF($A941="",0,$A941-SUMPRODUCT(MIN(($C$8:$C$1007=$C941)*$A$8:$A$1007+($C$8:$C$1007&lt;&gt;$C941)*100000))+1)</f>
        <v>0</v>
      </c>
      <c r="L941" s="26" t="str">
        <f aca="false">IF($A941="","",IF($J941=0,"Sem registro anterior",IF($K941&lt;21,"Histórico insuficiente",IF($J941&lt;0.8,"Subcarga",IF($J941&lt;=1.3,"Zona ideal",IF($J941&lt;=1.5,"Atenção","Risco elevado"))))))</f>
        <v/>
      </c>
      <c r="M941" s="27"/>
    </row>
    <row r="942" customFormat="false" ht="15" hidden="false" customHeight="false" outlineLevel="0" collapsed="false">
      <c r="A942" s="29"/>
      <c r="B942" s="40" t="n">
        <f aca="false">IF($A942="",0,INT(($A942-Macrociclo!$C$11)/7)+1)</f>
        <v>0</v>
      </c>
      <c r="C942" s="27"/>
      <c r="D942" s="27"/>
      <c r="E942" s="28"/>
      <c r="F942" s="28"/>
      <c r="G942" s="44" t="n">
        <f aca="false">IF(OR($E942="",$F942=""),0,$E942*$F942)</f>
        <v>0</v>
      </c>
      <c r="H942" s="44" t="n">
        <f aca="false">IF($A942="",0,SUMIFS($G$8:$G$1007,$C$8:$C$1007,$C942,$A$8:$A$1007,"&gt;="&amp;$A942-6,$A$8:$A$1007,"&lt;="&amp;$A942))</f>
        <v>0</v>
      </c>
      <c r="I942" s="44" t="n">
        <f aca="false">IF($A942="",0,SUMIFS($G$8:$G$1007,$C$8:$C$1007,$C942,$A$8:$A$1007,"&gt;="&amp;$A942-27,$A$8:$A$1007,"&lt;="&amp;$A942)/4)</f>
        <v>0</v>
      </c>
      <c r="J942" s="144" t="n">
        <f aca="false">IF(OR($A942="",$I942=0),0,$H942/$I942)</f>
        <v>0</v>
      </c>
      <c r="K942" s="40" t="n">
        <f aca="false">IF($A942="",0,$A942-SUMPRODUCT(MIN(($C$8:$C$1007=$C942)*$A$8:$A$1007+($C$8:$C$1007&lt;&gt;$C942)*100000))+1)</f>
        <v>0</v>
      </c>
      <c r="L942" s="26" t="str">
        <f aca="false">IF($A942="","",IF($J942=0,"Sem registro anterior",IF($K942&lt;21,"Histórico insuficiente",IF($J942&lt;0.8,"Subcarga",IF($J942&lt;=1.3,"Zona ideal",IF($J942&lt;=1.5,"Atenção","Risco elevado"))))))</f>
        <v/>
      </c>
      <c r="M942" s="27"/>
    </row>
    <row r="943" customFormat="false" ht="15" hidden="false" customHeight="false" outlineLevel="0" collapsed="false">
      <c r="A943" s="29"/>
      <c r="B943" s="40" t="n">
        <f aca="false">IF($A943="",0,INT(($A943-Macrociclo!$C$11)/7)+1)</f>
        <v>0</v>
      </c>
      <c r="C943" s="27"/>
      <c r="D943" s="27"/>
      <c r="E943" s="28"/>
      <c r="F943" s="28"/>
      <c r="G943" s="44" t="n">
        <f aca="false">IF(OR($E943="",$F943=""),0,$E943*$F943)</f>
        <v>0</v>
      </c>
      <c r="H943" s="44" t="n">
        <f aca="false">IF($A943="",0,SUMIFS($G$8:$G$1007,$C$8:$C$1007,$C943,$A$8:$A$1007,"&gt;="&amp;$A943-6,$A$8:$A$1007,"&lt;="&amp;$A943))</f>
        <v>0</v>
      </c>
      <c r="I943" s="44" t="n">
        <f aca="false">IF($A943="",0,SUMIFS($G$8:$G$1007,$C$8:$C$1007,$C943,$A$8:$A$1007,"&gt;="&amp;$A943-27,$A$8:$A$1007,"&lt;="&amp;$A943)/4)</f>
        <v>0</v>
      </c>
      <c r="J943" s="144" t="n">
        <f aca="false">IF(OR($A943="",$I943=0),0,$H943/$I943)</f>
        <v>0</v>
      </c>
      <c r="K943" s="40" t="n">
        <f aca="false">IF($A943="",0,$A943-SUMPRODUCT(MIN(($C$8:$C$1007=$C943)*$A$8:$A$1007+($C$8:$C$1007&lt;&gt;$C943)*100000))+1)</f>
        <v>0</v>
      </c>
      <c r="L943" s="26" t="str">
        <f aca="false">IF($A943="","",IF($J943=0,"Sem registro anterior",IF($K943&lt;21,"Histórico insuficiente",IF($J943&lt;0.8,"Subcarga",IF($J943&lt;=1.3,"Zona ideal",IF($J943&lt;=1.5,"Atenção","Risco elevado"))))))</f>
        <v/>
      </c>
      <c r="M943" s="27"/>
    </row>
    <row r="944" customFormat="false" ht="15" hidden="false" customHeight="false" outlineLevel="0" collapsed="false">
      <c r="A944" s="29"/>
      <c r="B944" s="40" t="n">
        <f aca="false">IF($A944="",0,INT(($A944-Macrociclo!$C$11)/7)+1)</f>
        <v>0</v>
      </c>
      <c r="C944" s="27"/>
      <c r="D944" s="27"/>
      <c r="E944" s="28"/>
      <c r="F944" s="28"/>
      <c r="G944" s="44" t="n">
        <f aca="false">IF(OR($E944="",$F944=""),0,$E944*$F944)</f>
        <v>0</v>
      </c>
      <c r="H944" s="44" t="n">
        <f aca="false">IF($A944="",0,SUMIFS($G$8:$G$1007,$C$8:$C$1007,$C944,$A$8:$A$1007,"&gt;="&amp;$A944-6,$A$8:$A$1007,"&lt;="&amp;$A944))</f>
        <v>0</v>
      </c>
      <c r="I944" s="44" t="n">
        <f aca="false">IF($A944="",0,SUMIFS($G$8:$G$1007,$C$8:$C$1007,$C944,$A$8:$A$1007,"&gt;="&amp;$A944-27,$A$8:$A$1007,"&lt;="&amp;$A944)/4)</f>
        <v>0</v>
      </c>
      <c r="J944" s="144" t="n">
        <f aca="false">IF(OR($A944="",$I944=0),0,$H944/$I944)</f>
        <v>0</v>
      </c>
      <c r="K944" s="40" t="n">
        <f aca="false">IF($A944="",0,$A944-SUMPRODUCT(MIN(($C$8:$C$1007=$C944)*$A$8:$A$1007+($C$8:$C$1007&lt;&gt;$C944)*100000))+1)</f>
        <v>0</v>
      </c>
      <c r="L944" s="26" t="str">
        <f aca="false">IF($A944="","",IF($J944=0,"Sem registro anterior",IF($K944&lt;21,"Histórico insuficiente",IF($J944&lt;0.8,"Subcarga",IF($J944&lt;=1.3,"Zona ideal",IF($J944&lt;=1.5,"Atenção","Risco elevado"))))))</f>
        <v/>
      </c>
      <c r="M944" s="27"/>
    </row>
    <row r="945" customFormat="false" ht="15" hidden="false" customHeight="false" outlineLevel="0" collapsed="false">
      <c r="A945" s="29"/>
      <c r="B945" s="40" t="n">
        <f aca="false">IF($A945="",0,INT(($A945-Macrociclo!$C$11)/7)+1)</f>
        <v>0</v>
      </c>
      <c r="C945" s="27"/>
      <c r="D945" s="27"/>
      <c r="E945" s="28"/>
      <c r="F945" s="28"/>
      <c r="G945" s="44" t="n">
        <f aca="false">IF(OR($E945="",$F945=""),0,$E945*$F945)</f>
        <v>0</v>
      </c>
      <c r="H945" s="44" t="n">
        <f aca="false">IF($A945="",0,SUMIFS($G$8:$G$1007,$C$8:$C$1007,$C945,$A$8:$A$1007,"&gt;="&amp;$A945-6,$A$8:$A$1007,"&lt;="&amp;$A945))</f>
        <v>0</v>
      </c>
      <c r="I945" s="44" t="n">
        <f aca="false">IF($A945="",0,SUMIFS($G$8:$G$1007,$C$8:$C$1007,$C945,$A$8:$A$1007,"&gt;="&amp;$A945-27,$A$8:$A$1007,"&lt;="&amp;$A945)/4)</f>
        <v>0</v>
      </c>
      <c r="J945" s="144" t="n">
        <f aca="false">IF(OR($A945="",$I945=0),0,$H945/$I945)</f>
        <v>0</v>
      </c>
      <c r="K945" s="40" t="n">
        <f aca="false">IF($A945="",0,$A945-SUMPRODUCT(MIN(($C$8:$C$1007=$C945)*$A$8:$A$1007+($C$8:$C$1007&lt;&gt;$C945)*100000))+1)</f>
        <v>0</v>
      </c>
      <c r="L945" s="26" t="str">
        <f aca="false">IF($A945="","",IF($J945=0,"Sem registro anterior",IF($K945&lt;21,"Histórico insuficiente",IF($J945&lt;0.8,"Subcarga",IF($J945&lt;=1.3,"Zona ideal",IF($J945&lt;=1.5,"Atenção","Risco elevado"))))))</f>
        <v/>
      </c>
      <c r="M945" s="27"/>
    </row>
    <row r="946" customFormat="false" ht="15" hidden="false" customHeight="false" outlineLevel="0" collapsed="false">
      <c r="A946" s="29"/>
      <c r="B946" s="40" t="n">
        <f aca="false">IF($A946="",0,INT(($A946-Macrociclo!$C$11)/7)+1)</f>
        <v>0</v>
      </c>
      <c r="C946" s="27"/>
      <c r="D946" s="27"/>
      <c r="E946" s="28"/>
      <c r="F946" s="28"/>
      <c r="G946" s="44" t="n">
        <f aca="false">IF(OR($E946="",$F946=""),0,$E946*$F946)</f>
        <v>0</v>
      </c>
      <c r="H946" s="44" t="n">
        <f aca="false">IF($A946="",0,SUMIFS($G$8:$G$1007,$C$8:$C$1007,$C946,$A$8:$A$1007,"&gt;="&amp;$A946-6,$A$8:$A$1007,"&lt;="&amp;$A946))</f>
        <v>0</v>
      </c>
      <c r="I946" s="44" t="n">
        <f aca="false">IF($A946="",0,SUMIFS($G$8:$G$1007,$C$8:$C$1007,$C946,$A$8:$A$1007,"&gt;="&amp;$A946-27,$A$8:$A$1007,"&lt;="&amp;$A946)/4)</f>
        <v>0</v>
      </c>
      <c r="J946" s="144" t="n">
        <f aca="false">IF(OR($A946="",$I946=0),0,$H946/$I946)</f>
        <v>0</v>
      </c>
      <c r="K946" s="40" t="n">
        <f aca="false">IF($A946="",0,$A946-SUMPRODUCT(MIN(($C$8:$C$1007=$C946)*$A$8:$A$1007+($C$8:$C$1007&lt;&gt;$C946)*100000))+1)</f>
        <v>0</v>
      </c>
      <c r="L946" s="26" t="str">
        <f aca="false">IF($A946="","",IF($J946=0,"Sem registro anterior",IF($K946&lt;21,"Histórico insuficiente",IF($J946&lt;0.8,"Subcarga",IF($J946&lt;=1.3,"Zona ideal",IF($J946&lt;=1.5,"Atenção","Risco elevado"))))))</f>
        <v/>
      </c>
      <c r="M946" s="27"/>
    </row>
    <row r="947" customFormat="false" ht="15" hidden="false" customHeight="false" outlineLevel="0" collapsed="false">
      <c r="A947" s="29"/>
      <c r="B947" s="40" t="n">
        <f aca="false">IF($A947="",0,INT(($A947-Macrociclo!$C$11)/7)+1)</f>
        <v>0</v>
      </c>
      <c r="C947" s="27"/>
      <c r="D947" s="27"/>
      <c r="E947" s="28"/>
      <c r="F947" s="28"/>
      <c r="G947" s="44" t="n">
        <f aca="false">IF(OR($E947="",$F947=""),0,$E947*$F947)</f>
        <v>0</v>
      </c>
      <c r="H947" s="44" t="n">
        <f aca="false">IF($A947="",0,SUMIFS($G$8:$G$1007,$C$8:$C$1007,$C947,$A$8:$A$1007,"&gt;="&amp;$A947-6,$A$8:$A$1007,"&lt;="&amp;$A947))</f>
        <v>0</v>
      </c>
      <c r="I947" s="44" t="n">
        <f aca="false">IF($A947="",0,SUMIFS($G$8:$G$1007,$C$8:$C$1007,$C947,$A$8:$A$1007,"&gt;="&amp;$A947-27,$A$8:$A$1007,"&lt;="&amp;$A947)/4)</f>
        <v>0</v>
      </c>
      <c r="J947" s="144" t="n">
        <f aca="false">IF(OR($A947="",$I947=0),0,$H947/$I947)</f>
        <v>0</v>
      </c>
      <c r="K947" s="40" t="n">
        <f aca="false">IF($A947="",0,$A947-SUMPRODUCT(MIN(($C$8:$C$1007=$C947)*$A$8:$A$1007+($C$8:$C$1007&lt;&gt;$C947)*100000))+1)</f>
        <v>0</v>
      </c>
      <c r="L947" s="26" t="str">
        <f aca="false">IF($A947="","",IF($J947=0,"Sem registro anterior",IF($K947&lt;21,"Histórico insuficiente",IF($J947&lt;0.8,"Subcarga",IF($J947&lt;=1.3,"Zona ideal",IF($J947&lt;=1.5,"Atenção","Risco elevado"))))))</f>
        <v/>
      </c>
      <c r="M947" s="27"/>
    </row>
    <row r="948" customFormat="false" ht="15" hidden="false" customHeight="false" outlineLevel="0" collapsed="false">
      <c r="A948" s="29"/>
      <c r="B948" s="40" t="n">
        <f aca="false">IF($A948="",0,INT(($A948-Macrociclo!$C$11)/7)+1)</f>
        <v>0</v>
      </c>
      <c r="C948" s="27"/>
      <c r="D948" s="27"/>
      <c r="E948" s="28"/>
      <c r="F948" s="28"/>
      <c r="G948" s="44" t="n">
        <f aca="false">IF(OR($E948="",$F948=""),0,$E948*$F948)</f>
        <v>0</v>
      </c>
      <c r="H948" s="44" t="n">
        <f aca="false">IF($A948="",0,SUMIFS($G$8:$G$1007,$C$8:$C$1007,$C948,$A$8:$A$1007,"&gt;="&amp;$A948-6,$A$8:$A$1007,"&lt;="&amp;$A948))</f>
        <v>0</v>
      </c>
      <c r="I948" s="44" t="n">
        <f aca="false">IF($A948="",0,SUMIFS($G$8:$G$1007,$C$8:$C$1007,$C948,$A$8:$A$1007,"&gt;="&amp;$A948-27,$A$8:$A$1007,"&lt;="&amp;$A948)/4)</f>
        <v>0</v>
      </c>
      <c r="J948" s="144" t="n">
        <f aca="false">IF(OR($A948="",$I948=0),0,$H948/$I948)</f>
        <v>0</v>
      </c>
      <c r="K948" s="40" t="n">
        <f aca="false">IF($A948="",0,$A948-SUMPRODUCT(MIN(($C$8:$C$1007=$C948)*$A$8:$A$1007+($C$8:$C$1007&lt;&gt;$C948)*100000))+1)</f>
        <v>0</v>
      </c>
      <c r="L948" s="26" t="str">
        <f aca="false">IF($A948="","",IF($J948=0,"Sem registro anterior",IF($K948&lt;21,"Histórico insuficiente",IF($J948&lt;0.8,"Subcarga",IF($J948&lt;=1.3,"Zona ideal",IF($J948&lt;=1.5,"Atenção","Risco elevado"))))))</f>
        <v/>
      </c>
      <c r="M948" s="27"/>
    </row>
    <row r="949" customFormat="false" ht="15" hidden="false" customHeight="false" outlineLevel="0" collapsed="false">
      <c r="A949" s="29"/>
      <c r="B949" s="40" t="n">
        <f aca="false">IF($A949="",0,INT(($A949-Macrociclo!$C$11)/7)+1)</f>
        <v>0</v>
      </c>
      <c r="C949" s="27"/>
      <c r="D949" s="27"/>
      <c r="E949" s="28"/>
      <c r="F949" s="28"/>
      <c r="G949" s="44" t="n">
        <f aca="false">IF(OR($E949="",$F949=""),0,$E949*$F949)</f>
        <v>0</v>
      </c>
      <c r="H949" s="44" t="n">
        <f aca="false">IF($A949="",0,SUMIFS($G$8:$G$1007,$C$8:$C$1007,$C949,$A$8:$A$1007,"&gt;="&amp;$A949-6,$A$8:$A$1007,"&lt;="&amp;$A949))</f>
        <v>0</v>
      </c>
      <c r="I949" s="44" t="n">
        <f aca="false">IF($A949="",0,SUMIFS($G$8:$G$1007,$C$8:$C$1007,$C949,$A$8:$A$1007,"&gt;="&amp;$A949-27,$A$8:$A$1007,"&lt;="&amp;$A949)/4)</f>
        <v>0</v>
      </c>
      <c r="J949" s="144" t="n">
        <f aca="false">IF(OR($A949="",$I949=0),0,$H949/$I949)</f>
        <v>0</v>
      </c>
      <c r="K949" s="40" t="n">
        <f aca="false">IF($A949="",0,$A949-SUMPRODUCT(MIN(($C$8:$C$1007=$C949)*$A$8:$A$1007+($C$8:$C$1007&lt;&gt;$C949)*100000))+1)</f>
        <v>0</v>
      </c>
      <c r="L949" s="26" t="str">
        <f aca="false">IF($A949="","",IF($J949=0,"Sem registro anterior",IF($K949&lt;21,"Histórico insuficiente",IF($J949&lt;0.8,"Subcarga",IF($J949&lt;=1.3,"Zona ideal",IF($J949&lt;=1.5,"Atenção","Risco elevado"))))))</f>
        <v/>
      </c>
      <c r="M949" s="27"/>
    </row>
    <row r="950" customFormat="false" ht="15" hidden="false" customHeight="false" outlineLevel="0" collapsed="false">
      <c r="A950" s="29"/>
      <c r="B950" s="40" t="n">
        <f aca="false">IF($A950="",0,INT(($A950-Macrociclo!$C$11)/7)+1)</f>
        <v>0</v>
      </c>
      <c r="C950" s="27"/>
      <c r="D950" s="27"/>
      <c r="E950" s="28"/>
      <c r="F950" s="28"/>
      <c r="G950" s="44" t="n">
        <f aca="false">IF(OR($E950="",$F950=""),0,$E950*$F950)</f>
        <v>0</v>
      </c>
      <c r="H950" s="44" t="n">
        <f aca="false">IF($A950="",0,SUMIFS($G$8:$G$1007,$C$8:$C$1007,$C950,$A$8:$A$1007,"&gt;="&amp;$A950-6,$A$8:$A$1007,"&lt;="&amp;$A950))</f>
        <v>0</v>
      </c>
      <c r="I950" s="44" t="n">
        <f aca="false">IF($A950="",0,SUMIFS($G$8:$G$1007,$C$8:$C$1007,$C950,$A$8:$A$1007,"&gt;="&amp;$A950-27,$A$8:$A$1007,"&lt;="&amp;$A950)/4)</f>
        <v>0</v>
      </c>
      <c r="J950" s="144" t="n">
        <f aca="false">IF(OR($A950="",$I950=0),0,$H950/$I950)</f>
        <v>0</v>
      </c>
      <c r="K950" s="40" t="n">
        <f aca="false">IF($A950="",0,$A950-SUMPRODUCT(MIN(($C$8:$C$1007=$C950)*$A$8:$A$1007+($C$8:$C$1007&lt;&gt;$C950)*100000))+1)</f>
        <v>0</v>
      </c>
      <c r="L950" s="26" t="str">
        <f aca="false">IF($A950="","",IF($J950=0,"Sem registro anterior",IF($K950&lt;21,"Histórico insuficiente",IF($J950&lt;0.8,"Subcarga",IF($J950&lt;=1.3,"Zona ideal",IF($J950&lt;=1.5,"Atenção","Risco elevado"))))))</f>
        <v/>
      </c>
      <c r="M950" s="27"/>
    </row>
    <row r="951" customFormat="false" ht="15" hidden="false" customHeight="false" outlineLevel="0" collapsed="false">
      <c r="A951" s="29"/>
      <c r="B951" s="40" t="n">
        <f aca="false">IF($A951="",0,INT(($A951-Macrociclo!$C$11)/7)+1)</f>
        <v>0</v>
      </c>
      <c r="C951" s="27"/>
      <c r="D951" s="27"/>
      <c r="E951" s="28"/>
      <c r="F951" s="28"/>
      <c r="G951" s="44" t="n">
        <f aca="false">IF(OR($E951="",$F951=""),0,$E951*$F951)</f>
        <v>0</v>
      </c>
      <c r="H951" s="44" t="n">
        <f aca="false">IF($A951="",0,SUMIFS($G$8:$G$1007,$C$8:$C$1007,$C951,$A$8:$A$1007,"&gt;="&amp;$A951-6,$A$8:$A$1007,"&lt;="&amp;$A951))</f>
        <v>0</v>
      </c>
      <c r="I951" s="44" t="n">
        <f aca="false">IF($A951="",0,SUMIFS($G$8:$G$1007,$C$8:$C$1007,$C951,$A$8:$A$1007,"&gt;="&amp;$A951-27,$A$8:$A$1007,"&lt;="&amp;$A951)/4)</f>
        <v>0</v>
      </c>
      <c r="J951" s="144" t="n">
        <f aca="false">IF(OR($A951="",$I951=0),0,$H951/$I951)</f>
        <v>0</v>
      </c>
      <c r="K951" s="40" t="n">
        <f aca="false">IF($A951="",0,$A951-SUMPRODUCT(MIN(($C$8:$C$1007=$C951)*$A$8:$A$1007+($C$8:$C$1007&lt;&gt;$C951)*100000))+1)</f>
        <v>0</v>
      </c>
      <c r="L951" s="26" t="str">
        <f aca="false">IF($A951="","",IF($J951=0,"Sem registro anterior",IF($K951&lt;21,"Histórico insuficiente",IF($J951&lt;0.8,"Subcarga",IF($J951&lt;=1.3,"Zona ideal",IF($J951&lt;=1.5,"Atenção","Risco elevado"))))))</f>
        <v/>
      </c>
      <c r="M951" s="27"/>
    </row>
    <row r="952" customFormat="false" ht="15" hidden="false" customHeight="false" outlineLevel="0" collapsed="false">
      <c r="A952" s="29"/>
      <c r="B952" s="40" t="n">
        <f aca="false">IF($A952="",0,INT(($A952-Macrociclo!$C$11)/7)+1)</f>
        <v>0</v>
      </c>
      <c r="C952" s="27"/>
      <c r="D952" s="27"/>
      <c r="E952" s="28"/>
      <c r="F952" s="28"/>
      <c r="G952" s="44" t="n">
        <f aca="false">IF(OR($E952="",$F952=""),0,$E952*$F952)</f>
        <v>0</v>
      </c>
      <c r="H952" s="44" t="n">
        <f aca="false">IF($A952="",0,SUMIFS($G$8:$G$1007,$C$8:$C$1007,$C952,$A$8:$A$1007,"&gt;="&amp;$A952-6,$A$8:$A$1007,"&lt;="&amp;$A952))</f>
        <v>0</v>
      </c>
      <c r="I952" s="44" t="n">
        <f aca="false">IF($A952="",0,SUMIFS($G$8:$G$1007,$C$8:$C$1007,$C952,$A$8:$A$1007,"&gt;="&amp;$A952-27,$A$8:$A$1007,"&lt;="&amp;$A952)/4)</f>
        <v>0</v>
      </c>
      <c r="J952" s="144" t="n">
        <f aca="false">IF(OR($A952="",$I952=0),0,$H952/$I952)</f>
        <v>0</v>
      </c>
      <c r="K952" s="40" t="n">
        <f aca="false">IF($A952="",0,$A952-SUMPRODUCT(MIN(($C$8:$C$1007=$C952)*$A$8:$A$1007+($C$8:$C$1007&lt;&gt;$C952)*100000))+1)</f>
        <v>0</v>
      </c>
      <c r="L952" s="26" t="str">
        <f aca="false">IF($A952="","",IF($J952=0,"Sem registro anterior",IF($K952&lt;21,"Histórico insuficiente",IF($J952&lt;0.8,"Subcarga",IF($J952&lt;=1.3,"Zona ideal",IF($J952&lt;=1.5,"Atenção","Risco elevado"))))))</f>
        <v/>
      </c>
      <c r="M952" s="27"/>
    </row>
    <row r="953" customFormat="false" ht="15" hidden="false" customHeight="false" outlineLevel="0" collapsed="false">
      <c r="A953" s="29"/>
      <c r="B953" s="40" t="n">
        <f aca="false">IF($A953="",0,INT(($A953-Macrociclo!$C$11)/7)+1)</f>
        <v>0</v>
      </c>
      <c r="C953" s="27"/>
      <c r="D953" s="27"/>
      <c r="E953" s="28"/>
      <c r="F953" s="28"/>
      <c r="G953" s="44" t="n">
        <f aca="false">IF(OR($E953="",$F953=""),0,$E953*$F953)</f>
        <v>0</v>
      </c>
      <c r="H953" s="44" t="n">
        <f aca="false">IF($A953="",0,SUMIFS($G$8:$G$1007,$C$8:$C$1007,$C953,$A$8:$A$1007,"&gt;="&amp;$A953-6,$A$8:$A$1007,"&lt;="&amp;$A953))</f>
        <v>0</v>
      </c>
      <c r="I953" s="44" t="n">
        <f aca="false">IF($A953="",0,SUMIFS($G$8:$G$1007,$C$8:$C$1007,$C953,$A$8:$A$1007,"&gt;="&amp;$A953-27,$A$8:$A$1007,"&lt;="&amp;$A953)/4)</f>
        <v>0</v>
      </c>
      <c r="J953" s="144" t="n">
        <f aca="false">IF(OR($A953="",$I953=0),0,$H953/$I953)</f>
        <v>0</v>
      </c>
      <c r="K953" s="40" t="n">
        <f aca="false">IF($A953="",0,$A953-SUMPRODUCT(MIN(($C$8:$C$1007=$C953)*$A$8:$A$1007+($C$8:$C$1007&lt;&gt;$C953)*100000))+1)</f>
        <v>0</v>
      </c>
      <c r="L953" s="26" t="str">
        <f aca="false">IF($A953="","",IF($J953=0,"Sem registro anterior",IF($K953&lt;21,"Histórico insuficiente",IF($J953&lt;0.8,"Subcarga",IF($J953&lt;=1.3,"Zona ideal",IF($J953&lt;=1.5,"Atenção","Risco elevado"))))))</f>
        <v/>
      </c>
      <c r="M953" s="27"/>
    </row>
    <row r="954" customFormat="false" ht="15" hidden="false" customHeight="false" outlineLevel="0" collapsed="false">
      <c r="A954" s="29"/>
      <c r="B954" s="40" t="n">
        <f aca="false">IF($A954="",0,INT(($A954-Macrociclo!$C$11)/7)+1)</f>
        <v>0</v>
      </c>
      <c r="C954" s="27"/>
      <c r="D954" s="27"/>
      <c r="E954" s="28"/>
      <c r="F954" s="28"/>
      <c r="G954" s="44" t="n">
        <f aca="false">IF(OR($E954="",$F954=""),0,$E954*$F954)</f>
        <v>0</v>
      </c>
      <c r="H954" s="44" t="n">
        <f aca="false">IF($A954="",0,SUMIFS($G$8:$G$1007,$C$8:$C$1007,$C954,$A$8:$A$1007,"&gt;="&amp;$A954-6,$A$8:$A$1007,"&lt;="&amp;$A954))</f>
        <v>0</v>
      </c>
      <c r="I954" s="44" t="n">
        <f aca="false">IF($A954="",0,SUMIFS($G$8:$G$1007,$C$8:$C$1007,$C954,$A$8:$A$1007,"&gt;="&amp;$A954-27,$A$8:$A$1007,"&lt;="&amp;$A954)/4)</f>
        <v>0</v>
      </c>
      <c r="J954" s="144" t="n">
        <f aca="false">IF(OR($A954="",$I954=0),0,$H954/$I954)</f>
        <v>0</v>
      </c>
      <c r="K954" s="40" t="n">
        <f aca="false">IF($A954="",0,$A954-SUMPRODUCT(MIN(($C$8:$C$1007=$C954)*$A$8:$A$1007+($C$8:$C$1007&lt;&gt;$C954)*100000))+1)</f>
        <v>0</v>
      </c>
      <c r="L954" s="26" t="str">
        <f aca="false">IF($A954="","",IF($J954=0,"Sem registro anterior",IF($K954&lt;21,"Histórico insuficiente",IF($J954&lt;0.8,"Subcarga",IF($J954&lt;=1.3,"Zona ideal",IF($J954&lt;=1.5,"Atenção","Risco elevado"))))))</f>
        <v/>
      </c>
      <c r="M954" s="27"/>
    </row>
    <row r="955" customFormat="false" ht="15" hidden="false" customHeight="false" outlineLevel="0" collapsed="false">
      <c r="A955" s="29"/>
      <c r="B955" s="40" t="n">
        <f aca="false">IF($A955="",0,INT(($A955-Macrociclo!$C$11)/7)+1)</f>
        <v>0</v>
      </c>
      <c r="C955" s="27"/>
      <c r="D955" s="27"/>
      <c r="E955" s="28"/>
      <c r="F955" s="28"/>
      <c r="G955" s="44" t="n">
        <f aca="false">IF(OR($E955="",$F955=""),0,$E955*$F955)</f>
        <v>0</v>
      </c>
      <c r="H955" s="44" t="n">
        <f aca="false">IF($A955="",0,SUMIFS($G$8:$G$1007,$C$8:$C$1007,$C955,$A$8:$A$1007,"&gt;="&amp;$A955-6,$A$8:$A$1007,"&lt;="&amp;$A955))</f>
        <v>0</v>
      </c>
      <c r="I955" s="44" t="n">
        <f aca="false">IF($A955="",0,SUMIFS($G$8:$G$1007,$C$8:$C$1007,$C955,$A$8:$A$1007,"&gt;="&amp;$A955-27,$A$8:$A$1007,"&lt;="&amp;$A955)/4)</f>
        <v>0</v>
      </c>
      <c r="J955" s="144" t="n">
        <f aca="false">IF(OR($A955="",$I955=0),0,$H955/$I955)</f>
        <v>0</v>
      </c>
      <c r="K955" s="40" t="n">
        <f aca="false">IF($A955="",0,$A955-SUMPRODUCT(MIN(($C$8:$C$1007=$C955)*$A$8:$A$1007+($C$8:$C$1007&lt;&gt;$C955)*100000))+1)</f>
        <v>0</v>
      </c>
      <c r="L955" s="26" t="str">
        <f aca="false">IF($A955="","",IF($J955=0,"Sem registro anterior",IF($K955&lt;21,"Histórico insuficiente",IF($J955&lt;0.8,"Subcarga",IF($J955&lt;=1.3,"Zona ideal",IF($J955&lt;=1.5,"Atenção","Risco elevado"))))))</f>
        <v/>
      </c>
      <c r="M955" s="27"/>
    </row>
    <row r="956" customFormat="false" ht="15" hidden="false" customHeight="false" outlineLevel="0" collapsed="false">
      <c r="A956" s="29"/>
      <c r="B956" s="40" t="n">
        <f aca="false">IF($A956="",0,INT(($A956-Macrociclo!$C$11)/7)+1)</f>
        <v>0</v>
      </c>
      <c r="C956" s="27"/>
      <c r="D956" s="27"/>
      <c r="E956" s="28"/>
      <c r="F956" s="28"/>
      <c r="G956" s="44" t="n">
        <f aca="false">IF(OR($E956="",$F956=""),0,$E956*$F956)</f>
        <v>0</v>
      </c>
      <c r="H956" s="44" t="n">
        <f aca="false">IF($A956="",0,SUMIFS($G$8:$G$1007,$C$8:$C$1007,$C956,$A$8:$A$1007,"&gt;="&amp;$A956-6,$A$8:$A$1007,"&lt;="&amp;$A956))</f>
        <v>0</v>
      </c>
      <c r="I956" s="44" t="n">
        <f aca="false">IF($A956="",0,SUMIFS($G$8:$G$1007,$C$8:$C$1007,$C956,$A$8:$A$1007,"&gt;="&amp;$A956-27,$A$8:$A$1007,"&lt;="&amp;$A956)/4)</f>
        <v>0</v>
      </c>
      <c r="J956" s="144" t="n">
        <f aca="false">IF(OR($A956="",$I956=0),0,$H956/$I956)</f>
        <v>0</v>
      </c>
      <c r="K956" s="40" t="n">
        <f aca="false">IF($A956="",0,$A956-SUMPRODUCT(MIN(($C$8:$C$1007=$C956)*$A$8:$A$1007+($C$8:$C$1007&lt;&gt;$C956)*100000))+1)</f>
        <v>0</v>
      </c>
      <c r="L956" s="26" t="str">
        <f aca="false">IF($A956="","",IF($J956=0,"Sem registro anterior",IF($K956&lt;21,"Histórico insuficiente",IF($J956&lt;0.8,"Subcarga",IF($J956&lt;=1.3,"Zona ideal",IF($J956&lt;=1.5,"Atenção","Risco elevado"))))))</f>
        <v/>
      </c>
      <c r="M956" s="27"/>
    </row>
    <row r="957" customFormat="false" ht="15" hidden="false" customHeight="false" outlineLevel="0" collapsed="false">
      <c r="A957" s="29"/>
      <c r="B957" s="40" t="n">
        <f aca="false">IF($A957="",0,INT(($A957-Macrociclo!$C$11)/7)+1)</f>
        <v>0</v>
      </c>
      <c r="C957" s="27"/>
      <c r="D957" s="27"/>
      <c r="E957" s="28"/>
      <c r="F957" s="28"/>
      <c r="G957" s="44" t="n">
        <f aca="false">IF(OR($E957="",$F957=""),0,$E957*$F957)</f>
        <v>0</v>
      </c>
      <c r="H957" s="44" t="n">
        <f aca="false">IF($A957="",0,SUMIFS($G$8:$G$1007,$C$8:$C$1007,$C957,$A$8:$A$1007,"&gt;="&amp;$A957-6,$A$8:$A$1007,"&lt;="&amp;$A957))</f>
        <v>0</v>
      </c>
      <c r="I957" s="44" t="n">
        <f aca="false">IF($A957="",0,SUMIFS($G$8:$G$1007,$C$8:$C$1007,$C957,$A$8:$A$1007,"&gt;="&amp;$A957-27,$A$8:$A$1007,"&lt;="&amp;$A957)/4)</f>
        <v>0</v>
      </c>
      <c r="J957" s="144" t="n">
        <f aca="false">IF(OR($A957="",$I957=0),0,$H957/$I957)</f>
        <v>0</v>
      </c>
      <c r="K957" s="40" t="n">
        <f aca="false">IF($A957="",0,$A957-SUMPRODUCT(MIN(($C$8:$C$1007=$C957)*$A$8:$A$1007+($C$8:$C$1007&lt;&gt;$C957)*100000))+1)</f>
        <v>0</v>
      </c>
      <c r="L957" s="26" t="str">
        <f aca="false">IF($A957="","",IF($J957=0,"Sem registro anterior",IF($K957&lt;21,"Histórico insuficiente",IF($J957&lt;0.8,"Subcarga",IF($J957&lt;=1.3,"Zona ideal",IF($J957&lt;=1.5,"Atenção","Risco elevado"))))))</f>
        <v/>
      </c>
      <c r="M957" s="27"/>
    </row>
    <row r="958" customFormat="false" ht="15" hidden="false" customHeight="false" outlineLevel="0" collapsed="false">
      <c r="A958" s="29"/>
      <c r="B958" s="40" t="n">
        <f aca="false">IF($A958="",0,INT(($A958-Macrociclo!$C$11)/7)+1)</f>
        <v>0</v>
      </c>
      <c r="C958" s="27"/>
      <c r="D958" s="27"/>
      <c r="E958" s="28"/>
      <c r="F958" s="28"/>
      <c r="G958" s="44" t="n">
        <f aca="false">IF(OR($E958="",$F958=""),0,$E958*$F958)</f>
        <v>0</v>
      </c>
      <c r="H958" s="44" t="n">
        <f aca="false">IF($A958="",0,SUMIFS($G$8:$G$1007,$C$8:$C$1007,$C958,$A$8:$A$1007,"&gt;="&amp;$A958-6,$A$8:$A$1007,"&lt;="&amp;$A958))</f>
        <v>0</v>
      </c>
      <c r="I958" s="44" t="n">
        <f aca="false">IF($A958="",0,SUMIFS($G$8:$G$1007,$C$8:$C$1007,$C958,$A$8:$A$1007,"&gt;="&amp;$A958-27,$A$8:$A$1007,"&lt;="&amp;$A958)/4)</f>
        <v>0</v>
      </c>
      <c r="J958" s="144" t="n">
        <f aca="false">IF(OR($A958="",$I958=0),0,$H958/$I958)</f>
        <v>0</v>
      </c>
      <c r="K958" s="40" t="n">
        <f aca="false">IF($A958="",0,$A958-SUMPRODUCT(MIN(($C$8:$C$1007=$C958)*$A$8:$A$1007+($C$8:$C$1007&lt;&gt;$C958)*100000))+1)</f>
        <v>0</v>
      </c>
      <c r="L958" s="26" t="str">
        <f aca="false">IF($A958="","",IF($J958=0,"Sem registro anterior",IF($K958&lt;21,"Histórico insuficiente",IF($J958&lt;0.8,"Subcarga",IF($J958&lt;=1.3,"Zona ideal",IF($J958&lt;=1.5,"Atenção","Risco elevado"))))))</f>
        <v/>
      </c>
      <c r="M958" s="27"/>
    </row>
    <row r="959" customFormat="false" ht="15" hidden="false" customHeight="false" outlineLevel="0" collapsed="false">
      <c r="A959" s="29"/>
      <c r="B959" s="40" t="n">
        <f aca="false">IF($A959="",0,INT(($A959-Macrociclo!$C$11)/7)+1)</f>
        <v>0</v>
      </c>
      <c r="C959" s="27"/>
      <c r="D959" s="27"/>
      <c r="E959" s="28"/>
      <c r="F959" s="28"/>
      <c r="G959" s="44" t="n">
        <f aca="false">IF(OR($E959="",$F959=""),0,$E959*$F959)</f>
        <v>0</v>
      </c>
      <c r="H959" s="44" t="n">
        <f aca="false">IF($A959="",0,SUMIFS($G$8:$G$1007,$C$8:$C$1007,$C959,$A$8:$A$1007,"&gt;="&amp;$A959-6,$A$8:$A$1007,"&lt;="&amp;$A959))</f>
        <v>0</v>
      </c>
      <c r="I959" s="44" t="n">
        <f aca="false">IF($A959="",0,SUMIFS($G$8:$G$1007,$C$8:$C$1007,$C959,$A$8:$A$1007,"&gt;="&amp;$A959-27,$A$8:$A$1007,"&lt;="&amp;$A959)/4)</f>
        <v>0</v>
      </c>
      <c r="J959" s="144" t="n">
        <f aca="false">IF(OR($A959="",$I959=0),0,$H959/$I959)</f>
        <v>0</v>
      </c>
      <c r="K959" s="40" t="n">
        <f aca="false">IF($A959="",0,$A959-SUMPRODUCT(MIN(($C$8:$C$1007=$C959)*$A$8:$A$1007+($C$8:$C$1007&lt;&gt;$C959)*100000))+1)</f>
        <v>0</v>
      </c>
      <c r="L959" s="26" t="str">
        <f aca="false">IF($A959="","",IF($J959=0,"Sem registro anterior",IF($K959&lt;21,"Histórico insuficiente",IF($J959&lt;0.8,"Subcarga",IF($J959&lt;=1.3,"Zona ideal",IF($J959&lt;=1.5,"Atenção","Risco elevado"))))))</f>
        <v/>
      </c>
      <c r="M959" s="27"/>
    </row>
    <row r="960" customFormat="false" ht="15" hidden="false" customHeight="false" outlineLevel="0" collapsed="false">
      <c r="A960" s="29"/>
      <c r="B960" s="40" t="n">
        <f aca="false">IF($A960="",0,INT(($A960-Macrociclo!$C$11)/7)+1)</f>
        <v>0</v>
      </c>
      <c r="C960" s="27"/>
      <c r="D960" s="27"/>
      <c r="E960" s="28"/>
      <c r="F960" s="28"/>
      <c r="G960" s="44" t="n">
        <f aca="false">IF(OR($E960="",$F960=""),0,$E960*$F960)</f>
        <v>0</v>
      </c>
      <c r="H960" s="44" t="n">
        <f aca="false">IF($A960="",0,SUMIFS($G$8:$G$1007,$C$8:$C$1007,$C960,$A$8:$A$1007,"&gt;="&amp;$A960-6,$A$8:$A$1007,"&lt;="&amp;$A960))</f>
        <v>0</v>
      </c>
      <c r="I960" s="44" t="n">
        <f aca="false">IF($A960="",0,SUMIFS($G$8:$G$1007,$C$8:$C$1007,$C960,$A$8:$A$1007,"&gt;="&amp;$A960-27,$A$8:$A$1007,"&lt;="&amp;$A960)/4)</f>
        <v>0</v>
      </c>
      <c r="J960" s="144" t="n">
        <f aca="false">IF(OR($A960="",$I960=0),0,$H960/$I960)</f>
        <v>0</v>
      </c>
      <c r="K960" s="40" t="n">
        <f aca="false">IF($A960="",0,$A960-SUMPRODUCT(MIN(($C$8:$C$1007=$C960)*$A$8:$A$1007+($C$8:$C$1007&lt;&gt;$C960)*100000))+1)</f>
        <v>0</v>
      </c>
      <c r="L960" s="26" t="str">
        <f aca="false">IF($A960="","",IF($J960=0,"Sem registro anterior",IF($K960&lt;21,"Histórico insuficiente",IF($J960&lt;0.8,"Subcarga",IF($J960&lt;=1.3,"Zona ideal",IF($J960&lt;=1.5,"Atenção","Risco elevado"))))))</f>
        <v/>
      </c>
      <c r="M960" s="27"/>
    </row>
    <row r="961" customFormat="false" ht="15" hidden="false" customHeight="false" outlineLevel="0" collapsed="false">
      <c r="A961" s="29"/>
      <c r="B961" s="40" t="n">
        <f aca="false">IF($A961="",0,INT(($A961-Macrociclo!$C$11)/7)+1)</f>
        <v>0</v>
      </c>
      <c r="C961" s="27"/>
      <c r="D961" s="27"/>
      <c r="E961" s="28"/>
      <c r="F961" s="28"/>
      <c r="G961" s="44" t="n">
        <f aca="false">IF(OR($E961="",$F961=""),0,$E961*$F961)</f>
        <v>0</v>
      </c>
      <c r="H961" s="44" t="n">
        <f aca="false">IF($A961="",0,SUMIFS($G$8:$G$1007,$C$8:$C$1007,$C961,$A$8:$A$1007,"&gt;="&amp;$A961-6,$A$8:$A$1007,"&lt;="&amp;$A961))</f>
        <v>0</v>
      </c>
      <c r="I961" s="44" t="n">
        <f aca="false">IF($A961="",0,SUMIFS($G$8:$G$1007,$C$8:$C$1007,$C961,$A$8:$A$1007,"&gt;="&amp;$A961-27,$A$8:$A$1007,"&lt;="&amp;$A961)/4)</f>
        <v>0</v>
      </c>
      <c r="J961" s="144" t="n">
        <f aca="false">IF(OR($A961="",$I961=0),0,$H961/$I961)</f>
        <v>0</v>
      </c>
      <c r="K961" s="40" t="n">
        <f aca="false">IF($A961="",0,$A961-SUMPRODUCT(MIN(($C$8:$C$1007=$C961)*$A$8:$A$1007+($C$8:$C$1007&lt;&gt;$C961)*100000))+1)</f>
        <v>0</v>
      </c>
      <c r="L961" s="26" t="str">
        <f aca="false">IF($A961="","",IF($J961=0,"Sem registro anterior",IF($K961&lt;21,"Histórico insuficiente",IF($J961&lt;0.8,"Subcarga",IF($J961&lt;=1.3,"Zona ideal",IF($J961&lt;=1.5,"Atenção","Risco elevado"))))))</f>
        <v/>
      </c>
      <c r="M961" s="27"/>
    </row>
    <row r="962" customFormat="false" ht="15" hidden="false" customHeight="false" outlineLevel="0" collapsed="false">
      <c r="A962" s="29"/>
      <c r="B962" s="40" t="n">
        <f aca="false">IF($A962="",0,INT(($A962-Macrociclo!$C$11)/7)+1)</f>
        <v>0</v>
      </c>
      <c r="C962" s="27"/>
      <c r="D962" s="27"/>
      <c r="E962" s="28"/>
      <c r="F962" s="28"/>
      <c r="G962" s="44" t="n">
        <f aca="false">IF(OR($E962="",$F962=""),0,$E962*$F962)</f>
        <v>0</v>
      </c>
      <c r="H962" s="44" t="n">
        <f aca="false">IF($A962="",0,SUMIFS($G$8:$G$1007,$C$8:$C$1007,$C962,$A$8:$A$1007,"&gt;="&amp;$A962-6,$A$8:$A$1007,"&lt;="&amp;$A962))</f>
        <v>0</v>
      </c>
      <c r="I962" s="44" t="n">
        <f aca="false">IF($A962="",0,SUMIFS($G$8:$G$1007,$C$8:$C$1007,$C962,$A$8:$A$1007,"&gt;="&amp;$A962-27,$A$8:$A$1007,"&lt;="&amp;$A962)/4)</f>
        <v>0</v>
      </c>
      <c r="J962" s="144" t="n">
        <f aca="false">IF(OR($A962="",$I962=0),0,$H962/$I962)</f>
        <v>0</v>
      </c>
      <c r="K962" s="40" t="n">
        <f aca="false">IF($A962="",0,$A962-SUMPRODUCT(MIN(($C$8:$C$1007=$C962)*$A$8:$A$1007+($C$8:$C$1007&lt;&gt;$C962)*100000))+1)</f>
        <v>0</v>
      </c>
      <c r="L962" s="26" t="str">
        <f aca="false">IF($A962="","",IF($J962=0,"Sem registro anterior",IF($K962&lt;21,"Histórico insuficiente",IF($J962&lt;0.8,"Subcarga",IF($J962&lt;=1.3,"Zona ideal",IF($J962&lt;=1.5,"Atenção","Risco elevado"))))))</f>
        <v/>
      </c>
      <c r="M962" s="27"/>
    </row>
    <row r="963" customFormat="false" ht="15" hidden="false" customHeight="false" outlineLevel="0" collapsed="false">
      <c r="A963" s="29"/>
      <c r="B963" s="40" t="n">
        <f aca="false">IF($A963="",0,INT(($A963-Macrociclo!$C$11)/7)+1)</f>
        <v>0</v>
      </c>
      <c r="C963" s="27"/>
      <c r="D963" s="27"/>
      <c r="E963" s="28"/>
      <c r="F963" s="28"/>
      <c r="G963" s="44" t="n">
        <f aca="false">IF(OR($E963="",$F963=""),0,$E963*$F963)</f>
        <v>0</v>
      </c>
      <c r="H963" s="44" t="n">
        <f aca="false">IF($A963="",0,SUMIFS($G$8:$G$1007,$C$8:$C$1007,$C963,$A$8:$A$1007,"&gt;="&amp;$A963-6,$A$8:$A$1007,"&lt;="&amp;$A963))</f>
        <v>0</v>
      </c>
      <c r="I963" s="44" t="n">
        <f aca="false">IF($A963="",0,SUMIFS($G$8:$G$1007,$C$8:$C$1007,$C963,$A$8:$A$1007,"&gt;="&amp;$A963-27,$A$8:$A$1007,"&lt;="&amp;$A963)/4)</f>
        <v>0</v>
      </c>
      <c r="J963" s="144" t="n">
        <f aca="false">IF(OR($A963="",$I963=0),0,$H963/$I963)</f>
        <v>0</v>
      </c>
      <c r="K963" s="40" t="n">
        <f aca="false">IF($A963="",0,$A963-SUMPRODUCT(MIN(($C$8:$C$1007=$C963)*$A$8:$A$1007+($C$8:$C$1007&lt;&gt;$C963)*100000))+1)</f>
        <v>0</v>
      </c>
      <c r="L963" s="26" t="str">
        <f aca="false">IF($A963="","",IF($J963=0,"Sem registro anterior",IF($K963&lt;21,"Histórico insuficiente",IF($J963&lt;0.8,"Subcarga",IF($J963&lt;=1.3,"Zona ideal",IF($J963&lt;=1.5,"Atenção","Risco elevado"))))))</f>
        <v/>
      </c>
      <c r="M963" s="27"/>
    </row>
    <row r="964" customFormat="false" ht="15" hidden="false" customHeight="false" outlineLevel="0" collapsed="false">
      <c r="A964" s="29"/>
      <c r="B964" s="40" t="n">
        <f aca="false">IF($A964="",0,INT(($A964-Macrociclo!$C$11)/7)+1)</f>
        <v>0</v>
      </c>
      <c r="C964" s="27"/>
      <c r="D964" s="27"/>
      <c r="E964" s="28"/>
      <c r="F964" s="28"/>
      <c r="G964" s="44" t="n">
        <f aca="false">IF(OR($E964="",$F964=""),0,$E964*$F964)</f>
        <v>0</v>
      </c>
      <c r="H964" s="44" t="n">
        <f aca="false">IF($A964="",0,SUMIFS($G$8:$G$1007,$C$8:$C$1007,$C964,$A$8:$A$1007,"&gt;="&amp;$A964-6,$A$8:$A$1007,"&lt;="&amp;$A964))</f>
        <v>0</v>
      </c>
      <c r="I964" s="44" t="n">
        <f aca="false">IF($A964="",0,SUMIFS($G$8:$G$1007,$C$8:$C$1007,$C964,$A$8:$A$1007,"&gt;="&amp;$A964-27,$A$8:$A$1007,"&lt;="&amp;$A964)/4)</f>
        <v>0</v>
      </c>
      <c r="J964" s="144" t="n">
        <f aca="false">IF(OR($A964="",$I964=0),0,$H964/$I964)</f>
        <v>0</v>
      </c>
      <c r="K964" s="40" t="n">
        <f aca="false">IF($A964="",0,$A964-SUMPRODUCT(MIN(($C$8:$C$1007=$C964)*$A$8:$A$1007+($C$8:$C$1007&lt;&gt;$C964)*100000))+1)</f>
        <v>0</v>
      </c>
      <c r="L964" s="26" t="str">
        <f aca="false">IF($A964="","",IF($J964=0,"Sem registro anterior",IF($K964&lt;21,"Histórico insuficiente",IF($J964&lt;0.8,"Subcarga",IF($J964&lt;=1.3,"Zona ideal",IF($J964&lt;=1.5,"Atenção","Risco elevado"))))))</f>
        <v/>
      </c>
      <c r="M964" s="27"/>
    </row>
    <row r="965" customFormat="false" ht="15" hidden="false" customHeight="false" outlineLevel="0" collapsed="false">
      <c r="A965" s="29"/>
      <c r="B965" s="40" t="n">
        <f aca="false">IF($A965="",0,INT(($A965-Macrociclo!$C$11)/7)+1)</f>
        <v>0</v>
      </c>
      <c r="C965" s="27"/>
      <c r="D965" s="27"/>
      <c r="E965" s="28"/>
      <c r="F965" s="28"/>
      <c r="G965" s="44" t="n">
        <f aca="false">IF(OR($E965="",$F965=""),0,$E965*$F965)</f>
        <v>0</v>
      </c>
      <c r="H965" s="44" t="n">
        <f aca="false">IF($A965="",0,SUMIFS($G$8:$G$1007,$C$8:$C$1007,$C965,$A$8:$A$1007,"&gt;="&amp;$A965-6,$A$8:$A$1007,"&lt;="&amp;$A965))</f>
        <v>0</v>
      </c>
      <c r="I965" s="44" t="n">
        <f aca="false">IF($A965="",0,SUMIFS($G$8:$G$1007,$C$8:$C$1007,$C965,$A$8:$A$1007,"&gt;="&amp;$A965-27,$A$8:$A$1007,"&lt;="&amp;$A965)/4)</f>
        <v>0</v>
      </c>
      <c r="J965" s="144" t="n">
        <f aca="false">IF(OR($A965="",$I965=0),0,$H965/$I965)</f>
        <v>0</v>
      </c>
      <c r="K965" s="40" t="n">
        <f aca="false">IF($A965="",0,$A965-SUMPRODUCT(MIN(($C$8:$C$1007=$C965)*$A$8:$A$1007+($C$8:$C$1007&lt;&gt;$C965)*100000))+1)</f>
        <v>0</v>
      </c>
      <c r="L965" s="26" t="str">
        <f aca="false">IF($A965="","",IF($J965=0,"Sem registro anterior",IF($K965&lt;21,"Histórico insuficiente",IF($J965&lt;0.8,"Subcarga",IF($J965&lt;=1.3,"Zona ideal",IF($J965&lt;=1.5,"Atenção","Risco elevado"))))))</f>
        <v/>
      </c>
      <c r="M965" s="27"/>
    </row>
    <row r="966" customFormat="false" ht="15" hidden="false" customHeight="false" outlineLevel="0" collapsed="false">
      <c r="A966" s="29"/>
      <c r="B966" s="40" t="n">
        <f aca="false">IF($A966="",0,INT(($A966-Macrociclo!$C$11)/7)+1)</f>
        <v>0</v>
      </c>
      <c r="C966" s="27"/>
      <c r="D966" s="27"/>
      <c r="E966" s="28"/>
      <c r="F966" s="28"/>
      <c r="G966" s="44" t="n">
        <f aca="false">IF(OR($E966="",$F966=""),0,$E966*$F966)</f>
        <v>0</v>
      </c>
      <c r="H966" s="44" t="n">
        <f aca="false">IF($A966="",0,SUMIFS($G$8:$G$1007,$C$8:$C$1007,$C966,$A$8:$A$1007,"&gt;="&amp;$A966-6,$A$8:$A$1007,"&lt;="&amp;$A966))</f>
        <v>0</v>
      </c>
      <c r="I966" s="44" t="n">
        <f aca="false">IF($A966="",0,SUMIFS($G$8:$G$1007,$C$8:$C$1007,$C966,$A$8:$A$1007,"&gt;="&amp;$A966-27,$A$8:$A$1007,"&lt;="&amp;$A966)/4)</f>
        <v>0</v>
      </c>
      <c r="J966" s="144" t="n">
        <f aca="false">IF(OR($A966="",$I966=0),0,$H966/$I966)</f>
        <v>0</v>
      </c>
      <c r="K966" s="40" t="n">
        <f aca="false">IF($A966="",0,$A966-SUMPRODUCT(MIN(($C$8:$C$1007=$C966)*$A$8:$A$1007+($C$8:$C$1007&lt;&gt;$C966)*100000))+1)</f>
        <v>0</v>
      </c>
      <c r="L966" s="26" t="str">
        <f aca="false">IF($A966="","",IF($J966=0,"Sem registro anterior",IF($K966&lt;21,"Histórico insuficiente",IF($J966&lt;0.8,"Subcarga",IF($J966&lt;=1.3,"Zona ideal",IF($J966&lt;=1.5,"Atenção","Risco elevado"))))))</f>
        <v/>
      </c>
      <c r="M966" s="27"/>
    </row>
    <row r="967" customFormat="false" ht="15" hidden="false" customHeight="false" outlineLevel="0" collapsed="false">
      <c r="A967" s="29"/>
      <c r="B967" s="40" t="n">
        <f aca="false">IF($A967="",0,INT(($A967-Macrociclo!$C$11)/7)+1)</f>
        <v>0</v>
      </c>
      <c r="C967" s="27"/>
      <c r="D967" s="27"/>
      <c r="E967" s="28"/>
      <c r="F967" s="28"/>
      <c r="G967" s="44" t="n">
        <f aca="false">IF(OR($E967="",$F967=""),0,$E967*$F967)</f>
        <v>0</v>
      </c>
      <c r="H967" s="44" t="n">
        <f aca="false">IF($A967="",0,SUMIFS($G$8:$G$1007,$C$8:$C$1007,$C967,$A$8:$A$1007,"&gt;="&amp;$A967-6,$A$8:$A$1007,"&lt;="&amp;$A967))</f>
        <v>0</v>
      </c>
      <c r="I967" s="44" t="n">
        <f aca="false">IF($A967="",0,SUMIFS($G$8:$G$1007,$C$8:$C$1007,$C967,$A$8:$A$1007,"&gt;="&amp;$A967-27,$A$8:$A$1007,"&lt;="&amp;$A967)/4)</f>
        <v>0</v>
      </c>
      <c r="J967" s="144" t="n">
        <f aca="false">IF(OR($A967="",$I967=0),0,$H967/$I967)</f>
        <v>0</v>
      </c>
      <c r="K967" s="40" t="n">
        <f aca="false">IF($A967="",0,$A967-SUMPRODUCT(MIN(($C$8:$C$1007=$C967)*$A$8:$A$1007+($C$8:$C$1007&lt;&gt;$C967)*100000))+1)</f>
        <v>0</v>
      </c>
      <c r="L967" s="26" t="str">
        <f aca="false">IF($A967="","",IF($J967=0,"Sem registro anterior",IF($K967&lt;21,"Histórico insuficiente",IF($J967&lt;0.8,"Subcarga",IF($J967&lt;=1.3,"Zona ideal",IF($J967&lt;=1.5,"Atenção","Risco elevado"))))))</f>
        <v/>
      </c>
      <c r="M967" s="27"/>
    </row>
    <row r="968" customFormat="false" ht="15" hidden="false" customHeight="false" outlineLevel="0" collapsed="false">
      <c r="A968" s="29"/>
      <c r="B968" s="40" t="n">
        <f aca="false">IF($A968="",0,INT(($A968-Macrociclo!$C$11)/7)+1)</f>
        <v>0</v>
      </c>
      <c r="C968" s="27"/>
      <c r="D968" s="27"/>
      <c r="E968" s="28"/>
      <c r="F968" s="28"/>
      <c r="G968" s="44" t="n">
        <f aca="false">IF(OR($E968="",$F968=""),0,$E968*$F968)</f>
        <v>0</v>
      </c>
      <c r="H968" s="44" t="n">
        <f aca="false">IF($A968="",0,SUMIFS($G$8:$G$1007,$C$8:$C$1007,$C968,$A$8:$A$1007,"&gt;="&amp;$A968-6,$A$8:$A$1007,"&lt;="&amp;$A968))</f>
        <v>0</v>
      </c>
      <c r="I968" s="44" t="n">
        <f aca="false">IF($A968="",0,SUMIFS($G$8:$G$1007,$C$8:$C$1007,$C968,$A$8:$A$1007,"&gt;="&amp;$A968-27,$A$8:$A$1007,"&lt;="&amp;$A968)/4)</f>
        <v>0</v>
      </c>
      <c r="J968" s="144" t="n">
        <f aca="false">IF(OR($A968="",$I968=0),0,$H968/$I968)</f>
        <v>0</v>
      </c>
      <c r="K968" s="40" t="n">
        <f aca="false">IF($A968="",0,$A968-SUMPRODUCT(MIN(($C$8:$C$1007=$C968)*$A$8:$A$1007+($C$8:$C$1007&lt;&gt;$C968)*100000))+1)</f>
        <v>0</v>
      </c>
      <c r="L968" s="26" t="str">
        <f aca="false">IF($A968="","",IF($J968=0,"Sem registro anterior",IF($K968&lt;21,"Histórico insuficiente",IF($J968&lt;0.8,"Subcarga",IF($J968&lt;=1.3,"Zona ideal",IF($J968&lt;=1.5,"Atenção","Risco elevado"))))))</f>
        <v/>
      </c>
      <c r="M968" s="27"/>
    </row>
    <row r="969" customFormat="false" ht="15" hidden="false" customHeight="false" outlineLevel="0" collapsed="false">
      <c r="A969" s="29"/>
      <c r="B969" s="40" t="n">
        <f aca="false">IF($A969="",0,INT(($A969-Macrociclo!$C$11)/7)+1)</f>
        <v>0</v>
      </c>
      <c r="C969" s="27"/>
      <c r="D969" s="27"/>
      <c r="E969" s="28"/>
      <c r="F969" s="28"/>
      <c r="G969" s="44" t="n">
        <f aca="false">IF(OR($E969="",$F969=""),0,$E969*$F969)</f>
        <v>0</v>
      </c>
      <c r="H969" s="44" t="n">
        <f aca="false">IF($A969="",0,SUMIFS($G$8:$G$1007,$C$8:$C$1007,$C969,$A$8:$A$1007,"&gt;="&amp;$A969-6,$A$8:$A$1007,"&lt;="&amp;$A969))</f>
        <v>0</v>
      </c>
      <c r="I969" s="44" t="n">
        <f aca="false">IF($A969="",0,SUMIFS($G$8:$G$1007,$C$8:$C$1007,$C969,$A$8:$A$1007,"&gt;="&amp;$A969-27,$A$8:$A$1007,"&lt;="&amp;$A969)/4)</f>
        <v>0</v>
      </c>
      <c r="J969" s="144" t="n">
        <f aca="false">IF(OR($A969="",$I969=0),0,$H969/$I969)</f>
        <v>0</v>
      </c>
      <c r="K969" s="40" t="n">
        <f aca="false">IF($A969="",0,$A969-SUMPRODUCT(MIN(($C$8:$C$1007=$C969)*$A$8:$A$1007+($C$8:$C$1007&lt;&gt;$C969)*100000))+1)</f>
        <v>0</v>
      </c>
      <c r="L969" s="26" t="str">
        <f aca="false">IF($A969="","",IF($J969=0,"Sem registro anterior",IF($K969&lt;21,"Histórico insuficiente",IF($J969&lt;0.8,"Subcarga",IF($J969&lt;=1.3,"Zona ideal",IF($J969&lt;=1.5,"Atenção","Risco elevado"))))))</f>
        <v/>
      </c>
      <c r="M969" s="27"/>
    </row>
    <row r="970" customFormat="false" ht="15" hidden="false" customHeight="false" outlineLevel="0" collapsed="false">
      <c r="A970" s="29"/>
      <c r="B970" s="40" t="n">
        <f aca="false">IF($A970="",0,INT(($A970-Macrociclo!$C$11)/7)+1)</f>
        <v>0</v>
      </c>
      <c r="C970" s="27"/>
      <c r="D970" s="27"/>
      <c r="E970" s="28"/>
      <c r="F970" s="28"/>
      <c r="G970" s="44" t="n">
        <f aca="false">IF(OR($E970="",$F970=""),0,$E970*$F970)</f>
        <v>0</v>
      </c>
      <c r="H970" s="44" t="n">
        <f aca="false">IF($A970="",0,SUMIFS($G$8:$G$1007,$C$8:$C$1007,$C970,$A$8:$A$1007,"&gt;="&amp;$A970-6,$A$8:$A$1007,"&lt;="&amp;$A970))</f>
        <v>0</v>
      </c>
      <c r="I970" s="44" t="n">
        <f aca="false">IF($A970="",0,SUMIFS($G$8:$G$1007,$C$8:$C$1007,$C970,$A$8:$A$1007,"&gt;="&amp;$A970-27,$A$8:$A$1007,"&lt;="&amp;$A970)/4)</f>
        <v>0</v>
      </c>
      <c r="J970" s="144" t="n">
        <f aca="false">IF(OR($A970="",$I970=0),0,$H970/$I970)</f>
        <v>0</v>
      </c>
      <c r="K970" s="40" t="n">
        <f aca="false">IF($A970="",0,$A970-SUMPRODUCT(MIN(($C$8:$C$1007=$C970)*$A$8:$A$1007+($C$8:$C$1007&lt;&gt;$C970)*100000))+1)</f>
        <v>0</v>
      </c>
      <c r="L970" s="26" t="str">
        <f aca="false">IF($A970="","",IF($J970=0,"Sem registro anterior",IF($K970&lt;21,"Histórico insuficiente",IF($J970&lt;0.8,"Subcarga",IF($J970&lt;=1.3,"Zona ideal",IF($J970&lt;=1.5,"Atenção","Risco elevado"))))))</f>
        <v/>
      </c>
      <c r="M970" s="27"/>
    </row>
    <row r="971" customFormat="false" ht="15" hidden="false" customHeight="false" outlineLevel="0" collapsed="false">
      <c r="A971" s="29"/>
      <c r="B971" s="40" t="n">
        <f aca="false">IF($A971="",0,INT(($A971-Macrociclo!$C$11)/7)+1)</f>
        <v>0</v>
      </c>
      <c r="C971" s="27"/>
      <c r="D971" s="27"/>
      <c r="E971" s="28"/>
      <c r="F971" s="28"/>
      <c r="G971" s="44" t="n">
        <f aca="false">IF(OR($E971="",$F971=""),0,$E971*$F971)</f>
        <v>0</v>
      </c>
      <c r="H971" s="44" t="n">
        <f aca="false">IF($A971="",0,SUMIFS($G$8:$G$1007,$C$8:$C$1007,$C971,$A$8:$A$1007,"&gt;="&amp;$A971-6,$A$8:$A$1007,"&lt;="&amp;$A971))</f>
        <v>0</v>
      </c>
      <c r="I971" s="44" t="n">
        <f aca="false">IF($A971="",0,SUMIFS($G$8:$G$1007,$C$8:$C$1007,$C971,$A$8:$A$1007,"&gt;="&amp;$A971-27,$A$8:$A$1007,"&lt;="&amp;$A971)/4)</f>
        <v>0</v>
      </c>
      <c r="J971" s="144" t="n">
        <f aca="false">IF(OR($A971="",$I971=0),0,$H971/$I971)</f>
        <v>0</v>
      </c>
      <c r="K971" s="40" t="n">
        <f aca="false">IF($A971="",0,$A971-SUMPRODUCT(MIN(($C$8:$C$1007=$C971)*$A$8:$A$1007+($C$8:$C$1007&lt;&gt;$C971)*100000))+1)</f>
        <v>0</v>
      </c>
      <c r="L971" s="26" t="str">
        <f aca="false">IF($A971="","",IF($J971=0,"Sem registro anterior",IF($K971&lt;21,"Histórico insuficiente",IF($J971&lt;0.8,"Subcarga",IF($J971&lt;=1.3,"Zona ideal",IF($J971&lt;=1.5,"Atenção","Risco elevado"))))))</f>
        <v/>
      </c>
      <c r="M971" s="27"/>
    </row>
    <row r="972" customFormat="false" ht="15" hidden="false" customHeight="false" outlineLevel="0" collapsed="false">
      <c r="A972" s="29"/>
      <c r="B972" s="40" t="n">
        <f aca="false">IF($A972="",0,INT(($A972-Macrociclo!$C$11)/7)+1)</f>
        <v>0</v>
      </c>
      <c r="C972" s="27"/>
      <c r="D972" s="27"/>
      <c r="E972" s="28"/>
      <c r="F972" s="28"/>
      <c r="G972" s="44" t="n">
        <f aca="false">IF(OR($E972="",$F972=""),0,$E972*$F972)</f>
        <v>0</v>
      </c>
      <c r="H972" s="44" t="n">
        <f aca="false">IF($A972="",0,SUMIFS($G$8:$G$1007,$C$8:$C$1007,$C972,$A$8:$A$1007,"&gt;="&amp;$A972-6,$A$8:$A$1007,"&lt;="&amp;$A972))</f>
        <v>0</v>
      </c>
      <c r="I972" s="44" t="n">
        <f aca="false">IF($A972="",0,SUMIFS($G$8:$G$1007,$C$8:$C$1007,$C972,$A$8:$A$1007,"&gt;="&amp;$A972-27,$A$8:$A$1007,"&lt;="&amp;$A972)/4)</f>
        <v>0</v>
      </c>
      <c r="J972" s="144" t="n">
        <f aca="false">IF(OR($A972="",$I972=0),0,$H972/$I972)</f>
        <v>0</v>
      </c>
      <c r="K972" s="40" t="n">
        <f aca="false">IF($A972="",0,$A972-SUMPRODUCT(MIN(($C$8:$C$1007=$C972)*$A$8:$A$1007+($C$8:$C$1007&lt;&gt;$C972)*100000))+1)</f>
        <v>0</v>
      </c>
      <c r="L972" s="26" t="str">
        <f aca="false">IF($A972="","",IF($J972=0,"Sem registro anterior",IF($K972&lt;21,"Histórico insuficiente",IF($J972&lt;0.8,"Subcarga",IF($J972&lt;=1.3,"Zona ideal",IF($J972&lt;=1.5,"Atenção","Risco elevado"))))))</f>
        <v/>
      </c>
      <c r="M972" s="27"/>
    </row>
    <row r="973" customFormat="false" ht="15" hidden="false" customHeight="false" outlineLevel="0" collapsed="false">
      <c r="A973" s="29"/>
      <c r="B973" s="40" t="n">
        <f aca="false">IF($A973="",0,INT(($A973-Macrociclo!$C$11)/7)+1)</f>
        <v>0</v>
      </c>
      <c r="C973" s="27"/>
      <c r="D973" s="27"/>
      <c r="E973" s="28"/>
      <c r="F973" s="28"/>
      <c r="G973" s="44" t="n">
        <f aca="false">IF(OR($E973="",$F973=""),0,$E973*$F973)</f>
        <v>0</v>
      </c>
      <c r="H973" s="44" t="n">
        <f aca="false">IF($A973="",0,SUMIFS($G$8:$G$1007,$C$8:$C$1007,$C973,$A$8:$A$1007,"&gt;="&amp;$A973-6,$A$8:$A$1007,"&lt;="&amp;$A973))</f>
        <v>0</v>
      </c>
      <c r="I973" s="44" t="n">
        <f aca="false">IF($A973="",0,SUMIFS($G$8:$G$1007,$C$8:$C$1007,$C973,$A$8:$A$1007,"&gt;="&amp;$A973-27,$A$8:$A$1007,"&lt;="&amp;$A973)/4)</f>
        <v>0</v>
      </c>
      <c r="J973" s="144" t="n">
        <f aca="false">IF(OR($A973="",$I973=0),0,$H973/$I973)</f>
        <v>0</v>
      </c>
      <c r="K973" s="40" t="n">
        <f aca="false">IF($A973="",0,$A973-SUMPRODUCT(MIN(($C$8:$C$1007=$C973)*$A$8:$A$1007+($C$8:$C$1007&lt;&gt;$C973)*100000))+1)</f>
        <v>0</v>
      </c>
      <c r="L973" s="26" t="str">
        <f aca="false">IF($A973="","",IF($J973=0,"Sem registro anterior",IF($K973&lt;21,"Histórico insuficiente",IF($J973&lt;0.8,"Subcarga",IF($J973&lt;=1.3,"Zona ideal",IF($J973&lt;=1.5,"Atenção","Risco elevado"))))))</f>
        <v/>
      </c>
      <c r="M973" s="27"/>
    </row>
    <row r="974" customFormat="false" ht="15" hidden="false" customHeight="false" outlineLevel="0" collapsed="false">
      <c r="A974" s="29"/>
      <c r="B974" s="40" t="n">
        <f aca="false">IF($A974="",0,INT(($A974-Macrociclo!$C$11)/7)+1)</f>
        <v>0</v>
      </c>
      <c r="C974" s="27"/>
      <c r="D974" s="27"/>
      <c r="E974" s="28"/>
      <c r="F974" s="28"/>
      <c r="G974" s="44" t="n">
        <f aca="false">IF(OR($E974="",$F974=""),0,$E974*$F974)</f>
        <v>0</v>
      </c>
      <c r="H974" s="44" t="n">
        <f aca="false">IF($A974="",0,SUMIFS($G$8:$G$1007,$C$8:$C$1007,$C974,$A$8:$A$1007,"&gt;="&amp;$A974-6,$A$8:$A$1007,"&lt;="&amp;$A974))</f>
        <v>0</v>
      </c>
      <c r="I974" s="44" t="n">
        <f aca="false">IF($A974="",0,SUMIFS($G$8:$G$1007,$C$8:$C$1007,$C974,$A$8:$A$1007,"&gt;="&amp;$A974-27,$A$8:$A$1007,"&lt;="&amp;$A974)/4)</f>
        <v>0</v>
      </c>
      <c r="J974" s="144" t="n">
        <f aca="false">IF(OR($A974="",$I974=0),0,$H974/$I974)</f>
        <v>0</v>
      </c>
      <c r="K974" s="40" t="n">
        <f aca="false">IF($A974="",0,$A974-SUMPRODUCT(MIN(($C$8:$C$1007=$C974)*$A$8:$A$1007+($C$8:$C$1007&lt;&gt;$C974)*100000))+1)</f>
        <v>0</v>
      </c>
      <c r="L974" s="26" t="str">
        <f aca="false">IF($A974="","",IF($J974=0,"Sem registro anterior",IF($K974&lt;21,"Histórico insuficiente",IF($J974&lt;0.8,"Subcarga",IF($J974&lt;=1.3,"Zona ideal",IF($J974&lt;=1.5,"Atenção","Risco elevado"))))))</f>
        <v/>
      </c>
      <c r="M974" s="27"/>
    </row>
    <row r="975" customFormat="false" ht="15" hidden="false" customHeight="false" outlineLevel="0" collapsed="false">
      <c r="A975" s="29"/>
      <c r="B975" s="40" t="n">
        <f aca="false">IF($A975="",0,INT(($A975-Macrociclo!$C$11)/7)+1)</f>
        <v>0</v>
      </c>
      <c r="C975" s="27"/>
      <c r="D975" s="27"/>
      <c r="E975" s="28"/>
      <c r="F975" s="28"/>
      <c r="G975" s="44" t="n">
        <f aca="false">IF(OR($E975="",$F975=""),0,$E975*$F975)</f>
        <v>0</v>
      </c>
      <c r="H975" s="44" t="n">
        <f aca="false">IF($A975="",0,SUMIFS($G$8:$G$1007,$C$8:$C$1007,$C975,$A$8:$A$1007,"&gt;="&amp;$A975-6,$A$8:$A$1007,"&lt;="&amp;$A975))</f>
        <v>0</v>
      </c>
      <c r="I975" s="44" t="n">
        <f aca="false">IF($A975="",0,SUMIFS($G$8:$G$1007,$C$8:$C$1007,$C975,$A$8:$A$1007,"&gt;="&amp;$A975-27,$A$8:$A$1007,"&lt;="&amp;$A975)/4)</f>
        <v>0</v>
      </c>
      <c r="J975" s="144" t="n">
        <f aca="false">IF(OR($A975="",$I975=0),0,$H975/$I975)</f>
        <v>0</v>
      </c>
      <c r="K975" s="40" t="n">
        <f aca="false">IF($A975="",0,$A975-SUMPRODUCT(MIN(($C$8:$C$1007=$C975)*$A$8:$A$1007+($C$8:$C$1007&lt;&gt;$C975)*100000))+1)</f>
        <v>0</v>
      </c>
      <c r="L975" s="26" t="str">
        <f aca="false">IF($A975="","",IF($J975=0,"Sem registro anterior",IF($K975&lt;21,"Histórico insuficiente",IF($J975&lt;0.8,"Subcarga",IF($J975&lt;=1.3,"Zona ideal",IF($J975&lt;=1.5,"Atenção","Risco elevado"))))))</f>
        <v/>
      </c>
      <c r="M975" s="27"/>
    </row>
    <row r="976" customFormat="false" ht="15" hidden="false" customHeight="false" outlineLevel="0" collapsed="false">
      <c r="A976" s="29"/>
      <c r="B976" s="40" t="n">
        <f aca="false">IF($A976="",0,INT(($A976-Macrociclo!$C$11)/7)+1)</f>
        <v>0</v>
      </c>
      <c r="C976" s="27"/>
      <c r="D976" s="27"/>
      <c r="E976" s="28"/>
      <c r="F976" s="28"/>
      <c r="G976" s="44" t="n">
        <f aca="false">IF(OR($E976="",$F976=""),0,$E976*$F976)</f>
        <v>0</v>
      </c>
      <c r="H976" s="44" t="n">
        <f aca="false">IF($A976="",0,SUMIFS($G$8:$G$1007,$C$8:$C$1007,$C976,$A$8:$A$1007,"&gt;="&amp;$A976-6,$A$8:$A$1007,"&lt;="&amp;$A976))</f>
        <v>0</v>
      </c>
      <c r="I976" s="44" t="n">
        <f aca="false">IF($A976="",0,SUMIFS($G$8:$G$1007,$C$8:$C$1007,$C976,$A$8:$A$1007,"&gt;="&amp;$A976-27,$A$8:$A$1007,"&lt;="&amp;$A976)/4)</f>
        <v>0</v>
      </c>
      <c r="J976" s="144" t="n">
        <f aca="false">IF(OR($A976="",$I976=0),0,$H976/$I976)</f>
        <v>0</v>
      </c>
      <c r="K976" s="40" t="n">
        <f aca="false">IF($A976="",0,$A976-SUMPRODUCT(MIN(($C$8:$C$1007=$C976)*$A$8:$A$1007+($C$8:$C$1007&lt;&gt;$C976)*100000))+1)</f>
        <v>0</v>
      </c>
      <c r="L976" s="26" t="str">
        <f aca="false">IF($A976="","",IF($J976=0,"Sem registro anterior",IF($K976&lt;21,"Histórico insuficiente",IF($J976&lt;0.8,"Subcarga",IF($J976&lt;=1.3,"Zona ideal",IF($J976&lt;=1.5,"Atenção","Risco elevado"))))))</f>
        <v/>
      </c>
      <c r="M976" s="27"/>
    </row>
    <row r="977" customFormat="false" ht="15" hidden="false" customHeight="false" outlineLevel="0" collapsed="false">
      <c r="A977" s="29"/>
      <c r="B977" s="40" t="n">
        <f aca="false">IF($A977="",0,INT(($A977-Macrociclo!$C$11)/7)+1)</f>
        <v>0</v>
      </c>
      <c r="C977" s="27"/>
      <c r="D977" s="27"/>
      <c r="E977" s="28"/>
      <c r="F977" s="28"/>
      <c r="G977" s="44" t="n">
        <f aca="false">IF(OR($E977="",$F977=""),0,$E977*$F977)</f>
        <v>0</v>
      </c>
      <c r="H977" s="44" t="n">
        <f aca="false">IF($A977="",0,SUMIFS($G$8:$G$1007,$C$8:$C$1007,$C977,$A$8:$A$1007,"&gt;="&amp;$A977-6,$A$8:$A$1007,"&lt;="&amp;$A977))</f>
        <v>0</v>
      </c>
      <c r="I977" s="44" t="n">
        <f aca="false">IF($A977="",0,SUMIFS($G$8:$G$1007,$C$8:$C$1007,$C977,$A$8:$A$1007,"&gt;="&amp;$A977-27,$A$8:$A$1007,"&lt;="&amp;$A977)/4)</f>
        <v>0</v>
      </c>
      <c r="J977" s="144" t="n">
        <f aca="false">IF(OR($A977="",$I977=0),0,$H977/$I977)</f>
        <v>0</v>
      </c>
      <c r="K977" s="40" t="n">
        <f aca="false">IF($A977="",0,$A977-SUMPRODUCT(MIN(($C$8:$C$1007=$C977)*$A$8:$A$1007+($C$8:$C$1007&lt;&gt;$C977)*100000))+1)</f>
        <v>0</v>
      </c>
      <c r="L977" s="26" t="str">
        <f aca="false">IF($A977="","",IF($J977=0,"Sem registro anterior",IF($K977&lt;21,"Histórico insuficiente",IF($J977&lt;0.8,"Subcarga",IF($J977&lt;=1.3,"Zona ideal",IF($J977&lt;=1.5,"Atenção","Risco elevado"))))))</f>
        <v/>
      </c>
      <c r="M977" s="27"/>
    </row>
    <row r="978" customFormat="false" ht="15" hidden="false" customHeight="false" outlineLevel="0" collapsed="false">
      <c r="A978" s="29"/>
      <c r="B978" s="40" t="n">
        <f aca="false">IF($A978="",0,INT(($A978-Macrociclo!$C$11)/7)+1)</f>
        <v>0</v>
      </c>
      <c r="C978" s="27"/>
      <c r="D978" s="27"/>
      <c r="E978" s="28"/>
      <c r="F978" s="28"/>
      <c r="G978" s="44" t="n">
        <f aca="false">IF(OR($E978="",$F978=""),0,$E978*$F978)</f>
        <v>0</v>
      </c>
      <c r="H978" s="44" t="n">
        <f aca="false">IF($A978="",0,SUMIFS($G$8:$G$1007,$C$8:$C$1007,$C978,$A$8:$A$1007,"&gt;="&amp;$A978-6,$A$8:$A$1007,"&lt;="&amp;$A978))</f>
        <v>0</v>
      </c>
      <c r="I978" s="44" t="n">
        <f aca="false">IF($A978="",0,SUMIFS($G$8:$G$1007,$C$8:$C$1007,$C978,$A$8:$A$1007,"&gt;="&amp;$A978-27,$A$8:$A$1007,"&lt;="&amp;$A978)/4)</f>
        <v>0</v>
      </c>
      <c r="J978" s="144" t="n">
        <f aca="false">IF(OR($A978="",$I978=0),0,$H978/$I978)</f>
        <v>0</v>
      </c>
      <c r="K978" s="40" t="n">
        <f aca="false">IF($A978="",0,$A978-SUMPRODUCT(MIN(($C$8:$C$1007=$C978)*$A$8:$A$1007+($C$8:$C$1007&lt;&gt;$C978)*100000))+1)</f>
        <v>0</v>
      </c>
      <c r="L978" s="26" t="str">
        <f aca="false">IF($A978="","",IF($J978=0,"Sem registro anterior",IF($K978&lt;21,"Histórico insuficiente",IF($J978&lt;0.8,"Subcarga",IF($J978&lt;=1.3,"Zona ideal",IF($J978&lt;=1.5,"Atenção","Risco elevado"))))))</f>
        <v/>
      </c>
      <c r="M978" s="27"/>
    </row>
    <row r="979" customFormat="false" ht="15" hidden="false" customHeight="false" outlineLevel="0" collapsed="false">
      <c r="A979" s="29"/>
      <c r="B979" s="40" t="n">
        <f aca="false">IF($A979="",0,INT(($A979-Macrociclo!$C$11)/7)+1)</f>
        <v>0</v>
      </c>
      <c r="C979" s="27"/>
      <c r="D979" s="27"/>
      <c r="E979" s="28"/>
      <c r="F979" s="28"/>
      <c r="G979" s="44" t="n">
        <f aca="false">IF(OR($E979="",$F979=""),0,$E979*$F979)</f>
        <v>0</v>
      </c>
      <c r="H979" s="44" t="n">
        <f aca="false">IF($A979="",0,SUMIFS($G$8:$G$1007,$C$8:$C$1007,$C979,$A$8:$A$1007,"&gt;="&amp;$A979-6,$A$8:$A$1007,"&lt;="&amp;$A979))</f>
        <v>0</v>
      </c>
      <c r="I979" s="44" t="n">
        <f aca="false">IF($A979="",0,SUMIFS($G$8:$G$1007,$C$8:$C$1007,$C979,$A$8:$A$1007,"&gt;="&amp;$A979-27,$A$8:$A$1007,"&lt;="&amp;$A979)/4)</f>
        <v>0</v>
      </c>
      <c r="J979" s="144" t="n">
        <f aca="false">IF(OR($A979="",$I979=0),0,$H979/$I979)</f>
        <v>0</v>
      </c>
      <c r="K979" s="40" t="n">
        <f aca="false">IF($A979="",0,$A979-SUMPRODUCT(MIN(($C$8:$C$1007=$C979)*$A$8:$A$1007+($C$8:$C$1007&lt;&gt;$C979)*100000))+1)</f>
        <v>0</v>
      </c>
      <c r="L979" s="26" t="str">
        <f aca="false">IF($A979="","",IF($J979=0,"Sem registro anterior",IF($K979&lt;21,"Histórico insuficiente",IF($J979&lt;0.8,"Subcarga",IF($J979&lt;=1.3,"Zona ideal",IF($J979&lt;=1.5,"Atenção","Risco elevado"))))))</f>
        <v/>
      </c>
      <c r="M979" s="27"/>
    </row>
    <row r="980" customFormat="false" ht="15" hidden="false" customHeight="false" outlineLevel="0" collapsed="false">
      <c r="A980" s="29"/>
      <c r="B980" s="40" t="n">
        <f aca="false">IF($A980="",0,INT(($A980-Macrociclo!$C$11)/7)+1)</f>
        <v>0</v>
      </c>
      <c r="C980" s="27"/>
      <c r="D980" s="27"/>
      <c r="E980" s="28"/>
      <c r="F980" s="28"/>
      <c r="G980" s="44" t="n">
        <f aca="false">IF(OR($E980="",$F980=""),0,$E980*$F980)</f>
        <v>0</v>
      </c>
      <c r="H980" s="44" t="n">
        <f aca="false">IF($A980="",0,SUMIFS($G$8:$G$1007,$C$8:$C$1007,$C980,$A$8:$A$1007,"&gt;="&amp;$A980-6,$A$8:$A$1007,"&lt;="&amp;$A980))</f>
        <v>0</v>
      </c>
      <c r="I980" s="44" t="n">
        <f aca="false">IF($A980="",0,SUMIFS($G$8:$G$1007,$C$8:$C$1007,$C980,$A$8:$A$1007,"&gt;="&amp;$A980-27,$A$8:$A$1007,"&lt;="&amp;$A980)/4)</f>
        <v>0</v>
      </c>
      <c r="J980" s="144" t="n">
        <f aca="false">IF(OR($A980="",$I980=0),0,$H980/$I980)</f>
        <v>0</v>
      </c>
      <c r="K980" s="40" t="n">
        <f aca="false">IF($A980="",0,$A980-SUMPRODUCT(MIN(($C$8:$C$1007=$C980)*$A$8:$A$1007+($C$8:$C$1007&lt;&gt;$C980)*100000))+1)</f>
        <v>0</v>
      </c>
      <c r="L980" s="26" t="str">
        <f aca="false">IF($A980="","",IF($J980=0,"Sem registro anterior",IF($K980&lt;21,"Histórico insuficiente",IF($J980&lt;0.8,"Subcarga",IF($J980&lt;=1.3,"Zona ideal",IF($J980&lt;=1.5,"Atenção","Risco elevado"))))))</f>
        <v/>
      </c>
      <c r="M980" s="27"/>
    </row>
    <row r="981" customFormat="false" ht="15" hidden="false" customHeight="false" outlineLevel="0" collapsed="false">
      <c r="A981" s="29"/>
      <c r="B981" s="40" t="n">
        <f aca="false">IF($A981="",0,INT(($A981-Macrociclo!$C$11)/7)+1)</f>
        <v>0</v>
      </c>
      <c r="C981" s="27"/>
      <c r="D981" s="27"/>
      <c r="E981" s="28"/>
      <c r="F981" s="28"/>
      <c r="G981" s="44" t="n">
        <f aca="false">IF(OR($E981="",$F981=""),0,$E981*$F981)</f>
        <v>0</v>
      </c>
      <c r="H981" s="44" t="n">
        <f aca="false">IF($A981="",0,SUMIFS($G$8:$G$1007,$C$8:$C$1007,$C981,$A$8:$A$1007,"&gt;="&amp;$A981-6,$A$8:$A$1007,"&lt;="&amp;$A981))</f>
        <v>0</v>
      </c>
      <c r="I981" s="44" t="n">
        <f aca="false">IF($A981="",0,SUMIFS($G$8:$G$1007,$C$8:$C$1007,$C981,$A$8:$A$1007,"&gt;="&amp;$A981-27,$A$8:$A$1007,"&lt;="&amp;$A981)/4)</f>
        <v>0</v>
      </c>
      <c r="J981" s="144" t="n">
        <f aca="false">IF(OR($A981="",$I981=0),0,$H981/$I981)</f>
        <v>0</v>
      </c>
      <c r="K981" s="40" t="n">
        <f aca="false">IF($A981="",0,$A981-SUMPRODUCT(MIN(($C$8:$C$1007=$C981)*$A$8:$A$1007+($C$8:$C$1007&lt;&gt;$C981)*100000))+1)</f>
        <v>0</v>
      </c>
      <c r="L981" s="26" t="str">
        <f aca="false">IF($A981="","",IF($J981=0,"Sem registro anterior",IF($K981&lt;21,"Histórico insuficiente",IF($J981&lt;0.8,"Subcarga",IF($J981&lt;=1.3,"Zona ideal",IF($J981&lt;=1.5,"Atenção","Risco elevado"))))))</f>
        <v/>
      </c>
      <c r="M981" s="27"/>
    </row>
    <row r="982" customFormat="false" ht="15" hidden="false" customHeight="false" outlineLevel="0" collapsed="false">
      <c r="A982" s="29"/>
      <c r="B982" s="40" t="n">
        <f aca="false">IF($A982="",0,INT(($A982-Macrociclo!$C$11)/7)+1)</f>
        <v>0</v>
      </c>
      <c r="C982" s="27"/>
      <c r="D982" s="27"/>
      <c r="E982" s="28"/>
      <c r="F982" s="28"/>
      <c r="G982" s="44" t="n">
        <f aca="false">IF(OR($E982="",$F982=""),0,$E982*$F982)</f>
        <v>0</v>
      </c>
      <c r="H982" s="44" t="n">
        <f aca="false">IF($A982="",0,SUMIFS($G$8:$G$1007,$C$8:$C$1007,$C982,$A$8:$A$1007,"&gt;="&amp;$A982-6,$A$8:$A$1007,"&lt;="&amp;$A982))</f>
        <v>0</v>
      </c>
      <c r="I982" s="44" t="n">
        <f aca="false">IF($A982="",0,SUMIFS($G$8:$G$1007,$C$8:$C$1007,$C982,$A$8:$A$1007,"&gt;="&amp;$A982-27,$A$8:$A$1007,"&lt;="&amp;$A982)/4)</f>
        <v>0</v>
      </c>
      <c r="J982" s="144" t="n">
        <f aca="false">IF(OR($A982="",$I982=0),0,$H982/$I982)</f>
        <v>0</v>
      </c>
      <c r="K982" s="40" t="n">
        <f aca="false">IF($A982="",0,$A982-SUMPRODUCT(MIN(($C$8:$C$1007=$C982)*$A$8:$A$1007+($C$8:$C$1007&lt;&gt;$C982)*100000))+1)</f>
        <v>0</v>
      </c>
      <c r="L982" s="26" t="str">
        <f aca="false">IF($A982="","",IF($J982=0,"Sem registro anterior",IF($K982&lt;21,"Histórico insuficiente",IF($J982&lt;0.8,"Subcarga",IF($J982&lt;=1.3,"Zona ideal",IF($J982&lt;=1.5,"Atenção","Risco elevado"))))))</f>
        <v/>
      </c>
      <c r="M982" s="27"/>
    </row>
    <row r="983" customFormat="false" ht="15" hidden="false" customHeight="false" outlineLevel="0" collapsed="false">
      <c r="A983" s="29"/>
      <c r="B983" s="40" t="n">
        <f aca="false">IF($A983="",0,INT(($A983-Macrociclo!$C$11)/7)+1)</f>
        <v>0</v>
      </c>
      <c r="C983" s="27"/>
      <c r="D983" s="27"/>
      <c r="E983" s="28"/>
      <c r="F983" s="28"/>
      <c r="G983" s="44" t="n">
        <f aca="false">IF(OR($E983="",$F983=""),0,$E983*$F983)</f>
        <v>0</v>
      </c>
      <c r="H983" s="44" t="n">
        <f aca="false">IF($A983="",0,SUMIFS($G$8:$G$1007,$C$8:$C$1007,$C983,$A$8:$A$1007,"&gt;="&amp;$A983-6,$A$8:$A$1007,"&lt;="&amp;$A983))</f>
        <v>0</v>
      </c>
      <c r="I983" s="44" t="n">
        <f aca="false">IF($A983="",0,SUMIFS($G$8:$G$1007,$C$8:$C$1007,$C983,$A$8:$A$1007,"&gt;="&amp;$A983-27,$A$8:$A$1007,"&lt;="&amp;$A983)/4)</f>
        <v>0</v>
      </c>
      <c r="J983" s="144" t="n">
        <f aca="false">IF(OR($A983="",$I983=0),0,$H983/$I983)</f>
        <v>0</v>
      </c>
      <c r="K983" s="40" t="n">
        <f aca="false">IF($A983="",0,$A983-SUMPRODUCT(MIN(($C$8:$C$1007=$C983)*$A$8:$A$1007+($C$8:$C$1007&lt;&gt;$C983)*100000))+1)</f>
        <v>0</v>
      </c>
      <c r="L983" s="26" t="str">
        <f aca="false">IF($A983="","",IF($J983=0,"Sem registro anterior",IF($K983&lt;21,"Histórico insuficiente",IF($J983&lt;0.8,"Subcarga",IF($J983&lt;=1.3,"Zona ideal",IF($J983&lt;=1.5,"Atenção","Risco elevado"))))))</f>
        <v/>
      </c>
      <c r="M983" s="27"/>
    </row>
    <row r="984" customFormat="false" ht="15" hidden="false" customHeight="false" outlineLevel="0" collapsed="false">
      <c r="A984" s="29"/>
      <c r="B984" s="40" t="n">
        <f aca="false">IF($A984="",0,INT(($A984-Macrociclo!$C$11)/7)+1)</f>
        <v>0</v>
      </c>
      <c r="C984" s="27"/>
      <c r="D984" s="27"/>
      <c r="E984" s="28"/>
      <c r="F984" s="28"/>
      <c r="G984" s="44" t="n">
        <f aca="false">IF(OR($E984="",$F984=""),0,$E984*$F984)</f>
        <v>0</v>
      </c>
      <c r="H984" s="44" t="n">
        <f aca="false">IF($A984="",0,SUMIFS($G$8:$G$1007,$C$8:$C$1007,$C984,$A$8:$A$1007,"&gt;="&amp;$A984-6,$A$8:$A$1007,"&lt;="&amp;$A984))</f>
        <v>0</v>
      </c>
      <c r="I984" s="44" t="n">
        <f aca="false">IF($A984="",0,SUMIFS($G$8:$G$1007,$C$8:$C$1007,$C984,$A$8:$A$1007,"&gt;="&amp;$A984-27,$A$8:$A$1007,"&lt;="&amp;$A984)/4)</f>
        <v>0</v>
      </c>
      <c r="J984" s="144" t="n">
        <f aca="false">IF(OR($A984="",$I984=0),0,$H984/$I984)</f>
        <v>0</v>
      </c>
      <c r="K984" s="40" t="n">
        <f aca="false">IF($A984="",0,$A984-SUMPRODUCT(MIN(($C$8:$C$1007=$C984)*$A$8:$A$1007+($C$8:$C$1007&lt;&gt;$C984)*100000))+1)</f>
        <v>0</v>
      </c>
      <c r="L984" s="26" t="str">
        <f aca="false">IF($A984="","",IF($J984=0,"Sem registro anterior",IF($K984&lt;21,"Histórico insuficiente",IF($J984&lt;0.8,"Subcarga",IF($J984&lt;=1.3,"Zona ideal",IF($J984&lt;=1.5,"Atenção","Risco elevado"))))))</f>
        <v/>
      </c>
      <c r="M984" s="27"/>
    </row>
    <row r="985" customFormat="false" ht="15" hidden="false" customHeight="false" outlineLevel="0" collapsed="false">
      <c r="A985" s="29"/>
      <c r="B985" s="40" t="n">
        <f aca="false">IF($A985="",0,INT(($A985-Macrociclo!$C$11)/7)+1)</f>
        <v>0</v>
      </c>
      <c r="C985" s="27"/>
      <c r="D985" s="27"/>
      <c r="E985" s="28"/>
      <c r="F985" s="28"/>
      <c r="G985" s="44" t="n">
        <f aca="false">IF(OR($E985="",$F985=""),0,$E985*$F985)</f>
        <v>0</v>
      </c>
      <c r="H985" s="44" t="n">
        <f aca="false">IF($A985="",0,SUMIFS($G$8:$G$1007,$C$8:$C$1007,$C985,$A$8:$A$1007,"&gt;="&amp;$A985-6,$A$8:$A$1007,"&lt;="&amp;$A985))</f>
        <v>0</v>
      </c>
      <c r="I985" s="44" t="n">
        <f aca="false">IF($A985="",0,SUMIFS($G$8:$G$1007,$C$8:$C$1007,$C985,$A$8:$A$1007,"&gt;="&amp;$A985-27,$A$8:$A$1007,"&lt;="&amp;$A985)/4)</f>
        <v>0</v>
      </c>
      <c r="J985" s="144" t="n">
        <f aca="false">IF(OR($A985="",$I985=0),0,$H985/$I985)</f>
        <v>0</v>
      </c>
      <c r="K985" s="40" t="n">
        <f aca="false">IF($A985="",0,$A985-SUMPRODUCT(MIN(($C$8:$C$1007=$C985)*$A$8:$A$1007+($C$8:$C$1007&lt;&gt;$C985)*100000))+1)</f>
        <v>0</v>
      </c>
      <c r="L985" s="26" t="str">
        <f aca="false">IF($A985="","",IF($J985=0,"Sem registro anterior",IF($K985&lt;21,"Histórico insuficiente",IF($J985&lt;0.8,"Subcarga",IF($J985&lt;=1.3,"Zona ideal",IF($J985&lt;=1.5,"Atenção","Risco elevado"))))))</f>
        <v/>
      </c>
      <c r="M985" s="27"/>
    </row>
    <row r="986" customFormat="false" ht="15" hidden="false" customHeight="false" outlineLevel="0" collapsed="false">
      <c r="A986" s="29"/>
      <c r="B986" s="40" t="n">
        <f aca="false">IF($A986="",0,INT(($A986-Macrociclo!$C$11)/7)+1)</f>
        <v>0</v>
      </c>
      <c r="C986" s="27"/>
      <c r="D986" s="27"/>
      <c r="E986" s="28"/>
      <c r="F986" s="28"/>
      <c r="G986" s="44" t="n">
        <f aca="false">IF(OR($E986="",$F986=""),0,$E986*$F986)</f>
        <v>0</v>
      </c>
      <c r="H986" s="44" t="n">
        <f aca="false">IF($A986="",0,SUMIFS($G$8:$G$1007,$C$8:$C$1007,$C986,$A$8:$A$1007,"&gt;="&amp;$A986-6,$A$8:$A$1007,"&lt;="&amp;$A986))</f>
        <v>0</v>
      </c>
      <c r="I986" s="44" t="n">
        <f aca="false">IF($A986="",0,SUMIFS($G$8:$G$1007,$C$8:$C$1007,$C986,$A$8:$A$1007,"&gt;="&amp;$A986-27,$A$8:$A$1007,"&lt;="&amp;$A986)/4)</f>
        <v>0</v>
      </c>
      <c r="J986" s="144" t="n">
        <f aca="false">IF(OR($A986="",$I986=0),0,$H986/$I986)</f>
        <v>0</v>
      </c>
      <c r="K986" s="40" t="n">
        <f aca="false">IF($A986="",0,$A986-SUMPRODUCT(MIN(($C$8:$C$1007=$C986)*$A$8:$A$1007+($C$8:$C$1007&lt;&gt;$C986)*100000))+1)</f>
        <v>0</v>
      </c>
      <c r="L986" s="26" t="str">
        <f aca="false">IF($A986="","",IF($J986=0,"Sem registro anterior",IF($K986&lt;21,"Histórico insuficiente",IF($J986&lt;0.8,"Subcarga",IF($J986&lt;=1.3,"Zona ideal",IF($J986&lt;=1.5,"Atenção","Risco elevado"))))))</f>
        <v/>
      </c>
      <c r="M986" s="27"/>
    </row>
    <row r="987" customFormat="false" ht="15" hidden="false" customHeight="false" outlineLevel="0" collapsed="false">
      <c r="A987" s="29"/>
      <c r="B987" s="40" t="n">
        <f aca="false">IF($A987="",0,INT(($A987-Macrociclo!$C$11)/7)+1)</f>
        <v>0</v>
      </c>
      <c r="C987" s="27"/>
      <c r="D987" s="27"/>
      <c r="E987" s="28"/>
      <c r="F987" s="28"/>
      <c r="G987" s="44" t="n">
        <f aca="false">IF(OR($E987="",$F987=""),0,$E987*$F987)</f>
        <v>0</v>
      </c>
      <c r="H987" s="44" t="n">
        <f aca="false">IF($A987="",0,SUMIFS($G$8:$G$1007,$C$8:$C$1007,$C987,$A$8:$A$1007,"&gt;="&amp;$A987-6,$A$8:$A$1007,"&lt;="&amp;$A987))</f>
        <v>0</v>
      </c>
      <c r="I987" s="44" t="n">
        <f aca="false">IF($A987="",0,SUMIFS($G$8:$G$1007,$C$8:$C$1007,$C987,$A$8:$A$1007,"&gt;="&amp;$A987-27,$A$8:$A$1007,"&lt;="&amp;$A987)/4)</f>
        <v>0</v>
      </c>
      <c r="J987" s="144" t="n">
        <f aca="false">IF(OR($A987="",$I987=0),0,$H987/$I987)</f>
        <v>0</v>
      </c>
      <c r="K987" s="40" t="n">
        <f aca="false">IF($A987="",0,$A987-SUMPRODUCT(MIN(($C$8:$C$1007=$C987)*$A$8:$A$1007+($C$8:$C$1007&lt;&gt;$C987)*100000))+1)</f>
        <v>0</v>
      </c>
      <c r="L987" s="26" t="str">
        <f aca="false">IF($A987="","",IF($J987=0,"Sem registro anterior",IF($K987&lt;21,"Histórico insuficiente",IF($J987&lt;0.8,"Subcarga",IF($J987&lt;=1.3,"Zona ideal",IF($J987&lt;=1.5,"Atenção","Risco elevado"))))))</f>
        <v/>
      </c>
      <c r="M987" s="27"/>
    </row>
    <row r="988" customFormat="false" ht="15" hidden="false" customHeight="false" outlineLevel="0" collapsed="false">
      <c r="A988" s="29"/>
      <c r="B988" s="40" t="n">
        <f aca="false">IF($A988="",0,INT(($A988-Macrociclo!$C$11)/7)+1)</f>
        <v>0</v>
      </c>
      <c r="C988" s="27"/>
      <c r="D988" s="27"/>
      <c r="E988" s="28"/>
      <c r="F988" s="28"/>
      <c r="G988" s="44" t="n">
        <f aca="false">IF(OR($E988="",$F988=""),0,$E988*$F988)</f>
        <v>0</v>
      </c>
      <c r="H988" s="44" t="n">
        <f aca="false">IF($A988="",0,SUMIFS($G$8:$G$1007,$C$8:$C$1007,$C988,$A$8:$A$1007,"&gt;="&amp;$A988-6,$A$8:$A$1007,"&lt;="&amp;$A988))</f>
        <v>0</v>
      </c>
      <c r="I988" s="44" t="n">
        <f aca="false">IF($A988="",0,SUMIFS($G$8:$G$1007,$C$8:$C$1007,$C988,$A$8:$A$1007,"&gt;="&amp;$A988-27,$A$8:$A$1007,"&lt;="&amp;$A988)/4)</f>
        <v>0</v>
      </c>
      <c r="J988" s="144" t="n">
        <f aca="false">IF(OR($A988="",$I988=0),0,$H988/$I988)</f>
        <v>0</v>
      </c>
      <c r="K988" s="40" t="n">
        <f aca="false">IF($A988="",0,$A988-SUMPRODUCT(MIN(($C$8:$C$1007=$C988)*$A$8:$A$1007+($C$8:$C$1007&lt;&gt;$C988)*100000))+1)</f>
        <v>0</v>
      </c>
      <c r="L988" s="26" t="str">
        <f aca="false">IF($A988="","",IF($J988=0,"Sem registro anterior",IF($K988&lt;21,"Histórico insuficiente",IF($J988&lt;0.8,"Subcarga",IF($J988&lt;=1.3,"Zona ideal",IF($J988&lt;=1.5,"Atenção","Risco elevado"))))))</f>
        <v/>
      </c>
      <c r="M988" s="27"/>
    </row>
    <row r="989" customFormat="false" ht="15" hidden="false" customHeight="false" outlineLevel="0" collapsed="false">
      <c r="A989" s="29"/>
      <c r="B989" s="40" t="n">
        <f aca="false">IF($A989="",0,INT(($A989-Macrociclo!$C$11)/7)+1)</f>
        <v>0</v>
      </c>
      <c r="C989" s="27"/>
      <c r="D989" s="27"/>
      <c r="E989" s="28"/>
      <c r="F989" s="28"/>
      <c r="G989" s="44" t="n">
        <f aca="false">IF(OR($E989="",$F989=""),0,$E989*$F989)</f>
        <v>0</v>
      </c>
      <c r="H989" s="44" t="n">
        <f aca="false">IF($A989="",0,SUMIFS($G$8:$G$1007,$C$8:$C$1007,$C989,$A$8:$A$1007,"&gt;="&amp;$A989-6,$A$8:$A$1007,"&lt;="&amp;$A989))</f>
        <v>0</v>
      </c>
      <c r="I989" s="44" t="n">
        <f aca="false">IF($A989="",0,SUMIFS($G$8:$G$1007,$C$8:$C$1007,$C989,$A$8:$A$1007,"&gt;="&amp;$A989-27,$A$8:$A$1007,"&lt;="&amp;$A989)/4)</f>
        <v>0</v>
      </c>
      <c r="J989" s="144" t="n">
        <f aca="false">IF(OR($A989="",$I989=0),0,$H989/$I989)</f>
        <v>0</v>
      </c>
      <c r="K989" s="40" t="n">
        <f aca="false">IF($A989="",0,$A989-SUMPRODUCT(MIN(($C$8:$C$1007=$C989)*$A$8:$A$1007+($C$8:$C$1007&lt;&gt;$C989)*100000))+1)</f>
        <v>0</v>
      </c>
      <c r="L989" s="26" t="str">
        <f aca="false">IF($A989="","",IF($J989=0,"Sem registro anterior",IF($K989&lt;21,"Histórico insuficiente",IF($J989&lt;0.8,"Subcarga",IF($J989&lt;=1.3,"Zona ideal",IF($J989&lt;=1.5,"Atenção","Risco elevado"))))))</f>
        <v/>
      </c>
      <c r="M989" s="27"/>
    </row>
    <row r="990" customFormat="false" ht="15" hidden="false" customHeight="false" outlineLevel="0" collapsed="false">
      <c r="A990" s="29"/>
      <c r="B990" s="40" t="n">
        <f aca="false">IF($A990="",0,INT(($A990-Macrociclo!$C$11)/7)+1)</f>
        <v>0</v>
      </c>
      <c r="C990" s="27"/>
      <c r="D990" s="27"/>
      <c r="E990" s="28"/>
      <c r="F990" s="28"/>
      <c r="G990" s="44" t="n">
        <f aca="false">IF(OR($E990="",$F990=""),0,$E990*$F990)</f>
        <v>0</v>
      </c>
      <c r="H990" s="44" t="n">
        <f aca="false">IF($A990="",0,SUMIFS($G$8:$G$1007,$C$8:$C$1007,$C990,$A$8:$A$1007,"&gt;="&amp;$A990-6,$A$8:$A$1007,"&lt;="&amp;$A990))</f>
        <v>0</v>
      </c>
      <c r="I990" s="44" t="n">
        <f aca="false">IF($A990="",0,SUMIFS($G$8:$G$1007,$C$8:$C$1007,$C990,$A$8:$A$1007,"&gt;="&amp;$A990-27,$A$8:$A$1007,"&lt;="&amp;$A990)/4)</f>
        <v>0</v>
      </c>
      <c r="J990" s="144" t="n">
        <f aca="false">IF(OR($A990="",$I990=0),0,$H990/$I990)</f>
        <v>0</v>
      </c>
      <c r="K990" s="40" t="n">
        <f aca="false">IF($A990="",0,$A990-SUMPRODUCT(MIN(($C$8:$C$1007=$C990)*$A$8:$A$1007+($C$8:$C$1007&lt;&gt;$C990)*100000))+1)</f>
        <v>0</v>
      </c>
      <c r="L990" s="26" t="str">
        <f aca="false">IF($A990="","",IF($J990=0,"Sem registro anterior",IF($K990&lt;21,"Histórico insuficiente",IF($J990&lt;0.8,"Subcarga",IF($J990&lt;=1.3,"Zona ideal",IF($J990&lt;=1.5,"Atenção","Risco elevado"))))))</f>
        <v/>
      </c>
      <c r="M990" s="27"/>
    </row>
    <row r="991" customFormat="false" ht="15" hidden="false" customHeight="false" outlineLevel="0" collapsed="false">
      <c r="A991" s="29"/>
      <c r="B991" s="40" t="n">
        <f aca="false">IF($A991="",0,INT(($A991-Macrociclo!$C$11)/7)+1)</f>
        <v>0</v>
      </c>
      <c r="C991" s="27"/>
      <c r="D991" s="27"/>
      <c r="E991" s="28"/>
      <c r="F991" s="28"/>
      <c r="G991" s="44" t="n">
        <f aca="false">IF(OR($E991="",$F991=""),0,$E991*$F991)</f>
        <v>0</v>
      </c>
      <c r="H991" s="44" t="n">
        <f aca="false">IF($A991="",0,SUMIFS($G$8:$G$1007,$C$8:$C$1007,$C991,$A$8:$A$1007,"&gt;="&amp;$A991-6,$A$8:$A$1007,"&lt;="&amp;$A991))</f>
        <v>0</v>
      </c>
      <c r="I991" s="44" t="n">
        <f aca="false">IF($A991="",0,SUMIFS($G$8:$G$1007,$C$8:$C$1007,$C991,$A$8:$A$1007,"&gt;="&amp;$A991-27,$A$8:$A$1007,"&lt;="&amp;$A991)/4)</f>
        <v>0</v>
      </c>
      <c r="J991" s="144" t="n">
        <f aca="false">IF(OR($A991="",$I991=0),0,$H991/$I991)</f>
        <v>0</v>
      </c>
      <c r="K991" s="40" t="n">
        <f aca="false">IF($A991="",0,$A991-SUMPRODUCT(MIN(($C$8:$C$1007=$C991)*$A$8:$A$1007+($C$8:$C$1007&lt;&gt;$C991)*100000))+1)</f>
        <v>0</v>
      </c>
      <c r="L991" s="26" t="str">
        <f aca="false">IF($A991="","",IF($J991=0,"Sem registro anterior",IF($K991&lt;21,"Histórico insuficiente",IF($J991&lt;0.8,"Subcarga",IF($J991&lt;=1.3,"Zona ideal",IF($J991&lt;=1.5,"Atenção","Risco elevado"))))))</f>
        <v/>
      </c>
      <c r="M991" s="27"/>
    </row>
    <row r="992" customFormat="false" ht="15" hidden="false" customHeight="false" outlineLevel="0" collapsed="false">
      <c r="A992" s="29"/>
      <c r="B992" s="40" t="n">
        <f aca="false">IF($A992="",0,INT(($A992-Macrociclo!$C$11)/7)+1)</f>
        <v>0</v>
      </c>
      <c r="C992" s="27"/>
      <c r="D992" s="27"/>
      <c r="E992" s="28"/>
      <c r="F992" s="28"/>
      <c r="G992" s="44" t="n">
        <f aca="false">IF(OR($E992="",$F992=""),0,$E992*$F992)</f>
        <v>0</v>
      </c>
      <c r="H992" s="44" t="n">
        <f aca="false">IF($A992="",0,SUMIFS($G$8:$G$1007,$C$8:$C$1007,$C992,$A$8:$A$1007,"&gt;="&amp;$A992-6,$A$8:$A$1007,"&lt;="&amp;$A992))</f>
        <v>0</v>
      </c>
      <c r="I992" s="44" t="n">
        <f aca="false">IF($A992="",0,SUMIFS($G$8:$G$1007,$C$8:$C$1007,$C992,$A$8:$A$1007,"&gt;="&amp;$A992-27,$A$8:$A$1007,"&lt;="&amp;$A992)/4)</f>
        <v>0</v>
      </c>
      <c r="J992" s="144" t="n">
        <f aca="false">IF(OR($A992="",$I992=0),0,$H992/$I992)</f>
        <v>0</v>
      </c>
      <c r="K992" s="40" t="n">
        <f aca="false">IF($A992="",0,$A992-SUMPRODUCT(MIN(($C$8:$C$1007=$C992)*$A$8:$A$1007+($C$8:$C$1007&lt;&gt;$C992)*100000))+1)</f>
        <v>0</v>
      </c>
      <c r="L992" s="26" t="str">
        <f aca="false">IF($A992="","",IF($J992=0,"Sem registro anterior",IF($K992&lt;21,"Histórico insuficiente",IF($J992&lt;0.8,"Subcarga",IF($J992&lt;=1.3,"Zona ideal",IF($J992&lt;=1.5,"Atenção","Risco elevado"))))))</f>
        <v/>
      </c>
      <c r="M992" s="27"/>
    </row>
    <row r="993" customFormat="false" ht="15" hidden="false" customHeight="false" outlineLevel="0" collapsed="false">
      <c r="A993" s="29"/>
      <c r="B993" s="40" t="n">
        <f aca="false">IF($A993="",0,INT(($A993-Macrociclo!$C$11)/7)+1)</f>
        <v>0</v>
      </c>
      <c r="C993" s="27"/>
      <c r="D993" s="27"/>
      <c r="E993" s="28"/>
      <c r="F993" s="28"/>
      <c r="G993" s="44" t="n">
        <f aca="false">IF(OR($E993="",$F993=""),0,$E993*$F993)</f>
        <v>0</v>
      </c>
      <c r="H993" s="44" t="n">
        <f aca="false">IF($A993="",0,SUMIFS($G$8:$G$1007,$C$8:$C$1007,$C993,$A$8:$A$1007,"&gt;="&amp;$A993-6,$A$8:$A$1007,"&lt;="&amp;$A993))</f>
        <v>0</v>
      </c>
      <c r="I993" s="44" t="n">
        <f aca="false">IF($A993="",0,SUMIFS($G$8:$G$1007,$C$8:$C$1007,$C993,$A$8:$A$1007,"&gt;="&amp;$A993-27,$A$8:$A$1007,"&lt;="&amp;$A993)/4)</f>
        <v>0</v>
      </c>
      <c r="J993" s="144" t="n">
        <f aca="false">IF(OR($A993="",$I993=0),0,$H993/$I993)</f>
        <v>0</v>
      </c>
      <c r="K993" s="40" t="n">
        <f aca="false">IF($A993="",0,$A993-SUMPRODUCT(MIN(($C$8:$C$1007=$C993)*$A$8:$A$1007+($C$8:$C$1007&lt;&gt;$C993)*100000))+1)</f>
        <v>0</v>
      </c>
      <c r="L993" s="26" t="str">
        <f aca="false">IF($A993="","",IF($J993=0,"Sem registro anterior",IF($K993&lt;21,"Histórico insuficiente",IF($J993&lt;0.8,"Subcarga",IF($J993&lt;=1.3,"Zona ideal",IF($J993&lt;=1.5,"Atenção","Risco elevado"))))))</f>
        <v/>
      </c>
      <c r="M993" s="27"/>
    </row>
    <row r="994" customFormat="false" ht="15" hidden="false" customHeight="false" outlineLevel="0" collapsed="false">
      <c r="A994" s="29"/>
      <c r="B994" s="40" t="n">
        <f aca="false">IF($A994="",0,INT(($A994-Macrociclo!$C$11)/7)+1)</f>
        <v>0</v>
      </c>
      <c r="C994" s="27"/>
      <c r="D994" s="27"/>
      <c r="E994" s="28"/>
      <c r="F994" s="28"/>
      <c r="G994" s="44" t="n">
        <f aca="false">IF(OR($E994="",$F994=""),0,$E994*$F994)</f>
        <v>0</v>
      </c>
      <c r="H994" s="44" t="n">
        <f aca="false">IF($A994="",0,SUMIFS($G$8:$G$1007,$C$8:$C$1007,$C994,$A$8:$A$1007,"&gt;="&amp;$A994-6,$A$8:$A$1007,"&lt;="&amp;$A994))</f>
        <v>0</v>
      </c>
      <c r="I994" s="44" t="n">
        <f aca="false">IF($A994="",0,SUMIFS($G$8:$G$1007,$C$8:$C$1007,$C994,$A$8:$A$1007,"&gt;="&amp;$A994-27,$A$8:$A$1007,"&lt;="&amp;$A994)/4)</f>
        <v>0</v>
      </c>
      <c r="J994" s="144" t="n">
        <f aca="false">IF(OR($A994="",$I994=0),0,$H994/$I994)</f>
        <v>0</v>
      </c>
      <c r="K994" s="40" t="n">
        <f aca="false">IF($A994="",0,$A994-SUMPRODUCT(MIN(($C$8:$C$1007=$C994)*$A$8:$A$1007+($C$8:$C$1007&lt;&gt;$C994)*100000))+1)</f>
        <v>0</v>
      </c>
      <c r="L994" s="26" t="str">
        <f aca="false">IF($A994="","",IF($J994=0,"Sem registro anterior",IF($K994&lt;21,"Histórico insuficiente",IF($J994&lt;0.8,"Subcarga",IF($J994&lt;=1.3,"Zona ideal",IF($J994&lt;=1.5,"Atenção","Risco elevado"))))))</f>
        <v/>
      </c>
      <c r="M994" s="27"/>
    </row>
    <row r="995" customFormat="false" ht="15" hidden="false" customHeight="false" outlineLevel="0" collapsed="false">
      <c r="A995" s="29"/>
      <c r="B995" s="40" t="n">
        <f aca="false">IF($A995="",0,INT(($A995-Macrociclo!$C$11)/7)+1)</f>
        <v>0</v>
      </c>
      <c r="C995" s="27"/>
      <c r="D995" s="27"/>
      <c r="E995" s="28"/>
      <c r="F995" s="28"/>
      <c r="G995" s="44" t="n">
        <f aca="false">IF(OR($E995="",$F995=""),0,$E995*$F995)</f>
        <v>0</v>
      </c>
      <c r="H995" s="44" t="n">
        <f aca="false">IF($A995="",0,SUMIFS($G$8:$G$1007,$C$8:$C$1007,$C995,$A$8:$A$1007,"&gt;="&amp;$A995-6,$A$8:$A$1007,"&lt;="&amp;$A995))</f>
        <v>0</v>
      </c>
      <c r="I995" s="44" t="n">
        <f aca="false">IF($A995="",0,SUMIFS($G$8:$G$1007,$C$8:$C$1007,$C995,$A$8:$A$1007,"&gt;="&amp;$A995-27,$A$8:$A$1007,"&lt;="&amp;$A995)/4)</f>
        <v>0</v>
      </c>
      <c r="J995" s="144" t="n">
        <f aca="false">IF(OR($A995="",$I995=0),0,$H995/$I995)</f>
        <v>0</v>
      </c>
      <c r="K995" s="40" t="n">
        <f aca="false">IF($A995="",0,$A995-SUMPRODUCT(MIN(($C$8:$C$1007=$C995)*$A$8:$A$1007+($C$8:$C$1007&lt;&gt;$C995)*100000))+1)</f>
        <v>0</v>
      </c>
      <c r="L995" s="26" t="str">
        <f aca="false">IF($A995="","",IF($J995=0,"Sem registro anterior",IF($K995&lt;21,"Histórico insuficiente",IF($J995&lt;0.8,"Subcarga",IF($J995&lt;=1.3,"Zona ideal",IF($J995&lt;=1.5,"Atenção","Risco elevado"))))))</f>
        <v/>
      </c>
      <c r="M995" s="27"/>
    </row>
    <row r="996" customFormat="false" ht="15" hidden="false" customHeight="false" outlineLevel="0" collapsed="false">
      <c r="A996" s="29"/>
      <c r="B996" s="40" t="n">
        <f aca="false">IF($A996="",0,INT(($A996-Macrociclo!$C$11)/7)+1)</f>
        <v>0</v>
      </c>
      <c r="C996" s="27"/>
      <c r="D996" s="27"/>
      <c r="E996" s="28"/>
      <c r="F996" s="28"/>
      <c r="G996" s="44" t="n">
        <f aca="false">IF(OR($E996="",$F996=""),0,$E996*$F996)</f>
        <v>0</v>
      </c>
      <c r="H996" s="44" t="n">
        <f aca="false">IF($A996="",0,SUMIFS($G$8:$G$1007,$C$8:$C$1007,$C996,$A$8:$A$1007,"&gt;="&amp;$A996-6,$A$8:$A$1007,"&lt;="&amp;$A996))</f>
        <v>0</v>
      </c>
      <c r="I996" s="44" t="n">
        <f aca="false">IF($A996="",0,SUMIFS($G$8:$G$1007,$C$8:$C$1007,$C996,$A$8:$A$1007,"&gt;="&amp;$A996-27,$A$8:$A$1007,"&lt;="&amp;$A996)/4)</f>
        <v>0</v>
      </c>
      <c r="J996" s="144" t="n">
        <f aca="false">IF(OR($A996="",$I996=0),0,$H996/$I996)</f>
        <v>0</v>
      </c>
      <c r="K996" s="40" t="n">
        <f aca="false">IF($A996="",0,$A996-SUMPRODUCT(MIN(($C$8:$C$1007=$C996)*$A$8:$A$1007+($C$8:$C$1007&lt;&gt;$C996)*100000))+1)</f>
        <v>0</v>
      </c>
      <c r="L996" s="26" t="str">
        <f aca="false">IF($A996="","",IF($J996=0,"Sem registro anterior",IF($K996&lt;21,"Histórico insuficiente",IF($J996&lt;0.8,"Subcarga",IF($J996&lt;=1.3,"Zona ideal",IF($J996&lt;=1.5,"Atenção","Risco elevado"))))))</f>
        <v/>
      </c>
      <c r="M996" s="27"/>
    </row>
    <row r="997" customFormat="false" ht="15" hidden="false" customHeight="false" outlineLevel="0" collapsed="false">
      <c r="A997" s="29"/>
      <c r="B997" s="40" t="n">
        <f aca="false">IF($A997="",0,INT(($A997-Macrociclo!$C$11)/7)+1)</f>
        <v>0</v>
      </c>
      <c r="C997" s="27"/>
      <c r="D997" s="27"/>
      <c r="E997" s="28"/>
      <c r="F997" s="28"/>
      <c r="G997" s="44" t="n">
        <f aca="false">IF(OR($E997="",$F997=""),0,$E997*$F997)</f>
        <v>0</v>
      </c>
      <c r="H997" s="44" t="n">
        <f aca="false">IF($A997="",0,SUMIFS($G$8:$G$1007,$C$8:$C$1007,$C997,$A$8:$A$1007,"&gt;="&amp;$A997-6,$A$8:$A$1007,"&lt;="&amp;$A997))</f>
        <v>0</v>
      </c>
      <c r="I997" s="44" t="n">
        <f aca="false">IF($A997="",0,SUMIFS($G$8:$G$1007,$C$8:$C$1007,$C997,$A$8:$A$1007,"&gt;="&amp;$A997-27,$A$8:$A$1007,"&lt;="&amp;$A997)/4)</f>
        <v>0</v>
      </c>
      <c r="J997" s="144" t="n">
        <f aca="false">IF(OR($A997="",$I997=0),0,$H997/$I997)</f>
        <v>0</v>
      </c>
      <c r="K997" s="40" t="n">
        <f aca="false">IF($A997="",0,$A997-SUMPRODUCT(MIN(($C$8:$C$1007=$C997)*$A$8:$A$1007+($C$8:$C$1007&lt;&gt;$C997)*100000))+1)</f>
        <v>0</v>
      </c>
      <c r="L997" s="26" t="str">
        <f aca="false">IF($A997="","",IF($J997=0,"Sem registro anterior",IF($K997&lt;21,"Histórico insuficiente",IF($J997&lt;0.8,"Subcarga",IF($J997&lt;=1.3,"Zona ideal",IF($J997&lt;=1.5,"Atenção","Risco elevado"))))))</f>
        <v/>
      </c>
      <c r="M997" s="27"/>
    </row>
    <row r="998" customFormat="false" ht="15" hidden="false" customHeight="false" outlineLevel="0" collapsed="false">
      <c r="A998" s="29"/>
      <c r="B998" s="40" t="n">
        <f aca="false">IF($A998="",0,INT(($A998-Macrociclo!$C$11)/7)+1)</f>
        <v>0</v>
      </c>
      <c r="C998" s="27"/>
      <c r="D998" s="27"/>
      <c r="E998" s="28"/>
      <c r="F998" s="28"/>
      <c r="G998" s="44" t="n">
        <f aca="false">IF(OR($E998="",$F998=""),0,$E998*$F998)</f>
        <v>0</v>
      </c>
      <c r="H998" s="44" t="n">
        <f aca="false">IF($A998="",0,SUMIFS($G$8:$G$1007,$C$8:$C$1007,$C998,$A$8:$A$1007,"&gt;="&amp;$A998-6,$A$8:$A$1007,"&lt;="&amp;$A998))</f>
        <v>0</v>
      </c>
      <c r="I998" s="44" t="n">
        <f aca="false">IF($A998="",0,SUMIFS($G$8:$G$1007,$C$8:$C$1007,$C998,$A$8:$A$1007,"&gt;="&amp;$A998-27,$A$8:$A$1007,"&lt;="&amp;$A998)/4)</f>
        <v>0</v>
      </c>
      <c r="J998" s="144" t="n">
        <f aca="false">IF(OR($A998="",$I998=0),0,$H998/$I998)</f>
        <v>0</v>
      </c>
      <c r="K998" s="40" t="n">
        <f aca="false">IF($A998="",0,$A998-SUMPRODUCT(MIN(($C$8:$C$1007=$C998)*$A$8:$A$1007+($C$8:$C$1007&lt;&gt;$C998)*100000))+1)</f>
        <v>0</v>
      </c>
      <c r="L998" s="26" t="str">
        <f aca="false">IF($A998="","",IF($J998=0,"Sem registro anterior",IF($K998&lt;21,"Histórico insuficiente",IF($J998&lt;0.8,"Subcarga",IF($J998&lt;=1.3,"Zona ideal",IF($J998&lt;=1.5,"Atenção","Risco elevado"))))))</f>
        <v/>
      </c>
      <c r="M998" s="27"/>
    </row>
    <row r="999" customFormat="false" ht="15" hidden="false" customHeight="false" outlineLevel="0" collapsed="false">
      <c r="A999" s="29"/>
      <c r="B999" s="40" t="n">
        <f aca="false">IF($A999="",0,INT(($A999-Macrociclo!$C$11)/7)+1)</f>
        <v>0</v>
      </c>
      <c r="C999" s="27"/>
      <c r="D999" s="27"/>
      <c r="E999" s="28"/>
      <c r="F999" s="28"/>
      <c r="G999" s="44" t="n">
        <f aca="false">IF(OR($E999="",$F999=""),0,$E999*$F999)</f>
        <v>0</v>
      </c>
      <c r="H999" s="44" t="n">
        <f aca="false">IF($A999="",0,SUMIFS($G$8:$G$1007,$C$8:$C$1007,$C999,$A$8:$A$1007,"&gt;="&amp;$A999-6,$A$8:$A$1007,"&lt;="&amp;$A999))</f>
        <v>0</v>
      </c>
      <c r="I999" s="44" t="n">
        <f aca="false">IF($A999="",0,SUMIFS($G$8:$G$1007,$C$8:$C$1007,$C999,$A$8:$A$1007,"&gt;="&amp;$A999-27,$A$8:$A$1007,"&lt;="&amp;$A999)/4)</f>
        <v>0</v>
      </c>
      <c r="J999" s="144" t="n">
        <f aca="false">IF(OR($A999="",$I999=0),0,$H999/$I999)</f>
        <v>0</v>
      </c>
      <c r="K999" s="40" t="n">
        <f aca="false">IF($A999="",0,$A999-SUMPRODUCT(MIN(($C$8:$C$1007=$C999)*$A$8:$A$1007+($C$8:$C$1007&lt;&gt;$C999)*100000))+1)</f>
        <v>0</v>
      </c>
      <c r="L999" s="26" t="str">
        <f aca="false">IF($A999="","",IF($J999=0,"Sem registro anterior",IF($K999&lt;21,"Histórico insuficiente",IF($J999&lt;0.8,"Subcarga",IF($J999&lt;=1.3,"Zona ideal",IF($J999&lt;=1.5,"Atenção","Risco elevado"))))))</f>
        <v/>
      </c>
      <c r="M999" s="27"/>
    </row>
    <row r="1000" customFormat="false" ht="15" hidden="false" customHeight="false" outlineLevel="0" collapsed="false">
      <c r="A1000" s="29"/>
      <c r="B1000" s="40" t="n">
        <f aca="false">IF($A1000="",0,INT(($A1000-Macrociclo!$C$11)/7)+1)</f>
        <v>0</v>
      </c>
      <c r="C1000" s="27"/>
      <c r="D1000" s="27"/>
      <c r="E1000" s="28"/>
      <c r="F1000" s="28"/>
      <c r="G1000" s="44" t="n">
        <f aca="false">IF(OR($E1000="",$F1000=""),0,$E1000*$F1000)</f>
        <v>0</v>
      </c>
      <c r="H1000" s="44" t="n">
        <f aca="false">IF($A1000="",0,SUMIFS($G$8:$G$1007,$C$8:$C$1007,$C1000,$A$8:$A$1007,"&gt;="&amp;$A1000-6,$A$8:$A$1007,"&lt;="&amp;$A1000))</f>
        <v>0</v>
      </c>
      <c r="I1000" s="44" t="n">
        <f aca="false">IF($A1000="",0,SUMIFS($G$8:$G$1007,$C$8:$C$1007,$C1000,$A$8:$A$1007,"&gt;="&amp;$A1000-27,$A$8:$A$1007,"&lt;="&amp;$A1000)/4)</f>
        <v>0</v>
      </c>
      <c r="J1000" s="144" t="n">
        <f aca="false">IF(OR($A1000="",$I1000=0),0,$H1000/$I1000)</f>
        <v>0</v>
      </c>
      <c r="K1000" s="40" t="n">
        <f aca="false">IF($A1000="",0,$A1000-SUMPRODUCT(MIN(($C$8:$C$1007=$C1000)*$A$8:$A$1007+($C$8:$C$1007&lt;&gt;$C1000)*100000))+1)</f>
        <v>0</v>
      </c>
      <c r="L1000" s="26" t="str">
        <f aca="false">IF($A1000="","",IF($J1000=0,"Sem registro anterior",IF($K1000&lt;21,"Histórico insuficiente",IF($J1000&lt;0.8,"Subcarga",IF($J1000&lt;=1.3,"Zona ideal",IF($J1000&lt;=1.5,"Atenção","Risco elevado"))))))</f>
        <v/>
      </c>
      <c r="M1000" s="27"/>
    </row>
    <row r="1001" customFormat="false" ht="15" hidden="false" customHeight="false" outlineLevel="0" collapsed="false">
      <c r="A1001" s="29"/>
      <c r="B1001" s="40" t="n">
        <f aca="false">IF($A1001="",0,INT(($A1001-Macrociclo!$C$11)/7)+1)</f>
        <v>0</v>
      </c>
      <c r="C1001" s="27"/>
      <c r="D1001" s="27"/>
      <c r="E1001" s="28"/>
      <c r="F1001" s="28"/>
      <c r="G1001" s="44" t="n">
        <f aca="false">IF(OR($E1001="",$F1001=""),0,$E1001*$F1001)</f>
        <v>0</v>
      </c>
      <c r="H1001" s="44" t="n">
        <f aca="false">IF($A1001="",0,SUMIFS($G$8:$G$1007,$C$8:$C$1007,$C1001,$A$8:$A$1007,"&gt;="&amp;$A1001-6,$A$8:$A$1007,"&lt;="&amp;$A1001))</f>
        <v>0</v>
      </c>
      <c r="I1001" s="44" t="n">
        <f aca="false">IF($A1001="",0,SUMIFS($G$8:$G$1007,$C$8:$C$1007,$C1001,$A$8:$A$1007,"&gt;="&amp;$A1001-27,$A$8:$A$1007,"&lt;="&amp;$A1001)/4)</f>
        <v>0</v>
      </c>
      <c r="J1001" s="144" t="n">
        <f aca="false">IF(OR($A1001="",$I1001=0),0,$H1001/$I1001)</f>
        <v>0</v>
      </c>
      <c r="K1001" s="40" t="n">
        <f aca="false">IF($A1001="",0,$A1001-SUMPRODUCT(MIN(($C$8:$C$1007=$C1001)*$A$8:$A$1007+($C$8:$C$1007&lt;&gt;$C1001)*100000))+1)</f>
        <v>0</v>
      </c>
      <c r="L1001" s="26" t="str">
        <f aca="false">IF($A1001="","",IF($J1001=0,"Sem registro anterior",IF($K1001&lt;21,"Histórico insuficiente",IF($J1001&lt;0.8,"Subcarga",IF($J1001&lt;=1.3,"Zona ideal",IF($J1001&lt;=1.5,"Atenção","Risco elevado"))))))</f>
        <v/>
      </c>
      <c r="M1001" s="27"/>
    </row>
    <row r="1002" customFormat="false" ht="15" hidden="false" customHeight="false" outlineLevel="0" collapsed="false">
      <c r="A1002" s="29"/>
      <c r="B1002" s="40" t="n">
        <f aca="false">IF($A1002="",0,INT(($A1002-Macrociclo!$C$11)/7)+1)</f>
        <v>0</v>
      </c>
      <c r="C1002" s="27"/>
      <c r="D1002" s="27"/>
      <c r="E1002" s="28"/>
      <c r="F1002" s="28"/>
      <c r="G1002" s="44" t="n">
        <f aca="false">IF(OR($E1002="",$F1002=""),0,$E1002*$F1002)</f>
        <v>0</v>
      </c>
      <c r="H1002" s="44" t="n">
        <f aca="false">IF($A1002="",0,SUMIFS($G$8:$G$1007,$C$8:$C$1007,$C1002,$A$8:$A$1007,"&gt;="&amp;$A1002-6,$A$8:$A$1007,"&lt;="&amp;$A1002))</f>
        <v>0</v>
      </c>
      <c r="I1002" s="44" t="n">
        <f aca="false">IF($A1002="",0,SUMIFS($G$8:$G$1007,$C$8:$C$1007,$C1002,$A$8:$A$1007,"&gt;="&amp;$A1002-27,$A$8:$A$1007,"&lt;="&amp;$A1002)/4)</f>
        <v>0</v>
      </c>
      <c r="J1002" s="144" t="n">
        <f aca="false">IF(OR($A1002="",$I1002=0),0,$H1002/$I1002)</f>
        <v>0</v>
      </c>
      <c r="K1002" s="40" t="n">
        <f aca="false">IF($A1002="",0,$A1002-SUMPRODUCT(MIN(($C$8:$C$1007=$C1002)*$A$8:$A$1007+($C$8:$C$1007&lt;&gt;$C1002)*100000))+1)</f>
        <v>0</v>
      </c>
      <c r="L1002" s="26" t="str">
        <f aca="false">IF($A1002="","",IF($J1002=0,"Sem registro anterior",IF($K1002&lt;21,"Histórico insuficiente",IF($J1002&lt;0.8,"Subcarga",IF($J1002&lt;=1.3,"Zona ideal",IF($J1002&lt;=1.5,"Atenção","Risco elevado"))))))</f>
        <v/>
      </c>
      <c r="M1002" s="27"/>
    </row>
    <row r="1003" customFormat="false" ht="15" hidden="false" customHeight="false" outlineLevel="0" collapsed="false">
      <c r="A1003" s="29"/>
      <c r="B1003" s="40" t="n">
        <f aca="false">IF($A1003="",0,INT(($A1003-Macrociclo!$C$11)/7)+1)</f>
        <v>0</v>
      </c>
      <c r="C1003" s="27"/>
      <c r="D1003" s="27"/>
      <c r="E1003" s="28"/>
      <c r="F1003" s="28"/>
      <c r="G1003" s="44" t="n">
        <f aca="false">IF(OR($E1003="",$F1003=""),0,$E1003*$F1003)</f>
        <v>0</v>
      </c>
      <c r="H1003" s="44" t="n">
        <f aca="false">IF($A1003="",0,SUMIFS($G$8:$G$1007,$C$8:$C$1007,$C1003,$A$8:$A$1007,"&gt;="&amp;$A1003-6,$A$8:$A$1007,"&lt;="&amp;$A1003))</f>
        <v>0</v>
      </c>
      <c r="I1003" s="44" t="n">
        <f aca="false">IF($A1003="",0,SUMIFS($G$8:$G$1007,$C$8:$C$1007,$C1003,$A$8:$A$1007,"&gt;="&amp;$A1003-27,$A$8:$A$1007,"&lt;="&amp;$A1003)/4)</f>
        <v>0</v>
      </c>
      <c r="J1003" s="144" t="n">
        <f aca="false">IF(OR($A1003="",$I1003=0),0,$H1003/$I1003)</f>
        <v>0</v>
      </c>
      <c r="K1003" s="40" t="n">
        <f aca="false">IF($A1003="",0,$A1003-SUMPRODUCT(MIN(($C$8:$C$1007=$C1003)*$A$8:$A$1007+($C$8:$C$1007&lt;&gt;$C1003)*100000))+1)</f>
        <v>0</v>
      </c>
      <c r="L1003" s="26" t="str">
        <f aca="false">IF($A1003="","",IF($J1003=0,"Sem registro anterior",IF($K1003&lt;21,"Histórico insuficiente",IF($J1003&lt;0.8,"Subcarga",IF($J1003&lt;=1.3,"Zona ideal",IF($J1003&lt;=1.5,"Atenção","Risco elevado"))))))</f>
        <v/>
      </c>
      <c r="M1003" s="27"/>
    </row>
    <row r="1004" customFormat="false" ht="15" hidden="false" customHeight="false" outlineLevel="0" collapsed="false">
      <c r="A1004" s="29"/>
      <c r="B1004" s="40" t="n">
        <f aca="false">IF($A1004="",0,INT(($A1004-Macrociclo!$C$11)/7)+1)</f>
        <v>0</v>
      </c>
      <c r="C1004" s="27"/>
      <c r="D1004" s="27"/>
      <c r="E1004" s="28"/>
      <c r="F1004" s="28"/>
      <c r="G1004" s="44" t="n">
        <f aca="false">IF(OR($E1004="",$F1004=""),0,$E1004*$F1004)</f>
        <v>0</v>
      </c>
      <c r="H1004" s="44" t="n">
        <f aca="false">IF($A1004="",0,SUMIFS($G$8:$G$1007,$C$8:$C$1007,$C1004,$A$8:$A$1007,"&gt;="&amp;$A1004-6,$A$8:$A$1007,"&lt;="&amp;$A1004))</f>
        <v>0</v>
      </c>
      <c r="I1004" s="44" t="n">
        <f aca="false">IF($A1004="",0,SUMIFS($G$8:$G$1007,$C$8:$C$1007,$C1004,$A$8:$A$1007,"&gt;="&amp;$A1004-27,$A$8:$A$1007,"&lt;="&amp;$A1004)/4)</f>
        <v>0</v>
      </c>
      <c r="J1004" s="144" t="n">
        <f aca="false">IF(OR($A1004="",$I1004=0),0,$H1004/$I1004)</f>
        <v>0</v>
      </c>
      <c r="K1004" s="40" t="n">
        <f aca="false">IF($A1004="",0,$A1004-SUMPRODUCT(MIN(($C$8:$C$1007=$C1004)*$A$8:$A$1007+($C$8:$C$1007&lt;&gt;$C1004)*100000))+1)</f>
        <v>0</v>
      </c>
      <c r="L1004" s="26" t="str">
        <f aca="false">IF($A1004="","",IF($J1004=0,"Sem registro anterior",IF($K1004&lt;21,"Histórico insuficiente",IF($J1004&lt;0.8,"Subcarga",IF($J1004&lt;=1.3,"Zona ideal",IF($J1004&lt;=1.5,"Atenção","Risco elevado"))))))</f>
        <v/>
      </c>
      <c r="M1004" s="27"/>
    </row>
    <row r="1005" customFormat="false" ht="15" hidden="false" customHeight="false" outlineLevel="0" collapsed="false">
      <c r="A1005" s="29"/>
      <c r="B1005" s="40" t="n">
        <f aca="false">IF($A1005="",0,INT(($A1005-Macrociclo!$C$11)/7)+1)</f>
        <v>0</v>
      </c>
      <c r="C1005" s="27"/>
      <c r="D1005" s="27"/>
      <c r="E1005" s="28"/>
      <c r="F1005" s="28"/>
      <c r="G1005" s="44" t="n">
        <f aca="false">IF(OR($E1005="",$F1005=""),0,$E1005*$F1005)</f>
        <v>0</v>
      </c>
      <c r="H1005" s="44" t="n">
        <f aca="false">IF($A1005="",0,SUMIFS($G$8:$G$1007,$C$8:$C$1007,$C1005,$A$8:$A$1007,"&gt;="&amp;$A1005-6,$A$8:$A$1007,"&lt;="&amp;$A1005))</f>
        <v>0</v>
      </c>
      <c r="I1005" s="44" t="n">
        <f aca="false">IF($A1005="",0,SUMIFS($G$8:$G$1007,$C$8:$C$1007,$C1005,$A$8:$A$1007,"&gt;="&amp;$A1005-27,$A$8:$A$1007,"&lt;="&amp;$A1005)/4)</f>
        <v>0</v>
      </c>
      <c r="J1005" s="144" t="n">
        <f aca="false">IF(OR($A1005="",$I1005=0),0,$H1005/$I1005)</f>
        <v>0</v>
      </c>
      <c r="K1005" s="40" t="n">
        <f aca="false">IF($A1005="",0,$A1005-SUMPRODUCT(MIN(($C$8:$C$1007=$C1005)*$A$8:$A$1007+($C$8:$C$1007&lt;&gt;$C1005)*100000))+1)</f>
        <v>0</v>
      </c>
      <c r="L1005" s="26" t="str">
        <f aca="false">IF($A1005="","",IF($J1005=0,"Sem registro anterior",IF($K1005&lt;21,"Histórico insuficiente",IF($J1005&lt;0.8,"Subcarga",IF($J1005&lt;=1.3,"Zona ideal",IF($J1005&lt;=1.5,"Atenção","Risco elevado"))))))</f>
        <v/>
      </c>
      <c r="M1005" s="27"/>
    </row>
    <row r="1006" customFormat="false" ht="15" hidden="false" customHeight="false" outlineLevel="0" collapsed="false">
      <c r="A1006" s="29"/>
      <c r="B1006" s="40" t="n">
        <f aca="false">IF($A1006="",0,INT(($A1006-Macrociclo!$C$11)/7)+1)</f>
        <v>0</v>
      </c>
      <c r="C1006" s="27"/>
      <c r="D1006" s="27"/>
      <c r="E1006" s="28"/>
      <c r="F1006" s="28"/>
      <c r="G1006" s="44" t="n">
        <f aca="false">IF(OR($E1006="",$F1006=""),0,$E1006*$F1006)</f>
        <v>0</v>
      </c>
      <c r="H1006" s="44" t="n">
        <f aca="false">IF($A1006="",0,SUMIFS($G$8:$G$1007,$C$8:$C$1007,$C1006,$A$8:$A$1007,"&gt;="&amp;$A1006-6,$A$8:$A$1007,"&lt;="&amp;$A1006))</f>
        <v>0</v>
      </c>
      <c r="I1006" s="44" t="n">
        <f aca="false">IF($A1006="",0,SUMIFS($G$8:$G$1007,$C$8:$C$1007,$C1006,$A$8:$A$1007,"&gt;="&amp;$A1006-27,$A$8:$A$1007,"&lt;="&amp;$A1006)/4)</f>
        <v>0</v>
      </c>
      <c r="J1006" s="144" t="n">
        <f aca="false">IF(OR($A1006="",$I1006=0),0,$H1006/$I1006)</f>
        <v>0</v>
      </c>
      <c r="K1006" s="40" t="n">
        <f aca="false">IF($A1006="",0,$A1006-SUMPRODUCT(MIN(($C$8:$C$1007=$C1006)*$A$8:$A$1007+($C$8:$C$1007&lt;&gt;$C1006)*100000))+1)</f>
        <v>0</v>
      </c>
      <c r="L1006" s="26" t="str">
        <f aca="false">IF($A1006="","",IF($J1006=0,"Sem registro anterior",IF($K1006&lt;21,"Histórico insuficiente",IF($J1006&lt;0.8,"Subcarga",IF($J1006&lt;=1.3,"Zona ideal",IF($J1006&lt;=1.5,"Atenção","Risco elevado"))))))</f>
        <v/>
      </c>
      <c r="M1006" s="27"/>
    </row>
    <row r="1007" customFormat="false" ht="15" hidden="false" customHeight="false" outlineLevel="0" collapsed="false">
      <c r="A1007" s="29"/>
      <c r="B1007" s="40" t="n">
        <f aca="false">IF($A1007="",0,INT(($A1007-Macrociclo!$C$11)/7)+1)</f>
        <v>0</v>
      </c>
      <c r="C1007" s="27"/>
      <c r="D1007" s="27"/>
      <c r="E1007" s="28"/>
      <c r="F1007" s="28"/>
      <c r="G1007" s="44" t="n">
        <f aca="false">IF(OR($E1007="",$F1007=""),0,$E1007*$F1007)</f>
        <v>0</v>
      </c>
      <c r="H1007" s="44" t="n">
        <f aca="false">IF($A1007="",0,SUMIFS($G$8:$G$1007,$C$8:$C$1007,$C1007,$A$8:$A$1007,"&gt;="&amp;$A1007-6,$A$8:$A$1007,"&lt;="&amp;$A1007))</f>
        <v>0</v>
      </c>
      <c r="I1007" s="44" t="n">
        <f aca="false">IF($A1007="",0,SUMIFS($G$8:$G$1007,$C$8:$C$1007,$C1007,$A$8:$A$1007,"&gt;="&amp;$A1007-27,$A$8:$A$1007,"&lt;="&amp;$A1007)/4)</f>
        <v>0</v>
      </c>
      <c r="J1007" s="144" t="n">
        <f aca="false">IF(OR($A1007="",$I1007=0),0,$H1007/$I1007)</f>
        <v>0</v>
      </c>
      <c r="K1007" s="40" t="n">
        <f aca="false">IF($A1007="",0,$A1007-SUMPRODUCT(MIN(($C$8:$C$1007=$C1007)*$A$8:$A$1007+($C$8:$C$1007&lt;&gt;$C1007)*100000))+1)</f>
        <v>0</v>
      </c>
      <c r="L1007" s="26" t="str">
        <f aca="false">IF($A1007="","",IF($J1007=0,"Sem registro anterior",IF($K1007&lt;21,"Histórico insuficiente",IF($J1007&lt;0.8,"Subcarga",IF($J1007&lt;=1.3,"Zona ideal",IF($J1007&lt;=1.5,"Atenção","Risco elevado"))))))</f>
        <v/>
      </c>
      <c r="M1007" s="27"/>
    </row>
  </sheetData>
  <autoFilter ref="A7:M1007"/>
  <mergeCells count="3">
    <mergeCell ref="A1:M1"/>
    <mergeCell ref="A2:M2"/>
    <mergeCell ref="A4:M4"/>
  </mergeCells>
  <conditionalFormatting sqref="L8:L1007">
    <cfRule type="cellIs" priority="2" operator="equal" aboveAverage="0" equalAverage="0" bottom="0" percent="0" rank="0" text="" dxfId="10">
      <formula>"Zona ideal"</formula>
    </cfRule>
    <cfRule type="cellIs" priority="3" operator="equal" aboveAverage="0" equalAverage="0" bottom="0" percent="0" rank="0" text="" dxfId="12">
      <formula>"Atenção"</formula>
    </cfRule>
    <cfRule type="cellIs" priority="4" operator="equal" aboveAverage="0" equalAverage="0" bottom="0" percent="0" rank="0" text="" dxfId="11">
      <formula>"Risco elevado"</formula>
    </cfRule>
    <cfRule type="cellIs" priority="5" operator="equal" aboveAverage="0" equalAverage="0" bottom="0" percent="0" rank="0" text="" dxfId="69">
      <formula>"Subcarga"</formula>
    </cfRule>
    <cfRule type="cellIs" priority="6" operator="equal" aboveAverage="0" equalAverage="0" bottom="0" percent="0" rank="0" text="" dxfId="76">
      <formula>"Histórico insuficiente"</formula>
    </cfRule>
  </conditionalFormatting>
  <conditionalFormatting sqref="J8:J1007">
    <cfRule type="cellIs" priority="7" operator="greaterThan" aboveAverage="0" equalAverage="0" bottom="0" percent="0" rank="0" text="" dxfId="77">
      <formula>1.5</formula>
    </cfRule>
  </conditionalFormatting>
  <dataValidations count="3">
    <dataValidation allowBlank="true" errorStyle="stop" operator="between" showDropDown="false" showErrorMessage="false" showInputMessage="false" sqref="C8:C1007" type="list">
      <formula1>Cadastro!$B$8:$B$47</formula1>
      <formula2>0</formula2>
    </dataValidation>
    <dataValidation allowBlank="true" errorStyle="stop" operator="between" showDropDown="false" showErrorMessage="false" showInputMessage="false" sqref="D8:D1007" type="list">
      <formula1>Listas!$Q$5:$Q$16</formula1>
      <formula2>0</formula2>
    </dataValidation>
    <dataValidation allowBlank="true" errorStyle="stop" operator="between" showDropDown="false" showErrorMessage="false" showInputMessage="false" sqref="F8:F1007" type="list">
      <formula1>Listas!$N$5:$N$16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3FA0"/>
    <pageSetUpPr fitToPage="true"/>
  </sheetPr>
  <dimension ref="A1:V8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26"/>
    <col collapsed="false" customWidth="true" hidden="false" outlineLevel="0" max="14" min="14" style="0" width="3"/>
    <col collapsed="false" customWidth="true" hidden="false" outlineLevel="0" max="15" min="15" style="0" width="24"/>
    <col collapsed="false" customWidth="true" hidden="false" outlineLevel="0" max="16" min="16" style="0" width="15"/>
    <col collapsed="false" customWidth="true" hidden="false" outlineLevel="0" max="17" min="17" style="0" width="14"/>
    <col collapsed="false" customWidth="true" hidden="false" outlineLevel="0" max="18" min="18" style="0" width="13"/>
    <col collapsed="false" customWidth="true" hidden="false" outlineLevel="0" max="19" min="19" style="0" width="15"/>
    <col collapsed="false" customWidth="true" hidden="false" outlineLevel="0" max="20" min="20" style="0" width="18"/>
    <col collapsed="false" customWidth="true" hidden="false" outlineLevel="0" max="21" min="21" style="0" width="11"/>
    <col collapsed="false" customWidth="true" hidden="false" outlineLevel="0" max="22" min="22" style="0" width="22"/>
  </cols>
  <sheetData>
    <row r="1" customFormat="false" ht="30" hidden="false" customHeight="true" outlineLevel="0" collapsed="false">
      <c r="A1" s="1" t="s">
        <v>1215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1216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17" t="s">
        <v>1217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O4" s="47" t="s">
        <v>1218</v>
      </c>
      <c r="R4" s="97" t="n">
        <f aca="true">IFERROR(MAX(1,INT((TODAY()-Macrociclo!$C$11)/7)+1),1)</f>
        <v>35</v>
      </c>
    </row>
    <row r="5" customFormat="false" ht="19.5" hidden="false" customHeight="true" outlineLevel="0" collapsed="false">
      <c r="O5" s="3" t="s">
        <v>1219</v>
      </c>
      <c r="P5" s="3"/>
      <c r="Q5" s="3"/>
      <c r="R5" s="3"/>
      <c r="S5" s="3"/>
      <c r="T5" s="3"/>
      <c r="U5" s="3"/>
      <c r="V5" s="3"/>
    </row>
    <row r="7" customFormat="false" ht="31.5" hidden="false" customHeight="true" outlineLevel="0" collapsed="false">
      <c r="A7" s="25" t="s">
        <v>294</v>
      </c>
      <c r="B7" s="25" t="s">
        <v>922</v>
      </c>
      <c r="C7" s="25" t="s">
        <v>295</v>
      </c>
      <c r="D7" s="25" t="s">
        <v>1220</v>
      </c>
      <c r="E7" s="25" t="s">
        <v>1221</v>
      </c>
      <c r="F7" s="25" t="s">
        <v>1222</v>
      </c>
      <c r="G7" s="25" t="s">
        <v>1223</v>
      </c>
      <c r="H7" s="25" t="s">
        <v>1224</v>
      </c>
      <c r="I7" s="25" t="s">
        <v>1225</v>
      </c>
      <c r="J7" s="25" t="s">
        <v>1226</v>
      </c>
      <c r="K7" s="25" t="s">
        <v>1227</v>
      </c>
      <c r="L7" s="25" t="s">
        <v>1228</v>
      </c>
      <c r="M7" s="25" t="s">
        <v>162</v>
      </c>
      <c r="O7" s="25" t="s">
        <v>295</v>
      </c>
      <c r="P7" s="25" t="s">
        <v>558</v>
      </c>
      <c r="Q7" s="25" t="s">
        <v>1229</v>
      </c>
      <c r="R7" s="25" t="s">
        <v>1144</v>
      </c>
      <c r="S7" s="25" t="s">
        <v>1230</v>
      </c>
      <c r="T7" s="25" t="s">
        <v>1231</v>
      </c>
      <c r="U7" s="25" t="s">
        <v>1232</v>
      </c>
      <c r="V7" s="25" t="s">
        <v>842</v>
      </c>
    </row>
    <row r="8" customFormat="false" ht="15" hidden="false" customHeight="false" outlineLevel="0" collapsed="false">
      <c r="A8" s="29" t="n">
        <v>46244</v>
      </c>
      <c r="B8" s="40" t="n">
        <f aca="false">IF($A8="",0,INT(($A8-Macrociclo!$C$11)/7)+1)</f>
        <v>32</v>
      </c>
      <c r="C8" s="27" t="s">
        <v>164</v>
      </c>
      <c r="D8" s="27" t="s">
        <v>558</v>
      </c>
      <c r="E8" s="27" t="s">
        <v>1233</v>
      </c>
      <c r="F8" s="39" t="n">
        <v>86</v>
      </c>
      <c r="G8" s="28" t="s">
        <v>441</v>
      </c>
      <c r="H8" s="28" t="s">
        <v>1234</v>
      </c>
      <c r="I8" s="39"/>
      <c r="J8" s="39" t="n">
        <v>54</v>
      </c>
      <c r="K8" s="71"/>
      <c r="L8" s="28" t="n">
        <v>5</v>
      </c>
      <c r="M8" s="27" t="s">
        <v>373</v>
      </c>
      <c r="O8" s="60" t="str">
        <f aca="false">IF(Cadastro!$B8="","",Cadastro!$B8)</f>
        <v>Rafael Monteiro Alves</v>
      </c>
      <c r="P8" s="140" t="n">
        <f aca="false">IF($O8="",0,SUMIFS($F$8:$F$807,$C$8:$C$807,$O8,$B$8:$B$807,$R$4,$D$8:$D$807,"Pliometria"))</f>
        <v>123</v>
      </c>
      <c r="Q8" s="140" t="n">
        <f aca="false">IF($O8="",0,SUMIFS($F$8:$F$807,$C$8:$C$807,$O8,$B$8:$B$807,$R$4,$D$8:$D$807,"Treino de quadra"))</f>
        <v>252</v>
      </c>
      <c r="R8" s="140" t="n">
        <f aca="false">IF($O8="",0,SUMIFS($F$8:$F$807,$C$8:$C$807,$O8,$B$8:$B$807,$R$4,$D$8:$D$807,"Jogo"))</f>
        <v>85</v>
      </c>
      <c r="S8" s="44" t="n">
        <f aca="false">SUM($P8:$R8)+IF($O8="",0,SUMIFS($F$8:$F$807,$C$8:$C$807,$O8,$B$8:$B$807,$R$4,$D$8:$D$807,"Musculação"))</f>
        <v>460</v>
      </c>
      <c r="T8" s="140" t="n">
        <f aca="false">IF($O8="",0,SUMIFS($F$8:$F$807,$C$8:$C$807,$O8,$B$8:$B$807,$R$4-1))</f>
        <v>445</v>
      </c>
      <c r="U8" s="145" t="n">
        <f aca="false">IF($T8=0,0,$S8/$T8-1)</f>
        <v>0.0337078651685394</v>
      </c>
      <c r="V8" s="60" t="str">
        <f aca="false">IF($O8="","",IF($S8=0,"Sem registro",IF($U8&gt;0.3,"ALERTA — aumento acima de 30%",IF($S8&gt;600,"Volume semanal muito alto",IF($S8&gt;=350,"Volume alto",IF($S8&gt;=150,"Volume adequado","Volume baixo"))))))</f>
        <v>Volume alto</v>
      </c>
    </row>
    <row r="9" customFormat="false" ht="15" hidden="false" customHeight="false" outlineLevel="0" collapsed="false">
      <c r="A9" s="29" t="n">
        <v>46248</v>
      </c>
      <c r="B9" s="40" t="n">
        <f aca="false">IF($A9="",0,INT(($A9-Macrociclo!$C$11)/7)+1)</f>
        <v>32</v>
      </c>
      <c r="C9" s="27" t="s">
        <v>164</v>
      </c>
      <c r="D9" s="27" t="s">
        <v>1235</v>
      </c>
      <c r="E9" s="27" t="s">
        <v>852</v>
      </c>
      <c r="F9" s="39" t="n">
        <v>242</v>
      </c>
      <c r="G9" s="28" t="s">
        <v>1236</v>
      </c>
      <c r="H9" s="28" t="s">
        <v>1234</v>
      </c>
      <c r="I9" s="39"/>
      <c r="J9" s="39" t="n">
        <v>55</v>
      </c>
      <c r="K9" s="71"/>
      <c r="L9" s="28" t="n">
        <v>5</v>
      </c>
      <c r="M9" s="27" t="s">
        <v>373</v>
      </c>
      <c r="O9" s="62" t="str">
        <f aca="false">IF(Cadastro!$B9="","",Cadastro!$B9)</f>
        <v>Diego Salgado Ferraz</v>
      </c>
      <c r="P9" s="146" t="n">
        <f aca="false">IF($O9="",0,SUMIFS($F$8:$F$807,$C$8:$C$807,$O9,$B$8:$B$807,$R$4,$D$8:$D$807,"Pliometria"))</f>
        <v>111</v>
      </c>
      <c r="Q9" s="146" t="n">
        <f aca="false">IF($O9="",0,SUMIFS($F$8:$F$807,$C$8:$C$807,$O9,$B$8:$B$807,$R$4,$D$8:$D$807,"Treino de quadra"))</f>
        <v>227</v>
      </c>
      <c r="R9" s="146" t="n">
        <f aca="false">IF($O9="",0,SUMIFS($F$8:$F$807,$C$8:$C$807,$O9,$B$8:$B$807,$R$4,$D$8:$D$807,"Jogo"))</f>
        <v>70</v>
      </c>
      <c r="S9" s="147" t="n">
        <f aca="false">SUM($P9:$R9)+IF($O9="",0,SUMIFS($F$8:$F$807,$C$8:$C$807,$O9,$B$8:$B$807,$R$4,$D$8:$D$807,"Musculação"))</f>
        <v>408</v>
      </c>
      <c r="T9" s="146" t="n">
        <f aca="false">IF($O9="",0,SUMIFS($F$8:$F$807,$C$8:$C$807,$O9,$B$8:$B$807,$R$4-1))</f>
        <v>431</v>
      </c>
      <c r="U9" s="148" t="n">
        <f aca="false">IF($T9=0,0,$S9/$T9-1)</f>
        <v>-0.0533642691415314</v>
      </c>
      <c r="V9" s="62" t="str">
        <f aca="false">IF($O9="","",IF($S9=0,"Sem registro",IF($U9&gt;0.3,"ALERTA — aumento acima de 30%",IF($S9&gt;600,"Volume semanal muito alto",IF($S9&gt;=350,"Volume alto",IF($S9&gt;=150,"Volume adequado","Volume baixo"))))))</f>
        <v>Volume alto</v>
      </c>
    </row>
    <row r="10" customFormat="false" ht="15" hidden="false" customHeight="false" outlineLevel="0" collapsed="false">
      <c r="A10" s="29" t="n">
        <v>46247</v>
      </c>
      <c r="B10" s="40" t="n">
        <f aca="false">IF($A10="",0,INT(($A10-Macrociclo!$C$11)/7)+1)</f>
        <v>32</v>
      </c>
      <c r="C10" s="27" t="s">
        <v>192</v>
      </c>
      <c r="D10" s="27" t="s">
        <v>558</v>
      </c>
      <c r="E10" s="27" t="s">
        <v>1233</v>
      </c>
      <c r="F10" s="39" t="n">
        <v>104</v>
      </c>
      <c r="G10" s="28" t="s">
        <v>441</v>
      </c>
      <c r="H10" s="28" t="s">
        <v>1234</v>
      </c>
      <c r="I10" s="39"/>
      <c r="J10" s="39" t="n">
        <v>58</v>
      </c>
      <c r="K10" s="71"/>
      <c r="L10" s="28" t="n">
        <v>3</v>
      </c>
      <c r="M10" s="27" t="s">
        <v>373</v>
      </c>
      <c r="O10" s="60" t="str">
        <f aca="false">IF(Cadastro!$B10="","",Cadastro!$B10)</f>
        <v>Lucas Prado Bittencourt</v>
      </c>
      <c r="P10" s="140" t="n">
        <f aca="false">IF($O10="",0,SUMIFS($F$8:$F$807,$C$8:$C$807,$O10,$B$8:$B$807,$R$4,$D$8:$D$807,"Pliometria"))</f>
        <v>80</v>
      </c>
      <c r="Q10" s="140" t="n">
        <f aca="false">IF($O10="",0,SUMIFS($F$8:$F$807,$C$8:$C$807,$O10,$B$8:$B$807,$R$4,$D$8:$D$807,"Treino de quadra"))</f>
        <v>318</v>
      </c>
      <c r="R10" s="140" t="n">
        <f aca="false">IF($O10="",0,SUMIFS($F$8:$F$807,$C$8:$C$807,$O10,$B$8:$B$807,$R$4,$D$8:$D$807,"Jogo"))</f>
        <v>70</v>
      </c>
      <c r="S10" s="44" t="n">
        <f aca="false">SUM($P10:$R10)+IF($O10="",0,SUMIFS($F$8:$F$807,$C$8:$C$807,$O10,$B$8:$B$807,$R$4,$D$8:$D$807,"Musculação"))</f>
        <v>468</v>
      </c>
      <c r="T10" s="140" t="n">
        <f aca="false">IF($O10="",0,SUMIFS($F$8:$F$807,$C$8:$C$807,$O10,$B$8:$B$807,$R$4-1))</f>
        <v>394</v>
      </c>
      <c r="U10" s="145" t="n">
        <f aca="false">IF($T10=0,0,$S10/$T10-1)</f>
        <v>0.187817258883249</v>
      </c>
      <c r="V10" s="60" t="str">
        <f aca="false">IF($O10="","",IF($S10=0,"Sem registro",IF($U10&gt;0.3,"ALERTA — aumento acima de 30%",IF($S10&gt;600,"Volume semanal muito alto",IF($S10&gt;=350,"Volume alto",IF($S10&gt;=150,"Volume adequado","Volume baixo"))))))</f>
        <v>Volume alto</v>
      </c>
    </row>
    <row r="11" customFormat="false" ht="15" hidden="false" customHeight="false" outlineLevel="0" collapsed="false">
      <c r="A11" s="29" t="n">
        <v>46248</v>
      </c>
      <c r="B11" s="40" t="n">
        <f aca="false">IF($A11="",0,INT(($A11-Macrociclo!$C$11)/7)+1)</f>
        <v>32</v>
      </c>
      <c r="C11" s="27" t="s">
        <v>192</v>
      </c>
      <c r="D11" s="27" t="s">
        <v>1235</v>
      </c>
      <c r="E11" s="27" t="s">
        <v>852</v>
      </c>
      <c r="F11" s="39" t="n">
        <v>194</v>
      </c>
      <c r="G11" s="28" t="s">
        <v>1236</v>
      </c>
      <c r="H11" s="28" t="s">
        <v>1234</v>
      </c>
      <c r="I11" s="39"/>
      <c r="J11" s="39" t="n">
        <v>58</v>
      </c>
      <c r="K11" s="71"/>
      <c r="L11" s="28" t="n">
        <v>4</v>
      </c>
      <c r="M11" s="27" t="s">
        <v>373</v>
      </c>
      <c r="O11" s="62" t="str">
        <f aca="false">IF(Cadastro!$B11="","",Cadastro!$B11)</f>
        <v>Bruno Rezende Camargo</v>
      </c>
      <c r="P11" s="146" t="n">
        <f aca="false">IF($O11="",0,SUMIFS($F$8:$F$807,$C$8:$C$807,$O11,$B$8:$B$807,$R$4,$D$8:$D$807,"Pliometria"))</f>
        <v>0</v>
      </c>
      <c r="Q11" s="146" t="n">
        <f aca="false">IF($O11="",0,SUMIFS($F$8:$F$807,$C$8:$C$807,$O11,$B$8:$B$807,$R$4,$D$8:$D$807,"Treino de quadra"))</f>
        <v>0</v>
      </c>
      <c r="R11" s="146" t="n">
        <f aca="false">IF($O11="",0,SUMIFS($F$8:$F$807,$C$8:$C$807,$O11,$B$8:$B$807,$R$4,$D$8:$D$807,"Jogo"))</f>
        <v>0</v>
      </c>
      <c r="S11" s="147" t="n">
        <f aca="false">SUM($P11:$R11)+IF($O11="",0,SUMIFS($F$8:$F$807,$C$8:$C$807,$O11,$B$8:$B$807,$R$4,$D$8:$D$807,"Musculação"))</f>
        <v>0</v>
      </c>
      <c r="T11" s="146" t="n">
        <f aca="false">IF($O11="",0,SUMIFS($F$8:$F$807,$C$8:$C$807,$O11,$B$8:$B$807,$R$4-1))</f>
        <v>0</v>
      </c>
      <c r="U11" s="148" t="n">
        <f aca="false">IF($T11=0,0,$S11/$T11-1)</f>
        <v>0</v>
      </c>
      <c r="V11" s="62" t="str">
        <f aca="false">IF($O11="","",IF($S11=0,"Sem registro",IF($U11&gt;0.3,"ALERTA — aumento acima de 30%",IF($S11&gt;600,"Volume semanal muito alto",IF($S11&gt;=350,"Volume alto",IF($S11&gt;=150,"Volume adequado","Volume baixo"))))))</f>
        <v>Sem registro</v>
      </c>
    </row>
    <row r="12" customFormat="false" ht="15" hidden="false" customHeight="false" outlineLevel="0" collapsed="false">
      <c r="A12" s="29" t="n">
        <v>46248</v>
      </c>
      <c r="B12" s="40" t="n">
        <f aca="false">IF($A12="",0,INT(($A12-Macrociclo!$C$11)/7)+1)</f>
        <v>32</v>
      </c>
      <c r="C12" s="27" t="s">
        <v>192</v>
      </c>
      <c r="D12" s="27" t="s">
        <v>1144</v>
      </c>
      <c r="E12" s="27" t="s">
        <v>1237</v>
      </c>
      <c r="F12" s="39" t="n">
        <v>85</v>
      </c>
      <c r="G12" s="28" t="s">
        <v>447</v>
      </c>
      <c r="H12" s="28" t="s">
        <v>1234</v>
      </c>
      <c r="I12" s="39"/>
      <c r="J12" s="39" t="n">
        <v>64</v>
      </c>
      <c r="K12" s="71"/>
      <c r="L12" s="28" t="n">
        <v>4</v>
      </c>
      <c r="M12" s="27" t="s">
        <v>373</v>
      </c>
      <c r="O12" s="60" t="str">
        <f aca="false">IF(Cadastro!$B12="","",Cadastro!$B12)</f>
        <v>Thiago Nogueira Vasques</v>
      </c>
      <c r="P12" s="140" t="n">
        <f aca="false">IF($O12="",0,SUMIFS($F$8:$F$807,$C$8:$C$807,$O12,$B$8:$B$807,$R$4,$D$8:$D$807,"Pliometria"))</f>
        <v>106</v>
      </c>
      <c r="Q12" s="140" t="n">
        <f aca="false">IF($O12="",0,SUMIFS($F$8:$F$807,$C$8:$C$807,$O12,$B$8:$B$807,$R$4,$D$8:$D$807,"Treino de quadra"))</f>
        <v>190</v>
      </c>
      <c r="R12" s="140" t="n">
        <f aca="false">IF($O12="",0,SUMIFS($F$8:$F$807,$C$8:$C$807,$O12,$B$8:$B$807,$R$4,$D$8:$D$807,"Jogo"))</f>
        <v>0</v>
      </c>
      <c r="S12" s="44" t="n">
        <f aca="false">SUM($P12:$R12)+IF($O12="",0,SUMIFS($F$8:$F$807,$C$8:$C$807,$O12,$B$8:$B$807,$R$4,$D$8:$D$807,"Musculação"))</f>
        <v>296</v>
      </c>
      <c r="T12" s="140" t="n">
        <f aca="false">IF($O12="",0,SUMIFS($F$8:$F$807,$C$8:$C$807,$O12,$B$8:$B$807,$R$4-1))</f>
        <v>506</v>
      </c>
      <c r="U12" s="145" t="n">
        <f aca="false">IF($T12=0,0,$S12/$T12-1)</f>
        <v>-0.41501976284585</v>
      </c>
      <c r="V12" s="60" t="str">
        <f aca="false">IF($O12="","",IF($S12=0,"Sem registro",IF($U12&gt;0.3,"ALERTA — aumento acima de 30%",IF($S12&gt;600,"Volume semanal muito alto",IF($S12&gt;=350,"Volume alto",IF($S12&gt;=150,"Volume adequado","Volume baixo"))))))</f>
        <v>Volume adequado</v>
      </c>
    </row>
    <row r="13" customFormat="false" ht="15" hidden="false" customHeight="false" outlineLevel="0" collapsed="false">
      <c r="A13" s="29" t="n">
        <v>46248</v>
      </c>
      <c r="B13" s="40" t="n">
        <f aca="false">IF($A13="",0,INT(($A13-Macrociclo!$C$11)/7)+1)</f>
        <v>32</v>
      </c>
      <c r="C13" s="27" t="s">
        <v>206</v>
      </c>
      <c r="D13" s="27" t="s">
        <v>558</v>
      </c>
      <c r="E13" s="27" t="s">
        <v>1233</v>
      </c>
      <c r="F13" s="39" t="n">
        <v>80</v>
      </c>
      <c r="G13" s="28" t="s">
        <v>441</v>
      </c>
      <c r="H13" s="28" t="s">
        <v>1234</v>
      </c>
      <c r="I13" s="39"/>
      <c r="J13" s="39" t="n">
        <v>61</v>
      </c>
      <c r="K13" s="71"/>
      <c r="L13" s="28" t="n">
        <v>4</v>
      </c>
      <c r="M13" s="27" t="s">
        <v>373</v>
      </c>
      <c r="O13" s="62" t="str">
        <f aca="false">IF(Cadastro!$B13="","",Cadastro!$B13)</f>
        <v>Matheus Caldeira Lins</v>
      </c>
      <c r="P13" s="146" t="n">
        <f aca="false">IF($O13="",0,SUMIFS($F$8:$F$807,$C$8:$C$807,$O13,$B$8:$B$807,$R$4,$D$8:$D$807,"Pliometria"))</f>
        <v>108</v>
      </c>
      <c r="Q13" s="146" t="n">
        <f aca="false">IF($O13="",0,SUMIFS($F$8:$F$807,$C$8:$C$807,$O13,$B$8:$B$807,$R$4,$D$8:$D$807,"Treino de quadra"))</f>
        <v>247</v>
      </c>
      <c r="R13" s="146" t="n">
        <f aca="false">IF($O13="",0,SUMIFS($F$8:$F$807,$C$8:$C$807,$O13,$B$8:$B$807,$R$4,$D$8:$D$807,"Jogo"))</f>
        <v>0</v>
      </c>
      <c r="S13" s="147" t="n">
        <f aca="false">SUM($P13:$R13)+IF($O13="",0,SUMIFS($F$8:$F$807,$C$8:$C$807,$O13,$B$8:$B$807,$R$4,$D$8:$D$807,"Musculação"))</f>
        <v>355</v>
      </c>
      <c r="T13" s="146" t="n">
        <f aca="false">IF($O13="",0,SUMIFS($F$8:$F$807,$C$8:$C$807,$O13,$B$8:$B$807,$R$4-1))</f>
        <v>299</v>
      </c>
      <c r="U13" s="148" t="n">
        <f aca="false">IF($T13=0,0,$S13/$T13-1)</f>
        <v>0.187290969899666</v>
      </c>
      <c r="V13" s="62" t="str">
        <f aca="false">IF($O13="","",IF($S13=0,"Sem registro",IF($U13&gt;0.3,"ALERTA — aumento acima de 30%",IF($S13&gt;600,"Volume semanal muito alto",IF($S13&gt;=350,"Volume alto",IF($S13&gt;=150,"Volume adequado","Volume baixo"))))))</f>
        <v>Volume alto</v>
      </c>
    </row>
    <row r="14" customFormat="false" ht="15" hidden="false" customHeight="false" outlineLevel="0" collapsed="false">
      <c r="A14" s="29" t="n">
        <v>46244</v>
      </c>
      <c r="B14" s="40" t="n">
        <f aca="false">IF($A14="",0,INT(($A14-Macrociclo!$C$11)/7)+1)</f>
        <v>32</v>
      </c>
      <c r="C14" s="27" t="s">
        <v>206</v>
      </c>
      <c r="D14" s="27" t="s">
        <v>1235</v>
      </c>
      <c r="E14" s="27" t="s">
        <v>852</v>
      </c>
      <c r="F14" s="39" t="n">
        <v>244</v>
      </c>
      <c r="G14" s="28" t="s">
        <v>1236</v>
      </c>
      <c r="H14" s="28" t="s">
        <v>1234</v>
      </c>
      <c r="I14" s="39"/>
      <c r="J14" s="39" t="n">
        <v>58</v>
      </c>
      <c r="K14" s="71"/>
      <c r="L14" s="28" t="n">
        <v>3</v>
      </c>
      <c r="M14" s="27" t="s">
        <v>373</v>
      </c>
      <c r="O14" s="60" t="str">
        <f aca="false">IF(Cadastro!$B14="","",Cadastro!$B14)</f>
        <v>Felipe Andrade Rocha</v>
      </c>
      <c r="P14" s="140" t="n">
        <f aca="false">IF($O14="",0,SUMIFS($F$8:$F$807,$C$8:$C$807,$O14,$B$8:$B$807,$R$4,$D$8:$D$807,"Pliometria"))</f>
        <v>101</v>
      </c>
      <c r="Q14" s="140" t="n">
        <f aca="false">IF($O14="",0,SUMIFS($F$8:$F$807,$C$8:$C$807,$O14,$B$8:$B$807,$R$4,$D$8:$D$807,"Treino de quadra"))</f>
        <v>297</v>
      </c>
      <c r="R14" s="140" t="n">
        <f aca="false">IF($O14="",0,SUMIFS($F$8:$F$807,$C$8:$C$807,$O14,$B$8:$B$807,$R$4,$D$8:$D$807,"Jogo"))</f>
        <v>0</v>
      </c>
      <c r="S14" s="44" t="n">
        <f aca="false">SUM($P14:$R14)+IF($O14="",0,SUMIFS($F$8:$F$807,$C$8:$C$807,$O14,$B$8:$B$807,$R$4,$D$8:$D$807,"Musculação"))</f>
        <v>398</v>
      </c>
      <c r="T14" s="140" t="n">
        <f aca="false">IF($O14="",0,SUMIFS($F$8:$F$807,$C$8:$C$807,$O14,$B$8:$B$807,$R$4-1))</f>
        <v>493</v>
      </c>
      <c r="U14" s="145" t="n">
        <f aca="false">IF($T14=0,0,$S14/$T14-1)</f>
        <v>-0.192697768762678</v>
      </c>
      <c r="V14" s="60" t="str">
        <f aca="false">IF($O14="","",IF($S14=0,"Sem registro",IF($U14&gt;0.3,"ALERTA — aumento acima de 30%",IF($S14&gt;600,"Volume semanal muito alto",IF($S14&gt;=350,"Volume alto",IF($S14&gt;=150,"Volume adequado","Volume baixo"))))))</f>
        <v>Volume alto</v>
      </c>
    </row>
    <row r="15" customFormat="false" ht="15" hidden="false" customHeight="false" outlineLevel="0" collapsed="false">
      <c r="A15" s="29" t="n">
        <v>46247</v>
      </c>
      <c r="B15" s="40" t="n">
        <f aca="false">IF($A15="",0,INT(($A15-Macrociclo!$C$11)/7)+1)</f>
        <v>32</v>
      </c>
      <c r="C15" s="27" t="s">
        <v>206</v>
      </c>
      <c r="D15" s="27" t="s">
        <v>1144</v>
      </c>
      <c r="E15" s="27" t="s">
        <v>1237</v>
      </c>
      <c r="F15" s="39" t="n">
        <v>85</v>
      </c>
      <c r="G15" s="28" t="s">
        <v>447</v>
      </c>
      <c r="H15" s="28" t="s">
        <v>1234</v>
      </c>
      <c r="I15" s="39"/>
      <c r="J15" s="39" t="n">
        <v>70</v>
      </c>
      <c r="K15" s="71"/>
      <c r="L15" s="28" t="n">
        <v>5</v>
      </c>
      <c r="M15" s="27" t="s">
        <v>373</v>
      </c>
      <c r="O15" s="62" t="str">
        <f aca="false">IF(Cadastro!$B15="","",Cadastro!$B15)</f>
        <v>Gustavo Peixoto Maia</v>
      </c>
      <c r="P15" s="146" t="n">
        <f aca="false">IF($O15="",0,SUMIFS($F$8:$F$807,$C$8:$C$807,$O15,$B$8:$B$807,$R$4,$D$8:$D$807,"Pliometria"))</f>
        <v>118</v>
      </c>
      <c r="Q15" s="146" t="n">
        <f aca="false">IF($O15="",0,SUMIFS($F$8:$F$807,$C$8:$C$807,$O15,$B$8:$B$807,$R$4,$D$8:$D$807,"Treino de quadra"))</f>
        <v>205</v>
      </c>
      <c r="R15" s="146" t="n">
        <f aca="false">IF($O15="",0,SUMIFS($F$8:$F$807,$C$8:$C$807,$O15,$B$8:$B$807,$R$4,$D$8:$D$807,"Jogo"))</f>
        <v>0</v>
      </c>
      <c r="S15" s="147" t="n">
        <f aca="false">SUM($P15:$R15)+IF($O15="",0,SUMIFS($F$8:$F$807,$C$8:$C$807,$O15,$B$8:$B$807,$R$4,$D$8:$D$807,"Musculação"))</f>
        <v>323</v>
      </c>
      <c r="T15" s="146" t="n">
        <f aca="false">IF($O15="",0,SUMIFS($F$8:$F$807,$C$8:$C$807,$O15,$B$8:$B$807,$R$4-1))</f>
        <v>439</v>
      </c>
      <c r="U15" s="148" t="n">
        <f aca="false">IF($T15=0,0,$S15/$T15-1)</f>
        <v>-0.264236902050114</v>
      </c>
      <c r="V15" s="62" t="str">
        <f aca="false">IF($O15="","",IF($S15=0,"Sem registro",IF($U15&gt;0.3,"ALERTA — aumento acima de 30%",IF($S15&gt;600,"Volume semanal muito alto",IF($S15&gt;=350,"Volume alto",IF($S15&gt;=150,"Volume adequado","Volume baixo"))))))</f>
        <v>Volume adequado</v>
      </c>
    </row>
    <row r="16" customFormat="false" ht="15" hidden="false" customHeight="false" outlineLevel="0" collapsed="false">
      <c r="A16" s="29" t="n">
        <v>46245</v>
      </c>
      <c r="B16" s="40" t="n">
        <f aca="false">IF($A16="",0,INT(($A16-Macrociclo!$C$11)/7)+1)</f>
        <v>32</v>
      </c>
      <c r="C16" s="27" t="s">
        <v>215</v>
      </c>
      <c r="D16" s="27" t="s">
        <v>558</v>
      </c>
      <c r="E16" s="27" t="s">
        <v>1233</v>
      </c>
      <c r="F16" s="39" t="n">
        <v>105</v>
      </c>
      <c r="G16" s="28" t="s">
        <v>441</v>
      </c>
      <c r="H16" s="28" t="s">
        <v>1234</v>
      </c>
      <c r="I16" s="39"/>
      <c r="J16" s="39" t="n">
        <v>69</v>
      </c>
      <c r="K16" s="71"/>
      <c r="L16" s="28" t="n">
        <v>3</v>
      </c>
      <c r="M16" s="27" t="s">
        <v>373</v>
      </c>
      <c r="O16" s="60" t="str">
        <f aca="false">IF(Cadastro!$B16="","",Cadastro!$B16)</f>
        <v>Vinícius Barreto Duarte</v>
      </c>
      <c r="P16" s="140" t="n">
        <f aca="false">IF($O16="",0,SUMIFS($F$8:$F$807,$C$8:$C$807,$O16,$B$8:$B$807,$R$4,$D$8:$D$807,"Pliometria"))</f>
        <v>85</v>
      </c>
      <c r="Q16" s="140" t="n">
        <f aca="false">IF($O16="",0,SUMIFS($F$8:$F$807,$C$8:$C$807,$O16,$B$8:$B$807,$R$4,$D$8:$D$807,"Treino de quadra"))</f>
        <v>228</v>
      </c>
      <c r="R16" s="140" t="n">
        <f aca="false">IF($O16="",0,SUMIFS($F$8:$F$807,$C$8:$C$807,$O16,$B$8:$B$807,$R$4,$D$8:$D$807,"Jogo"))</f>
        <v>0</v>
      </c>
      <c r="S16" s="44" t="n">
        <f aca="false">SUM($P16:$R16)+IF($O16="",0,SUMIFS($F$8:$F$807,$C$8:$C$807,$O16,$B$8:$B$807,$R$4,$D$8:$D$807,"Musculação"))</f>
        <v>313</v>
      </c>
      <c r="T16" s="140" t="n">
        <f aca="false">IF($O16="",0,SUMIFS($F$8:$F$807,$C$8:$C$807,$O16,$B$8:$B$807,$R$4-1))</f>
        <v>393</v>
      </c>
      <c r="U16" s="145" t="n">
        <f aca="false">IF($T16=0,0,$S16/$T16-1)</f>
        <v>-0.203562340966921</v>
      </c>
      <c r="V16" s="60" t="str">
        <f aca="false">IF($O16="","",IF($S16=0,"Sem registro",IF($U16&gt;0.3,"ALERTA — aumento acima de 30%",IF($S16&gt;600,"Volume semanal muito alto",IF($S16&gt;=350,"Volume alto",IF($S16&gt;=150,"Volume adequado","Volume baixo"))))))</f>
        <v>Volume adequado</v>
      </c>
    </row>
    <row r="17" customFormat="false" ht="15" hidden="false" customHeight="false" outlineLevel="0" collapsed="false">
      <c r="A17" s="29" t="n">
        <v>46247</v>
      </c>
      <c r="B17" s="40" t="n">
        <f aca="false">IF($A17="",0,INT(($A17-Macrociclo!$C$11)/7)+1)</f>
        <v>32</v>
      </c>
      <c r="C17" s="27" t="s">
        <v>215</v>
      </c>
      <c r="D17" s="27" t="s">
        <v>1235</v>
      </c>
      <c r="E17" s="27" t="s">
        <v>852</v>
      </c>
      <c r="F17" s="39" t="n">
        <v>264</v>
      </c>
      <c r="G17" s="28" t="s">
        <v>1236</v>
      </c>
      <c r="H17" s="28" t="s">
        <v>1234</v>
      </c>
      <c r="I17" s="39"/>
      <c r="J17" s="39" t="n">
        <v>70</v>
      </c>
      <c r="K17" s="71"/>
      <c r="L17" s="28" t="n">
        <v>4</v>
      </c>
      <c r="M17" s="27" t="s">
        <v>373</v>
      </c>
      <c r="O17" s="62" t="str">
        <f aca="false">IF(Cadastro!$B17="","",Cadastro!$B17)</f>
        <v>André Luiz Sampaio</v>
      </c>
      <c r="P17" s="146" t="n">
        <f aca="false">IF($O17="",0,SUMIFS($F$8:$F$807,$C$8:$C$807,$O17,$B$8:$B$807,$R$4,$D$8:$D$807,"Pliometria"))</f>
        <v>114</v>
      </c>
      <c r="Q17" s="146" t="n">
        <f aca="false">IF($O17="",0,SUMIFS($F$8:$F$807,$C$8:$C$807,$O17,$B$8:$B$807,$R$4,$D$8:$D$807,"Treino de quadra"))</f>
        <v>195</v>
      </c>
      <c r="R17" s="146" t="n">
        <f aca="false">IF($O17="",0,SUMIFS($F$8:$F$807,$C$8:$C$807,$O17,$B$8:$B$807,$R$4,$D$8:$D$807,"Jogo"))</f>
        <v>0</v>
      </c>
      <c r="S17" s="147" t="n">
        <f aca="false">SUM($P17:$R17)+IF($O17="",0,SUMIFS($F$8:$F$807,$C$8:$C$807,$O17,$B$8:$B$807,$R$4,$D$8:$D$807,"Musculação"))</f>
        <v>309</v>
      </c>
      <c r="T17" s="146" t="n">
        <f aca="false">IF($O17="",0,SUMIFS($F$8:$F$807,$C$8:$C$807,$O17,$B$8:$B$807,$R$4-1))</f>
        <v>409</v>
      </c>
      <c r="U17" s="148" t="n">
        <f aca="false">IF($T17=0,0,$S17/$T17-1)</f>
        <v>-0.244498777506112</v>
      </c>
      <c r="V17" s="62" t="str">
        <f aca="false">IF($O17="","",IF($S17=0,"Sem registro",IF($U17&gt;0.3,"ALERTA — aumento acima de 30%",IF($S17&gt;600,"Volume semanal muito alto",IF($S17&gt;=350,"Volume alto",IF($S17&gt;=150,"Volume adequado","Volume baixo"))))))</f>
        <v>Volume adequado</v>
      </c>
    </row>
    <row r="18" customFormat="false" ht="15" hidden="false" customHeight="false" outlineLevel="0" collapsed="false">
      <c r="A18" s="29" t="n">
        <v>46246</v>
      </c>
      <c r="B18" s="40" t="n">
        <f aca="false">IF($A18="",0,INT(($A18-Macrociclo!$C$11)/7)+1)</f>
        <v>32</v>
      </c>
      <c r="C18" s="27" t="s">
        <v>226</v>
      </c>
      <c r="D18" s="27" t="s">
        <v>558</v>
      </c>
      <c r="E18" s="27" t="s">
        <v>1233</v>
      </c>
      <c r="F18" s="39" t="n">
        <v>90</v>
      </c>
      <c r="G18" s="28" t="s">
        <v>441</v>
      </c>
      <c r="H18" s="28" t="s">
        <v>1234</v>
      </c>
      <c r="I18" s="39"/>
      <c r="J18" s="39" t="n">
        <v>63</v>
      </c>
      <c r="K18" s="71"/>
      <c r="L18" s="28" t="n">
        <v>4</v>
      </c>
      <c r="M18" s="27" t="s">
        <v>373</v>
      </c>
      <c r="O18" s="60" t="str">
        <f aca="false">IF(Cadastro!$B18="","",Cadastro!$B18)</f>
        <v>Pedro Henrique Coutinho</v>
      </c>
      <c r="P18" s="140" t="n">
        <f aca="false">IF($O18="",0,SUMIFS($F$8:$F$807,$C$8:$C$807,$O18,$B$8:$B$807,$R$4,$D$8:$D$807,"Pliometria"))</f>
        <v>91</v>
      </c>
      <c r="Q18" s="140" t="n">
        <f aca="false">IF($O18="",0,SUMIFS($F$8:$F$807,$C$8:$C$807,$O18,$B$8:$B$807,$R$4,$D$8:$D$807,"Treino de quadra"))</f>
        <v>216</v>
      </c>
      <c r="R18" s="140" t="n">
        <f aca="false">IF($O18="",0,SUMIFS($F$8:$F$807,$C$8:$C$807,$O18,$B$8:$B$807,$R$4,$D$8:$D$807,"Jogo"))</f>
        <v>0</v>
      </c>
      <c r="S18" s="44" t="n">
        <f aca="false">SUM($P18:$R18)+IF($O18="",0,SUMIFS($F$8:$F$807,$C$8:$C$807,$O18,$B$8:$B$807,$R$4,$D$8:$D$807,"Musculação"))</f>
        <v>307</v>
      </c>
      <c r="T18" s="140" t="n">
        <f aca="false">IF($O18="",0,SUMIFS($F$8:$F$807,$C$8:$C$807,$O18,$B$8:$B$807,$R$4-1))</f>
        <v>518</v>
      </c>
      <c r="U18" s="145" t="n">
        <f aca="false">IF($T18=0,0,$S18/$T18-1)</f>
        <v>-0.407335907335907</v>
      </c>
      <c r="V18" s="60" t="str">
        <f aca="false">IF($O18="","",IF($S18=0,"Sem registro",IF($U18&gt;0.3,"ALERTA — aumento acima de 30%",IF($S18&gt;600,"Volume semanal muito alto",IF($S18&gt;=350,"Volume alto",IF($S18&gt;=150,"Volume adequado","Volume baixo"))))))</f>
        <v>Volume adequado</v>
      </c>
    </row>
    <row r="19" customFormat="false" ht="15" hidden="false" customHeight="false" outlineLevel="0" collapsed="false">
      <c r="A19" s="29" t="n">
        <v>46248</v>
      </c>
      <c r="B19" s="40" t="n">
        <f aca="false">IF($A19="",0,INT(($A19-Macrociclo!$C$11)/7)+1)</f>
        <v>32</v>
      </c>
      <c r="C19" s="27" t="s">
        <v>226</v>
      </c>
      <c r="D19" s="27" t="s">
        <v>1235</v>
      </c>
      <c r="E19" s="27" t="s">
        <v>852</v>
      </c>
      <c r="F19" s="39" t="n">
        <v>227</v>
      </c>
      <c r="G19" s="28" t="s">
        <v>1236</v>
      </c>
      <c r="H19" s="28" t="s">
        <v>1234</v>
      </c>
      <c r="I19" s="39"/>
      <c r="J19" s="39" t="n">
        <v>59</v>
      </c>
      <c r="K19" s="71"/>
      <c r="L19" s="28" t="n">
        <v>5</v>
      </c>
      <c r="M19" s="27" t="s">
        <v>373</v>
      </c>
      <c r="O19" s="62" t="str">
        <f aca="false">IF(Cadastro!$B19="","",Cadastro!$B19)</f>
        <v>Caio Fernandes Bastos</v>
      </c>
      <c r="P19" s="146" t="n">
        <f aca="false">IF($O19="",0,SUMIFS($F$8:$F$807,$C$8:$C$807,$O19,$B$8:$B$807,$R$4,$D$8:$D$807,"Pliometria"))</f>
        <v>122</v>
      </c>
      <c r="Q19" s="146" t="n">
        <f aca="false">IF($O19="",0,SUMIFS($F$8:$F$807,$C$8:$C$807,$O19,$B$8:$B$807,$R$4,$D$8:$D$807,"Treino de quadra"))</f>
        <v>260</v>
      </c>
      <c r="R19" s="146" t="n">
        <f aca="false">IF($O19="",0,SUMIFS($F$8:$F$807,$C$8:$C$807,$O19,$B$8:$B$807,$R$4,$D$8:$D$807,"Jogo"))</f>
        <v>70</v>
      </c>
      <c r="S19" s="147" t="n">
        <f aca="false">SUM($P19:$R19)+IF($O19="",0,SUMIFS($F$8:$F$807,$C$8:$C$807,$O19,$B$8:$B$807,$R$4,$D$8:$D$807,"Musculação"))</f>
        <v>452</v>
      </c>
      <c r="T19" s="146" t="n">
        <f aca="false">IF($O19="",0,SUMIFS($F$8:$F$807,$C$8:$C$807,$O19,$B$8:$B$807,$R$4-1))</f>
        <v>411</v>
      </c>
      <c r="U19" s="148" t="n">
        <f aca="false">IF($T19=0,0,$S19/$T19-1)</f>
        <v>0.0997566909975669</v>
      </c>
      <c r="V19" s="62" t="str">
        <f aca="false">IF($O19="","",IF($S19=0,"Sem registro",IF($U19&gt;0.3,"ALERTA — aumento acima de 30%",IF($S19&gt;600,"Volume semanal muito alto",IF($S19&gt;=350,"Volume alto",IF($S19&gt;=150,"Volume adequado","Volume baixo"))))))</f>
        <v>Volume alto</v>
      </c>
    </row>
    <row r="20" customFormat="false" ht="15" hidden="false" customHeight="false" outlineLevel="0" collapsed="false">
      <c r="A20" s="29" t="n">
        <v>46247</v>
      </c>
      <c r="B20" s="40" t="n">
        <f aca="false">IF($A20="",0,INT(($A20-Macrociclo!$C$11)/7)+1)</f>
        <v>32</v>
      </c>
      <c r="C20" s="27" t="s">
        <v>236</v>
      </c>
      <c r="D20" s="27" t="s">
        <v>558</v>
      </c>
      <c r="E20" s="27" t="s">
        <v>1233</v>
      </c>
      <c r="F20" s="39" t="n">
        <v>129</v>
      </c>
      <c r="G20" s="28" t="s">
        <v>441</v>
      </c>
      <c r="H20" s="28" t="s">
        <v>1234</v>
      </c>
      <c r="I20" s="39"/>
      <c r="J20" s="39" t="n">
        <v>69</v>
      </c>
      <c r="K20" s="71"/>
      <c r="L20" s="28" t="n">
        <v>3</v>
      </c>
      <c r="M20" s="27" t="s">
        <v>373</v>
      </c>
      <c r="O20" s="60" t="str">
        <f aca="false">IF(Cadastro!$B20="","",Cadastro!$B20)</f>
        <v/>
      </c>
      <c r="P20" s="140" t="n">
        <f aca="false">IF($O20="",0,SUMIFS($F$8:$F$807,$C$8:$C$807,$O20,$B$8:$B$807,$R$4,$D$8:$D$807,"Pliometria"))</f>
        <v>0</v>
      </c>
      <c r="Q20" s="140" t="n">
        <f aca="false">IF($O20="",0,SUMIFS($F$8:$F$807,$C$8:$C$807,$O20,$B$8:$B$807,$R$4,$D$8:$D$807,"Treino de quadra"))</f>
        <v>0</v>
      </c>
      <c r="R20" s="140" t="n">
        <f aca="false">IF($O20="",0,SUMIFS($F$8:$F$807,$C$8:$C$807,$O20,$B$8:$B$807,$R$4,$D$8:$D$807,"Jogo"))</f>
        <v>0</v>
      </c>
      <c r="S20" s="44" t="n">
        <f aca="false">SUM($P20:$R20)+IF($O20="",0,SUMIFS($F$8:$F$807,$C$8:$C$807,$O20,$B$8:$B$807,$R$4,$D$8:$D$807,"Musculação"))</f>
        <v>0</v>
      </c>
      <c r="T20" s="140" t="n">
        <f aca="false">IF($O20="",0,SUMIFS($F$8:$F$807,$C$8:$C$807,$O20,$B$8:$B$807,$R$4-1))</f>
        <v>0</v>
      </c>
      <c r="U20" s="145" t="n">
        <f aca="false">IF($T20=0,0,$S20/$T20-1)</f>
        <v>0</v>
      </c>
      <c r="V20" s="60" t="str">
        <f aca="false">IF($O20="","",IF($S20=0,"Sem registro",IF($U20&gt;0.3,"ALERTA — aumento acima de 30%",IF($S20&gt;600,"Volume semanal muito alto",IF($S20&gt;=350,"Volume alto",IF($S20&gt;=150,"Volume adequado","Volume baixo"))))))</f>
        <v/>
      </c>
    </row>
    <row r="21" customFormat="false" ht="15" hidden="false" customHeight="false" outlineLevel="0" collapsed="false">
      <c r="A21" s="29" t="n">
        <v>46247</v>
      </c>
      <c r="B21" s="40" t="n">
        <f aca="false">IF($A21="",0,INT(($A21-Macrociclo!$C$11)/7)+1)</f>
        <v>32</v>
      </c>
      <c r="C21" s="27" t="s">
        <v>236</v>
      </c>
      <c r="D21" s="27" t="s">
        <v>1235</v>
      </c>
      <c r="E21" s="27" t="s">
        <v>852</v>
      </c>
      <c r="F21" s="39" t="n">
        <v>305</v>
      </c>
      <c r="G21" s="28" t="s">
        <v>1236</v>
      </c>
      <c r="H21" s="28" t="s">
        <v>1234</v>
      </c>
      <c r="I21" s="39"/>
      <c r="J21" s="39" t="n">
        <v>66</v>
      </c>
      <c r="K21" s="71"/>
      <c r="L21" s="28" t="n">
        <v>4</v>
      </c>
      <c r="M21" s="27" t="s">
        <v>373</v>
      </c>
      <c r="O21" s="62" t="str">
        <f aca="false">IF(Cadastro!$B21="","",Cadastro!$B21)</f>
        <v/>
      </c>
      <c r="P21" s="146" t="n">
        <f aca="false">IF($O21="",0,SUMIFS($F$8:$F$807,$C$8:$C$807,$O21,$B$8:$B$807,$R$4,$D$8:$D$807,"Pliometria"))</f>
        <v>0</v>
      </c>
      <c r="Q21" s="146" t="n">
        <f aca="false">IF($O21="",0,SUMIFS($F$8:$F$807,$C$8:$C$807,$O21,$B$8:$B$807,$R$4,$D$8:$D$807,"Treino de quadra"))</f>
        <v>0</v>
      </c>
      <c r="R21" s="146" t="n">
        <f aca="false">IF($O21="",0,SUMIFS($F$8:$F$807,$C$8:$C$807,$O21,$B$8:$B$807,$R$4,$D$8:$D$807,"Jogo"))</f>
        <v>0</v>
      </c>
      <c r="S21" s="147" t="n">
        <f aca="false">SUM($P21:$R21)+IF($O21="",0,SUMIFS($F$8:$F$807,$C$8:$C$807,$O21,$B$8:$B$807,$R$4,$D$8:$D$807,"Musculação"))</f>
        <v>0</v>
      </c>
      <c r="T21" s="146" t="n">
        <f aca="false">IF($O21="",0,SUMIFS($F$8:$F$807,$C$8:$C$807,$O21,$B$8:$B$807,$R$4-1))</f>
        <v>0</v>
      </c>
      <c r="U21" s="148" t="n">
        <f aca="false">IF($T21=0,0,$S21/$T21-1)</f>
        <v>0</v>
      </c>
      <c r="V21" s="62" t="str">
        <f aca="false">IF($O21="","",IF($S21=0,"Sem registro",IF($U21&gt;0.3,"ALERTA — aumento acima de 30%",IF($S21&gt;600,"Volume semanal muito alto",IF($S21&gt;=350,"Volume alto",IF($S21&gt;=150,"Volume adequado","Volume baixo"))))))</f>
        <v/>
      </c>
    </row>
    <row r="22" customFormat="false" ht="15" hidden="false" customHeight="false" outlineLevel="0" collapsed="false">
      <c r="A22" s="29" t="n">
        <v>46246</v>
      </c>
      <c r="B22" s="40" t="n">
        <f aca="false">IF($A22="",0,INT(($A22-Macrociclo!$C$11)/7)+1)</f>
        <v>32</v>
      </c>
      <c r="C22" s="27" t="s">
        <v>244</v>
      </c>
      <c r="D22" s="27" t="s">
        <v>558</v>
      </c>
      <c r="E22" s="27" t="s">
        <v>1233</v>
      </c>
      <c r="F22" s="39" t="n">
        <v>89</v>
      </c>
      <c r="G22" s="28" t="s">
        <v>441</v>
      </c>
      <c r="H22" s="28" t="s">
        <v>1234</v>
      </c>
      <c r="I22" s="39"/>
      <c r="J22" s="39" t="n">
        <v>67</v>
      </c>
      <c r="K22" s="71"/>
      <c r="L22" s="28" t="n">
        <v>4</v>
      </c>
      <c r="M22" s="27" t="s">
        <v>373</v>
      </c>
      <c r="O22" s="60" t="str">
        <f aca="false">IF(Cadastro!$B22="","",Cadastro!$B22)</f>
        <v/>
      </c>
      <c r="P22" s="140" t="n">
        <f aca="false">IF($O22="",0,SUMIFS($F$8:$F$807,$C$8:$C$807,$O22,$B$8:$B$807,$R$4,$D$8:$D$807,"Pliometria"))</f>
        <v>0</v>
      </c>
      <c r="Q22" s="140" t="n">
        <f aca="false">IF($O22="",0,SUMIFS($F$8:$F$807,$C$8:$C$807,$O22,$B$8:$B$807,$R$4,$D$8:$D$807,"Treino de quadra"))</f>
        <v>0</v>
      </c>
      <c r="R22" s="140" t="n">
        <f aca="false">IF($O22="",0,SUMIFS($F$8:$F$807,$C$8:$C$807,$O22,$B$8:$B$807,$R$4,$D$8:$D$807,"Jogo"))</f>
        <v>0</v>
      </c>
      <c r="S22" s="44" t="n">
        <f aca="false">SUM($P22:$R22)+IF($O22="",0,SUMIFS($F$8:$F$807,$C$8:$C$807,$O22,$B$8:$B$807,$R$4,$D$8:$D$807,"Musculação"))</f>
        <v>0</v>
      </c>
      <c r="T22" s="140" t="n">
        <f aca="false">IF($O22="",0,SUMIFS($F$8:$F$807,$C$8:$C$807,$O22,$B$8:$B$807,$R$4-1))</f>
        <v>0</v>
      </c>
      <c r="U22" s="145" t="n">
        <f aca="false">IF($T22=0,0,$S22/$T22-1)</f>
        <v>0</v>
      </c>
      <c r="V22" s="60" t="str">
        <f aca="false">IF($O22="","",IF($S22=0,"Sem registro",IF($U22&gt;0.3,"ALERTA — aumento acima de 30%",IF($S22&gt;600,"Volume semanal muito alto",IF($S22&gt;=350,"Volume alto",IF($S22&gt;=150,"Volume adequado","Volume baixo"))))))</f>
        <v/>
      </c>
    </row>
    <row r="23" customFormat="false" ht="15" hidden="false" customHeight="false" outlineLevel="0" collapsed="false">
      <c r="A23" s="29" t="n">
        <v>46248</v>
      </c>
      <c r="B23" s="40" t="n">
        <f aca="false">IF($A23="",0,INT(($A23-Macrociclo!$C$11)/7)+1)</f>
        <v>32</v>
      </c>
      <c r="C23" s="27" t="s">
        <v>244</v>
      </c>
      <c r="D23" s="27" t="s">
        <v>1235</v>
      </c>
      <c r="E23" s="27" t="s">
        <v>852</v>
      </c>
      <c r="F23" s="39" t="n">
        <v>316</v>
      </c>
      <c r="G23" s="28" t="s">
        <v>1236</v>
      </c>
      <c r="H23" s="28" t="s">
        <v>1234</v>
      </c>
      <c r="I23" s="39"/>
      <c r="J23" s="39" t="n">
        <v>57</v>
      </c>
      <c r="K23" s="71"/>
      <c r="L23" s="28" t="n">
        <v>3</v>
      </c>
      <c r="M23" s="27" t="s">
        <v>373</v>
      </c>
      <c r="O23" s="62" t="str">
        <f aca="false">IF(Cadastro!$B23="","",Cadastro!$B23)</f>
        <v/>
      </c>
      <c r="P23" s="146" t="n">
        <f aca="false">IF($O23="",0,SUMIFS($F$8:$F$807,$C$8:$C$807,$O23,$B$8:$B$807,$R$4,$D$8:$D$807,"Pliometria"))</f>
        <v>0</v>
      </c>
      <c r="Q23" s="146" t="n">
        <f aca="false">IF($O23="",0,SUMIFS($F$8:$F$807,$C$8:$C$807,$O23,$B$8:$B$807,$R$4,$D$8:$D$807,"Treino de quadra"))</f>
        <v>0</v>
      </c>
      <c r="R23" s="146" t="n">
        <f aca="false">IF($O23="",0,SUMIFS($F$8:$F$807,$C$8:$C$807,$O23,$B$8:$B$807,$R$4,$D$8:$D$807,"Jogo"))</f>
        <v>0</v>
      </c>
      <c r="S23" s="147" t="n">
        <f aca="false">SUM($P23:$R23)+IF($O23="",0,SUMIFS($F$8:$F$807,$C$8:$C$807,$O23,$B$8:$B$807,$R$4,$D$8:$D$807,"Musculação"))</f>
        <v>0</v>
      </c>
      <c r="T23" s="146" t="n">
        <f aca="false">IF($O23="",0,SUMIFS($F$8:$F$807,$C$8:$C$807,$O23,$B$8:$B$807,$R$4-1))</f>
        <v>0</v>
      </c>
      <c r="U23" s="148" t="n">
        <f aca="false">IF($T23=0,0,$S23/$T23-1)</f>
        <v>0</v>
      </c>
      <c r="V23" s="62" t="str">
        <f aca="false">IF($O23="","",IF($S23=0,"Sem registro",IF($U23&gt;0.3,"ALERTA — aumento acima de 30%",IF($S23&gt;600,"Volume semanal muito alto",IF($S23&gt;=350,"Volume alto",IF($S23&gt;=150,"Volume adequado","Volume baixo"))))))</f>
        <v/>
      </c>
    </row>
    <row r="24" customFormat="false" ht="15" hidden="false" customHeight="false" outlineLevel="0" collapsed="false">
      <c r="A24" s="29" t="n">
        <v>46245</v>
      </c>
      <c r="B24" s="40" t="n">
        <f aca="false">IF($A24="",0,INT(($A24-Macrociclo!$C$11)/7)+1)</f>
        <v>32</v>
      </c>
      <c r="C24" s="27" t="s">
        <v>244</v>
      </c>
      <c r="D24" s="27" t="s">
        <v>1144</v>
      </c>
      <c r="E24" s="27" t="s">
        <v>1237</v>
      </c>
      <c r="F24" s="39" t="n">
        <v>70</v>
      </c>
      <c r="G24" s="28" t="s">
        <v>447</v>
      </c>
      <c r="H24" s="28" t="s">
        <v>1234</v>
      </c>
      <c r="I24" s="39"/>
      <c r="J24" s="39" t="n">
        <v>65</v>
      </c>
      <c r="K24" s="71"/>
      <c r="L24" s="28" t="n">
        <v>3</v>
      </c>
      <c r="M24" s="27" t="s">
        <v>373</v>
      </c>
      <c r="O24" s="60" t="str">
        <f aca="false">IF(Cadastro!$B24="","",Cadastro!$B24)</f>
        <v/>
      </c>
      <c r="P24" s="140" t="n">
        <f aca="false">IF($O24="",0,SUMIFS($F$8:$F$807,$C$8:$C$807,$O24,$B$8:$B$807,$R$4,$D$8:$D$807,"Pliometria"))</f>
        <v>0</v>
      </c>
      <c r="Q24" s="140" t="n">
        <f aca="false">IF($O24="",0,SUMIFS($F$8:$F$807,$C$8:$C$807,$O24,$B$8:$B$807,$R$4,$D$8:$D$807,"Treino de quadra"))</f>
        <v>0</v>
      </c>
      <c r="R24" s="140" t="n">
        <f aca="false">IF($O24="",0,SUMIFS($F$8:$F$807,$C$8:$C$807,$O24,$B$8:$B$807,$R$4,$D$8:$D$807,"Jogo"))</f>
        <v>0</v>
      </c>
      <c r="S24" s="44" t="n">
        <f aca="false">SUM($P24:$R24)+IF($O24="",0,SUMIFS($F$8:$F$807,$C$8:$C$807,$O24,$B$8:$B$807,$R$4,$D$8:$D$807,"Musculação"))</f>
        <v>0</v>
      </c>
      <c r="T24" s="140" t="n">
        <f aca="false">IF($O24="",0,SUMIFS($F$8:$F$807,$C$8:$C$807,$O24,$B$8:$B$807,$R$4-1))</f>
        <v>0</v>
      </c>
      <c r="U24" s="145" t="n">
        <f aca="false">IF($T24=0,0,$S24/$T24-1)</f>
        <v>0</v>
      </c>
      <c r="V24" s="60" t="str">
        <f aca="false">IF($O24="","",IF($S24=0,"Sem registro",IF($U24&gt;0.3,"ALERTA — aumento acima de 30%",IF($S24&gt;600,"Volume semanal muito alto",IF($S24&gt;=350,"Volume alto",IF($S24&gt;=150,"Volume adequado","Volume baixo"))))))</f>
        <v/>
      </c>
    </row>
    <row r="25" customFormat="false" ht="15" hidden="false" customHeight="false" outlineLevel="0" collapsed="false">
      <c r="A25" s="29" t="n">
        <v>46248</v>
      </c>
      <c r="B25" s="40" t="n">
        <f aca="false">IF($A25="",0,INT(($A25-Macrociclo!$C$11)/7)+1)</f>
        <v>32</v>
      </c>
      <c r="C25" s="27" t="s">
        <v>253</v>
      </c>
      <c r="D25" s="27" t="s">
        <v>558</v>
      </c>
      <c r="E25" s="27" t="s">
        <v>1233</v>
      </c>
      <c r="F25" s="39" t="n">
        <v>124</v>
      </c>
      <c r="G25" s="28" t="s">
        <v>441</v>
      </c>
      <c r="H25" s="28" t="s">
        <v>1234</v>
      </c>
      <c r="I25" s="39"/>
      <c r="J25" s="39" t="n">
        <v>58</v>
      </c>
      <c r="K25" s="71"/>
      <c r="L25" s="28" t="n">
        <v>5</v>
      </c>
      <c r="M25" s="27" t="s">
        <v>373</v>
      </c>
      <c r="O25" s="62" t="str">
        <f aca="false">IF(Cadastro!$B25="","",Cadastro!$B25)</f>
        <v/>
      </c>
      <c r="P25" s="146" t="n">
        <f aca="false">IF($O25="",0,SUMIFS($F$8:$F$807,$C$8:$C$807,$O25,$B$8:$B$807,$R$4,$D$8:$D$807,"Pliometria"))</f>
        <v>0</v>
      </c>
      <c r="Q25" s="146" t="n">
        <f aca="false">IF($O25="",0,SUMIFS($F$8:$F$807,$C$8:$C$807,$O25,$B$8:$B$807,$R$4,$D$8:$D$807,"Treino de quadra"))</f>
        <v>0</v>
      </c>
      <c r="R25" s="146" t="n">
        <f aca="false">IF($O25="",0,SUMIFS($F$8:$F$807,$C$8:$C$807,$O25,$B$8:$B$807,$R$4,$D$8:$D$807,"Jogo"))</f>
        <v>0</v>
      </c>
      <c r="S25" s="147" t="n">
        <f aca="false">SUM($P25:$R25)+IF($O25="",0,SUMIFS($F$8:$F$807,$C$8:$C$807,$O25,$B$8:$B$807,$R$4,$D$8:$D$807,"Musculação"))</f>
        <v>0</v>
      </c>
      <c r="T25" s="146" t="n">
        <f aca="false">IF($O25="",0,SUMIFS($F$8:$F$807,$C$8:$C$807,$O25,$B$8:$B$807,$R$4-1))</f>
        <v>0</v>
      </c>
      <c r="U25" s="148" t="n">
        <f aca="false">IF($T25=0,0,$S25/$T25-1)</f>
        <v>0</v>
      </c>
      <c r="V25" s="62" t="str">
        <f aca="false">IF($O25="","",IF($S25=0,"Sem registro",IF($U25&gt;0.3,"ALERTA — aumento acima de 30%",IF($S25&gt;600,"Volume semanal muito alto",IF($S25&gt;=350,"Volume alto",IF($S25&gt;=150,"Volume adequado","Volume baixo"))))))</f>
        <v/>
      </c>
    </row>
    <row r="26" customFormat="false" ht="15" hidden="false" customHeight="false" outlineLevel="0" collapsed="false">
      <c r="A26" s="29" t="n">
        <v>46247</v>
      </c>
      <c r="B26" s="40" t="n">
        <f aca="false">IF($A26="",0,INT(($A26-Macrociclo!$C$11)/7)+1)</f>
        <v>32</v>
      </c>
      <c r="C26" s="27" t="s">
        <v>253</v>
      </c>
      <c r="D26" s="27" t="s">
        <v>1235</v>
      </c>
      <c r="E26" s="27" t="s">
        <v>852</v>
      </c>
      <c r="F26" s="39" t="n">
        <v>220</v>
      </c>
      <c r="G26" s="28" t="s">
        <v>1236</v>
      </c>
      <c r="H26" s="28" t="s">
        <v>1234</v>
      </c>
      <c r="I26" s="39"/>
      <c r="J26" s="39" t="n">
        <v>73</v>
      </c>
      <c r="K26" s="71"/>
      <c r="L26" s="28" t="n">
        <v>4</v>
      </c>
      <c r="M26" s="27" t="s">
        <v>373</v>
      </c>
      <c r="O26" s="60" t="str">
        <f aca="false">IF(Cadastro!$B26="","",Cadastro!$B26)</f>
        <v/>
      </c>
      <c r="P26" s="140" t="n">
        <f aca="false">IF($O26="",0,SUMIFS($F$8:$F$807,$C$8:$C$807,$O26,$B$8:$B$807,$R$4,$D$8:$D$807,"Pliometria"))</f>
        <v>0</v>
      </c>
      <c r="Q26" s="140" t="n">
        <f aca="false">IF($O26="",0,SUMIFS($F$8:$F$807,$C$8:$C$807,$O26,$B$8:$B$807,$R$4,$D$8:$D$807,"Treino de quadra"))</f>
        <v>0</v>
      </c>
      <c r="R26" s="140" t="n">
        <f aca="false">IF($O26="",0,SUMIFS($F$8:$F$807,$C$8:$C$807,$O26,$B$8:$B$807,$R$4,$D$8:$D$807,"Jogo"))</f>
        <v>0</v>
      </c>
      <c r="S26" s="44" t="n">
        <f aca="false">SUM($P26:$R26)+IF($O26="",0,SUMIFS($F$8:$F$807,$C$8:$C$807,$O26,$B$8:$B$807,$R$4,$D$8:$D$807,"Musculação"))</f>
        <v>0</v>
      </c>
      <c r="T26" s="140" t="n">
        <f aca="false">IF($O26="",0,SUMIFS($F$8:$F$807,$C$8:$C$807,$O26,$B$8:$B$807,$R$4-1))</f>
        <v>0</v>
      </c>
      <c r="U26" s="145" t="n">
        <f aca="false">IF($T26=0,0,$S26/$T26-1)</f>
        <v>0</v>
      </c>
      <c r="V26" s="60" t="str">
        <f aca="false">IF($O26="","",IF($S26=0,"Sem registro",IF($U26&gt;0.3,"ALERTA — aumento acima de 30%",IF($S26&gt;600,"Volume semanal muito alto",IF($S26&gt;=350,"Volume alto",IF($S26&gt;=150,"Volume adequado","Volume baixo"))))))</f>
        <v/>
      </c>
    </row>
    <row r="27" customFormat="false" ht="15" hidden="false" customHeight="false" outlineLevel="0" collapsed="false">
      <c r="A27" s="29" t="n">
        <v>46244</v>
      </c>
      <c r="B27" s="40" t="n">
        <f aca="false">IF($A27="",0,INT(($A27-Macrociclo!$C$11)/7)+1)</f>
        <v>32</v>
      </c>
      <c r="C27" s="27" t="s">
        <v>253</v>
      </c>
      <c r="D27" s="27" t="s">
        <v>1144</v>
      </c>
      <c r="E27" s="27" t="s">
        <v>1237</v>
      </c>
      <c r="F27" s="39" t="n">
        <v>70</v>
      </c>
      <c r="G27" s="28" t="s">
        <v>447</v>
      </c>
      <c r="H27" s="28" t="s">
        <v>1234</v>
      </c>
      <c r="I27" s="39"/>
      <c r="J27" s="39" t="n">
        <v>62</v>
      </c>
      <c r="K27" s="71"/>
      <c r="L27" s="28" t="n">
        <v>4</v>
      </c>
      <c r="M27" s="27" t="s">
        <v>373</v>
      </c>
      <c r="O27" s="62" t="str">
        <f aca="false">IF(Cadastro!$B27="","",Cadastro!$B27)</f>
        <v/>
      </c>
      <c r="P27" s="146" t="n">
        <f aca="false">IF($O27="",0,SUMIFS($F$8:$F$807,$C$8:$C$807,$O27,$B$8:$B$807,$R$4,$D$8:$D$807,"Pliometria"))</f>
        <v>0</v>
      </c>
      <c r="Q27" s="146" t="n">
        <f aca="false">IF($O27="",0,SUMIFS($F$8:$F$807,$C$8:$C$807,$O27,$B$8:$B$807,$R$4,$D$8:$D$807,"Treino de quadra"))</f>
        <v>0</v>
      </c>
      <c r="R27" s="146" t="n">
        <f aca="false">IF($O27="",0,SUMIFS($F$8:$F$807,$C$8:$C$807,$O27,$B$8:$B$807,$R$4,$D$8:$D$807,"Jogo"))</f>
        <v>0</v>
      </c>
      <c r="S27" s="147" t="n">
        <f aca="false">SUM($P27:$R27)+IF($O27="",0,SUMIFS($F$8:$F$807,$C$8:$C$807,$O27,$B$8:$B$807,$R$4,$D$8:$D$807,"Musculação"))</f>
        <v>0</v>
      </c>
      <c r="T27" s="146" t="n">
        <f aca="false">IF($O27="",0,SUMIFS($F$8:$F$807,$C$8:$C$807,$O27,$B$8:$B$807,$R$4-1))</f>
        <v>0</v>
      </c>
      <c r="U27" s="148" t="n">
        <f aca="false">IF($T27=0,0,$S27/$T27-1)</f>
        <v>0</v>
      </c>
      <c r="V27" s="62" t="str">
        <f aca="false">IF($O27="","",IF($S27=0,"Sem registro",IF($U27&gt;0.3,"ALERTA — aumento acima de 30%",IF($S27&gt;600,"Volume semanal muito alto",IF($S27&gt;=350,"Volume alto",IF($S27&gt;=150,"Volume adequado","Volume baixo"))))))</f>
        <v/>
      </c>
    </row>
    <row r="28" customFormat="false" ht="15" hidden="false" customHeight="false" outlineLevel="0" collapsed="false">
      <c r="A28" s="29" t="n">
        <v>46246</v>
      </c>
      <c r="B28" s="40" t="n">
        <f aca="false">IF($A28="",0,INT(($A28-Macrociclo!$C$11)/7)+1)</f>
        <v>32</v>
      </c>
      <c r="C28" s="27" t="s">
        <v>259</v>
      </c>
      <c r="D28" s="27" t="s">
        <v>558</v>
      </c>
      <c r="E28" s="27" t="s">
        <v>1233</v>
      </c>
      <c r="F28" s="39" t="n">
        <v>82</v>
      </c>
      <c r="G28" s="28" t="s">
        <v>441</v>
      </c>
      <c r="H28" s="28" t="s">
        <v>1234</v>
      </c>
      <c r="I28" s="39"/>
      <c r="J28" s="39" t="n">
        <v>69</v>
      </c>
      <c r="K28" s="71"/>
      <c r="L28" s="28" t="n">
        <v>3</v>
      </c>
      <c r="M28" s="27" t="s">
        <v>373</v>
      </c>
      <c r="O28" s="60" t="str">
        <f aca="false">IF(Cadastro!$B28="","",Cadastro!$B28)</f>
        <v/>
      </c>
      <c r="P28" s="140" t="n">
        <f aca="false">IF($O28="",0,SUMIFS($F$8:$F$807,$C$8:$C$807,$O28,$B$8:$B$807,$R$4,$D$8:$D$807,"Pliometria"))</f>
        <v>0</v>
      </c>
      <c r="Q28" s="140" t="n">
        <f aca="false">IF($O28="",0,SUMIFS($F$8:$F$807,$C$8:$C$807,$O28,$B$8:$B$807,$R$4,$D$8:$D$807,"Treino de quadra"))</f>
        <v>0</v>
      </c>
      <c r="R28" s="140" t="n">
        <f aca="false">IF($O28="",0,SUMIFS($F$8:$F$807,$C$8:$C$807,$O28,$B$8:$B$807,$R$4,$D$8:$D$807,"Jogo"))</f>
        <v>0</v>
      </c>
      <c r="S28" s="44" t="n">
        <f aca="false">SUM($P28:$R28)+IF($O28="",0,SUMIFS($F$8:$F$807,$C$8:$C$807,$O28,$B$8:$B$807,$R$4,$D$8:$D$807,"Musculação"))</f>
        <v>0</v>
      </c>
      <c r="T28" s="140" t="n">
        <f aca="false">IF($O28="",0,SUMIFS($F$8:$F$807,$C$8:$C$807,$O28,$B$8:$B$807,$R$4-1))</f>
        <v>0</v>
      </c>
      <c r="U28" s="145" t="n">
        <f aca="false">IF($T28=0,0,$S28/$T28-1)</f>
        <v>0</v>
      </c>
      <c r="V28" s="60" t="str">
        <f aca="false">IF($O28="","",IF($S28=0,"Sem registro",IF($U28&gt;0.3,"ALERTA — aumento acima de 30%",IF($S28&gt;600,"Volume semanal muito alto",IF($S28&gt;=350,"Volume alto",IF($S28&gt;=150,"Volume adequado","Volume baixo"))))))</f>
        <v/>
      </c>
    </row>
    <row r="29" customFormat="false" ht="15" hidden="false" customHeight="false" outlineLevel="0" collapsed="false">
      <c r="A29" s="29" t="n">
        <v>46244</v>
      </c>
      <c r="B29" s="40" t="n">
        <f aca="false">IF($A29="",0,INT(($A29-Macrociclo!$C$11)/7)+1)</f>
        <v>32</v>
      </c>
      <c r="C29" s="27" t="s">
        <v>259</v>
      </c>
      <c r="D29" s="27" t="s">
        <v>1235</v>
      </c>
      <c r="E29" s="27" t="s">
        <v>852</v>
      </c>
      <c r="F29" s="39" t="n">
        <v>229</v>
      </c>
      <c r="G29" s="28" t="s">
        <v>1236</v>
      </c>
      <c r="H29" s="28" t="s">
        <v>1234</v>
      </c>
      <c r="I29" s="39"/>
      <c r="J29" s="39" t="n">
        <v>70</v>
      </c>
      <c r="K29" s="71"/>
      <c r="L29" s="28" t="n">
        <v>5</v>
      </c>
      <c r="M29" s="27" t="s">
        <v>373</v>
      </c>
      <c r="O29" s="62" t="str">
        <f aca="false">IF(Cadastro!$B29="","",Cadastro!$B29)</f>
        <v/>
      </c>
      <c r="P29" s="146" t="n">
        <f aca="false">IF($O29="",0,SUMIFS($F$8:$F$807,$C$8:$C$807,$O29,$B$8:$B$807,$R$4,$D$8:$D$807,"Pliometria"))</f>
        <v>0</v>
      </c>
      <c r="Q29" s="146" t="n">
        <f aca="false">IF($O29="",0,SUMIFS($F$8:$F$807,$C$8:$C$807,$O29,$B$8:$B$807,$R$4,$D$8:$D$807,"Treino de quadra"))</f>
        <v>0</v>
      </c>
      <c r="R29" s="146" t="n">
        <f aca="false">IF($O29="",0,SUMIFS($F$8:$F$807,$C$8:$C$807,$O29,$B$8:$B$807,$R$4,$D$8:$D$807,"Jogo"))</f>
        <v>0</v>
      </c>
      <c r="S29" s="147" t="n">
        <f aca="false">SUM($P29:$R29)+IF($O29="",0,SUMIFS($F$8:$F$807,$C$8:$C$807,$O29,$B$8:$B$807,$R$4,$D$8:$D$807,"Musculação"))</f>
        <v>0</v>
      </c>
      <c r="T29" s="146" t="n">
        <f aca="false">IF($O29="",0,SUMIFS($F$8:$F$807,$C$8:$C$807,$O29,$B$8:$B$807,$R$4-1))</f>
        <v>0</v>
      </c>
      <c r="U29" s="148" t="n">
        <f aca="false">IF($T29=0,0,$S29/$T29-1)</f>
        <v>0</v>
      </c>
      <c r="V29" s="62" t="str">
        <f aca="false">IF($O29="","",IF($S29=0,"Sem registro",IF($U29&gt;0.3,"ALERTA — aumento acima de 30%",IF($S29&gt;600,"Volume semanal muito alto",IF($S29&gt;=350,"Volume alto",IF($S29&gt;=150,"Volume adequado","Volume baixo"))))))</f>
        <v/>
      </c>
    </row>
    <row r="30" customFormat="false" ht="15" hidden="false" customHeight="false" outlineLevel="0" collapsed="false">
      <c r="A30" s="29" t="n">
        <v>46246</v>
      </c>
      <c r="B30" s="40" t="n">
        <f aca="false">IF($A30="",0,INT(($A30-Macrociclo!$C$11)/7)+1)</f>
        <v>32</v>
      </c>
      <c r="C30" s="27" t="s">
        <v>264</v>
      </c>
      <c r="D30" s="27" t="s">
        <v>558</v>
      </c>
      <c r="E30" s="27" t="s">
        <v>1233</v>
      </c>
      <c r="F30" s="39" t="n">
        <v>108</v>
      </c>
      <c r="G30" s="28" t="s">
        <v>441</v>
      </c>
      <c r="H30" s="28" t="s">
        <v>1234</v>
      </c>
      <c r="I30" s="39"/>
      <c r="J30" s="39" t="n">
        <v>67</v>
      </c>
      <c r="K30" s="71"/>
      <c r="L30" s="28" t="n">
        <v>3</v>
      </c>
      <c r="M30" s="27" t="s">
        <v>373</v>
      </c>
      <c r="O30" s="60" t="str">
        <f aca="false">IF(Cadastro!$B30="","",Cadastro!$B30)</f>
        <v/>
      </c>
      <c r="P30" s="140" t="n">
        <f aca="false">IF($O30="",0,SUMIFS($F$8:$F$807,$C$8:$C$807,$O30,$B$8:$B$807,$R$4,$D$8:$D$807,"Pliometria"))</f>
        <v>0</v>
      </c>
      <c r="Q30" s="140" t="n">
        <f aca="false">IF($O30="",0,SUMIFS($F$8:$F$807,$C$8:$C$807,$O30,$B$8:$B$807,$R$4,$D$8:$D$807,"Treino de quadra"))</f>
        <v>0</v>
      </c>
      <c r="R30" s="140" t="n">
        <f aca="false">IF($O30="",0,SUMIFS($F$8:$F$807,$C$8:$C$807,$O30,$B$8:$B$807,$R$4,$D$8:$D$807,"Jogo"))</f>
        <v>0</v>
      </c>
      <c r="S30" s="44" t="n">
        <f aca="false">SUM($P30:$R30)+IF($O30="",0,SUMIFS($F$8:$F$807,$C$8:$C$807,$O30,$B$8:$B$807,$R$4,$D$8:$D$807,"Musculação"))</f>
        <v>0</v>
      </c>
      <c r="T30" s="140" t="n">
        <f aca="false">IF($O30="",0,SUMIFS($F$8:$F$807,$C$8:$C$807,$O30,$B$8:$B$807,$R$4-1))</f>
        <v>0</v>
      </c>
      <c r="U30" s="145" t="n">
        <f aca="false">IF($T30=0,0,$S30/$T30-1)</f>
        <v>0</v>
      </c>
      <c r="V30" s="60" t="str">
        <f aca="false">IF($O30="","",IF($S30=0,"Sem registro",IF($U30&gt;0.3,"ALERTA — aumento acima de 30%",IF($S30&gt;600,"Volume semanal muito alto",IF($S30&gt;=350,"Volume alto",IF($S30&gt;=150,"Volume adequado","Volume baixo"))))))</f>
        <v/>
      </c>
    </row>
    <row r="31" customFormat="false" ht="15" hidden="false" customHeight="false" outlineLevel="0" collapsed="false">
      <c r="A31" s="29" t="n">
        <v>46247</v>
      </c>
      <c r="B31" s="40" t="n">
        <f aca="false">IF($A31="",0,INT(($A31-Macrociclo!$C$11)/7)+1)</f>
        <v>32</v>
      </c>
      <c r="C31" s="27" t="s">
        <v>264</v>
      </c>
      <c r="D31" s="27" t="s">
        <v>1235</v>
      </c>
      <c r="E31" s="27" t="s">
        <v>852</v>
      </c>
      <c r="F31" s="39" t="n">
        <v>295</v>
      </c>
      <c r="G31" s="28" t="s">
        <v>1236</v>
      </c>
      <c r="H31" s="28" t="s">
        <v>1234</v>
      </c>
      <c r="I31" s="39"/>
      <c r="J31" s="39" t="n">
        <v>54</v>
      </c>
      <c r="K31" s="71"/>
      <c r="L31" s="28" t="n">
        <v>4</v>
      </c>
      <c r="M31" s="27" t="s">
        <v>373</v>
      </c>
      <c r="O31" s="62" t="str">
        <f aca="false">IF(Cadastro!$B31="","",Cadastro!$B31)</f>
        <v/>
      </c>
      <c r="P31" s="146" t="n">
        <f aca="false">IF($O31="",0,SUMIFS($F$8:$F$807,$C$8:$C$807,$O31,$B$8:$B$807,$R$4,$D$8:$D$807,"Pliometria"))</f>
        <v>0</v>
      </c>
      <c r="Q31" s="146" t="n">
        <f aca="false">IF($O31="",0,SUMIFS($F$8:$F$807,$C$8:$C$807,$O31,$B$8:$B$807,$R$4,$D$8:$D$807,"Treino de quadra"))</f>
        <v>0</v>
      </c>
      <c r="R31" s="146" t="n">
        <f aca="false">IF($O31="",0,SUMIFS($F$8:$F$807,$C$8:$C$807,$O31,$B$8:$B$807,$R$4,$D$8:$D$807,"Jogo"))</f>
        <v>0</v>
      </c>
      <c r="S31" s="147" t="n">
        <f aca="false">SUM($P31:$R31)+IF($O31="",0,SUMIFS($F$8:$F$807,$C$8:$C$807,$O31,$B$8:$B$807,$R$4,$D$8:$D$807,"Musculação"))</f>
        <v>0</v>
      </c>
      <c r="T31" s="146" t="n">
        <f aca="false">IF($O31="",0,SUMIFS($F$8:$F$807,$C$8:$C$807,$O31,$B$8:$B$807,$R$4-1))</f>
        <v>0</v>
      </c>
      <c r="U31" s="148" t="n">
        <f aca="false">IF($T31=0,0,$S31/$T31-1)</f>
        <v>0</v>
      </c>
      <c r="V31" s="62" t="str">
        <f aca="false">IF($O31="","",IF($S31=0,"Sem registro",IF($U31&gt;0.3,"ALERTA — aumento acima de 30%",IF($S31&gt;600,"Volume semanal muito alto",IF($S31&gt;=350,"Volume alto",IF($S31&gt;=150,"Volume adequado","Volume baixo"))))))</f>
        <v/>
      </c>
    </row>
    <row r="32" customFormat="false" ht="15" hidden="false" customHeight="false" outlineLevel="0" collapsed="false">
      <c r="A32" s="29" t="n">
        <v>46246</v>
      </c>
      <c r="B32" s="40" t="n">
        <f aca="false">IF($A32="",0,INT(($A32-Macrociclo!$C$11)/7)+1)</f>
        <v>32</v>
      </c>
      <c r="C32" s="27" t="s">
        <v>270</v>
      </c>
      <c r="D32" s="27" t="s">
        <v>558</v>
      </c>
      <c r="E32" s="27" t="s">
        <v>1233</v>
      </c>
      <c r="F32" s="39" t="n">
        <v>95</v>
      </c>
      <c r="G32" s="28" t="s">
        <v>441</v>
      </c>
      <c r="H32" s="28" t="s">
        <v>1234</v>
      </c>
      <c r="I32" s="39"/>
      <c r="J32" s="39" t="n">
        <v>61</v>
      </c>
      <c r="K32" s="71"/>
      <c r="L32" s="28" t="n">
        <v>5</v>
      </c>
      <c r="M32" s="27" t="s">
        <v>373</v>
      </c>
      <c r="O32" s="60" t="str">
        <f aca="false">IF(Cadastro!$B32="","",Cadastro!$B32)</f>
        <v/>
      </c>
      <c r="P32" s="140" t="n">
        <f aca="false">IF($O32="",0,SUMIFS($F$8:$F$807,$C$8:$C$807,$O32,$B$8:$B$807,$R$4,$D$8:$D$807,"Pliometria"))</f>
        <v>0</v>
      </c>
      <c r="Q32" s="140" t="n">
        <f aca="false">IF($O32="",0,SUMIFS($F$8:$F$807,$C$8:$C$807,$O32,$B$8:$B$807,$R$4,$D$8:$D$807,"Treino de quadra"))</f>
        <v>0</v>
      </c>
      <c r="R32" s="140" t="n">
        <f aca="false">IF($O32="",0,SUMIFS($F$8:$F$807,$C$8:$C$807,$O32,$B$8:$B$807,$R$4,$D$8:$D$807,"Jogo"))</f>
        <v>0</v>
      </c>
      <c r="S32" s="44" t="n">
        <f aca="false">SUM($P32:$R32)+IF($O32="",0,SUMIFS($F$8:$F$807,$C$8:$C$807,$O32,$B$8:$B$807,$R$4,$D$8:$D$807,"Musculação"))</f>
        <v>0</v>
      </c>
      <c r="T32" s="140" t="n">
        <f aca="false">IF($O32="",0,SUMIFS($F$8:$F$807,$C$8:$C$807,$O32,$B$8:$B$807,$R$4-1))</f>
        <v>0</v>
      </c>
      <c r="U32" s="145" t="n">
        <f aca="false">IF($T32=0,0,$S32/$T32-1)</f>
        <v>0</v>
      </c>
      <c r="V32" s="60" t="str">
        <f aca="false">IF($O32="","",IF($S32=0,"Sem registro",IF($U32&gt;0.3,"ALERTA — aumento acima de 30%",IF($S32&gt;600,"Volume semanal muito alto",IF($S32&gt;=350,"Volume alto",IF($S32&gt;=150,"Volume adequado","Volume baixo"))))))</f>
        <v/>
      </c>
    </row>
    <row r="33" customFormat="false" ht="15" hidden="false" customHeight="false" outlineLevel="0" collapsed="false">
      <c r="A33" s="29" t="n">
        <v>46246</v>
      </c>
      <c r="B33" s="40" t="n">
        <f aca="false">IF($A33="",0,INT(($A33-Macrociclo!$C$11)/7)+1)</f>
        <v>32</v>
      </c>
      <c r="C33" s="27" t="s">
        <v>270</v>
      </c>
      <c r="D33" s="27" t="s">
        <v>1235</v>
      </c>
      <c r="E33" s="27" t="s">
        <v>852</v>
      </c>
      <c r="F33" s="39" t="n">
        <v>190</v>
      </c>
      <c r="G33" s="28" t="s">
        <v>1236</v>
      </c>
      <c r="H33" s="28" t="s">
        <v>1234</v>
      </c>
      <c r="I33" s="39"/>
      <c r="J33" s="39" t="n">
        <v>65</v>
      </c>
      <c r="K33" s="71"/>
      <c r="L33" s="28" t="n">
        <v>5</v>
      </c>
      <c r="M33" s="27" t="s">
        <v>373</v>
      </c>
      <c r="O33" s="62" t="str">
        <f aca="false">IF(Cadastro!$B33="","",Cadastro!$B33)</f>
        <v/>
      </c>
      <c r="P33" s="146" t="n">
        <f aca="false">IF($O33="",0,SUMIFS($F$8:$F$807,$C$8:$C$807,$O33,$B$8:$B$807,$R$4,$D$8:$D$807,"Pliometria"))</f>
        <v>0</v>
      </c>
      <c r="Q33" s="146" t="n">
        <f aca="false">IF($O33="",0,SUMIFS($F$8:$F$807,$C$8:$C$807,$O33,$B$8:$B$807,$R$4,$D$8:$D$807,"Treino de quadra"))</f>
        <v>0</v>
      </c>
      <c r="R33" s="146" t="n">
        <f aca="false">IF($O33="",0,SUMIFS($F$8:$F$807,$C$8:$C$807,$O33,$B$8:$B$807,$R$4,$D$8:$D$807,"Jogo"))</f>
        <v>0</v>
      </c>
      <c r="S33" s="147" t="n">
        <f aca="false">SUM($P33:$R33)+IF($O33="",0,SUMIFS($F$8:$F$807,$C$8:$C$807,$O33,$B$8:$B$807,$R$4,$D$8:$D$807,"Musculação"))</f>
        <v>0</v>
      </c>
      <c r="T33" s="146" t="n">
        <f aca="false">IF($O33="",0,SUMIFS($F$8:$F$807,$C$8:$C$807,$O33,$B$8:$B$807,$R$4-1))</f>
        <v>0</v>
      </c>
      <c r="U33" s="148" t="n">
        <f aca="false">IF($T33=0,0,$S33/$T33-1)</f>
        <v>0</v>
      </c>
      <c r="V33" s="62" t="str">
        <f aca="false">IF($O33="","",IF($S33=0,"Sem registro",IF($U33&gt;0.3,"ALERTA — aumento acima de 30%",IF($S33&gt;600,"Volume semanal muito alto",IF($S33&gt;=350,"Volume alto",IF($S33&gt;=150,"Volume adequado","Volume baixo"))))))</f>
        <v/>
      </c>
    </row>
    <row r="34" customFormat="false" ht="15" hidden="false" customHeight="false" outlineLevel="0" collapsed="false">
      <c r="A34" s="29" t="n">
        <v>46245</v>
      </c>
      <c r="B34" s="40" t="n">
        <f aca="false">IF($A34="",0,INT(($A34-Macrociclo!$C$11)/7)+1)</f>
        <v>32</v>
      </c>
      <c r="C34" s="27" t="s">
        <v>270</v>
      </c>
      <c r="D34" s="27" t="s">
        <v>1144</v>
      </c>
      <c r="E34" s="27" t="s">
        <v>1237</v>
      </c>
      <c r="F34" s="39" t="n">
        <v>70</v>
      </c>
      <c r="G34" s="28" t="s">
        <v>447</v>
      </c>
      <c r="H34" s="28" t="s">
        <v>1234</v>
      </c>
      <c r="I34" s="39"/>
      <c r="J34" s="39" t="n">
        <v>57</v>
      </c>
      <c r="K34" s="71"/>
      <c r="L34" s="28" t="n">
        <v>5</v>
      </c>
      <c r="M34" s="27" t="s">
        <v>373</v>
      </c>
      <c r="O34" s="60" t="str">
        <f aca="false">IF(Cadastro!$B34="","",Cadastro!$B34)</f>
        <v/>
      </c>
      <c r="P34" s="140" t="n">
        <f aca="false">IF($O34="",0,SUMIFS($F$8:$F$807,$C$8:$C$807,$O34,$B$8:$B$807,$R$4,$D$8:$D$807,"Pliometria"))</f>
        <v>0</v>
      </c>
      <c r="Q34" s="140" t="n">
        <f aca="false">IF($O34="",0,SUMIFS($F$8:$F$807,$C$8:$C$807,$O34,$B$8:$B$807,$R$4,$D$8:$D$807,"Treino de quadra"))</f>
        <v>0</v>
      </c>
      <c r="R34" s="140" t="n">
        <f aca="false">IF($O34="",0,SUMIFS($F$8:$F$807,$C$8:$C$807,$O34,$B$8:$B$807,$R$4,$D$8:$D$807,"Jogo"))</f>
        <v>0</v>
      </c>
      <c r="S34" s="44" t="n">
        <f aca="false">SUM($P34:$R34)+IF($O34="",0,SUMIFS($F$8:$F$807,$C$8:$C$807,$O34,$B$8:$B$807,$R$4,$D$8:$D$807,"Musculação"))</f>
        <v>0</v>
      </c>
      <c r="T34" s="140" t="n">
        <f aca="false">IF($O34="",0,SUMIFS($F$8:$F$807,$C$8:$C$807,$O34,$B$8:$B$807,$R$4-1))</f>
        <v>0</v>
      </c>
      <c r="U34" s="145" t="n">
        <f aca="false">IF($T34=0,0,$S34/$T34-1)</f>
        <v>0</v>
      </c>
      <c r="V34" s="60" t="str">
        <f aca="false">IF($O34="","",IF($S34=0,"Sem registro",IF($U34&gt;0.3,"ALERTA — aumento acima de 30%",IF($S34&gt;600,"Volume semanal muito alto",IF($S34&gt;=350,"Volume alto",IF($S34&gt;=150,"Volume adequado","Volume baixo"))))))</f>
        <v/>
      </c>
    </row>
    <row r="35" customFormat="false" ht="15" hidden="false" customHeight="false" outlineLevel="0" collapsed="false">
      <c r="A35" s="29" t="n">
        <v>46245</v>
      </c>
      <c r="B35" s="40" t="n">
        <f aca="false">IF($A35="",0,INT(($A35-Macrociclo!$C$11)/7)+1)</f>
        <v>32</v>
      </c>
      <c r="C35" s="27" t="s">
        <v>279</v>
      </c>
      <c r="D35" s="27" t="s">
        <v>558</v>
      </c>
      <c r="E35" s="27" t="s">
        <v>1233</v>
      </c>
      <c r="F35" s="39" t="n">
        <v>104</v>
      </c>
      <c r="G35" s="28" t="s">
        <v>441</v>
      </c>
      <c r="H35" s="28" t="s">
        <v>1234</v>
      </c>
      <c r="I35" s="39"/>
      <c r="J35" s="39" t="n">
        <v>55</v>
      </c>
      <c r="K35" s="71"/>
      <c r="L35" s="28" t="n">
        <v>4</v>
      </c>
      <c r="M35" s="27" t="s">
        <v>373</v>
      </c>
      <c r="O35" s="62" t="str">
        <f aca="false">IF(Cadastro!$B35="","",Cadastro!$B35)</f>
        <v/>
      </c>
      <c r="P35" s="146" t="n">
        <f aca="false">IF($O35="",0,SUMIFS($F$8:$F$807,$C$8:$C$807,$O35,$B$8:$B$807,$R$4,$D$8:$D$807,"Pliometria"))</f>
        <v>0</v>
      </c>
      <c r="Q35" s="146" t="n">
        <f aca="false">IF($O35="",0,SUMIFS($F$8:$F$807,$C$8:$C$807,$O35,$B$8:$B$807,$R$4,$D$8:$D$807,"Treino de quadra"))</f>
        <v>0</v>
      </c>
      <c r="R35" s="146" t="n">
        <f aca="false">IF($O35="",0,SUMIFS($F$8:$F$807,$C$8:$C$807,$O35,$B$8:$B$807,$R$4,$D$8:$D$807,"Jogo"))</f>
        <v>0</v>
      </c>
      <c r="S35" s="147" t="n">
        <f aca="false">SUM($P35:$R35)+IF($O35="",0,SUMIFS($F$8:$F$807,$C$8:$C$807,$O35,$B$8:$B$807,$R$4,$D$8:$D$807,"Musculação"))</f>
        <v>0</v>
      </c>
      <c r="T35" s="146" t="n">
        <f aca="false">IF($O35="",0,SUMIFS($F$8:$F$807,$C$8:$C$807,$O35,$B$8:$B$807,$R$4-1))</f>
        <v>0</v>
      </c>
      <c r="U35" s="148" t="n">
        <f aca="false">IF($T35=0,0,$S35/$T35-1)</f>
        <v>0</v>
      </c>
      <c r="V35" s="62" t="str">
        <f aca="false">IF($O35="","",IF($S35=0,"Sem registro",IF($U35&gt;0.3,"ALERTA — aumento acima de 30%",IF($S35&gt;600,"Volume semanal muito alto",IF($S35&gt;=350,"Volume alto",IF($S35&gt;=150,"Volume adequado","Volume baixo"))))))</f>
        <v/>
      </c>
    </row>
    <row r="36" customFormat="false" ht="15" hidden="false" customHeight="false" outlineLevel="0" collapsed="false">
      <c r="A36" s="29" t="n">
        <v>46246</v>
      </c>
      <c r="B36" s="40" t="n">
        <f aca="false">IF($A36="",0,INT(($A36-Macrociclo!$C$11)/7)+1)</f>
        <v>32</v>
      </c>
      <c r="C36" s="27" t="s">
        <v>279</v>
      </c>
      <c r="D36" s="27" t="s">
        <v>1235</v>
      </c>
      <c r="E36" s="27" t="s">
        <v>852</v>
      </c>
      <c r="F36" s="39" t="n">
        <v>292</v>
      </c>
      <c r="G36" s="28" t="s">
        <v>1236</v>
      </c>
      <c r="H36" s="28" t="s">
        <v>1234</v>
      </c>
      <c r="I36" s="39"/>
      <c r="J36" s="39" t="n">
        <v>71</v>
      </c>
      <c r="K36" s="71"/>
      <c r="L36" s="28" t="n">
        <v>4</v>
      </c>
      <c r="M36" s="27" t="s">
        <v>373</v>
      </c>
      <c r="O36" s="60" t="str">
        <f aca="false">IF(Cadastro!$B36="","",Cadastro!$B36)</f>
        <v/>
      </c>
      <c r="P36" s="140" t="n">
        <f aca="false">IF($O36="",0,SUMIFS($F$8:$F$807,$C$8:$C$807,$O36,$B$8:$B$807,$R$4,$D$8:$D$807,"Pliometria"))</f>
        <v>0</v>
      </c>
      <c r="Q36" s="140" t="n">
        <f aca="false">IF($O36="",0,SUMIFS($F$8:$F$807,$C$8:$C$807,$O36,$B$8:$B$807,$R$4,$D$8:$D$807,"Treino de quadra"))</f>
        <v>0</v>
      </c>
      <c r="R36" s="140" t="n">
        <f aca="false">IF($O36="",0,SUMIFS($F$8:$F$807,$C$8:$C$807,$O36,$B$8:$B$807,$R$4,$D$8:$D$807,"Jogo"))</f>
        <v>0</v>
      </c>
      <c r="S36" s="44" t="n">
        <f aca="false">SUM($P36:$R36)+IF($O36="",0,SUMIFS($F$8:$F$807,$C$8:$C$807,$O36,$B$8:$B$807,$R$4,$D$8:$D$807,"Musculação"))</f>
        <v>0</v>
      </c>
      <c r="T36" s="140" t="n">
        <f aca="false">IF($O36="",0,SUMIFS($F$8:$F$807,$C$8:$C$807,$O36,$B$8:$B$807,$R$4-1))</f>
        <v>0</v>
      </c>
      <c r="U36" s="145" t="n">
        <f aca="false">IF($T36=0,0,$S36/$T36-1)</f>
        <v>0</v>
      </c>
      <c r="V36" s="60" t="str">
        <f aca="false">IF($O36="","",IF($S36=0,"Sem registro",IF($U36&gt;0.3,"ALERTA — aumento acima de 30%",IF($S36&gt;600,"Volume semanal muito alto",IF($S36&gt;=350,"Volume alto",IF($S36&gt;=150,"Volume adequado","Volume baixo"))))))</f>
        <v/>
      </c>
    </row>
    <row r="37" customFormat="false" ht="15" hidden="false" customHeight="false" outlineLevel="0" collapsed="false">
      <c r="A37" s="29" t="n">
        <v>46245</v>
      </c>
      <c r="B37" s="40" t="n">
        <f aca="false">IF($A37="",0,INT(($A37-Macrociclo!$C$11)/7)+1)</f>
        <v>32</v>
      </c>
      <c r="C37" s="27" t="s">
        <v>279</v>
      </c>
      <c r="D37" s="27" t="s">
        <v>1144</v>
      </c>
      <c r="E37" s="27" t="s">
        <v>1237</v>
      </c>
      <c r="F37" s="39" t="n">
        <v>85</v>
      </c>
      <c r="G37" s="28" t="s">
        <v>447</v>
      </c>
      <c r="H37" s="28" t="s">
        <v>1234</v>
      </c>
      <c r="I37" s="39"/>
      <c r="J37" s="39" t="n">
        <v>72</v>
      </c>
      <c r="K37" s="71"/>
      <c r="L37" s="28" t="n">
        <v>3</v>
      </c>
      <c r="M37" s="27" t="s">
        <v>373</v>
      </c>
      <c r="O37" s="62" t="str">
        <f aca="false">IF(Cadastro!$B37="","",Cadastro!$B37)</f>
        <v/>
      </c>
      <c r="P37" s="146" t="n">
        <f aca="false">IF($O37="",0,SUMIFS($F$8:$F$807,$C$8:$C$807,$O37,$B$8:$B$807,$R$4,$D$8:$D$807,"Pliometria"))</f>
        <v>0</v>
      </c>
      <c r="Q37" s="146" t="n">
        <f aca="false">IF($O37="",0,SUMIFS($F$8:$F$807,$C$8:$C$807,$O37,$B$8:$B$807,$R$4,$D$8:$D$807,"Treino de quadra"))</f>
        <v>0</v>
      </c>
      <c r="R37" s="146" t="n">
        <f aca="false">IF($O37="",0,SUMIFS($F$8:$F$807,$C$8:$C$807,$O37,$B$8:$B$807,$R$4,$D$8:$D$807,"Jogo"))</f>
        <v>0</v>
      </c>
      <c r="S37" s="147" t="n">
        <f aca="false">SUM($P37:$R37)+IF($O37="",0,SUMIFS($F$8:$F$807,$C$8:$C$807,$O37,$B$8:$B$807,$R$4,$D$8:$D$807,"Musculação"))</f>
        <v>0</v>
      </c>
      <c r="T37" s="146" t="n">
        <f aca="false">IF($O37="",0,SUMIFS($F$8:$F$807,$C$8:$C$807,$O37,$B$8:$B$807,$R$4-1))</f>
        <v>0</v>
      </c>
      <c r="U37" s="148" t="n">
        <f aca="false">IF($T37=0,0,$S37/$T37-1)</f>
        <v>0</v>
      </c>
      <c r="V37" s="62" t="str">
        <f aca="false">IF($O37="","",IF($S37=0,"Sem registro",IF($U37&gt;0.3,"ALERTA — aumento acima de 30%",IF($S37&gt;600,"Volume semanal muito alto",IF($S37&gt;=350,"Volume alto",IF($S37&gt;=150,"Volume adequado","Volume baixo"))))))</f>
        <v/>
      </c>
    </row>
    <row r="38" customFormat="false" ht="15" hidden="false" customHeight="false" outlineLevel="0" collapsed="false">
      <c r="A38" s="29" t="n">
        <v>46254</v>
      </c>
      <c r="B38" s="40" t="n">
        <f aca="false">IF($A38="",0,INT(($A38-Macrociclo!$C$11)/7)+1)</f>
        <v>33</v>
      </c>
      <c r="C38" s="27" t="s">
        <v>164</v>
      </c>
      <c r="D38" s="27" t="s">
        <v>558</v>
      </c>
      <c r="E38" s="27" t="s">
        <v>1233</v>
      </c>
      <c r="F38" s="39" t="n">
        <v>82</v>
      </c>
      <c r="G38" s="28" t="s">
        <v>441</v>
      </c>
      <c r="H38" s="28" t="s">
        <v>1234</v>
      </c>
      <c r="I38" s="39"/>
      <c r="J38" s="39" t="n">
        <v>56</v>
      </c>
      <c r="K38" s="71"/>
      <c r="L38" s="28" t="n">
        <v>4</v>
      </c>
      <c r="M38" s="27" t="s">
        <v>373</v>
      </c>
      <c r="O38" s="60" t="str">
        <f aca="false">IF(Cadastro!$B38="","",Cadastro!$B38)</f>
        <v/>
      </c>
      <c r="P38" s="140" t="n">
        <f aca="false">IF($O38="",0,SUMIFS($F$8:$F$807,$C$8:$C$807,$O38,$B$8:$B$807,$R$4,$D$8:$D$807,"Pliometria"))</f>
        <v>0</v>
      </c>
      <c r="Q38" s="140" t="n">
        <f aca="false">IF($O38="",0,SUMIFS($F$8:$F$807,$C$8:$C$807,$O38,$B$8:$B$807,$R$4,$D$8:$D$807,"Treino de quadra"))</f>
        <v>0</v>
      </c>
      <c r="R38" s="140" t="n">
        <f aca="false">IF($O38="",0,SUMIFS($F$8:$F$807,$C$8:$C$807,$O38,$B$8:$B$807,$R$4,$D$8:$D$807,"Jogo"))</f>
        <v>0</v>
      </c>
      <c r="S38" s="44" t="n">
        <f aca="false">SUM($P38:$R38)+IF($O38="",0,SUMIFS($F$8:$F$807,$C$8:$C$807,$O38,$B$8:$B$807,$R$4,$D$8:$D$807,"Musculação"))</f>
        <v>0</v>
      </c>
      <c r="T38" s="140" t="n">
        <f aca="false">IF($O38="",0,SUMIFS($F$8:$F$807,$C$8:$C$807,$O38,$B$8:$B$807,$R$4-1))</f>
        <v>0</v>
      </c>
      <c r="U38" s="145" t="n">
        <f aca="false">IF($T38=0,0,$S38/$T38-1)</f>
        <v>0</v>
      </c>
      <c r="V38" s="60" t="str">
        <f aca="false">IF($O38="","",IF($S38=0,"Sem registro",IF($U38&gt;0.3,"ALERTA — aumento acima de 30%",IF($S38&gt;600,"Volume semanal muito alto",IF($S38&gt;=350,"Volume alto",IF($S38&gt;=150,"Volume adequado","Volume baixo"))))))</f>
        <v/>
      </c>
    </row>
    <row r="39" customFormat="false" ht="15" hidden="false" customHeight="false" outlineLevel="0" collapsed="false">
      <c r="A39" s="29" t="n">
        <v>46253</v>
      </c>
      <c r="B39" s="40" t="n">
        <f aca="false">IF($A39="",0,INT(($A39-Macrociclo!$C$11)/7)+1)</f>
        <v>33</v>
      </c>
      <c r="C39" s="27" t="s">
        <v>164</v>
      </c>
      <c r="D39" s="27" t="s">
        <v>1235</v>
      </c>
      <c r="E39" s="27" t="s">
        <v>852</v>
      </c>
      <c r="F39" s="39" t="n">
        <v>214</v>
      </c>
      <c r="G39" s="28" t="s">
        <v>1236</v>
      </c>
      <c r="H39" s="28" t="s">
        <v>1234</v>
      </c>
      <c r="I39" s="39"/>
      <c r="J39" s="39" t="n">
        <v>74</v>
      </c>
      <c r="K39" s="71"/>
      <c r="L39" s="28" t="n">
        <v>4</v>
      </c>
      <c r="M39" s="27" t="s">
        <v>373</v>
      </c>
      <c r="O39" s="62" t="str">
        <f aca="false">IF(Cadastro!$B39="","",Cadastro!$B39)</f>
        <v/>
      </c>
      <c r="P39" s="146" t="n">
        <f aca="false">IF($O39="",0,SUMIFS($F$8:$F$807,$C$8:$C$807,$O39,$B$8:$B$807,$R$4,$D$8:$D$807,"Pliometria"))</f>
        <v>0</v>
      </c>
      <c r="Q39" s="146" t="n">
        <f aca="false">IF($O39="",0,SUMIFS($F$8:$F$807,$C$8:$C$807,$O39,$B$8:$B$807,$R$4,$D$8:$D$807,"Treino de quadra"))</f>
        <v>0</v>
      </c>
      <c r="R39" s="146" t="n">
        <f aca="false">IF($O39="",0,SUMIFS($F$8:$F$807,$C$8:$C$807,$O39,$B$8:$B$807,$R$4,$D$8:$D$807,"Jogo"))</f>
        <v>0</v>
      </c>
      <c r="S39" s="147" t="n">
        <f aca="false">SUM($P39:$R39)+IF($O39="",0,SUMIFS($F$8:$F$807,$C$8:$C$807,$O39,$B$8:$B$807,$R$4,$D$8:$D$807,"Musculação"))</f>
        <v>0</v>
      </c>
      <c r="T39" s="146" t="n">
        <f aca="false">IF($O39="",0,SUMIFS($F$8:$F$807,$C$8:$C$807,$O39,$B$8:$B$807,$R$4-1))</f>
        <v>0</v>
      </c>
      <c r="U39" s="148" t="n">
        <f aca="false">IF($T39=0,0,$S39/$T39-1)</f>
        <v>0</v>
      </c>
      <c r="V39" s="62" t="str">
        <f aca="false">IF($O39="","",IF($S39=0,"Sem registro",IF($U39&gt;0.3,"ALERTA — aumento acima de 30%",IF($S39&gt;600,"Volume semanal muito alto",IF($S39&gt;=350,"Volume alto",IF($S39&gt;=150,"Volume adequado","Volume baixo"))))))</f>
        <v/>
      </c>
    </row>
    <row r="40" customFormat="false" ht="15" hidden="false" customHeight="false" outlineLevel="0" collapsed="false">
      <c r="A40" s="29" t="n">
        <v>46251</v>
      </c>
      <c r="B40" s="40" t="n">
        <f aca="false">IF($A40="",0,INT(($A40-Macrociclo!$C$11)/7)+1)</f>
        <v>33</v>
      </c>
      <c r="C40" s="27" t="s">
        <v>164</v>
      </c>
      <c r="D40" s="27" t="s">
        <v>1144</v>
      </c>
      <c r="E40" s="27" t="s">
        <v>1237</v>
      </c>
      <c r="F40" s="39" t="n">
        <v>70</v>
      </c>
      <c r="G40" s="28" t="s">
        <v>447</v>
      </c>
      <c r="H40" s="28" t="s">
        <v>1234</v>
      </c>
      <c r="I40" s="39"/>
      <c r="J40" s="39" t="n">
        <v>71</v>
      </c>
      <c r="K40" s="71"/>
      <c r="L40" s="28" t="n">
        <v>5</v>
      </c>
      <c r="M40" s="27" t="s">
        <v>373</v>
      </c>
      <c r="O40" s="60" t="str">
        <f aca="false">IF(Cadastro!$B40="","",Cadastro!$B40)</f>
        <v/>
      </c>
      <c r="P40" s="140" t="n">
        <f aca="false">IF($O40="",0,SUMIFS($F$8:$F$807,$C$8:$C$807,$O40,$B$8:$B$807,$R$4,$D$8:$D$807,"Pliometria"))</f>
        <v>0</v>
      </c>
      <c r="Q40" s="140" t="n">
        <f aca="false">IF($O40="",0,SUMIFS($F$8:$F$807,$C$8:$C$807,$O40,$B$8:$B$807,$R$4,$D$8:$D$807,"Treino de quadra"))</f>
        <v>0</v>
      </c>
      <c r="R40" s="140" t="n">
        <f aca="false">IF($O40="",0,SUMIFS($F$8:$F$807,$C$8:$C$807,$O40,$B$8:$B$807,$R$4,$D$8:$D$807,"Jogo"))</f>
        <v>0</v>
      </c>
      <c r="S40" s="44" t="n">
        <f aca="false">SUM($P40:$R40)+IF($O40="",0,SUMIFS($F$8:$F$807,$C$8:$C$807,$O40,$B$8:$B$807,$R$4,$D$8:$D$807,"Musculação"))</f>
        <v>0</v>
      </c>
      <c r="T40" s="140" t="n">
        <f aca="false">IF($O40="",0,SUMIFS($F$8:$F$807,$C$8:$C$807,$O40,$B$8:$B$807,$R$4-1))</f>
        <v>0</v>
      </c>
      <c r="U40" s="145" t="n">
        <f aca="false">IF($T40=0,0,$S40/$T40-1)</f>
        <v>0</v>
      </c>
      <c r="V40" s="60" t="str">
        <f aca="false">IF($O40="","",IF($S40=0,"Sem registro",IF($U40&gt;0.3,"ALERTA — aumento acima de 30%",IF($S40&gt;600,"Volume semanal muito alto",IF($S40&gt;=350,"Volume alto",IF($S40&gt;=150,"Volume adequado","Volume baixo"))))))</f>
        <v/>
      </c>
    </row>
    <row r="41" customFormat="false" ht="15" hidden="false" customHeight="false" outlineLevel="0" collapsed="false">
      <c r="A41" s="29" t="n">
        <v>46253</v>
      </c>
      <c r="B41" s="40" t="n">
        <f aca="false">IF($A41="",0,INT(($A41-Macrociclo!$C$11)/7)+1)</f>
        <v>33</v>
      </c>
      <c r="C41" s="27" t="s">
        <v>192</v>
      </c>
      <c r="D41" s="27" t="s">
        <v>558</v>
      </c>
      <c r="E41" s="27" t="s">
        <v>1233</v>
      </c>
      <c r="F41" s="39" t="n">
        <v>89</v>
      </c>
      <c r="G41" s="28" t="s">
        <v>441</v>
      </c>
      <c r="H41" s="28" t="s">
        <v>1234</v>
      </c>
      <c r="I41" s="39"/>
      <c r="J41" s="39" t="n">
        <v>74</v>
      </c>
      <c r="K41" s="71"/>
      <c r="L41" s="28" t="n">
        <v>5</v>
      </c>
      <c r="M41" s="27" t="s">
        <v>373</v>
      </c>
      <c r="O41" s="62" t="str">
        <f aca="false">IF(Cadastro!$B41="","",Cadastro!$B41)</f>
        <v/>
      </c>
      <c r="P41" s="146" t="n">
        <f aca="false">IF($O41="",0,SUMIFS($F$8:$F$807,$C$8:$C$807,$O41,$B$8:$B$807,$R$4,$D$8:$D$807,"Pliometria"))</f>
        <v>0</v>
      </c>
      <c r="Q41" s="146" t="n">
        <f aca="false">IF($O41="",0,SUMIFS($F$8:$F$807,$C$8:$C$807,$O41,$B$8:$B$807,$R$4,$D$8:$D$807,"Treino de quadra"))</f>
        <v>0</v>
      </c>
      <c r="R41" s="146" t="n">
        <f aca="false">IF($O41="",0,SUMIFS($F$8:$F$807,$C$8:$C$807,$O41,$B$8:$B$807,$R$4,$D$8:$D$807,"Jogo"))</f>
        <v>0</v>
      </c>
      <c r="S41" s="147" t="n">
        <f aca="false">SUM($P41:$R41)+IF($O41="",0,SUMIFS($F$8:$F$807,$C$8:$C$807,$O41,$B$8:$B$807,$R$4,$D$8:$D$807,"Musculação"))</f>
        <v>0</v>
      </c>
      <c r="T41" s="146" t="n">
        <f aca="false">IF($O41="",0,SUMIFS($F$8:$F$807,$C$8:$C$807,$O41,$B$8:$B$807,$R$4-1))</f>
        <v>0</v>
      </c>
      <c r="U41" s="148" t="n">
        <f aca="false">IF($T41=0,0,$S41/$T41-1)</f>
        <v>0</v>
      </c>
      <c r="V41" s="62" t="str">
        <f aca="false">IF($O41="","",IF($S41=0,"Sem registro",IF($U41&gt;0.3,"ALERTA — aumento acima de 30%",IF($S41&gt;600,"Volume semanal muito alto",IF($S41&gt;=350,"Volume alto",IF($S41&gt;=150,"Volume adequado","Volume baixo"))))))</f>
        <v/>
      </c>
    </row>
    <row r="42" customFormat="false" ht="15" hidden="false" customHeight="false" outlineLevel="0" collapsed="false">
      <c r="A42" s="29" t="n">
        <v>46253</v>
      </c>
      <c r="B42" s="40" t="n">
        <f aca="false">IF($A42="",0,INT(($A42-Macrociclo!$C$11)/7)+1)</f>
        <v>33</v>
      </c>
      <c r="C42" s="27" t="s">
        <v>192</v>
      </c>
      <c r="D42" s="27" t="s">
        <v>1235</v>
      </c>
      <c r="E42" s="27" t="s">
        <v>852</v>
      </c>
      <c r="F42" s="39" t="n">
        <v>234</v>
      </c>
      <c r="G42" s="28" t="s">
        <v>1236</v>
      </c>
      <c r="H42" s="28" t="s">
        <v>1234</v>
      </c>
      <c r="I42" s="39"/>
      <c r="J42" s="39" t="n">
        <v>74</v>
      </c>
      <c r="K42" s="71"/>
      <c r="L42" s="28" t="n">
        <v>3</v>
      </c>
      <c r="M42" s="27" t="s">
        <v>373</v>
      </c>
      <c r="O42" s="60" t="str">
        <f aca="false">IF(Cadastro!$B42="","",Cadastro!$B42)</f>
        <v/>
      </c>
      <c r="P42" s="140" t="n">
        <f aca="false">IF($O42="",0,SUMIFS($F$8:$F$807,$C$8:$C$807,$O42,$B$8:$B$807,$R$4,$D$8:$D$807,"Pliometria"))</f>
        <v>0</v>
      </c>
      <c r="Q42" s="140" t="n">
        <f aca="false">IF($O42="",0,SUMIFS($F$8:$F$807,$C$8:$C$807,$O42,$B$8:$B$807,$R$4,$D$8:$D$807,"Treino de quadra"))</f>
        <v>0</v>
      </c>
      <c r="R42" s="140" t="n">
        <f aca="false">IF($O42="",0,SUMIFS($F$8:$F$807,$C$8:$C$807,$O42,$B$8:$B$807,$R$4,$D$8:$D$807,"Jogo"))</f>
        <v>0</v>
      </c>
      <c r="S42" s="44" t="n">
        <f aca="false">SUM($P42:$R42)+IF($O42="",0,SUMIFS($F$8:$F$807,$C$8:$C$807,$O42,$B$8:$B$807,$R$4,$D$8:$D$807,"Musculação"))</f>
        <v>0</v>
      </c>
      <c r="T42" s="140" t="n">
        <f aca="false">IF($O42="",0,SUMIFS($F$8:$F$807,$C$8:$C$807,$O42,$B$8:$B$807,$R$4-1))</f>
        <v>0</v>
      </c>
      <c r="U42" s="145" t="n">
        <f aca="false">IF($T42=0,0,$S42/$T42-1)</f>
        <v>0</v>
      </c>
      <c r="V42" s="60" t="str">
        <f aca="false">IF($O42="","",IF($S42=0,"Sem registro",IF($U42&gt;0.3,"ALERTA — aumento acima de 30%",IF($S42&gt;600,"Volume semanal muito alto",IF($S42&gt;=350,"Volume alto",IF($S42&gt;=150,"Volume adequado","Volume baixo"))))))</f>
        <v/>
      </c>
    </row>
    <row r="43" customFormat="false" ht="15" hidden="false" customHeight="false" outlineLevel="0" collapsed="false">
      <c r="A43" s="29" t="n">
        <v>46251</v>
      </c>
      <c r="B43" s="40" t="n">
        <f aca="false">IF($A43="",0,INT(($A43-Macrociclo!$C$11)/7)+1)</f>
        <v>33</v>
      </c>
      <c r="C43" s="27" t="s">
        <v>192</v>
      </c>
      <c r="D43" s="27" t="s">
        <v>1144</v>
      </c>
      <c r="E43" s="27" t="s">
        <v>1237</v>
      </c>
      <c r="F43" s="39" t="n">
        <v>85</v>
      </c>
      <c r="G43" s="28" t="s">
        <v>447</v>
      </c>
      <c r="H43" s="28" t="s">
        <v>1234</v>
      </c>
      <c r="I43" s="39"/>
      <c r="J43" s="39" t="n">
        <v>68</v>
      </c>
      <c r="K43" s="71"/>
      <c r="L43" s="28" t="n">
        <v>4</v>
      </c>
      <c r="M43" s="27" t="s">
        <v>373</v>
      </c>
      <c r="O43" s="62" t="str">
        <f aca="false">IF(Cadastro!$B43="","",Cadastro!$B43)</f>
        <v/>
      </c>
      <c r="P43" s="146" t="n">
        <f aca="false">IF($O43="",0,SUMIFS($F$8:$F$807,$C$8:$C$807,$O43,$B$8:$B$807,$R$4,$D$8:$D$807,"Pliometria"))</f>
        <v>0</v>
      </c>
      <c r="Q43" s="146" t="n">
        <f aca="false">IF($O43="",0,SUMIFS($F$8:$F$807,$C$8:$C$807,$O43,$B$8:$B$807,$R$4,$D$8:$D$807,"Treino de quadra"))</f>
        <v>0</v>
      </c>
      <c r="R43" s="146" t="n">
        <f aca="false">IF($O43="",0,SUMIFS($F$8:$F$807,$C$8:$C$807,$O43,$B$8:$B$807,$R$4,$D$8:$D$807,"Jogo"))</f>
        <v>0</v>
      </c>
      <c r="S43" s="147" t="n">
        <f aca="false">SUM($P43:$R43)+IF($O43="",0,SUMIFS($F$8:$F$807,$C$8:$C$807,$O43,$B$8:$B$807,$R$4,$D$8:$D$807,"Musculação"))</f>
        <v>0</v>
      </c>
      <c r="T43" s="146" t="n">
        <f aca="false">IF($O43="",0,SUMIFS($F$8:$F$807,$C$8:$C$807,$O43,$B$8:$B$807,$R$4-1))</f>
        <v>0</v>
      </c>
      <c r="U43" s="148" t="n">
        <f aca="false">IF($T43=0,0,$S43/$T43-1)</f>
        <v>0</v>
      </c>
      <c r="V43" s="62" t="str">
        <f aca="false">IF($O43="","",IF($S43=0,"Sem registro",IF($U43&gt;0.3,"ALERTA — aumento acima de 30%",IF($S43&gt;600,"Volume semanal muito alto",IF($S43&gt;=350,"Volume alto",IF($S43&gt;=150,"Volume adequado","Volume baixo"))))))</f>
        <v/>
      </c>
    </row>
    <row r="44" customFormat="false" ht="15" hidden="false" customHeight="false" outlineLevel="0" collapsed="false">
      <c r="A44" s="29" t="n">
        <v>46252</v>
      </c>
      <c r="B44" s="40" t="n">
        <f aca="false">IF($A44="",0,INT(($A44-Macrociclo!$C$11)/7)+1)</f>
        <v>33</v>
      </c>
      <c r="C44" s="27" t="s">
        <v>206</v>
      </c>
      <c r="D44" s="27" t="s">
        <v>558</v>
      </c>
      <c r="E44" s="27" t="s">
        <v>1233</v>
      </c>
      <c r="F44" s="39" t="n">
        <v>105</v>
      </c>
      <c r="G44" s="28" t="s">
        <v>441</v>
      </c>
      <c r="H44" s="28" t="s">
        <v>1234</v>
      </c>
      <c r="I44" s="39"/>
      <c r="J44" s="39" t="n">
        <v>63</v>
      </c>
      <c r="K44" s="71"/>
      <c r="L44" s="28" t="n">
        <v>4</v>
      </c>
      <c r="M44" s="27" t="s">
        <v>373</v>
      </c>
      <c r="O44" s="60" t="str">
        <f aca="false">IF(Cadastro!$B44="","",Cadastro!$B44)</f>
        <v/>
      </c>
      <c r="P44" s="140" t="n">
        <f aca="false">IF($O44="",0,SUMIFS($F$8:$F$807,$C$8:$C$807,$O44,$B$8:$B$807,$R$4,$D$8:$D$807,"Pliometria"))</f>
        <v>0</v>
      </c>
      <c r="Q44" s="140" t="n">
        <f aca="false">IF($O44="",0,SUMIFS($F$8:$F$807,$C$8:$C$807,$O44,$B$8:$B$807,$R$4,$D$8:$D$807,"Treino de quadra"))</f>
        <v>0</v>
      </c>
      <c r="R44" s="140" t="n">
        <f aca="false">IF($O44="",0,SUMIFS($F$8:$F$807,$C$8:$C$807,$O44,$B$8:$B$807,$R$4,$D$8:$D$807,"Jogo"))</f>
        <v>0</v>
      </c>
      <c r="S44" s="44" t="n">
        <f aca="false">SUM($P44:$R44)+IF($O44="",0,SUMIFS($F$8:$F$807,$C$8:$C$807,$O44,$B$8:$B$807,$R$4,$D$8:$D$807,"Musculação"))</f>
        <v>0</v>
      </c>
      <c r="T44" s="140" t="n">
        <f aca="false">IF($O44="",0,SUMIFS($F$8:$F$807,$C$8:$C$807,$O44,$B$8:$B$807,$R$4-1))</f>
        <v>0</v>
      </c>
      <c r="U44" s="145" t="n">
        <f aca="false">IF($T44=0,0,$S44/$T44-1)</f>
        <v>0</v>
      </c>
      <c r="V44" s="60" t="str">
        <f aca="false">IF($O44="","",IF($S44=0,"Sem registro",IF($U44&gt;0.3,"ALERTA — aumento acima de 30%",IF($S44&gt;600,"Volume semanal muito alto",IF($S44&gt;=350,"Volume alto",IF($S44&gt;=150,"Volume adequado","Volume baixo"))))))</f>
        <v/>
      </c>
    </row>
    <row r="45" customFormat="false" ht="15" hidden="false" customHeight="false" outlineLevel="0" collapsed="false">
      <c r="A45" s="29" t="n">
        <v>46253</v>
      </c>
      <c r="B45" s="40" t="n">
        <f aca="false">IF($A45="",0,INT(($A45-Macrociclo!$C$11)/7)+1)</f>
        <v>33</v>
      </c>
      <c r="C45" s="27" t="s">
        <v>206</v>
      </c>
      <c r="D45" s="27" t="s">
        <v>1235</v>
      </c>
      <c r="E45" s="27" t="s">
        <v>852</v>
      </c>
      <c r="F45" s="39" t="n">
        <v>198</v>
      </c>
      <c r="G45" s="28" t="s">
        <v>1236</v>
      </c>
      <c r="H45" s="28" t="s">
        <v>1234</v>
      </c>
      <c r="I45" s="39"/>
      <c r="J45" s="39" t="n">
        <v>62</v>
      </c>
      <c r="K45" s="71"/>
      <c r="L45" s="28" t="n">
        <v>4</v>
      </c>
      <c r="M45" s="27" t="s">
        <v>373</v>
      </c>
      <c r="O45" s="62" t="str">
        <f aca="false">IF(Cadastro!$B45="","",Cadastro!$B45)</f>
        <v/>
      </c>
      <c r="P45" s="146" t="n">
        <f aca="false">IF($O45="",0,SUMIFS($F$8:$F$807,$C$8:$C$807,$O45,$B$8:$B$807,$R$4,$D$8:$D$807,"Pliometria"))</f>
        <v>0</v>
      </c>
      <c r="Q45" s="146" t="n">
        <f aca="false">IF($O45="",0,SUMIFS($F$8:$F$807,$C$8:$C$807,$O45,$B$8:$B$807,$R$4,$D$8:$D$807,"Treino de quadra"))</f>
        <v>0</v>
      </c>
      <c r="R45" s="146" t="n">
        <f aca="false">IF($O45="",0,SUMIFS($F$8:$F$807,$C$8:$C$807,$O45,$B$8:$B$807,$R$4,$D$8:$D$807,"Jogo"))</f>
        <v>0</v>
      </c>
      <c r="S45" s="147" t="n">
        <f aca="false">SUM($P45:$R45)+IF($O45="",0,SUMIFS($F$8:$F$807,$C$8:$C$807,$O45,$B$8:$B$807,$R$4,$D$8:$D$807,"Musculação"))</f>
        <v>0</v>
      </c>
      <c r="T45" s="146" t="n">
        <f aca="false">IF($O45="",0,SUMIFS($F$8:$F$807,$C$8:$C$807,$O45,$B$8:$B$807,$R$4-1))</f>
        <v>0</v>
      </c>
      <c r="U45" s="148" t="n">
        <f aca="false">IF($T45=0,0,$S45/$T45-1)</f>
        <v>0</v>
      </c>
      <c r="V45" s="62" t="str">
        <f aca="false">IF($O45="","",IF($S45=0,"Sem registro",IF($U45&gt;0.3,"ALERTA — aumento acima de 30%",IF($S45&gt;600,"Volume semanal muito alto",IF($S45&gt;=350,"Volume alto",IF($S45&gt;=150,"Volume adequado","Volume baixo"))))))</f>
        <v/>
      </c>
    </row>
    <row r="46" customFormat="false" ht="15" hidden="false" customHeight="false" outlineLevel="0" collapsed="false">
      <c r="A46" s="29" t="n">
        <v>46253</v>
      </c>
      <c r="B46" s="40" t="n">
        <f aca="false">IF($A46="",0,INT(($A46-Macrociclo!$C$11)/7)+1)</f>
        <v>33</v>
      </c>
      <c r="C46" s="27" t="s">
        <v>215</v>
      </c>
      <c r="D46" s="27" t="s">
        <v>558</v>
      </c>
      <c r="E46" s="27" t="s">
        <v>1233</v>
      </c>
      <c r="F46" s="39" t="n">
        <v>100</v>
      </c>
      <c r="G46" s="28" t="s">
        <v>441</v>
      </c>
      <c r="H46" s="28" t="s">
        <v>1234</v>
      </c>
      <c r="I46" s="39"/>
      <c r="J46" s="39" t="n">
        <v>65</v>
      </c>
      <c r="K46" s="71"/>
      <c r="L46" s="28" t="n">
        <v>3</v>
      </c>
      <c r="M46" s="27" t="s">
        <v>373</v>
      </c>
      <c r="O46" s="60" t="str">
        <f aca="false">IF(Cadastro!$B46="","",Cadastro!$B46)</f>
        <v/>
      </c>
      <c r="P46" s="140" t="n">
        <f aca="false">IF($O46="",0,SUMIFS($F$8:$F$807,$C$8:$C$807,$O46,$B$8:$B$807,$R$4,$D$8:$D$807,"Pliometria"))</f>
        <v>0</v>
      </c>
      <c r="Q46" s="140" t="n">
        <f aca="false">IF($O46="",0,SUMIFS($F$8:$F$807,$C$8:$C$807,$O46,$B$8:$B$807,$R$4,$D$8:$D$807,"Treino de quadra"))</f>
        <v>0</v>
      </c>
      <c r="R46" s="140" t="n">
        <f aca="false">IF($O46="",0,SUMIFS($F$8:$F$807,$C$8:$C$807,$O46,$B$8:$B$807,$R$4,$D$8:$D$807,"Jogo"))</f>
        <v>0</v>
      </c>
      <c r="S46" s="44" t="n">
        <f aca="false">SUM($P46:$R46)+IF($O46="",0,SUMIFS($F$8:$F$807,$C$8:$C$807,$O46,$B$8:$B$807,$R$4,$D$8:$D$807,"Musculação"))</f>
        <v>0</v>
      </c>
      <c r="T46" s="140" t="n">
        <f aca="false">IF($O46="",0,SUMIFS($F$8:$F$807,$C$8:$C$807,$O46,$B$8:$B$807,$R$4-1))</f>
        <v>0</v>
      </c>
      <c r="U46" s="145" t="n">
        <f aca="false">IF($T46=0,0,$S46/$T46-1)</f>
        <v>0</v>
      </c>
      <c r="V46" s="60" t="str">
        <f aca="false">IF($O46="","",IF($S46=0,"Sem registro",IF($U46&gt;0.3,"ALERTA — aumento acima de 30%",IF($S46&gt;600,"Volume semanal muito alto",IF($S46&gt;=350,"Volume alto",IF($S46&gt;=150,"Volume adequado","Volume baixo"))))))</f>
        <v/>
      </c>
    </row>
    <row r="47" customFormat="false" ht="15" hidden="false" customHeight="false" outlineLevel="0" collapsed="false">
      <c r="A47" s="29" t="n">
        <v>46253</v>
      </c>
      <c r="B47" s="40" t="n">
        <f aca="false">IF($A47="",0,INT(($A47-Macrociclo!$C$11)/7)+1)</f>
        <v>33</v>
      </c>
      <c r="C47" s="27" t="s">
        <v>215</v>
      </c>
      <c r="D47" s="27" t="s">
        <v>1235</v>
      </c>
      <c r="E47" s="27" t="s">
        <v>852</v>
      </c>
      <c r="F47" s="39" t="n">
        <v>304</v>
      </c>
      <c r="G47" s="28" t="s">
        <v>1236</v>
      </c>
      <c r="H47" s="28" t="s">
        <v>1234</v>
      </c>
      <c r="I47" s="39"/>
      <c r="J47" s="39" t="n">
        <v>73</v>
      </c>
      <c r="K47" s="71"/>
      <c r="L47" s="28" t="n">
        <v>5</v>
      </c>
      <c r="M47" s="27" t="s">
        <v>373</v>
      </c>
      <c r="O47" s="62" t="str">
        <f aca="false">IF(Cadastro!$B47="","",Cadastro!$B47)</f>
        <v/>
      </c>
      <c r="P47" s="146" t="n">
        <f aca="false">IF($O47="",0,SUMIFS($F$8:$F$807,$C$8:$C$807,$O47,$B$8:$B$807,$R$4,$D$8:$D$807,"Pliometria"))</f>
        <v>0</v>
      </c>
      <c r="Q47" s="146" t="n">
        <f aca="false">IF($O47="",0,SUMIFS($F$8:$F$807,$C$8:$C$807,$O47,$B$8:$B$807,$R$4,$D$8:$D$807,"Treino de quadra"))</f>
        <v>0</v>
      </c>
      <c r="R47" s="146" t="n">
        <f aca="false">IF($O47="",0,SUMIFS($F$8:$F$807,$C$8:$C$807,$O47,$B$8:$B$807,$R$4,$D$8:$D$807,"Jogo"))</f>
        <v>0</v>
      </c>
      <c r="S47" s="147" t="n">
        <f aca="false">SUM($P47:$R47)+IF($O47="",0,SUMIFS($F$8:$F$807,$C$8:$C$807,$O47,$B$8:$B$807,$R$4,$D$8:$D$807,"Musculação"))</f>
        <v>0</v>
      </c>
      <c r="T47" s="146" t="n">
        <f aca="false">IF($O47="",0,SUMIFS($F$8:$F$807,$C$8:$C$807,$O47,$B$8:$B$807,$R$4-1))</f>
        <v>0</v>
      </c>
      <c r="U47" s="148" t="n">
        <f aca="false">IF($T47=0,0,$S47/$T47-1)</f>
        <v>0</v>
      </c>
      <c r="V47" s="62" t="str">
        <f aca="false">IF($O47="","",IF($S47=0,"Sem registro",IF($U47&gt;0.3,"ALERTA — aumento acima de 30%",IF($S47&gt;600,"Volume semanal muito alto",IF($S47&gt;=350,"Volume alto",IF($S47&gt;=150,"Volume adequado","Volume baixo"))))))</f>
        <v/>
      </c>
    </row>
    <row r="48" customFormat="false" ht="15" hidden="false" customHeight="false" outlineLevel="0" collapsed="false">
      <c r="A48" s="29" t="n">
        <v>46255</v>
      </c>
      <c r="B48" s="40" t="n">
        <f aca="false">IF($A48="",0,INT(($A48-Macrociclo!$C$11)/7)+1)</f>
        <v>33</v>
      </c>
      <c r="C48" s="27" t="s">
        <v>215</v>
      </c>
      <c r="D48" s="27" t="s">
        <v>1144</v>
      </c>
      <c r="E48" s="27" t="s">
        <v>1237</v>
      </c>
      <c r="F48" s="39" t="n">
        <v>70</v>
      </c>
      <c r="G48" s="28" t="s">
        <v>447</v>
      </c>
      <c r="H48" s="28" t="s">
        <v>1234</v>
      </c>
      <c r="I48" s="39"/>
      <c r="J48" s="39" t="n">
        <v>72</v>
      </c>
      <c r="K48" s="71"/>
      <c r="L48" s="28" t="n">
        <v>5</v>
      </c>
      <c r="M48" s="27" t="s">
        <v>373</v>
      </c>
    </row>
    <row r="49" customFormat="false" ht="15" hidden="false" customHeight="false" outlineLevel="0" collapsed="false">
      <c r="A49" s="29" t="n">
        <v>46252</v>
      </c>
      <c r="B49" s="40" t="n">
        <f aca="false">IF($A49="",0,INT(($A49-Macrociclo!$C$11)/7)+1)</f>
        <v>33</v>
      </c>
      <c r="C49" s="27" t="s">
        <v>226</v>
      </c>
      <c r="D49" s="27" t="s">
        <v>558</v>
      </c>
      <c r="E49" s="27" t="s">
        <v>1233</v>
      </c>
      <c r="F49" s="39" t="n">
        <v>100</v>
      </c>
      <c r="G49" s="28" t="s">
        <v>441</v>
      </c>
      <c r="H49" s="28" t="s">
        <v>1234</v>
      </c>
      <c r="I49" s="39"/>
      <c r="J49" s="39" t="n">
        <v>68</v>
      </c>
      <c r="K49" s="71"/>
      <c r="L49" s="28" t="n">
        <v>4</v>
      </c>
      <c r="M49" s="27" t="s">
        <v>373</v>
      </c>
    </row>
    <row r="50" customFormat="false" ht="15" hidden="false" customHeight="false" outlineLevel="0" collapsed="false">
      <c r="A50" s="29" t="n">
        <v>46255</v>
      </c>
      <c r="B50" s="40" t="n">
        <f aca="false">IF($A50="",0,INT(($A50-Macrociclo!$C$11)/7)+1)</f>
        <v>33</v>
      </c>
      <c r="C50" s="27" t="s">
        <v>226</v>
      </c>
      <c r="D50" s="27" t="s">
        <v>1235</v>
      </c>
      <c r="E50" s="27" t="s">
        <v>852</v>
      </c>
      <c r="F50" s="39" t="n">
        <v>237</v>
      </c>
      <c r="G50" s="28" t="s">
        <v>1236</v>
      </c>
      <c r="H50" s="28" t="s">
        <v>1234</v>
      </c>
      <c r="I50" s="39"/>
      <c r="J50" s="39" t="n">
        <v>54</v>
      </c>
      <c r="K50" s="71"/>
      <c r="L50" s="28" t="n">
        <v>5</v>
      </c>
      <c r="M50" s="27" t="s">
        <v>373</v>
      </c>
    </row>
    <row r="51" customFormat="false" ht="15" hidden="false" customHeight="false" outlineLevel="0" collapsed="false">
      <c r="A51" s="29" t="n">
        <v>46251</v>
      </c>
      <c r="B51" s="40" t="n">
        <f aca="false">IF($A51="",0,INT(($A51-Macrociclo!$C$11)/7)+1)</f>
        <v>33</v>
      </c>
      <c r="C51" s="27" t="s">
        <v>226</v>
      </c>
      <c r="D51" s="27" t="s">
        <v>1144</v>
      </c>
      <c r="E51" s="27" t="s">
        <v>1237</v>
      </c>
      <c r="F51" s="39" t="n">
        <v>70</v>
      </c>
      <c r="G51" s="28" t="s">
        <v>447</v>
      </c>
      <c r="H51" s="28" t="s">
        <v>1234</v>
      </c>
      <c r="I51" s="39"/>
      <c r="J51" s="39" t="n">
        <v>69</v>
      </c>
      <c r="K51" s="71"/>
      <c r="L51" s="28" t="n">
        <v>5</v>
      </c>
      <c r="M51" s="27" t="s">
        <v>373</v>
      </c>
    </row>
    <row r="52" customFormat="false" ht="15" hidden="false" customHeight="false" outlineLevel="0" collapsed="false">
      <c r="A52" s="29" t="n">
        <v>46254</v>
      </c>
      <c r="B52" s="40" t="n">
        <f aca="false">IF($A52="",0,INT(($A52-Macrociclo!$C$11)/7)+1)</f>
        <v>33</v>
      </c>
      <c r="C52" s="27" t="s">
        <v>236</v>
      </c>
      <c r="D52" s="27" t="s">
        <v>558</v>
      </c>
      <c r="E52" s="27" t="s">
        <v>1233</v>
      </c>
      <c r="F52" s="39" t="n">
        <v>116</v>
      </c>
      <c r="G52" s="28" t="s">
        <v>441</v>
      </c>
      <c r="H52" s="28" t="s">
        <v>1234</v>
      </c>
      <c r="I52" s="39"/>
      <c r="J52" s="39" t="n">
        <v>67</v>
      </c>
      <c r="K52" s="71"/>
      <c r="L52" s="28" t="n">
        <v>5</v>
      </c>
      <c r="M52" s="27" t="s">
        <v>373</v>
      </c>
    </row>
    <row r="53" customFormat="false" ht="15" hidden="false" customHeight="false" outlineLevel="0" collapsed="false">
      <c r="A53" s="29" t="n">
        <v>46252</v>
      </c>
      <c r="B53" s="40" t="n">
        <f aca="false">IF($A53="",0,INT(($A53-Macrociclo!$C$11)/7)+1)</f>
        <v>33</v>
      </c>
      <c r="C53" s="27" t="s">
        <v>236</v>
      </c>
      <c r="D53" s="27" t="s">
        <v>1235</v>
      </c>
      <c r="E53" s="27" t="s">
        <v>852</v>
      </c>
      <c r="F53" s="39" t="n">
        <v>310</v>
      </c>
      <c r="G53" s="28" t="s">
        <v>1236</v>
      </c>
      <c r="H53" s="28" t="s">
        <v>1234</v>
      </c>
      <c r="I53" s="39"/>
      <c r="J53" s="39" t="n">
        <v>58</v>
      </c>
      <c r="K53" s="71"/>
      <c r="L53" s="28" t="n">
        <v>3</v>
      </c>
      <c r="M53" s="27" t="s">
        <v>373</v>
      </c>
    </row>
    <row r="54" customFormat="false" ht="15" hidden="false" customHeight="false" outlineLevel="0" collapsed="false">
      <c r="A54" s="29" t="n">
        <v>46253</v>
      </c>
      <c r="B54" s="40" t="n">
        <f aca="false">IF($A54="",0,INT(($A54-Macrociclo!$C$11)/7)+1)</f>
        <v>33</v>
      </c>
      <c r="C54" s="27" t="s">
        <v>236</v>
      </c>
      <c r="D54" s="27" t="s">
        <v>1144</v>
      </c>
      <c r="E54" s="27" t="s">
        <v>1237</v>
      </c>
      <c r="F54" s="39" t="n">
        <v>70</v>
      </c>
      <c r="G54" s="28" t="s">
        <v>447</v>
      </c>
      <c r="H54" s="28" t="s">
        <v>1234</v>
      </c>
      <c r="I54" s="39"/>
      <c r="J54" s="39" t="n">
        <v>56</v>
      </c>
      <c r="K54" s="71"/>
      <c r="L54" s="28" t="n">
        <v>4</v>
      </c>
      <c r="M54" s="27" t="s">
        <v>373</v>
      </c>
    </row>
    <row r="55" customFormat="false" ht="15" hidden="false" customHeight="false" outlineLevel="0" collapsed="false">
      <c r="A55" s="29" t="n">
        <v>46251</v>
      </c>
      <c r="B55" s="40" t="n">
        <f aca="false">IF($A55="",0,INT(($A55-Macrociclo!$C$11)/7)+1)</f>
        <v>33</v>
      </c>
      <c r="C55" s="27" t="s">
        <v>244</v>
      </c>
      <c r="D55" s="27" t="s">
        <v>558</v>
      </c>
      <c r="E55" s="27" t="s">
        <v>1233</v>
      </c>
      <c r="F55" s="39" t="n">
        <v>93</v>
      </c>
      <c r="G55" s="28" t="s">
        <v>441</v>
      </c>
      <c r="H55" s="28" t="s">
        <v>1234</v>
      </c>
      <c r="I55" s="39"/>
      <c r="J55" s="39" t="n">
        <v>73</v>
      </c>
      <c r="K55" s="71"/>
      <c r="L55" s="28" t="n">
        <v>3</v>
      </c>
      <c r="M55" s="27" t="s">
        <v>373</v>
      </c>
    </row>
    <row r="56" customFormat="false" ht="15" hidden="false" customHeight="false" outlineLevel="0" collapsed="false">
      <c r="A56" s="29" t="n">
        <v>46252</v>
      </c>
      <c r="B56" s="40" t="n">
        <f aca="false">IF($A56="",0,INT(($A56-Macrociclo!$C$11)/7)+1)</f>
        <v>33</v>
      </c>
      <c r="C56" s="27" t="s">
        <v>244</v>
      </c>
      <c r="D56" s="27" t="s">
        <v>1235</v>
      </c>
      <c r="E56" s="27" t="s">
        <v>852</v>
      </c>
      <c r="F56" s="39" t="n">
        <v>243</v>
      </c>
      <c r="G56" s="28" t="s">
        <v>1236</v>
      </c>
      <c r="H56" s="28" t="s">
        <v>1234</v>
      </c>
      <c r="I56" s="39"/>
      <c r="J56" s="39" t="n">
        <v>58</v>
      </c>
      <c r="K56" s="71"/>
      <c r="L56" s="28" t="n">
        <v>5</v>
      </c>
      <c r="M56" s="27" t="s">
        <v>373</v>
      </c>
    </row>
    <row r="57" customFormat="false" ht="15" hidden="false" customHeight="false" outlineLevel="0" collapsed="false">
      <c r="A57" s="29" t="n">
        <v>46254</v>
      </c>
      <c r="B57" s="40" t="n">
        <f aca="false">IF($A57="",0,INT(($A57-Macrociclo!$C$11)/7)+1)</f>
        <v>33</v>
      </c>
      <c r="C57" s="27" t="s">
        <v>244</v>
      </c>
      <c r="D57" s="27" t="s">
        <v>1144</v>
      </c>
      <c r="E57" s="27" t="s">
        <v>1237</v>
      </c>
      <c r="F57" s="39" t="n">
        <v>85</v>
      </c>
      <c r="G57" s="28" t="s">
        <v>447</v>
      </c>
      <c r="H57" s="28" t="s">
        <v>1234</v>
      </c>
      <c r="I57" s="39"/>
      <c r="J57" s="39" t="n">
        <v>72</v>
      </c>
      <c r="K57" s="71"/>
      <c r="L57" s="28" t="n">
        <v>4</v>
      </c>
      <c r="M57" s="27" t="s">
        <v>373</v>
      </c>
    </row>
    <row r="58" customFormat="false" ht="15" hidden="false" customHeight="false" outlineLevel="0" collapsed="false">
      <c r="A58" s="29" t="n">
        <v>46255</v>
      </c>
      <c r="B58" s="40" t="n">
        <f aca="false">IF($A58="",0,INT(($A58-Macrociclo!$C$11)/7)+1)</f>
        <v>33</v>
      </c>
      <c r="C58" s="27" t="s">
        <v>253</v>
      </c>
      <c r="D58" s="27" t="s">
        <v>558</v>
      </c>
      <c r="E58" s="27" t="s">
        <v>1233</v>
      </c>
      <c r="F58" s="39" t="n">
        <v>121</v>
      </c>
      <c r="G58" s="28" t="s">
        <v>441</v>
      </c>
      <c r="H58" s="28" t="s">
        <v>1234</v>
      </c>
      <c r="I58" s="39"/>
      <c r="J58" s="39" t="n">
        <v>63</v>
      </c>
      <c r="K58" s="71"/>
      <c r="L58" s="28" t="n">
        <v>4</v>
      </c>
      <c r="M58" s="27" t="s">
        <v>373</v>
      </c>
    </row>
    <row r="59" customFormat="false" ht="15" hidden="false" customHeight="false" outlineLevel="0" collapsed="false">
      <c r="A59" s="29" t="n">
        <v>46251</v>
      </c>
      <c r="B59" s="40" t="n">
        <f aca="false">IF($A59="",0,INT(($A59-Macrociclo!$C$11)/7)+1)</f>
        <v>33</v>
      </c>
      <c r="C59" s="27" t="s">
        <v>253</v>
      </c>
      <c r="D59" s="27" t="s">
        <v>1235</v>
      </c>
      <c r="E59" s="27" t="s">
        <v>852</v>
      </c>
      <c r="F59" s="39" t="n">
        <v>272</v>
      </c>
      <c r="G59" s="28" t="s">
        <v>1236</v>
      </c>
      <c r="H59" s="28" t="s">
        <v>1234</v>
      </c>
      <c r="I59" s="39"/>
      <c r="J59" s="39" t="n">
        <v>69</v>
      </c>
      <c r="K59" s="71"/>
      <c r="L59" s="28" t="n">
        <v>3</v>
      </c>
      <c r="M59" s="27" t="s">
        <v>373</v>
      </c>
    </row>
    <row r="60" customFormat="false" ht="15" hidden="false" customHeight="false" outlineLevel="0" collapsed="false">
      <c r="A60" s="29" t="n">
        <v>46255</v>
      </c>
      <c r="B60" s="40" t="n">
        <f aca="false">IF($A60="",0,INT(($A60-Macrociclo!$C$11)/7)+1)</f>
        <v>33</v>
      </c>
      <c r="C60" s="27" t="s">
        <v>259</v>
      </c>
      <c r="D60" s="27" t="s">
        <v>558</v>
      </c>
      <c r="E60" s="27" t="s">
        <v>1233</v>
      </c>
      <c r="F60" s="39" t="n">
        <v>89</v>
      </c>
      <c r="G60" s="28" t="s">
        <v>441</v>
      </c>
      <c r="H60" s="28" t="s">
        <v>1234</v>
      </c>
      <c r="I60" s="39"/>
      <c r="J60" s="39" t="n">
        <v>69</v>
      </c>
      <c r="K60" s="71"/>
      <c r="L60" s="28" t="n">
        <v>5</v>
      </c>
      <c r="M60" s="27" t="s">
        <v>373</v>
      </c>
    </row>
    <row r="61" customFormat="false" ht="15" hidden="false" customHeight="false" outlineLevel="0" collapsed="false">
      <c r="A61" s="29" t="n">
        <v>46251</v>
      </c>
      <c r="B61" s="40" t="n">
        <f aca="false">IF($A61="",0,INT(($A61-Macrociclo!$C$11)/7)+1)</f>
        <v>33</v>
      </c>
      <c r="C61" s="27" t="s">
        <v>259</v>
      </c>
      <c r="D61" s="27" t="s">
        <v>1235</v>
      </c>
      <c r="E61" s="27" t="s">
        <v>852</v>
      </c>
      <c r="F61" s="39" t="n">
        <v>249</v>
      </c>
      <c r="G61" s="28" t="s">
        <v>1236</v>
      </c>
      <c r="H61" s="28" t="s">
        <v>1234</v>
      </c>
      <c r="I61" s="39"/>
      <c r="J61" s="39" t="n">
        <v>60</v>
      </c>
      <c r="K61" s="71"/>
      <c r="L61" s="28" t="n">
        <v>5</v>
      </c>
      <c r="M61" s="27" t="s">
        <v>373</v>
      </c>
    </row>
    <row r="62" customFormat="false" ht="15" hidden="false" customHeight="false" outlineLevel="0" collapsed="false">
      <c r="A62" s="29" t="n">
        <v>46251</v>
      </c>
      <c r="B62" s="40" t="n">
        <f aca="false">IF($A62="",0,INT(($A62-Macrociclo!$C$11)/7)+1)</f>
        <v>33</v>
      </c>
      <c r="C62" s="27" t="s">
        <v>259</v>
      </c>
      <c r="D62" s="27" t="s">
        <v>1144</v>
      </c>
      <c r="E62" s="27" t="s">
        <v>1237</v>
      </c>
      <c r="F62" s="39" t="n">
        <v>70</v>
      </c>
      <c r="G62" s="28" t="s">
        <v>447</v>
      </c>
      <c r="H62" s="28" t="s">
        <v>1234</v>
      </c>
      <c r="I62" s="39"/>
      <c r="J62" s="39" t="n">
        <v>74</v>
      </c>
      <c r="K62" s="71"/>
      <c r="L62" s="28" t="n">
        <v>3</v>
      </c>
      <c r="M62" s="27" t="s">
        <v>373</v>
      </c>
    </row>
    <row r="63" customFormat="false" ht="15" hidden="false" customHeight="false" outlineLevel="0" collapsed="false">
      <c r="A63" s="29" t="n">
        <v>46254</v>
      </c>
      <c r="B63" s="40" t="n">
        <f aca="false">IF($A63="",0,INT(($A63-Macrociclo!$C$11)/7)+1)</f>
        <v>33</v>
      </c>
      <c r="C63" s="27" t="s">
        <v>264</v>
      </c>
      <c r="D63" s="27" t="s">
        <v>558</v>
      </c>
      <c r="E63" s="27" t="s">
        <v>1233</v>
      </c>
      <c r="F63" s="39" t="n">
        <v>129</v>
      </c>
      <c r="G63" s="28" t="s">
        <v>441</v>
      </c>
      <c r="H63" s="28" t="s">
        <v>1234</v>
      </c>
      <c r="I63" s="39"/>
      <c r="J63" s="39" t="n">
        <v>63</v>
      </c>
      <c r="K63" s="71"/>
      <c r="L63" s="28" t="n">
        <v>5</v>
      </c>
      <c r="M63" s="27" t="s">
        <v>373</v>
      </c>
    </row>
    <row r="64" customFormat="false" ht="15" hidden="false" customHeight="false" outlineLevel="0" collapsed="false">
      <c r="A64" s="29" t="n">
        <v>46254</v>
      </c>
      <c r="B64" s="40" t="n">
        <f aca="false">IF($A64="",0,INT(($A64-Macrociclo!$C$11)/7)+1)</f>
        <v>33</v>
      </c>
      <c r="C64" s="27" t="s">
        <v>264</v>
      </c>
      <c r="D64" s="27" t="s">
        <v>1235</v>
      </c>
      <c r="E64" s="27" t="s">
        <v>852</v>
      </c>
      <c r="F64" s="39" t="n">
        <v>277</v>
      </c>
      <c r="G64" s="28" t="s">
        <v>1236</v>
      </c>
      <c r="H64" s="28" t="s">
        <v>1234</v>
      </c>
      <c r="I64" s="39"/>
      <c r="J64" s="39" t="n">
        <v>54</v>
      </c>
      <c r="K64" s="71"/>
      <c r="L64" s="28" t="n">
        <v>5</v>
      </c>
      <c r="M64" s="27" t="s">
        <v>373</v>
      </c>
    </row>
    <row r="65" customFormat="false" ht="15" hidden="false" customHeight="false" outlineLevel="0" collapsed="false">
      <c r="A65" s="29" t="n">
        <v>46255</v>
      </c>
      <c r="B65" s="40" t="n">
        <f aca="false">IF($A65="",0,INT(($A65-Macrociclo!$C$11)/7)+1)</f>
        <v>33</v>
      </c>
      <c r="C65" s="27" t="s">
        <v>264</v>
      </c>
      <c r="D65" s="27" t="s">
        <v>1144</v>
      </c>
      <c r="E65" s="27" t="s">
        <v>1237</v>
      </c>
      <c r="F65" s="39" t="n">
        <v>70</v>
      </c>
      <c r="G65" s="28" t="s">
        <v>447</v>
      </c>
      <c r="H65" s="28" t="s">
        <v>1234</v>
      </c>
      <c r="I65" s="39"/>
      <c r="J65" s="39" t="n">
        <v>73</v>
      </c>
      <c r="K65" s="71"/>
      <c r="L65" s="28" t="n">
        <v>5</v>
      </c>
      <c r="M65" s="27" t="s">
        <v>373</v>
      </c>
    </row>
    <row r="66" customFormat="false" ht="15" hidden="false" customHeight="false" outlineLevel="0" collapsed="false">
      <c r="A66" s="29" t="n">
        <v>46254</v>
      </c>
      <c r="B66" s="40" t="n">
        <f aca="false">IF($A66="",0,INT(($A66-Macrociclo!$C$11)/7)+1)</f>
        <v>33</v>
      </c>
      <c r="C66" s="27" t="s">
        <v>270</v>
      </c>
      <c r="D66" s="27" t="s">
        <v>558</v>
      </c>
      <c r="E66" s="27" t="s">
        <v>1233</v>
      </c>
      <c r="F66" s="39" t="n">
        <v>110</v>
      </c>
      <c r="G66" s="28" t="s">
        <v>441</v>
      </c>
      <c r="H66" s="28" t="s">
        <v>1234</v>
      </c>
      <c r="I66" s="39"/>
      <c r="J66" s="39" t="n">
        <v>55</v>
      </c>
      <c r="K66" s="71"/>
      <c r="L66" s="28" t="n">
        <v>3</v>
      </c>
      <c r="M66" s="27" t="s">
        <v>373</v>
      </c>
    </row>
    <row r="67" customFormat="false" ht="15" hidden="false" customHeight="false" outlineLevel="0" collapsed="false">
      <c r="A67" s="29" t="n">
        <v>46252</v>
      </c>
      <c r="B67" s="40" t="n">
        <f aca="false">IF($A67="",0,INT(($A67-Macrociclo!$C$11)/7)+1)</f>
        <v>33</v>
      </c>
      <c r="C67" s="27" t="s">
        <v>270</v>
      </c>
      <c r="D67" s="27" t="s">
        <v>1235</v>
      </c>
      <c r="E67" s="27" t="s">
        <v>852</v>
      </c>
      <c r="F67" s="39" t="n">
        <v>259</v>
      </c>
      <c r="G67" s="28" t="s">
        <v>1236</v>
      </c>
      <c r="H67" s="28" t="s">
        <v>1234</v>
      </c>
      <c r="I67" s="39"/>
      <c r="J67" s="39" t="n">
        <v>58</v>
      </c>
      <c r="K67" s="71"/>
      <c r="L67" s="28" t="n">
        <v>3</v>
      </c>
      <c r="M67" s="27" t="s">
        <v>373</v>
      </c>
    </row>
    <row r="68" customFormat="false" ht="15" hidden="false" customHeight="false" outlineLevel="0" collapsed="false">
      <c r="A68" s="29" t="n">
        <v>46254</v>
      </c>
      <c r="B68" s="40" t="n">
        <f aca="false">IF($A68="",0,INT(($A68-Macrociclo!$C$11)/7)+1)</f>
        <v>33</v>
      </c>
      <c r="C68" s="27" t="s">
        <v>279</v>
      </c>
      <c r="D68" s="27" t="s">
        <v>558</v>
      </c>
      <c r="E68" s="27" t="s">
        <v>1233</v>
      </c>
      <c r="F68" s="39" t="n">
        <v>98</v>
      </c>
      <c r="G68" s="28" t="s">
        <v>441</v>
      </c>
      <c r="H68" s="28" t="s">
        <v>1234</v>
      </c>
      <c r="I68" s="39"/>
      <c r="J68" s="39" t="n">
        <v>61</v>
      </c>
      <c r="K68" s="71"/>
      <c r="L68" s="28" t="n">
        <v>4</v>
      </c>
      <c r="M68" s="27" t="s">
        <v>373</v>
      </c>
    </row>
    <row r="69" customFormat="false" ht="15" hidden="false" customHeight="false" outlineLevel="0" collapsed="false">
      <c r="A69" s="29" t="n">
        <v>46252</v>
      </c>
      <c r="B69" s="40" t="n">
        <f aca="false">IF($A69="",0,INT(($A69-Macrociclo!$C$11)/7)+1)</f>
        <v>33</v>
      </c>
      <c r="C69" s="27" t="s">
        <v>279</v>
      </c>
      <c r="D69" s="27" t="s">
        <v>1235</v>
      </c>
      <c r="E69" s="27" t="s">
        <v>852</v>
      </c>
      <c r="F69" s="39" t="n">
        <v>226</v>
      </c>
      <c r="G69" s="28" t="s">
        <v>1236</v>
      </c>
      <c r="H69" s="28" t="s">
        <v>1234</v>
      </c>
      <c r="I69" s="39"/>
      <c r="J69" s="39" t="n">
        <v>71</v>
      </c>
      <c r="K69" s="71"/>
      <c r="L69" s="28" t="n">
        <v>5</v>
      </c>
      <c r="M69" s="27" t="s">
        <v>373</v>
      </c>
    </row>
    <row r="70" customFormat="false" ht="15" hidden="false" customHeight="false" outlineLevel="0" collapsed="false">
      <c r="A70" s="29" t="n">
        <v>46252</v>
      </c>
      <c r="B70" s="40" t="n">
        <f aca="false">IF($A70="",0,INT(($A70-Macrociclo!$C$11)/7)+1)</f>
        <v>33</v>
      </c>
      <c r="C70" s="27" t="s">
        <v>279</v>
      </c>
      <c r="D70" s="27" t="s">
        <v>1144</v>
      </c>
      <c r="E70" s="27" t="s">
        <v>1237</v>
      </c>
      <c r="F70" s="39" t="n">
        <v>85</v>
      </c>
      <c r="G70" s="28" t="s">
        <v>447</v>
      </c>
      <c r="H70" s="28" t="s">
        <v>1234</v>
      </c>
      <c r="I70" s="39"/>
      <c r="J70" s="39" t="n">
        <v>56</v>
      </c>
      <c r="K70" s="71"/>
      <c r="L70" s="28" t="n">
        <v>3</v>
      </c>
      <c r="M70" s="27" t="s">
        <v>373</v>
      </c>
    </row>
    <row r="71" customFormat="false" ht="15" hidden="false" customHeight="false" outlineLevel="0" collapsed="false">
      <c r="A71" s="29" t="n">
        <v>46258</v>
      </c>
      <c r="B71" s="40" t="n">
        <f aca="false">IF($A71="",0,INT(($A71-Macrociclo!$C$11)/7)+1)</f>
        <v>34</v>
      </c>
      <c r="C71" s="27" t="s">
        <v>164</v>
      </c>
      <c r="D71" s="27" t="s">
        <v>558</v>
      </c>
      <c r="E71" s="27" t="s">
        <v>1233</v>
      </c>
      <c r="F71" s="39" t="n">
        <v>80</v>
      </c>
      <c r="G71" s="28" t="s">
        <v>441</v>
      </c>
      <c r="H71" s="28" t="s">
        <v>1234</v>
      </c>
      <c r="I71" s="39"/>
      <c r="J71" s="39" t="n">
        <v>52</v>
      </c>
      <c r="K71" s="71"/>
      <c r="L71" s="28" t="n">
        <v>3</v>
      </c>
      <c r="M71" s="27" t="s">
        <v>373</v>
      </c>
    </row>
    <row r="72" customFormat="false" ht="15" hidden="false" customHeight="false" outlineLevel="0" collapsed="false">
      <c r="A72" s="29" t="n">
        <v>46262</v>
      </c>
      <c r="B72" s="40" t="n">
        <f aca="false">IF($A72="",0,INT(($A72-Macrociclo!$C$11)/7)+1)</f>
        <v>34</v>
      </c>
      <c r="C72" s="27" t="s">
        <v>164</v>
      </c>
      <c r="D72" s="27" t="s">
        <v>1235</v>
      </c>
      <c r="E72" s="27" t="s">
        <v>852</v>
      </c>
      <c r="F72" s="39" t="n">
        <v>295</v>
      </c>
      <c r="G72" s="28" t="s">
        <v>1236</v>
      </c>
      <c r="H72" s="28" t="s">
        <v>1234</v>
      </c>
      <c r="I72" s="39"/>
      <c r="J72" s="39" t="n">
        <v>69</v>
      </c>
      <c r="K72" s="71"/>
      <c r="L72" s="28" t="n">
        <v>5</v>
      </c>
      <c r="M72" s="27" t="s">
        <v>373</v>
      </c>
    </row>
    <row r="73" customFormat="false" ht="15" hidden="false" customHeight="false" outlineLevel="0" collapsed="false">
      <c r="A73" s="29" t="n">
        <v>46260</v>
      </c>
      <c r="B73" s="40" t="n">
        <f aca="false">IF($A73="",0,INT(($A73-Macrociclo!$C$11)/7)+1)</f>
        <v>34</v>
      </c>
      <c r="C73" s="27" t="s">
        <v>164</v>
      </c>
      <c r="D73" s="27" t="s">
        <v>1144</v>
      </c>
      <c r="E73" s="27" t="s">
        <v>1237</v>
      </c>
      <c r="F73" s="39" t="n">
        <v>70</v>
      </c>
      <c r="G73" s="28" t="s">
        <v>447</v>
      </c>
      <c r="H73" s="28" t="s">
        <v>1234</v>
      </c>
      <c r="I73" s="39"/>
      <c r="J73" s="39" t="n">
        <v>72</v>
      </c>
      <c r="K73" s="71"/>
      <c r="L73" s="28" t="n">
        <v>4</v>
      </c>
      <c r="M73" s="27" t="s">
        <v>373</v>
      </c>
    </row>
    <row r="74" customFormat="false" ht="15" hidden="false" customHeight="false" outlineLevel="0" collapsed="false">
      <c r="A74" s="29" t="n">
        <v>46260</v>
      </c>
      <c r="B74" s="40" t="n">
        <f aca="false">IF($A74="",0,INT(($A74-Macrociclo!$C$11)/7)+1)</f>
        <v>34</v>
      </c>
      <c r="C74" s="27" t="s">
        <v>192</v>
      </c>
      <c r="D74" s="27" t="s">
        <v>558</v>
      </c>
      <c r="E74" s="27" t="s">
        <v>1233</v>
      </c>
      <c r="F74" s="39" t="n">
        <v>86</v>
      </c>
      <c r="G74" s="28" t="s">
        <v>441</v>
      </c>
      <c r="H74" s="28" t="s">
        <v>1234</v>
      </c>
      <c r="I74" s="39"/>
      <c r="J74" s="39" t="n">
        <v>64</v>
      </c>
      <c r="K74" s="71"/>
      <c r="L74" s="28" t="n">
        <v>5</v>
      </c>
      <c r="M74" s="27" t="s">
        <v>373</v>
      </c>
    </row>
    <row r="75" customFormat="false" ht="15" hidden="false" customHeight="false" outlineLevel="0" collapsed="false">
      <c r="A75" s="29" t="n">
        <v>46262</v>
      </c>
      <c r="B75" s="40" t="n">
        <f aca="false">IF($A75="",0,INT(($A75-Macrociclo!$C$11)/7)+1)</f>
        <v>34</v>
      </c>
      <c r="C75" s="27" t="s">
        <v>192</v>
      </c>
      <c r="D75" s="27" t="s">
        <v>1235</v>
      </c>
      <c r="E75" s="27" t="s">
        <v>852</v>
      </c>
      <c r="F75" s="39" t="n">
        <v>260</v>
      </c>
      <c r="G75" s="28" t="s">
        <v>1236</v>
      </c>
      <c r="H75" s="28" t="s">
        <v>1234</v>
      </c>
      <c r="I75" s="39"/>
      <c r="J75" s="39" t="n">
        <v>57</v>
      </c>
      <c r="K75" s="71"/>
      <c r="L75" s="28" t="n">
        <v>4</v>
      </c>
      <c r="M75" s="27" t="s">
        <v>373</v>
      </c>
    </row>
    <row r="76" customFormat="false" ht="15" hidden="false" customHeight="false" outlineLevel="0" collapsed="false">
      <c r="A76" s="29" t="n">
        <v>46259</v>
      </c>
      <c r="B76" s="40" t="n">
        <f aca="false">IF($A76="",0,INT(($A76-Macrociclo!$C$11)/7)+1)</f>
        <v>34</v>
      </c>
      <c r="C76" s="27" t="s">
        <v>192</v>
      </c>
      <c r="D76" s="27" t="s">
        <v>1144</v>
      </c>
      <c r="E76" s="27" t="s">
        <v>1237</v>
      </c>
      <c r="F76" s="39" t="n">
        <v>85</v>
      </c>
      <c r="G76" s="28" t="s">
        <v>447</v>
      </c>
      <c r="H76" s="28" t="s">
        <v>1234</v>
      </c>
      <c r="I76" s="39"/>
      <c r="J76" s="39" t="n">
        <v>70</v>
      </c>
      <c r="K76" s="71"/>
      <c r="L76" s="28" t="n">
        <v>3</v>
      </c>
      <c r="M76" s="27" t="s">
        <v>373</v>
      </c>
    </row>
    <row r="77" customFormat="false" ht="15" hidden="false" customHeight="false" outlineLevel="0" collapsed="false">
      <c r="A77" s="29" t="n">
        <v>46258</v>
      </c>
      <c r="B77" s="40" t="n">
        <f aca="false">IF($A77="",0,INT(($A77-Macrociclo!$C$11)/7)+1)</f>
        <v>34</v>
      </c>
      <c r="C77" s="27" t="s">
        <v>206</v>
      </c>
      <c r="D77" s="27" t="s">
        <v>558</v>
      </c>
      <c r="E77" s="27" t="s">
        <v>1233</v>
      </c>
      <c r="F77" s="39" t="n">
        <v>115</v>
      </c>
      <c r="G77" s="28" t="s">
        <v>441</v>
      </c>
      <c r="H77" s="28" t="s">
        <v>1234</v>
      </c>
      <c r="I77" s="39"/>
      <c r="J77" s="39" t="n">
        <v>54</v>
      </c>
      <c r="K77" s="71"/>
      <c r="L77" s="28" t="n">
        <v>3</v>
      </c>
      <c r="M77" s="27" t="s">
        <v>373</v>
      </c>
    </row>
    <row r="78" customFormat="false" ht="15" hidden="false" customHeight="false" outlineLevel="0" collapsed="false">
      <c r="A78" s="29" t="n">
        <v>46260</v>
      </c>
      <c r="B78" s="40" t="n">
        <f aca="false">IF($A78="",0,INT(($A78-Macrociclo!$C$11)/7)+1)</f>
        <v>34</v>
      </c>
      <c r="C78" s="27" t="s">
        <v>206</v>
      </c>
      <c r="D78" s="27" t="s">
        <v>1235</v>
      </c>
      <c r="E78" s="27" t="s">
        <v>852</v>
      </c>
      <c r="F78" s="39" t="n">
        <v>194</v>
      </c>
      <c r="G78" s="28" t="s">
        <v>1236</v>
      </c>
      <c r="H78" s="28" t="s">
        <v>1234</v>
      </c>
      <c r="I78" s="39"/>
      <c r="J78" s="39" t="n">
        <v>72</v>
      </c>
      <c r="K78" s="71"/>
      <c r="L78" s="28" t="n">
        <v>3</v>
      </c>
      <c r="M78" s="27" t="s">
        <v>373</v>
      </c>
    </row>
    <row r="79" customFormat="false" ht="15" hidden="false" customHeight="false" outlineLevel="0" collapsed="false">
      <c r="A79" s="29" t="n">
        <v>46262</v>
      </c>
      <c r="B79" s="40" t="n">
        <f aca="false">IF($A79="",0,INT(($A79-Macrociclo!$C$11)/7)+1)</f>
        <v>34</v>
      </c>
      <c r="C79" s="27" t="s">
        <v>206</v>
      </c>
      <c r="D79" s="27" t="s">
        <v>1144</v>
      </c>
      <c r="E79" s="27" t="s">
        <v>1237</v>
      </c>
      <c r="F79" s="39" t="n">
        <v>85</v>
      </c>
      <c r="G79" s="28" t="s">
        <v>447</v>
      </c>
      <c r="H79" s="28" t="s">
        <v>1234</v>
      </c>
      <c r="I79" s="39"/>
      <c r="J79" s="39" t="n">
        <v>65</v>
      </c>
      <c r="K79" s="71"/>
      <c r="L79" s="28" t="n">
        <v>5</v>
      </c>
      <c r="M79" s="27" t="s">
        <v>373</v>
      </c>
    </row>
    <row r="80" customFormat="false" ht="15" hidden="false" customHeight="false" outlineLevel="0" collapsed="false">
      <c r="A80" s="29" t="n">
        <v>46258</v>
      </c>
      <c r="B80" s="40" t="n">
        <f aca="false">IF($A80="",0,INT(($A80-Macrociclo!$C$11)/7)+1)</f>
        <v>34</v>
      </c>
      <c r="C80" s="27" t="s">
        <v>226</v>
      </c>
      <c r="D80" s="27" t="s">
        <v>558</v>
      </c>
      <c r="E80" s="27" t="s">
        <v>1233</v>
      </c>
      <c r="F80" s="39" t="n">
        <v>120</v>
      </c>
      <c r="G80" s="28" t="s">
        <v>441</v>
      </c>
      <c r="H80" s="28" t="s">
        <v>1234</v>
      </c>
      <c r="I80" s="39"/>
      <c r="J80" s="39" t="n">
        <v>53</v>
      </c>
      <c r="K80" s="71"/>
      <c r="L80" s="28" t="n">
        <v>4</v>
      </c>
      <c r="M80" s="27" t="s">
        <v>373</v>
      </c>
    </row>
    <row r="81" customFormat="false" ht="15" hidden="false" customHeight="false" outlineLevel="0" collapsed="false">
      <c r="A81" s="29" t="n">
        <v>46260</v>
      </c>
      <c r="B81" s="40" t="n">
        <f aca="false">IF($A81="",0,INT(($A81-Macrociclo!$C$11)/7)+1)</f>
        <v>34</v>
      </c>
      <c r="C81" s="27" t="s">
        <v>226</v>
      </c>
      <c r="D81" s="27" t="s">
        <v>1235</v>
      </c>
      <c r="E81" s="27" t="s">
        <v>852</v>
      </c>
      <c r="F81" s="39" t="n">
        <v>301</v>
      </c>
      <c r="G81" s="28" t="s">
        <v>1236</v>
      </c>
      <c r="H81" s="28" t="s">
        <v>1234</v>
      </c>
      <c r="I81" s="39"/>
      <c r="J81" s="39" t="n">
        <v>53</v>
      </c>
      <c r="K81" s="71"/>
      <c r="L81" s="28" t="n">
        <v>5</v>
      </c>
      <c r="M81" s="27" t="s">
        <v>373</v>
      </c>
    </row>
    <row r="82" customFormat="false" ht="15" hidden="false" customHeight="false" outlineLevel="0" collapsed="false">
      <c r="A82" s="29" t="n">
        <v>46261</v>
      </c>
      <c r="B82" s="40" t="n">
        <f aca="false">IF($A82="",0,INT(($A82-Macrociclo!$C$11)/7)+1)</f>
        <v>34</v>
      </c>
      <c r="C82" s="27" t="s">
        <v>226</v>
      </c>
      <c r="D82" s="27" t="s">
        <v>1144</v>
      </c>
      <c r="E82" s="27" t="s">
        <v>1237</v>
      </c>
      <c r="F82" s="39" t="n">
        <v>85</v>
      </c>
      <c r="G82" s="28" t="s">
        <v>447</v>
      </c>
      <c r="H82" s="28" t="s">
        <v>1234</v>
      </c>
      <c r="I82" s="39"/>
      <c r="J82" s="39" t="n">
        <v>53</v>
      </c>
      <c r="K82" s="71"/>
      <c r="L82" s="28" t="n">
        <v>3</v>
      </c>
      <c r="M82" s="27" t="s">
        <v>373</v>
      </c>
    </row>
    <row r="83" customFormat="false" ht="15" hidden="false" customHeight="false" outlineLevel="0" collapsed="false">
      <c r="A83" s="29" t="n">
        <v>46260</v>
      </c>
      <c r="B83" s="40" t="n">
        <f aca="false">IF($A83="",0,INT(($A83-Macrociclo!$C$11)/7)+1)</f>
        <v>34</v>
      </c>
      <c r="C83" s="27" t="s">
        <v>236</v>
      </c>
      <c r="D83" s="27" t="s">
        <v>558</v>
      </c>
      <c r="E83" s="27" t="s">
        <v>1233</v>
      </c>
      <c r="F83" s="39" t="n">
        <v>88</v>
      </c>
      <c r="G83" s="28" t="s">
        <v>441</v>
      </c>
      <c r="H83" s="28" t="s">
        <v>1234</v>
      </c>
      <c r="I83" s="39"/>
      <c r="J83" s="39" t="n">
        <v>60</v>
      </c>
      <c r="K83" s="71"/>
      <c r="L83" s="28" t="n">
        <v>4</v>
      </c>
      <c r="M83" s="27" t="s">
        <v>373</v>
      </c>
    </row>
    <row r="84" customFormat="false" ht="15" hidden="false" customHeight="false" outlineLevel="0" collapsed="false">
      <c r="A84" s="29" t="n">
        <v>46258</v>
      </c>
      <c r="B84" s="40" t="n">
        <f aca="false">IF($A84="",0,INT(($A84-Macrociclo!$C$11)/7)+1)</f>
        <v>34</v>
      </c>
      <c r="C84" s="27" t="s">
        <v>236</v>
      </c>
      <c r="D84" s="27" t="s">
        <v>1235</v>
      </c>
      <c r="E84" s="27" t="s">
        <v>852</v>
      </c>
      <c r="F84" s="39" t="n">
        <v>211</v>
      </c>
      <c r="G84" s="28" t="s">
        <v>1236</v>
      </c>
      <c r="H84" s="28" t="s">
        <v>1234</v>
      </c>
      <c r="I84" s="39"/>
      <c r="J84" s="39" t="n">
        <v>62</v>
      </c>
      <c r="K84" s="71"/>
      <c r="L84" s="28" t="n">
        <v>5</v>
      </c>
      <c r="M84" s="27" t="s">
        <v>373</v>
      </c>
    </row>
    <row r="85" customFormat="false" ht="15" hidden="false" customHeight="false" outlineLevel="0" collapsed="false">
      <c r="A85" s="29" t="n">
        <v>46262</v>
      </c>
      <c r="B85" s="40" t="n">
        <f aca="false">IF($A85="",0,INT(($A85-Macrociclo!$C$11)/7)+1)</f>
        <v>34</v>
      </c>
      <c r="C85" s="27" t="s">
        <v>244</v>
      </c>
      <c r="D85" s="27" t="s">
        <v>558</v>
      </c>
      <c r="E85" s="27" t="s">
        <v>1233</v>
      </c>
      <c r="F85" s="39" t="n">
        <v>96</v>
      </c>
      <c r="G85" s="28" t="s">
        <v>441</v>
      </c>
      <c r="H85" s="28" t="s">
        <v>1234</v>
      </c>
      <c r="I85" s="39"/>
      <c r="J85" s="39" t="n">
        <v>57</v>
      </c>
      <c r="K85" s="71"/>
      <c r="L85" s="28" t="n">
        <v>5</v>
      </c>
      <c r="M85" s="27" t="s">
        <v>373</v>
      </c>
    </row>
    <row r="86" customFormat="false" ht="15" hidden="false" customHeight="false" outlineLevel="0" collapsed="false">
      <c r="A86" s="29" t="n">
        <v>46261</v>
      </c>
      <c r="B86" s="40" t="n">
        <f aca="false">IF($A86="",0,INT(($A86-Macrociclo!$C$11)/7)+1)</f>
        <v>34</v>
      </c>
      <c r="C86" s="27" t="s">
        <v>244</v>
      </c>
      <c r="D86" s="27" t="s">
        <v>1235</v>
      </c>
      <c r="E86" s="27" t="s">
        <v>852</v>
      </c>
      <c r="F86" s="39" t="n">
        <v>312</v>
      </c>
      <c r="G86" s="28" t="s">
        <v>1236</v>
      </c>
      <c r="H86" s="28" t="s">
        <v>1234</v>
      </c>
      <c r="I86" s="39"/>
      <c r="J86" s="39" t="n">
        <v>71</v>
      </c>
      <c r="K86" s="71"/>
      <c r="L86" s="28" t="n">
        <v>5</v>
      </c>
      <c r="M86" s="27" t="s">
        <v>373</v>
      </c>
    </row>
    <row r="87" customFormat="false" ht="15" hidden="false" customHeight="false" outlineLevel="0" collapsed="false">
      <c r="A87" s="29" t="n">
        <v>46262</v>
      </c>
      <c r="B87" s="40" t="n">
        <f aca="false">IF($A87="",0,INT(($A87-Macrociclo!$C$11)/7)+1)</f>
        <v>34</v>
      </c>
      <c r="C87" s="27" t="s">
        <v>244</v>
      </c>
      <c r="D87" s="27" t="s">
        <v>1144</v>
      </c>
      <c r="E87" s="27" t="s">
        <v>1237</v>
      </c>
      <c r="F87" s="39" t="n">
        <v>85</v>
      </c>
      <c r="G87" s="28" t="s">
        <v>447</v>
      </c>
      <c r="H87" s="28" t="s">
        <v>1234</v>
      </c>
      <c r="I87" s="39"/>
      <c r="J87" s="39" t="n">
        <v>57</v>
      </c>
      <c r="K87" s="71"/>
      <c r="L87" s="28" t="n">
        <v>5</v>
      </c>
      <c r="M87" s="27" t="s">
        <v>373</v>
      </c>
    </row>
    <row r="88" customFormat="false" ht="15" hidden="false" customHeight="false" outlineLevel="0" collapsed="false">
      <c r="A88" s="29" t="n">
        <v>46261</v>
      </c>
      <c r="B88" s="40" t="n">
        <f aca="false">IF($A88="",0,INT(($A88-Macrociclo!$C$11)/7)+1)</f>
        <v>34</v>
      </c>
      <c r="C88" s="27" t="s">
        <v>253</v>
      </c>
      <c r="D88" s="27" t="s">
        <v>558</v>
      </c>
      <c r="E88" s="27" t="s">
        <v>1233</v>
      </c>
      <c r="F88" s="39" t="n">
        <v>127</v>
      </c>
      <c r="G88" s="28" t="s">
        <v>441</v>
      </c>
      <c r="H88" s="28" t="s">
        <v>1234</v>
      </c>
      <c r="I88" s="39"/>
      <c r="J88" s="39" t="n">
        <v>53</v>
      </c>
      <c r="K88" s="71"/>
      <c r="L88" s="28" t="n">
        <v>4</v>
      </c>
      <c r="M88" s="27" t="s">
        <v>373</v>
      </c>
    </row>
    <row r="89" customFormat="false" ht="15" hidden="false" customHeight="false" outlineLevel="0" collapsed="false">
      <c r="A89" s="29" t="n">
        <v>46259</v>
      </c>
      <c r="B89" s="40" t="n">
        <f aca="false">IF($A89="",0,INT(($A89-Macrociclo!$C$11)/7)+1)</f>
        <v>34</v>
      </c>
      <c r="C89" s="27" t="s">
        <v>253</v>
      </c>
      <c r="D89" s="27" t="s">
        <v>1235</v>
      </c>
      <c r="E89" s="27" t="s">
        <v>852</v>
      </c>
      <c r="F89" s="39" t="n">
        <v>242</v>
      </c>
      <c r="G89" s="28" t="s">
        <v>1236</v>
      </c>
      <c r="H89" s="28" t="s">
        <v>1234</v>
      </c>
      <c r="I89" s="39"/>
      <c r="J89" s="39" t="n">
        <v>70</v>
      </c>
      <c r="K89" s="71"/>
      <c r="L89" s="28" t="n">
        <v>5</v>
      </c>
      <c r="M89" s="27" t="s">
        <v>373</v>
      </c>
    </row>
    <row r="90" customFormat="false" ht="15" hidden="false" customHeight="false" outlineLevel="0" collapsed="false">
      <c r="A90" s="29" t="n">
        <v>46262</v>
      </c>
      <c r="B90" s="40" t="n">
        <f aca="false">IF($A90="",0,INT(($A90-Macrociclo!$C$11)/7)+1)</f>
        <v>34</v>
      </c>
      <c r="C90" s="27" t="s">
        <v>253</v>
      </c>
      <c r="D90" s="27" t="s">
        <v>1144</v>
      </c>
      <c r="E90" s="27" t="s">
        <v>1237</v>
      </c>
      <c r="F90" s="39" t="n">
        <v>70</v>
      </c>
      <c r="G90" s="28" t="s">
        <v>447</v>
      </c>
      <c r="H90" s="28" t="s">
        <v>1234</v>
      </c>
      <c r="I90" s="39"/>
      <c r="J90" s="39" t="n">
        <v>70</v>
      </c>
      <c r="K90" s="71"/>
      <c r="L90" s="28" t="n">
        <v>3</v>
      </c>
      <c r="M90" s="27" t="s">
        <v>373</v>
      </c>
    </row>
    <row r="91" customFormat="false" ht="15" hidden="false" customHeight="false" outlineLevel="0" collapsed="false">
      <c r="A91" s="29" t="n">
        <v>46258</v>
      </c>
      <c r="B91" s="40" t="n">
        <f aca="false">IF($A91="",0,INT(($A91-Macrociclo!$C$11)/7)+1)</f>
        <v>34</v>
      </c>
      <c r="C91" s="27" t="s">
        <v>259</v>
      </c>
      <c r="D91" s="27" t="s">
        <v>558</v>
      </c>
      <c r="E91" s="27" t="s">
        <v>1233</v>
      </c>
      <c r="F91" s="39" t="n">
        <v>107</v>
      </c>
      <c r="G91" s="28" t="s">
        <v>441</v>
      </c>
      <c r="H91" s="28" t="s">
        <v>1234</v>
      </c>
      <c r="I91" s="39"/>
      <c r="J91" s="39" t="n">
        <v>72</v>
      </c>
      <c r="K91" s="71"/>
      <c r="L91" s="28" t="n">
        <v>4</v>
      </c>
      <c r="M91" s="27" t="s">
        <v>373</v>
      </c>
    </row>
    <row r="92" customFormat="false" ht="15" hidden="false" customHeight="false" outlineLevel="0" collapsed="false">
      <c r="A92" s="29" t="n">
        <v>46261</v>
      </c>
      <c r="B92" s="40" t="n">
        <f aca="false">IF($A92="",0,INT(($A92-Macrociclo!$C$11)/7)+1)</f>
        <v>34</v>
      </c>
      <c r="C92" s="27" t="s">
        <v>259</v>
      </c>
      <c r="D92" s="27" t="s">
        <v>1235</v>
      </c>
      <c r="E92" s="27" t="s">
        <v>852</v>
      </c>
      <c r="F92" s="39" t="n">
        <v>216</v>
      </c>
      <c r="G92" s="28" t="s">
        <v>1236</v>
      </c>
      <c r="H92" s="28" t="s">
        <v>1234</v>
      </c>
      <c r="I92" s="39"/>
      <c r="J92" s="39" t="n">
        <v>63</v>
      </c>
      <c r="K92" s="71"/>
      <c r="L92" s="28" t="n">
        <v>5</v>
      </c>
      <c r="M92" s="27" t="s">
        <v>373</v>
      </c>
    </row>
    <row r="93" customFormat="false" ht="15" hidden="false" customHeight="false" outlineLevel="0" collapsed="false">
      <c r="A93" s="29" t="n">
        <v>46258</v>
      </c>
      <c r="B93" s="40" t="n">
        <f aca="false">IF($A93="",0,INT(($A93-Macrociclo!$C$11)/7)+1)</f>
        <v>34</v>
      </c>
      <c r="C93" s="27" t="s">
        <v>259</v>
      </c>
      <c r="D93" s="27" t="s">
        <v>1144</v>
      </c>
      <c r="E93" s="27" t="s">
        <v>1237</v>
      </c>
      <c r="F93" s="39" t="n">
        <v>70</v>
      </c>
      <c r="G93" s="28" t="s">
        <v>447</v>
      </c>
      <c r="H93" s="28" t="s">
        <v>1234</v>
      </c>
      <c r="I93" s="39"/>
      <c r="J93" s="39" t="n">
        <v>60</v>
      </c>
      <c r="K93" s="71"/>
      <c r="L93" s="28" t="n">
        <v>5</v>
      </c>
      <c r="M93" s="27" t="s">
        <v>373</v>
      </c>
    </row>
    <row r="94" customFormat="false" ht="15" hidden="false" customHeight="false" outlineLevel="0" collapsed="false">
      <c r="A94" s="29" t="n">
        <v>46261</v>
      </c>
      <c r="B94" s="40" t="n">
        <f aca="false">IF($A94="",0,INT(($A94-Macrociclo!$C$11)/7)+1)</f>
        <v>34</v>
      </c>
      <c r="C94" s="27" t="s">
        <v>264</v>
      </c>
      <c r="D94" s="27" t="s">
        <v>558</v>
      </c>
      <c r="E94" s="27" t="s">
        <v>1233</v>
      </c>
      <c r="F94" s="39" t="n">
        <v>80</v>
      </c>
      <c r="G94" s="28" t="s">
        <v>441</v>
      </c>
      <c r="H94" s="28" t="s">
        <v>1234</v>
      </c>
      <c r="I94" s="39"/>
      <c r="J94" s="39" t="n">
        <v>70</v>
      </c>
      <c r="K94" s="71"/>
      <c r="L94" s="28" t="n">
        <v>3</v>
      </c>
      <c r="M94" s="27" t="s">
        <v>373</v>
      </c>
    </row>
    <row r="95" customFormat="false" ht="15" hidden="false" customHeight="false" outlineLevel="0" collapsed="false">
      <c r="A95" s="29" t="n">
        <v>46262</v>
      </c>
      <c r="B95" s="40" t="n">
        <f aca="false">IF($A95="",0,INT(($A95-Macrociclo!$C$11)/7)+1)</f>
        <v>34</v>
      </c>
      <c r="C95" s="27" t="s">
        <v>264</v>
      </c>
      <c r="D95" s="27" t="s">
        <v>1235</v>
      </c>
      <c r="E95" s="27" t="s">
        <v>852</v>
      </c>
      <c r="F95" s="39" t="n">
        <v>244</v>
      </c>
      <c r="G95" s="28" t="s">
        <v>1236</v>
      </c>
      <c r="H95" s="28" t="s">
        <v>1234</v>
      </c>
      <c r="I95" s="39"/>
      <c r="J95" s="39" t="n">
        <v>52</v>
      </c>
      <c r="K95" s="71"/>
      <c r="L95" s="28" t="n">
        <v>5</v>
      </c>
      <c r="M95" s="27" t="s">
        <v>373</v>
      </c>
    </row>
    <row r="96" customFormat="false" ht="15" hidden="false" customHeight="false" outlineLevel="0" collapsed="false">
      <c r="A96" s="29" t="n">
        <v>46261</v>
      </c>
      <c r="B96" s="40" t="n">
        <f aca="false">IF($A96="",0,INT(($A96-Macrociclo!$C$11)/7)+1)</f>
        <v>34</v>
      </c>
      <c r="C96" s="27" t="s">
        <v>264</v>
      </c>
      <c r="D96" s="27" t="s">
        <v>1144</v>
      </c>
      <c r="E96" s="27" t="s">
        <v>1237</v>
      </c>
      <c r="F96" s="39" t="n">
        <v>85</v>
      </c>
      <c r="G96" s="28" t="s">
        <v>447</v>
      </c>
      <c r="H96" s="28" t="s">
        <v>1234</v>
      </c>
      <c r="I96" s="39"/>
      <c r="J96" s="39" t="n">
        <v>62</v>
      </c>
      <c r="K96" s="71"/>
      <c r="L96" s="28" t="n">
        <v>3</v>
      </c>
      <c r="M96" s="27" t="s">
        <v>373</v>
      </c>
    </row>
    <row r="97" customFormat="false" ht="15" hidden="false" customHeight="false" outlineLevel="0" collapsed="false">
      <c r="A97" s="29" t="n">
        <v>46262</v>
      </c>
      <c r="B97" s="40" t="n">
        <f aca="false">IF($A97="",0,INT(($A97-Macrociclo!$C$11)/7)+1)</f>
        <v>34</v>
      </c>
      <c r="C97" s="27" t="s">
        <v>270</v>
      </c>
      <c r="D97" s="27" t="s">
        <v>558</v>
      </c>
      <c r="E97" s="27" t="s">
        <v>1233</v>
      </c>
      <c r="F97" s="39" t="n">
        <v>119</v>
      </c>
      <c r="G97" s="28" t="s">
        <v>441</v>
      </c>
      <c r="H97" s="28" t="s">
        <v>1234</v>
      </c>
      <c r="I97" s="39"/>
      <c r="J97" s="39" t="n">
        <v>60</v>
      </c>
      <c r="K97" s="71"/>
      <c r="L97" s="28" t="n">
        <v>5</v>
      </c>
      <c r="M97" s="27" t="s">
        <v>373</v>
      </c>
    </row>
    <row r="98" customFormat="false" ht="15" hidden="false" customHeight="false" outlineLevel="0" collapsed="false">
      <c r="A98" s="29" t="n">
        <v>46260</v>
      </c>
      <c r="B98" s="40" t="n">
        <f aca="false">IF($A98="",0,INT(($A98-Macrociclo!$C$11)/7)+1)</f>
        <v>34</v>
      </c>
      <c r="C98" s="27" t="s">
        <v>270</v>
      </c>
      <c r="D98" s="27" t="s">
        <v>1235</v>
      </c>
      <c r="E98" s="27" t="s">
        <v>852</v>
      </c>
      <c r="F98" s="39" t="n">
        <v>314</v>
      </c>
      <c r="G98" s="28" t="s">
        <v>1236</v>
      </c>
      <c r="H98" s="28" t="s">
        <v>1234</v>
      </c>
      <c r="I98" s="39"/>
      <c r="J98" s="39" t="n">
        <v>72</v>
      </c>
      <c r="K98" s="71"/>
      <c r="L98" s="28" t="n">
        <v>3</v>
      </c>
      <c r="M98" s="27" t="s">
        <v>373</v>
      </c>
    </row>
    <row r="99" customFormat="false" ht="15" hidden="false" customHeight="false" outlineLevel="0" collapsed="false">
      <c r="A99" s="29" t="n">
        <v>46258</v>
      </c>
      <c r="B99" s="40" t="n">
        <f aca="false">IF($A99="",0,INT(($A99-Macrociclo!$C$11)/7)+1)</f>
        <v>34</v>
      </c>
      <c r="C99" s="27" t="s">
        <v>270</v>
      </c>
      <c r="D99" s="27" t="s">
        <v>1144</v>
      </c>
      <c r="E99" s="27" t="s">
        <v>1237</v>
      </c>
      <c r="F99" s="39" t="n">
        <v>85</v>
      </c>
      <c r="G99" s="28" t="s">
        <v>447</v>
      </c>
      <c r="H99" s="28" t="s">
        <v>1234</v>
      </c>
      <c r="I99" s="39"/>
      <c r="J99" s="39" t="n">
        <v>53</v>
      </c>
      <c r="K99" s="71"/>
      <c r="L99" s="28" t="n">
        <v>5</v>
      </c>
      <c r="M99" s="27" t="s">
        <v>373</v>
      </c>
    </row>
    <row r="100" customFormat="false" ht="15" hidden="false" customHeight="false" outlineLevel="0" collapsed="false">
      <c r="A100" s="29" t="n">
        <v>46261</v>
      </c>
      <c r="B100" s="40" t="n">
        <f aca="false">IF($A100="",0,INT(($A100-Macrociclo!$C$11)/7)+1)</f>
        <v>34</v>
      </c>
      <c r="C100" s="27" t="s">
        <v>279</v>
      </c>
      <c r="D100" s="27" t="s">
        <v>558</v>
      </c>
      <c r="E100" s="27" t="s">
        <v>1233</v>
      </c>
      <c r="F100" s="39" t="n">
        <v>107</v>
      </c>
      <c r="G100" s="28" t="s">
        <v>441</v>
      </c>
      <c r="H100" s="28" t="s">
        <v>1234</v>
      </c>
      <c r="I100" s="39"/>
      <c r="J100" s="39" t="n">
        <v>74</v>
      </c>
      <c r="K100" s="71"/>
      <c r="L100" s="28" t="n">
        <v>4</v>
      </c>
      <c r="M100" s="27" t="s">
        <v>373</v>
      </c>
    </row>
    <row r="101" customFormat="false" ht="15" hidden="false" customHeight="false" outlineLevel="0" collapsed="false">
      <c r="A101" s="29" t="n">
        <v>46261</v>
      </c>
      <c r="B101" s="40" t="n">
        <f aca="false">IF($A101="",0,INT(($A101-Macrociclo!$C$11)/7)+1)</f>
        <v>34</v>
      </c>
      <c r="C101" s="27" t="s">
        <v>279</v>
      </c>
      <c r="D101" s="27" t="s">
        <v>1235</v>
      </c>
      <c r="E101" s="27" t="s">
        <v>852</v>
      </c>
      <c r="F101" s="39" t="n">
        <v>234</v>
      </c>
      <c r="G101" s="28" t="s">
        <v>1236</v>
      </c>
      <c r="H101" s="28" t="s">
        <v>1234</v>
      </c>
      <c r="I101" s="39"/>
      <c r="J101" s="39" t="n">
        <v>68</v>
      </c>
      <c r="K101" s="71"/>
      <c r="L101" s="28" t="n">
        <v>5</v>
      </c>
      <c r="M101" s="27" t="s">
        <v>373</v>
      </c>
    </row>
    <row r="102" customFormat="false" ht="15" hidden="false" customHeight="false" outlineLevel="0" collapsed="false">
      <c r="A102" s="29" t="n">
        <v>46262</v>
      </c>
      <c r="B102" s="40" t="n">
        <f aca="false">IF($A102="",0,INT(($A102-Macrociclo!$C$11)/7)+1)</f>
        <v>34</v>
      </c>
      <c r="C102" s="27" t="s">
        <v>279</v>
      </c>
      <c r="D102" s="27" t="s">
        <v>1144</v>
      </c>
      <c r="E102" s="27" t="s">
        <v>1237</v>
      </c>
      <c r="F102" s="39" t="n">
        <v>70</v>
      </c>
      <c r="G102" s="28" t="s">
        <v>447</v>
      </c>
      <c r="H102" s="28" t="s">
        <v>1234</v>
      </c>
      <c r="I102" s="39"/>
      <c r="J102" s="39" t="n">
        <v>70</v>
      </c>
      <c r="K102" s="71"/>
      <c r="L102" s="28" t="n">
        <v>4</v>
      </c>
      <c r="M102" s="27" t="s">
        <v>373</v>
      </c>
    </row>
    <row r="103" customFormat="false" ht="15" hidden="false" customHeight="false" outlineLevel="0" collapsed="false">
      <c r="A103" s="29" t="n">
        <v>46269</v>
      </c>
      <c r="B103" s="40" t="n">
        <f aca="false">IF($A103="",0,INT(($A103-Macrociclo!$C$11)/7)+1)</f>
        <v>35</v>
      </c>
      <c r="C103" s="27" t="s">
        <v>164</v>
      </c>
      <c r="D103" s="27" t="s">
        <v>558</v>
      </c>
      <c r="E103" s="27" t="s">
        <v>1233</v>
      </c>
      <c r="F103" s="39" t="n">
        <v>123</v>
      </c>
      <c r="G103" s="28" t="s">
        <v>441</v>
      </c>
      <c r="H103" s="28" t="s">
        <v>1234</v>
      </c>
      <c r="I103" s="39"/>
      <c r="J103" s="39" t="n">
        <v>56</v>
      </c>
      <c r="K103" s="71"/>
      <c r="L103" s="28" t="n">
        <v>3</v>
      </c>
      <c r="M103" s="27" t="s">
        <v>373</v>
      </c>
    </row>
    <row r="104" customFormat="false" ht="15" hidden="false" customHeight="false" outlineLevel="0" collapsed="false">
      <c r="A104" s="29" t="n">
        <v>46268</v>
      </c>
      <c r="B104" s="40" t="n">
        <f aca="false">IF($A104="",0,INT(($A104-Macrociclo!$C$11)/7)+1)</f>
        <v>35</v>
      </c>
      <c r="C104" s="27" t="s">
        <v>164</v>
      </c>
      <c r="D104" s="27" t="s">
        <v>1235</v>
      </c>
      <c r="E104" s="27" t="s">
        <v>852</v>
      </c>
      <c r="F104" s="39" t="n">
        <v>252</v>
      </c>
      <c r="G104" s="28" t="s">
        <v>1236</v>
      </c>
      <c r="H104" s="28" t="s">
        <v>1234</v>
      </c>
      <c r="I104" s="39"/>
      <c r="J104" s="39" t="n">
        <v>65</v>
      </c>
      <c r="K104" s="71"/>
      <c r="L104" s="28" t="n">
        <v>5</v>
      </c>
      <c r="M104" s="27" t="s">
        <v>373</v>
      </c>
    </row>
    <row r="105" customFormat="false" ht="15" hidden="false" customHeight="false" outlineLevel="0" collapsed="false">
      <c r="A105" s="29" t="n">
        <v>46269</v>
      </c>
      <c r="B105" s="40" t="n">
        <f aca="false">IF($A105="",0,INT(($A105-Macrociclo!$C$11)/7)+1)</f>
        <v>35</v>
      </c>
      <c r="C105" s="27" t="s">
        <v>164</v>
      </c>
      <c r="D105" s="27" t="s">
        <v>1144</v>
      </c>
      <c r="E105" s="27" t="s">
        <v>1237</v>
      </c>
      <c r="F105" s="39" t="n">
        <v>85</v>
      </c>
      <c r="G105" s="28" t="s">
        <v>447</v>
      </c>
      <c r="H105" s="28" t="s">
        <v>1234</v>
      </c>
      <c r="I105" s="39"/>
      <c r="J105" s="39" t="n">
        <v>65</v>
      </c>
      <c r="K105" s="71"/>
      <c r="L105" s="28" t="n">
        <v>5</v>
      </c>
      <c r="M105" s="27" t="s">
        <v>373</v>
      </c>
    </row>
    <row r="106" customFormat="false" ht="15" hidden="false" customHeight="false" outlineLevel="0" collapsed="false">
      <c r="A106" s="29" t="n">
        <v>46269</v>
      </c>
      <c r="B106" s="40" t="n">
        <f aca="false">IF($A106="",0,INT(($A106-Macrociclo!$C$11)/7)+1)</f>
        <v>35</v>
      </c>
      <c r="C106" s="27" t="s">
        <v>192</v>
      </c>
      <c r="D106" s="27" t="s">
        <v>558</v>
      </c>
      <c r="E106" s="27" t="s">
        <v>1233</v>
      </c>
      <c r="F106" s="39" t="n">
        <v>111</v>
      </c>
      <c r="G106" s="28" t="s">
        <v>441</v>
      </c>
      <c r="H106" s="28" t="s">
        <v>1234</v>
      </c>
      <c r="I106" s="39"/>
      <c r="J106" s="39" t="n">
        <v>62</v>
      </c>
      <c r="K106" s="71"/>
      <c r="L106" s="28" t="n">
        <v>5</v>
      </c>
      <c r="M106" s="27" t="s">
        <v>373</v>
      </c>
    </row>
    <row r="107" customFormat="false" ht="15" hidden="false" customHeight="false" outlineLevel="0" collapsed="false">
      <c r="A107" s="29" t="n">
        <v>46269</v>
      </c>
      <c r="B107" s="40" t="n">
        <f aca="false">IF($A107="",0,INT(($A107-Macrociclo!$C$11)/7)+1)</f>
        <v>35</v>
      </c>
      <c r="C107" s="27" t="s">
        <v>192</v>
      </c>
      <c r="D107" s="27" t="s">
        <v>1235</v>
      </c>
      <c r="E107" s="27" t="s">
        <v>852</v>
      </c>
      <c r="F107" s="39" t="n">
        <v>227</v>
      </c>
      <c r="G107" s="28" t="s">
        <v>1236</v>
      </c>
      <c r="H107" s="28" t="s">
        <v>1234</v>
      </c>
      <c r="I107" s="39"/>
      <c r="J107" s="39" t="n">
        <v>68</v>
      </c>
      <c r="K107" s="71"/>
      <c r="L107" s="28" t="n">
        <v>4</v>
      </c>
      <c r="M107" s="27" t="s">
        <v>373</v>
      </c>
    </row>
    <row r="108" customFormat="false" ht="15" hidden="false" customHeight="false" outlineLevel="0" collapsed="false">
      <c r="A108" s="29" t="n">
        <v>46268</v>
      </c>
      <c r="B108" s="40" t="n">
        <f aca="false">IF($A108="",0,INT(($A108-Macrociclo!$C$11)/7)+1)</f>
        <v>35</v>
      </c>
      <c r="C108" s="27" t="s">
        <v>192</v>
      </c>
      <c r="D108" s="27" t="s">
        <v>1144</v>
      </c>
      <c r="E108" s="27" t="s">
        <v>1237</v>
      </c>
      <c r="F108" s="39" t="n">
        <v>70</v>
      </c>
      <c r="G108" s="28" t="s">
        <v>447</v>
      </c>
      <c r="H108" s="28" t="s">
        <v>1234</v>
      </c>
      <c r="I108" s="39"/>
      <c r="J108" s="39" t="n">
        <v>55</v>
      </c>
      <c r="K108" s="71"/>
      <c r="L108" s="28" t="n">
        <v>5</v>
      </c>
      <c r="M108" s="27" t="s">
        <v>373</v>
      </c>
    </row>
    <row r="109" customFormat="false" ht="15" hidden="false" customHeight="false" outlineLevel="0" collapsed="false">
      <c r="A109" s="29" t="n">
        <v>46266</v>
      </c>
      <c r="B109" s="40" t="n">
        <f aca="false">IF($A109="",0,INT(($A109-Macrociclo!$C$11)/7)+1)</f>
        <v>35</v>
      </c>
      <c r="C109" s="27" t="s">
        <v>206</v>
      </c>
      <c r="D109" s="27" t="s">
        <v>558</v>
      </c>
      <c r="E109" s="27" t="s">
        <v>1233</v>
      </c>
      <c r="F109" s="39" t="n">
        <v>80</v>
      </c>
      <c r="G109" s="28" t="s">
        <v>441</v>
      </c>
      <c r="H109" s="28" t="s">
        <v>1234</v>
      </c>
      <c r="I109" s="39"/>
      <c r="J109" s="39" t="n">
        <v>52</v>
      </c>
      <c r="K109" s="71"/>
      <c r="L109" s="28" t="n">
        <v>4</v>
      </c>
      <c r="M109" s="27" t="s">
        <v>373</v>
      </c>
    </row>
    <row r="110" customFormat="false" ht="15" hidden="false" customHeight="false" outlineLevel="0" collapsed="false">
      <c r="A110" s="29" t="n">
        <v>46267</v>
      </c>
      <c r="B110" s="40" t="n">
        <f aca="false">IF($A110="",0,INT(($A110-Macrociclo!$C$11)/7)+1)</f>
        <v>35</v>
      </c>
      <c r="C110" s="27" t="s">
        <v>206</v>
      </c>
      <c r="D110" s="27" t="s">
        <v>1235</v>
      </c>
      <c r="E110" s="27" t="s">
        <v>852</v>
      </c>
      <c r="F110" s="39" t="n">
        <v>318</v>
      </c>
      <c r="G110" s="28" t="s">
        <v>1236</v>
      </c>
      <c r="H110" s="28" t="s">
        <v>1234</v>
      </c>
      <c r="I110" s="39"/>
      <c r="J110" s="39" t="n">
        <v>55</v>
      </c>
      <c r="K110" s="71"/>
      <c r="L110" s="28" t="n">
        <v>4</v>
      </c>
      <c r="M110" s="27" t="s">
        <v>373</v>
      </c>
    </row>
    <row r="111" customFormat="false" ht="15" hidden="false" customHeight="false" outlineLevel="0" collapsed="false">
      <c r="A111" s="29" t="n">
        <v>46267</v>
      </c>
      <c r="B111" s="40" t="n">
        <f aca="false">IF($A111="",0,INT(($A111-Macrociclo!$C$11)/7)+1)</f>
        <v>35</v>
      </c>
      <c r="C111" s="27" t="s">
        <v>206</v>
      </c>
      <c r="D111" s="27" t="s">
        <v>1144</v>
      </c>
      <c r="E111" s="27" t="s">
        <v>1237</v>
      </c>
      <c r="F111" s="39" t="n">
        <v>70</v>
      </c>
      <c r="G111" s="28" t="s">
        <v>447</v>
      </c>
      <c r="H111" s="28" t="s">
        <v>1234</v>
      </c>
      <c r="I111" s="39"/>
      <c r="J111" s="39" t="n">
        <v>68</v>
      </c>
      <c r="K111" s="71"/>
      <c r="L111" s="28" t="n">
        <v>4</v>
      </c>
      <c r="M111" s="27" t="s">
        <v>373</v>
      </c>
    </row>
    <row r="112" customFormat="false" ht="15" hidden="false" customHeight="false" outlineLevel="0" collapsed="false">
      <c r="A112" s="29" t="n">
        <v>46267</v>
      </c>
      <c r="B112" s="40" t="n">
        <f aca="false">IF($A112="",0,INT(($A112-Macrociclo!$C$11)/7)+1)</f>
        <v>35</v>
      </c>
      <c r="C112" s="27" t="s">
        <v>226</v>
      </c>
      <c r="D112" s="27" t="s">
        <v>558</v>
      </c>
      <c r="E112" s="27" t="s">
        <v>1233</v>
      </c>
      <c r="F112" s="39" t="n">
        <v>106</v>
      </c>
      <c r="G112" s="28" t="s">
        <v>441</v>
      </c>
      <c r="H112" s="28" t="s">
        <v>1234</v>
      </c>
      <c r="I112" s="39"/>
      <c r="J112" s="39" t="n">
        <v>59</v>
      </c>
      <c r="K112" s="71"/>
      <c r="L112" s="28" t="n">
        <v>3</v>
      </c>
      <c r="M112" s="27" t="s">
        <v>373</v>
      </c>
    </row>
    <row r="113" customFormat="false" ht="15" hidden="false" customHeight="false" outlineLevel="0" collapsed="false">
      <c r="A113" s="29" t="n">
        <v>46268</v>
      </c>
      <c r="B113" s="40" t="n">
        <f aca="false">IF($A113="",0,INT(($A113-Macrociclo!$C$11)/7)+1)</f>
        <v>35</v>
      </c>
      <c r="C113" s="27" t="s">
        <v>226</v>
      </c>
      <c r="D113" s="27" t="s">
        <v>1235</v>
      </c>
      <c r="E113" s="27" t="s">
        <v>852</v>
      </c>
      <c r="F113" s="39" t="n">
        <v>190</v>
      </c>
      <c r="G113" s="28" t="s">
        <v>1236</v>
      </c>
      <c r="H113" s="28" t="s">
        <v>1234</v>
      </c>
      <c r="I113" s="39"/>
      <c r="J113" s="39" t="n">
        <v>64</v>
      </c>
      <c r="K113" s="71"/>
      <c r="L113" s="28" t="n">
        <v>3</v>
      </c>
      <c r="M113" s="27" t="s">
        <v>373</v>
      </c>
    </row>
    <row r="114" customFormat="false" ht="15" hidden="false" customHeight="false" outlineLevel="0" collapsed="false">
      <c r="A114" s="29" t="n">
        <v>46268</v>
      </c>
      <c r="B114" s="40" t="n">
        <f aca="false">IF($A114="",0,INT(($A114-Macrociclo!$C$11)/7)+1)</f>
        <v>35</v>
      </c>
      <c r="C114" s="27" t="s">
        <v>236</v>
      </c>
      <c r="D114" s="27" t="s">
        <v>558</v>
      </c>
      <c r="E114" s="27" t="s">
        <v>1233</v>
      </c>
      <c r="F114" s="39" t="n">
        <v>108</v>
      </c>
      <c r="G114" s="28" t="s">
        <v>441</v>
      </c>
      <c r="H114" s="28" t="s">
        <v>1234</v>
      </c>
      <c r="I114" s="39"/>
      <c r="J114" s="39" t="n">
        <v>63</v>
      </c>
      <c r="K114" s="71"/>
      <c r="L114" s="28" t="n">
        <v>3</v>
      </c>
      <c r="M114" s="27" t="s">
        <v>373</v>
      </c>
    </row>
    <row r="115" customFormat="false" ht="15" hidden="false" customHeight="false" outlineLevel="0" collapsed="false">
      <c r="A115" s="29" t="n">
        <v>46268</v>
      </c>
      <c r="B115" s="40" t="n">
        <f aca="false">IF($A115="",0,INT(($A115-Macrociclo!$C$11)/7)+1)</f>
        <v>35</v>
      </c>
      <c r="C115" s="27" t="s">
        <v>236</v>
      </c>
      <c r="D115" s="27" t="s">
        <v>1235</v>
      </c>
      <c r="E115" s="27" t="s">
        <v>852</v>
      </c>
      <c r="F115" s="39" t="n">
        <v>247</v>
      </c>
      <c r="G115" s="28" t="s">
        <v>1236</v>
      </c>
      <c r="H115" s="28" t="s">
        <v>1234</v>
      </c>
      <c r="I115" s="39"/>
      <c r="J115" s="39" t="n">
        <v>53</v>
      </c>
      <c r="K115" s="71"/>
      <c r="L115" s="28" t="n">
        <v>3</v>
      </c>
      <c r="M115" s="27" t="s">
        <v>373</v>
      </c>
    </row>
    <row r="116" customFormat="false" ht="15" hidden="false" customHeight="false" outlineLevel="0" collapsed="false">
      <c r="A116" s="29" t="n">
        <v>46265</v>
      </c>
      <c r="B116" s="40" t="n">
        <f aca="false">IF($A116="",0,INT(($A116-Macrociclo!$C$11)/7)+1)</f>
        <v>35</v>
      </c>
      <c r="C116" s="27" t="s">
        <v>244</v>
      </c>
      <c r="D116" s="27" t="s">
        <v>558</v>
      </c>
      <c r="E116" s="27" t="s">
        <v>1233</v>
      </c>
      <c r="F116" s="39" t="n">
        <v>101</v>
      </c>
      <c r="G116" s="28" t="s">
        <v>441</v>
      </c>
      <c r="H116" s="28" t="s">
        <v>1234</v>
      </c>
      <c r="I116" s="39"/>
      <c r="J116" s="39" t="n">
        <v>62</v>
      </c>
      <c r="K116" s="71"/>
      <c r="L116" s="28" t="n">
        <v>5</v>
      </c>
      <c r="M116" s="27" t="s">
        <v>373</v>
      </c>
    </row>
    <row r="117" customFormat="false" ht="15" hidden="false" customHeight="false" outlineLevel="0" collapsed="false">
      <c r="A117" s="29" t="n">
        <v>46267</v>
      </c>
      <c r="B117" s="40" t="n">
        <f aca="false">IF($A117="",0,INT(($A117-Macrociclo!$C$11)/7)+1)</f>
        <v>35</v>
      </c>
      <c r="C117" s="27" t="s">
        <v>244</v>
      </c>
      <c r="D117" s="27" t="s">
        <v>1235</v>
      </c>
      <c r="E117" s="27" t="s">
        <v>852</v>
      </c>
      <c r="F117" s="39" t="n">
        <v>297</v>
      </c>
      <c r="G117" s="28" t="s">
        <v>1236</v>
      </c>
      <c r="H117" s="28" t="s">
        <v>1234</v>
      </c>
      <c r="I117" s="39"/>
      <c r="J117" s="39" t="n">
        <v>69</v>
      </c>
      <c r="K117" s="71"/>
      <c r="L117" s="28" t="n">
        <v>5</v>
      </c>
      <c r="M117" s="27" t="s">
        <v>373</v>
      </c>
    </row>
    <row r="118" customFormat="false" ht="15" hidden="false" customHeight="false" outlineLevel="0" collapsed="false">
      <c r="A118" s="29" t="n">
        <v>46269</v>
      </c>
      <c r="B118" s="40" t="n">
        <f aca="false">IF($A118="",0,INT(($A118-Macrociclo!$C$11)/7)+1)</f>
        <v>35</v>
      </c>
      <c r="C118" s="27" t="s">
        <v>253</v>
      </c>
      <c r="D118" s="27" t="s">
        <v>558</v>
      </c>
      <c r="E118" s="27" t="s">
        <v>1233</v>
      </c>
      <c r="F118" s="39" t="n">
        <v>118</v>
      </c>
      <c r="G118" s="28" t="s">
        <v>441</v>
      </c>
      <c r="H118" s="28" t="s">
        <v>1234</v>
      </c>
      <c r="I118" s="39"/>
      <c r="J118" s="39" t="n">
        <v>67</v>
      </c>
      <c r="K118" s="71"/>
      <c r="L118" s="28" t="n">
        <v>4</v>
      </c>
      <c r="M118" s="27" t="s">
        <v>373</v>
      </c>
    </row>
    <row r="119" customFormat="false" ht="15" hidden="false" customHeight="false" outlineLevel="0" collapsed="false">
      <c r="A119" s="29" t="n">
        <v>46265</v>
      </c>
      <c r="B119" s="40" t="n">
        <f aca="false">IF($A119="",0,INT(($A119-Macrociclo!$C$11)/7)+1)</f>
        <v>35</v>
      </c>
      <c r="C119" s="27" t="s">
        <v>253</v>
      </c>
      <c r="D119" s="27" t="s">
        <v>1235</v>
      </c>
      <c r="E119" s="27" t="s">
        <v>852</v>
      </c>
      <c r="F119" s="39" t="n">
        <v>205</v>
      </c>
      <c r="G119" s="28" t="s">
        <v>1236</v>
      </c>
      <c r="H119" s="28" t="s">
        <v>1234</v>
      </c>
      <c r="I119" s="39"/>
      <c r="J119" s="39" t="n">
        <v>63</v>
      </c>
      <c r="K119" s="71"/>
      <c r="L119" s="28" t="n">
        <v>4</v>
      </c>
      <c r="M119" s="27" t="s">
        <v>373</v>
      </c>
    </row>
    <row r="120" customFormat="false" ht="15" hidden="false" customHeight="false" outlineLevel="0" collapsed="false">
      <c r="A120" s="29" t="n">
        <v>46269</v>
      </c>
      <c r="B120" s="40" t="n">
        <f aca="false">IF($A120="",0,INT(($A120-Macrociclo!$C$11)/7)+1)</f>
        <v>35</v>
      </c>
      <c r="C120" s="27" t="s">
        <v>259</v>
      </c>
      <c r="D120" s="27" t="s">
        <v>558</v>
      </c>
      <c r="E120" s="27" t="s">
        <v>1233</v>
      </c>
      <c r="F120" s="39" t="n">
        <v>85</v>
      </c>
      <c r="G120" s="28" t="s">
        <v>441</v>
      </c>
      <c r="H120" s="28" t="s">
        <v>1234</v>
      </c>
      <c r="I120" s="39"/>
      <c r="J120" s="39" t="n">
        <v>59</v>
      </c>
      <c r="K120" s="71"/>
      <c r="L120" s="28" t="n">
        <v>4</v>
      </c>
      <c r="M120" s="27" t="s">
        <v>373</v>
      </c>
    </row>
    <row r="121" customFormat="false" ht="15" hidden="false" customHeight="false" outlineLevel="0" collapsed="false">
      <c r="A121" s="29" t="n">
        <v>46266</v>
      </c>
      <c r="B121" s="40" t="n">
        <f aca="false">IF($A121="",0,INT(($A121-Macrociclo!$C$11)/7)+1)</f>
        <v>35</v>
      </c>
      <c r="C121" s="27" t="s">
        <v>259</v>
      </c>
      <c r="D121" s="27" t="s">
        <v>1235</v>
      </c>
      <c r="E121" s="27" t="s">
        <v>852</v>
      </c>
      <c r="F121" s="39" t="n">
        <v>228</v>
      </c>
      <c r="G121" s="28" t="s">
        <v>1236</v>
      </c>
      <c r="H121" s="28" t="s">
        <v>1234</v>
      </c>
      <c r="I121" s="39"/>
      <c r="J121" s="39" t="n">
        <v>53</v>
      </c>
      <c r="K121" s="71"/>
      <c r="L121" s="28" t="n">
        <v>4</v>
      </c>
      <c r="M121" s="27" t="s">
        <v>373</v>
      </c>
    </row>
    <row r="122" customFormat="false" ht="15" hidden="false" customHeight="false" outlineLevel="0" collapsed="false">
      <c r="A122" s="29" t="n">
        <v>46268</v>
      </c>
      <c r="B122" s="40" t="n">
        <f aca="false">IF($A122="",0,INT(($A122-Macrociclo!$C$11)/7)+1)</f>
        <v>35</v>
      </c>
      <c r="C122" s="27" t="s">
        <v>264</v>
      </c>
      <c r="D122" s="27" t="s">
        <v>558</v>
      </c>
      <c r="E122" s="27" t="s">
        <v>1233</v>
      </c>
      <c r="F122" s="39" t="n">
        <v>114</v>
      </c>
      <c r="G122" s="28" t="s">
        <v>441</v>
      </c>
      <c r="H122" s="28" t="s">
        <v>1234</v>
      </c>
      <c r="I122" s="39"/>
      <c r="J122" s="39" t="n">
        <v>53</v>
      </c>
      <c r="K122" s="71"/>
      <c r="L122" s="28" t="n">
        <v>3</v>
      </c>
      <c r="M122" s="27" t="s">
        <v>373</v>
      </c>
    </row>
    <row r="123" customFormat="false" ht="15" hidden="false" customHeight="false" outlineLevel="0" collapsed="false">
      <c r="A123" s="29" t="n">
        <v>46265</v>
      </c>
      <c r="B123" s="40" t="n">
        <f aca="false">IF($A123="",0,INT(($A123-Macrociclo!$C$11)/7)+1)</f>
        <v>35</v>
      </c>
      <c r="C123" s="27" t="s">
        <v>264</v>
      </c>
      <c r="D123" s="27" t="s">
        <v>1235</v>
      </c>
      <c r="E123" s="27" t="s">
        <v>852</v>
      </c>
      <c r="F123" s="39" t="n">
        <v>195</v>
      </c>
      <c r="G123" s="28" t="s">
        <v>1236</v>
      </c>
      <c r="H123" s="28" t="s">
        <v>1234</v>
      </c>
      <c r="I123" s="39"/>
      <c r="J123" s="39" t="n">
        <v>70</v>
      </c>
      <c r="K123" s="71"/>
      <c r="L123" s="28" t="n">
        <v>5</v>
      </c>
      <c r="M123" s="27" t="s">
        <v>373</v>
      </c>
    </row>
    <row r="124" customFormat="false" ht="15" hidden="false" customHeight="false" outlineLevel="0" collapsed="false">
      <c r="A124" s="29" t="n">
        <v>46268</v>
      </c>
      <c r="B124" s="40" t="n">
        <f aca="false">IF($A124="",0,INT(($A124-Macrociclo!$C$11)/7)+1)</f>
        <v>35</v>
      </c>
      <c r="C124" s="27" t="s">
        <v>270</v>
      </c>
      <c r="D124" s="27" t="s">
        <v>558</v>
      </c>
      <c r="E124" s="27" t="s">
        <v>1233</v>
      </c>
      <c r="F124" s="39" t="n">
        <v>91</v>
      </c>
      <c r="G124" s="28" t="s">
        <v>441</v>
      </c>
      <c r="H124" s="28" t="s">
        <v>1234</v>
      </c>
      <c r="I124" s="39"/>
      <c r="J124" s="39" t="n">
        <v>54</v>
      </c>
      <c r="K124" s="71"/>
      <c r="L124" s="28" t="n">
        <v>4</v>
      </c>
      <c r="M124" s="27" t="s">
        <v>373</v>
      </c>
    </row>
    <row r="125" customFormat="false" ht="15" hidden="false" customHeight="false" outlineLevel="0" collapsed="false">
      <c r="A125" s="29" t="n">
        <v>46269</v>
      </c>
      <c r="B125" s="40" t="n">
        <f aca="false">IF($A125="",0,INT(($A125-Macrociclo!$C$11)/7)+1)</f>
        <v>35</v>
      </c>
      <c r="C125" s="27" t="s">
        <v>270</v>
      </c>
      <c r="D125" s="27" t="s">
        <v>1235</v>
      </c>
      <c r="E125" s="27" t="s">
        <v>852</v>
      </c>
      <c r="F125" s="39" t="n">
        <v>216</v>
      </c>
      <c r="G125" s="28" t="s">
        <v>1236</v>
      </c>
      <c r="H125" s="28" t="s">
        <v>1234</v>
      </c>
      <c r="I125" s="39"/>
      <c r="J125" s="39" t="n">
        <v>67</v>
      </c>
      <c r="K125" s="71"/>
      <c r="L125" s="28" t="n">
        <v>4</v>
      </c>
      <c r="M125" s="27" t="s">
        <v>373</v>
      </c>
    </row>
    <row r="126" customFormat="false" ht="15" hidden="false" customHeight="false" outlineLevel="0" collapsed="false">
      <c r="A126" s="29" t="n">
        <v>46266</v>
      </c>
      <c r="B126" s="40" t="n">
        <f aca="false">IF($A126="",0,INT(($A126-Macrociclo!$C$11)/7)+1)</f>
        <v>35</v>
      </c>
      <c r="C126" s="27" t="s">
        <v>279</v>
      </c>
      <c r="D126" s="27" t="s">
        <v>558</v>
      </c>
      <c r="E126" s="27" t="s">
        <v>1233</v>
      </c>
      <c r="F126" s="39" t="n">
        <v>122</v>
      </c>
      <c r="G126" s="28" t="s">
        <v>441</v>
      </c>
      <c r="H126" s="28" t="s">
        <v>1234</v>
      </c>
      <c r="I126" s="39"/>
      <c r="J126" s="39" t="n">
        <v>69</v>
      </c>
      <c r="K126" s="71"/>
      <c r="L126" s="28" t="n">
        <v>4</v>
      </c>
      <c r="M126" s="27" t="s">
        <v>373</v>
      </c>
    </row>
    <row r="127" customFormat="false" ht="15" hidden="false" customHeight="false" outlineLevel="0" collapsed="false">
      <c r="A127" s="29" t="n">
        <v>46267</v>
      </c>
      <c r="B127" s="40" t="n">
        <f aca="false">IF($A127="",0,INT(($A127-Macrociclo!$C$11)/7)+1)</f>
        <v>35</v>
      </c>
      <c r="C127" s="27" t="s">
        <v>279</v>
      </c>
      <c r="D127" s="27" t="s">
        <v>1235</v>
      </c>
      <c r="E127" s="27" t="s">
        <v>852</v>
      </c>
      <c r="F127" s="39" t="n">
        <v>260</v>
      </c>
      <c r="G127" s="28" t="s">
        <v>1236</v>
      </c>
      <c r="H127" s="28" t="s">
        <v>1234</v>
      </c>
      <c r="I127" s="39"/>
      <c r="J127" s="39" t="n">
        <v>67</v>
      </c>
      <c r="K127" s="71"/>
      <c r="L127" s="28" t="n">
        <v>3</v>
      </c>
      <c r="M127" s="27" t="s">
        <v>373</v>
      </c>
    </row>
    <row r="128" customFormat="false" ht="15" hidden="false" customHeight="false" outlineLevel="0" collapsed="false">
      <c r="A128" s="29" t="n">
        <v>46266</v>
      </c>
      <c r="B128" s="40" t="n">
        <f aca="false">IF($A128="",0,INT(($A128-Macrociclo!$C$11)/7)+1)</f>
        <v>35</v>
      </c>
      <c r="C128" s="27" t="s">
        <v>279</v>
      </c>
      <c r="D128" s="27" t="s">
        <v>1144</v>
      </c>
      <c r="E128" s="27" t="s">
        <v>1237</v>
      </c>
      <c r="F128" s="39" t="n">
        <v>70</v>
      </c>
      <c r="G128" s="28" t="s">
        <v>447</v>
      </c>
      <c r="H128" s="28" t="s">
        <v>1234</v>
      </c>
      <c r="I128" s="39"/>
      <c r="J128" s="39" t="n">
        <v>68</v>
      </c>
      <c r="K128" s="71"/>
      <c r="L128" s="28" t="n">
        <v>3</v>
      </c>
      <c r="M128" s="27" t="s">
        <v>373</v>
      </c>
    </row>
    <row r="129" customFormat="false" ht="15" hidden="false" customHeight="false" outlineLevel="0" collapsed="false">
      <c r="A129" s="29"/>
      <c r="B129" s="40" t="n">
        <f aca="false">IF($A129="",0,INT(($A129-Macrociclo!$C$11)/7)+1)</f>
        <v>0</v>
      </c>
      <c r="C129" s="27"/>
      <c r="D129" s="27"/>
      <c r="E129" s="27"/>
      <c r="F129" s="39"/>
      <c r="G129" s="28"/>
      <c r="H129" s="28"/>
      <c r="I129" s="39"/>
      <c r="J129" s="39"/>
      <c r="K129" s="71"/>
      <c r="L129" s="28"/>
      <c r="M129" s="27"/>
    </row>
    <row r="130" customFormat="false" ht="15" hidden="false" customHeight="false" outlineLevel="0" collapsed="false">
      <c r="A130" s="29"/>
      <c r="B130" s="40" t="n">
        <f aca="false">IF($A130="",0,INT(($A130-Macrociclo!$C$11)/7)+1)</f>
        <v>0</v>
      </c>
      <c r="C130" s="27"/>
      <c r="D130" s="27"/>
      <c r="E130" s="27"/>
      <c r="F130" s="39"/>
      <c r="G130" s="28"/>
      <c r="H130" s="28"/>
      <c r="I130" s="39"/>
      <c r="J130" s="39"/>
      <c r="K130" s="71"/>
      <c r="L130" s="28"/>
      <c r="M130" s="27"/>
    </row>
    <row r="131" customFormat="false" ht="15" hidden="false" customHeight="false" outlineLevel="0" collapsed="false">
      <c r="A131" s="29"/>
      <c r="B131" s="40" t="n">
        <f aca="false">IF($A131="",0,INT(($A131-Macrociclo!$C$11)/7)+1)</f>
        <v>0</v>
      </c>
      <c r="C131" s="27"/>
      <c r="D131" s="27"/>
      <c r="E131" s="27"/>
      <c r="F131" s="39"/>
      <c r="G131" s="28"/>
      <c r="H131" s="28"/>
      <c r="I131" s="39"/>
      <c r="J131" s="39"/>
      <c r="K131" s="71"/>
      <c r="L131" s="28"/>
      <c r="M131" s="27"/>
    </row>
    <row r="132" customFormat="false" ht="15" hidden="false" customHeight="false" outlineLevel="0" collapsed="false">
      <c r="A132" s="29"/>
      <c r="B132" s="40" t="n">
        <f aca="false">IF($A132="",0,INT(($A132-Macrociclo!$C$11)/7)+1)</f>
        <v>0</v>
      </c>
      <c r="C132" s="27"/>
      <c r="D132" s="27"/>
      <c r="E132" s="27"/>
      <c r="F132" s="39"/>
      <c r="G132" s="28"/>
      <c r="H132" s="28"/>
      <c r="I132" s="39"/>
      <c r="J132" s="39"/>
      <c r="K132" s="71"/>
      <c r="L132" s="28"/>
      <c r="M132" s="27"/>
    </row>
    <row r="133" customFormat="false" ht="15" hidden="false" customHeight="false" outlineLevel="0" collapsed="false">
      <c r="A133" s="29"/>
      <c r="B133" s="40" t="n">
        <f aca="false">IF($A133="",0,INT(($A133-Macrociclo!$C$11)/7)+1)</f>
        <v>0</v>
      </c>
      <c r="C133" s="27"/>
      <c r="D133" s="27"/>
      <c r="E133" s="27"/>
      <c r="F133" s="39"/>
      <c r="G133" s="28"/>
      <c r="H133" s="28"/>
      <c r="I133" s="39"/>
      <c r="J133" s="39"/>
      <c r="K133" s="71"/>
      <c r="L133" s="28"/>
      <c r="M133" s="27"/>
    </row>
    <row r="134" customFormat="false" ht="15" hidden="false" customHeight="false" outlineLevel="0" collapsed="false">
      <c r="A134" s="29"/>
      <c r="B134" s="40" t="n">
        <f aca="false">IF($A134="",0,INT(($A134-Macrociclo!$C$11)/7)+1)</f>
        <v>0</v>
      </c>
      <c r="C134" s="27"/>
      <c r="D134" s="27"/>
      <c r="E134" s="27"/>
      <c r="F134" s="39"/>
      <c r="G134" s="28"/>
      <c r="H134" s="28"/>
      <c r="I134" s="39"/>
      <c r="J134" s="39"/>
      <c r="K134" s="71"/>
      <c r="L134" s="28"/>
      <c r="M134" s="27"/>
    </row>
    <row r="135" customFormat="false" ht="15" hidden="false" customHeight="false" outlineLevel="0" collapsed="false">
      <c r="A135" s="29"/>
      <c r="B135" s="40" t="n">
        <f aca="false">IF($A135="",0,INT(($A135-Macrociclo!$C$11)/7)+1)</f>
        <v>0</v>
      </c>
      <c r="C135" s="27"/>
      <c r="D135" s="27"/>
      <c r="E135" s="27"/>
      <c r="F135" s="39"/>
      <c r="G135" s="28"/>
      <c r="H135" s="28"/>
      <c r="I135" s="39"/>
      <c r="J135" s="39"/>
      <c r="K135" s="71"/>
      <c r="L135" s="28"/>
      <c r="M135" s="27"/>
    </row>
    <row r="136" customFormat="false" ht="15" hidden="false" customHeight="false" outlineLevel="0" collapsed="false">
      <c r="A136" s="29"/>
      <c r="B136" s="40" t="n">
        <f aca="false">IF($A136="",0,INT(($A136-Macrociclo!$C$11)/7)+1)</f>
        <v>0</v>
      </c>
      <c r="C136" s="27"/>
      <c r="D136" s="27"/>
      <c r="E136" s="27"/>
      <c r="F136" s="39"/>
      <c r="G136" s="28"/>
      <c r="H136" s="28"/>
      <c r="I136" s="39"/>
      <c r="J136" s="39"/>
      <c r="K136" s="71"/>
      <c r="L136" s="28"/>
      <c r="M136" s="27"/>
    </row>
    <row r="137" customFormat="false" ht="15" hidden="false" customHeight="false" outlineLevel="0" collapsed="false">
      <c r="A137" s="29"/>
      <c r="B137" s="40" t="n">
        <f aca="false">IF($A137="",0,INT(($A137-Macrociclo!$C$11)/7)+1)</f>
        <v>0</v>
      </c>
      <c r="C137" s="27"/>
      <c r="D137" s="27"/>
      <c r="E137" s="27"/>
      <c r="F137" s="39"/>
      <c r="G137" s="28"/>
      <c r="H137" s="28"/>
      <c r="I137" s="39"/>
      <c r="J137" s="39"/>
      <c r="K137" s="71"/>
      <c r="L137" s="28"/>
      <c r="M137" s="27"/>
    </row>
    <row r="138" customFormat="false" ht="15" hidden="false" customHeight="false" outlineLevel="0" collapsed="false">
      <c r="A138" s="29"/>
      <c r="B138" s="40" t="n">
        <f aca="false">IF($A138="",0,INT(($A138-Macrociclo!$C$11)/7)+1)</f>
        <v>0</v>
      </c>
      <c r="C138" s="27"/>
      <c r="D138" s="27"/>
      <c r="E138" s="27"/>
      <c r="F138" s="39"/>
      <c r="G138" s="28"/>
      <c r="H138" s="28"/>
      <c r="I138" s="39"/>
      <c r="J138" s="39"/>
      <c r="K138" s="71"/>
      <c r="L138" s="28"/>
      <c r="M138" s="27"/>
    </row>
    <row r="139" customFormat="false" ht="15" hidden="false" customHeight="false" outlineLevel="0" collapsed="false">
      <c r="A139" s="29"/>
      <c r="B139" s="40" t="n">
        <f aca="false">IF($A139="",0,INT(($A139-Macrociclo!$C$11)/7)+1)</f>
        <v>0</v>
      </c>
      <c r="C139" s="27"/>
      <c r="D139" s="27"/>
      <c r="E139" s="27"/>
      <c r="F139" s="39"/>
      <c r="G139" s="28"/>
      <c r="H139" s="28"/>
      <c r="I139" s="39"/>
      <c r="J139" s="39"/>
      <c r="K139" s="71"/>
      <c r="L139" s="28"/>
      <c r="M139" s="27"/>
    </row>
    <row r="140" customFormat="false" ht="15" hidden="false" customHeight="false" outlineLevel="0" collapsed="false">
      <c r="A140" s="29"/>
      <c r="B140" s="40" t="n">
        <f aca="false">IF($A140="",0,INT(($A140-Macrociclo!$C$11)/7)+1)</f>
        <v>0</v>
      </c>
      <c r="C140" s="27"/>
      <c r="D140" s="27"/>
      <c r="E140" s="27"/>
      <c r="F140" s="39"/>
      <c r="G140" s="28"/>
      <c r="H140" s="28"/>
      <c r="I140" s="39"/>
      <c r="J140" s="39"/>
      <c r="K140" s="71"/>
      <c r="L140" s="28"/>
      <c r="M140" s="27"/>
    </row>
    <row r="141" customFormat="false" ht="15" hidden="false" customHeight="false" outlineLevel="0" collapsed="false">
      <c r="A141" s="29"/>
      <c r="B141" s="40" t="n">
        <f aca="false">IF($A141="",0,INT(($A141-Macrociclo!$C$11)/7)+1)</f>
        <v>0</v>
      </c>
      <c r="C141" s="27"/>
      <c r="D141" s="27"/>
      <c r="E141" s="27"/>
      <c r="F141" s="39"/>
      <c r="G141" s="28"/>
      <c r="H141" s="28"/>
      <c r="I141" s="39"/>
      <c r="J141" s="39"/>
      <c r="K141" s="71"/>
      <c r="L141" s="28"/>
      <c r="M141" s="27"/>
    </row>
    <row r="142" customFormat="false" ht="15" hidden="false" customHeight="false" outlineLevel="0" collapsed="false">
      <c r="A142" s="29"/>
      <c r="B142" s="40" t="n">
        <f aca="false">IF($A142="",0,INT(($A142-Macrociclo!$C$11)/7)+1)</f>
        <v>0</v>
      </c>
      <c r="C142" s="27"/>
      <c r="D142" s="27"/>
      <c r="E142" s="27"/>
      <c r="F142" s="39"/>
      <c r="G142" s="28"/>
      <c r="H142" s="28"/>
      <c r="I142" s="39"/>
      <c r="J142" s="39"/>
      <c r="K142" s="71"/>
      <c r="L142" s="28"/>
      <c r="M142" s="27"/>
    </row>
    <row r="143" customFormat="false" ht="15" hidden="false" customHeight="false" outlineLevel="0" collapsed="false">
      <c r="A143" s="29"/>
      <c r="B143" s="40" t="n">
        <f aca="false">IF($A143="",0,INT(($A143-Macrociclo!$C$11)/7)+1)</f>
        <v>0</v>
      </c>
      <c r="C143" s="27"/>
      <c r="D143" s="27"/>
      <c r="E143" s="27"/>
      <c r="F143" s="39"/>
      <c r="G143" s="28"/>
      <c r="H143" s="28"/>
      <c r="I143" s="39"/>
      <c r="J143" s="39"/>
      <c r="K143" s="71"/>
      <c r="L143" s="28"/>
      <c r="M143" s="27"/>
    </row>
    <row r="144" customFormat="false" ht="15" hidden="false" customHeight="false" outlineLevel="0" collapsed="false">
      <c r="A144" s="29"/>
      <c r="B144" s="40" t="n">
        <f aca="false">IF($A144="",0,INT(($A144-Macrociclo!$C$11)/7)+1)</f>
        <v>0</v>
      </c>
      <c r="C144" s="27"/>
      <c r="D144" s="27"/>
      <c r="E144" s="27"/>
      <c r="F144" s="39"/>
      <c r="G144" s="28"/>
      <c r="H144" s="28"/>
      <c r="I144" s="39"/>
      <c r="J144" s="39"/>
      <c r="K144" s="71"/>
      <c r="L144" s="28"/>
      <c r="M144" s="27"/>
    </row>
    <row r="145" customFormat="false" ht="15" hidden="false" customHeight="false" outlineLevel="0" collapsed="false">
      <c r="A145" s="29"/>
      <c r="B145" s="40" t="n">
        <f aca="false">IF($A145="",0,INT(($A145-Macrociclo!$C$11)/7)+1)</f>
        <v>0</v>
      </c>
      <c r="C145" s="27"/>
      <c r="D145" s="27"/>
      <c r="E145" s="27"/>
      <c r="F145" s="39"/>
      <c r="G145" s="28"/>
      <c r="H145" s="28"/>
      <c r="I145" s="39"/>
      <c r="J145" s="39"/>
      <c r="K145" s="71"/>
      <c r="L145" s="28"/>
      <c r="M145" s="27"/>
    </row>
    <row r="146" customFormat="false" ht="15" hidden="false" customHeight="false" outlineLevel="0" collapsed="false">
      <c r="A146" s="29"/>
      <c r="B146" s="40" t="n">
        <f aca="false">IF($A146="",0,INT(($A146-Macrociclo!$C$11)/7)+1)</f>
        <v>0</v>
      </c>
      <c r="C146" s="27"/>
      <c r="D146" s="27"/>
      <c r="E146" s="27"/>
      <c r="F146" s="39"/>
      <c r="G146" s="28"/>
      <c r="H146" s="28"/>
      <c r="I146" s="39"/>
      <c r="J146" s="39"/>
      <c r="K146" s="71"/>
      <c r="L146" s="28"/>
      <c r="M146" s="27"/>
    </row>
    <row r="147" customFormat="false" ht="15" hidden="false" customHeight="false" outlineLevel="0" collapsed="false">
      <c r="A147" s="29"/>
      <c r="B147" s="40" t="n">
        <f aca="false">IF($A147="",0,INT(($A147-Macrociclo!$C$11)/7)+1)</f>
        <v>0</v>
      </c>
      <c r="C147" s="27"/>
      <c r="D147" s="27"/>
      <c r="E147" s="27"/>
      <c r="F147" s="39"/>
      <c r="G147" s="28"/>
      <c r="H147" s="28"/>
      <c r="I147" s="39"/>
      <c r="J147" s="39"/>
      <c r="K147" s="71"/>
      <c r="L147" s="28"/>
      <c r="M147" s="27"/>
    </row>
    <row r="148" customFormat="false" ht="15" hidden="false" customHeight="false" outlineLevel="0" collapsed="false">
      <c r="A148" s="29"/>
      <c r="B148" s="40" t="n">
        <f aca="false">IF($A148="",0,INT(($A148-Macrociclo!$C$11)/7)+1)</f>
        <v>0</v>
      </c>
      <c r="C148" s="27"/>
      <c r="D148" s="27"/>
      <c r="E148" s="27"/>
      <c r="F148" s="39"/>
      <c r="G148" s="28"/>
      <c r="H148" s="28"/>
      <c r="I148" s="39"/>
      <c r="J148" s="39"/>
      <c r="K148" s="71"/>
      <c r="L148" s="28"/>
      <c r="M148" s="27"/>
    </row>
    <row r="149" customFormat="false" ht="15" hidden="false" customHeight="false" outlineLevel="0" collapsed="false">
      <c r="A149" s="29"/>
      <c r="B149" s="40" t="n">
        <f aca="false">IF($A149="",0,INT(($A149-Macrociclo!$C$11)/7)+1)</f>
        <v>0</v>
      </c>
      <c r="C149" s="27"/>
      <c r="D149" s="27"/>
      <c r="E149" s="27"/>
      <c r="F149" s="39"/>
      <c r="G149" s="28"/>
      <c r="H149" s="28"/>
      <c r="I149" s="39"/>
      <c r="J149" s="39"/>
      <c r="K149" s="71"/>
      <c r="L149" s="28"/>
      <c r="M149" s="27"/>
    </row>
    <row r="150" customFormat="false" ht="15" hidden="false" customHeight="false" outlineLevel="0" collapsed="false">
      <c r="A150" s="29"/>
      <c r="B150" s="40" t="n">
        <f aca="false">IF($A150="",0,INT(($A150-Macrociclo!$C$11)/7)+1)</f>
        <v>0</v>
      </c>
      <c r="C150" s="27"/>
      <c r="D150" s="27"/>
      <c r="E150" s="27"/>
      <c r="F150" s="39"/>
      <c r="G150" s="28"/>
      <c r="H150" s="28"/>
      <c r="I150" s="39"/>
      <c r="J150" s="39"/>
      <c r="K150" s="71"/>
      <c r="L150" s="28"/>
      <c r="M150" s="27"/>
    </row>
    <row r="151" customFormat="false" ht="15" hidden="false" customHeight="false" outlineLevel="0" collapsed="false">
      <c r="A151" s="29"/>
      <c r="B151" s="40" t="n">
        <f aca="false">IF($A151="",0,INT(($A151-Macrociclo!$C$11)/7)+1)</f>
        <v>0</v>
      </c>
      <c r="C151" s="27"/>
      <c r="D151" s="27"/>
      <c r="E151" s="27"/>
      <c r="F151" s="39"/>
      <c r="G151" s="28"/>
      <c r="H151" s="28"/>
      <c r="I151" s="39"/>
      <c r="J151" s="39"/>
      <c r="K151" s="71"/>
      <c r="L151" s="28"/>
      <c r="M151" s="27"/>
    </row>
    <row r="152" customFormat="false" ht="15" hidden="false" customHeight="false" outlineLevel="0" collapsed="false">
      <c r="A152" s="29"/>
      <c r="B152" s="40" t="n">
        <f aca="false">IF($A152="",0,INT(($A152-Macrociclo!$C$11)/7)+1)</f>
        <v>0</v>
      </c>
      <c r="C152" s="27"/>
      <c r="D152" s="27"/>
      <c r="E152" s="27"/>
      <c r="F152" s="39"/>
      <c r="G152" s="28"/>
      <c r="H152" s="28"/>
      <c r="I152" s="39"/>
      <c r="J152" s="39"/>
      <c r="K152" s="71"/>
      <c r="L152" s="28"/>
      <c r="M152" s="27"/>
    </row>
    <row r="153" customFormat="false" ht="15" hidden="false" customHeight="false" outlineLevel="0" collapsed="false">
      <c r="A153" s="29"/>
      <c r="B153" s="40" t="n">
        <f aca="false">IF($A153="",0,INT(($A153-Macrociclo!$C$11)/7)+1)</f>
        <v>0</v>
      </c>
      <c r="C153" s="27"/>
      <c r="D153" s="27"/>
      <c r="E153" s="27"/>
      <c r="F153" s="39"/>
      <c r="G153" s="28"/>
      <c r="H153" s="28"/>
      <c r="I153" s="39"/>
      <c r="J153" s="39"/>
      <c r="K153" s="71"/>
      <c r="L153" s="28"/>
      <c r="M153" s="27"/>
    </row>
    <row r="154" customFormat="false" ht="15" hidden="false" customHeight="false" outlineLevel="0" collapsed="false">
      <c r="A154" s="29"/>
      <c r="B154" s="40" t="n">
        <f aca="false">IF($A154="",0,INT(($A154-Macrociclo!$C$11)/7)+1)</f>
        <v>0</v>
      </c>
      <c r="C154" s="27"/>
      <c r="D154" s="27"/>
      <c r="E154" s="27"/>
      <c r="F154" s="39"/>
      <c r="G154" s="28"/>
      <c r="H154" s="28"/>
      <c r="I154" s="39"/>
      <c r="J154" s="39"/>
      <c r="K154" s="71"/>
      <c r="L154" s="28"/>
      <c r="M154" s="27"/>
    </row>
    <row r="155" customFormat="false" ht="15" hidden="false" customHeight="false" outlineLevel="0" collapsed="false">
      <c r="A155" s="29"/>
      <c r="B155" s="40" t="n">
        <f aca="false">IF($A155="",0,INT(($A155-Macrociclo!$C$11)/7)+1)</f>
        <v>0</v>
      </c>
      <c r="C155" s="27"/>
      <c r="D155" s="27"/>
      <c r="E155" s="27"/>
      <c r="F155" s="39"/>
      <c r="G155" s="28"/>
      <c r="H155" s="28"/>
      <c r="I155" s="39"/>
      <c r="J155" s="39"/>
      <c r="K155" s="71"/>
      <c r="L155" s="28"/>
      <c r="M155" s="27"/>
    </row>
    <row r="156" customFormat="false" ht="15" hidden="false" customHeight="false" outlineLevel="0" collapsed="false">
      <c r="A156" s="29"/>
      <c r="B156" s="40" t="n">
        <f aca="false">IF($A156="",0,INT(($A156-Macrociclo!$C$11)/7)+1)</f>
        <v>0</v>
      </c>
      <c r="C156" s="27"/>
      <c r="D156" s="27"/>
      <c r="E156" s="27"/>
      <c r="F156" s="39"/>
      <c r="G156" s="28"/>
      <c r="H156" s="28"/>
      <c r="I156" s="39"/>
      <c r="J156" s="39"/>
      <c r="K156" s="71"/>
      <c r="L156" s="28"/>
      <c r="M156" s="27"/>
    </row>
    <row r="157" customFormat="false" ht="15" hidden="false" customHeight="false" outlineLevel="0" collapsed="false">
      <c r="A157" s="29"/>
      <c r="B157" s="40" t="n">
        <f aca="false">IF($A157="",0,INT(($A157-Macrociclo!$C$11)/7)+1)</f>
        <v>0</v>
      </c>
      <c r="C157" s="27"/>
      <c r="D157" s="27"/>
      <c r="E157" s="27"/>
      <c r="F157" s="39"/>
      <c r="G157" s="28"/>
      <c r="H157" s="28"/>
      <c r="I157" s="39"/>
      <c r="J157" s="39"/>
      <c r="K157" s="71"/>
      <c r="L157" s="28"/>
      <c r="M157" s="27"/>
    </row>
    <row r="158" customFormat="false" ht="15" hidden="false" customHeight="false" outlineLevel="0" collapsed="false">
      <c r="A158" s="29"/>
      <c r="B158" s="40" t="n">
        <f aca="false">IF($A158="",0,INT(($A158-Macrociclo!$C$11)/7)+1)</f>
        <v>0</v>
      </c>
      <c r="C158" s="27"/>
      <c r="D158" s="27"/>
      <c r="E158" s="27"/>
      <c r="F158" s="39"/>
      <c r="G158" s="28"/>
      <c r="H158" s="28"/>
      <c r="I158" s="39"/>
      <c r="J158" s="39"/>
      <c r="K158" s="71"/>
      <c r="L158" s="28"/>
      <c r="M158" s="27"/>
    </row>
    <row r="159" customFormat="false" ht="15" hidden="false" customHeight="false" outlineLevel="0" collapsed="false">
      <c r="A159" s="29"/>
      <c r="B159" s="40" t="n">
        <f aca="false">IF($A159="",0,INT(($A159-Macrociclo!$C$11)/7)+1)</f>
        <v>0</v>
      </c>
      <c r="C159" s="27"/>
      <c r="D159" s="27"/>
      <c r="E159" s="27"/>
      <c r="F159" s="39"/>
      <c r="G159" s="28"/>
      <c r="H159" s="28"/>
      <c r="I159" s="39"/>
      <c r="J159" s="39"/>
      <c r="K159" s="71"/>
      <c r="L159" s="28"/>
      <c r="M159" s="27"/>
    </row>
    <row r="160" customFormat="false" ht="15" hidden="false" customHeight="false" outlineLevel="0" collapsed="false">
      <c r="A160" s="29"/>
      <c r="B160" s="40" t="n">
        <f aca="false">IF($A160="",0,INT(($A160-Macrociclo!$C$11)/7)+1)</f>
        <v>0</v>
      </c>
      <c r="C160" s="27"/>
      <c r="D160" s="27"/>
      <c r="E160" s="27"/>
      <c r="F160" s="39"/>
      <c r="G160" s="28"/>
      <c r="H160" s="28"/>
      <c r="I160" s="39"/>
      <c r="J160" s="39"/>
      <c r="K160" s="71"/>
      <c r="L160" s="28"/>
      <c r="M160" s="27"/>
    </row>
    <row r="161" customFormat="false" ht="15" hidden="false" customHeight="false" outlineLevel="0" collapsed="false">
      <c r="A161" s="29"/>
      <c r="B161" s="40" t="n">
        <f aca="false">IF($A161="",0,INT(($A161-Macrociclo!$C$11)/7)+1)</f>
        <v>0</v>
      </c>
      <c r="C161" s="27"/>
      <c r="D161" s="27"/>
      <c r="E161" s="27"/>
      <c r="F161" s="39"/>
      <c r="G161" s="28"/>
      <c r="H161" s="28"/>
      <c r="I161" s="39"/>
      <c r="J161" s="39"/>
      <c r="K161" s="71"/>
      <c r="L161" s="28"/>
      <c r="M161" s="27"/>
    </row>
    <row r="162" customFormat="false" ht="15" hidden="false" customHeight="false" outlineLevel="0" collapsed="false">
      <c r="A162" s="29"/>
      <c r="B162" s="40" t="n">
        <f aca="false">IF($A162="",0,INT(($A162-Macrociclo!$C$11)/7)+1)</f>
        <v>0</v>
      </c>
      <c r="C162" s="27"/>
      <c r="D162" s="27"/>
      <c r="E162" s="27"/>
      <c r="F162" s="39"/>
      <c r="G162" s="28"/>
      <c r="H162" s="28"/>
      <c r="I162" s="39"/>
      <c r="J162" s="39"/>
      <c r="K162" s="71"/>
      <c r="L162" s="28"/>
      <c r="M162" s="27"/>
    </row>
    <row r="163" customFormat="false" ht="15" hidden="false" customHeight="false" outlineLevel="0" collapsed="false">
      <c r="A163" s="29"/>
      <c r="B163" s="40" t="n">
        <f aca="false">IF($A163="",0,INT(($A163-Macrociclo!$C$11)/7)+1)</f>
        <v>0</v>
      </c>
      <c r="C163" s="27"/>
      <c r="D163" s="27"/>
      <c r="E163" s="27"/>
      <c r="F163" s="39"/>
      <c r="G163" s="28"/>
      <c r="H163" s="28"/>
      <c r="I163" s="39"/>
      <c r="J163" s="39"/>
      <c r="K163" s="71"/>
      <c r="L163" s="28"/>
      <c r="M163" s="27"/>
    </row>
    <row r="164" customFormat="false" ht="15" hidden="false" customHeight="false" outlineLevel="0" collapsed="false">
      <c r="A164" s="29"/>
      <c r="B164" s="40" t="n">
        <f aca="false">IF($A164="",0,INT(($A164-Macrociclo!$C$11)/7)+1)</f>
        <v>0</v>
      </c>
      <c r="C164" s="27"/>
      <c r="D164" s="27"/>
      <c r="E164" s="27"/>
      <c r="F164" s="39"/>
      <c r="G164" s="28"/>
      <c r="H164" s="28"/>
      <c r="I164" s="39"/>
      <c r="J164" s="39"/>
      <c r="K164" s="71"/>
      <c r="L164" s="28"/>
      <c r="M164" s="27"/>
    </row>
    <row r="165" customFormat="false" ht="15" hidden="false" customHeight="false" outlineLevel="0" collapsed="false">
      <c r="A165" s="29"/>
      <c r="B165" s="40" t="n">
        <f aca="false">IF($A165="",0,INT(($A165-Macrociclo!$C$11)/7)+1)</f>
        <v>0</v>
      </c>
      <c r="C165" s="27"/>
      <c r="D165" s="27"/>
      <c r="E165" s="27"/>
      <c r="F165" s="39"/>
      <c r="G165" s="28"/>
      <c r="H165" s="28"/>
      <c r="I165" s="39"/>
      <c r="J165" s="39"/>
      <c r="K165" s="71"/>
      <c r="L165" s="28"/>
      <c r="M165" s="27"/>
    </row>
    <row r="166" customFormat="false" ht="15" hidden="false" customHeight="false" outlineLevel="0" collapsed="false">
      <c r="A166" s="29"/>
      <c r="B166" s="40" t="n">
        <f aca="false">IF($A166="",0,INT(($A166-Macrociclo!$C$11)/7)+1)</f>
        <v>0</v>
      </c>
      <c r="C166" s="27"/>
      <c r="D166" s="27"/>
      <c r="E166" s="27"/>
      <c r="F166" s="39"/>
      <c r="G166" s="28"/>
      <c r="H166" s="28"/>
      <c r="I166" s="39"/>
      <c r="J166" s="39"/>
      <c r="K166" s="71"/>
      <c r="L166" s="28"/>
      <c r="M166" s="27"/>
    </row>
    <row r="167" customFormat="false" ht="15" hidden="false" customHeight="false" outlineLevel="0" collapsed="false">
      <c r="A167" s="29"/>
      <c r="B167" s="40" t="n">
        <f aca="false">IF($A167="",0,INT(($A167-Macrociclo!$C$11)/7)+1)</f>
        <v>0</v>
      </c>
      <c r="C167" s="27"/>
      <c r="D167" s="27"/>
      <c r="E167" s="27"/>
      <c r="F167" s="39"/>
      <c r="G167" s="28"/>
      <c r="H167" s="28"/>
      <c r="I167" s="39"/>
      <c r="J167" s="39"/>
      <c r="K167" s="71"/>
      <c r="L167" s="28"/>
      <c r="M167" s="27"/>
    </row>
    <row r="168" customFormat="false" ht="15" hidden="false" customHeight="false" outlineLevel="0" collapsed="false">
      <c r="A168" s="29"/>
      <c r="B168" s="40" t="n">
        <f aca="false">IF($A168="",0,INT(($A168-Macrociclo!$C$11)/7)+1)</f>
        <v>0</v>
      </c>
      <c r="C168" s="27"/>
      <c r="D168" s="27"/>
      <c r="E168" s="27"/>
      <c r="F168" s="39"/>
      <c r="G168" s="28"/>
      <c r="H168" s="28"/>
      <c r="I168" s="39"/>
      <c r="J168" s="39"/>
      <c r="K168" s="71"/>
      <c r="L168" s="28"/>
      <c r="M168" s="27"/>
    </row>
    <row r="169" customFormat="false" ht="15" hidden="false" customHeight="false" outlineLevel="0" collapsed="false">
      <c r="A169" s="29"/>
      <c r="B169" s="40" t="n">
        <f aca="false">IF($A169="",0,INT(($A169-Macrociclo!$C$11)/7)+1)</f>
        <v>0</v>
      </c>
      <c r="C169" s="27"/>
      <c r="D169" s="27"/>
      <c r="E169" s="27"/>
      <c r="F169" s="39"/>
      <c r="G169" s="28"/>
      <c r="H169" s="28"/>
      <c r="I169" s="39"/>
      <c r="J169" s="39"/>
      <c r="K169" s="71"/>
      <c r="L169" s="28"/>
      <c r="M169" s="27"/>
    </row>
    <row r="170" customFormat="false" ht="15" hidden="false" customHeight="false" outlineLevel="0" collapsed="false">
      <c r="A170" s="29"/>
      <c r="B170" s="40" t="n">
        <f aca="false">IF($A170="",0,INT(($A170-Macrociclo!$C$11)/7)+1)</f>
        <v>0</v>
      </c>
      <c r="C170" s="27"/>
      <c r="D170" s="27"/>
      <c r="E170" s="27"/>
      <c r="F170" s="39"/>
      <c r="G170" s="28"/>
      <c r="H170" s="28"/>
      <c r="I170" s="39"/>
      <c r="J170" s="39"/>
      <c r="K170" s="71"/>
      <c r="L170" s="28"/>
      <c r="M170" s="27"/>
    </row>
    <row r="171" customFormat="false" ht="15" hidden="false" customHeight="false" outlineLevel="0" collapsed="false">
      <c r="A171" s="29"/>
      <c r="B171" s="40" t="n">
        <f aca="false">IF($A171="",0,INT(($A171-Macrociclo!$C$11)/7)+1)</f>
        <v>0</v>
      </c>
      <c r="C171" s="27"/>
      <c r="D171" s="27"/>
      <c r="E171" s="27"/>
      <c r="F171" s="39"/>
      <c r="G171" s="28"/>
      <c r="H171" s="28"/>
      <c r="I171" s="39"/>
      <c r="J171" s="39"/>
      <c r="K171" s="71"/>
      <c r="L171" s="28"/>
      <c r="M171" s="27"/>
    </row>
    <row r="172" customFormat="false" ht="15" hidden="false" customHeight="false" outlineLevel="0" collapsed="false">
      <c r="A172" s="29"/>
      <c r="B172" s="40" t="n">
        <f aca="false">IF($A172="",0,INT(($A172-Macrociclo!$C$11)/7)+1)</f>
        <v>0</v>
      </c>
      <c r="C172" s="27"/>
      <c r="D172" s="27"/>
      <c r="E172" s="27"/>
      <c r="F172" s="39"/>
      <c r="G172" s="28"/>
      <c r="H172" s="28"/>
      <c r="I172" s="39"/>
      <c r="J172" s="39"/>
      <c r="K172" s="71"/>
      <c r="L172" s="28"/>
      <c r="M172" s="27"/>
    </row>
    <row r="173" customFormat="false" ht="15" hidden="false" customHeight="false" outlineLevel="0" collapsed="false">
      <c r="A173" s="29"/>
      <c r="B173" s="40" t="n">
        <f aca="false">IF($A173="",0,INT(($A173-Macrociclo!$C$11)/7)+1)</f>
        <v>0</v>
      </c>
      <c r="C173" s="27"/>
      <c r="D173" s="27"/>
      <c r="E173" s="27"/>
      <c r="F173" s="39"/>
      <c r="G173" s="28"/>
      <c r="H173" s="28"/>
      <c r="I173" s="39"/>
      <c r="J173" s="39"/>
      <c r="K173" s="71"/>
      <c r="L173" s="28"/>
      <c r="M173" s="27"/>
    </row>
    <row r="174" customFormat="false" ht="15" hidden="false" customHeight="false" outlineLevel="0" collapsed="false">
      <c r="A174" s="29"/>
      <c r="B174" s="40" t="n">
        <f aca="false">IF($A174="",0,INT(($A174-Macrociclo!$C$11)/7)+1)</f>
        <v>0</v>
      </c>
      <c r="C174" s="27"/>
      <c r="D174" s="27"/>
      <c r="E174" s="27"/>
      <c r="F174" s="39"/>
      <c r="G174" s="28"/>
      <c r="H174" s="28"/>
      <c r="I174" s="39"/>
      <c r="J174" s="39"/>
      <c r="K174" s="71"/>
      <c r="L174" s="28"/>
      <c r="M174" s="27"/>
    </row>
    <row r="175" customFormat="false" ht="15" hidden="false" customHeight="false" outlineLevel="0" collapsed="false">
      <c r="A175" s="29"/>
      <c r="B175" s="40" t="n">
        <f aca="false">IF($A175="",0,INT(($A175-Macrociclo!$C$11)/7)+1)</f>
        <v>0</v>
      </c>
      <c r="C175" s="27"/>
      <c r="D175" s="27"/>
      <c r="E175" s="27"/>
      <c r="F175" s="39"/>
      <c r="G175" s="28"/>
      <c r="H175" s="28"/>
      <c r="I175" s="39"/>
      <c r="J175" s="39"/>
      <c r="K175" s="71"/>
      <c r="L175" s="28"/>
      <c r="M175" s="27"/>
    </row>
    <row r="176" customFormat="false" ht="15" hidden="false" customHeight="false" outlineLevel="0" collapsed="false">
      <c r="A176" s="29"/>
      <c r="B176" s="40" t="n">
        <f aca="false">IF($A176="",0,INT(($A176-Macrociclo!$C$11)/7)+1)</f>
        <v>0</v>
      </c>
      <c r="C176" s="27"/>
      <c r="D176" s="27"/>
      <c r="E176" s="27"/>
      <c r="F176" s="39"/>
      <c r="G176" s="28"/>
      <c r="H176" s="28"/>
      <c r="I176" s="39"/>
      <c r="J176" s="39"/>
      <c r="K176" s="71"/>
      <c r="L176" s="28"/>
      <c r="M176" s="27"/>
    </row>
    <row r="177" customFormat="false" ht="15" hidden="false" customHeight="false" outlineLevel="0" collapsed="false">
      <c r="A177" s="29"/>
      <c r="B177" s="40" t="n">
        <f aca="false">IF($A177="",0,INT(($A177-Macrociclo!$C$11)/7)+1)</f>
        <v>0</v>
      </c>
      <c r="C177" s="27"/>
      <c r="D177" s="27"/>
      <c r="E177" s="27"/>
      <c r="F177" s="39"/>
      <c r="G177" s="28"/>
      <c r="H177" s="28"/>
      <c r="I177" s="39"/>
      <c r="J177" s="39"/>
      <c r="K177" s="71"/>
      <c r="L177" s="28"/>
      <c r="M177" s="27"/>
    </row>
    <row r="178" customFormat="false" ht="15" hidden="false" customHeight="false" outlineLevel="0" collapsed="false">
      <c r="A178" s="29"/>
      <c r="B178" s="40" t="n">
        <f aca="false">IF($A178="",0,INT(($A178-Macrociclo!$C$11)/7)+1)</f>
        <v>0</v>
      </c>
      <c r="C178" s="27"/>
      <c r="D178" s="27"/>
      <c r="E178" s="27"/>
      <c r="F178" s="39"/>
      <c r="G178" s="28"/>
      <c r="H178" s="28"/>
      <c r="I178" s="39"/>
      <c r="J178" s="39"/>
      <c r="K178" s="71"/>
      <c r="L178" s="28"/>
      <c r="M178" s="27"/>
    </row>
    <row r="179" customFormat="false" ht="15" hidden="false" customHeight="false" outlineLevel="0" collapsed="false">
      <c r="A179" s="29"/>
      <c r="B179" s="40" t="n">
        <f aca="false">IF($A179="",0,INT(($A179-Macrociclo!$C$11)/7)+1)</f>
        <v>0</v>
      </c>
      <c r="C179" s="27"/>
      <c r="D179" s="27"/>
      <c r="E179" s="27"/>
      <c r="F179" s="39"/>
      <c r="G179" s="28"/>
      <c r="H179" s="28"/>
      <c r="I179" s="39"/>
      <c r="J179" s="39"/>
      <c r="K179" s="71"/>
      <c r="L179" s="28"/>
      <c r="M179" s="27"/>
    </row>
    <row r="180" customFormat="false" ht="15" hidden="false" customHeight="false" outlineLevel="0" collapsed="false">
      <c r="A180" s="29"/>
      <c r="B180" s="40" t="n">
        <f aca="false">IF($A180="",0,INT(($A180-Macrociclo!$C$11)/7)+1)</f>
        <v>0</v>
      </c>
      <c r="C180" s="27"/>
      <c r="D180" s="27"/>
      <c r="E180" s="27"/>
      <c r="F180" s="39"/>
      <c r="G180" s="28"/>
      <c r="H180" s="28"/>
      <c r="I180" s="39"/>
      <c r="J180" s="39"/>
      <c r="K180" s="71"/>
      <c r="L180" s="28"/>
      <c r="M180" s="27"/>
    </row>
    <row r="181" customFormat="false" ht="15" hidden="false" customHeight="false" outlineLevel="0" collapsed="false">
      <c r="A181" s="29"/>
      <c r="B181" s="40" t="n">
        <f aca="false">IF($A181="",0,INT(($A181-Macrociclo!$C$11)/7)+1)</f>
        <v>0</v>
      </c>
      <c r="C181" s="27"/>
      <c r="D181" s="27"/>
      <c r="E181" s="27"/>
      <c r="F181" s="39"/>
      <c r="G181" s="28"/>
      <c r="H181" s="28"/>
      <c r="I181" s="39"/>
      <c r="J181" s="39"/>
      <c r="K181" s="71"/>
      <c r="L181" s="28"/>
      <c r="M181" s="27"/>
    </row>
    <row r="182" customFormat="false" ht="15" hidden="false" customHeight="false" outlineLevel="0" collapsed="false">
      <c r="A182" s="29"/>
      <c r="B182" s="40" t="n">
        <f aca="false">IF($A182="",0,INT(($A182-Macrociclo!$C$11)/7)+1)</f>
        <v>0</v>
      </c>
      <c r="C182" s="27"/>
      <c r="D182" s="27"/>
      <c r="E182" s="27"/>
      <c r="F182" s="39"/>
      <c r="G182" s="28"/>
      <c r="H182" s="28"/>
      <c r="I182" s="39"/>
      <c r="J182" s="39"/>
      <c r="K182" s="71"/>
      <c r="L182" s="28"/>
      <c r="M182" s="27"/>
    </row>
    <row r="183" customFormat="false" ht="15" hidden="false" customHeight="false" outlineLevel="0" collapsed="false">
      <c r="A183" s="29"/>
      <c r="B183" s="40" t="n">
        <f aca="false">IF($A183="",0,INT(($A183-Macrociclo!$C$11)/7)+1)</f>
        <v>0</v>
      </c>
      <c r="C183" s="27"/>
      <c r="D183" s="27"/>
      <c r="E183" s="27"/>
      <c r="F183" s="39"/>
      <c r="G183" s="28"/>
      <c r="H183" s="28"/>
      <c r="I183" s="39"/>
      <c r="J183" s="39"/>
      <c r="K183" s="71"/>
      <c r="L183" s="28"/>
      <c r="M183" s="27"/>
    </row>
    <row r="184" customFormat="false" ht="15" hidden="false" customHeight="false" outlineLevel="0" collapsed="false">
      <c r="A184" s="29"/>
      <c r="B184" s="40" t="n">
        <f aca="false">IF($A184="",0,INT(($A184-Macrociclo!$C$11)/7)+1)</f>
        <v>0</v>
      </c>
      <c r="C184" s="27"/>
      <c r="D184" s="27"/>
      <c r="E184" s="27"/>
      <c r="F184" s="39"/>
      <c r="G184" s="28"/>
      <c r="H184" s="28"/>
      <c r="I184" s="39"/>
      <c r="J184" s="39"/>
      <c r="K184" s="71"/>
      <c r="L184" s="28"/>
      <c r="M184" s="27"/>
    </row>
    <row r="185" customFormat="false" ht="15" hidden="false" customHeight="false" outlineLevel="0" collapsed="false">
      <c r="A185" s="29"/>
      <c r="B185" s="40" t="n">
        <f aca="false">IF($A185="",0,INT(($A185-Macrociclo!$C$11)/7)+1)</f>
        <v>0</v>
      </c>
      <c r="C185" s="27"/>
      <c r="D185" s="27"/>
      <c r="E185" s="27"/>
      <c r="F185" s="39"/>
      <c r="G185" s="28"/>
      <c r="H185" s="28"/>
      <c r="I185" s="39"/>
      <c r="J185" s="39"/>
      <c r="K185" s="71"/>
      <c r="L185" s="28"/>
      <c r="M185" s="27"/>
    </row>
    <row r="186" customFormat="false" ht="15" hidden="false" customHeight="false" outlineLevel="0" collapsed="false">
      <c r="A186" s="29"/>
      <c r="B186" s="40" t="n">
        <f aca="false">IF($A186="",0,INT(($A186-Macrociclo!$C$11)/7)+1)</f>
        <v>0</v>
      </c>
      <c r="C186" s="27"/>
      <c r="D186" s="27"/>
      <c r="E186" s="27"/>
      <c r="F186" s="39"/>
      <c r="G186" s="28"/>
      <c r="H186" s="28"/>
      <c r="I186" s="39"/>
      <c r="J186" s="39"/>
      <c r="K186" s="71"/>
      <c r="L186" s="28"/>
      <c r="M186" s="27"/>
    </row>
    <row r="187" customFormat="false" ht="15" hidden="false" customHeight="false" outlineLevel="0" collapsed="false">
      <c r="A187" s="29"/>
      <c r="B187" s="40" t="n">
        <f aca="false">IF($A187="",0,INT(($A187-Macrociclo!$C$11)/7)+1)</f>
        <v>0</v>
      </c>
      <c r="C187" s="27"/>
      <c r="D187" s="27"/>
      <c r="E187" s="27"/>
      <c r="F187" s="39"/>
      <c r="G187" s="28"/>
      <c r="H187" s="28"/>
      <c r="I187" s="39"/>
      <c r="J187" s="39"/>
      <c r="K187" s="71"/>
      <c r="L187" s="28"/>
      <c r="M187" s="27"/>
    </row>
    <row r="188" customFormat="false" ht="15" hidden="false" customHeight="false" outlineLevel="0" collapsed="false">
      <c r="A188" s="29"/>
      <c r="B188" s="40" t="n">
        <f aca="false">IF($A188="",0,INT(($A188-Macrociclo!$C$11)/7)+1)</f>
        <v>0</v>
      </c>
      <c r="C188" s="27"/>
      <c r="D188" s="27"/>
      <c r="E188" s="27"/>
      <c r="F188" s="39"/>
      <c r="G188" s="28"/>
      <c r="H188" s="28"/>
      <c r="I188" s="39"/>
      <c r="J188" s="39"/>
      <c r="K188" s="71"/>
      <c r="L188" s="28"/>
      <c r="M188" s="27"/>
    </row>
    <row r="189" customFormat="false" ht="15" hidden="false" customHeight="false" outlineLevel="0" collapsed="false">
      <c r="A189" s="29"/>
      <c r="B189" s="40" t="n">
        <f aca="false">IF($A189="",0,INT(($A189-Macrociclo!$C$11)/7)+1)</f>
        <v>0</v>
      </c>
      <c r="C189" s="27"/>
      <c r="D189" s="27"/>
      <c r="E189" s="27"/>
      <c r="F189" s="39"/>
      <c r="G189" s="28"/>
      <c r="H189" s="28"/>
      <c r="I189" s="39"/>
      <c r="J189" s="39"/>
      <c r="K189" s="71"/>
      <c r="L189" s="28"/>
      <c r="M189" s="27"/>
    </row>
    <row r="190" customFormat="false" ht="15" hidden="false" customHeight="false" outlineLevel="0" collapsed="false">
      <c r="A190" s="29"/>
      <c r="B190" s="40" t="n">
        <f aca="false">IF($A190="",0,INT(($A190-Macrociclo!$C$11)/7)+1)</f>
        <v>0</v>
      </c>
      <c r="C190" s="27"/>
      <c r="D190" s="27"/>
      <c r="E190" s="27"/>
      <c r="F190" s="39"/>
      <c r="G190" s="28"/>
      <c r="H190" s="28"/>
      <c r="I190" s="39"/>
      <c r="J190" s="39"/>
      <c r="K190" s="71"/>
      <c r="L190" s="28"/>
      <c r="M190" s="27"/>
    </row>
    <row r="191" customFormat="false" ht="15" hidden="false" customHeight="false" outlineLevel="0" collapsed="false">
      <c r="A191" s="29"/>
      <c r="B191" s="40" t="n">
        <f aca="false">IF($A191="",0,INT(($A191-Macrociclo!$C$11)/7)+1)</f>
        <v>0</v>
      </c>
      <c r="C191" s="27"/>
      <c r="D191" s="27"/>
      <c r="E191" s="27"/>
      <c r="F191" s="39"/>
      <c r="G191" s="28"/>
      <c r="H191" s="28"/>
      <c r="I191" s="39"/>
      <c r="J191" s="39"/>
      <c r="K191" s="71"/>
      <c r="L191" s="28"/>
      <c r="M191" s="27"/>
    </row>
    <row r="192" customFormat="false" ht="15" hidden="false" customHeight="false" outlineLevel="0" collapsed="false">
      <c r="A192" s="29"/>
      <c r="B192" s="40" t="n">
        <f aca="false">IF($A192="",0,INT(($A192-Macrociclo!$C$11)/7)+1)</f>
        <v>0</v>
      </c>
      <c r="C192" s="27"/>
      <c r="D192" s="27"/>
      <c r="E192" s="27"/>
      <c r="F192" s="39"/>
      <c r="G192" s="28"/>
      <c r="H192" s="28"/>
      <c r="I192" s="39"/>
      <c r="J192" s="39"/>
      <c r="K192" s="71"/>
      <c r="L192" s="28"/>
      <c r="M192" s="27"/>
    </row>
    <row r="193" customFormat="false" ht="15" hidden="false" customHeight="false" outlineLevel="0" collapsed="false">
      <c r="A193" s="29"/>
      <c r="B193" s="40" t="n">
        <f aca="false">IF($A193="",0,INT(($A193-Macrociclo!$C$11)/7)+1)</f>
        <v>0</v>
      </c>
      <c r="C193" s="27"/>
      <c r="D193" s="27"/>
      <c r="E193" s="27"/>
      <c r="F193" s="39"/>
      <c r="G193" s="28"/>
      <c r="H193" s="28"/>
      <c r="I193" s="39"/>
      <c r="J193" s="39"/>
      <c r="K193" s="71"/>
      <c r="L193" s="28"/>
      <c r="M193" s="27"/>
    </row>
    <row r="194" customFormat="false" ht="15" hidden="false" customHeight="false" outlineLevel="0" collapsed="false">
      <c r="A194" s="29"/>
      <c r="B194" s="40" t="n">
        <f aca="false">IF($A194="",0,INT(($A194-Macrociclo!$C$11)/7)+1)</f>
        <v>0</v>
      </c>
      <c r="C194" s="27"/>
      <c r="D194" s="27"/>
      <c r="E194" s="27"/>
      <c r="F194" s="39"/>
      <c r="G194" s="28"/>
      <c r="H194" s="28"/>
      <c r="I194" s="39"/>
      <c r="J194" s="39"/>
      <c r="K194" s="71"/>
      <c r="L194" s="28"/>
      <c r="M194" s="27"/>
    </row>
    <row r="195" customFormat="false" ht="15" hidden="false" customHeight="false" outlineLevel="0" collapsed="false">
      <c r="A195" s="29"/>
      <c r="B195" s="40" t="n">
        <f aca="false">IF($A195="",0,INT(($A195-Macrociclo!$C$11)/7)+1)</f>
        <v>0</v>
      </c>
      <c r="C195" s="27"/>
      <c r="D195" s="27"/>
      <c r="E195" s="27"/>
      <c r="F195" s="39"/>
      <c r="G195" s="28"/>
      <c r="H195" s="28"/>
      <c r="I195" s="39"/>
      <c r="J195" s="39"/>
      <c r="K195" s="71"/>
      <c r="L195" s="28"/>
      <c r="M195" s="27"/>
    </row>
    <row r="196" customFormat="false" ht="15" hidden="false" customHeight="false" outlineLevel="0" collapsed="false">
      <c r="A196" s="29"/>
      <c r="B196" s="40" t="n">
        <f aca="false">IF($A196="",0,INT(($A196-Macrociclo!$C$11)/7)+1)</f>
        <v>0</v>
      </c>
      <c r="C196" s="27"/>
      <c r="D196" s="27"/>
      <c r="E196" s="27"/>
      <c r="F196" s="39"/>
      <c r="G196" s="28"/>
      <c r="H196" s="28"/>
      <c r="I196" s="39"/>
      <c r="J196" s="39"/>
      <c r="K196" s="71"/>
      <c r="L196" s="28"/>
      <c r="M196" s="27"/>
    </row>
    <row r="197" customFormat="false" ht="15" hidden="false" customHeight="false" outlineLevel="0" collapsed="false">
      <c r="A197" s="29"/>
      <c r="B197" s="40" t="n">
        <f aca="false">IF($A197="",0,INT(($A197-Macrociclo!$C$11)/7)+1)</f>
        <v>0</v>
      </c>
      <c r="C197" s="27"/>
      <c r="D197" s="27"/>
      <c r="E197" s="27"/>
      <c r="F197" s="39"/>
      <c r="G197" s="28"/>
      <c r="H197" s="28"/>
      <c r="I197" s="39"/>
      <c r="J197" s="39"/>
      <c r="K197" s="71"/>
      <c r="L197" s="28"/>
      <c r="M197" s="27"/>
    </row>
    <row r="198" customFormat="false" ht="15" hidden="false" customHeight="false" outlineLevel="0" collapsed="false">
      <c r="A198" s="29"/>
      <c r="B198" s="40" t="n">
        <f aca="false">IF($A198="",0,INT(($A198-Macrociclo!$C$11)/7)+1)</f>
        <v>0</v>
      </c>
      <c r="C198" s="27"/>
      <c r="D198" s="27"/>
      <c r="E198" s="27"/>
      <c r="F198" s="39"/>
      <c r="G198" s="28"/>
      <c r="H198" s="28"/>
      <c r="I198" s="39"/>
      <c r="J198" s="39"/>
      <c r="K198" s="71"/>
      <c r="L198" s="28"/>
      <c r="M198" s="27"/>
    </row>
    <row r="199" customFormat="false" ht="15" hidden="false" customHeight="false" outlineLevel="0" collapsed="false">
      <c r="A199" s="29"/>
      <c r="B199" s="40" t="n">
        <f aca="false">IF($A199="",0,INT(($A199-Macrociclo!$C$11)/7)+1)</f>
        <v>0</v>
      </c>
      <c r="C199" s="27"/>
      <c r="D199" s="27"/>
      <c r="E199" s="27"/>
      <c r="F199" s="39"/>
      <c r="G199" s="28"/>
      <c r="H199" s="28"/>
      <c r="I199" s="39"/>
      <c r="J199" s="39"/>
      <c r="K199" s="71"/>
      <c r="L199" s="28"/>
      <c r="M199" s="27"/>
    </row>
    <row r="200" customFormat="false" ht="15" hidden="false" customHeight="false" outlineLevel="0" collapsed="false">
      <c r="A200" s="29"/>
      <c r="B200" s="40" t="n">
        <f aca="false">IF($A200="",0,INT(($A200-Macrociclo!$C$11)/7)+1)</f>
        <v>0</v>
      </c>
      <c r="C200" s="27"/>
      <c r="D200" s="27"/>
      <c r="E200" s="27"/>
      <c r="F200" s="39"/>
      <c r="G200" s="28"/>
      <c r="H200" s="28"/>
      <c r="I200" s="39"/>
      <c r="J200" s="39"/>
      <c r="K200" s="71"/>
      <c r="L200" s="28"/>
      <c r="M200" s="27"/>
    </row>
    <row r="201" customFormat="false" ht="15" hidden="false" customHeight="false" outlineLevel="0" collapsed="false">
      <c r="A201" s="29"/>
      <c r="B201" s="40" t="n">
        <f aca="false">IF($A201="",0,INT(($A201-Macrociclo!$C$11)/7)+1)</f>
        <v>0</v>
      </c>
      <c r="C201" s="27"/>
      <c r="D201" s="27"/>
      <c r="E201" s="27"/>
      <c r="F201" s="39"/>
      <c r="G201" s="28"/>
      <c r="H201" s="28"/>
      <c r="I201" s="39"/>
      <c r="J201" s="39"/>
      <c r="K201" s="71"/>
      <c r="L201" s="28"/>
      <c r="M201" s="27"/>
    </row>
    <row r="202" customFormat="false" ht="15" hidden="false" customHeight="false" outlineLevel="0" collapsed="false">
      <c r="A202" s="29"/>
      <c r="B202" s="40" t="n">
        <f aca="false">IF($A202="",0,INT(($A202-Macrociclo!$C$11)/7)+1)</f>
        <v>0</v>
      </c>
      <c r="C202" s="27"/>
      <c r="D202" s="27"/>
      <c r="E202" s="27"/>
      <c r="F202" s="39"/>
      <c r="G202" s="28"/>
      <c r="H202" s="28"/>
      <c r="I202" s="39"/>
      <c r="J202" s="39"/>
      <c r="K202" s="71"/>
      <c r="L202" s="28"/>
      <c r="M202" s="27"/>
    </row>
    <row r="203" customFormat="false" ht="15" hidden="false" customHeight="false" outlineLevel="0" collapsed="false">
      <c r="A203" s="29"/>
      <c r="B203" s="40" t="n">
        <f aca="false">IF($A203="",0,INT(($A203-Macrociclo!$C$11)/7)+1)</f>
        <v>0</v>
      </c>
      <c r="C203" s="27"/>
      <c r="D203" s="27"/>
      <c r="E203" s="27"/>
      <c r="F203" s="39"/>
      <c r="G203" s="28"/>
      <c r="H203" s="28"/>
      <c r="I203" s="39"/>
      <c r="J203" s="39"/>
      <c r="K203" s="71"/>
      <c r="L203" s="28"/>
      <c r="M203" s="27"/>
    </row>
    <row r="204" customFormat="false" ht="15" hidden="false" customHeight="false" outlineLevel="0" collapsed="false">
      <c r="A204" s="29"/>
      <c r="B204" s="40" t="n">
        <f aca="false">IF($A204="",0,INT(($A204-Macrociclo!$C$11)/7)+1)</f>
        <v>0</v>
      </c>
      <c r="C204" s="27"/>
      <c r="D204" s="27"/>
      <c r="E204" s="27"/>
      <c r="F204" s="39"/>
      <c r="G204" s="28"/>
      <c r="H204" s="28"/>
      <c r="I204" s="39"/>
      <c r="J204" s="39"/>
      <c r="K204" s="71"/>
      <c r="L204" s="28"/>
      <c r="M204" s="27"/>
    </row>
    <row r="205" customFormat="false" ht="15" hidden="false" customHeight="false" outlineLevel="0" collapsed="false">
      <c r="A205" s="29"/>
      <c r="B205" s="40" t="n">
        <f aca="false">IF($A205="",0,INT(($A205-Macrociclo!$C$11)/7)+1)</f>
        <v>0</v>
      </c>
      <c r="C205" s="27"/>
      <c r="D205" s="27"/>
      <c r="E205" s="27"/>
      <c r="F205" s="39"/>
      <c r="G205" s="28"/>
      <c r="H205" s="28"/>
      <c r="I205" s="39"/>
      <c r="J205" s="39"/>
      <c r="K205" s="71"/>
      <c r="L205" s="28"/>
      <c r="M205" s="27"/>
    </row>
    <row r="206" customFormat="false" ht="15" hidden="false" customHeight="false" outlineLevel="0" collapsed="false">
      <c r="A206" s="29"/>
      <c r="B206" s="40" t="n">
        <f aca="false">IF($A206="",0,INT(($A206-Macrociclo!$C$11)/7)+1)</f>
        <v>0</v>
      </c>
      <c r="C206" s="27"/>
      <c r="D206" s="27"/>
      <c r="E206" s="27"/>
      <c r="F206" s="39"/>
      <c r="G206" s="28"/>
      <c r="H206" s="28"/>
      <c r="I206" s="39"/>
      <c r="J206" s="39"/>
      <c r="K206" s="71"/>
      <c r="L206" s="28"/>
      <c r="M206" s="27"/>
    </row>
    <row r="207" customFormat="false" ht="15" hidden="false" customHeight="false" outlineLevel="0" collapsed="false">
      <c r="A207" s="29"/>
      <c r="B207" s="40" t="n">
        <f aca="false">IF($A207="",0,INT(($A207-Macrociclo!$C$11)/7)+1)</f>
        <v>0</v>
      </c>
      <c r="C207" s="27"/>
      <c r="D207" s="27"/>
      <c r="E207" s="27"/>
      <c r="F207" s="39"/>
      <c r="G207" s="28"/>
      <c r="H207" s="28"/>
      <c r="I207" s="39"/>
      <c r="J207" s="39"/>
      <c r="K207" s="71"/>
      <c r="L207" s="28"/>
      <c r="M207" s="27"/>
    </row>
    <row r="208" customFormat="false" ht="15" hidden="false" customHeight="false" outlineLevel="0" collapsed="false">
      <c r="A208" s="29"/>
      <c r="B208" s="40" t="n">
        <f aca="false">IF($A208="",0,INT(($A208-Macrociclo!$C$11)/7)+1)</f>
        <v>0</v>
      </c>
      <c r="C208" s="27"/>
      <c r="D208" s="27"/>
      <c r="E208" s="27"/>
      <c r="F208" s="39"/>
      <c r="G208" s="28"/>
      <c r="H208" s="28"/>
      <c r="I208" s="39"/>
      <c r="J208" s="39"/>
      <c r="K208" s="71"/>
      <c r="L208" s="28"/>
      <c r="M208" s="27"/>
    </row>
    <row r="209" customFormat="false" ht="15" hidden="false" customHeight="false" outlineLevel="0" collapsed="false">
      <c r="A209" s="29"/>
      <c r="B209" s="40" t="n">
        <f aca="false">IF($A209="",0,INT(($A209-Macrociclo!$C$11)/7)+1)</f>
        <v>0</v>
      </c>
      <c r="C209" s="27"/>
      <c r="D209" s="27"/>
      <c r="E209" s="27"/>
      <c r="F209" s="39"/>
      <c r="G209" s="28"/>
      <c r="H209" s="28"/>
      <c r="I209" s="39"/>
      <c r="J209" s="39"/>
      <c r="K209" s="71"/>
      <c r="L209" s="28"/>
      <c r="M209" s="27"/>
    </row>
    <row r="210" customFormat="false" ht="15" hidden="false" customHeight="false" outlineLevel="0" collapsed="false">
      <c r="A210" s="29"/>
      <c r="B210" s="40" t="n">
        <f aca="false">IF($A210="",0,INT(($A210-Macrociclo!$C$11)/7)+1)</f>
        <v>0</v>
      </c>
      <c r="C210" s="27"/>
      <c r="D210" s="27"/>
      <c r="E210" s="27"/>
      <c r="F210" s="39"/>
      <c r="G210" s="28"/>
      <c r="H210" s="28"/>
      <c r="I210" s="39"/>
      <c r="J210" s="39"/>
      <c r="K210" s="71"/>
      <c r="L210" s="28"/>
      <c r="M210" s="27"/>
    </row>
    <row r="211" customFormat="false" ht="15" hidden="false" customHeight="false" outlineLevel="0" collapsed="false">
      <c r="A211" s="29"/>
      <c r="B211" s="40" t="n">
        <f aca="false">IF($A211="",0,INT(($A211-Macrociclo!$C$11)/7)+1)</f>
        <v>0</v>
      </c>
      <c r="C211" s="27"/>
      <c r="D211" s="27"/>
      <c r="E211" s="27"/>
      <c r="F211" s="39"/>
      <c r="G211" s="28"/>
      <c r="H211" s="28"/>
      <c r="I211" s="39"/>
      <c r="J211" s="39"/>
      <c r="K211" s="71"/>
      <c r="L211" s="28"/>
      <c r="M211" s="27"/>
    </row>
    <row r="212" customFormat="false" ht="15" hidden="false" customHeight="false" outlineLevel="0" collapsed="false">
      <c r="A212" s="29"/>
      <c r="B212" s="40" t="n">
        <f aca="false">IF($A212="",0,INT(($A212-Macrociclo!$C$11)/7)+1)</f>
        <v>0</v>
      </c>
      <c r="C212" s="27"/>
      <c r="D212" s="27"/>
      <c r="E212" s="27"/>
      <c r="F212" s="39"/>
      <c r="G212" s="28"/>
      <c r="H212" s="28"/>
      <c r="I212" s="39"/>
      <c r="J212" s="39"/>
      <c r="K212" s="71"/>
      <c r="L212" s="28"/>
      <c r="M212" s="27"/>
    </row>
    <row r="213" customFormat="false" ht="15" hidden="false" customHeight="false" outlineLevel="0" collapsed="false">
      <c r="A213" s="29"/>
      <c r="B213" s="40" t="n">
        <f aca="false">IF($A213="",0,INT(($A213-Macrociclo!$C$11)/7)+1)</f>
        <v>0</v>
      </c>
      <c r="C213" s="27"/>
      <c r="D213" s="27"/>
      <c r="E213" s="27"/>
      <c r="F213" s="39"/>
      <c r="G213" s="28"/>
      <c r="H213" s="28"/>
      <c r="I213" s="39"/>
      <c r="J213" s="39"/>
      <c r="K213" s="71"/>
      <c r="L213" s="28"/>
      <c r="M213" s="27"/>
    </row>
    <row r="214" customFormat="false" ht="15" hidden="false" customHeight="false" outlineLevel="0" collapsed="false">
      <c r="A214" s="29"/>
      <c r="B214" s="40" t="n">
        <f aca="false">IF($A214="",0,INT(($A214-Macrociclo!$C$11)/7)+1)</f>
        <v>0</v>
      </c>
      <c r="C214" s="27"/>
      <c r="D214" s="27"/>
      <c r="E214" s="27"/>
      <c r="F214" s="39"/>
      <c r="G214" s="28"/>
      <c r="H214" s="28"/>
      <c r="I214" s="39"/>
      <c r="J214" s="39"/>
      <c r="K214" s="71"/>
      <c r="L214" s="28"/>
      <c r="M214" s="27"/>
    </row>
    <row r="215" customFormat="false" ht="15" hidden="false" customHeight="false" outlineLevel="0" collapsed="false">
      <c r="A215" s="29"/>
      <c r="B215" s="40" t="n">
        <f aca="false">IF($A215="",0,INT(($A215-Macrociclo!$C$11)/7)+1)</f>
        <v>0</v>
      </c>
      <c r="C215" s="27"/>
      <c r="D215" s="27"/>
      <c r="E215" s="27"/>
      <c r="F215" s="39"/>
      <c r="G215" s="28"/>
      <c r="H215" s="28"/>
      <c r="I215" s="39"/>
      <c r="J215" s="39"/>
      <c r="K215" s="71"/>
      <c r="L215" s="28"/>
      <c r="M215" s="27"/>
    </row>
    <row r="216" customFormat="false" ht="15" hidden="false" customHeight="false" outlineLevel="0" collapsed="false">
      <c r="A216" s="29"/>
      <c r="B216" s="40" t="n">
        <f aca="false">IF($A216="",0,INT(($A216-Macrociclo!$C$11)/7)+1)</f>
        <v>0</v>
      </c>
      <c r="C216" s="27"/>
      <c r="D216" s="27"/>
      <c r="E216" s="27"/>
      <c r="F216" s="39"/>
      <c r="G216" s="28"/>
      <c r="H216" s="28"/>
      <c r="I216" s="39"/>
      <c r="J216" s="39"/>
      <c r="K216" s="71"/>
      <c r="L216" s="28"/>
      <c r="M216" s="27"/>
    </row>
    <row r="217" customFormat="false" ht="15" hidden="false" customHeight="false" outlineLevel="0" collapsed="false">
      <c r="A217" s="29"/>
      <c r="B217" s="40" t="n">
        <f aca="false">IF($A217="",0,INT(($A217-Macrociclo!$C$11)/7)+1)</f>
        <v>0</v>
      </c>
      <c r="C217" s="27"/>
      <c r="D217" s="27"/>
      <c r="E217" s="27"/>
      <c r="F217" s="39"/>
      <c r="G217" s="28"/>
      <c r="H217" s="28"/>
      <c r="I217" s="39"/>
      <c r="J217" s="39"/>
      <c r="K217" s="71"/>
      <c r="L217" s="28"/>
      <c r="M217" s="27"/>
    </row>
    <row r="218" customFormat="false" ht="15" hidden="false" customHeight="false" outlineLevel="0" collapsed="false">
      <c r="A218" s="29"/>
      <c r="B218" s="40" t="n">
        <f aca="false">IF($A218="",0,INT(($A218-Macrociclo!$C$11)/7)+1)</f>
        <v>0</v>
      </c>
      <c r="C218" s="27"/>
      <c r="D218" s="27"/>
      <c r="E218" s="27"/>
      <c r="F218" s="39"/>
      <c r="G218" s="28"/>
      <c r="H218" s="28"/>
      <c r="I218" s="39"/>
      <c r="J218" s="39"/>
      <c r="K218" s="71"/>
      <c r="L218" s="28"/>
      <c r="M218" s="27"/>
    </row>
    <row r="219" customFormat="false" ht="15" hidden="false" customHeight="false" outlineLevel="0" collapsed="false">
      <c r="A219" s="29"/>
      <c r="B219" s="40" t="n">
        <f aca="false">IF($A219="",0,INT(($A219-Macrociclo!$C$11)/7)+1)</f>
        <v>0</v>
      </c>
      <c r="C219" s="27"/>
      <c r="D219" s="27"/>
      <c r="E219" s="27"/>
      <c r="F219" s="39"/>
      <c r="G219" s="28"/>
      <c r="H219" s="28"/>
      <c r="I219" s="39"/>
      <c r="J219" s="39"/>
      <c r="K219" s="71"/>
      <c r="L219" s="28"/>
      <c r="M219" s="27"/>
    </row>
    <row r="220" customFormat="false" ht="15" hidden="false" customHeight="false" outlineLevel="0" collapsed="false">
      <c r="A220" s="29"/>
      <c r="B220" s="40" t="n">
        <f aca="false">IF($A220="",0,INT(($A220-Macrociclo!$C$11)/7)+1)</f>
        <v>0</v>
      </c>
      <c r="C220" s="27"/>
      <c r="D220" s="27"/>
      <c r="E220" s="27"/>
      <c r="F220" s="39"/>
      <c r="G220" s="28"/>
      <c r="H220" s="28"/>
      <c r="I220" s="39"/>
      <c r="J220" s="39"/>
      <c r="K220" s="71"/>
      <c r="L220" s="28"/>
      <c r="M220" s="27"/>
    </row>
    <row r="221" customFormat="false" ht="15" hidden="false" customHeight="false" outlineLevel="0" collapsed="false">
      <c r="A221" s="29"/>
      <c r="B221" s="40" t="n">
        <f aca="false">IF($A221="",0,INT(($A221-Macrociclo!$C$11)/7)+1)</f>
        <v>0</v>
      </c>
      <c r="C221" s="27"/>
      <c r="D221" s="27"/>
      <c r="E221" s="27"/>
      <c r="F221" s="39"/>
      <c r="G221" s="28"/>
      <c r="H221" s="28"/>
      <c r="I221" s="39"/>
      <c r="J221" s="39"/>
      <c r="K221" s="71"/>
      <c r="L221" s="28"/>
      <c r="M221" s="27"/>
    </row>
    <row r="222" customFormat="false" ht="15" hidden="false" customHeight="false" outlineLevel="0" collapsed="false">
      <c r="A222" s="29"/>
      <c r="B222" s="40" t="n">
        <f aca="false">IF($A222="",0,INT(($A222-Macrociclo!$C$11)/7)+1)</f>
        <v>0</v>
      </c>
      <c r="C222" s="27"/>
      <c r="D222" s="27"/>
      <c r="E222" s="27"/>
      <c r="F222" s="39"/>
      <c r="G222" s="28"/>
      <c r="H222" s="28"/>
      <c r="I222" s="39"/>
      <c r="J222" s="39"/>
      <c r="K222" s="71"/>
      <c r="L222" s="28"/>
      <c r="M222" s="27"/>
    </row>
    <row r="223" customFormat="false" ht="15" hidden="false" customHeight="false" outlineLevel="0" collapsed="false">
      <c r="A223" s="29"/>
      <c r="B223" s="40" t="n">
        <f aca="false">IF($A223="",0,INT(($A223-Macrociclo!$C$11)/7)+1)</f>
        <v>0</v>
      </c>
      <c r="C223" s="27"/>
      <c r="D223" s="27"/>
      <c r="E223" s="27"/>
      <c r="F223" s="39"/>
      <c r="G223" s="28"/>
      <c r="H223" s="28"/>
      <c r="I223" s="39"/>
      <c r="J223" s="39"/>
      <c r="K223" s="71"/>
      <c r="L223" s="28"/>
      <c r="M223" s="27"/>
    </row>
    <row r="224" customFormat="false" ht="15" hidden="false" customHeight="false" outlineLevel="0" collapsed="false">
      <c r="A224" s="29"/>
      <c r="B224" s="40" t="n">
        <f aca="false">IF($A224="",0,INT(($A224-Macrociclo!$C$11)/7)+1)</f>
        <v>0</v>
      </c>
      <c r="C224" s="27"/>
      <c r="D224" s="27"/>
      <c r="E224" s="27"/>
      <c r="F224" s="39"/>
      <c r="G224" s="28"/>
      <c r="H224" s="28"/>
      <c r="I224" s="39"/>
      <c r="J224" s="39"/>
      <c r="K224" s="71"/>
      <c r="L224" s="28"/>
      <c r="M224" s="27"/>
    </row>
    <row r="225" customFormat="false" ht="15" hidden="false" customHeight="false" outlineLevel="0" collapsed="false">
      <c r="A225" s="29"/>
      <c r="B225" s="40" t="n">
        <f aca="false">IF($A225="",0,INT(($A225-Macrociclo!$C$11)/7)+1)</f>
        <v>0</v>
      </c>
      <c r="C225" s="27"/>
      <c r="D225" s="27"/>
      <c r="E225" s="27"/>
      <c r="F225" s="39"/>
      <c r="G225" s="28"/>
      <c r="H225" s="28"/>
      <c r="I225" s="39"/>
      <c r="J225" s="39"/>
      <c r="K225" s="71"/>
      <c r="L225" s="28"/>
      <c r="M225" s="27"/>
    </row>
    <row r="226" customFormat="false" ht="15" hidden="false" customHeight="false" outlineLevel="0" collapsed="false">
      <c r="A226" s="29"/>
      <c r="B226" s="40" t="n">
        <f aca="false">IF($A226="",0,INT(($A226-Macrociclo!$C$11)/7)+1)</f>
        <v>0</v>
      </c>
      <c r="C226" s="27"/>
      <c r="D226" s="27"/>
      <c r="E226" s="27"/>
      <c r="F226" s="39"/>
      <c r="G226" s="28"/>
      <c r="H226" s="28"/>
      <c r="I226" s="39"/>
      <c r="J226" s="39"/>
      <c r="K226" s="71"/>
      <c r="L226" s="28"/>
      <c r="M226" s="27"/>
    </row>
    <row r="227" customFormat="false" ht="15" hidden="false" customHeight="false" outlineLevel="0" collapsed="false">
      <c r="A227" s="29"/>
      <c r="B227" s="40" t="n">
        <f aca="false">IF($A227="",0,INT(($A227-Macrociclo!$C$11)/7)+1)</f>
        <v>0</v>
      </c>
      <c r="C227" s="27"/>
      <c r="D227" s="27"/>
      <c r="E227" s="27"/>
      <c r="F227" s="39"/>
      <c r="G227" s="28"/>
      <c r="H227" s="28"/>
      <c r="I227" s="39"/>
      <c r="J227" s="39"/>
      <c r="K227" s="71"/>
      <c r="L227" s="28"/>
      <c r="M227" s="27"/>
    </row>
    <row r="228" customFormat="false" ht="15" hidden="false" customHeight="false" outlineLevel="0" collapsed="false">
      <c r="A228" s="29"/>
      <c r="B228" s="40" t="n">
        <f aca="false">IF($A228="",0,INT(($A228-Macrociclo!$C$11)/7)+1)</f>
        <v>0</v>
      </c>
      <c r="C228" s="27"/>
      <c r="D228" s="27"/>
      <c r="E228" s="27"/>
      <c r="F228" s="39"/>
      <c r="G228" s="28"/>
      <c r="H228" s="28"/>
      <c r="I228" s="39"/>
      <c r="J228" s="39"/>
      <c r="K228" s="71"/>
      <c r="L228" s="28"/>
      <c r="M228" s="27"/>
    </row>
    <row r="229" customFormat="false" ht="15" hidden="false" customHeight="false" outlineLevel="0" collapsed="false">
      <c r="A229" s="29"/>
      <c r="B229" s="40" t="n">
        <f aca="false">IF($A229="",0,INT(($A229-Macrociclo!$C$11)/7)+1)</f>
        <v>0</v>
      </c>
      <c r="C229" s="27"/>
      <c r="D229" s="27"/>
      <c r="E229" s="27"/>
      <c r="F229" s="39"/>
      <c r="G229" s="28"/>
      <c r="H229" s="28"/>
      <c r="I229" s="39"/>
      <c r="J229" s="39"/>
      <c r="K229" s="71"/>
      <c r="L229" s="28"/>
      <c r="M229" s="27"/>
    </row>
    <row r="230" customFormat="false" ht="15" hidden="false" customHeight="false" outlineLevel="0" collapsed="false">
      <c r="A230" s="29"/>
      <c r="B230" s="40" t="n">
        <f aca="false">IF($A230="",0,INT(($A230-Macrociclo!$C$11)/7)+1)</f>
        <v>0</v>
      </c>
      <c r="C230" s="27"/>
      <c r="D230" s="27"/>
      <c r="E230" s="27"/>
      <c r="F230" s="39"/>
      <c r="G230" s="28"/>
      <c r="H230" s="28"/>
      <c r="I230" s="39"/>
      <c r="J230" s="39"/>
      <c r="K230" s="71"/>
      <c r="L230" s="28"/>
      <c r="M230" s="27"/>
    </row>
    <row r="231" customFormat="false" ht="15" hidden="false" customHeight="false" outlineLevel="0" collapsed="false">
      <c r="A231" s="29"/>
      <c r="B231" s="40" t="n">
        <f aca="false">IF($A231="",0,INT(($A231-Macrociclo!$C$11)/7)+1)</f>
        <v>0</v>
      </c>
      <c r="C231" s="27"/>
      <c r="D231" s="27"/>
      <c r="E231" s="27"/>
      <c r="F231" s="39"/>
      <c r="G231" s="28"/>
      <c r="H231" s="28"/>
      <c r="I231" s="39"/>
      <c r="J231" s="39"/>
      <c r="K231" s="71"/>
      <c r="L231" s="28"/>
      <c r="M231" s="27"/>
    </row>
    <row r="232" customFormat="false" ht="15" hidden="false" customHeight="false" outlineLevel="0" collapsed="false">
      <c r="A232" s="29"/>
      <c r="B232" s="40" t="n">
        <f aca="false">IF($A232="",0,INT(($A232-Macrociclo!$C$11)/7)+1)</f>
        <v>0</v>
      </c>
      <c r="C232" s="27"/>
      <c r="D232" s="27"/>
      <c r="E232" s="27"/>
      <c r="F232" s="39"/>
      <c r="G232" s="28"/>
      <c r="H232" s="28"/>
      <c r="I232" s="39"/>
      <c r="J232" s="39"/>
      <c r="K232" s="71"/>
      <c r="L232" s="28"/>
      <c r="M232" s="27"/>
    </row>
    <row r="233" customFormat="false" ht="15" hidden="false" customHeight="false" outlineLevel="0" collapsed="false">
      <c r="A233" s="29"/>
      <c r="B233" s="40" t="n">
        <f aca="false">IF($A233="",0,INT(($A233-Macrociclo!$C$11)/7)+1)</f>
        <v>0</v>
      </c>
      <c r="C233" s="27"/>
      <c r="D233" s="27"/>
      <c r="E233" s="27"/>
      <c r="F233" s="39"/>
      <c r="G233" s="28"/>
      <c r="H233" s="28"/>
      <c r="I233" s="39"/>
      <c r="J233" s="39"/>
      <c r="K233" s="71"/>
      <c r="L233" s="28"/>
      <c r="M233" s="27"/>
    </row>
    <row r="234" customFormat="false" ht="15" hidden="false" customHeight="false" outlineLevel="0" collapsed="false">
      <c r="A234" s="29"/>
      <c r="B234" s="40" t="n">
        <f aca="false">IF($A234="",0,INT(($A234-Macrociclo!$C$11)/7)+1)</f>
        <v>0</v>
      </c>
      <c r="C234" s="27"/>
      <c r="D234" s="27"/>
      <c r="E234" s="27"/>
      <c r="F234" s="39"/>
      <c r="G234" s="28"/>
      <c r="H234" s="28"/>
      <c r="I234" s="39"/>
      <c r="J234" s="39"/>
      <c r="K234" s="71"/>
      <c r="L234" s="28"/>
      <c r="M234" s="27"/>
    </row>
    <row r="235" customFormat="false" ht="15" hidden="false" customHeight="false" outlineLevel="0" collapsed="false">
      <c r="A235" s="29"/>
      <c r="B235" s="40" t="n">
        <f aca="false">IF($A235="",0,INT(($A235-Macrociclo!$C$11)/7)+1)</f>
        <v>0</v>
      </c>
      <c r="C235" s="27"/>
      <c r="D235" s="27"/>
      <c r="E235" s="27"/>
      <c r="F235" s="39"/>
      <c r="G235" s="28"/>
      <c r="H235" s="28"/>
      <c r="I235" s="39"/>
      <c r="J235" s="39"/>
      <c r="K235" s="71"/>
      <c r="L235" s="28"/>
      <c r="M235" s="27"/>
    </row>
    <row r="236" customFormat="false" ht="15" hidden="false" customHeight="false" outlineLevel="0" collapsed="false">
      <c r="A236" s="29"/>
      <c r="B236" s="40" t="n">
        <f aca="false">IF($A236="",0,INT(($A236-Macrociclo!$C$11)/7)+1)</f>
        <v>0</v>
      </c>
      <c r="C236" s="27"/>
      <c r="D236" s="27"/>
      <c r="E236" s="27"/>
      <c r="F236" s="39"/>
      <c r="G236" s="28"/>
      <c r="H236" s="28"/>
      <c r="I236" s="39"/>
      <c r="J236" s="39"/>
      <c r="K236" s="71"/>
      <c r="L236" s="28"/>
      <c r="M236" s="27"/>
    </row>
    <row r="237" customFormat="false" ht="15" hidden="false" customHeight="false" outlineLevel="0" collapsed="false">
      <c r="A237" s="29"/>
      <c r="B237" s="40" t="n">
        <f aca="false">IF($A237="",0,INT(($A237-Macrociclo!$C$11)/7)+1)</f>
        <v>0</v>
      </c>
      <c r="C237" s="27"/>
      <c r="D237" s="27"/>
      <c r="E237" s="27"/>
      <c r="F237" s="39"/>
      <c r="G237" s="28"/>
      <c r="H237" s="28"/>
      <c r="I237" s="39"/>
      <c r="J237" s="39"/>
      <c r="K237" s="71"/>
      <c r="L237" s="28"/>
      <c r="M237" s="27"/>
    </row>
    <row r="238" customFormat="false" ht="15" hidden="false" customHeight="false" outlineLevel="0" collapsed="false">
      <c r="A238" s="29"/>
      <c r="B238" s="40" t="n">
        <f aca="false">IF($A238="",0,INT(($A238-Macrociclo!$C$11)/7)+1)</f>
        <v>0</v>
      </c>
      <c r="C238" s="27"/>
      <c r="D238" s="27"/>
      <c r="E238" s="27"/>
      <c r="F238" s="39"/>
      <c r="G238" s="28"/>
      <c r="H238" s="28"/>
      <c r="I238" s="39"/>
      <c r="J238" s="39"/>
      <c r="K238" s="71"/>
      <c r="L238" s="28"/>
      <c r="M238" s="27"/>
    </row>
    <row r="239" customFormat="false" ht="15" hidden="false" customHeight="false" outlineLevel="0" collapsed="false">
      <c r="A239" s="29"/>
      <c r="B239" s="40" t="n">
        <f aca="false">IF($A239="",0,INT(($A239-Macrociclo!$C$11)/7)+1)</f>
        <v>0</v>
      </c>
      <c r="C239" s="27"/>
      <c r="D239" s="27"/>
      <c r="E239" s="27"/>
      <c r="F239" s="39"/>
      <c r="G239" s="28"/>
      <c r="H239" s="28"/>
      <c r="I239" s="39"/>
      <c r="J239" s="39"/>
      <c r="K239" s="71"/>
      <c r="L239" s="28"/>
      <c r="M239" s="27"/>
    </row>
    <row r="240" customFormat="false" ht="15" hidden="false" customHeight="false" outlineLevel="0" collapsed="false">
      <c r="A240" s="29"/>
      <c r="B240" s="40" t="n">
        <f aca="false">IF($A240="",0,INT(($A240-Macrociclo!$C$11)/7)+1)</f>
        <v>0</v>
      </c>
      <c r="C240" s="27"/>
      <c r="D240" s="27"/>
      <c r="E240" s="27"/>
      <c r="F240" s="39"/>
      <c r="G240" s="28"/>
      <c r="H240" s="28"/>
      <c r="I240" s="39"/>
      <c r="J240" s="39"/>
      <c r="K240" s="71"/>
      <c r="L240" s="28"/>
      <c r="M240" s="27"/>
    </row>
    <row r="241" customFormat="false" ht="15" hidden="false" customHeight="false" outlineLevel="0" collapsed="false">
      <c r="A241" s="29"/>
      <c r="B241" s="40" t="n">
        <f aca="false">IF($A241="",0,INT(($A241-Macrociclo!$C$11)/7)+1)</f>
        <v>0</v>
      </c>
      <c r="C241" s="27"/>
      <c r="D241" s="27"/>
      <c r="E241" s="27"/>
      <c r="F241" s="39"/>
      <c r="G241" s="28"/>
      <c r="H241" s="28"/>
      <c r="I241" s="39"/>
      <c r="J241" s="39"/>
      <c r="K241" s="71"/>
      <c r="L241" s="28"/>
      <c r="M241" s="27"/>
    </row>
    <row r="242" customFormat="false" ht="15" hidden="false" customHeight="false" outlineLevel="0" collapsed="false">
      <c r="A242" s="29"/>
      <c r="B242" s="40" t="n">
        <f aca="false">IF($A242="",0,INT(($A242-Macrociclo!$C$11)/7)+1)</f>
        <v>0</v>
      </c>
      <c r="C242" s="27"/>
      <c r="D242" s="27"/>
      <c r="E242" s="27"/>
      <c r="F242" s="39"/>
      <c r="G242" s="28"/>
      <c r="H242" s="28"/>
      <c r="I242" s="39"/>
      <c r="J242" s="39"/>
      <c r="K242" s="71"/>
      <c r="L242" s="28"/>
      <c r="M242" s="27"/>
    </row>
    <row r="243" customFormat="false" ht="15" hidden="false" customHeight="false" outlineLevel="0" collapsed="false">
      <c r="A243" s="29"/>
      <c r="B243" s="40" t="n">
        <f aca="false">IF($A243="",0,INT(($A243-Macrociclo!$C$11)/7)+1)</f>
        <v>0</v>
      </c>
      <c r="C243" s="27"/>
      <c r="D243" s="27"/>
      <c r="E243" s="27"/>
      <c r="F243" s="39"/>
      <c r="G243" s="28"/>
      <c r="H243" s="28"/>
      <c r="I243" s="39"/>
      <c r="J243" s="39"/>
      <c r="K243" s="71"/>
      <c r="L243" s="28"/>
      <c r="M243" s="27"/>
    </row>
    <row r="244" customFormat="false" ht="15" hidden="false" customHeight="false" outlineLevel="0" collapsed="false">
      <c r="A244" s="29"/>
      <c r="B244" s="40" t="n">
        <f aca="false">IF($A244="",0,INT(($A244-Macrociclo!$C$11)/7)+1)</f>
        <v>0</v>
      </c>
      <c r="C244" s="27"/>
      <c r="D244" s="27"/>
      <c r="E244" s="27"/>
      <c r="F244" s="39"/>
      <c r="G244" s="28"/>
      <c r="H244" s="28"/>
      <c r="I244" s="39"/>
      <c r="J244" s="39"/>
      <c r="K244" s="71"/>
      <c r="L244" s="28"/>
      <c r="M244" s="27"/>
    </row>
    <row r="245" customFormat="false" ht="15" hidden="false" customHeight="false" outlineLevel="0" collapsed="false">
      <c r="A245" s="29"/>
      <c r="B245" s="40" t="n">
        <f aca="false">IF($A245="",0,INT(($A245-Macrociclo!$C$11)/7)+1)</f>
        <v>0</v>
      </c>
      <c r="C245" s="27"/>
      <c r="D245" s="27"/>
      <c r="E245" s="27"/>
      <c r="F245" s="39"/>
      <c r="G245" s="28"/>
      <c r="H245" s="28"/>
      <c r="I245" s="39"/>
      <c r="J245" s="39"/>
      <c r="K245" s="71"/>
      <c r="L245" s="28"/>
      <c r="M245" s="27"/>
    </row>
    <row r="246" customFormat="false" ht="15" hidden="false" customHeight="false" outlineLevel="0" collapsed="false">
      <c r="A246" s="29"/>
      <c r="B246" s="40" t="n">
        <f aca="false">IF($A246="",0,INT(($A246-Macrociclo!$C$11)/7)+1)</f>
        <v>0</v>
      </c>
      <c r="C246" s="27"/>
      <c r="D246" s="27"/>
      <c r="E246" s="27"/>
      <c r="F246" s="39"/>
      <c r="G246" s="28"/>
      <c r="H246" s="28"/>
      <c r="I246" s="39"/>
      <c r="J246" s="39"/>
      <c r="K246" s="71"/>
      <c r="L246" s="28"/>
      <c r="M246" s="27"/>
    </row>
    <row r="247" customFormat="false" ht="15" hidden="false" customHeight="false" outlineLevel="0" collapsed="false">
      <c r="A247" s="29"/>
      <c r="B247" s="40" t="n">
        <f aca="false">IF($A247="",0,INT(($A247-Macrociclo!$C$11)/7)+1)</f>
        <v>0</v>
      </c>
      <c r="C247" s="27"/>
      <c r="D247" s="27"/>
      <c r="E247" s="27"/>
      <c r="F247" s="39"/>
      <c r="G247" s="28"/>
      <c r="H247" s="28"/>
      <c r="I247" s="39"/>
      <c r="J247" s="39"/>
      <c r="K247" s="71"/>
      <c r="L247" s="28"/>
      <c r="M247" s="27"/>
    </row>
    <row r="248" customFormat="false" ht="15" hidden="false" customHeight="false" outlineLevel="0" collapsed="false">
      <c r="A248" s="29"/>
      <c r="B248" s="40" t="n">
        <f aca="false">IF($A248="",0,INT(($A248-Macrociclo!$C$11)/7)+1)</f>
        <v>0</v>
      </c>
      <c r="C248" s="27"/>
      <c r="D248" s="27"/>
      <c r="E248" s="27"/>
      <c r="F248" s="39"/>
      <c r="G248" s="28"/>
      <c r="H248" s="28"/>
      <c r="I248" s="39"/>
      <c r="J248" s="39"/>
      <c r="K248" s="71"/>
      <c r="L248" s="28"/>
      <c r="M248" s="27"/>
    </row>
    <row r="249" customFormat="false" ht="15" hidden="false" customHeight="false" outlineLevel="0" collapsed="false">
      <c r="A249" s="29"/>
      <c r="B249" s="40" t="n">
        <f aca="false">IF($A249="",0,INT(($A249-Macrociclo!$C$11)/7)+1)</f>
        <v>0</v>
      </c>
      <c r="C249" s="27"/>
      <c r="D249" s="27"/>
      <c r="E249" s="27"/>
      <c r="F249" s="39"/>
      <c r="G249" s="28"/>
      <c r="H249" s="28"/>
      <c r="I249" s="39"/>
      <c r="J249" s="39"/>
      <c r="K249" s="71"/>
      <c r="L249" s="28"/>
      <c r="M249" s="27"/>
    </row>
    <row r="250" customFormat="false" ht="15" hidden="false" customHeight="false" outlineLevel="0" collapsed="false">
      <c r="A250" s="29"/>
      <c r="B250" s="40" t="n">
        <f aca="false">IF($A250="",0,INT(($A250-Macrociclo!$C$11)/7)+1)</f>
        <v>0</v>
      </c>
      <c r="C250" s="27"/>
      <c r="D250" s="27"/>
      <c r="E250" s="27"/>
      <c r="F250" s="39"/>
      <c r="G250" s="28"/>
      <c r="H250" s="28"/>
      <c r="I250" s="39"/>
      <c r="J250" s="39"/>
      <c r="K250" s="71"/>
      <c r="L250" s="28"/>
      <c r="M250" s="27"/>
    </row>
    <row r="251" customFormat="false" ht="15" hidden="false" customHeight="false" outlineLevel="0" collapsed="false">
      <c r="A251" s="29"/>
      <c r="B251" s="40" t="n">
        <f aca="false">IF($A251="",0,INT(($A251-Macrociclo!$C$11)/7)+1)</f>
        <v>0</v>
      </c>
      <c r="C251" s="27"/>
      <c r="D251" s="27"/>
      <c r="E251" s="27"/>
      <c r="F251" s="39"/>
      <c r="G251" s="28"/>
      <c r="H251" s="28"/>
      <c r="I251" s="39"/>
      <c r="J251" s="39"/>
      <c r="K251" s="71"/>
      <c r="L251" s="28"/>
      <c r="M251" s="27"/>
    </row>
    <row r="252" customFormat="false" ht="15" hidden="false" customHeight="false" outlineLevel="0" collapsed="false">
      <c r="A252" s="29"/>
      <c r="B252" s="40" t="n">
        <f aca="false">IF($A252="",0,INT(($A252-Macrociclo!$C$11)/7)+1)</f>
        <v>0</v>
      </c>
      <c r="C252" s="27"/>
      <c r="D252" s="27"/>
      <c r="E252" s="27"/>
      <c r="F252" s="39"/>
      <c r="G252" s="28"/>
      <c r="H252" s="28"/>
      <c r="I252" s="39"/>
      <c r="J252" s="39"/>
      <c r="K252" s="71"/>
      <c r="L252" s="28"/>
      <c r="M252" s="27"/>
    </row>
    <row r="253" customFormat="false" ht="15" hidden="false" customHeight="false" outlineLevel="0" collapsed="false">
      <c r="A253" s="29"/>
      <c r="B253" s="40" t="n">
        <f aca="false">IF($A253="",0,INT(($A253-Macrociclo!$C$11)/7)+1)</f>
        <v>0</v>
      </c>
      <c r="C253" s="27"/>
      <c r="D253" s="27"/>
      <c r="E253" s="27"/>
      <c r="F253" s="39"/>
      <c r="G253" s="28"/>
      <c r="H253" s="28"/>
      <c r="I253" s="39"/>
      <c r="J253" s="39"/>
      <c r="K253" s="71"/>
      <c r="L253" s="28"/>
      <c r="M253" s="27"/>
    </row>
    <row r="254" customFormat="false" ht="15" hidden="false" customHeight="false" outlineLevel="0" collapsed="false">
      <c r="A254" s="29"/>
      <c r="B254" s="40" t="n">
        <f aca="false">IF($A254="",0,INT(($A254-Macrociclo!$C$11)/7)+1)</f>
        <v>0</v>
      </c>
      <c r="C254" s="27"/>
      <c r="D254" s="27"/>
      <c r="E254" s="27"/>
      <c r="F254" s="39"/>
      <c r="G254" s="28"/>
      <c r="H254" s="28"/>
      <c r="I254" s="39"/>
      <c r="J254" s="39"/>
      <c r="K254" s="71"/>
      <c r="L254" s="28"/>
      <c r="M254" s="27"/>
    </row>
    <row r="255" customFormat="false" ht="15" hidden="false" customHeight="false" outlineLevel="0" collapsed="false">
      <c r="A255" s="29"/>
      <c r="B255" s="40" t="n">
        <f aca="false">IF($A255="",0,INT(($A255-Macrociclo!$C$11)/7)+1)</f>
        <v>0</v>
      </c>
      <c r="C255" s="27"/>
      <c r="D255" s="27"/>
      <c r="E255" s="27"/>
      <c r="F255" s="39"/>
      <c r="G255" s="28"/>
      <c r="H255" s="28"/>
      <c r="I255" s="39"/>
      <c r="J255" s="39"/>
      <c r="K255" s="71"/>
      <c r="L255" s="28"/>
      <c r="M255" s="27"/>
    </row>
    <row r="256" customFormat="false" ht="15" hidden="false" customHeight="false" outlineLevel="0" collapsed="false">
      <c r="A256" s="29"/>
      <c r="B256" s="40" t="n">
        <f aca="false">IF($A256="",0,INT(($A256-Macrociclo!$C$11)/7)+1)</f>
        <v>0</v>
      </c>
      <c r="C256" s="27"/>
      <c r="D256" s="27"/>
      <c r="E256" s="27"/>
      <c r="F256" s="39"/>
      <c r="G256" s="28"/>
      <c r="H256" s="28"/>
      <c r="I256" s="39"/>
      <c r="J256" s="39"/>
      <c r="K256" s="71"/>
      <c r="L256" s="28"/>
      <c r="M256" s="27"/>
    </row>
    <row r="257" customFormat="false" ht="15" hidden="false" customHeight="false" outlineLevel="0" collapsed="false">
      <c r="A257" s="29"/>
      <c r="B257" s="40" t="n">
        <f aca="false">IF($A257="",0,INT(($A257-Macrociclo!$C$11)/7)+1)</f>
        <v>0</v>
      </c>
      <c r="C257" s="27"/>
      <c r="D257" s="27"/>
      <c r="E257" s="27"/>
      <c r="F257" s="39"/>
      <c r="G257" s="28"/>
      <c r="H257" s="28"/>
      <c r="I257" s="39"/>
      <c r="J257" s="39"/>
      <c r="K257" s="71"/>
      <c r="L257" s="28"/>
      <c r="M257" s="27"/>
    </row>
    <row r="258" customFormat="false" ht="15" hidden="false" customHeight="false" outlineLevel="0" collapsed="false">
      <c r="A258" s="29"/>
      <c r="B258" s="40" t="n">
        <f aca="false">IF($A258="",0,INT(($A258-Macrociclo!$C$11)/7)+1)</f>
        <v>0</v>
      </c>
      <c r="C258" s="27"/>
      <c r="D258" s="27"/>
      <c r="E258" s="27"/>
      <c r="F258" s="39"/>
      <c r="G258" s="28"/>
      <c r="H258" s="28"/>
      <c r="I258" s="39"/>
      <c r="J258" s="39"/>
      <c r="K258" s="71"/>
      <c r="L258" s="28"/>
      <c r="M258" s="27"/>
    </row>
    <row r="259" customFormat="false" ht="15" hidden="false" customHeight="false" outlineLevel="0" collapsed="false">
      <c r="A259" s="29"/>
      <c r="B259" s="40" t="n">
        <f aca="false">IF($A259="",0,INT(($A259-Macrociclo!$C$11)/7)+1)</f>
        <v>0</v>
      </c>
      <c r="C259" s="27"/>
      <c r="D259" s="27"/>
      <c r="E259" s="27"/>
      <c r="F259" s="39"/>
      <c r="G259" s="28"/>
      <c r="H259" s="28"/>
      <c r="I259" s="39"/>
      <c r="J259" s="39"/>
      <c r="K259" s="71"/>
      <c r="L259" s="28"/>
      <c r="M259" s="27"/>
    </row>
    <row r="260" customFormat="false" ht="15" hidden="false" customHeight="false" outlineLevel="0" collapsed="false">
      <c r="A260" s="29"/>
      <c r="B260" s="40" t="n">
        <f aca="false">IF($A260="",0,INT(($A260-Macrociclo!$C$11)/7)+1)</f>
        <v>0</v>
      </c>
      <c r="C260" s="27"/>
      <c r="D260" s="27"/>
      <c r="E260" s="27"/>
      <c r="F260" s="39"/>
      <c r="G260" s="28"/>
      <c r="H260" s="28"/>
      <c r="I260" s="39"/>
      <c r="J260" s="39"/>
      <c r="K260" s="71"/>
      <c r="L260" s="28"/>
      <c r="M260" s="27"/>
    </row>
    <row r="261" customFormat="false" ht="15" hidden="false" customHeight="false" outlineLevel="0" collapsed="false">
      <c r="A261" s="29"/>
      <c r="B261" s="40" t="n">
        <f aca="false">IF($A261="",0,INT(($A261-Macrociclo!$C$11)/7)+1)</f>
        <v>0</v>
      </c>
      <c r="C261" s="27"/>
      <c r="D261" s="27"/>
      <c r="E261" s="27"/>
      <c r="F261" s="39"/>
      <c r="G261" s="28"/>
      <c r="H261" s="28"/>
      <c r="I261" s="39"/>
      <c r="J261" s="39"/>
      <c r="K261" s="71"/>
      <c r="L261" s="28"/>
      <c r="M261" s="27"/>
    </row>
    <row r="262" customFormat="false" ht="15" hidden="false" customHeight="false" outlineLevel="0" collapsed="false">
      <c r="A262" s="29"/>
      <c r="B262" s="40" t="n">
        <f aca="false">IF($A262="",0,INT(($A262-Macrociclo!$C$11)/7)+1)</f>
        <v>0</v>
      </c>
      <c r="C262" s="27"/>
      <c r="D262" s="27"/>
      <c r="E262" s="27"/>
      <c r="F262" s="39"/>
      <c r="G262" s="28"/>
      <c r="H262" s="28"/>
      <c r="I262" s="39"/>
      <c r="J262" s="39"/>
      <c r="K262" s="71"/>
      <c r="L262" s="28"/>
      <c r="M262" s="27"/>
    </row>
    <row r="263" customFormat="false" ht="15" hidden="false" customHeight="false" outlineLevel="0" collapsed="false">
      <c r="A263" s="29"/>
      <c r="B263" s="40" t="n">
        <f aca="false">IF($A263="",0,INT(($A263-Macrociclo!$C$11)/7)+1)</f>
        <v>0</v>
      </c>
      <c r="C263" s="27"/>
      <c r="D263" s="27"/>
      <c r="E263" s="27"/>
      <c r="F263" s="39"/>
      <c r="G263" s="28"/>
      <c r="H263" s="28"/>
      <c r="I263" s="39"/>
      <c r="J263" s="39"/>
      <c r="K263" s="71"/>
      <c r="L263" s="28"/>
      <c r="M263" s="27"/>
    </row>
    <row r="264" customFormat="false" ht="15" hidden="false" customHeight="false" outlineLevel="0" collapsed="false">
      <c r="A264" s="29"/>
      <c r="B264" s="40" t="n">
        <f aca="false">IF($A264="",0,INT(($A264-Macrociclo!$C$11)/7)+1)</f>
        <v>0</v>
      </c>
      <c r="C264" s="27"/>
      <c r="D264" s="27"/>
      <c r="E264" s="27"/>
      <c r="F264" s="39"/>
      <c r="G264" s="28"/>
      <c r="H264" s="28"/>
      <c r="I264" s="39"/>
      <c r="J264" s="39"/>
      <c r="K264" s="71"/>
      <c r="L264" s="28"/>
      <c r="M264" s="27"/>
    </row>
    <row r="265" customFormat="false" ht="15" hidden="false" customHeight="false" outlineLevel="0" collapsed="false">
      <c r="A265" s="29"/>
      <c r="B265" s="40" t="n">
        <f aca="false">IF($A265="",0,INT(($A265-Macrociclo!$C$11)/7)+1)</f>
        <v>0</v>
      </c>
      <c r="C265" s="27"/>
      <c r="D265" s="27"/>
      <c r="E265" s="27"/>
      <c r="F265" s="39"/>
      <c r="G265" s="28"/>
      <c r="H265" s="28"/>
      <c r="I265" s="39"/>
      <c r="J265" s="39"/>
      <c r="K265" s="71"/>
      <c r="L265" s="28"/>
      <c r="M265" s="27"/>
    </row>
    <row r="266" customFormat="false" ht="15" hidden="false" customHeight="false" outlineLevel="0" collapsed="false">
      <c r="A266" s="29"/>
      <c r="B266" s="40" t="n">
        <f aca="false">IF($A266="",0,INT(($A266-Macrociclo!$C$11)/7)+1)</f>
        <v>0</v>
      </c>
      <c r="C266" s="27"/>
      <c r="D266" s="27"/>
      <c r="E266" s="27"/>
      <c r="F266" s="39"/>
      <c r="G266" s="28"/>
      <c r="H266" s="28"/>
      <c r="I266" s="39"/>
      <c r="J266" s="39"/>
      <c r="K266" s="71"/>
      <c r="L266" s="28"/>
      <c r="M266" s="27"/>
    </row>
    <row r="267" customFormat="false" ht="15" hidden="false" customHeight="false" outlineLevel="0" collapsed="false">
      <c r="A267" s="29"/>
      <c r="B267" s="40" t="n">
        <f aca="false">IF($A267="",0,INT(($A267-Macrociclo!$C$11)/7)+1)</f>
        <v>0</v>
      </c>
      <c r="C267" s="27"/>
      <c r="D267" s="27"/>
      <c r="E267" s="27"/>
      <c r="F267" s="39"/>
      <c r="G267" s="28"/>
      <c r="H267" s="28"/>
      <c r="I267" s="39"/>
      <c r="J267" s="39"/>
      <c r="K267" s="71"/>
      <c r="L267" s="28"/>
      <c r="M267" s="27"/>
    </row>
    <row r="268" customFormat="false" ht="15" hidden="false" customHeight="false" outlineLevel="0" collapsed="false">
      <c r="A268" s="29"/>
      <c r="B268" s="40" t="n">
        <f aca="false">IF($A268="",0,INT(($A268-Macrociclo!$C$11)/7)+1)</f>
        <v>0</v>
      </c>
      <c r="C268" s="27"/>
      <c r="D268" s="27"/>
      <c r="E268" s="27"/>
      <c r="F268" s="39"/>
      <c r="G268" s="28"/>
      <c r="H268" s="28"/>
      <c r="I268" s="39"/>
      <c r="J268" s="39"/>
      <c r="K268" s="71"/>
      <c r="L268" s="28"/>
      <c r="M268" s="27"/>
    </row>
    <row r="269" customFormat="false" ht="15" hidden="false" customHeight="false" outlineLevel="0" collapsed="false">
      <c r="A269" s="29"/>
      <c r="B269" s="40" t="n">
        <f aca="false">IF($A269="",0,INT(($A269-Macrociclo!$C$11)/7)+1)</f>
        <v>0</v>
      </c>
      <c r="C269" s="27"/>
      <c r="D269" s="27"/>
      <c r="E269" s="27"/>
      <c r="F269" s="39"/>
      <c r="G269" s="28"/>
      <c r="H269" s="28"/>
      <c r="I269" s="39"/>
      <c r="J269" s="39"/>
      <c r="K269" s="71"/>
      <c r="L269" s="28"/>
      <c r="M269" s="27"/>
    </row>
    <row r="270" customFormat="false" ht="15" hidden="false" customHeight="false" outlineLevel="0" collapsed="false">
      <c r="A270" s="29"/>
      <c r="B270" s="40" t="n">
        <f aca="false">IF($A270="",0,INT(($A270-Macrociclo!$C$11)/7)+1)</f>
        <v>0</v>
      </c>
      <c r="C270" s="27"/>
      <c r="D270" s="27"/>
      <c r="E270" s="27"/>
      <c r="F270" s="39"/>
      <c r="G270" s="28"/>
      <c r="H270" s="28"/>
      <c r="I270" s="39"/>
      <c r="J270" s="39"/>
      <c r="K270" s="71"/>
      <c r="L270" s="28"/>
      <c r="M270" s="27"/>
    </row>
    <row r="271" customFormat="false" ht="15" hidden="false" customHeight="false" outlineLevel="0" collapsed="false">
      <c r="A271" s="29"/>
      <c r="B271" s="40" t="n">
        <f aca="false">IF($A271="",0,INT(($A271-Macrociclo!$C$11)/7)+1)</f>
        <v>0</v>
      </c>
      <c r="C271" s="27"/>
      <c r="D271" s="27"/>
      <c r="E271" s="27"/>
      <c r="F271" s="39"/>
      <c r="G271" s="28"/>
      <c r="H271" s="28"/>
      <c r="I271" s="39"/>
      <c r="J271" s="39"/>
      <c r="K271" s="71"/>
      <c r="L271" s="28"/>
      <c r="M271" s="27"/>
    </row>
    <row r="272" customFormat="false" ht="15" hidden="false" customHeight="false" outlineLevel="0" collapsed="false">
      <c r="A272" s="29"/>
      <c r="B272" s="40" t="n">
        <f aca="false">IF($A272="",0,INT(($A272-Macrociclo!$C$11)/7)+1)</f>
        <v>0</v>
      </c>
      <c r="C272" s="27"/>
      <c r="D272" s="27"/>
      <c r="E272" s="27"/>
      <c r="F272" s="39"/>
      <c r="G272" s="28"/>
      <c r="H272" s="28"/>
      <c r="I272" s="39"/>
      <c r="J272" s="39"/>
      <c r="K272" s="71"/>
      <c r="L272" s="28"/>
      <c r="M272" s="27"/>
    </row>
    <row r="273" customFormat="false" ht="15" hidden="false" customHeight="false" outlineLevel="0" collapsed="false">
      <c r="A273" s="29"/>
      <c r="B273" s="40" t="n">
        <f aca="false">IF($A273="",0,INT(($A273-Macrociclo!$C$11)/7)+1)</f>
        <v>0</v>
      </c>
      <c r="C273" s="27"/>
      <c r="D273" s="27"/>
      <c r="E273" s="27"/>
      <c r="F273" s="39"/>
      <c r="G273" s="28"/>
      <c r="H273" s="28"/>
      <c r="I273" s="39"/>
      <c r="J273" s="39"/>
      <c r="K273" s="71"/>
      <c r="L273" s="28"/>
      <c r="M273" s="27"/>
    </row>
    <row r="274" customFormat="false" ht="15" hidden="false" customHeight="false" outlineLevel="0" collapsed="false">
      <c r="A274" s="29"/>
      <c r="B274" s="40" t="n">
        <f aca="false">IF($A274="",0,INT(($A274-Macrociclo!$C$11)/7)+1)</f>
        <v>0</v>
      </c>
      <c r="C274" s="27"/>
      <c r="D274" s="27"/>
      <c r="E274" s="27"/>
      <c r="F274" s="39"/>
      <c r="G274" s="28"/>
      <c r="H274" s="28"/>
      <c r="I274" s="39"/>
      <c r="J274" s="39"/>
      <c r="K274" s="71"/>
      <c r="L274" s="28"/>
      <c r="M274" s="27"/>
    </row>
    <row r="275" customFormat="false" ht="15" hidden="false" customHeight="false" outlineLevel="0" collapsed="false">
      <c r="A275" s="29"/>
      <c r="B275" s="40" t="n">
        <f aca="false">IF($A275="",0,INT(($A275-Macrociclo!$C$11)/7)+1)</f>
        <v>0</v>
      </c>
      <c r="C275" s="27"/>
      <c r="D275" s="27"/>
      <c r="E275" s="27"/>
      <c r="F275" s="39"/>
      <c r="G275" s="28"/>
      <c r="H275" s="28"/>
      <c r="I275" s="39"/>
      <c r="J275" s="39"/>
      <c r="K275" s="71"/>
      <c r="L275" s="28"/>
      <c r="M275" s="27"/>
    </row>
    <row r="276" customFormat="false" ht="15" hidden="false" customHeight="false" outlineLevel="0" collapsed="false">
      <c r="A276" s="29"/>
      <c r="B276" s="40" t="n">
        <f aca="false">IF($A276="",0,INT(($A276-Macrociclo!$C$11)/7)+1)</f>
        <v>0</v>
      </c>
      <c r="C276" s="27"/>
      <c r="D276" s="27"/>
      <c r="E276" s="27"/>
      <c r="F276" s="39"/>
      <c r="G276" s="28"/>
      <c r="H276" s="28"/>
      <c r="I276" s="39"/>
      <c r="J276" s="39"/>
      <c r="K276" s="71"/>
      <c r="L276" s="28"/>
      <c r="M276" s="27"/>
    </row>
    <row r="277" customFormat="false" ht="15" hidden="false" customHeight="false" outlineLevel="0" collapsed="false">
      <c r="A277" s="29"/>
      <c r="B277" s="40" t="n">
        <f aca="false">IF($A277="",0,INT(($A277-Macrociclo!$C$11)/7)+1)</f>
        <v>0</v>
      </c>
      <c r="C277" s="27"/>
      <c r="D277" s="27"/>
      <c r="E277" s="27"/>
      <c r="F277" s="39"/>
      <c r="G277" s="28"/>
      <c r="H277" s="28"/>
      <c r="I277" s="39"/>
      <c r="J277" s="39"/>
      <c r="K277" s="71"/>
      <c r="L277" s="28"/>
      <c r="M277" s="27"/>
    </row>
    <row r="278" customFormat="false" ht="15" hidden="false" customHeight="false" outlineLevel="0" collapsed="false">
      <c r="A278" s="29"/>
      <c r="B278" s="40" t="n">
        <f aca="false">IF($A278="",0,INT(($A278-Macrociclo!$C$11)/7)+1)</f>
        <v>0</v>
      </c>
      <c r="C278" s="27"/>
      <c r="D278" s="27"/>
      <c r="E278" s="27"/>
      <c r="F278" s="39"/>
      <c r="G278" s="28"/>
      <c r="H278" s="28"/>
      <c r="I278" s="39"/>
      <c r="J278" s="39"/>
      <c r="K278" s="71"/>
      <c r="L278" s="28"/>
      <c r="M278" s="27"/>
    </row>
    <row r="279" customFormat="false" ht="15" hidden="false" customHeight="false" outlineLevel="0" collapsed="false">
      <c r="A279" s="29"/>
      <c r="B279" s="40" t="n">
        <f aca="false">IF($A279="",0,INT(($A279-Macrociclo!$C$11)/7)+1)</f>
        <v>0</v>
      </c>
      <c r="C279" s="27"/>
      <c r="D279" s="27"/>
      <c r="E279" s="27"/>
      <c r="F279" s="39"/>
      <c r="G279" s="28"/>
      <c r="H279" s="28"/>
      <c r="I279" s="39"/>
      <c r="J279" s="39"/>
      <c r="K279" s="71"/>
      <c r="L279" s="28"/>
      <c r="M279" s="27"/>
    </row>
    <row r="280" customFormat="false" ht="15" hidden="false" customHeight="false" outlineLevel="0" collapsed="false">
      <c r="A280" s="29"/>
      <c r="B280" s="40" t="n">
        <f aca="false">IF($A280="",0,INT(($A280-Macrociclo!$C$11)/7)+1)</f>
        <v>0</v>
      </c>
      <c r="C280" s="27"/>
      <c r="D280" s="27"/>
      <c r="E280" s="27"/>
      <c r="F280" s="39"/>
      <c r="G280" s="28"/>
      <c r="H280" s="28"/>
      <c r="I280" s="39"/>
      <c r="J280" s="39"/>
      <c r="K280" s="71"/>
      <c r="L280" s="28"/>
      <c r="M280" s="27"/>
    </row>
    <row r="281" customFormat="false" ht="15" hidden="false" customHeight="false" outlineLevel="0" collapsed="false">
      <c r="A281" s="29"/>
      <c r="B281" s="40" t="n">
        <f aca="false">IF($A281="",0,INT(($A281-Macrociclo!$C$11)/7)+1)</f>
        <v>0</v>
      </c>
      <c r="C281" s="27"/>
      <c r="D281" s="27"/>
      <c r="E281" s="27"/>
      <c r="F281" s="39"/>
      <c r="G281" s="28"/>
      <c r="H281" s="28"/>
      <c r="I281" s="39"/>
      <c r="J281" s="39"/>
      <c r="K281" s="71"/>
      <c r="L281" s="28"/>
      <c r="M281" s="27"/>
    </row>
    <row r="282" customFormat="false" ht="15" hidden="false" customHeight="false" outlineLevel="0" collapsed="false">
      <c r="A282" s="29"/>
      <c r="B282" s="40" t="n">
        <f aca="false">IF($A282="",0,INT(($A282-Macrociclo!$C$11)/7)+1)</f>
        <v>0</v>
      </c>
      <c r="C282" s="27"/>
      <c r="D282" s="27"/>
      <c r="E282" s="27"/>
      <c r="F282" s="39"/>
      <c r="G282" s="28"/>
      <c r="H282" s="28"/>
      <c r="I282" s="39"/>
      <c r="J282" s="39"/>
      <c r="K282" s="71"/>
      <c r="L282" s="28"/>
      <c r="M282" s="27"/>
    </row>
    <row r="283" customFormat="false" ht="15" hidden="false" customHeight="false" outlineLevel="0" collapsed="false">
      <c r="A283" s="29"/>
      <c r="B283" s="40" t="n">
        <f aca="false">IF($A283="",0,INT(($A283-Macrociclo!$C$11)/7)+1)</f>
        <v>0</v>
      </c>
      <c r="C283" s="27"/>
      <c r="D283" s="27"/>
      <c r="E283" s="27"/>
      <c r="F283" s="39"/>
      <c r="G283" s="28"/>
      <c r="H283" s="28"/>
      <c r="I283" s="39"/>
      <c r="J283" s="39"/>
      <c r="K283" s="71"/>
      <c r="L283" s="28"/>
      <c r="M283" s="27"/>
    </row>
    <row r="284" customFormat="false" ht="15" hidden="false" customHeight="false" outlineLevel="0" collapsed="false">
      <c r="A284" s="29"/>
      <c r="B284" s="40" t="n">
        <f aca="false">IF($A284="",0,INT(($A284-Macrociclo!$C$11)/7)+1)</f>
        <v>0</v>
      </c>
      <c r="C284" s="27"/>
      <c r="D284" s="27"/>
      <c r="E284" s="27"/>
      <c r="F284" s="39"/>
      <c r="G284" s="28"/>
      <c r="H284" s="28"/>
      <c r="I284" s="39"/>
      <c r="J284" s="39"/>
      <c r="K284" s="71"/>
      <c r="L284" s="28"/>
      <c r="M284" s="27"/>
    </row>
    <row r="285" customFormat="false" ht="15" hidden="false" customHeight="false" outlineLevel="0" collapsed="false">
      <c r="A285" s="29"/>
      <c r="B285" s="40" t="n">
        <f aca="false">IF($A285="",0,INT(($A285-Macrociclo!$C$11)/7)+1)</f>
        <v>0</v>
      </c>
      <c r="C285" s="27"/>
      <c r="D285" s="27"/>
      <c r="E285" s="27"/>
      <c r="F285" s="39"/>
      <c r="G285" s="28"/>
      <c r="H285" s="28"/>
      <c r="I285" s="39"/>
      <c r="J285" s="39"/>
      <c r="K285" s="71"/>
      <c r="L285" s="28"/>
      <c r="M285" s="27"/>
    </row>
    <row r="286" customFormat="false" ht="15" hidden="false" customHeight="false" outlineLevel="0" collapsed="false">
      <c r="A286" s="29"/>
      <c r="B286" s="40" t="n">
        <f aca="false">IF($A286="",0,INT(($A286-Macrociclo!$C$11)/7)+1)</f>
        <v>0</v>
      </c>
      <c r="C286" s="27"/>
      <c r="D286" s="27"/>
      <c r="E286" s="27"/>
      <c r="F286" s="39"/>
      <c r="G286" s="28"/>
      <c r="H286" s="28"/>
      <c r="I286" s="39"/>
      <c r="J286" s="39"/>
      <c r="K286" s="71"/>
      <c r="L286" s="28"/>
      <c r="M286" s="27"/>
    </row>
    <row r="287" customFormat="false" ht="15" hidden="false" customHeight="false" outlineLevel="0" collapsed="false">
      <c r="A287" s="29"/>
      <c r="B287" s="40" t="n">
        <f aca="false">IF($A287="",0,INT(($A287-Macrociclo!$C$11)/7)+1)</f>
        <v>0</v>
      </c>
      <c r="C287" s="27"/>
      <c r="D287" s="27"/>
      <c r="E287" s="27"/>
      <c r="F287" s="39"/>
      <c r="G287" s="28"/>
      <c r="H287" s="28"/>
      <c r="I287" s="39"/>
      <c r="J287" s="39"/>
      <c r="K287" s="71"/>
      <c r="L287" s="28"/>
      <c r="M287" s="27"/>
    </row>
    <row r="288" customFormat="false" ht="15" hidden="false" customHeight="false" outlineLevel="0" collapsed="false">
      <c r="A288" s="29"/>
      <c r="B288" s="40" t="n">
        <f aca="false">IF($A288="",0,INT(($A288-Macrociclo!$C$11)/7)+1)</f>
        <v>0</v>
      </c>
      <c r="C288" s="27"/>
      <c r="D288" s="27"/>
      <c r="E288" s="27"/>
      <c r="F288" s="39"/>
      <c r="G288" s="28"/>
      <c r="H288" s="28"/>
      <c r="I288" s="39"/>
      <c r="J288" s="39"/>
      <c r="K288" s="71"/>
      <c r="L288" s="28"/>
      <c r="M288" s="27"/>
    </row>
    <row r="289" customFormat="false" ht="15" hidden="false" customHeight="false" outlineLevel="0" collapsed="false">
      <c r="A289" s="29"/>
      <c r="B289" s="40" t="n">
        <f aca="false">IF($A289="",0,INT(($A289-Macrociclo!$C$11)/7)+1)</f>
        <v>0</v>
      </c>
      <c r="C289" s="27"/>
      <c r="D289" s="27"/>
      <c r="E289" s="27"/>
      <c r="F289" s="39"/>
      <c r="G289" s="28"/>
      <c r="H289" s="28"/>
      <c r="I289" s="39"/>
      <c r="J289" s="39"/>
      <c r="K289" s="71"/>
      <c r="L289" s="28"/>
      <c r="M289" s="27"/>
    </row>
    <row r="290" customFormat="false" ht="15" hidden="false" customHeight="false" outlineLevel="0" collapsed="false">
      <c r="A290" s="29"/>
      <c r="B290" s="40" t="n">
        <f aca="false">IF($A290="",0,INT(($A290-Macrociclo!$C$11)/7)+1)</f>
        <v>0</v>
      </c>
      <c r="C290" s="27"/>
      <c r="D290" s="27"/>
      <c r="E290" s="27"/>
      <c r="F290" s="39"/>
      <c r="G290" s="28"/>
      <c r="H290" s="28"/>
      <c r="I290" s="39"/>
      <c r="J290" s="39"/>
      <c r="K290" s="71"/>
      <c r="L290" s="28"/>
      <c r="M290" s="27"/>
    </row>
    <row r="291" customFormat="false" ht="15" hidden="false" customHeight="false" outlineLevel="0" collapsed="false">
      <c r="A291" s="29"/>
      <c r="B291" s="40" t="n">
        <f aca="false">IF($A291="",0,INT(($A291-Macrociclo!$C$11)/7)+1)</f>
        <v>0</v>
      </c>
      <c r="C291" s="27"/>
      <c r="D291" s="27"/>
      <c r="E291" s="27"/>
      <c r="F291" s="39"/>
      <c r="G291" s="28"/>
      <c r="H291" s="28"/>
      <c r="I291" s="39"/>
      <c r="J291" s="39"/>
      <c r="K291" s="71"/>
      <c r="L291" s="28"/>
      <c r="M291" s="27"/>
    </row>
    <row r="292" customFormat="false" ht="15" hidden="false" customHeight="false" outlineLevel="0" collapsed="false">
      <c r="A292" s="29"/>
      <c r="B292" s="40" t="n">
        <f aca="false">IF($A292="",0,INT(($A292-Macrociclo!$C$11)/7)+1)</f>
        <v>0</v>
      </c>
      <c r="C292" s="27"/>
      <c r="D292" s="27"/>
      <c r="E292" s="27"/>
      <c r="F292" s="39"/>
      <c r="G292" s="28"/>
      <c r="H292" s="28"/>
      <c r="I292" s="39"/>
      <c r="J292" s="39"/>
      <c r="K292" s="71"/>
      <c r="L292" s="28"/>
      <c r="M292" s="27"/>
    </row>
    <row r="293" customFormat="false" ht="15" hidden="false" customHeight="false" outlineLevel="0" collapsed="false">
      <c r="A293" s="29"/>
      <c r="B293" s="40" t="n">
        <f aca="false">IF($A293="",0,INT(($A293-Macrociclo!$C$11)/7)+1)</f>
        <v>0</v>
      </c>
      <c r="C293" s="27"/>
      <c r="D293" s="27"/>
      <c r="E293" s="27"/>
      <c r="F293" s="39"/>
      <c r="G293" s="28"/>
      <c r="H293" s="28"/>
      <c r="I293" s="39"/>
      <c r="J293" s="39"/>
      <c r="K293" s="71"/>
      <c r="L293" s="28"/>
      <c r="M293" s="27"/>
    </row>
    <row r="294" customFormat="false" ht="15" hidden="false" customHeight="false" outlineLevel="0" collapsed="false">
      <c r="A294" s="29"/>
      <c r="B294" s="40" t="n">
        <f aca="false">IF($A294="",0,INT(($A294-Macrociclo!$C$11)/7)+1)</f>
        <v>0</v>
      </c>
      <c r="C294" s="27"/>
      <c r="D294" s="27"/>
      <c r="E294" s="27"/>
      <c r="F294" s="39"/>
      <c r="G294" s="28"/>
      <c r="H294" s="28"/>
      <c r="I294" s="39"/>
      <c r="J294" s="39"/>
      <c r="K294" s="71"/>
      <c r="L294" s="28"/>
      <c r="M294" s="27"/>
    </row>
    <row r="295" customFormat="false" ht="15" hidden="false" customHeight="false" outlineLevel="0" collapsed="false">
      <c r="A295" s="29"/>
      <c r="B295" s="40" t="n">
        <f aca="false">IF($A295="",0,INT(($A295-Macrociclo!$C$11)/7)+1)</f>
        <v>0</v>
      </c>
      <c r="C295" s="27"/>
      <c r="D295" s="27"/>
      <c r="E295" s="27"/>
      <c r="F295" s="39"/>
      <c r="G295" s="28"/>
      <c r="H295" s="28"/>
      <c r="I295" s="39"/>
      <c r="J295" s="39"/>
      <c r="K295" s="71"/>
      <c r="L295" s="28"/>
      <c r="M295" s="27"/>
    </row>
    <row r="296" customFormat="false" ht="15" hidden="false" customHeight="false" outlineLevel="0" collapsed="false">
      <c r="A296" s="29"/>
      <c r="B296" s="40" t="n">
        <f aca="false">IF($A296="",0,INT(($A296-Macrociclo!$C$11)/7)+1)</f>
        <v>0</v>
      </c>
      <c r="C296" s="27"/>
      <c r="D296" s="27"/>
      <c r="E296" s="27"/>
      <c r="F296" s="39"/>
      <c r="G296" s="28"/>
      <c r="H296" s="28"/>
      <c r="I296" s="39"/>
      <c r="J296" s="39"/>
      <c r="K296" s="71"/>
      <c r="L296" s="28"/>
      <c r="M296" s="27"/>
    </row>
    <row r="297" customFormat="false" ht="15" hidden="false" customHeight="false" outlineLevel="0" collapsed="false">
      <c r="A297" s="29"/>
      <c r="B297" s="40" t="n">
        <f aca="false">IF($A297="",0,INT(($A297-Macrociclo!$C$11)/7)+1)</f>
        <v>0</v>
      </c>
      <c r="C297" s="27"/>
      <c r="D297" s="27"/>
      <c r="E297" s="27"/>
      <c r="F297" s="39"/>
      <c r="G297" s="28"/>
      <c r="H297" s="28"/>
      <c r="I297" s="39"/>
      <c r="J297" s="39"/>
      <c r="K297" s="71"/>
      <c r="L297" s="28"/>
      <c r="M297" s="27"/>
    </row>
    <row r="298" customFormat="false" ht="15" hidden="false" customHeight="false" outlineLevel="0" collapsed="false">
      <c r="A298" s="29"/>
      <c r="B298" s="40" t="n">
        <f aca="false">IF($A298="",0,INT(($A298-Macrociclo!$C$11)/7)+1)</f>
        <v>0</v>
      </c>
      <c r="C298" s="27"/>
      <c r="D298" s="27"/>
      <c r="E298" s="27"/>
      <c r="F298" s="39"/>
      <c r="G298" s="28"/>
      <c r="H298" s="28"/>
      <c r="I298" s="39"/>
      <c r="J298" s="39"/>
      <c r="K298" s="71"/>
      <c r="L298" s="28"/>
      <c r="M298" s="27"/>
    </row>
    <row r="299" customFormat="false" ht="15" hidden="false" customHeight="false" outlineLevel="0" collapsed="false">
      <c r="A299" s="29"/>
      <c r="B299" s="40" t="n">
        <f aca="false">IF($A299="",0,INT(($A299-Macrociclo!$C$11)/7)+1)</f>
        <v>0</v>
      </c>
      <c r="C299" s="27"/>
      <c r="D299" s="27"/>
      <c r="E299" s="27"/>
      <c r="F299" s="39"/>
      <c r="G299" s="28"/>
      <c r="H299" s="28"/>
      <c r="I299" s="39"/>
      <c r="J299" s="39"/>
      <c r="K299" s="71"/>
      <c r="L299" s="28"/>
      <c r="M299" s="27"/>
    </row>
    <row r="300" customFormat="false" ht="15" hidden="false" customHeight="false" outlineLevel="0" collapsed="false">
      <c r="A300" s="29"/>
      <c r="B300" s="40" t="n">
        <f aca="false">IF($A300="",0,INT(($A300-Macrociclo!$C$11)/7)+1)</f>
        <v>0</v>
      </c>
      <c r="C300" s="27"/>
      <c r="D300" s="27"/>
      <c r="E300" s="27"/>
      <c r="F300" s="39"/>
      <c r="G300" s="28"/>
      <c r="H300" s="28"/>
      <c r="I300" s="39"/>
      <c r="J300" s="39"/>
      <c r="K300" s="71"/>
      <c r="L300" s="28"/>
      <c r="M300" s="27"/>
    </row>
    <row r="301" customFormat="false" ht="15" hidden="false" customHeight="false" outlineLevel="0" collapsed="false">
      <c r="A301" s="29"/>
      <c r="B301" s="40" t="n">
        <f aca="false">IF($A301="",0,INT(($A301-Macrociclo!$C$11)/7)+1)</f>
        <v>0</v>
      </c>
      <c r="C301" s="27"/>
      <c r="D301" s="27"/>
      <c r="E301" s="27"/>
      <c r="F301" s="39"/>
      <c r="G301" s="28"/>
      <c r="H301" s="28"/>
      <c r="I301" s="39"/>
      <c r="J301" s="39"/>
      <c r="K301" s="71"/>
      <c r="L301" s="28"/>
      <c r="M301" s="27"/>
    </row>
    <row r="302" customFormat="false" ht="15" hidden="false" customHeight="false" outlineLevel="0" collapsed="false">
      <c r="A302" s="29"/>
      <c r="B302" s="40" t="n">
        <f aca="false">IF($A302="",0,INT(($A302-Macrociclo!$C$11)/7)+1)</f>
        <v>0</v>
      </c>
      <c r="C302" s="27"/>
      <c r="D302" s="27"/>
      <c r="E302" s="27"/>
      <c r="F302" s="39"/>
      <c r="G302" s="28"/>
      <c r="H302" s="28"/>
      <c r="I302" s="39"/>
      <c r="J302" s="39"/>
      <c r="K302" s="71"/>
      <c r="L302" s="28"/>
      <c r="M302" s="27"/>
    </row>
    <row r="303" customFormat="false" ht="15" hidden="false" customHeight="false" outlineLevel="0" collapsed="false">
      <c r="A303" s="29"/>
      <c r="B303" s="40" t="n">
        <f aca="false">IF($A303="",0,INT(($A303-Macrociclo!$C$11)/7)+1)</f>
        <v>0</v>
      </c>
      <c r="C303" s="27"/>
      <c r="D303" s="27"/>
      <c r="E303" s="27"/>
      <c r="F303" s="39"/>
      <c r="G303" s="28"/>
      <c r="H303" s="28"/>
      <c r="I303" s="39"/>
      <c r="J303" s="39"/>
      <c r="K303" s="71"/>
      <c r="L303" s="28"/>
      <c r="M303" s="27"/>
    </row>
    <row r="304" customFormat="false" ht="15" hidden="false" customHeight="false" outlineLevel="0" collapsed="false">
      <c r="A304" s="29"/>
      <c r="B304" s="40" t="n">
        <f aca="false">IF($A304="",0,INT(($A304-Macrociclo!$C$11)/7)+1)</f>
        <v>0</v>
      </c>
      <c r="C304" s="27"/>
      <c r="D304" s="27"/>
      <c r="E304" s="27"/>
      <c r="F304" s="39"/>
      <c r="G304" s="28"/>
      <c r="H304" s="28"/>
      <c r="I304" s="39"/>
      <c r="J304" s="39"/>
      <c r="K304" s="71"/>
      <c r="L304" s="28"/>
      <c r="M304" s="27"/>
    </row>
    <row r="305" customFormat="false" ht="15" hidden="false" customHeight="false" outlineLevel="0" collapsed="false">
      <c r="A305" s="29"/>
      <c r="B305" s="40" t="n">
        <f aca="false">IF($A305="",0,INT(($A305-Macrociclo!$C$11)/7)+1)</f>
        <v>0</v>
      </c>
      <c r="C305" s="27"/>
      <c r="D305" s="27"/>
      <c r="E305" s="27"/>
      <c r="F305" s="39"/>
      <c r="G305" s="28"/>
      <c r="H305" s="28"/>
      <c r="I305" s="39"/>
      <c r="J305" s="39"/>
      <c r="K305" s="71"/>
      <c r="L305" s="28"/>
      <c r="M305" s="27"/>
    </row>
    <row r="306" customFormat="false" ht="15" hidden="false" customHeight="false" outlineLevel="0" collapsed="false">
      <c r="A306" s="29"/>
      <c r="B306" s="40" t="n">
        <f aca="false">IF($A306="",0,INT(($A306-Macrociclo!$C$11)/7)+1)</f>
        <v>0</v>
      </c>
      <c r="C306" s="27"/>
      <c r="D306" s="27"/>
      <c r="E306" s="27"/>
      <c r="F306" s="39"/>
      <c r="G306" s="28"/>
      <c r="H306" s="28"/>
      <c r="I306" s="39"/>
      <c r="J306" s="39"/>
      <c r="K306" s="71"/>
      <c r="L306" s="28"/>
      <c r="M306" s="27"/>
    </row>
    <row r="307" customFormat="false" ht="15" hidden="false" customHeight="false" outlineLevel="0" collapsed="false">
      <c r="A307" s="29"/>
      <c r="B307" s="40" t="n">
        <f aca="false">IF($A307="",0,INT(($A307-Macrociclo!$C$11)/7)+1)</f>
        <v>0</v>
      </c>
      <c r="C307" s="27"/>
      <c r="D307" s="27"/>
      <c r="E307" s="27"/>
      <c r="F307" s="39"/>
      <c r="G307" s="28"/>
      <c r="H307" s="28"/>
      <c r="I307" s="39"/>
      <c r="J307" s="39"/>
      <c r="K307" s="71"/>
      <c r="L307" s="28"/>
      <c r="M307" s="27"/>
    </row>
    <row r="308" customFormat="false" ht="15" hidden="false" customHeight="false" outlineLevel="0" collapsed="false">
      <c r="A308" s="29"/>
      <c r="B308" s="40" t="n">
        <f aca="false">IF($A308="",0,INT(($A308-Macrociclo!$C$11)/7)+1)</f>
        <v>0</v>
      </c>
      <c r="C308" s="27"/>
      <c r="D308" s="27"/>
      <c r="E308" s="27"/>
      <c r="F308" s="39"/>
      <c r="G308" s="28"/>
      <c r="H308" s="28"/>
      <c r="I308" s="39"/>
      <c r="J308" s="39"/>
      <c r="K308" s="71"/>
      <c r="L308" s="28"/>
      <c r="M308" s="27"/>
    </row>
    <row r="309" customFormat="false" ht="15" hidden="false" customHeight="false" outlineLevel="0" collapsed="false">
      <c r="A309" s="29"/>
      <c r="B309" s="40" t="n">
        <f aca="false">IF($A309="",0,INT(($A309-Macrociclo!$C$11)/7)+1)</f>
        <v>0</v>
      </c>
      <c r="C309" s="27"/>
      <c r="D309" s="27"/>
      <c r="E309" s="27"/>
      <c r="F309" s="39"/>
      <c r="G309" s="28"/>
      <c r="H309" s="28"/>
      <c r="I309" s="39"/>
      <c r="J309" s="39"/>
      <c r="K309" s="71"/>
      <c r="L309" s="28"/>
      <c r="M309" s="27"/>
    </row>
    <row r="310" customFormat="false" ht="15" hidden="false" customHeight="false" outlineLevel="0" collapsed="false">
      <c r="A310" s="29"/>
      <c r="B310" s="40" t="n">
        <f aca="false">IF($A310="",0,INT(($A310-Macrociclo!$C$11)/7)+1)</f>
        <v>0</v>
      </c>
      <c r="C310" s="27"/>
      <c r="D310" s="27"/>
      <c r="E310" s="27"/>
      <c r="F310" s="39"/>
      <c r="G310" s="28"/>
      <c r="H310" s="28"/>
      <c r="I310" s="39"/>
      <c r="J310" s="39"/>
      <c r="K310" s="71"/>
      <c r="L310" s="28"/>
      <c r="M310" s="27"/>
    </row>
    <row r="311" customFormat="false" ht="15" hidden="false" customHeight="false" outlineLevel="0" collapsed="false">
      <c r="A311" s="29"/>
      <c r="B311" s="40" t="n">
        <f aca="false">IF($A311="",0,INT(($A311-Macrociclo!$C$11)/7)+1)</f>
        <v>0</v>
      </c>
      <c r="C311" s="27"/>
      <c r="D311" s="27"/>
      <c r="E311" s="27"/>
      <c r="F311" s="39"/>
      <c r="G311" s="28"/>
      <c r="H311" s="28"/>
      <c r="I311" s="39"/>
      <c r="J311" s="39"/>
      <c r="K311" s="71"/>
      <c r="L311" s="28"/>
      <c r="M311" s="27"/>
    </row>
    <row r="312" customFormat="false" ht="15" hidden="false" customHeight="false" outlineLevel="0" collapsed="false">
      <c r="A312" s="29"/>
      <c r="B312" s="40" t="n">
        <f aca="false">IF($A312="",0,INT(($A312-Macrociclo!$C$11)/7)+1)</f>
        <v>0</v>
      </c>
      <c r="C312" s="27"/>
      <c r="D312" s="27"/>
      <c r="E312" s="27"/>
      <c r="F312" s="39"/>
      <c r="G312" s="28"/>
      <c r="H312" s="28"/>
      <c r="I312" s="39"/>
      <c r="J312" s="39"/>
      <c r="K312" s="71"/>
      <c r="L312" s="28"/>
      <c r="M312" s="27"/>
    </row>
    <row r="313" customFormat="false" ht="15" hidden="false" customHeight="false" outlineLevel="0" collapsed="false">
      <c r="A313" s="29"/>
      <c r="B313" s="40" t="n">
        <f aca="false">IF($A313="",0,INT(($A313-Macrociclo!$C$11)/7)+1)</f>
        <v>0</v>
      </c>
      <c r="C313" s="27"/>
      <c r="D313" s="27"/>
      <c r="E313" s="27"/>
      <c r="F313" s="39"/>
      <c r="G313" s="28"/>
      <c r="H313" s="28"/>
      <c r="I313" s="39"/>
      <c r="J313" s="39"/>
      <c r="K313" s="71"/>
      <c r="L313" s="28"/>
      <c r="M313" s="27"/>
    </row>
    <row r="314" customFormat="false" ht="15" hidden="false" customHeight="false" outlineLevel="0" collapsed="false">
      <c r="A314" s="29"/>
      <c r="B314" s="40" t="n">
        <f aca="false">IF($A314="",0,INT(($A314-Macrociclo!$C$11)/7)+1)</f>
        <v>0</v>
      </c>
      <c r="C314" s="27"/>
      <c r="D314" s="27"/>
      <c r="E314" s="27"/>
      <c r="F314" s="39"/>
      <c r="G314" s="28"/>
      <c r="H314" s="28"/>
      <c r="I314" s="39"/>
      <c r="J314" s="39"/>
      <c r="K314" s="71"/>
      <c r="L314" s="28"/>
      <c r="M314" s="27"/>
    </row>
    <row r="315" customFormat="false" ht="15" hidden="false" customHeight="false" outlineLevel="0" collapsed="false">
      <c r="A315" s="29"/>
      <c r="B315" s="40" t="n">
        <f aca="false">IF($A315="",0,INT(($A315-Macrociclo!$C$11)/7)+1)</f>
        <v>0</v>
      </c>
      <c r="C315" s="27"/>
      <c r="D315" s="27"/>
      <c r="E315" s="27"/>
      <c r="F315" s="39"/>
      <c r="G315" s="28"/>
      <c r="H315" s="28"/>
      <c r="I315" s="39"/>
      <c r="J315" s="39"/>
      <c r="K315" s="71"/>
      <c r="L315" s="28"/>
      <c r="M315" s="27"/>
    </row>
    <row r="316" customFormat="false" ht="15" hidden="false" customHeight="false" outlineLevel="0" collapsed="false">
      <c r="A316" s="29"/>
      <c r="B316" s="40" t="n">
        <f aca="false">IF($A316="",0,INT(($A316-Macrociclo!$C$11)/7)+1)</f>
        <v>0</v>
      </c>
      <c r="C316" s="27"/>
      <c r="D316" s="27"/>
      <c r="E316" s="27"/>
      <c r="F316" s="39"/>
      <c r="G316" s="28"/>
      <c r="H316" s="28"/>
      <c r="I316" s="39"/>
      <c r="J316" s="39"/>
      <c r="K316" s="71"/>
      <c r="L316" s="28"/>
      <c r="M316" s="27"/>
    </row>
    <row r="317" customFormat="false" ht="15" hidden="false" customHeight="false" outlineLevel="0" collapsed="false">
      <c r="A317" s="29"/>
      <c r="B317" s="40" t="n">
        <f aca="false">IF($A317="",0,INT(($A317-Macrociclo!$C$11)/7)+1)</f>
        <v>0</v>
      </c>
      <c r="C317" s="27"/>
      <c r="D317" s="27"/>
      <c r="E317" s="27"/>
      <c r="F317" s="39"/>
      <c r="G317" s="28"/>
      <c r="H317" s="28"/>
      <c r="I317" s="39"/>
      <c r="J317" s="39"/>
      <c r="K317" s="71"/>
      <c r="L317" s="28"/>
      <c r="M317" s="27"/>
    </row>
    <row r="318" customFormat="false" ht="15" hidden="false" customHeight="false" outlineLevel="0" collapsed="false">
      <c r="A318" s="29"/>
      <c r="B318" s="40" t="n">
        <f aca="false">IF($A318="",0,INT(($A318-Macrociclo!$C$11)/7)+1)</f>
        <v>0</v>
      </c>
      <c r="C318" s="27"/>
      <c r="D318" s="27"/>
      <c r="E318" s="27"/>
      <c r="F318" s="39"/>
      <c r="G318" s="28"/>
      <c r="H318" s="28"/>
      <c r="I318" s="39"/>
      <c r="J318" s="39"/>
      <c r="K318" s="71"/>
      <c r="L318" s="28"/>
      <c r="M318" s="27"/>
    </row>
    <row r="319" customFormat="false" ht="15" hidden="false" customHeight="false" outlineLevel="0" collapsed="false">
      <c r="A319" s="29"/>
      <c r="B319" s="40" t="n">
        <f aca="false">IF($A319="",0,INT(($A319-Macrociclo!$C$11)/7)+1)</f>
        <v>0</v>
      </c>
      <c r="C319" s="27"/>
      <c r="D319" s="27"/>
      <c r="E319" s="27"/>
      <c r="F319" s="39"/>
      <c r="G319" s="28"/>
      <c r="H319" s="28"/>
      <c r="I319" s="39"/>
      <c r="J319" s="39"/>
      <c r="K319" s="71"/>
      <c r="L319" s="28"/>
      <c r="M319" s="27"/>
    </row>
    <row r="320" customFormat="false" ht="15" hidden="false" customHeight="false" outlineLevel="0" collapsed="false">
      <c r="A320" s="29"/>
      <c r="B320" s="40" t="n">
        <f aca="false">IF($A320="",0,INT(($A320-Macrociclo!$C$11)/7)+1)</f>
        <v>0</v>
      </c>
      <c r="C320" s="27"/>
      <c r="D320" s="27"/>
      <c r="E320" s="27"/>
      <c r="F320" s="39"/>
      <c r="G320" s="28"/>
      <c r="H320" s="28"/>
      <c r="I320" s="39"/>
      <c r="J320" s="39"/>
      <c r="K320" s="71"/>
      <c r="L320" s="28"/>
      <c r="M320" s="27"/>
    </row>
    <row r="321" customFormat="false" ht="15" hidden="false" customHeight="false" outlineLevel="0" collapsed="false">
      <c r="A321" s="29"/>
      <c r="B321" s="40" t="n">
        <f aca="false">IF($A321="",0,INT(($A321-Macrociclo!$C$11)/7)+1)</f>
        <v>0</v>
      </c>
      <c r="C321" s="27"/>
      <c r="D321" s="27"/>
      <c r="E321" s="27"/>
      <c r="F321" s="39"/>
      <c r="G321" s="28"/>
      <c r="H321" s="28"/>
      <c r="I321" s="39"/>
      <c r="J321" s="39"/>
      <c r="K321" s="71"/>
      <c r="L321" s="28"/>
      <c r="M321" s="27"/>
    </row>
    <row r="322" customFormat="false" ht="15" hidden="false" customHeight="false" outlineLevel="0" collapsed="false">
      <c r="A322" s="29"/>
      <c r="B322" s="40" t="n">
        <f aca="false">IF($A322="",0,INT(($A322-Macrociclo!$C$11)/7)+1)</f>
        <v>0</v>
      </c>
      <c r="C322" s="27"/>
      <c r="D322" s="27"/>
      <c r="E322" s="27"/>
      <c r="F322" s="39"/>
      <c r="G322" s="28"/>
      <c r="H322" s="28"/>
      <c r="I322" s="39"/>
      <c r="J322" s="39"/>
      <c r="K322" s="71"/>
      <c r="L322" s="28"/>
      <c r="M322" s="27"/>
    </row>
    <row r="323" customFormat="false" ht="15" hidden="false" customHeight="false" outlineLevel="0" collapsed="false">
      <c r="A323" s="29"/>
      <c r="B323" s="40" t="n">
        <f aca="false">IF($A323="",0,INT(($A323-Macrociclo!$C$11)/7)+1)</f>
        <v>0</v>
      </c>
      <c r="C323" s="27"/>
      <c r="D323" s="27"/>
      <c r="E323" s="27"/>
      <c r="F323" s="39"/>
      <c r="G323" s="28"/>
      <c r="H323" s="28"/>
      <c r="I323" s="39"/>
      <c r="J323" s="39"/>
      <c r="K323" s="71"/>
      <c r="L323" s="28"/>
      <c r="M323" s="27"/>
    </row>
    <row r="324" customFormat="false" ht="15" hidden="false" customHeight="false" outlineLevel="0" collapsed="false">
      <c r="A324" s="29"/>
      <c r="B324" s="40" t="n">
        <f aca="false">IF($A324="",0,INT(($A324-Macrociclo!$C$11)/7)+1)</f>
        <v>0</v>
      </c>
      <c r="C324" s="27"/>
      <c r="D324" s="27"/>
      <c r="E324" s="27"/>
      <c r="F324" s="39"/>
      <c r="G324" s="28"/>
      <c r="H324" s="28"/>
      <c r="I324" s="39"/>
      <c r="J324" s="39"/>
      <c r="K324" s="71"/>
      <c r="L324" s="28"/>
      <c r="M324" s="27"/>
    </row>
    <row r="325" customFormat="false" ht="15" hidden="false" customHeight="false" outlineLevel="0" collapsed="false">
      <c r="A325" s="29"/>
      <c r="B325" s="40" t="n">
        <f aca="false">IF($A325="",0,INT(($A325-Macrociclo!$C$11)/7)+1)</f>
        <v>0</v>
      </c>
      <c r="C325" s="27"/>
      <c r="D325" s="27"/>
      <c r="E325" s="27"/>
      <c r="F325" s="39"/>
      <c r="G325" s="28"/>
      <c r="H325" s="28"/>
      <c r="I325" s="39"/>
      <c r="J325" s="39"/>
      <c r="K325" s="71"/>
      <c r="L325" s="28"/>
      <c r="M325" s="27"/>
    </row>
    <row r="326" customFormat="false" ht="15" hidden="false" customHeight="false" outlineLevel="0" collapsed="false">
      <c r="A326" s="29"/>
      <c r="B326" s="40" t="n">
        <f aca="false">IF($A326="",0,INT(($A326-Macrociclo!$C$11)/7)+1)</f>
        <v>0</v>
      </c>
      <c r="C326" s="27"/>
      <c r="D326" s="27"/>
      <c r="E326" s="27"/>
      <c r="F326" s="39"/>
      <c r="G326" s="28"/>
      <c r="H326" s="28"/>
      <c r="I326" s="39"/>
      <c r="J326" s="39"/>
      <c r="K326" s="71"/>
      <c r="L326" s="28"/>
      <c r="M326" s="27"/>
    </row>
    <row r="327" customFormat="false" ht="15" hidden="false" customHeight="false" outlineLevel="0" collapsed="false">
      <c r="A327" s="29"/>
      <c r="B327" s="40" t="n">
        <f aca="false">IF($A327="",0,INT(($A327-Macrociclo!$C$11)/7)+1)</f>
        <v>0</v>
      </c>
      <c r="C327" s="27"/>
      <c r="D327" s="27"/>
      <c r="E327" s="27"/>
      <c r="F327" s="39"/>
      <c r="G327" s="28"/>
      <c r="H327" s="28"/>
      <c r="I327" s="39"/>
      <c r="J327" s="39"/>
      <c r="K327" s="71"/>
      <c r="L327" s="28"/>
      <c r="M327" s="27"/>
    </row>
    <row r="328" customFormat="false" ht="15" hidden="false" customHeight="false" outlineLevel="0" collapsed="false">
      <c r="A328" s="29"/>
      <c r="B328" s="40" t="n">
        <f aca="false">IF($A328="",0,INT(($A328-Macrociclo!$C$11)/7)+1)</f>
        <v>0</v>
      </c>
      <c r="C328" s="27"/>
      <c r="D328" s="27"/>
      <c r="E328" s="27"/>
      <c r="F328" s="39"/>
      <c r="G328" s="28"/>
      <c r="H328" s="28"/>
      <c r="I328" s="39"/>
      <c r="J328" s="39"/>
      <c r="K328" s="71"/>
      <c r="L328" s="28"/>
      <c r="M328" s="27"/>
    </row>
    <row r="329" customFormat="false" ht="15" hidden="false" customHeight="false" outlineLevel="0" collapsed="false">
      <c r="A329" s="29"/>
      <c r="B329" s="40" t="n">
        <f aca="false">IF($A329="",0,INT(($A329-Macrociclo!$C$11)/7)+1)</f>
        <v>0</v>
      </c>
      <c r="C329" s="27"/>
      <c r="D329" s="27"/>
      <c r="E329" s="27"/>
      <c r="F329" s="39"/>
      <c r="G329" s="28"/>
      <c r="H329" s="28"/>
      <c r="I329" s="39"/>
      <c r="J329" s="39"/>
      <c r="K329" s="71"/>
      <c r="L329" s="28"/>
      <c r="M329" s="27"/>
    </row>
    <row r="330" customFormat="false" ht="15" hidden="false" customHeight="false" outlineLevel="0" collapsed="false">
      <c r="A330" s="29"/>
      <c r="B330" s="40" t="n">
        <f aca="false">IF($A330="",0,INT(($A330-Macrociclo!$C$11)/7)+1)</f>
        <v>0</v>
      </c>
      <c r="C330" s="27"/>
      <c r="D330" s="27"/>
      <c r="E330" s="27"/>
      <c r="F330" s="39"/>
      <c r="G330" s="28"/>
      <c r="H330" s="28"/>
      <c r="I330" s="39"/>
      <c r="J330" s="39"/>
      <c r="K330" s="71"/>
      <c r="L330" s="28"/>
      <c r="M330" s="27"/>
    </row>
    <row r="331" customFormat="false" ht="15" hidden="false" customHeight="false" outlineLevel="0" collapsed="false">
      <c r="A331" s="29"/>
      <c r="B331" s="40" t="n">
        <f aca="false">IF($A331="",0,INT(($A331-Macrociclo!$C$11)/7)+1)</f>
        <v>0</v>
      </c>
      <c r="C331" s="27"/>
      <c r="D331" s="27"/>
      <c r="E331" s="27"/>
      <c r="F331" s="39"/>
      <c r="G331" s="28"/>
      <c r="H331" s="28"/>
      <c r="I331" s="39"/>
      <c r="J331" s="39"/>
      <c r="K331" s="71"/>
      <c r="L331" s="28"/>
      <c r="M331" s="27"/>
    </row>
    <row r="332" customFormat="false" ht="15" hidden="false" customHeight="false" outlineLevel="0" collapsed="false">
      <c r="A332" s="29"/>
      <c r="B332" s="40" t="n">
        <f aca="false">IF($A332="",0,INT(($A332-Macrociclo!$C$11)/7)+1)</f>
        <v>0</v>
      </c>
      <c r="C332" s="27"/>
      <c r="D332" s="27"/>
      <c r="E332" s="27"/>
      <c r="F332" s="39"/>
      <c r="G332" s="28"/>
      <c r="H332" s="28"/>
      <c r="I332" s="39"/>
      <c r="J332" s="39"/>
      <c r="K332" s="71"/>
      <c r="L332" s="28"/>
      <c r="M332" s="27"/>
    </row>
    <row r="333" customFormat="false" ht="15" hidden="false" customHeight="false" outlineLevel="0" collapsed="false">
      <c r="A333" s="29"/>
      <c r="B333" s="40" t="n">
        <f aca="false">IF($A333="",0,INT(($A333-Macrociclo!$C$11)/7)+1)</f>
        <v>0</v>
      </c>
      <c r="C333" s="27"/>
      <c r="D333" s="27"/>
      <c r="E333" s="27"/>
      <c r="F333" s="39"/>
      <c r="G333" s="28"/>
      <c r="H333" s="28"/>
      <c r="I333" s="39"/>
      <c r="J333" s="39"/>
      <c r="K333" s="71"/>
      <c r="L333" s="28"/>
      <c r="M333" s="27"/>
    </row>
    <row r="334" customFormat="false" ht="15" hidden="false" customHeight="false" outlineLevel="0" collapsed="false">
      <c r="A334" s="29"/>
      <c r="B334" s="40" t="n">
        <f aca="false">IF($A334="",0,INT(($A334-Macrociclo!$C$11)/7)+1)</f>
        <v>0</v>
      </c>
      <c r="C334" s="27"/>
      <c r="D334" s="27"/>
      <c r="E334" s="27"/>
      <c r="F334" s="39"/>
      <c r="G334" s="28"/>
      <c r="H334" s="28"/>
      <c r="I334" s="39"/>
      <c r="J334" s="39"/>
      <c r="K334" s="71"/>
      <c r="L334" s="28"/>
      <c r="M334" s="27"/>
    </row>
    <row r="335" customFormat="false" ht="15" hidden="false" customHeight="false" outlineLevel="0" collapsed="false">
      <c r="A335" s="29"/>
      <c r="B335" s="40" t="n">
        <f aca="false">IF($A335="",0,INT(($A335-Macrociclo!$C$11)/7)+1)</f>
        <v>0</v>
      </c>
      <c r="C335" s="27"/>
      <c r="D335" s="27"/>
      <c r="E335" s="27"/>
      <c r="F335" s="39"/>
      <c r="G335" s="28"/>
      <c r="H335" s="28"/>
      <c r="I335" s="39"/>
      <c r="J335" s="39"/>
      <c r="K335" s="71"/>
      <c r="L335" s="28"/>
      <c r="M335" s="27"/>
    </row>
    <row r="336" customFormat="false" ht="15" hidden="false" customHeight="false" outlineLevel="0" collapsed="false">
      <c r="A336" s="29"/>
      <c r="B336" s="40" t="n">
        <f aca="false">IF($A336="",0,INT(($A336-Macrociclo!$C$11)/7)+1)</f>
        <v>0</v>
      </c>
      <c r="C336" s="27"/>
      <c r="D336" s="27"/>
      <c r="E336" s="27"/>
      <c r="F336" s="39"/>
      <c r="G336" s="28"/>
      <c r="H336" s="28"/>
      <c r="I336" s="39"/>
      <c r="J336" s="39"/>
      <c r="K336" s="71"/>
      <c r="L336" s="28"/>
      <c r="M336" s="27"/>
    </row>
    <row r="337" customFormat="false" ht="15" hidden="false" customHeight="false" outlineLevel="0" collapsed="false">
      <c r="A337" s="29"/>
      <c r="B337" s="40" t="n">
        <f aca="false">IF($A337="",0,INT(($A337-Macrociclo!$C$11)/7)+1)</f>
        <v>0</v>
      </c>
      <c r="C337" s="27"/>
      <c r="D337" s="27"/>
      <c r="E337" s="27"/>
      <c r="F337" s="39"/>
      <c r="G337" s="28"/>
      <c r="H337" s="28"/>
      <c r="I337" s="39"/>
      <c r="J337" s="39"/>
      <c r="K337" s="71"/>
      <c r="L337" s="28"/>
      <c r="M337" s="27"/>
    </row>
    <row r="338" customFormat="false" ht="15" hidden="false" customHeight="false" outlineLevel="0" collapsed="false">
      <c r="A338" s="29"/>
      <c r="B338" s="40" t="n">
        <f aca="false">IF($A338="",0,INT(($A338-Macrociclo!$C$11)/7)+1)</f>
        <v>0</v>
      </c>
      <c r="C338" s="27"/>
      <c r="D338" s="27"/>
      <c r="E338" s="27"/>
      <c r="F338" s="39"/>
      <c r="G338" s="28"/>
      <c r="H338" s="28"/>
      <c r="I338" s="39"/>
      <c r="J338" s="39"/>
      <c r="K338" s="71"/>
      <c r="L338" s="28"/>
      <c r="M338" s="27"/>
    </row>
    <row r="339" customFormat="false" ht="15" hidden="false" customHeight="false" outlineLevel="0" collapsed="false">
      <c r="A339" s="29"/>
      <c r="B339" s="40" t="n">
        <f aca="false">IF($A339="",0,INT(($A339-Macrociclo!$C$11)/7)+1)</f>
        <v>0</v>
      </c>
      <c r="C339" s="27"/>
      <c r="D339" s="27"/>
      <c r="E339" s="27"/>
      <c r="F339" s="39"/>
      <c r="G339" s="28"/>
      <c r="H339" s="28"/>
      <c r="I339" s="39"/>
      <c r="J339" s="39"/>
      <c r="K339" s="71"/>
      <c r="L339" s="28"/>
      <c r="M339" s="27"/>
    </row>
    <row r="340" customFormat="false" ht="15" hidden="false" customHeight="false" outlineLevel="0" collapsed="false">
      <c r="A340" s="29"/>
      <c r="B340" s="40" t="n">
        <f aca="false">IF($A340="",0,INT(($A340-Macrociclo!$C$11)/7)+1)</f>
        <v>0</v>
      </c>
      <c r="C340" s="27"/>
      <c r="D340" s="27"/>
      <c r="E340" s="27"/>
      <c r="F340" s="39"/>
      <c r="G340" s="28"/>
      <c r="H340" s="28"/>
      <c r="I340" s="39"/>
      <c r="J340" s="39"/>
      <c r="K340" s="71"/>
      <c r="L340" s="28"/>
      <c r="M340" s="27"/>
    </row>
    <row r="341" customFormat="false" ht="15" hidden="false" customHeight="false" outlineLevel="0" collapsed="false">
      <c r="A341" s="29"/>
      <c r="B341" s="40" t="n">
        <f aca="false">IF($A341="",0,INT(($A341-Macrociclo!$C$11)/7)+1)</f>
        <v>0</v>
      </c>
      <c r="C341" s="27"/>
      <c r="D341" s="27"/>
      <c r="E341" s="27"/>
      <c r="F341" s="39"/>
      <c r="G341" s="28"/>
      <c r="H341" s="28"/>
      <c r="I341" s="39"/>
      <c r="J341" s="39"/>
      <c r="K341" s="71"/>
      <c r="L341" s="28"/>
      <c r="M341" s="27"/>
    </row>
    <row r="342" customFormat="false" ht="15" hidden="false" customHeight="false" outlineLevel="0" collapsed="false">
      <c r="A342" s="29"/>
      <c r="B342" s="40" t="n">
        <f aca="false">IF($A342="",0,INT(($A342-Macrociclo!$C$11)/7)+1)</f>
        <v>0</v>
      </c>
      <c r="C342" s="27"/>
      <c r="D342" s="27"/>
      <c r="E342" s="27"/>
      <c r="F342" s="39"/>
      <c r="G342" s="28"/>
      <c r="H342" s="28"/>
      <c r="I342" s="39"/>
      <c r="J342" s="39"/>
      <c r="K342" s="71"/>
      <c r="L342" s="28"/>
      <c r="M342" s="27"/>
    </row>
    <row r="343" customFormat="false" ht="15" hidden="false" customHeight="false" outlineLevel="0" collapsed="false">
      <c r="A343" s="29"/>
      <c r="B343" s="40" t="n">
        <f aca="false">IF($A343="",0,INT(($A343-Macrociclo!$C$11)/7)+1)</f>
        <v>0</v>
      </c>
      <c r="C343" s="27"/>
      <c r="D343" s="27"/>
      <c r="E343" s="27"/>
      <c r="F343" s="39"/>
      <c r="G343" s="28"/>
      <c r="H343" s="28"/>
      <c r="I343" s="39"/>
      <c r="J343" s="39"/>
      <c r="K343" s="71"/>
      <c r="L343" s="28"/>
      <c r="M343" s="27"/>
    </row>
    <row r="344" customFormat="false" ht="15" hidden="false" customHeight="false" outlineLevel="0" collapsed="false">
      <c r="A344" s="29"/>
      <c r="B344" s="40" t="n">
        <f aca="false">IF($A344="",0,INT(($A344-Macrociclo!$C$11)/7)+1)</f>
        <v>0</v>
      </c>
      <c r="C344" s="27"/>
      <c r="D344" s="27"/>
      <c r="E344" s="27"/>
      <c r="F344" s="39"/>
      <c r="G344" s="28"/>
      <c r="H344" s="28"/>
      <c r="I344" s="39"/>
      <c r="J344" s="39"/>
      <c r="K344" s="71"/>
      <c r="L344" s="28"/>
      <c r="M344" s="27"/>
    </row>
    <row r="345" customFormat="false" ht="15" hidden="false" customHeight="false" outlineLevel="0" collapsed="false">
      <c r="A345" s="29"/>
      <c r="B345" s="40" t="n">
        <f aca="false">IF($A345="",0,INT(($A345-Macrociclo!$C$11)/7)+1)</f>
        <v>0</v>
      </c>
      <c r="C345" s="27"/>
      <c r="D345" s="27"/>
      <c r="E345" s="27"/>
      <c r="F345" s="39"/>
      <c r="G345" s="28"/>
      <c r="H345" s="28"/>
      <c r="I345" s="39"/>
      <c r="J345" s="39"/>
      <c r="K345" s="71"/>
      <c r="L345" s="28"/>
      <c r="M345" s="27"/>
    </row>
    <row r="346" customFormat="false" ht="15" hidden="false" customHeight="false" outlineLevel="0" collapsed="false">
      <c r="A346" s="29"/>
      <c r="B346" s="40" t="n">
        <f aca="false">IF($A346="",0,INT(($A346-Macrociclo!$C$11)/7)+1)</f>
        <v>0</v>
      </c>
      <c r="C346" s="27"/>
      <c r="D346" s="27"/>
      <c r="E346" s="27"/>
      <c r="F346" s="39"/>
      <c r="G346" s="28"/>
      <c r="H346" s="28"/>
      <c r="I346" s="39"/>
      <c r="J346" s="39"/>
      <c r="K346" s="71"/>
      <c r="L346" s="28"/>
      <c r="M346" s="27"/>
    </row>
    <row r="347" customFormat="false" ht="15" hidden="false" customHeight="false" outlineLevel="0" collapsed="false">
      <c r="A347" s="29"/>
      <c r="B347" s="40" t="n">
        <f aca="false">IF($A347="",0,INT(($A347-Macrociclo!$C$11)/7)+1)</f>
        <v>0</v>
      </c>
      <c r="C347" s="27"/>
      <c r="D347" s="27"/>
      <c r="E347" s="27"/>
      <c r="F347" s="39"/>
      <c r="G347" s="28"/>
      <c r="H347" s="28"/>
      <c r="I347" s="39"/>
      <c r="J347" s="39"/>
      <c r="K347" s="71"/>
      <c r="L347" s="28"/>
      <c r="M347" s="27"/>
    </row>
    <row r="348" customFormat="false" ht="15" hidden="false" customHeight="false" outlineLevel="0" collapsed="false">
      <c r="A348" s="29"/>
      <c r="B348" s="40" t="n">
        <f aca="false">IF($A348="",0,INT(($A348-Macrociclo!$C$11)/7)+1)</f>
        <v>0</v>
      </c>
      <c r="C348" s="27"/>
      <c r="D348" s="27"/>
      <c r="E348" s="27"/>
      <c r="F348" s="39"/>
      <c r="G348" s="28"/>
      <c r="H348" s="28"/>
      <c r="I348" s="39"/>
      <c r="J348" s="39"/>
      <c r="K348" s="71"/>
      <c r="L348" s="28"/>
      <c r="M348" s="27"/>
    </row>
    <row r="349" customFormat="false" ht="15" hidden="false" customHeight="false" outlineLevel="0" collapsed="false">
      <c r="A349" s="29"/>
      <c r="B349" s="40" t="n">
        <f aca="false">IF($A349="",0,INT(($A349-Macrociclo!$C$11)/7)+1)</f>
        <v>0</v>
      </c>
      <c r="C349" s="27"/>
      <c r="D349" s="27"/>
      <c r="E349" s="27"/>
      <c r="F349" s="39"/>
      <c r="G349" s="28"/>
      <c r="H349" s="28"/>
      <c r="I349" s="39"/>
      <c r="J349" s="39"/>
      <c r="K349" s="71"/>
      <c r="L349" s="28"/>
      <c r="M349" s="27"/>
    </row>
    <row r="350" customFormat="false" ht="15" hidden="false" customHeight="false" outlineLevel="0" collapsed="false">
      <c r="A350" s="29"/>
      <c r="B350" s="40" t="n">
        <f aca="false">IF($A350="",0,INT(($A350-Macrociclo!$C$11)/7)+1)</f>
        <v>0</v>
      </c>
      <c r="C350" s="27"/>
      <c r="D350" s="27"/>
      <c r="E350" s="27"/>
      <c r="F350" s="39"/>
      <c r="G350" s="28"/>
      <c r="H350" s="28"/>
      <c r="I350" s="39"/>
      <c r="J350" s="39"/>
      <c r="K350" s="71"/>
      <c r="L350" s="28"/>
      <c r="M350" s="27"/>
    </row>
    <row r="351" customFormat="false" ht="15" hidden="false" customHeight="false" outlineLevel="0" collapsed="false">
      <c r="A351" s="29"/>
      <c r="B351" s="40" t="n">
        <f aca="false">IF($A351="",0,INT(($A351-Macrociclo!$C$11)/7)+1)</f>
        <v>0</v>
      </c>
      <c r="C351" s="27"/>
      <c r="D351" s="27"/>
      <c r="E351" s="27"/>
      <c r="F351" s="39"/>
      <c r="G351" s="28"/>
      <c r="H351" s="28"/>
      <c r="I351" s="39"/>
      <c r="J351" s="39"/>
      <c r="K351" s="71"/>
      <c r="L351" s="28"/>
      <c r="M351" s="27"/>
    </row>
    <row r="352" customFormat="false" ht="15" hidden="false" customHeight="false" outlineLevel="0" collapsed="false">
      <c r="A352" s="29"/>
      <c r="B352" s="40" t="n">
        <f aca="false">IF($A352="",0,INT(($A352-Macrociclo!$C$11)/7)+1)</f>
        <v>0</v>
      </c>
      <c r="C352" s="27"/>
      <c r="D352" s="27"/>
      <c r="E352" s="27"/>
      <c r="F352" s="39"/>
      <c r="G352" s="28"/>
      <c r="H352" s="28"/>
      <c r="I352" s="39"/>
      <c r="J352" s="39"/>
      <c r="K352" s="71"/>
      <c r="L352" s="28"/>
      <c r="M352" s="27"/>
    </row>
    <row r="353" customFormat="false" ht="15" hidden="false" customHeight="false" outlineLevel="0" collapsed="false">
      <c r="A353" s="29"/>
      <c r="B353" s="40" t="n">
        <f aca="false">IF($A353="",0,INT(($A353-Macrociclo!$C$11)/7)+1)</f>
        <v>0</v>
      </c>
      <c r="C353" s="27"/>
      <c r="D353" s="27"/>
      <c r="E353" s="27"/>
      <c r="F353" s="39"/>
      <c r="G353" s="28"/>
      <c r="H353" s="28"/>
      <c r="I353" s="39"/>
      <c r="J353" s="39"/>
      <c r="K353" s="71"/>
      <c r="L353" s="28"/>
      <c r="M353" s="27"/>
    </row>
    <row r="354" customFormat="false" ht="15" hidden="false" customHeight="false" outlineLevel="0" collapsed="false">
      <c r="A354" s="29"/>
      <c r="B354" s="40" t="n">
        <f aca="false">IF($A354="",0,INT(($A354-Macrociclo!$C$11)/7)+1)</f>
        <v>0</v>
      </c>
      <c r="C354" s="27"/>
      <c r="D354" s="27"/>
      <c r="E354" s="27"/>
      <c r="F354" s="39"/>
      <c r="G354" s="28"/>
      <c r="H354" s="28"/>
      <c r="I354" s="39"/>
      <c r="J354" s="39"/>
      <c r="K354" s="71"/>
      <c r="L354" s="28"/>
      <c r="M354" s="27"/>
    </row>
    <row r="355" customFormat="false" ht="15" hidden="false" customHeight="false" outlineLevel="0" collapsed="false">
      <c r="A355" s="29"/>
      <c r="B355" s="40" t="n">
        <f aca="false">IF($A355="",0,INT(($A355-Macrociclo!$C$11)/7)+1)</f>
        <v>0</v>
      </c>
      <c r="C355" s="27"/>
      <c r="D355" s="27"/>
      <c r="E355" s="27"/>
      <c r="F355" s="39"/>
      <c r="G355" s="28"/>
      <c r="H355" s="28"/>
      <c r="I355" s="39"/>
      <c r="J355" s="39"/>
      <c r="K355" s="71"/>
      <c r="L355" s="28"/>
      <c r="M355" s="27"/>
    </row>
    <row r="356" customFormat="false" ht="15" hidden="false" customHeight="false" outlineLevel="0" collapsed="false">
      <c r="A356" s="29"/>
      <c r="B356" s="40" t="n">
        <f aca="false">IF($A356="",0,INT(($A356-Macrociclo!$C$11)/7)+1)</f>
        <v>0</v>
      </c>
      <c r="C356" s="27"/>
      <c r="D356" s="27"/>
      <c r="E356" s="27"/>
      <c r="F356" s="39"/>
      <c r="G356" s="28"/>
      <c r="H356" s="28"/>
      <c r="I356" s="39"/>
      <c r="J356" s="39"/>
      <c r="K356" s="71"/>
      <c r="L356" s="28"/>
      <c r="M356" s="27"/>
    </row>
    <row r="357" customFormat="false" ht="15" hidden="false" customHeight="false" outlineLevel="0" collapsed="false">
      <c r="A357" s="29"/>
      <c r="B357" s="40" t="n">
        <f aca="false">IF($A357="",0,INT(($A357-Macrociclo!$C$11)/7)+1)</f>
        <v>0</v>
      </c>
      <c r="C357" s="27"/>
      <c r="D357" s="27"/>
      <c r="E357" s="27"/>
      <c r="F357" s="39"/>
      <c r="G357" s="28"/>
      <c r="H357" s="28"/>
      <c r="I357" s="39"/>
      <c r="J357" s="39"/>
      <c r="K357" s="71"/>
      <c r="L357" s="28"/>
      <c r="M357" s="27"/>
    </row>
    <row r="358" customFormat="false" ht="15" hidden="false" customHeight="false" outlineLevel="0" collapsed="false">
      <c r="A358" s="29"/>
      <c r="B358" s="40" t="n">
        <f aca="false">IF($A358="",0,INT(($A358-Macrociclo!$C$11)/7)+1)</f>
        <v>0</v>
      </c>
      <c r="C358" s="27"/>
      <c r="D358" s="27"/>
      <c r="E358" s="27"/>
      <c r="F358" s="39"/>
      <c r="G358" s="28"/>
      <c r="H358" s="28"/>
      <c r="I358" s="39"/>
      <c r="J358" s="39"/>
      <c r="K358" s="71"/>
      <c r="L358" s="28"/>
      <c r="M358" s="27"/>
    </row>
    <row r="359" customFormat="false" ht="15" hidden="false" customHeight="false" outlineLevel="0" collapsed="false">
      <c r="A359" s="29"/>
      <c r="B359" s="40" t="n">
        <f aca="false">IF($A359="",0,INT(($A359-Macrociclo!$C$11)/7)+1)</f>
        <v>0</v>
      </c>
      <c r="C359" s="27"/>
      <c r="D359" s="27"/>
      <c r="E359" s="27"/>
      <c r="F359" s="39"/>
      <c r="G359" s="28"/>
      <c r="H359" s="28"/>
      <c r="I359" s="39"/>
      <c r="J359" s="39"/>
      <c r="K359" s="71"/>
      <c r="L359" s="28"/>
      <c r="M359" s="27"/>
    </row>
    <row r="360" customFormat="false" ht="15" hidden="false" customHeight="false" outlineLevel="0" collapsed="false">
      <c r="A360" s="29"/>
      <c r="B360" s="40" t="n">
        <f aca="false">IF($A360="",0,INT(($A360-Macrociclo!$C$11)/7)+1)</f>
        <v>0</v>
      </c>
      <c r="C360" s="27"/>
      <c r="D360" s="27"/>
      <c r="E360" s="27"/>
      <c r="F360" s="39"/>
      <c r="G360" s="28"/>
      <c r="H360" s="28"/>
      <c r="I360" s="39"/>
      <c r="J360" s="39"/>
      <c r="K360" s="71"/>
      <c r="L360" s="28"/>
      <c r="M360" s="27"/>
    </row>
    <row r="361" customFormat="false" ht="15" hidden="false" customHeight="false" outlineLevel="0" collapsed="false">
      <c r="A361" s="29"/>
      <c r="B361" s="40" t="n">
        <f aca="false">IF($A361="",0,INT(($A361-Macrociclo!$C$11)/7)+1)</f>
        <v>0</v>
      </c>
      <c r="C361" s="27"/>
      <c r="D361" s="27"/>
      <c r="E361" s="27"/>
      <c r="F361" s="39"/>
      <c r="G361" s="28"/>
      <c r="H361" s="28"/>
      <c r="I361" s="39"/>
      <c r="J361" s="39"/>
      <c r="K361" s="71"/>
      <c r="L361" s="28"/>
      <c r="M361" s="27"/>
    </row>
    <row r="362" customFormat="false" ht="15" hidden="false" customHeight="false" outlineLevel="0" collapsed="false">
      <c r="A362" s="29"/>
      <c r="B362" s="40" t="n">
        <f aca="false">IF($A362="",0,INT(($A362-Macrociclo!$C$11)/7)+1)</f>
        <v>0</v>
      </c>
      <c r="C362" s="27"/>
      <c r="D362" s="27"/>
      <c r="E362" s="27"/>
      <c r="F362" s="39"/>
      <c r="G362" s="28"/>
      <c r="H362" s="28"/>
      <c r="I362" s="39"/>
      <c r="J362" s="39"/>
      <c r="K362" s="71"/>
      <c r="L362" s="28"/>
      <c r="M362" s="27"/>
    </row>
    <row r="363" customFormat="false" ht="15" hidden="false" customHeight="false" outlineLevel="0" collapsed="false">
      <c r="A363" s="29"/>
      <c r="B363" s="40" t="n">
        <f aca="false">IF($A363="",0,INT(($A363-Macrociclo!$C$11)/7)+1)</f>
        <v>0</v>
      </c>
      <c r="C363" s="27"/>
      <c r="D363" s="27"/>
      <c r="E363" s="27"/>
      <c r="F363" s="39"/>
      <c r="G363" s="28"/>
      <c r="H363" s="28"/>
      <c r="I363" s="39"/>
      <c r="J363" s="39"/>
      <c r="K363" s="71"/>
      <c r="L363" s="28"/>
      <c r="M363" s="27"/>
    </row>
    <row r="364" customFormat="false" ht="15" hidden="false" customHeight="false" outlineLevel="0" collapsed="false">
      <c r="A364" s="29"/>
      <c r="B364" s="40" t="n">
        <f aca="false">IF($A364="",0,INT(($A364-Macrociclo!$C$11)/7)+1)</f>
        <v>0</v>
      </c>
      <c r="C364" s="27"/>
      <c r="D364" s="27"/>
      <c r="E364" s="27"/>
      <c r="F364" s="39"/>
      <c r="G364" s="28"/>
      <c r="H364" s="28"/>
      <c r="I364" s="39"/>
      <c r="J364" s="39"/>
      <c r="K364" s="71"/>
      <c r="L364" s="28"/>
      <c r="M364" s="27"/>
    </row>
    <row r="365" customFormat="false" ht="15" hidden="false" customHeight="false" outlineLevel="0" collapsed="false">
      <c r="A365" s="29"/>
      <c r="B365" s="40" t="n">
        <f aca="false">IF($A365="",0,INT(($A365-Macrociclo!$C$11)/7)+1)</f>
        <v>0</v>
      </c>
      <c r="C365" s="27"/>
      <c r="D365" s="27"/>
      <c r="E365" s="27"/>
      <c r="F365" s="39"/>
      <c r="G365" s="28"/>
      <c r="H365" s="28"/>
      <c r="I365" s="39"/>
      <c r="J365" s="39"/>
      <c r="K365" s="71"/>
      <c r="L365" s="28"/>
      <c r="M365" s="27"/>
    </row>
    <row r="366" customFormat="false" ht="15" hidden="false" customHeight="false" outlineLevel="0" collapsed="false">
      <c r="A366" s="29"/>
      <c r="B366" s="40" t="n">
        <f aca="false">IF($A366="",0,INT(($A366-Macrociclo!$C$11)/7)+1)</f>
        <v>0</v>
      </c>
      <c r="C366" s="27"/>
      <c r="D366" s="27"/>
      <c r="E366" s="27"/>
      <c r="F366" s="39"/>
      <c r="G366" s="28"/>
      <c r="H366" s="28"/>
      <c r="I366" s="39"/>
      <c r="J366" s="39"/>
      <c r="K366" s="71"/>
      <c r="L366" s="28"/>
      <c r="M366" s="27"/>
    </row>
    <row r="367" customFormat="false" ht="15" hidden="false" customHeight="false" outlineLevel="0" collapsed="false">
      <c r="A367" s="29"/>
      <c r="B367" s="40" t="n">
        <f aca="false">IF($A367="",0,INT(($A367-Macrociclo!$C$11)/7)+1)</f>
        <v>0</v>
      </c>
      <c r="C367" s="27"/>
      <c r="D367" s="27"/>
      <c r="E367" s="27"/>
      <c r="F367" s="39"/>
      <c r="G367" s="28"/>
      <c r="H367" s="28"/>
      <c r="I367" s="39"/>
      <c r="J367" s="39"/>
      <c r="K367" s="71"/>
      <c r="L367" s="28"/>
      <c r="M367" s="27"/>
    </row>
    <row r="368" customFormat="false" ht="15" hidden="false" customHeight="false" outlineLevel="0" collapsed="false">
      <c r="A368" s="29"/>
      <c r="B368" s="40" t="n">
        <f aca="false">IF($A368="",0,INT(($A368-Macrociclo!$C$11)/7)+1)</f>
        <v>0</v>
      </c>
      <c r="C368" s="27"/>
      <c r="D368" s="27"/>
      <c r="E368" s="27"/>
      <c r="F368" s="39"/>
      <c r="G368" s="28"/>
      <c r="H368" s="28"/>
      <c r="I368" s="39"/>
      <c r="J368" s="39"/>
      <c r="K368" s="71"/>
      <c r="L368" s="28"/>
      <c r="M368" s="27"/>
    </row>
    <row r="369" customFormat="false" ht="15" hidden="false" customHeight="false" outlineLevel="0" collapsed="false">
      <c r="A369" s="29"/>
      <c r="B369" s="40" t="n">
        <f aca="false">IF($A369="",0,INT(($A369-Macrociclo!$C$11)/7)+1)</f>
        <v>0</v>
      </c>
      <c r="C369" s="27"/>
      <c r="D369" s="27"/>
      <c r="E369" s="27"/>
      <c r="F369" s="39"/>
      <c r="G369" s="28"/>
      <c r="H369" s="28"/>
      <c r="I369" s="39"/>
      <c r="J369" s="39"/>
      <c r="K369" s="71"/>
      <c r="L369" s="28"/>
      <c r="M369" s="27"/>
    </row>
    <row r="370" customFormat="false" ht="15" hidden="false" customHeight="false" outlineLevel="0" collapsed="false">
      <c r="A370" s="29"/>
      <c r="B370" s="40" t="n">
        <f aca="false">IF($A370="",0,INT(($A370-Macrociclo!$C$11)/7)+1)</f>
        <v>0</v>
      </c>
      <c r="C370" s="27"/>
      <c r="D370" s="27"/>
      <c r="E370" s="27"/>
      <c r="F370" s="39"/>
      <c r="G370" s="28"/>
      <c r="H370" s="28"/>
      <c r="I370" s="39"/>
      <c r="J370" s="39"/>
      <c r="K370" s="71"/>
      <c r="L370" s="28"/>
      <c r="M370" s="27"/>
    </row>
    <row r="371" customFormat="false" ht="15" hidden="false" customHeight="false" outlineLevel="0" collapsed="false">
      <c r="A371" s="29"/>
      <c r="B371" s="40" t="n">
        <f aca="false">IF($A371="",0,INT(($A371-Macrociclo!$C$11)/7)+1)</f>
        <v>0</v>
      </c>
      <c r="C371" s="27"/>
      <c r="D371" s="27"/>
      <c r="E371" s="27"/>
      <c r="F371" s="39"/>
      <c r="G371" s="28"/>
      <c r="H371" s="28"/>
      <c r="I371" s="39"/>
      <c r="J371" s="39"/>
      <c r="K371" s="71"/>
      <c r="L371" s="28"/>
      <c r="M371" s="27"/>
    </row>
    <row r="372" customFormat="false" ht="15" hidden="false" customHeight="false" outlineLevel="0" collapsed="false">
      <c r="A372" s="29"/>
      <c r="B372" s="40" t="n">
        <f aca="false">IF($A372="",0,INT(($A372-Macrociclo!$C$11)/7)+1)</f>
        <v>0</v>
      </c>
      <c r="C372" s="27"/>
      <c r="D372" s="27"/>
      <c r="E372" s="27"/>
      <c r="F372" s="39"/>
      <c r="G372" s="28"/>
      <c r="H372" s="28"/>
      <c r="I372" s="39"/>
      <c r="J372" s="39"/>
      <c r="K372" s="71"/>
      <c r="L372" s="28"/>
      <c r="M372" s="27"/>
    </row>
    <row r="373" customFormat="false" ht="15" hidden="false" customHeight="false" outlineLevel="0" collapsed="false">
      <c r="A373" s="29"/>
      <c r="B373" s="40" t="n">
        <f aca="false">IF($A373="",0,INT(($A373-Macrociclo!$C$11)/7)+1)</f>
        <v>0</v>
      </c>
      <c r="C373" s="27"/>
      <c r="D373" s="27"/>
      <c r="E373" s="27"/>
      <c r="F373" s="39"/>
      <c r="G373" s="28"/>
      <c r="H373" s="28"/>
      <c r="I373" s="39"/>
      <c r="J373" s="39"/>
      <c r="K373" s="71"/>
      <c r="L373" s="28"/>
      <c r="M373" s="27"/>
    </row>
    <row r="374" customFormat="false" ht="15" hidden="false" customHeight="false" outlineLevel="0" collapsed="false">
      <c r="A374" s="29"/>
      <c r="B374" s="40" t="n">
        <f aca="false">IF($A374="",0,INT(($A374-Macrociclo!$C$11)/7)+1)</f>
        <v>0</v>
      </c>
      <c r="C374" s="27"/>
      <c r="D374" s="27"/>
      <c r="E374" s="27"/>
      <c r="F374" s="39"/>
      <c r="G374" s="28"/>
      <c r="H374" s="28"/>
      <c r="I374" s="39"/>
      <c r="J374" s="39"/>
      <c r="K374" s="71"/>
      <c r="L374" s="28"/>
      <c r="M374" s="27"/>
    </row>
    <row r="375" customFormat="false" ht="15" hidden="false" customHeight="false" outlineLevel="0" collapsed="false">
      <c r="A375" s="29"/>
      <c r="B375" s="40" t="n">
        <f aca="false">IF($A375="",0,INT(($A375-Macrociclo!$C$11)/7)+1)</f>
        <v>0</v>
      </c>
      <c r="C375" s="27"/>
      <c r="D375" s="27"/>
      <c r="E375" s="27"/>
      <c r="F375" s="39"/>
      <c r="G375" s="28"/>
      <c r="H375" s="28"/>
      <c r="I375" s="39"/>
      <c r="J375" s="39"/>
      <c r="K375" s="71"/>
      <c r="L375" s="28"/>
      <c r="M375" s="27"/>
    </row>
    <row r="376" customFormat="false" ht="15" hidden="false" customHeight="false" outlineLevel="0" collapsed="false">
      <c r="A376" s="29"/>
      <c r="B376" s="40" t="n">
        <f aca="false">IF($A376="",0,INT(($A376-Macrociclo!$C$11)/7)+1)</f>
        <v>0</v>
      </c>
      <c r="C376" s="27"/>
      <c r="D376" s="27"/>
      <c r="E376" s="27"/>
      <c r="F376" s="39"/>
      <c r="G376" s="28"/>
      <c r="H376" s="28"/>
      <c r="I376" s="39"/>
      <c r="J376" s="39"/>
      <c r="K376" s="71"/>
      <c r="L376" s="28"/>
      <c r="M376" s="27"/>
    </row>
    <row r="377" customFormat="false" ht="15" hidden="false" customHeight="false" outlineLevel="0" collapsed="false">
      <c r="A377" s="29"/>
      <c r="B377" s="40" t="n">
        <f aca="false">IF($A377="",0,INT(($A377-Macrociclo!$C$11)/7)+1)</f>
        <v>0</v>
      </c>
      <c r="C377" s="27"/>
      <c r="D377" s="27"/>
      <c r="E377" s="27"/>
      <c r="F377" s="39"/>
      <c r="G377" s="28"/>
      <c r="H377" s="28"/>
      <c r="I377" s="39"/>
      <c r="J377" s="39"/>
      <c r="K377" s="71"/>
      <c r="L377" s="28"/>
      <c r="M377" s="27"/>
    </row>
    <row r="378" customFormat="false" ht="15" hidden="false" customHeight="false" outlineLevel="0" collapsed="false">
      <c r="A378" s="29"/>
      <c r="B378" s="40" t="n">
        <f aca="false">IF($A378="",0,INT(($A378-Macrociclo!$C$11)/7)+1)</f>
        <v>0</v>
      </c>
      <c r="C378" s="27"/>
      <c r="D378" s="27"/>
      <c r="E378" s="27"/>
      <c r="F378" s="39"/>
      <c r="G378" s="28"/>
      <c r="H378" s="28"/>
      <c r="I378" s="39"/>
      <c r="J378" s="39"/>
      <c r="K378" s="71"/>
      <c r="L378" s="28"/>
      <c r="M378" s="27"/>
    </row>
    <row r="379" customFormat="false" ht="15" hidden="false" customHeight="false" outlineLevel="0" collapsed="false">
      <c r="A379" s="29"/>
      <c r="B379" s="40" t="n">
        <f aca="false">IF($A379="",0,INT(($A379-Macrociclo!$C$11)/7)+1)</f>
        <v>0</v>
      </c>
      <c r="C379" s="27"/>
      <c r="D379" s="27"/>
      <c r="E379" s="27"/>
      <c r="F379" s="39"/>
      <c r="G379" s="28"/>
      <c r="H379" s="28"/>
      <c r="I379" s="39"/>
      <c r="J379" s="39"/>
      <c r="K379" s="71"/>
      <c r="L379" s="28"/>
      <c r="M379" s="27"/>
    </row>
    <row r="380" customFormat="false" ht="15" hidden="false" customHeight="false" outlineLevel="0" collapsed="false">
      <c r="A380" s="29"/>
      <c r="B380" s="40" t="n">
        <f aca="false">IF($A380="",0,INT(($A380-Macrociclo!$C$11)/7)+1)</f>
        <v>0</v>
      </c>
      <c r="C380" s="27"/>
      <c r="D380" s="27"/>
      <c r="E380" s="27"/>
      <c r="F380" s="39"/>
      <c r="G380" s="28"/>
      <c r="H380" s="28"/>
      <c r="I380" s="39"/>
      <c r="J380" s="39"/>
      <c r="K380" s="71"/>
      <c r="L380" s="28"/>
      <c r="M380" s="27"/>
    </row>
    <row r="381" customFormat="false" ht="15" hidden="false" customHeight="false" outlineLevel="0" collapsed="false">
      <c r="A381" s="29"/>
      <c r="B381" s="40" t="n">
        <f aca="false">IF($A381="",0,INT(($A381-Macrociclo!$C$11)/7)+1)</f>
        <v>0</v>
      </c>
      <c r="C381" s="27"/>
      <c r="D381" s="27"/>
      <c r="E381" s="27"/>
      <c r="F381" s="39"/>
      <c r="G381" s="28"/>
      <c r="H381" s="28"/>
      <c r="I381" s="39"/>
      <c r="J381" s="39"/>
      <c r="K381" s="71"/>
      <c r="L381" s="28"/>
      <c r="M381" s="27"/>
    </row>
    <row r="382" customFormat="false" ht="15" hidden="false" customHeight="false" outlineLevel="0" collapsed="false">
      <c r="A382" s="29"/>
      <c r="B382" s="40" t="n">
        <f aca="false">IF($A382="",0,INT(($A382-Macrociclo!$C$11)/7)+1)</f>
        <v>0</v>
      </c>
      <c r="C382" s="27"/>
      <c r="D382" s="27"/>
      <c r="E382" s="27"/>
      <c r="F382" s="39"/>
      <c r="G382" s="28"/>
      <c r="H382" s="28"/>
      <c r="I382" s="39"/>
      <c r="J382" s="39"/>
      <c r="K382" s="71"/>
      <c r="L382" s="28"/>
      <c r="M382" s="27"/>
    </row>
    <row r="383" customFormat="false" ht="15" hidden="false" customHeight="false" outlineLevel="0" collapsed="false">
      <c r="A383" s="29"/>
      <c r="B383" s="40" t="n">
        <f aca="false">IF($A383="",0,INT(($A383-Macrociclo!$C$11)/7)+1)</f>
        <v>0</v>
      </c>
      <c r="C383" s="27"/>
      <c r="D383" s="27"/>
      <c r="E383" s="27"/>
      <c r="F383" s="39"/>
      <c r="G383" s="28"/>
      <c r="H383" s="28"/>
      <c r="I383" s="39"/>
      <c r="J383" s="39"/>
      <c r="K383" s="71"/>
      <c r="L383" s="28"/>
      <c r="M383" s="27"/>
    </row>
    <row r="384" customFormat="false" ht="15" hidden="false" customHeight="false" outlineLevel="0" collapsed="false">
      <c r="A384" s="29"/>
      <c r="B384" s="40" t="n">
        <f aca="false">IF($A384="",0,INT(($A384-Macrociclo!$C$11)/7)+1)</f>
        <v>0</v>
      </c>
      <c r="C384" s="27"/>
      <c r="D384" s="27"/>
      <c r="E384" s="27"/>
      <c r="F384" s="39"/>
      <c r="G384" s="28"/>
      <c r="H384" s="28"/>
      <c r="I384" s="39"/>
      <c r="J384" s="39"/>
      <c r="K384" s="71"/>
      <c r="L384" s="28"/>
      <c r="M384" s="27"/>
    </row>
    <row r="385" customFormat="false" ht="15" hidden="false" customHeight="false" outlineLevel="0" collapsed="false">
      <c r="A385" s="29"/>
      <c r="B385" s="40" t="n">
        <f aca="false">IF($A385="",0,INT(($A385-Macrociclo!$C$11)/7)+1)</f>
        <v>0</v>
      </c>
      <c r="C385" s="27"/>
      <c r="D385" s="27"/>
      <c r="E385" s="27"/>
      <c r="F385" s="39"/>
      <c r="G385" s="28"/>
      <c r="H385" s="28"/>
      <c r="I385" s="39"/>
      <c r="J385" s="39"/>
      <c r="K385" s="71"/>
      <c r="L385" s="28"/>
      <c r="M385" s="27"/>
    </row>
    <row r="386" customFormat="false" ht="15" hidden="false" customHeight="false" outlineLevel="0" collapsed="false">
      <c r="A386" s="29"/>
      <c r="B386" s="40" t="n">
        <f aca="false">IF($A386="",0,INT(($A386-Macrociclo!$C$11)/7)+1)</f>
        <v>0</v>
      </c>
      <c r="C386" s="27"/>
      <c r="D386" s="27"/>
      <c r="E386" s="27"/>
      <c r="F386" s="39"/>
      <c r="G386" s="28"/>
      <c r="H386" s="28"/>
      <c r="I386" s="39"/>
      <c r="J386" s="39"/>
      <c r="K386" s="71"/>
      <c r="L386" s="28"/>
      <c r="M386" s="27"/>
    </row>
    <row r="387" customFormat="false" ht="15" hidden="false" customHeight="false" outlineLevel="0" collapsed="false">
      <c r="A387" s="29"/>
      <c r="B387" s="40" t="n">
        <f aca="false">IF($A387="",0,INT(($A387-Macrociclo!$C$11)/7)+1)</f>
        <v>0</v>
      </c>
      <c r="C387" s="27"/>
      <c r="D387" s="27"/>
      <c r="E387" s="27"/>
      <c r="F387" s="39"/>
      <c r="G387" s="28"/>
      <c r="H387" s="28"/>
      <c r="I387" s="39"/>
      <c r="J387" s="39"/>
      <c r="K387" s="71"/>
      <c r="L387" s="28"/>
      <c r="M387" s="27"/>
    </row>
    <row r="388" customFormat="false" ht="15" hidden="false" customHeight="false" outlineLevel="0" collapsed="false">
      <c r="A388" s="29"/>
      <c r="B388" s="40" t="n">
        <f aca="false">IF($A388="",0,INT(($A388-Macrociclo!$C$11)/7)+1)</f>
        <v>0</v>
      </c>
      <c r="C388" s="27"/>
      <c r="D388" s="27"/>
      <c r="E388" s="27"/>
      <c r="F388" s="39"/>
      <c r="G388" s="28"/>
      <c r="H388" s="28"/>
      <c r="I388" s="39"/>
      <c r="J388" s="39"/>
      <c r="K388" s="71"/>
      <c r="L388" s="28"/>
      <c r="M388" s="27"/>
    </row>
    <row r="389" customFormat="false" ht="15" hidden="false" customHeight="false" outlineLevel="0" collapsed="false">
      <c r="A389" s="29"/>
      <c r="B389" s="40" t="n">
        <f aca="false">IF($A389="",0,INT(($A389-Macrociclo!$C$11)/7)+1)</f>
        <v>0</v>
      </c>
      <c r="C389" s="27"/>
      <c r="D389" s="27"/>
      <c r="E389" s="27"/>
      <c r="F389" s="39"/>
      <c r="G389" s="28"/>
      <c r="H389" s="28"/>
      <c r="I389" s="39"/>
      <c r="J389" s="39"/>
      <c r="K389" s="71"/>
      <c r="L389" s="28"/>
      <c r="M389" s="27"/>
    </row>
    <row r="390" customFormat="false" ht="15" hidden="false" customHeight="false" outlineLevel="0" collapsed="false">
      <c r="A390" s="29"/>
      <c r="B390" s="40" t="n">
        <f aca="false">IF($A390="",0,INT(($A390-Macrociclo!$C$11)/7)+1)</f>
        <v>0</v>
      </c>
      <c r="C390" s="27"/>
      <c r="D390" s="27"/>
      <c r="E390" s="27"/>
      <c r="F390" s="39"/>
      <c r="G390" s="28"/>
      <c r="H390" s="28"/>
      <c r="I390" s="39"/>
      <c r="J390" s="39"/>
      <c r="K390" s="71"/>
      <c r="L390" s="28"/>
      <c r="M390" s="27"/>
    </row>
    <row r="391" customFormat="false" ht="15" hidden="false" customHeight="false" outlineLevel="0" collapsed="false">
      <c r="A391" s="29"/>
      <c r="B391" s="40" t="n">
        <f aca="false">IF($A391="",0,INT(($A391-Macrociclo!$C$11)/7)+1)</f>
        <v>0</v>
      </c>
      <c r="C391" s="27"/>
      <c r="D391" s="27"/>
      <c r="E391" s="27"/>
      <c r="F391" s="39"/>
      <c r="G391" s="28"/>
      <c r="H391" s="28"/>
      <c r="I391" s="39"/>
      <c r="J391" s="39"/>
      <c r="K391" s="71"/>
      <c r="L391" s="28"/>
      <c r="M391" s="27"/>
    </row>
    <row r="392" customFormat="false" ht="15" hidden="false" customHeight="false" outlineLevel="0" collapsed="false">
      <c r="A392" s="29"/>
      <c r="B392" s="40" t="n">
        <f aca="false">IF($A392="",0,INT(($A392-Macrociclo!$C$11)/7)+1)</f>
        <v>0</v>
      </c>
      <c r="C392" s="27"/>
      <c r="D392" s="27"/>
      <c r="E392" s="27"/>
      <c r="F392" s="39"/>
      <c r="G392" s="28"/>
      <c r="H392" s="28"/>
      <c r="I392" s="39"/>
      <c r="J392" s="39"/>
      <c r="K392" s="71"/>
      <c r="L392" s="28"/>
      <c r="M392" s="27"/>
    </row>
    <row r="393" customFormat="false" ht="15" hidden="false" customHeight="false" outlineLevel="0" collapsed="false">
      <c r="A393" s="29"/>
      <c r="B393" s="40" t="n">
        <f aca="false">IF($A393="",0,INT(($A393-Macrociclo!$C$11)/7)+1)</f>
        <v>0</v>
      </c>
      <c r="C393" s="27"/>
      <c r="D393" s="27"/>
      <c r="E393" s="27"/>
      <c r="F393" s="39"/>
      <c r="G393" s="28"/>
      <c r="H393" s="28"/>
      <c r="I393" s="39"/>
      <c r="J393" s="39"/>
      <c r="K393" s="71"/>
      <c r="L393" s="28"/>
      <c r="M393" s="27"/>
    </row>
    <row r="394" customFormat="false" ht="15" hidden="false" customHeight="false" outlineLevel="0" collapsed="false">
      <c r="A394" s="29"/>
      <c r="B394" s="40" t="n">
        <f aca="false">IF($A394="",0,INT(($A394-Macrociclo!$C$11)/7)+1)</f>
        <v>0</v>
      </c>
      <c r="C394" s="27"/>
      <c r="D394" s="27"/>
      <c r="E394" s="27"/>
      <c r="F394" s="39"/>
      <c r="G394" s="28"/>
      <c r="H394" s="28"/>
      <c r="I394" s="39"/>
      <c r="J394" s="39"/>
      <c r="K394" s="71"/>
      <c r="L394" s="28"/>
      <c r="M394" s="27"/>
    </row>
    <row r="395" customFormat="false" ht="15" hidden="false" customHeight="false" outlineLevel="0" collapsed="false">
      <c r="A395" s="29"/>
      <c r="B395" s="40" t="n">
        <f aca="false">IF($A395="",0,INT(($A395-Macrociclo!$C$11)/7)+1)</f>
        <v>0</v>
      </c>
      <c r="C395" s="27"/>
      <c r="D395" s="27"/>
      <c r="E395" s="27"/>
      <c r="F395" s="39"/>
      <c r="G395" s="28"/>
      <c r="H395" s="28"/>
      <c r="I395" s="39"/>
      <c r="J395" s="39"/>
      <c r="K395" s="71"/>
      <c r="L395" s="28"/>
      <c r="M395" s="27"/>
    </row>
    <row r="396" customFormat="false" ht="15" hidden="false" customHeight="false" outlineLevel="0" collapsed="false">
      <c r="A396" s="29"/>
      <c r="B396" s="40" t="n">
        <f aca="false">IF($A396="",0,INT(($A396-Macrociclo!$C$11)/7)+1)</f>
        <v>0</v>
      </c>
      <c r="C396" s="27"/>
      <c r="D396" s="27"/>
      <c r="E396" s="27"/>
      <c r="F396" s="39"/>
      <c r="G396" s="28"/>
      <c r="H396" s="28"/>
      <c r="I396" s="39"/>
      <c r="J396" s="39"/>
      <c r="K396" s="71"/>
      <c r="L396" s="28"/>
      <c r="M396" s="27"/>
    </row>
    <row r="397" customFormat="false" ht="15" hidden="false" customHeight="false" outlineLevel="0" collapsed="false">
      <c r="A397" s="29"/>
      <c r="B397" s="40" t="n">
        <f aca="false">IF($A397="",0,INT(($A397-Macrociclo!$C$11)/7)+1)</f>
        <v>0</v>
      </c>
      <c r="C397" s="27"/>
      <c r="D397" s="27"/>
      <c r="E397" s="27"/>
      <c r="F397" s="39"/>
      <c r="G397" s="28"/>
      <c r="H397" s="28"/>
      <c r="I397" s="39"/>
      <c r="J397" s="39"/>
      <c r="K397" s="71"/>
      <c r="L397" s="28"/>
      <c r="M397" s="27"/>
    </row>
    <row r="398" customFormat="false" ht="15" hidden="false" customHeight="false" outlineLevel="0" collapsed="false">
      <c r="A398" s="29"/>
      <c r="B398" s="40" t="n">
        <f aca="false">IF($A398="",0,INT(($A398-Macrociclo!$C$11)/7)+1)</f>
        <v>0</v>
      </c>
      <c r="C398" s="27"/>
      <c r="D398" s="27"/>
      <c r="E398" s="27"/>
      <c r="F398" s="39"/>
      <c r="G398" s="28"/>
      <c r="H398" s="28"/>
      <c r="I398" s="39"/>
      <c r="J398" s="39"/>
      <c r="K398" s="71"/>
      <c r="L398" s="28"/>
      <c r="M398" s="27"/>
    </row>
    <row r="399" customFormat="false" ht="15" hidden="false" customHeight="false" outlineLevel="0" collapsed="false">
      <c r="A399" s="29"/>
      <c r="B399" s="40" t="n">
        <f aca="false">IF($A399="",0,INT(($A399-Macrociclo!$C$11)/7)+1)</f>
        <v>0</v>
      </c>
      <c r="C399" s="27"/>
      <c r="D399" s="27"/>
      <c r="E399" s="27"/>
      <c r="F399" s="39"/>
      <c r="G399" s="28"/>
      <c r="H399" s="28"/>
      <c r="I399" s="39"/>
      <c r="J399" s="39"/>
      <c r="K399" s="71"/>
      <c r="L399" s="28"/>
      <c r="M399" s="27"/>
    </row>
    <row r="400" customFormat="false" ht="15" hidden="false" customHeight="false" outlineLevel="0" collapsed="false">
      <c r="A400" s="29"/>
      <c r="B400" s="40" t="n">
        <f aca="false">IF($A400="",0,INT(($A400-Macrociclo!$C$11)/7)+1)</f>
        <v>0</v>
      </c>
      <c r="C400" s="27"/>
      <c r="D400" s="27"/>
      <c r="E400" s="27"/>
      <c r="F400" s="39"/>
      <c r="G400" s="28"/>
      <c r="H400" s="28"/>
      <c r="I400" s="39"/>
      <c r="J400" s="39"/>
      <c r="K400" s="71"/>
      <c r="L400" s="28"/>
      <c r="M400" s="27"/>
    </row>
    <row r="401" customFormat="false" ht="15" hidden="false" customHeight="false" outlineLevel="0" collapsed="false">
      <c r="A401" s="29"/>
      <c r="B401" s="40" t="n">
        <f aca="false">IF($A401="",0,INT(($A401-Macrociclo!$C$11)/7)+1)</f>
        <v>0</v>
      </c>
      <c r="C401" s="27"/>
      <c r="D401" s="27"/>
      <c r="E401" s="27"/>
      <c r="F401" s="39"/>
      <c r="G401" s="28"/>
      <c r="H401" s="28"/>
      <c r="I401" s="39"/>
      <c r="J401" s="39"/>
      <c r="K401" s="71"/>
      <c r="L401" s="28"/>
      <c r="M401" s="27"/>
    </row>
    <row r="402" customFormat="false" ht="15" hidden="false" customHeight="false" outlineLevel="0" collapsed="false">
      <c r="A402" s="29"/>
      <c r="B402" s="40" t="n">
        <f aca="false">IF($A402="",0,INT(($A402-Macrociclo!$C$11)/7)+1)</f>
        <v>0</v>
      </c>
      <c r="C402" s="27"/>
      <c r="D402" s="27"/>
      <c r="E402" s="27"/>
      <c r="F402" s="39"/>
      <c r="G402" s="28"/>
      <c r="H402" s="28"/>
      <c r="I402" s="39"/>
      <c r="J402" s="39"/>
      <c r="K402" s="71"/>
      <c r="L402" s="28"/>
      <c r="M402" s="27"/>
    </row>
    <row r="403" customFormat="false" ht="15" hidden="false" customHeight="false" outlineLevel="0" collapsed="false">
      <c r="A403" s="29"/>
      <c r="B403" s="40" t="n">
        <f aca="false">IF($A403="",0,INT(($A403-Macrociclo!$C$11)/7)+1)</f>
        <v>0</v>
      </c>
      <c r="C403" s="27"/>
      <c r="D403" s="27"/>
      <c r="E403" s="27"/>
      <c r="F403" s="39"/>
      <c r="G403" s="28"/>
      <c r="H403" s="28"/>
      <c r="I403" s="39"/>
      <c r="J403" s="39"/>
      <c r="K403" s="71"/>
      <c r="L403" s="28"/>
      <c r="M403" s="27"/>
    </row>
    <row r="404" customFormat="false" ht="15" hidden="false" customHeight="false" outlineLevel="0" collapsed="false">
      <c r="A404" s="29"/>
      <c r="B404" s="40" t="n">
        <f aca="false">IF($A404="",0,INT(($A404-Macrociclo!$C$11)/7)+1)</f>
        <v>0</v>
      </c>
      <c r="C404" s="27"/>
      <c r="D404" s="27"/>
      <c r="E404" s="27"/>
      <c r="F404" s="39"/>
      <c r="G404" s="28"/>
      <c r="H404" s="28"/>
      <c r="I404" s="39"/>
      <c r="J404" s="39"/>
      <c r="K404" s="71"/>
      <c r="L404" s="28"/>
      <c r="M404" s="27"/>
    </row>
    <row r="405" customFormat="false" ht="15" hidden="false" customHeight="false" outlineLevel="0" collapsed="false">
      <c r="A405" s="29"/>
      <c r="B405" s="40" t="n">
        <f aca="false">IF($A405="",0,INT(($A405-Macrociclo!$C$11)/7)+1)</f>
        <v>0</v>
      </c>
      <c r="C405" s="27"/>
      <c r="D405" s="27"/>
      <c r="E405" s="27"/>
      <c r="F405" s="39"/>
      <c r="G405" s="28"/>
      <c r="H405" s="28"/>
      <c r="I405" s="39"/>
      <c r="J405" s="39"/>
      <c r="K405" s="71"/>
      <c r="L405" s="28"/>
      <c r="M405" s="27"/>
    </row>
    <row r="406" customFormat="false" ht="15" hidden="false" customHeight="false" outlineLevel="0" collapsed="false">
      <c r="A406" s="29"/>
      <c r="B406" s="40" t="n">
        <f aca="false">IF($A406="",0,INT(($A406-Macrociclo!$C$11)/7)+1)</f>
        <v>0</v>
      </c>
      <c r="C406" s="27"/>
      <c r="D406" s="27"/>
      <c r="E406" s="27"/>
      <c r="F406" s="39"/>
      <c r="G406" s="28"/>
      <c r="H406" s="28"/>
      <c r="I406" s="39"/>
      <c r="J406" s="39"/>
      <c r="K406" s="71"/>
      <c r="L406" s="28"/>
      <c r="M406" s="27"/>
    </row>
    <row r="407" customFormat="false" ht="15" hidden="false" customHeight="false" outlineLevel="0" collapsed="false">
      <c r="A407" s="29"/>
      <c r="B407" s="40" t="n">
        <f aca="false">IF($A407="",0,INT(($A407-Macrociclo!$C$11)/7)+1)</f>
        <v>0</v>
      </c>
      <c r="C407" s="27"/>
      <c r="D407" s="27"/>
      <c r="E407" s="27"/>
      <c r="F407" s="39"/>
      <c r="G407" s="28"/>
      <c r="H407" s="28"/>
      <c r="I407" s="39"/>
      <c r="J407" s="39"/>
      <c r="K407" s="71"/>
      <c r="L407" s="28"/>
      <c r="M407" s="27"/>
    </row>
    <row r="408" customFormat="false" ht="15" hidden="false" customHeight="false" outlineLevel="0" collapsed="false">
      <c r="A408" s="29"/>
      <c r="B408" s="40" t="n">
        <f aca="false">IF($A408="",0,INT(($A408-Macrociclo!$C$11)/7)+1)</f>
        <v>0</v>
      </c>
      <c r="C408" s="27"/>
      <c r="D408" s="27"/>
      <c r="E408" s="27"/>
      <c r="F408" s="39"/>
      <c r="G408" s="28"/>
      <c r="H408" s="28"/>
      <c r="I408" s="39"/>
      <c r="J408" s="39"/>
      <c r="K408" s="71"/>
      <c r="L408" s="28"/>
      <c r="M408" s="27"/>
    </row>
    <row r="409" customFormat="false" ht="15" hidden="false" customHeight="false" outlineLevel="0" collapsed="false">
      <c r="A409" s="29"/>
      <c r="B409" s="40" t="n">
        <f aca="false">IF($A409="",0,INT(($A409-Macrociclo!$C$11)/7)+1)</f>
        <v>0</v>
      </c>
      <c r="C409" s="27"/>
      <c r="D409" s="27"/>
      <c r="E409" s="27"/>
      <c r="F409" s="39"/>
      <c r="G409" s="28"/>
      <c r="H409" s="28"/>
      <c r="I409" s="39"/>
      <c r="J409" s="39"/>
      <c r="K409" s="71"/>
      <c r="L409" s="28"/>
      <c r="M409" s="27"/>
    </row>
    <row r="410" customFormat="false" ht="15" hidden="false" customHeight="false" outlineLevel="0" collapsed="false">
      <c r="A410" s="29"/>
      <c r="B410" s="40" t="n">
        <f aca="false">IF($A410="",0,INT(($A410-Macrociclo!$C$11)/7)+1)</f>
        <v>0</v>
      </c>
      <c r="C410" s="27"/>
      <c r="D410" s="27"/>
      <c r="E410" s="27"/>
      <c r="F410" s="39"/>
      <c r="G410" s="28"/>
      <c r="H410" s="28"/>
      <c r="I410" s="39"/>
      <c r="J410" s="39"/>
      <c r="K410" s="71"/>
      <c r="L410" s="28"/>
      <c r="M410" s="27"/>
    </row>
    <row r="411" customFormat="false" ht="15" hidden="false" customHeight="false" outlineLevel="0" collapsed="false">
      <c r="A411" s="29"/>
      <c r="B411" s="40" t="n">
        <f aca="false">IF($A411="",0,INT(($A411-Macrociclo!$C$11)/7)+1)</f>
        <v>0</v>
      </c>
      <c r="C411" s="27"/>
      <c r="D411" s="27"/>
      <c r="E411" s="27"/>
      <c r="F411" s="39"/>
      <c r="G411" s="28"/>
      <c r="H411" s="28"/>
      <c r="I411" s="39"/>
      <c r="J411" s="39"/>
      <c r="K411" s="71"/>
      <c r="L411" s="28"/>
      <c r="M411" s="27"/>
    </row>
    <row r="412" customFormat="false" ht="15" hidden="false" customHeight="false" outlineLevel="0" collapsed="false">
      <c r="A412" s="29"/>
      <c r="B412" s="40" t="n">
        <f aca="false">IF($A412="",0,INT(($A412-Macrociclo!$C$11)/7)+1)</f>
        <v>0</v>
      </c>
      <c r="C412" s="27"/>
      <c r="D412" s="27"/>
      <c r="E412" s="27"/>
      <c r="F412" s="39"/>
      <c r="G412" s="28"/>
      <c r="H412" s="28"/>
      <c r="I412" s="39"/>
      <c r="J412" s="39"/>
      <c r="K412" s="71"/>
      <c r="L412" s="28"/>
      <c r="M412" s="27"/>
    </row>
    <row r="413" customFormat="false" ht="15" hidden="false" customHeight="false" outlineLevel="0" collapsed="false">
      <c r="A413" s="29"/>
      <c r="B413" s="40" t="n">
        <f aca="false">IF($A413="",0,INT(($A413-Macrociclo!$C$11)/7)+1)</f>
        <v>0</v>
      </c>
      <c r="C413" s="27"/>
      <c r="D413" s="27"/>
      <c r="E413" s="27"/>
      <c r="F413" s="39"/>
      <c r="G413" s="28"/>
      <c r="H413" s="28"/>
      <c r="I413" s="39"/>
      <c r="J413" s="39"/>
      <c r="K413" s="71"/>
      <c r="L413" s="28"/>
      <c r="M413" s="27"/>
    </row>
    <row r="414" customFormat="false" ht="15" hidden="false" customHeight="false" outlineLevel="0" collapsed="false">
      <c r="A414" s="29"/>
      <c r="B414" s="40" t="n">
        <f aca="false">IF($A414="",0,INT(($A414-Macrociclo!$C$11)/7)+1)</f>
        <v>0</v>
      </c>
      <c r="C414" s="27"/>
      <c r="D414" s="27"/>
      <c r="E414" s="27"/>
      <c r="F414" s="39"/>
      <c r="G414" s="28"/>
      <c r="H414" s="28"/>
      <c r="I414" s="39"/>
      <c r="J414" s="39"/>
      <c r="K414" s="71"/>
      <c r="L414" s="28"/>
      <c r="M414" s="27"/>
    </row>
    <row r="415" customFormat="false" ht="15" hidden="false" customHeight="false" outlineLevel="0" collapsed="false">
      <c r="A415" s="29"/>
      <c r="B415" s="40" t="n">
        <f aca="false">IF($A415="",0,INT(($A415-Macrociclo!$C$11)/7)+1)</f>
        <v>0</v>
      </c>
      <c r="C415" s="27"/>
      <c r="D415" s="27"/>
      <c r="E415" s="27"/>
      <c r="F415" s="39"/>
      <c r="G415" s="28"/>
      <c r="H415" s="28"/>
      <c r="I415" s="39"/>
      <c r="J415" s="39"/>
      <c r="K415" s="71"/>
      <c r="L415" s="28"/>
      <c r="M415" s="27"/>
    </row>
    <row r="416" customFormat="false" ht="15" hidden="false" customHeight="false" outlineLevel="0" collapsed="false">
      <c r="A416" s="29"/>
      <c r="B416" s="40" t="n">
        <f aca="false">IF($A416="",0,INT(($A416-Macrociclo!$C$11)/7)+1)</f>
        <v>0</v>
      </c>
      <c r="C416" s="27"/>
      <c r="D416" s="27"/>
      <c r="E416" s="27"/>
      <c r="F416" s="39"/>
      <c r="G416" s="28"/>
      <c r="H416" s="28"/>
      <c r="I416" s="39"/>
      <c r="J416" s="39"/>
      <c r="K416" s="71"/>
      <c r="L416" s="28"/>
      <c r="M416" s="27"/>
    </row>
    <row r="417" customFormat="false" ht="15" hidden="false" customHeight="false" outlineLevel="0" collapsed="false">
      <c r="A417" s="29"/>
      <c r="B417" s="40" t="n">
        <f aca="false">IF($A417="",0,INT(($A417-Macrociclo!$C$11)/7)+1)</f>
        <v>0</v>
      </c>
      <c r="C417" s="27"/>
      <c r="D417" s="27"/>
      <c r="E417" s="27"/>
      <c r="F417" s="39"/>
      <c r="G417" s="28"/>
      <c r="H417" s="28"/>
      <c r="I417" s="39"/>
      <c r="J417" s="39"/>
      <c r="K417" s="71"/>
      <c r="L417" s="28"/>
      <c r="M417" s="27"/>
    </row>
    <row r="418" customFormat="false" ht="15" hidden="false" customHeight="false" outlineLevel="0" collapsed="false">
      <c r="A418" s="29"/>
      <c r="B418" s="40" t="n">
        <f aca="false">IF($A418="",0,INT(($A418-Macrociclo!$C$11)/7)+1)</f>
        <v>0</v>
      </c>
      <c r="C418" s="27"/>
      <c r="D418" s="27"/>
      <c r="E418" s="27"/>
      <c r="F418" s="39"/>
      <c r="G418" s="28"/>
      <c r="H418" s="28"/>
      <c r="I418" s="39"/>
      <c r="J418" s="39"/>
      <c r="K418" s="71"/>
      <c r="L418" s="28"/>
      <c r="M418" s="27"/>
    </row>
    <row r="419" customFormat="false" ht="15" hidden="false" customHeight="false" outlineLevel="0" collapsed="false">
      <c r="A419" s="29"/>
      <c r="B419" s="40" t="n">
        <f aca="false">IF($A419="",0,INT(($A419-Macrociclo!$C$11)/7)+1)</f>
        <v>0</v>
      </c>
      <c r="C419" s="27"/>
      <c r="D419" s="27"/>
      <c r="E419" s="27"/>
      <c r="F419" s="39"/>
      <c r="G419" s="28"/>
      <c r="H419" s="28"/>
      <c r="I419" s="39"/>
      <c r="J419" s="39"/>
      <c r="K419" s="71"/>
      <c r="L419" s="28"/>
      <c r="M419" s="27"/>
    </row>
    <row r="420" customFormat="false" ht="15" hidden="false" customHeight="false" outlineLevel="0" collapsed="false">
      <c r="A420" s="29"/>
      <c r="B420" s="40" t="n">
        <f aca="false">IF($A420="",0,INT(($A420-Macrociclo!$C$11)/7)+1)</f>
        <v>0</v>
      </c>
      <c r="C420" s="27"/>
      <c r="D420" s="27"/>
      <c r="E420" s="27"/>
      <c r="F420" s="39"/>
      <c r="G420" s="28"/>
      <c r="H420" s="28"/>
      <c r="I420" s="39"/>
      <c r="J420" s="39"/>
      <c r="K420" s="71"/>
      <c r="L420" s="28"/>
      <c r="M420" s="27"/>
    </row>
    <row r="421" customFormat="false" ht="15" hidden="false" customHeight="false" outlineLevel="0" collapsed="false">
      <c r="A421" s="29"/>
      <c r="B421" s="40" t="n">
        <f aca="false">IF($A421="",0,INT(($A421-Macrociclo!$C$11)/7)+1)</f>
        <v>0</v>
      </c>
      <c r="C421" s="27"/>
      <c r="D421" s="27"/>
      <c r="E421" s="27"/>
      <c r="F421" s="39"/>
      <c r="G421" s="28"/>
      <c r="H421" s="28"/>
      <c r="I421" s="39"/>
      <c r="J421" s="39"/>
      <c r="K421" s="71"/>
      <c r="L421" s="28"/>
      <c r="M421" s="27"/>
    </row>
    <row r="422" customFormat="false" ht="15" hidden="false" customHeight="false" outlineLevel="0" collapsed="false">
      <c r="A422" s="29"/>
      <c r="B422" s="40" t="n">
        <f aca="false">IF($A422="",0,INT(($A422-Macrociclo!$C$11)/7)+1)</f>
        <v>0</v>
      </c>
      <c r="C422" s="27"/>
      <c r="D422" s="27"/>
      <c r="E422" s="27"/>
      <c r="F422" s="39"/>
      <c r="G422" s="28"/>
      <c r="H422" s="28"/>
      <c r="I422" s="39"/>
      <c r="J422" s="39"/>
      <c r="K422" s="71"/>
      <c r="L422" s="28"/>
      <c r="M422" s="27"/>
    </row>
    <row r="423" customFormat="false" ht="15" hidden="false" customHeight="false" outlineLevel="0" collapsed="false">
      <c r="A423" s="29"/>
      <c r="B423" s="40" t="n">
        <f aca="false">IF($A423="",0,INT(($A423-Macrociclo!$C$11)/7)+1)</f>
        <v>0</v>
      </c>
      <c r="C423" s="27"/>
      <c r="D423" s="27"/>
      <c r="E423" s="27"/>
      <c r="F423" s="39"/>
      <c r="G423" s="28"/>
      <c r="H423" s="28"/>
      <c r="I423" s="39"/>
      <c r="J423" s="39"/>
      <c r="K423" s="71"/>
      <c r="L423" s="28"/>
      <c r="M423" s="27"/>
    </row>
    <row r="424" customFormat="false" ht="15" hidden="false" customHeight="false" outlineLevel="0" collapsed="false">
      <c r="A424" s="29"/>
      <c r="B424" s="40" t="n">
        <f aca="false">IF($A424="",0,INT(($A424-Macrociclo!$C$11)/7)+1)</f>
        <v>0</v>
      </c>
      <c r="C424" s="27"/>
      <c r="D424" s="27"/>
      <c r="E424" s="27"/>
      <c r="F424" s="39"/>
      <c r="G424" s="28"/>
      <c r="H424" s="28"/>
      <c r="I424" s="39"/>
      <c r="J424" s="39"/>
      <c r="K424" s="71"/>
      <c r="L424" s="28"/>
      <c r="M424" s="27"/>
    </row>
    <row r="425" customFormat="false" ht="15" hidden="false" customHeight="false" outlineLevel="0" collapsed="false">
      <c r="A425" s="29"/>
      <c r="B425" s="40" t="n">
        <f aca="false">IF($A425="",0,INT(($A425-Macrociclo!$C$11)/7)+1)</f>
        <v>0</v>
      </c>
      <c r="C425" s="27"/>
      <c r="D425" s="27"/>
      <c r="E425" s="27"/>
      <c r="F425" s="39"/>
      <c r="G425" s="28"/>
      <c r="H425" s="28"/>
      <c r="I425" s="39"/>
      <c r="J425" s="39"/>
      <c r="K425" s="71"/>
      <c r="L425" s="28"/>
      <c r="M425" s="27"/>
    </row>
    <row r="426" customFormat="false" ht="15" hidden="false" customHeight="false" outlineLevel="0" collapsed="false">
      <c r="A426" s="29"/>
      <c r="B426" s="40" t="n">
        <f aca="false">IF($A426="",0,INT(($A426-Macrociclo!$C$11)/7)+1)</f>
        <v>0</v>
      </c>
      <c r="C426" s="27"/>
      <c r="D426" s="27"/>
      <c r="E426" s="27"/>
      <c r="F426" s="39"/>
      <c r="G426" s="28"/>
      <c r="H426" s="28"/>
      <c r="I426" s="39"/>
      <c r="J426" s="39"/>
      <c r="K426" s="71"/>
      <c r="L426" s="28"/>
      <c r="M426" s="27"/>
    </row>
    <row r="427" customFormat="false" ht="15" hidden="false" customHeight="false" outlineLevel="0" collapsed="false">
      <c r="A427" s="29"/>
      <c r="B427" s="40" t="n">
        <f aca="false">IF($A427="",0,INT(($A427-Macrociclo!$C$11)/7)+1)</f>
        <v>0</v>
      </c>
      <c r="C427" s="27"/>
      <c r="D427" s="27"/>
      <c r="E427" s="27"/>
      <c r="F427" s="39"/>
      <c r="G427" s="28"/>
      <c r="H427" s="28"/>
      <c r="I427" s="39"/>
      <c r="J427" s="39"/>
      <c r="K427" s="71"/>
      <c r="L427" s="28"/>
      <c r="M427" s="27"/>
    </row>
    <row r="428" customFormat="false" ht="15" hidden="false" customHeight="false" outlineLevel="0" collapsed="false">
      <c r="A428" s="29"/>
      <c r="B428" s="40" t="n">
        <f aca="false">IF($A428="",0,INT(($A428-Macrociclo!$C$11)/7)+1)</f>
        <v>0</v>
      </c>
      <c r="C428" s="27"/>
      <c r="D428" s="27"/>
      <c r="E428" s="27"/>
      <c r="F428" s="39"/>
      <c r="G428" s="28"/>
      <c r="H428" s="28"/>
      <c r="I428" s="39"/>
      <c r="J428" s="39"/>
      <c r="K428" s="71"/>
      <c r="L428" s="28"/>
      <c r="M428" s="27"/>
    </row>
    <row r="429" customFormat="false" ht="15" hidden="false" customHeight="false" outlineLevel="0" collapsed="false">
      <c r="A429" s="29"/>
      <c r="B429" s="40" t="n">
        <f aca="false">IF($A429="",0,INT(($A429-Macrociclo!$C$11)/7)+1)</f>
        <v>0</v>
      </c>
      <c r="C429" s="27"/>
      <c r="D429" s="27"/>
      <c r="E429" s="27"/>
      <c r="F429" s="39"/>
      <c r="G429" s="28"/>
      <c r="H429" s="28"/>
      <c r="I429" s="39"/>
      <c r="J429" s="39"/>
      <c r="K429" s="71"/>
      <c r="L429" s="28"/>
      <c r="M429" s="27"/>
    </row>
    <row r="430" customFormat="false" ht="15" hidden="false" customHeight="false" outlineLevel="0" collapsed="false">
      <c r="A430" s="29"/>
      <c r="B430" s="40" t="n">
        <f aca="false">IF($A430="",0,INT(($A430-Macrociclo!$C$11)/7)+1)</f>
        <v>0</v>
      </c>
      <c r="C430" s="27"/>
      <c r="D430" s="27"/>
      <c r="E430" s="27"/>
      <c r="F430" s="39"/>
      <c r="G430" s="28"/>
      <c r="H430" s="28"/>
      <c r="I430" s="39"/>
      <c r="J430" s="39"/>
      <c r="K430" s="71"/>
      <c r="L430" s="28"/>
      <c r="M430" s="27"/>
    </row>
    <row r="431" customFormat="false" ht="15" hidden="false" customHeight="false" outlineLevel="0" collapsed="false">
      <c r="A431" s="29"/>
      <c r="B431" s="40" t="n">
        <f aca="false">IF($A431="",0,INT(($A431-Macrociclo!$C$11)/7)+1)</f>
        <v>0</v>
      </c>
      <c r="C431" s="27"/>
      <c r="D431" s="27"/>
      <c r="E431" s="27"/>
      <c r="F431" s="39"/>
      <c r="G431" s="28"/>
      <c r="H431" s="28"/>
      <c r="I431" s="39"/>
      <c r="J431" s="39"/>
      <c r="K431" s="71"/>
      <c r="L431" s="28"/>
      <c r="M431" s="27"/>
    </row>
    <row r="432" customFormat="false" ht="15" hidden="false" customHeight="false" outlineLevel="0" collapsed="false">
      <c r="A432" s="29"/>
      <c r="B432" s="40" t="n">
        <f aca="false">IF($A432="",0,INT(($A432-Macrociclo!$C$11)/7)+1)</f>
        <v>0</v>
      </c>
      <c r="C432" s="27"/>
      <c r="D432" s="27"/>
      <c r="E432" s="27"/>
      <c r="F432" s="39"/>
      <c r="G432" s="28"/>
      <c r="H432" s="28"/>
      <c r="I432" s="39"/>
      <c r="J432" s="39"/>
      <c r="K432" s="71"/>
      <c r="L432" s="28"/>
      <c r="M432" s="27"/>
    </row>
    <row r="433" customFormat="false" ht="15" hidden="false" customHeight="false" outlineLevel="0" collapsed="false">
      <c r="A433" s="29"/>
      <c r="B433" s="40" t="n">
        <f aca="false">IF($A433="",0,INT(($A433-Macrociclo!$C$11)/7)+1)</f>
        <v>0</v>
      </c>
      <c r="C433" s="27"/>
      <c r="D433" s="27"/>
      <c r="E433" s="27"/>
      <c r="F433" s="39"/>
      <c r="G433" s="28"/>
      <c r="H433" s="28"/>
      <c r="I433" s="39"/>
      <c r="J433" s="39"/>
      <c r="K433" s="71"/>
      <c r="L433" s="28"/>
      <c r="M433" s="27"/>
    </row>
    <row r="434" customFormat="false" ht="15" hidden="false" customHeight="false" outlineLevel="0" collapsed="false">
      <c r="A434" s="29"/>
      <c r="B434" s="40" t="n">
        <f aca="false">IF($A434="",0,INT(($A434-Macrociclo!$C$11)/7)+1)</f>
        <v>0</v>
      </c>
      <c r="C434" s="27"/>
      <c r="D434" s="27"/>
      <c r="E434" s="27"/>
      <c r="F434" s="39"/>
      <c r="G434" s="28"/>
      <c r="H434" s="28"/>
      <c r="I434" s="39"/>
      <c r="J434" s="39"/>
      <c r="K434" s="71"/>
      <c r="L434" s="28"/>
      <c r="M434" s="27"/>
    </row>
    <row r="435" customFormat="false" ht="15" hidden="false" customHeight="false" outlineLevel="0" collapsed="false">
      <c r="A435" s="29"/>
      <c r="B435" s="40" t="n">
        <f aca="false">IF($A435="",0,INT(($A435-Macrociclo!$C$11)/7)+1)</f>
        <v>0</v>
      </c>
      <c r="C435" s="27"/>
      <c r="D435" s="27"/>
      <c r="E435" s="27"/>
      <c r="F435" s="39"/>
      <c r="G435" s="28"/>
      <c r="H435" s="28"/>
      <c r="I435" s="39"/>
      <c r="J435" s="39"/>
      <c r="K435" s="71"/>
      <c r="L435" s="28"/>
      <c r="M435" s="27"/>
    </row>
    <row r="436" customFormat="false" ht="15" hidden="false" customHeight="false" outlineLevel="0" collapsed="false">
      <c r="A436" s="29"/>
      <c r="B436" s="40" t="n">
        <f aca="false">IF($A436="",0,INT(($A436-Macrociclo!$C$11)/7)+1)</f>
        <v>0</v>
      </c>
      <c r="C436" s="27"/>
      <c r="D436" s="27"/>
      <c r="E436" s="27"/>
      <c r="F436" s="39"/>
      <c r="G436" s="28"/>
      <c r="H436" s="28"/>
      <c r="I436" s="39"/>
      <c r="J436" s="39"/>
      <c r="K436" s="71"/>
      <c r="L436" s="28"/>
      <c r="M436" s="27"/>
    </row>
    <row r="437" customFormat="false" ht="15" hidden="false" customHeight="false" outlineLevel="0" collapsed="false">
      <c r="A437" s="29"/>
      <c r="B437" s="40" t="n">
        <f aca="false">IF($A437="",0,INT(($A437-Macrociclo!$C$11)/7)+1)</f>
        <v>0</v>
      </c>
      <c r="C437" s="27"/>
      <c r="D437" s="27"/>
      <c r="E437" s="27"/>
      <c r="F437" s="39"/>
      <c r="G437" s="28"/>
      <c r="H437" s="28"/>
      <c r="I437" s="39"/>
      <c r="J437" s="39"/>
      <c r="K437" s="71"/>
      <c r="L437" s="28"/>
      <c r="M437" s="27"/>
    </row>
    <row r="438" customFormat="false" ht="15" hidden="false" customHeight="false" outlineLevel="0" collapsed="false">
      <c r="A438" s="29"/>
      <c r="B438" s="40" t="n">
        <f aca="false">IF($A438="",0,INT(($A438-Macrociclo!$C$11)/7)+1)</f>
        <v>0</v>
      </c>
      <c r="C438" s="27"/>
      <c r="D438" s="27"/>
      <c r="E438" s="27"/>
      <c r="F438" s="39"/>
      <c r="G438" s="28"/>
      <c r="H438" s="28"/>
      <c r="I438" s="39"/>
      <c r="J438" s="39"/>
      <c r="K438" s="71"/>
      <c r="L438" s="28"/>
      <c r="M438" s="27"/>
    </row>
    <row r="439" customFormat="false" ht="15" hidden="false" customHeight="false" outlineLevel="0" collapsed="false">
      <c r="A439" s="29"/>
      <c r="B439" s="40" t="n">
        <f aca="false">IF($A439="",0,INT(($A439-Macrociclo!$C$11)/7)+1)</f>
        <v>0</v>
      </c>
      <c r="C439" s="27"/>
      <c r="D439" s="27"/>
      <c r="E439" s="27"/>
      <c r="F439" s="39"/>
      <c r="G439" s="28"/>
      <c r="H439" s="28"/>
      <c r="I439" s="39"/>
      <c r="J439" s="39"/>
      <c r="K439" s="71"/>
      <c r="L439" s="28"/>
      <c r="M439" s="27"/>
    </row>
    <row r="440" customFormat="false" ht="15" hidden="false" customHeight="false" outlineLevel="0" collapsed="false">
      <c r="A440" s="29"/>
      <c r="B440" s="40" t="n">
        <f aca="false">IF($A440="",0,INT(($A440-Macrociclo!$C$11)/7)+1)</f>
        <v>0</v>
      </c>
      <c r="C440" s="27"/>
      <c r="D440" s="27"/>
      <c r="E440" s="27"/>
      <c r="F440" s="39"/>
      <c r="G440" s="28"/>
      <c r="H440" s="28"/>
      <c r="I440" s="39"/>
      <c r="J440" s="39"/>
      <c r="K440" s="71"/>
      <c r="L440" s="28"/>
      <c r="M440" s="27"/>
    </row>
    <row r="441" customFormat="false" ht="15" hidden="false" customHeight="false" outlineLevel="0" collapsed="false">
      <c r="A441" s="29"/>
      <c r="B441" s="40" t="n">
        <f aca="false">IF($A441="",0,INT(($A441-Macrociclo!$C$11)/7)+1)</f>
        <v>0</v>
      </c>
      <c r="C441" s="27"/>
      <c r="D441" s="27"/>
      <c r="E441" s="27"/>
      <c r="F441" s="39"/>
      <c r="G441" s="28"/>
      <c r="H441" s="28"/>
      <c r="I441" s="39"/>
      <c r="J441" s="39"/>
      <c r="K441" s="71"/>
      <c r="L441" s="28"/>
      <c r="M441" s="27"/>
    </row>
    <row r="442" customFormat="false" ht="15" hidden="false" customHeight="false" outlineLevel="0" collapsed="false">
      <c r="A442" s="29"/>
      <c r="B442" s="40" t="n">
        <f aca="false">IF($A442="",0,INT(($A442-Macrociclo!$C$11)/7)+1)</f>
        <v>0</v>
      </c>
      <c r="C442" s="27"/>
      <c r="D442" s="27"/>
      <c r="E442" s="27"/>
      <c r="F442" s="39"/>
      <c r="G442" s="28"/>
      <c r="H442" s="28"/>
      <c r="I442" s="39"/>
      <c r="J442" s="39"/>
      <c r="K442" s="71"/>
      <c r="L442" s="28"/>
      <c r="M442" s="27"/>
    </row>
    <row r="443" customFormat="false" ht="15" hidden="false" customHeight="false" outlineLevel="0" collapsed="false">
      <c r="A443" s="29"/>
      <c r="B443" s="40" t="n">
        <f aca="false">IF($A443="",0,INT(($A443-Macrociclo!$C$11)/7)+1)</f>
        <v>0</v>
      </c>
      <c r="C443" s="27"/>
      <c r="D443" s="27"/>
      <c r="E443" s="27"/>
      <c r="F443" s="39"/>
      <c r="G443" s="28"/>
      <c r="H443" s="28"/>
      <c r="I443" s="39"/>
      <c r="J443" s="39"/>
      <c r="K443" s="71"/>
      <c r="L443" s="28"/>
      <c r="M443" s="27"/>
    </row>
    <row r="444" customFormat="false" ht="15" hidden="false" customHeight="false" outlineLevel="0" collapsed="false">
      <c r="A444" s="29"/>
      <c r="B444" s="40" t="n">
        <f aca="false">IF($A444="",0,INT(($A444-Macrociclo!$C$11)/7)+1)</f>
        <v>0</v>
      </c>
      <c r="C444" s="27"/>
      <c r="D444" s="27"/>
      <c r="E444" s="27"/>
      <c r="F444" s="39"/>
      <c r="G444" s="28"/>
      <c r="H444" s="28"/>
      <c r="I444" s="39"/>
      <c r="J444" s="39"/>
      <c r="K444" s="71"/>
      <c r="L444" s="28"/>
      <c r="M444" s="27"/>
    </row>
    <row r="445" customFormat="false" ht="15" hidden="false" customHeight="false" outlineLevel="0" collapsed="false">
      <c r="A445" s="29"/>
      <c r="B445" s="40" t="n">
        <f aca="false">IF($A445="",0,INT(($A445-Macrociclo!$C$11)/7)+1)</f>
        <v>0</v>
      </c>
      <c r="C445" s="27"/>
      <c r="D445" s="27"/>
      <c r="E445" s="27"/>
      <c r="F445" s="39"/>
      <c r="G445" s="28"/>
      <c r="H445" s="28"/>
      <c r="I445" s="39"/>
      <c r="J445" s="39"/>
      <c r="K445" s="71"/>
      <c r="L445" s="28"/>
      <c r="M445" s="27"/>
    </row>
    <row r="446" customFormat="false" ht="15" hidden="false" customHeight="false" outlineLevel="0" collapsed="false">
      <c r="A446" s="29"/>
      <c r="B446" s="40" t="n">
        <f aca="false">IF($A446="",0,INT(($A446-Macrociclo!$C$11)/7)+1)</f>
        <v>0</v>
      </c>
      <c r="C446" s="27"/>
      <c r="D446" s="27"/>
      <c r="E446" s="27"/>
      <c r="F446" s="39"/>
      <c r="G446" s="28"/>
      <c r="H446" s="28"/>
      <c r="I446" s="39"/>
      <c r="J446" s="39"/>
      <c r="K446" s="71"/>
      <c r="L446" s="28"/>
      <c r="M446" s="27"/>
    </row>
    <row r="447" customFormat="false" ht="15" hidden="false" customHeight="false" outlineLevel="0" collapsed="false">
      <c r="A447" s="29"/>
      <c r="B447" s="40" t="n">
        <f aca="false">IF($A447="",0,INT(($A447-Macrociclo!$C$11)/7)+1)</f>
        <v>0</v>
      </c>
      <c r="C447" s="27"/>
      <c r="D447" s="27"/>
      <c r="E447" s="27"/>
      <c r="F447" s="39"/>
      <c r="G447" s="28"/>
      <c r="H447" s="28"/>
      <c r="I447" s="39"/>
      <c r="J447" s="39"/>
      <c r="K447" s="71"/>
      <c r="L447" s="28"/>
      <c r="M447" s="27"/>
    </row>
    <row r="448" customFormat="false" ht="15" hidden="false" customHeight="false" outlineLevel="0" collapsed="false">
      <c r="A448" s="29"/>
      <c r="B448" s="40" t="n">
        <f aca="false">IF($A448="",0,INT(($A448-Macrociclo!$C$11)/7)+1)</f>
        <v>0</v>
      </c>
      <c r="C448" s="27"/>
      <c r="D448" s="27"/>
      <c r="E448" s="27"/>
      <c r="F448" s="39"/>
      <c r="G448" s="28"/>
      <c r="H448" s="28"/>
      <c r="I448" s="39"/>
      <c r="J448" s="39"/>
      <c r="K448" s="71"/>
      <c r="L448" s="28"/>
      <c r="M448" s="27"/>
    </row>
    <row r="449" customFormat="false" ht="15" hidden="false" customHeight="false" outlineLevel="0" collapsed="false">
      <c r="A449" s="29"/>
      <c r="B449" s="40" t="n">
        <f aca="false">IF($A449="",0,INT(($A449-Macrociclo!$C$11)/7)+1)</f>
        <v>0</v>
      </c>
      <c r="C449" s="27"/>
      <c r="D449" s="27"/>
      <c r="E449" s="27"/>
      <c r="F449" s="39"/>
      <c r="G449" s="28"/>
      <c r="H449" s="28"/>
      <c r="I449" s="39"/>
      <c r="J449" s="39"/>
      <c r="K449" s="71"/>
      <c r="L449" s="28"/>
      <c r="M449" s="27"/>
    </row>
    <row r="450" customFormat="false" ht="15" hidden="false" customHeight="false" outlineLevel="0" collapsed="false">
      <c r="A450" s="29"/>
      <c r="B450" s="40" t="n">
        <f aca="false">IF($A450="",0,INT(($A450-Macrociclo!$C$11)/7)+1)</f>
        <v>0</v>
      </c>
      <c r="C450" s="27"/>
      <c r="D450" s="27"/>
      <c r="E450" s="27"/>
      <c r="F450" s="39"/>
      <c r="G450" s="28"/>
      <c r="H450" s="28"/>
      <c r="I450" s="39"/>
      <c r="J450" s="39"/>
      <c r="K450" s="71"/>
      <c r="L450" s="28"/>
      <c r="M450" s="27"/>
    </row>
    <row r="451" customFormat="false" ht="15" hidden="false" customHeight="false" outlineLevel="0" collapsed="false">
      <c r="A451" s="29"/>
      <c r="B451" s="40" t="n">
        <f aca="false">IF($A451="",0,INT(($A451-Macrociclo!$C$11)/7)+1)</f>
        <v>0</v>
      </c>
      <c r="C451" s="27"/>
      <c r="D451" s="27"/>
      <c r="E451" s="27"/>
      <c r="F451" s="39"/>
      <c r="G451" s="28"/>
      <c r="H451" s="28"/>
      <c r="I451" s="39"/>
      <c r="J451" s="39"/>
      <c r="K451" s="71"/>
      <c r="L451" s="28"/>
      <c r="M451" s="27"/>
    </row>
    <row r="452" customFormat="false" ht="15" hidden="false" customHeight="false" outlineLevel="0" collapsed="false">
      <c r="A452" s="29"/>
      <c r="B452" s="40" t="n">
        <f aca="false">IF($A452="",0,INT(($A452-Macrociclo!$C$11)/7)+1)</f>
        <v>0</v>
      </c>
      <c r="C452" s="27"/>
      <c r="D452" s="27"/>
      <c r="E452" s="27"/>
      <c r="F452" s="39"/>
      <c r="G452" s="28"/>
      <c r="H452" s="28"/>
      <c r="I452" s="39"/>
      <c r="J452" s="39"/>
      <c r="K452" s="71"/>
      <c r="L452" s="28"/>
      <c r="M452" s="27"/>
    </row>
    <row r="453" customFormat="false" ht="15" hidden="false" customHeight="false" outlineLevel="0" collapsed="false">
      <c r="A453" s="29"/>
      <c r="B453" s="40" t="n">
        <f aca="false">IF($A453="",0,INT(($A453-Macrociclo!$C$11)/7)+1)</f>
        <v>0</v>
      </c>
      <c r="C453" s="27"/>
      <c r="D453" s="27"/>
      <c r="E453" s="27"/>
      <c r="F453" s="39"/>
      <c r="G453" s="28"/>
      <c r="H453" s="28"/>
      <c r="I453" s="39"/>
      <c r="J453" s="39"/>
      <c r="K453" s="71"/>
      <c r="L453" s="28"/>
      <c r="M453" s="27"/>
    </row>
    <row r="454" customFormat="false" ht="15" hidden="false" customHeight="false" outlineLevel="0" collapsed="false">
      <c r="A454" s="29"/>
      <c r="B454" s="40" t="n">
        <f aca="false">IF($A454="",0,INT(($A454-Macrociclo!$C$11)/7)+1)</f>
        <v>0</v>
      </c>
      <c r="C454" s="27"/>
      <c r="D454" s="27"/>
      <c r="E454" s="27"/>
      <c r="F454" s="39"/>
      <c r="G454" s="28"/>
      <c r="H454" s="28"/>
      <c r="I454" s="39"/>
      <c r="J454" s="39"/>
      <c r="K454" s="71"/>
      <c r="L454" s="28"/>
      <c r="M454" s="27"/>
    </row>
    <row r="455" customFormat="false" ht="15" hidden="false" customHeight="false" outlineLevel="0" collapsed="false">
      <c r="A455" s="29"/>
      <c r="B455" s="40" t="n">
        <f aca="false">IF($A455="",0,INT(($A455-Macrociclo!$C$11)/7)+1)</f>
        <v>0</v>
      </c>
      <c r="C455" s="27"/>
      <c r="D455" s="27"/>
      <c r="E455" s="27"/>
      <c r="F455" s="39"/>
      <c r="G455" s="28"/>
      <c r="H455" s="28"/>
      <c r="I455" s="39"/>
      <c r="J455" s="39"/>
      <c r="K455" s="71"/>
      <c r="L455" s="28"/>
      <c r="M455" s="27"/>
    </row>
    <row r="456" customFormat="false" ht="15" hidden="false" customHeight="false" outlineLevel="0" collapsed="false">
      <c r="A456" s="29"/>
      <c r="B456" s="40" t="n">
        <f aca="false">IF($A456="",0,INT(($A456-Macrociclo!$C$11)/7)+1)</f>
        <v>0</v>
      </c>
      <c r="C456" s="27"/>
      <c r="D456" s="27"/>
      <c r="E456" s="27"/>
      <c r="F456" s="39"/>
      <c r="G456" s="28"/>
      <c r="H456" s="28"/>
      <c r="I456" s="39"/>
      <c r="J456" s="39"/>
      <c r="K456" s="71"/>
      <c r="L456" s="28"/>
      <c r="M456" s="27"/>
    </row>
    <row r="457" customFormat="false" ht="15" hidden="false" customHeight="false" outlineLevel="0" collapsed="false">
      <c r="A457" s="29"/>
      <c r="B457" s="40" t="n">
        <f aca="false">IF($A457="",0,INT(($A457-Macrociclo!$C$11)/7)+1)</f>
        <v>0</v>
      </c>
      <c r="C457" s="27"/>
      <c r="D457" s="27"/>
      <c r="E457" s="27"/>
      <c r="F457" s="39"/>
      <c r="G457" s="28"/>
      <c r="H457" s="28"/>
      <c r="I457" s="39"/>
      <c r="J457" s="39"/>
      <c r="K457" s="71"/>
      <c r="L457" s="28"/>
      <c r="M457" s="27"/>
    </row>
    <row r="458" customFormat="false" ht="15" hidden="false" customHeight="false" outlineLevel="0" collapsed="false">
      <c r="A458" s="29"/>
      <c r="B458" s="40" t="n">
        <f aca="false">IF($A458="",0,INT(($A458-Macrociclo!$C$11)/7)+1)</f>
        <v>0</v>
      </c>
      <c r="C458" s="27"/>
      <c r="D458" s="27"/>
      <c r="E458" s="27"/>
      <c r="F458" s="39"/>
      <c r="G458" s="28"/>
      <c r="H458" s="28"/>
      <c r="I458" s="39"/>
      <c r="J458" s="39"/>
      <c r="K458" s="71"/>
      <c r="L458" s="28"/>
      <c r="M458" s="27"/>
    </row>
    <row r="459" customFormat="false" ht="15" hidden="false" customHeight="false" outlineLevel="0" collapsed="false">
      <c r="A459" s="29"/>
      <c r="B459" s="40" t="n">
        <f aca="false">IF($A459="",0,INT(($A459-Macrociclo!$C$11)/7)+1)</f>
        <v>0</v>
      </c>
      <c r="C459" s="27"/>
      <c r="D459" s="27"/>
      <c r="E459" s="27"/>
      <c r="F459" s="39"/>
      <c r="G459" s="28"/>
      <c r="H459" s="28"/>
      <c r="I459" s="39"/>
      <c r="J459" s="39"/>
      <c r="K459" s="71"/>
      <c r="L459" s="28"/>
      <c r="M459" s="27"/>
    </row>
    <row r="460" customFormat="false" ht="15" hidden="false" customHeight="false" outlineLevel="0" collapsed="false">
      <c r="A460" s="29"/>
      <c r="B460" s="40" t="n">
        <f aca="false">IF($A460="",0,INT(($A460-Macrociclo!$C$11)/7)+1)</f>
        <v>0</v>
      </c>
      <c r="C460" s="27"/>
      <c r="D460" s="27"/>
      <c r="E460" s="27"/>
      <c r="F460" s="39"/>
      <c r="G460" s="28"/>
      <c r="H460" s="28"/>
      <c r="I460" s="39"/>
      <c r="J460" s="39"/>
      <c r="K460" s="71"/>
      <c r="L460" s="28"/>
      <c r="M460" s="27"/>
    </row>
    <row r="461" customFormat="false" ht="15" hidden="false" customHeight="false" outlineLevel="0" collapsed="false">
      <c r="A461" s="29"/>
      <c r="B461" s="40" t="n">
        <f aca="false">IF($A461="",0,INT(($A461-Macrociclo!$C$11)/7)+1)</f>
        <v>0</v>
      </c>
      <c r="C461" s="27"/>
      <c r="D461" s="27"/>
      <c r="E461" s="27"/>
      <c r="F461" s="39"/>
      <c r="G461" s="28"/>
      <c r="H461" s="28"/>
      <c r="I461" s="39"/>
      <c r="J461" s="39"/>
      <c r="K461" s="71"/>
      <c r="L461" s="28"/>
      <c r="M461" s="27"/>
    </row>
    <row r="462" customFormat="false" ht="15" hidden="false" customHeight="false" outlineLevel="0" collapsed="false">
      <c r="A462" s="29"/>
      <c r="B462" s="40" t="n">
        <f aca="false">IF($A462="",0,INT(($A462-Macrociclo!$C$11)/7)+1)</f>
        <v>0</v>
      </c>
      <c r="C462" s="27"/>
      <c r="D462" s="27"/>
      <c r="E462" s="27"/>
      <c r="F462" s="39"/>
      <c r="G462" s="28"/>
      <c r="H462" s="28"/>
      <c r="I462" s="39"/>
      <c r="J462" s="39"/>
      <c r="K462" s="71"/>
      <c r="L462" s="28"/>
      <c r="M462" s="27"/>
    </row>
    <row r="463" customFormat="false" ht="15" hidden="false" customHeight="false" outlineLevel="0" collapsed="false">
      <c r="A463" s="29"/>
      <c r="B463" s="40" t="n">
        <f aca="false">IF($A463="",0,INT(($A463-Macrociclo!$C$11)/7)+1)</f>
        <v>0</v>
      </c>
      <c r="C463" s="27"/>
      <c r="D463" s="27"/>
      <c r="E463" s="27"/>
      <c r="F463" s="39"/>
      <c r="G463" s="28"/>
      <c r="H463" s="28"/>
      <c r="I463" s="39"/>
      <c r="J463" s="39"/>
      <c r="K463" s="71"/>
      <c r="L463" s="28"/>
      <c r="M463" s="27"/>
    </row>
    <row r="464" customFormat="false" ht="15" hidden="false" customHeight="false" outlineLevel="0" collapsed="false">
      <c r="A464" s="29"/>
      <c r="B464" s="40" t="n">
        <f aca="false">IF($A464="",0,INT(($A464-Macrociclo!$C$11)/7)+1)</f>
        <v>0</v>
      </c>
      <c r="C464" s="27"/>
      <c r="D464" s="27"/>
      <c r="E464" s="27"/>
      <c r="F464" s="39"/>
      <c r="G464" s="28"/>
      <c r="H464" s="28"/>
      <c r="I464" s="39"/>
      <c r="J464" s="39"/>
      <c r="K464" s="71"/>
      <c r="L464" s="28"/>
      <c r="M464" s="27"/>
    </row>
    <row r="465" customFormat="false" ht="15" hidden="false" customHeight="false" outlineLevel="0" collapsed="false">
      <c r="A465" s="29"/>
      <c r="B465" s="40" t="n">
        <f aca="false">IF($A465="",0,INT(($A465-Macrociclo!$C$11)/7)+1)</f>
        <v>0</v>
      </c>
      <c r="C465" s="27"/>
      <c r="D465" s="27"/>
      <c r="E465" s="27"/>
      <c r="F465" s="39"/>
      <c r="G465" s="28"/>
      <c r="H465" s="28"/>
      <c r="I465" s="39"/>
      <c r="J465" s="39"/>
      <c r="K465" s="71"/>
      <c r="L465" s="28"/>
      <c r="M465" s="27"/>
    </row>
    <row r="466" customFormat="false" ht="15" hidden="false" customHeight="false" outlineLevel="0" collapsed="false">
      <c r="A466" s="29"/>
      <c r="B466" s="40" t="n">
        <f aca="false">IF($A466="",0,INT(($A466-Macrociclo!$C$11)/7)+1)</f>
        <v>0</v>
      </c>
      <c r="C466" s="27"/>
      <c r="D466" s="27"/>
      <c r="E466" s="27"/>
      <c r="F466" s="39"/>
      <c r="G466" s="28"/>
      <c r="H466" s="28"/>
      <c r="I466" s="39"/>
      <c r="J466" s="39"/>
      <c r="K466" s="71"/>
      <c r="L466" s="28"/>
      <c r="M466" s="27"/>
    </row>
    <row r="467" customFormat="false" ht="15" hidden="false" customHeight="false" outlineLevel="0" collapsed="false">
      <c r="A467" s="29"/>
      <c r="B467" s="40" t="n">
        <f aca="false">IF($A467="",0,INT(($A467-Macrociclo!$C$11)/7)+1)</f>
        <v>0</v>
      </c>
      <c r="C467" s="27"/>
      <c r="D467" s="27"/>
      <c r="E467" s="27"/>
      <c r="F467" s="39"/>
      <c r="G467" s="28"/>
      <c r="H467" s="28"/>
      <c r="I467" s="39"/>
      <c r="J467" s="39"/>
      <c r="K467" s="71"/>
      <c r="L467" s="28"/>
      <c r="M467" s="27"/>
    </row>
    <row r="468" customFormat="false" ht="15" hidden="false" customHeight="false" outlineLevel="0" collapsed="false">
      <c r="A468" s="29"/>
      <c r="B468" s="40" t="n">
        <f aca="false">IF($A468="",0,INT(($A468-Macrociclo!$C$11)/7)+1)</f>
        <v>0</v>
      </c>
      <c r="C468" s="27"/>
      <c r="D468" s="27"/>
      <c r="E468" s="27"/>
      <c r="F468" s="39"/>
      <c r="G468" s="28"/>
      <c r="H468" s="28"/>
      <c r="I468" s="39"/>
      <c r="J468" s="39"/>
      <c r="K468" s="71"/>
      <c r="L468" s="28"/>
      <c r="M468" s="27"/>
    </row>
    <row r="469" customFormat="false" ht="15" hidden="false" customHeight="false" outlineLevel="0" collapsed="false">
      <c r="A469" s="29"/>
      <c r="B469" s="40" t="n">
        <f aca="false">IF($A469="",0,INT(($A469-Macrociclo!$C$11)/7)+1)</f>
        <v>0</v>
      </c>
      <c r="C469" s="27"/>
      <c r="D469" s="27"/>
      <c r="E469" s="27"/>
      <c r="F469" s="39"/>
      <c r="G469" s="28"/>
      <c r="H469" s="28"/>
      <c r="I469" s="39"/>
      <c r="J469" s="39"/>
      <c r="K469" s="71"/>
      <c r="L469" s="28"/>
      <c r="M469" s="27"/>
    </row>
    <row r="470" customFormat="false" ht="15" hidden="false" customHeight="false" outlineLevel="0" collapsed="false">
      <c r="A470" s="29"/>
      <c r="B470" s="40" t="n">
        <f aca="false">IF($A470="",0,INT(($A470-Macrociclo!$C$11)/7)+1)</f>
        <v>0</v>
      </c>
      <c r="C470" s="27"/>
      <c r="D470" s="27"/>
      <c r="E470" s="27"/>
      <c r="F470" s="39"/>
      <c r="G470" s="28"/>
      <c r="H470" s="28"/>
      <c r="I470" s="39"/>
      <c r="J470" s="39"/>
      <c r="K470" s="71"/>
      <c r="L470" s="28"/>
      <c r="M470" s="27"/>
    </row>
    <row r="471" customFormat="false" ht="15" hidden="false" customHeight="false" outlineLevel="0" collapsed="false">
      <c r="A471" s="29"/>
      <c r="B471" s="40" t="n">
        <f aca="false">IF($A471="",0,INT(($A471-Macrociclo!$C$11)/7)+1)</f>
        <v>0</v>
      </c>
      <c r="C471" s="27"/>
      <c r="D471" s="27"/>
      <c r="E471" s="27"/>
      <c r="F471" s="39"/>
      <c r="G471" s="28"/>
      <c r="H471" s="28"/>
      <c r="I471" s="39"/>
      <c r="J471" s="39"/>
      <c r="K471" s="71"/>
      <c r="L471" s="28"/>
      <c r="M471" s="27"/>
    </row>
    <row r="472" customFormat="false" ht="15" hidden="false" customHeight="false" outlineLevel="0" collapsed="false">
      <c r="A472" s="29"/>
      <c r="B472" s="40" t="n">
        <f aca="false">IF($A472="",0,INT(($A472-Macrociclo!$C$11)/7)+1)</f>
        <v>0</v>
      </c>
      <c r="C472" s="27"/>
      <c r="D472" s="27"/>
      <c r="E472" s="27"/>
      <c r="F472" s="39"/>
      <c r="G472" s="28"/>
      <c r="H472" s="28"/>
      <c r="I472" s="39"/>
      <c r="J472" s="39"/>
      <c r="K472" s="71"/>
      <c r="L472" s="28"/>
      <c r="M472" s="27"/>
    </row>
    <row r="473" customFormat="false" ht="15" hidden="false" customHeight="false" outlineLevel="0" collapsed="false">
      <c r="A473" s="29"/>
      <c r="B473" s="40" t="n">
        <f aca="false">IF($A473="",0,INT(($A473-Macrociclo!$C$11)/7)+1)</f>
        <v>0</v>
      </c>
      <c r="C473" s="27"/>
      <c r="D473" s="27"/>
      <c r="E473" s="27"/>
      <c r="F473" s="39"/>
      <c r="G473" s="28"/>
      <c r="H473" s="28"/>
      <c r="I473" s="39"/>
      <c r="J473" s="39"/>
      <c r="K473" s="71"/>
      <c r="L473" s="28"/>
      <c r="M473" s="27"/>
    </row>
    <row r="474" customFormat="false" ht="15" hidden="false" customHeight="false" outlineLevel="0" collapsed="false">
      <c r="A474" s="29"/>
      <c r="B474" s="40" t="n">
        <f aca="false">IF($A474="",0,INT(($A474-Macrociclo!$C$11)/7)+1)</f>
        <v>0</v>
      </c>
      <c r="C474" s="27"/>
      <c r="D474" s="27"/>
      <c r="E474" s="27"/>
      <c r="F474" s="39"/>
      <c r="G474" s="28"/>
      <c r="H474" s="28"/>
      <c r="I474" s="39"/>
      <c r="J474" s="39"/>
      <c r="K474" s="71"/>
      <c r="L474" s="28"/>
      <c r="M474" s="27"/>
    </row>
    <row r="475" customFormat="false" ht="15" hidden="false" customHeight="false" outlineLevel="0" collapsed="false">
      <c r="A475" s="29"/>
      <c r="B475" s="40" t="n">
        <f aca="false">IF($A475="",0,INT(($A475-Macrociclo!$C$11)/7)+1)</f>
        <v>0</v>
      </c>
      <c r="C475" s="27"/>
      <c r="D475" s="27"/>
      <c r="E475" s="27"/>
      <c r="F475" s="39"/>
      <c r="G475" s="28"/>
      <c r="H475" s="28"/>
      <c r="I475" s="39"/>
      <c r="J475" s="39"/>
      <c r="K475" s="71"/>
      <c r="L475" s="28"/>
      <c r="M475" s="27"/>
    </row>
    <row r="476" customFormat="false" ht="15" hidden="false" customHeight="false" outlineLevel="0" collapsed="false">
      <c r="A476" s="29"/>
      <c r="B476" s="40" t="n">
        <f aca="false">IF($A476="",0,INT(($A476-Macrociclo!$C$11)/7)+1)</f>
        <v>0</v>
      </c>
      <c r="C476" s="27"/>
      <c r="D476" s="27"/>
      <c r="E476" s="27"/>
      <c r="F476" s="39"/>
      <c r="G476" s="28"/>
      <c r="H476" s="28"/>
      <c r="I476" s="39"/>
      <c r="J476" s="39"/>
      <c r="K476" s="71"/>
      <c r="L476" s="28"/>
      <c r="M476" s="27"/>
    </row>
    <row r="477" customFormat="false" ht="15" hidden="false" customHeight="false" outlineLevel="0" collapsed="false">
      <c r="A477" s="29"/>
      <c r="B477" s="40" t="n">
        <f aca="false">IF($A477="",0,INT(($A477-Macrociclo!$C$11)/7)+1)</f>
        <v>0</v>
      </c>
      <c r="C477" s="27"/>
      <c r="D477" s="27"/>
      <c r="E477" s="27"/>
      <c r="F477" s="39"/>
      <c r="G477" s="28"/>
      <c r="H477" s="28"/>
      <c r="I477" s="39"/>
      <c r="J477" s="39"/>
      <c r="K477" s="71"/>
      <c r="L477" s="28"/>
      <c r="M477" s="27"/>
    </row>
    <row r="478" customFormat="false" ht="15" hidden="false" customHeight="false" outlineLevel="0" collapsed="false">
      <c r="A478" s="29"/>
      <c r="B478" s="40" t="n">
        <f aca="false">IF($A478="",0,INT(($A478-Macrociclo!$C$11)/7)+1)</f>
        <v>0</v>
      </c>
      <c r="C478" s="27"/>
      <c r="D478" s="27"/>
      <c r="E478" s="27"/>
      <c r="F478" s="39"/>
      <c r="G478" s="28"/>
      <c r="H478" s="28"/>
      <c r="I478" s="39"/>
      <c r="J478" s="39"/>
      <c r="K478" s="71"/>
      <c r="L478" s="28"/>
      <c r="M478" s="27"/>
    </row>
    <row r="479" customFormat="false" ht="15" hidden="false" customHeight="false" outlineLevel="0" collapsed="false">
      <c r="A479" s="29"/>
      <c r="B479" s="40" t="n">
        <f aca="false">IF($A479="",0,INT(($A479-Macrociclo!$C$11)/7)+1)</f>
        <v>0</v>
      </c>
      <c r="C479" s="27"/>
      <c r="D479" s="27"/>
      <c r="E479" s="27"/>
      <c r="F479" s="39"/>
      <c r="G479" s="28"/>
      <c r="H479" s="28"/>
      <c r="I479" s="39"/>
      <c r="J479" s="39"/>
      <c r="K479" s="71"/>
      <c r="L479" s="28"/>
      <c r="M479" s="27"/>
    </row>
    <row r="480" customFormat="false" ht="15" hidden="false" customHeight="false" outlineLevel="0" collapsed="false">
      <c r="A480" s="29"/>
      <c r="B480" s="40" t="n">
        <f aca="false">IF($A480="",0,INT(($A480-Macrociclo!$C$11)/7)+1)</f>
        <v>0</v>
      </c>
      <c r="C480" s="27"/>
      <c r="D480" s="27"/>
      <c r="E480" s="27"/>
      <c r="F480" s="39"/>
      <c r="G480" s="28"/>
      <c r="H480" s="28"/>
      <c r="I480" s="39"/>
      <c r="J480" s="39"/>
      <c r="K480" s="71"/>
      <c r="L480" s="28"/>
      <c r="M480" s="27"/>
    </row>
    <row r="481" customFormat="false" ht="15" hidden="false" customHeight="false" outlineLevel="0" collapsed="false">
      <c r="A481" s="29"/>
      <c r="B481" s="40" t="n">
        <f aca="false">IF($A481="",0,INT(($A481-Macrociclo!$C$11)/7)+1)</f>
        <v>0</v>
      </c>
      <c r="C481" s="27"/>
      <c r="D481" s="27"/>
      <c r="E481" s="27"/>
      <c r="F481" s="39"/>
      <c r="G481" s="28"/>
      <c r="H481" s="28"/>
      <c r="I481" s="39"/>
      <c r="J481" s="39"/>
      <c r="K481" s="71"/>
      <c r="L481" s="28"/>
      <c r="M481" s="27"/>
    </row>
    <row r="482" customFormat="false" ht="15" hidden="false" customHeight="false" outlineLevel="0" collapsed="false">
      <c r="A482" s="29"/>
      <c r="B482" s="40" t="n">
        <f aca="false">IF($A482="",0,INT(($A482-Macrociclo!$C$11)/7)+1)</f>
        <v>0</v>
      </c>
      <c r="C482" s="27"/>
      <c r="D482" s="27"/>
      <c r="E482" s="27"/>
      <c r="F482" s="39"/>
      <c r="G482" s="28"/>
      <c r="H482" s="28"/>
      <c r="I482" s="39"/>
      <c r="J482" s="39"/>
      <c r="K482" s="71"/>
      <c r="L482" s="28"/>
      <c r="M482" s="27"/>
    </row>
    <row r="483" customFormat="false" ht="15" hidden="false" customHeight="false" outlineLevel="0" collapsed="false">
      <c r="A483" s="29"/>
      <c r="B483" s="40" t="n">
        <f aca="false">IF($A483="",0,INT(($A483-Macrociclo!$C$11)/7)+1)</f>
        <v>0</v>
      </c>
      <c r="C483" s="27"/>
      <c r="D483" s="27"/>
      <c r="E483" s="27"/>
      <c r="F483" s="39"/>
      <c r="G483" s="28"/>
      <c r="H483" s="28"/>
      <c r="I483" s="39"/>
      <c r="J483" s="39"/>
      <c r="K483" s="71"/>
      <c r="L483" s="28"/>
      <c r="M483" s="27"/>
    </row>
    <row r="484" customFormat="false" ht="15" hidden="false" customHeight="false" outlineLevel="0" collapsed="false">
      <c r="A484" s="29"/>
      <c r="B484" s="40" t="n">
        <f aca="false">IF($A484="",0,INT(($A484-Macrociclo!$C$11)/7)+1)</f>
        <v>0</v>
      </c>
      <c r="C484" s="27"/>
      <c r="D484" s="27"/>
      <c r="E484" s="27"/>
      <c r="F484" s="39"/>
      <c r="G484" s="28"/>
      <c r="H484" s="28"/>
      <c r="I484" s="39"/>
      <c r="J484" s="39"/>
      <c r="K484" s="71"/>
      <c r="L484" s="28"/>
      <c r="M484" s="27"/>
    </row>
    <row r="485" customFormat="false" ht="15" hidden="false" customHeight="false" outlineLevel="0" collapsed="false">
      <c r="A485" s="29"/>
      <c r="B485" s="40" t="n">
        <f aca="false">IF($A485="",0,INT(($A485-Macrociclo!$C$11)/7)+1)</f>
        <v>0</v>
      </c>
      <c r="C485" s="27"/>
      <c r="D485" s="27"/>
      <c r="E485" s="27"/>
      <c r="F485" s="39"/>
      <c r="G485" s="28"/>
      <c r="H485" s="28"/>
      <c r="I485" s="39"/>
      <c r="J485" s="39"/>
      <c r="K485" s="71"/>
      <c r="L485" s="28"/>
      <c r="M485" s="27"/>
    </row>
    <row r="486" customFormat="false" ht="15" hidden="false" customHeight="false" outlineLevel="0" collapsed="false">
      <c r="A486" s="29"/>
      <c r="B486" s="40" t="n">
        <f aca="false">IF($A486="",0,INT(($A486-Macrociclo!$C$11)/7)+1)</f>
        <v>0</v>
      </c>
      <c r="C486" s="27"/>
      <c r="D486" s="27"/>
      <c r="E486" s="27"/>
      <c r="F486" s="39"/>
      <c r="G486" s="28"/>
      <c r="H486" s="28"/>
      <c r="I486" s="39"/>
      <c r="J486" s="39"/>
      <c r="K486" s="71"/>
      <c r="L486" s="28"/>
      <c r="M486" s="27"/>
    </row>
    <row r="487" customFormat="false" ht="15" hidden="false" customHeight="false" outlineLevel="0" collapsed="false">
      <c r="A487" s="29"/>
      <c r="B487" s="40" t="n">
        <f aca="false">IF($A487="",0,INT(($A487-Macrociclo!$C$11)/7)+1)</f>
        <v>0</v>
      </c>
      <c r="C487" s="27"/>
      <c r="D487" s="27"/>
      <c r="E487" s="27"/>
      <c r="F487" s="39"/>
      <c r="G487" s="28"/>
      <c r="H487" s="28"/>
      <c r="I487" s="39"/>
      <c r="J487" s="39"/>
      <c r="K487" s="71"/>
      <c r="L487" s="28"/>
      <c r="M487" s="27"/>
    </row>
    <row r="488" customFormat="false" ht="15" hidden="false" customHeight="false" outlineLevel="0" collapsed="false">
      <c r="A488" s="29"/>
      <c r="B488" s="40" t="n">
        <f aca="false">IF($A488="",0,INT(($A488-Macrociclo!$C$11)/7)+1)</f>
        <v>0</v>
      </c>
      <c r="C488" s="27"/>
      <c r="D488" s="27"/>
      <c r="E488" s="27"/>
      <c r="F488" s="39"/>
      <c r="G488" s="28"/>
      <c r="H488" s="28"/>
      <c r="I488" s="39"/>
      <c r="J488" s="39"/>
      <c r="K488" s="71"/>
      <c r="L488" s="28"/>
      <c r="M488" s="27"/>
    </row>
    <row r="489" customFormat="false" ht="15" hidden="false" customHeight="false" outlineLevel="0" collapsed="false">
      <c r="A489" s="29"/>
      <c r="B489" s="40" t="n">
        <f aca="false">IF($A489="",0,INT(($A489-Macrociclo!$C$11)/7)+1)</f>
        <v>0</v>
      </c>
      <c r="C489" s="27"/>
      <c r="D489" s="27"/>
      <c r="E489" s="27"/>
      <c r="F489" s="39"/>
      <c r="G489" s="28"/>
      <c r="H489" s="28"/>
      <c r="I489" s="39"/>
      <c r="J489" s="39"/>
      <c r="K489" s="71"/>
      <c r="L489" s="28"/>
      <c r="M489" s="27"/>
    </row>
    <row r="490" customFormat="false" ht="15" hidden="false" customHeight="false" outlineLevel="0" collapsed="false">
      <c r="A490" s="29"/>
      <c r="B490" s="40" t="n">
        <f aca="false">IF($A490="",0,INT(($A490-Macrociclo!$C$11)/7)+1)</f>
        <v>0</v>
      </c>
      <c r="C490" s="27"/>
      <c r="D490" s="27"/>
      <c r="E490" s="27"/>
      <c r="F490" s="39"/>
      <c r="G490" s="28"/>
      <c r="H490" s="28"/>
      <c r="I490" s="39"/>
      <c r="J490" s="39"/>
      <c r="K490" s="71"/>
      <c r="L490" s="28"/>
      <c r="M490" s="27"/>
    </row>
    <row r="491" customFormat="false" ht="15" hidden="false" customHeight="false" outlineLevel="0" collapsed="false">
      <c r="A491" s="29"/>
      <c r="B491" s="40" t="n">
        <f aca="false">IF($A491="",0,INT(($A491-Macrociclo!$C$11)/7)+1)</f>
        <v>0</v>
      </c>
      <c r="C491" s="27"/>
      <c r="D491" s="27"/>
      <c r="E491" s="27"/>
      <c r="F491" s="39"/>
      <c r="G491" s="28"/>
      <c r="H491" s="28"/>
      <c r="I491" s="39"/>
      <c r="J491" s="39"/>
      <c r="K491" s="71"/>
      <c r="L491" s="28"/>
      <c r="M491" s="27"/>
    </row>
    <row r="492" customFormat="false" ht="15" hidden="false" customHeight="false" outlineLevel="0" collapsed="false">
      <c r="A492" s="29"/>
      <c r="B492" s="40" t="n">
        <f aca="false">IF($A492="",0,INT(($A492-Macrociclo!$C$11)/7)+1)</f>
        <v>0</v>
      </c>
      <c r="C492" s="27"/>
      <c r="D492" s="27"/>
      <c r="E492" s="27"/>
      <c r="F492" s="39"/>
      <c r="G492" s="28"/>
      <c r="H492" s="28"/>
      <c r="I492" s="39"/>
      <c r="J492" s="39"/>
      <c r="K492" s="71"/>
      <c r="L492" s="28"/>
      <c r="M492" s="27"/>
    </row>
    <row r="493" customFormat="false" ht="15" hidden="false" customHeight="false" outlineLevel="0" collapsed="false">
      <c r="A493" s="29"/>
      <c r="B493" s="40" t="n">
        <f aca="false">IF($A493="",0,INT(($A493-Macrociclo!$C$11)/7)+1)</f>
        <v>0</v>
      </c>
      <c r="C493" s="27"/>
      <c r="D493" s="27"/>
      <c r="E493" s="27"/>
      <c r="F493" s="39"/>
      <c r="G493" s="28"/>
      <c r="H493" s="28"/>
      <c r="I493" s="39"/>
      <c r="J493" s="39"/>
      <c r="K493" s="71"/>
      <c r="L493" s="28"/>
      <c r="M493" s="27"/>
    </row>
    <row r="494" customFormat="false" ht="15" hidden="false" customHeight="false" outlineLevel="0" collapsed="false">
      <c r="A494" s="29"/>
      <c r="B494" s="40" t="n">
        <f aca="false">IF($A494="",0,INT(($A494-Macrociclo!$C$11)/7)+1)</f>
        <v>0</v>
      </c>
      <c r="C494" s="27"/>
      <c r="D494" s="27"/>
      <c r="E494" s="27"/>
      <c r="F494" s="39"/>
      <c r="G494" s="28"/>
      <c r="H494" s="28"/>
      <c r="I494" s="39"/>
      <c r="J494" s="39"/>
      <c r="K494" s="71"/>
      <c r="L494" s="28"/>
      <c r="M494" s="27"/>
    </row>
    <row r="495" customFormat="false" ht="15" hidden="false" customHeight="false" outlineLevel="0" collapsed="false">
      <c r="A495" s="29"/>
      <c r="B495" s="40" t="n">
        <f aca="false">IF($A495="",0,INT(($A495-Macrociclo!$C$11)/7)+1)</f>
        <v>0</v>
      </c>
      <c r="C495" s="27"/>
      <c r="D495" s="27"/>
      <c r="E495" s="27"/>
      <c r="F495" s="39"/>
      <c r="G495" s="28"/>
      <c r="H495" s="28"/>
      <c r="I495" s="39"/>
      <c r="J495" s="39"/>
      <c r="K495" s="71"/>
      <c r="L495" s="28"/>
      <c r="M495" s="27"/>
    </row>
    <row r="496" customFormat="false" ht="15" hidden="false" customHeight="false" outlineLevel="0" collapsed="false">
      <c r="A496" s="29"/>
      <c r="B496" s="40" t="n">
        <f aca="false">IF($A496="",0,INT(($A496-Macrociclo!$C$11)/7)+1)</f>
        <v>0</v>
      </c>
      <c r="C496" s="27"/>
      <c r="D496" s="27"/>
      <c r="E496" s="27"/>
      <c r="F496" s="39"/>
      <c r="G496" s="28"/>
      <c r="H496" s="28"/>
      <c r="I496" s="39"/>
      <c r="J496" s="39"/>
      <c r="K496" s="71"/>
      <c r="L496" s="28"/>
      <c r="M496" s="27"/>
    </row>
    <row r="497" customFormat="false" ht="15" hidden="false" customHeight="false" outlineLevel="0" collapsed="false">
      <c r="A497" s="29"/>
      <c r="B497" s="40" t="n">
        <f aca="false">IF($A497="",0,INT(($A497-Macrociclo!$C$11)/7)+1)</f>
        <v>0</v>
      </c>
      <c r="C497" s="27"/>
      <c r="D497" s="27"/>
      <c r="E497" s="27"/>
      <c r="F497" s="39"/>
      <c r="G497" s="28"/>
      <c r="H497" s="28"/>
      <c r="I497" s="39"/>
      <c r="J497" s="39"/>
      <c r="K497" s="71"/>
      <c r="L497" s="28"/>
      <c r="M497" s="27"/>
    </row>
    <row r="498" customFormat="false" ht="15" hidden="false" customHeight="false" outlineLevel="0" collapsed="false">
      <c r="A498" s="29"/>
      <c r="B498" s="40" t="n">
        <f aca="false">IF($A498="",0,INT(($A498-Macrociclo!$C$11)/7)+1)</f>
        <v>0</v>
      </c>
      <c r="C498" s="27"/>
      <c r="D498" s="27"/>
      <c r="E498" s="27"/>
      <c r="F498" s="39"/>
      <c r="G498" s="28"/>
      <c r="H498" s="28"/>
      <c r="I498" s="39"/>
      <c r="J498" s="39"/>
      <c r="K498" s="71"/>
      <c r="L498" s="28"/>
      <c r="M498" s="27"/>
    </row>
    <row r="499" customFormat="false" ht="15" hidden="false" customHeight="false" outlineLevel="0" collapsed="false">
      <c r="A499" s="29"/>
      <c r="B499" s="40" t="n">
        <f aca="false">IF($A499="",0,INT(($A499-Macrociclo!$C$11)/7)+1)</f>
        <v>0</v>
      </c>
      <c r="C499" s="27"/>
      <c r="D499" s="27"/>
      <c r="E499" s="27"/>
      <c r="F499" s="39"/>
      <c r="G499" s="28"/>
      <c r="H499" s="28"/>
      <c r="I499" s="39"/>
      <c r="J499" s="39"/>
      <c r="K499" s="71"/>
      <c r="L499" s="28"/>
      <c r="M499" s="27"/>
    </row>
    <row r="500" customFormat="false" ht="15" hidden="false" customHeight="false" outlineLevel="0" collapsed="false">
      <c r="A500" s="29"/>
      <c r="B500" s="40" t="n">
        <f aca="false">IF($A500="",0,INT(($A500-Macrociclo!$C$11)/7)+1)</f>
        <v>0</v>
      </c>
      <c r="C500" s="27"/>
      <c r="D500" s="27"/>
      <c r="E500" s="27"/>
      <c r="F500" s="39"/>
      <c r="G500" s="28"/>
      <c r="H500" s="28"/>
      <c r="I500" s="39"/>
      <c r="J500" s="39"/>
      <c r="K500" s="71"/>
      <c r="L500" s="28"/>
      <c r="M500" s="27"/>
    </row>
    <row r="501" customFormat="false" ht="15" hidden="false" customHeight="false" outlineLevel="0" collapsed="false">
      <c r="A501" s="29"/>
      <c r="B501" s="40" t="n">
        <f aca="false">IF($A501="",0,INT(($A501-Macrociclo!$C$11)/7)+1)</f>
        <v>0</v>
      </c>
      <c r="C501" s="27"/>
      <c r="D501" s="27"/>
      <c r="E501" s="27"/>
      <c r="F501" s="39"/>
      <c r="G501" s="28"/>
      <c r="H501" s="28"/>
      <c r="I501" s="39"/>
      <c r="J501" s="39"/>
      <c r="K501" s="71"/>
      <c r="L501" s="28"/>
      <c r="M501" s="27"/>
    </row>
    <row r="502" customFormat="false" ht="15" hidden="false" customHeight="false" outlineLevel="0" collapsed="false">
      <c r="A502" s="29"/>
      <c r="B502" s="40" t="n">
        <f aca="false">IF($A502="",0,INT(($A502-Macrociclo!$C$11)/7)+1)</f>
        <v>0</v>
      </c>
      <c r="C502" s="27"/>
      <c r="D502" s="27"/>
      <c r="E502" s="27"/>
      <c r="F502" s="39"/>
      <c r="G502" s="28"/>
      <c r="H502" s="28"/>
      <c r="I502" s="39"/>
      <c r="J502" s="39"/>
      <c r="K502" s="71"/>
      <c r="L502" s="28"/>
      <c r="M502" s="27"/>
    </row>
    <row r="503" customFormat="false" ht="15" hidden="false" customHeight="false" outlineLevel="0" collapsed="false">
      <c r="A503" s="29"/>
      <c r="B503" s="40" t="n">
        <f aca="false">IF($A503="",0,INT(($A503-Macrociclo!$C$11)/7)+1)</f>
        <v>0</v>
      </c>
      <c r="C503" s="27"/>
      <c r="D503" s="27"/>
      <c r="E503" s="27"/>
      <c r="F503" s="39"/>
      <c r="G503" s="28"/>
      <c r="H503" s="28"/>
      <c r="I503" s="39"/>
      <c r="J503" s="39"/>
      <c r="K503" s="71"/>
      <c r="L503" s="28"/>
      <c r="M503" s="27"/>
    </row>
    <row r="504" customFormat="false" ht="15" hidden="false" customHeight="false" outlineLevel="0" collapsed="false">
      <c r="A504" s="29"/>
      <c r="B504" s="40" t="n">
        <f aca="false">IF($A504="",0,INT(($A504-Macrociclo!$C$11)/7)+1)</f>
        <v>0</v>
      </c>
      <c r="C504" s="27"/>
      <c r="D504" s="27"/>
      <c r="E504" s="27"/>
      <c r="F504" s="39"/>
      <c r="G504" s="28"/>
      <c r="H504" s="28"/>
      <c r="I504" s="39"/>
      <c r="J504" s="39"/>
      <c r="K504" s="71"/>
      <c r="L504" s="28"/>
      <c r="M504" s="27"/>
    </row>
    <row r="505" customFormat="false" ht="15" hidden="false" customHeight="false" outlineLevel="0" collapsed="false">
      <c r="A505" s="29"/>
      <c r="B505" s="40" t="n">
        <f aca="false">IF($A505="",0,INT(($A505-Macrociclo!$C$11)/7)+1)</f>
        <v>0</v>
      </c>
      <c r="C505" s="27"/>
      <c r="D505" s="27"/>
      <c r="E505" s="27"/>
      <c r="F505" s="39"/>
      <c r="G505" s="28"/>
      <c r="H505" s="28"/>
      <c r="I505" s="39"/>
      <c r="J505" s="39"/>
      <c r="K505" s="71"/>
      <c r="L505" s="28"/>
      <c r="M505" s="27"/>
    </row>
    <row r="506" customFormat="false" ht="15" hidden="false" customHeight="false" outlineLevel="0" collapsed="false">
      <c r="A506" s="29"/>
      <c r="B506" s="40" t="n">
        <f aca="false">IF($A506="",0,INT(($A506-Macrociclo!$C$11)/7)+1)</f>
        <v>0</v>
      </c>
      <c r="C506" s="27"/>
      <c r="D506" s="27"/>
      <c r="E506" s="27"/>
      <c r="F506" s="39"/>
      <c r="G506" s="28"/>
      <c r="H506" s="28"/>
      <c r="I506" s="39"/>
      <c r="J506" s="39"/>
      <c r="K506" s="71"/>
      <c r="L506" s="28"/>
      <c r="M506" s="27"/>
    </row>
    <row r="507" customFormat="false" ht="15" hidden="false" customHeight="false" outlineLevel="0" collapsed="false">
      <c r="A507" s="29"/>
      <c r="B507" s="40" t="n">
        <f aca="false">IF($A507="",0,INT(($A507-Macrociclo!$C$11)/7)+1)</f>
        <v>0</v>
      </c>
      <c r="C507" s="27"/>
      <c r="D507" s="27"/>
      <c r="E507" s="27"/>
      <c r="F507" s="39"/>
      <c r="G507" s="28"/>
      <c r="H507" s="28"/>
      <c r="I507" s="39"/>
      <c r="J507" s="39"/>
      <c r="K507" s="71"/>
      <c r="L507" s="28"/>
      <c r="M507" s="27"/>
    </row>
    <row r="508" customFormat="false" ht="15" hidden="false" customHeight="false" outlineLevel="0" collapsed="false">
      <c r="A508" s="29"/>
      <c r="B508" s="40" t="n">
        <f aca="false">IF($A508="",0,INT(($A508-Macrociclo!$C$11)/7)+1)</f>
        <v>0</v>
      </c>
      <c r="C508" s="27"/>
      <c r="D508" s="27"/>
      <c r="E508" s="27"/>
      <c r="F508" s="39"/>
      <c r="G508" s="28"/>
      <c r="H508" s="28"/>
      <c r="I508" s="39"/>
      <c r="J508" s="39"/>
      <c r="K508" s="71"/>
      <c r="L508" s="28"/>
      <c r="M508" s="27"/>
    </row>
    <row r="509" customFormat="false" ht="15" hidden="false" customHeight="false" outlineLevel="0" collapsed="false">
      <c r="A509" s="29"/>
      <c r="B509" s="40" t="n">
        <f aca="false">IF($A509="",0,INT(($A509-Macrociclo!$C$11)/7)+1)</f>
        <v>0</v>
      </c>
      <c r="C509" s="27"/>
      <c r="D509" s="27"/>
      <c r="E509" s="27"/>
      <c r="F509" s="39"/>
      <c r="G509" s="28"/>
      <c r="H509" s="28"/>
      <c r="I509" s="39"/>
      <c r="J509" s="39"/>
      <c r="K509" s="71"/>
      <c r="L509" s="28"/>
      <c r="M509" s="27"/>
    </row>
    <row r="510" customFormat="false" ht="15" hidden="false" customHeight="false" outlineLevel="0" collapsed="false">
      <c r="A510" s="29"/>
      <c r="B510" s="40" t="n">
        <f aca="false">IF($A510="",0,INT(($A510-Macrociclo!$C$11)/7)+1)</f>
        <v>0</v>
      </c>
      <c r="C510" s="27"/>
      <c r="D510" s="27"/>
      <c r="E510" s="27"/>
      <c r="F510" s="39"/>
      <c r="G510" s="28"/>
      <c r="H510" s="28"/>
      <c r="I510" s="39"/>
      <c r="J510" s="39"/>
      <c r="K510" s="71"/>
      <c r="L510" s="28"/>
      <c r="M510" s="27"/>
    </row>
    <row r="511" customFormat="false" ht="15" hidden="false" customHeight="false" outlineLevel="0" collapsed="false">
      <c r="A511" s="29"/>
      <c r="B511" s="40" t="n">
        <f aca="false">IF($A511="",0,INT(($A511-Macrociclo!$C$11)/7)+1)</f>
        <v>0</v>
      </c>
      <c r="C511" s="27"/>
      <c r="D511" s="27"/>
      <c r="E511" s="27"/>
      <c r="F511" s="39"/>
      <c r="G511" s="28"/>
      <c r="H511" s="28"/>
      <c r="I511" s="39"/>
      <c r="J511" s="39"/>
      <c r="K511" s="71"/>
      <c r="L511" s="28"/>
      <c r="M511" s="27"/>
    </row>
    <row r="512" customFormat="false" ht="15" hidden="false" customHeight="false" outlineLevel="0" collapsed="false">
      <c r="A512" s="29"/>
      <c r="B512" s="40" t="n">
        <f aca="false">IF($A512="",0,INT(($A512-Macrociclo!$C$11)/7)+1)</f>
        <v>0</v>
      </c>
      <c r="C512" s="27"/>
      <c r="D512" s="27"/>
      <c r="E512" s="27"/>
      <c r="F512" s="39"/>
      <c r="G512" s="28"/>
      <c r="H512" s="28"/>
      <c r="I512" s="39"/>
      <c r="J512" s="39"/>
      <c r="K512" s="71"/>
      <c r="L512" s="28"/>
      <c r="M512" s="27"/>
    </row>
    <row r="513" customFormat="false" ht="15" hidden="false" customHeight="false" outlineLevel="0" collapsed="false">
      <c r="A513" s="29"/>
      <c r="B513" s="40" t="n">
        <f aca="false">IF($A513="",0,INT(($A513-Macrociclo!$C$11)/7)+1)</f>
        <v>0</v>
      </c>
      <c r="C513" s="27"/>
      <c r="D513" s="27"/>
      <c r="E513" s="27"/>
      <c r="F513" s="39"/>
      <c r="G513" s="28"/>
      <c r="H513" s="28"/>
      <c r="I513" s="39"/>
      <c r="J513" s="39"/>
      <c r="K513" s="71"/>
      <c r="L513" s="28"/>
      <c r="M513" s="27"/>
    </row>
    <row r="514" customFormat="false" ht="15" hidden="false" customHeight="false" outlineLevel="0" collapsed="false">
      <c r="A514" s="29"/>
      <c r="B514" s="40" t="n">
        <f aca="false">IF($A514="",0,INT(($A514-Macrociclo!$C$11)/7)+1)</f>
        <v>0</v>
      </c>
      <c r="C514" s="27"/>
      <c r="D514" s="27"/>
      <c r="E514" s="27"/>
      <c r="F514" s="39"/>
      <c r="G514" s="28"/>
      <c r="H514" s="28"/>
      <c r="I514" s="39"/>
      <c r="J514" s="39"/>
      <c r="K514" s="71"/>
      <c r="L514" s="28"/>
      <c r="M514" s="27"/>
    </row>
    <row r="515" customFormat="false" ht="15" hidden="false" customHeight="false" outlineLevel="0" collapsed="false">
      <c r="A515" s="29"/>
      <c r="B515" s="40" t="n">
        <f aca="false">IF($A515="",0,INT(($A515-Macrociclo!$C$11)/7)+1)</f>
        <v>0</v>
      </c>
      <c r="C515" s="27"/>
      <c r="D515" s="27"/>
      <c r="E515" s="27"/>
      <c r="F515" s="39"/>
      <c r="G515" s="28"/>
      <c r="H515" s="28"/>
      <c r="I515" s="39"/>
      <c r="J515" s="39"/>
      <c r="K515" s="71"/>
      <c r="L515" s="28"/>
      <c r="M515" s="27"/>
    </row>
    <row r="516" customFormat="false" ht="15" hidden="false" customHeight="false" outlineLevel="0" collapsed="false">
      <c r="A516" s="29"/>
      <c r="B516" s="40" t="n">
        <f aca="false">IF($A516="",0,INT(($A516-Macrociclo!$C$11)/7)+1)</f>
        <v>0</v>
      </c>
      <c r="C516" s="27"/>
      <c r="D516" s="27"/>
      <c r="E516" s="27"/>
      <c r="F516" s="39"/>
      <c r="G516" s="28"/>
      <c r="H516" s="28"/>
      <c r="I516" s="39"/>
      <c r="J516" s="39"/>
      <c r="K516" s="71"/>
      <c r="L516" s="28"/>
      <c r="M516" s="27"/>
    </row>
    <row r="517" customFormat="false" ht="15" hidden="false" customHeight="false" outlineLevel="0" collapsed="false">
      <c r="A517" s="29"/>
      <c r="B517" s="40" t="n">
        <f aca="false">IF($A517="",0,INT(($A517-Macrociclo!$C$11)/7)+1)</f>
        <v>0</v>
      </c>
      <c r="C517" s="27"/>
      <c r="D517" s="27"/>
      <c r="E517" s="27"/>
      <c r="F517" s="39"/>
      <c r="G517" s="28"/>
      <c r="H517" s="28"/>
      <c r="I517" s="39"/>
      <c r="J517" s="39"/>
      <c r="K517" s="71"/>
      <c r="L517" s="28"/>
      <c r="M517" s="27"/>
    </row>
    <row r="518" customFormat="false" ht="15" hidden="false" customHeight="false" outlineLevel="0" collapsed="false">
      <c r="A518" s="29"/>
      <c r="B518" s="40" t="n">
        <f aca="false">IF($A518="",0,INT(($A518-Macrociclo!$C$11)/7)+1)</f>
        <v>0</v>
      </c>
      <c r="C518" s="27"/>
      <c r="D518" s="27"/>
      <c r="E518" s="27"/>
      <c r="F518" s="39"/>
      <c r="G518" s="28"/>
      <c r="H518" s="28"/>
      <c r="I518" s="39"/>
      <c r="J518" s="39"/>
      <c r="K518" s="71"/>
      <c r="L518" s="28"/>
      <c r="M518" s="27"/>
    </row>
    <row r="519" customFormat="false" ht="15" hidden="false" customHeight="false" outlineLevel="0" collapsed="false">
      <c r="A519" s="29"/>
      <c r="B519" s="40" t="n">
        <f aca="false">IF($A519="",0,INT(($A519-Macrociclo!$C$11)/7)+1)</f>
        <v>0</v>
      </c>
      <c r="C519" s="27"/>
      <c r="D519" s="27"/>
      <c r="E519" s="27"/>
      <c r="F519" s="39"/>
      <c r="G519" s="28"/>
      <c r="H519" s="28"/>
      <c r="I519" s="39"/>
      <c r="J519" s="39"/>
      <c r="K519" s="71"/>
      <c r="L519" s="28"/>
      <c r="M519" s="27"/>
    </row>
    <row r="520" customFormat="false" ht="15" hidden="false" customHeight="false" outlineLevel="0" collapsed="false">
      <c r="A520" s="29"/>
      <c r="B520" s="40" t="n">
        <f aca="false">IF($A520="",0,INT(($A520-Macrociclo!$C$11)/7)+1)</f>
        <v>0</v>
      </c>
      <c r="C520" s="27"/>
      <c r="D520" s="27"/>
      <c r="E520" s="27"/>
      <c r="F520" s="39"/>
      <c r="G520" s="28"/>
      <c r="H520" s="28"/>
      <c r="I520" s="39"/>
      <c r="J520" s="39"/>
      <c r="K520" s="71"/>
      <c r="L520" s="28"/>
      <c r="M520" s="27"/>
    </row>
    <row r="521" customFormat="false" ht="15" hidden="false" customHeight="false" outlineLevel="0" collapsed="false">
      <c r="A521" s="29"/>
      <c r="B521" s="40" t="n">
        <f aca="false">IF($A521="",0,INT(($A521-Macrociclo!$C$11)/7)+1)</f>
        <v>0</v>
      </c>
      <c r="C521" s="27"/>
      <c r="D521" s="27"/>
      <c r="E521" s="27"/>
      <c r="F521" s="39"/>
      <c r="G521" s="28"/>
      <c r="H521" s="28"/>
      <c r="I521" s="39"/>
      <c r="J521" s="39"/>
      <c r="K521" s="71"/>
      <c r="L521" s="28"/>
      <c r="M521" s="27"/>
    </row>
    <row r="522" customFormat="false" ht="15" hidden="false" customHeight="false" outlineLevel="0" collapsed="false">
      <c r="A522" s="29"/>
      <c r="B522" s="40" t="n">
        <f aca="false">IF($A522="",0,INT(($A522-Macrociclo!$C$11)/7)+1)</f>
        <v>0</v>
      </c>
      <c r="C522" s="27"/>
      <c r="D522" s="27"/>
      <c r="E522" s="27"/>
      <c r="F522" s="39"/>
      <c r="G522" s="28"/>
      <c r="H522" s="28"/>
      <c r="I522" s="39"/>
      <c r="J522" s="39"/>
      <c r="K522" s="71"/>
      <c r="L522" s="28"/>
      <c r="M522" s="27"/>
    </row>
    <row r="523" customFormat="false" ht="15" hidden="false" customHeight="false" outlineLevel="0" collapsed="false">
      <c r="A523" s="29"/>
      <c r="B523" s="40" t="n">
        <f aca="false">IF($A523="",0,INT(($A523-Macrociclo!$C$11)/7)+1)</f>
        <v>0</v>
      </c>
      <c r="C523" s="27"/>
      <c r="D523" s="27"/>
      <c r="E523" s="27"/>
      <c r="F523" s="39"/>
      <c r="G523" s="28"/>
      <c r="H523" s="28"/>
      <c r="I523" s="39"/>
      <c r="J523" s="39"/>
      <c r="K523" s="71"/>
      <c r="L523" s="28"/>
      <c r="M523" s="27"/>
    </row>
    <row r="524" customFormat="false" ht="15" hidden="false" customHeight="false" outlineLevel="0" collapsed="false">
      <c r="A524" s="29"/>
      <c r="B524" s="40" t="n">
        <f aca="false">IF($A524="",0,INT(($A524-Macrociclo!$C$11)/7)+1)</f>
        <v>0</v>
      </c>
      <c r="C524" s="27"/>
      <c r="D524" s="27"/>
      <c r="E524" s="27"/>
      <c r="F524" s="39"/>
      <c r="G524" s="28"/>
      <c r="H524" s="28"/>
      <c r="I524" s="39"/>
      <c r="J524" s="39"/>
      <c r="K524" s="71"/>
      <c r="L524" s="28"/>
      <c r="M524" s="27"/>
    </row>
    <row r="525" customFormat="false" ht="15" hidden="false" customHeight="false" outlineLevel="0" collapsed="false">
      <c r="A525" s="29"/>
      <c r="B525" s="40" t="n">
        <f aca="false">IF($A525="",0,INT(($A525-Macrociclo!$C$11)/7)+1)</f>
        <v>0</v>
      </c>
      <c r="C525" s="27"/>
      <c r="D525" s="27"/>
      <c r="E525" s="27"/>
      <c r="F525" s="39"/>
      <c r="G525" s="28"/>
      <c r="H525" s="28"/>
      <c r="I525" s="39"/>
      <c r="J525" s="39"/>
      <c r="K525" s="71"/>
      <c r="L525" s="28"/>
      <c r="M525" s="27"/>
    </row>
    <row r="526" customFormat="false" ht="15" hidden="false" customHeight="false" outlineLevel="0" collapsed="false">
      <c r="A526" s="29"/>
      <c r="B526" s="40" t="n">
        <f aca="false">IF($A526="",0,INT(($A526-Macrociclo!$C$11)/7)+1)</f>
        <v>0</v>
      </c>
      <c r="C526" s="27"/>
      <c r="D526" s="27"/>
      <c r="E526" s="27"/>
      <c r="F526" s="39"/>
      <c r="G526" s="28"/>
      <c r="H526" s="28"/>
      <c r="I526" s="39"/>
      <c r="J526" s="39"/>
      <c r="K526" s="71"/>
      <c r="L526" s="28"/>
      <c r="M526" s="27"/>
    </row>
    <row r="527" customFormat="false" ht="15" hidden="false" customHeight="false" outlineLevel="0" collapsed="false">
      <c r="A527" s="29"/>
      <c r="B527" s="40" t="n">
        <f aca="false">IF($A527="",0,INT(($A527-Macrociclo!$C$11)/7)+1)</f>
        <v>0</v>
      </c>
      <c r="C527" s="27"/>
      <c r="D527" s="27"/>
      <c r="E527" s="27"/>
      <c r="F527" s="39"/>
      <c r="G527" s="28"/>
      <c r="H527" s="28"/>
      <c r="I527" s="39"/>
      <c r="J527" s="39"/>
      <c r="K527" s="71"/>
      <c r="L527" s="28"/>
      <c r="M527" s="27"/>
    </row>
    <row r="528" customFormat="false" ht="15" hidden="false" customHeight="false" outlineLevel="0" collapsed="false">
      <c r="A528" s="29"/>
      <c r="B528" s="40" t="n">
        <f aca="false">IF($A528="",0,INT(($A528-Macrociclo!$C$11)/7)+1)</f>
        <v>0</v>
      </c>
      <c r="C528" s="27"/>
      <c r="D528" s="27"/>
      <c r="E528" s="27"/>
      <c r="F528" s="39"/>
      <c r="G528" s="28"/>
      <c r="H528" s="28"/>
      <c r="I528" s="39"/>
      <c r="J528" s="39"/>
      <c r="K528" s="71"/>
      <c r="L528" s="28"/>
      <c r="M528" s="27"/>
    </row>
    <row r="529" customFormat="false" ht="15" hidden="false" customHeight="false" outlineLevel="0" collapsed="false">
      <c r="A529" s="29"/>
      <c r="B529" s="40" t="n">
        <f aca="false">IF($A529="",0,INT(($A529-Macrociclo!$C$11)/7)+1)</f>
        <v>0</v>
      </c>
      <c r="C529" s="27"/>
      <c r="D529" s="27"/>
      <c r="E529" s="27"/>
      <c r="F529" s="39"/>
      <c r="G529" s="28"/>
      <c r="H529" s="28"/>
      <c r="I529" s="39"/>
      <c r="J529" s="39"/>
      <c r="K529" s="71"/>
      <c r="L529" s="28"/>
      <c r="M529" s="27"/>
    </row>
    <row r="530" customFormat="false" ht="15" hidden="false" customHeight="false" outlineLevel="0" collapsed="false">
      <c r="A530" s="29"/>
      <c r="B530" s="40" t="n">
        <f aca="false">IF($A530="",0,INT(($A530-Macrociclo!$C$11)/7)+1)</f>
        <v>0</v>
      </c>
      <c r="C530" s="27"/>
      <c r="D530" s="27"/>
      <c r="E530" s="27"/>
      <c r="F530" s="39"/>
      <c r="G530" s="28"/>
      <c r="H530" s="28"/>
      <c r="I530" s="39"/>
      <c r="J530" s="39"/>
      <c r="K530" s="71"/>
      <c r="L530" s="28"/>
      <c r="M530" s="27"/>
    </row>
    <row r="531" customFormat="false" ht="15" hidden="false" customHeight="false" outlineLevel="0" collapsed="false">
      <c r="A531" s="29"/>
      <c r="B531" s="40" t="n">
        <f aca="false">IF($A531="",0,INT(($A531-Macrociclo!$C$11)/7)+1)</f>
        <v>0</v>
      </c>
      <c r="C531" s="27"/>
      <c r="D531" s="27"/>
      <c r="E531" s="27"/>
      <c r="F531" s="39"/>
      <c r="G531" s="28"/>
      <c r="H531" s="28"/>
      <c r="I531" s="39"/>
      <c r="J531" s="39"/>
      <c r="K531" s="71"/>
      <c r="L531" s="28"/>
      <c r="M531" s="27"/>
    </row>
    <row r="532" customFormat="false" ht="15" hidden="false" customHeight="false" outlineLevel="0" collapsed="false">
      <c r="A532" s="29"/>
      <c r="B532" s="40" t="n">
        <f aca="false">IF($A532="",0,INT(($A532-Macrociclo!$C$11)/7)+1)</f>
        <v>0</v>
      </c>
      <c r="C532" s="27"/>
      <c r="D532" s="27"/>
      <c r="E532" s="27"/>
      <c r="F532" s="39"/>
      <c r="G532" s="28"/>
      <c r="H532" s="28"/>
      <c r="I532" s="39"/>
      <c r="J532" s="39"/>
      <c r="K532" s="71"/>
      <c r="L532" s="28"/>
      <c r="M532" s="27"/>
    </row>
    <row r="533" customFormat="false" ht="15" hidden="false" customHeight="false" outlineLevel="0" collapsed="false">
      <c r="A533" s="29"/>
      <c r="B533" s="40" t="n">
        <f aca="false">IF($A533="",0,INT(($A533-Macrociclo!$C$11)/7)+1)</f>
        <v>0</v>
      </c>
      <c r="C533" s="27"/>
      <c r="D533" s="27"/>
      <c r="E533" s="27"/>
      <c r="F533" s="39"/>
      <c r="G533" s="28"/>
      <c r="H533" s="28"/>
      <c r="I533" s="39"/>
      <c r="J533" s="39"/>
      <c r="K533" s="71"/>
      <c r="L533" s="28"/>
      <c r="M533" s="27"/>
    </row>
    <row r="534" customFormat="false" ht="15" hidden="false" customHeight="false" outlineLevel="0" collapsed="false">
      <c r="A534" s="29"/>
      <c r="B534" s="40" t="n">
        <f aca="false">IF($A534="",0,INT(($A534-Macrociclo!$C$11)/7)+1)</f>
        <v>0</v>
      </c>
      <c r="C534" s="27"/>
      <c r="D534" s="27"/>
      <c r="E534" s="27"/>
      <c r="F534" s="39"/>
      <c r="G534" s="28"/>
      <c r="H534" s="28"/>
      <c r="I534" s="39"/>
      <c r="J534" s="39"/>
      <c r="K534" s="71"/>
      <c r="L534" s="28"/>
      <c r="M534" s="27"/>
    </row>
    <row r="535" customFormat="false" ht="15" hidden="false" customHeight="false" outlineLevel="0" collapsed="false">
      <c r="A535" s="29"/>
      <c r="B535" s="40" t="n">
        <f aca="false">IF($A535="",0,INT(($A535-Macrociclo!$C$11)/7)+1)</f>
        <v>0</v>
      </c>
      <c r="C535" s="27"/>
      <c r="D535" s="27"/>
      <c r="E535" s="27"/>
      <c r="F535" s="39"/>
      <c r="G535" s="28"/>
      <c r="H535" s="28"/>
      <c r="I535" s="39"/>
      <c r="J535" s="39"/>
      <c r="K535" s="71"/>
      <c r="L535" s="28"/>
      <c r="M535" s="27"/>
    </row>
    <row r="536" customFormat="false" ht="15" hidden="false" customHeight="false" outlineLevel="0" collapsed="false">
      <c r="A536" s="29"/>
      <c r="B536" s="40" t="n">
        <f aca="false">IF($A536="",0,INT(($A536-Macrociclo!$C$11)/7)+1)</f>
        <v>0</v>
      </c>
      <c r="C536" s="27"/>
      <c r="D536" s="27"/>
      <c r="E536" s="27"/>
      <c r="F536" s="39"/>
      <c r="G536" s="28"/>
      <c r="H536" s="28"/>
      <c r="I536" s="39"/>
      <c r="J536" s="39"/>
      <c r="K536" s="71"/>
      <c r="L536" s="28"/>
      <c r="M536" s="27"/>
    </row>
    <row r="537" customFormat="false" ht="15" hidden="false" customHeight="false" outlineLevel="0" collapsed="false">
      <c r="A537" s="29"/>
      <c r="B537" s="40" t="n">
        <f aca="false">IF($A537="",0,INT(($A537-Macrociclo!$C$11)/7)+1)</f>
        <v>0</v>
      </c>
      <c r="C537" s="27"/>
      <c r="D537" s="27"/>
      <c r="E537" s="27"/>
      <c r="F537" s="39"/>
      <c r="G537" s="28"/>
      <c r="H537" s="28"/>
      <c r="I537" s="39"/>
      <c r="J537" s="39"/>
      <c r="K537" s="71"/>
      <c r="L537" s="28"/>
      <c r="M537" s="27"/>
    </row>
    <row r="538" customFormat="false" ht="15" hidden="false" customHeight="false" outlineLevel="0" collapsed="false">
      <c r="A538" s="29"/>
      <c r="B538" s="40" t="n">
        <f aca="false">IF($A538="",0,INT(($A538-Macrociclo!$C$11)/7)+1)</f>
        <v>0</v>
      </c>
      <c r="C538" s="27"/>
      <c r="D538" s="27"/>
      <c r="E538" s="27"/>
      <c r="F538" s="39"/>
      <c r="G538" s="28"/>
      <c r="H538" s="28"/>
      <c r="I538" s="39"/>
      <c r="J538" s="39"/>
      <c r="K538" s="71"/>
      <c r="L538" s="28"/>
      <c r="M538" s="27"/>
    </row>
    <row r="539" customFormat="false" ht="15" hidden="false" customHeight="false" outlineLevel="0" collapsed="false">
      <c r="A539" s="29"/>
      <c r="B539" s="40" t="n">
        <f aca="false">IF($A539="",0,INT(($A539-Macrociclo!$C$11)/7)+1)</f>
        <v>0</v>
      </c>
      <c r="C539" s="27"/>
      <c r="D539" s="27"/>
      <c r="E539" s="27"/>
      <c r="F539" s="39"/>
      <c r="G539" s="28"/>
      <c r="H539" s="28"/>
      <c r="I539" s="39"/>
      <c r="J539" s="39"/>
      <c r="K539" s="71"/>
      <c r="L539" s="28"/>
      <c r="M539" s="27"/>
    </row>
    <row r="540" customFormat="false" ht="15" hidden="false" customHeight="false" outlineLevel="0" collapsed="false">
      <c r="A540" s="29"/>
      <c r="B540" s="40" t="n">
        <f aca="false">IF($A540="",0,INT(($A540-Macrociclo!$C$11)/7)+1)</f>
        <v>0</v>
      </c>
      <c r="C540" s="27"/>
      <c r="D540" s="27"/>
      <c r="E540" s="27"/>
      <c r="F540" s="39"/>
      <c r="G540" s="28"/>
      <c r="H540" s="28"/>
      <c r="I540" s="39"/>
      <c r="J540" s="39"/>
      <c r="K540" s="71"/>
      <c r="L540" s="28"/>
      <c r="M540" s="27"/>
    </row>
    <row r="541" customFormat="false" ht="15" hidden="false" customHeight="false" outlineLevel="0" collapsed="false">
      <c r="A541" s="29"/>
      <c r="B541" s="40" t="n">
        <f aca="false">IF($A541="",0,INT(($A541-Macrociclo!$C$11)/7)+1)</f>
        <v>0</v>
      </c>
      <c r="C541" s="27"/>
      <c r="D541" s="27"/>
      <c r="E541" s="27"/>
      <c r="F541" s="39"/>
      <c r="G541" s="28"/>
      <c r="H541" s="28"/>
      <c r="I541" s="39"/>
      <c r="J541" s="39"/>
      <c r="K541" s="71"/>
      <c r="L541" s="28"/>
      <c r="M541" s="27"/>
    </row>
    <row r="542" customFormat="false" ht="15" hidden="false" customHeight="false" outlineLevel="0" collapsed="false">
      <c r="A542" s="29"/>
      <c r="B542" s="40" t="n">
        <f aca="false">IF($A542="",0,INT(($A542-Macrociclo!$C$11)/7)+1)</f>
        <v>0</v>
      </c>
      <c r="C542" s="27"/>
      <c r="D542" s="27"/>
      <c r="E542" s="27"/>
      <c r="F542" s="39"/>
      <c r="G542" s="28"/>
      <c r="H542" s="28"/>
      <c r="I542" s="39"/>
      <c r="J542" s="39"/>
      <c r="K542" s="71"/>
      <c r="L542" s="28"/>
      <c r="M542" s="27"/>
    </row>
    <row r="543" customFormat="false" ht="15" hidden="false" customHeight="false" outlineLevel="0" collapsed="false">
      <c r="A543" s="29"/>
      <c r="B543" s="40" t="n">
        <f aca="false">IF($A543="",0,INT(($A543-Macrociclo!$C$11)/7)+1)</f>
        <v>0</v>
      </c>
      <c r="C543" s="27"/>
      <c r="D543" s="27"/>
      <c r="E543" s="27"/>
      <c r="F543" s="39"/>
      <c r="G543" s="28"/>
      <c r="H543" s="28"/>
      <c r="I543" s="39"/>
      <c r="J543" s="39"/>
      <c r="K543" s="71"/>
      <c r="L543" s="28"/>
      <c r="M543" s="27"/>
    </row>
    <row r="544" customFormat="false" ht="15" hidden="false" customHeight="false" outlineLevel="0" collapsed="false">
      <c r="A544" s="29"/>
      <c r="B544" s="40" t="n">
        <f aca="false">IF($A544="",0,INT(($A544-Macrociclo!$C$11)/7)+1)</f>
        <v>0</v>
      </c>
      <c r="C544" s="27"/>
      <c r="D544" s="27"/>
      <c r="E544" s="27"/>
      <c r="F544" s="39"/>
      <c r="G544" s="28"/>
      <c r="H544" s="28"/>
      <c r="I544" s="39"/>
      <c r="J544" s="39"/>
      <c r="K544" s="71"/>
      <c r="L544" s="28"/>
      <c r="M544" s="27"/>
    </row>
    <row r="545" customFormat="false" ht="15" hidden="false" customHeight="false" outlineLevel="0" collapsed="false">
      <c r="A545" s="29"/>
      <c r="B545" s="40" t="n">
        <f aca="false">IF($A545="",0,INT(($A545-Macrociclo!$C$11)/7)+1)</f>
        <v>0</v>
      </c>
      <c r="C545" s="27"/>
      <c r="D545" s="27"/>
      <c r="E545" s="27"/>
      <c r="F545" s="39"/>
      <c r="G545" s="28"/>
      <c r="H545" s="28"/>
      <c r="I545" s="39"/>
      <c r="J545" s="39"/>
      <c r="K545" s="71"/>
      <c r="L545" s="28"/>
      <c r="M545" s="27"/>
    </row>
    <row r="546" customFormat="false" ht="15" hidden="false" customHeight="false" outlineLevel="0" collapsed="false">
      <c r="A546" s="29"/>
      <c r="B546" s="40" t="n">
        <f aca="false">IF($A546="",0,INT(($A546-Macrociclo!$C$11)/7)+1)</f>
        <v>0</v>
      </c>
      <c r="C546" s="27"/>
      <c r="D546" s="27"/>
      <c r="E546" s="27"/>
      <c r="F546" s="39"/>
      <c r="G546" s="28"/>
      <c r="H546" s="28"/>
      <c r="I546" s="39"/>
      <c r="J546" s="39"/>
      <c r="K546" s="71"/>
      <c r="L546" s="28"/>
      <c r="M546" s="27"/>
    </row>
    <row r="547" customFormat="false" ht="15" hidden="false" customHeight="false" outlineLevel="0" collapsed="false">
      <c r="A547" s="29"/>
      <c r="B547" s="40" t="n">
        <f aca="false">IF($A547="",0,INT(($A547-Macrociclo!$C$11)/7)+1)</f>
        <v>0</v>
      </c>
      <c r="C547" s="27"/>
      <c r="D547" s="27"/>
      <c r="E547" s="27"/>
      <c r="F547" s="39"/>
      <c r="G547" s="28"/>
      <c r="H547" s="28"/>
      <c r="I547" s="39"/>
      <c r="J547" s="39"/>
      <c r="K547" s="71"/>
      <c r="L547" s="28"/>
      <c r="M547" s="27"/>
    </row>
    <row r="548" customFormat="false" ht="15" hidden="false" customHeight="false" outlineLevel="0" collapsed="false">
      <c r="A548" s="29"/>
      <c r="B548" s="40" t="n">
        <f aca="false">IF($A548="",0,INT(($A548-Macrociclo!$C$11)/7)+1)</f>
        <v>0</v>
      </c>
      <c r="C548" s="27"/>
      <c r="D548" s="27"/>
      <c r="E548" s="27"/>
      <c r="F548" s="39"/>
      <c r="G548" s="28"/>
      <c r="H548" s="28"/>
      <c r="I548" s="39"/>
      <c r="J548" s="39"/>
      <c r="K548" s="71"/>
      <c r="L548" s="28"/>
      <c r="M548" s="27"/>
    </row>
    <row r="549" customFormat="false" ht="15" hidden="false" customHeight="false" outlineLevel="0" collapsed="false">
      <c r="A549" s="29"/>
      <c r="B549" s="40" t="n">
        <f aca="false">IF($A549="",0,INT(($A549-Macrociclo!$C$11)/7)+1)</f>
        <v>0</v>
      </c>
      <c r="C549" s="27"/>
      <c r="D549" s="27"/>
      <c r="E549" s="27"/>
      <c r="F549" s="39"/>
      <c r="G549" s="28"/>
      <c r="H549" s="28"/>
      <c r="I549" s="39"/>
      <c r="J549" s="39"/>
      <c r="K549" s="71"/>
      <c r="L549" s="28"/>
      <c r="M549" s="27"/>
    </row>
    <row r="550" customFormat="false" ht="15" hidden="false" customHeight="false" outlineLevel="0" collapsed="false">
      <c r="A550" s="29"/>
      <c r="B550" s="40" t="n">
        <f aca="false">IF($A550="",0,INT(($A550-Macrociclo!$C$11)/7)+1)</f>
        <v>0</v>
      </c>
      <c r="C550" s="27"/>
      <c r="D550" s="27"/>
      <c r="E550" s="27"/>
      <c r="F550" s="39"/>
      <c r="G550" s="28"/>
      <c r="H550" s="28"/>
      <c r="I550" s="39"/>
      <c r="J550" s="39"/>
      <c r="K550" s="71"/>
      <c r="L550" s="28"/>
      <c r="M550" s="27"/>
    </row>
    <row r="551" customFormat="false" ht="15" hidden="false" customHeight="false" outlineLevel="0" collapsed="false">
      <c r="A551" s="29"/>
      <c r="B551" s="40" t="n">
        <f aca="false">IF($A551="",0,INT(($A551-Macrociclo!$C$11)/7)+1)</f>
        <v>0</v>
      </c>
      <c r="C551" s="27"/>
      <c r="D551" s="27"/>
      <c r="E551" s="27"/>
      <c r="F551" s="39"/>
      <c r="G551" s="28"/>
      <c r="H551" s="28"/>
      <c r="I551" s="39"/>
      <c r="J551" s="39"/>
      <c r="K551" s="71"/>
      <c r="L551" s="28"/>
      <c r="M551" s="27"/>
    </row>
    <row r="552" customFormat="false" ht="15" hidden="false" customHeight="false" outlineLevel="0" collapsed="false">
      <c r="A552" s="29"/>
      <c r="B552" s="40" t="n">
        <f aca="false">IF($A552="",0,INT(($A552-Macrociclo!$C$11)/7)+1)</f>
        <v>0</v>
      </c>
      <c r="C552" s="27"/>
      <c r="D552" s="27"/>
      <c r="E552" s="27"/>
      <c r="F552" s="39"/>
      <c r="G552" s="28"/>
      <c r="H552" s="28"/>
      <c r="I552" s="39"/>
      <c r="J552" s="39"/>
      <c r="K552" s="71"/>
      <c r="L552" s="28"/>
      <c r="M552" s="27"/>
    </row>
    <row r="553" customFormat="false" ht="15" hidden="false" customHeight="false" outlineLevel="0" collapsed="false">
      <c r="A553" s="29"/>
      <c r="B553" s="40" t="n">
        <f aca="false">IF($A553="",0,INT(($A553-Macrociclo!$C$11)/7)+1)</f>
        <v>0</v>
      </c>
      <c r="C553" s="27"/>
      <c r="D553" s="27"/>
      <c r="E553" s="27"/>
      <c r="F553" s="39"/>
      <c r="G553" s="28"/>
      <c r="H553" s="28"/>
      <c r="I553" s="39"/>
      <c r="J553" s="39"/>
      <c r="K553" s="71"/>
      <c r="L553" s="28"/>
      <c r="M553" s="27"/>
    </row>
    <row r="554" customFormat="false" ht="15" hidden="false" customHeight="false" outlineLevel="0" collapsed="false">
      <c r="A554" s="29"/>
      <c r="B554" s="40" t="n">
        <f aca="false">IF($A554="",0,INT(($A554-Macrociclo!$C$11)/7)+1)</f>
        <v>0</v>
      </c>
      <c r="C554" s="27"/>
      <c r="D554" s="27"/>
      <c r="E554" s="27"/>
      <c r="F554" s="39"/>
      <c r="G554" s="28"/>
      <c r="H554" s="28"/>
      <c r="I554" s="39"/>
      <c r="J554" s="39"/>
      <c r="K554" s="71"/>
      <c r="L554" s="28"/>
      <c r="M554" s="27"/>
    </row>
    <row r="555" customFormat="false" ht="15" hidden="false" customHeight="false" outlineLevel="0" collapsed="false">
      <c r="A555" s="29"/>
      <c r="B555" s="40" t="n">
        <f aca="false">IF($A555="",0,INT(($A555-Macrociclo!$C$11)/7)+1)</f>
        <v>0</v>
      </c>
      <c r="C555" s="27"/>
      <c r="D555" s="27"/>
      <c r="E555" s="27"/>
      <c r="F555" s="39"/>
      <c r="G555" s="28"/>
      <c r="H555" s="28"/>
      <c r="I555" s="39"/>
      <c r="J555" s="39"/>
      <c r="K555" s="71"/>
      <c r="L555" s="28"/>
      <c r="M555" s="27"/>
    </row>
    <row r="556" customFormat="false" ht="15" hidden="false" customHeight="false" outlineLevel="0" collapsed="false">
      <c r="A556" s="29"/>
      <c r="B556" s="40" t="n">
        <f aca="false">IF($A556="",0,INT(($A556-Macrociclo!$C$11)/7)+1)</f>
        <v>0</v>
      </c>
      <c r="C556" s="27"/>
      <c r="D556" s="27"/>
      <c r="E556" s="27"/>
      <c r="F556" s="39"/>
      <c r="G556" s="28"/>
      <c r="H556" s="28"/>
      <c r="I556" s="39"/>
      <c r="J556" s="39"/>
      <c r="K556" s="71"/>
      <c r="L556" s="28"/>
      <c r="M556" s="27"/>
    </row>
    <row r="557" customFormat="false" ht="15" hidden="false" customHeight="false" outlineLevel="0" collapsed="false">
      <c r="A557" s="29"/>
      <c r="B557" s="40" t="n">
        <f aca="false">IF($A557="",0,INT(($A557-Macrociclo!$C$11)/7)+1)</f>
        <v>0</v>
      </c>
      <c r="C557" s="27"/>
      <c r="D557" s="27"/>
      <c r="E557" s="27"/>
      <c r="F557" s="39"/>
      <c r="G557" s="28"/>
      <c r="H557" s="28"/>
      <c r="I557" s="39"/>
      <c r="J557" s="39"/>
      <c r="K557" s="71"/>
      <c r="L557" s="28"/>
      <c r="M557" s="27"/>
    </row>
    <row r="558" customFormat="false" ht="15" hidden="false" customHeight="false" outlineLevel="0" collapsed="false">
      <c r="A558" s="29"/>
      <c r="B558" s="40" t="n">
        <f aca="false">IF($A558="",0,INT(($A558-Macrociclo!$C$11)/7)+1)</f>
        <v>0</v>
      </c>
      <c r="C558" s="27"/>
      <c r="D558" s="27"/>
      <c r="E558" s="27"/>
      <c r="F558" s="39"/>
      <c r="G558" s="28"/>
      <c r="H558" s="28"/>
      <c r="I558" s="39"/>
      <c r="J558" s="39"/>
      <c r="K558" s="71"/>
      <c r="L558" s="28"/>
      <c r="M558" s="27"/>
    </row>
    <row r="559" customFormat="false" ht="15" hidden="false" customHeight="false" outlineLevel="0" collapsed="false">
      <c r="A559" s="29"/>
      <c r="B559" s="40" t="n">
        <f aca="false">IF($A559="",0,INT(($A559-Macrociclo!$C$11)/7)+1)</f>
        <v>0</v>
      </c>
      <c r="C559" s="27"/>
      <c r="D559" s="27"/>
      <c r="E559" s="27"/>
      <c r="F559" s="39"/>
      <c r="G559" s="28"/>
      <c r="H559" s="28"/>
      <c r="I559" s="39"/>
      <c r="J559" s="39"/>
      <c r="K559" s="71"/>
      <c r="L559" s="28"/>
      <c r="M559" s="27"/>
    </row>
    <row r="560" customFormat="false" ht="15" hidden="false" customHeight="false" outlineLevel="0" collapsed="false">
      <c r="A560" s="29"/>
      <c r="B560" s="40" t="n">
        <f aca="false">IF($A560="",0,INT(($A560-Macrociclo!$C$11)/7)+1)</f>
        <v>0</v>
      </c>
      <c r="C560" s="27"/>
      <c r="D560" s="27"/>
      <c r="E560" s="27"/>
      <c r="F560" s="39"/>
      <c r="G560" s="28"/>
      <c r="H560" s="28"/>
      <c r="I560" s="39"/>
      <c r="J560" s="39"/>
      <c r="K560" s="71"/>
      <c r="L560" s="28"/>
      <c r="M560" s="27"/>
    </row>
    <row r="561" customFormat="false" ht="15" hidden="false" customHeight="false" outlineLevel="0" collapsed="false">
      <c r="A561" s="29"/>
      <c r="B561" s="40" t="n">
        <f aca="false">IF($A561="",0,INT(($A561-Macrociclo!$C$11)/7)+1)</f>
        <v>0</v>
      </c>
      <c r="C561" s="27"/>
      <c r="D561" s="27"/>
      <c r="E561" s="27"/>
      <c r="F561" s="39"/>
      <c r="G561" s="28"/>
      <c r="H561" s="28"/>
      <c r="I561" s="39"/>
      <c r="J561" s="39"/>
      <c r="K561" s="71"/>
      <c r="L561" s="28"/>
      <c r="M561" s="27"/>
    </row>
    <row r="562" customFormat="false" ht="15" hidden="false" customHeight="false" outlineLevel="0" collapsed="false">
      <c r="A562" s="29"/>
      <c r="B562" s="40" t="n">
        <f aca="false">IF($A562="",0,INT(($A562-Macrociclo!$C$11)/7)+1)</f>
        <v>0</v>
      </c>
      <c r="C562" s="27"/>
      <c r="D562" s="27"/>
      <c r="E562" s="27"/>
      <c r="F562" s="39"/>
      <c r="G562" s="28"/>
      <c r="H562" s="28"/>
      <c r="I562" s="39"/>
      <c r="J562" s="39"/>
      <c r="K562" s="71"/>
      <c r="L562" s="28"/>
      <c r="M562" s="27"/>
    </row>
    <row r="563" customFormat="false" ht="15" hidden="false" customHeight="false" outlineLevel="0" collapsed="false">
      <c r="A563" s="29"/>
      <c r="B563" s="40" t="n">
        <f aca="false">IF($A563="",0,INT(($A563-Macrociclo!$C$11)/7)+1)</f>
        <v>0</v>
      </c>
      <c r="C563" s="27"/>
      <c r="D563" s="27"/>
      <c r="E563" s="27"/>
      <c r="F563" s="39"/>
      <c r="G563" s="28"/>
      <c r="H563" s="28"/>
      <c r="I563" s="39"/>
      <c r="J563" s="39"/>
      <c r="K563" s="71"/>
      <c r="L563" s="28"/>
      <c r="M563" s="27"/>
    </row>
    <row r="564" customFormat="false" ht="15" hidden="false" customHeight="false" outlineLevel="0" collapsed="false">
      <c r="A564" s="29"/>
      <c r="B564" s="40" t="n">
        <f aca="false">IF($A564="",0,INT(($A564-Macrociclo!$C$11)/7)+1)</f>
        <v>0</v>
      </c>
      <c r="C564" s="27"/>
      <c r="D564" s="27"/>
      <c r="E564" s="27"/>
      <c r="F564" s="39"/>
      <c r="G564" s="28"/>
      <c r="H564" s="28"/>
      <c r="I564" s="39"/>
      <c r="J564" s="39"/>
      <c r="K564" s="71"/>
      <c r="L564" s="28"/>
      <c r="M564" s="27"/>
    </row>
    <row r="565" customFormat="false" ht="15" hidden="false" customHeight="false" outlineLevel="0" collapsed="false">
      <c r="A565" s="29"/>
      <c r="B565" s="40" t="n">
        <f aca="false">IF($A565="",0,INT(($A565-Macrociclo!$C$11)/7)+1)</f>
        <v>0</v>
      </c>
      <c r="C565" s="27"/>
      <c r="D565" s="27"/>
      <c r="E565" s="27"/>
      <c r="F565" s="39"/>
      <c r="G565" s="28"/>
      <c r="H565" s="28"/>
      <c r="I565" s="39"/>
      <c r="J565" s="39"/>
      <c r="K565" s="71"/>
      <c r="L565" s="28"/>
      <c r="M565" s="27"/>
    </row>
    <row r="566" customFormat="false" ht="15" hidden="false" customHeight="false" outlineLevel="0" collapsed="false">
      <c r="A566" s="29"/>
      <c r="B566" s="40" t="n">
        <f aca="false">IF($A566="",0,INT(($A566-Macrociclo!$C$11)/7)+1)</f>
        <v>0</v>
      </c>
      <c r="C566" s="27"/>
      <c r="D566" s="27"/>
      <c r="E566" s="27"/>
      <c r="F566" s="39"/>
      <c r="G566" s="28"/>
      <c r="H566" s="28"/>
      <c r="I566" s="39"/>
      <c r="J566" s="39"/>
      <c r="K566" s="71"/>
      <c r="L566" s="28"/>
      <c r="M566" s="27"/>
    </row>
    <row r="567" customFormat="false" ht="15" hidden="false" customHeight="false" outlineLevel="0" collapsed="false">
      <c r="A567" s="29"/>
      <c r="B567" s="40" t="n">
        <f aca="false">IF($A567="",0,INT(($A567-Macrociclo!$C$11)/7)+1)</f>
        <v>0</v>
      </c>
      <c r="C567" s="27"/>
      <c r="D567" s="27"/>
      <c r="E567" s="27"/>
      <c r="F567" s="39"/>
      <c r="G567" s="28"/>
      <c r="H567" s="28"/>
      <c r="I567" s="39"/>
      <c r="J567" s="39"/>
      <c r="K567" s="71"/>
      <c r="L567" s="28"/>
      <c r="M567" s="27"/>
    </row>
    <row r="568" customFormat="false" ht="15" hidden="false" customHeight="false" outlineLevel="0" collapsed="false">
      <c r="A568" s="29"/>
      <c r="B568" s="40" t="n">
        <f aca="false">IF($A568="",0,INT(($A568-Macrociclo!$C$11)/7)+1)</f>
        <v>0</v>
      </c>
      <c r="C568" s="27"/>
      <c r="D568" s="27"/>
      <c r="E568" s="27"/>
      <c r="F568" s="39"/>
      <c r="G568" s="28"/>
      <c r="H568" s="28"/>
      <c r="I568" s="39"/>
      <c r="J568" s="39"/>
      <c r="K568" s="71"/>
      <c r="L568" s="28"/>
      <c r="M568" s="27"/>
    </row>
    <row r="569" customFormat="false" ht="15" hidden="false" customHeight="false" outlineLevel="0" collapsed="false">
      <c r="A569" s="29"/>
      <c r="B569" s="40" t="n">
        <f aca="false">IF($A569="",0,INT(($A569-Macrociclo!$C$11)/7)+1)</f>
        <v>0</v>
      </c>
      <c r="C569" s="27"/>
      <c r="D569" s="27"/>
      <c r="E569" s="27"/>
      <c r="F569" s="39"/>
      <c r="G569" s="28"/>
      <c r="H569" s="28"/>
      <c r="I569" s="39"/>
      <c r="J569" s="39"/>
      <c r="K569" s="71"/>
      <c r="L569" s="28"/>
      <c r="M569" s="27"/>
    </row>
    <row r="570" customFormat="false" ht="15" hidden="false" customHeight="false" outlineLevel="0" collapsed="false">
      <c r="A570" s="29"/>
      <c r="B570" s="40" t="n">
        <f aca="false">IF($A570="",0,INT(($A570-Macrociclo!$C$11)/7)+1)</f>
        <v>0</v>
      </c>
      <c r="C570" s="27"/>
      <c r="D570" s="27"/>
      <c r="E570" s="27"/>
      <c r="F570" s="39"/>
      <c r="G570" s="28"/>
      <c r="H570" s="28"/>
      <c r="I570" s="39"/>
      <c r="J570" s="39"/>
      <c r="K570" s="71"/>
      <c r="L570" s="28"/>
      <c r="M570" s="27"/>
    </row>
    <row r="571" customFormat="false" ht="15" hidden="false" customHeight="false" outlineLevel="0" collapsed="false">
      <c r="A571" s="29"/>
      <c r="B571" s="40" t="n">
        <f aca="false">IF($A571="",0,INT(($A571-Macrociclo!$C$11)/7)+1)</f>
        <v>0</v>
      </c>
      <c r="C571" s="27"/>
      <c r="D571" s="27"/>
      <c r="E571" s="27"/>
      <c r="F571" s="39"/>
      <c r="G571" s="28"/>
      <c r="H571" s="28"/>
      <c r="I571" s="39"/>
      <c r="J571" s="39"/>
      <c r="K571" s="71"/>
      <c r="L571" s="28"/>
      <c r="M571" s="27"/>
    </row>
    <row r="572" customFormat="false" ht="15" hidden="false" customHeight="false" outlineLevel="0" collapsed="false">
      <c r="A572" s="29"/>
      <c r="B572" s="40" t="n">
        <f aca="false">IF($A572="",0,INT(($A572-Macrociclo!$C$11)/7)+1)</f>
        <v>0</v>
      </c>
      <c r="C572" s="27"/>
      <c r="D572" s="27"/>
      <c r="E572" s="27"/>
      <c r="F572" s="39"/>
      <c r="G572" s="28"/>
      <c r="H572" s="28"/>
      <c r="I572" s="39"/>
      <c r="J572" s="39"/>
      <c r="K572" s="71"/>
      <c r="L572" s="28"/>
      <c r="M572" s="27"/>
    </row>
    <row r="573" customFormat="false" ht="15" hidden="false" customHeight="false" outlineLevel="0" collapsed="false">
      <c r="A573" s="29"/>
      <c r="B573" s="40" t="n">
        <f aca="false">IF($A573="",0,INT(($A573-Macrociclo!$C$11)/7)+1)</f>
        <v>0</v>
      </c>
      <c r="C573" s="27"/>
      <c r="D573" s="27"/>
      <c r="E573" s="27"/>
      <c r="F573" s="39"/>
      <c r="G573" s="28"/>
      <c r="H573" s="28"/>
      <c r="I573" s="39"/>
      <c r="J573" s="39"/>
      <c r="K573" s="71"/>
      <c r="L573" s="28"/>
      <c r="M573" s="27"/>
    </row>
    <row r="574" customFormat="false" ht="15" hidden="false" customHeight="false" outlineLevel="0" collapsed="false">
      <c r="A574" s="29"/>
      <c r="B574" s="40" t="n">
        <f aca="false">IF($A574="",0,INT(($A574-Macrociclo!$C$11)/7)+1)</f>
        <v>0</v>
      </c>
      <c r="C574" s="27"/>
      <c r="D574" s="27"/>
      <c r="E574" s="27"/>
      <c r="F574" s="39"/>
      <c r="G574" s="28"/>
      <c r="H574" s="28"/>
      <c r="I574" s="39"/>
      <c r="J574" s="39"/>
      <c r="K574" s="71"/>
      <c r="L574" s="28"/>
      <c r="M574" s="27"/>
    </row>
    <row r="575" customFormat="false" ht="15" hidden="false" customHeight="false" outlineLevel="0" collapsed="false">
      <c r="A575" s="29"/>
      <c r="B575" s="40" t="n">
        <f aca="false">IF($A575="",0,INT(($A575-Macrociclo!$C$11)/7)+1)</f>
        <v>0</v>
      </c>
      <c r="C575" s="27"/>
      <c r="D575" s="27"/>
      <c r="E575" s="27"/>
      <c r="F575" s="39"/>
      <c r="G575" s="28"/>
      <c r="H575" s="28"/>
      <c r="I575" s="39"/>
      <c r="J575" s="39"/>
      <c r="K575" s="71"/>
      <c r="L575" s="28"/>
      <c r="M575" s="27"/>
    </row>
    <row r="576" customFormat="false" ht="15" hidden="false" customHeight="false" outlineLevel="0" collapsed="false">
      <c r="A576" s="29"/>
      <c r="B576" s="40" t="n">
        <f aca="false">IF($A576="",0,INT(($A576-Macrociclo!$C$11)/7)+1)</f>
        <v>0</v>
      </c>
      <c r="C576" s="27"/>
      <c r="D576" s="27"/>
      <c r="E576" s="27"/>
      <c r="F576" s="39"/>
      <c r="G576" s="28"/>
      <c r="H576" s="28"/>
      <c r="I576" s="39"/>
      <c r="J576" s="39"/>
      <c r="K576" s="71"/>
      <c r="L576" s="28"/>
      <c r="M576" s="27"/>
    </row>
    <row r="577" customFormat="false" ht="15" hidden="false" customHeight="false" outlineLevel="0" collapsed="false">
      <c r="A577" s="29"/>
      <c r="B577" s="40" t="n">
        <f aca="false">IF($A577="",0,INT(($A577-Macrociclo!$C$11)/7)+1)</f>
        <v>0</v>
      </c>
      <c r="C577" s="27"/>
      <c r="D577" s="27"/>
      <c r="E577" s="27"/>
      <c r="F577" s="39"/>
      <c r="G577" s="28"/>
      <c r="H577" s="28"/>
      <c r="I577" s="39"/>
      <c r="J577" s="39"/>
      <c r="K577" s="71"/>
      <c r="L577" s="28"/>
      <c r="M577" s="27"/>
    </row>
    <row r="578" customFormat="false" ht="15" hidden="false" customHeight="false" outlineLevel="0" collapsed="false">
      <c r="A578" s="29"/>
      <c r="B578" s="40" t="n">
        <f aca="false">IF($A578="",0,INT(($A578-Macrociclo!$C$11)/7)+1)</f>
        <v>0</v>
      </c>
      <c r="C578" s="27"/>
      <c r="D578" s="27"/>
      <c r="E578" s="27"/>
      <c r="F578" s="39"/>
      <c r="G578" s="28"/>
      <c r="H578" s="28"/>
      <c r="I578" s="39"/>
      <c r="J578" s="39"/>
      <c r="K578" s="71"/>
      <c r="L578" s="28"/>
      <c r="M578" s="27"/>
    </row>
    <row r="579" customFormat="false" ht="15" hidden="false" customHeight="false" outlineLevel="0" collapsed="false">
      <c r="A579" s="29"/>
      <c r="B579" s="40" t="n">
        <f aca="false">IF($A579="",0,INT(($A579-Macrociclo!$C$11)/7)+1)</f>
        <v>0</v>
      </c>
      <c r="C579" s="27"/>
      <c r="D579" s="27"/>
      <c r="E579" s="27"/>
      <c r="F579" s="39"/>
      <c r="G579" s="28"/>
      <c r="H579" s="28"/>
      <c r="I579" s="39"/>
      <c r="J579" s="39"/>
      <c r="K579" s="71"/>
      <c r="L579" s="28"/>
      <c r="M579" s="27"/>
    </row>
    <row r="580" customFormat="false" ht="15" hidden="false" customHeight="false" outlineLevel="0" collapsed="false">
      <c r="A580" s="29"/>
      <c r="B580" s="40" t="n">
        <f aca="false">IF($A580="",0,INT(($A580-Macrociclo!$C$11)/7)+1)</f>
        <v>0</v>
      </c>
      <c r="C580" s="27"/>
      <c r="D580" s="27"/>
      <c r="E580" s="27"/>
      <c r="F580" s="39"/>
      <c r="G580" s="28"/>
      <c r="H580" s="28"/>
      <c r="I580" s="39"/>
      <c r="J580" s="39"/>
      <c r="K580" s="71"/>
      <c r="L580" s="28"/>
      <c r="M580" s="27"/>
    </row>
    <row r="581" customFormat="false" ht="15" hidden="false" customHeight="false" outlineLevel="0" collapsed="false">
      <c r="A581" s="29"/>
      <c r="B581" s="40" t="n">
        <f aca="false">IF($A581="",0,INT(($A581-Macrociclo!$C$11)/7)+1)</f>
        <v>0</v>
      </c>
      <c r="C581" s="27"/>
      <c r="D581" s="27"/>
      <c r="E581" s="27"/>
      <c r="F581" s="39"/>
      <c r="G581" s="28"/>
      <c r="H581" s="28"/>
      <c r="I581" s="39"/>
      <c r="J581" s="39"/>
      <c r="K581" s="71"/>
      <c r="L581" s="28"/>
      <c r="M581" s="27"/>
    </row>
    <row r="582" customFormat="false" ht="15" hidden="false" customHeight="false" outlineLevel="0" collapsed="false">
      <c r="A582" s="29"/>
      <c r="B582" s="40" t="n">
        <f aca="false">IF($A582="",0,INT(($A582-Macrociclo!$C$11)/7)+1)</f>
        <v>0</v>
      </c>
      <c r="C582" s="27"/>
      <c r="D582" s="27"/>
      <c r="E582" s="27"/>
      <c r="F582" s="39"/>
      <c r="G582" s="28"/>
      <c r="H582" s="28"/>
      <c r="I582" s="39"/>
      <c r="J582" s="39"/>
      <c r="K582" s="71"/>
      <c r="L582" s="28"/>
      <c r="M582" s="27"/>
    </row>
    <row r="583" customFormat="false" ht="15" hidden="false" customHeight="false" outlineLevel="0" collapsed="false">
      <c r="A583" s="29"/>
      <c r="B583" s="40" t="n">
        <f aca="false">IF($A583="",0,INT(($A583-Macrociclo!$C$11)/7)+1)</f>
        <v>0</v>
      </c>
      <c r="C583" s="27"/>
      <c r="D583" s="27"/>
      <c r="E583" s="27"/>
      <c r="F583" s="39"/>
      <c r="G583" s="28"/>
      <c r="H583" s="28"/>
      <c r="I583" s="39"/>
      <c r="J583" s="39"/>
      <c r="K583" s="71"/>
      <c r="L583" s="28"/>
      <c r="M583" s="27"/>
    </row>
    <row r="584" customFormat="false" ht="15" hidden="false" customHeight="false" outlineLevel="0" collapsed="false">
      <c r="A584" s="29"/>
      <c r="B584" s="40" t="n">
        <f aca="false">IF($A584="",0,INT(($A584-Macrociclo!$C$11)/7)+1)</f>
        <v>0</v>
      </c>
      <c r="C584" s="27"/>
      <c r="D584" s="27"/>
      <c r="E584" s="27"/>
      <c r="F584" s="39"/>
      <c r="G584" s="28"/>
      <c r="H584" s="28"/>
      <c r="I584" s="39"/>
      <c r="J584" s="39"/>
      <c r="K584" s="71"/>
      <c r="L584" s="28"/>
      <c r="M584" s="27"/>
    </row>
    <row r="585" customFormat="false" ht="15" hidden="false" customHeight="false" outlineLevel="0" collapsed="false">
      <c r="A585" s="29"/>
      <c r="B585" s="40" t="n">
        <f aca="false">IF($A585="",0,INT(($A585-Macrociclo!$C$11)/7)+1)</f>
        <v>0</v>
      </c>
      <c r="C585" s="27"/>
      <c r="D585" s="27"/>
      <c r="E585" s="27"/>
      <c r="F585" s="39"/>
      <c r="G585" s="28"/>
      <c r="H585" s="28"/>
      <c r="I585" s="39"/>
      <c r="J585" s="39"/>
      <c r="K585" s="71"/>
      <c r="L585" s="28"/>
      <c r="M585" s="27"/>
    </row>
    <row r="586" customFormat="false" ht="15" hidden="false" customHeight="false" outlineLevel="0" collapsed="false">
      <c r="A586" s="29"/>
      <c r="B586" s="40" t="n">
        <f aca="false">IF($A586="",0,INT(($A586-Macrociclo!$C$11)/7)+1)</f>
        <v>0</v>
      </c>
      <c r="C586" s="27"/>
      <c r="D586" s="27"/>
      <c r="E586" s="27"/>
      <c r="F586" s="39"/>
      <c r="G586" s="28"/>
      <c r="H586" s="28"/>
      <c r="I586" s="39"/>
      <c r="J586" s="39"/>
      <c r="K586" s="71"/>
      <c r="L586" s="28"/>
      <c r="M586" s="27"/>
    </row>
    <row r="587" customFormat="false" ht="15" hidden="false" customHeight="false" outlineLevel="0" collapsed="false">
      <c r="A587" s="29"/>
      <c r="B587" s="40" t="n">
        <f aca="false">IF($A587="",0,INT(($A587-Macrociclo!$C$11)/7)+1)</f>
        <v>0</v>
      </c>
      <c r="C587" s="27"/>
      <c r="D587" s="27"/>
      <c r="E587" s="27"/>
      <c r="F587" s="39"/>
      <c r="G587" s="28"/>
      <c r="H587" s="28"/>
      <c r="I587" s="39"/>
      <c r="J587" s="39"/>
      <c r="K587" s="71"/>
      <c r="L587" s="28"/>
      <c r="M587" s="27"/>
    </row>
    <row r="588" customFormat="false" ht="15" hidden="false" customHeight="false" outlineLevel="0" collapsed="false">
      <c r="A588" s="29"/>
      <c r="B588" s="40" t="n">
        <f aca="false">IF($A588="",0,INT(($A588-Macrociclo!$C$11)/7)+1)</f>
        <v>0</v>
      </c>
      <c r="C588" s="27"/>
      <c r="D588" s="27"/>
      <c r="E588" s="27"/>
      <c r="F588" s="39"/>
      <c r="G588" s="28"/>
      <c r="H588" s="28"/>
      <c r="I588" s="39"/>
      <c r="J588" s="39"/>
      <c r="K588" s="71"/>
      <c r="L588" s="28"/>
      <c r="M588" s="27"/>
    </row>
    <row r="589" customFormat="false" ht="15" hidden="false" customHeight="false" outlineLevel="0" collapsed="false">
      <c r="A589" s="29"/>
      <c r="B589" s="40" t="n">
        <f aca="false">IF($A589="",0,INT(($A589-Macrociclo!$C$11)/7)+1)</f>
        <v>0</v>
      </c>
      <c r="C589" s="27"/>
      <c r="D589" s="27"/>
      <c r="E589" s="27"/>
      <c r="F589" s="39"/>
      <c r="G589" s="28"/>
      <c r="H589" s="28"/>
      <c r="I589" s="39"/>
      <c r="J589" s="39"/>
      <c r="K589" s="71"/>
      <c r="L589" s="28"/>
      <c r="M589" s="27"/>
    </row>
    <row r="590" customFormat="false" ht="15" hidden="false" customHeight="false" outlineLevel="0" collapsed="false">
      <c r="A590" s="29"/>
      <c r="B590" s="40" t="n">
        <f aca="false">IF($A590="",0,INT(($A590-Macrociclo!$C$11)/7)+1)</f>
        <v>0</v>
      </c>
      <c r="C590" s="27"/>
      <c r="D590" s="27"/>
      <c r="E590" s="27"/>
      <c r="F590" s="39"/>
      <c r="G590" s="28"/>
      <c r="H590" s="28"/>
      <c r="I590" s="39"/>
      <c r="J590" s="39"/>
      <c r="K590" s="71"/>
      <c r="L590" s="28"/>
      <c r="M590" s="27"/>
    </row>
    <row r="591" customFormat="false" ht="15" hidden="false" customHeight="false" outlineLevel="0" collapsed="false">
      <c r="A591" s="29"/>
      <c r="B591" s="40" t="n">
        <f aca="false">IF($A591="",0,INT(($A591-Macrociclo!$C$11)/7)+1)</f>
        <v>0</v>
      </c>
      <c r="C591" s="27"/>
      <c r="D591" s="27"/>
      <c r="E591" s="27"/>
      <c r="F591" s="39"/>
      <c r="G591" s="28"/>
      <c r="H591" s="28"/>
      <c r="I591" s="39"/>
      <c r="J591" s="39"/>
      <c r="K591" s="71"/>
      <c r="L591" s="28"/>
      <c r="M591" s="27"/>
    </row>
    <row r="592" customFormat="false" ht="15" hidden="false" customHeight="false" outlineLevel="0" collapsed="false">
      <c r="A592" s="29"/>
      <c r="B592" s="40" t="n">
        <f aca="false">IF($A592="",0,INT(($A592-Macrociclo!$C$11)/7)+1)</f>
        <v>0</v>
      </c>
      <c r="C592" s="27"/>
      <c r="D592" s="27"/>
      <c r="E592" s="27"/>
      <c r="F592" s="39"/>
      <c r="G592" s="28"/>
      <c r="H592" s="28"/>
      <c r="I592" s="39"/>
      <c r="J592" s="39"/>
      <c r="K592" s="71"/>
      <c r="L592" s="28"/>
      <c r="M592" s="27"/>
    </row>
    <row r="593" customFormat="false" ht="15" hidden="false" customHeight="false" outlineLevel="0" collapsed="false">
      <c r="A593" s="29"/>
      <c r="B593" s="40" t="n">
        <f aca="false">IF($A593="",0,INT(($A593-Macrociclo!$C$11)/7)+1)</f>
        <v>0</v>
      </c>
      <c r="C593" s="27"/>
      <c r="D593" s="27"/>
      <c r="E593" s="27"/>
      <c r="F593" s="39"/>
      <c r="G593" s="28"/>
      <c r="H593" s="28"/>
      <c r="I593" s="39"/>
      <c r="J593" s="39"/>
      <c r="K593" s="71"/>
      <c r="L593" s="28"/>
      <c r="M593" s="27"/>
    </row>
    <row r="594" customFormat="false" ht="15" hidden="false" customHeight="false" outlineLevel="0" collapsed="false">
      <c r="A594" s="29"/>
      <c r="B594" s="40" t="n">
        <f aca="false">IF($A594="",0,INT(($A594-Macrociclo!$C$11)/7)+1)</f>
        <v>0</v>
      </c>
      <c r="C594" s="27"/>
      <c r="D594" s="27"/>
      <c r="E594" s="27"/>
      <c r="F594" s="39"/>
      <c r="G594" s="28"/>
      <c r="H594" s="28"/>
      <c r="I594" s="39"/>
      <c r="J594" s="39"/>
      <c r="K594" s="71"/>
      <c r="L594" s="28"/>
      <c r="M594" s="27"/>
    </row>
    <row r="595" customFormat="false" ht="15" hidden="false" customHeight="false" outlineLevel="0" collapsed="false">
      <c r="A595" s="29"/>
      <c r="B595" s="40" t="n">
        <f aca="false">IF($A595="",0,INT(($A595-Macrociclo!$C$11)/7)+1)</f>
        <v>0</v>
      </c>
      <c r="C595" s="27"/>
      <c r="D595" s="27"/>
      <c r="E595" s="27"/>
      <c r="F595" s="39"/>
      <c r="G595" s="28"/>
      <c r="H595" s="28"/>
      <c r="I595" s="39"/>
      <c r="J595" s="39"/>
      <c r="K595" s="71"/>
      <c r="L595" s="28"/>
      <c r="M595" s="27"/>
    </row>
    <row r="596" customFormat="false" ht="15" hidden="false" customHeight="false" outlineLevel="0" collapsed="false">
      <c r="A596" s="29"/>
      <c r="B596" s="40" t="n">
        <f aca="false">IF($A596="",0,INT(($A596-Macrociclo!$C$11)/7)+1)</f>
        <v>0</v>
      </c>
      <c r="C596" s="27"/>
      <c r="D596" s="27"/>
      <c r="E596" s="27"/>
      <c r="F596" s="39"/>
      <c r="G596" s="28"/>
      <c r="H596" s="28"/>
      <c r="I596" s="39"/>
      <c r="J596" s="39"/>
      <c r="K596" s="71"/>
      <c r="L596" s="28"/>
      <c r="M596" s="27"/>
    </row>
    <row r="597" customFormat="false" ht="15" hidden="false" customHeight="false" outlineLevel="0" collapsed="false">
      <c r="A597" s="29"/>
      <c r="B597" s="40" t="n">
        <f aca="false">IF($A597="",0,INT(($A597-Macrociclo!$C$11)/7)+1)</f>
        <v>0</v>
      </c>
      <c r="C597" s="27"/>
      <c r="D597" s="27"/>
      <c r="E597" s="27"/>
      <c r="F597" s="39"/>
      <c r="G597" s="28"/>
      <c r="H597" s="28"/>
      <c r="I597" s="39"/>
      <c r="J597" s="39"/>
      <c r="K597" s="71"/>
      <c r="L597" s="28"/>
      <c r="M597" s="27"/>
    </row>
    <row r="598" customFormat="false" ht="15" hidden="false" customHeight="false" outlineLevel="0" collapsed="false">
      <c r="A598" s="29"/>
      <c r="B598" s="40" t="n">
        <f aca="false">IF($A598="",0,INT(($A598-Macrociclo!$C$11)/7)+1)</f>
        <v>0</v>
      </c>
      <c r="C598" s="27"/>
      <c r="D598" s="27"/>
      <c r="E598" s="27"/>
      <c r="F598" s="39"/>
      <c r="G598" s="28"/>
      <c r="H598" s="28"/>
      <c r="I598" s="39"/>
      <c r="J598" s="39"/>
      <c r="K598" s="71"/>
      <c r="L598" s="28"/>
      <c r="M598" s="27"/>
    </row>
    <row r="599" customFormat="false" ht="15" hidden="false" customHeight="false" outlineLevel="0" collapsed="false">
      <c r="A599" s="29"/>
      <c r="B599" s="40" t="n">
        <f aca="false">IF($A599="",0,INT(($A599-Macrociclo!$C$11)/7)+1)</f>
        <v>0</v>
      </c>
      <c r="C599" s="27"/>
      <c r="D599" s="27"/>
      <c r="E599" s="27"/>
      <c r="F599" s="39"/>
      <c r="G599" s="28"/>
      <c r="H599" s="28"/>
      <c r="I599" s="39"/>
      <c r="J599" s="39"/>
      <c r="K599" s="71"/>
      <c r="L599" s="28"/>
      <c r="M599" s="27"/>
    </row>
    <row r="600" customFormat="false" ht="15" hidden="false" customHeight="false" outlineLevel="0" collapsed="false">
      <c r="A600" s="29"/>
      <c r="B600" s="40" t="n">
        <f aca="false">IF($A600="",0,INT(($A600-Macrociclo!$C$11)/7)+1)</f>
        <v>0</v>
      </c>
      <c r="C600" s="27"/>
      <c r="D600" s="27"/>
      <c r="E600" s="27"/>
      <c r="F600" s="39"/>
      <c r="G600" s="28"/>
      <c r="H600" s="28"/>
      <c r="I600" s="39"/>
      <c r="J600" s="39"/>
      <c r="K600" s="71"/>
      <c r="L600" s="28"/>
      <c r="M600" s="27"/>
    </row>
    <row r="601" customFormat="false" ht="15" hidden="false" customHeight="false" outlineLevel="0" collapsed="false">
      <c r="A601" s="29"/>
      <c r="B601" s="40" t="n">
        <f aca="false">IF($A601="",0,INT(($A601-Macrociclo!$C$11)/7)+1)</f>
        <v>0</v>
      </c>
      <c r="C601" s="27"/>
      <c r="D601" s="27"/>
      <c r="E601" s="27"/>
      <c r="F601" s="39"/>
      <c r="G601" s="28"/>
      <c r="H601" s="28"/>
      <c r="I601" s="39"/>
      <c r="J601" s="39"/>
      <c r="K601" s="71"/>
      <c r="L601" s="28"/>
      <c r="M601" s="27"/>
    </row>
    <row r="602" customFormat="false" ht="15" hidden="false" customHeight="false" outlineLevel="0" collapsed="false">
      <c r="A602" s="29"/>
      <c r="B602" s="40" t="n">
        <f aca="false">IF($A602="",0,INT(($A602-Macrociclo!$C$11)/7)+1)</f>
        <v>0</v>
      </c>
      <c r="C602" s="27"/>
      <c r="D602" s="27"/>
      <c r="E602" s="27"/>
      <c r="F602" s="39"/>
      <c r="G602" s="28"/>
      <c r="H602" s="28"/>
      <c r="I602" s="39"/>
      <c r="J602" s="39"/>
      <c r="K602" s="71"/>
      <c r="L602" s="28"/>
      <c r="M602" s="27"/>
    </row>
    <row r="603" customFormat="false" ht="15" hidden="false" customHeight="false" outlineLevel="0" collapsed="false">
      <c r="A603" s="29"/>
      <c r="B603" s="40" t="n">
        <f aca="false">IF($A603="",0,INT(($A603-Macrociclo!$C$11)/7)+1)</f>
        <v>0</v>
      </c>
      <c r="C603" s="27"/>
      <c r="D603" s="27"/>
      <c r="E603" s="27"/>
      <c r="F603" s="39"/>
      <c r="G603" s="28"/>
      <c r="H603" s="28"/>
      <c r="I603" s="39"/>
      <c r="J603" s="39"/>
      <c r="K603" s="71"/>
      <c r="L603" s="28"/>
      <c r="M603" s="27"/>
    </row>
    <row r="604" customFormat="false" ht="15" hidden="false" customHeight="false" outlineLevel="0" collapsed="false">
      <c r="A604" s="29"/>
      <c r="B604" s="40" t="n">
        <f aca="false">IF($A604="",0,INT(($A604-Macrociclo!$C$11)/7)+1)</f>
        <v>0</v>
      </c>
      <c r="C604" s="27"/>
      <c r="D604" s="27"/>
      <c r="E604" s="27"/>
      <c r="F604" s="39"/>
      <c r="G604" s="28"/>
      <c r="H604" s="28"/>
      <c r="I604" s="39"/>
      <c r="J604" s="39"/>
      <c r="K604" s="71"/>
      <c r="L604" s="28"/>
      <c r="M604" s="27"/>
    </row>
    <row r="605" customFormat="false" ht="15" hidden="false" customHeight="false" outlineLevel="0" collapsed="false">
      <c r="A605" s="29"/>
      <c r="B605" s="40" t="n">
        <f aca="false">IF($A605="",0,INT(($A605-Macrociclo!$C$11)/7)+1)</f>
        <v>0</v>
      </c>
      <c r="C605" s="27"/>
      <c r="D605" s="27"/>
      <c r="E605" s="27"/>
      <c r="F605" s="39"/>
      <c r="G605" s="28"/>
      <c r="H605" s="28"/>
      <c r="I605" s="39"/>
      <c r="J605" s="39"/>
      <c r="K605" s="71"/>
      <c r="L605" s="28"/>
      <c r="M605" s="27"/>
    </row>
    <row r="606" customFormat="false" ht="15" hidden="false" customHeight="false" outlineLevel="0" collapsed="false">
      <c r="A606" s="29"/>
      <c r="B606" s="40" t="n">
        <f aca="false">IF($A606="",0,INT(($A606-Macrociclo!$C$11)/7)+1)</f>
        <v>0</v>
      </c>
      <c r="C606" s="27"/>
      <c r="D606" s="27"/>
      <c r="E606" s="27"/>
      <c r="F606" s="39"/>
      <c r="G606" s="28"/>
      <c r="H606" s="28"/>
      <c r="I606" s="39"/>
      <c r="J606" s="39"/>
      <c r="K606" s="71"/>
      <c r="L606" s="28"/>
      <c r="M606" s="27"/>
    </row>
    <row r="607" customFormat="false" ht="15" hidden="false" customHeight="false" outlineLevel="0" collapsed="false">
      <c r="A607" s="29"/>
      <c r="B607" s="40" t="n">
        <f aca="false">IF($A607="",0,INT(($A607-Macrociclo!$C$11)/7)+1)</f>
        <v>0</v>
      </c>
      <c r="C607" s="27"/>
      <c r="D607" s="27"/>
      <c r="E607" s="27"/>
      <c r="F607" s="39"/>
      <c r="G607" s="28"/>
      <c r="H607" s="28"/>
      <c r="I607" s="39"/>
      <c r="J607" s="39"/>
      <c r="K607" s="71"/>
      <c r="L607" s="28"/>
      <c r="M607" s="27"/>
    </row>
    <row r="608" customFormat="false" ht="15" hidden="false" customHeight="false" outlineLevel="0" collapsed="false">
      <c r="A608" s="29"/>
      <c r="B608" s="40" t="n">
        <f aca="false">IF($A608="",0,INT(($A608-Macrociclo!$C$11)/7)+1)</f>
        <v>0</v>
      </c>
      <c r="C608" s="27"/>
      <c r="D608" s="27"/>
      <c r="E608" s="27"/>
      <c r="F608" s="39"/>
      <c r="G608" s="28"/>
      <c r="H608" s="28"/>
      <c r="I608" s="39"/>
      <c r="J608" s="39"/>
      <c r="K608" s="71"/>
      <c r="L608" s="28"/>
      <c r="M608" s="27"/>
    </row>
    <row r="609" customFormat="false" ht="15" hidden="false" customHeight="false" outlineLevel="0" collapsed="false">
      <c r="A609" s="29"/>
      <c r="B609" s="40" t="n">
        <f aca="false">IF($A609="",0,INT(($A609-Macrociclo!$C$11)/7)+1)</f>
        <v>0</v>
      </c>
      <c r="C609" s="27"/>
      <c r="D609" s="27"/>
      <c r="E609" s="27"/>
      <c r="F609" s="39"/>
      <c r="G609" s="28"/>
      <c r="H609" s="28"/>
      <c r="I609" s="39"/>
      <c r="J609" s="39"/>
      <c r="K609" s="71"/>
      <c r="L609" s="28"/>
      <c r="M609" s="27"/>
    </row>
    <row r="610" customFormat="false" ht="15" hidden="false" customHeight="false" outlineLevel="0" collapsed="false">
      <c r="A610" s="29"/>
      <c r="B610" s="40" t="n">
        <f aca="false">IF($A610="",0,INT(($A610-Macrociclo!$C$11)/7)+1)</f>
        <v>0</v>
      </c>
      <c r="C610" s="27"/>
      <c r="D610" s="27"/>
      <c r="E610" s="27"/>
      <c r="F610" s="39"/>
      <c r="G610" s="28"/>
      <c r="H610" s="28"/>
      <c r="I610" s="39"/>
      <c r="J610" s="39"/>
      <c r="K610" s="71"/>
      <c r="L610" s="28"/>
      <c r="M610" s="27"/>
    </row>
    <row r="611" customFormat="false" ht="15" hidden="false" customHeight="false" outlineLevel="0" collapsed="false">
      <c r="A611" s="29"/>
      <c r="B611" s="40" t="n">
        <f aca="false">IF($A611="",0,INT(($A611-Macrociclo!$C$11)/7)+1)</f>
        <v>0</v>
      </c>
      <c r="C611" s="27"/>
      <c r="D611" s="27"/>
      <c r="E611" s="27"/>
      <c r="F611" s="39"/>
      <c r="G611" s="28"/>
      <c r="H611" s="28"/>
      <c r="I611" s="39"/>
      <c r="J611" s="39"/>
      <c r="K611" s="71"/>
      <c r="L611" s="28"/>
      <c r="M611" s="27"/>
    </row>
    <row r="612" customFormat="false" ht="15" hidden="false" customHeight="false" outlineLevel="0" collapsed="false">
      <c r="A612" s="29"/>
      <c r="B612" s="40" t="n">
        <f aca="false">IF($A612="",0,INT(($A612-Macrociclo!$C$11)/7)+1)</f>
        <v>0</v>
      </c>
      <c r="C612" s="27"/>
      <c r="D612" s="27"/>
      <c r="E612" s="27"/>
      <c r="F612" s="39"/>
      <c r="G612" s="28"/>
      <c r="H612" s="28"/>
      <c r="I612" s="39"/>
      <c r="J612" s="39"/>
      <c r="K612" s="71"/>
      <c r="L612" s="28"/>
      <c r="M612" s="27"/>
    </row>
    <row r="613" customFormat="false" ht="15" hidden="false" customHeight="false" outlineLevel="0" collapsed="false">
      <c r="A613" s="29"/>
      <c r="B613" s="40" t="n">
        <f aca="false">IF($A613="",0,INT(($A613-Macrociclo!$C$11)/7)+1)</f>
        <v>0</v>
      </c>
      <c r="C613" s="27"/>
      <c r="D613" s="27"/>
      <c r="E613" s="27"/>
      <c r="F613" s="39"/>
      <c r="G613" s="28"/>
      <c r="H613" s="28"/>
      <c r="I613" s="39"/>
      <c r="J613" s="39"/>
      <c r="K613" s="71"/>
      <c r="L613" s="28"/>
      <c r="M613" s="27"/>
    </row>
    <row r="614" customFormat="false" ht="15" hidden="false" customHeight="false" outlineLevel="0" collapsed="false">
      <c r="A614" s="29"/>
      <c r="B614" s="40" t="n">
        <f aca="false">IF($A614="",0,INT(($A614-Macrociclo!$C$11)/7)+1)</f>
        <v>0</v>
      </c>
      <c r="C614" s="27"/>
      <c r="D614" s="27"/>
      <c r="E614" s="27"/>
      <c r="F614" s="39"/>
      <c r="G614" s="28"/>
      <c r="H614" s="28"/>
      <c r="I614" s="39"/>
      <c r="J614" s="39"/>
      <c r="K614" s="71"/>
      <c r="L614" s="28"/>
      <c r="M614" s="27"/>
    </row>
    <row r="615" customFormat="false" ht="15" hidden="false" customHeight="false" outlineLevel="0" collapsed="false">
      <c r="A615" s="29"/>
      <c r="B615" s="40" t="n">
        <f aca="false">IF($A615="",0,INT(($A615-Macrociclo!$C$11)/7)+1)</f>
        <v>0</v>
      </c>
      <c r="C615" s="27"/>
      <c r="D615" s="27"/>
      <c r="E615" s="27"/>
      <c r="F615" s="39"/>
      <c r="G615" s="28"/>
      <c r="H615" s="28"/>
      <c r="I615" s="39"/>
      <c r="J615" s="39"/>
      <c r="K615" s="71"/>
      <c r="L615" s="28"/>
      <c r="M615" s="27"/>
    </row>
    <row r="616" customFormat="false" ht="15" hidden="false" customHeight="false" outlineLevel="0" collapsed="false">
      <c r="A616" s="29"/>
      <c r="B616" s="40" t="n">
        <f aca="false">IF($A616="",0,INT(($A616-Macrociclo!$C$11)/7)+1)</f>
        <v>0</v>
      </c>
      <c r="C616" s="27"/>
      <c r="D616" s="27"/>
      <c r="E616" s="27"/>
      <c r="F616" s="39"/>
      <c r="G616" s="28"/>
      <c r="H616" s="28"/>
      <c r="I616" s="39"/>
      <c r="J616" s="39"/>
      <c r="K616" s="71"/>
      <c r="L616" s="28"/>
      <c r="M616" s="27"/>
    </row>
    <row r="617" customFormat="false" ht="15" hidden="false" customHeight="false" outlineLevel="0" collapsed="false">
      <c r="A617" s="29"/>
      <c r="B617" s="40" t="n">
        <f aca="false">IF($A617="",0,INT(($A617-Macrociclo!$C$11)/7)+1)</f>
        <v>0</v>
      </c>
      <c r="C617" s="27"/>
      <c r="D617" s="27"/>
      <c r="E617" s="27"/>
      <c r="F617" s="39"/>
      <c r="G617" s="28"/>
      <c r="H617" s="28"/>
      <c r="I617" s="39"/>
      <c r="J617" s="39"/>
      <c r="K617" s="71"/>
      <c r="L617" s="28"/>
      <c r="M617" s="27"/>
    </row>
    <row r="618" customFormat="false" ht="15" hidden="false" customHeight="false" outlineLevel="0" collapsed="false">
      <c r="A618" s="29"/>
      <c r="B618" s="40" t="n">
        <f aca="false">IF($A618="",0,INT(($A618-Macrociclo!$C$11)/7)+1)</f>
        <v>0</v>
      </c>
      <c r="C618" s="27"/>
      <c r="D618" s="27"/>
      <c r="E618" s="27"/>
      <c r="F618" s="39"/>
      <c r="G618" s="28"/>
      <c r="H618" s="28"/>
      <c r="I618" s="39"/>
      <c r="J618" s="39"/>
      <c r="K618" s="71"/>
      <c r="L618" s="28"/>
      <c r="M618" s="27"/>
    </row>
    <row r="619" customFormat="false" ht="15" hidden="false" customHeight="false" outlineLevel="0" collapsed="false">
      <c r="A619" s="29"/>
      <c r="B619" s="40" t="n">
        <f aca="false">IF($A619="",0,INT(($A619-Macrociclo!$C$11)/7)+1)</f>
        <v>0</v>
      </c>
      <c r="C619" s="27"/>
      <c r="D619" s="27"/>
      <c r="E619" s="27"/>
      <c r="F619" s="39"/>
      <c r="G619" s="28"/>
      <c r="H619" s="28"/>
      <c r="I619" s="39"/>
      <c r="J619" s="39"/>
      <c r="K619" s="71"/>
      <c r="L619" s="28"/>
      <c r="M619" s="27"/>
    </row>
    <row r="620" customFormat="false" ht="15" hidden="false" customHeight="false" outlineLevel="0" collapsed="false">
      <c r="A620" s="29"/>
      <c r="B620" s="40" t="n">
        <f aca="false">IF($A620="",0,INT(($A620-Macrociclo!$C$11)/7)+1)</f>
        <v>0</v>
      </c>
      <c r="C620" s="27"/>
      <c r="D620" s="27"/>
      <c r="E620" s="27"/>
      <c r="F620" s="39"/>
      <c r="G620" s="28"/>
      <c r="H620" s="28"/>
      <c r="I620" s="39"/>
      <c r="J620" s="39"/>
      <c r="K620" s="71"/>
      <c r="L620" s="28"/>
      <c r="M620" s="27"/>
    </row>
    <row r="621" customFormat="false" ht="15" hidden="false" customHeight="false" outlineLevel="0" collapsed="false">
      <c r="A621" s="29"/>
      <c r="B621" s="40" t="n">
        <f aca="false">IF($A621="",0,INT(($A621-Macrociclo!$C$11)/7)+1)</f>
        <v>0</v>
      </c>
      <c r="C621" s="27"/>
      <c r="D621" s="27"/>
      <c r="E621" s="27"/>
      <c r="F621" s="39"/>
      <c r="G621" s="28"/>
      <c r="H621" s="28"/>
      <c r="I621" s="39"/>
      <c r="J621" s="39"/>
      <c r="K621" s="71"/>
      <c r="L621" s="28"/>
      <c r="M621" s="27"/>
    </row>
    <row r="622" customFormat="false" ht="15" hidden="false" customHeight="false" outlineLevel="0" collapsed="false">
      <c r="A622" s="29"/>
      <c r="B622" s="40" t="n">
        <f aca="false">IF($A622="",0,INT(($A622-Macrociclo!$C$11)/7)+1)</f>
        <v>0</v>
      </c>
      <c r="C622" s="27"/>
      <c r="D622" s="27"/>
      <c r="E622" s="27"/>
      <c r="F622" s="39"/>
      <c r="G622" s="28"/>
      <c r="H622" s="28"/>
      <c r="I622" s="39"/>
      <c r="J622" s="39"/>
      <c r="K622" s="71"/>
      <c r="L622" s="28"/>
      <c r="M622" s="27"/>
    </row>
    <row r="623" customFormat="false" ht="15" hidden="false" customHeight="false" outlineLevel="0" collapsed="false">
      <c r="A623" s="29"/>
      <c r="B623" s="40" t="n">
        <f aca="false">IF($A623="",0,INT(($A623-Macrociclo!$C$11)/7)+1)</f>
        <v>0</v>
      </c>
      <c r="C623" s="27"/>
      <c r="D623" s="27"/>
      <c r="E623" s="27"/>
      <c r="F623" s="39"/>
      <c r="G623" s="28"/>
      <c r="H623" s="28"/>
      <c r="I623" s="39"/>
      <c r="J623" s="39"/>
      <c r="K623" s="71"/>
      <c r="L623" s="28"/>
      <c r="M623" s="27"/>
    </row>
    <row r="624" customFormat="false" ht="15" hidden="false" customHeight="false" outlineLevel="0" collapsed="false">
      <c r="A624" s="29"/>
      <c r="B624" s="40" t="n">
        <f aca="false">IF($A624="",0,INT(($A624-Macrociclo!$C$11)/7)+1)</f>
        <v>0</v>
      </c>
      <c r="C624" s="27"/>
      <c r="D624" s="27"/>
      <c r="E624" s="27"/>
      <c r="F624" s="39"/>
      <c r="G624" s="28"/>
      <c r="H624" s="28"/>
      <c r="I624" s="39"/>
      <c r="J624" s="39"/>
      <c r="K624" s="71"/>
      <c r="L624" s="28"/>
      <c r="M624" s="27"/>
    </row>
    <row r="625" customFormat="false" ht="15" hidden="false" customHeight="false" outlineLevel="0" collapsed="false">
      <c r="A625" s="29"/>
      <c r="B625" s="40" t="n">
        <f aca="false">IF($A625="",0,INT(($A625-Macrociclo!$C$11)/7)+1)</f>
        <v>0</v>
      </c>
      <c r="C625" s="27"/>
      <c r="D625" s="27"/>
      <c r="E625" s="27"/>
      <c r="F625" s="39"/>
      <c r="G625" s="28"/>
      <c r="H625" s="28"/>
      <c r="I625" s="39"/>
      <c r="J625" s="39"/>
      <c r="K625" s="71"/>
      <c r="L625" s="28"/>
      <c r="M625" s="27"/>
    </row>
    <row r="626" customFormat="false" ht="15" hidden="false" customHeight="false" outlineLevel="0" collapsed="false">
      <c r="A626" s="29"/>
      <c r="B626" s="40" t="n">
        <f aca="false">IF($A626="",0,INT(($A626-Macrociclo!$C$11)/7)+1)</f>
        <v>0</v>
      </c>
      <c r="C626" s="27"/>
      <c r="D626" s="27"/>
      <c r="E626" s="27"/>
      <c r="F626" s="39"/>
      <c r="G626" s="28"/>
      <c r="H626" s="28"/>
      <c r="I626" s="39"/>
      <c r="J626" s="39"/>
      <c r="K626" s="71"/>
      <c r="L626" s="28"/>
      <c r="M626" s="27"/>
    </row>
    <row r="627" customFormat="false" ht="15" hidden="false" customHeight="false" outlineLevel="0" collapsed="false">
      <c r="A627" s="29"/>
      <c r="B627" s="40" t="n">
        <f aca="false">IF($A627="",0,INT(($A627-Macrociclo!$C$11)/7)+1)</f>
        <v>0</v>
      </c>
      <c r="C627" s="27"/>
      <c r="D627" s="27"/>
      <c r="E627" s="27"/>
      <c r="F627" s="39"/>
      <c r="G627" s="28"/>
      <c r="H627" s="28"/>
      <c r="I627" s="39"/>
      <c r="J627" s="39"/>
      <c r="K627" s="71"/>
      <c r="L627" s="28"/>
      <c r="M627" s="27"/>
    </row>
    <row r="628" customFormat="false" ht="15" hidden="false" customHeight="false" outlineLevel="0" collapsed="false">
      <c r="A628" s="29"/>
      <c r="B628" s="40" t="n">
        <f aca="false">IF($A628="",0,INT(($A628-Macrociclo!$C$11)/7)+1)</f>
        <v>0</v>
      </c>
      <c r="C628" s="27"/>
      <c r="D628" s="27"/>
      <c r="E628" s="27"/>
      <c r="F628" s="39"/>
      <c r="G628" s="28"/>
      <c r="H628" s="28"/>
      <c r="I628" s="39"/>
      <c r="J628" s="39"/>
      <c r="K628" s="71"/>
      <c r="L628" s="28"/>
      <c r="M628" s="27"/>
    </row>
    <row r="629" customFormat="false" ht="15" hidden="false" customHeight="false" outlineLevel="0" collapsed="false">
      <c r="A629" s="29"/>
      <c r="B629" s="40" t="n">
        <f aca="false">IF($A629="",0,INT(($A629-Macrociclo!$C$11)/7)+1)</f>
        <v>0</v>
      </c>
      <c r="C629" s="27"/>
      <c r="D629" s="27"/>
      <c r="E629" s="27"/>
      <c r="F629" s="39"/>
      <c r="G629" s="28"/>
      <c r="H629" s="28"/>
      <c r="I629" s="39"/>
      <c r="J629" s="39"/>
      <c r="K629" s="71"/>
      <c r="L629" s="28"/>
      <c r="M629" s="27"/>
    </row>
    <row r="630" customFormat="false" ht="15" hidden="false" customHeight="false" outlineLevel="0" collapsed="false">
      <c r="A630" s="29"/>
      <c r="B630" s="40" t="n">
        <f aca="false">IF($A630="",0,INT(($A630-Macrociclo!$C$11)/7)+1)</f>
        <v>0</v>
      </c>
      <c r="C630" s="27"/>
      <c r="D630" s="27"/>
      <c r="E630" s="27"/>
      <c r="F630" s="39"/>
      <c r="G630" s="28"/>
      <c r="H630" s="28"/>
      <c r="I630" s="39"/>
      <c r="J630" s="39"/>
      <c r="K630" s="71"/>
      <c r="L630" s="28"/>
      <c r="M630" s="27"/>
    </row>
    <row r="631" customFormat="false" ht="15" hidden="false" customHeight="false" outlineLevel="0" collapsed="false">
      <c r="A631" s="29"/>
      <c r="B631" s="40" t="n">
        <f aca="false">IF($A631="",0,INT(($A631-Macrociclo!$C$11)/7)+1)</f>
        <v>0</v>
      </c>
      <c r="C631" s="27"/>
      <c r="D631" s="27"/>
      <c r="E631" s="27"/>
      <c r="F631" s="39"/>
      <c r="G631" s="28"/>
      <c r="H631" s="28"/>
      <c r="I631" s="39"/>
      <c r="J631" s="39"/>
      <c r="K631" s="71"/>
      <c r="L631" s="28"/>
      <c r="M631" s="27"/>
    </row>
    <row r="632" customFormat="false" ht="15" hidden="false" customHeight="false" outlineLevel="0" collapsed="false">
      <c r="A632" s="29"/>
      <c r="B632" s="40" t="n">
        <f aca="false">IF($A632="",0,INT(($A632-Macrociclo!$C$11)/7)+1)</f>
        <v>0</v>
      </c>
      <c r="C632" s="27"/>
      <c r="D632" s="27"/>
      <c r="E632" s="27"/>
      <c r="F632" s="39"/>
      <c r="G632" s="28"/>
      <c r="H632" s="28"/>
      <c r="I632" s="39"/>
      <c r="J632" s="39"/>
      <c r="K632" s="71"/>
      <c r="L632" s="28"/>
      <c r="M632" s="27"/>
    </row>
    <row r="633" customFormat="false" ht="15" hidden="false" customHeight="false" outlineLevel="0" collapsed="false">
      <c r="A633" s="29"/>
      <c r="B633" s="40" t="n">
        <f aca="false">IF($A633="",0,INT(($A633-Macrociclo!$C$11)/7)+1)</f>
        <v>0</v>
      </c>
      <c r="C633" s="27"/>
      <c r="D633" s="27"/>
      <c r="E633" s="27"/>
      <c r="F633" s="39"/>
      <c r="G633" s="28"/>
      <c r="H633" s="28"/>
      <c r="I633" s="39"/>
      <c r="J633" s="39"/>
      <c r="K633" s="71"/>
      <c r="L633" s="28"/>
      <c r="M633" s="27"/>
    </row>
    <row r="634" customFormat="false" ht="15" hidden="false" customHeight="false" outlineLevel="0" collapsed="false">
      <c r="A634" s="29"/>
      <c r="B634" s="40" t="n">
        <f aca="false">IF($A634="",0,INT(($A634-Macrociclo!$C$11)/7)+1)</f>
        <v>0</v>
      </c>
      <c r="C634" s="27"/>
      <c r="D634" s="27"/>
      <c r="E634" s="27"/>
      <c r="F634" s="39"/>
      <c r="G634" s="28"/>
      <c r="H634" s="28"/>
      <c r="I634" s="39"/>
      <c r="J634" s="39"/>
      <c r="K634" s="71"/>
      <c r="L634" s="28"/>
      <c r="M634" s="27"/>
    </row>
    <row r="635" customFormat="false" ht="15" hidden="false" customHeight="false" outlineLevel="0" collapsed="false">
      <c r="A635" s="29"/>
      <c r="B635" s="40" t="n">
        <f aca="false">IF($A635="",0,INT(($A635-Macrociclo!$C$11)/7)+1)</f>
        <v>0</v>
      </c>
      <c r="C635" s="27"/>
      <c r="D635" s="27"/>
      <c r="E635" s="27"/>
      <c r="F635" s="39"/>
      <c r="G635" s="28"/>
      <c r="H635" s="28"/>
      <c r="I635" s="39"/>
      <c r="J635" s="39"/>
      <c r="K635" s="71"/>
      <c r="L635" s="28"/>
      <c r="M635" s="27"/>
    </row>
    <row r="636" customFormat="false" ht="15" hidden="false" customHeight="false" outlineLevel="0" collapsed="false">
      <c r="A636" s="29"/>
      <c r="B636" s="40" t="n">
        <f aca="false">IF($A636="",0,INT(($A636-Macrociclo!$C$11)/7)+1)</f>
        <v>0</v>
      </c>
      <c r="C636" s="27"/>
      <c r="D636" s="27"/>
      <c r="E636" s="27"/>
      <c r="F636" s="39"/>
      <c r="G636" s="28"/>
      <c r="H636" s="28"/>
      <c r="I636" s="39"/>
      <c r="J636" s="39"/>
      <c r="K636" s="71"/>
      <c r="L636" s="28"/>
      <c r="M636" s="27"/>
    </row>
    <row r="637" customFormat="false" ht="15" hidden="false" customHeight="false" outlineLevel="0" collapsed="false">
      <c r="A637" s="29"/>
      <c r="B637" s="40" t="n">
        <f aca="false">IF($A637="",0,INT(($A637-Macrociclo!$C$11)/7)+1)</f>
        <v>0</v>
      </c>
      <c r="C637" s="27"/>
      <c r="D637" s="27"/>
      <c r="E637" s="27"/>
      <c r="F637" s="39"/>
      <c r="G637" s="28"/>
      <c r="H637" s="28"/>
      <c r="I637" s="39"/>
      <c r="J637" s="39"/>
      <c r="K637" s="71"/>
      <c r="L637" s="28"/>
      <c r="M637" s="27"/>
    </row>
    <row r="638" customFormat="false" ht="15" hidden="false" customHeight="false" outlineLevel="0" collapsed="false">
      <c r="A638" s="29"/>
      <c r="B638" s="40" t="n">
        <f aca="false">IF($A638="",0,INT(($A638-Macrociclo!$C$11)/7)+1)</f>
        <v>0</v>
      </c>
      <c r="C638" s="27"/>
      <c r="D638" s="27"/>
      <c r="E638" s="27"/>
      <c r="F638" s="39"/>
      <c r="G638" s="28"/>
      <c r="H638" s="28"/>
      <c r="I638" s="39"/>
      <c r="J638" s="39"/>
      <c r="K638" s="71"/>
      <c r="L638" s="28"/>
      <c r="M638" s="27"/>
    </row>
    <row r="639" customFormat="false" ht="15" hidden="false" customHeight="false" outlineLevel="0" collapsed="false">
      <c r="A639" s="29"/>
      <c r="B639" s="40" t="n">
        <f aca="false">IF($A639="",0,INT(($A639-Macrociclo!$C$11)/7)+1)</f>
        <v>0</v>
      </c>
      <c r="C639" s="27"/>
      <c r="D639" s="27"/>
      <c r="E639" s="27"/>
      <c r="F639" s="39"/>
      <c r="G639" s="28"/>
      <c r="H639" s="28"/>
      <c r="I639" s="39"/>
      <c r="J639" s="39"/>
      <c r="K639" s="71"/>
      <c r="L639" s="28"/>
      <c r="M639" s="27"/>
    </row>
    <row r="640" customFormat="false" ht="15" hidden="false" customHeight="false" outlineLevel="0" collapsed="false">
      <c r="A640" s="29"/>
      <c r="B640" s="40" t="n">
        <f aca="false">IF($A640="",0,INT(($A640-Macrociclo!$C$11)/7)+1)</f>
        <v>0</v>
      </c>
      <c r="C640" s="27"/>
      <c r="D640" s="27"/>
      <c r="E640" s="27"/>
      <c r="F640" s="39"/>
      <c r="G640" s="28"/>
      <c r="H640" s="28"/>
      <c r="I640" s="39"/>
      <c r="J640" s="39"/>
      <c r="K640" s="71"/>
      <c r="L640" s="28"/>
      <c r="M640" s="27"/>
    </row>
    <row r="641" customFormat="false" ht="15" hidden="false" customHeight="false" outlineLevel="0" collapsed="false">
      <c r="A641" s="29"/>
      <c r="B641" s="40" t="n">
        <f aca="false">IF($A641="",0,INT(($A641-Macrociclo!$C$11)/7)+1)</f>
        <v>0</v>
      </c>
      <c r="C641" s="27"/>
      <c r="D641" s="27"/>
      <c r="E641" s="27"/>
      <c r="F641" s="39"/>
      <c r="G641" s="28"/>
      <c r="H641" s="28"/>
      <c r="I641" s="39"/>
      <c r="J641" s="39"/>
      <c r="K641" s="71"/>
      <c r="L641" s="28"/>
      <c r="M641" s="27"/>
    </row>
    <row r="642" customFormat="false" ht="15" hidden="false" customHeight="false" outlineLevel="0" collapsed="false">
      <c r="A642" s="29"/>
      <c r="B642" s="40" t="n">
        <f aca="false">IF($A642="",0,INT(($A642-Macrociclo!$C$11)/7)+1)</f>
        <v>0</v>
      </c>
      <c r="C642" s="27"/>
      <c r="D642" s="27"/>
      <c r="E642" s="27"/>
      <c r="F642" s="39"/>
      <c r="G642" s="28"/>
      <c r="H642" s="28"/>
      <c r="I642" s="39"/>
      <c r="J642" s="39"/>
      <c r="K642" s="71"/>
      <c r="L642" s="28"/>
      <c r="M642" s="27"/>
    </row>
    <row r="643" customFormat="false" ht="15" hidden="false" customHeight="false" outlineLevel="0" collapsed="false">
      <c r="A643" s="29"/>
      <c r="B643" s="40" t="n">
        <f aca="false">IF($A643="",0,INT(($A643-Macrociclo!$C$11)/7)+1)</f>
        <v>0</v>
      </c>
      <c r="C643" s="27"/>
      <c r="D643" s="27"/>
      <c r="E643" s="27"/>
      <c r="F643" s="39"/>
      <c r="G643" s="28"/>
      <c r="H643" s="28"/>
      <c r="I643" s="39"/>
      <c r="J643" s="39"/>
      <c r="K643" s="71"/>
      <c r="L643" s="28"/>
      <c r="M643" s="27"/>
    </row>
    <row r="644" customFormat="false" ht="15" hidden="false" customHeight="false" outlineLevel="0" collapsed="false">
      <c r="A644" s="29"/>
      <c r="B644" s="40" t="n">
        <f aca="false">IF($A644="",0,INT(($A644-Macrociclo!$C$11)/7)+1)</f>
        <v>0</v>
      </c>
      <c r="C644" s="27"/>
      <c r="D644" s="27"/>
      <c r="E644" s="27"/>
      <c r="F644" s="39"/>
      <c r="G644" s="28"/>
      <c r="H644" s="28"/>
      <c r="I644" s="39"/>
      <c r="J644" s="39"/>
      <c r="K644" s="71"/>
      <c r="L644" s="28"/>
      <c r="M644" s="27"/>
    </row>
    <row r="645" customFormat="false" ht="15" hidden="false" customHeight="false" outlineLevel="0" collapsed="false">
      <c r="A645" s="29"/>
      <c r="B645" s="40" t="n">
        <f aca="false">IF($A645="",0,INT(($A645-Macrociclo!$C$11)/7)+1)</f>
        <v>0</v>
      </c>
      <c r="C645" s="27"/>
      <c r="D645" s="27"/>
      <c r="E645" s="27"/>
      <c r="F645" s="39"/>
      <c r="G645" s="28"/>
      <c r="H645" s="28"/>
      <c r="I645" s="39"/>
      <c r="J645" s="39"/>
      <c r="K645" s="71"/>
      <c r="L645" s="28"/>
      <c r="M645" s="27"/>
    </row>
    <row r="646" customFormat="false" ht="15" hidden="false" customHeight="false" outlineLevel="0" collapsed="false">
      <c r="A646" s="29"/>
      <c r="B646" s="40" t="n">
        <f aca="false">IF($A646="",0,INT(($A646-Macrociclo!$C$11)/7)+1)</f>
        <v>0</v>
      </c>
      <c r="C646" s="27"/>
      <c r="D646" s="27"/>
      <c r="E646" s="27"/>
      <c r="F646" s="39"/>
      <c r="G646" s="28"/>
      <c r="H646" s="28"/>
      <c r="I646" s="39"/>
      <c r="J646" s="39"/>
      <c r="K646" s="71"/>
      <c r="L646" s="28"/>
      <c r="M646" s="27"/>
    </row>
    <row r="647" customFormat="false" ht="15" hidden="false" customHeight="false" outlineLevel="0" collapsed="false">
      <c r="A647" s="29"/>
      <c r="B647" s="40" t="n">
        <f aca="false">IF($A647="",0,INT(($A647-Macrociclo!$C$11)/7)+1)</f>
        <v>0</v>
      </c>
      <c r="C647" s="27"/>
      <c r="D647" s="27"/>
      <c r="E647" s="27"/>
      <c r="F647" s="39"/>
      <c r="G647" s="28"/>
      <c r="H647" s="28"/>
      <c r="I647" s="39"/>
      <c r="J647" s="39"/>
      <c r="K647" s="71"/>
      <c r="L647" s="28"/>
      <c r="M647" s="27"/>
    </row>
    <row r="648" customFormat="false" ht="15" hidden="false" customHeight="false" outlineLevel="0" collapsed="false">
      <c r="A648" s="29"/>
      <c r="B648" s="40" t="n">
        <f aca="false">IF($A648="",0,INT(($A648-Macrociclo!$C$11)/7)+1)</f>
        <v>0</v>
      </c>
      <c r="C648" s="27"/>
      <c r="D648" s="27"/>
      <c r="E648" s="27"/>
      <c r="F648" s="39"/>
      <c r="G648" s="28"/>
      <c r="H648" s="28"/>
      <c r="I648" s="39"/>
      <c r="J648" s="39"/>
      <c r="K648" s="71"/>
      <c r="L648" s="28"/>
      <c r="M648" s="27"/>
    </row>
    <row r="649" customFormat="false" ht="15" hidden="false" customHeight="false" outlineLevel="0" collapsed="false">
      <c r="A649" s="29"/>
      <c r="B649" s="40" t="n">
        <f aca="false">IF($A649="",0,INT(($A649-Macrociclo!$C$11)/7)+1)</f>
        <v>0</v>
      </c>
      <c r="C649" s="27"/>
      <c r="D649" s="27"/>
      <c r="E649" s="27"/>
      <c r="F649" s="39"/>
      <c r="G649" s="28"/>
      <c r="H649" s="28"/>
      <c r="I649" s="39"/>
      <c r="J649" s="39"/>
      <c r="K649" s="71"/>
      <c r="L649" s="28"/>
      <c r="M649" s="27"/>
    </row>
    <row r="650" customFormat="false" ht="15" hidden="false" customHeight="false" outlineLevel="0" collapsed="false">
      <c r="A650" s="29"/>
      <c r="B650" s="40" t="n">
        <f aca="false">IF($A650="",0,INT(($A650-Macrociclo!$C$11)/7)+1)</f>
        <v>0</v>
      </c>
      <c r="C650" s="27"/>
      <c r="D650" s="27"/>
      <c r="E650" s="27"/>
      <c r="F650" s="39"/>
      <c r="G650" s="28"/>
      <c r="H650" s="28"/>
      <c r="I650" s="39"/>
      <c r="J650" s="39"/>
      <c r="K650" s="71"/>
      <c r="L650" s="28"/>
      <c r="M650" s="27"/>
    </row>
    <row r="651" customFormat="false" ht="15" hidden="false" customHeight="false" outlineLevel="0" collapsed="false">
      <c r="A651" s="29"/>
      <c r="B651" s="40" t="n">
        <f aca="false">IF($A651="",0,INT(($A651-Macrociclo!$C$11)/7)+1)</f>
        <v>0</v>
      </c>
      <c r="C651" s="27"/>
      <c r="D651" s="27"/>
      <c r="E651" s="27"/>
      <c r="F651" s="39"/>
      <c r="G651" s="28"/>
      <c r="H651" s="28"/>
      <c r="I651" s="39"/>
      <c r="J651" s="39"/>
      <c r="K651" s="71"/>
      <c r="L651" s="28"/>
      <c r="M651" s="27"/>
    </row>
    <row r="652" customFormat="false" ht="15" hidden="false" customHeight="false" outlineLevel="0" collapsed="false">
      <c r="A652" s="29"/>
      <c r="B652" s="40" t="n">
        <f aca="false">IF($A652="",0,INT(($A652-Macrociclo!$C$11)/7)+1)</f>
        <v>0</v>
      </c>
      <c r="C652" s="27"/>
      <c r="D652" s="27"/>
      <c r="E652" s="27"/>
      <c r="F652" s="39"/>
      <c r="G652" s="28"/>
      <c r="H652" s="28"/>
      <c r="I652" s="39"/>
      <c r="J652" s="39"/>
      <c r="K652" s="71"/>
      <c r="L652" s="28"/>
      <c r="M652" s="27"/>
    </row>
    <row r="653" customFormat="false" ht="15" hidden="false" customHeight="false" outlineLevel="0" collapsed="false">
      <c r="A653" s="29"/>
      <c r="B653" s="40" t="n">
        <f aca="false">IF($A653="",0,INT(($A653-Macrociclo!$C$11)/7)+1)</f>
        <v>0</v>
      </c>
      <c r="C653" s="27"/>
      <c r="D653" s="27"/>
      <c r="E653" s="27"/>
      <c r="F653" s="39"/>
      <c r="G653" s="28"/>
      <c r="H653" s="28"/>
      <c r="I653" s="39"/>
      <c r="J653" s="39"/>
      <c r="K653" s="71"/>
      <c r="L653" s="28"/>
      <c r="M653" s="27"/>
    </row>
    <row r="654" customFormat="false" ht="15" hidden="false" customHeight="false" outlineLevel="0" collapsed="false">
      <c r="A654" s="29"/>
      <c r="B654" s="40" t="n">
        <f aca="false">IF($A654="",0,INT(($A654-Macrociclo!$C$11)/7)+1)</f>
        <v>0</v>
      </c>
      <c r="C654" s="27"/>
      <c r="D654" s="27"/>
      <c r="E654" s="27"/>
      <c r="F654" s="39"/>
      <c r="G654" s="28"/>
      <c r="H654" s="28"/>
      <c r="I654" s="39"/>
      <c r="J654" s="39"/>
      <c r="K654" s="71"/>
      <c r="L654" s="28"/>
      <c r="M654" s="27"/>
    </row>
    <row r="655" customFormat="false" ht="15" hidden="false" customHeight="false" outlineLevel="0" collapsed="false">
      <c r="A655" s="29"/>
      <c r="B655" s="40" t="n">
        <f aca="false">IF($A655="",0,INT(($A655-Macrociclo!$C$11)/7)+1)</f>
        <v>0</v>
      </c>
      <c r="C655" s="27"/>
      <c r="D655" s="27"/>
      <c r="E655" s="27"/>
      <c r="F655" s="39"/>
      <c r="G655" s="28"/>
      <c r="H655" s="28"/>
      <c r="I655" s="39"/>
      <c r="J655" s="39"/>
      <c r="K655" s="71"/>
      <c r="L655" s="28"/>
      <c r="M655" s="27"/>
    </row>
    <row r="656" customFormat="false" ht="15" hidden="false" customHeight="false" outlineLevel="0" collapsed="false">
      <c r="A656" s="29"/>
      <c r="B656" s="40" t="n">
        <f aca="false">IF($A656="",0,INT(($A656-Macrociclo!$C$11)/7)+1)</f>
        <v>0</v>
      </c>
      <c r="C656" s="27"/>
      <c r="D656" s="27"/>
      <c r="E656" s="27"/>
      <c r="F656" s="39"/>
      <c r="G656" s="28"/>
      <c r="H656" s="28"/>
      <c r="I656" s="39"/>
      <c r="J656" s="39"/>
      <c r="K656" s="71"/>
      <c r="L656" s="28"/>
      <c r="M656" s="27"/>
    </row>
    <row r="657" customFormat="false" ht="15" hidden="false" customHeight="false" outlineLevel="0" collapsed="false">
      <c r="A657" s="29"/>
      <c r="B657" s="40" t="n">
        <f aca="false">IF($A657="",0,INT(($A657-Macrociclo!$C$11)/7)+1)</f>
        <v>0</v>
      </c>
      <c r="C657" s="27"/>
      <c r="D657" s="27"/>
      <c r="E657" s="27"/>
      <c r="F657" s="39"/>
      <c r="G657" s="28"/>
      <c r="H657" s="28"/>
      <c r="I657" s="39"/>
      <c r="J657" s="39"/>
      <c r="K657" s="71"/>
      <c r="L657" s="28"/>
      <c r="M657" s="27"/>
    </row>
    <row r="658" customFormat="false" ht="15" hidden="false" customHeight="false" outlineLevel="0" collapsed="false">
      <c r="A658" s="29"/>
      <c r="B658" s="40" t="n">
        <f aca="false">IF($A658="",0,INT(($A658-Macrociclo!$C$11)/7)+1)</f>
        <v>0</v>
      </c>
      <c r="C658" s="27"/>
      <c r="D658" s="27"/>
      <c r="E658" s="27"/>
      <c r="F658" s="39"/>
      <c r="G658" s="28"/>
      <c r="H658" s="28"/>
      <c r="I658" s="39"/>
      <c r="J658" s="39"/>
      <c r="K658" s="71"/>
      <c r="L658" s="28"/>
      <c r="M658" s="27"/>
    </row>
    <row r="659" customFormat="false" ht="15" hidden="false" customHeight="false" outlineLevel="0" collapsed="false">
      <c r="A659" s="29"/>
      <c r="B659" s="40" t="n">
        <f aca="false">IF($A659="",0,INT(($A659-Macrociclo!$C$11)/7)+1)</f>
        <v>0</v>
      </c>
      <c r="C659" s="27"/>
      <c r="D659" s="27"/>
      <c r="E659" s="27"/>
      <c r="F659" s="39"/>
      <c r="G659" s="28"/>
      <c r="H659" s="28"/>
      <c r="I659" s="39"/>
      <c r="J659" s="39"/>
      <c r="K659" s="71"/>
      <c r="L659" s="28"/>
      <c r="M659" s="27"/>
    </row>
    <row r="660" customFormat="false" ht="15" hidden="false" customHeight="false" outlineLevel="0" collapsed="false">
      <c r="A660" s="29"/>
      <c r="B660" s="40" t="n">
        <f aca="false">IF($A660="",0,INT(($A660-Macrociclo!$C$11)/7)+1)</f>
        <v>0</v>
      </c>
      <c r="C660" s="27"/>
      <c r="D660" s="27"/>
      <c r="E660" s="27"/>
      <c r="F660" s="39"/>
      <c r="G660" s="28"/>
      <c r="H660" s="28"/>
      <c r="I660" s="39"/>
      <c r="J660" s="39"/>
      <c r="K660" s="71"/>
      <c r="L660" s="28"/>
      <c r="M660" s="27"/>
    </row>
    <row r="661" customFormat="false" ht="15" hidden="false" customHeight="false" outlineLevel="0" collapsed="false">
      <c r="A661" s="29"/>
      <c r="B661" s="40" t="n">
        <f aca="false">IF($A661="",0,INT(($A661-Macrociclo!$C$11)/7)+1)</f>
        <v>0</v>
      </c>
      <c r="C661" s="27"/>
      <c r="D661" s="27"/>
      <c r="E661" s="27"/>
      <c r="F661" s="39"/>
      <c r="G661" s="28"/>
      <c r="H661" s="28"/>
      <c r="I661" s="39"/>
      <c r="J661" s="39"/>
      <c r="K661" s="71"/>
      <c r="L661" s="28"/>
      <c r="M661" s="27"/>
    </row>
    <row r="662" customFormat="false" ht="15" hidden="false" customHeight="false" outlineLevel="0" collapsed="false">
      <c r="A662" s="29"/>
      <c r="B662" s="40" t="n">
        <f aca="false">IF($A662="",0,INT(($A662-Macrociclo!$C$11)/7)+1)</f>
        <v>0</v>
      </c>
      <c r="C662" s="27"/>
      <c r="D662" s="27"/>
      <c r="E662" s="27"/>
      <c r="F662" s="39"/>
      <c r="G662" s="28"/>
      <c r="H662" s="28"/>
      <c r="I662" s="39"/>
      <c r="J662" s="39"/>
      <c r="K662" s="71"/>
      <c r="L662" s="28"/>
      <c r="M662" s="27"/>
    </row>
    <row r="663" customFormat="false" ht="15" hidden="false" customHeight="false" outlineLevel="0" collapsed="false">
      <c r="A663" s="29"/>
      <c r="B663" s="40" t="n">
        <f aca="false">IF($A663="",0,INT(($A663-Macrociclo!$C$11)/7)+1)</f>
        <v>0</v>
      </c>
      <c r="C663" s="27"/>
      <c r="D663" s="27"/>
      <c r="E663" s="27"/>
      <c r="F663" s="39"/>
      <c r="G663" s="28"/>
      <c r="H663" s="28"/>
      <c r="I663" s="39"/>
      <c r="J663" s="39"/>
      <c r="K663" s="71"/>
      <c r="L663" s="28"/>
      <c r="M663" s="27"/>
    </row>
    <row r="664" customFormat="false" ht="15" hidden="false" customHeight="false" outlineLevel="0" collapsed="false">
      <c r="A664" s="29"/>
      <c r="B664" s="40" t="n">
        <f aca="false">IF($A664="",0,INT(($A664-Macrociclo!$C$11)/7)+1)</f>
        <v>0</v>
      </c>
      <c r="C664" s="27"/>
      <c r="D664" s="27"/>
      <c r="E664" s="27"/>
      <c r="F664" s="39"/>
      <c r="G664" s="28"/>
      <c r="H664" s="28"/>
      <c r="I664" s="39"/>
      <c r="J664" s="39"/>
      <c r="K664" s="71"/>
      <c r="L664" s="28"/>
      <c r="M664" s="27"/>
    </row>
    <row r="665" customFormat="false" ht="15" hidden="false" customHeight="false" outlineLevel="0" collapsed="false">
      <c r="A665" s="29"/>
      <c r="B665" s="40" t="n">
        <f aca="false">IF($A665="",0,INT(($A665-Macrociclo!$C$11)/7)+1)</f>
        <v>0</v>
      </c>
      <c r="C665" s="27"/>
      <c r="D665" s="27"/>
      <c r="E665" s="27"/>
      <c r="F665" s="39"/>
      <c r="G665" s="28"/>
      <c r="H665" s="28"/>
      <c r="I665" s="39"/>
      <c r="J665" s="39"/>
      <c r="K665" s="71"/>
      <c r="L665" s="28"/>
      <c r="M665" s="27"/>
    </row>
    <row r="666" customFormat="false" ht="15" hidden="false" customHeight="false" outlineLevel="0" collapsed="false">
      <c r="A666" s="29"/>
      <c r="B666" s="40" t="n">
        <f aca="false">IF($A666="",0,INT(($A666-Macrociclo!$C$11)/7)+1)</f>
        <v>0</v>
      </c>
      <c r="C666" s="27"/>
      <c r="D666" s="27"/>
      <c r="E666" s="27"/>
      <c r="F666" s="39"/>
      <c r="G666" s="28"/>
      <c r="H666" s="28"/>
      <c r="I666" s="39"/>
      <c r="J666" s="39"/>
      <c r="K666" s="71"/>
      <c r="L666" s="28"/>
      <c r="M666" s="27"/>
    </row>
    <row r="667" customFormat="false" ht="15" hidden="false" customHeight="false" outlineLevel="0" collapsed="false">
      <c r="A667" s="29"/>
      <c r="B667" s="40" t="n">
        <f aca="false">IF($A667="",0,INT(($A667-Macrociclo!$C$11)/7)+1)</f>
        <v>0</v>
      </c>
      <c r="C667" s="27"/>
      <c r="D667" s="27"/>
      <c r="E667" s="27"/>
      <c r="F667" s="39"/>
      <c r="G667" s="28"/>
      <c r="H667" s="28"/>
      <c r="I667" s="39"/>
      <c r="J667" s="39"/>
      <c r="K667" s="71"/>
      <c r="L667" s="28"/>
      <c r="M667" s="27"/>
    </row>
    <row r="668" customFormat="false" ht="15" hidden="false" customHeight="false" outlineLevel="0" collapsed="false">
      <c r="A668" s="29"/>
      <c r="B668" s="40" t="n">
        <f aca="false">IF($A668="",0,INT(($A668-Macrociclo!$C$11)/7)+1)</f>
        <v>0</v>
      </c>
      <c r="C668" s="27"/>
      <c r="D668" s="27"/>
      <c r="E668" s="27"/>
      <c r="F668" s="39"/>
      <c r="G668" s="28"/>
      <c r="H668" s="28"/>
      <c r="I668" s="39"/>
      <c r="J668" s="39"/>
      <c r="K668" s="71"/>
      <c r="L668" s="28"/>
      <c r="M668" s="27"/>
    </row>
    <row r="669" customFormat="false" ht="15" hidden="false" customHeight="false" outlineLevel="0" collapsed="false">
      <c r="A669" s="29"/>
      <c r="B669" s="40" t="n">
        <f aca="false">IF($A669="",0,INT(($A669-Macrociclo!$C$11)/7)+1)</f>
        <v>0</v>
      </c>
      <c r="C669" s="27"/>
      <c r="D669" s="27"/>
      <c r="E669" s="27"/>
      <c r="F669" s="39"/>
      <c r="G669" s="28"/>
      <c r="H669" s="28"/>
      <c r="I669" s="39"/>
      <c r="J669" s="39"/>
      <c r="K669" s="71"/>
      <c r="L669" s="28"/>
      <c r="M669" s="27"/>
    </row>
    <row r="670" customFormat="false" ht="15" hidden="false" customHeight="false" outlineLevel="0" collapsed="false">
      <c r="A670" s="29"/>
      <c r="B670" s="40" t="n">
        <f aca="false">IF($A670="",0,INT(($A670-Macrociclo!$C$11)/7)+1)</f>
        <v>0</v>
      </c>
      <c r="C670" s="27"/>
      <c r="D670" s="27"/>
      <c r="E670" s="27"/>
      <c r="F670" s="39"/>
      <c r="G670" s="28"/>
      <c r="H670" s="28"/>
      <c r="I670" s="39"/>
      <c r="J670" s="39"/>
      <c r="K670" s="71"/>
      <c r="L670" s="28"/>
      <c r="M670" s="27"/>
    </row>
    <row r="671" customFormat="false" ht="15" hidden="false" customHeight="false" outlineLevel="0" collapsed="false">
      <c r="A671" s="29"/>
      <c r="B671" s="40" t="n">
        <f aca="false">IF($A671="",0,INT(($A671-Macrociclo!$C$11)/7)+1)</f>
        <v>0</v>
      </c>
      <c r="C671" s="27"/>
      <c r="D671" s="27"/>
      <c r="E671" s="27"/>
      <c r="F671" s="39"/>
      <c r="G671" s="28"/>
      <c r="H671" s="28"/>
      <c r="I671" s="39"/>
      <c r="J671" s="39"/>
      <c r="K671" s="71"/>
      <c r="L671" s="28"/>
      <c r="M671" s="27"/>
    </row>
    <row r="672" customFormat="false" ht="15" hidden="false" customHeight="false" outlineLevel="0" collapsed="false">
      <c r="A672" s="29"/>
      <c r="B672" s="40" t="n">
        <f aca="false">IF($A672="",0,INT(($A672-Macrociclo!$C$11)/7)+1)</f>
        <v>0</v>
      </c>
      <c r="C672" s="27"/>
      <c r="D672" s="27"/>
      <c r="E672" s="27"/>
      <c r="F672" s="39"/>
      <c r="G672" s="28"/>
      <c r="H672" s="28"/>
      <c r="I672" s="39"/>
      <c r="J672" s="39"/>
      <c r="K672" s="71"/>
      <c r="L672" s="28"/>
      <c r="M672" s="27"/>
    </row>
    <row r="673" customFormat="false" ht="15" hidden="false" customHeight="false" outlineLevel="0" collapsed="false">
      <c r="A673" s="29"/>
      <c r="B673" s="40" t="n">
        <f aca="false">IF($A673="",0,INT(($A673-Macrociclo!$C$11)/7)+1)</f>
        <v>0</v>
      </c>
      <c r="C673" s="27"/>
      <c r="D673" s="27"/>
      <c r="E673" s="27"/>
      <c r="F673" s="39"/>
      <c r="G673" s="28"/>
      <c r="H673" s="28"/>
      <c r="I673" s="39"/>
      <c r="J673" s="39"/>
      <c r="K673" s="71"/>
      <c r="L673" s="28"/>
      <c r="M673" s="27"/>
    </row>
    <row r="674" customFormat="false" ht="15" hidden="false" customHeight="false" outlineLevel="0" collapsed="false">
      <c r="A674" s="29"/>
      <c r="B674" s="40" t="n">
        <f aca="false">IF($A674="",0,INT(($A674-Macrociclo!$C$11)/7)+1)</f>
        <v>0</v>
      </c>
      <c r="C674" s="27"/>
      <c r="D674" s="27"/>
      <c r="E674" s="27"/>
      <c r="F674" s="39"/>
      <c r="G674" s="28"/>
      <c r="H674" s="28"/>
      <c r="I674" s="39"/>
      <c r="J674" s="39"/>
      <c r="K674" s="71"/>
      <c r="L674" s="28"/>
      <c r="M674" s="27"/>
    </row>
    <row r="675" customFormat="false" ht="15" hidden="false" customHeight="false" outlineLevel="0" collapsed="false">
      <c r="A675" s="29"/>
      <c r="B675" s="40" t="n">
        <f aca="false">IF($A675="",0,INT(($A675-Macrociclo!$C$11)/7)+1)</f>
        <v>0</v>
      </c>
      <c r="C675" s="27"/>
      <c r="D675" s="27"/>
      <c r="E675" s="27"/>
      <c r="F675" s="39"/>
      <c r="G675" s="28"/>
      <c r="H675" s="28"/>
      <c r="I675" s="39"/>
      <c r="J675" s="39"/>
      <c r="K675" s="71"/>
      <c r="L675" s="28"/>
      <c r="M675" s="27"/>
    </row>
    <row r="676" customFormat="false" ht="15" hidden="false" customHeight="false" outlineLevel="0" collapsed="false">
      <c r="A676" s="29"/>
      <c r="B676" s="40" t="n">
        <f aca="false">IF($A676="",0,INT(($A676-Macrociclo!$C$11)/7)+1)</f>
        <v>0</v>
      </c>
      <c r="C676" s="27"/>
      <c r="D676" s="27"/>
      <c r="E676" s="27"/>
      <c r="F676" s="39"/>
      <c r="G676" s="28"/>
      <c r="H676" s="28"/>
      <c r="I676" s="39"/>
      <c r="J676" s="39"/>
      <c r="K676" s="71"/>
      <c r="L676" s="28"/>
      <c r="M676" s="27"/>
    </row>
    <row r="677" customFormat="false" ht="15" hidden="false" customHeight="false" outlineLevel="0" collapsed="false">
      <c r="A677" s="29"/>
      <c r="B677" s="40" t="n">
        <f aca="false">IF($A677="",0,INT(($A677-Macrociclo!$C$11)/7)+1)</f>
        <v>0</v>
      </c>
      <c r="C677" s="27"/>
      <c r="D677" s="27"/>
      <c r="E677" s="27"/>
      <c r="F677" s="39"/>
      <c r="G677" s="28"/>
      <c r="H677" s="28"/>
      <c r="I677" s="39"/>
      <c r="J677" s="39"/>
      <c r="K677" s="71"/>
      <c r="L677" s="28"/>
      <c r="M677" s="27"/>
    </row>
    <row r="678" customFormat="false" ht="15" hidden="false" customHeight="false" outlineLevel="0" collapsed="false">
      <c r="A678" s="29"/>
      <c r="B678" s="40" t="n">
        <f aca="false">IF($A678="",0,INT(($A678-Macrociclo!$C$11)/7)+1)</f>
        <v>0</v>
      </c>
      <c r="C678" s="27"/>
      <c r="D678" s="27"/>
      <c r="E678" s="27"/>
      <c r="F678" s="39"/>
      <c r="G678" s="28"/>
      <c r="H678" s="28"/>
      <c r="I678" s="39"/>
      <c r="J678" s="39"/>
      <c r="K678" s="71"/>
      <c r="L678" s="28"/>
      <c r="M678" s="27"/>
    </row>
    <row r="679" customFormat="false" ht="15" hidden="false" customHeight="false" outlineLevel="0" collapsed="false">
      <c r="A679" s="29"/>
      <c r="B679" s="40" t="n">
        <f aca="false">IF($A679="",0,INT(($A679-Macrociclo!$C$11)/7)+1)</f>
        <v>0</v>
      </c>
      <c r="C679" s="27"/>
      <c r="D679" s="27"/>
      <c r="E679" s="27"/>
      <c r="F679" s="39"/>
      <c r="G679" s="28"/>
      <c r="H679" s="28"/>
      <c r="I679" s="39"/>
      <c r="J679" s="39"/>
      <c r="K679" s="71"/>
      <c r="L679" s="28"/>
      <c r="M679" s="27"/>
    </row>
    <row r="680" customFormat="false" ht="15" hidden="false" customHeight="false" outlineLevel="0" collapsed="false">
      <c r="A680" s="29"/>
      <c r="B680" s="40" t="n">
        <f aca="false">IF($A680="",0,INT(($A680-Macrociclo!$C$11)/7)+1)</f>
        <v>0</v>
      </c>
      <c r="C680" s="27"/>
      <c r="D680" s="27"/>
      <c r="E680" s="27"/>
      <c r="F680" s="39"/>
      <c r="G680" s="28"/>
      <c r="H680" s="28"/>
      <c r="I680" s="39"/>
      <c r="J680" s="39"/>
      <c r="K680" s="71"/>
      <c r="L680" s="28"/>
      <c r="M680" s="27"/>
    </row>
    <row r="681" customFormat="false" ht="15" hidden="false" customHeight="false" outlineLevel="0" collapsed="false">
      <c r="A681" s="29"/>
      <c r="B681" s="40" t="n">
        <f aca="false">IF($A681="",0,INT(($A681-Macrociclo!$C$11)/7)+1)</f>
        <v>0</v>
      </c>
      <c r="C681" s="27"/>
      <c r="D681" s="27"/>
      <c r="E681" s="27"/>
      <c r="F681" s="39"/>
      <c r="G681" s="28"/>
      <c r="H681" s="28"/>
      <c r="I681" s="39"/>
      <c r="J681" s="39"/>
      <c r="K681" s="71"/>
      <c r="L681" s="28"/>
      <c r="M681" s="27"/>
    </row>
    <row r="682" customFormat="false" ht="15" hidden="false" customHeight="false" outlineLevel="0" collapsed="false">
      <c r="A682" s="29"/>
      <c r="B682" s="40" t="n">
        <f aca="false">IF($A682="",0,INT(($A682-Macrociclo!$C$11)/7)+1)</f>
        <v>0</v>
      </c>
      <c r="C682" s="27"/>
      <c r="D682" s="27"/>
      <c r="E682" s="27"/>
      <c r="F682" s="39"/>
      <c r="G682" s="28"/>
      <c r="H682" s="28"/>
      <c r="I682" s="39"/>
      <c r="J682" s="39"/>
      <c r="K682" s="71"/>
      <c r="L682" s="28"/>
      <c r="M682" s="27"/>
    </row>
    <row r="683" customFormat="false" ht="15" hidden="false" customHeight="false" outlineLevel="0" collapsed="false">
      <c r="A683" s="29"/>
      <c r="B683" s="40" t="n">
        <f aca="false">IF($A683="",0,INT(($A683-Macrociclo!$C$11)/7)+1)</f>
        <v>0</v>
      </c>
      <c r="C683" s="27"/>
      <c r="D683" s="27"/>
      <c r="E683" s="27"/>
      <c r="F683" s="39"/>
      <c r="G683" s="28"/>
      <c r="H683" s="28"/>
      <c r="I683" s="39"/>
      <c r="J683" s="39"/>
      <c r="K683" s="71"/>
      <c r="L683" s="28"/>
      <c r="M683" s="27"/>
    </row>
    <row r="684" customFormat="false" ht="15" hidden="false" customHeight="false" outlineLevel="0" collapsed="false">
      <c r="A684" s="29"/>
      <c r="B684" s="40" t="n">
        <f aca="false">IF($A684="",0,INT(($A684-Macrociclo!$C$11)/7)+1)</f>
        <v>0</v>
      </c>
      <c r="C684" s="27"/>
      <c r="D684" s="27"/>
      <c r="E684" s="27"/>
      <c r="F684" s="39"/>
      <c r="G684" s="28"/>
      <c r="H684" s="28"/>
      <c r="I684" s="39"/>
      <c r="J684" s="39"/>
      <c r="K684" s="71"/>
      <c r="L684" s="28"/>
      <c r="M684" s="27"/>
    </row>
    <row r="685" customFormat="false" ht="15" hidden="false" customHeight="false" outlineLevel="0" collapsed="false">
      <c r="A685" s="29"/>
      <c r="B685" s="40" t="n">
        <f aca="false">IF($A685="",0,INT(($A685-Macrociclo!$C$11)/7)+1)</f>
        <v>0</v>
      </c>
      <c r="C685" s="27"/>
      <c r="D685" s="27"/>
      <c r="E685" s="27"/>
      <c r="F685" s="39"/>
      <c r="G685" s="28"/>
      <c r="H685" s="28"/>
      <c r="I685" s="39"/>
      <c r="J685" s="39"/>
      <c r="K685" s="71"/>
      <c r="L685" s="28"/>
      <c r="M685" s="27"/>
    </row>
    <row r="686" customFormat="false" ht="15" hidden="false" customHeight="false" outlineLevel="0" collapsed="false">
      <c r="A686" s="29"/>
      <c r="B686" s="40" t="n">
        <f aca="false">IF($A686="",0,INT(($A686-Macrociclo!$C$11)/7)+1)</f>
        <v>0</v>
      </c>
      <c r="C686" s="27"/>
      <c r="D686" s="27"/>
      <c r="E686" s="27"/>
      <c r="F686" s="39"/>
      <c r="G686" s="28"/>
      <c r="H686" s="28"/>
      <c r="I686" s="39"/>
      <c r="J686" s="39"/>
      <c r="K686" s="71"/>
      <c r="L686" s="28"/>
      <c r="M686" s="27"/>
    </row>
    <row r="687" customFormat="false" ht="15" hidden="false" customHeight="false" outlineLevel="0" collapsed="false">
      <c r="A687" s="29"/>
      <c r="B687" s="40" t="n">
        <f aca="false">IF($A687="",0,INT(($A687-Macrociclo!$C$11)/7)+1)</f>
        <v>0</v>
      </c>
      <c r="C687" s="27"/>
      <c r="D687" s="27"/>
      <c r="E687" s="27"/>
      <c r="F687" s="39"/>
      <c r="G687" s="28"/>
      <c r="H687" s="28"/>
      <c r="I687" s="39"/>
      <c r="J687" s="39"/>
      <c r="K687" s="71"/>
      <c r="L687" s="28"/>
      <c r="M687" s="27"/>
    </row>
    <row r="688" customFormat="false" ht="15" hidden="false" customHeight="false" outlineLevel="0" collapsed="false">
      <c r="A688" s="29"/>
      <c r="B688" s="40" t="n">
        <f aca="false">IF($A688="",0,INT(($A688-Macrociclo!$C$11)/7)+1)</f>
        <v>0</v>
      </c>
      <c r="C688" s="27"/>
      <c r="D688" s="27"/>
      <c r="E688" s="27"/>
      <c r="F688" s="39"/>
      <c r="G688" s="28"/>
      <c r="H688" s="28"/>
      <c r="I688" s="39"/>
      <c r="J688" s="39"/>
      <c r="K688" s="71"/>
      <c r="L688" s="28"/>
      <c r="M688" s="27"/>
    </row>
    <row r="689" customFormat="false" ht="15" hidden="false" customHeight="false" outlineLevel="0" collapsed="false">
      <c r="A689" s="29"/>
      <c r="B689" s="40" t="n">
        <f aca="false">IF($A689="",0,INT(($A689-Macrociclo!$C$11)/7)+1)</f>
        <v>0</v>
      </c>
      <c r="C689" s="27"/>
      <c r="D689" s="27"/>
      <c r="E689" s="27"/>
      <c r="F689" s="39"/>
      <c r="G689" s="28"/>
      <c r="H689" s="28"/>
      <c r="I689" s="39"/>
      <c r="J689" s="39"/>
      <c r="K689" s="71"/>
      <c r="L689" s="28"/>
      <c r="M689" s="27"/>
    </row>
    <row r="690" customFormat="false" ht="15" hidden="false" customHeight="false" outlineLevel="0" collapsed="false">
      <c r="A690" s="29"/>
      <c r="B690" s="40" t="n">
        <f aca="false">IF($A690="",0,INT(($A690-Macrociclo!$C$11)/7)+1)</f>
        <v>0</v>
      </c>
      <c r="C690" s="27"/>
      <c r="D690" s="27"/>
      <c r="E690" s="27"/>
      <c r="F690" s="39"/>
      <c r="G690" s="28"/>
      <c r="H690" s="28"/>
      <c r="I690" s="39"/>
      <c r="J690" s="39"/>
      <c r="K690" s="71"/>
      <c r="L690" s="28"/>
      <c r="M690" s="27"/>
    </row>
    <row r="691" customFormat="false" ht="15" hidden="false" customHeight="false" outlineLevel="0" collapsed="false">
      <c r="A691" s="29"/>
      <c r="B691" s="40" t="n">
        <f aca="false">IF($A691="",0,INT(($A691-Macrociclo!$C$11)/7)+1)</f>
        <v>0</v>
      </c>
      <c r="C691" s="27"/>
      <c r="D691" s="27"/>
      <c r="E691" s="27"/>
      <c r="F691" s="39"/>
      <c r="G691" s="28"/>
      <c r="H691" s="28"/>
      <c r="I691" s="39"/>
      <c r="J691" s="39"/>
      <c r="K691" s="71"/>
      <c r="L691" s="28"/>
      <c r="M691" s="27"/>
    </row>
    <row r="692" customFormat="false" ht="15" hidden="false" customHeight="false" outlineLevel="0" collapsed="false">
      <c r="A692" s="29"/>
      <c r="B692" s="40" t="n">
        <f aca="false">IF($A692="",0,INT(($A692-Macrociclo!$C$11)/7)+1)</f>
        <v>0</v>
      </c>
      <c r="C692" s="27"/>
      <c r="D692" s="27"/>
      <c r="E692" s="27"/>
      <c r="F692" s="39"/>
      <c r="G692" s="28"/>
      <c r="H692" s="28"/>
      <c r="I692" s="39"/>
      <c r="J692" s="39"/>
      <c r="K692" s="71"/>
      <c r="L692" s="28"/>
      <c r="M692" s="27"/>
    </row>
    <row r="693" customFormat="false" ht="15" hidden="false" customHeight="false" outlineLevel="0" collapsed="false">
      <c r="A693" s="29"/>
      <c r="B693" s="40" t="n">
        <f aca="false">IF($A693="",0,INT(($A693-Macrociclo!$C$11)/7)+1)</f>
        <v>0</v>
      </c>
      <c r="C693" s="27"/>
      <c r="D693" s="27"/>
      <c r="E693" s="27"/>
      <c r="F693" s="39"/>
      <c r="G693" s="28"/>
      <c r="H693" s="28"/>
      <c r="I693" s="39"/>
      <c r="J693" s="39"/>
      <c r="K693" s="71"/>
      <c r="L693" s="28"/>
      <c r="M693" s="27"/>
    </row>
    <row r="694" customFormat="false" ht="15" hidden="false" customHeight="false" outlineLevel="0" collapsed="false">
      <c r="A694" s="29"/>
      <c r="B694" s="40" t="n">
        <f aca="false">IF($A694="",0,INT(($A694-Macrociclo!$C$11)/7)+1)</f>
        <v>0</v>
      </c>
      <c r="C694" s="27"/>
      <c r="D694" s="27"/>
      <c r="E694" s="27"/>
      <c r="F694" s="39"/>
      <c r="G694" s="28"/>
      <c r="H694" s="28"/>
      <c r="I694" s="39"/>
      <c r="J694" s="39"/>
      <c r="K694" s="71"/>
      <c r="L694" s="28"/>
      <c r="M694" s="27"/>
    </row>
    <row r="695" customFormat="false" ht="15" hidden="false" customHeight="false" outlineLevel="0" collapsed="false">
      <c r="A695" s="29"/>
      <c r="B695" s="40" t="n">
        <f aca="false">IF($A695="",0,INT(($A695-Macrociclo!$C$11)/7)+1)</f>
        <v>0</v>
      </c>
      <c r="C695" s="27"/>
      <c r="D695" s="27"/>
      <c r="E695" s="27"/>
      <c r="F695" s="39"/>
      <c r="G695" s="28"/>
      <c r="H695" s="28"/>
      <c r="I695" s="39"/>
      <c r="J695" s="39"/>
      <c r="K695" s="71"/>
      <c r="L695" s="28"/>
      <c r="M695" s="27"/>
    </row>
    <row r="696" customFormat="false" ht="15" hidden="false" customHeight="false" outlineLevel="0" collapsed="false">
      <c r="A696" s="29"/>
      <c r="B696" s="40" t="n">
        <f aca="false">IF($A696="",0,INT(($A696-Macrociclo!$C$11)/7)+1)</f>
        <v>0</v>
      </c>
      <c r="C696" s="27"/>
      <c r="D696" s="27"/>
      <c r="E696" s="27"/>
      <c r="F696" s="39"/>
      <c r="G696" s="28"/>
      <c r="H696" s="28"/>
      <c r="I696" s="39"/>
      <c r="J696" s="39"/>
      <c r="K696" s="71"/>
      <c r="L696" s="28"/>
      <c r="M696" s="27"/>
    </row>
    <row r="697" customFormat="false" ht="15" hidden="false" customHeight="false" outlineLevel="0" collapsed="false">
      <c r="A697" s="29"/>
      <c r="B697" s="40" t="n">
        <f aca="false">IF($A697="",0,INT(($A697-Macrociclo!$C$11)/7)+1)</f>
        <v>0</v>
      </c>
      <c r="C697" s="27"/>
      <c r="D697" s="27"/>
      <c r="E697" s="27"/>
      <c r="F697" s="39"/>
      <c r="G697" s="28"/>
      <c r="H697" s="28"/>
      <c r="I697" s="39"/>
      <c r="J697" s="39"/>
      <c r="K697" s="71"/>
      <c r="L697" s="28"/>
      <c r="M697" s="27"/>
    </row>
    <row r="698" customFormat="false" ht="15" hidden="false" customHeight="false" outlineLevel="0" collapsed="false">
      <c r="A698" s="29"/>
      <c r="B698" s="40" t="n">
        <f aca="false">IF($A698="",0,INT(($A698-Macrociclo!$C$11)/7)+1)</f>
        <v>0</v>
      </c>
      <c r="C698" s="27"/>
      <c r="D698" s="27"/>
      <c r="E698" s="27"/>
      <c r="F698" s="39"/>
      <c r="G698" s="28"/>
      <c r="H698" s="28"/>
      <c r="I698" s="39"/>
      <c r="J698" s="39"/>
      <c r="K698" s="71"/>
      <c r="L698" s="28"/>
      <c r="M698" s="27"/>
    </row>
    <row r="699" customFormat="false" ht="15" hidden="false" customHeight="false" outlineLevel="0" collapsed="false">
      <c r="A699" s="29"/>
      <c r="B699" s="40" t="n">
        <f aca="false">IF($A699="",0,INT(($A699-Macrociclo!$C$11)/7)+1)</f>
        <v>0</v>
      </c>
      <c r="C699" s="27"/>
      <c r="D699" s="27"/>
      <c r="E699" s="27"/>
      <c r="F699" s="39"/>
      <c r="G699" s="28"/>
      <c r="H699" s="28"/>
      <c r="I699" s="39"/>
      <c r="J699" s="39"/>
      <c r="K699" s="71"/>
      <c r="L699" s="28"/>
      <c r="M699" s="27"/>
    </row>
    <row r="700" customFormat="false" ht="15" hidden="false" customHeight="false" outlineLevel="0" collapsed="false">
      <c r="A700" s="29"/>
      <c r="B700" s="40" t="n">
        <f aca="false">IF($A700="",0,INT(($A700-Macrociclo!$C$11)/7)+1)</f>
        <v>0</v>
      </c>
      <c r="C700" s="27"/>
      <c r="D700" s="27"/>
      <c r="E700" s="27"/>
      <c r="F700" s="39"/>
      <c r="G700" s="28"/>
      <c r="H700" s="28"/>
      <c r="I700" s="39"/>
      <c r="J700" s="39"/>
      <c r="K700" s="71"/>
      <c r="L700" s="28"/>
      <c r="M700" s="27"/>
    </row>
    <row r="701" customFormat="false" ht="15" hidden="false" customHeight="false" outlineLevel="0" collapsed="false">
      <c r="A701" s="29"/>
      <c r="B701" s="40" t="n">
        <f aca="false">IF($A701="",0,INT(($A701-Macrociclo!$C$11)/7)+1)</f>
        <v>0</v>
      </c>
      <c r="C701" s="27"/>
      <c r="D701" s="27"/>
      <c r="E701" s="27"/>
      <c r="F701" s="39"/>
      <c r="G701" s="28"/>
      <c r="H701" s="28"/>
      <c r="I701" s="39"/>
      <c r="J701" s="39"/>
      <c r="K701" s="71"/>
      <c r="L701" s="28"/>
      <c r="M701" s="27"/>
    </row>
    <row r="702" customFormat="false" ht="15" hidden="false" customHeight="false" outlineLevel="0" collapsed="false">
      <c r="A702" s="29"/>
      <c r="B702" s="40" t="n">
        <f aca="false">IF($A702="",0,INT(($A702-Macrociclo!$C$11)/7)+1)</f>
        <v>0</v>
      </c>
      <c r="C702" s="27"/>
      <c r="D702" s="27"/>
      <c r="E702" s="27"/>
      <c r="F702" s="39"/>
      <c r="G702" s="28"/>
      <c r="H702" s="28"/>
      <c r="I702" s="39"/>
      <c r="J702" s="39"/>
      <c r="K702" s="71"/>
      <c r="L702" s="28"/>
      <c r="M702" s="27"/>
    </row>
    <row r="703" customFormat="false" ht="15" hidden="false" customHeight="false" outlineLevel="0" collapsed="false">
      <c r="A703" s="29"/>
      <c r="B703" s="40" t="n">
        <f aca="false">IF($A703="",0,INT(($A703-Macrociclo!$C$11)/7)+1)</f>
        <v>0</v>
      </c>
      <c r="C703" s="27"/>
      <c r="D703" s="27"/>
      <c r="E703" s="27"/>
      <c r="F703" s="39"/>
      <c r="G703" s="28"/>
      <c r="H703" s="28"/>
      <c r="I703" s="39"/>
      <c r="J703" s="39"/>
      <c r="K703" s="71"/>
      <c r="L703" s="28"/>
      <c r="M703" s="27"/>
    </row>
    <row r="704" customFormat="false" ht="15" hidden="false" customHeight="false" outlineLevel="0" collapsed="false">
      <c r="A704" s="29"/>
      <c r="B704" s="40" t="n">
        <f aca="false">IF($A704="",0,INT(($A704-Macrociclo!$C$11)/7)+1)</f>
        <v>0</v>
      </c>
      <c r="C704" s="27"/>
      <c r="D704" s="27"/>
      <c r="E704" s="27"/>
      <c r="F704" s="39"/>
      <c r="G704" s="28"/>
      <c r="H704" s="28"/>
      <c r="I704" s="39"/>
      <c r="J704" s="39"/>
      <c r="K704" s="71"/>
      <c r="L704" s="28"/>
      <c r="M704" s="27"/>
    </row>
    <row r="705" customFormat="false" ht="15" hidden="false" customHeight="false" outlineLevel="0" collapsed="false">
      <c r="A705" s="29"/>
      <c r="B705" s="40" t="n">
        <f aca="false">IF($A705="",0,INT(($A705-Macrociclo!$C$11)/7)+1)</f>
        <v>0</v>
      </c>
      <c r="C705" s="27"/>
      <c r="D705" s="27"/>
      <c r="E705" s="27"/>
      <c r="F705" s="39"/>
      <c r="G705" s="28"/>
      <c r="H705" s="28"/>
      <c r="I705" s="39"/>
      <c r="J705" s="39"/>
      <c r="K705" s="71"/>
      <c r="L705" s="28"/>
      <c r="M705" s="27"/>
    </row>
    <row r="706" customFormat="false" ht="15" hidden="false" customHeight="false" outlineLevel="0" collapsed="false">
      <c r="A706" s="29"/>
      <c r="B706" s="40" t="n">
        <f aca="false">IF($A706="",0,INT(($A706-Macrociclo!$C$11)/7)+1)</f>
        <v>0</v>
      </c>
      <c r="C706" s="27"/>
      <c r="D706" s="27"/>
      <c r="E706" s="27"/>
      <c r="F706" s="39"/>
      <c r="G706" s="28"/>
      <c r="H706" s="28"/>
      <c r="I706" s="39"/>
      <c r="J706" s="39"/>
      <c r="K706" s="71"/>
      <c r="L706" s="28"/>
      <c r="M706" s="27"/>
    </row>
    <row r="707" customFormat="false" ht="15" hidden="false" customHeight="false" outlineLevel="0" collapsed="false">
      <c r="A707" s="29"/>
      <c r="B707" s="40" t="n">
        <f aca="false">IF($A707="",0,INT(($A707-Macrociclo!$C$11)/7)+1)</f>
        <v>0</v>
      </c>
      <c r="C707" s="27"/>
      <c r="D707" s="27"/>
      <c r="E707" s="27"/>
      <c r="F707" s="39"/>
      <c r="G707" s="28"/>
      <c r="H707" s="28"/>
      <c r="I707" s="39"/>
      <c r="J707" s="39"/>
      <c r="K707" s="71"/>
      <c r="L707" s="28"/>
      <c r="M707" s="27"/>
    </row>
    <row r="708" customFormat="false" ht="15" hidden="false" customHeight="false" outlineLevel="0" collapsed="false">
      <c r="A708" s="29"/>
      <c r="B708" s="40" t="n">
        <f aca="false">IF($A708="",0,INT(($A708-Macrociclo!$C$11)/7)+1)</f>
        <v>0</v>
      </c>
      <c r="C708" s="27"/>
      <c r="D708" s="27"/>
      <c r="E708" s="27"/>
      <c r="F708" s="39"/>
      <c r="G708" s="28"/>
      <c r="H708" s="28"/>
      <c r="I708" s="39"/>
      <c r="J708" s="39"/>
      <c r="K708" s="71"/>
      <c r="L708" s="28"/>
      <c r="M708" s="27"/>
    </row>
    <row r="709" customFormat="false" ht="15" hidden="false" customHeight="false" outlineLevel="0" collapsed="false">
      <c r="A709" s="29"/>
      <c r="B709" s="40" t="n">
        <f aca="false">IF($A709="",0,INT(($A709-Macrociclo!$C$11)/7)+1)</f>
        <v>0</v>
      </c>
      <c r="C709" s="27"/>
      <c r="D709" s="27"/>
      <c r="E709" s="27"/>
      <c r="F709" s="39"/>
      <c r="G709" s="28"/>
      <c r="H709" s="28"/>
      <c r="I709" s="39"/>
      <c r="J709" s="39"/>
      <c r="K709" s="71"/>
      <c r="L709" s="28"/>
      <c r="M709" s="27"/>
    </row>
    <row r="710" customFormat="false" ht="15" hidden="false" customHeight="false" outlineLevel="0" collapsed="false">
      <c r="A710" s="29"/>
      <c r="B710" s="40" t="n">
        <f aca="false">IF($A710="",0,INT(($A710-Macrociclo!$C$11)/7)+1)</f>
        <v>0</v>
      </c>
      <c r="C710" s="27"/>
      <c r="D710" s="27"/>
      <c r="E710" s="27"/>
      <c r="F710" s="39"/>
      <c r="G710" s="28"/>
      <c r="H710" s="28"/>
      <c r="I710" s="39"/>
      <c r="J710" s="39"/>
      <c r="K710" s="71"/>
      <c r="L710" s="28"/>
      <c r="M710" s="27"/>
    </row>
    <row r="711" customFormat="false" ht="15" hidden="false" customHeight="false" outlineLevel="0" collapsed="false">
      <c r="A711" s="29"/>
      <c r="B711" s="40" t="n">
        <f aca="false">IF($A711="",0,INT(($A711-Macrociclo!$C$11)/7)+1)</f>
        <v>0</v>
      </c>
      <c r="C711" s="27"/>
      <c r="D711" s="27"/>
      <c r="E711" s="27"/>
      <c r="F711" s="39"/>
      <c r="G711" s="28"/>
      <c r="H711" s="28"/>
      <c r="I711" s="39"/>
      <c r="J711" s="39"/>
      <c r="K711" s="71"/>
      <c r="L711" s="28"/>
      <c r="M711" s="27"/>
    </row>
    <row r="712" customFormat="false" ht="15" hidden="false" customHeight="false" outlineLevel="0" collapsed="false">
      <c r="A712" s="29"/>
      <c r="B712" s="40" t="n">
        <f aca="false">IF($A712="",0,INT(($A712-Macrociclo!$C$11)/7)+1)</f>
        <v>0</v>
      </c>
      <c r="C712" s="27"/>
      <c r="D712" s="27"/>
      <c r="E712" s="27"/>
      <c r="F712" s="39"/>
      <c r="G712" s="28"/>
      <c r="H712" s="28"/>
      <c r="I712" s="39"/>
      <c r="J712" s="39"/>
      <c r="K712" s="71"/>
      <c r="L712" s="28"/>
      <c r="M712" s="27"/>
    </row>
    <row r="713" customFormat="false" ht="15" hidden="false" customHeight="false" outlineLevel="0" collapsed="false">
      <c r="A713" s="29"/>
      <c r="B713" s="40" t="n">
        <f aca="false">IF($A713="",0,INT(($A713-Macrociclo!$C$11)/7)+1)</f>
        <v>0</v>
      </c>
      <c r="C713" s="27"/>
      <c r="D713" s="27"/>
      <c r="E713" s="27"/>
      <c r="F713" s="39"/>
      <c r="G713" s="28"/>
      <c r="H713" s="28"/>
      <c r="I713" s="39"/>
      <c r="J713" s="39"/>
      <c r="K713" s="71"/>
      <c r="L713" s="28"/>
      <c r="M713" s="27"/>
    </row>
    <row r="714" customFormat="false" ht="15" hidden="false" customHeight="false" outlineLevel="0" collapsed="false">
      <c r="A714" s="29"/>
      <c r="B714" s="40" t="n">
        <f aca="false">IF($A714="",0,INT(($A714-Macrociclo!$C$11)/7)+1)</f>
        <v>0</v>
      </c>
      <c r="C714" s="27"/>
      <c r="D714" s="27"/>
      <c r="E714" s="27"/>
      <c r="F714" s="39"/>
      <c r="G714" s="28"/>
      <c r="H714" s="28"/>
      <c r="I714" s="39"/>
      <c r="J714" s="39"/>
      <c r="K714" s="71"/>
      <c r="L714" s="28"/>
      <c r="M714" s="27"/>
    </row>
    <row r="715" customFormat="false" ht="15" hidden="false" customHeight="false" outlineLevel="0" collapsed="false">
      <c r="A715" s="29"/>
      <c r="B715" s="40" t="n">
        <f aca="false">IF($A715="",0,INT(($A715-Macrociclo!$C$11)/7)+1)</f>
        <v>0</v>
      </c>
      <c r="C715" s="27"/>
      <c r="D715" s="27"/>
      <c r="E715" s="27"/>
      <c r="F715" s="39"/>
      <c r="G715" s="28"/>
      <c r="H715" s="28"/>
      <c r="I715" s="39"/>
      <c r="J715" s="39"/>
      <c r="K715" s="71"/>
      <c r="L715" s="28"/>
      <c r="M715" s="27"/>
    </row>
    <row r="716" customFormat="false" ht="15" hidden="false" customHeight="false" outlineLevel="0" collapsed="false">
      <c r="A716" s="29"/>
      <c r="B716" s="40" t="n">
        <f aca="false">IF($A716="",0,INT(($A716-Macrociclo!$C$11)/7)+1)</f>
        <v>0</v>
      </c>
      <c r="C716" s="27"/>
      <c r="D716" s="27"/>
      <c r="E716" s="27"/>
      <c r="F716" s="39"/>
      <c r="G716" s="28"/>
      <c r="H716" s="28"/>
      <c r="I716" s="39"/>
      <c r="J716" s="39"/>
      <c r="K716" s="71"/>
      <c r="L716" s="28"/>
      <c r="M716" s="27"/>
    </row>
    <row r="717" customFormat="false" ht="15" hidden="false" customHeight="false" outlineLevel="0" collapsed="false">
      <c r="A717" s="29"/>
      <c r="B717" s="40" t="n">
        <f aca="false">IF($A717="",0,INT(($A717-Macrociclo!$C$11)/7)+1)</f>
        <v>0</v>
      </c>
      <c r="C717" s="27"/>
      <c r="D717" s="27"/>
      <c r="E717" s="27"/>
      <c r="F717" s="39"/>
      <c r="G717" s="28"/>
      <c r="H717" s="28"/>
      <c r="I717" s="39"/>
      <c r="J717" s="39"/>
      <c r="K717" s="71"/>
      <c r="L717" s="28"/>
      <c r="M717" s="27"/>
    </row>
    <row r="718" customFormat="false" ht="15" hidden="false" customHeight="false" outlineLevel="0" collapsed="false">
      <c r="A718" s="29"/>
      <c r="B718" s="40" t="n">
        <f aca="false">IF($A718="",0,INT(($A718-Macrociclo!$C$11)/7)+1)</f>
        <v>0</v>
      </c>
      <c r="C718" s="27"/>
      <c r="D718" s="27"/>
      <c r="E718" s="27"/>
      <c r="F718" s="39"/>
      <c r="G718" s="28"/>
      <c r="H718" s="28"/>
      <c r="I718" s="39"/>
      <c r="J718" s="39"/>
      <c r="K718" s="71"/>
      <c r="L718" s="28"/>
      <c r="M718" s="27"/>
    </row>
    <row r="719" customFormat="false" ht="15" hidden="false" customHeight="false" outlineLevel="0" collapsed="false">
      <c r="A719" s="29"/>
      <c r="B719" s="40" t="n">
        <f aca="false">IF($A719="",0,INT(($A719-Macrociclo!$C$11)/7)+1)</f>
        <v>0</v>
      </c>
      <c r="C719" s="27"/>
      <c r="D719" s="27"/>
      <c r="E719" s="27"/>
      <c r="F719" s="39"/>
      <c r="G719" s="28"/>
      <c r="H719" s="28"/>
      <c r="I719" s="39"/>
      <c r="J719" s="39"/>
      <c r="K719" s="71"/>
      <c r="L719" s="28"/>
      <c r="M719" s="27"/>
    </row>
    <row r="720" customFormat="false" ht="15" hidden="false" customHeight="false" outlineLevel="0" collapsed="false">
      <c r="A720" s="29"/>
      <c r="B720" s="40" t="n">
        <f aca="false">IF($A720="",0,INT(($A720-Macrociclo!$C$11)/7)+1)</f>
        <v>0</v>
      </c>
      <c r="C720" s="27"/>
      <c r="D720" s="27"/>
      <c r="E720" s="27"/>
      <c r="F720" s="39"/>
      <c r="G720" s="28"/>
      <c r="H720" s="28"/>
      <c r="I720" s="39"/>
      <c r="J720" s="39"/>
      <c r="K720" s="71"/>
      <c r="L720" s="28"/>
      <c r="M720" s="27"/>
    </row>
    <row r="721" customFormat="false" ht="15" hidden="false" customHeight="false" outlineLevel="0" collapsed="false">
      <c r="A721" s="29"/>
      <c r="B721" s="40" t="n">
        <f aca="false">IF($A721="",0,INT(($A721-Macrociclo!$C$11)/7)+1)</f>
        <v>0</v>
      </c>
      <c r="C721" s="27"/>
      <c r="D721" s="27"/>
      <c r="E721" s="27"/>
      <c r="F721" s="39"/>
      <c r="G721" s="28"/>
      <c r="H721" s="28"/>
      <c r="I721" s="39"/>
      <c r="J721" s="39"/>
      <c r="K721" s="71"/>
      <c r="L721" s="28"/>
      <c r="M721" s="27"/>
    </row>
    <row r="722" customFormat="false" ht="15" hidden="false" customHeight="false" outlineLevel="0" collapsed="false">
      <c r="A722" s="29"/>
      <c r="B722" s="40" t="n">
        <f aca="false">IF($A722="",0,INT(($A722-Macrociclo!$C$11)/7)+1)</f>
        <v>0</v>
      </c>
      <c r="C722" s="27"/>
      <c r="D722" s="27"/>
      <c r="E722" s="27"/>
      <c r="F722" s="39"/>
      <c r="G722" s="28"/>
      <c r="H722" s="28"/>
      <c r="I722" s="39"/>
      <c r="J722" s="39"/>
      <c r="K722" s="71"/>
      <c r="L722" s="28"/>
      <c r="M722" s="27"/>
    </row>
    <row r="723" customFormat="false" ht="15" hidden="false" customHeight="false" outlineLevel="0" collapsed="false">
      <c r="A723" s="29"/>
      <c r="B723" s="40" t="n">
        <f aca="false">IF($A723="",0,INT(($A723-Macrociclo!$C$11)/7)+1)</f>
        <v>0</v>
      </c>
      <c r="C723" s="27"/>
      <c r="D723" s="27"/>
      <c r="E723" s="27"/>
      <c r="F723" s="39"/>
      <c r="G723" s="28"/>
      <c r="H723" s="28"/>
      <c r="I723" s="39"/>
      <c r="J723" s="39"/>
      <c r="K723" s="71"/>
      <c r="L723" s="28"/>
      <c r="M723" s="27"/>
    </row>
    <row r="724" customFormat="false" ht="15" hidden="false" customHeight="false" outlineLevel="0" collapsed="false">
      <c r="A724" s="29"/>
      <c r="B724" s="40" t="n">
        <f aca="false">IF($A724="",0,INT(($A724-Macrociclo!$C$11)/7)+1)</f>
        <v>0</v>
      </c>
      <c r="C724" s="27"/>
      <c r="D724" s="27"/>
      <c r="E724" s="27"/>
      <c r="F724" s="39"/>
      <c r="G724" s="28"/>
      <c r="H724" s="28"/>
      <c r="I724" s="39"/>
      <c r="J724" s="39"/>
      <c r="K724" s="71"/>
      <c r="L724" s="28"/>
      <c r="M724" s="27"/>
    </row>
    <row r="725" customFormat="false" ht="15" hidden="false" customHeight="false" outlineLevel="0" collapsed="false">
      <c r="A725" s="29"/>
      <c r="B725" s="40" t="n">
        <f aca="false">IF($A725="",0,INT(($A725-Macrociclo!$C$11)/7)+1)</f>
        <v>0</v>
      </c>
      <c r="C725" s="27"/>
      <c r="D725" s="27"/>
      <c r="E725" s="27"/>
      <c r="F725" s="39"/>
      <c r="G725" s="28"/>
      <c r="H725" s="28"/>
      <c r="I725" s="39"/>
      <c r="J725" s="39"/>
      <c r="K725" s="71"/>
      <c r="L725" s="28"/>
      <c r="M725" s="27"/>
    </row>
    <row r="726" customFormat="false" ht="15" hidden="false" customHeight="false" outlineLevel="0" collapsed="false">
      <c r="A726" s="29"/>
      <c r="B726" s="40" t="n">
        <f aca="false">IF($A726="",0,INT(($A726-Macrociclo!$C$11)/7)+1)</f>
        <v>0</v>
      </c>
      <c r="C726" s="27"/>
      <c r="D726" s="27"/>
      <c r="E726" s="27"/>
      <c r="F726" s="39"/>
      <c r="G726" s="28"/>
      <c r="H726" s="28"/>
      <c r="I726" s="39"/>
      <c r="J726" s="39"/>
      <c r="K726" s="71"/>
      <c r="L726" s="28"/>
      <c r="M726" s="27"/>
    </row>
    <row r="727" customFormat="false" ht="15" hidden="false" customHeight="false" outlineLevel="0" collapsed="false">
      <c r="A727" s="29"/>
      <c r="B727" s="40" t="n">
        <f aca="false">IF($A727="",0,INT(($A727-Macrociclo!$C$11)/7)+1)</f>
        <v>0</v>
      </c>
      <c r="C727" s="27"/>
      <c r="D727" s="27"/>
      <c r="E727" s="27"/>
      <c r="F727" s="39"/>
      <c r="G727" s="28"/>
      <c r="H727" s="28"/>
      <c r="I727" s="39"/>
      <c r="J727" s="39"/>
      <c r="K727" s="71"/>
      <c r="L727" s="28"/>
      <c r="M727" s="27"/>
    </row>
    <row r="728" customFormat="false" ht="15" hidden="false" customHeight="false" outlineLevel="0" collapsed="false">
      <c r="A728" s="29"/>
      <c r="B728" s="40" t="n">
        <f aca="false">IF($A728="",0,INT(($A728-Macrociclo!$C$11)/7)+1)</f>
        <v>0</v>
      </c>
      <c r="C728" s="27"/>
      <c r="D728" s="27"/>
      <c r="E728" s="27"/>
      <c r="F728" s="39"/>
      <c r="G728" s="28"/>
      <c r="H728" s="28"/>
      <c r="I728" s="39"/>
      <c r="J728" s="39"/>
      <c r="K728" s="71"/>
      <c r="L728" s="28"/>
      <c r="M728" s="27"/>
    </row>
    <row r="729" customFormat="false" ht="15" hidden="false" customHeight="false" outlineLevel="0" collapsed="false">
      <c r="A729" s="29"/>
      <c r="B729" s="40" t="n">
        <f aca="false">IF($A729="",0,INT(($A729-Macrociclo!$C$11)/7)+1)</f>
        <v>0</v>
      </c>
      <c r="C729" s="27"/>
      <c r="D729" s="27"/>
      <c r="E729" s="27"/>
      <c r="F729" s="39"/>
      <c r="G729" s="28"/>
      <c r="H729" s="28"/>
      <c r="I729" s="39"/>
      <c r="J729" s="39"/>
      <c r="K729" s="71"/>
      <c r="L729" s="28"/>
      <c r="M729" s="27"/>
    </row>
    <row r="730" customFormat="false" ht="15" hidden="false" customHeight="false" outlineLevel="0" collapsed="false">
      <c r="A730" s="29"/>
      <c r="B730" s="40" t="n">
        <f aca="false">IF($A730="",0,INT(($A730-Macrociclo!$C$11)/7)+1)</f>
        <v>0</v>
      </c>
      <c r="C730" s="27"/>
      <c r="D730" s="27"/>
      <c r="E730" s="27"/>
      <c r="F730" s="39"/>
      <c r="G730" s="28"/>
      <c r="H730" s="28"/>
      <c r="I730" s="39"/>
      <c r="J730" s="39"/>
      <c r="K730" s="71"/>
      <c r="L730" s="28"/>
      <c r="M730" s="27"/>
    </row>
    <row r="731" customFormat="false" ht="15" hidden="false" customHeight="false" outlineLevel="0" collapsed="false">
      <c r="A731" s="29"/>
      <c r="B731" s="40" t="n">
        <f aca="false">IF($A731="",0,INT(($A731-Macrociclo!$C$11)/7)+1)</f>
        <v>0</v>
      </c>
      <c r="C731" s="27"/>
      <c r="D731" s="27"/>
      <c r="E731" s="27"/>
      <c r="F731" s="39"/>
      <c r="G731" s="28"/>
      <c r="H731" s="28"/>
      <c r="I731" s="39"/>
      <c r="J731" s="39"/>
      <c r="K731" s="71"/>
      <c r="L731" s="28"/>
      <c r="M731" s="27"/>
    </row>
    <row r="732" customFormat="false" ht="15" hidden="false" customHeight="false" outlineLevel="0" collapsed="false">
      <c r="A732" s="29"/>
      <c r="B732" s="40" t="n">
        <f aca="false">IF($A732="",0,INT(($A732-Macrociclo!$C$11)/7)+1)</f>
        <v>0</v>
      </c>
      <c r="C732" s="27"/>
      <c r="D732" s="27"/>
      <c r="E732" s="27"/>
      <c r="F732" s="39"/>
      <c r="G732" s="28"/>
      <c r="H732" s="28"/>
      <c r="I732" s="39"/>
      <c r="J732" s="39"/>
      <c r="K732" s="71"/>
      <c r="L732" s="28"/>
      <c r="M732" s="27"/>
    </row>
    <row r="733" customFormat="false" ht="15" hidden="false" customHeight="false" outlineLevel="0" collapsed="false">
      <c r="A733" s="29"/>
      <c r="B733" s="40" t="n">
        <f aca="false">IF($A733="",0,INT(($A733-Macrociclo!$C$11)/7)+1)</f>
        <v>0</v>
      </c>
      <c r="C733" s="27"/>
      <c r="D733" s="27"/>
      <c r="E733" s="27"/>
      <c r="F733" s="39"/>
      <c r="G733" s="28"/>
      <c r="H733" s="28"/>
      <c r="I733" s="39"/>
      <c r="J733" s="39"/>
      <c r="K733" s="71"/>
      <c r="L733" s="28"/>
      <c r="M733" s="27"/>
    </row>
    <row r="734" customFormat="false" ht="15" hidden="false" customHeight="false" outlineLevel="0" collapsed="false">
      <c r="A734" s="29"/>
      <c r="B734" s="40" t="n">
        <f aca="false">IF($A734="",0,INT(($A734-Macrociclo!$C$11)/7)+1)</f>
        <v>0</v>
      </c>
      <c r="C734" s="27"/>
      <c r="D734" s="27"/>
      <c r="E734" s="27"/>
      <c r="F734" s="39"/>
      <c r="G734" s="28"/>
      <c r="H734" s="28"/>
      <c r="I734" s="39"/>
      <c r="J734" s="39"/>
      <c r="K734" s="71"/>
      <c r="L734" s="28"/>
      <c r="M734" s="27"/>
    </row>
    <row r="735" customFormat="false" ht="15" hidden="false" customHeight="false" outlineLevel="0" collapsed="false">
      <c r="A735" s="29"/>
      <c r="B735" s="40" t="n">
        <f aca="false">IF($A735="",0,INT(($A735-Macrociclo!$C$11)/7)+1)</f>
        <v>0</v>
      </c>
      <c r="C735" s="27"/>
      <c r="D735" s="27"/>
      <c r="E735" s="27"/>
      <c r="F735" s="39"/>
      <c r="G735" s="28"/>
      <c r="H735" s="28"/>
      <c r="I735" s="39"/>
      <c r="J735" s="39"/>
      <c r="K735" s="71"/>
      <c r="L735" s="28"/>
      <c r="M735" s="27"/>
    </row>
    <row r="736" customFormat="false" ht="15" hidden="false" customHeight="false" outlineLevel="0" collapsed="false">
      <c r="A736" s="29"/>
      <c r="B736" s="40" t="n">
        <f aca="false">IF($A736="",0,INT(($A736-Macrociclo!$C$11)/7)+1)</f>
        <v>0</v>
      </c>
      <c r="C736" s="27"/>
      <c r="D736" s="27"/>
      <c r="E736" s="27"/>
      <c r="F736" s="39"/>
      <c r="G736" s="28"/>
      <c r="H736" s="28"/>
      <c r="I736" s="39"/>
      <c r="J736" s="39"/>
      <c r="K736" s="71"/>
      <c r="L736" s="28"/>
      <c r="M736" s="27"/>
    </row>
    <row r="737" customFormat="false" ht="15" hidden="false" customHeight="false" outlineLevel="0" collapsed="false">
      <c r="A737" s="29"/>
      <c r="B737" s="40" t="n">
        <f aca="false">IF($A737="",0,INT(($A737-Macrociclo!$C$11)/7)+1)</f>
        <v>0</v>
      </c>
      <c r="C737" s="27"/>
      <c r="D737" s="27"/>
      <c r="E737" s="27"/>
      <c r="F737" s="39"/>
      <c r="G737" s="28"/>
      <c r="H737" s="28"/>
      <c r="I737" s="39"/>
      <c r="J737" s="39"/>
      <c r="K737" s="71"/>
      <c r="L737" s="28"/>
      <c r="M737" s="27"/>
    </row>
    <row r="738" customFormat="false" ht="15" hidden="false" customHeight="false" outlineLevel="0" collapsed="false">
      <c r="A738" s="29"/>
      <c r="B738" s="40" t="n">
        <f aca="false">IF($A738="",0,INT(($A738-Macrociclo!$C$11)/7)+1)</f>
        <v>0</v>
      </c>
      <c r="C738" s="27"/>
      <c r="D738" s="27"/>
      <c r="E738" s="27"/>
      <c r="F738" s="39"/>
      <c r="G738" s="28"/>
      <c r="H738" s="28"/>
      <c r="I738" s="39"/>
      <c r="J738" s="39"/>
      <c r="K738" s="71"/>
      <c r="L738" s="28"/>
      <c r="M738" s="27"/>
    </row>
    <row r="739" customFormat="false" ht="15" hidden="false" customHeight="false" outlineLevel="0" collapsed="false">
      <c r="A739" s="29"/>
      <c r="B739" s="40" t="n">
        <f aca="false">IF($A739="",0,INT(($A739-Macrociclo!$C$11)/7)+1)</f>
        <v>0</v>
      </c>
      <c r="C739" s="27"/>
      <c r="D739" s="27"/>
      <c r="E739" s="27"/>
      <c r="F739" s="39"/>
      <c r="G739" s="28"/>
      <c r="H739" s="28"/>
      <c r="I739" s="39"/>
      <c r="J739" s="39"/>
      <c r="K739" s="71"/>
      <c r="L739" s="28"/>
      <c r="M739" s="27"/>
    </row>
    <row r="740" customFormat="false" ht="15" hidden="false" customHeight="false" outlineLevel="0" collapsed="false">
      <c r="A740" s="29"/>
      <c r="B740" s="40" t="n">
        <f aca="false">IF($A740="",0,INT(($A740-Macrociclo!$C$11)/7)+1)</f>
        <v>0</v>
      </c>
      <c r="C740" s="27"/>
      <c r="D740" s="27"/>
      <c r="E740" s="27"/>
      <c r="F740" s="39"/>
      <c r="G740" s="28"/>
      <c r="H740" s="28"/>
      <c r="I740" s="39"/>
      <c r="J740" s="39"/>
      <c r="K740" s="71"/>
      <c r="L740" s="28"/>
      <c r="M740" s="27"/>
    </row>
    <row r="741" customFormat="false" ht="15" hidden="false" customHeight="false" outlineLevel="0" collapsed="false">
      <c r="A741" s="29"/>
      <c r="B741" s="40" t="n">
        <f aca="false">IF($A741="",0,INT(($A741-Macrociclo!$C$11)/7)+1)</f>
        <v>0</v>
      </c>
      <c r="C741" s="27"/>
      <c r="D741" s="27"/>
      <c r="E741" s="27"/>
      <c r="F741" s="39"/>
      <c r="G741" s="28"/>
      <c r="H741" s="28"/>
      <c r="I741" s="39"/>
      <c r="J741" s="39"/>
      <c r="K741" s="71"/>
      <c r="L741" s="28"/>
      <c r="M741" s="27"/>
    </row>
    <row r="742" customFormat="false" ht="15" hidden="false" customHeight="false" outlineLevel="0" collapsed="false">
      <c r="A742" s="29"/>
      <c r="B742" s="40" t="n">
        <f aca="false">IF($A742="",0,INT(($A742-Macrociclo!$C$11)/7)+1)</f>
        <v>0</v>
      </c>
      <c r="C742" s="27"/>
      <c r="D742" s="27"/>
      <c r="E742" s="27"/>
      <c r="F742" s="39"/>
      <c r="G742" s="28"/>
      <c r="H742" s="28"/>
      <c r="I742" s="39"/>
      <c r="J742" s="39"/>
      <c r="K742" s="71"/>
      <c r="L742" s="28"/>
      <c r="M742" s="27"/>
    </row>
    <row r="743" customFormat="false" ht="15" hidden="false" customHeight="false" outlineLevel="0" collapsed="false">
      <c r="A743" s="29"/>
      <c r="B743" s="40" t="n">
        <f aca="false">IF($A743="",0,INT(($A743-Macrociclo!$C$11)/7)+1)</f>
        <v>0</v>
      </c>
      <c r="C743" s="27"/>
      <c r="D743" s="27"/>
      <c r="E743" s="27"/>
      <c r="F743" s="39"/>
      <c r="G743" s="28"/>
      <c r="H743" s="28"/>
      <c r="I743" s="39"/>
      <c r="J743" s="39"/>
      <c r="K743" s="71"/>
      <c r="L743" s="28"/>
      <c r="M743" s="27"/>
    </row>
    <row r="744" customFormat="false" ht="15" hidden="false" customHeight="false" outlineLevel="0" collapsed="false">
      <c r="A744" s="29"/>
      <c r="B744" s="40" t="n">
        <f aca="false">IF($A744="",0,INT(($A744-Macrociclo!$C$11)/7)+1)</f>
        <v>0</v>
      </c>
      <c r="C744" s="27"/>
      <c r="D744" s="27"/>
      <c r="E744" s="27"/>
      <c r="F744" s="39"/>
      <c r="G744" s="28"/>
      <c r="H744" s="28"/>
      <c r="I744" s="39"/>
      <c r="J744" s="39"/>
      <c r="K744" s="71"/>
      <c r="L744" s="28"/>
      <c r="M744" s="27"/>
    </row>
    <row r="745" customFormat="false" ht="15" hidden="false" customHeight="false" outlineLevel="0" collapsed="false">
      <c r="A745" s="29"/>
      <c r="B745" s="40" t="n">
        <f aca="false">IF($A745="",0,INT(($A745-Macrociclo!$C$11)/7)+1)</f>
        <v>0</v>
      </c>
      <c r="C745" s="27"/>
      <c r="D745" s="27"/>
      <c r="E745" s="27"/>
      <c r="F745" s="39"/>
      <c r="G745" s="28"/>
      <c r="H745" s="28"/>
      <c r="I745" s="39"/>
      <c r="J745" s="39"/>
      <c r="K745" s="71"/>
      <c r="L745" s="28"/>
      <c r="M745" s="27"/>
    </row>
    <row r="746" customFormat="false" ht="15" hidden="false" customHeight="false" outlineLevel="0" collapsed="false">
      <c r="A746" s="29"/>
      <c r="B746" s="40" t="n">
        <f aca="false">IF($A746="",0,INT(($A746-Macrociclo!$C$11)/7)+1)</f>
        <v>0</v>
      </c>
      <c r="C746" s="27"/>
      <c r="D746" s="27"/>
      <c r="E746" s="27"/>
      <c r="F746" s="39"/>
      <c r="G746" s="28"/>
      <c r="H746" s="28"/>
      <c r="I746" s="39"/>
      <c r="J746" s="39"/>
      <c r="K746" s="71"/>
      <c r="L746" s="28"/>
      <c r="M746" s="27"/>
    </row>
    <row r="747" customFormat="false" ht="15" hidden="false" customHeight="false" outlineLevel="0" collapsed="false">
      <c r="A747" s="29"/>
      <c r="B747" s="40" t="n">
        <f aca="false">IF($A747="",0,INT(($A747-Macrociclo!$C$11)/7)+1)</f>
        <v>0</v>
      </c>
      <c r="C747" s="27"/>
      <c r="D747" s="27"/>
      <c r="E747" s="27"/>
      <c r="F747" s="39"/>
      <c r="G747" s="28"/>
      <c r="H747" s="28"/>
      <c r="I747" s="39"/>
      <c r="J747" s="39"/>
      <c r="K747" s="71"/>
      <c r="L747" s="28"/>
      <c r="M747" s="27"/>
    </row>
    <row r="748" customFormat="false" ht="15" hidden="false" customHeight="false" outlineLevel="0" collapsed="false">
      <c r="A748" s="29"/>
      <c r="B748" s="40" t="n">
        <f aca="false">IF($A748="",0,INT(($A748-Macrociclo!$C$11)/7)+1)</f>
        <v>0</v>
      </c>
      <c r="C748" s="27"/>
      <c r="D748" s="27"/>
      <c r="E748" s="27"/>
      <c r="F748" s="39"/>
      <c r="G748" s="28"/>
      <c r="H748" s="28"/>
      <c r="I748" s="39"/>
      <c r="J748" s="39"/>
      <c r="K748" s="71"/>
      <c r="L748" s="28"/>
      <c r="M748" s="27"/>
    </row>
    <row r="749" customFormat="false" ht="15" hidden="false" customHeight="false" outlineLevel="0" collapsed="false">
      <c r="A749" s="29"/>
      <c r="B749" s="40" t="n">
        <f aca="false">IF($A749="",0,INT(($A749-Macrociclo!$C$11)/7)+1)</f>
        <v>0</v>
      </c>
      <c r="C749" s="27"/>
      <c r="D749" s="27"/>
      <c r="E749" s="27"/>
      <c r="F749" s="39"/>
      <c r="G749" s="28"/>
      <c r="H749" s="28"/>
      <c r="I749" s="39"/>
      <c r="J749" s="39"/>
      <c r="K749" s="71"/>
      <c r="L749" s="28"/>
      <c r="M749" s="27"/>
    </row>
    <row r="750" customFormat="false" ht="15" hidden="false" customHeight="false" outlineLevel="0" collapsed="false">
      <c r="A750" s="29"/>
      <c r="B750" s="40" t="n">
        <f aca="false">IF($A750="",0,INT(($A750-Macrociclo!$C$11)/7)+1)</f>
        <v>0</v>
      </c>
      <c r="C750" s="27"/>
      <c r="D750" s="27"/>
      <c r="E750" s="27"/>
      <c r="F750" s="39"/>
      <c r="G750" s="28"/>
      <c r="H750" s="28"/>
      <c r="I750" s="39"/>
      <c r="J750" s="39"/>
      <c r="K750" s="71"/>
      <c r="L750" s="28"/>
      <c r="M750" s="27"/>
    </row>
    <row r="751" customFormat="false" ht="15" hidden="false" customHeight="false" outlineLevel="0" collapsed="false">
      <c r="A751" s="29"/>
      <c r="B751" s="40" t="n">
        <f aca="false">IF($A751="",0,INT(($A751-Macrociclo!$C$11)/7)+1)</f>
        <v>0</v>
      </c>
      <c r="C751" s="27"/>
      <c r="D751" s="27"/>
      <c r="E751" s="27"/>
      <c r="F751" s="39"/>
      <c r="G751" s="28"/>
      <c r="H751" s="28"/>
      <c r="I751" s="39"/>
      <c r="J751" s="39"/>
      <c r="K751" s="71"/>
      <c r="L751" s="28"/>
      <c r="M751" s="27"/>
    </row>
    <row r="752" customFormat="false" ht="15" hidden="false" customHeight="false" outlineLevel="0" collapsed="false">
      <c r="A752" s="29"/>
      <c r="B752" s="40" t="n">
        <f aca="false">IF($A752="",0,INT(($A752-Macrociclo!$C$11)/7)+1)</f>
        <v>0</v>
      </c>
      <c r="C752" s="27"/>
      <c r="D752" s="27"/>
      <c r="E752" s="27"/>
      <c r="F752" s="39"/>
      <c r="G752" s="28"/>
      <c r="H752" s="28"/>
      <c r="I752" s="39"/>
      <c r="J752" s="39"/>
      <c r="K752" s="71"/>
      <c r="L752" s="28"/>
      <c r="M752" s="27"/>
    </row>
    <row r="753" customFormat="false" ht="15" hidden="false" customHeight="false" outlineLevel="0" collapsed="false">
      <c r="A753" s="29"/>
      <c r="B753" s="40" t="n">
        <f aca="false">IF($A753="",0,INT(($A753-Macrociclo!$C$11)/7)+1)</f>
        <v>0</v>
      </c>
      <c r="C753" s="27"/>
      <c r="D753" s="27"/>
      <c r="E753" s="27"/>
      <c r="F753" s="39"/>
      <c r="G753" s="28"/>
      <c r="H753" s="28"/>
      <c r="I753" s="39"/>
      <c r="J753" s="39"/>
      <c r="K753" s="71"/>
      <c r="L753" s="28"/>
      <c r="M753" s="27"/>
    </row>
    <row r="754" customFormat="false" ht="15" hidden="false" customHeight="false" outlineLevel="0" collapsed="false">
      <c r="A754" s="29"/>
      <c r="B754" s="40" t="n">
        <f aca="false">IF($A754="",0,INT(($A754-Macrociclo!$C$11)/7)+1)</f>
        <v>0</v>
      </c>
      <c r="C754" s="27"/>
      <c r="D754" s="27"/>
      <c r="E754" s="27"/>
      <c r="F754" s="39"/>
      <c r="G754" s="28"/>
      <c r="H754" s="28"/>
      <c r="I754" s="39"/>
      <c r="J754" s="39"/>
      <c r="K754" s="71"/>
      <c r="L754" s="28"/>
      <c r="M754" s="27"/>
    </row>
    <row r="755" customFormat="false" ht="15" hidden="false" customHeight="false" outlineLevel="0" collapsed="false">
      <c r="A755" s="29"/>
      <c r="B755" s="40" t="n">
        <f aca="false">IF($A755="",0,INT(($A755-Macrociclo!$C$11)/7)+1)</f>
        <v>0</v>
      </c>
      <c r="C755" s="27"/>
      <c r="D755" s="27"/>
      <c r="E755" s="27"/>
      <c r="F755" s="39"/>
      <c r="G755" s="28"/>
      <c r="H755" s="28"/>
      <c r="I755" s="39"/>
      <c r="J755" s="39"/>
      <c r="K755" s="71"/>
      <c r="L755" s="28"/>
      <c r="M755" s="27"/>
    </row>
    <row r="756" customFormat="false" ht="15" hidden="false" customHeight="false" outlineLevel="0" collapsed="false">
      <c r="A756" s="29"/>
      <c r="B756" s="40" t="n">
        <f aca="false">IF($A756="",0,INT(($A756-Macrociclo!$C$11)/7)+1)</f>
        <v>0</v>
      </c>
      <c r="C756" s="27"/>
      <c r="D756" s="27"/>
      <c r="E756" s="27"/>
      <c r="F756" s="39"/>
      <c r="G756" s="28"/>
      <c r="H756" s="28"/>
      <c r="I756" s="39"/>
      <c r="J756" s="39"/>
      <c r="K756" s="71"/>
      <c r="L756" s="28"/>
      <c r="M756" s="27"/>
    </row>
    <row r="757" customFormat="false" ht="15" hidden="false" customHeight="false" outlineLevel="0" collapsed="false">
      <c r="A757" s="29"/>
      <c r="B757" s="40" t="n">
        <f aca="false">IF($A757="",0,INT(($A757-Macrociclo!$C$11)/7)+1)</f>
        <v>0</v>
      </c>
      <c r="C757" s="27"/>
      <c r="D757" s="27"/>
      <c r="E757" s="27"/>
      <c r="F757" s="39"/>
      <c r="G757" s="28"/>
      <c r="H757" s="28"/>
      <c r="I757" s="39"/>
      <c r="J757" s="39"/>
      <c r="K757" s="71"/>
      <c r="L757" s="28"/>
      <c r="M757" s="27"/>
    </row>
    <row r="758" customFormat="false" ht="15" hidden="false" customHeight="false" outlineLevel="0" collapsed="false">
      <c r="A758" s="29"/>
      <c r="B758" s="40" t="n">
        <f aca="false">IF($A758="",0,INT(($A758-Macrociclo!$C$11)/7)+1)</f>
        <v>0</v>
      </c>
      <c r="C758" s="27"/>
      <c r="D758" s="27"/>
      <c r="E758" s="27"/>
      <c r="F758" s="39"/>
      <c r="G758" s="28"/>
      <c r="H758" s="28"/>
      <c r="I758" s="39"/>
      <c r="J758" s="39"/>
      <c r="K758" s="71"/>
      <c r="L758" s="28"/>
      <c r="M758" s="27"/>
    </row>
    <row r="759" customFormat="false" ht="15" hidden="false" customHeight="false" outlineLevel="0" collapsed="false">
      <c r="A759" s="29"/>
      <c r="B759" s="40" t="n">
        <f aca="false">IF($A759="",0,INT(($A759-Macrociclo!$C$11)/7)+1)</f>
        <v>0</v>
      </c>
      <c r="C759" s="27"/>
      <c r="D759" s="27"/>
      <c r="E759" s="27"/>
      <c r="F759" s="39"/>
      <c r="G759" s="28"/>
      <c r="H759" s="28"/>
      <c r="I759" s="39"/>
      <c r="J759" s="39"/>
      <c r="K759" s="71"/>
      <c r="L759" s="28"/>
      <c r="M759" s="27"/>
    </row>
    <row r="760" customFormat="false" ht="15" hidden="false" customHeight="false" outlineLevel="0" collapsed="false">
      <c r="A760" s="29"/>
      <c r="B760" s="40" t="n">
        <f aca="false">IF($A760="",0,INT(($A760-Macrociclo!$C$11)/7)+1)</f>
        <v>0</v>
      </c>
      <c r="C760" s="27"/>
      <c r="D760" s="27"/>
      <c r="E760" s="27"/>
      <c r="F760" s="39"/>
      <c r="G760" s="28"/>
      <c r="H760" s="28"/>
      <c r="I760" s="39"/>
      <c r="J760" s="39"/>
      <c r="K760" s="71"/>
      <c r="L760" s="28"/>
      <c r="M760" s="27"/>
    </row>
    <row r="761" customFormat="false" ht="15" hidden="false" customHeight="false" outlineLevel="0" collapsed="false">
      <c r="A761" s="29"/>
      <c r="B761" s="40" t="n">
        <f aca="false">IF($A761="",0,INT(($A761-Macrociclo!$C$11)/7)+1)</f>
        <v>0</v>
      </c>
      <c r="C761" s="27"/>
      <c r="D761" s="27"/>
      <c r="E761" s="27"/>
      <c r="F761" s="39"/>
      <c r="G761" s="28"/>
      <c r="H761" s="28"/>
      <c r="I761" s="39"/>
      <c r="J761" s="39"/>
      <c r="K761" s="71"/>
      <c r="L761" s="28"/>
      <c r="M761" s="27"/>
    </row>
    <row r="762" customFormat="false" ht="15" hidden="false" customHeight="false" outlineLevel="0" collapsed="false">
      <c r="A762" s="29"/>
      <c r="B762" s="40" t="n">
        <f aca="false">IF($A762="",0,INT(($A762-Macrociclo!$C$11)/7)+1)</f>
        <v>0</v>
      </c>
      <c r="C762" s="27"/>
      <c r="D762" s="27"/>
      <c r="E762" s="27"/>
      <c r="F762" s="39"/>
      <c r="G762" s="28"/>
      <c r="H762" s="28"/>
      <c r="I762" s="39"/>
      <c r="J762" s="39"/>
      <c r="K762" s="71"/>
      <c r="L762" s="28"/>
      <c r="M762" s="27"/>
    </row>
    <row r="763" customFormat="false" ht="15" hidden="false" customHeight="false" outlineLevel="0" collapsed="false">
      <c r="A763" s="29"/>
      <c r="B763" s="40" t="n">
        <f aca="false">IF($A763="",0,INT(($A763-Macrociclo!$C$11)/7)+1)</f>
        <v>0</v>
      </c>
      <c r="C763" s="27"/>
      <c r="D763" s="27"/>
      <c r="E763" s="27"/>
      <c r="F763" s="39"/>
      <c r="G763" s="28"/>
      <c r="H763" s="28"/>
      <c r="I763" s="39"/>
      <c r="J763" s="39"/>
      <c r="K763" s="71"/>
      <c r="L763" s="28"/>
      <c r="M763" s="27"/>
    </row>
    <row r="764" customFormat="false" ht="15" hidden="false" customHeight="false" outlineLevel="0" collapsed="false">
      <c r="A764" s="29"/>
      <c r="B764" s="40" t="n">
        <f aca="false">IF($A764="",0,INT(($A764-Macrociclo!$C$11)/7)+1)</f>
        <v>0</v>
      </c>
      <c r="C764" s="27"/>
      <c r="D764" s="27"/>
      <c r="E764" s="27"/>
      <c r="F764" s="39"/>
      <c r="G764" s="28"/>
      <c r="H764" s="28"/>
      <c r="I764" s="39"/>
      <c r="J764" s="39"/>
      <c r="K764" s="71"/>
      <c r="L764" s="28"/>
      <c r="M764" s="27"/>
    </row>
    <row r="765" customFormat="false" ht="15" hidden="false" customHeight="false" outlineLevel="0" collapsed="false">
      <c r="A765" s="29"/>
      <c r="B765" s="40" t="n">
        <f aca="false">IF($A765="",0,INT(($A765-Macrociclo!$C$11)/7)+1)</f>
        <v>0</v>
      </c>
      <c r="C765" s="27"/>
      <c r="D765" s="27"/>
      <c r="E765" s="27"/>
      <c r="F765" s="39"/>
      <c r="G765" s="28"/>
      <c r="H765" s="28"/>
      <c r="I765" s="39"/>
      <c r="J765" s="39"/>
      <c r="K765" s="71"/>
      <c r="L765" s="28"/>
      <c r="M765" s="27"/>
    </row>
    <row r="766" customFormat="false" ht="15" hidden="false" customHeight="false" outlineLevel="0" collapsed="false">
      <c r="A766" s="29"/>
      <c r="B766" s="40" t="n">
        <f aca="false">IF($A766="",0,INT(($A766-Macrociclo!$C$11)/7)+1)</f>
        <v>0</v>
      </c>
      <c r="C766" s="27"/>
      <c r="D766" s="27"/>
      <c r="E766" s="27"/>
      <c r="F766" s="39"/>
      <c r="G766" s="28"/>
      <c r="H766" s="28"/>
      <c r="I766" s="39"/>
      <c r="J766" s="39"/>
      <c r="K766" s="71"/>
      <c r="L766" s="28"/>
      <c r="M766" s="27"/>
    </row>
    <row r="767" customFormat="false" ht="15" hidden="false" customHeight="false" outlineLevel="0" collapsed="false">
      <c r="A767" s="29"/>
      <c r="B767" s="40" t="n">
        <f aca="false">IF($A767="",0,INT(($A767-Macrociclo!$C$11)/7)+1)</f>
        <v>0</v>
      </c>
      <c r="C767" s="27"/>
      <c r="D767" s="27"/>
      <c r="E767" s="27"/>
      <c r="F767" s="39"/>
      <c r="G767" s="28"/>
      <c r="H767" s="28"/>
      <c r="I767" s="39"/>
      <c r="J767" s="39"/>
      <c r="K767" s="71"/>
      <c r="L767" s="28"/>
      <c r="M767" s="27"/>
    </row>
    <row r="768" customFormat="false" ht="15" hidden="false" customHeight="false" outlineLevel="0" collapsed="false">
      <c r="A768" s="29"/>
      <c r="B768" s="40" t="n">
        <f aca="false">IF($A768="",0,INT(($A768-Macrociclo!$C$11)/7)+1)</f>
        <v>0</v>
      </c>
      <c r="C768" s="27"/>
      <c r="D768" s="27"/>
      <c r="E768" s="27"/>
      <c r="F768" s="39"/>
      <c r="G768" s="28"/>
      <c r="H768" s="28"/>
      <c r="I768" s="39"/>
      <c r="J768" s="39"/>
      <c r="K768" s="71"/>
      <c r="L768" s="28"/>
      <c r="M768" s="27"/>
    </row>
    <row r="769" customFormat="false" ht="15" hidden="false" customHeight="false" outlineLevel="0" collapsed="false">
      <c r="A769" s="29"/>
      <c r="B769" s="40" t="n">
        <f aca="false">IF($A769="",0,INT(($A769-Macrociclo!$C$11)/7)+1)</f>
        <v>0</v>
      </c>
      <c r="C769" s="27"/>
      <c r="D769" s="27"/>
      <c r="E769" s="27"/>
      <c r="F769" s="39"/>
      <c r="G769" s="28"/>
      <c r="H769" s="28"/>
      <c r="I769" s="39"/>
      <c r="J769" s="39"/>
      <c r="K769" s="71"/>
      <c r="L769" s="28"/>
      <c r="M769" s="27"/>
    </row>
    <row r="770" customFormat="false" ht="15" hidden="false" customHeight="false" outlineLevel="0" collapsed="false">
      <c r="A770" s="29"/>
      <c r="B770" s="40" t="n">
        <f aca="false">IF($A770="",0,INT(($A770-Macrociclo!$C$11)/7)+1)</f>
        <v>0</v>
      </c>
      <c r="C770" s="27"/>
      <c r="D770" s="27"/>
      <c r="E770" s="27"/>
      <c r="F770" s="39"/>
      <c r="G770" s="28"/>
      <c r="H770" s="28"/>
      <c r="I770" s="39"/>
      <c r="J770" s="39"/>
      <c r="K770" s="71"/>
      <c r="L770" s="28"/>
      <c r="M770" s="27"/>
    </row>
    <row r="771" customFormat="false" ht="15" hidden="false" customHeight="false" outlineLevel="0" collapsed="false">
      <c r="A771" s="29"/>
      <c r="B771" s="40" t="n">
        <f aca="false">IF($A771="",0,INT(($A771-Macrociclo!$C$11)/7)+1)</f>
        <v>0</v>
      </c>
      <c r="C771" s="27"/>
      <c r="D771" s="27"/>
      <c r="E771" s="27"/>
      <c r="F771" s="39"/>
      <c r="G771" s="28"/>
      <c r="H771" s="28"/>
      <c r="I771" s="39"/>
      <c r="J771" s="39"/>
      <c r="K771" s="71"/>
      <c r="L771" s="28"/>
      <c r="M771" s="27"/>
    </row>
    <row r="772" customFormat="false" ht="15" hidden="false" customHeight="false" outlineLevel="0" collapsed="false">
      <c r="A772" s="29"/>
      <c r="B772" s="40" t="n">
        <f aca="false">IF($A772="",0,INT(($A772-Macrociclo!$C$11)/7)+1)</f>
        <v>0</v>
      </c>
      <c r="C772" s="27"/>
      <c r="D772" s="27"/>
      <c r="E772" s="27"/>
      <c r="F772" s="39"/>
      <c r="G772" s="28"/>
      <c r="H772" s="28"/>
      <c r="I772" s="39"/>
      <c r="J772" s="39"/>
      <c r="K772" s="71"/>
      <c r="L772" s="28"/>
      <c r="M772" s="27"/>
    </row>
    <row r="773" customFormat="false" ht="15" hidden="false" customHeight="false" outlineLevel="0" collapsed="false">
      <c r="A773" s="29"/>
      <c r="B773" s="40" t="n">
        <f aca="false">IF($A773="",0,INT(($A773-Macrociclo!$C$11)/7)+1)</f>
        <v>0</v>
      </c>
      <c r="C773" s="27"/>
      <c r="D773" s="27"/>
      <c r="E773" s="27"/>
      <c r="F773" s="39"/>
      <c r="G773" s="28"/>
      <c r="H773" s="28"/>
      <c r="I773" s="39"/>
      <c r="J773" s="39"/>
      <c r="K773" s="71"/>
      <c r="L773" s="28"/>
      <c r="M773" s="27"/>
    </row>
    <row r="774" customFormat="false" ht="15" hidden="false" customHeight="false" outlineLevel="0" collapsed="false">
      <c r="A774" s="29"/>
      <c r="B774" s="40" t="n">
        <f aca="false">IF($A774="",0,INT(($A774-Macrociclo!$C$11)/7)+1)</f>
        <v>0</v>
      </c>
      <c r="C774" s="27"/>
      <c r="D774" s="27"/>
      <c r="E774" s="27"/>
      <c r="F774" s="39"/>
      <c r="G774" s="28"/>
      <c r="H774" s="28"/>
      <c r="I774" s="39"/>
      <c r="J774" s="39"/>
      <c r="K774" s="71"/>
      <c r="L774" s="28"/>
      <c r="M774" s="27"/>
    </row>
    <row r="775" customFormat="false" ht="15" hidden="false" customHeight="false" outlineLevel="0" collapsed="false">
      <c r="A775" s="29"/>
      <c r="B775" s="40" t="n">
        <f aca="false">IF($A775="",0,INT(($A775-Macrociclo!$C$11)/7)+1)</f>
        <v>0</v>
      </c>
      <c r="C775" s="27"/>
      <c r="D775" s="27"/>
      <c r="E775" s="27"/>
      <c r="F775" s="39"/>
      <c r="G775" s="28"/>
      <c r="H775" s="28"/>
      <c r="I775" s="39"/>
      <c r="J775" s="39"/>
      <c r="K775" s="71"/>
      <c r="L775" s="28"/>
      <c r="M775" s="27"/>
    </row>
    <row r="776" customFormat="false" ht="15" hidden="false" customHeight="false" outlineLevel="0" collapsed="false">
      <c r="A776" s="29"/>
      <c r="B776" s="40" t="n">
        <f aca="false">IF($A776="",0,INT(($A776-Macrociclo!$C$11)/7)+1)</f>
        <v>0</v>
      </c>
      <c r="C776" s="27"/>
      <c r="D776" s="27"/>
      <c r="E776" s="27"/>
      <c r="F776" s="39"/>
      <c r="G776" s="28"/>
      <c r="H776" s="28"/>
      <c r="I776" s="39"/>
      <c r="J776" s="39"/>
      <c r="K776" s="71"/>
      <c r="L776" s="28"/>
      <c r="M776" s="27"/>
    </row>
    <row r="777" customFormat="false" ht="15" hidden="false" customHeight="false" outlineLevel="0" collapsed="false">
      <c r="A777" s="29"/>
      <c r="B777" s="40" t="n">
        <f aca="false">IF($A777="",0,INT(($A777-Macrociclo!$C$11)/7)+1)</f>
        <v>0</v>
      </c>
      <c r="C777" s="27"/>
      <c r="D777" s="27"/>
      <c r="E777" s="27"/>
      <c r="F777" s="39"/>
      <c r="G777" s="28"/>
      <c r="H777" s="28"/>
      <c r="I777" s="39"/>
      <c r="J777" s="39"/>
      <c r="K777" s="71"/>
      <c r="L777" s="28"/>
      <c r="M777" s="27"/>
    </row>
    <row r="778" customFormat="false" ht="15" hidden="false" customHeight="false" outlineLevel="0" collapsed="false">
      <c r="A778" s="29"/>
      <c r="B778" s="40" t="n">
        <f aca="false">IF($A778="",0,INT(($A778-Macrociclo!$C$11)/7)+1)</f>
        <v>0</v>
      </c>
      <c r="C778" s="27"/>
      <c r="D778" s="27"/>
      <c r="E778" s="27"/>
      <c r="F778" s="39"/>
      <c r="G778" s="28"/>
      <c r="H778" s="28"/>
      <c r="I778" s="39"/>
      <c r="J778" s="39"/>
      <c r="K778" s="71"/>
      <c r="L778" s="28"/>
      <c r="M778" s="27"/>
    </row>
    <row r="779" customFormat="false" ht="15" hidden="false" customHeight="false" outlineLevel="0" collapsed="false">
      <c r="A779" s="29"/>
      <c r="B779" s="40" t="n">
        <f aca="false">IF($A779="",0,INT(($A779-Macrociclo!$C$11)/7)+1)</f>
        <v>0</v>
      </c>
      <c r="C779" s="27"/>
      <c r="D779" s="27"/>
      <c r="E779" s="27"/>
      <c r="F779" s="39"/>
      <c r="G779" s="28"/>
      <c r="H779" s="28"/>
      <c r="I779" s="39"/>
      <c r="J779" s="39"/>
      <c r="K779" s="71"/>
      <c r="L779" s="28"/>
      <c r="M779" s="27"/>
    </row>
    <row r="780" customFormat="false" ht="15" hidden="false" customHeight="false" outlineLevel="0" collapsed="false">
      <c r="A780" s="29"/>
      <c r="B780" s="40" t="n">
        <f aca="false">IF($A780="",0,INT(($A780-Macrociclo!$C$11)/7)+1)</f>
        <v>0</v>
      </c>
      <c r="C780" s="27"/>
      <c r="D780" s="27"/>
      <c r="E780" s="27"/>
      <c r="F780" s="39"/>
      <c r="G780" s="28"/>
      <c r="H780" s="28"/>
      <c r="I780" s="39"/>
      <c r="J780" s="39"/>
      <c r="K780" s="71"/>
      <c r="L780" s="28"/>
      <c r="M780" s="27"/>
    </row>
    <row r="781" customFormat="false" ht="15" hidden="false" customHeight="false" outlineLevel="0" collapsed="false">
      <c r="A781" s="29"/>
      <c r="B781" s="40" t="n">
        <f aca="false">IF($A781="",0,INT(($A781-Macrociclo!$C$11)/7)+1)</f>
        <v>0</v>
      </c>
      <c r="C781" s="27"/>
      <c r="D781" s="27"/>
      <c r="E781" s="27"/>
      <c r="F781" s="39"/>
      <c r="G781" s="28"/>
      <c r="H781" s="28"/>
      <c r="I781" s="39"/>
      <c r="J781" s="39"/>
      <c r="K781" s="71"/>
      <c r="L781" s="28"/>
      <c r="M781" s="27"/>
    </row>
    <row r="782" customFormat="false" ht="15" hidden="false" customHeight="false" outlineLevel="0" collapsed="false">
      <c r="A782" s="29"/>
      <c r="B782" s="40" t="n">
        <f aca="false">IF($A782="",0,INT(($A782-Macrociclo!$C$11)/7)+1)</f>
        <v>0</v>
      </c>
      <c r="C782" s="27"/>
      <c r="D782" s="27"/>
      <c r="E782" s="27"/>
      <c r="F782" s="39"/>
      <c r="G782" s="28"/>
      <c r="H782" s="28"/>
      <c r="I782" s="39"/>
      <c r="J782" s="39"/>
      <c r="K782" s="71"/>
      <c r="L782" s="28"/>
      <c r="M782" s="27"/>
    </row>
    <row r="783" customFormat="false" ht="15" hidden="false" customHeight="false" outlineLevel="0" collapsed="false">
      <c r="A783" s="29"/>
      <c r="B783" s="40" t="n">
        <f aca="false">IF($A783="",0,INT(($A783-Macrociclo!$C$11)/7)+1)</f>
        <v>0</v>
      </c>
      <c r="C783" s="27"/>
      <c r="D783" s="27"/>
      <c r="E783" s="27"/>
      <c r="F783" s="39"/>
      <c r="G783" s="28"/>
      <c r="H783" s="28"/>
      <c r="I783" s="39"/>
      <c r="J783" s="39"/>
      <c r="K783" s="71"/>
      <c r="L783" s="28"/>
      <c r="M783" s="27"/>
    </row>
    <row r="784" customFormat="false" ht="15" hidden="false" customHeight="false" outlineLevel="0" collapsed="false">
      <c r="A784" s="29"/>
      <c r="B784" s="40" t="n">
        <f aca="false">IF($A784="",0,INT(($A784-Macrociclo!$C$11)/7)+1)</f>
        <v>0</v>
      </c>
      <c r="C784" s="27"/>
      <c r="D784" s="27"/>
      <c r="E784" s="27"/>
      <c r="F784" s="39"/>
      <c r="G784" s="28"/>
      <c r="H784" s="28"/>
      <c r="I784" s="39"/>
      <c r="J784" s="39"/>
      <c r="K784" s="71"/>
      <c r="L784" s="28"/>
      <c r="M784" s="27"/>
    </row>
    <row r="785" customFormat="false" ht="15" hidden="false" customHeight="false" outlineLevel="0" collapsed="false">
      <c r="A785" s="29"/>
      <c r="B785" s="40" t="n">
        <f aca="false">IF($A785="",0,INT(($A785-Macrociclo!$C$11)/7)+1)</f>
        <v>0</v>
      </c>
      <c r="C785" s="27"/>
      <c r="D785" s="27"/>
      <c r="E785" s="27"/>
      <c r="F785" s="39"/>
      <c r="G785" s="28"/>
      <c r="H785" s="28"/>
      <c r="I785" s="39"/>
      <c r="J785" s="39"/>
      <c r="K785" s="71"/>
      <c r="L785" s="28"/>
      <c r="M785" s="27"/>
    </row>
    <row r="786" customFormat="false" ht="15" hidden="false" customHeight="false" outlineLevel="0" collapsed="false">
      <c r="A786" s="29"/>
      <c r="B786" s="40" t="n">
        <f aca="false">IF($A786="",0,INT(($A786-Macrociclo!$C$11)/7)+1)</f>
        <v>0</v>
      </c>
      <c r="C786" s="27"/>
      <c r="D786" s="27"/>
      <c r="E786" s="27"/>
      <c r="F786" s="39"/>
      <c r="G786" s="28"/>
      <c r="H786" s="28"/>
      <c r="I786" s="39"/>
      <c r="J786" s="39"/>
      <c r="K786" s="71"/>
      <c r="L786" s="28"/>
      <c r="M786" s="27"/>
    </row>
    <row r="787" customFormat="false" ht="15" hidden="false" customHeight="false" outlineLevel="0" collapsed="false">
      <c r="A787" s="29"/>
      <c r="B787" s="40" t="n">
        <f aca="false">IF($A787="",0,INT(($A787-Macrociclo!$C$11)/7)+1)</f>
        <v>0</v>
      </c>
      <c r="C787" s="27"/>
      <c r="D787" s="27"/>
      <c r="E787" s="27"/>
      <c r="F787" s="39"/>
      <c r="G787" s="28"/>
      <c r="H787" s="28"/>
      <c r="I787" s="39"/>
      <c r="J787" s="39"/>
      <c r="K787" s="71"/>
      <c r="L787" s="28"/>
      <c r="M787" s="27"/>
    </row>
    <row r="788" customFormat="false" ht="15" hidden="false" customHeight="false" outlineLevel="0" collapsed="false">
      <c r="A788" s="29"/>
      <c r="B788" s="40" t="n">
        <f aca="false">IF($A788="",0,INT(($A788-Macrociclo!$C$11)/7)+1)</f>
        <v>0</v>
      </c>
      <c r="C788" s="27"/>
      <c r="D788" s="27"/>
      <c r="E788" s="27"/>
      <c r="F788" s="39"/>
      <c r="G788" s="28"/>
      <c r="H788" s="28"/>
      <c r="I788" s="39"/>
      <c r="J788" s="39"/>
      <c r="K788" s="71"/>
      <c r="L788" s="28"/>
      <c r="M788" s="27"/>
    </row>
    <row r="789" customFormat="false" ht="15" hidden="false" customHeight="false" outlineLevel="0" collapsed="false">
      <c r="A789" s="29"/>
      <c r="B789" s="40" t="n">
        <f aca="false">IF($A789="",0,INT(($A789-Macrociclo!$C$11)/7)+1)</f>
        <v>0</v>
      </c>
      <c r="C789" s="27"/>
      <c r="D789" s="27"/>
      <c r="E789" s="27"/>
      <c r="F789" s="39"/>
      <c r="G789" s="28"/>
      <c r="H789" s="28"/>
      <c r="I789" s="39"/>
      <c r="J789" s="39"/>
      <c r="K789" s="71"/>
      <c r="L789" s="28"/>
      <c r="M789" s="27"/>
    </row>
    <row r="790" customFormat="false" ht="15" hidden="false" customHeight="false" outlineLevel="0" collapsed="false">
      <c r="A790" s="29"/>
      <c r="B790" s="40" t="n">
        <f aca="false">IF($A790="",0,INT(($A790-Macrociclo!$C$11)/7)+1)</f>
        <v>0</v>
      </c>
      <c r="C790" s="27"/>
      <c r="D790" s="27"/>
      <c r="E790" s="27"/>
      <c r="F790" s="39"/>
      <c r="G790" s="28"/>
      <c r="H790" s="28"/>
      <c r="I790" s="39"/>
      <c r="J790" s="39"/>
      <c r="K790" s="71"/>
      <c r="L790" s="28"/>
      <c r="M790" s="27"/>
    </row>
    <row r="791" customFormat="false" ht="15" hidden="false" customHeight="false" outlineLevel="0" collapsed="false">
      <c r="A791" s="29"/>
      <c r="B791" s="40" t="n">
        <f aca="false">IF($A791="",0,INT(($A791-Macrociclo!$C$11)/7)+1)</f>
        <v>0</v>
      </c>
      <c r="C791" s="27"/>
      <c r="D791" s="27"/>
      <c r="E791" s="27"/>
      <c r="F791" s="39"/>
      <c r="G791" s="28"/>
      <c r="H791" s="28"/>
      <c r="I791" s="39"/>
      <c r="J791" s="39"/>
      <c r="K791" s="71"/>
      <c r="L791" s="28"/>
      <c r="M791" s="27"/>
    </row>
    <row r="792" customFormat="false" ht="15" hidden="false" customHeight="false" outlineLevel="0" collapsed="false">
      <c r="A792" s="29"/>
      <c r="B792" s="40" t="n">
        <f aca="false">IF($A792="",0,INT(($A792-Macrociclo!$C$11)/7)+1)</f>
        <v>0</v>
      </c>
      <c r="C792" s="27"/>
      <c r="D792" s="27"/>
      <c r="E792" s="27"/>
      <c r="F792" s="39"/>
      <c r="G792" s="28"/>
      <c r="H792" s="28"/>
      <c r="I792" s="39"/>
      <c r="J792" s="39"/>
      <c r="K792" s="71"/>
      <c r="L792" s="28"/>
      <c r="M792" s="27"/>
    </row>
    <row r="793" customFormat="false" ht="15" hidden="false" customHeight="false" outlineLevel="0" collapsed="false">
      <c r="A793" s="29"/>
      <c r="B793" s="40" t="n">
        <f aca="false">IF($A793="",0,INT(($A793-Macrociclo!$C$11)/7)+1)</f>
        <v>0</v>
      </c>
      <c r="C793" s="27"/>
      <c r="D793" s="27"/>
      <c r="E793" s="27"/>
      <c r="F793" s="39"/>
      <c r="G793" s="28"/>
      <c r="H793" s="28"/>
      <c r="I793" s="39"/>
      <c r="J793" s="39"/>
      <c r="K793" s="71"/>
      <c r="L793" s="28"/>
      <c r="M793" s="27"/>
    </row>
    <row r="794" customFormat="false" ht="15" hidden="false" customHeight="false" outlineLevel="0" collapsed="false">
      <c r="A794" s="29"/>
      <c r="B794" s="40" t="n">
        <f aca="false">IF($A794="",0,INT(($A794-Macrociclo!$C$11)/7)+1)</f>
        <v>0</v>
      </c>
      <c r="C794" s="27"/>
      <c r="D794" s="27"/>
      <c r="E794" s="27"/>
      <c r="F794" s="39"/>
      <c r="G794" s="28"/>
      <c r="H794" s="28"/>
      <c r="I794" s="39"/>
      <c r="J794" s="39"/>
      <c r="K794" s="71"/>
      <c r="L794" s="28"/>
      <c r="M794" s="27"/>
    </row>
    <row r="795" customFormat="false" ht="15" hidden="false" customHeight="false" outlineLevel="0" collapsed="false">
      <c r="A795" s="29"/>
      <c r="B795" s="40" t="n">
        <f aca="false">IF($A795="",0,INT(($A795-Macrociclo!$C$11)/7)+1)</f>
        <v>0</v>
      </c>
      <c r="C795" s="27"/>
      <c r="D795" s="27"/>
      <c r="E795" s="27"/>
      <c r="F795" s="39"/>
      <c r="G795" s="28"/>
      <c r="H795" s="28"/>
      <c r="I795" s="39"/>
      <c r="J795" s="39"/>
      <c r="K795" s="71"/>
      <c r="L795" s="28"/>
      <c r="M795" s="27"/>
    </row>
    <row r="796" customFormat="false" ht="15" hidden="false" customHeight="false" outlineLevel="0" collapsed="false">
      <c r="A796" s="29"/>
      <c r="B796" s="40" t="n">
        <f aca="false">IF($A796="",0,INT(($A796-Macrociclo!$C$11)/7)+1)</f>
        <v>0</v>
      </c>
      <c r="C796" s="27"/>
      <c r="D796" s="27"/>
      <c r="E796" s="27"/>
      <c r="F796" s="39"/>
      <c r="G796" s="28"/>
      <c r="H796" s="28"/>
      <c r="I796" s="39"/>
      <c r="J796" s="39"/>
      <c r="K796" s="71"/>
      <c r="L796" s="28"/>
      <c r="M796" s="27"/>
    </row>
    <row r="797" customFormat="false" ht="15" hidden="false" customHeight="false" outlineLevel="0" collapsed="false">
      <c r="A797" s="29"/>
      <c r="B797" s="40" t="n">
        <f aca="false">IF($A797="",0,INT(($A797-Macrociclo!$C$11)/7)+1)</f>
        <v>0</v>
      </c>
      <c r="C797" s="27"/>
      <c r="D797" s="27"/>
      <c r="E797" s="27"/>
      <c r="F797" s="39"/>
      <c r="G797" s="28"/>
      <c r="H797" s="28"/>
      <c r="I797" s="39"/>
      <c r="J797" s="39"/>
      <c r="K797" s="71"/>
      <c r="L797" s="28"/>
      <c r="M797" s="27"/>
    </row>
    <row r="798" customFormat="false" ht="15" hidden="false" customHeight="false" outlineLevel="0" collapsed="false">
      <c r="A798" s="29"/>
      <c r="B798" s="40" t="n">
        <f aca="false">IF($A798="",0,INT(($A798-Macrociclo!$C$11)/7)+1)</f>
        <v>0</v>
      </c>
      <c r="C798" s="27"/>
      <c r="D798" s="27"/>
      <c r="E798" s="27"/>
      <c r="F798" s="39"/>
      <c r="G798" s="28"/>
      <c r="H798" s="28"/>
      <c r="I798" s="39"/>
      <c r="J798" s="39"/>
      <c r="K798" s="71"/>
      <c r="L798" s="28"/>
      <c r="M798" s="27"/>
    </row>
    <row r="799" customFormat="false" ht="15" hidden="false" customHeight="false" outlineLevel="0" collapsed="false">
      <c r="A799" s="29"/>
      <c r="B799" s="40" t="n">
        <f aca="false">IF($A799="",0,INT(($A799-Macrociclo!$C$11)/7)+1)</f>
        <v>0</v>
      </c>
      <c r="C799" s="27"/>
      <c r="D799" s="27"/>
      <c r="E799" s="27"/>
      <c r="F799" s="39"/>
      <c r="G799" s="28"/>
      <c r="H799" s="28"/>
      <c r="I799" s="39"/>
      <c r="J799" s="39"/>
      <c r="K799" s="71"/>
      <c r="L799" s="28"/>
      <c r="M799" s="27"/>
    </row>
    <row r="800" customFormat="false" ht="15" hidden="false" customHeight="false" outlineLevel="0" collapsed="false">
      <c r="A800" s="29"/>
      <c r="B800" s="40" t="n">
        <f aca="false">IF($A800="",0,INT(($A800-Macrociclo!$C$11)/7)+1)</f>
        <v>0</v>
      </c>
      <c r="C800" s="27"/>
      <c r="D800" s="27"/>
      <c r="E800" s="27"/>
      <c r="F800" s="39"/>
      <c r="G800" s="28"/>
      <c r="H800" s="28"/>
      <c r="I800" s="39"/>
      <c r="J800" s="39"/>
      <c r="K800" s="71"/>
      <c r="L800" s="28"/>
      <c r="M800" s="27"/>
    </row>
    <row r="801" customFormat="false" ht="15" hidden="false" customHeight="false" outlineLevel="0" collapsed="false">
      <c r="A801" s="29"/>
      <c r="B801" s="40" t="n">
        <f aca="false">IF($A801="",0,INT(($A801-Macrociclo!$C$11)/7)+1)</f>
        <v>0</v>
      </c>
      <c r="C801" s="27"/>
      <c r="D801" s="27"/>
      <c r="E801" s="27"/>
      <c r="F801" s="39"/>
      <c r="G801" s="28"/>
      <c r="H801" s="28"/>
      <c r="I801" s="39"/>
      <c r="J801" s="39"/>
      <c r="K801" s="71"/>
      <c r="L801" s="28"/>
      <c r="M801" s="27"/>
    </row>
    <row r="802" customFormat="false" ht="15" hidden="false" customHeight="false" outlineLevel="0" collapsed="false">
      <c r="A802" s="29"/>
      <c r="B802" s="40" t="n">
        <f aca="false">IF($A802="",0,INT(($A802-Macrociclo!$C$11)/7)+1)</f>
        <v>0</v>
      </c>
      <c r="C802" s="27"/>
      <c r="D802" s="27"/>
      <c r="E802" s="27"/>
      <c r="F802" s="39"/>
      <c r="G802" s="28"/>
      <c r="H802" s="28"/>
      <c r="I802" s="39"/>
      <c r="J802" s="39"/>
      <c r="K802" s="71"/>
      <c r="L802" s="28"/>
      <c r="M802" s="27"/>
    </row>
    <row r="803" customFormat="false" ht="15" hidden="false" customHeight="false" outlineLevel="0" collapsed="false">
      <c r="A803" s="29"/>
      <c r="B803" s="40" t="n">
        <f aca="false">IF($A803="",0,INT(($A803-Macrociclo!$C$11)/7)+1)</f>
        <v>0</v>
      </c>
      <c r="C803" s="27"/>
      <c r="D803" s="27"/>
      <c r="E803" s="27"/>
      <c r="F803" s="39"/>
      <c r="G803" s="28"/>
      <c r="H803" s="28"/>
      <c r="I803" s="39"/>
      <c r="J803" s="39"/>
      <c r="K803" s="71"/>
      <c r="L803" s="28"/>
      <c r="M803" s="27"/>
    </row>
    <row r="804" customFormat="false" ht="15" hidden="false" customHeight="false" outlineLevel="0" collapsed="false">
      <c r="A804" s="29"/>
      <c r="B804" s="40" t="n">
        <f aca="false">IF($A804="",0,INT(($A804-Macrociclo!$C$11)/7)+1)</f>
        <v>0</v>
      </c>
      <c r="C804" s="27"/>
      <c r="D804" s="27"/>
      <c r="E804" s="27"/>
      <c r="F804" s="39"/>
      <c r="G804" s="28"/>
      <c r="H804" s="28"/>
      <c r="I804" s="39"/>
      <c r="J804" s="39"/>
      <c r="K804" s="71"/>
      <c r="L804" s="28"/>
      <c r="M804" s="27"/>
    </row>
    <row r="805" customFormat="false" ht="15" hidden="false" customHeight="false" outlineLevel="0" collapsed="false">
      <c r="A805" s="29"/>
      <c r="B805" s="40" t="n">
        <f aca="false">IF($A805="",0,INT(($A805-Macrociclo!$C$11)/7)+1)</f>
        <v>0</v>
      </c>
      <c r="C805" s="27"/>
      <c r="D805" s="27"/>
      <c r="E805" s="27"/>
      <c r="F805" s="39"/>
      <c r="G805" s="28"/>
      <c r="H805" s="28"/>
      <c r="I805" s="39"/>
      <c r="J805" s="39"/>
      <c r="K805" s="71"/>
      <c r="L805" s="28"/>
      <c r="M805" s="27"/>
    </row>
    <row r="806" customFormat="false" ht="15" hidden="false" customHeight="false" outlineLevel="0" collapsed="false">
      <c r="A806" s="29"/>
      <c r="B806" s="40" t="n">
        <f aca="false">IF($A806="",0,INT(($A806-Macrociclo!$C$11)/7)+1)</f>
        <v>0</v>
      </c>
      <c r="C806" s="27"/>
      <c r="D806" s="27"/>
      <c r="E806" s="27"/>
      <c r="F806" s="39"/>
      <c r="G806" s="28"/>
      <c r="H806" s="28"/>
      <c r="I806" s="39"/>
      <c r="J806" s="39"/>
      <c r="K806" s="71"/>
      <c r="L806" s="28"/>
      <c r="M806" s="27"/>
    </row>
    <row r="807" customFormat="false" ht="15" hidden="false" customHeight="false" outlineLevel="0" collapsed="false">
      <c r="A807" s="29"/>
      <c r="B807" s="40" t="n">
        <f aca="false">IF($A807="",0,INT(($A807-Macrociclo!$C$11)/7)+1)</f>
        <v>0</v>
      </c>
      <c r="C807" s="27"/>
      <c r="D807" s="27"/>
      <c r="E807" s="27"/>
      <c r="F807" s="39"/>
      <c r="G807" s="28"/>
      <c r="H807" s="28"/>
      <c r="I807" s="39"/>
      <c r="J807" s="39"/>
      <c r="K807" s="71"/>
      <c r="L807" s="28"/>
      <c r="M807" s="27"/>
    </row>
  </sheetData>
  <autoFilter ref="A7:M807"/>
  <mergeCells count="4">
    <mergeCell ref="A1:M1"/>
    <mergeCell ref="A2:M2"/>
    <mergeCell ref="A4:M4"/>
    <mergeCell ref="O5:V5"/>
  </mergeCells>
  <conditionalFormatting sqref="V8:V47">
    <cfRule type="cellIs" priority="2" operator="equal" aboveAverage="0" equalAverage="0" bottom="0" percent="0" rank="0" text="" dxfId="10">
      <formula>"Volume adequado"</formula>
    </cfRule>
    <cfRule type="cellIs" priority="3" operator="equal" aboveAverage="0" equalAverage="0" bottom="0" percent="0" rank="0" text="" dxfId="12">
      <formula>"Volume alto"</formula>
    </cfRule>
    <cfRule type="cellIs" priority="4" operator="equal" aboveAverage="0" equalAverage="0" bottom="0" percent="0" rank="0" text="" dxfId="11">
      <formula>"Volume semanal muito alto"</formula>
    </cfRule>
    <cfRule type="cellIs" priority="5" operator="equal" aboveAverage="0" equalAverage="0" bottom="0" percent="0" rank="0" text="" dxfId="11">
      <formula>"ALERTA — aumento acima de 30%"</formula>
    </cfRule>
    <cfRule type="cellIs" priority="6" operator="equal" aboveAverage="0" equalAverage="0" bottom="0" percent="0" rank="0" text="" dxfId="69">
      <formula>"Volume baixo"</formula>
    </cfRule>
  </conditionalFormatting>
  <dataValidations count="4">
    <dataValidation allowBlank="true" errorStyle="stop" operator="between" showDropDown="false" showErrorMessage="false" showInputMessage="false" sqref="C8:C807" type="list">
      <formula1>Cadastro!$B$8:$B$47</formula1>
      <formula2>0</formula2>
    </dataValidation>
    <dataValidation allowBlank="true" errorStyle="stop" operator="between" showDropDown="false" showErrorMessage="false" showInputMessage="false" sqref="D8:D807" type="list">
      <formula1>Listas!$AH$5:$AH$16</formula1>
      <formula2>0</formula2>
    </dataValidation>
    <dataValidation allowBlank="true" errorStyle="stop" operator="between" showDropDown="false" showErrorMessage="false" showInputMessage="false" sqref="G8:G807" type="list">
      <formula1>Listas!$M$5:$M$16</formula1>
      <formula2>0</formula2>
    </dataValidation>
    <dataValidation allowBlank="true" errorStyle="stop" operator="between" showDropDown="false" showErrorMessage="false" showInputMessage="false" sqref="H8:H807" type="list">
      <formula1>Listas!$AI$5:$AI$16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3FA0"/>
    <pageSetUpPr fitToPage="true"/>
  </sheetPr>
  <dimension ref="A1:K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28"/>
  </cols>
  <sheetData>
    <row r="1" customFormat="false" ht="30" hidden="false" customHeight="true" outlineLevel="0" collapsed="false">
      <c r="A1" s="1" t="s">
        <v>1238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1239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5.5" hidden="false" customHeight="true" outlineLevel="0" collapsed="false">
      <c r="A4" s="17" t="s">
        <v>1240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7" customFormat="false" ht="31.5" hidden="false" customHeight="true" outlineLevel="0" collapsed="false">
      <c r="A7" s="25" t="s">
        <v>294</v>
      </c>
      <c r="B7" s="25" t="s">
        <v>922</v>
      </c>
      <c r="C7" s="25" t="s">
        <v>295</v>
      </c>
      <c r="D7" s="25" t="s">
        <v>1241</v>
      </c>
      <c r="E7" s="25" t="s">
        <v>1242</v>
      </c>
      <c r="F7" s="25" t="s">
        <v>1243</v>
      </c>
      <c r="G7" s="25" t="s">
        <v>1244</v>
      </c>
      <c r="H7" s="25" t="s">
        <v>67</v>
      </c>
      <c r="I7" s="25" t="s">
        <v>1245</v>
      </c>
      <c r="J7" s="25" t="s">
        <v>1246</v>
      </c>
      <c r="K7" s="25" t="s">
        <v>162</v>
      </c>
    </row>
    <row r="8" customFormat="false" ht="15" hidden="false" customHeight="false" outlineLevel="0" collapsed="false">
      <c r="A8" s="29" t="n">
        <v>46244</v>
      </c>
      <c r="B8" s="40" t="n">
        <f aca="false">IF($A8="",0,INT(($A8-Macrociclo!$C$11)/7)+1)</f>
        <v>32</v>
      </c>
      <c r="C8" s="27" t="s">
        <v>164</v>
      </c>
      <c r="D8" s="28" t="n">
        <v>4</v>
      </c>
      <c r="E8" s="28" t="n">
        <v>3</v>
      </c>
      <c r="F8" s="28" t="n">
        <v>2</v>
      </c>
      <c r="G8" s="28" t="n">
        <v>3</v>
      </c>
      <c r="H8" s="40" t="n">
        <f aca="false">IF(COUNT($D8:$G8)&lt;4,0,SUM($D8:$G8))</f>
        <v>12</v>
      </c>
      <c r="I8" s="26" t="str">
        <f aca="false">IF($H8=0,"",IF($H8&lt;=8,"Ótimo",IF($H8&lt;=12,"Bom",IF($H8&lt;=16,"Regular",IF($H8&lt;=20,"Alerta","Crítico")))))</f>
        <v>Bom</v>
      </c>
      <c r="J8" s="27"/>
      <c r="K8" s="27" t="s">
        <v>373</v>
      </c>
    </row>
    <row r="9" customFormat="false" ht="15" hidden="false" customHeight="false" outlineLevel="0" collapsed="false">
      <c r="A9" s="29" t="n">
        <v>46244</v>
      </c>
      <c r="B9" s="40" t="n">
        <f aca="false">IF($A9="",0,INT(($A9-Macrociclo!$C$11)/7)+1)</f>
        <v>32</v>
      </c>
      <c r="C9" s="27" t="s">
        <v>192</v>
      </c>
      <c r="D9" s="28" t="n">
        <v>2</v>
      </c>
      <c r="E9" s="28" t="n">
        <v>2</v>
      </c>
      <c r="F9" s="28" t="n">
        <v>3</v>
      </c>
      <c r="G9" s="28" t="n">
        <v>4</v>
      </c>
      <c r="H9" s="40" t="n">
        <f aca="false">IF(COUNT($D9:$G9)&lt;4,0,SUM($D9:$G9))</f>
        <v>11</v>
      </c>
      <c r="I9" s="26" t="str">
        <f aca="false">IF($H9=0,"",IF($H9&lt;=8,"Ótimo",IF($H9&lt;=12,"Bom",IF($H9&lt;=16,"Regular",IF($H9&lt;=20,"Alerta","Crítico")))))</f>
        <v>Bom</v>
      </c>
      <c r="J9" s="27"/>
      <c r="K9" s="27" t="s">
        <v>373</v>
      </c>
    </row>
    <row r="10" customFormat="false" ht="15" hidden="false" customHeight="false" outlineLevel="0" collapsed="false">
      <c r="A10" s="29" t="n">
        <v>46244</v>
      </c>
      <c r="B10" s="40" t="n">
        <f aca="false">IF($A10="",0,INT(($A10-Macrociclo!$C$11)/7)+1)</f>
        <v>32</v>
      </c>
      <c r="C10" s="27" t="s">
        <v>206</v>
      </c>
      <c r="D10" s="28" t="n">
        <v>3</v>
      </c>
      <c r="E10" s="28" t="n">
        <v>4</v>
      </c>
      <c r="F10" s="28" t="n">
        <v>3</v>
      </c>
      <c r="G10" s="28" t="n">
        <v>2</v>
      </c>
      <c r="H10" s="40" t="n">
        <f aca="false">IF(COUNT($D10:$G10)&lt;4,0,SUM($D10:$G10))</f>
        <v>12</v>
      </c>
      <c r="I10" s="26" t="str">
        <f aca="false">IF($H10=0,"",IF($H10&lt;=8,"Ótimo",IF($H10&lt;=12,"Bom",IF($H10&lt;=16,"Regular",IF($H10&lt;=20,"Alerta","Crítico")))))</f>
        <v>Bom</v>
      </c>
      <c r="J10" s="27"/>
      <c r="K10" s="27" t="s">
        <v>373</v>
      </c>
    </row>
    <row r="11" customFormat="false" ht="15" hidden="false" customHeight="false" outlineLevel="0" collapsed="false">
      <c r="A11" s="29" t="n">
        <v>46244</v>
      </c>
      <c r="B11" s="40" t="n">
        <f aca="false">IF($A11="",0,INT(($A11-Macrociclo!$C$11)/7)+1)</f>
        <v>32</v>
      </c>
      <c r="C11" s="27" t="s">
        <v>215</v>
      </c>
      <c r="D11" s="28" t="n">
        <v>4</v>
      </c>
      <c r="E11" s="28" t="n">
        <v>5</v>
      </c>
      <c r="F11" s="28" t="n">
        <v>4</v>
      </c>
      <c r="G11" s="28" t="n">
        <v>6</v>
      </c>
      <c r="H11" s="40" t="n">
        <f aca="false">IF(COUNT($D11:$G11)&lt;4,0,SUM($D11:$G11))</f>
        <v>19</v>
      </c>
      <c r="I11" s="26" t="str">
        <f aca="false">IF($H11=0,"",IF($H11&lt;=8,"Ótimo",IF($H11&lt;=12,"Bom",IF($H11&lt;=16,"Regular",IF($H11&lt;=20,"Alerta","Crítico")))))</f>
        <v>Alerta</v>
      </c>
      <c r="J11" s="27"/>
      <c r="K11" s="27" t="s">
        <v>373</v>
      </c>
    </row>
    <row r="12" customFormat="false" ht="15" hidden="false" customHeight="false" outlineLevel="0" collapsed="false">
      <c r="A12" s="29" t="n">
        <v>46244</v>
      </c>
      <c r="B12" s="40" t="n">
        <f aca="false">IF($A12="",0,INT(($A12-Macrociclo!$C$11)/7)+1)</f>
        <v>32</v>
      </c>
      <c r="C12" s="27" t="s">
        <v>226</v>
      </c>
      <c r="D12" s="28" t="n">
        <v>2</v>
      </c>
      <c r="E12" s="28" t="n">
        <v>2</v>
      </c>
      <c r="F12" s="28" t="n">
        <v>3</v>
      </c>
      <c r="G12" s="28" t="n">
        <v>3</v>
      </c>
      <c r="H12" s="40" t="n">
        <f aca="false">IF(COUNT($D12:$G12)&lt;4,0,SUM($D12:$G12))</f>
        <v>10</v>
      </c>
      <c r="I12" s="26" t="str">
        <f aca="false">IF($H12=0,"",IF($H12&lt;=8,"Ótimo",IF($H12&lt;=12,"Bom",IF($H12&lt;=16,"Regular",IF($H12&lt;=20,"Alerta","Crítico")))))</f>
        <v>Bom</v>
      </c>
      <c r="J12" s="27"/>
      <c r="K12" s="27" t="s">
        <v>373</v>
      </c>
    </row>
    <row r="13" customFormat="false" ht="15" hidden="false" customHeight="false" outlineLevel="0" collapsed="false">
      <c r="A13" s="29" t="n">
        <v>46244</v>
      </c>
      <c r="B13" s="40" t="n">
        <f aca="false">IF($A13="",0,INT(($A13-Macrociclo!$C$11)/7)+1)</f>
        <v>32</v>
      </c>
      <c r="C13" s="27" t="s">
        <v>236</v>
      </c>
      <c r="D13" s="28" t="n">
        <v>3</v>
      </c>
      <c r="E13" s="28" t="n">
        <v>2</v>
      </c>
      <c r="F13" s="28" t="n">
        <v>4</v>
      </c>
      <c r="G13" s="28" t="n">
        <v>3</v>
      </c>
      <c r="H13" s="40" t="n">
        <f aca="false">IF(COUNT($D13:$G13)&lt;4,0,SUM($D13:$G13))</f>
        <v>12</v>
      </c>
      <c r="I13" s="26" t="str">
        <f aca="false">IF($H13=0,"",IF($H13&lt;=8,"Ótimo",IF($H13&lt;=12,"Bom",IF($H13&lt;=16,"Regular",IF($H13&lt;=20,"Alerta","Crítico")))))</f>
        <v>Bom</v>
      </c>
      <c r="J13" s="27"/>
      <c r="K13" s="27" t="s">
        <v>373</v>
      </c>
    </row>
    <row r="14" customFormat="false" ht="15" hidden="false" customHeight="false" outlineLevel="0" collapsed="false">
      <c r="A14" s="29" t="n">
        <v>46244</v>
      </c>
      <c r="B14" s="40" t="n">
        <f aca="false">IF($A14="",0,INT(($A14-Macrociclo!$C$11)/7)+1)</f>
        <v>32</v>
      </c>
      <c r="C14" s="27" t="s">
        <v>244</v>
      </c>
      <c r="D14" s="28" t="n">
        <v>3</v>
      </c>
      <c r="E14" s="28" t="n">
        <v>2</v>
      </c>
      <c r="F14" s="28" t="n">
        <v>4</v>
      </c>
      <c r="G14" s="28" t="n">
        <v>3</v>
      </c>
      <c r="H14" s="40" t="n">
        <f aca="false">IF(COUNT($D14:$G14)&lt;4,0,SUM($D14:$G14))</f>
        <v>12</v>
      </c>
      <c r="I14" s="26" t="str">
        <f aca="false">IF($H14=0,"",IF($H14&lt;=8,"Ótimo",IF($H14&lt;=12,"Bom",IF($H14&lt;=16,"Regular",IF($H14&lt;=20,"Alerta","Crítico")))))</f>
        <v>Bom</v>
      </c>
      <c r="J14" s="27"/>
      <c r="K14" s="27" t="s">
        <v>373</v>
      </c>
    </row>
    <row r="15" customFormat="false" ht="15" hidden="false" customHeight="false" outlineLevel="0" collapsed="false">
      <c r="A15" s="29" t="n">
        <v>46244</v>
      </c>
      <c r="B15" s="40" t="n">
        <f aca="false">IF($A15="",0,INT(($A15-Macrociclo!$C$11)/7)+1)</f>
        <v>32</v>
      </c>
      <c r="C15" s="27" t="s">
        <v>253</v>
      </c>
      <c r="D15" s="28" t="n">
        <v>3</v>
      </c>
      <c r="E15" s="28" t="n">
        <v>3</v>
      </c>
      <c r="F15" s="28" t="n">
        <v>2</v>
      </c>
      <c r="G15" s="28" t="n">
        <v>3</v>
      </c>
      <c r="H15" s="40" t="n">
        <f aca="false">IF(COUNT($D15:$G15)&lt;4,0,SUM($D15:$G15))</f>
        <v>11</v>
      </c>
      <c r="I15" s="26" t="str">
        <f aca="false">IF($H15=0,"",IF($H15&lt;=8,"Ótimo",IF($H15&lt;=12,"Bom",IF($H15&lt;=16,"Regular",IF($H15&lt;=20,"Alerta","Crítico")))))</f>
        <v>Bom</v>
      </c>
      <c r="J15" s="27"/>
      <c r="K15" s="27" t="s">
        <v>373</v>
      </c>
    </row>
    <row r="16" customFormat="false" ht="15" hidden="false" customHeight="false" outlineLevel="0" collapsed="false">
      <c r="A16" s="29" t="n">
        <v>46244</v>
      </c>
      <c r="B16" s="40" t="n">
        <f aca="false">IF($A16="",0,INT(($A16-Macrociclo!$C$11)/7)+1)</f>
        <v>32</v>
      </c>
      <c r="C16" s="27" t="s">
        <v>259</v>
      </c>
      <c r="D16" s="28" t="n">
        <v>2</v>
      </c>
      <c r="E16" s="28" t="n">
        <v>2</v>
      </c>
      <c r="F16" s="28" t="n">
        <v>2</v>
      </c>
      <c r="G16" s="28" t="n">
        <v>2</v>
      </c>
      <c r="H16" s="40" t="n">
        <f aca="false">IF(COUNT($D16:$G16)&lt;4,0,SUM($D16:$G16))</f>
        <v>8</v>
      </c>
      <c r="I16" s="26" t="str">
        <f aca="false">IF($H16=0,"",IF($H16&lt;=8,"Ótimo",IF($H16&lt;=12,"Bom",IF($H16&lt;=16,"Regular",IF($H16&lt;=20,"Alerta","Crítico")))))</f>
        <v>Ótimo</v>
      </c>
      <c r="J16" s="27"/>
      <c r="K16" s="27" t="s">
        <v>373</v>
      </c>
    </row>
    <row r="17" customFormat="false" ht="15" hidden="false" customHeight="false" outlineLevel="0" collapsed="false">
      <c r="A17" s="29" t="n">
        <v>46244</v>
      </c>
      <c r="B17" s="40" t="n">
        <f aca="false">IF($A17="",0,INT(($A17-Macrociclo!$C$11)/7)+1)</f>
        <v>32</v>
      </c>
      <c r="C17" s="27" t="s">
        <v>264</v>
      </c>
      <c r="D17" s="28" t="n">
        <v>4</v>
      </c>
      <c r="E17" s="28" t="n">
        <v>2</v>
      </c>
      <c r="F17" s="28" t="n">
        <v>4</v>
      </c>
      <c r="G17" s="28" t="n">
        <v>3</v>
      </c>
      <c r="H17" s="40" t="n">
        <f aca="false">IF(COUNT($D17:$G17)&lt;4,0,SUM($D17:$G17))</f>
        <v>13</v>
      </c>
      <c r="I17" s="26" t="str">
        <f aca="false">IF($H17=0,"",IF($H17&lt;=8,"Ótimo",IF($H17&lt;=12,"Bom",IF($H17&lt;=16,"Regular",IF($H17&lt;=20,"Alerta","Crítico")))))</f>
        <v>Regular</v>
      </c>
      <c r="J17" s="27"/>
      <c r="K17" s="27" t="s">
        <v>373</v>
      </c>
    </row>
    <row r="18" customFormat="false" ht="15" hidden="false" customHeight="false" outlineLevel="0" collapsed="false">
      <c r="A18" s="29" t="n">
        <v>46244</v>
      </c>
      <c r="B18" s="40" t="n">
        <f aca="false">IF($A18="",0,INT(($A18-Macrociclo!$C$11)/7)+1)</f>
        <v>32</v>
      </c>
      <c r="C18" s="27" t="s">
        <v>270</v>
      </c>
      <c r="D18" s="28" t="n">
        <v>3</v>
      </c>
      <c r="E18" s="28" t="n">
        <v>3</v>
      </c>
      <c r="F18" s="28" t="n">
        <v>4</v>
      </c>
      <c r="G18" s="28" t="n">
        <v>2</v>
      </c>
      <c r="H18" s="40" t="n">
        <f aca="false">IF(COUNT($D18:$G18)&lt;4,0,SUM($D18:$G18))</f>
        <v>12</v>
      </c>
      <c r="I18" s="26" t="str">
        <f aca="false">IF($H18=0,"",IF($H18&lt;=8,"Ótimo",IF($H18&lt;=12,"Bom",IF($H18&lt;=16,"Regular",IF($H18&lt;=20,"Alerta","Crítico")))))</f>
        <v>Bom</v>
      </c>
      <c r="J18" s="27"/>
      <c r="K18" s="27" t="s">
        <v>373</v>
      </c>
    </row>
    <row r="19" customFormat="false" ht="15" hidden="false" customHeight="false" outlineLevel="0" collapsed="false">
      <c r="A19" s="29" t="n">
        <v>46244</v>
      </c>
      <c r="B19" s="40" t="n">
        <f aca="false">IF($A19="",0,INT(($A19-Macrociclo!$C$11)/7)+1)</f>
        <v>32</v>
      </c>
      <c r="C19" s="27" t="s">
        <v>279</v>
      </c>
      <c r="D19" s="28" t="n">
        <v>3</v>
      </c>
      <c r="E19" s="28" t="n">
        <v>2</v>
      </c>
      <c r="F19" s="28" t="n">
        <v>2</v>
      </c>
      <c r="G19" s="28" t="n">
        <v>4</v>
      </c>
      <c r="H19" s="40" t="n">
        <f aca="false">IF(COUNT($D19:$G19)&lt;4,0,SUM($D19:$G19))</f>
        <v>11</v>
      </c>
      <c r="I19" s="26" t="str">
        <f aca="false">IF($H19=0,"",IF($H19&lt;=8,"Ótimo",IF($H19&lt;=12,"Bom",IF($H19&lt;=16,"Regular",IF($H19&lt;=20,"Alerta","Crítico")))))</f>
        <v>Bom</v>
      </c>
      <c r="J19" s="27"/>
      <c r="K19" s="27" t="s">
        <v>373</v>
      </c>
    </row>
    <row r="20" customFormat="false" ht="15" hidden="false" customHeight="false" outlineLevel="0" collapsed="false">
      <c r="A20" s="29" t="n">
        <v>46245</v>
      </c>
      <c r="B20" s="40" t="n">
        <f aca="false">IF($A20="",0,INT(($A20-Macrociclo!$C$11)/7)+1)</f>
        <v>32</v>
      </c>
      <c r="C20" s="27" t="s">
        <v>164</v>
      </c>
      <c r="D20" s="28" t="n">
        <v>3</v>
      </c>
      <c r="E20" s="28" t="n">
        <v>3</v>
      </c>
      <c r="F20" s="28" t="n">
        <v>3</v>
      </c>
      <c r="G20" s="28" t="n">
        <v>3</v>
      </c>
      <c r="H20" s="40" t="n">
        <f aca="false">IF(COUNT($D20:$G20)&lt;4,0,SUM($D20:$G20))</f>
        <v>12</v>
      </c>
      <c r="I20" s="26" t="str">
        <f aca="false">IF($H20=0,"",IF($H20&lt;=8,"Ótimo",IF($H20&lt;=12,"Bom",IF($H20&lt;=16,"Regular",IF($H20&lt;=20,"Alerta","Crítico")))))</f>
        <v>Bom</v>
      </c>
      <c r="J20" s="27"/>
      <c r="K20" s="27" t="s">
        <v>373</v>
      </c>
    </row>
    <row r="21" customFormat="false" ht="15" hidden="false" customHeight="false" outlineLevel="0" collapsed="false">
      <c r="A21" s="29" t="n">
        <v>46245</v>
      </c>
      <c r="B21" s="40" t="n">
        <f aca="false">IF($A21="",0,INT(($A21-Macrociclo!$C$11)/7)+1)</f>
        <v>32</v>
      </c>
      <c r="C21" s="27" t="s">
        <v>192</v>
      </c>
      <c r="D21" s="28" t="n">
        <v>3</v>
      </c>
      <c r="E21" s="28" t="n">
        <v>3</v>
      </c>
      <c r="F21" s="28" t="n">
        <v>2</v>
      </c>
      <c r="G21" s="28" t="n">
        <v>2</v>
      </c>
      <c r="H21" s="40" t="n">
        <f aca="false">IF(COUNT($D21:$G21)&lt;4,0,SUM($D21:$G21))</f>
        <v>10</v>
      </c>
      <c r="I21" s="26" t="str">
        <f aca="false">IF($H21=0,"",IF($H21&lt;=8,"Ótimo",IF($H21&lt;=12,"Bom",IF($H21&lt;=16,"Regular",IF($H21&lt;=20,"Alerta","Crítico")))))</f>
        <v>Bom</v>
      </c>
      <c r="J21" s="27"/>
      <c r="K21" s="27" t="s">
        <v>373</v>
      </c>
    </row>
    <row r="22" customFormat="false" ht="15" hidden="false" customHeight="false" outlineLevel="0" collapsed="false">
      <c r="A22" s="29" t="n">
        <v>46245</v>
      </c>
      <c r="B22" s="40" t="n">
        <f aca="false">IF($A22="",0,INT(($A22-Macrociclo!$C$11)/7)+1)</f>
        <v>32</v>
      </c>
      <c r="C22" s="27" t="s">
        <v>206</v>
      </c>
      <c r="D22" s="28" t="n">
        <v>3</v>
      </c>
      <c r="E22" s="28" t="n">
        <v>4</v>
      </c>
      <c r="F22" s="28" t="n">
        <v>4</v>
      </c>
      <c r="G22" s="28" t="n">
        <v>2</v>
      </c>
      <c r="H22" s="40" t="n">
        <f aca="false">IF(COUNT($D22:$G22)&lt;4,0,SUM($D22:$G22))</f>
        <v>13</v>
      </c>
      <c r="I22" s="26" t="str">
        <f aca="false">IF($H22=0,"",IF($H22&lt;=8,"Ótimo",IF($H22&lt;=12,"Bom",IF($H22&lt;=16,"Regular",IF($H22&lt;=20,"Alerta","Crítico")))))</f>
        <v>Regular</v>
      </c>
      <c r="J22" s="27"/>
      <c r="K22" s="27" t="s">
        <v>373</v>
      </c>
    </row>
    <row r="23" customFormat="false" ht="15" hidden="false" customHeight="false" outlineLevel="0" collapsed="false">
      <c r="A23" s="29" t="n">
        <v>46245</v>
      </c>
      <c r="B23" s="40" t="n">
        <f aca="false">IF($A23="",0,INT(($A23-Macrociclo!$C$11)/7)+1)</f>
        <v>32</v>
      </c>
      <c r="C23" s="27" t="s">
        <v>215</v>
      </c>
      <c r="D23" s="28" t="n">
        <v>5</v>
      </c>
      <c r="E23" s="28" t="n">
        <v>6</v>
      </c>
      <c r="F23" s="28" t="n">
        <v>6</v>
      </c>
      <c r="G23" s="28" t="n">
        <v>6</v>
      </c>
      <c r="H23" s="40" t="n">
        <f aca="false">IF(COUNT($D23:$G23)&lt;4,0,SUM($D23:$G23))</f>
        <v>23</v>
      </c>
      <c r="I23" s="26" t="str">
        <f aca="false">IF($H23=0,"",IF($H23&lt;=8,"Ótimo",IF($H23&lt;=12,"Bom",IF($H23&lt;=16,"Regular",IF($H23&lt;=20,"Alerta","Crítico")))))</f>
        <v>Crítico</v>
      </c>
      <c r="J23" s="27"/>
      <c r="K23" s="27" t="s">
        <v>373</v>
      </c>
    </row>
    <row r="24" customFormat="false" ht="15" hidden="false" customHeight="false" outlineLevel="0" collapsed="false">
      <c r="A24" s="29" t="n">
        <v>46245</v>
      </c>
      <c r="B24" s="40" t="n">
        <f aca="false">IF($A24="",0,INT(($A24-Macrociclo!$C$11)/7)+1)</f>
        <v>32</v>
      </c>
      <c r="C24" s="27" t="s">
        <v>226</v>
      </c>
      <c r="D24" s="28" t="n">
        <v>2</v>
      </c>
      <c r="E24" s="28" t="n">
        <v>3</v>
      </c>
      <c r="F24" s="28" t="n">
        <v>2</v>
      </c>
      <c r="G24" s="28" t="n">
        <v>2</v>
      </c>
      <c r="H24" s="40" t="n">
        <f aca="false">IF(COUNT($D24:$G24)&lt;4,0,SUM($D24:$G24))</f>
        <v>9</v>
      </c>
      <c r="I24" s="26" t="str">
        <f aca="false">IF($H24=0,"",IF($H24&lt;=8,"Ótimo",IF($H24&lt;=12,"Bom",IF($H24&lt;=16,"Regular",IF($H24&lt;=20,"Alerta","Crítico")))))</f>
        <v>Bom</v>
      </c>
      <c r="J24" s="27"/>
      <c r="K24" s="27" t="s">
        <v>373</v>
      </c>
    </row>
    <row r="25" customFormat="false" ht="15" hidden="false" customHeight="false" outlineLevel="0" collapsed="false">
      <c r="A25" s="29" t="n">
        <v>46245</v>
      </c>
      <c r="B25" s="40" t="n">
        <f aca="false">IF($A25="",0,INT(($A25-Macrociclo!$C$11)/7)+1)</f>
        <v>32</v>
      </c>
      <c r="C25" s="27" t="s">
        <v>236</v>
      </c>
      <c r="D25" s="28" t="n">
        <v>4</v>
      </c>
      <c r="E25" s="28" t="n">
        <v>4</v>
      </c>
      <c r="F25" s="28" t="n">
        <v>2</v>
      </c>
      <c r="G25" s="28" t="n">
        <v>4</v>
      </c>
      <c r="H25" s="40" t="n">
        <f aca="false">IF(COUNT($D25:$G25)&lt;4,0,SUM($D25:$G25))</f>
        <v>14</v>
      </c>
      <c r="I25" s="26" t="str">
        <f aca="false">IF($H25=0,"",IF($H25&lt;=8,"Ótimo",IF($H25&lt;=12,"Bom",IF($H25&lt;=16,"Regular",IF($H25&lt;=20,"Alerta","Crítico")))))</f>
        <v>Regular</v>
      </c>
      <c r="J25" s="27"/>
      <c r="K25" s="27" t="s">
        <v>373</v>
      </c>
    </row>
    <row r="26" customFormat="false" ht="15" hidden="false" customHeight="false" outlineLevel="0" collapsed="false">
      <c r="A26" s="29" t="n">
        <v>46245</v>
      </c>
      <c r="B26" s="40" t="n">
        <f aca="false">IF($A26="",0,INT(($A26-Macrociclo!$C$11)/7)+1)</f>
        <v>32</v>
      </c>
      <c r="C26" s="27" t="s">
        <v>244</v>
      </c>
      <c r="D26" s="28" t="n">
        <v>3</v>
      </c>
      <c r="E26" s="28" t="n">
        <v>2</v>
      </c>
      <c r="F26" s="28" t="n">
        <v>2</v>
      </c>
      <c r="G26" s="28" t="n">
        <v>2</v>
      </c>
      <c r="H26" s="40" t="n">
        <f aca="false">IF(COUNT($D26:$G26)&lt;4,0,SUM($D26:$G26))</f>
        <v>9</v>
      </c>
      <c r="I26" s="26" t="str">
        <f aca="false">IF($H26=0,"",IF($H26&lt;=8,"Ótimo",IF($H26&lt;=12,"Bom",IF($H26&lt;=16,"Regular",IF($H26&lt;=20,"Alerta","Crítico")))))</f>
        <v>Bom</v>
      </c>
      <c r="J26" s="27"/>
      <c r="K26" s="27" t="s">
        <v>373</v>
      </c>
    </row>
    <row r="27" customFormat="false" ht="15" hidden="false" customHeight="false" outlineLevel="0" collapsed="false">
      <c r="A27" s="29" t="n">
        <v>46245</v>
      </c>
      <c r="B27" s="40" t="n">
        <f aca="false">IF($A27="",0,INT(($A27-Macrociclo!$C$11)/7)+1)</f>
        <v>32</v>
      </c>
      <c r="C27" s="27" t="s">
        <v>253</v>
      </c>
      <c r="D27" s="28" t="n">
        <v>2</v>
      </c>
      <c r="E27" s="28" t="n">
        <v>2</v>
      </c>
      <c r="F27" s="28" t="n">
        <v>2</v>
      </c>
      <c r="G27" s="28" t="n">
        <v>3</v>
      </c>
      <c r="H27" s="40" t="n">
        <f aca="false">IF(COUNT($D27:$G27)&lt;4,0,SUM($D27:$G27))</f>
        <v>9</v>
      </c>
      <c r="I27" s="26" t="str">
        <f aca="false">IF($H27=0,"",IF($H27&lt;=8,"Ótimo",IF($H27&lt;=12,"Bom",IF($H27&lt;=16,"Regular",IF($H27&lt;=20,"Alerta","Crítico")))))</f>
        <v>Bom</v>
      </c>
      <c r="J27" s="27"/>
      <c r="K27" s="27" t="s">
        <v>373</v>
      </c>
    </row>
    <row r="28" customFormat="false" ht="15" hidden="false" customHeight="false" outlineLevel="0" collapsed="false">
      <c r="A28" s="29" t="n">
        <v>46245</v>
      </c>
      <c r="B28" s="40" t="n">
        <f aca="false">IF($A28="",0,INT(($A28-Macrociclo!$C$11)/7)+1)</f>
        <v>32</v>
      </c>
      <c r="C28" s="27" t="s">
        <v>259</v>
      </c>
      <c r="D28" s="28" t="n">
        <v>2</v>
      </c>
      <c r="E28" s="28" t="n">
        <v>3</v>
      </c>
      <c r="F28" s="28" t="n">
        <v>4</v>
      </c>
      <c r="G28" s="28" t="n">
        <v>3</v>
      </c>
      <c r="H28" s="40" t="n">
        <f aca="false">IF(COUNT($D28:$G28)&lt;4,0,SUM($D28:$G28))</f>
        <v>12</v>
      </c>
      <c r="I28" s="26" t="str">
        <f aca="false">IF($H28=0,"",IF($H28&lt;=8,"Ótimo",IF($H28&lt;=12,"Bom",IF($H28&lt;=16,"Regular",IF($H28&lt;=20,"Alerta","Crítico")))))</f>
        <v>Bom</v>
      </c>
      <c r="J28" s="27"/>
      <c r="K28" s="27" t="s">
        <v>373</v>
      </c>
    </row>
    <row r="29" customFormat="false" ht="15" hidden="false" customHeight="false" outlineLevel="0" collapsed="false">
      <c r="A29" s="29" t="n">
        <v>46245</v>
      </c>
      <c r="B29" s="40" t="n">
        <f aca="false">IF($A29="",0,INT(($A29-Macrociclo!$C$11)/7)+1)</f>
        <v>32</v>
      </c>
      <c r="C29" s="27" t="s">
        <v>264</v>
      </c>
      <c r="D29" s="28" t="n">
        <v>2</v>
      </c>
      <c r="E29" s="28" t="n">
        <v>3</v>
      </c>
      <c r="F29" s="28" t="n">
        <v>3</v>
      </c>
      <c r="G29" s="28" t="n">
        <v>2</v>
      </c>
      <c r="H29" s="40" t="n">
        <f aca="false">IF(COUNT($D29:$G29)&lt;4,0,SUM($D29:$G29))</f>
        <v>10</v>
      </c>
      <c r="I29" s="26" t="str">
        <f aca="false">IF($H29=0,"",IF($H29&lt;=8,"Ótimo",IF($H29&lt;=12,"Bom",IF($H29&lt;=16,"Regular",IF($H29&lt;=20,"Alerta","Crítico")))))</f>
        <v>Bom</v>
      </c>
      <c r="J29" s="27"/>
      <c r="K29" s="27" t="s">
        <v>373</v>
      </c>
    </row>
    <row r="30" customFormat="false" ht="15" hidden="false" customHeight="false" outlineLevel="0" collapsed="false">
      <c r="A30" s="29" t="n">
        <v>46245</v>
      </c>
      <c r="B30" s="40" t="n">
        <f aca="false">IF($A30="",0,INT(($A30-Macrociclo!$C$11)/7)+1)</f>
        <v>32</v>
      </c>
      <c r="C30" s="27" t="s">
        <v>270</v>
      </c>
      <c r="D30" s="28" t="n">
        <v>4</v>
      </c>
      <c r="E30" s="28" t="n">
        <v>2</v>
      </c>
      <c r="F30" s="28" t="n">
        <v>3</v>
      </c>
      <c r="G30" s="28" t="n">
        <v>4</v>
      </c>
      <c r="H30" s="40" t="n">
        <f aca="false">IF(COUNT($D30:$G30)&lt;4,0,SUM($D30:$G30))</f>
        <v>13</v>
      </c>
      <c r="I30" s="26" t="str">
        <f aca="false">IF($H30=0,"",IF($H30&lt;=8,"Ótimo",IF($H30&lt;=12,"Bom",IF($H30&lt;=16,"Regular",IF($H30&lt;=20,"Alerta","Crítico")))))</f>
        <v>Regular</v>
      </c>
      <c r="J30" s="27"/>
      <c r="K30" s="27" t="s">
        <v>373</v>
      </c>
    </row>
    <row r="31" customFormat="false" ht="15" hidden="false" customHeight="false" outlineLevel="0" collapsed="false">
      <c r="A31" s="29" t="n">
        <v>46245</v>
      </c>
      <c r="B31" s="40" t="n">
        <f aca="false">IF($A31="",0,INT(($A31-Macrociclo!$C$11)/7)+1)</f>
        <v>32</v>
      </c>
      <c r="C31" s="27" t="s">
        <v>279</v>
      </c>
      <c r="D31" s="28" t="n">
        <v>3</v>
      </c>
      <c r="E31" s="28" t="n">
        <v>3</v>
      </c>
      <c r="F31" s="28" t="n">
        <v>4</v>
      </c>
      <c r="G31" s="28" t="n">
        <v>3</v>
      </c>
      <c r="H31" s="40" t="n">
        <f aca="false">IF(COUNT($D31:$G31)&lt;4,0,SUM($D31:$G31))</f>
        <v>13</v>
      </c>
      <c r="I31" s="26" t="str">
        <f aca="false">IF($H31=0,"",IF($H31&lt;=8,"Ótimo",IF($H31&lt;=12,"Bom",IF($H31&lt;=16,"Regular",IF($H31&lt;=20,"Alerta","Crítico")))))</f>
        <v>Regular</v>
      </c>
      <c r="J31" s="27"/>
      <c r="K31" s="27" t="s">
        <v>373</v>
      </c>
    </row>
    <row r="32" customFormat="false" ht="15" hidden="false" customHeight="false" outlineLevel="0" collapsed="false">
      <c r="A32" s="29" t="n">
        <v>46246</v>
      </c>
      <c r="B32" s="40" t="n">
        <f aca="false">IF($A32="",0,INT(($A32-Macrociclo!$C$11)/7)+1)</f>
        <v>32</v>
      </c>
      <c r="C32" s="27" t="s">
        <v>164</v>
      </c>
      <c r="D32" s="28" t="n">
        <v>2</v>
      </c>
      <c r="E32" s="28" t="n">
        <v>3</v>
      </c>
      <c r="F32" s="28" t="n">
        <v>3</v>
      </c>
      <c r="G32" s="28" t="n">
        <v>2</v>
      </c>
      <c r="H32" s="40" t="n">
        <f aca="false">IF(COUNT($D32:$G32)&lt;4,0,SUM($D32:$G32))</f>
        <v>10</v>
      </c>
      <c r="I32" s="26" t="str">
        <f aca="false">IF($H32=0,"",IF($H32&lt;=8,"Ótimo",IF($H32&lt;=12,"Bom",IF($H32&lt;=16,"Regular",IF($H32&lt;=20,"Alerta","Crítico")))))</f>
        <v>Bom</v>
      </c>
      <c r="J32" s="27"/>
      <c r="K32" s="27" t="s">
        <v>373</v>
      </c>
    </row>
    <row r="33" customFormat="false" ht="15" hidden="false" customHeight="false" outlineLevel="0" collapsed="false">
      <c r="A33" s="29" t="n">
        <v>46246</v>
      </c>
      <c r="B33" s="40" t="n">
        <f aca="false">IF($A33="",0,INT(($A33-Macrociclo!$C$11)/7)+1)</f>
        <v>32</v>
      </c>
      <c r="C33" s="27" t="s">
        <v>192</v>
      </c>
      <c r="D33" s="28" t="n">
        <v>2</v>
      </c>
      <c r="E33" s="28" t="n">
        <v>3</v>
      </c>
      <c r="F33" s="28" t="n">
        <v>3</v>
      </c>
      <c r="G33" s="28" t="n">
        <v>4</v>
      </c>
      <c r="H33" s="40" t="n">
        <f aca="false">IF(COUNT($D33:$G33)&lt;4,0,SUM($D33:$G33))</f>
        <v>12</v>
      </c>
      <c r="I33" s="26" t="str">
        <f aca="false">IF($H33=0,"",IF($H33&lt;=8,"Ótimo",IF($H33&lt;=12,"Bom",IF($H33&lt;=16,"Regular",IF($H33&lt;=20,"Alerta","Crítico")))))</f>
        <v>Bom</v>
      </c>
      <c r="J33" s="27"/>
      <c r="K33" s="27" t="s">
        <v>373</v>
      </c>
    </row>
    <row r="34" customFormat="false" ht="15" hidden="false" customHeight="false" outlineLevel="0" collapsed="false">
      <c r="A34" s="29" t="n">
        <v>46246</v>
      </c>
      <c r="B34" s="40" t="n">
        <f aca="false">IF($A34="",0,INT(($A34-Macrociclo!$C$11)/7)+1)</f>
        <v>32</v>
      </c>
      <c r="C34" s="27" t="s">
        <v>206</v>
      </c>
      <c r="D34" s="28" t="n">
        <v>3</v>
      </c>
      <c r="E34" s="28" t="n">
        <v>3</v>
      </c>
      <c r="F34" s="28" t="n">
        <v>3</v>
      </c>
      <c r="G34" s="28" t="n">
        <v>3</v>
      </c>
      <c r="H34" s="40" t="n">
        <f aca="false">IF(COUNT($D34:$G34)&lt;4,0,SUM($D34:$G34))</f>
        <v>12</v>
      </c>
      <c r="I34" s="26" t="str">
        <f aca="false">IF($H34=0,"",IF($H34&lt;=8,"Ótimo",IF($H34&lt;=12,"Bom",IF($H34&lt;=16,"Regular",IF($H34&lt;=20,"Alerta","Crítico")))))</f>
        <v>Bom</v>
      </c>
      <c r="J34" s="27"/>
      <c r="K34" s="27" t="s">
        <v>373</v>
      </c>
    </row>
    <row r="35" customFormat="false" ht="15" hidden="false" customHeight="false" outlineLevel="0" collapsed="false">
      <c r="A35" s="29" t="n">
        <v>46246</v>
      </c>
      <c r="B35" s="40" t="n">
        <f aca="false">IF($A35="",0,INT(($A35-Macrociclo!$C$11)/7)+1)</f>
        <v>32</v>
      </c>
      <c r="C35" s="27" t="s">
        <v>215</v>
      </c>
      <c r="D35" s="28" t="n">
        <v>5</v>
      </c>
      <c r="E35" s="28" t="n">
        <v>6</v>
      </c>
      <c r="F35" s="28" t="n">
        <v>6</v>
      </c>
      <c r="G35" s="28" t="n">
        <v>4</v>
      </c>
      <c r="H35" s="40" t="n">
        <f aca="false">IF(COUNT($D35:$G35)&lt;4,0,SUM($D35:$G35))</f>
        <v>21</v>
      </c>
      <c r="I35" s="26" t="str">
        <f aca="false">IF($H35=0,"",IF($H35&lt;=8,"Ótimo",IF($H35&lt;=12,"Bom",IF($H35&lt;=16,"Regular",IF($H35&lt;=20,"Alerta","Crítico")))))</f>
        <v>Crítico</v>
      </c>
      <c r="J35" s="27"/>
      <c r="K35" s="27" t="s">
        <v>373</v>
      </c>
    </row>
    <row r="36" customFormat="false" ht="15" hidden="false" customHeight="false" outlineLevel="0" collapsed="false">
      <c r="A36" s="29" t="n">
        <v>46246</v>
      </c>
      <c r="B36" s="40" t="n">
        <f aca="false">IF($A36="",0,INT(($A36-Macrociclo!$C$11)/7)+1)</f>
        <v>32</v>
      </c>
      <c r="C36" s="27" t="s">
        <v>226</v>
      </c>
      <c r="D36" s="28" t="n">
        <v>2</v>
      </c>
      <c r="E36" s="28" t="n">
        <v>4</v>
      </c>
      <c r="F36" s="28" t="n">
        <v>4</v>
      </c>
      <c r="G36" s="28" t="n">
        <v>2</v>
      </c>
      <c r="H36" s="40" t="n">
        <f aca="false">IF(COUNT($D36:$G36)&lt;4,0,SUM($D36:$G36))</f>
        <v>12</v>
      </c>
      <c r="I36" s="26" t="str">
        <f aca="false">IF($H36=0,"",IF($H36&lt;=8,"Ótimo",IF($H36&lt;=12,"Bom",IF($H36&lt;=16,"Regular",IF($H36&lt;=20,"Alerta","Crítico")))))</f>
        <v>Bom</v>
      </c>
      <c r="J36" s="27"/>
      <c r="K36" s="27" t="s">
        <v>373</v>
      </c>
    </row>
    <row r="37" customFormat="false" ht="15" hidden="false" customHeight="false" outlineLevel="0" collapsed="false">
      <c r="A37" s="29" t="n">
        <v>46246</v>
      </c>
      <c r="B37" s="40" t="n">
        <f aca="false">IF($A37="",0,INT(($A37-Macrociclo!$C$11)/7)+1)</f>
        <v>32</v>
      </c>
      <c r="C37" s="27" t="s">
        <v>236</v>
      </c>
      <c r="D37" s="28" t="n">
        <v>2</v>
      </c>
      <c r="E37" s="28" t="n">
        <v>4</v>
      </c>
      <c r="F37" s="28" t="n">
        <v>2</v>
      </c>
      <c r="G37" s="28" t="n">
        <v>2</v>
      </c>
      <c r="H37" s="40" t="n">
        <f aca="false">IF(COUNT($D37:$G37)&lt;4,0,SUM($D37:$G37))</f>
        <v>10</v>
      </c>
      <c r="I37" s="26" t="str">
        <f aca="false">IF($H37=0,"",IF($H37&lt;=8,"Ótimo",IF($H37&lt;=12,"Bom",IF($H37&lt;=16,"Regular",IF($H37&lt;=20,"Alerta","Crítico")))))</f>
        <v>Bom</v>
      </c>
      <c r="J37" s="27"/>
      <c r="K37" s="27" t="s">
        <v>373</v>
      </c>
    </row>
    <row r="38" customFormat="false" ht="15" hidden="false" customHeight="false" outlineLevel="0" collapsed="false">
      <c r="A38" s="29" t="n">
        <v>46246</v>
      </c>
      <c r="B38" s="40" t="n">
        <f aca="false">IF($A38="",0,INT(($A38-Macrociclo!$C$11)/7)+1)</f>
        <v>32</v>
      </c>
      <c r="C38" s="27" t="s">
        <v>244</v>
      </c>
      <c r="D38" s="28" t="n">
        <v>4</v>
      </c>
      <c r="E38" s="28" t="n">
        <v>2</v>
      </c>
      <c r="F38" s="28" t="n">
        <v>3</v>
      </c>
      <c r="G38" s="28" t="n">
        <v>3</v>
      </c>
      <c r="H38" s="40" t="n">
        <f aca="false">IF(COUNT($D38:$G38)&lt;4,0,SUM($D38:$G38))</f>
        <v>12</v>
      </c>
      <c r="I38" s="26" t="str">
        <f aca="false">IF($H38=0,"",IF($H38&lt;=8,"Ótimo",IF($H38&lt;=12,"Bom",IF($H38&lt;=16,"Regular",IF($H38&lt;=20,"Alerta","Crítico")))))</f>
        <v>Bom</v>
      </c>
      <c r="J38" s="27"/>
      <c r="K38" s="27" t="s">
        <v>373</v>
      </c>
    </row>
    <row r="39" customFormat="false" ht="15" hidden="false" customHeight="false" outlineLevel="0" collapsed="false">
      <c r="A39" s="29" t="n">
        <v>46246</v>
      </c>
      <c r="B39" s="40" t="n">
        <f aca="false">IF($A39="",0,INT(($A39-Macrociclo!$C$11)/7)+1)</f>
        <v>32</v>
      </c>
      <c r="C39" s="27" t="s">
        <v>253</v>
      </c>
      <c r="D39" s="28" t="n">
        <v>2</v>
      </c>
      <c r="E39" s="28" t="n">
        <v>4</v>
      </c>
      <c r="F39" s="28" t="n">
        <v>2</v>
      </c>
      <c r="G39" s="28" t="n">
        <v>4</v>
      </c>
      <c r="H39" s="40" t="n">
        <f aca="false">IF(COUNT($D39:$G39)&lt;4,0,SUM($D39:$G39))</f>
        <v>12</v>
      </c>
      <c r="I39" s="26" t="str">
        <f aca="false">IF($H39=0,"",IF($H39&lt;=8,"Ótimo",IF($H39&lt;=12,"Bom",IF($H39&lt;=16,"Regular",IF($H39&lt;=20,"Alerta","Crítico")))))</f>
        <v>Bom</v>
      </c>
      <c r="J39" s="27"/>
      <c r="K39" s="27" t="s">
        <v>373</v>
      </c>
    </row>
    <row r="40" customFormat="false" ht="15" hidden="false" customHeight="false" outlineLevel="0" collapsed="false">
      <c r="A40" s="29" t="n">
        <v>46246</v>
      </c>
      <c r="B40" s="40" t="n">
        <f aca="false">IF($A40="",0,INT(($A40-Macrociclo!$C$11)/7)+1)</f>
        <v>32</v>
      </c>
      <c r="C40" s="27" t="s">
        <v>259</v>
      </c>
      <c r="D40" s="28" t="n">
        <v>2</v>
      </c>
      <c r="E40" s="28" t="n">
        <v>2</v>
      </c>
      <c r="F40" s="28" t="n">
        <v>2</v>
      </c>
      <c r="G40" s="28" t="n">
        <v>2</v>
      </c>
      <c r="H40" s="40" t="n">
        <f aca="false">IF(COUNT($D40:$G40)&lt;4,0,SUM($D40:$G40))</f>
        <v>8</v>
      </c>
      <c r="I40" s="26" t="str">
        <f aca="false">IF($H40=0,"",IF($H40&lt;=8,"Ótimo",IF($H40&lt;=12,"Bom",IF($H40&lt;=16,"Regular",IF($H40&lt;=20,"Alerta","Crítico")))))</f>
        <v>Ótimo</v>
      </c>
      <c r="J40" s="27"/>
      <c r="K40" s="27" t="s">
        <v>373</v>
      </c>
    </row>
    <row r="41" customFormat="false" ht="15" hidden="false" customHeight="false" outlineLevel="0" collapsed="false">
      <c r="A41" s="29" t="n">
        <v>46246</v>
      </c>
      <c r="B41" s="40" t="n">
        <f aca="false">IF($A41="",0,INT(($A41-Macrociclo!$C$11)/7)+1)</f>
        <v>32</v>
      </c>
      <c r="C41" s="27" t="s">
        <v>264</v>
      </c>
      <c r="D41" s="28" t="n">
        <v>4</v>
      </c>
      <c r="E41" s="28" t="n">
        <v>4</v>
      </c>
      <c r="F41" s="28" t="n">
        <v>4</v>
      </c>
      <c r="G41" s="28" t="n">
        <v>4</v>
      </c>
      <c r="H41" s="40" t="n">
        <f aca="false">IF(COUNT($D41:$G41)&lt;4,0,SUM($D41:$G41))</f>
        <v>16</v>
      </c>
      <c r="I41" s="26" t="str">
        <f aca="false">IF($H41=0,"",IF($H41&lt;=8,"Ótimo",IF($H41&lt;=12,"Bom",IF($H41&lt;=16,"Regular",IF($H41&lt;=20,"Alerta","Crítico")))))</f>
        <v>Regular</v>
      </c>
      <c r="J41" s="27"/>
      <c r="K41" s="27" t="s">
        <v>373</v>
      </c>
    </row>
    <row r="42" customFormat="false" ht="15" hidden="false" customHeight="false" outlineLevel="0" collapsed="false">
      <c r="A42" s="29" t="n">
        <v>46246</v>
      </c>
      <c r="B42" s="40" t="n">
        <f aca="false">IF($A42="",0,INT(($A42-Macrociclo!$C$11)/7)+1)</f>
        <v>32</v>
      </c>
      <c r="C42" s="27" t="s">
        <v>270</v>
      </c>
      <c r="D42" s="28" t="n">
        <v>2</v>
      </c>
      <c r="E42" s="28" t="n">
        <v>2</v>
      </c>
      <c r="F42" s="28" t="n">
        <v>3</v>
      </c>
      <c r="G42" s="28" t="n">
        <v>4</v>
      </c>
      <c r="H42" s="40" t="n">
        <f aca="false">IF(COUNT($D42:$G42)&lt;4,0,SUM($D42:$G42))</f>
        <v>11</v>
      </c>
      <c r="I42" s="26" t="str">
        <f aca="false">IF($H42=0,"",IF($H42&lt;=8,"Ótimo",IF($H42&lt;=12,"Bom",IF($H42&lt;=16,"Regular",IF($H42&lt;=20,"Alerta","Crítico")))))</f>
        <v>Bom</v>
      </c>
      <c r="J42" s="27"/>
      <c r="K42" s="27" t="s">
        <v>373</v>
      </c>
    </row>
    <row r="43" customFormat="false" ht="15" hidden="false" customHeight="false" outlineLevel="0" collapsed="false">
      <c r="A43" s="29" t="n">
        <v>46246</v>
      </c>
      <c r="B43" s="40" t="n">
        <f aca="false">IF($A43="",0,INT(($A43-Macrociclo!$C$11)/7)+1)</f>
        <v>32</v>
      </c>
      <c r="C43" s="27" t="s">
        <v>279</v>
      </c>
      <c r="D43" s="28" t="n">
        <v>3</v>
      </c>
      <c r="E43" s="28" t="n">
        <v>2</v>
      </c>
      <c r="F43" s="28" t="n">
        <v>2</v>
      </c>
      <c r="G43" s="28" t="n">
        <v>4</v>
      </c>
      <c r="H43" s="40" t="n">
        <f aca="false">IF(COUNT($D43:$G43)&lt;4,0,SUM($D43:$G43))</f>
        <v>11</v>
      </c>
      <c r="I43" s="26" t="str">
        <f aca="false">IF($H43=0,"",IF($H43&lt;=8,"Ótimo",IF($H43&lt;=12,"Bom",IF($H43&lt;=16,"Regular",IF($H43&lt;=20,"Alerta","Crítico")))))</f>
        <v>Bom</v>
      </c>
      <c r="J43" s="27"/>
      <c r="K43" s="27" t="s">
        <v>373</v>
      </c>
    </row>
    <row r="44" customFormat="false" ht="15" hidden="false" customHeight="false" outlineLevel="0" collapsed="false">
      <c r="A44" s="29" t="n">
        <v>46247</v>
      </c>
      <c r="B44" s="40" t="n">
        <f aca="false">IF($A44="",0,INT(($A44-Macrociclo!$C$11)/7)+1)</f>
        <v>32</v>
      </c>
      <c r="C44" s="27" t="s">
        <v>164</v>
      </c>
      <c r="D44" s="28" t="n">
        <v>4</v>
      </c>
      <c r="E44" s="28" t="n">
        <v>2</v>
      </c>
      <c r="F44" s="28" t="n">
        <v>4</v>
      </c>
      <c r="G44" s="28" t="n">
        <v>2</v>
      </c>
      <c r="H44" s="40" t="n">
        <f aca="false">IF(COUNT($D44:$G44)&lt;4,0,SUM($D44:$G44))</f>
        <v>12</v>
      </c>
      <c r="I44" s="26" t="str">
        <f aca="false">IF($H44=0,"",IF($H44&lt;=8,"Ótimo",IF($H44&lt;=12,"Bom",IF($H44&lt;=16,"Regular",IF($H44&lt;=20,"Alerta","Crítico")))))</f>
        <v>Bom</v>
      </c>
      <c r="J44" s="27"/>
      <c r="K44" s="27" t="s">
        <v>373</v>
      </c>
    </row>
    <row r="45" customFormat="false" ht="15" hidden="false" customHeight="false" outlineLevel="0" collapsed="false">
      <c r="A45" s="29" t="n">
        <v>46247</v>
      </c>
      <c r="B45" s="40" t="n">
        <f aca="false">IF($A45="",0,INT(($A45-Macrociclo!$C$11)/7)+1)</f>
        <v>32</v>
      </c>
      <c r="C45" s="27" t="s">
        <v>192</v>
      </c>
      <c r="D45" s="28" t="n">
        <v>2</v>
      </c>
      <c r="E45" s="28" t="n">
        <v>2</v>
      </c>
      <c r="F45" s="28" t="n">
        <v>3</v>
      </c>
      <c r="G45" s="28" t="n">
        <v>3</v>
      </c>
      <c r="H45" s="40" t="n">
        <f aca="false">IF(COUNT($D45:$G45)&lt;4,0,SUM($D45:$G45))</f>
        <v>10</v>
      </c>
      <c r="I45" s="26" t="str">
        <f aca="false">IF($H45=0,"",IF($H45&lt;=8,"Ótimo",IF($H45&lt;=12,"Bom",IF($H45&lt;=16,"Regular",IF($H45&lt;=20,"Alerta","Crítico")))))</f>
        <v>Bom</v>
      </c>
      <c r="J45" s="27"/>
      <c r="K45" s="27" t="s">
        <v>373</v>
      </c>
    </row>
    <row r="46" customFormat="false" ht="15" hidden="false" customHeight="false" outlineLevel="0" collapsed="false">
      <c r="A46" s="29" t="n">
        <v>46247</v>
      </c>
      <c r="B46" s="40" t="n">
        <f aca="false">IF($A46="",0,INT(($A46-Macrociclo!$C$11)/7)+1)</f>
        <v>32</v>
      </c>
      <c r="C46" s="27" t="s">
        <v>206</v>
      </c>
      <c r="D46" s="28" t="n">
        <v>3</v>
      </c>
      <c r="E46" s="28" t="n">
        <v>2</v>
      </c>
      <c r="F46" s="28" t="n">
        <v>3</v>
      </c>
      <c r="G46" s="28" t="n">
        <v>2</v>
      </c>
      <c r="H46" s="40" t="n">
        <f aca="false">IF(COUNT($D46:$G46)&lt;4,0,SUM($D46:$G46))</f>
        <v>10</v>
      </c>
      <c r="I46" s="26" t="str">
        <f aca="false">IF($H46=0,"",IF($H46&lt;=8,"Ótimo",IF($H46&lt;=12,"Bom",IF($H46&lt;=16,"Regular",IF($H46&lt;=20,"Alerta","Crítico")))))</f>
        <v>Bom</v>
      </c>
      <c r="J46" s="27"/>
      <c r="K46" s="27" t="s">
        <v>373</v>
      </c>
    </row>
    <row r="47" customFormat="false" ht="15" hidden="false" customHeight="false" outlineLevel="0" collapsed="false">
      <c r="A47" s="29" t="n">
        <v>46247</v>
      </c>
      <c r="B47" s="40" t="n">
        <f aca="false">IF($A47="",0,INT(($A47-Macrociclo!$C$11)/7)+1)</f>
        <v>32</v>
      </c>
      <c r="C47" s="27" t="s">
        <v>215</v>
      </c>
      <c r="D47" s="28" t="n">
        <v>5</v>
      </c>
      <c r="E47" s="28" t="n">
        <v>4</v>
      </c>
      <c r="F47" s="28" t="n">
        <v>6</v>
      </c>
      <c r="G47" s="28" t="n">
        <v>4</v>
      </c>
      <c r="H47" s="40" t="n">
        <f aca="false">IF(COUNT($D47:$G47)&lt;4,0,SUM($D47:$G47))</f>
        <v>19</v>
      </c>
      <c r="I47" s="26" t="str">
        <f aca="false">IF($H47=0,"",IF($H47&lt;=8,"Ótimo",IF($H47&lt;=12,"Bom",IF($H47&lt;=16,"Regular",IF($H47&lt;=20,"Alerta","Crítico")))))</f>
        <v>Alerta</v>
      </c>
      <c r="J47" s="27"/>
      <c r="K47" s="27" t="s">
        <v>373</v>
      </c>
    </row>
    <row r="48" customFormat="false" ht="15" hidden="false" customHeight="false" outlineLevel="0" collapsed="false">
      <c r="A48" s="29" t="n">
        <v>46247</v>
      </c>
      <c r="B48" s="40" t="n">
        <f aca="false">IF($A48="",0,INT(($A48-Macrociclo!$C$11)/7)+1)</f>
        <v>32</v>
      </c>
      <c r="C48" s="27" t="s">
        <v>226</v>
      </c>
      <c r="D48" s="28" t="n">
        <v>2</v>
      </c>
      <c r="E48" s="28" t="n">
        <v>3</v>
      </c>
      <c r="F48" s="28" t="n">
        <v>4</v>
      </c>
      <c r="G48" s="28" t="n">
        <v>4</v>
      </c>
      <c r="H48" s="40" t="n">
        <f aca="false">IF(COUNT($D48:$G48)&lt;4,0,SUM($D48:$G48))</f>
        <v>13</v>
      </c>
      <c r="I48" s="26" t="str">
        <f aca="false">IF($H48=0,"",IF($H48&lt;=8,"Ótimo",IF($H48&lt;=12,"Bom",IF($H48&lt;=16,"Regular",IF($H48&lt;=20,"Alerta","Crítico")))))</f>
        <v>Regular</v>
      </c>
      <c r="J48" s="27"/>
      <c r="K48" s="27" t="s">
        <v>373</v>
      </c>
    </row>
    <row r="49" customFormat="false" ht="15" hidden="false" customHeight="false" outlineLevel="0" collapsed="false">
      <c r="A49" s="29" t="n">
        <v>46247</v>
      </c>
      <c r="B49" s="40" t="n">
        <f aca="false">IF($A49="",0,INT(($A49-Macrociclo!$C$11)/7)+1)</f>
        <v>32</v>
      </c>
      <c r="C49" s="27" t="s">
        <v>236</v>
      </c>
      <c r="D49" s="28" t="n">
        <v>3</v>
      </c>
      <c r="E49" s="28" t="n">
        <v>2</v>
      </c>
      <c r="F49" s="28" t="n">
        <v>2</v>
      </c>
      <c r="G49" s="28" t="n">
        <v>3</v>
      </c>
      <c r="H49" s="40" t="n">
        <f aca="false">IF(COUNT($D49:$G49)&lt;4,0,SUM($D49:$G49))</f>
        <v>10</v>
      </c>
      <c r="I49" s="26" t="str">
        <f aca="false">IF($H49=0,"",IF($H49&lt;=8,"Ótimo",IF($H49&lt;=12,"Bom",IF($H49&lt;=16,"Regular",IF($H49&lt;=20,"Alerta","Crítico")))))</f>
        <v>Bom</v>
      </c>
      <c r="J49" s="27"/>
      <c r="K49" s="27" t="s">
        <v>373</v>
      </c>
    </row>
    <row r="50" customFormat="false" ht="15" hidden="false" customHeight="false" outlineLevel="0" collapsed="false">
      <c r="A50" s="29" t="n">
        <v>46247</v>
      </c>
      <c r="B50" s="40" t="n">
        <f aca="false">IF($A50="",0,INT(($A50-Macrociclo!$C$11)/7)+1)</f>
        <v>32</v>
      </c>
      <c r="C50" s="27" t="s">
        <v>244</v>
      </c>
      <c r="D50" s="28" t="n">
        <v>2</v>
      </c>
      <c r="E50" s="28" t="n">
        <v>4</v>
      </c>
      <c r="F50" s="28" t="n">
        <v>2</v>
      </c>
      <c r="G50" s="28" t="n">
        <v>2</v>
      </c>
      <c r="H50" s="40" t="n">
        <f aca="false">IF(COUNT($D50:$G50)&lt;4,0,SUM($D50:$G50))</f>
        <v>10</v>
      </c>
      <c r="I50" s="26" t="str">
        <f aca="false">IF($H50=0,"",IF($H50&lt;=8,"Ótimo",IF($H50&lt;=12,"Bom",IF($H50&lt;=16,"Regular",IF($H50&lt;=20,"Alerta","Crítico")))))</f>
        <v>Bom</v>
      </c>
      <c r="J50" s="27"/>
      <c r="K50" s="27" t="s">
        <v>373</v>
      </c>
    </row>
    <row r="51" customFormat="false" ht="15" hidden="false" customHeight="false" outlineLevel="0" collapsed="false">
      <c r="A51" s="29" t="n">
        <v>46247</v>
      </c>
      <c r="B51" s="40" t="n">
        <f aca="false">IF($A51="",0,INT(($A51-Macrociclo!$C$11)/7)+1)</f>
        <v>32</v>
      </c>
      <c r="C51" s="27" t="s">
        <v>253</v>
      </c>
      <c r="D51" s="28" t="n">
        <v>4</v>
      </c>
      <c r="E51" s="28" t="n">
        <v>2</v>
      </c>
      <c r="F51" s="28" t="n">
        <v>3</v>
      </c>
      <c r="G51" s="28" t="n">
        <v>2</v>
      </c>
      <c r="H51" s="40" t="n">
        <f aca="false">IF(COUNT($D51:$G51)&lt;4,0,SUM($D51:$G51))</f>
        <v>11</v>
      </c>
      <c r="I51" s="26" t="str">
        <f aca="false">IF($H51=0,"",IF($H51&lt;=8,"Ótimo",IF($H51&lt;=12,"Bom",IF($H51&lt;=16,"Regular",IF($H51&lt;=20,"Alerta","Crítico")))))</f>
        <v>Bom</v>
      </c>
      <c r="J51" s="27"/>
      <c r="K51" s="27" t="s">
        <v>373</v>
      </c>
    </row>
    <row r="52" customFormat="false" ht="15" hidden="false" customHeight="false" outlineLevel="0" collapsed="false">
      <c r="A52" s="29" t="n">
        <v>46247</v>
      </c>
      <c r="B52" s="40" t="n">
        <f aca="false">IF($A52="",0,INT(($A52-Macrociclo!$C$11)/7)+1)</f>
        <v>32</v>
      </c>
      <c r="C52" s="27" t="s">
        <v>259</v>
      </c>
      <c r="D52" s="28" t="n">
        <v>2</v>
      </c>
      <c r="E52" s="28" t="n">
        <v>2</v>
      </c>
      <c r="F52" s="28" t="n">
        <v>2</v>
      </c>
      <c r="G52" s="28" t="n">
        <v>4</v>
      </c>
      <c r="H52" s="40" t="n">
        <f aca="false">IF(COUNT($D52:$G52)&lt;4,0,SUM($D52:$G52))</f>
        <v>10</v>
      </c>
      <c r="I52" s="26" t="str">
        <f aca="false">IF($H52=0,"",IF($H52&lt;=8,"Ótimo",IF($H52&lt;=12,"Bom",IF($H52&lt;=16,"Regular",IF($H52&lt;=20,"Alerta","Crítico")))))</f>
        <v>Bom</v>
      </c>
      <c r="J52" s="27"/>
      <c r="K52" s="27" t="s">
        <v>373</v>
      </c>
    </row>
    <row r="53" customFormat="false" ht="15" hidden="false" customHeight="false" outlineLevel="0" collapsed="false">
      <c r="A53" s="29" t="n">
        <v>46247</v>
      </c>
      <c r="B53" s="40" t="n">
        <f aca="false">IF($A53="",0,INT(($A53-Macrociclo!$C$11)/7)+1)</f>
        <v>32</v>
      </c>
      <c r="C53" s="27" t="s">
        <v>264</v>
      </c>
      <c r="D53" s="28" t="n">
        <v>2</v>
      </c>
      <c r="E53" s="28" t="n">
        <v>2</v>
      </c>
      <c r="F53" s="28" t="n">
        <v>4</v>
      </c>
      <c r="G53" s="28" t="n">
        <v>4</v>
      </c>
      <c r="H53" s="40" t="n">
        <f aca="false">IF(COUNT($D53:$G53)&lt;4,0,SUM($D53:$G53))</f>
        <v>12</v>
      </c>
      <c r="I53" s="26" t="str">
        <f aca="false">IF($H53=0,"",IF($H53&lt;=8,"Ótimo",IF($H53&lt;=12,"Bom",IF($H53&lt;=16,"Regular",IF($H53&lt;=20,"Alerta","Crítico")))))</f>
        <v>Bom</v>
      </c>
      <c r="J53" s="27"/>
      <c r="K53" s="27" t="s">
        <v>373</v>
      </c>
    </row>
    <row r="54" customFormat="false" ht="15" hidden="false" customHeight="false" outlineLevel="0" collapsed="false">
      <c r="A54" s="29" t="n">
        <v>46247</v>
      </c>
      <c r="B54" s="40" t="n">
        <f aca="false">IF($A54="",0,INT(($A54-Macrociclo!$C$11)/7)+1)</f>
        <v>32</v>
      </c>
      <c r="C54" s="27" t="s">
        <v>270</v>
      </c>
      <c r="D54" s="28" t="n">
        <v>3</v>
      </c>
      <c r="E54" s="28" t="n">
        <v>3</v>
      </c>
      <c r="F54" s="28" t="n">
        <v>4</v>
      </c>
      <c r="G54" s="28" t="n">
        <v>2</v>
      </c>
      <c r="H54" s="40" t="n">
        <f aca="false">IF(COUNT($D54:$G54)&lt;4,0,SUM($D54:$G54))</f>
        <v>12</v>
      </c>
      <c r="I54" s="26" t="str">
        <f aca="false">IF($H54=0,"",IF($H54&lt;=8,"Ótimo",IF($H54&lt;=12,"Bom",IF($H54&lt;=16,"Regular",IF($H54&lt;=20,"Alerta","Crítico")))))</f>
        <v>Bom</v>
      </c>
      <c r="J54" s="27"/>
      <c r="K54" s="27" t="s">
        <v>373</v>
      </c>
    </row>
    <row r="55" customFormat="false" ht="15" hidden="false" customHeight="false" outlineLevel="0" collapsed="false">
      <c r="A55" s="29" t="n">
        <v>46247</v>
      </c>
      <c r="B55" s="40" t="n">
        <f aca="false">IF($A55="",0,INT(($A55-Macrociclo!$C$11)/7)+1)</f>
        <v>32</v>
      </c>
      <c r="C55" s="27" t="s">
        <v>279</v>
      </c>
      <c r="D55" s="28" t="n">
        <v>2</v>
      </c>
      <c r="E55" s="28" t="n">
        <v>2</v>
      </c>
      <c r="F55" s="28" t="n">
        <v>3</v>
      </c>
      <c r="G55" s="28" t="n">
        <v>3</v>
      </c>
      <c r="H55" s="40" t="n">
        <f aca="false">IF(COUNT($D55:$G55)&lt;4,0,SUM($D55:$G55))</f>
        <v>10</v>
      </c>
      <c r="I55" s="26" t="str">
        <f aca="false">IF($H55=0,"",IF($H55&lt;=8,"Ótimo",IF($H55&lt;=12,"Bom",IF($H55&lt;=16,"Regular",IF($H55&lt;=20,"Alerta","Crítico")))))</f>
        <v>Bom</v>
      </c>
      <c r="J55" s="27"/>
      <c r="K55" s="27" t="s">
        <v>373</v>
      </c>
    </row>
    <row r="56" customFormat="false" ht="15" hidden="false" customHeight="false" outlineLevel="0" collapsed="false">
      <c r="A56" s="29" t="n">
        <v>46248</v>
      </c>
      <c r="B56" s="40" t="n">
        <f aca="false">IF($A56="",0,INT(($A56-Macrociclo!$C$11)/7)+1)</f>
        <v>32</v>
      </c>
      <c r="C56" s="27" t="s">
        <v>164</v>
      </c>
      <c r="D56" s="28" t="n">
        <v>2</v>
      </c>
      <c r="E56" s="28" t="n">
        <v>3</v>
      </c>
      <c r="F56" s="28" t="n">
        <v>3</v>
      </c>
      <c r="G56" s="28" t="n">
        <v>2</v>
      </c>
      <c r="H56" s="40" t="n">
        <f aca="false">IF(COUNT($D56:$G56)&lt;4,0,SUM($D56:$G56))</f>
        <v>10</v>
      </c>
      <c r="I56" s="26" t="str">
        <f aca="false">IF($H56=0,"",IF($H56&lt;=8,"Ótimo",IF($H56&lt;=12,"Bom",IF($H56&lt;=16,"Regular",IF($H56&lt;=20,"Alerta","Crítico")))))</f>
        <v>Bom</v>
      </c>
      <c r="J56" s="27"/>
      <c r="K56" s="27" t="s">
        <v>373</v>
      </c>
    </row>
    <row r="57" customFormat="false" ht="15" hidden="false" customHeight="false" outlineLevel="0" collapsed="false">
      <c r="A57" s="29" t="n">
        <v>46248</v>
      </c>
      <c r="B57" s="40" t="n">
        <f aca="false">IF($A57="",0,INT(($A57-Macrociclo!$C$11)/7)+1)</f>
        <v>32</v>
      </c>
      <c r="C57" s="27" t="s">
        <v>192</v>
      </c>
      <c r="D57" s="28" t="n">
        <v>2</v>
      </c>
      <c r="E57" s="28" t="n">
        <v>4</v>
      </c>
      <c r="F57" s="28" t="n">
        <v>3</v>
      </c>
      <c r="G57" s="28" t="n">
        <v>2</v>
      </c>
      <c r="H57" s="40" t="n">
        <f aca="false">IF(COUNT($D57:$G57)&lt;4,0,SUM($D57:$G57))</f>
        <v>11</v>
      </c>
      <c r="I57" s="26" t="str">
        <f aca="false">IF($H57=0,"",IF($H57&lt;=8,"Ótimo",IF($H57&lt;=12,"Bom",IF($H57&lt;=16,"Regular",IF($H57&lt;=20,"Alerta","Crítico")))))</f>
        <v>Bom</v>
      </c>
      <c r="J57" s="27"/>
      <c r="K57" s="27" t="s">
        <v>373</v>
      </c>
    </row>
    <row r="58" customFormat="false" ht="15" hidden="false" customHeight="false" outlineLevel="0" collapsed="false">
      <c r="A58" s="29" t="n">
        <v>46248</v>
      </c>
      <c r="B58" s="40" t="n">
        <f aca="false">IF($A58="",0,INT(($A58-Macrociclo!$C$11)/7)+1)</f>
        <v>32</v>
      </c>
      <c r="C58" s="27" t="s">
        <v>206</v>
      </c>
      <c r="D58" s="28" t="n">
        <v>2</v>
      </c>
      <c r="E58" s="28" t="n">
        <v>2</v>
      </c>
      <c r="F58" s="28" t="n">
        <v>2</v>
      </c>
      <c r="G58" s="28" t="n">
        <v>2</v>
      </c>
      <c r="H58" s="40" t="n">
        <f aca="false">IF(COUNT($D58:$G58)&lt;4,0,SUM($D58:$G58))</f>
        <v>8</v>
      </c>
      <c r="I58" s="26" t="str">
        <f aca="false">IF($H58=0,"",IF($H58&lt;=8,"Ótimo",IF($H58&lt;=12,"Bom",IF($H58&lt;=16,"Regular",IF($H58&lt;=20,"Alerta","Crítico")))))</f>
        <v>Ótimo</v>
      </c>
      <c r="J58" s="27"/>
      <c r="K58" s="27" t="s">
        <v>373</v>
      </c>
    </row>
    <row r="59" customFormat="false" ht="15" hidden="false" customHeight="false" outlineLevel="0" collapsed="false">
      <c r="A59" s="29" t="n">
        <v>46248</v>
      </c>
      <c r="B59" s="40" t="n">
        <f aca="false">IF($A59="",0,INT(($A59-Macrociclo!$C$11)/7)+1)</f>
        <v>32</v>
      </c>
      <c r="C59" s="27" t="s">
        <v>215</v>
      </c>
      <c r="D59" s="28" t="n">
        <v>5</v>
      </c>
      <c r="E59" s="28" t="n">
        <v>4</v>
      </c>
      <c r="F59" s="28" t="n">
        <v>6</v>
      </c>
      <c r="G59" s="28" t="n">
        <v>5</v>
      </c>
      <c r="H59" s="40" t="n">
        <f aca="false">IF(COUNT($D59:$G59)&lt;4,0,SUM($D59:$G59))</f>
        <v>20</v>
      </c>
      <c r="I59" s="26" t="str">
        <f aca="false">IF($H59=0,"",IF($H59&lt;=8,"Ótimo",IF($H59&lt;=12,"Bom",IF($H59&lt;=16,"Regular",IF($H59&lt;=20,"Alerta","Crítico")))))</f>
        <v>Alerta</v>
      </c>
      <c r="J59" s="27"/>
      <c r="K59" s="27" t="s">
        <v>373</v>
      </c>
    </row>
    <row r="60" customFormat="false" ht="15" hidden="false" customHeight="false" outlineLevel="0" collapsed="false">
      <c r="A60" s="29" t="n">
        <v>46248</v>
      </c>
      <c r="B60" s="40" t="n">
        <f aca="false">IF($A60="",0,INT(($A60-Macrociclo!$C$11)/7)+1)</f>
        <v>32</v>
      </c>
      <c r="C60" s="27" t="s">
        <v>226</v>
      </c>
      <c r="D60" s="28" t="n">
        <v>2</v>
      </c>
      <c r="E60" s="28" t="n">
        <v>2</v>
      </c>
      <c r="F60" s="28" t="n">
        <v>4</v>
      </c>
      <c r="G60" s="28" t="n">
        <v>3</v>
      </c>
      <c r="H60" s="40" t="n">
        <f aca="false">IF(COUNT($D60:$G60)&lt;4,0,SUM($D60:$G60))</f>
        <v>11</v>
      </c>
      <c r="I60" s="26" t="str">
        <f aca="false">IF($H60=0,"",IF($H60&lt;=8,"Ótimo",IF($H60&lt;=12,"Bom",IF($H60&lt;=16,"Regular",IF($H60&lt;=20,"Alerta","Crítico")))))</f>
        <v>Bom</v>
      </c>
      <c r="J60" s="27"/>
      <c r="K60" s="27" t="s">
        <v>373</v>
      </c>
    </row>
    <row r="61" customFormat="false" ht="15" hidden="false" customHeight="false" outlineLevel="0" collapsed="false">
      <c r="A61" s="29" t="n">
        <v>46248</v>
      </c>
      <c r="B61" s="40" t="n">
        <f aca="false">IF($A61="",0,INT(($A61-Macrociclo!$C$11)/7)+1)</f>
        <v>32</v>
      </c>
      <c r="C61" s="27" t="s">
        <v>236</v>
      </c>
      <c r="D61" s="28" t="n">
        <v>3</v>
      </c>
      <c r="E61" s="28" t="n">
        <v>3</v>
      </c>
      <c r="F61" s="28" t="n">
        <v>3</v>
      </c>
      <c r="G61" s="28" t="n">
        <v>3</v>
      </c>
      <c r="H61" s="40" t="n">
        <f aca="false">IF(COUNT($D61:$G61)&lt;4,0,SUM($D61:$G61))</f>
        <v>12</v>
      </c>
      <c r="I61" s="26" t="str">
        <f aca="false">IF($H61=0,"",IF($H61&lt;=8,"Ótimo",IF($H61&lt;=12,"Bom",IF($H61&lt;=16,"Regular",IF($H61&lt;=20,"Alerta","Crítico")))))</f>
        <v>Bom</v>
      </c>
      <c r="J61" s="27"/>
      <c r="K61" s="27" t="s">
        <v>373</v>
      </c>
    </row>
    <row r="62" customFormat="false" ht="15" hidden="false" customHeight="false" outlineLevel="0" collapsed="false">
      <c r="A62" s="29" t="n">
        <v>46248</v>
      </c>
      <c r="B62" s="40" t="n">
        <f aca="false">IF($A62="",0,INT(($A62-Macrociclo!$C$11)/7)+1)</f>
        <v>32</v>
      </c>
      <c r="C62" s="27" t="s">
        <v>244</v>
      </c>
      <c r="D62" s="28" t="n">
        <v>3</v>
      </c>
      <c r="E62" s="28" t="n">
        <v>3</v>
      </c>
      <c r="F62" s="28" t="n">
        <v>3</v>
      </c>
      <c r="G62" s="28" t="n">
        <v>2</v>
      </c>
      <c r="H62" s="40" t="n">
        <f aca="false">IF(COUNT($D62:$G62)&lt;4,0,SUM($D62:$G62))</f>
        <v>11</v>
      </c>
      <c r="I62" s="26" t="str">
        <f aca="false">IF($H62=0,"",IF($H62&lt;=8,"Ótimo",IF($H62&lt;=12,"Bom",IF($H62&lt;=16,"Regular",IF($H62&lt;=20,"Alerta","Crítico")))))</f>
        <v>Bom</v>
      </c>
      <c r="J62" s="27"/>
      <c r="K62" s="27" t="s">
        <v>373</v>
      </c>
    </row>
    <row r="63" customFormat="false" ht="15" hidden="false" customHeight="false" outlineLevel="0" collapsed="false">
      <c r="A63" s="29" t="n">
        <v>46248</v>
      </c>
      <c r="B63" s="40" t="n">
        <f aca="false">IF($A63="",0,INT(($A63-Macrociclo!$C$11)/7)+1)</f>
        <v>32</v>
      </c>
      <c r="C63" s="27" t="s">
        <v>253</v>
      </c>
      <c r="D63" s="28" t="n">
        <v>3</v>
      </c>
      <c r="E63" s="28" t="n">
        <v>2</v>
      </c>
      <c r="F63" s="28" t="n">
        <v>2</v>
      </c>
      <c r="G63" s="28" t="n">
        <v>3</v>
      </c>
      <c r="H63" s="40" t="n">
        <f aca="false">IF(COUNT($D63:$G63)&lt;4,0,SUM($D63:$G63))</f>
        <v>10</v>
      </c>
      <c r="I63" s="26" t="str">
        <f aca="false">IF($H63=0,"",IF($H63&lt;=8,"Ótimo",IF($H63&lt;=12,"Bom",IF($H63&lt;=16,"Regular",IF($H63&lt;=20,"Alerta","Crítico")))))</f>
        <v>Bom</v>
      </c>
      <c r="J63" s="27"/>
      <c r="K63" s="27" t="s">
        <v>373</v>
      </c>
    </row>
    <row r="64" customFormat="false" ht="15" hidden="false" customHeight="false" outlineLevel="0" collapsed="false">
      <c r="A64" s="29" t="n">
        <v>46248</v>
      </c>
      <c r="B64" s="40" t="n">
        <f aca="false">IF($A64="",0,INT(($A64-Macrociclo!$C$11)/7)+1)</f>
        <v>32</v>
      </c>
      <c r="C64" s="27" t="s">
        <v>259</v>
      </c>
      <c r="D64" s="28" t="n">
        <v>3</v>
      </c>
      <c r="E64" s="28" t="n">
        <v>4</v>
      </c>
      <c r="F64" s="28" t="n">
        <v>4</v>
      </c>
      <c r="G64" s="28" t="n">
        <v>3</v>
      </c>
      <c r="H64" s="40" t="n">
        <f aca="false">IF(COUNT($D64:$G64)&lt;4,0,SUM($D64:$G64))</f>
        <v>14</v>
      </c>
      <c r="I64" s="26" t="str">
        <f aca="false">IF($H64=0,"",IF($H64&lt;=8,"Ótimo",IF($H64&lt;=12,"Bom",IF($H64&lt;=16,"Regular",IF($H64&lt;=20,"Alerta","Crítico")))))</f>
        <v>Regular</v>
      </c>
      <c r="J64" s="27"/>
      <c r="K64" s="27" t="s">
        <v>373</v>
      </c>
    </row>
    <row r="65" customFormat="false" ht="15" hidden="false" customHeight="false" outlineLevel="0" collapsed="false">
      <c r="A65" s="29" t="n">
        <v>46248</v>
      </c>
      <c r="B65" s="40" t="n">
        <f aca="false">IF($A65="",0,INT(($A65-Macrociclo!$C$11)/7)+1)</f>
        <v>32</v>
      </c>
      <c r="C65" s="27" t="s">
        <v>264</v>
      </c>
      <c r="D65" s="28" t="n">
        <v>3</v>
      </c>
      <c r="E65" s="28" t="n">
        <v>3</v>
      </c>
      <c r="F65" s="28" t="n">
        <v>2</v>
      </c>
      <c r="G65" s="28" t="n">
        <v>4</v>
      </c>
      <c r="H65" s="40" t="n">
        <f aca="false">IF(COUNT($D65:$G65)&lt;4,0,SUM($D65:$G65))</f>
        <v>12</v>
      </c>
      <c r="I65" s="26" t="str">
        <f aca="false">IF($H65=0,"",IF($H65&lt;=8,"Ótimo",IF($H65&lt;=12,"Bom",IF($H65&lt;=16,"Regular",IF($H65&lt;=20,"Alerta","Crítico")))))</f>
        <v>Bom</v>
      </c>
      <c r="J65" s="27"/>
      <c r="K65" s="27" t="s">
        <v>373</v>
      </c>
    </row>
    <row r="66" customFormat="false" ht="15" hidden="false" customHeight="false" outlineLevel="0" collapsed="false">
      <c r="A66" s="29" t="n">
        <v>46248</v>
      </c>
      <c r="B66" s="40" t="n">
        <f aca="false">IF($A66="",0,INT(($A66-Macrociclo!$C$11)/7)+1)</f>
        <v>32</v>
      </c>
      <c r="C66" s="27" t="s">
        <v>270</v>
      </c>
      <c r="D66" s="28" t="n">
        <v>3</v>
      </c>
      <c r="E66" s="28" t="n">
        <v>2</v>
      </c>
      <c r="F66" s="28" t="n">
        <v>3</v>
      </c>
      <c r="G66" s="28" t="n">
        <v>2</v>
      </c>
      <c r="H66" s="40" t="n">
        <f aca="false">IF(COUNT($D66:$G66)&lt;4,0,SUM($D66:$G66))</f>
        <v>10</v>
      </c>
      <c r="I66" s="26" t="str">
        <f aca="false">IF($H66=0,"",IF($H66&lt;=8,"Ótimo",IF($H66&lt;=12,"Bom",IF($H66&lt;=16,"Regular",IF($H66&lt;=20,"Alerta","Crítico")))))</f>
        <v>Bom</v>
      </c>
      <c r="J66" s="27"/>
      <c r="K66" s="27" t="s">
        <v>373</v>
      </c>
    </row>
    <row r="67" customFormat="false" ht="15" hidden="false" customHeight="false" outlineLevel="0" collapsed="false">
      <c r="A67" s="29" t="n">
        <v>46248</v>
      </c>
      <c r="B67" s="40" t="n">
        <f aca="false">IF($A67="",0,INT(($A67-Macrociclo!$C$11)/7)+1)</f>
        <v>32</v>
      </c>
      <c r="C67" s="27" t="s">
        <v>279</v>
      </c>
      <c r="D67" s="28" t="n">
        <v>3</v>
      </c>
      <c r="E67" s="28" t="n">
        <v>4</v>
      </c>
      <c r="F67" s="28" t="n">
        <v>2</v>
      </c>
      <c r="G67" s="28" t="n">
        <v>3</v>
      </c>
      <c r="H67" s="40" t="n">
        <f aca="false">IF(COUNT($D67:$G67)&lt;4,0,SUM($D67:$G67))</f>
        <v>12</v>
      </c>
      <c r="I67" s="26" t="str">
        <f aca="false">IF($H67=0,"",IF($H67&lt;=8,"Ótimo",IF($H67&lt;=12,"Bom",IF($H67&lt;=16,"Regular",IF($H67&lt;=20,"Alerta","Crítico")))))</f>
        <v>Bom</v>
      </c>
      <c r="J67" s="27"/>
      <c r="K67" s="27" t="s">
        <v>373</v>
      </c>
    </row>
    <row r="68" customFormat="false" ht="15" hidden="false" customHeight="false" outlineLevel="0" collapsed="false">
      <c r="A68" s="29" t="n">
        <v>46251</v>
      </c>
      <c r="B68" s="40" t="n">
        <f aca="false">IF($A68="",0,INT(($A68-Macrociclo!$C$11)/7)+1)</f>
        <v>33</v>
      </c>
      <c r="C68" s="27" t="s">
        <v>164</v>
      </c>
      <c r="D68" s="28" t="n">
        <v>4</v>
      </c>
      <c r="E68" s="28" t="n">
        <v>3</v>
      </c>
      <c r="F68" s="28" t="n">
        <v>3</v>
      </c>
      <c r="G68" s="28" t="n">
        <v>3</v>
      </c>
      <c r="H68" s="40" t="n">
        <f aca="false">IF(COUNT($D68:$G68)&lt;4,0,SUM($D68:$G68))</f>
        <v>13</v>
      </c>
      <c r="I68" s="26" t="str">
        <f aca="false">IF($H68=0,"",IF($H68&lt;=8,"Ótimo",IF($H68&lt;=12,"Bom",IF($H68&lt;=16,"Regular",IF($H68&lt;=20,"Alerta","Crítico")))))</f>
        <v>Regular</v>
      </c>
      <c r="J68" s="27"/>
      <c r="K68" s="27" t="s">
        <v>373</v>
      </c>
    </row>
    <row r="69" customFormat="false" ht="15" hidden="false" customHeight="false" outlineLevel="0" collapsed="false">
      <c r="A69" s="29" t="n">
        <v>46251</v>
      </c>
      <c r="B69" s="40" t="n">
        <f aca="false">IF($A69="",0,INT(($A69-Macrociclo!$C$11)/7)+1)</f>
        <v>33</v>
      </c>
      <c r="C69" s="27" t="s">
        <v>192</v>
      </c>
      <c r="D69" s="28" t="n">
        <v>2</v>
      </c>
      <c r="E69" s="28" t="n">
        <v>2</v>
      </c>
      <c r="F69" s="28" t="n">
        <v>3</v>
      </c>
      <c r="G69" s="28" t="n">
        <v>2</v>
      </c>
      <c r="H69" s="40" t="n">
        <f aca="false">IF(COUNT($D69:$G69)&lt;4,0,SUM($D69:$G69))</f>
        <v>9</v>
      </c>
      <c r="I69" s="26" t="str">
        <f aca="false">IF($H69=0,"",IF($H69&lt;=8,"Ótimo",IF($H69&lt;=12,"Bom",IF($H69&lt;=16,"Regular",IF($H69&lt;=20,"Alerta","Crítico")))))</f>
        <v>Bom</v>
      </c>
      <c r="J69" s="27"/>
      <c r="K69" s="27" t="s">
        <v>373</v>
      </c>
    </row>
    <row r="70" customFormat="false" ht="15" hidden="false" customHeight="false" outlineLevel="0" collapsed="false">
      <c r="A70" s="29" t="n">
        <v>46251</v>
      </c>
      <c r="B70" s="40" t="n">
        <f aca="false">IF($A70="",0,INT(($A70-Macrociclo!$C$11)/7)+1)</f>
        <v>33</v>
      </c>
      <c r="C70" s="27" t="s">
        <v>206</v>
      </c>
      <c r="D70" s="28" t="n">
        <v>4</v>
      </c>
      <c r="E70" s="28" t="n">
        <v>3</v>
      </c>
      <c r="F70" s="28" t="n">
        <v>2</v>
      </c>
      <c r="G70" s="28" t="n">
        <v>2</v>
      </c>
      <c r="H70" s="40" t="n">
        <f aca="false">IF(COUNT($D70:$G70)&lt;4,0,SUM($D70:$G70))</f>
        <v>11</v>
      </c>
      <c r="I70" s="26" t="str">
        <f aca="false">IF($H70=0,"",IF($H70&lt;=8,"Ótimo",IF($H70&lt;=12,"Bom",IF($H70&lt;=16,"Regular",IF($H70&lt;=20,"Alerta","Crítico")))))</f>
        <v>Bom</v>
      </c>
      <c r="J70" s="27"/>
      <c r="K70" s="27" t="s">
        <v>373</v>
      </c>
    </row>
    <row r="71" customFormat="false" ht="15" hidden="false" customHeight="false" outlineLevel="0" collapsed="false">
      <c r="A71" s="29" t="n">
        <v>46251</v>
      </c>
      <c r="B71" s="40" t="n">
        <f aca="false">IF($A71="",0,INT(($A71-Macrociclo!$C$11)/7)+1)</f>
        <v>33</v>
      </c>
      <c r="C71" s="27" t="s">
        <v>215</v>
      </c>
      <c r="D71" s="28" t="n">
        <v>5</v>
      </c>
      <c r="E71" s="28" t="n">
        <v>6</v>
      </c>
      <c r="F71" s="28" t="n">
        <v>5</v>
      </c>
      <c r="G71" s="28" t="n">
        <v>4</v>
      </c>
      <c r="H71" s="40" t="n">
        <f aca="false">IF(COUNT($D71:$G71)&lt;4,0,SUM($D71:$G71))</f>
        <v>20</v>
      </c>
      <c r="I71" s="26" t="str">
        <f aca="false">IF($H71=0,"",IF($H71&lt;=8,"Ótimo",IF($H71&lt;=12,"Bom",IF($H71&lt;=16,"Regular",IF($H71&lt;=20,"Alerta","Crítico")))))</f>
        <v>Alerta</v>
      </c>
      <c r="J71" s="27"/>
      <c r="K71" s="27" t="s">
        <v>373</v>
      </c>
    </row>
    <row r="72" customFormat="false" ht="15" hidden="false" customHeight="false" outlineLevel="0" collapsed="false">
      <c r="A72" s="29" t="n">
        <v>46251</v>
      </c>
      <c r="B72" s="40" t="n">
        <f aca="false">IF($A72="",0,INT(($A72-Macrociclo!$C$11)/7)+1)</f>
        <v>33</v>
      </c>
      <c r="C72" s="27" t="s">
        <v>226</v>
      </c>
      <c r="D72" s="28" t="n">
        <v>2</v>
      </c>
      <c r="E72" s="28" t="n">
        <v>2</v>
      </c>
      <c r="F72" s="28" t="n">
        <v>4</v>
      </c>
      <c r="G72" s="28" t="n">
        <v>2</v>
      </c>
      <c r="H72" s="40" t="n">
        <f aca="false">IF(COUNT($D72:$G72)&lt;4,0,SUM($D72:$G72))</f>
        <v>10</v>
      </c>
      <c r="I72" s="26" t="str">
        <f aca="false">IF($H72=0,"",IF($H72&lt;=8,"Ótimo",IF($H72&lt;=12,"Bom",IF($H72&lt;=16,"Regular",IF($H72&lt;=20,"Alerta","Crítico")))))</f>
        <v>Bom</v>
      </c>
      <c r="J72" s="27"/>
      <c r="K72" s="27" t="s">
        <v>373</v>
      </c>
    </row>
    <row r="73" customFormat="false" ht="15" hidden="false" customHeight="false" outlineLevel="0" collapsed="false">
      <c r="A73" s="29" t="n">
        <v>46251</v>
      </c>
      <c r="B73" s="40" t="n">
        <f aca="false">IF($A73="",0,INT(($A73-Macrociclo!$C$11)/7)+1)</f>
        <v>33</v>
      </c>
      <c r="C73" s="27" t="s">
        <v>236</v>
      </c>
      <c r="D73" s="28" t="n">
        <v>2</v>
      </c>
      <c r="E73" s="28" t="n">
        <v>2</v>
      </c>
      <c r="F73" s="28" t="n">
        <v>3</v>
      </c>
      <c r="G73" s="28" t="n">
        <v>3</v>
      </c>
      <c r="H73" s="40" t="n">
        <f aca="false">IF(COUNT($D73:$G73)&lt;4,0,SUM($D73:$G73))</f>
        <v>10</v>
      </c>
      <c r="I73" s="26" t="str">
        <f aca="false">IF($H73=0,"",IF($H73&lt;=8,"Ótimo",IF($H73&lt;=12,"Bom",IF($H73&lt;=16,"Regular",IF($H73&lt;=20,"Alerta","Crítico")))))</f>
        <v>Bom</v>
      </c>
      <c r="J73" s="27"/>
      <c r="K73" s="27" t="s">
        <v>373</v>
      </c>
    </row>
    <row r="74" customFormat="false" ht="15" hidden="false" customHeight="false" outlineLevel="0" collapsed="false">
      <c r="A74" s="29" t="n">
        <v>46251</v>
      </c>
      <c r="B74" s="40" t="n">
        <f aca="false">IF($A74="",0,INT(($A74-Macrociclo!$C$11)/7)+1)</f>
        <v>33</v>
      </c>
      <c r="C74" s="27" t="s">
        <v>244</v>
      </c>
      <c r="D74" s="28" t="n">
        <v>2</v>
      </c>
      <c r="E74" s="28" t="n">
        <v>3</v>
      </c>
      <c r="F74" s="28" t="n">
        <v>4</v>
      </c>
      <c r="G74" s="28" t="n">
        <v>3</v>
      </c>
      <c r="H74" s="40" t="n">
        <f aca="false">IF(COUNT($D74:$G74)&lt;4,0,SUM($D74:$G74))</f>
        <v>12</v>
      </c>
      <c r="I74" s="26" t="str">
        <f aca="false">IF($H74=0,"",IF($H74&lt;=8,"Ótimo",IF($H74&lt;=12,"Bom",IF($H74&lt;=16,"Regular",IF($H74&lt;=20,"Alerta","Crítico")))))</f>
        <v>Bom</v>
      </c>
      <c r="J74" s="27"/>
      <c r="K74" s="27" t="s">
        <v>373</v>
      </c>
    </row>
    <row r="75" customFormat="false" ht="15" hidden="false" customHeight="false" outlineLevel="0" collapsed="false">
      <c r="A75" s="29" t="n">
        <v>46251</v>
      </c>
      <c r="B75" s="40" t="n">
        <f aca="false">IF($A75="",0,INT(($A75-Macrociclo!$C$11)/7)+1)</f>
        <v>33</v>
      </c>
      <c r="C75" s="27" t="s">
        <v>253</v>
      </c>
      <c r="D75" s="28" t="n">
        <v>2</v>
      </c>
      <c r="E75" s="28" t="n">
        <v>3</v>
      </c>
      <c r="F75" s="28" t="n">
        <v>3</v>
      </c>
      <c r="G75" s="28" t="n">
        <v>3</v>
      </c>
      <c r="H75" s="40" t="n">
        <f aca="false">IF(COUNT($D75:$G75)&lt;4,0,SUM($D75:$G75))</f>
        <v>11</v>
      </c>
      <c r="I75" s="26" t="str">
        <f aca="false">IF($H75=0,"",IF($H75&lt;=8,"Ótimo",IF($H75&lt;=12,"Bom",IF($H75&lt;=16,"Regular",IF($H75&lt;=20,"Alerta","Crítico")))))</f>
        <v>Bom</v>
      </c>
      <c r="J75" s="27"/>
      <c r="K75" s="27" t="s">
        <v>373</v>
      </c>
    </row>
    <row r="76" customFormat="false" ht="15" hidden="false" customHeight="false" outlineLevel="0" collapsed="false">
      <c r="A76" s="29" t="n">
        <v>46251</v>
      </c>
      <c r="B76" s="40" t="n">
        <f aca="false">IF($A76="",0,INT(($A76-Macrociclo!$C$11)/7)+1)</f>
        <v>33</v>
      </c>
      <c r="C76" s="27" t="s">
        <v>259</v>
      </c>
      <c r="D76" s="28" t="n">
        <v>2</v>
      </c>
      <c r="E76" s="28" t="n">
        <v>4</v>
      </c>
      <c r="F76" s="28" t="n">
        <v>2</v>
      </c>
      <c r="G76" s="28" t="n">
        <v>2</v>
      </c>
      <c r="H76" s="40" t="n">
        <f aca="false">IF(COUNT($D76:$G76)&lt;4,0,SUM($D76:$G76))</f>
        <v>10</v>
      </c>
      <c r="I76" s="26" t="str">
        <f aca="false">IF($H76=0,"",IF($H76&lt;=8,"Ótimo",IF($H76&lt;=12,"Bom",IF($H76&lt;=16,"Regular",IF($H76&lt;=20,"Alerta","Crítico")))))</f>
        <v>Bom</v>
      </c>
      <c r="J76" s="27"/>
      <c r="K76" s="27" t="s">
        <v>373</v>
      </c>
    </row>
    <row r="77" customFormat="false" ht="15" hidden="false" customHeight="false" outlineLevel="0" collapsed="false">
      <c r="A77" s="29" t="n">
        <v>46251</v>
      </c>
      <c r="B77" s="40" t="n">
        <f aca="false">IF($A77="",0,INT(($A77-Macrociclo!$C$11)/7)+1)</f>
        <v>33</v>
      </c>
      <c r="C77" s="27" t="s">
        <v>264</v>
      </c>
      <c r="D77" s="28" t="n">
        <v>4</v>
      </c>
      <c r="E77" s="28" t="n">
        <v>3</v>
      </c>
      <c r="F77" s="28" t="n">
        <v>4</v>
      </c>
      <c r="G77" s="28" t="n">
        <v>2</v>
      </c>
      <c r="H77" s="40" t="n">
        <f aca="false">IF(COUNT($D77:$G77)&lt;4,0,SUM($D77:$G77))</f>
        <v>13</v>
      </c>
      <c r="I77" s="26" t="str">
        <f aca="false">IF($H77=0,"",IF($H77&lt;=8,"Ótimo",IF($H77&lt;=12,"Bom",IF($H77&lt;=16,"Regular",IF($H77&lt;=20,"Alerta","Crítico")))))</f>
        <v>Regular</v>
      </c>
      <c r="J77" s="27"/>
      <c r="K77" s="27" t="s">
        <v>373</v>
      </c>
    </row>
    <row r="78" customFormat="false" ht="15" hidden="false" customHeight="false" outlineLevel="0" collapsed="false">
      <c r="A78" s="29" t="n">
        <v>46251</v>
      </c>
      <c r="B78" s="40" t="n">
        <f aca="false">IF($A78="",0,INT(($A78-Macrociclo!$C$11)/7)+1)</f>
        <v>33</v>
      </c>
      <c r="C78" s="27" t="s">
        <v>270</v>
      </c>
      <c r="D78" s="28" t="n">
        <v>4</v>
      </c>
      <c r="E78" s="28" t="n">
        <v>3</v>
      </c>
      <c r="F78" s="28" t="n">
        <v>2</v>
      </c>
      <c r="G78" s="28" t="n">
        <v>2</v>
      </c>
      <c r="H78" s="40" t="n">
        <f aca="false">IF(COUNT($D78:$G78)&lt;4,0,SUM($D78:$G78))</f>
        <v>11</v>
      </c>
      <c r="I78" s="26" t="str">
        <f aca="false">IF($H78=0,"",IF($H78&lt;=8,"Ótimo",IF($H78&lt;=12,"Bom",IF($H78&lt;=16,"Regular",IF($H78&lt;=20,"Alerta","Crítico")))))</f>
        <v>Bom</v>
      </c>
      <c r="J78" s="27"/>
      <c r="K78" s="27" t="s">
        <v>373</v>
      </c>
    </row>
    <row r="79" customFormat="false" ht="15" hidden="false" customHeight="false" outlineLevel="0" collapsed="false">
      <c r="A79" s="29" t="n">
        <v>46251</v>
      </c>
      <c r="B79" s="40" t="n">
        <f aca="false">IF($A79="",0,INT(($A79-Macrociclo!$C$11)/7)+1)</f>
        <v>33</v>
      </c>
      <c r="C79" s="27" t="s">
        <v>279</v>
      </c>
      <c r="D79" s="28" t="n">
        <v>4</v>
      </c>
      <c r="E79" s="28" t="n">
        <v>4</v>
      </c>
      <c r="F79" s="28" t="n">
        <v>2</v>
      </c>
      <c r="G79" s="28" t="n">
        <v>3</v>
      </c>
      <c r="H79" s="40" t="n">
        <f aca="false">IF(COUNT($D79:$G79)&lt;4,0,SUM($D79:$G79))</f>
        <v>13</v>
      </c>
      <c r="I79" s="26" t="str">
        <f aca="false">IF($H79=0,"",IF($H79&lt;=8,"Ótimo",IF($H79&lt;=12,"Bom",IF($H79&lt;=16,"Regular",IF($H79&lt;=20,"Alerta","Crítico")))))</f>
        <v>Regular</v>
      </c>
      <c r="J79" s="27"/>
      <c r="K79" s="27" t="s">
        <v>373</v>
      </c>
    </row>
    <row r="80" customFormat="false" ht="15" hidden="false" customHeight="false" outlineLevel="0" collapsed="false">
      <c r="A80" s="29" t="n">
        <v>46252</v>
      </c>
      <c r="B80" s="40" t="n">
        <f aca="false">IF($A80="",0,INT(($A80-Macrociclo!$C$11)/7)+1)</f>
        <v>33</v>
      </c>
      <c r="C80" s="27" t="s">
        <v>164</v>
      </c>
      <c r="D80" s="28" t="n">
        <v>2</v>
      </c>
      <c r="E80" s="28" t="n">
        <v>3</v>
      </c>
      <c r="F80" s="28" t="n">
        <v>2</v>
      </c>
      <c r="G80" s="28" t="n">
        <v>3</v>
      </c>
      <c r="H80" s="40" t="n">
        <f aca="false">IF(COUNT($D80:$G80)&lt;4,0,SUM($D80:$G80))</f>
        <v>10</v>
      </c>
      <c r="I80" s="26" t="str">
        <f aca="false">IF($H80=0,"",IF($H80&lt;=8,"Ótimo",IF($H80&lt;=12,"Bom",IF($H80&lt;=16,"Regular",IF($H80&lt;=20,"Alerta","Crítico")))))</f>
        <v>Bom</v>
      </c>
      <c r="J80" s="27"/>
      <c r="K80" s="27" t="s">
        <v>373</v>
      </c>
    </row>
    <row r="81" customFormat="false" ht="15" hidden="false" customHeight="false" outlineLevel="0" collapsed="false">
      <c r="A81" s="29" t="n">
        <v>46252</v>
      </c>
      <c r="B81" s="40" t="n">
        <f aca="false">IF($A81="",0,INT(($A81-Macrociclo!$C$11)/7)+1)</f>
        <v>33</v>
      </c>
      <c r="C81" s="27" t="s">
        <v>192</v>
      </c>
      <c r="D81" s="28" t="n">
        <v>2</v>
      </c>
      <c r="E81" s="28" t="n">
        <v>2</v>
      </c>
      <c r="F81" s="28" t="n">
        <v>2</v>
      </c>
      <c r="G81" s="28" t="n">
        <v>3</v>
      </c>
      <c r="H81" s="40" t="n">
        <f aca="false">IF(COUNT($D81:$G81)&lt;4,0,SUM($D81:$G81))</f>
        <v>9</v>
      </c>
      <c r="I81" s="26" t="str">
        <f aca="false">IF($H81=0,"",IF($H81&lt;=8,"Ótimo",IF($H81&lt;=12,"Bom",IF($H81&lt;=16,"Regular",IF($H81&lt;=20,"Alerta","Crítico")))))</f>
        <v>Bom</v>
      </c>
      <c r="J81" s="27"/>
      <c r="K81" s="27" t="s">
        <v>373</v>
      </c>
    </row>
    <row r="82" customFormat="false" ht="15" hidden="false" customHeight="false" outlineLevel="0" collapsed="false">
      <c r="A82" s="29" t="n">
        <v>46252</v>
      </c>
      <c r="B82" s="40" t="n">
        <f aca="false">IF($A82="",0,INT(($A82-Macrociclo!$C$11)/7)+1)</f>
        <v>33</v>
      </c>
      <c r="C82" s="27" t="s">
        <v>206</v>
      </c>
      <c r="D82" s="28" t="n">
        <v>4</v>
      </c>
      <c r="E82" s="28" t="n">
        <v>3</v>
      </c>
      <c r="F82" s="28" t="n">
        <v>4</v>
      </c>
      <c r="G82" s="28" t="n">
        <v>3</v>
      </c>
      <c r="H82" s="40" t="n">
        <f aca="false">IF(COUNT($D82:$G82)&lt;4,0,SUM($D82:$G82))</f>
        <v>14</v>
      </c>
      <c r="I82" s="26" t="str">
        <f aca="false">IF($H82=0,"",IF($H82&lt;=8,"Ótimo",IF($H82&lt;=12,"Bom",IF($H82&lt;=16,"Regular",IF($H82&lt;=20,"Alerta","Crítico")))))</f>
        <v>Regular</v>
      </c>
      <c r="J82" s="27"/>
      <c r="K82" s="27" t="s">
        <v>373</v>
      </c>
    </row>
    <row r="83" customFormat="false" ht="15" hidden="false" customHeight="false" outlineLevel="0" collapsed="false">
      <c r="A83" s="29" t="n">
        <v>46252</v>
      </c>
      <c r="B83" s="40" t="n">
        <f aca="false">IF($A83="",0,INT(($A83-Macrociclo!$C$11)/7)+1)</f>
        <v>33</v>
      </c>
      <c r="C83" s="27" t="s">
        <v>215</v>
      </c>
      <c r="D83" s="28" t="n">
        <v>5</v>
      </c>
      <c r="E83" s="28" t="n">
        <v>6</v>
      </c>
      <c r="F83" s="28" t="n">
        <v>4</v>
      </c>
      <c r="G83" s="28" t="n">
        <v>5</v>
      </c>
      <c r="H83" s="40" t="n">
        <f aca="false">IF(COUNT($D83:$G83)&lt;4,0,SUM($D83:$G83))</f>
        <v>20</v>
      </c>
      <c r="I83" s="26" t="str">
        <f aca="false">IF($H83=0,"",IF($H83&lt;=8,"Ótimo",IF($H83&lt;=12,"Bom",IF($H83&lt;=16,"Regular",IF($H83&lt;=20,"Alerta","Crítico")))))</f>
        <v>Alerta</v>
      </c>
      <c r="J83" s="27"/>
      <c r="K83" s="27" t="s">
        <v>373</v>
      </c>
    </row>
    <row r="84" customFormat="false" ht="15" hidden="false" customHeight="false" outlineLevel="0" collapsed="false">
      <c r="A84" s="29" t="n">
        <v>46252</v>
      </c>
      <c r="B84" s="40" t="n">
        <f aca="false">IF($A84="",0,INT(($A84-Macrociclo!$C$11)/7)+1)</f>
        <v>33</v>
      </c>
      <c r="C84" s="27" t="s">
        <v>226</v>
      </c>
      <c r="D84" s="28" t="n">
        <v>3</v>
      </c>
      <c r="E84" s="28" t="n">
        <v>2</v>
      </c>
      <c r="F84" s="28" t="n">
        <v>2</v>
      </c>
      <c r="G84" s="28" t="n">
        <v>2</v>
      </c>
      <c r="H84" s="40" t="n">
        <f aca="false">IF(COUNT($D84:$G84)&lt;4,0,SUM($D84:$G84))</f>
        <v>9</v>
      </c>
      <c r="I84" s="26" t="str">
        <f aca="false">IF($H84=0,"",IF($H84&lt;=8,"Ótimo",IF($H84&lt;=12,"Bom",IF($H84&lt;=16,"Regular",IF($H84&lt;=20,"Alerta","Crítico")))))</f>
        <v>Bom</v>
      </c>
      <c r="J84" s="27"/>
      <c r="K84" s="27" t="s">
        <v>373</v>
      </c>
    </row>
    <row r="85" customFormat="false" ht="15" hidden="false" customHeight="false" outlineLevel="0" collapsed="false">
      <c r="A85" s="29" t="n">
        <v>46252</v>
      </c>
      <c r="B85" s="40" t="n">
        <f aca="false">IF($A85="",0,INT(($A85-Macrociclo!$C$11)/7)+1)</f>
        <v>33</v>
      </c>
      <c r="C85" s="27" t="s">
        <v>236</v>
      </c>
      <c r="D85" s="28" t="n">
        <v>4</v>
      </c>
      <c r="E85" s="28" t="n">
        <v>4</v>
      </c>
      <c r="F85" s="28" t="n">
        <v>3</v>
      </c>
      <c r="G85" s="28" t="n">
        <v>4</v>
      </c>
      <c r="H85" s="40" t="n">
        <f aca="false">IF(COUNT($D85:$G85)&lt;4,0,SUM($D85:$G85))</f>
        <v>15</v>
      </c>
      <c r="I85" s="26" t="str">
        <f aca="false">IF($H85=0,"",IF($H85&lt;=8,"Ótimo",IF($H85&lt;=12,"Bom",IF($H85&lt;=16,"Regular",IF($H85&lt;=20,"Alerta","Crítico")))))</f>
        <v>Regular</v>
      </c>
      <c r="J85" s="27"/>
      <c r="K85" s="27" t="s">
        <v>373</v>
      </c>
    </row>
    <row r="86" customFormat="false" ht="15" hidden="false" customHeight="false" outlineLevel="0" collapsed="false">
      <c r="A86" s="29" t="n">
        <v>46252</v>
      </c>
      <c r="B86" s="40" t="n">
        <f aca="false">IF($A86="",0,INT(($A86-Macrociclo!$C$11)/7)+1)</f>
        <v>33</v>
      </c>
      <c r="C86" s="27" t="s">
        <v>244</v>
      </c>
      <c r="D86" s="28" t="n">
        <v>2</v>
      </c>
      <c r="E86" s="28" t="n">
        <v>2</v>
      </c>
      <c r="F86" s="28" t="n">
        <v>2</v>
      </c>
      <c r="G86" s="28" t="n">
        <v>2</v>
      </c>
      <c r="H86" s="40" t="n">
        <f aca="false">IF(COUNT($D86:$G86)&lt;4,0,SUM($D86:$G86))</f>
        <v>8</v>
      </c>
      <c r="I86" s="26" t="str">
        <f aca="false">IF($H86=0,"",IF($H86&lt;=8,"Ótimo",IF($H86&lt;=12,"Bom",IF($H86&lt;=16,"Regular",IF($H86&lt;=20,"Alerta","Crítico")))))</f>
        <v>Ótimo</v>
      </c>
      <c r="J86" s="27"/>
      <c r="K86" s="27" t="s">
        <v>373</v>
      </c>
    </row>
    <row r="87" customFormat="false" ht="15" hidden="false" customHeight="false" outlineLevel="0" collapsed="false">
      <c r="A87" s="29" t="n">
        <v>46252</v>
      </c>
      <c r="B87" s="40" t="n">
        <f aca="false">IF($A87="",0,INT(($A87-Macrociclo!$C$11)/7)+1)</f>
        <v>33</v>
      </c>
      <c r="C87" s="27" t="s">
        <v>253</v>
      </c>
      <c r="D87" s="28" t="n">
        <v>3</v>
      </c>
      <c r="E87" s="28" t="n">
        <v>3</v>
      </c>
      <c r="F87" s="28" t="n">
        <v>2</v>
      </c>
      <c r="G87" s="28" t="n">
        <v>2</v>
      </c>
      <c r="H87" s="40" t="n">
        <f aca="false">IF(COUNT($D87:$G87)&lt;4,0,SUM($D87:$G87))</f>
        <v>10</v>
      </c>
      <c r="I87" s="26" t="str">
        <f aca="false">IF($H87=0,"",IF($H87&lt;=8,"Ótimo",IF($H87&lt;=12,"Bom",IF($H87&lt;=16,"Regular",IF($H87&lt;=20,"Alerta","Crítico")))))</f>
        <v>Bom</v>
      </c>
      <c r="J87" s="27"/>
      <c r="K87" s="27" t="s">
        <v>373</v>
      </c>
    </row>
    <row r="88" customFormat="false" ht="15" hidden="false" customHeight="false" outlineLevel="0" collapsed="false">
      <c r="A88" s="29" t="n">
        <v>46252</v>
      </c>
      <c r="B88" s="40" t="n">
        <f aca="false">IF($A88="",0,INT(($A88-Macrociclo!$C$11)/7)+1)</f>
        <v>33</v>
      </c>
      <c r="C88" s="27" t="s">
        <v>259</v>
      </c>
      <c r="D88" s="28" t="n">
        <v>2</v>
      </c>
      <c r="E88" s="28" t="n">
        <v>3</v>
      </c>
      <c r="F88" s="28" t="n">
        <v>4</v>
      </c>
      <c r="G88" s="28" t="n">
        <v>2</v>
      </c>
      <c r="H88" s="40" t="n">
        <f aca="false">IF(COUNT($D88:$G88)&lt;4,0,SUM($D88:$G88))</f>
        <v>11</v>
      </c>
      <c r="I88" s="26" t="str">
        <f aca="false">IF($H88=0,"",IF($H88&lt;=8,"Ótimo",IF($H88&lt;=12,"Bom",IF($H88&lt;=16,"Regular",IF($H88&lt;=20,"Alerta","Crítico")))))</f>
        <v>Bom</v>
      </c>
      <c r="J88" s="27"/>
      <c r="K88" s="27" t="s">
        <v>373</v>
      </c>
    </row>
    <row r="89" customFormat="false" ht="15" hidden="false" customHeight="false" outlineLevel="0" collapsed="false">
      <c r="A89" s="29" t="n">
        <v>46252</v>
      </c>
      <c r="B89" s="40" t="n">
        <f aca="false">IF($A89="",0,INT(($A89-Macrociclo!$C$11)/7)+1)</f>
        <v>33</v>
      </c>
      <c r="C89" s="27" t="s">
        <v>264</v>
      </c>
      <c r="D89" s="28" t="n">
        <v>3</v>
      </c>
      <c r="E89" s="28" t="n">
        <v>4</v>
      </c>
      <c r="F89" s="28" t="n">
        <v>2</v>
      </c>
      <c r="G89" s="28" t="n">
        <v>4</v>
      </c>
      <c r="H89" s="40" t="n">
        <f aca="false">IF(COUNT($D89:$G89)&lt;4,0,SUM($D89:$G89))</f>
        <v>13</v>
      </c>
      <c r="I89" s="26" t="str">
        <f aca="false">IF($H89=0,"",IF($H89&lt;=8,"Ótimo",IF($H89&lt;=12,"Bom",IF($H89&lt;=16,"Regular",IF($H89&lt;=20,"Alerta","Crítico")))))</f>
        <v>Regular</v>
      </c>
      <c r="J89" s="27"/>
      <c r="K89" s="27" t="s">
        <v>373</v>
      </c>
    </row>
    <row r="90" customFormat="false" ht="15" hidden="false" customHeight="false" outlineLevel="0" collapsed="false">
      <c r="A90" s="29" t="n">
        <v>46252</v>
      </c>
      <c r="B90" s="40" t="n">
        <f aca="false">IF($A90="",0,INT(($A90-Macrociclo!$C$11)/7)+1)</f>
        <v>33</v>
      </c>
      <c r="C90" s="27" t="s">
        <v>270</v>
      </c>
      <c r="D90" s="28" t="n">
        <v>4</v>
      </c>
      <c r="E90" s="28" t="n">
        <v>2</v>
      </c>
      <c r="F90" s="28" t="n">
        <v>2</v>
      </c>
      <c r="G90" s="28" t="n">
        <v>3</v>
      </c>
      <c r="H90" s="40" t="n">
        <f aca="false">IF(COUNT($D90:$G90)&lt;4,0,SUM($D90:$G90))</f>
        <v>11</v>
      </c>
      <c r="I90" s="26" t="str">
        <f aca="false">IF($H90=0,"",IF($H90&lt;=8,"Ótimo",IF($H90&lt;=12,"Bom",IF($H90&lt;=16,"Regular",IF($H90&lt;=20,"Alerta","Crítico")))))</f>
        <v>Bom</v>
      </c>
      <c r="J90" s="27"/>
      <c r="K90" s="27" t="s">
        <v>373</v>
      </c>
    </row>
    <row r="91" customFormat="false" ht="15" hidden="false" customHeight="false" outlineLevel="0" collapsed="false">
      <c r="A91" s="29" t="n">
        <v>46252</v>
      </c>
      <c r="B91" s="40" t="n">
        <f aca="false">IF($A91="",0,INT(($A91-Macrociclo!$C$11)/7)+1)</f>
        <v>33</v>
      </c>
      <c r="C91" s="27" t="s">
        <v>279</v>
      </c>
      <c r="D91" s="28" t="n">
        <v>4</v>
      </c>
      <c r="E91" s="28" t="n">
        <v>4</v>
      </c>
      <c r="F91" s="28" t="n">
        <v>3</v>
      </c>
      <c r="G91" s="28" t="n">
        <v>3</v>
      </c>
      <c r="H91" s="40" t="n">
        <f aca="false">IF(COUNT($D91:$G91)&lt;4,0,SUM($D91:$G91))</f>
        <v>14</v>
      </c>
      <c r="I91" s="26" t="str">
        <f aca="false">IF($H91=0,"",IF($H91&lt;=8,"Ótimo",IF($H91&lt;=12,"Bom",IF($H91&lt;=16,"Regular",IF($H91&lt;=20,"Alerta","Crítico")))))</f>
        <v>Regular</v>
      </c>
      <c r="J91" s="27"/>
      <c r="K91" s="27" t="s">
        <v>373</v>
      </c>
    </row>
    <row r="92" customFormat="false" ht="15" hidden="false" customHeight="false" outlineLevel="0" collapsed="false">
      <c r="A92" s="29" t="n">
        <v>46253</v>
      </c>
      <c r="B92" s="40" t="n">
        <f aca="false">IF($A92="",0,INT(($A92-Macrociclo!$C$11)/7)+1)</f>
        <v>33</v>
      </c>
      <c r="C92" s="27" t="s">
        <v>164</v>
      </c>
      <c r="D92" s="28" t="n">
        <v>3</v>
      </c>
      <c r="E92" s="28" t="n">
        <v>3</v>
      </c>
      <c r="F92" s="28" t="n">
        <v>2</v>
      </c>
      <c r="G92" s="28" t="n">
        <v>2</v>
      </c>
      <c r="H92" s="40" t="n">
        <f aca="false">IF(COUNT($D92:$G92)&lt;4,0,SUM($D92:$G92))</f>
        <v>10</v>
      </c>
      <c r="I92" s="26" t="str">
        <f aca="false">IF($H92=0,"",IF($H92&lt;=8,"Ótimo",IF($H92&lt;=12,"Bom",IF($H92&lt;=16,"Regular",IF($H92&lt;=20,"Alerta","Crítico")))))</f>
        <v>Bom</v>
      </c>
      <c r="J92" s="27"/>
      <c r="K92" s="27" t="s">
        <v>373</v>
      </c>
    </row>
    <row r="93" customFormat="false" ht="15" hidden="false" customHeight="false" outlineLevel="0" collapsed="false">
      <c r="A93" s="29" t="n">
        <v>46253</v>
      </c>
      <c r="B93" s="40" t="n">
        <f aca="false">IF($A93="",0,INT(($A93-Macrociclo!$C$11)/7)+1)</f>
        <v>33</v>
      </c>
      <c r="C93" s="27" t="s">
        <v>192</v>
      </c>
      <c r="D93" s="28" t="n">
        <v>4</v>
      </c>
      <c r="E93" s="28" t="n">
        <v>2</v>
      </c>
      <c r="F93" s="28" t="n">
        <v>3</v>
      </c>
      <c r="G93" s="28" t="n">
        <v>2</v>
      </c>
      <c r="H93" s="40" t="n">
        <f aca="false">IF(COUNT($D93:$G93)&lt;4,0,SUM($D93:$G93))</f>
        <v>11</v>
      </c>
      <c r="I93" s="26" t="str">
        <f aca="false">IF($H93=0,"",IF($H93&lt;=8,"Ótimo",IF($H93&lt;=12,"Bom",IF($H93&lt;=16,"Regular",IF($H93&lt;=20,"Alerta","Crítico")))))</f>
        <v>Bom</v>
      </c>
      <c r="J93" s="27"/>
      <c r="K93" s="27" t="s">
        <v>373</v>
      </c>
    </row>
    <row r="94" customFormat="false" ht="15" hidden="false" customHeight="false" outlineLevel="0" collapsed="false">
      <c r="A94" s="29" t="n">
        <v>46253</v>
      </c>
      <c r="B94" s="40" t="n">
        <f aca="false">IF($A94="",0,INT(($A94-Macrociclo!$C$11)/7)+1)</f>
        <v>33</v>
      </c>
      <c r="C94" s="27" t="s">
        <v>206</v>
      </c>
      <c r="D94" s="28" t="n">
        <v>2</v>
      </c>
      <c r="E94" s="28" t="n">
        <v>3</v>
      </c>
      <c r="F94" s="28" t="n">
        <v>3</v>
      </c>
      <c r="G94" s="28" t="n">
        <v>3</v>
      </c>
      <c r="H94" s="40" t="n">
        <f aca="false">IF(COUNT($D94:$G94)&lt;4,0,SUM($D94:$G94))</f>
        <v>11</v>
      </c>
      <c r="I94" s="26" t="str">
        <f aca="false">IF($H94=0,"",IF($H94&lt;=8,"Ótimo",IF($H94&lt;=12,"Bom",IF($H94&lt;=16,"Regular",IF($H94&lt;=20,"Alerta","Crítico")))))</f>
        <v>Bom</v>
      </c>
      <c r="J94" s="27"/>
      <c r="K94" s="27" t="s">
        <v>373</v>
      </c>
    </row>
    <row r="95" customFormat="false" ht="15" hidden="false" customHeight="false" outlineLevel="0" collapsed="false">
      <c r="A95" s="29" t="n">
        <v>46253</v>
      </c>
      <c r="B95" s="40" t="n">
        <f aca="false">IF($A95="",0,INT(($A95-Macrociclo!$C$11)/7)+1)</f>
        <v>33</v>
      </c>
      <c r="C95" s="27" t="s">
        <v>215</v>
      </c>
      <c r="D95" s="28" t="n">
        <v>4</v>
      </c>
      <c r="E95" s="28" t="n">
        <v>4</v>
      </c>
      <c r="F95" s="28" t="n">
        <v>5</v>
      </c>
      <c r="G95" s="28" t="n">
        <v>5</v>
      </c>
      <c r="H95" s="40" t="n">
        <f aca="false">IF(COUNT($D95:$G95)&lt;4,0,SUM($D95:$G95))</f>
        <v>18</v>
      </c>
      <c r="I95" s="26" t="str">
        <f aca="false">IF($H95=0,"",IF($H95&lt;=8,"Ótimo",IF($H95&lt;=12,"Bom",IF($H95&lt;=16,"Regular",IF($H95&lt;=20,"Alerta","Crítico")))))</f>
        <v>Alerta</v>
      </c>
      <c r="J95" s="27"/>
      <c r="K95" s="27" t="s">
        <v>373</v>
      </c>
    </row>
    <row r="96" customFormat="false" ht="15" hidden="false" customHeight="false" outlineLevel="0" collapsed="false">
      <c r="A96" s="29" t="n">
        <v>46253</v>
      </c>
      <c r="B96" s="40" t="n">
        <f aca="false">IF($A96="",0,INT(($A96-Macrociclo!$C$11)/7)+1)</f>
        <v>33</v>
      </c>
      <c r="C96" s="27" t="s">
        <v>226</v>
      </c>
      <c r="D96" s="28" t="n">
        <v>3</v>
      </c>
      <c r="E96" s="28" t="n">
        <v>3</v>
      </c>
      <c r="F96" s="28" t="n">
        <v>2</v>
      </c>
      <c r="G96" s="28" t="n">
        <v>3</v>
      </c>
      <c r="H96" s="40" t="n">
        <f aca="false">IF(COUNT($D96:$G96)&lt;4,0,SUM($D96:$G96))</f>
        <v>11</v>
      </c>
      <c r="I96" s="26" t="str">
        <f aca="false">IF($H96=0,"",IF($H96&lt;=8,"Ótimo",IF($H96&lt;=12,"Bom",IF($H96&lt;=16,"Regular",IF($H96&lt;=20,"Alerta","Crítico")))))</f>
        <v>Bom</v>
      </c>
      <c r="J96" s="27"/>
      <c r="K96" s="27" t="s">
        <v>373</v>
      </c>
    </row>
    <row r="97" customFormat="false" ht="15" hidden="false" customHeight="false" outlineLevel="0" collapsed="false">
      <c r="A97" s="29" t="n">
        <v>46253</v>
      </c>
      <c r="B97" s="40" t="n">
        <f aca="false">IF($A97="",0,INT(($A97-Macrociclo!$C$11)/7)+1)</f>
        <v>33</v>
      </c>
      <c r="C97" s="27" t="s">
        <v>236</v>
      </c>
      <c r="D97" s="28" t="n">
        <v>2</v>
      </c>
      <c r="E97" s="28" t="n">
        <v>3</v>
      </c>
      <c r="F97" s="28" t="n">
        <v>3</v>
      </c>
      <c r="G97" s="28" t="n">
        <v>3</v>
      </c>
      <c r="H97" s="40" t="n">
        <f aca="false">IF(COUNT($D97:$G97)&lt;4,0,SUM($D97:$G97))</f>
        <v>11</v>
      </c>
      <c r="I97" s="26" t="str">
        <f aca="false">IF($H97=0,"",IF($H97&lt;=8,"Ótimo",IF($H97&lt;=12,"Bom",IF($H97&lt;=16,"Regular",IF($H97&lt;=20,"Alerta","Crítico")))))</f>
        <v>Bom</v>
      </c>
      <c r="J97" s="27"/>
      <c r="K97" s="27" t="s">
        <v>373</v>
      </c>
    </row>
    <row r="98" customFormat="false" ht="15" hidden="false" customHeight="false" outlineLevel="0" collapsed="false">
      <c r="A98" s="29" t="n">
        <v>46253</v>
      </c>
      <c r="B98" s="40" t="n">
        <f aca="false">IF($A98="",0,INT(($A98-Macrociclo!$C$11)/7)+1)</f>
        <v>33</v>
      </c>
      <c r="C98" s="27" t="s">
        <v>244</v>
      </c>
      <c r="D98" s="28" t="n">
        <v>2</v>
      </c>
      <c r="E98" s="28" t="n">
        <v>3</v>
      </c>
      <c r="F98" s="28" t="n">
        <v>3</v>
      </c>
      <c r="G98" s="28" t="n">
        <v>3</v>
      </c>
      <c r="H98" s="40" t="n">
        <f aca="false">IF(COUNT($D98:$G98)&lt;4,0,SUM($D98:$G98))</f>
        <v>11</v>
      </c>
      <c r="I98" s="26" t="str">
        <f aca="false">IF($H98=0,"",IF($H98&lt;=8,"Ótimo",IF($H98&lt;=12,"Bom",IF($H98&lt;=16,"Regular",IF($H98&lt;=20,"Alerta","Crítico")))))</f>
        <v>Bom</v>
      </c>
      <c r="J98" s="27"/>
      <c r="K98" s="27" t="s">
        <v>373</v>
      </c>
    </row>
    <row r="99" customFormat="false" ht="15" hidden="false" customHeight="false" outlineLevel="0" collapsed="false">
      <c r="A99" s="29" t="n">
        <v>46253</v>
      </c>
      <c r="B99" s="40" t="n">
        <f aca="false">IF($A99="",0,INT(($A99-Macrociclo!$C$11)/7)+1)</f>
        <v>33</v>
      </c>
      <c r="C99" s="27" t="s">
        <v>253</v>
      </c>
      <c r="D99" s="28" t="n">
        <v>3</v>
      </c>
      <c r="E99" s="28" t="n">
        <v>2</v>
      </c>
      <c r="F99" s="28" t="n">
        <v>3</v>
      </c>
      <c r="G99" s="28" t="n">
        <v>4</v>
      </c>
      <c r="H99" s="40" t="n">
        <f aca="false">IF(COUNT($D99:$G99)&lt;4,0,SUM($D99:$G99))</f>
        <v>12</v>
      </c>
      <c r="I99" s="26" t="str">
        <f aca="false">IF($H99=0,"",IF($H99&lt;=8,"Ótimo",IF($H99&lt;=12,"Bom",IF($H99&lt;=16,"Regular",IF($H99&lt;=20,"Alerta","Crítico")))))</f>
        <v>Bom</v>
      </c>
      <c r="J99" s="27"/>
      <c r="K99" s="27" t="s">
        <v>373</v>
      </c>
    </row>
    <row r="100" customFormat="false" ht="15" hidden="false" customHeight="false" outlineLevel="0" collapsed="false">
      <c r="A100" s="29" t="n">
        <v>46253</v>
      </c>
      <c r="B100" s="40" t="n">
        <f aca="false">IF($A100="",0,INT(($A100-Macrociclo!$C$11)/7)+1)</f>
        <v>33</v>
      </c>
      <c r="C100" s="27" t="s">
        <v>259</v>
      </c>
      <c r="D100" s="28" t="n">
        <v>3</v>
      </c>
      <c r="E100" s="28" t="n">
        <v>4</v>
      </c>
      <c r="F100" s="28" t="n">
        <v>2</v>
      </c>
      <c r="G100" s="28" t="n">
        <v>3</v>
      </c>
      <c r="H100" s="40" t="n">
        <f aca="false">IF(COUNT($D100:$G100)&lt;4,0,SUM($D100:$G100))</f>
        <v>12</v>
      </c>
      <c r="I100" s="26" t="str">
        <f aca="false">IF($H100=0,"",IF($H100&lt;=8,"Ótimo",IF($H100&lt;=12,"Bom",IF($H100&lt;=16,"Regular",IF($H100&lt;=20,"Alerta","Crítico")))))</f>
        <v>Bom</v>
      </c>
      <c r="J100" s="27"/>
      <c r="K100" s="27" t="s">
        <v>373</v>
      </c>
    </row>
    <row r="101" customFormat="false" ht="15" hidden="false" customHeight="false" outlineLevel="0" collapsed="false">
      <c r="A101" s="29" t="n">
        <v>46253</v>
      </c>
      <c r="B101" s="40" t="n">
        <f aca="false">IF($A101="",0,INT(($A101-Macrociclo!$C$11)/7)+1)</f>
        <v>33</v>
      </c>
      <c r="C101" s="27" t="s">
        <v>264</v>
      </c>
      <c r="D101" s="28" t="n">
        <v>2</v>
      </c>
      <c r="E101" s="28" t="n">
        <v>3</v>
      </c>
      <c r="F101" s="28" t="n">
        <v>3</v>
      </c>
      <c r="G101" s="28" t="n">
        <v>4</v>
      </c>
      <c r="H101" s="40" t="n">
        <f aca="false">IF(COUNT($D101:$G101)&lt;4,0,SUM($D101:$G101))</f>
        <v>12</v>
      </c>
      <c r="I101" s="26" t="str">
        <f aca="false">IF($H101=0,"",IF($H101&lt;=8,"Ótimo",IF($H101&lt;=12,"Bom",IF($H101&lt;=16,"Regular",IF($H101&lt;=20,"Alerta","Crítico")))))</f>
        <v>Bom</v>
      </c>
      <c r="J101" s="27"/>
      <c r="K101" s="27" t="s">
        <v>373</v>
      </c>
    </row>
    <row r="102" customFormat="false" ht="15" hidden="false" customHeight="false" outlineLevel="0" collapsed="false">
      <c r="A102" s="29" t="n">
        <v>46253</v>
      </c>
      <c r="B102" s="40" t="n">
        <f aca="false">IF($A102="",0,INT(($A102-Macrociclo!$C$11)/7)+1)</f>
        <v>33</v>
      </c>
      <c r="C102" s="27" t="s">
        <v>270</v>
      </c>
      <c r="D102" s="28" t="n">
        <v>2</v>
      </c>
      <c r="E102" s="28" t="n">
        <v>2</v>
      </c>
      <c r="F102" s="28" t="n">
        <v>3</v>
      </c>
      <c r="G102" s="28" t="n">
        <v>3</v>
      </c>
      <c r="H102" s="40" t="n">
        <f aca="false">IF(COUNT($D102:$G102)&lt;4,0,SUM($D102:$G102))</f>
        <v>10</v>
      </c>
      <c r="I102" s="26" t="str">
        <f aca="false">IF($H102=0,"",IF($H102&lt;=8,"Ótimo",IF($H102&lt;=12,"Bom",IF($H102&lt;=16,"Regular",IF($H102&lt;=20,"Alerta","Crítico")))))</f>
        <v>Bom</v>
      </c>
      <c r="J102" s="27"/>
      <c r="K102" s="27" t="s">
        <v>373</v>
      </c>
    </row>
    <row r="103" customFormat="false" ht="15" hidden="false" customHeight="false" outlineLevel="0" collapsed="false">
      <c r="A103" s="29" t="n">
        <v>46253</v>
      </c>
      <c r="B103" s="40" t="n">
        <f aca="false">IF($A103="",0,INT(($A103-Macrociclo!$C$11)/7)+1)</f>
        <v>33</v>
      </c>
      <c r="C103" s="27" t="s">
        <v>279</v>
      </c>
      <c r="D103" s="28" t="n">
        <v>3</v>
      </c>
      <c r="E103" s="28" t="n">
        <v>4</v>
      </c>
      <c r="F103" s="28" t="n">
        <v>3</v>
      </c>
      <c r="G103" s="28" t="n">
        <v>3</v>
      </c>
      <c r="H103" s="40" t="n">
        <f aca="false">IF(COUNT($D103:$G103)&lt;4,0,SUM($D103:$G103))</f>
        <v>13</v>
      </c>
      <c r="I103" s="26" t="str">
        <f aca="false">IF($H103=0,"",IF($H103&lt;=8,"Ótimo",IF($H103&lt;=12,"Bom",IF($H103&lt;=16,"Regular",IF($H103&lt;=20,"Alerta","Crítico")))))</f>
        <v>Regular</v>
      </c>
      <c r="J103" s="27"/>
      <c r="K103" s="27" t="s">
        <v>373</v>
      </c>
    </row>
    <row r="104" customFormat="false" ht="15" hidden="false" customHeight="false" outlineLevel="0" collapsed="false">
      <c r="A104" s="29" t="n">
        <v>46254</v>
      </c>
      <c r="B104" s="40" t="n">
        <f aca="false">IF($A104="",0,INT(($A104-Macrociclo!$C$11)/7)+1)</f>
        <v>33</v>
      </c>
      <c r="C104" s="27" t="s">
        <v>164</v>
      </c>
      <c r="D104" s="28" t="n">
        <v>2</v>
      </c>
      <c r="E104" s="28" t="n">
        <v>3</v>
      </c>
      <c r="F104" s="28" t="n">
        <v>2</v>
      </c>
      <c r="G104" s="28" t="n">
        <v>3</v>
      </c>
      <c r="H104" s="40" t="n">
        <f aca="false">IF(COUNT($D104:$G104)&lt;4,0,SUM($D104:$G104))</f>
        <v>10</v>
      </c>
      <c r="I104" s="26" t="str">
        <f aca="false">IF($H104=0,"",IF($H104&lt;=8,"Ótimo",IF($H104&lt;=12,"Bom",IF($H104&lt;=16,"Regular",IF($H104&lt;=20,"Alerta","Crítico")))))</f>
        <v>Bom</v>
      </c>
      <c r="J104" s="27"/>
      <c r="K104" s="27" t="s">
        <v>373</v>
      </c>
    </row>
    <row r="105" customFormat="false" ht="15" hidden="false" customHeight="false" outlineLevel="0" collapsed="false">
      <c r="A105" s="29" t="n">
        <v>46254</v>
      </c>
      <c r="B105" s="40" t="n">
        <f aca="false">IF($A105="",0,INT(($A105-Macrociclo!$C$11)/7)+1)</f>
        <v>33</v>
      </c>
      <c r="C105" s="27" t="s">
        <v>192</v>
      </c>
      <c r="D105" s="28" t="n">
        <v>2</v>
      </c>
      <c r="E105" s="28" t="n">
        <v>2</v>
      </c>
      <c r="F105" s="28" t="n">
        <v>4</v>
      </c>
      <c r="G105" s="28" t="n">
        <v>4</v>
      </c>
      <c r="H105" s="40" t="n">
        <f aca="false">IF(COUNT($D105:$G105)&lt;4,0,SUM($D105:$G105))</f>
        <v>12</v>
      </c>
      <c r="I105" s="26" t="str">
        <f aca="false">IF($H105=0,"",IF($H105&lt;=8,"Ótimo",IF($H105&lt;=12,"Bom",IF($H105&lt;=16,"Regular",IF($H105&lt;=20,"Alerta","Crítico")))))</f>
        <v>Bom</v>
      </c>
      <c r="J105" s="27"/>
      <c r="K105" s="27" t="s">
        <v>373</v>
      </c>
    </row>
    <row r="106" customFormat="false" ht="15" hidden="false" customHeight="false" outlineLevel="0" collapsed="false">
      <c r="A106" s="29" t="n">
        <v>46254</v>
      </c>
      <c r="B106" s="40" t="n">
        <f aca="false">IF($A106="",0,INT(($A106-Macrociclo!$C$11)/7)+1)</f>
        <v>33</v>
      </c>
      <c r="C106" s="27" t="s">
        <v>206</v>
      </c>
      <c r="D106" s="28" t="n">
        <v>3</v>
      </c>
      <c r="E106" s="28" t="n">
        <v>2</v>
      </c>
      <c r="F106" s="28" t="n">
        <v>3</v>
      </c>
      <c r="G106" s="28" t="n">
        <v>3</v>
      </c>
      <c r="H106" s="40" t="n">
        <f aca="false">IF(COUNT($D106:$G106)&lt;4,0,SUM($D106:$G106))</f>
        <v>11</v>
      </c>
      <c r="I106" s="26" t="str">
        <f aca="false">IF($H106=0,"",IF($H106&lt;=8,"Ótimo",IF($H106&lt;=12,"Bom",IF($H106&lt;=16,"Regular",IF($H106&lt;=20,"Alerta","Crítico")))))</f>
        <v>Bom</v>
      </c>
      <c r="J106" s="27"/>
      <c r="K106" s="27" t="s">
        <v>373</v>
      </c>
    </row>
    <row r="107" customFormat="false" ht="15" hidden="false" customHeight="false" outlineLevel="0" collapsed="false">
      <c r="A107" s="29" t="n">
        <v>46254</v>
      </c>
      <c r="B107" s="40" t="n">
        <f aca="false">IF($A107="",0,INT(($A107-Macrociclo!$C$11)/7)+1)</f>
        <v>33</v>
      </c>
      <c r="C107" s="27" t="s">
        <v>215</v>
      </c>
      <c r="D107" s="28" t="n">
        <v>6</v>
      </c>
      <c r="E107" s="28" t="n">
        <v>4</v>
      </c>
      <c r="F107" s="28" t="n">
        <v>5</v>
      </c>
      <c r="G107" s="28" t="n">
        <v>6</v>
      </c>
      <c r="H107" s="40" t="n">
        <f aca="false">IF(COUNT($D107:$G107)&lt;4,0,SUM($D107:$G107))</f>
        <v>21</v>
      </c>
      <c r="I107" s="26" t="str">
        <f aca="false">IF($H107=0,"",IF($H107&lt;=8,"Ótimo",IF($H107&lt;=12,"Bom",IF($H107&lt;=16,"Regular",IF($H107&lt;=20,"Alerta","Crítico")))))</f>
        <v>Crítico</v>
      </c>
      <c r="J107" s="27"/>
      <c r="K107" s="27" t="s">
        <v>373</v>
      </c>
    </row>
    <row r="108" customFormat="false" ht="15" hidden="false" customHeight="false" outlineLevel="0" collapsed="false">
      <c r="A108" s="29" t="n">
        <v>46254</v>
      </c>
      <c r="B108" s="40" t="n">
        <f aca="false">IF($A108="",0,INT(($A108-Macrociclo!$C$11)/7)+1)</f>
        <v>33</v>
      </c>
      <c r="C108" s="27" t="s">
        <v>226</v>
      </c>
      <c r="D108" s="28" t="n">
        <v>3</v>
      </c>
      <c r="E108" s="28" t="n">
        <v>3</v>
      </c>
      <c r="F108" s="28" t="n">
        <v>3</v>
      </c>
      <c r="G108" s="28" t="n">
        <v>2</v>
      </c>
      <c r="H108" s="40" t="n">
        <f aca="false">IF(COUNT($D108:$G108)&lt;4,0,SUM($D108:$G108))</f>
        <v>11</v>
      </c>
      <c r="I108" s="26" t="str">
        <f aca="false">IF($H108=0,"",IF($H108&lt;=8,"Ótimo",IF($H108&lt;=12,"Bom",IF($H108&lt;=16,"Regular",IF($H108&lt;=20,"Alerta","Crítico")))))</f>
        <v>Bom</v>
      </c>
      <c r="J108" s="27"/>
      <c r="K108" s="27" t="s">
        <v>373</v>
      </c>
    </row>
    <row r="109" customFormat="false" ht="15" hidden="false" customHeight="false" outlineLevel="0" collapsed="false">
      <c r="A109" s="29" t="n">
        <v>46254</v>
      </c>
      <c r="B109" s="40" t="n">
        <f aca="false">IF($A109="",0,INT(($A109-Macrociclo!$C$11)/7)+1)</f>
        <v>33</v>
      </c>
      <c r="C109" s="27" t="s">
        <v>236</v>
      </c>
      <c r="D109" s="28" t="n">
        <v>3</v>
      </c>
      <c r="E109" s="28" t="n">
        <v>3</v>
      </c>
      <c r="F109" s="28" t="n">
        <v>3</v>
      </c>
      <c r="G109" s="28" t="n">
        <v>2</v>
      </c>
      <c r="H109" s="40" t="n">
        <f aca="false">IF(COUNT($D109:$G109)&lt;4,0,SUM($D109:$G109))</f>
        <v>11</v>
      </c>
      <c r="I109" s="26" t="str">
        <f aca="false">IF($H109=0,"",IF($H109&lt;=8,"Ótimo",IF($H109&lt;=12,"Bom",IF($H109&lt;=16,"Regular",IF($H109&lt;=20,"Alerta","Crítico")))))</f>
        <v>Bom</v>
      </c>
      <c r="J109" s="27"/>
      <c r="K109" s="27" t="s">
        <v>373</v>
      </c>
    </row>
    <row r="110" customFormat="false" ht="15" hidden="false" customHeight="false" outlineLevel="0" collapsed="false">
      <c r="A110" s="29" t="n">
        <v>46254</v>
      </c>
      <c r="B110" s="40" t="n">
        <f aca="false">IF($A110="",0,INT(($A110-Macrociclo!$C$11)/7)+1)</f>
        <v>33</v>
      </c>
      <c r="C110" s="27" t="s">
        <v>244</v>
      </c>
      <c r="D110" s="28" t="n">
        <v>3</v>
      </c>
      <c r="E110" s="28" t="n">
        <v>3</v>
      </c>
      <c r="F110" s="28" t="n">
        <v>4</v>
      </c>
      <c r="G110" s="28" t="n">
        <v>3</v>
      </c>
      <c r="H110" s="40" t="n">
        <f aca="false">IF(COUNT($D110:$G110)&lt;4,0,SUM($D110:$G110))</f>
        <v>13</v>
      </c>
      <c r="I110" s="26" t="str">
        <f aca="false">IF($H110=0,"",IF($H110&lt;=8,"Ótimo",IF($H110&lt;=12,"Bom",IF($H110&lt;=16,"Regular",IF($H110&lt;=20,"Alerta","Crítico")))))</f>
        <v>Regular</v>
      </c>
      <c r="J110" s="27"/>
      <c r="K110" s="27" t="s">
        <v>373</v>
      </c>
    </row>
    <row r="111" customFormat="false" ht="15" hidden="false" customHeight="false" outlineLevel="0" collapsed="false">
      <c r="A111" s="29" t="n">
        <v>46254</v>
      </c>
      <c r="B111" s="40" t="n">
        <f aca="false">IF($A111="",0,INT(($A111-Macrociclo!$C$11)/7)+1)</f>
        <v>33</v>
      </c>
      <c r="C111" s="27" t="s">
        <v>253</v>
      </c>
      <c r="D111" s="28" t="n">
        <v>4</v>
      </c>
      <c r="E111" s="28" t="n">
        <v>2</v>
      </c>
      <c r="F111" s="28" t="n">
        <v>3</v>
      </c>
      <c r="G111" s="28" t="n">
        <v>4</v>
      </c>
      <c r="H111" s="40" t="n">
        <f aca="false">IF(COUNT($D111:$G111)&lt;4,0,SUM($D111:$G111))</f>
        <v>13</v>
      </c>
      <c r="I111" s="26" t="str">
        <f aca="false">IF($H111=0,"",IF($H111&lt;=8,"Ótimo",IF($H111&lt;=12,"Bom",IF($H111&lt;=16,"Regular",IF($H111&lt;=20,"Alerta","Crítico")))))</f>
        <v>Regular</v>
      </c>
      <c r="J111" s="27"/>
      <c r="K111" s="27" t="s">
        <v>373</v>
      </c>
    </row>
    <row r="112" customFormat="false" ht="15" hidden="false" customHeight="false" outlineLevel="0" collapsed="false">
      <c r="A112" s="29" t="n">
        <v>46254</v>
      </c>
      <c r="B112" s="40" t="n">
        <f aca="false">IF($A112="",0,INT(($A112-Macrociclo!$C$11)/7)+1)</f>
        <v>33</v>
      </c>
      <c r="C112" s="27" t="s">
        <v>259</v>
      </c>
      <c r="D112" s="28" t="n">
        <v>2</v>
      </c>
      <c r="E112" s="28" t="n">
        <v>2</v>
      </c>
      <c r="F112" s="28" t="n">
        <v>4</v>
      </c>
      <c r="G112" s="28" t="n">
        <v>3</v>
      </c>
      <c r="H112" s="40" t="n">
        <f aca="false">IF(COUNT($D112:$G112)&lt;4,0,SUM($D112:$G112))</f>
        <v>11</v>
      </c>
      <c r="I112" s="26" t="str">
        <f aca="false">IF($H112=0,"",IF($H112&lt;=8,"Ótimo",IF($H112&lt;=12,"Bom",IF($H112&lt;=16,"Regular",IF($H112&lt;=20,"Alerta","Crítico")))))</f>
        <v>Bom</v>
      </c>
      <c r="J112" s="27"/>
      <c r="K112" s="27" t="s">
        <v>373</v>
      </c>
    </row>
    <row r="113" customFormat="false" ht="15" hidden="false" customHeight="false" outlineLevel="0" collapsed="false">
      <c r="A113" s="29" t="n">
        <v>46254</v>
      </c>
      <c r="B113" s="40" t="n">
        <f aca="false">IF($A113="",0,INT(($A113-Macrociclo!$C$11)/7)+1)</f>
        <v>33</v>
      </c>
      <c r="C113" s="27" t="s">
        <v>264</v>
      </c>
      <c r="D113" s="28" t="n">
        <v>3</v>
      </c>
      <c r="E113" s="28" t="n">
        <v>3</v>
      </c>
      <c r="F113" s="28" t="n">
        <v>2</v>
      </c>
      <c r="G113" s="28" t="n">
        <v>2</v>
      </c>
      <c r="H113" s="40" t="n">
        <f aca="false">IF(COUNT($D113:$G113)&lt;4,0,SUM($D113:$G113))</f>
        <v>10</v>
      </c>
      <c r="I113" s="26" t="str">
        <f aca="false">IF($H113=0,"",IF($H113&lt;=8,"Ótimo",IF($H113&lt;=12,"Bom",IF($H113&lt;=16,"Regular",IF($H113&lt;=20,"Alerta","Crítico")))))</f>
        <v>Bom</v>
      </c>
      <c r="J113" s="27"/>
      <c r="K113" s="27" t="s">
        <v>373</v>
      </c>
    </row>
    <row r="114" customFormat="false" ht="15" hidden="false" customHeight="false" outlineLevel="0" collapsed="false">
      <c r="A114" s="29" t="n">
        <v>46254</v>
      </c>
      <c r="B114" s="40" t="n">
        <f aca="false">IF($A114="",0,INT(($A114-Macrociclo!$C$11)/7)+1)</f>
        <v>33</v>
      </c>
      <c r="C114" s="27" t="s">
        <v>270</v>
      </c>
      <c r="D114" s="28" t="n">
        <v>3</v>
      </c>
      <c r="E114" s="28" t="n">
        <v>3</v>
      </c>
      <c r="F114" s="28" t="n">
        <v>4</v>
      </c>
      <c r="G114" s="28" t="n">
        <v>4</v>
      </c>
      <c r="H114" s="40" t="n">
        <f aca="false">IF(COUNT($D114:$G114)&lt;4,0,SUM($D114:$G114))</f>
        <v>14</v>
      </c>
      <c r="I114" s="26" t="str">
        <f aca="false">IF($H114=0,"",IF($H114&lt;=8,"Ótimo",IF($H114&lt;=12,"Bom",IF($H114&lt;=16,"Regular",IF($H114&lt;=20,"Alerta","Crítico")))))</f>
        <v>Regular</v>
      </c>
      <c r="J114" s="27"/>
      <c r="K114" s="27" t="s">
        <v>373</v>
      </c>
    </row>
    <row r="115" customFormat="false" ht="15" hidden="false" customHeight="false" outlineLevel="0" collapsed="false">
      <c r="A115" s="29" t="n">
        <v>46254</v>
      </c>
      <c r="B115" s="40" t="n">
        <f aca="false">IF($A115="",0,INT(($A115-Macrociclo!$C$11)/7)+1)</f>
        <v>33</v>
      </c>
      <c r="C115" s="27" t="s">
        <v>279</v>
      </c>
      <c r="D115" s="28" t="n">
        <v>2</v>
      </c>
      <c r="E115" s="28" t="n">
        <v>3</v>
      </c>
      <c r="F115" s="28" t="n">
        <v>4</v>
      </c>
      <c r="G115" s="28" t="n">
        <v>3</v>
      </c>
      <c r="H115" s="40" t="n">
        <f aca="false">IF(COUNT($D115:$G115)&lt;4,0,SUM($D115:$G115))</f>
        <v>12</v>
      </c>
      <c r="I115" s="26" t="str">
        <f aca="false">IF($H115=0,"",IF($H115&lt;=8,"Ótimo",IF($H115&lt;=12,"Bom",IF($H115&lt;=16,"Regular",IF($H115&lt;=20,"Alerta","Crítico")))))</f>
        <v>Bom</v>
      </c>
      <c r="J115" s="27"/>
      <c r="K115" s="27" t="s">
        <v>373</v>
      </c>
    </row>
    <row r="116" customFormat="false" ht="15" hidden="false" customHeight="false" outlineLevel="0" collapsed="false">
      <c r="A116" s="29" t="n">
        <v>46255</v>
      </c>
      <c r="B116" s="40" t="n">
        <f aca="false">IF($A116="",0,INT(($A116-Macrociclo!$C$11)/7)+1)</f>
        <v>33</v>
      </c>
      <c r="C116" s="27" t="s">
        <v>164</v>
      </c>
      <c r="D116" s="28" t="n">
        <v>4</v>
      </c>
      <c r="E116" s="28" t="n">
        <v>3</v>
      </c>
      <c r="F116" s="28" t="n">
        <v>3</v>
      </c>
      <c r="G116" s="28" t="n">
        <v>3</v>
      </c>
      <c r="H116" s="40" t="n">
        <f aca="false">IF(COUNT($D116:$G116)&lt;4,0,SUM($D116:$G116))</f>
        <v>13</v>
      </c>
      <c r="I116" s="26" t="str">
        <f aca="false">IF($H116=0,"",IF($H116&lt;=8,"Ótimo",IF($H116&lt;=12,"Bom",IF($H116&lt;=16,"Regular",IF($H116&lt;=20,"Alerta","Crítico")))))</f>
        <v>Regular</v>
      </c>
      <c r="J116" s="27"/>
      <c r="K116" s="27" t="s">
        <v>373</v>
      </c>
    </row>
    <row r="117" customFormat="false" ht="15" hidden="false" customHeight="false" outlineLevel="0" collapsed="false">
      <c r="A117" s="29" t="n">
        <v>46255</v>
      </c>
      <c r="B117" s="40" t="n">
        <f aca="false">IF($A117="",0,INT(($A117-Macrociclo!$C$11)/7)+1)</f>
        <v>33</v>
      </c>
      <c r="C117" s="27" t="s">
        <v>192</v>
      </c>
      <c r="D117" s="28" t="n">
        <v>2</v>
      </c>
      <c r="E117" s="28" t="n">
        <v>3</v>
      </c>
      <c r="F117" s="28" t="n">
        <v>2</v>
      </c>
      <c r="G117" s="28" t="n">
        <v>4</v>
      </c>
      <c r="H117" s="40" t="n">
        <f aca="false">IF(COUNT($D117:$G117)&lt;4,0,SUM($D117:$G117))</f>
        <v>11</v>
      </c>
      <c r="I117" s="26" t="str">
        <f aca="false">IF($H117=0,"",IF($H117&lt;=8,"Ótimo",IF($H117&lt;=12,"Bom",IF($H117&lt;=16,"Regular",IF($H117&lt;=20,"Alerta","Crítico")))))</f>
        <v>Bom</v>
      </c>
      <c r="J117" s="27"/>
      <c r="K117" s="27" t="s">
        <v>373</v>
      </c>
    </row>
    <row r="118" customFormat="false" ht="15" hidden="false" customHeight="false" outlineLevel="0" collapsed="false">
      <c r="A118" s="29" t="n">
        <v>46255</v>
      </c>
      <c r="B118" s="40" t="n">
        <f aca="false">IF($A118="",0,INT(($A118-Macrociclo!$C$11)/7)+1)</f>
        <v>33</v>
      </c>
      <c r="C118" s="27" t="s">
        <v>206</v>
      </c>
      <c r="D118" s="28" t="n">
        <v>3</v>
      </c>
      <c r="E118" s="28" t="n">
        <v>3</v>
      </c>
      <c r="F118" s="28" t="n">
        <v>3</v>
      </c>
      <c r="G118" s="28" t="n">
        <v>3</v>
      </c>
      <c r="H118" s="40" t="n">
        <f aca="false">IF(COUNT($D118:$G118)&lt;4,0,SUM($D118:$G118))</f>
        <v>12</v>
      </c>
      <c r="I118" s="26" t="str">
        <f aca="false">IF($H118=0,"",IF($H118&lt;=8,"Ótimo",IF($H118&lt;=12,"Bom",IF($H118&lt;=16,"Regular",IF($H118&lt;=20,"Alerta","Crítico")))))</f>
        <v>Bom</v>
      </c>
      <c r="J118" s="27"/>
      <c r="K118" s="27" t="s">
        <v>373</v>
      </c>
    </row>
    <row r="119" customFormat="false" ht="15" hidden="false" customHeight="false" outlineLevel="0" collapsed="false">
      <c r="A119" s="29" t="n">
        <v>46255</v>
      </c>
      <c r="B119" s="40" t="n">
        <f aca="false">IF($A119="",0,INT(($A119-Macrociclo!$C$11)/7)+1)</f>
        <v>33</v>
      </c>
      <c r="C119" s="27" t="s">
        <v>215</v>
      </c>
      <c r="D119" s="28" t="n">
        <v>4</v>
      </c>
      <c r="E119" s="28" t="n">
        <v>5</v>
      </c>
      <c r="F119" s="28" t="n">
        <v>4</v>
      </c>
      <c r="G119" s="28" t="n">
        <v>5</v>
      </c>
      <c r="H119" s="40" t="n">
        <f aca="false">IF(COUNT($D119:$G119)&lt;4,0,SUM($D119:$G119))</f>
        <v>18</v>
      </c>
      <c r="I119" s="26" t="str">
        <f aca="false">IF($H119=0,"",IF($H119&lt;=8,"Ótimo",IF($H119&lt;=12,"Bom",IF($H119&lt;=16,"Regular",IF($H119&lt;=20,"Alerta","Crítico")))))</f>
        <v>Alerta</v>
      </c>
      <c r="J119" s="27"/>
      <c r="K119" s="27" t="s">
        <v>373</v>
      </c>
    </row>
    <row r="120" customFormat="false" ht="15" hidden="false" customHeight="false" outlineLevel="0" collapsed="false">
      <c r="A120" s="29" t="n">
        <v>46255</v>
      </c>
      <c r="B120" s="40" t="n">
        <f aca="false">IF($A120="",0,INT(($A120-Macrociclo!$C$11)/7)+1)</f>
        <v>33</v>
      </c>
      <c r="C120" s="27" t="s">
        <v>226</v>
      </c>
      <c r="D120" s="28" t="n">
        <v>2</v>
      </c>
      <c r="E120" s="28" t="n">
        <v>4</v>
      </c>
      <c r="F120" s="28" t="n">
        <v>3</v>
      </c>
      <c r="G120" s="28" t="n">
        <v>2</v>
      </c>
      <c r="H120" s="40" t="n">
        <f aca="false">IF(COUNT($D120:$G120)&lt;4,0,SUM($D120:$G120))</f>
        <v>11</v>
      </c>
      <c r="I120" s="26" t="str">
        <f aca="false">IF($H120=0,"",IF($H120&lt;=8,"Ótimo",IF($H120&lt;=12,"Bom",IF($H120&lt;=16,"Regular",IF($H120&lt;=20,"Alerta","Crítico")))))</f>
        <v>Bom</v>
      </c>
      <c r="J120" s="27"/>
      <c r="K120" s="27" t="s">
        <v>373</v>
      </c>
    </row>
    <row r="121" customFormat="false" ht="15" hidden="false" customHeight="false" outlineLevel="0" collapsed="false">
      <c r="A121" s="29" t="n">
        <v>46255</v>
      </c>
      <c r="B121" s="40" t="n">
        <f aca="false">IF($A121="",0,INT(($A121-Macrociclo!$C$11)/7)+1)</f>
        <v>33</v>
      </c>
      <c r="C121" s="27" t="s">
        <v>236</v>
      </c>
      <c r="D121" s="28" t="n">
        <v>3</v>
      </c>
      <c r="E121" s="28" t="n">
        <v>3</v>
      </c>
      <c r="F121" s="28" t="n">
        <v>2</v>
      </c>
      <c r="G121" s="28" t="n">
        <v>4</v>
      </c>
      <c r="H121" s="40" t="n">
        <f aca="false">IF(COUNT($D121:$G121)&lt;4,0,SUM($D121:$G121))</f>
        <v>12</v>
      </c>
      <c r="I121" s="26" t="str">
        <f aca="false">IF($H121=0,"",IF($H121&lt;=8,"Ótimo",IF($H121&lt;=12,"Bom",IF($H121&lt;=16,"Regular",IF($H121&lt;=20,"Alerta","Crítico")))))</f>
        <v>Bom</v>
      </c>
      <c r="J121" s="27"/>
      <c r="K121" s="27" t="s">
        <v>373</v>
      </c>
    </row>
    <row r="122" customFormat="false" ht="15" hidden="false" customHeight="false" outlineLevel="0" collapsed="false">
      <c r="A122" s="29" t="n">
        <v>46255</v>
      </c>
      <c r="B122" s="40" t="n">
        <f aca="false">IF($A122="",0,INT(($A122-Macrociclo!$C$11)/7)+1)</f>
        <v>33</v>
      </c>
      <c r="C122" s="27" t="s">
        <v>244</v>
      </c>
      <c r="D122" s="28" t="n">
        <v>3</v>
      </c>
      <c r="E122" s="28" t="n">
        <v>3</v>
      </c>
      <c r="F122" s="28" t="n">
        <v>3</v>
      </c>
      <c r="G122" s="28" t="n">
        <v>4</v>
      </c>
      <c r="H122" s="40" t="n">
        <f aca="false">IF(COUNT($D122:$G122)&lt;4,0,SUM($D122:$G122))</f>
        <v>13</v>
      </c>
      <c r="I122" s="26" t="str">
        <f aca="false">IF($H122=0,"",IF($H122&lt;=8,"Ótimo",IF($H122&lt;=12,"Bom",IF($H122&lt;=16,"Regular",IF($H122&lt;=20,"Alerta","Crítico")))))</f>
        <v>Regular</v>
      </c>
      <c r="J122" s="27"/>
      <c r="K122" s="27" t="s">
        <v>373</v>
      </c>
    </row>
    <row r="123" customFormat="false" ht="15" hidden="false" customHeight="false" outlineLevel="0" collapsed="false">
      <c r="A123" s="29" t="n">
        <v>46255</v>
      </c>
      <c r="B123" s="40" t="n">
        <f aca="false">IF($A123="",0,INT(($A123-Macrociclo!$C$11)/7)+1)</f>
        <v>33</v>
      </c>
      <c r="C123" s="27" t="s">
        <v>253</v>
      </c>
      <c r="D123" s="28" t="n">
        <v>4</v>
      </c>
      <c r="E123" s="28" t="n">
        <v>3</v>
      </c>
      <c r="F123" s="28" t="n">
        <v>4</v>
      </c>
      <c r="G123" s="28" t="n">
        <v>2</v>
      </c>
      <c r="H123" s="40" t="n">
        <f aca="false">IF(COUNT($D123:$G123)&lt;4,0,SUM($D123:$G123))</f>
        <v>13</v>
      </c>
      <c r="I123" s="26" t="str">
        <f aca="false">IF($H123=0,"",IF($H123&lt;=8,"Ótimo",IF($H123&lt;=12,"Bom",IF($H123&lt;=16,"Regular",IF($H123&lt;=20,"Alerta","Crítico")))))</f>
        <v>Regular</v>
      </c>
      <c r="J123" s="27"/>
      <c r="K123" s="27" t="s">
        <v>373</v>
      </c>
    </row>
    <row r="124" customFormat="false" ht="15" hidden="false" customHeight="false" outlineLevel="0" collapsed="false">
      <c r="A124" s="29" t="n">
        <v>46255</v>
      </c>
      <c r="B124" s="40" t="n">
        <f aca="false">IF($A124="",0,INT(($A124-Macrociclo!$C$11)/7)+1)</f>
        <v>33</v>
      </c>
      <c r="C124" s="27" t="s">
        <v>259</v>
      </c>
      <c r="D124" s="28" t="n">
        <v>2</v>
      </c>
      <c r="E124" s="28" t="n">
        <v>3</v>
      </c>
      <c r="F124" s="28" t="n">
        <v>3</v>
      </c>
      <c r="G124" s="28" t="n">
        <v>3</v>
      </c>
      <c r="H124" s="40" t="n">
        <f aca="false">IF(COUNT($D124:$G124)&lt;4,0,SUM($D124:$G124))</f>
        <v>11</v>
      </c>
      <c r="I124" s="26" t="str">
        <f aca="false">IF($H124=0,"",IF($H124&lt;=8,"Ótimo",IF($H124&lt;=12,"Bom",IF($H124&lt;=16,"Regular",IF($H124&lt;=20,"Alerta","Crítico")))))</f>
        <v>Bom</v>
      </c>
      <c r="J124" s="27"/>
      <c r="K124" s="27" t="s">
        <v>373</v>
      </c>
    </row>
    <row r="125" customFormat="false" ht="15" hidden="false" customHeight="false" outlineLevel="0" collapsed="false">
      <c r="A125" s="29" t="n">
        <v>46255</v>
      </c>
      <c r="B125" s="40" t="n">
        <f aca="false">IF($A125="",0,INT(($A125-Macrociclo!$C$11)/7)+1)</f>
        <v>33</v>
      </c>
      <c r="C125" s="27" t="s">
        <v>264</v>
      </c>
      <c r="D125" s="28" t="n">
        <v>3</v>
      </c>
      <c r="E125" s="28" t="n">
        <v>3</v>
      </c>
      <c r="F125" s="28" t="n">
        <v>3</v>
      </c>
      <c r="G125" s="28" t="n">
        <v>3</v>
      </c>
      <c r="H125" s="40" t="n">
        <f aca="false">IF(COUNT($D125:$G125)&lt;4,0,SUM($D125:$G125))</f>
        <v>12</v>
      </c>
      <c r="I125" s="26" t="str">
        <f aca="false">IF($H125=0,"",IF($H125&lt;=8,"Ótimo",IF($H125&lt;=12,"Bom",IF($H125&lt;=16,"Regular",IF($H125&lt;=20,"Alerta","Crítico")))))</f>
        <v>Bom</v>
      </c>
      <c r="J125" s="27"/>
      <c r="K125" s="27" t="s">
        <v>373</v>
      </c>
    </row>
    <row r="126" customFormat="false" ht="15" hidden="false" customHeight="false" outlineLevel="0" collapsed="false">
      <c r="A126" s="29" t="n">
        <v>46255</v>
      </c>
      <c r="B126" s="40" t="n">
        <f aca="false">IF($A126="",0,INT(($A126-Macrociclo!$C$11)/7)+1)</f>
        <v>33</v>
      </c>
      <c r="C126" s="27" t="s">
        <v>270</v>
      </c>
      <c r="D126" s="28" t="n">
        <v>3</v>
      </c>
      <c r="E126" s="28" t="n">
        <v>3</v>
      </c>
      <c r="F126" s="28" t="n">
        <v>3</v>
      </c>
      <c r="G126" s="28" t="n">
        <v>3</v>
      </c>
      <c r="H126" s="40" t="n">
        <f aca="false">IF(COUNT($D126:$G126)&lt;4,0,SUM($D126:$G126))</f>
        <v>12</v>
      </c>
      <c r="I126" s="26" t="str">
        <f aca="false">IF($H126=0,"",IF($H126&lt;=8,"Ótimo",IF($H126&lt;=12,"Bom",IF($H126&lt;=16,"Regular",IF($H126&lt;=20,"Alerta","Crítico")))))</f>
        <v>Bom</v>
      </c>
      <c r="J126" s="27"/>
      <c r="K126" s="27" t="s">
        <v>373</v>
      </c>
    </row>
    <row r="127" customFormat="false" ht="15" hidden="false" customHeight="false" outlineLevel="0" collapsed="false">
      <c r="A127" s="29" t="n">
        <v>46255</v>
      </c>
      <c r="B127" s="40" t="n">
        <f aca="false">IF($A127="",0,INT(($A127-Macrociclo!$C$11)/7)+1)</f>
        <v>33</v>
      </c>
      <c r="C127" s="27" t="s">
        <v>279</v>
      </c>
      <c r="D127" s="28" t="n">
        <v>2</v>
      </c>
      <c r="E127" s="28" t="n">
        <v>4</v>
      </c>
      <c r="F127" s="28" t="n">
        <v>4</v>
      </c>
      <c r="G127" s="28" t="n">
        <v>2</v>
      </c>
      <c r="H127" s="40" t="n">
        <f aca="false">IF(COUNT($D127:$G127)&lt;4,0,SUM($D127:$G127))</f>
        <v>12</v>
      </c>
      <c r="I127" s="26" t="str">
        <f aca="false">IF($H127=0,"",IF($H127&lt;=8,"Ótimo",IF($H127&lt;=12,"Bom",IF($H127&lt;=16,"Regular",IF($H127&lt;=20,"Alerta","Crítico")))))</f>
        <v>Bom</v>
      </c>
      <c r="J127" s="27"/>
      <c r="K127" s="27" t="s">
        <v>373</v>
      </c>
    </row>
    <row r="128" customFormat="false" ht="15" hidden="false" customHeight="false" outlineLevel="0" collapsed="false">
      <c r="A128" s="29" t="n">
        <v>46258</v>
      </c>
      <c r="B128" s="40" t="n">
        <f aca="false">IF($A128="",0,INT(($A128-Macrociclo!$C$11)/7)+1)</f>
        <v>34</v>
      </c>
      <c r="C128" s="27" t="s">
        <v>164</v>
      </c>
      <c r="D128" s="28" t="n">
        <v>2</v>
      </c>
      <c r="E128" s="28" t="n">
        <v>2</v>
      </c>
      <c r="F128" s="28" t="n">
        <v>4</v>
      </c>
      <c r="G128" s="28" t="n">
        <v>4</v>
      </c>
      <c r="H128" s="40" t="n">
        <f aca="false">IF(COUNT($D128:$G128)&lt;4,0,SUM($D128:$G128))</f>
        <v>12</v>
      </c>
      <c r="I128" s="26" t="str">
        <f aca="false">IF($H128=0,"",IF($H128&lt;=8,"Ótimo",IF($H128&lt;=12,"Bom",IF($H128&lt;=16,"Regular",IF($H128&lt;=20,"Alerta","Crítico")))))</f>
        <v>Bom</v>
      </c>
      <c r="J128" s="27"/>
      <c r="K128" s="27" t="s">
        <v>373</v>
      </c>
    </row>
    <row r="129" customFormat="false" ht="15" hidden="false" customHeight="false" outlineLevel="0" collapsed="false">
      <c r="A129" s="29" t="n">
        <v>46258</v>
      </c>
      <c r="B129" s="40" t="n">
        <f aca="false">IF($A129="",0,INT(($A129-Macrociclo!$C$11)/7)+1)</f>
        <v>34</v>
      </c>
      <c r="C129" s="27" t="s">
        <v>192</v>
      </c>
      <c r="D129" s="28" t="n">
        <v>2</v>
      </c>
      <c r="E129" s="28" t="n">
        <v>2</v>
      </c>
      <c r="F129" s="28" t="n">
        <v>4</v>
      </c>
      <c r="G129" s="28" t="n">
        <v>3</v>
      </c>
      <c r="H129" s="40" t="n">
        <f aca="false">IF(COUNT($D129:$G129)&lt;4,0,SUM($D129:$G129))</f>
        <v>11</v>
      </c>
      <c r="I129" s="26" t="str">
        <f aca="false">IF($H129=0,"",IF($H129&lt;=8,"Ótimo",IF($H129&lt;=12,"Bom",IF($H129&lt;=16,"Regular",IF($H129&lt;=20,"Alerta","Crítico")))))</f>
        <v>Bom</v>
      </c>
      <c r="J129" s="27"/>
      <c r="K129" s="27" t="s">
        <v>373</v>
      </c>
    </row>
    <row r="130" customFormat="false" ht="15" hidden="false" customHeight="false" outlineLevel="0" collapsed="false">
      <c r="A130" s="29" t="n">
        <v>46258</v>
      </c>
      <c r="B130" s="40" t="n">
        <f aca="false">IF($A130="",0,INT(($A130-Macrociclo!$C$11)/7)+1)</f>
        <v>34</v>
      </c>
      <c r="C130" s="27" t="s">
        <v>206</v>
      </c>
      <c r="D130" s="28" t="n">
        <v>3</v>
      </c>
      <c r="E130" s="28" t="n">
        <v>4</v>
      </c>
      <c r="F130" s="28" t="n">
        <v>3</v>
      </c>
      <c r="G130" s="28" t="n">
        <v>3</v>
      </c>
      <c r="H130" s="40" t="n">
        <f aca="false">IF(COUNT($D130:$G130)&lt;4,0,SUM($D130:$G130))</f>
        <v>13</v>
      </c>
      <c r="I130" s="26" t="str">
        <f aca="false">IF($H130=0,"",IF($H130&lt;=8,"Ótimo",IF($H130&lt;=12,"Bom",IF($H130&lt;=16,"Regular",IF($H130&lt;=20,"Alerta","Crítico")))))</f>
        <v>Regular</v>
      </c>
      <c r="J130" s="27"/>
      <c r="K130" s="27" t="s">
        <v>373</v>
      </c>
    </row>
    <row r="131" customFormat="false" ht="15" hidden="false" customHeight="false" outlineLevel="0" collapsed="false">
      <c r="A131" s="29" t="n">
        <v>46258</v>
      </c>
      <c r="B131" s="40" t="n">
        <f aca="false">IF($A131="",0,INT(($A131-Macrociclo!$C$11)/7)+1)</f>
        <v>34</v>
      </c>
      <c r="C131" s="27" t="s">
        <v>215</v>
      </c>
      <c r="D131" s="28" t="n">
        <v>5</v>
      </c>
      <c r="E131" s="28" t="n">
        <v>5</v>
      </c>
      <c r="F131" s="28" t="n">
        <v>5</v>
      </c>
      <c r="G131" s="28" t="n">
        <v>4</v>
      </c>
      <c r="H131" s="40" t="n">
        <f aca="false">IF(COUNT($D131:$G131)&lt;4,0,SUM($D131:$G131))</f>
        <v>19</v>
      </c>
      <c r="I131" s="26" t="str">
        <f aca="false">IF($H131=0,"",IF($H131&lt;=8,"Ótimo",IF($H131&lt;=12,"Bom",IF($H131&lt;=16,"Regular",IF($H131&lt;=20,"Alerta","Crítico")))))</f>
        <v>Alerta</v>
      </c>
      <c r="J131" s="27"/>
      <c r="K131" s="27" t="s">
        <v>373</v>
      </c>
    </row>
    <row r="132" customFormat="false" ht="15" hidden="false" customHeight="false" outlineLevel="0" collapsed="false">
      <c r="A132" s="29" t="n">
        <v>46258</v>
      </c>
      <c r="B132" s="40" t="n">
        <f aca="false">IF($A132="",0,INT(($A132-Macrociclo!$C$11)/7)+1)</f>
        <v>34</v>
      </c>
      <c r="C132" s="27" t="s">
        <v>226</v>
      </c>
      <c r="D132" s="28" t="n">
        <v>3</v>
      </c>
      <c r="E132" s="28" t="n">
        <v>3</v>
      </c>
      <c r="F132" s="28" t="n">
        <v>2</v>
      </c>
      <c r="G132" s="28" t="n">
        <v>2</v>
      </c>
      <c r="H132" s="40" t="n">
        <f aca="false">IF(COUNT($D132:$G132)&lt;4,0,SUM($D132:$G132))</f>
        <v>10</v>
      </c>
      <c r="I132" s="26" t="str">
        <f aca="false">IF($H132=0,"",IF($H132&lt;=8,"Ótimo",IF($H132&lt;=12,"Bom",IF($H132&lt;=16,"Regular",IF($H132&lt;=20,"Alerta","Crítico")))))</f>
        <v>Bom</v>
      </c>
      <c r="J132" s="27"/>
      <c r="K132" s="27" t="s">
        <v>373</v>
      </c>
    </row>
    <row r="133" customFormat="false" ht="15" hidden="false" customHeight="false" outlineLevel="0" collapsed="false">
      <c r="A133" s="29" t="n">
        <v>46258</v>
      </c>
      <c r="B133" s="40" t="n">
        <f aca="false">IF($A133="",0,INT(($A133-Macrociclo!$C$11)/7)+1)</f>
        <v>34</v>
      </c>
      <c r="C133" s="27" t="s">
        <v>236</v>
      </c>
      <c r="D133" s="28" t="n">
        <v>2</v>
      </c>
      <c r="E133" s="28" t="n">
        <v>2</v>
      </c>
      <c r="F133" s="28" t="n">
        <v>2</v>
      </c>
      <c r="G133" s="28" t="n">
        <v>3</v>
      </c>
      <c r="H133" s="40" t="n">
        <f aca="false">IF(COUNT($D133:$G133)&lt;4,0,SUM($D133:$G133))</f>
        <v>9</v>
      </c>
      <c r="I133" s="26" t="str">
        <f aca="false">IF($H133=0,"",IF($H133&lt;=8,"Ótimo",IF($H133&lt;=12,"Bom",IF($H133&lt;=16,"Regular",IF($H133&lt;=20,"Alerta","Crítico")))))</f>
        <v>Bom</v>
      </c>
      <c r="J133" s="27"/>
      <c r="K133" s="27" t="s">
        <v>373</v>
      </c>
    </row>
    <row r="134" customFormat="false" ht="15" hidden="false" customHeight="false" outlineLevel="0" collapsed="false">
      <c r="A134" s="29" t="n">
        <v>46258</v>
      </c>
      <c r="B134" s="40" t="n">
        <f aca="false">IF($A134="",0,INT(($A134-Macrociclo!$C$11)/7)+1)</f>
        <v>34</v>
      </c>
      <c r="C134" s="27" t="s">
        <v>244</v>
      </c>
      <c r="D134" s="28" t="n">
        <v>3</v>
      </c>
      <c r="E134" s="28" t="n">
        <v>4</v>
      </c>
      <c r="F134" s="28" t="n">
        <v>3</v>
      </c>
      <c r="G134" s="28" t="n">
        <v>3</v>
      </c>
      <c r="H134" s="40" t="n">
        <f aca="false">IF(COUNT($D134:$G134)&lt;4,0,SUM($D134:$G134))</f>
        <v>13</v>
      </c>
      <c r="I134" s="26" t="str">
        <f aca="false">IF($H134=0,"",IF($H134&lt;=8,"Ótimo",IF($H134&lt;=12,"Bom",IF($H134&lt;=16,"Regular",IF($H134&lt;=20,"Alerta","Crítico")))))</f>
        <v>Regular</v>
      </c>
      <c r="J134" s="27"/>
      <c r="K134" s="27" t="s">
        <v>373</v>
      </c>
    </row>
    <row r="135" customFormat="false" ht="15" hidden="false" customHeight="false" outlineLevel="0" collapsed="false">
      <c r="A135" s="29" t="n">
        <v>46258</v>
      </c>
      <c r="B135" s="40" t="n">
        <f aca="false">IF($A135="",0,INT(($A135-Macrociclo!$C$11)/7)+1)</f>
        <v>34</v>
      </c>
      <c r="C135" s="27" t="s">
        <v>253</v>
      </c>
      <c r="D135" s="28" t="n">
        <v>2</v>
      </c>
      <c r="E135" s="28" t="n">
        <v>4</v>
      </c>
      <c r="F135" s="28" t="n">
        <v>2</v>
      </c>
      <c r="G135" s="28" t="n">
        <v>2</v>
      </c>
      <c r="H135" s="40" t="n">
        <f aca="false">IF(COUNT($D135:$G135)&lt;4,0,SUM($D135:$G135))</f>
        <v>10</v>
      </c>
      <c r="I135" s="26" t="str">
        <f aca="false">IF($H135=0,"",IF($H135&lt;=8,"Ótimo",IF($H135&lt;=12,"Bom",IF($H135&lt;=16,"Regular",IF($H135&lt;=20,"Alerta","Crítico")))))</f>
        <v>Bom</v>
      </c>
      <c r="J135" s="27"/>
      <c r="K135" s="27" t="s">
        <v>373</v>
      </c>
    </row>
    <row r="136" customFormat="false" ht="15" hidden="false" customHeight="false" outlineLevel="0" collapsed="false">
      <c r="A136" s="29" t="n">
        <v>46258</v>
      </c>
      <c r="B136" s="40" t="n">
        <f aca="false">IF($A136="",0,INT(($A136-Macrociclo!$C$11)/7)+1)</f>
        <v>34</v>
      </c>
      <c r="C136" s="27" t="s">
        <v>259</v>
      </c>
      <c r="D136" s="28" t="n">
        <v>3</v>
      </c>
      <c r="E136" s="28" t="n">
        <v>2</v>
      </c>
      <c r="F136" s="28" t="n">
        <v>3</v>
      </c>
      <c r="G136" s="28" t="n">
        <v>3</v>
      </c>
      <c r="H136" s="40" t="n">
        <f aca="false">IF(COUNT($D136:$G136)&lt;4,0,SUM($D136:$G136))</f>
        <v>11</v>
      </c>
      <c r="I136" s="26" t="str">
        <f aca="false">IF($H136=0,"",IF($H136&lt;=8,"Ótimo",IF($H136&lt;=12,"Bom",IF($H136&lt;=16,"Regular",IF($H136&lt;=20,"Alerta","Crítico")))))</f>
        <v>Bom</v>
      </c>
      <c r="J136" s="27"/>
      <c r="K136" s="27" t="s">
        <v>373</v>
      </c>
    </row>
    <row r="137" customFormat="false" ht="15" hidden="false" customHeight="false" outlineLevel="0" collapsed="false">
      <c r="A137" s="29" t="n">
        <v>46258</v>
      </c>
      <c r="B137" s="40" t="n">
        <f aca="false">IF($A137="",0,INT(($A137-Macrociclo!$C$11)/7)+1)</f>
        <v>34</v>
      </c>
      <c r="C137" s="27" t="s">
        <v>264</v>
      </c>
      <c r="D137" s="28" t="n">
        <v>2</v>
      </c>
      <c r="E137" s="28" t="n">
        <v>3</v>
      </c>
      <c r="F137" s="28" t="n">
        <v>3</v>
      </c>
      <c r="G137" s="28" t="n">
        <v>4</v>
      </c>
      <c r="H137" s="40" t="n">
        <f aca="false">IF(COUNT($D137:$G137)&lt;4,0,SUM($D137:$G137))</f>
        <v>12</v>
      </c>
      <c r="I137" s="26" t="str">
        <f aca="false">IF($H137=0,"",IF($H137&lt;=8,"Ótimo",IF($H137&lt;=12,"Bom",IF($H137&lt;=16,"Regular",IF($H137&lt;=20,"Alerta","Crítico")))))</f>
        <v>Bom</v>
      </c>
      <c r="J137" s="27"/>
      <c r="K137" s="27" t="s">
        <v>373</v>
      </c>
    </row>
    <row r="138" customFormat="false" ht="15" hidden="false" customHeight="false" outlineLevel="0" collapsed="false">
      <c r="A138" s="29" t="n">
        <v>46258</v>
      </c>
      <c r="B138" s="40" t="n">
        <f aca="false">IF($A138="",0,INT(($A138-Macrociclo!$C$11)/7)+1)</f>
        <v>34</v>
      </c>
      <c r="C138" s="27" t="s">
        <v>270</v>
      </c>
      <c r="D138" s="28" t="n">
        <v>2</v>
      </c>
      <c r="E138" s="28" t="n">
        <v>3</v>
      </c>
      <c r="F138" s="28" t="n">
        <v>4</v>
      </c>
      <c r="G138" s="28" t="n">
        <v>4</v>
      </c>
      <c r="H138" s="40" t="n">
        <f aca="false">IF(COUNT($D138:$G138)&lt;4,0,SUM($D138:$G138))</f>
        <v>13</v>
      </c>
      <c r="I138" s="26" t="str">
        <f aca="false">IF($H138=0,"",IF($H138&lt;=8,"Ótimo",IF($H138&lt;=12,"Bom",IF($H138&lt;=16,"Regular",IF($H138&lt;=20,"Alerta","Crítico")))))</f>
        <v>Regular</v>
      </c>
      <c r="J138" s="27"/>
      <c r="K138" s="27" t="s">
        <v>373</v>
      </c>
    </row>
    <row r="139" customFormat="false" ht="15" hidden="false" customHeight="false" outlineLevel="0" collapsed="false">
      <c r="A139" s="29" t="n">
        <v>46258</v>
      </c>
      <c r="B139" s="40" t="n">
        <f aca="false">IF($A139="",0,INT(($A139-Macrociclo!$C$11)/7)+1)</f>
        <v>34</v>
      </c>
      <c r="C139" s="27" t="s">
        <v>279</v>
      </c>
      <c r="D139" s="28" t="n">
        <v>4</v>
      </c>
      <c r="E139" s="28" t="n">
        <v>4</v>
      </c>
      <c r="F139" s="28" t="n">
        <v>3</v>
      </c>
      <c r="G139" s="28" t="n">
        <v>2</v>
      </c>
      <c r="H139" s="40" t="n">
        <f aca="false">IF(COUNT($D139:$G139)&lt;4,0,SUM($D139:$G139))</f>
        <v>13</v>
      </c>
      <c r="I139" s="26" t="str">
        <f aca="false">IF($H139=0,"",IF($H139&lt;=8,"Ótimo",IF($H139&lt;=12,"Bom",IF($H139&lt;=16,"Regular",IF($H139&lt;=20,"Alerta","Crítico")))))</f>
        <v>Regular</v>
      </c>
      <c r="J139" s="27"/>
      <c r="K139" s="27" t="s">
        <v>373</v>
      </c>
    </row>
    <row r="140" customFormat="false" ht="15" hidden="false" customHeight="false" outlineLevel="0" collapsed="false">
      <c r="A140" s="29" t="n">
        <v>46259</v>
      </c>
      <c r="B140" s="40" t="n">
        <f aca="false">IF($A140="",0,INT(($A140-Macrociclo!$C$11)/7)+1)</f>
        <v>34</v>
      </c>
      <c r="C140" s="27" t="s">
        <v>164</v>
      </c>
      <c r="D140" s="28" t="n">
        <v>3</v>
      </c>
      <c r="E140" s="28" t="n">
        <v>3</v>
      </c>
      <c r="F140" s="28" t="n">
        <v>4</v>
      </c>
      <c r="G140" s="28" t="n">
        <v>2</v>
      </c>
      <c r="H140" s="40" t="n">
        <f aca="false">IF(COUNT($D140:$G140)&lt;4,0,SUM($D140:$G140))</f>
        <v>12</v>
      </c>
      <c r="I140" s="26" t="str">
        <f aca="false">IF($H140=0,"",IF($H140&lt;=8,"Ótimo",IF($H140&lt;=12,"Bom",IF($H140&lt;=16,"Regular",IF($H140&lt;=20,"Alerta","Crítico")))))</f>
        <v>Bom</v>
      </c>
      <c r="J140" s="27"/>
      <c r="K140" s="27" t="s">
        <v>373</v>
      </c>
    </row>
    <row r="141" customFormat="false" ht="15" hidden="false" customHeight="false" outlineLevel="0" collapsed="false">
      <c r="A141" s="29" t="n">
        <v>46259</v>
      </c>
      <c r="B141" s="40" t="n">
        <f aca="false">IF($A141="",0,INT(($A141-Macrociclo!$C$11)/7)+1)</f>
        <v>34</v>
      </c>
      <c r="C141" s="27" t="s">
        <v>192</v>
      </c>
      <c r="D141" s="28" t="n">
        <v>2</v>
      </c>
      <c r="E141" s="28" t="n">
        <v>2</v>
      </c>
      <c r="F141" s="28" t="n">
        <v>2</v>
      </c>
      <c r="G141" s="28" t="n">
        <v>4</v>
      </c>
      <c r="H141" s="40" t="n">
        <f aca="false">IF(COUNT($D141:$G141)&lt;4,0,SUM($D141:$G141))</f>
        <v>10</v>
      </c>
      <c r="I141" s="26" t="str">
        <f aca="false">IF($H141=0,"",IF($H141&lt;=8,"Ótimo",IF($H141&lt;=12,"Bom",IF($H141&lt;=16,"Regular",IF($H141&lt;=20,"Alerta","Crítico")))))</f>
        <v>Bom</v>
      </c>
      <c r="J141" s="27"/>
      <c r="K141" s="27" t="s">
        <v>373</v>
      </c>
    </row>
    <row r="142" customFormat="false" ht="15" hidden="false" customHeight="false" outlineLevel="0" collapsed="false">
      <c r="A142" s="29" t="n">
        <v>46259</v>
      </c>
      <c r="B142" s="40" t="n">
        <f aca="false">IF($A142="",0,INT(($A142-Macrociclo!$C$11)/7)+1)</f>
        <v>34</v>
      </c>
      <c r="C142" s="27" t="s">
        <v>206</v>
      </c>
      <c r="D142" s="28" t="n">
        <v>3</v>
      </c>
      <c r="E142" s="28" t="n">
        <v>2</v>
      </c>
      <c r="F142" s="28" t="n">
        <v>4</v>
      </c>
      <c r="G142" s="28" t="n">
        <v>3</v>
      </c>
      <c r="H142" s="40" t="n">
        <f aca="false">IF(COUNT($D142:$G142)&lt;4,0,SUM($D142:$G142))</f>
        <v>12</v>
      </c>
      <c r="I142" s="26" t="str">
        <f aca="false">IF($H142=0,"",IF($H142&lt;=8,"Ótimo",IF($H142&lt;=12,"Bom",IF($H142&lt;=16,"Regular",IF($H142&lt;=20,"Alerta","Crítico")))))</f>
        <v>Bom</v>
      </c>
      <c r="J142" s="27"/>
      <c r="K142" s="27" t="s">
        <v>373</v>
      </c>
    </row>
    <row r="143" customFormat="false" ht="15" hidden="false" customHeight="false" outlineLevel="0" collapsed="false">
      <c r="A143" s="29" t="n">
        <v>46259</v>
      </c>
      <c r="B143" s="40" t="n">
        <f aca="false">IF($A143="",0,INT(($A143-Macrociclo!$C$11)/7)+1)</f>
        <v>34</v>
      </c>
      <c r="C143" s="27" t="s">
        <v>215</v>
      </c>
      <c r="D143" s="28" t="n">
        <v>4</v>
      </c>
      <c r="E143" s="28" t="n">
        <v>4</v>
      </c>
      <c r="F143" s="28" t="n">
        <v>4</v>
      </c>
      <c r="G143" s="28" t="n">
        <v>4</v>
      </c>
      <c r="H143" s="40" t="n">
        <f aca="false">IF(COUNT($D143:$G143)&lt;4,0,SUM($D143:$G143))</f>
        <v>16</v>
      </c>
      <c r="I143" s="26" t="str">
        <f aca="false">IF($H143=0,"",IF($H143&lt;=8,"Ótimo",IF($H143&lt;=12,"Bom",IF($H143&lt;=16,"Regular",IF($H143&lt;=20,"Alerta","Crítico")))))</f>
        <v>Regular</v>
      </c>
      <c r="J143" s="27"/>
      <c r="K143" s="27" t="s">
        <v>373</v>
      </c>
    </row>
    <row r="144" customFormat="false" ht="15" hidden="false" customHeight="false" outlineLevel="0" collapsed="false">
      <c r="A144" s="29" t="n">
        <v>46259</v>
      </c>
      <c r="B144" s="40" t="n">
        <f aca="false">IF($A144="",0,INT(($A144-Macrociclo!$C$11)/7)+1)</f>
        <v>34</v>
      </c>
      <c r="C144" s="27" t="s">
        <v>226</v>
      </c>
      <c r="D144" s="28" t="n">
        <v>4</v>
      </c>
      <c r="E144" s="28" t="n">
        <v>2</v>
      </c>
      <c r="F144" s="28" t="n">
        <v>2</v>
      </c>
      <c r="G144" s="28" t="n">
        <v>4</v>
      </c>
      <c r="H144" s="40" t="n">
        <f aca="false">IF(COUNT($D144:$G144)&lt;4,0,SUM($D144:$G144))</f>
        <v>12</v>
      </c>
      <c r="I144" s="26" t="str">
        <f aca="false">IF($H144=0,"",IF($H144&lt;=8,"Ótimo",IF($H144&lt;=12,"Bom",IF($H144&lt;=16,"Regular",IF($H144&lt;=20,"Alerta","Crítico")))))</f>
        <v>Bom</v>
      </c>
      <c r="J144" s="27"/>
      <c r="K144" s="27" t="s">
        <v>373</v>
      </c>
    </row>
    <row r="145" customFormat="false" ht="15" hidden="false" customHeight="false" outlineLevel="0" collapsed="false">
      <c r="A145" s="29" t="n">
        <v>46259</v>
      </c>
      <c r="B145" s="40" t="n">
        <f aca="false">IF($A145="",0,INT(($A145-Macrociclo!$C$11)/7)+1)</f>
        <v>34</v>
      </c>
      <c r="C145" s="27" t="s">
        <v>236</v>
      </c>
      <c r="D145" s="28" t="n">
        <v>4</v>
      </c>
      <c r="E145" s="28" t="n">
        <v>2</v>
      </c>
      <c r="F145" s="28" t="n">
        <v>2</v>
      </c>
      <c r="G145" s="28" t="n">
        <v>2</v>
      </c>
      <c r="H145" s="40" t="n">
        <f aca="false">IF(COUNT($D145:$G145)&lt;4,0,SUM($D145:$G145))</f>
        <v>10</v>
      </c>
      <c r="I145" s="26" t="str">
        <f aca="false">IF($H145=0,"",IF($H145&lt;=8,"Ótimo",IF($H145&lt;=12,"Bom",IF($H145&lt;=16,"Regular",IF($H145&lt;=20,"Alerta","Crítico")))))</f>
        <v>Bom</v>
      </c>
      <c r="J145" s="27"/>
      <c r="K145" s="27" t="s">
        <v>373</v>
      </c>
    </row>
    <row r="146" customFormat="false" ht="15" hidden="false" customHeight="false" outlineLevel="0" collapsed="false">
      <c r="A146" s="29" t="n">
        <v>46259</v>
      </c>
      <c r="B146" s="40" t="n">
        <f aca="false">IF($A146="",0,INT(($A146-Macrociclo!$C$11)/7)+1)</f>
        <v>34</v>
      </c>
      <c r="C146" s="27" t="s">
        <v>244</v>
      </c>
      <c r="D146" s="28" t="n">
        <v>2</v>
      </c>
      <c r="E146" s="28" t="n">
        <v>4</v>
      </c>
      <c r="F146" s="28" t="n">
        <v>2</v>
      </c>
      <c r="G146" s="28" t="n">
        <v>3</v>
      </c>
      <c r="H146" s="40" t="n">
        <f aca="false">IF(COUNT($D146:$G146)&lt;4,0,SUM($D146:$G146))</f>
        <v>11</v>
      </c>
      <c r="I146" s="26" t="str">
        <f aca="false">IF($H146=0,"",IF($H146&lt;=8,"Ótimo",IF($H146&lt;=12,"Bom",IF($H146&lt;=16,"Regular",IF($H146&lt;=20,"Alerta","Crítico")))))</f>
        <v>Bom</v>
      </c>
      <c r="J146" s="27"/>
      <c r="K146" s="27" t="s">
        <v>373</v>
      </c>
    </row>
    <row r="147" customFormat="false" ht="15" hidden="false" customHeight="false" outlineLevel="0" collapsed="false">
      <c r="A147" s="29" t="n">
        <v>46259</v>
      </c>
      <c r="B147" s="40" t="n">
        <f aca="false">IF($A147="",0,INT(($A147-Macrociclo!$C$11)/7)+1)</f>
        <v>34</v>
      </c>
      <c r="C147" s="27" t="s">
        <v>253</v>
      </c>
      <c r="D147" s="28" t="n">
        <v>3</v>
      </c>
      <c r="E147" s="28" t="n">
        <v>3</v>
      </c>
      <c r="F147" s="28" t="n">
        <v>2</v>
      </c>
      <c r="G147" s="28" t="n">
        <v>2</v>
      </c>
      <c r="H147" s="40" t="n">
        <f aca="false">IF(COUNT($D147:$G147)&lt;4,0,SUM($D147:$G147))</f>
        <v>10</v>
      </c>
      <c r="I147" s="26" t="str">
        <f aca="false">IF($H147=0,"",IF($H147&lt;=8,"Ótimo",IF($H147&lt;=12,"Bom",IF($H147&lt;=16,"Regular",IF($H147&lt;=20,"Alerta","Crítico")))))</f>
        <v>Bom</v>
      </c>
      <c r="J147" s="27"/>
      <c r="K147" s="27" t="s">
        <v>373</v>
      </c>
    </row>
    <row r="148" customFormat="false" ht="15" hidden="false" customHeight="false" outlineLevel="0" collapsed="false">
      <c r="A148" s="29" t="n">
        <v>46259</v>
      </c>
      <c r="B148" s="40" t="n">
        <f aca="false">IF($A148="",0,INT(($A148-Macrociclo!$C$11)/7)+1)</f>
        <v>34</v>
      </c>
      <c r="C148" s="27" t="s">
        <v>259</v>
      </c>
      <c r="D148" s="28" t="n">
        <v>4</v>
      </c>
      <c r="E148" s="28" t="n">
        <v>2</v>
      </c>
      <c r="F148" s="28" t="n">
        <v>4</v>
      </c>
      <c r="G148" s="28" t="n">
        <v>2</v>
      </c>
      <c r="H148" s="40" t="n">
        <f aca="false">IF(COUNT($D148:$G148)&lt;4,0,SUM($D148:$G148))</f>
        <v>12</v>
      </c>
      <c r="I148" s="26" t="str">
        <f aca="false">IF($H148=0,"",IF($H148&lt;=8,"Ótimo",IF($H148&lt;=12,"Bom",IF($H148&lt;=16,"Regular",IF($H148&lt;=20,"Alerta","Crítico")))))</f>
        <v>Bom</v>
      </c>
      <c r="J148" s="27"/>
      <c r="K148" s="27" t="s">
        <v>373</v>
      </c>
    </row>
    <row r="149" customFormat="false" ht="15" hidden="false" customHeight="false" outlineLevel="0" collapsed="false">
      <c r="A149" s="29" t="n">
        <v>46259</v>
      </c>
      <c r="B149" s="40" t="n">
        <f aca="false">IF($A149="",0,INT(($A149-Macrociclo!$C$11)/7)+1)</f>
        <v>34</v>
      </c>
      <c r="C149" s="27" t="s">
        <v>264</v>
      </c>
      <c r="D149" s="28" t="n">
        <v>3</v>
      </c>
      <c r="E149" s="28" t="n">
        <v>3</v>
      </c>
      <c r="F149" s="28" t="n">
        <v>3</v>
      </c>
      <c r="G149" s="28" t="n">
        <v>3</v>
      </c>
      <c r="H149" s="40" t="n">
        <f aca="false">IF(COUNT($D149:$G149)&lt;4,0,SUM($D149:$G149))</f>
        <v>12</v>
      </c>
      <c r="I149" s="26" t="str">
        <f aca="false">IF($H149=0,"",IF($H149&lt;=8,"Ótimo",IF($H149&lt;=12,"Bom",IF($H149&lt;=16,"Regular",IF($H149&lt;=20,"Alerta","Crítico")))))</f>
        <v>Bom</v>
      </c>
      <c r="J149" s="27"/>
      <c r="K149" s="27" t="s">
        <v>373</v>
      </c>
    </row>
    <row r="150" customFormat="false" ht="15" hidden="false" customHeight="false" outlineLevel="0" collapsed="false">
      <c r="A150" s="29" t="n">
        <v>46259</v>
      </c>
      <c r="B150" s="40" t="n">
        <f aca="false">IF($A150="",0,INT(($A150-Macrociclo!$C$11)/7)+1)</f>
        <v>34</v>
      </c>
      <c r="C150" s="27" t="s">
        <v>270</v>
      </c>
      <c r="D150" s="28" t="n">
        <v>3</v>
      </c>
      <c r="E150" s="28" t="n">
        <v>2</v>
      </c>
      <c r="F150" s="28" t="n">
        <v>4</v>
      </c>
      <c r="G150" s="28" t="n">
        <v>2</v>
      </c>
      <c r="H150" s="40" t="n">
        <f aca="false">IF(COUNT($D150:$G150)&lt;4,0,SUM($D150:$G150))</f>
        <v>11</v>
      </c>
      <c r="I150" s="26" t="str">
        <f aca="false">IF($H150=0,"",IF($H150&lt;=8,"Ótimo",IF($H150&lt;=12,"Bom",IF($H150&lt;=16,"Regular",IF($H150&lt;=20,"Alerta","Crítico")))))</f>
        <v>Bom</v>
      </c>
      <c r="J150" s="27"/>
      <c r="K150" s="27" t="s">
        <v>373</v>
      </c>
    </row>
    <row r="151" customFormat="false" ht="15" hidden="false" customHeight="false" outlineLevel="0" collapsed="false">
      <c r="A151" s="29" t="n">
        <v>46259</v>
      </c>
      <c r="B151" s="40" t="n">
        <f aca="false">IF($A151="",0,INT(($A151-Macrociclo!$C$11)/7)+1)</f>
        <v>34</v>
      </c>
      <c r="C151" s="27" t="s">
        <v>279</v>
      </c>
      <c r="D151" s="28" t="n">
        <v>3</v>
      </c>
      <c r="E151" s="28" t="n">
        <v>2</v>
      </c>
      <c r="F151" s="28" t="n">
        <v>2</v>
      </c>
      <c r="G151" s="28" t="n">
        <v>3</v>
      </c>
      <c r="H151" s="40" t="n">
        <f aca="false">IF(COUNT($D151:$G151)&lt;4,0,SUM($D151:$G151))</f>
        <v>10</v>
      </c>
      <c r="I151" s="26" t="str">
        <f aca="false">IF($H151=0,"",IF($H151&lt;=8,"Ótimo",IF($H151&lt;=12,"Bom",IF($H151&lt;=16,"Regular",IF($H151&lt;=20,"Alerta","Crítico")))))</f>
        <v>Bom</v>
      </c>
      <c r="J151" s="27"/>
      <c r="K151" s="27" t="s">
        <v>373</v>
      </c>
    </row>
    <row r="152" customFormat="false" ht="15" hidden="false" customHeight="false" outlineLevel="0" collapsed="false">
      <c r="A152" s="29" t="n">
        <v>46260</v>
      </c>
      <c r="B152" s="40" t="n">
        <f aca="false">IF($A152="",0,INT(($A152-Macrociclo!$C$11)/7)+1)</f>
        <v>34</v>
      </c>
      <c r="C152" s="27" t="s">
        <v>164</v>
      </c>
      <c r="D152" s="28" t="n">
        <v>2</v>
      </c>
      <c r="E152" s="28" t="n">
        <v>3</v>
      </c>
      <c r="F152" s="28" t="n">
        <v>3</v>
      </c>
      <c r="G152" s="28" t="n">
        <v>3</v>
      </c>
      <c r="H152" s="40" t="n">
        <f aca="false">IF(COUNT($D152:$G152)&lt;4,0,SUM($D152:$G152))</f>
        <v>11</v>
      </c>
      <c r="I152" s="26" t="str">
        <f aca="false">IF($H152=0,"",IF($H152&lt;=8,"Ótimo",IF($H152&lt;=12,"Bom",IF($H152&lt;=16,"Regular",IF($H152&lt;=20,"Alerta","Crítico")))))</f>
        <v>Bom</v>
      </c>
      <c r="J152" s="27"/>
      <c r="K152" s="27" t="s">
        <v>373</v>
      </c>
    </row>
    <row r="153" customFormat="false" ht="15" hidden="false" customHeight="false" outlineLevel="0" collapsed="false">
      <c r="A153" s="29" t="n">
        <v>46260</v>
      </c>
      <c r="B153" s="40" t="n">
        <f aca="false">IF($A153="",0,INT(($A153-Macrociclo!$C$11)/7)+1)</f>
        <v>34</v>
      </c>
      <c r="C153" s="27" t="s">
        <v>192</v>
      </c>
      <c r="D153" s="28" t="n">
        <v>2</v>
      </c>
      <c r="E153" s="28" t="n">
        <v>3</v>
      </c>
      <c r="F153" s="28" t="n">
        <v>2</v>
      </c>
      <c r="G153" s="28" t="n">
        <v>4</v>
      </c>
      <c r="H153" s="40" t="n">
        <f aca="false">IF(COUNT($D153:$G153)&lt;4,0,SUM($D153:$G153))</f>
        <v>11</v>
      </c>
      <c r="I153" s="26" t="str">
        <f aca="false">IF($H153=0,"",IF($H153&lt;=8,"Ótimo",IF($H153&lt;=12,"Bom",IF($H153&lt;=16,"Regular",IF($H153&lt;=20,"Alerta","Crítico")))))</f>
        <v>Bom</v>
      </c>
      <c r="J153" s="27"/>
      <c r="K153" s="27" t="s">
        <v>373</v>
      </c>
    </row>
    <row r="154" customFormat="false" ht="15" hidden="false" customHeight="false" outlineLevel="0" collapsed="false">
      <c r="A154" s="29" t="n">
        <v>46260</v>
      </c>
      <c r="B154" s="40" t="n">
        <f aca="false">IF($A154="",0,INT(($A154-Macrociclo!$C$11)/7)+1)</f>
        <v>34</v>
      </c>
      <c r="C154" s="27" t="s">
        <v>206</v>
      </c>
      <c r="D154" s="28" t="n">
        <v>2</v>
      </c>
      <c r="E154" s="28" t="n">
        <v>2</v>
      </c>
      <c r="F154" s="28" t="n">
        <v>4</v>
      </c>
      <c r="G154" s="28" t="n">
        <v>2</v>
      </c>
      <c r="H154" s="40" t="n">
        <f aca="false">IF(COUNT($D154:$G154)&lt;4,0,SUM($D154:$G154))</f>
        <v>10</v>
      </c>
      <c r="I154" s="26" t="str">
        <f aca="false">IF($H154=0,"",IF($H154&lt;=8,"Ótimo",IF($H154&lt;=12,"Bom",IF($H154&lt;=16,"Regular",IF($H154&lt;=20,"Alerta","Crítico")))))</f>
        <v>Bom</v>
      </c>
      <c r="J154" s="27"/>
      <c r="K154" s="27" t="s">
        <v>373</v>
      </c>
    </row>
    <row r="155" customFormat="false" ht="15" hidden="false" customHeight="false" outlineLevel="0" collapsed="false">
      <c r="A155" s="29" t="n">
        <v>46260</v>
      </c>
      <c r="B155" s="40" t="n">
        <f aca="false">IF($A155="",0,INT(($A155-Macrociclo!$C$11)/7)+1)</f>
        <v>34</v>
      </c>
      <c r="C155" s="27" t="s">
        <v>215</v>
      </c>
      <c r="D155" s="28" t="n">
        <v>5</v>
      </c>
      <c r="E155" s="28" t="n">
        <v>6</v>
      </c>
      <c r="F155" s="28" t="n">
        <v>5</v>
      </c>
      <c r="G155" s="28" t="n">
        <v>4</v>
      </c>
      <c r="H155" s="40" t="n">
        <f aca="false">IF(COUNT($D155:$G155)&lt;4,0,SUM($D155:$G155))</f>
        <v>20</v>
      </c>
      <c r="I155" s="26" t="str">
        <f aca="false">IF($H155=0,"",IF($H155&lt;=8,"Ótimo",IF($H155&lt;=12,"Bom",IF($H155&lt;=16,"Regular",IF($H155&lt;=20,"Alerta","Crítico")))))</f>
        <v>Alerta</v>
      </c>
      <c r="J155" s="27"/>
      <c r="K155" s="27" t="s">
        <v>373</v>
      </c>
    </row>
    <row r="156" customFormat="false" ht="15" hidden="false" customHeight="false" outlineLevel="0" collapsed="false">
      <c r="A156" s="29" t="n">
        <v>46260</v>
      </c>
      <c r="B156" s="40" t="n">
        <f aca="false">IF($A156="",0,INT(($A156-Macrociclo!$C$11)/7)+1)</f>
        <v>34</v>
      </c>
      <c r="C156" s="27" t="s">
        <v>226</v>
      </c>
      <c r="D156" s="28" t="n">
        <v>3</v>
      </c>
      <c r="E156" s="28" t="n">
        <v>3</v>
      </c>
      <c r="F156" s="28" t="n">
        <v>4</v>
      </c>
      <c r="G156" s="28" t="n">
        <v>4</v>
      </c>
      <c r="H156" s="40" t="n">
        <f aca="false">IF(COUNT($D156:$G156)&lt;4,0,SUM($D156:$G156))</f>
        <v>14</v>
      </c>
      <c r="I156" s="26" t="str">
        <f aca="false">IF($H156=0,"",IF($H156&lt;=8,"Ótimo",IF($H156&lt;=12,"Bom",IF($H156&lt;=16,"Regular",IF($H156&lt;=20,"Alerta","Crítico")))))</f>
        <v>Regular</v>
      </c>
      <c r="J156" s="27"/>
      <c r="K156" s="27" t="s">
        <v>373</v>
      </c>
    </row>
    <row r="157" customFormat="false" ht="15" hidden="false" customHeight="false" outlineLevel="0" collapsed="false">
      <c r="A157" s="29" t="n">
        <v>46260</v>
      </c>
      <c r="B157" s="40" t="n">
        <f aca="false">IF($A157="",0,INT(($A157-Macrociclo!$C$11)/7)+1)</f>
        <v>34</v>
      </c>
      <c r="C157" s="27" t="s">
        <v>236</v>
      </c>
      <c r="D157" s="28" t="n">
        <v>2</v>
      </c>
      <c r="E157" s="28" t="n">
        <v>3</v>
      </c>
      <c r="F157" s="28" t="n">
        <v>3</v>
      </c>
      <c r="G157" s="28" t="n">
        <v>2</v>
      </c>
      <c r="H157" s="40" t="n">
        <f aca="false">IF(COUNT($D157:$G157)&lt;4,0,SUM($D157:$G157))</f>
        <v>10</v>
      </c>
      <c r="I157" s="26" t="str">
        <f aca="false">IF($H157=0,"",IF($H157&lt;=8,"Ótimo",IF($H157&lt;=12,"Bom",IF($H157&lt;=16,"Regular",IF($H157&lt;=20,"Alerta","Crítico")))))</f>
        <v>Bom</v>
      </c>
      <c r="J157" s="27"/>
      <c r="K157" s="27" t="s">
        <v>373</v>
      </c>
    </row>
    <row r="158" customFormat="false" ht="15" hidden="false" customHeight="false" outlineLevel="0" collapsed="false">
      <c r="A158" s="29" t="n">
        <v>46260</v>
      </c>
      <c r="B158" s="40" t="n">
        <f aca="false">IF($A158="",0,INT(($A158-Macrociclo!$C$11)/7)+1)</f>
        <v>34</v>
      </c>
      <c r="C158" s="27" t="s">
        <v>244</v>
      </c>
      <c r="D158" s="28" t="n">
        <v>3</v>
      </c>
      <c r="E158" s="28" t="n">
        <v>3</v>
      </c>
      <c r="F158" s="28" t="n">
        <v>4</v>
      </c>
      <c r="G158" s="28" t="n">
        <v>2</v>
      </c>
      <c r="H158" s="40" t="n">
        <f aca="false">IF(COUNT($D158:$G158)&lt;4,0,SUM($D158:$G158))</f>
        <v>12</v>
      </c>
      <c r="I158" s="26" t="str">
        <f aca="false">IF($H158=0,"",IF($H158&lt;=8,"Ótimo",IF($H158&lt;=12,"Bom",IF($H158&lt;=16,"Regular",IF($H158&lt;=20,"Alerta","Crítico")))))</f>
        <v>Bom</v>
      </c>
      <c r="J158" s="27"/>
      <c r="K158" s="27" t="s">
        <v>373</v>
      </c>
    </row>
    <row r="159" customFormat="false" ht="15" hidden="false" customHeight="false" outlineLevel="0" collapsed="false">
      <c r="A159" s="29" t="n">
        <v>46260</v>
      </c>
      <c r="B159" s="40" t="n">
        <f aca="false">IF($A159="",0,INT(($A159-Macrociclo!$C$11)/7)+1)</f>
        <v>34</v>
      </c>
      <c r="C159" s="27" t="s">
        <v>253</v>
      </c>
      <c r="D159" s="28" t="n">
        <v>3</v>
      </c>
      <c r="E159" s="28" t="n">
        <v>4</v>
      </c>
      <c r="F159" s="28" t="n">
        <v>3</v>
      </c>
      <c r="G159" s="28" t="n">
        <v>3</v>
      </c>
      <c r="H159" s="40" t="n">
        <f aca="false">IF(COUNT($D159:$G159)&lt;4,0,SUM($D159:$G159))</f>
        <v>13</v>
      </c>
      <c r="I159" s="26" t="str">
        <f aca="false">IF($H159=0,"",IF($H159&lt;=8,"Ótimo",IF($H159&lt;=12,"Bom",IF($H159&lt;=16,"Regular",IF($H159&lt;=20,"Alerta","Crítico")))))</f>
        <v>Regular</v>
      </c>
      <c r="J159" s="27"/>
      <c r="K159" s="27" t="s">
        <v>373</v>
      </c>
    </row>
    <row r="160" customFormat="false" ht="15" hidden="false" customHeight="false" outlineLevel="0" collapsed="false">
      <c r="A160" s="29" t="n">
        <v>46260</v>
      </c>
      <c r="B160" s="40" t="n">
        <f aca="false">IF($A160="",0,INT(($A160-Macrociclo!$C$11)/7)+1)</f>
        <v>34</v>
      </c>
      <c r="C160" s="27" t="s">
        <v>259</v>
      </c>
      <c r="D160" s="28" t="n">
        <v>4</v>
      </c>
      <c r="E160" s="28" t="n">
        <v>2</v>
      </c>
      <c r="F160" s="28" t="n">
        <v>4</v>
      </c>
      <c r="G160" s="28" t="n">
        <v>2</v>
      </c>
      <c r="H160" s="40" t="n">
        <f aca="false">IF(COUNT($D160:$G160)&lt;4,0,SUM($D160:$G160))</f>
        <v>12</v>
      </c>
      <c r="I160" s="26" t="str">
        <f aca="false">IF($H160=0,"",IF($H160&lt;=8,"Ótimo",IF($H160&lt;=12,"Bom",IF($H160&lt;=16,"Regular",IF($H160&lt;=20,"Alerta","Crítico")))))</f>
        <v>Bom</v>
      </c>
      <c r="J160" s="27"/>
      <c r="K160" s="27" t="s">
        <v>373</v>
      </c>
    </row>
    <row r="161" customFormat="false" ht="15" hidden="false" customHeight="false" outlineLevel="0" collapsed="false">
      <c r="A161" s="29" t="n">
        <v>46260</v>
      </c>
      <c r="B161" s="40" t="n">
        <f aca="false">IF($A161="",0,INT(($A161-Macrociclo!$C$11)/7)+1)</f>
        <v>34</v>
      </c>
      <c r="C161" s="27" t="s">
        <v>264</v>
      </c>
      <c r="D161" s="28" t="n">
        <v>2</v>
      </c>
      <c r="E161" s="28" t="n">
        <v>4</v>
      </c>
      <c r="F161" s="28" t="n">
        <v>3</v>
      </c>
      <c r="G161" s="28" t="n">
        <v>2</v>
      </c>
      <c r="H161" s="40" t="n">
        <f aca="false">IF(COUNT($D161:$G161)&lt;4,0,SUM($D161:$G161))</f>
        <v>11</v>
      </c>
      <c r="I161" s="26" t="str">
        <f aca="false">IF($H161=0,"",IF($H161&lt;=8,"Ótimo",IF($H161&lt;=12,"Bom",IF($H161&lt;=16,"Regular",IF($H161&lt;=20,"Alerta","Crítico")))))</f>
        <v>Bom</v>
      </c>
      <c r="J161" s="27"/>
      <c r="K161" s="27" t="s">
        <v>373</v>
      </c>
    </row>
    <row r="162" customFormat="false" ht="15" hidden="false" customHeight="false" outlineLevel="0" collapsed="false">
      <c r="A162" s="29" t="n">
        <v>46260</v>
      </c>
      <c r="B162" s="40" t="n">
        <f aca="false">IF($A162="",0,INT(($A162-Macrociclo!$C$11)/7)+1)</f>
        <v>34</v>
      </c>
      <c r="C162" s="27" t="s">
        <v>270</v>
      </c>
      <c r="D162" s="28" t="n">
        <v>2</v>
      </c>
      <c r="E162" s="28" t="n">
        <v>2</v>
      </c>
      <c r="F162" s="28" t="n">
        <v>2</v>
      </c>
      <c r="G162" s="28" t="n">
        <v>3</v>
      </c>
      <c r="H162" s="40" t="n">
        <f aca="false">IF(COUNT($D162:$G162)&lt;4,0,SUM($D162:$G162))</f>
        <v>9</v>
      </c>
      <c r="I162" s="26" t="str">
        <f aca="false">IF($H162=0,"",IF($H162&lt;=8,"Ótimo",IF($H162&lt;=12,"Bom",IF($H162&lt;=16,"Regular",IF($H162&lt;=20,"Alerta","Crítico")))))</f>
        <v>Bom</v>
      </c>
      <c r="J162" s="27"/>
      <c r="K162" s="27" t="s">
        <v>373</v>
      </c>
    </row>
    <row r="163" customFormat="false" ht="15" hidden="false" customHeight="false" outlineLevel="0" collapsed="false">
      <c r="A163" s="29" t="n">
        <v>46260</v>
      </c>
      <c r="B163" s="40" t="n">
        <f aca="false">IF($A163="",0,INT(($A163-Macrociclo!$C$11)/7)+1)</f>
        <v>34</v>
      </c>
      <c r="C163" s="27" t="s">
        <v>279</v>
      </c>
      <c r="D163" s="28" t="n">
        <v>2</v>
      </c>
      <c r="E163" s="28" t="n">
        <v>3</v>
      </c>
      <c r="F163" s="28" t="n">
        <v>2</v>
      </c>
      <c r="G163" s="28" t="n">
        <v>3</v>
      </c>
      <c r="H163" s="40" t="n">
        <f aca="false">IF(COUNT($D163:$G163)&lt;4,0,SUM($D163:$G163))</f>
        <v>10</v>
      </c>
      <c r="I163" s="26" t="str">
        <f aca="false">IF($H163=0,"",IF($H163&lt;=8,"Ótimo",IF($H163&lt;=12,"Bom",IF($H163&lt;=16,"Regular",IF($H163&lt;=20,"Alerta","Crítico")))))</f>
        <v>Bom</v>
      </c>
      <c r="J163" s="27"/>
      <c r="K163" s="27" t="s">
        <v>373</v>
      </c>
    </row>
    <row r="164" customFormat="false" ht="15" hidden="false" customHeight="false" outlineLevel="0" collapsed="false">
      <c r="A164" s="29" t="n">
        <v>46261</v>
      </c>
      <c r="B164" s="40" t="n">
        <f aca="false">IF($A164="",0,INT(($A164-Macrociclo!$C$11)/7)+1)</f>
        <v>34</v>
      </c>
      <c r="C164" s="27" t="s">
        <v>164</v>
      </c>
      <c r="D164" s="28" t="n">
        <v>4</v>
      </c>
      <c r="E164" s="28" t="n">
        <v>3</v>
      </c>
      <c r="F164" s="28" t="n">
        <v>3</v>
      </c>
      <c r="G164" s="28" t="n">
        <v>2</v>
      </c>
      <c r="H164" s="40" t="n">
        <f aca="false">IF(COUNT($D164:$G164)&lt;4,0,SUM($D164:$G164))</f>
        <v>12</v>
      </c>
      <c r="I164" s="26" t="str">
        <f aca="false">IF($H164=0,"",IF($H164&lt;=8,"Ótimo",IF($H164&lt;=12,"Bom",IF($H164&lt;=16,"Regular",IF($H164&lt;=20,"Alerta","Crítico")))))</f>
        <v>Bom</v>
      </c>
      <c r="J164" s="27"/>
      <c r="K164" s="27" t="s">
        <v>373</v>
      </c>
    </row>
    <row r="165" customFormat="false" ht="15" hidden="false" customHeight="false" outlineLevel="0" collapsed="false">
      <c r="A165" s="29" t="n">
        <v>46261</v>
      </c>
      <c r="B165" s="40" t="n">
        <f aca="false">IF($A165="",0,INT(($A165-Macrociclo!$C$11)/7)+1)</f>
        <v>34</v>
      </c>
      <c r="C165" s="27" t="s">
        <v>192</v>
      </c>
      <c r="D165" s="28" t="n">
        <v>4</v>
      </c>
      <c r="E165" s="28" t="n">
        <v>3</v>
      </c>
      <c r="F165" s="28" t="n">
        <v>4</v>
      </c>
      <c r="G165" s="28" t="n">
        <v>4</v>
      </c>
      <c r="H165" s="40" t="n">
        <f aca="false">IF(COUNT($D165:$G165)&lt;4,0,SUM($D165:$G165))</f>
        <v>15</v>
      </c>
      <c r="I165" s="26" t="str">
        <f aca="false">IF($H165=0,"",IF($H165&lt;=8,"Ótimo",IF($H165&lt;=12,"Bom",IF($H165&lt;=16,"Regular",IF($H165&lt;=20,"Alerta","Crítico")))))</f>
        <v>Regular</v>
      </c>
      <c r="J165" s="27"/>
      <c r="K165" s="27" t="s">
        <v>373</v>
      </c>
    </row>
    <row r="166" customFormat="false" ht="15" hidden="false" customHeight="false" outlineLevel="0" collapsed="false">
      <c r="A166" s="29" t="n">
        <v>46261</v>
      </c>
      <c r="B166" s="40" t="n">
        <f aca="false">IF($A166="",0,INT(($A166-Macrociclo!$C$11)/7)+1)</f>
        <v>34</v>
      </c>
      <c r="C166" s="27" t="s">
        <v>206</v>
      </c>
      <c r="D166" s="28" t="n">
        <v>3</v>
      </c>
      <c r="E166" s="28" t="n">
        <v>3</v>
      </c>
      <c r="F166" s="28" t="n">
        <v>4</v>
      </c>
      <c r="G166" s="28" t="n">
        <v>4</v>
      </c>
      <c r="H166" s="40" t="n">
        <f aca="false">IF(COUNT($D166:$G166)&lt;4,0,SUM($D166:$G166))</f>
        <v>14</v>
      </c>
      <c r="I166" s="26" t="str">
        <f aca="false">IF($H166=0,"",IF($H166&lt;=8,"Ótimo",IF($H166&lt;=12,"Bom",IF($H166&lt;=16,"Regular",IF($H166&lt;=20,"Alerta","Crítico")))))</f>
        <v>Regular</v>
      </c>
      <c r="J166" s="27"/>
      <c r="K166" s="27" t="s">
        <v>373</v>
      </c>
    </row>
    <row r="167" customFormat="false" ht="15" hidden="false" customHeight="false" outlineLevel="0" collapsed="false">
      <c r="A167" s="29" t="n">
        <v>46261</v>
      </c>
      <c r="B167" s="40" t="n">
        <f aca="false">IF($A167="",0,INT(($A167-Macrociclo!$C$11)/7)+1)</f>
        <v>34</v>
      </c>
      <c r="C167" s="27" t="s">
        <v>215</v>
      </c>
      <c r="D167" s="28" t="n">
        <v>4</v>
      </c>
      <c r="E167" s="28" t="n">
        <v>5</v>
      </c>
      <c r="F167" s="28" t="n">
        <v>4</v>
      </c>
      <c r="G167" s="28" t="n">
        <v>6</v>
      </c>
      <c r="H167" s="40" t="n">
        <f aca="false">IF(COUNT($D167:$G167)&lt;4,0,SUM($D167:$G167))</f>
        <v>19</v>
      </c>
      <c r="I167" s="26" t="str">
        <f aca="false">IF($H167=0,"",IF($H167&lt;=8,"Ótimo",IF($H167&lt;=12,"Bom",IF($H167&lt;=16,"Regular",IF($H167&lt;=20,"Alerta","Crítico")))))</f>
        <v>Alerta</v>
      </c>
      <c r="J167" s="27"/>
      <c r="K167" s="27" t="s">
        <v>373</v>
      </c>
    </row>
    <row r="168" customFormat="false" ht="15" hidden="false" customHeight="false" outlineLevel="0" collapsed="false">
      <c r="A168" s="29" t="n">
        <v>46261</v>
      </c>
      <c r="B168" s="40" t="n">
        <f aca="false">IF($A168="",0,INT(($A168-Macrociclo!$C$11)/7)+1)</f>
        <v>34</v>
      </c>
      <c r="C168" s="27" t="s">
        <v>226</v>
      </c>
      <c r="D168" s="28" t="n">
        <v>2</v>
      </c>
      <c r="E168" s="28" t="n">
        <v>4</v>
      </c>
      <c r="F168" s="28" t="n">
        <v>2</v>
      </c>
      <c r="G168" s="28" t="n">
        <v>2</v>
      </c>
      <c r="H168" s="40" t="n">
        <f aca="false">IF(COUNT($D168:$G168)&lt;4,0,SUM($D168:$G168))</f>
        <v>10</v>
      </c>
      <c r="I168" s="26" t="str">
        <f aca="false">IF($H168=0,"",IF($H168&lt;=8,"Ótimo",IF($H168&lt;=12,"Bom",IF($H168&lt;=16,"Regular",IF($H168&lt;=20,"Alerta","Crítico")))))</f>
        <v>Bom</v>
      </c>
      <c r="J168" s="27"/>
      <c r="K168" s="27" t="s">
        <v>373</v>
      </c>
    </row>
    <row r="169" customFormat="false" ht="15" hidden="false" customHeight="false" outlineLevel="0" collapsed="false">
      <c r="A169" s="29" t="n">
        <v>46261</v>
      </c>
      <c r="B169" s="40" t="n">
        <f aca="false">IF($A169="",0,INT(($A169-Macrociclo!$C$11)/7)+1)</f>
        <v>34</v>
      </c>
      <c r="C169" s="27" t="s">
        <v>236</v>
      </c>
      <c r="D169" s="28" t="n">
        <v>3</v>
      </c>
      <c r="E169" s="28" t="n">
        <v>4</v>
      </c>
      <c r="F169" s="28" t="n">
        <v>2</v>
      </c>
      <c r="G169" s="28" t="n">
        <v>4</v>
      </c>
      <c r="H169" s="40" t="n">
        <f aca="false">IF(COUNT($D169:$G169)&lt;4,0,SUM($D169:$G169))</f>
        <v>13</v>
      </c>
      <c r="I169" s="26" t="str">
        <f aca="false">IF($H169=0,"",IF($H169&lt;=8,"Ótimo",IF($H169&lt;=12,"Bom",IF($H169&lt;=16,"Regular",IF($H169&lt;=20,"Alerta","Crítico")))))</f>
        <v>Regular</v>
      </c>
      <c r="J169" s="27"/>
      <c r="K169" s="27" t="s">
        <v>373</v>
      </c>
    </row>
    <row r="170" customFormat="false" ht="15" hidden="false" customHeight="false" outlineLevel="0" collapsed="false">
      <c r="A170" s="29" t="n">
        <v>46261</v>
      </c>
      <c r="B170" s="40" t="n">
        <f aca="false">IF($A170="",0,INT(($A170-Macrociclo!$C$11)/7)+1)</f>
        <v>34</v>
      </c>
      <c r="C170" s="27" t="s">
        <v>244</v>
      </c>
      <c r="D170" s="28" t="n">
        <v>2</v>
      </c>
      <c r="E170" s="28" t="n">
        <v>2</v>
      </c>
      <c r="F170" s="28" t="n">
        <v>3</v>
      </c>
      <c r="G170" s="28" t="n">
        <v>2</v>
      </c>
      <c r="H170" s="40" t="n">
        <f aca="false">IF(COUNT($D170:$G170)&lt;4,0,SUM($D170:$G170))</f>
        <v>9</v>
      </c>
      <c r="I170" s="26" t="str">
        <f aca="false">IF($H170=0,"",IF($H170&lt;=8,"Ótimo",IF($H170&lt;=12,"Bom",IF($H170&lt;=16,"Regular",IF($H170&lt;=20,"Alerta","Crítico")))))</f>
        <v>Bom</v>
      </c>
      <c r="J170" s="27"/>
      <c r="K170" s="27" t="s">
        <v>373</v>
      </c>
    </row>
    <row r="171" customFormat="false" ht="15" hidden="false" customHeight="false" outlineLevel="0" collapsed="false">
      <c r="A171" s="29" t="n">
        <v>46261</v>
      </c>
      <c r="B171" s="40" t="n">
        <f aca="false">IF($A171="",0,INT(($A171-Macrociclo!$C$11)/7)+1)</f>
        <v>34</v>
      </c>
      <c r="C171" s="27" t="s">
        <v>253</v>
      </c>
      <c r="D171" s="28" t="n">
        <v>2</v>
      </c>
      <c r="E171" s="28" t="n">
        <v>3</v>
      </c>
      <c r="F171" s="28" t="n">
        <v>3</v>
      </c>
      <c r="G171" s="28" t="n">
        <v>2</v>
      </c>
      <c r="H171" s="40" t="n">
        <f aca="false">IF(COUNT($D171:$G171)&lt;4,0,SUM($D171:$G171))</f>
        <v>10</v>
      </c>
      <c r="I171" s="26" t="str">
        <f aca="false">IF($H171=0,"",IF($H171&lt;=8,"Ótimo",IF($H171&lt;=12,"Bom",IF($H171&lt;=16,"Regular",IF($H171&lt;=20,"Alerta","Crítico")))))</f>
        <v>Bom</v>
      </c>
      <c r="J171" s="27"/>
      <c r="K171" s="27" t="s">
        <v>373</v>
      </c>
    </row>
    <row r="172" customFormat="false" ht="15" hidden="false" customHeight="false" outlineLevel="0" collapsed="false">
      <c r="A172" s="29" t="n">
        <v>46261</v>
      </c>
      <c r="B172" s="40" t="n">
        <f aca="false">IF($A172="",0,INT(($A172-Macrociclo!$C$11)/7)+1)</f>
        <v>34</v>
      </c>
      <c r="C172" s="27" t="s">
        <v>259</v>
      </c>
      <c r="D172" s="28" t="n">
        <v>4</v>
      </c>
      <c r="E172" s="28" t="n">
        <v>2</v>
      </c>
      <c r="F172" s="28" t="n">
        <v>3</v>
      </c>
      <c r="G172" s="28" t="n">
        <v>2</v>
      </c>
      <c r="H172" s="40" t="n">
        <f aca="false">IF(COUNT($D172:$G172)&lt;4,0,SUM($D172:$G172))</f>
        <v>11</v>
      </c>
      <c r="I172" s="26" t="str">
        <f aca="false">IF($H172=0,"",IF($H172&lt;=8,"Ótimo",IF($H172&lt;=12,"Bom",IF($H172&lt;=16,"Regular",IF($H172&lt;=20,"Alerta","Crítico")))))</f>
        <v>Bom</v>
      </c>
      <c r="J172" s="27"/>
      <c r="K172" s="27" t="s">
        <v>373</v>
      </c>
    </row>
    <row r="173" customFormat="false" ht="15" hidden="false" customHeight="false" outlineLevel="0" collapsed="false">
      <c r="A173" s="29" t="n">
        <v>46261</v>
      </c>
      <c r="B173" s="40" t="n">
        <f aca="false">IF($A173="",0,INT(($A173-Macrociclo!$C$11)/7)+1)</f>
        <v>34</v>
      </c>
      <c r="C173" s="27" t="s">
        <v>264</v>
      </c>
      <c r="D173" s="28" t="n">
        <v>3</v>
      </c>
      <c r="E173" s="28" t="n">
        <v>2</v>
      </c>
      <c r="F173" s="28" t="n">
        <v>4</v>
      </c>
      <c r="G173" s="28" t="n">
        <v>4</v>
      </c>
      <c r="H173" s="40" t="n">
        <f aca="false">IF(COUNT($D173:$G173)&lt;4,0,SUM($D173:$G173))</f>
        <v>13</v>
      </c>
      <c r="I173" s="26" t="str">
        <f aca="false">IF($H173=0,"",IF($H173&lt;=8,"Ótimo",IF($H173&lt;=12,"Bom",IF($H173&lt;=16,"Regular",IF($H173&lt;=20,"Alerta","Crítico")))))</f>
        <v>Regular</v>
      </c>
      <c r="J173" s="27"/>
      <c r="K173" s="27" t="s">
        <v>373</v>
      </c>
    </row>
    <row r="174" customFormat="false" ht="15" hidden="false" customHeight="false" outlineLevel="0" collapsed="false">
      <c r="A174" s="29" t="n">
        <v>46261</v>
      </c>
      <c r="B174" s="40" t="n">
        <f aca="false">IF($A174="",0,INT(($A174-Macrociclo!$C$11)/7)+1)</f>
        <v>34</v>
      </c>
      <c r="C174" s="27" t="s">
        <v>270</v>
      </c>
      <c r="D174" s="28" t="n">
        <v>2</v>
      </c>
      <c r="E174" s="28" t="n">
        <v>2</v>
      </c>
      <c r="F174" s="28" t="n">
        <v>2</v>
      </c>
      <c r="G174" s="28" t="n">
        <v>2</v>
      </c>
      <c r="H174" s="40" t="n">
        <f aca="false">IF(COUNT($D174:$G174)&lt;4,0,SUM($D174:$G174))</f>
        <v>8</v>
      </c>
      <c r="I174" s="26" t="str">
        <f aca="false">IF($H174=0,"",IF($H174&lt;=8,"Ótimo",IF($H174&lt;=12,"Bom",IF($H174&lt;=16,"Regular",IF($H174&lt;=20,"Alerta","Crítico")))))</f>
        <v>Ótimo</v>
      </c>
      <c r="J174" s="27"/>
      <c r="K174" s="27" t="s">
        <v>373</v>
      </c>
    </row>
    <row r="175" customFormat="false" ht="15" hidden="false" customHeight="false" outlineLevel="0" collapsed="false">
      <c r="A175" s="29" t="n">
        <v>46261</v>
      </c>
      <c r="B175" s="40" t="n">
        <f aca="false">IF($A175="",0,INT(($A175-Macrociclo!$C$11)/7)+1)</f>
        <v>34</v>
      </c>
      <c r="C175" s="27" t="s">
        <v>279</v>
      </c>
      <c r="D175" s="28" t="n">
        <v>2</v>
      </c>
      <c r="E175" s="28" t="n">
        <v>2</v>
      </c>
      <c r="F175" s="28" t="n">
        <v>3</v>
      </c>
      <c r="G175" s="28" t="n">
        <v>3</v>
      </c>
      <c r="H175" s="40" t="n">
        <f aca="false">IF(COUNT($D175:$G175)&lt;4,0,SUM($D175:$G175))</f>
        <v>10</v>
      </c>
      <c r="I175" s="26" t="str">
        <f aca="false">IF($H175=0,"",IF($H175&lt;=8,"Ótimo",IF($H175&lt;=12,"Bom",IF($H175&lt;=16,"Regular",IF($H175&lt;=20,"Alerta","Crítico")))))</f>
        <v>Bom</v>
      </c>
      <c r="J175" s="27"/>
      <c r="K175" s="27" t="s">
        <v>373</v>
      </c>
    </row>
    <row r="176" customFormat="false" ht="15" hidden="false" customHeight="false" outlineLevel="0" collapsed="false">
      <c r="A176" s="29" t="n">
        <v>46262</v>
      </c>
      <c r="B176" s="40" t="n">
        <f aca="false">IF($A176="",0,INT(($A176-Macrociclo!$C$11)/7)+1)</f>
        <v>34</v>
      </c>
      <c r="C176" s="27" t="s">
        <v>164</v>
      </c>
      <c r="D176" s="28" t="n">
        <v>3</v>
      </c>
      <c r="E176" s="28" t="n">
        <v>3</v>
      </c>
      <c r="F176" s="28" t="n">
        <v>3</v>
      </c>
      <c r="G176" s="28" t="n">
        <v>2</v>
      </c>
      <c r="H176" s="40" t="n">
        <f aca="false">IF(COUNT($D176:$G176)&lt;4,0,SUM($D176:$G176))</f>
        <v>11</v>
      </c>
      <c r="I176" s="26" t="str">
        <f aca="false">IF($H176=0,"",IF($H176&lt;=8,"Ótimo",IF($H176&lt;=12,"Bom",IF($H176&lt;=16,"Regular",IF($H176&lt;=20,"Alerta","Crítico")))))</f>
        <v>Bom</v>
      </c>
      <c r="J176" s="27"/>
      <c r="K176" s="27" t="s">
        <v>373</v>
      </c>
    </row>
    <row r="177" customFormat="false" ht="15" hidden="false" customHeight="false" outlineLevel="0" collapsed="false">
      <c r="A177" s="29" t="n">
        <v>46262</v>
      </c>
      <c r="B177" s="40" t="n">
        <f aca="false">IF($A177="",0,INT(($A177-Macrociclo!$C$11)/7)+1)</f>
        <v>34</v>
      </c>
      <c r="C177" s="27" t="s">
        <v>192</v>
      </c>
      <c r="D177" s="28" t="n">
        <v>4</v>
      </c>
      <c r="E177" s="28" t="n">
        <v>3</v>
      </c>
      <c r="F177" s="28" t="n">
        <v>3</v>
      </c>
      <c r="G177" s="28" t="n">
        <v>3</v>
      </c>
      <c r="H177" s="40" t="n">
        <f aca="false">IF(COUNT($D177:$G177)&lt;4,0,SUM($D177:$G177))</f>
        <v>13</v>
      </c>
      <c r="I177" s="26" t="str">
        <f aca="false">IF($H177=0,"",IF($H177&lt;=8,"Ótimo",IF($H177&lt;=12,"Bom",IF($H177&lt;=16,"Regular",IF($H177&lt;=20,"Alerta","Crítico")))))</f>
        <v>Regular</v>
      </c>
      <c r="J177" s="27"/>
      <c r="K177" s="27" t="s">
        <v>373</v>
      </c>
    </row>
    <row r="178" customFormat="false" ht="15" hidden="false" customHeight="false" outlineLevel="0" collapsed="false">
      <c r="A178" s="29" t="n">
        <v>46262</v>
      </c>
      <c r="B178" s="40" t="n">
        <f aca="false">IF($A178="",0,INT(($A178-Macrociclo!$C$11)/7)+1)</f>
        <v>34</v>
      </c>
      <c r="C178" s="27" t="s">
        <v>206</v>
      </c>
      <c r="D178" s="28" t="n">
        <v>2</v>
      </c>
      <c r="E178" s="28" t="n">
        <v>2</v>
      </c>
      <c r="F178" s="28" t="n">
        <v>2</v>
      </c>
      <c r="G178" s="28" t="n">
        <v>4</v>
      </c>
      <c r="H178" s="40" t="n">
        <f aca="false">IF(COUNT($D178:$G178)&lt;4,0,SUM($D178:$G178))</f>
        <v>10</v>
      </c>
      <c r="I178" s="26" t="str">
        <f aca="false">IF($H178=0,"",IF($H178&lt;=8,"Ótimo",IF($H178&lt;=12,"Bom",IF($H178&lt;=16,"Regular",IF($H178&lt;=20,"Alerta","Crítico")))))</f>
        <v>Bom</v>
      </c>
      <c r="J178" s="27"/>
      <c r="K178" s="27" t="s">
        <v>373</v>
      </c>
    </row>
    <row r="179" customFormat="false" ht="15" hidden="false" customHeight="false" outlineLevel="0" collapsed="false">
      <c r="A179" s="29" t="n">
        <v>46262</v>
      </c>
      <c r="B179" s="40" t="n">
        <f aca="false">IF($A179="",0,INT(($A179-Macrociclo!$C$11)/7)+1)</f>
        <v>34</v>
      </c>
      <c r="C179" s="27" t="s">
        <v>215</v>
      </c>
      <c r="D179" s="28" t="n">
        <v>5</v>
      </c>
      <c r="E179" s="28" t="n">
        <v>5</v>
      </c>
      <c r="F179" s="28" t="n">
        <v>4</v>
      </c>
      <c r="G179" s="28" t="n">
        <v>5</v>
      </c>
      <c r="H179" s="40" t="n">
        <f aca="false">IF(COUNT($D179:$G179)&lt;4,0,SUM($D179:$G179))</f>
        <v>19</v>
      </c>
      <c r="I179" s="26" t="str">
        <f aca="false">IF($H179=0,"",IF($H179&lt;=8,"Ótimo",IF($H179&lt;=12,"Bom",IF($H179&lt;=16,"Regular",IF($H179&lt;=20,"Alerta","Crítico")))))</f>
        <v>Alerta</v>
      </c>
      <c r="J179" s="27"/>
      <c r="K179" s="27" t="s">
        <v>373</v>
      </c>
    </row>
    <row r="180" customFormat="false" ht="15" hidden="false" customHeight="false" outlineLevel="0" collapsed="false">
      <c r="A180" s="29" t="n">
        <v>46262</v>
      </c>
      <c r="B180" s="40" t="n">
        <f aca="false">IF($A180="",0,INT(($A180-Macrociclo!$C$11)/7)+1)</f>
        <v>34</v>
      </c>
      <c r="C180" s="27" t="s">
        <v>226</v>
      </c>
      <c r="D180" s="28" t="n">
        <v>3</v>
      </c>
      <c r="E180" s="28" t="n">
        <v>4</v>
      </c>
      <c r="F180" s="28" t="n">
        <v>2</v>
      </c>
      <c r="G180" s="28" t="n">
        <v>2</v>
      </c>
      <c r="H180" s="40" t="n">
        <f aca="false">IF(COUNT($D180:$G180)&lt;4,0,SUM($D180:$G180))</f>
        <v>11</v>
      </c>
      <c r="I180" s="26" t="str">
        <f aca="false">IF($H180=0,"",IF($H180&lt;=8,"Ótimo",IF($H180&lt;=12,"Bom",IF($H180&lt;=16,"Regular",IF($H180&lt;=20,"Alerta","Crítico")))))</f>
        <v>Bom</v>
      </c>
      <c r="J180" s="27"/>
      <c r="K180" s="27" t="s">
        <v>373</v>
      </c>
    </row>
    <row r="181" customFormat="false" ht="15" hidden="false" customHeight="false" outlineLevel="0" collapsed="false">
      <c r="A181" s="29" t="n">
        <v>46262</v>
      </c>
      <c r="B181" s="40" t="n">
        <f aca="false">IF($A181="",0,INT(($A181-Macrociclo!$C$11)/7)+1)</f>
        <v>34</v>
      </c>
      <c r="C181" s="27" t="s">
        <v>236</v>
      </c>
      <c r="D181" s="28" t="n">
        <v>3</v>
      </c>
      <c r="E181" s="28" t="n">
        <v>2</v>
      </c>
      <c r="F181" s="28" t="n">
        <v>3</v>
      </c>
      <c r="G181" s="28" t="n">
        <v>3</v>
      </c>
      <c r="H181" s="40" t="n">
        <f aca="false">IF(COUNT($D181:$G181)&lt;4,0,SUM($D181:$G181))</f>
        <v>11</v>
      </c>
      <c r="I181" s="26" t="str">
        <f aca="false">IF($H181=0,"",IF($H181&lt;=8,"Ótimo",IF($H181&lt;=12,"Bom",IF($H181&lt;=16,"Regular",IF($H181&lt;=20,"Alerta","Crítico")))))</f>
        <v>Bom</v>
      </c>
      <c r="J181" s="27"/>
      <c r="K181" s="27" t="s">
        <v>373</v>
      </c>
    </row>
    <row r="182" customFormat="false" ht="15" hidden="false" customHeight="false" outlineLevel="0" collapsed="false">
      <c r="A182" s="29" t="n">
        <v>46262</v>
      </c>
      <c r="B182" s="40" t="n">
        <f aca="false">IF($A182="",0,INT(($A182-Macrociclo!$C$11)/7)+1)</f>
        <v>34</v>
      </c>
      <c r="C182" s="27" t="s">
        <v>244</v>
      </c>
      <c r="D182" s="28" t="n">
        <v>3</v>
      </c>
      <c r="E182" s="28" t="n">
        <v>2</v>
      </c>
      <c r="F182" s="28" t="n">
        <v>3</v>
      </c>
      <c r="G182" s="28" t="n">
        <v>2</v>
      </c>
      <c r="H182" s="40" t="n">
        <f aca="false">IF(COUNT($D182:$G182)&lt;4,0,SUM($D182:$G182))</f>
        <v>10</v>
      </c>
      <c r="I182" s="26" t="str">
        <f aca="false">IF($H182=0,"",IF($H182&lt;=8,"Ótimo",IF($H182&lt;=12,"Bom",IF($H182&lt;=16,"Regular",IF($H182&lt;=20,"Alerta","Crítico")))))</f>
        <v>Bom</v>
      </c>
      <c r="J182" s="27"/>
      <c r="K182" s="27" t="s">
        <v>373</v>
      </c>
    </row>
    <row r="183" customFormat="false" ht="15" hidden="false" customHeight="false" outlineLevel="0" collapsed="false">
      <c r="A183" s="29" t="n">
        <v>46262</v>
      </c>
      <c r="B183" s="40" t="n">
        <f aca="false">IF($A183="",0,INT(($A183-Macrociclo!$C$11)/7)+1)</f>
        <v>34</v>
      </c>
      <c r="C183" s="27" t="s">
        <v>253</v>
      </c>
      <c r="D183" s="28" t="n">
        <v>3</v>
      </c>
      <c r="E183" s="28" t="n">
        <v>2</v>
      </c>
      <c r="F183" s="28" t="n">
        <v>3</v>
      </c>
      <c r="G183" s="28" t="n">
        <v>3</v>
      </c>
      <c r="H183" s="40" t="n">
        <f aca="false">IF(COUNT($D183:$G183)&lt;4,0,SUM($D183:$G183))</f>
        <v>11</v>
      </c>
      <c r="I183" s="26" t="str">
        <f aca="false">IF($H183=0,"",IF($H183&lt;=8,"Ótimo",IF($H183&lt;=12,"Bom",IF($H183&lt;=16,"Regular",IF($H183&lt;=20,"Alerta","Crítico")))))</f>
        <v>Bom</v>
      </c>
      <c r="J183" s="27"/>
      <c r="K183" s="27" t="s">
        <v>373</v>
      </c>
    </row>
    <row r="184" customFormat="false" ht="15" hidden="false" customHeight="false" outlineLevel="0" collapsed="false">
      <c r="A184" s="29" t="n">
        <v>46262</v>
      </c>
      <c r="B184" s="40" t="n">
        <f aca="false">IF($A184="",0,INT(($A184-Macrociclo!$C$11)/7)+1)</f>
        <v>34</v>
      </c>
      <c r="C184" s="27" t="s">
        <v>259</v>
      </c>
      <c r="D184" s="28" t="n">
        <v>4</v>
      </c>
      <c r="E184" s="28" t="n">
        <v>4</v>
      </c>
      <c r="F184" s="28" t="n">
        <v>2</v>
      </c>
      <c r="G184" s="28" t="n">
        <v>2</v>
      </c>
      <c r="H184" s="40" t="n">
        <f aca="false">IF(COUNT($D184:$G184)&lt;4,0,SUM($D184:$G184))</f>
        <v>12</v>
      </c>
      <c r="I184" s="26" t="str">
        <f aca="false">IF($H184=0,"",IF($H184&lt;=8,"Ótimo",IF($H184&lt;=12,"Bom",IF($H184&lt;=16,"Regular",IF($H184&lt;=20,"Alerta","Crítico")))))</f>
        <v>Bom</v>
      </c>
      <c r="J184" s="27"/>
      <c r="K184" s="27" t="s">
        <v>373</v>
      </c>
    </row>
    <row r="185" customFormat="false" ht="15" hidden="false" customHeight="false" outlineLevel="0" collapsed="false">
      <c r="A185" s="29" t="n">
        <v>46262</v>
      </c>
      <c r="B185" s="40" t="n">
        <f aca="false">IF($A185="",0,INT(($A185-Macrociclo!$C$11)/7)+1)</f>
        <v>34</v>
      </c>
      <c r="C185" s="27" t="s">
        <v>264</v>
      </c>
      <c r="D185" s="28" t="n">
        <v>4</v>
      </c>
      <c r="E185" s="28" t="n">
        <v>4</v>
      </c>
      <c r="F185" s="28" t="n">
        <v>2</v>
      </c>
      <c r="G185" s="28" t="n">
        <v>2</v>
      </c>
      <c r="H185" s="40" t="n">
        <f aca="false">IF(COUNT($D185:$G185)&lt;4,0,SUM($D185:$G185))</f>
        <v>12</v>
      </c>
      <c r="I185" s="26" t="str">
        <f aca="false">IF($H185=0,"",IF($H185&lt;=8,"Ótimo",IF($H185&lt;=12,"Bom",IF($H185&lt;=16,"Regular",IF($H185&lt;=20,"Alerta","Crítico")))))</f>
        <v>Bom</v>
      </c>
      <c r="J185" s="27"/>
      <c r="K185" s="27" t="s">
        <v>373</v>
      </c>
    </row>
    <row r="186" customFormat="false" ht="15" hidden="false" customHeight="false" outlineLevel="0" collapsed="false">
      <c r="A186" s="29" t="n">
        <v>46262</v>
      </c>
      <c r="B186" s="40" t="n">
        <f aca="false">IF($A186="",0,INT(($A186-Macrociclo!$C$11)/7)+1)</f>
        <v>34</v>
      </c>
      <c r="C186" s="27" t="s">
        <v>270</v>
      </c>
      <c r="D186" s="28" t="n">
        <v>2</v>
      </c>
      <c r="E186" s="28" t="n">
        <v>3</v>
      </c>
      <c r="F186" s="28" t="n">
        <v>3</v>
      </c>
      <c r="G186" s="28" t="n">
        <v>2</v>
      </c>
      <c r="H186" s="40" t="n">
        <f aca="false">IF(COUNT($D186:$G186)&lt;4,0,SUM($D186:$G186))</f>
        <v>10</v>
      </c>
      <c r="I186" s="26" t="str">
        <f aca="false">IF($H186=0,"",IF($H186&lt;=8,"Ótimo",IF($H186&lt;=12,"Bom",IF($H186&lt;=16,"Regular",IF($H186&lt;=20,"Alerta","Crítico")))))</f>
        <v>Bom</v>
      </c>
      <c r="J186" s="27"/>
      <c r="K186" s="27" t="s">
        <v>373</v>
      </c>
    </row>
    <row r="187" customFormat="false" ht="15" hidden="false" customHeight="false" outlineLevel="0" collapsed="false">
      <c r="A187" s="29" t="n">
        <v>46262</v>
      </c>
      <c r="B187" s="40" t="n">
        <f aca="false">IF($A187="",0,INT(($A187-Macrociclo!$C$11)/7)+1)</f>
        <v>34</v>
      </c>
      <c r="C187" s="27" t="s">
        <v>279</v>
      </c>
      <c r="D187" s="28" t="n">
        <v>2</v>
      </c>
      <c r="E187" s="28" t="n">
        <v>2</v>
      </c>
      <c r="F187" s="28" t="n">
        <v>4</v>
      </c>
      <c r="G187" s="28" t="n">
        <v>4</v>
      </c>
      <c r="H187" s="40" t="n">
        <f aca="false">IF(COUNT($D187:$G187)&lt;4,0,SUM($D187:$G187))</f>
        <v>12</v>
      </c>
      <c r="I187" s="26" t="str">
        <f aca="false">IF($H187=0,"",IF($H187&lt;=8,"Ótimo",IF($H187&lt;=12,"Bom",IF($H187&lt;=16,"Regular",IF($H187&lt;=20,"Alerta","Crítico")))))</f>
        <v>Bom</v>
      </c>
      <c r="J187" s="27"/>
      <c r="K187" s="27" t="s">
        <v>373</v>
      </c>
    </row>
    <row r="188" customFormat="false" ht="15" hidden="false" customHeight="false" outlineLevel="0" collapsed="false">
      <c r="A188" s="29" t="n">
        <v>46265</v>
      </c>
      <c r="B188" s="40" t="n">
        <f aca="false">IF($A188="",0,INT(($A188-Macrociclo!$C$11)/7)+1)</f>
        <v>35</v>
      </c>
      <c r="C188" s="27" t="s">
        <v>164</v>
      </c>
      <c r="D188" s="28" t="n">
        <v>4</v>
      </c>
      <c r="E188" s="28" t="n">
        <v>3</v>
      </c>
      <c r="F188" s="28" t="n">
        <v>3</v>
      </c>
      <c r="G188" s="28" t="n">
        <v>3</v>
      </c>
      <c r="H188" s="40" t="n">
        <f aca="false">IF(COUNT($D188:$G188)&lt;4,0,SUM($D188:$G188))</f>
        <v>13</v>
      </c>
      <c r="I188" s="26" t="str">
        <f aca="false">IF($H188=0,"",IF($H188&lt;=8,"Ótimo",IF($H188&lt;=12,"Bom",IF($H188&lt;=16,"Regular",IF($H188&lt;=20,"Alerta","Crítico")))))</f>
        <v>Regular</v>
      </c>
      <c r="J188" s="27"/>
      <c r="K188" s="27" t="s">
        <v>373</v>
      </c>
    </row>
    <row r="189" customFormat="false" ht="15" hidden="false" customHeight="false" outlineLevel="0" collapsed="false">
      <c r="A189" s="29" t="n">
        <v>46265</v>
      </c>
      <c r="B189" s="40" t="n">
        <f aca="false">IF($A189="",0,INT(($A189-Macrociclo!$C$11)/7)+1)</f>
        <v>35</v>
      </c>
      <c r="C189" s="27" t="s">
        <v>192</v>
      </c>
      <c r="D189" s="28" t="n">
        <v>3</v>
      </c>
      <c r="E189" s="28" t="n">
        <v>2</v>
      </c>
      <c r="F189" s="28" t="n">
        <v>4</v>
      </c>
      <c r="G189" s="28" t="n">
        <v>2</v>
      </c>
      <c r="H189" s="40" t="n">
        <f aca="false">IF(COUNT($D189:$G189)&lt;4,0,SUM($D189:$G189))</f>
        <v>11</v>
      </c>
      <c r="I189" s="26" t="str">
        <f aca="false">IF($H189=0,"",IF($H189&lt;=8,"Ótimo",IF($H189&lt;=12,"Bom",IF($H189&lt;=16,"Regular",IF($H189&lt;=20,"Alerta","Crítico")))))</f>
        <v>Bom</v>
      </c>
      <c r="J189" s="27"/>
      <c r="K189" s="27" t="s">
        <v>373</v>
      </c>
    </row>
    <row r="190" customFormat="false" ht="15" hidden="false" customHeight="false" outlineLevel="0" collapsed="false">
      <c r="A190" s="29" t="n">
        <v>46265</v>
      </c>
      <c r="B190" s="40" t="n">
        <f aca="false">IF($A190="",0,INT(($A190-Macrociclo!$C$11)/7)+1)</f>
        <v>35</v>
      </c>
      <c r="C190" s="27" t="s">
        <v>206</v>
      </c>
      <c r="D190" s="28" t="n">
        <v>2</v>
      </c>
      <c r="E190" s="28" t="n">
        <v>3</v>
      </c>
      <c r="F190" s="28" t="n">
        <v>3</v>
      </c>
      <c r="G190" s="28" t="n">
        <v>3</v>
      </c>
      <c r="H190" s="40" t="n">
        <f aca="false">IF(COUNT($D190:$G190)&lt;4,0,SUM($D190:$G190))</f>
        <v>11</v>
      </c>
      <c r="I190" s="26" t="str">
        <f aca="false">IF($H190=0,"",IF($H190&lt;=8,"Ótimo",IF($H190&lt;=12,"Bom",IF($H190&lt;=16,"Regular",IF($H190&lt;=20,"Alerta","Crítico")))))</f>
        <v>Bom</v>
      </c>
      <c r="J190" s="27"/>
      <c r="K190" s="27" t="s">
        <v>373</v>
      </c>
    </row>
    <row r="191" customFormat="false" ht="15" hidden="false" customHeight="false" outlineLevel="0" collapsed="false">
      <c r="A191" s="29" t="n">
        <v>46265</v>
      </c>
      <c r="B191" s="40" t="n">
        <f aca="false">IF($A191="",0,INT(($A191-Macrociclo!$C$11)/7)+1)</f>
        <v>35</v>
      </c>
      <c r="C191" s="27" t="s">
        <v>215</v>
      </c>
      <c r="D191" s="28" t="n">
        <v>6</v>
      </c>
      <c r="E191" s="28" t="n">
        <v>5</v>
      </c>
      <c r="F191" s="28" t="n">
        <v>4</v>
      </c>
      <c r="G191" s="28" t="n">
        <v>4</v>
      </c>
      <c r="H191" s="40" t="n">
        <f aca="false">IF(COUNT($D191:$G191)&lt;4,0,SUM($D191:$G191))</f>
        <v>19</v>
      </c>
      <c r="I191" s="26" t="str">
        <f aca="false">IF($H191=0,"",IF($H191&lt;=8,"Ótimo",IF($H191&lt;=12,"Bom",IF($H191&lt;=16,"Regular",IF($H191&lt;=20,"Alerta","Crítico")))))</f>
        <v>Alerta</v>
      </c>
      <c r="J191" s="27"/>
      <c r="K191" s="27" t="s">
        <v>373</v>
      </c>
    </row>
    <row r="192" customFormat="false" ht="15" hidden="false" customHeight="false" outlineLevel="0" collapsed="false">
      <c r="A192" s="29" t="n">
        <v>46265</v>
      </c>
      <c r="B192" s="40" t="n">
        <f aca="false">IF($A192="",0,INT(($A192-Macrociclo!$C$11)/7)+1)</f>
        <v>35</v>
      </c>
      <c r="C192" s="27" t="s">
        <v>226</v>
      </c>
      <c r="D192" s="28" t="n">
        <v>2</v>
      </c>
      <c r="E192" s="28" t="n">
        <v>2</v>
      </c>
      <c r="F192" s="28" t="n">
        <v>4</v>
      </c>
      <c r="G192" s="28" t="n">
        <v>2</v>
      </c>
      <c r="H192" s="40" t="n">
        <f aca="false">IF(COUNT($D192:$G192)&lt;4,0,SUM($D192:$G192))</f>
        <v>10</v>
      </c>
      <c r="I192" s="26" t="str">
        <f aca="false">IF($H192=0,"",IF($H192&lt;=8,"Ótimo",IF($H192&lt;=12,"Bom",IF($H192&lt;=16,"Regular",IF($H192&lt;=20,"Alerta","Crítico")))))</f>
        <v>Bom</v>
      </c>
      <c r="J192" s="27"/>
      <c r="K192" s="27" t="s">
        <v>373</v>
      </c>
    </row>
    <row r="193" customFormat="false" ht="15" hidden="false" customHeight="false" outlineLevel="0" collapsed="false">
      <c r="A193" s="29" t="n">
        <v>46265</v>
      </c>
      <c r="B193" s="40" t="n">
        <f aca="false">IF($A193="",0,INT(($A193-Macrociclo!$C$11)/7)+1)</f>
        <v>35</v>
      </c>
      <c r="C193" s="27" t="s">
        <v>236</v>
      </c>
      <c r="D193" s="28" t="n">
        <v>2</v>
      </c>
      <c r="E193" s="28" t="n">
        <v>2</v>
      </c>
      <c r="F193" s="28" t="n">
        <v>4</v>
      </c>
      <c r="G193" s="28" t="n">
        <v>2</v>
      </c>
      <c r="H193" s="40" t="n">
        <f aca="false">IF(COUNT($D193:$G193)&lt;4,0,SUM($D193:$G193))</f>
        <v>10</v>
      </c>
      <c r="I193" s="26" t="str">
        <f aca="false">IF($H193=0,"",IF($H193&lt;=8,"Ótimo",IF($H193&lt;=12,"Bom",IF($H193&lt;=16,"Regular",IF($H193&lt;=20,"Alerta","Crítico")))))</f>
        <v>Bom</v>
      </c>
      <c r="J193" s="27"/>
      <c r="K193" s="27" t="s">
        <v>373</v>
      </c>
    </row>
    <row r="194" customFormat="false" ht="15" hidden="false" customHeight="false" outlineLevel="0" collapsed="false">
      <c r="A194" s="29" t="n">
        <v>46265</v>
      </c>
      <c r="B194" s="40" t="n">
        <f aca="false">IF($A194="",0,INT(($A194-Macrociclo!$C$11)/7)+1)</f>
        <v>35</v>
      </c>
      <c r="C194" s="27" t="s">
        <v>244</v>
      </c>
      <c r="D194" s="28" t="n">
        <v>3</v>
      </c>
      <c r="E194" s="28" t="n">
        <v>3</v>
      </c>
      <c r="F194" s="28" t="n">
        <v>4</v>
      </c>
      <c r="G194" s="28" t="n">
        <v>2</v>
      </c>
      <c r="H194" s="40" t="n">
        <f aca="false">IF(COUNT($D194:$G194)&lt;4,0,SUM($D194:$G194))</f>
        <v>12</v>
      </c>
      <c r="I194" s="26" t="str">
        <f aca="false">IF($H194=0,"",IF($H194&lt;=8,"Ótimo",IF($H194&lt;=12,"Bom",IF($H194&lt;=16,"Regular",IF($H194&lt;=20,"Alerta","Crítico")))))</f>
        <v>Bom</v>
      </c>
      <c r="J194" s="27"/>
      <c r="K194" s="27" t="s">
        <v>373</v>
      </c>
    </row>
    <row r="195" customFormat="false" ht="15" hidden="false" customHeight="false" outlineLevel="0" collapsed="false">
      <c r="A195" s="29" t="n">
        <v>46265</v>
      </c>
      <c r="B195" s="40" t="n">
        <f aca="false">IF($A195="",0,INT(($A195-Macrociclo!$C$11)/7)+1)</f>
        <v>35</v>
      </c>
      <c r="C195" s="27" t="s">
        <v>253</v>
      </c>
      <c r="D195" s="28" t="n">
        <v>2</v>
      </c>
      <c r="E195" s="28" t="n">
        <v>2</v>
      </c>
      <c r="F195" s="28" t="n">
        <v>2</v>
      </c>
      <c r="G195" s="28" t="n">
        <v>2</v>
      </c>
      <c r="H195" s="40" t="n">
        <f aca="false">IF(COUNT($D195:$G195)&lt;4,0,SUM($D195:$G195))</f>
        <v>8</v>
      </c>
      <c r="I195" s="26" t="str">
        <f aca="false">IF($H195=0,"",IF($H195&lt;=8,"Ótimo",IF($H195&lt;=12,"Bom",IF($H195&lt;=16,"Regular",IF($H195&lt;=20,"Alerta","Crítico")))))</f>
        <v>Ótimo</v>
      </c>
      <c r="J195" s="27"/>
      <c r="K195" s="27" t="s">
        <v>373</v>
      </c>
    </row>
    <row r="196" customFormat="false" ht="15" hidden="false" customHeight="false" outlineLevel="0" collapsed="false">
      <c r="A196" s="29" t="n">
        <v>46265</v>
      </c>
      <c r="B196" s="40" t="n">
        <f aca="false">IF($A196="",0,INT(($A196-Macrociclo!$C$11)/7)+1)</f>
        <v>35</v>
      </c>
      <c r="C196" s="27" t="s">
        <v>259</v>
      </c>
      <c r="D196" s="28" t="n">
        <v>3</v>
      </c>
      <c r="E196" s="28" t="n">
        <v>3</v>
      </c>
      <c r="F196" s="28" t="n">
        <v>2</v>
      </c>
      <c r="G196" s="28" t="n">
        <v>2</v>
      </c>
      <c r="H196" s="40" t="n">
        <f aca="false">IF(COUNT($D196:$G196)&lt;4,0,SUM($D196:$G196))</f>
        <v>10</v>
      </c>
      <c r="I196" s="26" t="str">
        <f aca="false">IF($H196=0,"",IF($H196&lt;=8,"Ótimo",IF($H196&lt;=12,"Bom",IF($H196&lt;=16,"Regular",IF($H196&lt;=20,"Alerta","Crítico")))))</f>
        <v>Bom</v>
      </c>
      <c r="J196" s="27"/>
      <c r="K196" s="27" t="s">
        <v>373</v>
      </c>
    </row>
    <row r="197" customFormat="false" ht="15" hidden="false" customHeight="false" outlineLevel="0" collapsed="false">
      <c r="A197" s="29" t="n">
        <v>46265</v>
      </c>
      <c r="B197" s="40" t="n">
        <f aca="false">IF($A197="",0,INT(($A197-Macrociclo!$C$11)/7)+1)</f>
        <v>35</v>
      </c>
      <c r="C197" s="27" t="s">
        <v>264</v>
      </c>
      <c r="D197" s="28" t="n">
        <v>2</v>
      </c>
      <c r="E197" s="28" t="n">
        <v>2</v>
      </c>
      <c r="F197" s="28" t="n">
        <v>3</v>
      </c>
      <c r="G197" s="28" t="n">
        <v>2</v>
      </c>
      <c r="H197" s="40" t="n">
        <f aca="false">IF(COUNT($D197:$G197)&lt;4,0,SUM($D197:$G197))</f>
        <v>9</v>
      </c>
      <c r="I197" s="26" t="str">
        <f aca="false">IF($H197=0,"",IF($H197&lt;=8,"Ótimo",IF($H197&lt;=12,"Bom",IF($H197&lt;=16,"Regular",IF($H197&lt;=20,"Alerta","Crítico")))))</f>
        <v>Bom</v>
      </c>
      <c r="J197" s="27"/>
      <c r="K197" s="27" t="s">
        <v>373</v>
      </c>
    </row>
    <row r="198" customFormat="false" ht="15" hidden="false" customHeight="false" outlineLevel="0" collapsed="false">
      <c r="A198" s="29" t="n">
        <v>46265</v>
      </c>
      <c r="B198" s="40" t="n">
        <f aca="false">IF($A198="",0,INT(($A198-Macrociclo!$C$11)/7)+1)</f>
        <v>35</v>
      </c>
      <c r="C198" s="27" t="s">
        <v>270</v>
      </c>
      <c r="D198" s="28" t="n">
        <v>2</v>
      </c>
      <c r="E198" s="28" t="n">
        <v>3</v>
      </c>
      <c r="F198" s="28" t="n">
        <v>4</v>
      </c>
      <c r="G198" s="28" t="n">
        <v>3</v>
      </c>
      <c r="H198" s="40" t="n">
        <f aca="false">IF(COUNT($D198:$G198)&lt;4,0,SUM($D198:$G198))</f>
        <v>12</v>
      </c>
      <c r="I198" s="26" t="str">
        <f aca="false">IF($H198=0,"",IF($H198&lt;=8,"Ótimo",IF($H198&lt;=12,"Bom",IF($H198&lt;=16,"Regular",IF($H198&lt;=20,"Alerta","Crítico")))))</f>
        <v>Bom</v>
      </c>
      <c r="J198" s="27"/>
      <c r="K198" s="27" t="s">
        <v>373</v>
      </c>
    </row>
    <row r="199" customFormat="false" ht="15" hidden="false" customHeight="false" outlineLevel="0" collapsed="false">
      <c r="A199" s="29" t="n">
        <v>46265</v>
      </c>
      <c r="B199" s="40" t="n">
        <f aca="false">IF($A199="",0,INT(($A199-Macrociclo!$C$11)/7)+1)</f>
        <v>35</v>
      </c>
      <c r="C199" s="27" t="s">
        <v>279</v>
      </c>
      <c r="D199" s="28" t="n">
        <v>2</v>
      </c>
      <c r="E199" s="28" t="n">
        <v>2</v>
      </c>
      <c r="F199" s="28" t="n">
        <v>2</v>
      </c>
      <c r="G199" s="28" t="n">
        <v>3</v>
      </c>
      <c r="H199" s="40" t="n">
        <f aca="false">IF(COUNT($D199:$G199)&lt;4,0,SUM($D199:$G199))</f>
        <v>9</v>
      </c>
      <c r="I199" s="26" t="str">
        <f aca="false">IF($H199=0,"",IF($H199&lt;=8,"Ótimo",IF($H199&lt;=12,"Bom",IF($H199&lt;=16,"Regular",IF($H199&lt;=20,"Alerta","Crítico")))))</f>
        <v>Bom</v>
      </c>
      <c r="J199" s="27"/>
      <c r="K199" s="27" t="s">
        <v>373</v>
      </c>
    </row>
    <row r="200" customFormat="false" ht="15" hidden="false" customHeight="false" outlineLevel="0" collapsed="false">
      <c r="A200" s="29" t="n">
        <v>46266</v>
      </c>
      <c r="B200" s="40" t="n">
        <f aca="false">IF($A200="",0,INT(($A200-Macrociclo!$C$11)/7)+1)</f>
        <v>35</v>
      </c>
      <c r="C200" s="27" t="s">
        <v>164</v>
      </c>
      <c r="D200" s="28" t="n">
        <v>2</v>
      </c>
      <c r="E200" s="28" t="n">
        <v>3</v>
      </c>
      <c r="F200" s="28" t="n">
        <v>3</v>
      </c>
      <c r="G200" s="28" t="n">
        <v>3</v>
      </c>
      <c r="H200" s="40" t="n">
        <f aca="false">IF(COUNT($D200:$G200)&lt;4,0,SUM($D200:$G200))</f>
        <v>11</v>
      </c>
      <c r="I200" s="26" t="str">
        <f aca="false">IF($H200=0,"",IF($H200&lt;=8,"Ótimo",IF($H200&lt;=12,"Bom",IF($H200&lt;=16,"Regular",IF($H200&lt;=20,"Alerta","Crítico")))))</f>
        <v>Bom</v>
      </c>
      <c r="J200" s="27"/>
      <c r="K200" s="27" t="s">
        <v>373</v>
      </c>
    </row>
    <row r="201" customFormat="false" ht="15" hidden="false" customHeight="false" outlineLevel="0" collapsed="false">
      <c r="A201" s="29" t="n">
        <v>46266</v>
      </c>
      <c r="B201" s="40" t="n">
        <f aca="false">IF($A201="",0,INT(($A201-Macrociclo!$C$11)/7)+1)</f>
        <v>35</v>
      </c>
      <c r="C201" s="27" t="s">
        <v>192</v>
      </c>
      <c r="D201" s="28" t="n">
        <v>3</v>
      </c>
      <c r="E201" s="28" t="n">
        <v>2</v>
      </c>
      <c r="F201" s="28" t="n">
        <v>2</v>
      </c>
      <c r="G201" s="28" t="n">
        <v>2</v>
      </c>
      <c r="H201" s="40" t="n">
        <f aca="false">IF(COUNT($D201:$G201)&lt;4,0,SUM($D201:$G201))</f>
        <v>9</v>
      </c>
      <c r="I201" s="26" t="str">
        <f aca="false">IF($H201=0,"",IF($H201&lt;=8,"Ótimo",IF($H201&lt;=12,"Bom",IF($H201&lt;=16,"Regular",IF($H201&lt;=20,"Alerta","Crítico")))))</f>
        <v>Bom</v>
      </c>
      <c r="J201" s="27"/>
      <c r="K201" s="27" t="s">
        <v>373</v>
      </c>
    </row>
    <row r="202" customFormat="false" ht="15" hidden="false" customHeight="false" outlineLevel="0" collapsed="false">
      <c r="A202" s="29" t="n">
        <v>46266</v>
      </c>
      <c r="B202" s="40" t="n">
        <f aca="false">IF($A202="",0,INT(($A202-Macrociclo!$C$11)/7)+1)</f>
        <v>35</v>
      </c>
      <c r="C202" s="27" t="s">
        <v>206</v>
      </c>
      <c r="D202" s="28" t="n">
        <v>3</v>
      </c>
      <c r="E202" s="28" t="n">
        <v>4</v>
      </c>
      <c r="F202" s="28" t="n">
        <v>2</v>
      </c>
      <c r="G202" s="28" t="n">
        <v>3</v>
      </c>
      <c r="H202" s="40" t="n">
        <f aca="false">IF(COUNT($D202:$G202)&lt;4,0,SUM($D202:$G202))</f>
        <v>12</v>
      </c>
      <c r="I202" s="26" t="str">
        <f aca="false">IF($H202=0,"",IF($H202&lt;=8,"Ótimo",IF($H202&lt;=12,"Bom",IF($H202&lt;=16,"Regular",IF($H202&lt;=20,"Alerta","Crítico")))))</f>
        <v>Bom</v>
      </c>
      <c r="J202" s="27"/>
      <c r="K202" s="27" t="s">
        <v>373</v>
      </c>
    </row>
    <row r="203" customFormat="false" ht="15" hidden="false" customHeight="false" outlineLevel="0" collapsed="false">
      <c r="A203" s="29" t="n">
        <v>46266</v>
      </c>
      <c r="B203" s="40" t="n">
        <f aca="false">IF($A203="",0,INT(($A203-Macrociclo!$C$11)/7)+1)</f>
        <v>35</v>
      </c>
      <c r="C203" s="27" t="s">
        <v>215</v>
      </c>
      <c r="D203" s="28" t="n">
        <v>5</v>
      </c>
      <c r="E203" s="28" t="n">
        <v>5</v>
      </c>
      <c r="F203" s="28" t="n">
        <v>5</v>
      </c>
      <c r="G203" s="28" t="n">
        <v>4</v>
      </c>
      <c r="H203" s="40" t="n">
        <f aca="false">IF(COUNT($D203:$G203)&lt;4,0,SUM($D203:$G203))</f>
        <v>19</v>
      </c>
      <c r="I203" s="26" t="str">
        <f aca="false">IF($H203=0,"",IF($H203&lt;=8,"Ótimo",IF($H203&lt;=12,"Bom",IF($H203&lt;=16,"Regular",IF($H203&lt;=20,"Alerta","Crítico")))))</f>
        <v>Alerta</v>
      </c>
      <c r="J203" s="27"/>
      <c r="K203" s="27" t="s">
        <v>373</v>
      </c>
    </row>
    <row r="204" customFormat="false" ht="15" hidden="false" customHeight="false" outlineLevel="0" collapsed="false">
      <c r="A204" s="29" t="n">
        <v>46266</v>
      </c>
      <c r="B204" s="40" t="n">
        <f aca="false">IF($A204="",0,INT(($A204-Macrociclo!$C$11)/7)+1)</f>
        <v>35</v>
      </c>
      <c r="C204" s="27" t="s">
        <v>226</v>
      </c>
      <c r="D204" s="28" t="n">
        <v>3</v>
      </c>
      <c r="E204" s="28" t="n">
        <v>3</v>
      </c>
      <c r="F204" s="28" t="n">
        <v>2</v>
      </c>
      <c r="G204" s="28" t="n">
        <v>3</v>
      </c>
      <c r="H204" s="40" t="n">
        <f aca="false">IF(COUNT($D204:$G204)&lt;4,0,SUM($D204:$G204))</f>
        <v>11</v>
      </c>
      <c r="I204" s="26" t="str">
        <f aca="false">IF($H204=0,"",IF($H204&lt;=8,"Ótimo",IF($H204&lt;=12,"Bom",IF($H204&lt;=16,"Regular",IF($H204&lt;=20,"Alerta","Crítico")))))</f>
        <v>Bom</v>
      </c>
      <c r="J204" s="27"/>
      <c r="K204" s="27" t="s">
        <v>373</v>
      </c>
    </row>
    <row r="205" customFormat="false" ht="15" hidden="false" customHeight="false" outlineLevel="0" collapsed="false">
      <c r="A205" s="29" t="n">
        <v>46266</v>
      </c>
      <c r="B205" s="40" t="n">
        <f aca="false">IF($A205="",0,INT(($A205-Macrociclo!$C$11)/7)+1)</f>
        <v>35</v>
      </c>
      <c r="C205" s="27" t="s">
        <v>236</v>
      </c>
      <c r="D205" s="28" t="n">
        <v>3</v>
      </c>
      <c r="E205" s="28" t="n">
        <v>4</v>
      </c>
      <c r="F205" s="28" t="n">
        <v>3</v>
      </c>
      <c r="G205" s="28" t="n">
        <v>4</v>
      </c>
      <c r="H205" s="40" t="n">
        <f aca="false">IF(COUNT($D205:$G205)&lt;4,0,SUM($D205:$G205))</f>
        <v>14</v>
      </c>
      <c r="I205" s="26" t="str">
        <f aca="false">IF($H205=0,"",IF($H205&lt;=8,"Ótimo",IF($H205&lt;=12,"Bom",IF($H205&lt;=16,"Regular",IF($H205&lt;=20,"Alerta","Crítico")))))</f>
        <v>Regular</v>
      </c>
      <c r="J205" s="27"/>
      <c r="K205" s="27" t="s">
        <v>373</v>
      </c>
    </row>
    <row r="206" customFormat="false" ht="15" hidden="false" customHeight="false" outlineLevel="0" collapsed="false">
      <c r="A206" s="29" t="n">
        <v>46266</v>
      </c>
      <c r="B206" s="40" t="n">
        <f aca="false">IF($A206="",0,INT(($A206-Macrociclo!$C$11)/7)+1)</f>
        <v>35</v>
      </c>
      <c r="C206" s="27" t="s">
        <v>244</v>
      </c>
      <c r="D206" s="28" t="n">
        <v>3</v>
      </c>
      <c r="E206" s="28" t="n">
        <v>4</v>
      </c>
      <c r="F206" s="28" t="n">
        <v>3</v>
      </c>
      <c r="G206" s="28" t="n">
        <v>3</v>
      </c>
      <c r="H206" s="40" t="n">
        <f aca="false">IF(COUNT($D206:$G206)&lt;4,0,SUM($D206:$G206))</f>
        <v>13</v>
      </c>
      <c r="I206" s="26" t="str">
        <f aca="false">IF($H206=0,"",IF($H206&lt;=8,"Ótimo",IF($H206&lt;=12,"Bom",IF($H206&lt;=16,"Regular",IF($H206&lt;=20,"Alerta","Crítico")))))</f>
        <v>Regular</v>
      </c>
      <c r="J206" s="27"/>
      <c r="K206" s="27" t="s">
        <v>373</v>
      </c>
    </row>
    <row r="207" customFormat="false" ht="15" hidden="false" customHeight="false" outlineLevel="0" collapsed="false">
      <c r="A207" s="29" t="n">
        <v>46266</v>
      </c>
      <c r="B207" s="40" t="n">
        <f aca="false">IF($A207="",0,INT(($A207-Macrociclo!$C$11)/7)+1)</f>
        <v>35</v>
      </c>
      <c r="C207" s="27" t="s">
        <v>253</v>
      </c>
      <c r="D207" s="28" t="n">
        <v>3</v>
      </c>
      <c r="E207" s="28" t="n">
        <v>3</v>
      </c>
      <c r="F207" s="28" t="n">
        <v>2</v>
      </c>
      <c r="G207" s="28" t="n">
        <v>4</v>
      </c>
      <c r="H207" s="40" t="n">
        <f aca="false">IF(COUNT($D207:$G207)&lt;4,0,SUM($D207:$G207))</f>
        <v>12</v>
      </c>
      <c r="I207" s="26" t="str">
        <f aca="false">IF($H207=0,"",IF($H207&lt;=8,"Ótimo",IF($H207&lt;=12,"Bom",IF($H207&lt;=16,"Regular",IF($H207&lt;=20,"Alerta","Crítico")))))</f>
        <v>Bom</v>
      </c>
      <c r="J207" s="27"/>
      <c r="K207" s="27" t="s">
        <v>373</v>
      </c>
    </row>
    <row r="208" customFormat="false" ht="15" hidden="false" customHeight="false" outlineLevel="0" collapsed="false">
      <c r="A208" s="29" t="n">
        <v>46266</v>
      </c>
      <c r="B208" s="40" t="n">
        <f aca="false">IF($A208="",0,INT(($A208-Macrociclo!$C$11)/7)+1)</f>
        <v>35</v>
      </c>
      <c r="C208" s="27" t="s">
        <v>259</v>
      </c>
      <c r="D208" s="28" t="n">
        <v>2</v>
      </c>
      <c r="E208" s="28" t="n">
        <v>3</v>
      </c>
      <c r="F208" s="28" t="n">
        <v>2</v>
      </c>
      <c r="G208" s="28" t="n">
        <v>4</v>
      </c>
      <c r="H208" s="40" t="n">
        <f aca="false">IF(COUNT($D208:$G208)&lt;4,0,SUM($D208:$G208))</f>
        <v>11</v>
      </c>
      <c r="I208" s="26" t="str">
        <f aca="false">IF($H208=0,"",IF($H208&lt;=8,"Ótimo",IF($H208&lt;=12,"Bom",IF($H208&lt;=16,"Regular",IF($H208&lt;=20,"Alerta","Crítico")))))</f>
        <v>Bom</v>
      </c>
      <c r="J208" s="27"/>
      <c r="K208" s="27" t="s">
        <v>373</v>
      </c>
    </row>
    <row r="209" customFormat="false" ht="15" hidden="false" customHeight="false" outlineLevel="0" collapsed="false">
      <c r="A209" s="29" t="n">
        <v>46266</v>
      </c>
      <c r="B209" s="40" t="n">
        <f aca="false">IF($A209="",0,INT(($A209-Macrociclo!$C$11)/7)+1)</f>
        <v>35</v>
      </c>
      <c r="C209" s="27" t="s">
        <v>264</v>
      </c>
      <c r="D209" s="28" t="n">
        <v>2</v>
      </c>
      <c r="E209" s="28" t="n">
        <v>3</v>
      </c>
      <c r="F209" s="28" t="n">
        <v>2</v>
      </c>
      <c r="G209" s="28" t="n">
        <v>4</v>
      </c>
      <c r="H209" s="40" t="n">
        <f aca="false">IF(COUNT($D209:$G209)&lt;4,0,SUM($D209:$G209))</f>
        <v>11</v>
      </c>
      <c r="I209" s="26" t="str">
        <f aca="false">IF($H209=0,"",IF($H209&lt;=8,"Ótimo",IF($H209&lt;=12,"Bom",IF($H209&lt;=16,"Regular",IF($H209&lt;=20,"Alerta","Crítico")))))</f>
        <v>Bom</v>
      </c>
      <c r="J209" s="27"/>
      <c r="K209" s="27" t="s">
        <v>373</v>
      </c>
    </row>
    <row r="210" customFormat="false" ht="15" hidden="false" customHeight="false" outlineLevel="0" collapsed="false">
      <c r="A210" s="29" t="n">
        <v>46266</v>
      </c>
      <c r="B210" s="40" t="n">
        <f aca="false">IF($A210="",0,INT(($A210-Macrociclo!$C$11)/7)+1)</f>
        <v>35</v>
      </c>
      <c r="C210" s="27" t="s">
        <v>270</v>
      </c>
      <c r="D210" s="28" t="n">
        <v>3</v>
      </c>
      <c r="E210" s="28" t="n">
        <v>2</v>
      </c>
      <c r="F210" s="28" t="n">
        <v>3</v>
      </c>
      <c r="G210" s="28" t="n">
        <v>4</v>
      </c>
      <c r="H210" s="40" t="n">
        <f aca="false">IF(COUNT($D210:$G210)&lt;4,0,SUM($D210:$G210))</f>
        <v>12</v>
      </c>
      <c r="I210" s="26" t="str">
        <f aca="false">IF($H210=0,"",IF($H210&lt;=8,"Ótimo",IF($H210&lt;=12,"Bom",IF($H210&lt;=16,"Regular",IF($H210&lt;=20,"Alerta","Crítico")))))</f>
        <v>Bom</v>
      </c>
      <c r="J210" s="27"/>
      <c r="K210" s="27" t="s">
        <v>373</v>
      </c>
    </row>
    <row r="211" customFormat="false" ht="15" hidden="false" customHeight="false" outlineLevel="0" collapsed="false">
      <c r="A211" s="29" t="n">
        <v>46266</v>
      </c>
      <c r="B211" s="40" t="n">
        <f aca="false">IF($A211="",0,INT(($A211-Macrociclo!$C$11)/7)+1)</f>
        <v>35</v>
      </c>
      <c r="C211" s="27" t="s">
        <v>279</v>
      </c>
      <c r="D211" s="28" t="n">
        <v>3</v>
      </c>
      <c r="E211" s="28" t="n">
        <v>3</v>
      </c>
      <c r="F211" s="28" t="n">
        <v>2</v>
      </c>
      <c r="G211" s="28" t="n">
        <v>4</v>
      </c>
      <c r="H211" s="40" t="n">
        <f aca="false">IF(COUNT($D211:$G211)&lt;4,0,SUM($D211:$G211))</f>
        <v>12</v>
      </c>
      <c r="I211" s="26" t="str">
        <f aca="false">IF($H211=0,"",IF($H211&lt;=8,"Ótimo",IF($H211&lt;=12,"Bom",IF($H211&lt;=16,"Regular",IF($H211&lt;=20,"Alerta","Crítico")))))</f>
        <v>Bom</v>
      </c>
      <c r="J211" s="27"/>
      <c r="K211" s="27" t="s">
        <v>373</v>
      </c>
    </row>
    <row r="212" customFormat="false" ht="15" hidden="false" customHeight="false" outlineLevel="0" collapsed="false">
      <c r="A212" s="29" t="n">
        <v>46267</v>
      </c>
      <c r="B212" s="40" t="n">
        <f aca="false">IF($A212="",0,INT(($A212-Macrociclo!$C$11)/7)+1)</f>
        <v>35</v>
      </c>
      <c r="C212" s="27" t="s">
        <v>164</v>
      </c>
      <c r="D212" s="28" t="n">
        <v>4</v>
      </c>
      <c r="E212" s="28" t="n">
        <v>2</v>
      </c>
      <c r="F212" s="28" t="n">
        <v>3</v>
      </c>
      <c r="G212" s="28" t="n">
        <v>2</v>
      </c>
      <c r="H212" s="40" t="n">
        <f aca="false">IF(COUNT($D212:$G212)&lt;4,0,SUM($D212:$G212))</f>
        <v>11</v>
      </c>
      <c r="I212" s="26" t="str">
        <f aca="false">IF($H212=0,"",IF($H212&lt;=8,"Ótimo",IF($H212&lt;=12,"Bom",IF($H212&lt;=16,"Regular",IF($H212&lt;=20,"Alerta","Crítico")))))</f>
        <v>Bom</v>
      </c>
      <c r="J212" s="27"/>
      <c r="K212" s="27" t="s">
        <v>373</v>
      </c>
    </row>
    <row r="213" customFormat="false" ht="15" hidden="false" customHeight="false" outlineLevel="0" collapsed="false">
      <c r="A213" s="29" t="n">
        <v>46267</v>
      </c>
      <c r="B213" s="40" t="n">
        <f aca="false">IF($A213="",0,INT(($A213-Macrociclo!$C$11)/7)+1)</f>
        <v>35</v>
      </c>
      <c r="C213" s="27" t="s">
        <v>192</v>
      </c>
      <c r="D213" s="28" t="n">
        <v>3</v>
      </c>
      <c r="E213" s="28" t="n">
        <v>4</v>
      </c>
      <c r="F213" s="28" t="n">
        <v>4</v>
      </c>
      <c r="G213" s="28" t="n">
        <v>4</v>
      </c>
      <c r="H213" s="40" t="n">
        <f aca="false">IF(COUNT($D213:$G213)&lt;4,0,SUM($D213:$G213))</f>
        <v>15</v>
      </c>
      <c r="I213" s="26" t="str">
        <f aca="false">IF($H213=0,"",IF($H213&lt;=8,"Ótimo",IF($H213&lt;=12,"Bom",IF($H213&lt;=16,"Regular",IF($H213&lt;=20,"Alerta","Crítico")))))</f>
        <v>Regular</v>
      </c>
      <c r="J213" s="27"/>
      <c r="K213" s="27" t="s">
        <v>373</v>
      </c>
    </row>
    <row r="214" customFormat="false" ht="15" hidden="false" customHeight="false" outlineLevel="0" collapsed="false">
      <c r="A214" s="29" t="n">
        <v>46267</v>
      </c>
      <c r="B214" s="40" t="n">
        <f aca="false">IF($A214="",0,INT(($A214-Macrociclo!$C$11)/7)+1)</f>
        <v>35</v>
      </c>
      <c r="C214" s="27" t="s">
        <v>206</v>
      </c>
      <c r="D214" s="28" t="n">
        <v>2</v>
      </c>
      <c r="E214" s="28" t="n">
        <v>2</v>
      </c>
      <c r="F214" s="28" t="n">
        <v>2</v>
      </c>
      <c r="G214" s="28" t="n">
        <v>2</v>
      </c>
      <c r="H214" s="40" t="n">
        <f aca="false">IF(COUNT($D214:$G214)&lt;4,0,SUM($D214:$G214))</f>
        <v>8</v>
      </c>
      <c r="I214" s="26" t="str">
        <f aca="false">IF($H214=0,"",IF($H214&lt;=8,"Ótimo",IF($H214&lt;=12,"Bom",IF($H214&lt;=16,"Regular",IF($H214&lt;=20,"Alerta","Crítico")))))</f>
        <v>Ótimo</v>
      </c>
      <c r="J214" s="27"/>
      <c r="K214" s="27" t="s">
        <v>373</v>
      </c>
    </row>
    <row r="215" customFormat="false" ht="15" hidden="false" customHeight="false" outlineLevel="0" collapsed="false">
      <c r="A215" s="29" t="n">
        <v>46267</v>
      </c>
      <c r="B215" s="40" t="n">
        <f aca="false">IF($A215="",0,INT(($A215-Macrociclo!$C$11)/7)+1)</f>
        <v>35</v>
      </c>
      <c r="C215" s="27" t="s">
        <v>215</v>
      </c>
      <c r="D215" s="28" t="n">
        <v>4</v>
      </c>
      <c r="E215" s="28" t="n">
        <v>6</v>
      </c>
      <c r="F215" s="28" t="n">
        <v>5</v>
      </c>
      <c r="G215" s="28" t="n">
        <v>5</v>
      </c>
      <c r="H215" s="40" t="n">
        <f aca="false">IF(COUNT($D215:$G215)&lt;4,0,SUM($D215:$G215))</f>
        <v>20</v>
      </c>
      <c r="I215" s="26" t="str">
        <f aca="false">IF($H215=0,"",IF($H215&lt;=8,"Ótimo",IF($H215&lt;=12,"Bom",IF($H215&lt;=16,"Regular",IF($H215&lt;=20,"Alerta","Crítico")))))</f>
        <v>Alerta</v>
      </c>
      <c r="J215" s="27"/>
      <c r="K215" s="27" t="s">
        <v>373</v>
      </c>
    </row>
    <row r="216" customFormat="false" ht="15" hidden="false" customHeight="false" outlineLevel="0" collapsed="false">
      <c r="A216" s="29" t="n">
        <v>46267</v>
      </c>
      <c r="B216" s="40" t="n">
        <f aca="false">IF($A216="",0,INT(($A216-Macrociclo!$C$11)/7)+1)</f>
        <v>35</v>
      </c>
      <c r="C216" s="27" t="s">
        <v>226</v>
      </c>
      <c r="D216" s="28" t="n">
        <v>2</v>
      </c>
      <c r="E216" s="28" t="n">
        <v>4</v>
      </c>
      <c r="F216" s="28" t="n">
        <v>3</v>
      </c>
      <c r="G216" s="28" t="n">
        <v>2</v>
      </c>
      <c r="H216" s="40" t="n">
        <f aca="false">IF(COUNT($D216:$G216)&lt;4,0,SUM($D216:$G216))</f>
        <v>11</v>
      </c>
      <c r="I216" s="26" t="str">
        <f aca="false">IF($H216=0,"",IF($H216&lt;=8,"Ótimo",IF($H216&lt;=12,"Bom",IF($H216&lt;=16,"Regular",IF($H216&lt;=20,"Alerta","Crítico")))))</f>
        <v>Bom</v>
      </c>
      <c r="J216" s="27"/>
      <c r="K216" s="27" t="s">
        <v>373</v>
      </c>
    </row>
    <row r="217" customFormat="false" ht="15" hidden="false" customHeight="false" outlineLevel="0" collapsed="false">
      <c r="A217" s="29" t="n">
        <v>46267</v>
      </c>
      <c r="B217" s="40" t="n">
        <f aca="false">IF($A217="",0,INT(($A217-Macrociclo!$C$11)/7)+1)</f>
        <v>35</v>
      </c>
      <c r="C217" s="27" t="s">
        <v>236</v>
      </c>
      <c r="D217" s="28" t="n">
        <v>3</v>
      </c>
      <c r="E217" s="28" t="n">
        <v>3</v>
      </c>
      <c r="F217" s="28" t="n">
        <v>3</v>
      </c>
      <c r="G217" s="28" t="n">
        <v>2</v>
      </c>
      <c r="H217" s="40" t="n">
        <f aca="false">IF(COUNT($D217:$G217)&lt;4,0,SUM($D217:$G217))</f>
        <v>11</v>
      </c>
      <c r="I217" s="26" t="str">
        <f aca="false">IF($H217=0,"",IF($H217&lt;=8,"Ótimo",IF($H217&lt;=12,"Bom",IF($H217&lt;=16,"Regular",IF($H217&lt;=20,"Alerta","Crítico")))))</f>
        <v>Bom</v>
      </c>
      <c r="J217" s="27"/>
      <c r="K217" s="27" t="s">
        <v>373</v>
      </c>
    </row>
    <row r="218" customFormat="false" ht="15" hidden="false" customHeight="false" outlineLevel="0" collapsed="false">
      <c r="A218" s="29" t="n">
        <v>46267</v>
      </c>
      <c r="B218" s="40" t="n">
        <f aca="false">IF($A218="",0,INT(($A218-Macrociclo!$C$11)/7)+1)</f>
        <v>35</v>
      </c>
      <c r="C218" s="27" t="s">
        <v>244</v>
      </c>
      <c r="D218" s="28" t="n">
        <v>4</v>
      </c>
      <c r="E218" s="28" t="n">
        <v>2</v>
      </c>
      <c r="F218" s="28" t="n">
        <v>2</v>
      </c>
      <c r="G218" s="28" t="n">
        <v>3</v>
      </c>
      <c r="H218" s="40" t="n">
        <f aca="false">IF(COUNT($D218:$G218)&lt;4,0,SUM($D218:$G218))</f>
        <v>11</v>
      </c>
      <c r="I218" s="26" t="str">
        <f aca="false">IF($H218=0,"",IF($H218&lt;=8,"Ótimo",IF($H218&lt;=12,"Bom",IF($H218&lt;=16,"Regular",IF($H218&lt;=20,"Alerta","Crítico")))))</f>
        <v>Bom</v>
      </c>
      <c r="J218" s="27"/>
      <c r="K218" s="27" t="s">
        <v>373</v>
      </c>
    </row>
    <row r="219" customFormat="false" ht="15" hidden="false" customHeight="false" outlineLevel="0" collapsed="false">
      <c r="A219" s="29" t="n">
        <v>46267</v>
      </c>
      <c r="B219" s="40" t="n">
        <f aca="false">IF($A219="",0,INT(($A219-Macrociclo!$C$11)/7)+1)</f>
        <v>35</v>
      </c>
      <c r="C219" s="27" t="s">
        <v>253</v>
      </c>
      <c r="D219" s="28" t="n">
        <v>3</v>
      </c>
      <c r="E219" s="28" t="n">
        <v>3</v>
      </c>
      <c r="F219" s="28" t="n">
        <v>3</v>
      </c>
      <c r="G219" s="28" t="n">
        <v>3</v>
      </c>
      <c r="H219" s="40" t="n">
        <f aca="false">IF(COUNT($D219:$G219)&lt;4,0,SUM($D219:$G219))</f>
        <v>12</v>
      </c>
      <c r="I219" s="26" t="str">
        <f aca="false">IF($H219=0,"",IF($H219&lt;=8,"Ótimo",IF($H219&lt;=12,"Bom",IF($H219&lt;=16,"Regular",IF($H219&lt;=20,"Alerta","Crítico")))))</f>
        <v>Bom</v>
      </c>
      <c r="J219" s="27"/>
      <c r="K219" s="27" t="s">
        <v>373</v>
      </c>
    </row>
    <row r="220" customFormat="false" ht="15" hidden="false" customHeight="false" outlineLevel="0" collapsed="false">
      <c r="A220" s="29" t="n">
        <v>46267</v>
      </c>
      <c r="B220" s="40" t="n">
        <f aca="false">IF($A220="",0,INT(($A220-Macrociclo!$C$11)/7)+1)</f>
        <v>35</v>
      </c>
      <c r="C220" s="27" t="s">
        <v>259</v>
      </c>
      <c r="D220" s="28" t="n">
        <v>2</v>
      </c>
      <c r="E220" s="28" t="n">
        <v>3</v>
      </c>
      <c r="F220" s="28" t="n">
        <v>2</v>
      </c>
      <c r="G220" s="28" t="n">
        <v>2</v>
      </c>
      <c r="H220" s="40" t="n">
        <f aca="false">IF(COUNT($D220:$G220)&lt;4,0,SUM($D220:$G220))</f>
        <v>9</v>
      </c>
      <c r="I220" s="26" t="str">
        <f aca="false">IF($H220=0,"",IF($H220&lt;=8,"Ótimo",IF($H220&lt;=12,"Bom",IF($H220&lt;=16,"Regular",IF($H220&lt;=20,"Alerta","Crítico")))))</f>
        <v>Bom</v>
      </c>
      <c r="J220" s="27"/>
      <c r="K220" s="27" t="s">
        <v>373</v>
      </c>
    </row>
    <row r="221" customFormat="false" ht="15" hidden="false" customHeight="false" outlineLevel="0" collapsed="false">
      <c r="A221" s="29" t="n">
        <v>46267</v>
      </c>
      <c r="B221" s="40" t="n">
        <f aca="false">IF($A221="",0,INT(($A221-Macrociclo!$C$11)/7)+1)</f>
        <v>35</v>
      </c>
      <c r="C221" s="27" t="s">
        <v>264</v>
      </c>
      <c r="D221" s="28" t="n">
        <v>3</v>
      </c>
      <c r="E221" s="28" t="n">
        <v>4</v>
      </c>
      <c r="F221" s="28" t="n">
        <v>4</v>
      </c>
      <c r="G221" s="28" t="n">
        <v>2</v>
      </c>
      <c r="H221" s="40" t="n">
        <f aca="false">IF(COUNT($D221:$G221)&lt;4,0,SUM($D221:$G221))</f>
        <v>13</v>
      </c>
      <c r="I221" s="26" t="str">
        <f aca="false">IF($H221=0,"",IF($H221&lt;=8,"Ótimo",IF($H221&lt;=12,"Bom",IF($H221&lt;=16,"Regular",IF($H221&lt;=20,"Alerta","Crítico")))))</f>
        <v>Regular</v>
      </c>
      <c r="J221" s="27"/>
      <c r="K221" s="27" t="s">
        <v>373</v>
      </c>
    </row>
    <row r="222" customFormat="false" ht="15" hidden="false" customHeight="false" outlineLevel="0" collapsed="false">
      <c r="A222" s="29" t="n">
        <v>46267</v>
      </c>
      <c r="B222" s="40" t="n">
        <f aca="false">IF($A222="",0,INT(($A222-Macrociclo!$C$11)/7)+1)</f>
        <v>35</v>
      </c>
      <c r="C222" s="27" t="s">
        <v>270</v>
      </c>
      <c r="D222" s="28" t="n">
        <v>2</v>
      </c>
      <c r="E222" s="28" t="n">
        <v>3</v>
      </c>
      <c r="F222" s="28" t="n">
        <v>2</v>
      </c>
      <c r="G222" s="28" t="n">
        <v>4</v>
      </c>
      <c r="H222" s="40" t="n">
        <f aca="false">IF(COUNT($D222:$G222)&lt;4,0,SUM($D222:$G222))</f>
        <v>11</v>
      </c>
      <c r="I222" s="26" t="str">
        <f aca="false">IF($H222=0,"",IF($H222&lt;=8,"Ótimo",IF($H222&lt;=12,"Bom",IF($H222&lt;=16,"Regular",IF($H222&lt;=20,"Alerta","Crítico")))))</f>
        <v>Bom</v>
      </c>
      <c r="J222" s="27"/>
      <c r="K222" s="27" t="s">
        <v>373</v>
      </c>
    </row>
    <row r="223" customFormat="false" ht="15" hidden="false" customHeight="false" outlineLevel="0" collapsed="false">
      <c r="A223" s="29" t="n">
        <v>46267</v>
      </c>
      <c r="B223" s="40" t="n">
        <f aca="false">IF($A223="",0,INT(($A223-Macrociclo!$C$11)/7)+1)</f>
        <v>35</v>
      </c>
      <c r="C223" s="27" t="s">
        <v>279</v>
      </c>
      <c r="D223" s="28" t="n">
        <v>4</v>
      </c>
      <c r="E223" s="28" t="n">
        <v>2</v>
      </c>
      <c r="F223" s="28" t="n">
        <v>3</v>
      </c>
      <c r="G223" s="28" t="n">
        <v>2</v>
      </c>
      <c r="H223" s="40" t="n">
        <f aca="false">IF(COUNT($D223:$G223)&lt;4,0,SUM($D223:$G223))</f>
        <v>11</v>
      </c>
      <c r="I223" s="26" t="str">
        <f aca="false">IF($H223=0,"",IF($H223&lt;=8,"Ótimo",IF($H223&lt;=12,"Bom",IF($H223&lt;=16,"Regular",IF($H223&lt;=20,"Alerta","Crítico")))))</f>
        <v>Bom</v>
      </c>
      <c r="J223" s="27"/>
      <c r="K223" s="27" t="s">
        <v>373</v>
      </c>
    </row>
    <row r="224" customFormat="false" ht="15" hidden="false" customHeight="false" outlineLevel="0" collapsed="false">
      <c r="A224" s="29"/>
      <c r="B224" s="40" t="n">
        <f aca="false">IF($A224="",0,INT(($A224-Macrociclo!$C$11)/7)+1)</f>
        <v>0</v>
      </c>
      <c r="C224" s="27"/>
      <c r="D224" s="28"/>
      <c r="E224" s="28"/>
      <c r="F224" s="28"/>
      <c r="G224" s="28"/>
      <c r="H224" s="40" t="n">
        <f aca="false">IF(COUNT($D224:$G224)&lt;4,0,SUM($D224:$G224))</f>
        <v>0</v>
      </c>
      <c r="I224" s="26" t="str">
        <f aca="false">IF($H224=0,"",IF($H224&lt;=8,"Ótimo",IF($H224&lt;=12,"Bom",IF($H224&lt;=16,"Regular",IF($H224&lt;=20,"Alerta","Crítico")))))</f>
        <v/>
      </c>
      <c r="J224" s="27"/>
      <c r="K224" s="27"/>
    </row>
    <row r="225" customFormat="false" ht="15" hidden="false" customHeight="false" outlineLevel="0" collapsed="false">
      <c r="A225" s="29"/>
      <c r="B225" s="40" t="n">
        <f aca="false">IF($A225="",0,INT(($A225-Macrociclo!$C$11)/7)+1)</f>
        <v>0</v>
      </c>
      <c r="C225" s="27"/>
      <c r="D225" s="28"/>
      <c r="E225" s="28"/>
      <c r="F225" s="28"/>
      <c r="G225" s="28"/>
      <c r="H225" s="40" t="n">
        <f aca="false">IF(COUNT($D225:$G225)&lt;4,0,SUM($D225:$G225))</f>
        <v>0</v>
      </c>
      <c r="I225" s="26" t="str">
        <f aca="false">IF($H225=0,"",IF($H225&lt;=8,"Ótimo",IF($H225&lt;=12,"Bom",IF($H225&lt;=16,"Regular",IF($H225&lt;=20,"Alerta","Crítico")))))</f>
        <v/>
      </c>
      <c r="J225" s="27"/>
      <c r="K225" s="27"/>
    </row>
    <row r="226" customFormat="false" ht="15" hidden="false" customHeight="false" outlineLevel="0" collapsed="false">
      <c r="A226" s="29"/>
      <c r="B226" s="40" t="n">
        <f aca="false">IF($A226="",0,INT(($A226-Macrociclo!$C$11)/7)+1)</f>
        <v>0</v>
      </c>
      <c r="C226" s="27"/>
      <c r="D226" s="28"/>
      <c r="E226" s="28"/>
      <c r="F226" s="28"/>
      <c r="G226" s="28"/>
      <c r="H226" s="40" t="n">
        <f aca="false">IF(COUNT($D226:$G226)&lt;4,0,SUM($D226:$G226))</f>
        <v>0</v>
      </c>
      <c r="I226" s="26" t="str">
        <f aca="false">IF($H226=0,"",IF($H226&lt;=8,"Ótimo",IF($H226&lt;=12,"Bom",IF($H226&lt;=16,"Regular",IF($H226&lt;=20,"Alerta","Crítico")))))</f>
        <v/>
      </c>
      <c r="J226" s="27"/>
      <c r="K226" s="27"/>
    </row>
    <row r="227" customFormat="false" ht="15" hidden="false" customHeight="false" outlineLevel="0" collapsed="false">
      <c r="A227" s="29"/>
      <c r="B227" s="40" t="n">
        <f aca="false">IF($A227="",0,INT(($A227-Macrociclo!$C$11)/7)+1)</f>
        <v>0</v>
      </c>
      <c r="C227" s="27"/>
      <c r="D227" s="28"/>
      <c r="E227" s="28"/>
      <c r="F227" s="28"/>
      <c r="G227" s="28"/>
      <c r="H227" s="40" t="n">
        <f aca="false">IF(COUNT($D227:$G227)&lt;4,0,SUM($D227:$G227))</f>
        <v>0</v>
      </c>
      <c r="I227" s="26" t="str">
        <f aca="false">IF($H227=0,"",IF($H227&lt;=8,"Ótimo",IF($H227&lt;=12,"Bom",IF($H227&lt;=16,"Regular",IF($H227&lt;=20,"Alerta","Crítico")))))</f>
        <v/>
      </c>
      <c r="J227" s="27"/>
      <c r="K227" s="27"/>
    </row>
    <row r="228" customFormat="false" ht="15" hidden="false" customHeight="false" outlineLevel="0" collapsed="false">
      <c r="A228" s="29"/>
      <c r="B228" s="40" t="n">
        <f aca="false">IF($A228="",0,INT(($A228-Macrociclo!$C$11)/7)+1)</f>
        <v>0</v>
      </c>
      <c r="C228" s="27"/>
      <c r="D228" s="28"/>
      <c r="E228" s="28"/>
      <c r="F228" s="28"/>
      <c r="G228" s="28"/>
      <c r="H228" s="40" t="n">
        <f aca="false">IF(COUNT($D228:$G228)&lt;4,0,SUM($D228:$G228))</f>
        <v>0</v>
      </c>
      <c r="I228" s="26" t="str">
        <f aca="false">IF($H228=0,"",IF($H228&lt;=8,"Ótimo",IF($H228&lt;=12,"Bom",IF($H228&lt;=16,"Regular",IF($H228&lt;=20,"Alerta","Crítico")))))</f>
        <v/>
      </c>
      <c r="J228" s="27"/>
      <c r="K228" s="27"/>
    </row>
    <row r="229" customFormat="false" ht="15" hidden="false" customHeight="false" outlineLevel="0" collapsed="false">
      <c r="A229" s="29"/>
      <c r="B229" s="40" t="n">
        <f aca="false">IF($A229="",0,INT(($A229-Macrociclo!$C$11)/7)+1)</f>
        <v>0</v>
      </c>
      <c r="C229" s="27"/>
      <c r="D229" s="28"/>
      <c r="E229" s="28"/>
      <c r="F229" s="28"/>
      <c r="G229" s="28"/>
      <c r="H229" s="40" t="n">
        <f aca="false">IF(COUNT($D229:$G229)&lt;4,0,SUM($D229:$G229))</f>
        <v>0</v>
      </c>
      <c r="I229" s="26" t="str">
        <f aca="false">IF($H229=0,"",IF($H229&lt;=8,"Ótimo",IF($H229&lt;=12,"Bom",IF($H229&lt;=16,"Regular",IF($H229&lt;=20,"Alerta","Crítico")))))</f>
        <v/>
      </c>
      <c r="J229" s="27"/>
      <c r="K229" s="27"/>
    </row>
    <row r="230" customFormat="false" ht="15" hidden="false" customHeight="false" outlineLevel="0" collapsed="false">
      <c r="A230" s="29"/>
      <c r="B230" s="40" t="n">
        <f aca="false">IF($A230="",0,INT(($A230-Macrociclo!$C$11)/7)+1)</f>
        <v>0</v>
      </c>
      <c r="C230" s="27"/>
      <c r="D230" s="28"/>
      <c r="E230" s="28"/>
      <c r="F230" s="28"/>
      <c r="G230" s="28"/>
      <c r="H230" s="40" t="n">
        <f aca="false">IF(COUNT($D230:$G230)&lt;4,0,SUM($D230:$G230))</f>
        <v>0</v>
      </c>
      <c r="I230" s="26" t="str">
        <f aca="false">IF($H230=0,"",IF($H230&lt;=8,"Ótimo",IF($H230&lt;=12,"Bom",IF($H230&lt;=16,"Regular",IF($H230&lt;=20,"Alerta","Crítico")))))</f>
        <v/>
      </c>
      <c r="J230" s="27"/>
      <c r="K230" s="27"/>
    </row>
    <row r="231" customFormat="false" ht="15" hidden="false" customHeight="false" outlineLevel="0" collapsed="false">
      <c r="A231" s="29"/>
      <c r="B231" s="40" t="n">
        <f aca="false">IF($A231="",0,INT(($A231-Macrociclo!$C$11)/7)+1)</f>
        <v>0</v>
      </c>
      <c r="C231" s="27"/>
      <c r="D231" s="28"/>
      <c r="E231" s="28"/>
      <c r="F231" s="28"/>
      <c r="G231" s="28"/>
      <c r="H231" s="40" t="n">
        <f aca="false">IF(COUNT($D231:$G231)&lt;4,0,SUM($D231:$G231))</f>
        <v>0</v>
      </c>
      <c r="I231" s="26" t="str">
        <f aca="false">IF($H231=0,"",IF($H231&lt;=8,"Ótimo",IF($H231&lt;=12,"Bom",IF($H231&lt;=16,"Regular",IF($H231&lt;=20,"Alerta","Crítico")))))</f>
        <v/>
      </c>
      <c r="J231" s="27"/>
      <c r="K231" s="27"/>
    </row>
    <row r="232" customFormat="false" ht="15" hidden="false" customHeight="false" outlineLevel="0" collapsed="false">
      <c r="A232" s="29"/>
      <c r="B232" s="40" t="n">
        <f aca="false">IF($A232="",0,INT(($A232-Macrociclo!$C$11)/7)+1)</f>
        <v>0</v>
      </c>
      <c r="C232" s="27"/>
      <c r="D232" s="28"/>
      <c r="E232" s="28"/>
      <c r="F232" s="28"/>
      <c r="G232" s="28"/>
      <c r="H232" s="40" t="n">
        <f aca="false">IF(COUNT($D232:$G232)&lt;4,0,SUM($D232:$G232))</f>
        <v>0</v>
      </c>
      <c r="I232" s="26" t="str">
        <f aca="false">IF($H232=0,"",IF($H232&lt;=8,"Ótimo",IF($H232&lt;=12,"Bom",IF($H232&lt;=16,"Regular",IF($H232&lt;=20,"Alerta","Crítico")))))</f>
        <v/>
      </c>
      <c r="J232" s="27"/>
      <c r="K232" s="27"/>
    </row>
    <row r="233" customFormat="false" ht="15" hidden="false" customHeight="false" outlineLevel="0" collapsed="false">
      <c r="A233" s="29"/>
      <c r="B233" s="40" t="n">
        <f aca="false">IF($A233="",0,INT(($A233-Macrociclo!$C$11)/7)+1)</f>
        <v>0</v>
      </c>
      <c r="C233" s="27"/>
      <c r="D233" s="28"/>
      <c r="E233" s="28"/>
      <c r="F233" s="28"/>
      <c r="G233" s="28"/>
      <c r="H233" s="40" t="n">
        <f aca="false">IF(COUNT($D233:$G233)&lt;4,0,SUM($D233:$G233))</f>
        <v>0</v>
      </c>
      <c r="I233" s="26" t="str">
        <f aca="false">IF($H233=0,"",IF($H233&lt;=8,"Ótimo",IF($H233&lt;=12,"Bom",IF($H233&lt;=16,"Regular",IF($H233&lt;=20,"Alerta","Crítico")))))</f>
        <v/>
      </c>
      <c r="J233" s="27"/>
      <c r="K233" s="27"/>
    </row>
    <row r="234" customFormat="false" ht="15" hidden="false" customHeight="false" outlineLevel="0" collapsed="false">
      <c r="A234" s="29"/>
      <c r="B234" s="40" t="n">
        <f aca="false">IF($A234="",0,INT(($A234-Macrociclo!$C$11)/7)+1)</f>
        <v>0</v>
      </c>
      <c r="C234" s="27"/>
      <c r="D234" s="28"/>
      <c r="E234" s="28"/>
      <c r="F234" s="28"/>
      <c r="G234" s="28"/>
      <c r="H234" s="40" t="n">
        <f aca="false">IF(COUNT($D234:$G234)&lt;4,0,SUM($D234:$G234))</f>
        <v>0</v>
      </c>
      <c r="I234" s="26" t="str">
        <f aca="false">IF($H234=0,"",IF($H234&lt;=8,"Ótimo",IF($H234&lt;=12,"Bom",IF($H234&lt;=16,"Regular",IF($H234&lt;=20,"Alerta","Crítico")))))</f>
        <v/>
      </c>
      <c r="J234" s="27"/>
      <c r="K234" s="27"/>
    </row>
    <row r="235" customFormat="false" ht="15" hidden="false" customHeight="false" outlineLevel="0" collapsed="false">
      <c r="A235" s="29"/>
      <c r="B235" s="40" t="n">
        <f aca="false">IF($A235="",0,INT(($A235-Macrociclo!$C$11)/7)+1)</f>
        <v>0</v>
      </c>
      <c r="C235" s="27"/>
      <c r="D235" s="28"/>
      <c r="E235" s="28"/>
      <c r="F235" s="28"/>
      <c r="G235" s="28"/>
      <c r="H235" s="40" t="n">
        <f aca="false">IF(COUNT($D235:$G235)&lt;4,0,SUM($D235:$G235))</f>
        <v>0</v>
      </c>
      <c r="I235" s="26" t="str">
        <f aca="false">IF($H235=0,"",IF($H235&lt;=8,"Ótimo",IF($H235&lt;=12,"Bom",IF($H235&lt;=16,"Regular",IF($H235&lt;=20,"Alerta","Crítico")))))</f>
        <v/>
      </c>
      <c r="J235" s="27"/>
      <c r="K235" s="27"/>
    </row>
    <row r="236" customFormat="false" ht="15" hidden="false" customHeight="false" outlineLevel="0" collapsed="false">
      <c r="A236" s="29"/>
      <c r="B236" s="40" t="n">
        <f aca="false">IF($A236="",0,INT(($A236-Macrociclo!$C$11)/7)+1)</f>
        <v>0</v>
      </c>
      <c r="C236" s="27"/>
      <c r="D236" s="28"/>
      <c r="E236" s="28"/>
      <c r="F236" s="28"/>
      <c r="G236" s="28"/>
      <c r="H236" s="40" t="n">
        <f aca="false">IF(COUNT($D236:$G236)&lt;4,0,SUM($D236:$G236))</f>
        <v>0</v>
      </c>
      <c r="I236" s="26" t="str">
        <f aca="false">IF($H236=0,"",IF($H236&lt;=8,"Ótimo",IF($H236&lt;=12,"Bom",IF($H236&lt;=16,"Regular",IF($H236&lt;=20,"Alerta","Crítico")))))</f>
        <v/>
      </c>
      <c r="J236" s="27"/>
      <c r="K236" s="27"/>
    </row>
    <row r="237" customFormat="false" ht="15" hidden="false" customHeight="false" outlineLevel="0" collapsed="false">
      <c r="A237" s="29"/>
      <c r="B237" s="40" t="n">
        <f aca="false">IF($A237="",0,INT(($A237-Macrociclo!$C$11)/7)+1)</f>
        <v>0</v>
      </c>
      <c r="C237" s="27"/>
      <c r="D237" s="28"/>
      <c r="E237" s="28"/>
      <c r="F237" s="28"/>
      <c r="G237" s="28"/>
      <c r="H237" s="40" t="n">
        <f aca="false">IF(COUNT($D237:$G237)&lt;4,0,SUM($D237:$G237))</f>
        <v>0</v>
      </c>
      <c r="I237" s="26" t="str">
        <f aca="false">IF($H237=0,"",IF($H237&lt;=8,"Ótimo",IF($H237&lt;=12,"Bom",IF($H237&lt;=16,"Regular",IF($H237&lt;=20,"Alerta","Crítico")))))</f>
        <v/>
      </c>
      <c r="J237" s="27"/>
      <c r="K237" s="27"/>
    </row>
    <row r="238" customFormat="false" ht="15" hidden="false" customHeight="false" outlineLevel="0" collapsed="false">
      <c r="A238" s="29"/>
      <c r="B238" s="40" t="n">
        <f aca="false">IF($A238="",0,INT(($A238-Macrociclo!$C$11)/7)+1)</f>
        <v>0</v>
      </c>
      <c r="C238" s="27"/>
      <c r="D238" s="28"/>
      <c r="E238" s="28"/>
      <c r="F238" s="28"/>
      <c r="G238" s="28"/>
      <c r="H238" s="40" t="n">
        <f aca="false">IF(COUNT($D238:$G238)&lt;4,0,SUM($D238:$G238))</f>
        <v>0</v>
      </c>
      <c r="I238" s="26" t="str">
        <f aca="false">IF($H238=0,"",IF($H238&lt;=8,"Ótimo",IF($H238&lt;=12,"Bom",IF($H238&lt;=16,"Regular",IF($H238&lt;=20,"Alerta","Crítico")))))</f>
        <v/>
      </c>
      <c r="J238" s="27"/>
      <c r="K238" s="27"/>
    </row>
    <row r="239" customFormat="false" ht="15" hidden="false" customHeight="false" outlineLevel="0" collapsed="false">
      <c r="A239" s="29"/>
      <c r="B239" s="40" t="n">
        <f aca="false">IF($A239="",0,INT(($A239-Macrociclo!$C$11)/7)+1)</f>
        <v>0</v>
      </c>
      <c r="C239" s="27"/>
      <c r="D239" s="28"/>
      <c r="E239" s="28"/>
      <c r="F239" s="28"/>
      <c r="G239" s="28"/>
      <c r="H239" s="40" t="n">
        <f aca="false">IF(COUNT($D239:$G239)&lt;4,0,SUM($D239:$G239))</f>
        <v>0</v>
      </c>
      <c r="I239" s="26" t="str">
        <f aca="false">IF($H239=0,"",IF($H239&lt;=8,"Ótimo",IF($H239&lt;=12,"Bom",IF($H239&lt;=16,"Regular",IF($H239&lt;=20,"Alerta","Crítico")))))</f>
        <v/>
      </c>
      <c r="J239" s="27"/>
      <c r="K239" s="27"/>
    </row>
    <row r="240" customFormat="false" ht="15" hidden="false" customHeight="false" outlineLevel="0" collapsed="false">
      <c r="A240" s="29"/>
      <c r="B240" s="40" t="n">
        <f aca="false">IF($A240="",0,INT(($A240-Macrociclo!$C$11)/7)+1)</f>
        <v>0</v>
      </c>
      <c r="C240" s="27"/>
      <c r="D240" s="28"/>
      <c r="E240" s="28"/>
      <c r="F240" s="28"/>
      <c r="G240" s="28"/>
      <c r="H240" s="40" t="n">
        <f aca="false">IF(COUNT($D240:$G240)&lt;4,0,SUM($D240:$G240))</f>
        <v>0</v>
      </c>
      <c r="I240" s="26" t="str">
        <f aca="false">IF($H240=0,"",IF($H240&lt;=8,"Ótimo",IF($H240&lt;=12,"Bom",IF($H240&lt;=16,"Regular",IF($H240&lt;=20,"Alerta","Crítico")))))</f>
        <v/>
      </c>
      <c r="J240" s="27"/>
      <c r="K240" s="27"/>
    </row>
    <row r="241" customFormat="false" ht="15" hidden="false" customHeight="false" outlineLevel="0" collapsed="false">
      <c r="A241" s="29"/>
      <c r="B241" s="40" t="n">
        <f aca="false">IF($A241="",0,INT(($A241-Macrociclo!$C$11)/7)+1)</f>
        <v>0</v>
      </c>
      <c r="C241" s="27"/>
      <c r="D241" s="28"/>
      <c r="E241" s="28"/>
      <c r="F241" s="28"/>
      <c r="G241" s="28"/>
      <c r="H241" s="40" t="n">
        <f aca="false">IF(COUNT($D241:$G241)&lt;4,0,SUM($D241:$G241))</f>
        <v>0</v>
      </c>
      <c r="I241" s="26" t="str">
        <f aca="false">IF($H241=0,"",IF($H241&lt;=8,"Ótimo",IF($H241&lt;=12,"Bom",IF($H241&lt;=16,"Regular",IF($H241&lt;=20,"Alerta","Crítico")))))</f>
        <v/>
      </c>
      <c r="J241" s="27"/>
      <c r="K241" s="27"/>
    </row>
    <row r="242" customFormat="false" ht="15" hidden="false" customHeight="false" outlineLevel="0" collapsed="false">
      <c r="A242" s="29"/>
      <c r="B242" s="40" t="n">
        <f aca="false">IF($A242="",0,INT(($A242-Macrociclo!$C$11)/7)+1)</f>
        <v>0</v>
      </c>
      <c r="C242" s="27"/>
      <c r="D242" s="28"/>
      <c r="E242" s="28"/>
      <c r="F242" s="28"/>
      <c r="G242" s="28"/>
      <c r="H242" s="40" t="n">
        <f aca="false">IF(COUNT($D242:$G242)&lt;4,0,SUM($D242:$G242))</f>
        <v>0</v>
      </c>
      <c r="I242" s="26" t="str">
        <f aca="false">IF($H242=0,"",IF($H242&lt;=8,"Ótimo",IF($H242&lt;=12,"Bom",IF($H242&lt;=16,"Regular",IF($H242&lt;=20,"Alerta","Crítico")))))</f>
        <v/>
      </c>
      <c r="J242" s="27"/>
      <c r="K242" s="27"/>
    </row>
    <row r="243" customFormat="false" ht="15" hidden="false" customHeight="false" outlineLevel="0" collapsed="false">
      <c r="A243" s="29"/>
      <c r="B243" s="40" t="n">
        <f aca="false">IF($A243="",0,INT(($A243-Macrociclo!$C$11)/7)+1)</f>
        <v>0</v>
      </c>
      <c r="C243" s="27"/>
      <c r="D243" s="28"/>
      <c r="E243" s="28"/>
      <c r="F243" s="28"/>
      <c r="G243" s="28"/>
      <c r="H243" s="40" t="n">
        <f aca="false">IF(COUNT($D243:$G243)&lt;4,0,SUM($D243:$G243))</f>
        <v>0</v>
      </c>
      <c r="I243" s="26" t="str">
        <f aca="false">IF($H243=0,"",IF($H243&lt;=8,"Ótimo",IF($H243&lt;=12,"Bom",IF($H243&lt;=16,"Regular",IF($H243&lt;=20,"Alerta","Crítico")))))</f>
        <v/>
      </c>
      <c r="J243" s="27"/>
      <c r="K243" s="27"/>
    </row>
    <row r="244" customFormat="false" ht="15" hidden="false" customHeight="false" outlineLevel="0" collapsed="false">
      <c r="A244" s="29"/>
      <c r="B244" s="40" t="n">
        <f aca="false">IF($A244="",0,INT(($A244-Macrociclo!$C$11)/7)+1)</f>
        <v>0</v>
      </c>
      <c r="C244" s="27"/>
      <c r="D244" s="28"/>
      <c r="E244" s="28"/>
      <c r="F244" s="28"/>
      <c r="G244" s="28"/>
      <c r="H244" s="40" t="n">
        <f aca="false">IF(COUNT($D244:$G244)&lt;4,0,SUM($D244:$G244))</f>
        <v>0</v>
      </c>
      <c r="I244" s="26" t="str">
        <f aca="false">IF($H244=0,"",IF($H244&lt;=8,"Ótimo",IF($H244&lt;=12,"Bom",IF($H244&lt;=16,"Regular",IF($H244&lt;=20,"Alerta","Crítico")))))</f>
        <v/>
      </c>
      <c r="J244" s="27"/>
      <c r="K244" s="27"/>
    </row>
    <row r="245" customFormat="false" ht="15" hidden="false" customHeight="false" outlineLevel="0" collapsed="false">
      <c r="A245" s="29"/>
      <c r="B245" s="40" t="n">
        <f aca="false">IF($A245="",0,INT(($A245-Macrociclo!$C$11)/7)+1)</f>
        <v>0</v>
      </c>
      <c r="C245" s="27"/>
      <c r="D245" s="28"/>
      <c r="E245" s="28"/>
      <c r="F245" s="28"/>
      <c r="G245" s="28"/>
      <c r="H245" s="40" t="n">
        <f aca="false">IF(COUNT($D245:$G245)&lt;4,0,SUM($D245:$G245))</f>
        <v>0</v>
      </c>
      <c r="I245" s="26" t="str">
        <f aca="false">IF($H245=0,"",IF($H245&lt;=8,"Ótimo",IF($H245&lt;=12,"Bom",IF($H245&lt;=16,"Regular",IF($H245&lt;=20,"Alerta","Crítico")))))</f>
        <v/>
      </c>
      <c r="J245" s="27"/>
      <c r="K245" s="27"/>
    </row>
    <row r="246" customFormat="false" ht="15" hidden="false" customHeight="false" outlineLevel="0" collapsed="false">
      <c r="A246" s="29"/>
      <c r="B246" s="40" t="n">
        <f aca="false">IF($A246="",0,INT(($A246-Macrociclo!$C$11)/7)+1)</f>
        <v>0</v>
      </c>
      <c r="C246" s="27"/>
      <c r="D246" s="28"/>
      <c r="E246" s="28"/>
      <c r="F246" s="28"/>
      <c r="G246" s="28"/>
      <c r="H246" s="40" t="n">
        <f aca="false">IF(COUNT($D246:$G246)&lt;4,0,SUM($D246:$G246))</f>
        <v>0</v>
      </c>
      <c r="I246" s="26" t="str">
        <f aca="false">IF($H246=0,"",IF($H246&lt;=8,"Ótimo",IF($H246&lt;=12,"Bom",IF($H246&lt;=16,"Regular",IF($H246&lt;=20,"Alerta","Crítico")))))</f>
        <v/>
      </c>
      <c r="J246" s="27"/>
      <c r="K246" s="27"/>
    </row>
    <row r="247" customFormat="false" ht="15" hidden="false" customHeight="false" outlineLevel="0" collapsed="false">
      <c r="A247" s="29"/>
      <c r="B247" s="40" t="n">
        <f aca="false">IF($A247="",0,INT(($A247-Macrociclo!$C$11)/7)+1)</f>
        <v>0</v>
      </c>
      <c r="C247" s="27"/>
      <c r="D247" s="28"/>
      <c r="E247" s="28"/>
      <c r="F247" s="28"/>
      <c r="G247" s="28"/>
      <c r="H247" s="40" t="n">
        <f aca="false">IF(COUNT($D247:$G247)&lt;4,0,SUM($D247:$G247))</f>
        <v>0</v>
      </c>
      <c r="I247" s="26" t="str">
        <f aca="false">IF($H247=0,"",IF($H247&lt;=8,"Ótimo",IF($H247&lt;=12,"Bom",IF($H247&lt;=16,"Regular",IF($H247&lt;=20,"Alerta","Crítico")))))</f>
        <v/>
      </c>
      <c r="J247" s="27"/>
      <c r="K247" s="27"/>
    </row>
    <row r="248" customFormat="false" ht="15" hidden="false" customHeight="false" outlineLevel="0" collapsed="false">
      <c r="A248" s="29"/>
      <c r="B248" s="40" t="n">
        <f aca="false">IF($A248="",0,INT(($A248-Macrociclo!$C$11)/7)+1)</f>
        <v>0</v>
      </c>
      <c r="C248" s="27"/>
      <c r="D248" s="28"/>
      <c r="E248" s="28"/>
      <c r="F248" s="28"/>
      <c r="G248" s="28"/>
      <c r="H248" s="40" t="n">
        <f aca="false">IF(COUNT($D248:$G248)&lt;4,0,SUM($D248:$G248))</f>
        <v>0</v>
      </c>
      <c r="I248" s="26" t="str">
        <f aca="false">IF($H248=0,"",IF($H248&lt;=8,"Ótimo",IF($H248&lt;=12,"Bom",IF($H248&lt;=16,"Regular",IF($H248&lt;=20,"Alerta","Crítico")))))</f>
        <v/>
      </c>
      <c r="J248" s="27"/>
      <c r="K248" s="27"/>
    </row>
    <row r="249" customFormat="false" ht="15" hidden="false" customHeight="false" outlineLevel="0" collapsed="false">
      <c r="A249" s="29"/>
      <c r="B249" s="40" t="n">
        <f aca="false">IF($A249="",0,INT(($A249-Macrociclo!$C$11)/7)+1)</f>
        <v>0</v>
      </c>
      <c r="C249" s="27"/>
      <c r="D249" s="28"/>
      <c r="E249" s="28"/>
      <c r="F249" s="28"/>
      <c r="G249" s="28"/>
      <c r="H249" s="40" t="n">
        <f aca="false">IF(COUNT($D249:$G249)&lt;4,0,SUM($D249:$G249))</f>
        <v>0</v>
      </c>
      <c r="I249" s="26" t="str">
        <f aca="false">IF($H249=0,"",IF($H249&lt;=8,"Ótimo",IF($H249&lt;=12,"Bom",IF($H249&lt;=16,"Regular",IF($H249&lt;=20,"Alerta","Crítico")))))</f>
        <v/>
      </c>
      <c r="J249" s="27"/>
      <c r="K249" s="27"/>
    </row>
    <row r="250" customFormat="false" ht="15" hidden="false" customHeight="false" outlineLevel="0" collapsed="false">
      <c r="A250" s="29"/>
      <c r="B250" s="40" t="n">
        <f aca="false">IF($A250="",0,INT(($A250-Macrociclo!$C$11)/7)+1)</f>
        <v>0</v>
      </c>
      <c r="C250" s="27"/>
      <c r="D250" s="28"/>
      <c r="E250" s="28"/>
      <c r="F250" s="28"/>
      <c r="G250" s="28"/>
      <c r="H250" s="40" t="n">
        <f aca="false">IF(COUNT($D250:$G250)&lt;4,0,SUM($D250:$G250))</f>
        <v>0</v>
      </c>
      <c r="I250" s="26" t="str">
        <f aca="false">IF($H250=0,"",IF($H250&lt;=8,"Ótimo",IF($H250&lt;=12,"Bom",IF($H250&lt;=16,"Regular",IF($H250&lt;=20,"Alerta","Crítico")))))</f>
        <v/>
      </c>
      <c r="J250" s="27"/>
      <c r="K250" s="27"/>
    </row>
    <row r="251" customFormat="false" ht="15" hidden="false" customHeight="false" outlineLevel="0" collapsed="false">
      <c r="A251" s="29"/>
      <c r="B251" s="40" t="n">
        <f aca="false">IF($A251="",0,INT(($A251-Macrociclo!$C$11)/7)+1)</f>
        <v>0</v>
      </c>
      <c r="C251" s="27"/>
      <c r="D251" s="28"/>
      <c r="E251" s="28"/>
      <c r="F251" s="28"/>
      <c r="G251" s="28"/>
      <c r="H251" s="40" t="n">
        <f aca="false">IF(COUNT($D251:$G251)&lt;4,0,SUM($D251:$G251))</f>
        <v>0</v>
      </c>
      <c r="I251" s="26" t="str">
        <f aca="false">IF($H251=0,"",IF($H251&lt;=8,"Ótimo",IF($H251&lt;=12,"Bom",IF($H251&lt;=16,"Regular",IF($H251&lt;=20,"Alerta","Crítico")))))</f>
        <v/>
      </c>
      <c r="J251" s="27"/>
      <c r="K251" s="27"/>
    </row>
    <row r="252" customFormat="false" ht="15" hidden="false" customHeight="false" outlineLevel="0" collapsed="false">
      <c r="A252" s="29"/>
      <c r="B252" s="40" t="n">
        <f aca="false">IF($A252="",0,INT(($A252-Macrociclo!$C$11)/7)+1)</f>
        <v>0</v>
      </c>
      <c r="C252" s="27"/>
      <c r="D252" s="28"/>
      <c r="E252" s="28"/>
      <c r="F252" s="28"/>
      <c r="G252" s="28"/>
      <c r="H252" s="40" t="n">
        <f aca="false">IF(COUNT($D252:$G252)&lt;4,0,SUM($D252:$G252))</f>
        <v>0</v>
      </c>
      <c r="I252" s="26" t="str">
        <f aca="false">IF($H252=0,"",IF($H252&lt;=8,"Ótimo",IF($H252&lt;=12,"Bom",IF($H252&lt;=16,"Regular",IF($H252&lt;=20,"Alerta","Crítico")))))</f>
        <v/>
      </c>
      <c r="J252" s="27"/>
      <c r="K252" s="27"/>
    </row>
    <row r="253" customFormat="false" ht="15" hidden="false" customHeight="false" outlineLevel="0" collapsed="false">
      <c r="A253" s="29"/>
      <c r="B253" s="40" t="n">
        <f aca="false">IF($A253="",0,INT(($A253-Macrociclo!$C$11)/7)+1)</f>
        <v>0</v>
      </c>
      <c r="C253" s="27"/>
      <c r="D253" s="28"/>
      <c r="E253" s="28"/>
      <c r="F253" s="28"/>
      <c r="G253" s="28"/>
      <c r="H253" s="40" t="n">
        <f aca="false">IF(COUNT($D253:$G253)&lt;4,0,SUM($D253:$G253))</f>
        <v>0</v>
      </c>
      <c r="I253" s="26" t="str">
        <f aca="false">IF($H253=0,"",IF($H253&lt;=8,"Ótimo",IF($H253&lt;=12,"Bom",IF($H253&lt;=16,"Regular",IF($H253&lt;=20,"Alerta","Crítico")))))</f>
        <v/>
      </c>
      <c r="J253" s="27"/>
      <c r="K253" s="27"/>
    </row>
    <row r="254" customFormat="false" ht="15" hidden="false" customHeight="false" outlineLevel="0" collapsed="false">
      <c r="A254" s="29"/>
      <c r="B254" s="40" t="n">
        <f aca="false">IF($A254="",0,INT(($A254-Macrociclo!$C$11)/7)+1)</f>
        <v>0</v>
      </c>
      <c r="C254" s="27"/>
      <c r="D254" s="28"/>
      <c r="E254" s="28"/>
      <c r="F254" s="28"/>
      <c r="G254" s="28"/>
      <c r="H254" s="40" t="n">
        <f aca="false">IF(COUNT($D254:$G254)&lt;4,0,SUM($D254:$G254))</f>
        <v>0</v>
      </c>
      <c r="I254" s="26" t="str">
        <f aca="false">IF($H254=0,"",IF($H254&lt;=8,"Ótimo",IF($H254&lt;=12,"Bom",IF($H254&lt;=16,"Regular",IF($H254&lt;=20,"Alerta","Crítico")))))</f>
        <v/>
      </c>
      <c r="J254" s="27"/>
      <c r="K254" s="27"/>
    </row>
    <row r="255" customFormat="false" ht="15" hidden="false" customHeight="false" outlineLevel="0" collapsed="false">
      <c r="A255" s="29"/>
      <c r="B255" s="40" t="n">
        <f aca="false">IF($A255="",0,INT(($A255-Macrociclo!$C$11)/7)+1)</f>
        <v>0</v>
      </c>
      <c r="C255" s="27"/>
      <c r="D255" s="28"/>
      <c r="E255" s="28"/>
      <c r="F255" s="28"/>
      <c r="G255" s="28"/>
      <c r="H255" s="40" t="n">
        <f aca="false">IF(COUNT($D255:$G255)&lt;4,0,SUM($D255:$G255))</f>
        <v>0</v>
      </c>
      <c r="I255" s="26" t="str">
        <f aca="false">IF($H255=0,"",IF($H255&lt;=8,"Ótimo",IF($H255&lt;=12,"Bom",IF($H255&lt;=16,"Regular",IF($H255&lt;=20,"Alerta","Crítico")))))</f>
        <v/>
      </c>
      <c r="J255" s="27"/>
      <c r="K255" s="27"/>
    </row>
    <row r="256" customFormat="false" ht="15" hidden="false" customHeight="false" outlineLevel="0" collapsed="false">
      <c r="A256" s="29"/>
      <c r="B256" s="40" t="n">
        <f aca="false">IF($A256="",0,INT(($A256-Macrociclo!$C$11)/7)+1)</f>
        <v>0</v>
      </c>
      <c r="C256" s="27"/>
      <c r="D256" s="28"/>
      <c r="E256" s="28"/>
      <c r="F256" s="28"/>
      <c r="G256" s="28"/>
      <c r="H256" s="40" t="n">
        <f aca="false">IF(COUNT($D256:$G256)&lt;4,0,SUM($D256:$G256))</f>
        <v>0</v>
      </c>
      <c r="I256" s="26" t="str">
        <f aca="false">IF($H256=0,"",IF($H256&lt;=8,"Ótimo",IF($H256&lt;=12,"Bom",IF($H256&lt;=16,"Regular",IF($H256&lt;=20,"Alerta","Crítico")))))</f>
        <v/>
      </c>
      <c r="J256" s="27"/>
      <c r="K256" s="27"/>
    </row>
    <row r="257" customFormat="false" ht="15" hidden="false" customHeight="false" outlineLevel="0" collapsed="false">
      <c r="A257" s="29"/>
      <c r="B257" s="40" t="n">
        <f aca="false">IF($A257="",0,INT(($A257-Macrociclo!$C$11)/7)+1)</f>
        <v>0</v>
      </c>
      <c r="C257" s="27"/>
      <c r="D257" s="28"/>
      <c r="E257" s="28"/>
      <c r="F257" s="28"/>
      <c r="G257" s="28"/>
      <c r="H257" s="40" t="n">
        <f aca="false">IF(COUNT($D257:$G257)&lt;4,0,SUM($D257:$G257))</f>
        <v>0</v>
      </c>
      <c r="I257" s="26" t="str">
        <f aca="false">IF($H257=0,"",IF($H257&lt;=8,"Ótimo",IF($H257&lt;=12,"Bom",IF($H257&lt;=16,"Regular",IF($H257&lt;=20,"Alerta","Crítico")))))</f>
        <v/>
      </c>
      <c r="J257" s="27"/>
      <c r="K257" s="27"/>
    </row>
    <row r="258" customFormat="false" ht="15" hidden="false" customHeight="false" outlineLevel="0" collapsed="false">
      <c r="A258" s="29"/>
      <c r="B258" s="40" t="n">
        <f aca="false">IF($A258="",0,INT(($A258-Macrociclo!$C$11)/7)+1)</f>
        <v>0</v>
      </c>
      <c r="C258" s="27"/>
      <c r="D258" s="28"/>
      <c r="E258" s="28"/>
      <c r="F258" s="28"/>
      <c r="G258" s="28"/>
      <c r="H258" s="40" t="n">
        <f aca="false">IF(COUNT($D258:$G258)&lt;4,0,SUM($D258:$G258))</f>
        <v>0</v>
      </c>
      <c r="I258" s="26" t="str">
        <f aca="false">IF($H258=0,"",IF($H258&lt;=8,"Ótimo",IF($H258&lt;=12,"Bom",IF($H258&lt;=16,"Regular",IF($H258&lt;=20,"Alerta","Crítico")))))</f>
        <v/>
      </c>
      <c r="J258" s="27"/>
      <c r="K258" s="27"/>
    </row>
    <row r="259" customFormat="false" ht="15" hidden="false" customHeight="false" outlineLevel="0" collapsed="false">
      <c r="A259" s="29"/>
      <c r="B259" s="40" t="n">
        <f aca="false">IF($A259="",0,INT(($A259-Macrociclo!$C$11)/7)+1)</f>
        <v>0</v>
      </c>
      <c r="C259" s="27"/>
      <c r="D259" s="28"/>
      <c r="E259" s="28"/>
      <c r="F259" s="28"/>
      <c r="G259" s="28"/>
      <c r="H259" s="40" t="n">
        <f aca="false">IF(COUNT($D259:$G259)&lt;4,0,SUM($D259:$G259))</f>
        <v>0</v>
      </c>
      <c r="I259" s="26" t="str">
        <f aca="false">IF($H259=0,"",IF($H259&lt;=8,"Ótimo",IF($H259&lt;=12,"Bom",IF($H259&lt;=16,"Regular",IF($H259&lt;=20,"Alerta","Crítico")))))</f>
        <v/>
      </c>
      <c r="J259" s="27"/>
      <c r="K259" s="27"/>
    </row>
    <row r="260" customFormat="false" ht="15" hidden="false" customHeight="false" outlineLevel="0" collapsed="false">
      <c r="A260" s="29"/>
      <c r="B260" s="40" t="n">
        <f aca="false">IF($A260="",0,INT(($A260-Macrociclo!$C$11)/7)+1)</f>
        <v>0</v>
      </c>
      <c r="C260" s="27"/>
      <c r="D260" s="28"/>
      <c r="E260" s="28"/>
      <c r="F260" s="28"/>
      <c r="G260" s="28"/>
      <c r="H260" s="40" t="n">
        <f aca="false">IF(COUNT($D260:$G260)&lt;4,0,SUM($D260:$G260))</f>
        <v>0</v>
      </c>
      <c r="I260" s="26" t="str">
        <f aca="false">IF($H260=0,"",IF($H260&lt;=8,"Ótimo",IF($H260&lt;=12,"Bom",IF($H260&lt;=16,"Regular",IF($H260&lt;=20,"Alerta","Crítico")))))</f>
        <v/>
      </c>
      <c r="J260" s="27"/>
      <c r="K260" s="27"/>
    </row>
    <row r="261" customFormat="false" ht="15" hidden="false" customHeight="false" outlineLevel="0" collapsed="false">
      <c r="A261" s="29"/>
      <c r="B261" s="40" t="n">
        <f aca="false">IF($A261="",0,INT(($A261-Macrociclo!$C$11)/7)+1)</f>
        <v>0</v>
      </c>
      <c r="C261" s="27"/>
      <c r="D261" s="28"/>
      <c r="E261" s="28"/>
      <c r="F261" s="28"/>
      <c r="G261" s="28"/>
      <c r="H261" s="40" t="n">
        <f aca="false">IF(COUNT($D261:$G261)&lt;4,0,SUM($D261:$G261))</f>
        <v>0</v>
      </c>
      <c r="I261" s="26" t="str">
        <f aca="false">IF($H261=0,"",IF($H261&lt;=8,"Ótimo",IF($H261&lt;=12,"Bom",IF($H261&lt;=16,"Regular",IF($H261&lt;=20,"Alerta","Crítico")))))</f>
        <v/>
      </c>
      <c r="J261" s="27"/>
      <c r="K261" s="27"/>
    </row>
    <row r="262" customFormat="false" ht="15" hidden="false" customHeight="false" outlineLevel="0" collapsed="false">
      <c r="A262" s="29"/>
      <c r="B262" s="40" t="n">
        <f aca="false">IF($A262="",0,INT(($A262-Macrociclo!$C$11)/7)+1)</f>
        <v>0</v>
      </c>
      <c r="C262" s="27"/>
      <c r="D262" s="28"/>
      <c r="E262" s="28"/>
      <c r="F262" s="28"/>
      <c r="G262" s="28"/>
      <c r="H262" s="40" t="n">
        <f aca="false">IF(COUNT($D262:$G262)&lt;4,0,SUM($D262:$G262))</f>
        <v>0</v>
      </c>
      <c r="I262" s="26" t="str">
        <f aca="false">IF($H262=0,"",IF($H262&lt;=8,"Ótimo",IF($H262&lt;=12,"Bom",IF($H262&lt;=16,"Regular",IF($H262&lt;=20,"Alerta","Crítico")))))</f>
        <v/>
      </c>
      <c r="J262" s="27"/>
      <c r="K262" s="27"/>
    </row>
    <row r="263" customFormat="false" ht="15" hidden="false" customHeight="false" outlineLevel="0" collapsed="false">
      <c r="A263" s="29"/>
      <c r="B263" s="40" t="n">
        <f aca="false">IF($A263="",0,INT(($A263-Macrociclo!$C$11)/7)+1)</f>
        <v>0</v>
      </c>
      <c r="C263" s="27"/>
      <c r="D263" s="28"/>
      <c r="E263" s="28"/>
      <c r="F263" s="28"/>
      <c r="G263" s="28"/>
      <c r="H263" s="40" t="n">
        <f aca="false">IF(COUNT($D263:$G263)&lt;4,0,SUM($D263:$G263))</f>
        <v>0</v>
      </c>
      <c r="I263" s="26" t="str">
        <f aca="false">IF($H263=0,"",IF($H263&lt;=8,"Ótimo",IF($H263&lt;=12,"Bom",IF($H263&lt;=16,"Regular",IF($H263&lt;=20,"Alerta","Crítico")))))</f>
        <v/>
      </c>
      <c r="J263" s="27"/>
      <c r="K263" s="27"/>
    </row>
    <row r="264" customFormat="false" ht="15" hidden="false" customHeight="false" outlineLevel="0" collapsed="false">
      <c r="A264" s="29"/>
      <c r="B264" s="40" t="n">
        <f aca="false">IF($A264="",0,INT(($A264-Macrociclo!$C$11)/7)+1)</f>
        <v>0</v>
      </c>
      <c r="C264" s="27"/>
      <c r="D264" s="28"/>
      <c r="E264" s="28"/>
      <c r="F264" s="28"/>
      <c r="G264" s="28"/>
      <c r="H264" s="40" t="n">
        <f aca="false">IF(COUNT($D264:$G264)&lt;4,0,SUM($D264:$G264))</f>
        <v>0</v>
      </c>
      <c r="I264" s="26" t="str">
        <f aca="false">IF($H264=0,"",IF($H264&lt;=8,"Ótimo",IF($H264&lt;=12,"Bom",IF($H264&lt;=16,"Regular",IF($H264&lt;=20,"Alerta","Crítico")))))</f>
        <v/>
      </c>
      <c r="J264" s="27"/>
      <c r="K264" s="27"/>
    </row>
    <row r="265" customFormat="false" ht="15" hidden="false" customHeight="false" outlineLevel="0" collapsed="false">
      <c r="A265" s="29"/>
      <c r="B265" s="40" t="n">
        <f aca="false">IF($A265="",0,INT(($A265-Macrociclo!$C$11)/7)+1)</f>
        <v>0</v>
      </c>
      <c r="C265" s="27"/>
      <c r="D265" s="28"/>
      <c r="E265" s="28"/>
      <c r="F265" s="28"/>
      <c r="G265" s="28"/>
      <c r="H265" s="40" t="n">
        <f aca="false">IF(COUNT($D265:$G265)&lt;4,0,SUM($D265:$G265))</f>
        <v>0</v>
      </c>
      <c r="I265" s="26" t="str">
        <f aca="false">IF($H265=0,"",IF($H265&lt;=8,"Ótimo",IF($H265&lt;=12,"Bom",IF($H265&lt;=16,"Regular",IF($H265&lt;=20,"Alerta","Crítico")))))</f>
        <v/>
      </c>
      <c r="J265" s="27"/>
      <c r="K265" s="27"/>
    </row>
    <row r="266" customFormat="false" ht="15" hidden="false" customHeight="false" outlineLevel="0" collapsed="false">
      <c r="A266" s="29"/>
      <c r="B266" s="40" t="n">
        <f aca="false">IF($A266="",0,INT(($A266-Macrociclo!$C$11)/7)+1)</f>
        <v>0</v>
      </c>
      <c r="C266" s="27"/>
      <c r="D266" s="28"/>
      <c r="E266" s="28"/>
      <c r="F266" s="28"/>
      <c r="G266" s="28"/>
      <c r="H266" s="40" t="n">
        <f aca="false">IF(COUNT($D266:$G266)&lt;4,0,SUM($D266:$G266))</f>
        <v>0</v>
      </c>
      <c r="I266" s="26" t="str">
        <f aca="false">IF($H266=0,"",IF($H266&lt;=8,"Ótimo",IF($H266&lt;=12,"Bom",IF($H266&lt;=16,"Regular",IF($H266&lt;=20,"Alerta","Crítico")))))</f>
        <v/>
      </c>
      <c r="J266" s="27"/>
      <c r="K266" s="27"/>
    </row>
    <row r="267" customFormat="false" ht="15" hidden="false" customHeight="false" outlineLevel="0" collapsed="false">
      <c r="A267" s="29"/>
      <c r="B267" s="40" t="n">
        <f aca="false">IF($A267="",0,INT(($A267-Macrociclo!$C$11)/7)+1)</f>
        <v>0</v>
      </c>
      <c r="C267" s="27"/>
      <c r="D267" s="28"/>
      <c r="E267" s="28"/>
      <c r="F267" s="28"/>
      <c r="G267" s="28"/>
      <c r="H267" s="40" t="n">
        <f aca="false">IF(COUNT($D267:$G267)&lt;4,0,SUM($D267:$G267))</f>
        <v>0</v>
      </c>
      <c r="I267" s="26" t="str">
        <f aca="false">IF($H267=0,"",IF($H267&lt;=8,"Ótimo",IF($H267&lt;=12,"Bom",IF($H267&lt;=16,"Regular",IF($H267&lt;=20,"Alerta","Crítico")))))</f>
        <v/>
      </c>
      <c r="J267" s="27"/>
      <c r="K267" s="27"/>
    </row>
    <row r="268" customFormat="false" ht="15" hidden="false" customHeight="false" outlineLevel="0" collapsed="false">
      <c r="A268" s="29"/>
      <c r="B268" s="40" t="n">
        <f aca="false">IF($A268="",0,INT(($A268-Macrociclo!$C$11)/7)+1)</f>
        <v>0</v>
      </c>
      <c r="C268" s="27"/>
      <c r="D268" s="28"/>
      <c r="E268" s="28"/>
      <c r="F268" s="28"/>
      <c r="G268" s="28"/>
      <c r="H268" s="40" t="n">
        <f aca="false">IF(COUNT($D268:$G268)&lt;4,0,SUM($D268:$G268))</f>
        <v>0</v>
      </c>
      <c r="I268" s="26" t="str">
        <f aca="false">IF($H268=0,"",IF($H268&lt;=8,"Ótimo",IF($H268&lt;=12,"Bom",IF($H268&lt;=16,"Regular",IF($H268&lt;=20,"Alerta","Crítico")))))</f>
        <v/>
      </c>
      <c r="J268" s="27"/>
      <c r="K268" s="27"/>
    </row>
    <row r="269" customFormat="false" ht="15" hidden="false" customHeight="false" outlineLevel="0" collapsed="false">
      <c r="A269" s="29"/>
      <c r="B269" s="40" t="n">
        <f aca="false">IF($A269="",0,INT(($A269-Macrociclo!$C$11)/7)+1)</f>
        <v>0</v>
      </c>
      <c r="C269" s="27"/>
      <c r="D269" s="28"/>
      <c r="E269" s="28"/>
      <c r="F269" s="28"/>
      <c r="G269" s="28"/>
      <c r="H269" s="40" t="n">
        <f aca="false">IF(COUNT($D269:$G269)&lt;4,0,SUM($D269:$G269))</f>
        <v>0</v>
      </c>
      <c r="I269" s="26" t="str">
        <f aca="false">IF($H269=0,"",IF($H269&lt;=8,"Ótimo",IF($H269&lt;=12,"Bom",IF($H269&lt;=16,"Regular",IF($H269&lt;=20,"Alerta","Crítico")))))</f>
        <v/>
      </c>
      <c r="J269" s="27"/>
      <c r="K269" s="27"/>
    </row>
    <row r="270" customFormat="false" ht="15" hidden="false" customHeight="false" outlineLevel="0" collapsed="false">
      <c r="A270" s="29"/>
      <c r="B270" s="40" t="n">
        <f aca="false">IF($A270="",0,INT(($A270-Macrociclo!$C$11)/7)+1)</f>
        <v>0</v>
      </c>
      <c r="C270" s="27"/>
      <c r="D270" s="28"/>
      <c r="E270" s="28"/>
      <c r="F270" s="28"/>
      <c r="G270" s="28"/>
      <c r="H270" s="40" t="n">
        <f aca="false">IF(COUNT($D270:$G270)&lt;4,0,SUM($D270:$G270))</f>
        <v>0</v>
      </c>
      <c r="I270" s="26" t="str">
        <f aca="false">IF($H270=0,"",IF($H270&lt;=8,"Ótimo",IF($H270&lt;=12,"Bom",IF($H270&lt;=16,"Regular",IF($H270&lt;=20,"Alerta","Crítico")))))</f>
        <v/>
      </c>
      <c r="J270" s="27"/>
      <c r="K270" s="27"/>
    </row>
    <row r="271" customFormat="false" ht="15" hidden="false" customHeight="false" outlineLevel="0" collapsed="false">
      <c r="A271" s="29"/>
      <c r="B271" s="40" t="n">
        <f aca="false">IF($A271="",0,INT(($A271-Macrociclo!$C$11)/7)+1)</f>
        <v>0</v>
      </c>
      <c r="C271" s="27"/>
      <c r="D271" s="28"/>
      <c r="E271" s="28"/>
      <c r="F271" s="28"/>
      <c r="G271" s="28"/>
      <c r="H271" s="40" t="n">
        <f aca="false">IF(COUNT($D271:$G271)&lt;4,0,SUM($D271:$G271))</f>
        <v>0</v>
      </c>
      <c r="I271" s="26" t="str">
        <f aca="false">IF($H271=0,"",IF($H271&lt;=8,"Ótimo",IF($H271&lt;=12,"Bom",IF($H271&lt;=16,"Regular",IF($H271&lt;=20,"Alerta","Crítico")))))</f>
        <v/>
      </c>
      <c r="J271" s="27"/>
      <c r="K271" s="27"/>
    </row>
    <row r="272" customFormat="false" ht="15" hidden="false" customHeight="false" outlineLevel="0" collapsed="false">
      <c r="A272" s="29"/>
      <c r="B272" s="40" t="n">
        <f aca="false">IF($A272="",0,INT(($A272-Macrociclo!$C$11)/7)+1)</f>
        <v>0</v>
      </c>
      <c r="C272" s="27"/>
      <c r="D272" s="28"/>
      <c r="E272" s="28"/>
      <c r="F272" s="28"/>
      <c r="G272" s="28"/>
      <c r="H272" s="40" t="n">
        <f aca="false">IF(COUNT($D272:$G272)&lt;4,0,SUM($D272:$G272))</f>
        <v>0</v>
      </c>
      <c r="I272" s="26" t="str">
        <f aca="false">IF($H272=0,"",IF($H272&lt;=8,"Ótimo",IF($H272&lt;=12,"Bom",IF($H272&lt;=16,"Regular",IF($H272&lt;=20,"Alerta","Crítico")))))</f>
        <v/>
      </c>
      <c r="J272" s="27"/>
      <c r="K272" s="27"/>
    </row>
    <row r="273" customFormat="false" ht="15" hidden="false" customHeight="false" outlineLevel="0" collapsed="false">
      <c r="A273" s="29"/>
      <c r="B273" s="40" t="n">
        <f aca="false">IF($A273="",0,INT(($A273-Macrociclo!$C$11)/7)+1)</f>
        <v>0</v>
      </c>
      <c r="C273" s="27"/>
      <c r="D273" s="28"/>
      <c r="E273" s="28"/>
      <c r="F273" s="28"/>
      <c r="G273" s="28"/>
      <c r="H273" s="40" t="n">
        <f aca="false">IF(COUNT($D273:$G273)&lt;4,0,SUM($D273:$G273))</f>
        <v>0</v>
      </c>
      <c r="I273" s="26" t="str">
        <f aca="false">IF($H273=0,"",IF($H273&lt;=8,"Ótimo",IF($H273&lt;=12,"Bom",IF($H273&lt;=16,"Regular",IF($H273&lt;=20,"Alerta","Crítico")))))</f>
        <v/>
      </c>
      <c r="J273" s="27"/>
      <c r="K273" s="27"/>
    </row>
    <row r="274" customFormat="false" ht="15" hidden="false" customHeight="false" outlineLevel="0" collapsed="false">
      <c r="A274" s="29"/>
      <c r="B274" s="40" t="n">
        <f aca="false">IF($A274="",0,INT(($A274-Macrociclo!$C$11)/7)+1)</f>
        <v>0</v>
      </c>
      <c r="C274" s="27"/>
      <c r="D274" s="28"/>
      <c r="E274" s="28"/>
      <c r="F274" s="28"/>
      <c r="G274" s="28"/>
      <c r="H274" s="40" t="n">
        <f aca="false">IF(COUNT($D274:$G274)&lt;4,0,SUM($D274:$G274))</f>
        <v>0</v>
      </c>
      <c r="I274" s="26" t="str">
        <f aca="false">IF($H274=0,"",IF($H274&lt;=8,"Ótimo",IF($H274&lt;=12,"Bom",IF($H274&lt;=16,"Regular",IF($H274&lt;=20,"Alerta","Crítico")))))</f>
        <v/>
      </c>
      <c r="J274" s="27"/>
      <c r="K274" s="27"/>
    </row>
    <row r="275" customFormat="false" ht="15" hidden="false" customHeight="false" outlineLevel="0" collapsed="false">
      <c r="A275" s="29"/>
      <c r="B275" s="40" t="n">
        <f aca="false">IF($A275="",0,INT(($A275-Macrociclo!$C$11)/7)+1)</f>
        <v>0</v>
      </c>
      <c r="C275" s="27"/>
      <c r="D275" s="28"/>
      <c r="E275" s="28"/>
      <c r="F275" s="28"/>
      <c r="G275" s="28"/>
      <c r="H275" s="40" t="n">
        <f aca="false">IF(COUNT($D275:$G275)&lt;4,0,SUM($D275:$G275))</f>
        <v>0</v>
      </c>
      <c r="I275" s="26" t="str">
        <f aca="false">IF($H275=0,"",IF($H275&lt;=8,"Ótimo",IF($H275&lt;=12,"Bom",IF($H275&lt;=16,"Regular",IF($H275&lt;=20,"Alerta","Crítico")))))</f>
        <v/>
      </c>
      <c r="J275" s="27"/>
      <c r="K275" s="27"/>
    </row>
    <row r="276" customFormat="false" ht="15" hidden="false" customHeight="false" outlineLevel="0" collapsed="false">
      <c r="A276" s="29"/>
      <c r="B276" s="40" t="n">
        <f aca="false">IF($A276="",0,INT(($A276-Macrociclo!$C$11)/7)+1)</f>
        <v>0</v>
      </c>
      <c r="C276" s="27"/>
      <c r="D276" s="28"/>
      <c r="E276" s="28"/>
      <c r="F276" s="28"/>
      <c r="G276" s="28"/>
      <c r="H276" s="40" t="n">
        <f aca="false">IF(COUNT($D276:$G276)&lt;4,0,SUM($D276:$G276))</f>
        <v>0</v>
      </c>
      <c r="I276" s="26" t="str">
        <f aca="false">IF($H276=0,"",IF($H276&lt;=8,"Ótimo",IF($H276&lt;=12,"Bom",IF($H276&lt;=16,"Regular",IF($H276&lt;=20,"Alerta","Crítico")))))</f>
        <v/>
      </c>
      <c r="J276" s="27"/>
      <c r="K276" s="27"/>
    </row>
    <row r="277" customFormat="false" ht="15" hidden="false" customHeight="false" outlineLevel="0" collapsed="false">
      <c r="A277" s="29"/>
      <c r="B277" s="40" t="n">
        <f aca="false">IF($A277="",0,INT(($A277-Macrociclo!$C$11)/7)+1)</f>
        <v>0</v>
      </c>
      <c r="C277" s="27"/>
      <c r="D277" s="28"/>
      <c r="E277" s="28"/>
      <c r="F277" s="28"/>
      <c r="G277" s="28"/>
      <c r="H277" s="40" t="n">
        <f aca="false">IF(COUNT($D277:$G277)&lt;4,0,SUM($D277:$G277))</f>
        <v>0</v>
      </c>
      <c r="I277" s="26" t="str">
        <f aca="false">IF($H277=0,"",IF($H277&lt;=8,"Ótimo",IF($H277&lt;=12,"Bom",IF($H277&lt;=16,"Regular",IF($H277&lt;=20,"Alerta","Crítico")))))</f>
        <v/>
      </c>
      <c r="J277" s="27"/>
      <c r="K277" s="27"/>
    </row>
    <row r="278" customFormat="false" ht="15" hidden="false" customHeight="false" outlineLevel="0" collapsed="false">
      <c r="A278" s="29"/>
      <c r="B278" s="40" t="n">
        <f aca="false">IF($A278="",0,INT(($A278-Macrociclo!$C$11)/7)+1)</f>
        <v>0</v>
      </c>
      <c r="C278" s="27"/>
      <c r="D278" s="28"/>
      <c r="E278" s="28"/>
      <c r="F278" s="28"/>
      <c r="G278" s="28"/>
      <c r="H278" s="40" t="n">
        <f aca="false">IF(COUNT($D278:$G278)&lt;4,0,SUM($D278:$G278))</f>
        <v>0</v>
      </c>
      <c r="I278" s="26" t="str">
        <f aca="false">IF($H278=0,"",IF($H278&lt;=8,"Ótimo",IF($H278&lt;=12,"Bom",IF($H278&lt;=16,"Regular",IF($H278&lt;=20,"Alerta","Crítico")))))</f>
        <v/>
      </c>
      <c r="J278" s="27"/>
      <c r="K278" s="27"/>
    </row>
    <row r="279" customFormat="false" ht="15" hidden="false" customHeight="false" outlineLevel="0" collapsed="false">
      <c r="A279" s="29"/>
      <c r="B279" s="40" t="n">
        <f aca="false">IF($A279="",0,INT(($A279-Macrociclo!$C$11)/7)+1)</f>
        <v>0</v>
      </c>
      <c r="C279" s="27"/>
      <c r="D279" s="28"/>
      <c r="E279" s="28"/>
      <c r="F279" s="28"/>
      <c r="G279" s="28"/>
      <c r="H279" s="40" t="n">
        <f aca="false">IF(COUNT($D279:$G279)&lt;4,0,SUM($D279:$G279))</f>
        <v>0</v>
      </c>
      <c r="I279" s="26" t="str">
        <f aca="false">IF($H279=0,"",IF($H279&lt;=8,"Ótimo",IF($H279&lt;=12,"Bom",IF($H279&lt;=16,"Regular",IF($H279&lt;=20,"Alerta","Crítico")))))</f>
        <v/>
      </c>
      <c r="J279" s="27"/>
      <c r="K279" s="27"/>
    </row>
    <row r="280" customFormat="false" ht="15" hidden="false" customHeight="false" outlineLevel="0" collapsed="false">
      <c r="A280" s="29"/>
      <c r="B280" s="40" t="n">
        <f aca="false">IF($A280="",0,INT(($A280-Macrociclo!$C$11)/7)+1)</f>
        <v>0</v>
      </c>
      <c r="C280" s="27"/>
      <c r="D280" s="28"/>
      <c r="E280" s="28"/>
      <c r="F280" s="28"/>
      <c r="G280" s="28"/>
      <c r="H280" s="40" t="n">
        <f aca="false">IF(COUNT($D280:$G280)&lt;4,0,SUM($D280:$G280))</f>
        <v>0</v>
      </c>
      <c r="I280" s="26" t="str">
        <f aca="false">IF($H280=0,"",IF($H280&lt;=8,"Ótimo",IF($H280&lt;=12,"Bom",IF($H280&lt;=16,"Regular",IF($H280&lt;=20,"Alerta","Crítico")))))</f>
        <v/>
      </c>
      <c r="J280" s="27"/>
      <c r="K280" s="27"/>
    </row>
    <row r="281" customFormat="false" ht="15" hidden="false" customHeight="false" outlineLevel="0" collapsed="false">
      <c r="A281" s="29"/>
      <c r="B281" s="40" t="n">
        <f aca="false">IF($A281="",0,INT(($A281-Macrociclo!$C$11)/7)+1)</f>
        <v>0</v>
      </c>
      <c r="C281" s="27"/>
      <c r="D281" s="28"/>
      <c r="E281" s="28"/>
      <c r="F281" s="28"/>
      <c r="G281" s="28"/>
      <c r="H281" s="40" t="n">
        <f aca="false">IF(COUNT($D281:$G281)&lt;4,0,SUM($D281:$G281))</f>
        <v>0</v>
      </c>
      <c r="I281" s="26" t="str">
        <f aca="false">IF($H281=0,"",IF($H281&lt;=8,"Ótimo",IF($H281&lt;=12,"Bom",IF($H281&lt;=16,"Regular",IF($H281&lt;=20,"Alerta","Crítico")))))</f>
        <v/>
      </c>
      <c r="J281" s="27"/>
      <c r="K281" s="27"/>
    </row>
    <row r="282" customFormat="false" ht="15" hidden="false" customHeight="false" outlineLevel="0" collapsed="false">
      <c r="A282" s="29"/>
      <c r="B282" s="40" t="n">
        <f aca="false">IF($A282="",0,INT(($A282-Macrociclo!$C$11)/7)+1)</f>
        <v>0</v>
      </c>
      <c r="C282" s="27"/>
      <c r="D282" s="28"/>
      <c r="E282" s="28"/>
      <c r="F282" s="28"/>
      <c r="G282" s="28"/>
      <c r="H282" s="40" t="n">
        <f aca="false">IF(COUNT($D282:$G282)&lt;4,0,SUM($D282:$G282))</f>
        <v>0</v>
      </c>
      <c r="I282" s="26" t="str">
        <f aca="false">IF($H282=0,"",IF($H282&lt;=8,"Ótimo",IF($H282&lt;=12,"Bom",IF($H282&lt;=16,"Regular",IF($H282&lt;=20,"Alerta","Crítico")))))</f>
        <v/>
      </c>
      <c r="J282" s="27"/>
      <c r="K282" s="27"/>
    </row>
    <row r="283" customFormat="false" ht="15" hidden="false" customHeight="false" outlineLevel="0" collapsed="false">
      <c r="A283" s="29"/>
      <c r="B283" s="40" t="n">
        <f aca="false">IF($A283="",0,INT(($A283-Macrociclo!$C$11)/7)+1)</f>
        <v>0</v>
      </c>
      <c r="C283" s="27"/>
      <c r="D283" s="28"/>
      <c r="E283" s="28"/>
      <c r="F283" s="28"/>
      <c r="G283" s="28"/>
      <c r="H283" s="40" t="n">
        <f aca="false">IF(COUNT($D283:$G283)&lt;4,0,SUM($D283:$G283))</f>
        <v>0</v>
      </c>
      <c r="I283" s="26" t="str">
        <f aca="false">IF($H283=0,"",IF($H283&lt;=8,"Ótimo",IF($H283&lt;=12,"Bom",IF($H283&lt;=16,"Regular",IF($H283&lt;=20,"Alerta","Crítico")))))</f>
        <v/>
      </c>
      <c r="J283" s="27"/>
      <c r="K283" s="27"/>
    </row>
    <row r="284" customFormat="false" ht="15" hidden="false" customHeight="false" outlineLevel="0" collapsed="false">
      <c r="A284" s="29"/>
      <c r="B284" s="40" t="n">
        <f aca="false">IF($A284="",0,INT(($A284-Macrociclo!$C$11)/7)+1)</f>
        <v>0</v>
      </c>
      <c r="C284" s="27"/>
      <c r="D284" s="28"/>
      <c r="E284" s="28"/>
      <c r="F284" s="28"/>
      <c r="G284" s="28"/>
      <c r="H284" s="40" t="n">
        <f aca="false">IF(COUNT($D284:$G284)&lt;4,0,SUM($D284:$G284))</f>
        <v>0</v>
      </c>
      <c r="I284" s="26" t="str">
        <f aca="false">IF($H284=0,"",IF($H284&lt;=8,"Ótimo",IF($H284&lt;=12,"Bom",IF($H284&lt;=16,"Regular",IF($H284&lt;=20,"Alerta","Crítico")))))</f>
        <v/>
      </c>
      <c r="J284" s="27"/>
      <c r="K284" s="27"/>
    </row>
    <row r="285" customFormat="false" ht="15" hidden="false" customHeight="false" outlineLevel="0" collapsed="false">
      <c r="A285" s="29"/>
      <c r="B285" s="40" t="n">
        <f aca="false">IF($A285="",0,INT(($A285-Macrociclo!$C$11)/7)+1)</f>
        <v>0</v>
      </c>
      <c r="C285" s="27"/>
      <c r="D285" s="28"/>
      <c r="E285" s="28"/>
      <c r="F285" s="28"/>
      <c r="G285" s="28"/>
      <c r="H285" s="40" t="n">
        <f aca="false">IF(COUNT($D285:$G285)&lt;4,0,SUM($D285:$G285))</f>
        <v>0</v>
      </c>
      <c r="I285" s="26" t="str">
        <f aca="false">IF($H285=0,"",IF($H285&lt;=8,"Ótimo",IF($H285&lt;=12,"Bom",IF($H285&lt;=16,"Regular",IF($H285&lt;=20,"Alerta","Crítico")))))</f>
        <v/>
      </c>
      <c r="J285" s="27"/>
      <c r="K285" s="27"/>
    </row>
    <row r="286" customFormat="false" ht="15" hidden="false" customHeight="false" outlineLevel="0" collapsed="false">
      <c r="A286" s="29"/>
      <c r="B286" s="40" t="n">
        <f aca="false">IF($A286="",0,INT(($A286-Macrociclo!$C$11)/7)+1)</f>
        <v>0</v>
      </c>
      <c r="C286" s="27"/>
      <c r="D286" s="28"/>
      <c r="E286" s="28"/>
      <c r="F286" s="28"/>
      <c r="G286" s="28"/>
      <c r="H286" s="40" t="n">
        <f aca="false">IF(COUNT($D286:$G286)&lt;4,0,SUM($D286:$G286))</f>
        <v>0</v>
      </c>
      <c r="I286" s="26" t="str">
        <f aca="false">IF($H286=0,"",IF($H286&lt;=8,"Ótimo",IF($H286&lt;=12,"Bom",IF($H286&lt;=16,"Regular",IF($H286&lt;=20,"Alerta","Crítico")))))</f>
        <v/>
      </c>
      <c r="J286" s="27"/>
      <c r="K286" s="27"/>
    </row>
    <row r="287" customFormat="false" ht="15" hidden="false" customHeight="false" outlineLevel="0" collapsed="false">
      <c r="A287" s="29"/>
      <c r="B287" s="40" t="n">
        <f aca="false">IF($A287="",0,INT(($A287-Macrociclo!$C$11)/7)+1)</f>
        <v>0</v>
      </c>
      <c r="C287" s="27"/>
      <c r="D287" s="28"/>
      <c r="E287" s="28"/>
      <c r="F287" s="28"/>
      <c r="G287" s="28"/>
      <c r="H287" s="40" t="n">
        <f aca="false">IF(COUNT($D287:$G287)&lt;4,0,SUM($D287:$G287))</f>
        <v>0</v>
      </c>
      <c r="I287" s="26" t="str">
        <f aca="false">IF($H287=0,"",IF($H287&lt;=8,"Ótimo",IF($H287&lt;=12,"Bom",IF($H287&lt;=16,"Regular",IF($H287&lt;=20,"Alerta","Crítico")))))</f>
        <v/>
      </c>
      <c r="J287" s="27"/>
      <c r="K287" s="27"/>
    </row>
    <row r="288" customFormat="false" ht="15" hidden="false" customHeight="false" outlineLevel="0" collapsed="false">
      <c r="A288" s="29"/>
      <c r="B288" s="40" t="n">
        <f aca="false">IF($A288="",0,INT(($A288-Macrociclo!$C$11)/7)+1)</f>
        <v>0</v>
      </c>
      <c r="C288" s="27"/>
      <c r="D288" s="28"/>
      <c r="E288" s="28"/>
      <c r="F288" s="28"/>
      <c r="G288" s="28"/>
      <c r="H288" s="40" t="n">
        <f aca="false">IF(COUNT($D288:$G288)&lt;4,0,SUM($D288:$G288))</f>
        <v>0</v>
      </c>
      <c r="I288" s="26" t="str">
        <f aca="false">IF($H288=0,"",IF($H288&lt;=8,"Ótimo",IF($H288&lt;=12,"Bom",IF($H288&lt;=16,"Regular",IF($H288&lt;=20,"Alerta","Crítico")))))</f>
        <v/>
      </c>
      <c r="J288" s="27"/>
      <c r="K288" s="27"/>
    </row>
    <row r="289" customFormat="false" ht="15" hidden="false" customHeight="false" outlineLevel="0" collapsed="false">
      <c r="A289" s="29"/>
      <c r="B289" s="40" t="n">
        <f aca="false">IF($A289="",0,INT(($A289-Macrociclo!$C$11)/7)+1)</f>
        <v>0</v>
      </c>
      <c r="C289" s="27"/>
      <c r="D289" s="28"/>
      <c r="E289" s="28"/>
      <c r="F289" s="28"/>
      <c r="G289" s="28"/>
      <c r="H289" s="40" t="n">
        <f aca="false">IF(COUNT($D289:$G289)&lt;4,0,SUM($D289:$G289))</f>
        <v>0</v>
      </c>
      <c r="I289" s="26" t="str">
        <f aca="false">IF($H289=0,"",IF($H289&lt;=8,"Ótimo",IF($H289&lt;=12,"Bom",IF($H289&lt;=16,"Regular",IF($H289&lt;=20,"Alerta","Crítico")))))</f>
        <v/>
      </c>
      <c r="J289" s="27"/>
      <c r="K289" s="27"/>
    </row>
    <row r="290" customFormat="false" ht="15" hidden="false" customHeight="false" outlineLevel="0" collapsed="false">
      <c r="A290" s="29"/>
      <c r="B290" s="40" t="n">
        <f aca="false">IF($A290="",0,INT(($A290-Macrociclo!$C$11)/7)+1)</f>
        <v>0</v>
      </c>
      <c r="C290" s="27"/>
      <c r="D290" s="28"/>
      <c r="E290" s="28"/>
      <c r="F290" s="28"/>
      <c r="G290" s="28"/>
      <c r="H290" s="40" t="n">
        <f aca="false">IF(COUNT($D290:$G290)&lt;4,0,SUM($D290:$G290))</f>
        <v>0</v>
      </c>
      <c r="I290" s="26" t="str">
        <f aca="false">IF($H290=0,"",IF($H290&lt;=8,"Ótimo",IF($H290&lt;=12,"Bom",IF($H290&lt;=16,"Regular",IF($H290&lt;=20,"Alerta","Crítico")))))</f>
        <v/>
      </c>
      <c r="J290" s="27"/>
      <c r="K290" s="27"/>
    </row>
    <row r="291" customFormat="false" ht="15" hidden="false" customHeight="false" outlineLevel="0" collapsed="false">
      <c r="A291" s="29"/>
      <c r="B291" s="40" t="n">
        <f aca="false">IF($A291="",0,INT(($A291-Macrociclo!$C$11)/7)+1)</f>
        <v>0</v>
      </c>
      <c r="C291" s="27"/>
      <c r="D291" s="28"/>
      <c r="E291" s="28"/>
      <c r="F291" s="28"/>
      <c r="G291" s="28"/>
      <c r="H291" s="40" t="n">
        <f aca="false">IF(COUNT($D291:$G291)&lt;4,0,SUM($D291:$G291))</f>
        <v>0</v>
      </c>
      <c r="I291" s="26" t="str">
        <f aca="false">IF($H291=0,"",IF($H291&lt;=8,"Ótimo",IF($H291&lt;=12,"Bom",IF($H291&lt;=16,"Regular",IF($H291&lt;=20,"Alerta","Crítico")))))</f>
        <v/>
      </c>
      <c r="J291" s="27"/>
      <c r="K291" s="27"/>
    </row>
    <row r="292" customFormat="false" ht="15" hidden="false" customHeight="false" outlineLevel="0" collapsed="false">
      <c r="A292" s="29"/>
      <c r="B292" s="40" t="n">
        <f aca="false">IF($A292="",0,INT(($A292-Macrociclo!$C$11)/7)+1)</f>
        <v>0</v>
      </c>
      <c r="C292" s="27"/>
      <c r="D292" s="28"/>
      <c r="E292" s="28"/>
      <c r="F292" s="28"/>
      <c r="G292" s="28"/>
      <c r="H292" s="40" t="n">
        <f aca="false">IF(COUNT($D292:$G292)&lt;4,0,SUM($D292:$G292))</f>
        <v>0</v>
      </c>
      <c r="I292" s="26" t="str">
        <f aca="false">IF($H292=0,"",IF($H292&lt;=8,"Ótimo",IF($H292&lt;=12,"Bom",IF($H292&lt;=16,"Regular",IF($H292&lt;=20,"Alerta","Crítico")))))</f>
        <v/>
      </c>
      <c r="J292" s="27"/>
      <c r="K292" s="27"/>
    </row>
    <row r="293" customFormat="false" ht="15" hidden="false" customHeight="false" outlineLevel="0" collapsed="false">
      <c r="A293" s="29"/>
      <c r="B293" s="40" t="n">
        <f aca="false">IF($A293="",0,INT(($A293-Macrociclo!$C$11)/7)+1)</f>
        <v>0</v>
      </c>
      <c r="C293" s="27"/>
      <c r="D293" s="28"/>
      <c r="E293" s="28"/>
      <c r="F293" s="28"/>
      <c r="G293" s="28"/>
      <c r="H293" s="40" t="n">
        <f aca="false">IF(COUNT($D293:$G293)&lt;4,0,SUM($D293:$G293))</f>
        <v>0</v>
      </c>
      <c r="I293" s="26" t="str">
        <f aca="false">IF($H293=0,"",IF($H293&lt;=8,"Ótimo",IF($H293&lt;=12,"Bom",IF($H293&lt;=16,"Regular",IF($H293&lt;=20,"Alerta","Crítico")))))</f>
        <v/>
      </c>
      <c r="J293" s="27"/>
      <c r="K293" s="27"/>
    </row>
    <row r="294" customFormat="false" ht="15" hidden="false" customHeight="false" outlineLevel="0" collapsed="false">
      <c r="A294" s="29"/>
      <c r="B294" s="40" t="n">
        <f aca="false">IF($A294="",0,INT(($A294-Macrociclo!$C$11)/7)+1)</f>
        <v>0</v>
      </c>
      <c r="C294" s="27"/>
      <c r="D294" s="28"/>
      <c r="E294" s="28"/>
      <c r="F294" s="28"/>
      <c r="G294" s="28"/>
      <c r="H294" s="40" t="n">
        <f aca="false">IF(COUNT($D294:$G294)&lt;4,0,SUM($D294:$G294))</f>
        <v>0</v>
      </c>
      <c r="I294" s="26" t="str">
        <f aca="false">IF($H294=0,"",IF($H294&lt;=8,"Ótimo",IF($H294&lt;=12,"Bom",IF($H294&lt;=16,"Regular",IF($H294&lt;=20,"Alerta","Crítico")))))</f>
        <v/>
      </c>
      <c r="J294" s="27"/>
      <c r="K294" s="27"/>
    </row>
    <row r="295" customFormat="false" ht="15" hidden="false" customHeight="false" outlineLevel="0" collapsed="false">
      <c r="A295" s="29"/>
      <c r="B295" s="40" t="n">
        <f aca="false">IF($A295="",0,INT(($A295-Macrociclo!$C$11)/7)+1)</f>
        <v>0</v>
      </c>
      <c r="C295" s="27"/>
      <c r="D295" s="28"/>
      <c r="E295" s="28"/>
      <c r="F295" s="28"/>
      <c r="G295" s="28"/>
      <c r="H295" s="40" t="n">
        <f aca="false">IF(COUNT($D295:$G295)&lt;4,0,SUM($D295:$G295))</f>
        <v>0</v>
      </c>
      <c r="I295" s="26" t="str">
        <f aca="false">IF($H295=0,"",IF($H295&lt;=8,"Ótimo",IF($H295&lt;=12,"Bom",IF($H295&lt;=16,"Regular",IF($H295&lt;=20,"Alerta","Crítico")))))</f>
        <v/>
      </c>
      <c r="J295" s="27"/>
      <c r="K295" s="27"/>
    </row>
    <row r="296" customFormat="false" ht="15" hidden="false" customHeight="false" outlineLevel="0" collapsed="false">
      <c r="A296" s="29"/>
      <c r="B296" s="40" t="n">
        <f aca="false">IF($A296="",0,INT(($A296-Macrociclo!$C$11)/7)+1)</f>
        <v>0</v>
      </c>
      <c r="C296" s="27"/>
      <c r="D296" s="28"/>
      <c r="E296" s="28"/>
      <c r="F296" s="28"/>
      <c r="G296" s="28"/>
      <c r="H296" s="40" t="n">
        <f aca="false">IF(COUNT($D296:$G296)&lt;4,0,SUM($D296:$G296))</f>
        <v>0</v>
      </c>
      <c r="I296" s="26" t="str">
        <f aca="false">IF($H296=0,"",IF($H296&lt;=8,"Ótimo",IF($H296&lt;=12,"Bom",IF($H296&lt;=16,"Regular",IF($H296&lt;=20,"Alerta","Crítico")))))</f>
        <v/>
      </c>
      <c r="J296" s="27"/>
      <c r="K296" s="27"/>
    </row>
    <row r="297" customFormat="false" ht="15" hidden="false" customHeight="false" outlineLevel="0" collapsed="false">
      <c r="A297" s="29"/>
      <c r="B297" s="40" t="n">
        <f aca="false">IF($A297="",0,INT(($A297-Macrociclo!$C$11)/7)+1)</f>
        <v>0</v>
      </c>
      <c r="C297" s="27"/>
      <c r="D297" s="28"/>
      <c r="E297" s="28"/>
      <c r="F297" s="28"/>
      <c r="G297" s="28"/>
      <c r="H297" s="40" t="n">
        <f aca="false">IF(COUNT($D297:$G297)&lt;4,0,SUM($D297:$G297))</f>
        <v>0</v>
      </c>
      <c r="I297" s="26" t="str">
        <f aca="false">IF($H297=0,"",IF($H297&lt;=8,"Ótimo",IF($H297&lt;=12,"Bom",IF($H297&lt;=16,"Regular",IF($H297&lt;=20,"Alerta","Crítico")))))</f>
        <v/>
      </c>
      <c r="J297" s="27"/>
      <c r="K297" s="27"/>
    </row>
    <row r="298" customFormat="false" ht="15" hidden="false" customHeight="false" outlineLevel="0" collapsed="false">
      <c r="A298" s="29"/>
      <c r="B298" s="40" t="n">
        <f aca="false">IF($A298="",0,INT(($A298-Macrociclo!$C$11)/7)+1)</f>
        <v>0</v>
      </c>
      <c r="C298" s="27"/>
      <c r="D298" s="28"/>
      <c r="E298" s="28"/>
      <c r="F298" s="28"/>
      <c r="G298" s="28"/>
      <c r="H298" s="40" t="n">
        <f aca="false">IF(COUNT($D298:$G298)&lt;4,0,SUM($D298:$G298))</f>
        <v>0</v>
      </c>
      <c r="I298" s="26" t="str">
        <f aca="false">IF($H298=0,"",IF($H298&lt;=8,"Ótimo",IF($H298&lt;=12,"Bom",IF($H298&lt;=16,"Regular",IF($H298&lt;=20,"Alerta","Crítico")))))</f>
        <v/>
      </c>
      <c r="J298" s="27"/>
      <c r="K298" s="27"/>
    </row>
    <row r="299" customFormat="false" ht="15" hidden="false" customHeight="false" outlineLevel="0" collapsed="false">
      <c r="A299" s="29"/>
      <c r="B299" s="40" t="n">
        <f aca="false">IF($A299="",0,INT(($A299-Macrociclo!$C$11)/7)+1)</f>
        <v>0</v>
      </c>
      <c r="C299" s="27"/>
      <c r="D299" s="28"/>
      <c r="E299" s="28"/>
      <c r="F299" s="28"/>
      <c r="G299" s="28"/>
      <c r="H299" s="40" t="n">
        <f aca="false">IF(COUNT($D299:$G299)&lt;4,0,SUM($D299:$G299))</f>
        <v>0</v>
      </c>
      <c r="I299" s="26" t="str">
        <f aca="false">IF($H299=0,"",IF($H299&lt;=8,"Ótimo",IF($H299&lt;=12,"Bom",IF($H299&lt;=16,"Regular",IF($H299&lt;=20,"Alerta","Crítico")))))</f>
        <v/>
      </c>
      <c r="J299" s="27"/>
      <c r="K299" s="27"/>
    </row>
    <row r="300" customFormat="false" ht="15" hidden="false" customHeight="false" outlineLevel="0" collapsed="false">
      <c r="A300" s="29"/>
      <c r="B300" s="40" t="n">
        <f aca="false">IF($A300="",0,INT(($A300-Macrociclo!$C$11)/7)+1)</f>
        <v>0</v>
      </c>
      <c r="C300" s="27"/>
      <c r="D300" s="28"/>
      <c r="E300" s="28"/>
      <c r="F300" s="28"/>
      <c r="G300" s="28"/>
      <c r="H300" s="40" t="n">
        <f aca="false">IF(COUNT($D300:$G300)&lt;4,0,SUM($D300:$G300))</f>
        <v>0</v>
      </c>
      <c r="I300" s="26" t="str">
        <f aca="false">IF($H300=0,"",IF($H300&lt;=8,"Ótimo",IF($H300&lt;=12,"Bom",IF($H300&lt;=16,"Regular",IF($H300&lt;=20,"Alerta","Crítico")))))</f>
        <v/>
      </c>
      <c r="J300" s="27"/>
      <c r="K300" s="27"/>
    </row>
    <row r="301" customFormat="false" ht="15" hidden="false" customHeight="false" outlineLevel="0" collapsed="false">
      <c r="A301" s="29"/>
      <c r="B301" s="40" t="n">
        <f aca="false">IF($A301="",0,INT(($A301-Macrociclo!$C$11)/7)+1)</f>
        <v>0</v>
      </c>
      <c r="C301" s="27"/>
      <c r="D301" s="28"/>
      <c r="E301" s="28"/>
      <c r="F301" s="28"/>
      <c r="G301" s="28"/>
      <c r="H301" s="40" t="n">
        <f aca="false">IF(COUNT($D301:$G301)&lt;4,0,SUM($D301:$G301))</f>
        <v>0</v>
      </c>
      <c r="I301" s="26" t="str">
        <f aca="false">IF($H301=0,"",IF($H301&lt;=8,"Ótimo",IF($H301&lt;=12,"Bom",IF($H301&lt;=16,"Regular",IF($H301&lt;=20,"Alerta","Crítico")))))</f>
        <v/>
      </c>
      <c r="J301" s="27"/>
      <c r="K301" s="27"/>
    </row>
    <row r="302" customFormat="false" ht="15" hidden="false" customHeight="false" outlineLevel="0" collapsed="false">
      <c r="A302" s="29"/>
      <c r="B302" s="40" t="n">
        <f aca="false">IF($A302="",0,INT(($A302-Macrociclo!$C$11)/7)+1)</f>
        <v>0</v>
      </c>
      <c r="C302" s="27"/>
      <c r="D302" s="28"/>
      <c r="E302" s="28"/>
      <c r="F302" s="28"/>
      <c r="G302" s="28"/>
      <c r="H302" s="40" t="n">
        <f aca="false">IF(COUNT($D302:$G302)&lt;4,0,SUM($D302:$G302))</f>
        <v>0</v>
      </c>
      <c r="I302" s="26" t="str">
        <f aca="false">IF($H302=0,"",IF($H302&lt;=8,"Ótimo",IF($H302&lt;=12,"Bom",IF($H302&lt;=16,"Regular",IF($H302&lt;=20,"Alerta","Crítico")))))</f>
        <v/>
      </c>
      <c r="J302" s="27"/>
      <c r="K302" s="27"/>
    </row>
    <row r="303" customFormat="false" ht="15" hidden="false" customHeight="false" outlineLevel="0" collapsed="false">
      <c r="A303" s="29"/>
      <c r="B303" s="40" t="n">
        <f aca="false">IF($A303="",0,INT(($A303-Macrociclo!$C$11)/7)+1)</f>
        <v>0</v>
      </c>
      <c r="C303" s="27"/>
      <c r="D303" s="28"/>
      <c r="E303" s="28"/>
      <c r="F303" s="28"/>
      <c r="G303" s="28"/>
      <c r="H303" s="40" t="n">
        <f aca="false">IF(COUNT($D303:$G303)&lt;4,0,SUM($D303:$G303))</f>
        <v>0</v>
      </c>
      <c r="I303" s="26" t="str">
        <f aca="false">IF($H303=0,"",IF($H303&lt;=8,"Ótimo",IF($H303&lt;=12,"Bom",IF($H303&lt;=16,"Regular",IF($H303&lt;=20,"Alerta","Crítico")))))</f>
        <v/>
      </c>
      <c r="J303" s="27"/>
      <c r="K303" s="27"/>
    </row>
    <row r="304" customFormat="false" ht="15" hidden="false" customHeight="false" outlineLevel="0" collapsed="false">
      <c r="A304" s="29"/>
      <c r="B304" s="40" t="n">
        <f aca="false">IF($A304="",0,INT(($A304-Macrociclo!$C$11)/7)+1)</f>
        <v>0</v>
      </c>
      <c r="C304" s="27"/>
      <c r="D304" s="28"/>
      <c r="E304" s="28"/>
      <c r="F304" s="28"/>
      <c r="G304" s="28"/>
      <c r="H304" s="40" t="n">
        <f aca="false">IF(COUNT($D304:$G304)&lt;4,0,SUM($D304:$G304))</f>
        <v>0</v>
      </c>
      <c r="I304" s="26" t="str">
        <f aca="false">IF($H304=0,"",IF($H304&lt;=8,"Ótimo",IF($H304&lt;=12,"Bom",IF($H304&lt;=16,"Regular",IF($H304&lt;=20,"Alerta","Crítico")))))</f>
        <v/>
      </c>
      <c r="J304" s="27"/>
      <c r="K304" s="27"/>
    </row>
    <row r="305" customFormat="false" ht="15" hidden="false" customHeight="false" outlineLevel="0" collapsed="false">
      <c r="A305" s="29"/>
      <c r="B305" s="40" t="n">
        <f aca="false">IF($A305="",0,INT(($A305-Macrociclo!$C$11)/7)+1)</f>
        <v>0</v>
      </c>
      <c r="C305" s="27"/>
      <c r="D305" s="28"/>
      <c r="E305" s="28"/>
      <c r="F305" s="28"/>
      <c r="G305" s="28"/>
      <c r="H305" s="40" t="n">
        <f aca="false">IF(COUNT($D305:$G305)&lt;4,0,SUM($D305:$G305))</f>
        <v>0</v>
      </c>
      <c r="I305" s="26" t="str">
        <f aca="false">IF($H305=0,"",IF($H305&lt;=8,"Ótimo",IF($H305&lt;=12,"Bom",IF($H305&lt;=16,"Regular",IF($H305&lt;=20,"Alerta","Crítico")))))</f>
        <v/>
      </c>
      <c r="J305" s="27"/>
      <c r="K305" s="27"/>
    </row>
    <row r="306" customFormat="false" ht="15" hidden="false" customHeight="false" outlineLevel="0" collapsed="false">
      <c r="A306" s="29"/>
      <c r="B306" s="40" t="n">
        <f aca="false">IF($A306="",0,INT(($A306-Macrociclo!$C$11)/7)+1)</f>
        <v>0</v>
      </c>
      <c r="C306" s="27"/>
      <c r="D306" s="28"/>
      <c r="E306" s="28"/>
      <c r="F306" s="28"/>
      <c r="G306" s="28"/>
      <c r="H306" s="40" t="n">
        <f aca="false">IF(COUNT($D306:$G306)&lt;4,0,SUM($D306:$G306))</f>
        <v>0</v>
      </c>
      <c r="I306" s="26" t="str">
        <f aca="false">IF($H306=0,"",IF($H306&lt;=8,"Ótimo",IF($H306&lt;=12,"Bom",IF($H306&lt;=16,"Regular",IF($H306&lt;=20,"Alerta","Crítico")))))</f>
        <v/>
      </c>
      <c r="J306" s="27"/>
      <c r="K306" s="27"/>
    </row>
    <row r="307" customFormat="false" ht="15" hidden="false" customHeight="false" outlineLevel="0" collapsed="false">
      <c r="A307" s="29"/>
      <c r="B307" s="40" t="n">
        <f aca="false">IF($A307="",0,INT(($A307-Macrociclo!$C$11)/7)+1)</f>
        <v>0</v>
      </c>
      <c r="C307" s="27"/>
      <c r="D307" s="28"/>
      <c r="E307" s="28"/>
      <c r="F307" s="28"/>
      <c r="G307" s="28"/>
      <c r="H307" s="40" t="n">
        <f aca="false">IF(COUNT($D307:$G307)&lt;4,0,SUM($D307:$G307))</f>
        <v>0</v>
      </c>
      <c r="I307" s="26" t="str">
        <f aca="false">IF($H307=0,"",IF($H307&lt;=8,"Ótimo",IF($H307&lt;=12,"Bom",IF($H307&lt;=16,"Regular",IF($H307&lt;=20,"Alerta","Crítico")))))</f>
        <v/>
      </c>
      <c r="J307" s="27"/>
      <c r="K307" s="27"/>
    </row>
    <row r="308" customFormat="false" ht="15" hidden="false" customHeight="false" outlineLevel="0" collapsed="false">
      <c r="A308" s="29"/>
      <c r="B308" s="40" t="n">
        <f aca="false">IF($A308="",0,INT(($A308-Macrociclo!$C$11)/7)+1)</f>
        <v>0</v>
      </c>
      <c r="C308" s="27"/>
      <c r="D308" s="28"/>
      <c r="E308" s="28"/>
      <c r="F308" s="28"/>
      <c r="G308" s="28"/>
      <c r="H308" s="40" t="n">
        <f aca="false">IF(COUNT($D308:$G308)&lt;4,0,SUM($D308:$G308))</f>
        <v>0</v>
      </c>
      <c r="I308" s="26" t="str">
        <f aca="false">IF($H308=0,"",IF($H308&lt;=8,"Ótimo",IF($H308&lt;=12,"Bom",IF($H308&lt;=16,"Regular",IF($H308&lt;=20,"Alerta","Crítico")))))</f>
        <v/>
      </c>
      <c r="J308" s="27"/>
      <c r="K308" s="27"/>
    </row>
    <row r="309" customFormat="false" ht="15" hidden="false" customHeight="false" outlineLevel="0" collapsed="false">
      <c r="A309" s="29"/>
      <c r="B309" s="40" t="n">
        <f aca="false">IF($A309="",0,INT(($A309-Macrociclo!$C$11)/7)+1)</f>
        <v>0</v>
      </c>
      <c r="C309" s="27"/>
      <c r="D309" s="28"/>
      <c r="E309" s="28"/>
      <c r="F309" s="28"/>
      <c r="G309" s="28"/>
      <c r="H309" s="40" t="n">
        <f aca="false">IF(COUNT($D309:$G309)&lt;4,0,SUM($D309:$G309))</f>
        <v>0</v>
      </c>
      <c r="I309" s="26" t="str">
        <f aca="false">IF($H309=0,"",IF($H309&lt;=8,"Ótimo",IF($H309&lt;=12,"Bom",IF($H309&lt;=16,"Regular",IF($H309&lt;=20,"Alerta","Crítico")))))</f>
        <v/>
      </c>
      <c r="J309" s="27"/>
      <c r="K309" s="27"/>
    </row>
    <row r="310" customFormat="false" ht="15" hidden="false" customHeight="false" outlineLevel="0" collapsed="false">
      <c r="A310" s="29"/>
      <c r="B310" s="40" t="n">
        <f aca="false">IF($A310="",0,INT(($A310-Macrociclo!$C$11)/7)+1)</f>
        <v>0</v>
      </c>
      <c r="C310" s="27"/>
      <c r="D310" s="28"/>
      <c r="E310" s="28"/>
      <c r="F310" s="28"/>
      <c r="G310" s="28"/>
      <c r="H310" s="40" t="n">
        <f aca="false">IF(COUNT($D310:$G310)&lt;4,0,SUM($D310:$G310))</f>
        <v>0</v>
      </c>
      <c r="I310" s="26" t="str">
        <f aca="false">IF($H310=0,"",IF($H310&lt;=8,"Ótimo",IF($H310&lt;=12,"Bom",IF($H310&lt;=16,"Regular",IF($H310&lt;=20,"Alerta","Crítico")))))</f>
        <v/>
      </c>
      <c r="J310" s="27"/>
      <c r="K310" s="27"/>
    </row>
    <row r="311" customFormat="false" ht="15" hidden="false" customHeight="false" outlineLevel="0" collapsed="false">
      <c r="A311" s="29"/>
      <c r="B311" s="40" t="n">
        <f aca="false">IF($A311="",0,INT(($A311-Macrociclo!$C$11)/7)+1)</f>
        <v>0</v>
      </c>
      <c r="C311" s="27"/>
      <c r="D311" s="28"/>
      <c r="E311" s="28"/>
      <c r="F311" s="28"/>
      <c r="G311" s="28"/>
      <c r="H311" s="40" t="n">
        <f aca="false">IF(COUNT($D311:$G311)&lt;4,0,SUM($D311:$G311))</f>
        <v>0</v>
      </c>
      <c r="I311" s="26" t="str">
        <f aca="false">IF($H311=0,"",IF($H311&lt;=8,"Ótimo",IF($H311&lt;=12,"Bom",IF($H311&lt;=16,"Regular",IF($H311&lt;=20,"Alerta","Crítico")))))</f>
        <v/>
      </c>
      <c r="J311" s="27"/>
      <c r="K311" s="27"/>
    </row>
    <row r="312" customFormat="false" ht="15" hidden="false" customHeight="false" outlineLevel="0" collapsed="false">
      <c r="A312" s="29"/>
      <c r="B312" s="40" t="n">
        <f aca="false">IF($A312="",0,INT(($A312-Macrociclo!$C$11)/7)+1)</f>
        <v>0</v>
      </c>
      <c r="C312" s="27"/>
      <c r="D312" s="28"/>
      <c r="E312" s="28"/>
      <c r="F312" s="28"/>
      <c r="G312" s="28"/>
      <c r="H312" s="40" t="n">
        <f aca="false">IF(COUNT($D312:$G312)&lt;4,0,SUM($D312:$G312))</f>
        <v>0</v>
      </c>
      <c r="I312" s="26" t="str">
        <f aca="false">IF($H312=0,"",IF($H312&lt;=8,"Ótimo",IF($H312&lt;=12,"Bom",IF($H312&lt;=16,"Regular",IF($H312&lt;=20,"Alerta","Crítico")))))</f>
        <v/>
      </c>
      <c r="J312" s="27"/>
      <c r="K312" s="27"/>
    </row>
    <row r="313" customFormat="false" ht="15" hidden="false" customHeight="false" outlineLevel="0" collapsed="false">
      <c r="A313" s="29"/>
      <c r="B313" s="40" t="n">
        <f aca="false">IF($A313="",0,INT(($A313-Macrociclo!$C$11)/7)+1)</f>
        <v>0</v>
      </c>
      <c r="C313" s="27"/>
      <c r="D313" s="28"/>
      <c r="E313" s="28"/>
      <c r="F313" s="28"/>
      <c r="G313" s="28"/>
      <c r="H313" s="40" t="n">
        <f aca="false">IF(COUNT($D313:$G313)&lt;4,0,SUM($D313:$G313))</f>
        <v>0</v>
      </c>
      <c r="I313" s="26" t="str">
        <f aca="false">IF($H313=0,"",IF($H313&lt;=8,"Ótimo",IF($H313&lt;=12,"Bom",IF($H313&lt;=16,"Regular",IF($H313&lt;=20,"Alerta","Crítico")))))</f>
        <v/>
      </c>
      <c r="J313" s="27"/>
      <c r="K313" s="27"/>
    </row>
    <row r="314" customFormat="false" ht="15" hidden="false" customHeight="false" outlineLevel="0" collapsed="false">
      <c r="A314" s="29"/>
      <c r="B314" s="40" t="n">
        <f aca="false">IF($A314="",0,INT(($A314-Macrociclo!$C$11)/7)+1)</f>
        <v>0</v>
      </c>
      <c r="C314" s="27"/>
      <c r="D314" s="28"/>
      <c r="E314" s="28"/>
      <c r="F314" s="28"/>
      <c r="G314" s="28"/>
      <c r="H314" s="40" t="n">
        <f aca="false">IF(COUNT($D314:$G314)&lt;4,0,SUM($D314:$G314))</f>
        <v>0</v>
      </c>
      <c r="I314" s="26" t="str">
        <f aca="false">IF($H314=0,"",IF($H314&lt;=8,"Ótimo",IF($H314&lt;=12,"Bom",IF($H314&lt;=16,"Regular",IF($H314&lt;=20,"Alerta","Crítico")))))</f>
        <v/>
      </c>
      <c r="J314" s="27"/>
      <c r="K314" s="27"/>
    </row>
    <row r="315" customFormat="false" ht="15" hidden="false" customHeight="false" outlineLevel="0" collapsed="false">
      <c r="A315" s="29"/>
      <c r="B315" s="40" t="n">
        <f aca="false">IF($A315="",0,INT(($A315-Macrociclo!$C$11)/7)+1)</f>
        <v>0</v>
      </c>
      <c r="C315" s="27"/>
      <c r="D315" s="28"/>
      <c r="E315" s="28"/>
      <c r="F315" s="28"/>
      <c r="G315" s="28"/>
      <c r="H315" s="40" t="n">
        <f aca="false">IF(COUNT($D315:$G315)&lt;4,0,SUM($D315:$G315))</f>
        <v>0</v>
      </c>
      <c r="I315" s="26" t="str">
        <f aca="false">IF($H315=0,"",IF($H315&lt;=8,"Ótimo",IF($H315&lt;=12,"Bom",IF($H315&lt;=16,"Regular",IF($H315&lt;=20,"Alerta","Crítico")))))</f>
        <v/>
      </c>
      <c r="J315" s="27"/>
      <c r="K315" s="27"/>
    </row>
    <row r="316" customFormat="false" ht="15" hidden="false" customHeight="false" outlineLevel="0" collapsed="false">
      <c r="A316" s="29"/>
      <c r="B316" s="40" t="n">
        <f aca="false">IF($A316="",0,INT(($A316-Macrociclo!$C$11)/7)+1)</f>
        <v>0</v>
      </c>
      <c r="C316" s="27"/>
      <c r="D316" s="28"/>
      <c r="E316" s="28"/>
      <c r="F316" s="28"/>
      <c r="G316" s="28"/>
      <c r="H316" s="40" t="n">
        <f aca="false">IF(COUNT($D316:$G316)&lt;4,0,SUM($D316:$G316))</f>
        <v>0</v>
      </c>
      <c r="I316" s="26" t="str">
        <f aca="false">IF($H316=0,"",IF($H316&lt;=8,"Ótimo",IF($H316&lt;=12,"Bom",IF($H316&lt;=16,"Regular",IF($H316&lt;=20,"Alerta","Crítico")))))</f>
        <v/>
      </c>
      <c r="J316" s="27"/>
      <c r="K316" s="27"/>
    </row>
    <row r="317" customFormat="false" ht="15" hidden="false" customHeight="false" outlineLevel="0" collapsed="false">
      <c r="A317" s="29"/>
      <c r="B317" s="40" t="n">
        <f aca="false">IF($A317="",0,INT(($A317-Macrociclo!$C$11)/7)+1)</f>
        <v>0</v>
      </c>
      <c r="C317" s="27"/>
      <c r="D317" s="28"/>
      <c r="E317" s="28"/>
      <c r="F317" s="28"/>
      <c r="G317" s="28"/>
      <c r="H317" s="40" t="n">
        <f aca="false">IF(COUNT($D317:$G317)&lt;4,0,SUM($D317:$G317))</f>
        <v>0</v>
      </c>
      <c r="I317" s="26" t="str">
        <f aca="false">IF($H317=0,"",IF($H317&lt;=8,"Ótimo",IF($H317&lt;=12,"Bom",IF($H317&lt;=16,"Regular",IF($H317&lt;=20,"Alerta","Crítico")))))</f>
        <v/>
      </c>
      <c r="J317" s="27"/>
      <c r="K317" s="27"/>
    </row>
    <row r="318" customFormat="false" ht="15" hidden="false" customHeight="false" outlineLevel="0" collapsed="false">
      <c r="A318" s="29"/>
      <c r="B318" s="40" t="n">
        <f aca="false">IF($A318="",0,INT(($A318-Macrociclo!$C$11)/7)+1)</f>
        <v>0</v>
      </c>
      <c r="C318" s="27"/>
      <c r="D318" s="28"/>
      <c r="E318" s="28"/>
      <c r="F318" s="28"/>
      <c r="G318" s="28"/>
      <c r="H318" s="40" t="n">
        <f aca="false">IF(COUNT($D318:$G318)&lt;4,0,SUM($D318:$G318))</f>
        <v>0</v>
      </c>
      <c r="I318" s="26" t="str">
        <f aca="false">IF($H318=0,"",IF($H318&lt;=8,"Ótimo",IF($H318&lt;=12,"Bom",IF($H318&lt;=16,"Regular",IF($H318&lt;=20,"Alerta","Crítico")))))</f>
        <v/>
      </c>
      <c r="J318" s="27"/>
      <c r="K318" s="27"/>
    </row>
    <row r="319" customFormat="false" ht="15" hidden="false" customHeight="false" outlineLevel="0" collapsed="false">
      <c r="A319" s="29"/>
      <c r="B319" s="40" t="n">
        <f aca="false">IF($A319="",0,INT(($A319-Macrociclo!$C$11)/7)+1)</f>
        <v>0</v>
      </c>
      <c r="C319" s="27"/>
      <c r="D319" s="28"/>
      <c r="E319" s="28"/>
      <c r="F319" s="28"/>
      <c r="G319" s="28"/>
      <c r="H319" s="40" t="n">
        <f aca="false">IF(COUNT($D319:$G319)&lt;4,0,SUM($D319:$G319))</f>
        <v>0</v>
      </c>
      <c r="I319" s="26" t="str">
        <f aca="false">IF($H319=0,"",IF($H319&lt;=8,"Ótimo",IF($H319&lt;=12,"Bom",IF($H319&lt;=16,"Regular",IF($H319&lt;=20,"Alerta","Crítico")))))</f>
        <v/>
      </c>
      <c r="J319" s="27"/>
      <c r="K319" s="27"/>
    </row>
    <row r="320" customFormat="false" ht="15" hidden="false" customHeight="false" outlineLevel="0" collapsed="false">
      <c r="A320" s="29"/>
      <c r="B320" s="40" t="n">
        <f aca="false">IF($A320="",0,INT(($A320-Macrociclo!$C$11)/7)+1)</f>
        <v>0</v>
      </c>
      <c r="C320" s="27"/>
      <c r="D320" s="28"/>
      <c r="E320" s="28"/>
      <c r="F320" s="28"/>
      <c r="G320" s="28"/>
      <c r="H320" s="40" t="n">
        <f aca="false">IF(COUNT($D320:$G320)&lt;4,0,SUM($D320:$G320))</f>
        <v>0</v>
      </c>
      <c r="I320" s="26" t="str">
        <f aca="false">IF($H320=0,"",IF($H320&lt;=8,"Ótimo",IF($H320&lt;=12,"Bom",IF($H320&lt;=16,"Regular",IF($H320&lt;=20,"Alerta","Crítico")))))</f>
        <v/>
      </c>
      <c r="J320" s="27"/>
      <c r="K320" s="27"/>
    </row>
    <row r="321" customFormat="false" ht="15" hidden="false" customHeight="false" outlineLevel="0" collapsed="false">
      <c r="A321" s="29"/>
      <c r="B321" s="40" t="n">
        <f aca="false">IF($A321="",0,INT(($A321-Macrociclo!$C$11)/7)+1)</f>
        <v>0</v>
      </c>
      <c r="C321" s="27"/>
      <c r="D321" s="28"/>
      <c r="E321" s="28"/>
      <c r="F321" s="28"/>
      <c r="G321" s="28"/>
      <c r="H321" s="40" t="n">
        <f aca="false">IF(COUNT($D321:$G321)&lt;4,0,SUM($D321:$G321))</f>
        <v>0</v>
      </c>
      <c r="I321" s="26" t="str">
        <f aca="false">IF($H321=0,"",IF($H321&lt;=8,"Ótimo",IF($H321&lt;=12,"Bom",IF($H321&lt;=16,"Regular",IF($H321&lt;=20,"Alerta","Crítico")))))</f>
        <v/>
      </c>
      <c r="J321" s="27"/>
      <c r="K321" s="27"/>
    </row>
    <row r="322" customFormat="false" ht="15" hidden="false" customHeight="false" outlineLevel="0" collapsed="false">
      <c r="A322" s="29"/>
      <c r="B322" s="40" t="n">
        <f aca="false">IF($A322="",0,INT(($A322-Macrociclo!$C$11)/7)+1)</f>
        <v>0</v>
      </c>
      <c r="C322" s="27"/>
      <c r="D322" s="28"/>
      <c r="E322" s="28"/>
      <c r="F322" s="28"/>
      <c r="G322" s="28"/>
      <c r="H322" s="40" t="n">
        <f aca="false">IF(COUNT($D322:$G322)&lt;4,0,SUM($D322:$G322))</f>
        <v>0</v>
      </c>
      <c r="I322" s="26" t="str">
        <f aca="false">IF($H322=0,"",IF($H322&lt;=8,"Ótimo",IF($H322&lt;=12,"Bom",IF($H322&lt;=16,"Regular",IF($H322&lt;=20,"Alerta","Crítico")))))</f>
        <v/>
      </c>
      <c r="J322" s="27"/>
      <c r="K322" s="27"/>
    </row>
    <row r="323" customFormat="false" ht="15" hidden="false" customHeight="false" outlineLevel="0" collapsed="false">
      <c r="A323" s="29"/>
      <c r="B323" s="40" t="n">
        <f aca="false">IF($A323="",0,INT(($A323-Macrociclo!$C$11)/7)+1)</f>
        <v>0</v>
      </c>
      <c r="C323" s="27"/>
      <c r="D323" s="28"/>
      <c r="E323" s="28"/>
      <c r="F323" s="28"/>
      <c r="G323" s="28"/>
      <c r="H323" s="40" t="n">
        <f aca="false">IF(COUNT($D323:$G323)&lt;4,0,SUM($D323:$G323))</f>
        <v>0</v>
      </c>
      <c r="I323" s="26" t="str">
        <f aca="false">IF($H323=0,"",IF($H323&lt;=8,"Ótimo",IF($H323&lt;=12,"Bom",IF($H323&lt;=16,"Regular",IF($H323&lt;=20,"Alerta","Crítico")))))</f>
        <v/>
      </c>
      <c r="J323" s="27"/>
      <c r="K323" s="27"/>
    </row>
    <row r="324" customFormat="false" ht="15" hidden="false" customHeight="false" outlineLevel="0" collapsed="false">
      <c r="A324" s="29"/>
      <c r="B324" s="40" t="n">
        <f aca="false">IF($A324="",0,INT(($A324-Macrociclo!$C$11)/7)+1)</f>
        <v>0</v>
      </c>
      <c r="C324" s="27"/>
      <c r="D324" s="28"/>
      <c r="E324" s="28"/>
      <c r="F324" s="28"/>
      <c r="G324" s="28"/>
      <c r="H324" s="40" t="n">
        <f aca="false">IF(COUNT($D324:$G324)&lt;4,0,SUM($D324:$G324))</f>
        <v>0</v>
      </c>
      <c r="I324" s="26" t="str">
        <f aca="false">IF($H324=0,"",IF($H324&lt;=8,"Ótimo",IF($H324&lt;=12,"Bom",IF($H324&lt;=16,"Regular",IF($H324&lt;=20,"Alerta","Crítico")))))</f>
        <v/>
      </c>
      <c r="J324" s="27"/>
      <c r="K324" s="27"/>
    </row>
    <row r="325" customFormat="false" ht="15" hidden="false" customHeight="false" outlineLevel="0" collapsed="false">
      <c r="A325" s="29"/>
      <c r="B325" s="40" t="n">
        <f aca="false">IF($A325="",0,INT(($A325-Macrociclo!$C$11)/7)+1)</f>
        <v>0</v>
      </c>
      <c r="C325" s="27"/>
      <c r="D325" s="28"/>
      <c r="E325" s="28"/>
      <c r="F325" s="28"/>
      <c r="G325" s="28"/>
      <c r="H325" s="40" t="n">
        <f aca="false">IF(COUNT($D325:$G325)&lt;4,0,SUM($D325:$G325))</f>
        <v>0</v>
      </c>
      <c r="I325" s="26" t="str">
        <f aca="false">IF($H325=0,"",IF($H325&lt;=8,"Ótimo",IF($H325&lt;=12,"Bom",IF($H325&lt;=16,"Regular",IF($H325&lt;=20,"Alerta","Crítico")))))</f>
        <v/>
      </c>
      <c r="J325" s="27"/>
      <c r="K325" s="27"/>
    </row>
    <row r="326" customFormat="false" ht="15" hidden="false" customHeight="false" outlineLevel="0" collapsed="false">
      <c r="A326" s="29"/>
      <c r="B326" s="40" t="n">
        <f aca="false">IF($A326="",0,INT(($A326-Macrociclo!$C$11)/7)+1)</f>
        <v>0</v>
      </c>
      <c r="C326" s="27"/>
      <c r="D326" s="28"/>
      <c r="E326" s="28"/>
      <c r="F326" s="28"/>
      <c r="G326" s="28"/>
      <c r="H326" s="40" t="n">
        <f aca="false">IF(COUNT($D326:$G326)&lt;4,0,SUM($D326:$G326))</f>
        <v>0</v>
      </c>
      <c r="I326" s="26" t="str">
        <f aca="false">IF($H326=0,"",IF($H326&lt;=8,"Ótimo",IF($H326&lt;=12,"Bom",IF($H326&lt;=16,"Regular",IF($H326&lt;=20,"Alerta","Crítico")))))</f>
        <v/>
      </c>
      <c r="J326" s="27"/>
      <c r="K326" s="27"/>
    </row>
    <row r="327" customFormat="false" ht="15" hidden="false" customHeight="false" outlineLevel="0" collapsed="false">
      <c r="A327" s="29"/>
      <c r="B327" s="40" t="n">
        <f aca="false">IF($A327="",0,INT(($A327-Macrociclo!$C$11)/7)+1)</f>
        <v>0</v>
      </c>
      <c r="C327" s="27"/>
      <c r="D327" s="28"/>
      <c r="E327" s="28"/>
      <c r="F327" s="28"/>
      <c r="G327" s="28"/>
      <c r="H327" s="40" t="n">
        <f aca="false">IF(COUNT($D327:$G327)&lt;4,0,SUM($D327:$G327))</f>
        <v>0</v>
      </c>
      <c r="I327" s="26" t="str">
        <f aca="false">IF($H327=0,"",IF($H327&lt;=8,"Ótimo",IF($H327&lt;=12,"Bom",IF($H327&lt;=16,"Regular",IF($H327&lt;=20,"Alerta","Crítico")))))</f>
        <v/>
      </c>
      <c r="J327" s="27"/>
      <c r="K327" s="27"/>
    </row>
    <row r="328" customFormat="false" ht="15" hidden="false" customHeight="false" outlineLevel="0" collapsed="false">
      <c r="A328" s="29"/>
      <c r="B328" s="40" t="n">
        <f aca="false">IF($A328="",0,INT(($A328-Macrociclo!$C$11)/7)+1)</f>
        <v>0</v>
      </c>
      <c r="C328" s="27"/>
      <c r="D328" s="28"/>
      <c r="E328" s="28"/>
      <c r="F328" s="28"/>
      <c r="G328" s="28"/>
      <c r="H328" s="40" t="n">
        <f aca="false">IF(COUNT($D328:$G328)&lt;4,0,SUM($D328:$G328))</f>
        <v>0</v>
      </c>
      <c r="I328" s="26" t="str">
        <f aca="false">IF($H328=0,"",IF($H328&lt;=8,"Ótimo",IF($H328&lt;=12,"Bom",IF($H328&lt;=16,"Regular",IF($H328&lt;=20,"Alerta","Crítico")))))</f>
        <v/>
      </c>
      <c r="J328" s="27"/>
      <c r="K328" s="27"/>
    </row>
    <row r="329" customFormat="false" ht="15" hidden="false" customHeight="false" outlineLevel="0" collapsed="false">
      <c r="A329" s="29"/>
      <c r="B329" s="40" t="n">
        <f aca="false">IF($A329="",0,INT(($A329-Macrociclo!$C$11)/7)+1)</f>
        <v>0</v>
      </c>
      <c r="C329" s="27"/>
      <c r="D329" s="28"/>
      <c r="E329" s="28"/>
      <c r="F329" s="28"/>
      <c r="G329" s="28"/>
      <c r="H329" s="40" t="n">
        <f aca="false">IF(COUNT($D329:$G329)&lt;4,0,SUM($D329:$G329))</f>
        <v>0</v>
      </c>
      <c r="I329" s="26" t="str">
        <f aca="false">IF($H329=0,"",IF($H329&lt;=8,"Ótimo",IF($H329&lt;=12,"Bom",IF($H329&lt;=16,"Regular",IF($H329&lt;=20,"Alerta","Crítico")))))</f>
        <v/>
      </c>
      <c r="J329" s="27"/>
      <c r="K329" s="27"/>
    </row>
    <row r="330" customFormat="false" ht="15" hidden="false" customHeight="false" outlineLevel="0" collapsed="false">
      <c r="A330" s="29"/>
      <c r="B330" s="40" t="n">
        <f aca="false">IF($A330="",0,INT(($A330-Macrociclo!$C$11)/7)+1)</f>
        <v>0</v>
      </c>
      <c r="C330" s="27"/>
      <c r="D330" s="28"/>
      <c r="E330" s="28"/>
      <c r="F330" s="28"/>
      <c r="G330" s="28"/>
      <c r="H330" s="40" t="n">
        <f aca="false">IF(COUNT($D330:$G330)&lt;4,0,SUM($D330:$G330))</f>
        <v>0</v>
      </c>
      <c r="I330" s="26" t="str">
        <f aca="false">IF($H330=0,"",IF($H330&lt;=8,"Ótimo",IF($H330&lt;=12,"Bom",IF($H330&lt;=16,"Regular",IF($H330&lt;=20,"Alerta","Crítico")))))</f>
        <v/>
      </c>
      <c r="J330" s="27"/>
      <c r="K330" s="27"/>
    </row>
    <row r="331" customFormat="false" ht="15" hidden="false" customHeight="false" outlineLevel="0" collapsed="false">
      <c r="A331" s="29"/>
      <c r="B331" s="40" t="n">
        <f aca="false">IF($A331="",0,INT(($A331-Macrociclo!$C$11)/7)+1)</f>
        <v>0</v>
      </c>
      <c r="C331" s="27"/>
      <c r="D331" s="28"/>
      <c r="E331" s="28"/>
      <c r="F331" s="28"/>
      <c r="G331" s="28"/>
      <c r="H331" s="40" t="n">
        <f aca="false">IF(COUNT($D331:$G331)&lt;4,0,SUM($D331:$G331))</f>
        <v>0</v>
      </c>
      <c r="I331" s="26" t="str">
        <f aca="false">IF($H331=0,"",IF($H331&lt;=8,"Ótimo",IF($H331&lt;=12,"Bom",IF($H331&lt;=16,"Regular",IF($H331&lt;=20,"Alerta","Crítico")))))</f>
        <v/>
      </c>
      <c r="J331" s="27"/>
      <c r="K331" s="27"/>
    </row>
    <row r="332" customFormat="false" ht="15" hidden="false" customHeight="false" outlineLevel="0" collapsed="false">
      <c r="A332" s="29"/>
      <c r="B332" s="40" t="n">
        <f aca="false">IF($A332="",0,INT(($A332-Macrociclo!$C$11)/7)+1)</f>
        <v>0</v>
      </c>
      <c r="C332" s="27"/>
      <c r="D332" s="28"/>
      <c r="E332" s="28"/>
      <c r="F332" s="28"/>
      <c r="G332" s="28"/>
      <c r="H332" s="40" t="n">
        <f aca="false">IF(COUNT($D332:$G332)&lt;4,0,SUM($D332:$G332))</f>
        <v>0</v>
      </c>
      <c r="I332" s="26" t="str">
        <f aca="false">IF($H332=0,"",IF($H332&lt;=8,"Ótimo",IF($H332&lt;=12,"Bom",IF($H332&lt;=16,"Regular",IF($H332&lt;=20,"Alerta","Crítico")))))</f>
        <v/>
      </c>
      <c r="J332" s="27"/>
      <c r="K332" s="27"/>
    </row>
    <row r="333" customFormat="false" ht="15" hidden="false" customHeight="false" outlineLevel="0" collapsed="false">
      <c r="A333" s="29"/>
      <c r="B333" s="40" t="n">
        <f aca="false">IF($A333="",0,INT(($A333-Macrociclo!$C$11)/7)+1)</f>
        <v>0</v>
      </c>
      <c r="C333" s="27"/>
      <c r="D333" s="28"/>
      <c r="E333" s="28"/>
      <c r="F333" s="28"/>
      <c r="G333" s="28"/>
      <c r="H333" s="40" t="n">
        <f aca="false">IF(COUNT($D333:$G333)&lt;4,0,SUM($D333:$G333))</f>
        <v>0</v>
      </c>
      <c r="I333" s="26" t="str">
        <f aca="false">IF($H333=0,"",IF($H333&lt;=8,"Ótimo",IF($H333&lt;=12,"Bom",IF($H333&lt;=16,"Regular",IF($H333&lt;=20,"Alerta","Crítico")))))</f>
        <v/>
      </c>
      <c r="J333" s="27"/>
      <c r="K333" s="27"/>
    </row>
    <row r="334" customFormat="false" ht="15" hidden="false" customHeight="false" outlineLevel="0" collapsed="false">
      <c r="A334" s="29"/>
      <c r="B334" s="40" t="n">
        <f aca="false">IF($A334="",0,INT(($A334-Macrociclo!$C$11)/7)+1)</f>
        <v>0</v>
      </c>
      <c r="C334" s="27"/>
      <c r="D334" s="28"/>
      <c r="E334" s="28"/>
      <c r="F334" s="28"/>
      <c r="G334" s="28"/>
      <c r="H334" s="40" t="n">
        <f aca="false">IF(COUNT($D334:$G334)&lt;4,0,SUM($D334:$G334))</f>
        <v>0</v>
      </c>
      <c r="I334" s="26" t="str">
        <f aca="false">IF($H334=0,"",IF($H334&lt;=8,"Ótimo",IF($H334&lt;=12,"Bom",IF($H334&lt;=16,"Regular",IF($H334&lt;=20,"Alerta","Crítico")))))</f>
        <v/>
      </c>
      <c r="J334" s="27"/>
      <c r="K334" s="27"/>
    </row>
    <row r="335" customFormat="false" ht="15" hidden="false" customHeight="false" outlineLevel="0" collapsed="false">
      <c r="A335" s="29"/>
      <c r="B335" s="40" t="n">
        <f aca="false">IF($A335="",0,INT(($A335-Macrociclo!$C$11)/7)+1)</f>
        <v>0</v>
      </c>
      <c r="C335" s="27"/>
      <c r="D335" s="28"/>
      <c r="E335" s="28"/>
      <c r="F335" s="28"/>
      <c r="G335" s="28"/>
      <c r="H335" s="40" t="n">
        <f aca="false">IF(COUNT($D335:$G335)&lt;4,0,SUM($D335:$G335))</f>
        <v>0</v>
      </c>
      <c r="I335" s="26" t="str">
        <f aca="false">IF($H335=0,"",IF($H335&lt;=8,"Ótimo",IF($H335&lt;=12,"Bom",IF($H335&lt;=16,"Regular",IF($H335&lt;=20,"Alerta","Crítico")))))</f>
        <v/>
      </c>
      <c r="J335" s="27"/>
      <c r="K335" s="27"/>
    </row>
    <row r="336" customFormat="false" ht="15" hidden="false" customHeight="false" outlineLevel="0" collapsed="false">
      <c r="A336" s="29"/>
      <c r="B336" s="40" t="n">
        <f aca="false">IF($A336="",0,INT(($A336-Macrociclo!$C$11)/7)+1)</f>
        <v>0</v>
      </c>
      <c r="C336" s="27"/>
      <c r="D336" s="28"/>
      <c r="E336" s="28"/>
      <c r="F336" s="28"/>
      <c r="G336" s="28"/>
      <c r="H336" s="40" t="n">
        <f aca="false">IF(COUNT($D336:$G336)&lt;4,0,SUM($D336:$G336))</f>
        <v>0</v>
      </c>
      <c r="I336" s="26" t="str">
        <f aca="false">IF($H336=0,"",IF($H336&lt;=8,"Ótimo",IF($H336&lt;=12,"Bom",IF($H336&lt;=16,"Regular",IF($H336&lt;=20,"Alerta","Crítico")))))</f>
        <v/>
      </c>
      <c r="J336" s="27"/>
      <c r="K336" s="27"/>
    </row>
    <row r="337" customFormat="false" ht="15" hidden="false" customHeight="false" outlineLevel="0" collapsed="false">
      <c r="A337" s="29"/>
      <c r="B337" s="40" t="n">
        <f aca="false">IF($A337="",0,INT(($A337-Macrociclo!$C$11)/7)+1)</f>
        <v>0</v>
      </c>
      <c r="C337" s="27"/>
      <c r="D337" s="28"/>
      <c r="E337" s="28"/>
      <c r="F337" s="28"/>
      <c r="G337" s="28"/>
      <c r="H337" s="40" t="n">
        <f aca="false">IF(COUNT($D337:$G337)&lt;4,0,SUM($D337:$G337))</f>
        <v>0</v>
      </c>
      <c r="I337" s="26" t="str">
        <f aca="false">IF($H337=0,"",IF($H337&lt;=8,"Ótimo",IF($H337&lt;=12,"Bom",IF($H337&lt;=16,"Regular",IF($H337&lt;=20,"Alerta","Crítico")))))</f>
        <v/>
      </c>
      <c r="J337" s="27"/>
      <c r="K337" s="27"/>
    </row>
    <row r="338" customFormat="false" ht="15" hidden="false" customHeight="false" outlineLevel="0" collapsed="false">
      <c r="A338" s="29"/>
      <c r="B338" s="40" t="n">
        <f aca="false">IF($A338="",0,INT(($A338-Macrociclo!$C$11)/7)+1)</f>
        <v>0</v>
      </c>
      <c r="C338" s="27"/>
      <c r="D338" s="28"/>
      <c r="E338" s="28"/>
      <c r="F338" s="28"/>
      <c r="G338" s="28"/>
      <c r="H338" s="40" t="n">
        <f aca="false">IF(COUNT($D338:$G338)&lt;4,0,SUM($D338:$G338))</f>
        <v>0</v>
      </c>
      <c r="I338" s="26" t="str">
        <f aca="false">IF($H338=0,"",IF($H338&lt;=8,"Ótimo",IF($H338&lt;=12,"Bom",IF($H338&lt;=16,"Regular",IF($H338&lt;=20,"Alerta","Crítico")))))</f>
        <v/>
      </c>
      <c r="J338" s="27"/>
      <c r="K338" s="27"/>
    </row>
    <row r="339" customFormat="false" ht="15" hidden="false" customHeight="false" outlineLevel="0" collapsed="false">
      <c r="A339" s="29"/>
      <c r="B339" s="40" t="n">
        <f aca="false">IF($A339="",0,INT(($A339-Macrociclo!$C$11)/7)+1)</f>
        <v>0</v>
      </c>
      <c r="C339" s="27"/>
      <c r="D339" s="28"/>
      <c r="E339" s="28"/>
      <c r="F339" s="28"/>
      <c r="G339" s="28"/>
      <c r="H339" s="40" t="n">
        <f aca="false">IF(COUNT($D339:$G339)&lt;4,0,SUM($D339:$G339))</f>
        <v>0</v>
      </c>
      <c r="I339" s="26" t="str">
        <f aca="false">IF($H339=0,"",IF($H339&lt;=8,"Ótimo",IF($H339&lt;=12,"Bom",IF($H339&lt;=16,"Regular",IF($H339&lt;=20,"Alerta","Crítico")))))</f>
        <v/>
      </c>
      <c r="J339" s="27"/>
      <c r="K339" s="27"/>
    </row>
    <row r="340" customFormat="false" ht="15" hidden="false" customHeight="false" outlineLevel="0" collapsed="false">
      <c r="A340" s="29"/>
      <c r="B340" s="40" t="n">
        <f aca="false">IF($A340="",0,INT(($A340-Macrociclo!$C$11)/7)+1)</f>
        <v>0</v>
      </c>
      <c r="C340" s="27"/>
      <c r="D340" s="28"/>
      <c r="E340" s="28"/>
      <c r="F340" s="28"/>
      <c r="G340" s="28"/>
      <c r="H340" s="40" t="n">
        <f aca="false">IF(COUNT($D340:$G340)&lt;4,0,SUM($D340:$G340))</f>
        <v>0</v>
      </c>
      <c r="I340" s="26" t="str">
        <f aca="false">IF($H340=0,"",IF($H340&lt;=8,"Ótimo",IF($H340&lt;=12,"Bom",IF($H340&lt;=16,"Regular",IF($H340&lt;=20,"Alerta","Crítico")))))</f>
        <v/>
      </c>
      <c r="J340" s="27"/>
      <c r="K340" s="27"/>
    </row>
    <row r="341" customFormat="false" ht="15" hidden="false" customHeight="false" outlineLevel="0" collapsed="false">
      <c r="A341" s="29"/>
      <c r="B341" s="40" t="n">
        <f aca="false">IF($A341="",0,INT(($A341-Macrociclo!$C$11)/7)+1)</f>
        <v>0</v>
      </c>
      <c r="C341" s="27"/>
      <c r="D341" s="28"/>
      <c r="E341" s="28"/>
      <c r="F341" s="28"/>
      <c r="G341" s="28"/>
      <c r="H341" s="40" t="n">
        <f aca="false">IF(COUNT($D341:$G341)&lt;4,0,SUM($D341:$G341))</f>
        <v>0</v>
      </c>
      <c r="I341" s="26" t="str">
        <f aca="false">IF($H341=0,"",IF($H341&lt;=8,"Ótimo",IF($H341&lt;=12,"Bom",IF($H341&lt;=16,"Regular",IF($H341&lt;=20,"Alerta","Crítico")))))</f>
        <v/>
      </c>
      <c r="J341" s="27"/>
      <c r="K341" s="27"/>
    </row>
    <row r="342" customFormat="false" ht="15" hidden="false" customHeight="false" outlineLevel="0" collapsed="false">
      <c r="A342" s="29"/>
      <c r="B342" s="40" t="n">
        <f aca="false">IF($A342="",0,INT(($A342-Macrociclo!$C$11)/7)+1)</f>
        <v>0</v>
      </c>
      <c r="C342" s="27"/>
      <c r="D342" s="28"/>
      <c r="E342" s="28"/>
      <c r="F342" s="28"/>
      <c r="G342" s="28"/>
      <c r="H342" s="40" t="n">
        <f aca="false">IF(COUNT($D342:$G342)&lt;4,0,SUM($D342:$G342))</f>
        <v>0</v>
      </c>
      <c r="I342" s="26" t="str">
        <f aca="false">IF($H342=0,"",IF($H342&lt;=8,"Ótimo",IF($H342&lt;=12,"Bom",IF($H342&lt;=16,"Regular",IF($H342&lt;=20,"Alerta","Crítico")))))</f>
        <v/>
      </c>
      <c r="J342" s="27"/>
      <c r="K342" s="27"/>
    </row>
    <row r="343" customFormat="false" ht="15" hidden="false" customHeight="false" outlineLevel="0" collapsed="false">
      <c r="A343" s="29"/>
      <c r="B343" s="40" t="n">
        <f aca="false">IF($A343="",0,INT(($A343-Macrociclo!$C$11)/7)+1)</f>
        <v>0</v>
      </c>
      <c r="C343" s="27"/>
      <c r="D343" s="28"/>
      <c r="E343" s="28"/>
      <c r="F343" s="28"/>
      <c r="G343" s="28"/>
      <c r="H343" s="40" t="n">
        <f aca="false">IF(COUNT($D343:$G343)&lt;4,0,SUM($D343:$G343))</f>
        <v>0</v>
      </c>
      <c r="I343" s="26" t="str">
        <f aca="false">IF($H343=0,"",IF($H343&lt;=8,"Ótimo",IF($H343&lt;=12,"Bom",IF($H343&lt;=16,"Regular",IF($H343&lt;=20,"Alerta","Crítico")))))</f>
        <v/>
      </c>
      <c r="J343" s="27"/>
      <c r="K343" s="27"/>
    </row>
    <row r="344" customFormat="false" ht="15" hidden="false" customHeight="false" outlineLevel="0" collapsed="false">
      <c r="A344" s="29"/>
      <c r="B344" s="40" t="n">
        <f aca="false">IF($A344="",0,INT(($A344-Macrociclo!$C$11)/7)+1)</f>
        <v>0</v>
      </c>
      <c r="C344" s="27"/>
      <c r="D344" s="28"/>
      <c r="E344" s="28"/>
      <c r="F344" s="28"/>
      <c r="G344" s="28"/>
      <c r="H344" s="40" t="n">
        <f aca="false">IF(COUNT($D344:$G344)&lt;4,0,SUM($D344:$G344))</f>
        <v>0</v>
      </c>
      <c r="I344" s="26" t="str">
        <f aca="false">IF($H344=0,"",IF($H344&lt;=8,"Ótimo",IF($H344&lt;=12,"Bom",IF($H344&lt;=16,"Regular",IF($H344&lt;=20,"Alerta","Crítico")))))</f>
        <v/>
      </c>
      <c r="J344" s="27"/>
      <c r="K344" s="27"/>
    </row>
    <row r="345" customFormat="false" ht="15" hidden="false" customHeight="false" outlineLevel="0" collapsed="false">
      <c r="A345" s="29"/>
      <c r="B345" s="40" t="n">
        <f aca="false">IF($A345="",0,INT(($A345-Macrociclo!$C$11)/7)+1)</f>
        <v>0</v>
      </c>
      <c r="C345" s="27"/>
      <c r="D345" s="28"/>
      <c r="E345" s="28"/>
      <c r="F345" s="28"/>
      <c r="G345" s="28"/>
      <c r="H345" s="40" t="n">
        <f aca="false">IF(COUNT($D345:$G345)&lt;4,0,SUM($D345:$G345))</f>
        <v>0</v>
      </c>
      <c r="I345" s="26" t="str">
        <f aca="false">IF($H345=0,"",IF($H345&lt;=8,"Ótimo",IF($H345&lt;=12,"Bom",IF($H345&lt;=16,"Regular",IF($H345&lt;=20,"Alerta","Crítico")))))</f>
        <v/>
      </c>
      <c r="J345" s="27"/>
      <c r="K345" s="27"/>
    </row>
    <row r="346" customFormat="false" ht="15" hidden="false" customHeight="false" outlineLevel="0" collapsed="false">
      <c r="A346" s="29"/>
      <c r="B346" s="40" t="n">
        <f aca="false">IF($A346="",0,INT(($A346-Macrociclo!$C$11)/7)+1)</f>
        <v>0</v>
      </c>
      <c r="C346" s="27"/>
      <c r="D346" s="28"/>
      <c r="E346" s="28"/>
      <c r="F346" s="28"/>
      <c r="G346" s="28"/>
      <c r="H346" s="40" t="n">
        <f aca="false">IF(COUNT($D346:$G346)&lt;4,0,SUM($D346:$G346))</f>
        <v>0</v>
      </c>
      <c r="I346" s="26" t="str">
        <f aca="false">IF($H346=0,"",IF($H346&lt;=8,"Ótimo",IF($H346&lt;=12,"Bom",IF($H346&lt;=16,"Regular",IF($H346&lt;=20,"Alerta","Crítico")))))</f>
        <v/>
      </c>
      <c r="J346" s="27"/>
      <c r="K346" s="27"/>
    </row>
    <row r="347" customFormat="false" ht="15" hidden="false" customHeight="false" outlineLevel="0" collapsed="false">
      <c r="A347" s="29"/>
      <c r="B347" s="40" t="n">
        <f aca="false">IF($A347="",0,INT(($A347-Macrociclo!$C$11)/7)+1)</f>
        <v>0</v>
      </c>
      <c r="C347" s="27"/>
      <c r="D347" s="28"/>
      <c r="E347" s="28"/>
      <c r="F347" s="28"/>
      <c r="G347" s="28"/>
      <c r="H347" s="40" t="n">
        <f aca="false">IF(COUNT($D347:$G347)&lt;4,0,SUM($D347:$G347))</f>
        <v>0</v>
      </c>
      <c r="I347" s="26" t="str">
        <f aca="false">IF($H347=0,"",IF($H347&lt;=8,"Ótimo",IF($H347&lt;=12,"Bom",IF($H347&lt;=16,"Regular",IF($H347&lt;=20,"Alerta","Crítico")))))</f>
        <v/>
      </c>
      <c r="J347" s="27"/>
      <c r="K347" s="27"/>
    </row>
    <row r="348" customFormat="false" ht="15" hidden="false" customHeight="false" outlineLevel="0" collapsed="false">
      <c r="A348" s="29"/>
      <c r="B348" s="40" t="n">
        <f aca="false">IF($A348="",0,INT(($A348-Macrociclo!$C$11)/7)+1)</f>
        <v>0</v>
      </c>
      <c r="C348" s="27"/>
      <c r="D348" s="28"/>
      <c r="E348" s="28"/>
      <c r="F348" s="28"/>
      <c r="G348" s="28"/>
      <c r="H348" s="40" t="n">
        <f aca="false">IF(COUNT($D348:$G348)&lt;4,0,SUM($D348:$G348))</f>
        <v>0</v>
      </c>
      <c r="I348" s="26" t="str">
        <f aca="false">IF($H348=0,"",IF($H348&lt;=8,"Ótimo",IF($H348&lt;=12,"Bom",IF($H348&lt;=16,"Regular",IF($H348&lt;=20,"Alerta","Crítico")))))</f>
        <v/>
      </c>
      <c r="J348" s="27"/>
      <c r="K348" s="27"/>
    </row>
    <row r="349" customFormat="false" ht="15" hidden="false" customHeight="false" outlineLevel="0" collapsed="false">
      <c r="A349" s="29"/>
      <c r="B349" s="40" t="n">
        <f aca="false">IF($A349="",0,INT(($A349-Macrociclo!$C$11)/7)+1)</f>
        <v>0</v>
      </c>
      <c r="C349" s="27"/>
      <c r="D349" s="28"/>
      <c r="E349" s="28"/>
      <c r="F349" s="28"/>
      <c r="G349" s="28"/>
      <c r="H349" s="40" t="n">
        <f aca="false">IF(COUNT($D349:$G349)&lt;4,0,SUM($D349:$G349))</f>
        <v>0</v>
      </c>
      <c r="I349" s="26" t="str">
        <f aca="false">IF($H349=0,"",IF($H349&lt;=8,"Ótimo",IF($H349&lt;=12,"Bom",IF($H349&lt;=16,"Regular",IF($H349&lt;=20,"Alerta","Crítico")))))</f>
        <v/>
      </c>
      <c r="J349" s="27"/>
      <c r="K349" s="27"/>
    </row>
    <row r="350" customFormat="false" ht="15" hidden="false" customHeight="false" outlineLevel="0" collapsed="false">
      <c r="A350" s="29"/>
      <c r="B350" s="40" t="n">
        <f aca="false">IF($A350="",0,INT(($A350-Macrociclo!$C$11)/7)+1)</f>
        <v>0</v>
      </c>
      <c r="C350" s="27"/>
      <c r="D350" s="28"/>
      <c r="E350" s="28"/>
      <c r="F350" s="28"/>
      <c r="G350" s="28"/>
      <c r="H350" s="40" t="n">
        <f aca="false">IF(COUNT($D350:$G350)&lt;4,0,SUM($D350:$G350))</f>
        <v>0</v>
      </c>
      <c r="I350" s="26" t="str">
        <f aca="false">IF($H350=0,"",IF($H350&lt;=8,"Ótimo",IF($H350&lt;=12,"Bom",IF($H350&lt;=16,"Regular",IF($H350&lt;=20,"Alerta","Crítico")))))</f>
        <v/>
      </c>
      <c r="J350" s="27"/>
      <c r="K350" s="27"/>
    </row>
    <row r="351" customFormat="false" ht="15" hidden="false" customHeight="false" outlineLevel="0" collapsed="false">
      <c r="A351" s="29"/>
      <c r="B351" s="40" t="n">
        <f aca="false">IF($A351="",0,INT(($A351-Macrociclo!$C$11)/7)+1)</f>
        <v>0</v>
      </c>
      <c r="C351" s="27"/>
      <c r="D351" s="28"/>
      <c r="E351" s="28"/>
      <c r="F351" s="28"/>
      <c r="G351" s="28"/>
      <c r="H351" s="40" t="n">
        <f aca="false">IF(COUNT($D351:$G351)&lt;4,0,SUM($D351:$G351))</f>
        <v>0</v>
      </c>
      <c r="I351" s="26" t="str">
        <f aca="false">IF($H351=0,"",IF($H351&lt;=8,"Ótimo",IF($H351&lt;=12,"Bom",IF($H351&lt;=16,"Regular",IF($H351&lt;=20,"Alerta","Crítico")))))</f>
        <v/>
      </c>
      <c r="J351" s="27"/>
      <c r="K351" s="27"/>
    </row>
    <row r="352" customFormat="false" ht="15" hidden="false" customHeight="false" outlineLevel="0" collapsed="false">
      <c r="A352" s="29"/>
      <c r="B352" s="40" t="n">
        <f aca="false">IF($A352="",0,INT(($A352-Macrociclo!$C$11)/7)+1)</f>
        <v>0</v>
      </c>
      <c r="C352" s="27"/>
      <c r="D352" s="28"/>
      <c r="E352" s="28"/>
      <c r="F352" s="28"/>
      <c r="G352" s="28"/>
      <c r="H352" s="40" t="n">
        <f aca="false">IF(COUNT($D352:$G352)&lt;4,0,SUM($D352:$G352))</f>
        <v>0</v>
      </c>
      <c r="I352" s="26" t="str">
        <f aca="false">IF($H352=0,"",IF($H352&lt;=8,"Ótimo",IF($H352&lt;=12,"Bom",IF($H352&lt;=16,"Regular",IF($H352&lt;=20,"Alerta","Crítico")))))</f>
        <v/>
      </c>
      <c r="J352" s="27"/>
      <c r="K352" s="27"/>
    </row>
    <row r="353" customFormat="false" ht="15" hidden="false" customHeight="false" outlineLevel="0" collapsed="false">
      <c r="A353" s="29"/>
      <c r="B353" s="40" t="n">
        <f aca="false">IF($A353="",0,INT(($A353-Macrociclo!$C$11)/7)+1)</f>
        <v>0</v>
      </c>
      <c r="C353" s="27"/>
      <c r="D353" s="28"/>
      <c r="E353" s="28"/>
      <c r="F353" s="28"/>
      <c r="G353" s="28"/>
      <c r="H353" s="40" t="n">
        <f aca="false">IF(COUNT($D353:$G353)&lt;4,0,SUM($D353:$G353))</f>
        <v>0</v>
      </c>
      <c r="I353" s="26" t="str">
        <f aca="false">IF($H353=0,"",IF($H353&lt;=8,"Ótimo",IF($H353&lt;=12,"Bom",IF($H353&lt;=16,"Regular",IF($H353&lt;=20,"Alerta","Crítico")))))</f>
        <v/>
      </c>
      <c r="J353" s="27"/>
      <c r="K353" s="27"/>
    </row>
    <row r="354" customFormat="false" ht="15" hidden="false" customHeight="false" outlineLevel="0" collapsed="false">
      <c r="A354" s="29"/>
      <c r="B354" s="40" t="n">
        <f aca="false">IF($A354="",0,INT(($A354-Macrociclo!$C$11)/7)+1)</f>
        <v>0</v>
      </c>
      <c r="C354" s="27"/>
      <c r="D354" s="28"/>
      <c r="E354" s="28"/>
      <c r="F354" s="28"/>
      <c r="G354" s="28"/>
      <c r="H354" s="40" t="n">
        <f aca="false">IF(COUNT($D354:$G354)&lt;4,0,SUM($D354:$G354))</f>
        <v>0</v>
      </c>
      <c r="I354" s="26" t="str">
        <f aca="false">IF($H354=0,"",IF($H354&lt;=8,"Ótimo",IF($H354&lt;=12,"Bom",IF($H354&lt;=16,"Regular",IF($H354&lt;=20,"Alerta","Crítico")))))</f>
        <v/>
      </c>
      <c r="J354" s="27"/>
      <c r="K354" s="27"/>
    </row>
    <row r="355" customFormat="false" ht="15" hidden="false" customHeight="false" outlineLevel="0" collapsed="false">
      <c r="A355" s="29"/>
      <c r="B355" s="40" t="n">
        <f aca="false">IF($A355="",0,INT(($A355-Macrociclo!$C$11)/7)+1)</f>
        <v>0</v>
      </c>
      <c r="C355" s="27"/>
      <c r="D355" s="28"/>
      <c r="E355" s="28"/>
      <c r="F355" s="28"/>
      <c r="G355" s="28"/>
      <c r="H355" s="40" t="n">
        <f aca="false">IF(COUNT($D355:$G355)&lt;4,0,SUM($D355:$G355))</f>
        <v>0</v>
      </c>
      <c r="I355" s="26" t="str">
        <f aca="false">IF($H355=0,"",IF($H355&lt;=8,"Ótimo",IF($H355&lt;=12,"Bom",IF($H355&lt;=16,"Regular",IF($H355&lt;=20,"Alerta","Crítico")))))</f>
        <v/>
      </c>
      <c r="J355" s="27"/>
      <c r="K355" s="27"/>
    </row>
    <row r="356" customFormat="false" ht="15" hidden="false" customHeight="false" outlineLevel="0" collapsed="false">
      <c r="A356" s="29"/>
      <c r="B356" s="40" t="n">
        <f aca="false">IF($A356="",0,INT(($A356-Macrociclo!$C$11)/7)+1)</f>
        <v>0</v>
      </c>
      <c r="C356" s="27"/>
      <c r="D356" s="28"/>
      <c r="E356" s="28"/>
      <c r="F356" s="28"/>
      <c r="G356" s="28"/>
      <c r="H356" s="40" t="n">
        <f aca="false">IF(COUNT($D356:$G356)&lt;4,0,SUM($D356:$G356))</f>
        <v>0</v>
      </c>
      <c r="I356" s="26" t="str">
        <f aca="false">IF($H356=0,"",IF($H356&lt;=8,"Ótimo",IF($H356&lt;=12,"Bom",IF($H356&lt;=16,"Regular",IF($H356&lt;=20,"Alerta","Crítico")))))</f>
        <v/>
      </c>
      <c r="J356" s="27"/>
      <c r="K356" s="27"/>
    </row>
    <row r="357" customFormat="false" ht="15" hidden="false" customHeight="false" outlineLevel="0" collapsed="false">
      <c r="A357" s="29"/>
      <c r="B357" s="40" t="n">
        <f aca="false">IF($A357="",0,INT(($A357-Macrociclo!$C$11)/7)+1)</f>
        <v>0</v>
      </c>
      <c r="C357" s="27"/>
      <c r="D357" s="28"/>
      <c r="E357" s="28"/>
      <c r="F357" s="28"/>
      <c r="G357" s="28"/>
      <c r="H357" s="40" t="n">
        <f aca="false">IF(COUNT($D357:$G357)&lt;4,0,SUM($D357:$G357))</f>
        <v>0</v>
      </c>
      <c r="I357" s="26" t="str">
        <f aca="false">IF($H357=0,"",IF($H357&lt;=8,"Ótimo",IF($H357&lt;=12,"Bom",IF($H357&lt;=16,"Regular",IF($H357&lt;=20,"Alerta","Crítico")))))</f>
        <v/>
      </c>
      <c r="J357" s="27"/>
      <c r="K357" s="27"/>
    </row>
    <row r="358" customFormat="false" ht="15" hidden="false" customHeight="false" outlineLevel="0" collapsed="false">
      <c r="A358" s="29"/>
      <c r="B358" s="40" t="n">
        <f aca="false">IF($A358="",0,INT(($A358-Macrociclo!$C$11)/7)+1)</f>
        <v>0</v>
      </c>
      <c r="C358" s="27"/>
      <c r="D358" s="28"/>
      <c r="E358" s="28"/>
      <c r="F358" s="28"/>
      <c r="G358" s="28"/>
      <c r="H358" s="40" t="n">
        <f aca="false">IF(COUNT($D358:$G358)&lt;4,0,SUM($D358:$G358))</f>
        <v>0</v>
      </c>
      <c r="I358" s="26" t="str">
        <f aca="false">IF($H358=0,"",IF($H358&lt;=8,"Ótimo",IF($H358&lt;=12,"Bom",IF($H358&lt;=16,"Regular",IF($H358&lt;=20,"Alerta","Crítico")))))</f>
        <v/>
      </c>
      <c r="J358" s="27"/>
      <c r="K358" s="27"/>
    </row>
    <row r="359" customFormat="false" ht="15" hidden="false" customHeight="false" outlineLevel="0" collapsed="false">
      <c r="A359" s="29"/>
      <c r="B359" s="40" t="n">
        <f aca="false">IF($A359="",0,INT(($A359-Macrociclo!$C$11)/7)+1)</f>
        <v>0</v>
      </c>
      <c r="C359" s="27"/>
      <c r="D359" s="28"/>
      <c r="E359" s="28"/>
      <c r="F359" s="28"/>
      <c r="G359" s="28"/>
      <c r="H359" s="40" t="n">
        <f aca="false">IF(COUNT($D359:$G359)&lt;4,0,SUM($D359:$G359))</f>
        <v>0</v>
      </c>
      <c r="I359" s="26" t="str">
        <f aca="false">IF($H359=0,"",IF($H359&lt;=8,"Ótimo",IF($H359&lt;=12,"Bom",IF($H359&lt;=16,"Regular",IF($H359&lt;=20,"Alerta","Crítico")))))</f>
        <v/>
      </c>
      <c r="J359" s="27"/>
      <c r="K359" s="27"/>
    </row>
    <row r="360" customFormat="false" ht="15" hidden="false" customHeight="false" outlineLevel="0" collapsed="false">
      <c r="A360" s="29"/>
      <c r="B360" s="40" t="n">
        <f aca="false">IF($A360="",0,INT(($A360-Macrociclo!$C$11)/7)+1)</f>
        <v>0</v>
      </c>
      <c r="C360" s="27"/>
      <c r="D360" s="28"/>
      <c r="E360" s="28"/>
      <c r="F360" s="28"/>
      <c r="G360" s="28"/>
      <c r="H360" s="40" t="n">
        <f aca="false">IF(COUNT($D360:$G360)&lt;4,0,SUM($D360:$G360))</f>
        <v>0</v>
      </c>
      <c r="I360" s="26" t="str">
        <f aca="false">IF($H360=0,"",IF($H360&lt;=8,"Ótimo",IF($H360&lt;=12,"Bom",IF($H360&lt;=16,"Regular",IF($H360&lt;=20,"Alerta","Crítico")))))</f>
        <v/>
      </c>
      <c r="J360" s="27"/>
      <c r="K360" s="27"/>
    </row>
    <row r="361" customFormat="false" ht="15" hidden="false" customHeight="false" outlineLevel="0" collapsed="false">
      <c r="A361" s="29"/>
      <c r="B361" s="40" t="n">
        <f aca="false">IF($A361="",0,INT(($A361-Macrociclo!$C$11)/7)+1)</f>
        <v>0</v>
      </c>
      <c r="C361" s="27"/>
      <c r="D361" s="28"/>
      <c r="E361" s="28"/>
      <c r="F361" s="28"/>
      <c r="G361" s="28"/>
      <c r="H361" s="40" t="n">
        <f aca="false">IF(COUNT($D361:$G361)&lt;4,0,SUM($D361:$G361))</f>
        <v>0</v>
      </c>
      <c r="I361" s="26" t="str">
        <f aca="false">IF($H361=0,"",IF($H361&lt;=8,"Ótimo",IF($H361&lt;=12,"Bom",IF($H361&lt;=16,"Regular",IF($H361&lt;=20,"Alerta","Crítico")))))</f>
        <v/>
      </c>
      <c r="J361" s="27"/>
      <c r="K361" s="27"/>
    </row>
    <row r="362" customFormat="false" ht="15" hidden="false" customHeight="false" outlineLevel="0" collapsed="false">
      <c r="A362" s="29"/>
      <c r="B362" s="40" t="n">
        <f aca="false">IF($A362="",0,INT(($A362-Macrociclo!$C$11)/7)+1)</f>
        <v>0</v>
      </c>
      <c r="C362" s="27"/>
      <c r="D362" s="28"/>
      <c r="E362" s="28"/>
      <c r="F362" s="28"/>
      <c r="G362" s="28"/>
      <c r="H362" s="40" t="n">
        <f aca="false">IF(COUNT($D362:$G362)&lt;4,0,SUM($D362:$G362))</f>
        <v>0</v>
      </c>
      <c r="I362" s="26" t="str">
        <f aca="false">IF($H362=0,"",IF($H362&lt;=8,"Ótimo",IF($H362&lt;=12,"Bom",IF($H362&lt;=16,"Regular",IF($H362&lt;=20,"Alerta","Crítico")))))</f>
        <v/>
      </c>
      <c r="J362" s="27"/>
      <c r="K362" s="27"/>
    </row>
    <row r="363" customFormat="false" ht="15" hidden="false" customHeight="false" outlineLevel="0" collapsed="false">
      <c r="A363" s="29"/>
      <c r="B363" s="40" t="n">
        <f aca="false">IF($A363="",0,INT(($A363-Macrociclo!$C$11)/7)+1)</f>
        <v>0</v>
      </c>
      <c r="C363" s="27"/>
      <c r="D363" s="28"/>
      <c r="E363" s="28"/>
      <c r="F363" s="28"/>
      <c r="G363" s="28"/>
      <c r="H363" s="40" t="n">
        <f aca="false">IF(COUNT($D363:$G363)&lt;4,0,SUM($D363:$G363))</f>
        <v>0</v>
      </c>
      <c r="I363" s="26" t="str">
        <f aca="false">IF($H363=0,"",IF($H363&lt;=8,"Ótimo",IF($H363&lt;=12,"Bom",IF($H363&lt;=16,"Regular",IF($H363&lt;=20,"Alerta","Crítico")))))</f>
        <v/>
      </c>
      <c r="J363" s="27"/>
      <c r="K363" s="27"/>
    </row>
    <row r="364" customFormat="false" ht="15" hidden="false" customHeight="false" outlineLevel="0" collapsed="false">
      <c r="A364" s="29"/>
      <c r="B364" s="40" t="n">
        <f aca="false">IF($A364="",0,INT(($A364-Macrociclo!$C$11)/7)+1)</f>
        <v>0</v>
      </c>
      <c r="C364" s="27"/>
      <c r="D364" s="28"/>
      <c r="E364" s="28"/>
      <c r="F364" s="28"/>
      <c r="G364" s="28"/>
      <c r="H364" s="40" t="n">
        <f aca="false">IF(COUNT($D364:$G364)&lt;4,0,SUM($D364:$G364))</f>
        <v>0</v>
      </c>
      <c r="I364" s="26" t="str">
        <f aca="false">IF($H364=0,"",IF($H364&lt;=8,"Ótimo",IF($H364&lt;=12,"Bom",IF($H364&lt;=16,"Regular",IF($H364&lt;=20,"Alerta","Crítico")))))</f>
        <v/>
      </c>
      <c r="J364" s="27"/>
      <c r="K364" s="27"/>
    </row>
    <row r="365" customFormat="false" ht="15" hidden="false" customHeight="false" outlineLevel="0" collapsed="false">
      <c r="A365" s="29"/>
      <c r="B365" s="40" t="n">
        <f aca="false">IF($A365="",0,INT(($A365-Macrociclo!$C$11)/7)+1)</f>
        <v>0</v>
      </c>
      <c r="C365" s="27"/>
      <c r="D365" s="28"/>
      <c r="E365" s="28"/>
      <c r="F365" s="28"/>
      <c r="G365" s="28"/>
      <c r="H365" s="40" t="n">
        <f aca="false">IF(COUNT($D365:$G365)&lt;4,0,SUM($D365:$G365))</f>
        <v>0</v>
      </c>
      <c r="I365" s="26" t="str">
        <f aca="false">IF($H365=0,"",IF($H365&lt;=8,"Ótimo",IF($H365&lt;=12,"Bom",IF($H365&lt;=16,"Regular",IF($H365&lt;=20,"Alerta","Crítico")))))</f>
        <v/>
      </c>
      <c r="J365" s="27"/>
      <c r="K365" s="27"/>
    </row>
    <row r="366" customFormat="false" ht="15" hidden="false" customHeight="false" outlineLevel="0" collapsed="false">
      <c r="A366" s="29"/>
      <c r="B366" s="40" t="n">
        <f aca="false">IF($A366="",0,INT(($A366-Macrociclo!$C$11)/7)+1)</f>
        <v>0</v>
      </c>
      <c r="C366" s="27"/>
      <c r="D366" s="28"/>
      <c r="E366" s="28"/>
      <c r="F366" s="28"/>
      <c r="G366" s="28"/>
      <c r="H366" s="40" t="n">
        <f aca="false">IF(COUNT($D366:$G366)&lt;4,0,SUM($D366:$G366))</f>
        <v>0</v>
      </c>
      <c r="I366" s="26" t="str">
        <f aca="false">IF($H366=0,"",IF($H366&lt;=8,"Ótimo",IF($H366&lt;=12,"Bom",IF($H366&lt;=16,"Regular",IF($H366&lt;=20,"Alerta","Crítico")))))</f>
        <v/>
      </c>
      <c r="J366" s="27"/>
      <c r="K366" s="27"/>
    </row>
    <row r="367" customFormat="false" ht="15" hidden="false" customHeight="false" outlineLevel="0" collapsed="false">
      <c r="A367" s="29"/>
      <c r="B367" s="40" t="n">
        <f aca="false">IF($A367="",0,INT(($A367-Macrociclo!$C$11)/7)+1)</f>
        <v>0</v>
      </c>
      <c r="C367" s="27"/>
      <c r="D367" s="28"/>
      <c r="E367" s="28"/>
      <c r="F367" s="28"/>
      <c r="G367" s="28"/>
      <c r="H367" s="40" t="n">
        <f aca="false">IF(COUNT($D367:$G367)&lt;4,0,SUM($D367:$G367))</f>
        <v>0</v>
      </c>
      <c r="I367" s="26" t="str">
        <f aca="false">IF($H367=0,"",IF($H367&lt;=8,"Ótimo",IF($H367&lt;=12,"Bom",IF($H367&lt;=16,"Regular",IF($H367&lt;=20,"Alerta","Crítico")))))</f>
        <v/>
      </c>
      <c r="J367" s="27"/>
      <c r="K367" s="27"/>
    </row>
    <row r="368" customFormat="false" ht="15" hidden="false" customHeight="false" outlineLevel="0" collapsed="false">
      <c r="A368" s="29"/>
      <c r="B368" s="40" t="n">
        <f aca="false">IF($A368="",0,INT(($A368-Macrociclo!$C$11)/7)+1)</f>
        <v>0</v>
      </c>
      <c r="C368" s="27"/>
      <c r="D368" s="28"/>
      <c r="E368" s="28"/>
      <c r="F368" s="28"/>
      <c r="G368" s="28"/>
      <c r="H368" s="40" t="n">
        <f aca="false">IF(COUNT($D368:$G368)&lt;4,0,SUM($D368:$G368))</f>
        <v>0</v>
      </c>
      <c r="I368" s="26" t="str">
        <f aca="false">IF($H368=0,"",IF($H368&lt;=8,"Ótimo",IF($H368&lt;=12,"Bom",IF($H368&lt;=16,"Regular",IF($H368&lt;=20,"Alerta","Crítico")))))</f>
        <v/>
      </c>
      <c r="J368" s="27"/>
      <c r="K368" s="27"/>
    </row>
    <row r="369" customFormat="false" ht="15" hidden="false" customHeight="false" outlineLevel="0" collapsed="false">
      <c r="A369" s="29"/>
      <c r="B369" s="40" t="n">
        <f aca="false">IF($A369="",0,INT(($A369-Macrociclo!$C$11)/7)+1)</f>
        <v>0</v>
      </c>
      <c r="C369" s="27"/>
      <c r="D369" s="28"/>
      <c r="E369" s="28"/>
      <c r="F369" s="28"/>
      <c r="G369" s="28"/>
      <c r="H369" s="40" t="n">
        <f aca="false">IF(COUNT($D369:$G369)&lt;4,0,SUM($D369:$G369))</f>
        <v>0</v>
      </c>
      <c r="I369" s="26" t="str">
        <f aca="false">IF($H369=0,"",IF($H369&lt;=8,"Ótimo",IF($H369&lt;=12,"Bom",IF($H369&lt;=16,"Regular",IF($H369&lt;=20,"Alerta","Crítico")))))</f>
        <v/>
      </c>
      <c r="J369" s="27"/>
      <c r="K369" s="27"/>
    </row>
    <row r="370" customFormat="false" ht="15" hidden="false" customHeight="false" outlineLevel="0" collapsed="false">
      <c r="A370" s="29"/>
      <c r="B370" s="40" t="n">
        <f aca="false">IF($A370="",0,INT(($A370-Macrociclo!$C$11)/7)+1)</f>
        <v>0</v>
      </c>
      <c r="C370" s="27"/>
      <c r="D370" s="28"/>
      <c r="E370" s="28"/>
      <c r="F370" s="28"/>
      <c r="G370" s="28"/>
      <c r="H370" s="40" t="n">
        <f aca="false">IF(COUNT($D370:$G370)&lt;4,0,SUM($D370:$G370))</f>
        <v>0</v>
      </c>
      <c r="I370" s="26" t="str">
        <f aca="false">IF($H370=0,"",IF($H370&lt;=8,"Ótimo",IF($H370&lt;=12,"Bom",IF($H370&lt;=16,"Regular",IF($H370&lt;=20,"Alerta","Crítico")))))</f>
        <v/>
      </c>
      <c r="J370" s="27"/>
      <c r="K370" s="27"/>
    </row>
    <row r="371" customFormat="false" ht="15" hidden="false" customHeight="false" outlineLevel="0" collapsed="false">
      <c r="A371" s="29"/>
      <c r="B371" s="40" t="n">
        <f aca="false">IF($A371="",0,INT(($A371-Macrociclo!$C$11)/7)+1)</f>
        <v>0</v>
      </c>
      <c r="C371" s="27"/>
      <c r="D371" s="28"/>
      <c r="E371" s="28"/>
      <c r="F371" s="28"/>
      <c r="G371" s="28"/>
      <c r="H371" s="40" t="n">
        <f aca="false">IF(COUNT($D371:$G371)&lt;4,0,SUM($D371:$G371))</f>
        <v>0</v>
      </c>
      <c r="I371" s="26" t="str">
        <f aca="false">IF($H371=0,"",IF($H371&lt;=8,"Ótimo",IF($H371&lt;=12,"Bom",IF($H371&lt;=16,"Regular",IF($H371&lt;=20,"Alerta","Crítico")))))</f>
        <v/>
      </c>
      <c r="J371" s="27"/>
      <c r="K371" s="27"/>
    </row>
    <row r="372" customFormat="false" ht="15" hidden="false" customHeight="false" outlineLevel="0" collapsed="false">
      <c r="A372" s="29"/>
      <c r="B372" s="40" t="n">
        <f aca="false">IF($A372="",0,INT(($A372-Macrociclo!$C$11)/7)+1)</f>
        <v>0</v>
      </c>
      <c r="C372" s="27"/>
      <c r="D372" s="28"/>
      <c r="E372" s="28"/>
      <c r="F372" s="28"/>
      <c r="G372" s="28"/>
      <c r="H372" s="40" t="n">
        <f aca="false">IF(COUNT($D372:$G372)&lt;4,0,SUM($D372:$G372))</f>
        <v>0</v>
      </c>
      <c r="I372" s="26" t="str">
        <f aca="false">IF($H372=0,"",IF($H372&lt;=8,"Ótimo",IF($H372&lt;=12,"Bom",IF($H372&lt;=16,"Regular",IF($H372&lt;=20,"Alerta","Crítico")))))</f>
        <v/>
      </c>
      <c r="J372" s="27"/>
      <c r="K372" s="27"/>
    </row>
    <row r="373" customFormat="false" ht="15" hidden="false" customHeight="false" outlineLevel="0" collapsed="false">
      <c r="A373" s="29"/>
      <c r="B373" s="40" t="n">
        <f aca="false">IF($A373="",0,INT(($A373-Macrociclo!$C$11)/7)+1)</f>
        <v>0</v>
      </c>
      <c r="C373" s="27"/>
      <c r="D373" s="28"/>
      <c r="E373" s="28"/>
      <c r="F373" s="28"/>
      <c r="G373" s="28"/>
      <c r="H373" s="40" t="n">
        <f aca="false">IF(COUNT($D373:$G373)&lt;4,0,SUM($D373:$G373))</f>
        <v>0</v>
      </c>
      <c r="I373" s="26" t="str">
        <f aca="false">IF($H373=0,"",IF($H373&lt;=8,"Ótimo",IF($H373&lt;=12,"Bom",IF($H373&lt;=16,"Regular",IF($H373&lt;=20,"Alerta","Crítico")))))</f>
        <v/>
      </c>
      <c r="J373" s="27"/>
      <c r="K373" s="27"/>
    </row>
    <row r="374" customFormat="false" ht="15" hidden="false" customHeight="false" outlineLevel="0" collapsed="false">
      <c r="A374" s="29"/>
      <c r="B374" s="40" t="n">
        <f aca="false">IF($A374="",0,INT(($A374-Macrociclo!$C$11)/7)+1)</f>
        <v>0</v>
      </c>
      <c r="C374" s="27"/>
      <c r="D374" s="28"/>
      <c r="E374" s="28"/>
      <c r="F374" s="28"/>
      <c r="G374" s="28"/>
      <c r="H374" s="40" t="n">
        <f aca="false">IF(COUNT($D374:$G374)&lt;4,0,SUM($D374:$G374))</f>
        <v>0</v>
      </c>
      <c r="I374" s="26" t="str">
        <f aca="false">IF($H374=0,"",IF($H374&lt;=8,"Ótimo",IF($H374&lt;=12,"Bom",IF($H374&lt;=16,"Regular",IF($H374&lt;=20,"Alerta","Crítico")))))</f>
        <v/>
      </c>
      <c r="J374" s="27"/>
      <c r="K374" s="27"/>
    </row>
    <row r="375" customFormat="false" ht="15" hidden="false" customHeight="false" outlineLevel="0" collapsed="false">
      <c r="A375" s="29"/>
      <c r="B375" s="40" t="n">
        <f aca="false">IF($A375="",0,INT(($A375-Macrociclo!$C$11)/7)+1)</f>
        <v>0</v>
      </c>
      <c r="C375" s="27"/>
      <c r="D375" s="28"/>
      <c r="E375" s="28"/>
      <c r="F375" s="28"/>
      <c r="G375" s="28"/>
      <c r="H375" s="40" t="n">
        <f aca="false">IF(COUNT($D375:$G375)&lt;4,0,SUM($D375:$G375))</f>
        <v>0</v>
      </c>
      <c r="I375" s="26" t="str">
        <f aca="false">IF($H375=0,"",IF($H375&lt;=8,"Ótimo",IF($H375&lt;=12,"Bom",IF($H375&lt;=16,"Regular",IF($H375&lt;=20,"Alerta","Crítico")))))</f>
        <v/>
      </c>
      <c r="J375" s="27"/>
      <c r="K375" s="27"/>
    </row>
    <row r="376" customFormat="false" ht="15" hidden="false" customHeight="false" outlineLevel="0" collapsed="false">
      <c r="A376" s="29"/>
      <c r="B376" s="40" t="n">
        <f aca="false">IF($A376="",0,INT(($A376-Macrociclo!$C$11)/7)+1)</f>
        <v>0</v>
      </c>
      <c r="C376" s="27"/>
      <c r="D376" s="28"/>
      <c r="E376" s="28"/>
      <c r="F376" s="28"/>
      <c r="G376" s="28"/>
      <c r="H376" s="40" t="n">
        <f aca="false">IF(COUNT($D376:$G376)&lt;4,0,SUM($D376:$G376))</f>
        <v>0</v>
      </c>
      <c r="I376" s="26" t="str">
        <f aca="false">IF($H376=0,"",IF($H376&lt;=8,"Ótimo",IF($H376&lt;=12,"Bom",IF($H376&lt;=16,"Regular",IF($H376&lt;=20,"Alerta","Crítico")))))</f>
        <v/>
      </c>
      <c r="J376" s="27"/>
      <c r="K376" s="27"/>
    </row>
    <row r="377" customFormat="false" ht="15" hidden="false" customHeight="false" outlineLevel="0" collapsed="false">
      <c r="A377" s="29"/>
      <c r="B377" s="40" t="n">
        <f aca="false">IF($A377="",0,INT(($A377-Macrociclo!$C$11)/7)+1)</f>
        <v>0</v>
      </c>
      <c r="C377" s="27"/>
      <c r="D377" s="28"/>
      <c r="E377" s="28"/>
      <c r="F377" s="28"/>
      <c r="G377" s="28"/>
      <c r="H377" s="40" t="n">
        <f aca="false">IF(COUNT($D377:$G377)&lt;4,0,SUM($D377:$G377))</f>
        <v>0</v>
      </c>
      <c r="I377" s="26" t="str">
        <f aca="false">IF($H377=0,"",IF($H377&lt;=8,"Ótimo",IF($H377&lt;=12,"Bom",IF($H377&lt;=16,"Regular",IF($H377&lt;=20,"Alerta","Crítico")))))</f>
        <v/>
      </c>
      <c r="J377" s="27"/>
      <c r="K377" s="27"/>
    </row>
    <row r="378" customFormat="false" ht="15" hidden="false" customHeight="false" outlineLevel="0" collapsed="false">
      <c r="A378" s="29"/>
      <c r="B378" s="40" t="n">
        <f aca="false">IF($A378="",0,INT(($A378-Macrociclo!$C$11)/7)+1)</f>
        <v>0</v>
      </c>
      <c r="C378" s="27"/>
      <c r="D378" s="28"/>
      <c r="E378" s="28"/>
      <c r="F378" s="28"/>
      <c r="G378" s="28"/>
      <c r="H378" s="40" t="n">
        <f aca="false">IF(COUNT($D378:$G378)&lt;4,0,SUM($D378:$G378))</f>
        <v>0</v>
      </c>
      <c r="I378" s="26" t="str">
        <f aca="false">IF($H378=0,"",IF($H378&lt;=8,"Ótimo",IF($H378&lt;=12,"Bom",IF($H378&lt;=16,"Regular",IF($H378&lt;=20,"Alerta","Crítico")))))</f>
        <v/>
      </c>
      <c r="J378" s="27"/>
      <c r="K378" s="27"/>
    </row>
    <row r="379" customFormat="false" ht="15" hidden="false" customHeight="false" outlineLevel="0" collapsed="false">
      <c r="A379" s="29"/>
      <c r="B379" s="40" t="n">
        <f aca="false">IF($A379="",0,INT(($A379-Macrociclo!$C$11)/7)+1)</f>
        <v>0</v>
      </c>
      <c r="C379" s="27"/>
      <c r="D379" s="28"/>
      <c r="E379" s="28"/>
      <c r="F379" s="28"/>
      <c r="G379" s="28"/>
      <c r="H379" s="40" t="n">
        <f aca="false">IF(COUNT($D379:$G379)&lt;4,0,SUM($D379:$G379))</f>
        <v>0</v>
      </c>
      <c r="I379" s="26" t="str">
        <f aca="false">IF($H379=0,"",IF($H379&lt;=8,"Ótimo",IF($H379&lt;=12,"Bom",IF($H379&lt;=16,"Regular",IF($H379&lt;=20,"Alerta","Crítico")))))</f>
        <v/>
      </c>
      <c r="J379" s="27"/>
      <c r="K379" s="27"/>
    </row>
    <row r="380" customFormat="false" ht="15" hidden="false" customHeight="false" outlineLevel="0" collapsed="false">
      <c r="A380" s="29"/>
      <c r="B380" s="40" t="n">
        <f aca="false">IF($A380="",0,INT(($A380-Macrociclo!$C$11)/7)+1)</f>
        <v>0</v>
      </c>
      <c r="C380" s="27"/>
      <c r="D380" s="28"/>
      <c r="E380" s="28"/>
      <c r="F380" s="28"/>
      <c r="G380" s="28"/>
      <c r="H380" s="40" t="n">
        <f aca="false">IF(COUNT($D380:$G380)&lt;4,0,SUM($D380:$G380))</f>
        <v>0</v>
      </c>
      <c r="I380" s="26" t="str">
        <f aca="false">IF($H380=0,"",IF($H380&lt;=8,"Ótimo",IF($H380&lt;=12,"Bom",IF($H380&lt;=16,"Regular",IF($H380&lt;=20,"Alerta","Crítico")))))</f>
        <v/>
      </c>
      <c r="J380" s="27"/>
      <c r="K380" s="27"/>
    </row>
    <row r="381" customFormat="false" ht="15" hidden="false" customHeight="false" outlineLevel="0" collapsed="false">
      <c r="A381" s="29"/>
      <c r="B381" s="40" t="n">
        <f aca="false">IF($A381="",0,INT(($A381-Macrociclo!$C$11)/7)+1)</f>
        <v>0</v>
      </c>
      <c r="C381" s="27"/>
      <c r="D381" s="28"/>
      <c r="E381" s="28"/>
      <c r="F381" s="28"/>
      <c r="G381" s="28"/>
      <c r="H381" s="40" t="n">
        <f aca="false">IF(COUNT($D381:$G381)&lt;4,0,SUM($D381:$G381))</f>
        <v>0</v>
      </c>
      <c r="I381" s="26" t="str">
        <f aca="false">IF($H381=0,"",IF($H381&lt;=8,"Ótimo",IF($H381&lt;=12,"Bom",IF($H381&lt;=16,"Regular",IF($H381&lt;=20,"Alerta","Crítico")))))</f>
        <v/>
      </c>
      <c r="J381" s="27"/>
      <c r="K381" s="27"/>
    </row>
    <row r="382" customFormat="false" ht="15" hidden="false" customHeight="false" outlineLevel="0" collapsed="false">
      <c r="A382" s="29"/>
      <c r="B382" s="40" t="n">
        <f aca="false">IF($A382="",0,INT(($A382-Macrociclo!$C$11)/7)+1)</f>
        <v>0</v>
      </c>
      <c r="C382" s="27"/>
      <c r="D382" s="28"/>
      <c r="E382" s="28"/>
      <c r="F382" s="28"/>
      <c r="G382" s="28"/>
      <c r="H382" s="40" t="n">
        <f aca="false">IF(COUNT($D382:$G382)&lt;4,0,SUM($D382:$G382))</f>
        <v>0</v>
      </c>
      <c r="I382" s="26" t="str">
        <f aca="false">IF($H382=0,"",IF($H382&lt;=8,"Ótimo",IF($H382&lt;=12,"Bom",IF($H382&lt;=16,"Regular",IF($H382&lt;=20,"Alerta","Crítico")))))</f>
        <v/>
      </c>
      <c r="J382" s="27"/>
      <c r="K382" s="27"/>
    </row>
    <row r="383" customFormat="false" ht="15" hidden="false" customHeight="false" outlineLevel="0" collapsed="false">
      <c r="A383" s="29"/>
      <c r="B383" s="40" t="n">
        <f aca="false">IF($A383="",0,INT(($A383-Macrociclo!$C$11)/7)+1)</f>
        <v>0</v>
      </c>
      <c r="C383" s="27"/>
      <c r="D383" s="28"/>
      <c r="E383" s="28"/>
      <c r="F383" s="28"/>
      <c r="G383" s="28"/>
      <c r="H383" s="40" t="n">
        <f aca="false">IF(COUNT($D383:$G383)&lt;4,0,SUM($D383:$G383))</f>
        <v>0</v>
      </c>
      <c r="I383" s="26" t="str">
        <f aca="false">IF($H383=0,"",IF($H383&lt;=8,"Ótimo",IF($H383&lt;=12,"Bom",IF($H383&lt;=16,"Regular",IF($H383&lt;=20,"Alerta","Crítico")))))</f>
        <v/>
      </c>
      <c r="J383" s="27"/>
      <c r="K383" s="27"/>
    </row>
    <row r="384" customFormat="false" ht="15" hidden="false" customHeight="false" outlineLevel="0" collapsed="false">
      <c r="A384" s="29"/>
      <c r="B384" s="40" t="n">
        <f aca="false">IF($A384="",0,INT(($A384-Macrociclo!$C$11)/7)+1)</f>
        <v>0</v>
      </c>
      <c r="C384" s="27"/>
      <c r="D384" s="28"/>
      <c r="E384" s="28"/>
      <c r="F384" s="28"/>
      <c r="G384" s="28"/>
      <c r="H384" s="40" t="n">
        <f aca="false">IF(COUNT($D384:$G384)&lt;4,0,SUM($D384:$G384))</f>
        <v>0</v>
      </c>
      <c r="I384" s="26" t="str">
        <f aca="false">IF($H384=0,"",IF($H384&lt;=8,"Ótimo",IF($H384&lt;=12,"Bom",IF($H384&lt;=16,"Regular",IF($H384&lt;=20,"Alerta","Crítico")))))</f>
        <v/>
      </c>
      <c r="J384" s="27"/>
      <c r="K384" s="27"/>
    </row>
    <row r="385" customFormat="false" ht="15" hidden="false" customHeight="false" outlineLevel="0" collapsed="false">
      <c r="A385" s="29"/>
      <c r="B385" s="40" t="n">
        <f aca="false">IF($A385="",0,INT(($A385-Macrociclo!$C$11)/7)+1)</f>
        <v>0</v>
      </c>
      <c r="C385" s="27"/>
      <c r="D385" s="28"/>
      <c r="E385" s="28"/>
      <c r="F385" s="28"/>
      <c r="G385" s="28"/>
      <c r="H385" s="40" t="n">
        <f aca="false">IF(COUNT($D385:$G385)&lt;4,0,SUM($D385:$G385))</f>
        <v>0</v>
      </c>
      <c r="I385" s="26" t="str">
        <f aca="false">IF($H385=0,"",IF($H385&lt;=8,"Ótimo",IF($H385&lt;=12,"Bom",IF($H385&lt;=16,"Regular",IF($H385&lt;=20,"Alerta","Crítico")))))</f>
        <v/>
      </c>
      <c r="J385" s="27"/>
      <c r="K385" s="27"/>
    </row>
    <row r="386" customFormat="false" ht="15" hidden="false" customHeight="false" outlineLevel="0" collapsed="false">
      <c r="A386" s="29"/>
      <c r="B386" s="40" t="n">
        <f aca="false">IF($A386="",0,INT(($A386-Macrociclo!$C$11)/7)+1)</f>
        <v>0</v>
      </c>
      <c r="C386" s="27"/>
      <c r="D386" s="28"/>
      <c r="E386" s="28"/>
      <c r="F386" s="28"/>
      <c r="G386" s="28"/>
      <c r="H386" s="40" t="n">
        <f aca="false">IF(COUNT($D386:$G386)&lt;4,0,SUM($D386:$G386))</f>
        <v>0</v>
      </c>
      <c r="I386" s="26" t="str">
        <f aca="false">IF($H386=0,"",IF($H386&lt;=8,"Ótimo",IF($H386&lt;=12,"Bom",IF($H386&lt;=16,"Regular",IF($H386&lt;=20,"Alerta","Crítico")))))</f>
        <v/>
      </c>
      <c r="J386" s="27"/>
      <c r="K386" s="27"/>
    </row>
    <row r="387" customFormat="false" ht="15" hidden="false" customHeight="false" outlineLevel="0" collapsed="false">
      <c r="A387" s="29"/>
      <c r="B387" s="40" t="n">
        <f aca="false">IF($A387="",0,INT(($A387-Macrociclo!$C$11)/7)+1)</f>
        <v>0</v>
      </c>
      <c r="C387" s="27"/>
      <c r="D387" s="28"/>
      <c r="E387" s="28"/>
      <c r="F387" s="28"/>
      <c r="G387" s="28"/>
      <c r="H387" s="40" t="n">
        <f aca="false">IF(COUNT($D387:$G387)&lt;4,0,SUM($D387:$G387))</f>
        <v>0</v>
      </c>
      <c r="I387" s="26" t="str">
        <f aca="false">IF($H387=0,"",IF($H387&lt;=8,"Ótimo",IF($H387&lt;=12,"Bom",IF($H387&lt;=16,"Regular",IF($H387&lt;=20,"Alerta","Crítico")))))</f>
        <v/>
      </c>
      <c r="J387" s="27"/>
      <c r="K387" s="27"/>
    </row>
    <row r="388" customFormat="false" ht="15" hidden="false" customHeight="false" outlineLevel="0" collapsed="false">
      <c r="A388" s="29"/>
      <c r="B388" s="40" t="n">
        <f aca="false">IF($A388="",0,INT(($A388-Macrociclo!$C$11)/7)+1)</f>
        <v>0</v>
      </c>
      <c r="C388" s="27"/>
      <c r="D388" s="28"/>
      <c r="E388" s="28"/>
      <c r="F388" s="28"/>
      <c r="G388" s="28"/>
      <c r="H388" s="40" t="n">
        <f aca="false">IF(COUNT($D388:$G388)&lt;4,0,SUM($D388:$G388))</f>
        <v>0</v>
      </c>
      <c r="I388" s="26" t="str">
        <f aca="false">IF($H388=0,"",IF($H388&lt;=8,"Ótimo",IF($H388&lt;=12,"Bom",IF($H388&lt;=16,"Regular",IF($H388&lt;=20,"Alerta","Crítico")))))</f>
        <v/>
      </c>
      <c r="J388" s="27"/>
      <c r="K388" s="27"/>
    </row>
    <row r="389" customFormat="false" ht="15" hidden="false" customHeight="false" outlineLevel="0" collapsed="false">
      <c r="A389" s="29"/>
      <c r="B389" s="40" t="n">
        <f aca="false">IF($A389="",0,INT(($A389-Macrociclo!$C$11)/7)+1)</f>
        <v>0</v>
      </c>
      <c r="C389" s="27"/>
      <c r="D389" s="28"/>
      <c r="E389" s="28"/>
      <c r="F389" s="28"/>
      <c r="G389" s="28"/>
      <c r="H389" s="40" t="n">
        <f aca="false">IF(COUNT($D389:$G389)&lt;4,0,SUM($D389:$G389))</f>
        <v>0</v>
      </c>
      <c r="I389" s="26" t="str">
        <f aca="false">IF($H389=0,"",IF($H389&lt;=8,"Ótimo",IF($H389&lt;=12,"Bom",IF($H389&lt;=16,"Regular",IF($H389&lt;=20,"Alerta","Crítico")))))</f>
        <v/>
      </c>
      <c r="J389" s="27"/>
      <c r="K389" s="27"/>
    </row>
    <row r="390" customFormat="false" ht="15" hidden="false" customHeight="false" outlineLevel="0" collapsed="false">
      <c r="A390" s="29"/>
      <c r="B390" s="40" t="n">
        <f aca="false">IF($A390="",0,INT(($A390-Macrociclo!$C$11)/7)+1)</f>
        <v>0</v>
      </c>
      <c r="C390" s="27"/>
      <c r="D390" s="28"/>
      <c r="E390" s="28"/>
      <c r="F390" s="28"/>
      <c r="G390" s="28"/>
      <c r="H390" s="40" t="n">
        <f aca="false">IF(COUNT($D390:$G390)&lt;4,0,SUM($D390:$G390))</f>
        <v>0</v>
      </c>
      <c r="I390" s="26" t="str">
        <f aca="false">IF($H390=0,"",IF($H390&lt;=8,"Ótimo",IF($H390&lt;=12,"Bom",IF($H390&lt;=16,"Regular",IF($H390&lt;=20,"Alerta","Crítico")))))</f>
        <v/>
      </c>
      <c r="J390" s="27"/>
      <c r="K390" s="27"/>
    </row>
    <row r="391" customFormat="false" ht="15" hidden="false" customHeight="false" outlineLevel="0" collapsed="false">
      <c r="A391" s="29"/>
      <c r="B391" s="40" t="n">
        <f aca="false">IF($A391="",0,INT(($A391-Macrociclo!$C$11)/7)+1)</f>
        <v>0</v>
      </c>
      <c r="C391" s="27"/>
      <c r="D391" s="28"/>
      <c r="E391" s="28"/>
      <c r="F391" s="28"/>
      <c r="G391" s="28"/>
      <c r="H391" s="40" t="n">
        <f aca="false">IF(COUNT($D391:$G391)&lt;4,0,SUM($D391:$G391))</f>
        <v>0</v>
      </c>
      <c r="I391" s="26" t="str">
        <f aca="false">IF($H391=0,"",IF($H391&lt;=8,"Ótimo",IF($H391&lt;=12,"Bom",IF($H391&lt;=16,"Regular",IF($H391&lt;=20,"Alerta","Crítico")))))</f>
        <v/>
      </c>
      <c r="J391" s="27"/>
      <c r="K391" s="27"/>
    </row>
    <row r="392" customFormat="false" ht="15" hidden="false" customHeight="false" outlineLevel="0" collapsed="false">
      <c r="A392" s="29"/>
      <c r="B392" s="40" t="n">
        <f aca="false">IF($A392="",0,INT(($A392-Macrociclo!$C$11)/7)+1)</f>
        <v>0</v>
      </c>
      <c r="C392" s="27"/>
      <c r="D392" s="28"/>
      <c r="E392" s="28"/>
      <c r="F392" s="28"/>
      <c r="G392" s="28"/>
      <c r="H392" s="40" t="n">
        <f aca="false">IF(COUNT($D392:$G392)&lt;4,0,SUM($D392:$G392))</f>
        <v>0</v>
      </c>
      <c r="I392" s="26" t="str">
        <f aca="false">IF($H392=0,"",IF($H392&lt;=8,"Ótimo",IF($H392&lt;=12,"Bom",IF($H392&lt;=16,"Regular",IF($H392&lt;=20,"Alerta","Crítico")))))</f>
        <v/>
      </c>
      <c r="J392" s="27"/>
      <c r="K392" s="27"/>
    </row>
    <row r="393" customFormat="false" ht="15" hidden="false" customHeight="false" outlineLevel="0" collapsed="false">
      <c r="A393" s="29"/>
      <c r="B393" s="40" t="n">
        <f aca="false">IF($A393="",0,INT(($A393-Macrociclo!$C$11)/7)+1)</f>
        <v>0</v>
      </c>
      <c r="C393" s="27"/>
      <c r="D393" s="28"/>
      <c r="E393" s="28"/>
      <c r="F393" s="28"/>
      <c r="G393" s="28"/>
      <c r="H393" s="40" t="n">
        <f aca="false">IF(COUNT($D393:$G393)&lt;4,0,SUM($D393:$G393))</f>
        <v>0</v>
      </c>
      <c r="I393" s="26" t="str">
        <f aca="false">IF($H393=0,"",IF($H393&lt;=8,"Ótimo",IF($H393&lt;=12,"Bom",IF($H393&lt;=16,"Regular",IF($H393&lt;=20,"Alerta","Crítico")))))</f>
        <v/>
      </c>
      <c r="J393" s="27"/>
      <c r="K393" s="27"/>
    </row>
    <row r="394" customFormat="false" ht="15" hidden="false" customHeight="false" outlineLevel="0" collapsed="false">
      <c r="A394" s="29"/>
      <c r="B394" s="40" t="n">
        <f aca="false">IF($A394="",0,INT(($A394-Macrociclo!$C$11)/7)+1)</f>
        <v>0</v>
      </c>
      <c r="C394" s="27"/>
      <c r="D394" s="28"/>
      <c r="E394" s="28"/>
      <c r="F394" s="28"/>
      <c r="G394" s="28"/>
      <c r="H394" s="40" t="n">
        <f aca="false">IF(COUNT($D394:$G394)&lt;4,0,SUM($D394:$G394))</f>
        <v>0</v>
      </c>
      <c r="I394" s="26" t="str">
        <f aca="false">IF($H394=0,"",IF($H394&lt;=8,"Ótimo",IF($H394&lt;=12,"Bom",IF($H394&lt;=16,"Regular",IF($H394&lt;=20,"Alerta","Crítico")))))</f>
        <v/>
      </c>
      <c r="J394" s="27"/>
      <c r="K394" s="27"/>
    </row>
    <row r="395" customFormat="false" ht="15" hidden="false" customHeight="false" outlineLevel="0" collapsed="false">
      <c r="A395" s="29"/>
      <c r="B395" s="40" t="n">
        <f aca="false">IF($A395="",0,INT(($A395-Macrociclo!$C$11)/7)+1)</f>
        <v>0</v>
      </c>
      <c r="C395" s="27"/>
      <c r="D395" s="28"/>
      <c r="E395" s="28"/>
      <c r="F395" s="28"/>
      <c r="G395" s="28"/>
      <c r="H395" s="40" t="n">
        <f aca="false">IF(COUNT($D395:$G395)&lt;4,0,SUM($D395:$G395))</f>
        <v>0</v>
      </c>
      <c r="I395" s="26" t="str">
        <f aca="false">IF($H395=0,"",IF($H395&lt;=8,"Ótimo",IF($H395&lt;=12,"Bom",IF($H395&lt;=16,"Regular",IF($H395&lt;=20,"Alerta","Crítico")))))</f>
        <v/>
      </c>
      <c r="J395" s="27"/>
      <c r="K395" s="27"/>
    </row>
    <row r="396" customFormat="false" ht="15" hidden="false" customHeight="false" outlineLevel="0" collapsed="false">
      <c r="A396" s="29"/>
      <c r="B396" s="40" t="n">
        <f aca="false">IF($A396="",0,INT(($A396-Macrociclo!$C$11)/7)+1)</f>
        <v>0</v>
      </c>
      <c r="C396" s="27"/>
      <c r="D396" s="28"/>
      <c r="E396" s="28"/>
      <c r="F396" s="28"/>
      <c r="G396" s="28"/>
      <c r="H396" s="40" t="n">
        <f aca="false">IF(COUNT($D396:$G396)&lt;4,0,SUM($D396:$G396))</f>
        <v>0</v>
      </c>
      <c r="I396" s="26" t="str">
        <f aca="false">IF($H396=0,"",IF($H396&lt;=8,"Ótimo",IF($H396&lt;=12,"Bom",IF($H396&lt;=16,"Regular",IF($H396&lt;=20,"Alerta","Crítico")))))</f>
        <v/>
      </c>
      <c r="J396" s="27"/>
      <c r="K396" s="27"/>
    </row>
    <row r="397" customFormat="false" ht="15" hidden="false" customHeight="false" outlineLevel="0" collapsed="false">
      <c r="A397" s="29"/>
      <c r="B397" s="40" t="n">
        <f aca="false">IF($A397="",0,INT(($A397-Macrociclo!$C$11)/7)+1)</f>
        <v>0</v>
      </c>
      <c r="C397" s="27"/>
      <c r="D397" s="28"/>
      <c r="E397" s="28"/>
      <c r="F397" s="28"/>
      <c r="G397" s="28"/>
      <c r="H397" s="40" t="n">
        <f aca="false">IF(COUNT($D397:$G397)&lt;4,0,SUM($D397:$G397))</f>
        <v>0</v>
      </c>
      <c r="I397" s="26" t="str">
        <f aca="false">IF($H397=0,"",IF($H397&lt;=8,"Ótimo",IF($H397&lt;=12,"Bom",IF($H397&lt;=16,"Regular",IF($H397&lt;=20,"Alerta","Crítico")))))</f>
        <v/>
      </c>
      <c r="J397" s="27"/>
      <c r="K397" s="27"/>
    </row>
    <row r="398" customFormat="false" ht="15" hidden="false" customHeight="false" outlineLevel="0" collapsed="false">
      <c r="A398" s="29"/>
      <c r="B398" s="40" t="n">
        <f aca="false">IF($A398="",0,INT(($A398-Macrociclo!$C$11)/7)+1)</f>
        <v>0</v>
      </c>
      <c r="C398" s="27"/>
      <c r="D398" s="28"/>
      <c r="E398" s="28"/>
      <c r="F398" s="28"/>
      <c r="G398" s="28"/>
      <c r="H398" s="40" t="n">
        <f aca="false">IF(COUNT($D398:$G398)&lt;4,0,SUM($D398:$G398))</f>
        <v>0</v>
      </c>
      <c r="I398" s="26" t="str">
        <f aca="false">IF($H398=0,"",IF($H398&lt;=8,"Ótimo",IF($H398&lt;=12,"Bom",IF($H398&lt;=16,"Regular",IF($H398&lt;=20,"Alerta","Crítico")))))</f>
        <v/>
      </c>
      <c r="J398" s="27"/>
      <c r="K398" s="27"/>
    </row>
    <row r="399" customFormat="false" ht="15" hidden="false" customHeight="false" outlineLevel="0" collapsed="false">
      <c r="A399" s="29"/>
      <c r="B399" s="40" t="n">
        <f aca="false">IF($A399="",0,INT(($A399-Macrociclo!$C$11)/7)+1)</f>
        <v>0</v>
      </c>
      <c r="C399" s="27"/>
      <c r="D399" s="28"/>
      <c r="E399" s="28"/>
      <c r="F399" s="28"/>
      <c r="G399" s="28"/>
      <c r="H399" s="40" t="n">
        <f aca="false">IF(COUNT($D399:$G399)&lt;4,0,SUM($D399:$G399))</f>
        <v>0</v>
      </c>
      <c r="I399" s="26" t="str">
        <f aca="false">IF($H399=0,"",IF($H399&lt;=8,"Ótimo",IF($H399&lt;=12,"Bom",IF($H399&lt;=16,"Regular",IF($H399&lt;=20,"Alerta","Crítico")))))</f>
        <v/>
      </c>
      <c r="J399" s="27"/>
      <c r="K399" s="27"/>
    </row>
    <row r="400" customFormat="false" ht="15" hidden="false" customHeight="false" outlineLevel="0" collapsed="false">
      <c r="A400" s="29"/>
      <c r="B400" s="40" t="n">
        <f aca="false">IF($A400="",0,INT(($A400-Macrociclo!$C$11)/7)+1)</f>
        <v>0</v>
      </c>
      <c r="C400" s="27"/>
      <c r="D400" s="28"/>
      <c r="E400" s="28"/>
      <c r="F400" s="28"/>
      <c r="G400" s="28"/>
      <c r="H400" s="40" t="n">
        <f aca="false">IF(COUNT($D400:$G400)&lt;4,0,SUM($D400:$G400))</f>
        <v>0</v>
      </c>
      <c r="I400" s="26" t="str">
        <f aca="false">IF($H400=0,"",IF($H400&lt;=8,"Ótimo",IF($H400&lt;=12,"Bom",IF($H400&lt;=16,"Regular",IF($H400&lt;=20,"Alerta","Crítico")))))</f>
        <v/>
      </c>
      <c r="J400" s="27"/>
      <c r="K400" s="27"/>
    </row>
    <row r="401" customFormat="false" ht="15" hidden="false" customHeight="false" outlineLevel="0" collapsed="false">
      <c r="A401" s="29"/>
      <c r="B401" s="40" t="n">
        <f aca="false">IF($A401="",0,INT(($A401-Macrociclo!$C$11)/7)+1)</f>
        <v>0</v>
      </c>
      <c r="C401" s="27"/>
      <c r="D401" s="28"/>
      <c r="E401" s="28"/>
      <c r="F401" s="28"/>
      <c r="G401" s="28"/>
      <c r="H401" s="40" t="n">
        <f aca="false">IF(COUNT($D401:$G401)&lt;4,0,SUM($D401:$G401))</f>
        <v>0</v>
      </c>
      <c r="I401" s="26" t="str">
        <f aca="false">IF($H401=0,"",IF($H401&lt;=8,"Ótimo",IF($H401&lt;=12,"Bom",IF($H401&lt;=16,"Regular",IF($H401&lt;=20,"Alerta","Crítico")))))</f>
        <v/>
      </c>
      <c r="J401" s="27"/>
      <c r="K401" s="27"/>
    </row>
    <row r="402" customFormat="false" ht="15" hidden="false" customHeight="false" outlineLevel="0" collapsed="false">
      <c r="A402" s="29"/>
      <c r="B402" s="40" t="n">
        <f aca="false">IF($A402="",0,INT(($A402-Macrociclo!$C$11)/7)+1)</f>
        <v>0</v>
      </c>
      <c r="C402" s="27"/>
      <c r="D402" s="28"/>
      <c r="E402" s="28"/>
      <c r="F402" s="28"/>
      <c r="G402" s="28"/>
      <c r="H402" s="40" t="n">
        <f aca="false">IF(COUNT($D402:$G402)&lt;4,0,SUM($D402:$G402))</f>
        <v>0</v>
      </c>
      <c r="I402" s="26" t="str">
        <f aca="false">IF($H402=0,"",IF($H402&lt;=8,"Ótimo",IF($H402&lt;=12,"Bom",IF($H402&lt;=16,"Regular",IF($H402&lt;=20,"Alerta","Crítico")))))</f>
        <v/>
      </c>
      <c r="J402" s="27"/>
      <c r="K402" s="27"/>
    </row>
    <row r="403" customFormat="false" ht="15" hidden="false" customHeight="false" outlineLevel="0" collapsed="false">
      <c r="A403" s="29"/>
      <c r="B403" s="40" t="n">
        <f aca="false">IF($A403="",0,INT(($A403-Macrociclo!$C$11)/7)+1)</f>
        <v>0</v>
      </c>
      <c r="C403" s="27"/>
      <c r="D403" s="28"/>
      <c r="E403" s="28"/>
      <c r="F403" s="28"/>
      <c r="G403" s="28"/>
      <c r="H403" s="40" t="n">
        <f aca="false">IF(COUNT($D403:$G403)&lt;4,0,SUM($D403:$G403))</f>
        <v>0</v>
      </c>
      <c r="I403" s="26" t="str">
        <f aca="false">IF($H403=0,"",IF($H403&lt;=8,"Ótimo",IF($H403&lt;=12,"Bom",IF($H403&lt;=16,"Regular",IF($H403&lt;=20,"Alerta","Crítico")))))</f>
        <v/>
      </c>
      <c r="J403" s="27"/>
      <c r="K403" s="27"/>
    </row>
    <row r="404" customFormat="false" ht="15" hidden="false" customHeight="false" outlineLevel="0" collapsed="false">
      <c r="A404" s="29"/>
      <c r="B404" s="40" t="n">
        <f aca="false">IF($A404="",0,INT(($A404-Macrociclo!$C$11)/7)+1)</f>
        <v>0</v>
      </c>
      <c r="C404" s="27"/>
      <c r="D404" s="28"/>
      <c r="E404" s="28"/>
      <c r="F404" s="28"/>
      <c r="G404" s="28"/>
      <c r="H404" s="40" t="n">
        <f aca="false">IF(COUNT($D404:$G404)&lt;4,0,SUM($D404:$G404))</f>
        <v>0</v>
      </c>
      <c r="I404" s="26" t="str">
        <f aca="false">IF($H404=0,"",IF($H404&lt;=8,"Ótimo",IF($H404&lt;=12,"Bom",IF($H404&lt;=16,"Regular",IF($H404&lt;=20,"Alerta","Crítico")))))</f>
        <v/>
      </c>
      <c r="J404" s="27"/>
      <c r="K404" s="27"/>
    </row>
    <row r="405" customFormat="false" ht="15" hidden="false" customHeight="false" outlineLevel="0" collapsed="false">
      <c r="A405" s="29"/>
      <c r="B405" s="40" t="n">
        <f aca="false">IF($A405="",0,INT(($A405-Macrociclo!$C$11)/7)+1)</f>
        <v>0</v>
      </c>
      <c r="C405" s="27"/>
      <c r="D405" s="28"/>
      <c r="E405" s="28"/>
      <c r="F405" s="28"/>
      <c r="G405" s="28"/>
      <c r="H405" s="40" t="n">
        <f aca="false">IF(COUNT($D405:$G405)&lt;4,0,SUM($D405:$G405))</f>
        <v>0</v>
      </c>
      <c r="I405" s="26" t="str">
        <f aca="false">IF($H405=0,"",IF($H405&lt;=8,"Ótimo",IF($H405&lt;=12,"Bom",IF($H405&lt;=16,"Regular",IF($H405&lt;=20,"Alerta","Crítico")))))</f>
        <v/>
      </c>
      <c r="J405" s="27"/>
      <c r="K405" s="27"/>
    </row>
    <row r="406" customFormat="false" ht="15" hidden="false" customHeight="false" outlineLevel="0" collapsed="false">
      <c r="A406" s="29"/>
      <c r="B406" s="40" t="n">
        <f aca="false">IF($A406="",0,INT(($A406-Macrociclo!$C$11)/7)+1)</f>
        <v>0</v>
      </c>
      <c r="C406" s="27"/>
      <c r="D406" s="28"/>
      <c r="E406" s="28"/>
      <c r="F406" s="28"/>
      <c r="G406" s="28"/>
      <c r="H406" s="40" t="n">
        <f aca="false">IF(COUNT($D406:$G406)&lt;4,0,SUM($D406:$G406))</f>
        <v>0</v>
      </c>
      <c r="I406" s="26" t="str">
        <f aca="false">IF($H406=0,"",IF($H406&lt;=8,"Ótimo",IF($H406&lt;=12,"Bom",IF($H406&lt;=16,"Regular",IF($H406&lt;=20,"Alerta","Crítico")))))</f>
        <v/>
      </c>
      <c r="J406" s="27"/>
      <c r="K406" s="27"/>
    </row>
    <row r="407" customFormat="false" ht="15" hidden="false" customHeight="false" outlineLevel="0" collapsed="false">
      <c r="A407" s="29"/>
      <c r="B407" s="40" t="n">
        <f aca="false">IF($A407="",0,INT(($A407-Macrociclo!$C$11)/7)+1)</f>
        <v>0</v>
      </c>
      <c r="C407" s="27"/>
      <c r="D407" s="28"/>
      <c r="E407" s="28"/>
      <c r="F407" s="28"/>
      <c r="G407" s="28"/>
      <c r="H407" s="40" t="n">
        <f aca="false">IF(COUNT($D407:$G407)&lt;4,0,SUM($D407:$G407))</f>
        <v>0</v>
      </c>
      <c r="I407" s="26" t="str">
        <f aca="false">IF($H407=0,"",IF($H407&lt;=8,"Ótimo",IF($H407&lt;=12,"Bom",IF($H407&lt;=16,"Regular",IF($H407&lt;=20,"Alerta","Crítico")))))</f>
        <v/>
      </c>
      <c r="J407" s="27"/>
      <c r="K407" s="27"/>
    </row>
    <row r="408" customFormat="false" ht="15" hidden="false" customHeight="false" outlineLevel="0" collapsed="false">
      <c r="A408" s="29"/>
      <c r="B408" s="40" t="n">
        <f aca="false">IF($A408="",0,INT(($A408-Macrociclo!$C$11)/7)+1)</f>
        <v>0</v>
      </c>
      <c r="C408" s="27"/>
      <c r="D408" s="28"/>
      <c r="E408" s="28"/>
      <c r="F408" s="28"/>
      <c r="G408" s="28"/>
      <c r="H408" s="40" t="n">
        <f aca="false">IF(COUNT($D408:$G408)&lt;4,0,SUM($D408:$G408))</f>
        <v>0</v>
      </c>
      <c r="I408" s="26" t="str">
        <f aca="false">IF($H408=0,"",IF($H408&lt;=8,"Ótimo",IF($H408&lt;=12,"Bom",IF($H408&lt;=16,"Regular",IF($H408&lt;=20,"Alerta","Crítico")))))</f>
        <v/>
      </c>
      <c r="J408" s="27"/>
      <c r="K408" s="27"/>
    </row>
    <row r="409" customFormat="false" ht="15" hidden="false" customHeight="false" outlineLevel="0" collapsed="false">
      <c r="A409" s="29"/>
      <c r="B409" s="40" t="n">
        <f aca="false">IF($A409="",0,INT(($A409-Macrociclo!$C$11)/7)+1)</f>
        <v>0</v>
      </c>
      <c r="C409" s="27"/>
      <c r="D409" s="28"/>
      <c r="E409" s="28"/>
      <c r="F409" s="28"/>
      <c r="G409" s="28"/>
      <c r="H409" s="40" t="n">
        <f aca="false">IF(COUNT($D409:$G409)&lt;4,0,SUM($D409:$G409))</f>
        <v>0</v>
      </c>
      <c r="I409" s="26" t="str">
        <f aca="false">IF($H409=0,"",IF($H409&lt;=8,"Ótimo",IF($H409&lt;=12,"Bom",IF($H409&lt;=16,"Regular",IF($H409&lt;=20,"Alerta","Crítico")))))</f>
        <v/>
      </c>
      <c r="J409" s="27"/>
      <c r="K409" s="27"/>
    </row>
    <row r="410" customFormat="false" ht="15" hidden="false" customHeight="false" outlineLevel="0" collapsed="false">
      <c r="A410" s="29"/>
      <c r="B410" s="40" t="n">
        <f aca="false">IF($A410="",0,INT(($A410-Macrociclo!$C$11)/7)+1)</f>
        <v>0</v>
      </c>
      <c r="C410" s="27"/>
      <c r="D410" s="28"/>
      <c r="E410" s="28"/>
      <c r="F410" s="28"/>
      <c r="G410" s="28"/>
      <c r="H410" s="40" t="n">
        <f aca="false">IF(COUNT($D410:$G410)&lt;4,0,SUM($D410:$G410))</f>
        <v>0</v>
      </c>
      <c r="I410" s="26" t="str">
        <f aca="false">IF($H410=0,"",IF($H410&lt;=8,"Ótimo",IF($H410&lt;=12,"Bom",IF($H410&lt;=16,"Regular",IF($H410&lt;=20,"Alerta","Crítico")))))</f>
        <v/>
      </c>
      <c r="J410" s="27"/>
      <c r="K410" s="27"/>
    </row>
    <row r="411" customFormat="false" ht="15" hidden="false" customHeight="false" outlineLevel="0" collapsed="false">
      <c r="A411" s="29"/>
      <c r="B411" s="40" t="n">
        <f aca="false">IF($A411="",0,INT(($A411-Macrociclo!$C$11)/7)+1)</f>
        <v>0</v>
      </c>
      <c r="C411" s="27"/>
      <c r="D411" s="28"/>
      <c r="E411" s="28"/>
      <c r="F411" s="28"/>
      <c r="G411" s="28"/>
      <c r="H411" s="40" t="n">
        <f aca="false">IF(COUNT($D411:$G411)&lt;4,0,SUM($D411:$G411))</f>
        <v>0</v>
      </c>
      <c r="I411" s="26" t="str">
        <f aca="false">IF($H411=0,"",IF($H411&lt;=8,"Ótimo",IF($H411&lt;=12,"Bom",IF($H411&lt;=16,"Regular",IF($H411&lt;=20,"Alerta","Crítico")))))</f>
        <v/>
      </c>
      <c r="J411" s="27"/>
      <c r="K411" s="27"/>
    </row>
    <row r="412" customFormat="false" ht="15" hidden="false" customHeight="false" outlineLevel="0" collapsed="false">
      <c r="A412" s="29"/>
      <c r="B412" s="40" t="n">
        <f aca="false">IF($A412="",0,INT(($A412-Macrociclo!$C$11)/7)+1)</f>
        <v>0</v>
      </c>
      <c r="C412" s="27"/>
      <c r="D412" s="28"/>
      <c r="E412" s="28"/>
      <c r="F412" s="28"/>
      <c r="G412" s="28"/>
      <c r="H412" s="40" t="n">
        <f aca="false">IF(COUNT($D412:$G412)&lt;4,0,SUM($D412:$G412))</f>
        <v>0</v>
      </c>
      <c r="I412" s="26" t="str">
        <f aca="false">IF($H412=0,"",IF($H412&lt;=8,"Ótimo",IF($H412&lt;=12,"Bom",IF($H412&lt;=16,"Regular",IF($H412&lt;=20,"Alerta","Crítico")))))</f>
        <v/>
      </c>
      <c r="J412" s="27"/>
      <c r="K412" s="27"/>
    </row>
    <row r="413" customFormat="false" ht="15" hidden="false" customHeight="false" outlineLevel="0" collapsed="false">
      <c r="A413" s="29"/>
      <c r="B413" s="40" t="n">
        <f aca="false">IF($A413="",0,INT(($A413-Macrociclo!$C$11)/7)+1)</f>
        <v>0</v>
      </c>
      <c r="C413" s="27"/>
      <c r="D413" s="28"/>
      <c r="E413" s="28"/>
      <c r="F413" s="28"/>
      <c r="G413" s="28"/>
      <c r="H413" s="40" t="n">
        <f aca="false">IF(COUNT($D413:$G413)&lt;4,0,SUM($D413:$G413))</f>
        <v>0</v>
      </c>
      <c r="I413" s="26" t="str">
        <f aca="false">IF($H413=0,"",IF($H413&lt;=8,"Ótimo",IF($H413&lt;=12,"Bom",IF($H413&lt;=16,"Regular",IF($H413&lt;=20,"Alerta","Crítico")))))</f>
        <v/>
      </c>
      <c r="J413" s="27"/>
      <c r="K413" s="27"/>
    </row>
    <row r="414" customFormat="false" ht="15" hidden="false" customHeight="false" outlineLevel="0" collapsed="false">
      <c r="A414" s="29"/>
      <c r="B414" s="40" t="n">
        <f aca="false">IF($A414="",0,INT(($A414-Macrociclo!$C$11)/7)+1)</f>
        <v>0</v>
      </c>
      <c r="C414" s="27"/>
      <c r="D414" s="28"/>
      <c r="E414" s="28"/>
      <c r="F414" s="28"/>
      <c r="G414" s="28"/>
      <c r="H414" s="40" t="n">
        <f aca="false">IF(COUNT($D414:$G414)&lt;4,0,SUM($D414:$G414))</f>
        <v>0</v>
      </c>
      <c r="I414" s="26" t="str">
        <f aca="false">IF($H414=0,"",IF($H414&lt;=8,"Ótimo",IF($H414&lt;=12,"Bom",IF($H414&lt;=16,"Regular",IF($H414&lt;=20,"Alerta","Crítico")))))</f>
        <v/>
      </c>
      <c r="J414" s="27"/>
      <c r="K414" s="27"/>
    </row>
    <row r="415" customFormat="false" ht="15" hidden="false" customHeight="false" outlineLevel="0" collapsed="false">
      <c r="A415" s="29"/>
      <c r="B415" s="40" t="n">
        <f aca="false">IF($A415="",0,INT(($A415-Macrociclo!$C$11)/7)+1)</f>
        <v>0</v>
      </c>
      <c r="C415" s="27"/>
      <c r="D415" s="28"/>
      <c r="E415" s="28"/>
      <c r="F415" s="28"/>
      <c r="G415" s="28"/>
      <c r="H415" s="40" t="n">
        <f aca="false">IF(COUNT($D415:$G415)&lt;4,0,SUM($D415:$G415))</f>
        <v>0</v>
      </c>
      <c r="I415" s="26" t="str">
        <f aca="false">IF($H415=0,"",IF($H415&lt;=8,"Ótimo",IF($H415&lt;=12,"Bom",IF($H415&lt;=16,"Regular",IF($H415&lt;=20,"Alerta","Crítico")))))</f>
        <v/>
      </c>
      <c r="J415" s="27"/>
      <c r="K415" s="27"/>
    </row>
    <row r="416" customFormat="false" ht="15" hidden="false" customHeight="false" outlineLevel="0" collapsed="false">
      <c r="A416" s="29"/>
      <c r="B416" s="40" t="n">
        <f aca="false">IF($A416="",0,INT(($A416-Macrociclo!$C$11)/7)+1)</f>
        <v>0</v>
      </c>
      <c r="C416" s="27"/>
      <c r="D416" s="28"/>
      <c r="E416" s="28"/>
      <c r="F416" s="28"/>
      <c r="G416" s="28"/>
      <c r="H416" s="40" t="n">
        <f aca="false">IF(COUNT($D416:$G416)&lt;4,0,SUM($D416:$G416))</f>
        <v>0</v>
      </c>
      <c r="I416" s="26" t="str">
        <f aca="false">IF($H416=0,"",IF($H416&lt;=8,"Ótimo",IF($H416&lt;=12,"Bom",IF($H416&lt;=16,"Regular",IF($H416&lt;=20,"Alerta","Crítico")))))</f>
        <v/>
      </c>
      <c r="J416" s="27"/>
      <c r="K416" s="27"/>
    </row>
    <row r="417" customFormat="false" ht="15" hidden="false" customHeight="false" outlineLevel="0" collapsed="false">
      <c r="A417" s="29"/>
      <c r="B417" s="40" t="n">
        <f aca="false">IF($A417="",0,INT(($A417-Macrociclo!$C$11)/7)+1)</f>
        <v>0</v>
      </c>
      <c r="C417" s="27"/>
      <c r="D417" s="28"/>
      <c r="E417" s="28"/>
      <c r="F417" s="28"/>
      <c r="G417" s="28"/>
      <c r="H417" s="40" t="n">
        <f aca="false">IF(COUNT($D417:$G417)&lt;4,0,SUM($D417:$G417))</f>
        <v>0</v>
      </c>
      <c r="I417" s="26" t="str">
        <f aca="false">IF($H417=0,"",IF($H417&lt;=8,"Ótimo",IF($H417&lt;=12,"Bom",IF($H417&lt;=16,"Regular",IF($H417&lt;=20,"Alerta","Crítico")))))</f>
        <v/>
      </c>
      <c r="J417" s="27"/>
      <c r="K417" s="27"/>
    </row>
    <row r="418" customFormat="false" ht="15" hidden="false" customHeight="false" outlineLevel="0" collapsed="false">
      <c r="A418" s="29"/>
      <c r="B418" s="40" t="n">
        <f aca="false">IF($A418="",0,INT(($A418-Macrociclo!$C$11)/7)+1)</f>
        <v>0</v>
      </c>
      <c r="C418" s="27"/>
      <c r="D418" s="28"/>
      <c r="E418" s="28"/>
      <c r="F418" s="28"/>
      <c r="G418" s="28"/>
      <c r="H418" s="40" t="n">
        <f aca="false">IF(COUNT($D418:$G418)&lt;4,0,SUM($D418:$G418))</f>
        <v>0</v>
      </c>
      <c r="I418" s="26" t="str">
        <f aca="false">IF($H418=0,"",IF($H418&lt;=8,"Ótimo",IF($H418&lt;=12,"Bom",IF($H418&lt;=16,"Regular",IF($H418&lt;=20,"Alerta","Crítico")))))</f>
        <v/>
      </c>
      <c r="J418" s="27"/>
      <c r="K418" s="27"/>
    </row>
    <row r="419" customFormat="false" ht="15" hidden="false" customHeight="false" outlineLevel="0" collapsed="false">
      <c r="A419" s="29"/>
      <c r="B419" s="40" t="n">
        <f aca="false">IF($A419="",0,INT(($A419-Macrociclo!$C$11)/7)+1)</f>
        <v>0</v>
      </c>
      <c r="C419" s="27"/>
      <c r="D419" s="28"/>
      <c r="E419" s="28"/>
      <c r="F419" s="28"/>
      <c r="G419" s="28"/>
      <c r="H419" s="40" t="n">
        <f aca="false">IF(COUNT($D419:$G419)&lt;4,0,SUM($D419:$G419))</f>
        <v>0</v>
      </c>
      <c r="I419" s="26" t="str">
        <f aca="false">IF($H419=0,"",IF($H419&lt;=8,"Ótimo",IF($H419&lt;=12,"Bom",IF($H419&lt;=16,"Regular",IF($H419&lt;=20,"Alerta","Crítico")))))</f>
        <v/>
      </c>
      <c r="J419" s="27"/>
      <c r="K419" s="27"/>
    </row>
    <row r="420" customFormat="false" ht="15" hidden="false" customHeight="false" outlineLevel="0" collapsed="false">
      <c r="A420" s="29"/>
      <c r="B420" s="40" t="n">
        <f aca="false">IF($A420="",0,INT(($A420-Macrociclo!$C$11)/7)+1)</f>
        <v>0</v>
      </c>
      <c r="C420" s="27"/>
      <c r="D420" s="28"/>
      <c r="E420" s="28"/>
      <c r="F420" s="28"/>
      <c r="G420" s="28"/>
      <c r="H420" s="40" t="n">
        <f aca="false">IF(COUNT($D420:$G420)&lt;4,0,SUM($D420:$G420))</f>
        <v>0</v>
      </c>
      <c r="I420" s="26" t="str">
        <f aca="false">IF($H420=0,"",IF($H420&lt;=8,"Ótimo",IF($H420&lt;=12,"Bom",IF($H420&lt;=16,"Regular",IF($H420&lt;=20,"Alerta","Crítico")))))</f>
        <v/>
      </c>
      <c r="J420" s="27"/>
      <c r="K420" s="27"/>
    </row>
    <row r="421" customFormat="false" ht="15" hidden="false" customHeight="false" outlineLevel="0" collapsed="false">
      <c r="A421" s="29"/>
      <c r="B421" s="40" t="n">
        <f aca="false">IF($A421="",0,INT(($A421-Macrociclo!$C$11)/7)+1)</f>
        <v>0</v>
      </c>
      <c r="C421" s="27"/>
      <c r="D421" s="28"/>
      <c r="E421" s="28"/>
      <c r="F421" s="28"/>
      <c r="G421" s="28"/>
      <c r="H421" s="40" t="n">
        <f aca="false">IF(COUNT($D421:$G421)&lt;4,0,SUM($D421:$G421))</f>
        <v>0</v>
      </c>
      <c r="I421" s="26" t="str">
        <f aca="false">IF($H421=0,"",IF($H421&lt;=8,"Ótimo",IF($H421&lt;=12,"Bom",IF($H421&lt;=16,"Regular",IF($H421&lt;=20,"Alerta","Crítico")))))</f>
        <v/>
      </c>
      <c r="J421" s="27"/>
      <c r="K421" s="27"/>
    </row>
    <row r="422" customFormat="false" ht="15" hidden="false" customHeight="false" outlineLevel="0" collapsed="false">
      <c r="A422" s="29"/>
      <c r="B422" s="40" t="n">
        <f aca="false">IF($A422="",0,INT(($A422-Macrociclo!$C$11)/7)+1)</f>
        <v>0</v>
      </c>
      <c r="C422" s="27"/>
      <c r="D422" s="28"/>
      <c r="E422" s="28"/>
      <c r="F422" s="28"/>
      <c r="G422" s="28"/>
      <c r="H422" s="40" t="n">
        <f aca="false">IF(COUNT($D422:$G422)&lt;4,0,SUM($D422:$G422))</f>
        <v>0</v>
      </c>
      <c r="I422" s="26" t="str">
        <f aca="false">IF($H422=0,"",IF($H422&lt;=8,"Ótimo",IF($H422&lt;=12,"Bom",IF($H422&lt;=16,"Regular",IF($H422&lt;=20,"Alerta","Crítico")))))</f>
        <v/>
      </c>
      <c r="J422" s="27"/>
      <c r="K422" s="27"/>
    </row>
    <row r="423" customFormat="false" ht="15" hidden="false" customHeight="false" outlineLevel="0" collapsed="false">
      <c r="A423" s="29"/>
      <c r="B423" s="40" t="n">
        <f aca="false">IF($A423="",0,INT(($A423-Macrociclo!$C$11)/7)+1)</f>
        <v>0</v>
      </c>
      <c r="C423" s="27"/>
      <c r="D423" s="28"/>
      <c r="E423" s="28"/>
      <c r="F423" s="28"/>
      <c r="G423" s="28"/>
      <c r="H423" s="40" t="n">
        <f aca="false">IF(COUNT($D423:$G423)&lt;4,0,SUM($D423:$G423))</f>
        <v>0</v>
      </c>
      <c r="I423" s="26" t="str">
        <f aca="false">IF($H423=0,"",IF($H423&lt;=8,"Ótimo",IF($H423&lt;=12,"Bom",IF($H423&lt;=16,"Regular",IF($H423&lt;=20,"Alerta","Crítico")))))</f>
        <v/>
      </c>
      <c r="J423" s="27"/>
      <c r="K423" s="27"/>
    </row>
    <row r="424" customFormat="false" ht="15" hidden="false" customHeight="false" outlineLevel="0" collapsed="false">
      <c r="A424" s="29"/>
      <c r="B424" s="40" t="n">
        <f aca="false">IF($A424="",0,INT(($A424-Macrociclo!$C$11)/7)+1)</f>
        <v>0</v>
      </c>
      <c r="C424" s="27"/>
      <c r="D424" s="28"/>
      <c r="E424" s="28"/>
      <c r="F424" s="28"/>
      <c r="G424" s="28"/>
      <c r="H424" s="40" t="n">
        <f aca="false">IF(COUNT($D424:$G424)&lt;4,0,SUM($D424:$G424))</f>
        <v>0</v>
      </c>
      <c r="I424" s="26" t="str">
        <f aca="false">IF($H424=0,"",IF($H424&lt;=8,"Ótimo",IF($H424&lt;=12,"Bom",IF($H424&lt;=16,"Regular",IF($H424&lt;=20,"Alerta","Crítico")))))</f>
        <v/>
      </c>
      <c r="J424" s="27"/>
      <c r="K424" s="27"/>
    </row>
    <row r="425" customFormat="false" ht="15" hidden="false" customHeight="false" outlineLevel="0" collapsed="false">
      <c r="A425" s="29"/>
      <c r="B425" s="40" t="n">
        <f aca="false">IF($A425="",0,INT(($A425-Macrociclo!$C$11)/7)+1)</f>
        <v>0</v>
      </c>
      <c r="C425" s="27"/>
      <c r="D425" s="28"/>
      <c r="E425" s="28"/>
      <c r="F425" s="28"/>
      <c r="G425" s="28"/>
      <c r="H425" s="40" t="n">
        <f aca="false">IF(COUNT($D425:$G425)&lt;4,0,SUM($D425:$G425))</f>
        <v>0</v>
      </c>
      <c r="I425" s="26" t="str">
        <f aca="false">IF($H425=0,"",IF($H425&lt;=8,"Ótimo",IF($H425&lt;=12,"Bom",IF($H425&lt;=16,"Regular",IF($H425&lt;=20,"Alerta","Crítico")))))</f>
        <v/>
      </c>
      <c r="J425" s="27"/>
      <c r="K425" s="27"/>
    </row>
    <row r="426" customFormat="false" ht="15" hidden="false" customHeight="false" outlineLevel="0" collapsed="false">
      <c r="A426" s="29"/>
      <c r="B426" s="40" t="n">
        <f aca="false">IF($A426="",0,INT(($A426-Macrociclo!$C$11)/7)+1)</f>
        <v>0</v>
      </c>
      <c r="C426" s="27"/>
      <c r="D426" s="28"/>
      <c r="E426" s="28"/>
      <c r="F426" s="28"/>
      <c r="G426" s="28"/>
      <c r="H426" s="40" t="n">
        <f aca="false">IF(COUNT($D426:$G426)&lt;4,0,SUM($D426:$G426))</f>
        <v>0</v>
      </c>
      <c r="I426" s="26" t="str">
        <f aca="false">IF($H426=0,"",IF($H426&lt;=8,"Ótimo",IF($H426&lt;=12,"Bom",IF($H426&lt;=16,"Regular",IF($H426&lt;=20,"Alerta","Crítico")))))</f>
        <v/>
      </c>
      <c r="J426" s="27"/>
      <c r="K426" s="27"/>
    </row>
    <row r="427" customFormat="false" ht="15" hidden="false" customHeight="false" outlineLevel="0" collapsed="false">
      <c r="A427" s="29"/>
      <c r="B427" s="40" t="n">
        <f aca="false">IF($A427="",0,INT(($A427-Macrociclo!$C$11)/7)+1)</f>
        <v>0</v>
      </c>
      <c r="C427" s="27"/>
      <c r="D427" s="28"/>
      <c r="E427" s="28"/>
      <c r="F427" s="28"/>
      <c r="G427" s="28"/>
      <c r="H427" s="40" t="n">
        <f aca="false">IF(COUNT($D427:$G427)&lt;4,0,SUM($D427:$G427))</f>
        <v>0</v>
      </c>
      <c r="I427" s="26" t="str">
        <f aca="false">IF($H427=0,"",IF($H427&lt;=8,"Ótimo",IF($H427&lt;=12,"Bom",IF($H427&lt;=16,"Regular",IF($H427&lt;=20,"Alerta","Crítico")))))</f>
        <v/>
      </c>
      <c r="J427" s="27"/>
      <c r="K427" s="27"/>
    </row>
    <row r="428" customFormat="false" ht="15" hidden="false" customHeight="false" outlineLevel="0" collapsed="false">
      <c r="A428" s="29"/>
      <c r="B428" s="40" t="n">
        <f aca="false">IF($A428="",0,INT(($A428-Macrociclo!$C$11)/7)+1)</f>
        <v>0</v>
      </c>
      <c r="C428" s="27"/>
      <c r="D428" s="28"/>
      <c r="E428" s="28"/>
      <c r="F428" s="28"/>
      <c r="G428" s="28"/>
      <c r="H428" s="40" t="n">
        <f aca="false">IF(COUNT($D428:$G428)&lt;4,0,SUM($D428:$G428))</f>
        <v>0</v>
      </c>
      <c r="I428" s="26" t="str">
        <f aca="false">IF($H428=0,"",IF($H428&lt;=8,"Ótimo",IF($H428&lt;=12,"Bom",IF($H428&lt;=16,"Regular",IF($H428&lt;=20,"Alerta","Crítico")))))</f>
        <v/>
      </c>
      <c r="J428" s="27"/>
      <c r="K428" s="27"/>
    </row>
    <row r="429" customFormat="false" ht="15" hidden="false" customHeight="false" outlineLevel="0" collapsed="false">
      <c r="A429" s="29"/>
      <c r="B429" s="40" t="n">
        <f aca="false">IF($A429="",0,INT(($A429-Macrociclo!$C$11)/7)+1)</f>
        <v>0</v>
      </c>
      <c r="C429" s="27"/>
      <c r="D429" s="28"/>
      <c r="E429" s="28"/>
      <c r="F429" s="28"/>
      <c r="G429" s="28"/>
      <c r="H429" s="40" t="n">
        <f aca="false">IF(COUNT($D429:$G429)&lt;4,0,SUM($D429:$G429))</f>
        <v>0</v>
      </c>
      <c r="I429" s="26" t="str">
        <f aca="false">IF($H429=0,"",IF($H429&lt;=8,"Ótimo",IF($H429&lt;=12,"Bom",IF($H429&lt;=16,"Regular",IF($H429&lt;=20,"Alerta","Crítico")))))</f>
        <v/>
      </c>
      <c r="J429" s="27"/>
      <c r="K429" s="27"/>
    </row>
    <row r="430" customFormat="false" ht="15" hidden="false" customHeight="false" outlineLevel="0" collapsed="false">
      <c r="A430" s="29"/>
      <c r="B430" s="40" t="n">
        <f aca="false">IF($A430="",0,INT(($A430-Macrociclo!$C$11)/7)+1)</f>
        <v>0</v>
      </c>
      <c r="C430" s="27"/>
      <c r="D430" s="28"/>
      <c r="E430" s="28"/>
      <c r="F430" s="28"/>
      <c r="G430" s="28"/>
      <c r="H430" s="40" t="n">
        <f aca="false">IF(COUNT($D430:$G430)&lt;4,0,SUM($D430:$G430))</f>
        <v>0</v>
      </c>
      <c r="I430" s="26" t="str">
        <f aca="false">IF($H430=0,"",IF($H430&lt;=8,"Ótimo",IF($H430&lt;=12,"Bom",IF($H430&lt;=16,"Regular",IF($H430&lt;=20,"Alerta","Crítico")))))</f>
        <v/>
      </c>
      <c r="J430" s="27"/>
      <c r="K430" s="27"/>
    </row>
    <row r="431" customFormat="false" ht="15" hidden="false" customHeight="false" outlineLevel="0" collapsed="false">
      <c r="A431" s="29"/>
      <c r="B431" s="40" t="n">
        <f aca="false">IF($A431="",0,INT(($A431-Macrociclo!$C$11)/7)+1)</f>
        <v>0</v>
      </c>
      <c r="C431" s="27"/>
      <c r="D431" s="28"/>
      <c r="E431" s="28"/>
      <c r="F431" s="28"/>
      <c r="G431" s="28"/>
      <c r="H431" s="40" t="n">
        <f aca="false">IF(COUNT($D431:$G431)&lt;4,0,SUM($D431:$G431))</f>
        <v>0</v>
      </c>
      <c r="I431" s="26" t="str">
        <f aca="false">IF($H431=0,"",IF($H431&lt;=8,"Ótimo",IF($H431&lt;=12,"Bom",IF($H431&lt;=16,"Regular",IF($H431&lt;=20,"Alerta","Crítico")))))</f>
        <v/>
      </c>
      <c r="J431" s="27"/>
      <c r="K431" s="27"/>
    </row>
    <row r="432" customFormat="false" ht="15" hidden="false" customHeight="false" outlineLevel="0" collapsed="false">
      <c r="A432" s="29"/>
      <c r="B432" s="40" t="n">
        <f aca="false">IF($A432="",0,INT(($A432-Macrociclo!$C$11)/7)+1)</f>
        <v>0</v>
      </c>
      <c r="C432" s="27"/>
      <c r="D432" s="28"/>
      <c r="E432" s="28"/>
      <c r="F432" s="28"/>
      <c r="G432" s="28"/>
      <c r="H432" s="40" t="n">
        <f aca="false">IF(COUNT($D432:$G432)&lt;4,0,SUM($D432:$G432))</f>
        <v>0</v>
      </c>
      <c r="I432" s="26" t="str">
        <f aca="false">IF($H432=0,"",IF($H432&lt;=8,"Ótimo",IF($H432&lt;=12,"Bom",IF($H432&lt;=16,"Regular",IF($H432&lt;=20,"Alerta","Crítico")))))</f>
        <v/>
      </c>
      <c r="J432" s="27"/>
      <c r="K432" s="27"/>
    </row>
    <row r="433" customFormat="false" ht="15" hidden="false" customHeight="false" outlineLevel="0" collapsed="false">
      <c r="A433" s="29"/>
      <c r="B433" s="40" t="n">
        <f aca="false">IF($A433="",0,INT(($A433-Macrociclo!$C$11)/7)+1)</f>
        <v>0</v>
      </c>
      <c r="C433" s="27"/>
      <c r="D433" s="28"/>
      <c r="E433" s="28"/>
      <c r="F433" s="28"/>
      <c r="G433" s="28"/>
      <c r="H433" s="40" t="n">
        <f aca="false">IF(COUNT($D433:$G433)&lt;4,0,SUM($D433:$G433))</f>
        <v>0</v>
      </c>
      <c r="I433" s="26" t="str">
        <f aca="false">IF($H433=0,"",IF($H433&lt;=8,"Ótimo",IF($H433&lt;=12,"Bom",IF($H433&lt;=16,"Regular",IF($H433&lt;=20,"Alerta","Crítico")))))</f>
        <v/>
      </c>
      <c r="J433" s="27"/>
      <c r="K433" s="27"/>
    </row>
    <row r="434" customFormat="false" ht="15" hidden="false" customHeight="false" outlineLevel="0" collapsed="false">
      <c r="A434" s="29"/>
      <c r="B434" s="40" t="n">
        <f aca="false">IF($A434="",0,INT(($A434-Macrociclo!$C$11)/7)+1)</f>
        <v>0</v>
      </c>
      <c r="C434" s="27"/>
      <c r="D434" s="28"/>
      <c r="E434" s="28"/>
      <c r="F434" s="28"/>
      <c r="G434" s="28"/>
      <c r="H434" s="40" t="n">
        <f aca="false">IF(COUNT($D434:$G434)&lt;4,0,SUM($D434:$G434))</f>
        <v>0</v>
      </c>
      <c r="I434" s="26" t="str">
        <f aca="false">IF($H434=0,"",IF($H434&lt;=8,"Ótimo",IF($H434&lt;=12,"Bom",IF($H434&lt;=16,"Regular",IF($H434&lt;=20,"Alerta","Crítico")))))</f>
        <v/>
      </c>
      <c r="J434" s="27"/>
      <c r="K434" s="27"/>
    </row>
    <row r="435" customFormat="false" ht="15" hidden="false" customHeight="false" outlineLevel="0" collapsed="false">
      <c r="A435" s="29"/>
      <c r="B435" s="40" t="n">
        <f aca="false">IF($A435="",0,INT(($A435-Macrociclo!$C$11)/7)+1)</f>
        <v>0</v>
      </c>
      <c r="C435" s="27"/>
      <c r="D435" s="28"/>
      <c r="E435" s="28"/>
      <c r="F435" s="28"/>
      <c r="G435" s="28"/>
      <c r="H435" s="40" t="n">
        <f aca="false">IF(COUNT($D435:$G435)&lt;4,0,SUM($D435:$G435))</f>
        <v>0</v>
      </c>
      <c r="I435" s="26" t="str">
        <f aca="false">IF($H435=0,"",IF($H435&lt;=8,"Ótimo",IF($H435&lt;=12,"Bom",IF($H435&lt;=16,"Regular",IF($H435&lt;=20,"Alerta","Crítico")))))</f>
        <v/>
      </c>
      <c r="J435" s="27"/>
      <c r="K435" s="27"/>
    </row>
    <row r="436" customFormat="false" ht="15" hidden="false" customHeight="false" outlineLevel="0" collapsed="false">
      <c r="A436" s="29"/>
      <c r="B436" s="40" t="n">
        <f aca="false">IF($A436="",0,INT(($A436-Macrociclo!$C$11)/7)+1)</f>
        <v>0</v>
      </c>
      <c r="C436" s="27"/>
      <c r="D436" s="28"/>
      <c r="E436" s="28"/>
      <c r="F436" s="28"/>
      <c r="G436" s="28"/>
      <c r="H436" s="40" t="n">
        <f aca="false">IF(COUNT($D436:$G436)&lt;4,0,SUM($D436:$G436))</f>
        <v>0</v>
      </c>
      <c r="I436" s="26" t="str">
        <f aca="false">IF($H436=0,"",IF($H436&lt;=8,"Ótimo",IF($H436&lt;=12,"Bom",IF($H436&lt;=16,"Regular",IF($H436&lt;=20,"Alerta","Crítico")))))</f>
        <v/>
      </c>
      <c r="J436" s="27"/>
      <c r="K436" s="27"/>
    </row>
    <row r="437" customFormat="false" ht="15" hidden="false" customHeight="false" outlineLevel="0" collapsed="false">
      <c r="A437" s="29"/>
      <c r="B437" s="40" t="n">
        <f aca="false">IF($A437="",0,INT(($A437-Macrociclo!$C$11)/7)+1)</f>
        <v>0</v>
      </c>
      <c r="C437" s="27"/>
      <c r="D437" s="28"/>
      <c r="E437" s="28"/>
      <c r="F437" s="28"/>
      <c r="G437" s="28"/>
      <c r="H437" s="40" t="n">
        <f aca="false">IF(COUNT($D437:$G437)&lt;4,0,SUM($D437:$G437))</f>
        <v>0</v>
      </c>
      <c r="I437" s="26" t="str">
        <f aca="false">IF($H437=0,"",IF($H437&lt;=8,"Ótimo",IF($H437&lt;=12,"Bom",IF($H437&lt;=16,"Regular",IF($H437&lt;=20,"Alerta","Crítico")))))</f>
        <v/>
      </c>
      <c r="J437" s="27"/>
      <c r="K437" s="27"/>
    </row>
    <row r="438" customFormat="false" ht="15" hidden="false" customHeight="false" outlineLevel="0" collapsed="false">
      <c r="A438" s="29"/>
      <c r="B438" s="40" t="n">
        <f aca="false">IF($A438="",0,INT(($A438-Macrociclo!$C$11)/7)+1)</f>
        <v>0</v>
      </c>
      <c r="C438" s="27"/>
      <c r="D438" s="28"/>
      <c r="E438" s="28"/>
      <c r="F438" s="28"/>
      <c r="G438" s="28"/>
      <c r="H438" s="40" t="n">
        <f aca="false">IF(COUNT($D438:$G438)&lt;4,0,SUM($D438:$G438))</f>
        <v>0</v>
      </c>
      <c r="I438" s="26" t="str">
        <f aca="false">IF($H438=0,"",IF($H438&lt;=8,"Ótimo",IF($H438&lt;=12,"Bom",IF($H438&lt;=16,"Regular",IF($H438&lt;=20,"Alerta","Crítico")))))</f>
        <v/>
      </c>
      <c r="J438" s="27"/>
      <c r="K438" s="27"/>
    </row>
    <row r="439" customFormat="false" ht="15" hidden="false" customHeight="false" outlineLevel="0" collapsed="false">
      <c r="A439" s="29"/>
      <c r="B439" s="40" t="n">
        <f aca="false">IF($A439="",0,INT(($A439-Macrociclo!$C$11)/7)+1)</f>
        <v>0</v>
      </c>
      <c r="C439" s="27"/>
      <c r="D439" s="28"/>
      <c r="E439" s="28"/>
      <c r="F439" s="28"/>
      <c r="G439" s="28"/>
      <c r="H439" s="40" t="n">
        <f aca="false">IF(COUNT($D439:$G439)&lt;4,0,SUM($D439:$G439))</f>
        <v>0</v>
      </c>
      <c r="I439" s="26" t="str">
        <f aca="false">IF($H439=0,"",IF($H439&lt;=8,"Ótimo",IF($H439&lt;=12,"Bom",IF($H439&lt;=16,"Regular",IF($H439&lt;=20,"Alerta","Crítico")))))</f>
        <v/>
      </c>
      <c r="J439" s="27"/>
      <c r="K439" s="27"/>
    </row>
    <row r="440" customFormat="false" ht="15" hidden="false" customHeight="false" outlineLevel="0" collapsed="false">
      <c r="A440" s="29"/>
      <c r="B440" s="40" t="n">
        <f aca="false">IF($A440="",0,INT(($A440-Macrociclo!$C$11)/7)+1)</f>
        <v>0</v>
      </c>
      <c r="C440" s="27"/>
      <c r="D440" s="28"/>
      <c r="E440" s="28"/>
      <c r="F440" s="28"/>
      <c r="G440" s="28"/>
      <c r="H440" s="40" t="n">
        <f aca="false">IF(COUNT($D440:$G440)&lt;4,0,SUM($D440:$G440))</f>
        <v>0</v>
      </c>
      <c r="I440" s="26" t="str">
        <f aca="false">IF($H440=0,"",IF($H440&lt;=8,"Ótimo",IF($H440&lt;=12,"Bom",IF($H440&lt;=16,"Regular",IF($H440&lt;=20,"Alerta","Crítico")))))</f>
        <v/>
      </c>
      <c r="J440" s="27"/>
      <c r="K440" s="27"/>
    </row>
    <row r="441" customFormat="false" ht="15" hidden="false" customHeight="false" outlineLevel="0" collapsed="false">
      <c r="A441" s="29"/>
      <c r="B441" s="40" t="n">
        <f aca="false">IF($A441="",0,INT(($A441-Macrociclo!$C$11)/7)+1)</f>
        <v>0</v>
      </c>
      <c r="C441" s="27"/>
      <c r="D441" s="28"/>
      <c r="E441" s="28"/>
      <c r="F441" s="28"/>
      <c r="G441" s="28"/>
      <c r="H441" s="40" t="n">
        <f aca="false">IF(COUNT($D441:$G441)&lt;4,0,SUM($D441:$G441))</f>
        <v>0</v>
      </c>
      <c r="I441" s="26" t="str">
        <f aca="false">IF($H441=0,"",IF($H441&lt;=8,"Ótimo",IF($H441&lt;=12,"Bom",IF($H441&lt;=16,"Regular",IF($H441&lt;=20,"Alerta","Crítico")))))</f>
        <v/>
      </c>
      <c r="J441" s="27"/>
      <c r="K441" s="27"/>
    </row>
    <row r="442" customFormat="false" ht="15" hidden="false" customHeight="false" outlineLevel="0" collapsed="false">
      <c r="A442" s="29"/>
      <c r="B442" s="40" t="n">
        <f aca="false">IF($A442="",0,INT(($A442-Macrociclo!$C$11)/7)+1)</f>
        <v>0</v>
      </c>
      <c r="C442" s="27"/>
      <c r="D442" s="28"/>
      <c r="E442" s="28"/>
      <c r="F442" s="28"/>
      <c r="G442" s="28"/>
      <c r="H442" s="40" t="n">
        <f aca="false">IF(COUNT($D442:$G442)&lt;4,0,SUM($D442:$G442))</f>
        <v>0</v>
      </c>
      <c r="I442" s="26" t="str">
        <f aca="false">IF($H442=0,"",IF($H442&lt;=8,"Ótimo",IF($H442&lt;=12,"Bom",IF($H442&lt;=16,"Regular",IF($H442&lt;=20,"Alerta","Crítico")))))</f>
        <v/>
      </c>
      <c r="J442" s="27"/>
      <c r="K442" s="27"/>
    </row>
    <row r="443" customFormat="false" ht="15" hidden="false" customHeight="false" outlineLevel="0" collapsed="false">
      <c r="A443" s="29"/>
      <c r="B443" s="40" t="n">
        <f aca="false">IF($A443="",0,INT(($A443-Macrociclo!$C$11)/7)+1)</f>
        <v>0</v>
      </c>
      <c r="C443" s="27"/>
      <c r="D443" s="28"/>
      <c r="E443" s="28"/>
      <c r="F443" s="28"/>
      <c r="G443" s="28"/>
      <c r="H443" s="40" t="n">
        <f aca="false">IF(COUNT($D443:$G443)&lt;4,0,SUM($D443:$G443))</f>
        <v>0</v>
      </c>
      <c r="I443" s="26" t="str">
        <f aca="false">IF($H443=0,"",IF($H443&lt;=8,"Ótimo",IF($H443&lt;=12,"Bom",IF($H443&lt;=16,"Regular",IF($H443&lt;=20,"Alerta","Crítico")))))</f>
        <v/>
      </c>
      <c r="J443" s="27"/>
      <c r="K443" s="27"/>
    </row>
    <row r="444" customFormat="false" ht="15" hidden="false" customHeight="false" outlineLevel="0" collapsed="false">
      <c r="A444" s="29"/>
      <c r="B444" s="40" t="n">
        <f aca="false">IF($A444="",0,INT(($A444-Macrociclo!$C$11)/7)+1)</f>
        <v>0</v>
      </c>
      <c r="C444" s="27"/>
      <c r="D444" s="28"/>
      <c r="E444" s="28"/>
      <c r="F444" s="28"/>
      <c r="G444" s="28"/>
      <c r="H444" s="40" t="n">
        <f aca="false">IF(COUNT($D444:$G444)&lt;4,0,SUM($D444:$G444))</f>
        <v>0</v>
      </c>
      <c r="I444" s="26" t="str">
        <f aca="false">IF($H444=0,"",IF($H444&lt;=8,"Ótimo",IF($H444&lt;=12,"Bom",IF($H444&lt;=16,"Regular",IF($H444&lt;=20,"Alerta","Crítico")))))</f>
        <v/>
      </c>
      <c r="J444" s="27"/>
      <c r="K444" s="27"/>
    </row>
    <row r="445" customFormat="false" ht="15" hidden="false" customHeight="false" outlineLevel="0" collapsed="false">
      <c r="A445" s="29"/>
      <c r="B445" s="40" t="n">
        <f aca="false">IF($A445="",0,INT(($A445-Macrociclo!$C$11)/7)+1)</f>
        <v>0</v>
      </c>
      <c r="C445" s="27"/>
      <c r="D445" s="28"/>
      <c r="E445" s="28"/>
      <c r="F445" s="28"/>
      <c r="G445" s="28"/>
      <c r="H445" s="40" t="n">
        <f aca="false">IF(COUNT($D445:$G445)&lt;4,0,SUM($D445:$G445))</f>
        <v>0</v>
      </c>
      <c r="I445" s="26" t="str">
        <f aca="false">IF($H445=0,"",IF($H445&lt;=8,"Ótimo",IF($H445&lt;=12,"Bom",IF($H445&lt;=16,"Regular",IF($H445&lt;=20,"Alerta","Crítico")))))</f>
        <v/>
      </c>
      <c r="J445" s="27"/>
      <c r="K445" s="27"/>
    </row>
    <row r="446" customFormat="false" ht="15" hidden="false" customHeight="false" outlineLevel="0" collapsed="false">
      <c r="A446" s="29"/>
      <c r="B446" s="40" t="n">
        <f aca="false">IF($A446="",0,INT(($A446-Macrociclo!$C$11)/7)+1)</f>
        <v>0</v>
      </c>
      <c r="C446" s="27"/>
      <c r="D446" s="28"/>
      <c r="E446" s="28"/>
      <c r="F446" s="28"/>
      <c r="G446" s="28"/>
      <c r="H446" s="40" t="n">
        <f aca="false">IF(COUNT($D446:$G446)&lt;4,0,SUM($D446:$G446))</f>
        <v>0</v>
      </c>
      <c r="I446" s="26" t="str">
        <f aca="false">IF($H446=0,"",IF($H446&lt;=8,"Ótimo",IF($H446&lt;=12,"Bom",IF($H446&lt;=16,"Regular",IF($H446&lt;=20,"Alerta","Crítico")))))</f>
        <v/>
      </c>
      <c r="J446" s="27"/>
      <c r="K446" s="27"/>
    </row>
    <row r="447" customFormat="false" ht="15" hidden="false" customHeight="false" outlineLevel="0" collapsed="false">
      <c r="A447" s="29"/>
      <c r="B447" s="40" t="n">
        <f aca="false">IF($A447="",0,INT(($A447-Macrociclo!$C$11)/7)+1)</f>
        <v>0</v>
      </c>
      <c r="C447" s="27"/>
      <c r="D447" s="28"/>
      <c r="E447" s="28"/>
      <c r="F447" s="28"/>
      <c r="G447" s="28"/>
      <c r="H447" s="40" t="n">
        <f aca="false">IF(COUNT($D447:$G447)&lt;4,0,SUM($D447:$G447))</f>
        <v>0</v>
      </c>
      <c r="I447" s="26" t="str">
        <f aca="false">IF($H447=0,"",IF($H447&lt;=8,"Ótimo",IF($H447&lt;=12,"Bom",IF($H447&lt;=16,"Regular",IF($H447&lt;=20,"Alerta","Crítico")))))</f>
        <v/>
      </c>
      <c r="J447" s="27"/>
      <c r="K447" s="27"/>
    </row>
    <row r="448" customFormat="false" ht="15" hidden="false" customHeight="false" outlineLevel="0" collapsed="false">
      <c r="A448" s="29"/>
      <c r="B448" s="40" t="n">
        <f aca="false">IF($A448="",0,INT(($A448-Macrociclo!$C$11)/7)+1)</f>
        <v>0</v>
      </c>
      <c r="C448" s="27"/>
      <c r="D448" s="28"/>
      <c r="E448" s="28"/>
      <c r="F448" s="28"/>
      <c r="G448" s="28"/>
      <c r="H448" s="40" t="n">
        <f aca="false">IF(COUNT($D448:$G448)&lt;4,0,SUM($D448:$G448))</f>
        <v>0</v>
      </c>
      <c r="I448" s="26" t="str">
        <f aca="false">IF($H448=0,"",IF($H448&lt;=8,"Ótimo",IF($H448&lt;=12,"Bom",IF($H448&lt;=16,"Regular",IF($H448&lt;=20,"Alerta","Crítico")))))</f>
        <v/>
      </c>
      <c r="J448" s="27"/>
      <c r="K448" s="27"/>
    </row>
    <row r="449" customFormat="false" ht="15" hidden="false" customHeight="false" outlineLevel="0" collapsed="false">
      <c r="A449" s="29"/>
      <c r="B449" s="40" t="n">
        <f aca="false">IF($A449="",0,INT(($A449-Macrociclo!$C$11)/7)+1)</f>
        <v>0</v>
      </c>
      <c r="C449" s="27"/>
      <c r="D449" s="28"/>
      <c r="E449" s="28"/>
      <c r="F449" s="28"/>
      <c r="G449" s="28"/>
      <c r="H449" s="40" t="n">
        <f aca="false">IF(COUNT($D449:$G449)&lt;4,0,SUM($D449:$G449))</f>
        <v>0</v>
      </c>
      <c r="I449" s="26" t="str">
        <f aca="false">IF($H449=0,"",IF($H449&lt;=8,"Ótimo",IF($H449&lt;=12,"Bom",IF($H449&lt;=16,"Regular",IF($H449&lt;=20,"Alerta","Crítico")))))</f>
        <v/>
      </c>
      <c r="J449" s="27"/>
      <c r="K449" s="27"/>
    </row>
    <row r="450" customFormat="false" ht="15" hidden="false" customHeight="false" outlineLevel="0" collapsed="false">
      <c r="A450" s="29"/>
      <c r="B450" s="40" t="n">
        <f aca="false">IF($A450="",0,INT(($A450-Macrociclo!$C$11)/7)+1)</f>
        <v>0</v>
      </c>
      <c r="C450" s="27"/>
      <c r="D450" s="28"/>
      <c r="E450" s="28"/>
      <c r="F450" s="28"/>
      <c r="G450" s="28"/>
      <c r="H450" s="40" t="n">
        <f aca="false">IF(COUNT($D450:$G450)&lt;4,0,SUM($D450:$G450))</f>
        <v>0</v>
      </c>
      <c r="I450" s="26" t="str">
        <f aca="false">IF($H450=0,"",IF($H450&lt;=8,"Ótimo",IF($H450&lt;=12,"Bom",IF($H450&lt;=16,"Regular",IF($H450&lt;=20,"Alerta","Crítico")))))</f>
        <v/>
      </c>
      <c r="J450" s="27"/>
      <c r="K450" s="27"/>
    </row>
    <row r="451" customFormat="false" ht="15" hidden="false" customHeight="false" outlineLevel="0" collapsed="false">
      <c r="A451" s="29"/>
      <c r="B451" s="40" t="n">
        <f aca="false">IF($A451="",0,INT(($A451-Macrociclo!$C$11)/7)+1)</f>
        <v>0</v>
      </c>
      <c r="C451" s="27"/>
      <c r="D451" s="28"/>
      <c r="E451" s="28"/>
      <c r="F451" s="28"/>
      <c r="G451" s="28"/>
      <c r="H451" s="40" t="n">
        <f aca="false">IF(COUNT($D451:$G451)&lt;4,0,SUM($D451:$G451))</f>
        <v>0</v>
      </c>
      <c r="I451" s="26" t="str">
        <f aca="false">IF($H451=0,"",IF($H451&lt;=8,"Ótimo",IF($H451&lt;=12,"Bom",IF($H451&lt;=16,"Regular",IF($H451&lt;=20,"Alerta","Crítico")))))</f>
        <v/>
      </c>
      <c r="J451" s="27"/>
      <c r="K451" s="27"/>
    </row>
    <row r="452" customFormat="false" ht="15" hidden="false" customHeight="false" outlineLevel="0" collapsed="false">
      <c r="A452" s="29"/>
      <c r="B452" s="40" t="n">
        <f aca="false">IF($A452="",0,INT(($A452-Macrociclo!$C$11)/7)+1)</f>
        <v>0</v>
      </c>
      <c r="C452" s="27"/>
      <c r="D452" s="28"/>
      <c r="E452" s="28"/>
      <c r="F452" s="28"/>
      <c r="G452" s="28"/>
      <c r="H452" s="40" t="n">
        <f aca="false">IF(COUNT($D452:$G452)&lt;4,0,SUM($D452:$G452))</f>
        <v>0</v>
      </c>
      <c r="I452" s="26" t="str">
        <f aca="false">IF($H452=0,"",IF($H452&lt;=8,"Ótimo",IF($H452&lt;=12,"Bom",IF($H452&lt;=16,"Regular",IF($H452&lt;=20,"Alerta","Crítico")))))</f>
        <v/>
      </c>
      <c r="J452" s="27"/>
      <c r="K452" s="27"/>
    </row>
    <row r="453" customFormat="false" ht="15" hidden="false" customHeight="false" outlineLevel="0" collapsed="false">
      <c r="A453" s="29"/>
      <c r="B453" s="40" t="n">
        <f aca="false">IF($A453="",0,INT(($A453-Macrociclo!$C$11)/7)+1)</f>
        <v>0</v>
      </c>
      <c r="C453" s="27"/>
      <c r="D453" s="28"/>
      <c r="E453" s="28"/>
      <c r="F453" s="28"/>
      <c r="G453" s="28"/>
      <c r="H453" s="40" t="n">
        <f aca="false">IF(COUNT($D453:$G453)&lt;4,0,SUM($D453:$G453))</f>
        <v>0</v>
      </c>
      <c r="I453" s="26" t="str">
        <f aca="false">IF($H453=0,"",IF($H453&lt;=8,"Ótimo",IF($H453&lt;=12,"Bom",IF($H453&lt;=16,"Regular",IF($H453&lt;=20,"Alerta","Crítico")))))</f>
        <v/>
      </c>
      <c r="J453" s="27"/>
      <c r="K453" s="27"/>
    </row>
    <row r="454" customFormat="false" ht="15" hidden="false" customHeight="false" outlineLevel="0" collapsed="false">
      <c r="A454" s="29"/>
      <c r="B454" s="40" t="n">
        <f aca="false">IF($A454="",0,INT(($A454-Macrociclo!$C$11)/7)+1)</f>
        <v>0</v>
      </c>
      <c r="C454" s="27"/>
      <c r="D454" s="28"/>
      <c r="E454" s="28"/>
      <c r="F454" s="28"/>
      <c r="G454" s="28"/>
      <c r="H454" s="40" t="n">
        <f aca="false">IF(COUNT($D454:$G454)&lt;4,0,SUM($D454:$G454))</f>
        <v>0</v>
      </c>
      <c r="I454" s="26" t="str">
        <f aca="false">IF($H454=0,"",IF($H454&lt;=8,"Ótimo",IF($H454&lt;=12,"Bom",IF($H454&lt;=16,"Regular",IF($H454&lt;=20,"Alerta","Crítico")))))</f>
        <v/>
      </c>
      <c r="J454" s="27"/>
      <c r="K454" s="27"/>
    </row>
    <row r="455" customFormat="false" ht="15" hidden="false" customHeight="false" outlineLevel="0" collapsed="false">
      <c r="A455" s="29"/>
      <c r="B455" s="40" t="n">
        <f aca="false">IF($A455="",0,INT(($A455-Macrociclo!$C$11)/7)+1)</f>
        <v>0</v>
      </c>
      <c r="C455" s="27"/>
      <c r="D455" s="28"/>
      <c r="E455" s="28"/>
      <c r="F455" s="28"/>
      <c r="G455" s="28"/>
      <c r="H455" s="40" t="n">
        <f aca="false">IF(COUNT($D455:$G455)&lt;4,0,SUM($D455:$G455))</f>
        <v>0</v>
      </c>
      <c r="I455" s="26" t="str">
        <f aca="false">IF($H455=0,"",IF($H455&lt;=8,"Ótimo",IF($H455&lt;=12,"Bom",IF($H455&lt;=16,"Regular",IF($H455&lt;=20,"Alerta","Crítico")))))</f>
        <v/>
      </c>
      <c r="J455" s="27"/>
      <c r="K455" s="27"/>
    </row>
    <row r="456" customFormat="false" ht="15" hidden="false" customHeight="false" outlineLevel="0" collapsed="false">
      <c r="A456" s="29"/>
      <c r="B456" s="40" t="n">
        <f aca="false">IF($A456="",0,INT(($A456-Macrociclo!$C$11)/7)+1)</f>
        <v>0</v>
      </c>
      <c r="C456" s="27"/>
      <c r="D456" s="28"/>
      <c r="E456" s="28"/>
      <c r="F456" s="28"/>
      <c r="G456" s="28"/>
      <c r="H456" s="40" t="n">
        <f aca="false">IF(COUNT($D456:$G456)&lt;4,0,SUM($D456:$G456))</f>
        <v>0</v>
      </c>
      <c r="I456" s="26" t="str">
        <f aca="false">IF($H456=0,"",IF($H456&lt;=8,"Ótimo",IF($H456&lt;=12,"Bom",IF($H456&lt;=16,"Regular",IF($H456&lt;=20,"Alerta","Crítico")))))</f>
        <v/>
      </c>
      <c r="J456" s="27"/>
      <c r="K456" s="27"/>
    </row>
    <row r="457" customFormat="false" ht="15" hidden="false" customHeight="false" outlineLevel="0" collapsed="false">
      <c r="A457" s="29"/>
      <c r="B457" s="40" t="n">
        <f aca="false">IF($A457="",0,INT(($A457-Macrociclo!$C$11)/7)+1)</f>
        <v>0</v>
      </c>
      <c r="C457" s="27"/>
      <c r="D457" s="28"/>
      <c r="E457" s="28"/>
      <c r="F457" s="28"/>
      <c r="G457" s="28"/>
      <c r="H457" s="40" t="n">
        <f aca="false">IF(COUNT($D457:$G457)&lt;4,0,SUM($D457:$G457))</f>
        <v>0</v>
      </c>
      <c r="I457" s="26" t="str">
        <f aca="false">IF($H457=0,"",IF($H457&lt;=8,"Ótimo",IF($H457&lt;=12,"Bom",IF($H457&lt;=16,"Regular",IF($H457&lt;=20,"Alerta","Crítico")))))</f>
        <v/>
      </c>
      <c r="J457" s="27"/>
      <c r="K457" s="27"/>
    </row>
    <row r="458" customFormat="false" ht="15" hidden="false" customHeight="false" outlineLevel="0" collapsed="false">
      <c r="A458" s="29"/>
      <c r="B458" s="40" t="n">
        <f aca="false">IF($A458="",0,INT(($A458-Macrociclo!$C$11)/7)+1)</f>
        <v>0</v>
      </c>
      <c r="C458" s="27"/>
      <c r="D458" s="28"/>
      <c r="E458" s="28"/>
      <c r="F458" s="28"/>
      <c r="G458" s="28"/>
      <c r="H458" s="40" t="n">
        <f aca="false">IF(COUNT($D458:$G458)&lt;4,0,SUM($D458:$G458))</f>
        <v>0</v>
      </c>
      <c r="I458" s="26" t="str">
        <f aca="false">IF($H458=0,"",IF($H458&lt;=8,"Ótimo",IF($H458&lt;=12,"Bom",IF($H458&lt;=16,"Regular",IF($H458&lt;=20,"Alerta","Crítico")))))</f>
        <v/>
      </c>
      <c r="J458" s="27"/>
      <c r="K458" s="27"/>
    </row>
    <row r="459" customFormat="false" ht="15" hidden="false" customHeight="false" outlineLevel="0" collapsed="false">
      <c r="A459" s="29"/>
      <c r="B459" s="40" t="n">
        <f aca="false">IF($A459="",0,INT(($A459-Macrociclo!$C$11)/7)+1)</f>
        <v>0</v>
      </c>
      <c r="C459" s="27"/>
      <c r="D459" s="28"/>
      <c r="E459" s="28"/>
      <c r="F459" s="28"/>
      <c r="G459" s="28"/>
      <c r="H459" s="40" t="n">
        <f aca="false">IF(COUNT($D459:$G459)&lt;4,0,SUM($D459:$G459))</f>
        <v>0</v>
      </c>
      <c r="I459" s="26" t="str">
        <f aca="false">IF($H459=0,"",IF($H459&lt;=8,"Ótimo",IF($H459&lt;=12,"Bom",IF($H459&lt;=16,"Regular",IF($H459&lt;=20,"Alerta","Crítico")))))</f>
        <v/>
      </c>
      <c r="J459" s="27"/>
      <c r="K459" s="27"/>
    </row>
    <row r="460" customFormat="false" ht="15" hidden="false" customHeight="false" outlineLevel="0" collapsed="false">
      <c r="A460" s="29"/>
      <c r="B460" s="40" t="n">
        <f aca="false">IF($A460="",0,INT(($A460-Macrociclo!$C$11)/7)+1)</f>
        <v>0</v>
      </c>
      <c r="C460" s="27"/>
      <c r="D460" s="28"/>
      <c r="E460" s="28"/>
      <c r="F460" s="28"/>
      <c r="G460" s="28"/>
      <c r="H460" s="40" t="n">
        <f aca="false">IF(COUNT($D460:$G460)&lt;4,0,SUM($D460:$G460))</f>
        <v>0</v>
      </c>
      <c r="I460" s="26" t="str">
        <f aca="false">IF($H460=0,"",IF($H460&lt;=8,"Ótimo",IF($H460&lt;=12,"Bom",IF($H460&lt;=16,"Regular",IF($H460&lt;=20,"Alerta","Crítico")))))</f>
        <v/>
      </c>
      <c r="J460" s="27"/>
      <c r="K460" s="27"/>
    </row>
    <row r="461" customFormat="false" ht="15" hidden="false" customHeight="false" outlineLevel="0" collapsed="false">
      <c r="A461" s="29"/>
      <c r="B461" s="40" t="n">
        <f aca="false">IF($A461="",0,INT(($A461-Macrociclo!$C$11)/7)+1)</f>
        <v>0</v>
      </c>
      <c r="C461" s="27"/>
      <c r="D461" s="28"/>
      <c r="E461" s="28"/>
      <c r="F461" s="28"/>
      <c r="G461" s="28"/>
      <c r="H461" s="40" t="n">
        <f aca="false">IF(COUNT($D461:$G461)&lt;4,0,SUM($D461:$G461))</f>
        <v>0</v>
      </c>
      <c r="I461" s="26" t="str">
        <f aca="false">IF($H461=0,"",IF($H461&lt;=8,"Ótimo",IF($H461&lt;=12,"Bom",IF($H461&lt;=16,"Regular",IF($H461&lt;=20,"Alerta","Crítico")))))</f>
        <v/>
      </c>
      <c r="J461" s="27"/>
      <c r="K461" s="27"/>
    </row>
    <row r="462" customFormat="false" ht="15" hidden="false" customHeight="false" outlineLevel="0" collapsed="false">
      <c r="A462" s="29"/>
      <c r="B462" s="40" t="n">
        <f aca="false">IF($A462="",0,INT(($A462-Macrociclo!$C$11)/7)+1)</f>
        <v>0</v>
      </c>
      <c r="C462" s="27"/>
      <c r="D462" s="28"/>
      <c r="E462" s="28"/>
      <c r="F462" s="28"/>
      <c r="G462" s="28"/>
      <c r="H462" s="40" t="n">
        <f aca="false">IF(COUNT($D462:$G462)&lt;4,0,SUM($D462:$G462))</f>
        <v>0</v>
      </c>
      <c r="I462" s="26" t="str">
        <f aca="false">IF($H462=0,"",IF($H462&lt;=8,"Ótimo",IF($H462&lt;=12,"Bom",IF($H462&lt;=16,"Regular",IF($H462&lt;=20,"Alerta","Crítico")))))</f>
        <v/>
      </c>
      <c r="J462" s="27"/>
      <c r="K462" s="27"/>
    </row>
    <row r="463" customFormat="false" ht="15" hidden="false" customHeight="false" outlineLevel="0" collapsed="false">
      <c r="A463" s="29"/>
      <c r="B463" s="40" t="n">
        <f aca="false">IF($A463="",0,INT(($A463-Macrociclo!$C$11)/7)+1)</f>
        <v>0</v>
      </c>
      <c r="C463" s="27"/>
      <c r="D463" s="28"/>
      <c r="E463" s="28"/>
      <c r="F463" s="28"/>
      <c r="G463" s="28"/>
      <c r="H463" s="40" t="n">
        <f aca="false">IF(COUNT($D463:$G463)&lt;4,0,SUM($D463:$G463))</f>
        <v>0</v>
      </c>
      <c r="I463" s="26" t="str">
        <f aca="false">IF($H463=0,"",IF($H463&lt;=8,"Ótimo",IF($H463&lt;=12,"Bom",IF($H463&lt;=16,"Regular",IF($H463&lt;=20,"Alerta","Crítico")))))</f>
        <v/>
      </c>
      <c r="J463" s="27"/>
      <c r="K463" s="27"/>
    </row>
    <row r="464" customFormat="false" ht="15" hidden="false" customHeight="false" outlineLevel="0" collapsed="false">
      <c r="A464" s="29"/>
      <c r="B464" s="40" t="n">
        <f aca="false">IF($A464="",0,INT(($A464-Macrociclo!$C$11)/7)+1)</f>
        <v>0</v>
      </c>
      <c r="C464" s="27"/>
      <c r="D464" s="28"/>
      <c r="E464" s="28"/>
      <c r="F464" s="28"/>
      <c r="G464" s="28"/>
      <c r="H464" s="40" t="n">
        <f aca="false">IF(COUNT($D464:$G464)&lt;4,0,SUM($D464:$G464))</f>
        <v>0</v>
      </c>
      <c r="I464" s="26" t="str">
        <f aca="false">IF($H464=0,"",IF($H464&lt;=8,"Ótimo",IF($H464&lt;=12,"Bom",IF($H464&lt;=16,"Regular",IF($H464&lt;=20,"Alerta","Crítico")))))</f>
        <v/>
      </c>
      <c r="J464" s="27"/>
      <c r="K464" s="27"/>
    </row>
    <row r="465" customFormat="false" ht="15" hidden="false" customHeight="false" outlineLevel="0" collapsed="false">
      <c r="A465" s="29"/>
      <c r="B465" s="40" t="n">
        <f aca="false">IF($A465="",0,INT(($A465-Macrociclo!$C$11)/7)+1)</f>
        <v>0</v>
      </c>
      <c r="C465" s="27"/>
      <c r="D465" s="28"/>
      <c r="E465" s="28"/>
      <c r="F465" s="28"/>
      <c r="G465" s="28"/>
      <c r="H465" s="40" t="n">
        <f aca="false">IF(COUNT($D465:$G465)&lt;4,0,SUM($D465:$G465))</f>
        <v>0</v>
      </c>
      <c r="I465" s="26" t="str">
        <f aca="false">IF($H465=0,"",IF($H465&lt;=8,"Ótimo",IF($H465&lt;=12,"Bom",IF($H465&lt;=16,"Regular",IF($H465&lt;=20,"Alerta","Crítico")))))</f>
        <v/>
      </c>
      <c r="J465" s="27"/>
      <c r="K465" s="27"/>
    </row>
    <row r="466" customFormat="false" ht="15" hidden="false" customHeight="false" outlineLevel="0" collapsed="false">
      <c r="A466" s="29"/>
      <c r="B466" s="40" t="n">
        <f aca="false">IF($A466="",0,INT(($A466-Macrociclo!$C$11)/7)+1)</f>
        <v>0</v>
      </c>
      <c r="C466" s="27"/>
      <c r="D466" s="28"/>
      <c r="E466" s="28"/>
      <c r="F466" s="28"/>
      <c r="G466" s="28"/>
      <c r="H466" s="40" t="n">
        <f aca="false">IF(COUNT($D466:$G466)&lt;4,0,SUM($D466:$G466))</f>
        <v>0</v>
      </c>
      <c r="I466" s="26" t="str">
        <f aca="false">IF($H466=0,"",IF($H466&lt;=8,"Ótimo",IF($H466&lt;=12,"Bom",IF($H466&lt;=16,"Regular",IF($H466&lt;=20,"Alerta","Crítico")))))</f>
        <v/>
      </c>
      <c r="J466" s="27"/>
      <c r="K466" s="27"/>
    </row>
    <row r="467" customFormat="false" ht="15" hidden="false" customHeight="false" outlineLevel="0" collapsed="false">
      <c r="A467" s="29"/>
      <c r="B467" s="40" t="n">
        <f aca="false">IF($A467="",0,INT(($A467-Macrociclo!$C$11)/7)+1)</f>
        <v>0</v>
      </c>
      <c r="C467" s="27"/>
      <c r="D467" s="28"/>
      <c r="E467" s="28"/>
      <c r="F467" s="28"/>
      <c r="G467" s="28"/>
      <c r="H467" s="40" t="n">
        <f aca="false">IF(COUNT($D467:$G467)&lt;4,0,SUM($D467:$G467))</f>
        <v>0</v>
      </c>
      <c r="I467" s="26" t="str">
        <f aca="false">IF($H467=0,"",IF($H467&lt;=8,"Ótimo",IF($H467&lt;=12,"Bom",IF($H467&lt;=16,"Regular",IF($H467&lt;=20,"Alerta","Crítico")))))</f>
        <v/>
      </c>
      <c r="J467" s="27"/>
      <c r="K467" s="27"/>
    </row>
    <row r="468" customFormat="false" ht="15" hidden="false" customHeight="false" outlineLevel="0" collapsed="false">
      <c r="A468" s="29"/>
      <c r="B468" s="40" t="n">
        <f aca="false">IF($A468="",0,INT(($A468-Macrociclo!$C$11)/7)+1)</f>
        <v>0</v>
      </c>
      <c r="C468" s="27"/>
      <c r="D468" s="28"/>
      <c r="E468" s="28"/>
      <c r="F468" s="28"/>
      <c r="G468" s="28"/>
      <c r="H468" s="40" t="n">
        <f aca="false">IF(COUNT($D468:$G468)&lt;4,0,SUM($D468:$G468))</f>
        <v>0</v>
      </c>
      <c r="I468" s="26" t="str">
        <f aca="false">IF($H468=0,"",IF($H468&lt;=8,"Ótimo",IF($H468&lt;=12,"Bom",IF($H468&lt;=16,"Regular",IF($H468&lt;=20,"Alerta","Crítico")))))</f>
        <v/>
      </c>
      <c r="J468" s="27"/>
      <c r="K468" s="27"/>
    </row>
    <row r="469" customFormat="false" ht="15" hidden="false" customHeight="false" outlineLevel="0" collapsed="false">
      <c r="A469" s="29"/>
      <c r="B469" s="40" t="n">
        <f aca="false">IF($A469="",0,INT(($A469-Macrociclo!$C$11)/7)+1)</f>
        <v>0</v>
      </c>
      <c r="C469" s="27"/>
      <c r="D469" s="28"/>
      <c r="E469" s="28"/>
      <c r="F469" s="28"/>
      <c r="G469" s="28"/>
      <c r="H469" s="40" t="n">
        <f aca="false">IF(COUNT($D469:$G469)&lt;4,0,SUM($D469:$G469))</f>
        <v>0</v>
      </c>
      <c r="I469" s="26" t="str">
        <f aca="false">IF($H469=0,"",IF($H469&lt;=8,"Ótimo",IF($H469&lt;=12,"Bom",IF($H469&lt;=16,"Regular",IF($H469&lt;=20,"Alerta","Crítico")))))</f>
        <v/>
      </c>
      <c r="J469" s="27"/>
      <c r="K469" s="27"/>
    </row>
    <row r="470" customFormat="false" ht="15" hidden="false" customHeight="false" outlineLevel="0" collapsed="false">
      <c r="A470" s="29"/>
      <c r="B470" s="40" t="n">
        <f aca="false">IF($A470="",0,INT(($A470-Macrociclo!$C$11)/7)+1)</f>
        <v>0</v>
      </c>
      <c r="C470" s="27"/>
      <c r="D470" s="28"/>
      <c r="E470" s="28"/>
      <c r="F470" s="28"/>
      <c r="G470" s="28"/>
      <c r="H470" s="40" t="n">
        <f aca="false">IF(COUNT($D470:$G470)&lt;4,0,SUM($D470:$G470))</f>
        <v>0</v>
      </c>
      <c r="I470" s="26" t="str">
        <f aca="false">IF($H470=0,"",IF($H470&lt;=8,"Ótimo",IF($H470&lt;=12,"Bom",IF($H470&lt;=16,"Regular",IF($H470&lt;=20,"Alerta","Crítico")))))</f>
        <v/>
      </c>
      <c r="J470" s="27"/>
      <c r="K470" s="27"/>
    </row>
    <row r="471" customFormat="false" ht="15" hidden="false" customHeight="false" outlineLevel="0" collapsed="false">
      <c r="A471" s="29"/>
      <c r="B471" s="40" t="n">
        <f aca="false">IF($A471="",0,INT(($A471-Macrociclo!$C$11)/7)+1)</f>
        <v>0</v>
      </c>
      <c r="C471" s="27"/>
      <c r="D471" s="28"/>
      <c r="E471" s="28"/>
      <c r="F471" s="28"/>
      <c r="G471" s="28"/>
      <c r="H471" s="40" t="n">
        <f aca="false">IF(COUNT($D471:$G471)&lt;4,0,SUM($D471:$G471))</f>
        <v>0</v>
      </c>
      <c r="I471" s="26" t="str">
        <f aca="false">IF($H471=0,"",IF($H471&lt;=8,"Ótimo",IF($H471&lt;=12,"Bom",IF($H471&lt;=16,"Regular",IF($H471&lt;=20,"Alerta","Crítico")))))</f>
        <v/>
      </c>
      <c r="J471" s="27"/>
      <c r="K471" s="27"/>
    </row>
    <row r="472" customFormat="false" ht="15" hidden="false" customHeight="false" outlineLevel="0" collapsed="false">
      <c r="A472" s="29"/>
      <c r="B472" s="40" t="n">
        <f aca="false">IF($A472="",0,INT(($A472-Macrociclo!$C$11)/7)+1)</f>
        <v>0</v>
      </c>
      <c r="C472" s="27"/>
      <c r="D472" s="28"/>
      <c r="E472" s="28"/>
      <c r="F472" s="28"/>
      <c r="G472" s="28"/>
      <c r="H472" s="40" t="n">
        <f aca="false">IF(COUNT($D472:$G472)&lt;4,0,SUM($D472:$G472))</f>
        <v>0</v>
      </c>
      <c r="I472" s="26" t="str">
        <f aca="false">IF($H472=0,"",IF($H472&lt;=8,"Ótimo",IF($H472&lt;=12,"Bom",IF($H472&lt;=16,"Regular",IF($H472&lt;=20,"Alerta","Crítico")))))</f>
        <v/>
      </c>
      <c r="J472" s="27"/>
      <c r="K472" s="27"/>
    </row>
    <row r="473" customFormat="false" ht="15" hidden="false" customHeight="false" outlineLevel="0" collapsed="false">
      <c r="A473" s="29"/>
      <c r="B473" s="40" t="n">
        <f aca="false">IF($A473="",0,INT(($A473-Macrociclo!$C$11)/7)+1)</f>
        <v>0</v>
      </c>
      <c r="C473" s="27"/>
      <c r="D473" s="28"/>
      <c r="E473" s="28"/>
      <c r="F473" s="28"/>
      <c r="G473" s="28"/>
      <c r="H473" s="40" t="n">
        <f aca="false">IF(COUNT($D473:$G473)&lt;4,0,SUM($D473:$G473))</f>
        <v>0</v>
      </c>
      <c r="I473" s="26" t="str">
        <f aca="false">IF($H473=0,"",IF($H473&lt;=8,"Ótimo",IF($H473&lt;=12,"Bom",IF($H473&lt;=16,"Regular",IF($H473&lt;=20,"Alerta","Crítico")))))</f>
        <v/>
      </c>
      <c r="J473" s="27"/>
      <c r="K473" s="27"/>
    </row>
    <row r="474" customFormat="false" ht="15" hidden="false" customHeight="false" outlineLevel="0" collapsed="false">
      <c r="A474" s="29"/>
      <c r="B474" s="40" t="n">
        <f aca="false">IF($A474="",0,INT(($A474-Macrociclo!$C$11)/7)+1)</f>
        <v>0</v>
      </c>
      <c r="C474" s="27"/>
      <c r="D474" s="28"/>
      <c r="E474" s="28"/>
      <c r="F474" s="28"/>
      <c r="G474" s="28"/>
      <c r="H474" s="40" t="n">
        <f aca="false">IF(COUNT($D474:$G474)&lt;4,0,SUM($D474:$G474))</f>
        <v>0</v>
      </c>
      <c r="I474" s="26" t="str">
        <f aca="false">IF($H474=0,"",IF($H474&lt;=8,"Ótimo",IF($H474&lt;=12,"Bom",IF($H474&lt;=16,"Regular",IF($H474&lt;=20,"Alerta","Crítico")))))</f>
        <v/>
      </c>
      <c r="J474" s="27"/>
      <c r="K474" s="27"/>
    </row>
    <row r="475" customFormat="false" ht="15" hidden="false" customHeight="false" outlineLevel="0" collapsed="false">
      <c r="A475" s="29"/>
      <c r="B475" s="40" t="n">
        <f aca="false">IF($A475="",0,INT(($A475-Macrociclo!$C$11)/7)+1)</f>
        <v>0</v>
      </c>
      <c r="C475" s="27"/>
      <c r="D475" s="28"/>
      <c r="E475" s="28"/>
      <c r="F475" s="28"/>
      <c r="G475" s="28"/>
      <c r="H475" s="40" t="n">
        <f aca="false">IF(COUNT($D475:$G475)&lt;4,0,SUM($D475:$G475))</f>
        <v>0</v>
      </c>
      <c r="I475" s="26" t="str">
        <f aca="false">IF($H475=0,"",IF($H475&lt;=8,"Ótimo",IF($H475&lt;=12,"Bom",IF($H475&lt;=16,"Regular",IF($H475&lt;=20,"Alerta","Crítico")))))</f>
        <v/>
      </c>
      <c r="J475" s="27"/>
      <c r="K475" s="27"/>
    </row>
    <row r="476" customFormat="false" ht="15" hidden="false" customHeight="false" outlineLevel="0" collapsed="false">
      <c r="A476" s="29"/>
      <c r="B476" s="40" t="n">
        <f aca="false">IF($A476="",0,INT(($A476-Macrociclo!$C$11)/7)+1)</f>
        <v>0</v>
      </c>
      <c r="C476" s="27"/>
      <c r="D476" s="28"/>
      <c r="E476" s="28"/>
      <c r="F476" s="28"/>
      <c r="G476" s="28"/>
      <c r="H476" s="40" t="n">
        <f aca="false">IF(COUNT($D476:$G476)&lt;4,0,SUM($D476:$G476))</f>
        <v>0</v>
      </c>
      <c r="I476" s="26" t="str">
        <f aca="false">IF($H476=0,"",IF($H476&lt;=8,"Ótimo",IF($H476&lt;=12,"Bom",IF($H476&lt;=16,"Regular",IF($H476&lt;=20,"Alerta","Crítico")))))</f>
        <v/>
      </c>
      <c r="J476" s="27"/>
      <c r="K476" s="27"/>
    </row>
    <row r="477" customFormat="false" ht="15" hidden="false" customHeight="false" outlineLevel="0" collapsed="false">
      <c r="A477" s="29"/>
      <c r="B477" s="40" t="n">
        <f aca="false">IF($A477="",0,INT(($A477-Macrociclo!$C$11)/7)+1)</f>
        <v>0</v>
      </c>
      <c r="C477" s="27"/>
      <c r="D477" s="28"/>
      <c r="E477" s="28"/>
      <c r="F477" s="28"/>
      <c r="G477" s="28"/>
      <c r="H477" s="40" t="n">
        <f aca="false">IF(COUNT($D477:$G477)&lt;4,0,SUM($D477:$G477))</f>
        <v>0</v>
      </c>
      <c r="I477" s="26" t="str">
        <f aca="false">IF($H477=0,"",IF($H477&lt;=8,"Ótimo",IF($H477&lt;=12,"Bom",IF($H477&lt;=16,"Regular",IF($H477&lt;=20,"Alerta","Crítico")))))</f>
        <v/>
      </c>
      <c r="J477" s="27"/>
      <c r="K477" s="27"/>
    </row>
    <row r="478" customFormat="false" ht="15" hidden="false" customHeight="false" outlineLevel="0" collapsed="false">
      <c r="A478" s="29"/>
      <c r="B478" s="40" t="n">
        <f aca="false">IF($A478="",0,INT(($A478-Macrociclo!$C$11)/7)+1)</f>
        <v>0</v>
      </c>
      <c r="C478" s="27"/>
      <c r="D478" s="28"/>
      <c r="E478" s="28"/>
      <c r="F478" s="28"/>
      <c r="G478" s="28"/>
      <c r="H478" s="40" t="n">
        <f aca="false">IF(COUNT($D478:$G478)&lt;4,0,SUM($D478:$G478))</f>
        <v>0</v>
      </c>
      <c r="I478" s="26" t="str">
        <f aca="false">IF($H478=0,"",IF($H478&lt;=8,"Ótimo",IF($H478&lt;=12,"Bom",IF($H478&lt;=16,"Regular",IF($H478&lt;=20,"Alerta","Crítico")))))</f>
        <v/>
      </c>
      <c r="J478" s="27"/>
      <c r="K478" s="27"/>
    </row>
    <row r="479" customFormat="false" ht="15" hidden="false" customHeight="false" outlineLevel="0" collapsed="false">
      <c r="A479" s="29"/>
      <c r="B479" s="40" t="n">
        <f aca="false">IF($A479="",0,INT(($A479-Macrociclo!$C$11)/7)+1)</f>
        <v>0</v>
      </c>
      <c r="C479" s="27"/>
      <c r="D479" s="28"/>
      <c r="E479" s="28"/>
      <c r="F479" s="28"/>
      <c r="G479" s="28"/>
      <c r="H479" s="40" t="n">
        <f aca="false">IF(COUNT($D479:$G479)&lt;4,0,SUM($D479:$G479))</f>
        <v>0</v>
      </c>
      <c r="I479" s="26" t="str">
        <f aca="false">IF($H479=0,"",IF($H479&lt;=8,"Ótimo",IF($H479&lt;=12,"Bom",IF($H479&lt;=16,"Regular",IF($H479&lt;=20,"Alerta","Crítico")))))</f>
        <v/>
      </c>
      <c r="J479" s="27"/>
      <c r="K479" s="27"/>
    </row>
    <row r="480" customFormat="false" ht="15" hidden="false" customHeight="false" outlineLevel="0" collapsed="false">
      <c r="A480" s="29"/>
      <c r="B480" s="40" t="n">
        <f aca="false">IF($A480="",0,INT(($A480-Macrociclo!$C$11)/7)+1)</f>
        <v>0</v>
      </c>
      <c r="C480" s="27"/>
      <c r="D480" s="28"/>
      <c r="E480" s="28"/>
      <c r="F480" s="28"/>
      <c r="G480" s="28"/>
      <c r="H480" s="40" t="n">
        <f aca="false">IF(COUNT($D480:$G480)&lt;4,0,SUM($D480:$G480))</f>
        <v>0</v>
      </c>
      <c r="I480" s="26" t="str">
        <f aca="false">IF($H480=0,"",IF($H480&lt;=8,"Ótimo",IF($H480&lt;=12,"Bom",IF($H480&lt;=16,"Regular",IF($H480&lt;=20,"Alerta","Crítico")))))</f>
        <v/>
      </c>
      <c r="J480" s="27"/>
      <c r="K480" s="27"/>
    </row>
    <row r="481" customFormat="false" ht="15" hidden="false" customHeight="false" outlineLevel="0" collapsed="false">
      <c r="A481" s="29"/>
      <c r="B481" s="40" t="n">
        <f aca="false">IF($A481="",0,INT(($A481-Macrociclo!$C$11)/7)+1)</f>
        <v>0</v>
      </c>
      <c r="C481" s="27"/>
      <c r="D481" s="28"/>
      <c r="E481" s="28"/>
      <c r="F481" s="28"/>
      <c r="G481" s="28"/>
      <c r="H481" s="40" t="n">
        <f aca="false">IF(COUNT($D481:$G481)&lt;4,0,SUM($D481:$G481))</f>
        <v>0</v>
      </c>
      <c r="I481" s="26" t="str">
        <f aca="false">IF($H481=0,"",IF($H481&lt;=8,"Ótimo",IF($H481&lt;=12,"Bom",IF($H481&lt;=16,"Regular",IF($H481&lt;=20,"Alerta","Crítico")))))</f>
        <v/>
      </c>
      <c r="J481" s="27"/>
      <c r="K481" s="27"/>
    </row>
    <row r="482" customFormat="false" ht="15" hidden="false" customHeight="false" outlineLevel="0" collapsed="false">
      <c r="A482" s="29"/>
      <c r="B482" s="40" t="n">
        <f aca="false">IF($A482="",0,INT(($A482-Macrociclo!$C$11)/7)+1)</f>
        <v>0</v>
      </c>
      <c r="C482" s="27"/>
      <c r="D482" s="28"/>
      <c r="E482" s="28"/>
      <c r="F482" s="28"/>
      <c r="G482" s="28"/>
      <c r="H482" s="40" t="n">
        <f aca="false">IF(COUNT($D482:$G482)&lt;4,0,SUM($D482:$G482))</f>
        <v>0</v>
      </c>
      <c r="I482" s="26" t="str">
        <f aca="false">IF($H482=0,"",IF($H482&lt;=8,"Ótimo",IF($H482&lt;=12,"Bom",IF($H482&lt;=16,"Regular",IF($H482&lt;=20,"Alerta","Crítico")))))</f>
        <v/>
      </c>
      <c r="J482" s="27"/>
      <c r="K482" s="27"/>
    </row>
    <row r="483" customFormat="false" ht="15" hidden="false" customHeight="false" outlineLevel="0" collapsed="false">
      <c r="A483" s="29"/>
      <c r="B483" s="40" t="n">
        <f aca="false">IF($A483="",0,INT(($A483-Macrociclo!$C$11)/7)+1)</f>
        <v>0</v>
      </c>
      <c r="C483" s="27"/>
      <c r="D483" s="28"/>
      <c r="E483" s="28"/>
      <c r="F483" s="28"/>
      <c r="G483" s="28"/>
      <c r="H483" s="40" t="n">
        <f aca="false">IF(COUNT($D483:$G483)&lt;4,0,SUM($D483:$G483))</f>
        <v>0</v>
      </c>
      <c r="I483" s="26" t="str">
        <f aca="false">IF($H483=0,"",IF($H483&lt;=8,"Ótimo",IF($H483&lt;=12,"Bom",IF($H483&lt;=16,"Regular",IF($H483&lt;=20,"Alerta","Crítico")))))</f>
        <v/>
      </c>
      <c r="J483" s="27"/>
      <c r="K483" s="27"/>
    </row>
    <row r="484" customFormat="false" ht="15" hidden="false" customHeight="false" outlineLevel="0" collapsed="false">
      <c r="A484" s="29"/>
      <c r="B484" s="40" t="n">
        <f aca="false">IF($A484="",0,INT(($A484-Macrociclo!$C$11)/7)+1)</f>
        <v>0</v>
      </c>
      <c r="C484" s="27"/>
      <c r="D484" s="28"/>
      <c r="E484" s="28"/>
      <c r="F484" s="28"/>
      <c r="G484" s="28"/>
      <c r="H484" s="40" t="n">
        <f aca="false">IF(COUNT($D484:$G484)&lt;4,0,SUM($D484:$G484))</f>
        <v>0</v>
      </c>
      <c r="I484" s="26" t="str">
        <f aca="false">IF($H484=0,"",IF($H484&lt;=8,"Ótimo",IF($H484&lt;=12,"Bom",IF($H484&lt;=16,"Regular",IF($H484&lt;=20,"Alerta","Crítico")))))</f>
        <v/>
      </c>
      <c r="J484" s="27"/>
      <c r="K484" s="27"/>
    </row>
    <row r="485" customFormat="false" ht="15" hidden="false" customHeight="false" outlineLevel="0" collapsed="false">
      <c r="A485" s="29"/>
      <c r="B485" s="40" t="n">
        <f aca="false">IF($A485="",0,INT(($A485-Macrociclo!$C$11)/7)+1)</f>
        <v>0</v>
      </c>
      <c r="C485" s="27"/>
      <c r="D485" s="28"/>
      <c r="E485" s="28"/>
      <c r="F485" s="28"/>
      <c r="G485" s="28"/>
      <c r="H485" s="40" t="n">
        <f aca="false">IF(COUNT($D485:$G485)&lt;4,0,SUM($D485:$G485))</f>
        <v>0</v>
      </c>
      <c r="I485" s="26" t="str">
        <f aca="false">IF($H485=0,"",IF($H485&lt;=8,"Ótimo",IF($H485&lt;=12,"Bom",IF($H485&lt;=16,"Regular",IF($H485&lt;=20,"Alerta","Crítico")))))</f>
        <v/>
      </c>
      <c r="J485" s="27"/>
      <c r="K485" s="27"/>
    </row>
    <row r="486" customFormat="false" ht="15" hidden="false" customHeight="false" outlineLevel="0" collapsed="false">
      <c r="A486" s="29"/>
      <c r="B486" s="40" t="n">
        <f aca="false">IF($A486="",0,INT(($A486-Macrociclo!$C$11)/7)+1)</f>
        <v>0</v>
      </c>
      <c r="C486" s="27"/>
      <c r="D486" s="28"/>
      <c r="E486" s="28"/>
      <c r="F486" s="28"/>
      <c r="G486" s="28"/>
      <c r="H486" s="40" t="n">
        <f aca="false">IF(COUNT($D486:$G486)&lt;4,0,SUM($D486:$G486))</f>
        <v>0</v>
      </c>
      <c r="I486" s="26" t="str">
        <f aca="false">IF($H486=0,"",IF($H486&lt;=8,"Ótimo",IF($H486&lt;=12,"Bom",IF($H486&lt;=16,"Regular",IF($H486&lt;=20,"Alerta","Crítico")))))</f>
        <v/>
      </c>
      <c r="J486" s="27"/>
      <c r="K486" s="27"/>
    </row>
    <row r="487" customFormat="false" ht="15" hidden="false" customHeight="false" outlineLevel="0" collapsed="false">
      <c r="A487" s="29"/>
      <c r="B487" s="40" t="n">
        <f aca="false">IF($A487="",0,INT(($A487-Macrociclo!$C$11)/7)+1)</f>
        <v>0</v>
      </c>
      <c r="C487" s="27"/>
      <c r="D487" s="28"/>
      <c r="E487" s="28"/>
      <c r="F487" s="28"/>
      <c r="G487" s="28"/>
      <c r="H487" s="40" t="n">
        <f aca="false">IF(COUNT($D487:$G487)&lt;4,0,SUM($D487:$G487))</f>
        <v>0</v>
      </c>
      <c r="I487" s="26" t="str">
        <f aca="false">IF($H487=0,"",IF($H487&lt;=8,"Ótimo",IF($H487&lt;=12,"Bom",IF($H487&lt;=16,"Regular",IF($H487&lt;=20,"Alerta","Crítico")))))</f>
        <v/>
      </c>
      <c r="J487" s="27"/>
      <c r="K487" s="27"/>
    </row>
    <row r="488" customFormat="false" ht="15" hidden="false" customHeight="false" outlineLevel="0" collapsed="false">
      <c r="A488" s="29"/>
      <c r="B488" s="40" t="n">
        <f aca="false">IF($A488="",0,INT(($A488-Macrociclo!$C$11)/7)+1)</f>
        <v>0</v>
      </c>
      <c r="C488" s="27"/>
      <c r="D488" s="28"/>
      <c r="E488" s="28"/>
      <c r="F488" s="28"/>
      <c r="G488" s="28"/>
      <c r="H488" s="40" t="n">
        <f aca="false">IF(COUNT($D488:$G488)&lt;4,0,SUM($D488:$G488))</f>
        <v>0</v>
      </c>
      <c r="I488" s="26" t="str">
        <f aca="false">IF($H488=0,"",IF($H488&lt;=8,"Ótimo",IF($H488&lt;=12,"Bom",IF($H488&lt;=16,"Regular",IF($H488&lt;=20,"Alerta","Crítico")))))</f>
        <v/>
      </c>
      <c r="J488" s="27"/>
      <c r="K488" s="27"/>
    </row>
    <row r="489" customFormat="false" ht="15" hidden="false" customHeight="false" outlineLevel="0" collapsed="false">
      <c r="A489" s="29"/>
      <c r="B489" s="40" t="n">
        <f aca="false">IF($A489="",0,INT(($A489-Macrociclo!$C$11)/7)+1)</f>
        <v>0</v>
      </c>
      <c r="C489" s="27"/>
      <c r="D489" s="28"/>
      <c r="E489" s="28"/>
      <c r="F489" s="28"/>
      <c r="G489" s="28"/>
      <c r="H489" s="40" t="n">
        <f aca="false">IF(COUNT($D489:$G489)&lt;4,0,SUM($D489:$G489))</f>
        <v>0</v>
      </c>
      <c r="I489" s="26" t="str">
        <f aca="false">IF($H489=0,"",IF($H489&lt;=8,"Ótimo",IF($H489&lt;=12,"Bom",IF($H489&lt;=16,"Regular",IF($H489&lt;=20,"Alerta","Crítico")))))</f>
        <v/>
      </c>
      <c r="J489" s="27"/>
      <c r="K489" s="27"/>
    </row>
    <row r="490" customFormat="false" ht="15" hidden="false" customHeight="false" outlineLevel="0" collapsed="false">
      <c r="A490" s="29"/>
      <c r="B490" s="40" t="n">
        <f aca="false">IF($A490="",0,INT(($A490-Macrociclo!$C$11)/7)+1)</f>
        <v>0</v>
      </c>
      <c r="C490" s="27"/>
      <c r="D490" s="28"/>
      <c r="E490" s="28"/>
      <c r="F490" s="28"/>
      <c r="G490" s="28"/>
      <c r="H490" s="40" t="n">
        <f aca="false">IF(COUNT($D490:$G490)&lt;4,0,SUM($D490:$G490))</f>
        <v>0</v>
      </c>
      <c r="I490" s="26" t="str">
        <f aca="false">IF($H490=0,"",IF($H490&lt;=8,"Ótimo",IF($H490&lt;=12,"Bom",IF($H490&lt;=16,"Regular",IF($H490&lt;=20,"Alerta","Crítico")))))</f>
        <v/>
      </c>
      <c r="J490" s="27"/>
      <c r="K490" s="27"/>
    </row>
    <row r="491" customFormat="false" ht="15" hidden="false" customHeight="false" outlineLevel="0" collapsed="false">
      <c r="A491" s="29"/>
      <c r="B491" s="40" t="n">
        <f aca="false">IF($A491="",0,INT(($A491-Macrociclo!$C$11)/7)+1)</f>
        <v>0</v>
      </c>
      <c r="C491" s="27"/>
      <c r="D491" s="28"/>
      <c r="E491" s="28"/>
      <c r="F491" s="28"/>
      <c r="G491" s="28"/>
      <c r="H491" s="40" t="n">
        <f aca="false">IF(COUNT($D491:$G491)&lt;4,0,SUM($D491:$G491))</f>
        <v>0</v>
      </c>
      <c r="I491" s="26" t="str">
        <f aca="false">IF($H491=0,"",IF($H491&lt;=8,"Ótimo",IF($H491&lt;=12,"Bom",IF($H491&lt;=16,"Regular",IF($H491&lt;=20,"Alerta","Crítico")))))</f>
        <v/>
      </c>
      <c r="J491" s="27"/>
      <c r="K491" s="27"/>
    </row>
    <row r="492" customFormat="false" ht="15" hidden="false" customHeight="false" outlineLevel="0" collapsed="false">
      <c r="A492" s="29"/>
      <c r="B492" s="40" t="n">
        <f aca="false">IF($A492="",0,INT(($A492-Macrociclo!$C$11)/7)+1)</f>
        <v>0</v>
      </c>
      <c r="C492" s="27"/>
      <c r="D492" s="28"/>
      <c r="E492" s="28"/>
      <c r="F492" s="28"/>
      <c r="G492" s="28"/>
      <c r="H492" s="40" t="n">
        <f aca="false">IF(COUNT($D492:$G492)&lt;4,0,SUM($D492:$G492))</f>
        <v>0</v>
      </c>
      <c r="I492" s="26" t="str">
        <f aca="false">IF($H492=0,"",IF($H492&lt;=8,"Ótimo",IF($H492&lt;=12,"Bom",IF($H492&lt;=16,"Regular",IF($H492&lt;=20,"Alerta","Crítico")))))</f>
        <v/>
      </c>
      <c r="J492" s="27"/>
      <c r="K492" s="27"/>
    </row>
    <row r="493" customFormat="false" ht="15" hidden="false" customHeight="false" outlineLevel="0" collapsed="false">
      <c r="A493" s="29"/>
      <c r="B493" s="40" t="n">
        <f aca="false">IF($A493="",0,INT(($A493-Macrociclo!$C$11)/7)+1)</f>
        <v>0</v>
      </c>
      <c r="C493" s="27"/>
      <c r="D493" s="28"/>
      <c r="E493" s="28"/>
      <c r="F493" s="28"/>
      <c r="G493" s="28"/>
      <c r="H493" s="40" t="n">
        <f aca="false">IF(COUNT($D493:$G493)&lt;4,0,SUM($D493:$G493))</f>
        <v>0</v>
      </c>
      <c r="I493" s="26" t="str">
        <f aca="false">IF($H493=0,"",IF($H493&lt;=8,"Ótimo",IF($H493&lt;=12,"Bom",IF($H493&lt;=16,"Regular",IF($H493&lt;=20,"Alerta","Crítico")))))</f>
        <v/>
      </c>
      <c r="J493" s="27"/>
      <c r="K493" s="27"/>
    </row>
    <row r="494" customFormat="false" ht="15" hidden="false" customHeight="false" outlineLevel="0" collapsed="false">
      <c r="A494" s="29"/>
      <c r="B494" s="40" t="n">
        <f aca="false">IF($A494="",0,INT(($A494-Macrociclo!$C$11)/7)+1)</f>
        <v>0</v>
      </c>
      <c r="C494" s="27"/>
      <c r="D494" s="28"/>
      <c r="E494" s="28"/>
      <c r="F494" s="28"/>
      <c r="G494" s="28"/>
      <c r="H494" s="40" t="n">
        <f aca="false">IF(COUNT($D494:$G494)&lt;4,0,SUM($D494:$G494))</f>
        <v>0</v>
      </c>
      <c r="I494" s="26" t="str">
        <f aca="false">IF($H494=0,"",IF($H494&lt;=8,"Ótimo",IF($H494&lt;=12,"Bom",IF($H494&lt;=16,"Regular",IF($H494&lt;=20,"Alerta","Crítico")))))</f>
        <v/>
      </c>
      <c r="J494" s="27"/>
      <c r="K494" s="27"/>
    </row>
    <row r="495" customFormat="false" ht="15" hidden="false" customHeight="false" outlineLevel="0" collapsed="false">
      <c r="A495" s="29"/>
      <c r="B495" s="40" t="n">
        <f aca="false">IF($A495="",0,INT(($A495-Macrociclo!$C$11)/7)+1)</f>
        <v>0</v>
      </c>
      <c r="C495" s="27"/>
      <c r="D495" s="28"/>
      <c r="E495" s="28"/>
      <c r="F495" s="28"/>
      <c r="G495" s="28"/>
      <c r="H495" s="40" t="n">
        <f aca="false">IF(COUNT($D495:$G495)&lt;4,0,SUM($D495:$G495))</f>
        <v>0</v>
      </c>
      <c r="I495" s="26" t="str">
        <f aca="false">IF($H495=0,"",IF($H495&lt;=8,"Ótimo",IF($H495&lt;=12,"Bom",IF($H495&lt;=16,"Regular",IF($H495&lt;=20,"Alerta","Crítico")))))</f>
        <v/>
      </c>
      <c r="J495" s="27"/>
      <c r="K495" s="27"/>
    </row>
    <row r="496" customFormat="false" ht="15" hidden="false" customHeight="false" outlineLevel="0" collapsed="false">
      <c r="A496" s="29"/>
      <c r="B496" s="40" t="n">
        <f aca="false">IF($A496="",0,INT(($A496-Macrociclo!$C$11)/7)+1)</f>
        <v>0</v>
      </c>
      <c r="C496" s="27"/>
      <c r="D496" s="28"/>
      <c r="E496" s="28"/>
      <c r="F496" s="28"/>
      <c r="G496" s="28"/>
      <c r="H496" s="40" t="n">
        <f aca="false">IF(COUNT($D496:$G496)&lt;4,0,SUM($D496:$G496))</f>
        <v>0</v>
      </c>
      <c r="I496" s="26" t="str">
        <f aca="false">IF($H496=0,"",IF($H496&lt;=8,"Ótimo",IF($H496&lt;=12,"Bom",IF($H496&lt;=16,"Regular",IF($H496&lt;=20,"Alerta","Crítico")))))</f>
        <v/>
      </c>
      <c r="J496" s="27"/>
      <c r="K496" s="27"/>
    </row>
    <row r="497" customFormat="false" ht="15" hidden="false" customHeight="false" outlineLevel="0" collapsed="false">
      <c r="A497" s="29"/>
      <c r="B497" s="40" t="n">
        <f aca="false">IF($A497="",0,INT(($A497-Macrociclo!$C$11)/7)+1)</f>
        <v>0</v>
      </c>
      <c r="C497" s="27"/>
      <c r="D497" s="28"/>
      <c r="E497" s="28"/>
      <c r="F497" s="28"/>
      <c r="G497" s="28"/>
      <c r="H497" s="40" t="n">
        <f aca="false">IF(COUNT($D497:$G497)&lt;4,0,SUM($D497:$G497))</f>
        <v>0</v>
      </c>
      <c r="I497" s="26" t="str">
        <f aca="false">IF($H497=0,"",IF($H497&lt;=8,"Ótimo",IF($H497&lt;=12,"Bom",IF($H497&lt;=16,"Regular",IF($H497&lt;=20,"Alerta","Crítico")))))</f>
        <v/>
      </c>
      <c r="J497" s="27"/>
      <c r="K497" s="27"/>
    </row>
    <row r="498" customFormat="false" ht="15" hidden="false" customHeight="false" outlineLevel="0" collapsed="false">
      <c r="A498" s="29"/>
      <c r="B498" s="40" t="n">
        <f aca="false">IF($A498="",0,INT(($A498-Macrociclo!$C$11)/7)+1)</f>
        <v>0</v>
      </c>
      <c r="C498" s="27"/>
      <c r="D498" s="28"/>
      <c r="E498" s="28"/>
      <c r="F498" s="28"/>
      <c r="G498" s="28"/>
      <c r="H498" s="40" t="n">
        <f aca="false">IF(COUNT($D498:$G498)&lt;4,0,SUM($D498:$G498))</f>
        <v>0</v>
      </c>
      <c r="I498" s="26" t="str">
        <f aca="false">IF($H498=0,"",IF($H498&lt;=8,"Ótimo",IF($H498&lt;=12,"Bom",IF($H498&lt;=16,"Regular",IF($H498&lt;=20,"Alerta","Crítico")))))</f>
        <v/>
      </c>
      <c r="J498" s="27"/>
      <c r="K498" s="27"/>
    </row>
    <row r="499" customFormat="false" ht="15" hidden="false" customHeight="false" outlineLevel="0" collapsed="false">
      <c r="A499" s="29"/>
      <c r="B499" s="40" t="n">
        <f aca="false">IF($A499="",0,INT(($A499-Macrociclo!$C$11)/7)+1)</f>
        <v>0</v>
      </c>
      <c r="C499" s="27"/>
      <c r="D499" s="28"/>
      <c r="E499" s="28"/>
      <c r="F499" s="28"/>
      <c r="G499" s="28"/>
      <c r="H499" s="40" t="n">
        <f aca="false">IF(COUNT($D499:$G499)&lt;4,0,SUM($D499:$G499))</f>
        <v>0</v>
      </c>
      <c r="I499" s="26" t="str">
        <f aca="false">IF($H499=0,"",IF($H499&lt;=8,"Ótimo",IF($H499&lt;=12,"Bom",IF($H499&lt;=16,"Regular",IF($H499&lt;=20,"Alerta","Crítico")))))</f>
        <v/>
      </c>
      <c r="J499" s="27"/>
      <c r="K499" s="27"/>
    </row>
    <row r="500" customFormat="false" ht="15" hidden="false" customHeight="false" outlineLevel="0" collapsed="false">
      <c r="A500" s="29"/>
      <c r="B500" s="40" t="n">
        <f aca="false">IF($A500="",0,INT(($A500-Macrociclo!$C$11)/7)+1)</f>
        <v>0</v>
      </c>
      <c r="C500" s="27"/>
      <c r="D500" s="28"/>
      <c r="E500" s="28"/>
      <c r="F500" s="28"/>
      <c r="G500" s="28"/>
      <c r="H500" s="40" t="n">
        <f aca="false">IF(COUNT($D500:$G500)&lt;4,0,SUM($D500:$G500))</f>
        <v>0</v>
      </c>
      <c r="I500" s="26" t="str">
        <f aca="false">IF($H500=0,"",IF($H500&lt;=8,"Ótimo",IF($H500&lt;=12,"Bom",IF($H500&lt;=16,"Regular",IF($H500&lt;=20,"Alerta","Crítico")))))</f>
        <v/>
      </c>
      <c r="J500" s="27"/>
      <c r="K500" s="27"/>
    </row>
    <row r="501" customFormat="false" ht="15" hidden="false" customHeight="false" outlineLevel="0" collapsed="false">
      <c r="A501" s="29"/>
      <c r="B501" s="40" t="n">
        <f aca="false">IF($A501="",0,INT(($A501-Macrociclo!$C$11)/7)+1)</f>
        <v>0</v>
      </c>
      <c r="C501" s="27"/>
      <c r="D501" s="28"/>
      <c r="E501" s="28"/>
      <c r="F501" s="28"/>
      <c r="G501" s="28"/>
      <c r="H501" s="40" t="n">
        <f aca="false">IF(COUNT($D501:$G501)&lt;4,0,SUM($D501:$G501))</f>
        <v>0</v>
      </c>
      <c r="I501" s="26" t="str">
        <f aca="false">IF($H501=0,"",IF($H501&lt;=8,"Ótimo",IF($H501&lt;=12,"Bom",IF($H501&lt;=16,"Regular",IF($H501&lt;=20,"Alerta","Crítico")))))</f>
        <v/>
      </c>
      <c r="J501" s="27"/>
      <c r="K501" s="27"/>
    </row>
    <row r="502" customFormat="false" ht="15" hidden="false" customHeight="false" outlineLevel="0" collapsed="false">
      <c r="A502" s="29"/>
      <c r="B502" s="40" t="n">
        <f aca="false">IF($A502="",0,INT(($A502-Macrociclo!$C$11)/7)+1)</f>
        <v>0</v>
      </c>
      <c r="C502" s="27"/>
      <c r="D502" s="28"/>
      <c r="E502" s="28"/>
      <c r="F502" s="28"/>
      <c r="G502" s="28"/>
      <c r="H502" s="40" t="n">
        <f aca="false">IF(COUNT($D502:$G502)&lt;4,0,SUM($D502:$G502))</f>
        <v>0</v>
      </c>
      <c r="I502" s="26" t="str">
        <f aca="false">IF($H502=0,"",IF($H502&lt;=8,"Ótimo",IF($H502&lt;=12,"Bom",IF($H502&lt;=16,"Regular",IF($H502&lt;=20,"Alerta","Crítico")))))</f>
        <v/>
      </c>
      <c r="J502" s="27"/>
      <c r="K502" s="27"/>
    </row>
    <row r="503" customFormat="false" ht="15" hidden="false" customHeight="false" outlineLevel="0" collapsed="false">
      <c r="A503" s="29"/>
      <c r="B503" s="40" t="n">
        <f aca="false">IF($A503="",0,INT(($A503-Macrociclo!$C$11)/7)+1)</f>
        <v>0</v>
      </c>
      <c r="C503" s="27"/>
      <c r="D503" s="28"/>
      <c r="E503" s="28"/>
      <c r="F503" s="28"/>
      <c r="G503" s="28"/>
      <c r="H503" s="40" t="n">
        <f aca="false">IF(COUNT($D503:$G503)&lt;4,0,SUM($D503:$G503))</f>
        <v>0</v>
      </c>
      <c r="I503" s="26" t="str">
        <f aca="false">IF($H503=0,"",IF($H503&lt;=8,"Ótimo",IF($H503&lt;=12,"Bom",IF($H503&lt;=16,"Regular",IF($H503&lt;=20,"Alerta","Crítico")))))</f>
        <v/>
      </c>
      <c r="J503" s="27"/>
      <c r="K503" s="27"/>
    </row>
    <row r="504" customFormat="false" ht="15" hidden="false" customHeight="false" outlineLevel="0" collapsed="false">
      <c r="A504" s="29"/>
      <c r="B504" s="40" t="n">
        <f aca="false">IF($A504="",0,INT(($A504-Macrociclo!$C$11)/7)+1)</f>
        <v>0</v>
      </c>
      <c r="C504" s="27"/>
      <c r="D504" s="28"/>
      <c r="E504" s="28"/>
      <c r="F504" s="28"/>
      <c r="G504" s="28"/>
      <c r="H504" s="40" t="n">
        <f aca="false">IF(COUNT($D504:$G504)&lt;4,0,SUM($D504:$G504))</f>
        <v>0</v>
      </c>
      <c r="I504" s="26" t="str">
        <f aca="false">IF($H504=0,"",IF($H504&lt;=8,"Ótimo",IF($H504&lt;=12,"Bom",IF($H504&lt;=16,"Regular",IF($H504&lt;=20,"Alerta","Crítico")))))</f>
        <v/>
      </c>
      <c r="J504" s="27"/>
      <c r="K504" s="27"/>
    </row>
    <row r="505" customFormat="false" ht="15" hidden="false" customHeight="false" outlineLevel="0" collapsed="false">
      <c r="A505" s="29"/>
      <c r="B505" s="40" t="n">
        <f aca="false">IF($A505="",0,INT(($A505-Macrociclo!$C$11)/7)+1)</f>
        <v>0</v>
      </c>
      <c r="C505" s="27"/>
      <c r="D505" s="28"/>
      <c r="E505" s="28"/>
      <c r="F505" s="28"/>
      <c r="G505" s="28"/>
      <c r="H505" s="40" t="n">
        <f aca="false">IF(COUNT($D505:$G505)&lt;4,0,SUM($D505:$G505))</f>
        <v>0</v>
      </c>
      <c r="I505" s="26" t="str">
        <f aca="false">IF($H505=0,"",IF($H505&lt;=8,"Ótimo",IF($H505&lt;=12,"Bom",IF($H505&lt;=16,"Regular",IF($H505&lt;=20,"Alerta","Crítico")))))</f>
        <v/>
      </c>
      <c r="J505" s="27"/>
      <c r="K505" s="27"/>
    </row>
    <row r="506" customFormat="false" ht="15" hidden="false" customHeight="false" outlineLevel="0" collapsed="false">
      <c r="A506" s="29"/>
      <c r="B506" s="40" t="n">
        <f aca="false">IF($A506="",0,INT(($A506-Macrociclo!$C$11)/7)+1)</f>
        <v>0</v>
      </c>
      <c r="C506" s="27"/>
      <c r="D506" s="28"/>
      <c r="E506" s="28"/>
      <c r="F506" s="28"/>
      <c r="G506" s="28"/>
      <c r="H506" s="40" t="n">
        <f aca="false">IF(COUNT($D506:$G506)&lt;4,0,SUM($D506:$G506))</f>
        <v>0</v>
      </c>
      <c r="I506" s="26" t="str">
        <f aca="false">IF($H506=0,"",IF($H506&lt;=8,"Ótimo",IF($H506&lt;=12,"Bom",IF($H506&lt;=16,"Regular",IF($H506&lt;=20,"Alerta","Crítico")))))</f>
        <v/>
      </c>
      <c r="J506" s="27"/>
      <c r="K506" s="27"/>
    </row>
    <row r="507" customFormat="false" ht="15" hidden="false" customHeight="false" outlineLevel="0" collapsed="false">
      <c r="A507" s="29"/>
      <c r="B507" s="40" t="n">
        <f aca="false">IF($A507="",0,INT(($A507-Macrociclo!$C$11)/7)+1)</f>
        <v>0</v>
      </c>
      <c r="C507" s="27"/>
      <c r="D507" s="28"/>
      <c r="E507" s="28"/>
      <c r="F507" s="28"/>
      <c r="G507" s="28"/>
      <c r="H507" s="40" t="n">
        <f aca="false">IF(COUNT($D507:$G507)&lt;4,0,SUM($D507:$G507))</f>
        <v>0</v>
      </c>
      <c r="I507" s="26" t="str">
        <f aca="false">IF($H507=0,"",IF($H507&lt;=8,"Ótimo",IF($H507&lt;=12,"Bom",IF($H507&lt;=16,"Regular",IF($H507&lt;=20,"Alerta","Crítico")))))</f>
        <v/>
      </c>
      <c r="J507" s="27"/>
      <c r="K507" s="27"/>
    </row>
    <row r="508" customFormat="false" ht="15" hidden="false" customHeight="false" outlineLevel="0" collapsed="false">
      <c r="A508" s="29"/>
      <c r="B508" s="40" t="n">
        <f aca="false">IF($A508="",0,INT(($A508-Macrociclo!$C$11)/7)+1)</f>
        <v>0</v>
      </c>
      <c r="C508" s="27"/>
      <c r="D508" s="28"/>
      <c r="E508" s="28"/>
      <c r="F508" s="28"/>
      <c r="G508" s="28"/>
      <c r="H508" s="40" t="n">
        <f aca="false">IF(COUNT($D508:$G508)&lt;4,0,SUM($D508:$G508))</f>
        <v>0</v>
      </c>
      <c r="I508" s="26" t="str">
        <f aca="false">IF($H508=0,"",IF($H508&lt;=8,"Ótimo",IF($H508&lt;=12,"Bom",IF($H508&lt;=16,"Regular",IF($H508&lt;=20,"Alerta","Crítico")))))</f>
        <v/>
      </c>
      <c r="J508" s="27"/>
      <c r="K508" s="27"/>
    </row>
    <row r="509" customFormat="false" ht="15" hidden="false" customHeight="false" outlineLevel="0" collapsed="false">
      <c r="A509" s="29"/>
      <c r="B509" s="40" t="n">
        <f aca="false">IF($A509="",0,INT(($A509-Macrociclo!$C$11)/7)+1)</f>
        <v>0</v>
      </c>
      <c r="C509" s="27"/>
      <c r="D509" s="28"/>
      <c r="E509" s="28"/>
      <c r="F509" s="28"/>
      <c r="G509" s="28"/>
      <c r="H509" s="40" t="n">
        <f aca="false">IF(COUNT($D509:$G509)&lt;4,0,SUM($D509:$G509))</f>
        <v>0</v>
      </c>
      <c r="I509" s="26" t="str">
        <f aca="false">IF($H509=0,"",IF($H509&lt;=8,"Ótimo",IF($H509&lt;=12,"Bom",IF($H509&lt;=16,"Regular",IF($H509&lt;=20,"Alerta","Crítico")))))</f>
        <v/>
      </c>
      <c r="J509" s="27"/>
      <c r="K509" s="27"/>
    </row>
    <row r="510" customFormat="false" ht="15" hidden="false" customHeight="false" outlineLevel="0" collapsed="false">
      <c r="A510" s="29"/>
      <c r="B510" s="40" t="n">
        <f aca="false">IF($A510="",0,INT(($A510-Macrociclo!$C$11)/7)+1)</f>
        <v>0</v>
      </c>
      <c r="C510" s="27"/>
      <c r="D510" s="28"/>
      <c r="E510" s="28"/>
      <c r="F510" s="28"/>
      <c r="G510" s="28"/>
      <c r="H510" s="40" t="n">
        <f aca="false">IF(COUNT($D510:$G510)&lt;4,0,SUM($D510:$G510))</f>
        <v>0</v>
      </c>
      <c r="I510" s="26" t="str">
        <f aca="false">IF($H510=0,"",IF($H510&lt;=8,"Ótimo",IF($H510&lt;=12,"Bom",IF($H510&lt;=16,"Regular",IF($H510&lt;=20,"Alerta","Crítico")))))</f>
        <v/>
      </c>
      <c r="J510" s="27"/>
      <c r="K510" s="27"/>
    </row>
    <row r="511" customFormat="false" ht="15" hidden="false" customHeight="false" outlineLevel="0" collapsed="false">
      <c r="A511" s="29"/>
      <c r="B511" s="40" t="n">
        <f aca="false">IF($A511="",0,INT(($A511-Macrociclo!$C$11)/7)+1)</f>
        <v>0</v>
      </c>
      <c r="C511" s="27"/>
      <c r="D511" s="28"/>
      <c r="E511" s="28"/>
      <c r="F511" s="28"/>
      <c r="G511" s="28"/>
      <c r="H511" s="40" t="n">
        <f aca="false">IF(COUNT($D511:$G511)&lt;4,0,SUM($D511:$G511))</f>
        <v>0</v>
      </c>
      <c r="I511" s="26" t="str">
        <f aca="false">IF($H511=0,"",IF($H511&lt;=8,"Ótimo",IF($H511&lt;=12,"Bom",IF($H511&lt;=16,"Regular",IF($H511&lt;=20,"Alerta","Crítico")))))</f>
        <v/>
      </c>
      <c r="J511" s="27"/>
      <c r="K511" s="27"/>
    </row>
    <row r="512" customFormat="false" ht="15" hidden="false" customHeight="false" outlineLevel="0" collapsed="false">
      <c r="A512" s="29"/>
      <c r="B512" s="40" t="n">
        <f aca="false">IF($A512="",0,INT(($A512-Macrociclo!$C$11)/7)+1)</f>
        <v>0</v>
      </c>
      <c r="C512" s="27"/>
      <c r="D512" s="28"/>
      <c r="E512" s="28"/>
      <c r="F512" s="28"/>
      <c r="G512" s="28"/>
      <c r="H512" s="40" t="n">
        <f aca="false">IF(COUNT($D512:$G512)&lt;4,0,SUM($D512:$G512))</f>
        <v>0</v>
      </c>
      <c r="I512" s="26" t="str">
        <f aca="false">IF($H512=0,"",IF($H512&lt;=8,"Ótimo",IF($H512&lt;=12,"Bom",IF($H512&lt;=16,"Regular",IF($H512&lt;=20,"Alerta","Crítico")))))</f>
        <v/>
      </c>
      <c r="J512" s="27"/>
      <c r="K512" s="27"/>
    </row>
    <row r="513" customFormat="false" ht="15" hidden="false" customHeight="false" outlineLevel="0" collapsed="false">
      <c r="A513" s="29"/>
      <c r="B513" s="40" t="n">
        <f aca="false">IF($A513="",0,INT(($A513-Macrociclo!$C$11)/7)+1)</f>
        <v>0</v>
      </c>
      <c r="C513" s="27"/>
      <c r="D513" s="28"/>
      <c r="E513" s="28"/>
      <c r="F513" s="28"/>
      <c r="G513" s="28"/>
      <c r="H513" s="40" t="n">
        <f aca="false">IF(COUNT($D513:$G513)&lt;4,0,SUM($D513:$G513))</f>
        <v>0</v>
      </c>
      <c r="I513" s="26" t="str">
        <f aca="false">IF($H513=0,"",IF($H513&lt;=8,"Ótimo",IF($H513&lt;=12,"Bom",IF($H513&lt;=16,"Regular",IF($H513&lt;=20,"Alerta","Crítico")))))</f>
        <v/>
      </c>
      <c r="J513" s="27"/>
      <c r="K513" s="27"/>
    </row>
    <row r="514" customFormat="false" ht="15" hidden="false" customHeight="false" outlineLevel="0" collapsed="false">
      <c r="A514" s="29"/>
      <c r="B514" s="40" t="n">
        <f aca="false">IF($A514="",0,INT(($A514-Macrociclo!$C$11)/7)+1)</f>
        <v>0</v>
      </c>
      <c r="C514" s="27"/>
      <c r="D514" s="28"/>
      <c r="E514" s="28"/>
      <c r="F514" s="28"/>
      <c r="G514" s="28"/>
      <c r="H514" s="40" t="n">
        <f aca="false">IF(COUNT($D514:$G514)&lt;4,0,SUM($D514:$G514))</f>
        <v>0</v>
      </c>
      <c r="I514" s="26" t="str">
        <f aca="false">IF($H514=0,"",IF($H514&lt;=8,"Ótimo",IF($H514&lt;=12,"Bom",IF($H514&lt;=16,"Regular",IF($H514&lt;=20,"Alerta","Crítico")))))</f>
        <v/>
      </c>
      <c r="J514" s="27"/>
      <c r="K514" s="27"/>
    </row>
    <row r="515" customFormat="false" ht="15" hidden="false" customHeight="false" outlineLevel="0" collapsed="false">
      <c r="A515" s="29"/>
      <c r="B515" s="40" t="n">
        <f aca="false">IF($A515="",0,INT(($A515-Macrociclo!$C$11)/7)+1)</f>
        <v>0</v>
      </c>
      <c r="C515" s="27"/>
      <c r="D515" s="28"/>
      <c r="E515" s="28"/>
      <c r="F515" s="28"/>
      <c r="G515" s="28"/>
      <c r="H515" s="40" t="n">
        <f aca="false">IF(COUNT($D515:$G515)&lt;4,0,SUM($D515:$G515))</f>
        <v>0</v>
      </c>
      <c r="I515" s="26" t="str">
        <f aca="false">IF($H515=0,"",IF($H515&lt;=8,"Ótimo",IF($H515&lt;=12,"Bom",IF($H515&lt;=16,"Regular",IF($H515&lt;=20,"Alerta","Crítico")))))</f>
        <v/>
      </c>
      <c r="J515" s="27"/>
      <c r="K515" s="27"/>
    </row>
    <row r="516" customFormat="false" ht="15" hidden="false" customHeight="false" outlineLevel="0" collapsed="false">
      <c r="A516" s="29"/>
      <c r="B516" s="40" t="n">
        <f aca="false">IF($A516="",0,INT(($A516-Macrociclo!$C$11)/7)+1)</f>
        <v>0</v>
      </c>
      <c r="C516" s="27"/>
      <c r="D516" s="28"/>
      <c r="E516" s="28"/>
      <c r="F516" s="28"/>
      <c r="G516" s="28"/>
      <c r="H516" s="40" t="n">
        <f aca="false">IF(COUNT($D516:$G516)&lt;4,0,SUM($D516:$G516))</f>
        <v>0</v>
      </c>
      <c r="I516" s="26" t="str">
        <f aca="false">IF($H516=0,"",IF($H516&lt;=8,"Ótimo",IF($H516&lt;=12,"Bom",IF($H516&lt;=16,"Regular",IF($H516&lt;=20,"Alerta","Crítico")))))</f>
        <v/>
      </c>
      <c r="J516" s="27"/>
      <c r="K516" s="27"/>
    </row>
    <row r="517" customFormat="false" ht="15" hidden="false" customHeight="false" outlineLevel="0" collapsed="false">
      <c r="A517" s="29"/>
      <c r="B517" s="40" t="n">
        <f aca="false">IF($A517="",0,INT(($A517-Macrociclo!$C$11)/7)+1)</f>
        <v>0</v>
      </c>
      <c r="C517" s="27"/>
      <c r="D517" s="28"/>
      <c r="E517" s="28"/>
      <c r="F517" s="28"/>
      <c r="G517" s="28"/>
      <c r="H517" s="40" t="n">
        <f aca="false">IF(COUNT($D517:$G517)&lt;4,0,SUM($D517:$G517))</f>
        <v>0</v>
      </c>
      <c r="I517" s="26" t="str">
        <f aca="false">IF($H517=0,"",IF($H517&lt;=8,"Ótimo",IF($H517&lt;=12,"Bom",IF($H517&lt;=16,"Regular",IF($H517&lt;=20,"Alerta","Crítico")))))</f>
        <v/>
      </c>
      <c r="J517" s="27"/>
      <c r="K517" s="27"/>
    </row>
    <row r="518" customFormat="false" ht="15" hidden="false" customHeight="false" outlineLevel="0" collapsed="false">
      <c r="A518" s="29"/>
      <c r="B518" s="40" t="n">
        <f aca="false">IF($A518="",0,INT(($A518-Macrociclo!$C$11)/7)+1)</f>
        <v>0</v>
      </c>
      <c r="C518" s="27"/>
      <c r="D518" s="28"/>
      <c r="E518" s="28"/>
      <c r="F518" s="28"/>
      <c r="G518" s="28"/>
      <c r="H518" s="40" t="n">
        <f aca="false">IF(COUNT($D518:$G518)&lt;4,0,SUM($D518:$G518))</f>
        <v>0</v>
      </c>
      <c r="I518" s="26" t="str">
        <f aca="false">IF($H518=0,"",IF($H518&lt;=8,"Ótimo",IF($H518&lt;=12,"Bom",IF($H518&lt;=16,"Regular",IF($H518&lt;=20,"Alerta","Crítico")))))</f>
        <v/>
      </c>
      <c r="J518" s="27"/>
      <c r="K518" s="27"/>
    </row>
    <row r="519" customFormat="false" ht="15" hidden="false" customHeight="false" outlineLevel="0" collapsed="false">
      <c r="A519" s="29"/>
      <c r="B519" s="40" t="n">
        <f aca="false">IF($A519="",0,INT(($A519-Macrociclo!$C$11)/7)+1)</f>
        <v>0</v>
      </c>
      <c r="C519" s="27"/>
      <c r="D519" s="28"/>
      <c r="E519" s="28"/>
      <c r="F519" s="28"/>
      <c r="G519" s="28"/>
      <c r="H519" s="40" t="n">
        <f aca="false">IF(COUNT($D519:$G519)&lt;4,0,SUM($D519:$G519))</f>
        <v>0</v>
      </c>
      <c r="I519" s="26" t="str">
        <f aca="false">IF($H519=0,"",IF($H519&lt;=8,"Ótimo",IF($H519&lt;=12,"Bom",IF($H519&lt;=16,"Regular",IF($H519&lt;=20,"Alerta","Crítico")))))</f>
        <v/>
      </c>
      <c r="J519" s="27"/>
      <c r="K519" s="27"/>
    </row>
    <row r="520" customFormat="false" ht="15" hidden="false" customHeight="false" outlineLevel="0" collapsed="false">
      <c r="A520" s="29"/>
      <c r="B520" s="40" t="n">
        <f aca="false">IF($A520="",0,INT(($A520-Macrociclo!$C$11)/7)+1)</f>
        <v>0</v>
      </c>
      <c r="C520" s="27"/>
      <c r="D520" s="28"/>
      <c r="E520" s="28"/>
      <c r="F520" s="28"/>
      <c r="G520" s="28"/>
      <c r="H520" s="40" t="n">
        <f aca="false">IF(COUNT($D520:$G520)&lt;4,0,SUM($D520:$G520))</f>
        <v>0</v>
      </c>
      <c r="I520" s="26" t="str">
        <f aca="false">IF($H520=0,"",IF($H520&lt;=8,"Ótimo",IF($H520&lt;=12,"Bom",IF($H520&lt;=16,"Regular",IF($H520&lt;=20,"Alerta","Crítico")))))</f>
        <v/>
      </c>
      <c r="J520" s="27"/>
      <c r="K520" s="27"/>
    </row>
    <row r="521" customFormat="false" ht="15" hidden="false" customHeight="false" outlineLevel="0" collapsed="false">
      <c r="A521" s="29"/>
      <c r="B521" s="40" t="n">
        <f aca="false">IF($A521="",0,INT(($A521-Macrociclo!$C$11)/7)+1)</f>
        <v>0</v>
      </c>
      <c r="C521" s="27"/>
      <c r="D521" s="28"/>
      <c r="E521" s="28"/>
      <c r="F521" s="28"/>
      <c r="G521" s="28"/>
      <c r="H521" s="40" t="n">
        <f aca="false">IF(COUNT($D521:$G521)&lt;4,0,SUM($D521:$G521))</f>
        <v>0</v>
      </c>
      <c r="I521" s="26" t="str">
        <f aca="false">IF($H521=0,"",IF($H521&lt;=8,"Ótimo",IF($H521&lt;=12,"Bom",IF($H521&lt;=16,"Regular",IF($H521&lt;=20,"Alerta","Crítico")))))</f>
        <v/>
      </c>
      <c r="J521" s="27"/>
      <c r="K521" s="27"/>
    </row>
    <row r="522" customFormat="false" ht="15" hidden="false" customHeight="false" outlineLevel="0" collapsed="false">
      <c r="A522" s="29"/>
      <c r="B522" s="40" t="n">
        <f aca="false">IF($A522="",0,INT(($A522-Macrociclo!$C$11)/7)+1)</f>
        <v>0</v>
      </c>
      <c r="C522" s="27"/>
      <c r="D522" s="28"/>
      <c r="E522" s="28"/>
      <c r="F522" s="28"/>
      <c r="G522" s="28"/>
      <c r="H522" s="40" t="n">
        <f aca="false">IF(COUNT($D522:$G522)&lt;4,0,SUM($D522:$G522))</f>
        <v>0</v>
      </c>
      <c r="I522" s="26" t="str">
        <f aca="false">IF($H522=0,"",IF($H522&lt;=8,"Ótimo",IF($H522&lt;=12,"Bom",IF($H522&lt;=16,"Regular",IF($H522&lt;=20,"Alerta","Crítico")))))</f>
        <v/>
      </c>
      <c r="J522" s="27"/>
      <c r="K522" s="27"/>
    </row>
    <row r="523" customFormat="false" ht="15" hidden="false" customHeight="false" outlineLevel="0" collapsed="false">
      <c r="A523" s="29"/>
      <c r="B523" s="40" t="n">
        <f aca="false">IF($A523="",0,INT(($A523-Macrociclo!$C$11)/7)+1)</f>
        <v>0</v>
      </c>
      <c r="C523" s="27"/>
      <c r="D523" s="28"/>
      <c r="E523" s="28"/>
      <c r="F523" s="28"/>
      <c r="G523" s="28"/>
      <c r="H523" s="40" t="n">
        <f aca="false">IF(COUNT($D523:$G523)&lt;4,0,SUM($D523:$G523))</f>
        <v>0</v>
      </c>
      <c r="I523" s="26" t="str">
        <f aca="false">IF($H523=0,"",IF($H523&lt;=8,"Ótimo",IF($H523&lt;=12,"Bom",IF($H523&lt;=16,"Regular",IF($H523&lt;=20,"Alerta","Crítico")))))</f>
        <v/>
      </c>
      <c r="J523" s="27"/>
      <c r="K523" s="27"/>
    </row>
    <row r="524" customFormat="false" ht="15" hidden="false" customHeight="false" outlineLevel="0" collapsed="false">
      <c r="A524" s="29"/>
      <c r="B524" s="40" t="n">
        <f aca="false">IF($A524="",0,INT(($A524-Macrociclo!$C$11)/7)+1)</f>
        <v>0</v>
      </c>
      <c r="C524" s="27"/>
      <c r="D524" s="28"/>
      <c r="E524" s="28"/>
      <c r="F524" s="28"/>
      <c r="G524" s="28"/>
      <c r="H524" s="40" t="n">
        <f aca="false">IF(COUNT($D524:$G524)&lt;4,0,SUM($D524:$G524))</f>
        <v>0</v>
      </c>
      <c r="I524" s="26" t="str">
        <f aca="false">IF($H524=0,"",IF($H524&lt;=8,"Ótimo",IF($H524&lt;=12,"Bom",IF($H524&lt;=16,"Regular",IF($H524&lt;=20,"Alerta","Crítico")))))</f>
        <v/>
      </c>
      <c r="J524" s="27"/>
      <c r="K524" s="27"/>
    </row>
    <row r="525" customFormat="false" ht="15" hidden="false" customHeight="false" outlineLevel="0" collapsed="false">
      <c r="A525" s="29"/>
      <c r="B525" s="40" t="n">
        <f aca="false">IF($A525="",0,INT(($A525-Macrociclo!$C$11)/7)+1)</f>
        <v>0</v>
      </c>
      <c r="C525" s="27"/>
      <c r="D525" s="28"/>
      <c r="E525" s="28"/>
      <c r="F525" s="28"/>
      <c r="G525" s="28"/>
      <c r="H525" s="40" t="n">
        <f aca="false">IF(COUNT($D525:$G525)&lt;4,0,SUM($D525:$G525))</f>
        <v>0</v>
      </c>
      <c r="I525" s="26" t="str">
        <f aca="false">IF($H525=0,"",IF($H525&lt;=8,"Ótimo",IF($H525&lt;=12,"Bom",IF($H525&lt;=16,"Regular",IF($H525&lt;=20,"Alerta","Crítico")))))</f>
        <v/>
      </c>
      <c r="J525" s="27"/>
      <c r="K525" s="27"/>
    </row>
    <row r="526" customFormat="false" ht="15" hidden="false" customHeight="false" outlineLevel="0" collapsed="false">
      <c r="A526" s="29"/>
      <c r="B526" s="40" t="n">
        <f aca="false">IF($A526="",0,INT(($A526-Macrociclo!$C$11)/7)+1)</f>
        <v>0</v>
      </c>
      <c r="C526" s="27"/>
      <c r="D526" s="28"/>
      <c r="E526" s="28"/>
      <c r="F526" s="28"/>
      <c r="G526" s="28"/>
      <c r="H526" s="40" t="n">
        <f aca="false">IF(COUNT($D526:$G526)&lt;4,0,SUM($D526:$G526))</f>
        <v>0</v>
      </c>
      <c r="I526" s="26" t="str">
        <f aca="false">IF($H526=0,"",IF($H526&lt;=8,"Ótimo",IF($H526&lt;=12,"Bom",IF($H526&lt;=16,"Regular",IF($H526&lt;=20,"Alerta","Crítico")))))</f>
        <v/>
      </c>
      <c r="J526" s="27"/>
      <c r="K526" s="27"/>
    </row>
    <row r="527" customFormat="false" ht="15" hidden="false" customHeight="false" outlineLevel="0" collapsed="false">
      <c r="A527" s="29"/>
      <c r="B527" s="40" t="n">
        <f aca="false">IF($A527="",0,INT(($A527-Macrociclo!$C$11)/7)+1)</f>
        <v>0</v>
      </c>
      <c r="C527" s="27"/>
      <c r="D527" s="28"/>
      <c r="E527" s="28"/>
      <c r="F527" s="28"/>
      <c r="G527" s="28"/>
      <c r="H527" s="40" t="n">
        <f aca="false">IF(COUNT($D527:$G527)&lt;4,0,SUM($D527:$G527))</f>
        <v>0</v>
      </c>
      <c r="I527" s="26" t="str">
        <f aca="false">IF($H527=0,"",IF($H527&lt;=8,"Ótimo",IF($H527&lt;=12,"Bom",IF($H527&lt;=16,"Regular",IF($H527&lt;=20,"Alerta","Crítico")))))</f>
        <v/>
      </c>
      <c r="J527" s="27"/>
      <c r="K527" s="27"/>
    </row>
    <row r="528" customFormat="false" ht="15" hidden="false" customHeight="false" outlineLevel="0" collapsed="false">
      <c r="A528" s="29"/>
      <c r="B528" s="40" t="n">
        <f aca="false">IF($A528="",0,INT(($A528-Macrociclo!$C$11)/7)+1)</f>
        <v>0</v>
      </c>
      <c r="C528" s="27"/>
      <c r="D528" s="28"/>
      <c r="E528" s="28"/>
      <c r="F528" s="28"/>
      <c r="G528" s="28"/>
      <c r="H528" s="40" t="n">
        <f aca="false">IF(COUNT($D528:$G528)&lt;4,0,SUM($D528:$G528))</f>
        <v>0</v>
      </c>
      <c r="I528" s="26" t="str">
        <f aca="false">IF($H528=0,"",IF($H528&lt;=8,"Ótimo",IF($H528&lt;=12,"Bom",IF($H528&lt;=16,"Regular",IF($H528&lt;=20,"Alerta","Crítico")))))</f>
        <v/>
      </c>
      <c r="J528" s="27"/>
      <c r="K528" s="27"/>
    </row>
    <row r="529" customFormat="false" ht="15" hidden="false" customHeight="false" outlineLevel="0" collapsed="false">
      <c r="A529" s="29"/>
      <c r="B529" s="40" t="n">
        <f aca="false">IF($A529="",0,INT(($A529-Macrociclo!$C$11)/7)+1)</f>
        <v>0</v>
      </c>
      <c r="C529" s="27"/>
      <c r="D529" s="28"/>
      <c r="E529" s="28"/>
      <c r="F529" s="28"/>
      <c r="G529" s="28"/>
      <c r="H529" s="40" t="n">
        <f aca="false">IF(COUNT($D529:$G529)&lt;4,0,SUM($D529:$G529))</f>
        <v>0</v>
      </c>
      <c r="I529" s="26" t="str">
        <f aca="false">IF($H529=0,"",IF($H529&lt;=8,"Ótimo",IF($H529&lt;=12,"Bom",IF($H529&lt;=16,"Regular",IF($H529&lt;=20,"Alerta","Crítico")))))</f>
        <v/>
      </c>
      <c r="J529" s="27"/>
      <c r="K529" s="27"/>
    </row>
    <row r="530" customFormat="false" ht="15" hidden="false" customHeight="false" outlineLevel="0" collapsed="false">
      <c r="A530" s="29"/>
      <c r="B530" s="40" t="n">
        <f aca="false">IF($A530="",0,INT(($A530-Macrociclo!$C$11)/7)+1)</f>
        <v>0</v>
      </c>
      <c r="C530" s="27"/>
      <c r="D530" s="28"/>
      <c r="E530" s="28"/>
      <c r="F530" s="28"/>
      <c r="G530" s="28"/>
      <c r="H530" s="40" t="n">
        <f aca="false">IF(COUNT($D530:$G530)&lt;4,0,SUM($D530:$G530))</f>
        <v>0</v>
      </c>
      <c r="I530" s="26" t="str">
        <f aca="false">IF($H530=0,"",IF($H530&lt;=8,"Ótimo",IF($H530&lt;=12,"Bom",IF($H530&lt;=16,"Regular",IF($H530&lt;=20,"Alerta","Crítico")))))</f>
        <v/>
      </c>
      <c r="J530" s="27"/>
      <c r="K530" s="27"/>
    </row>
    <row r="531" customFormat="false" ht="15" hidden="false" customHeight="false" outlineLevel="0" collapsed="false">
      <c r="A531" s="29"/>
      <c r="B531" s="40" t="n">
        <f aca="false">IF($A531="",0,INT(($A531-Macrociclo!$C$11)/7)+1)</f>
        <v>0</v>
      </c>
      <c r="C531" s="27"/>
      <c r="D531" s="28"/>
      <c r="E531" s="28"/>
      <c r="F531" s="28"/>
      <c r="G531" s="28"/>
      <c r="H531" s="40" t="n">
        <f aca="false">IF(COUNT($D531:$G531)&lt;4,0,SUM($D531:$G531))</f>
        <v>0</v>
      </c>
      <c r="I531" s="26" t="str">
        <f aca="false">IF($H531=0,"",IF($H531&lt;=8,"Ótimo",IF($H531&lt;=12,"Bom",IF($H531&lt;=16,"Regular",IF($H531&lt;=20,"Alerta","Crítico")))))</f>
        <v/>
      </c>
      <c r="J531" s="27"/>
      <c r="K531" s="27"/>
    </row>
    <row r="532" customFormat="false" ht="15" hidden="false" customHeight="false" outlineLevel="0" collapsed="false">
      <c r="A532" s="29"/>
      <c r="B532" s="40" t="n">
        <f aca="false">IF($A532="",0,INT(($A532-Macrociclo!$C$11)/7)+1)</f>
        <v>0</v>
      </c>
      <c r="C532" s="27"/>
      <c r="D532" s="28"/>
      <c r="E532" s="28"/>
      <c r="F532" s="28"/>
      <c r="G532" s="28"/>
      <c r="H532" s="40" t="n">
        <f aca="false">IF(COUNT($D532:$G532)&lt;4,0,SUM($D532:$G532))</f>
        <v>0</v>
      </c>
      <c r="I532" s="26" t="str">
        <f aca="false">IF($H532=0,"",IF($H532&lt;=8,"Ótimo",IF($H532&lt;=12,"Bom",IF($H532&lt;=16,"Regular",IF($H532&lt;=20,"Alerta","Crítico")))))</f>
        <v/>
      </c>
      <c r="J532" s="27"/>
      <c r="K532" s="27"/>
    </row>
    <row r="533" customFormat="false" ht="15" hidden="false" customHeight="false" outlineLevel="0" collapsed="false">
      <c r="A533" s="29"/>
      <c r="B533" s="40" t="n">
        <f aca="false">IF($A533="",0,INT(($A533-Macrociclo!$C$11)/7)+1)</f>
        <v>0</v>
      </c>
      <c r="C533" s="27"/>
      <c r="D533" s="28"/>
      <c r="E533" s="28"/>
      <c r="F533" s="28"/>
      <c r="G533" s="28"/>
      <c r="H533" s="40" t="n">
        <f aca="false">IF(COUNT($D533:$G533)&lt;4,0,SUM($D533:$G533))</f>
        <v>0</v>
      </c>
      <c r="I533" s="26" t="str">
        <f aca="false">IF($H533=0,"",IF($H533&lt;=8,"Ótimo",IF($H533&lt;=12,"Bom",IF($H533&lt;=16,"Regular",IF($H533&lt;=20,"Alerta","Crítico")))))</f>
        <v/>
      </c>
      <c r="J533" s="27"/>
      <c r="K533" s="27"/>
    </row>
    <row r="534" customFormat="false" ht="15" hidden="false" customHeight="false" outlineLevel="0" collapsed="false">
      <c r="A534" s="29"/>
      <c r="B534" s="40" t="n">
        <f aca="false">IF($A534="",0,INT(($A534-Macrociclo!$C$11)/7)+1)</f>
        <v>0</v>
      </c>
      <c r="C534" s="27"/>
      <c r="D534" s="28"/>
      <c r="E534" s="28"/>
      <c r="F534" s="28"/>
      <c r="G534" s="28"/>
      <c r="H534" s="40" t="n">
        <f aca="false">IF(COUNT($D534:$G534)&lt;4,0,SUM($D534:$G534))</f>
        <v>0</v>
      </c>
      <c r="I534" s="26" t="str">
        <f aca="false">IF($H534=0,"",IF($H534&lt;=8,"Ótimo",IF($H534&lt;=12,"Bom",IF($H534&lt;=16,"Regular",IF($H534&lt;=20,"Alerta","Crítico")))))</f>
        <v/>
      </c>
      <c r="J534" s="27"/>
      <c r="K534" s="27"/>
    </row>
    <row r="535" customFormat="false" ht="15" hidden="false" customHeight="false" outlineLevel="0" collapsed="false">
      <c r="A535" s="29"/>
      <c r="B535" s="40" t="n">
        <f aca="false">IF($A535="",0,INT(($A535-Macrociclo!$C$11)/7)+1)</f>
        <v>0</v>
      </c>
      <c r="C535" s="27"/>
      <c r="D535" s="28"/>
      <c r="E535" s="28"/>
      <c r="F535" s="28"/>
      <c r="G535" s="28"/>
      <c r="H535" s="40" t="n">
        <f aca="false">IF(COUNT($D535:$G535)&lt;4,0,SUM($D535:$G535))</f>
        <v>0</v>
      </c>
      <c r="I535" s="26" t="str">
        <f aca="false">IF($H535=0,"",IF($H535&lt;=8,"Ótimo",IF($H535&lt;=12,"Bom",IF($H535&lt;=16,"Regular",IF($H535&lt;=20,"Alerta","Crítico")))))</f>
        <v/>
      </c>
      <c r="J535" s="27"/>
      <c r="K535" s="27"/>
    </row>
    <row r="536" customFormat="false" ht="15" hidden="false" customHeight="false" outlineLevel="0" collapsed="false">
      <c r="A536" s="29"/>
      <c r="B536" s="40" t="n">
        <f aca="false">IF($A536="",0,INT(($A536-Macrociclo!$C$11)/7)+1)</f>
        <v>0</v>
      </c>
      <c r="C536" s="27"/>
      <c r="D536" s="28"/>
      <c r="E536" s="28"/>
      <c r="F536" s="28"/>
      <c r="G536" s="28"/>
      <c r="H536" s="40" t="n">
        <f aca="false">IF(COUNT($D536:$G536)&lt;4,0,SUM($D536:$G536))</f>
        <v>0</v>
      </c>
      <c r="I536" s="26" t="str">
        <f aca="false">IF($H536=0,"",IF($H536&lt;=8,"Ótimo",IF($H536&lt;=12,"Bom",IF($H536&lt;=16,"Regular",IF($H536&lt;=20,"Alerta","Crítico")))))</f>
        <v/>
      </c>
      <c r="J536" s="27"/>
      <c r="K536" s="27"/>
    </row>
    <row r="537" customFormat="false" ht="15" hidden="false" customHeight="false" outlineLevel="0" collapsed="false">
      <c r="A537" s="29"/>
      <c r="B537" s="40" t="n">
        <f aca="false">IF($A537="",0,INT(($A537-Macrociclo!$C$11)/7)+1)</f>
        <v>0</v>
      </c>
      <c r="C537" s="27"/>
      <c r="D537" s="28"/>
      <c r="E537" s="28"/>
      <c r="F537" s="28"/>
      <c r="G537" s="28"/>
      <c r="H537" s="40" t="n">
        <f aca="false">IF(COUNT($D537:$G537)&lt;4,0,SUM($D537:$G537))</f>
        <v>0</v>
      </c>
      <c r="I537" s="26" t="str">
        <f aca="false">IF($H537=0,"",IF($H537&lt;=8,"Ótimo",IF($H537&lt;=12,"Bom",IF($H537&lt;=16,"Regular",IF($H537&lt;=20,"Alerta","Crítico")))))</f>
        <v/>
      </c>
      <c r="J537" s="27"/>
      <c r="K537" s="27"/>
    </row>
    <row r="538" customFormat="false" ht="15" hidden="false" customHeight="false" outlineLevel="0" collapsed="false">
      <c r="A538" s="29"/>
      <c r="B538" s="40" t="n">
        <f aca="false">IF($A538="",0,INT(($A538-Macrociclo!$C$11)/7)+1)</f>
        <v>0</v>
      </c>
      <c r="C538" s="27"/>
      <c r="D538" s="28"/>
      <c r="E538" s="28"/>
      <c r="F538" s="28"/>
      <c r="G538" s="28"/>
      <c r="H538" s="40" t="n">
        <f aca="false">IF(COUNT($D538:$G538)&lt;4,0,SUM($D538:$G538))</f>
        <v>0</v>
      </c>
      <c r="I538" s="26" t="str">
        <f aca="false">IF($H538=0,"",IF($H538&lt;=8,"Ótimo",IF($H538&lt;=12,"Bom",IF($H538&lt;=16,"Regular",IF($H538&lt;=20,"Alerta","Crítico")))))</f>
        <v/>
      </c>
      <c r="J538" s="27"/>
      <c r="K538" s="27"/>
    </row>
    <row r="539" customFormat="false" ht="15" hidden="false" customHeight="false" outlineLevel="0" collapsed="false">
      <c r="A539" s="29"/>
      <c r="B539" s="40" t="n">
        <f aca="false">IF($A539="",0,INT(($A539-Macrociclo!$C$11)/7)+1)</f>
        <v>0</v>
      </c>
      <c r="C539" s="27"/>
      <c r="D539" s="28"/>
      <c r="E539" s="28"/>
      <c r="F539" s="28"/>
      <c r="G539" s="28"/>
      <c r="H539" s="40" t="n">
        <f aca="false">IF(COUNT($D539:$G539)&lt;4,0,SUM($D539:$G539))</f>
        <v>0</v>
      </c>
      <c r="I539" s="26" t="str">
        <f aca="false">IF($H539=0,"",IF($H539&lt;=8,"Ótimo",IF($H539&lt;=12,"Bom",IF($H539&lt;=16,"Regular",IF($H539&lt;=20,"Alerta","Crítico")))))</f>
        <v/>
      </c>
      <c r="J539" s="27"/>
      <c r="K539" s="27"/>
    </row>
    <row r="540" customFormat="false" ht="15" hidden="false" customHeight="false" outlineLevel="0" collapsed="false">
      <c r="A540" s="29"/>
      <c r="B540" s="40" t="n">
        <f aca="false">IF($A540="",0,INT(($A540-Macrociclo!$C$11)/7)+1)</f>
        <v>0</v>
      </c>
      <c r="C540" s="27"/>
      <c r="D540" s="28"/>
      <c r="E540" s="28"/>
      <c r="F540" s="28"/>
      <c r="G540" s="28"/>
      <c r="H540" s="40" t="n">
        <f aca="false">IF(COUNT($D540:$G540)&lt;4,0,SUM($D540:$G540))</f>
        <v>0</v>
      </c>
      <c r="I540" s="26" t="str">
        <f aca="false">IF($H540=0,"",IF($H540&lt;=8,"Ótimo",IF($H540&lt;=12,"Bom",IF($H540&lt;=16,"Regular",IF($H540&lt;=20,"Alerta","Crítico")))))</f>
        <v/>
      </c>
      <c r="J540" s="27"/>
      <c r="K540" s="27"/>
    </row>
    <row r="541" customFormat="false" ht="15" hidden="false" customHeight="false" outlineLevel="0" collapsed="false">
      <c r="A541" s="29"/>
      <c r="B541" s="40" t="n">
        <f aca="false">IF($A541="",0,INT(($A541-Macrociclo!$C$11)/7)+1)</f>
        <v>0</v>
      </c>
      <c r="C541" s="27"/>
      <c r="D541" s="28"/>
      <c r="E541" s="28"/>
      <c r="F541" s="28"/>
      <c r="G541" s="28"/>
      <c r="H541" s="40" t="n">
        <f aca="false">IF(COUNT($D541:$G541)&lt;4,0,SUM($D541:$G541))</f>
        <v>0</v>
      </c>
      <c r="I541" s="26" t="str">
        <f aca="false">IF($H541=0,"",IF($H541&lt;=8,"Ótimo",IF($H541&lt;=12,"Bom",IF($H541&lt;=16,"Regular",IF($H541&lt;=20,"Alerta","Crítico")))))</f>
        <v/>
      </c>
      <c r="J541" s="27"/>
      <c r="K541" s="27"/>
    </row>
    <row r="542" customFormat="false" ht="15" hidden="false" customHeight="false" outlineLevel="0" collapsed="false">
      <c r="A542" s="29"/>
      <c r="B542" s="40" t="n">
        <f aca="false">IF($A542="",0,INT(($A542-Macrociclo!$C$11)/7)+1)</f>
        <v>0</v>
      </c>
      <c r="C542" s="27"/>
      <c r="D542" s="28"/>
      <c r="E542" s="28"/>
      <c r="F542" s="28"/>
      <c r="G542" s="28"/>
      <c r="H542" s="40" t="n">
        <f aca="false">IF(COUNT($D542:$G542)&lt;4,0,SUM($D542:$G542))</f>
        <v>0</v>
      </c>
      <c r="I542" s="26" t="str">
        <f aca="false">IF($H542=0,"",IF($H542&lt;=8,"Ótimo",IF($H542&lt;=12,"Bom",IF($H542&lt;=16,"Regular",IF($H542&lt;=20,"Alerta","Crítico")))))</f>
        <v/>
      </c>
      <c r="J542" s="27"/>
      <c r="K542" s="27"/>
    </row>
    <row r="543" customFormat="false" ht="15" hidden="false" customHeight="false" outlineLevel="0" collapsed="false">
      <c r="A543" s="29"/>
      <c r="B543" s="40" t="n">
        <f aca="false">IF($A543="",0,INT(($A543-Macrociclo!$C$11)/7)+1)</f>
        <v>0</v>
      </c>
      <c r="C543" s="27"/>
      <c r="D543" s="28"/>
      <c r="E543" s="28"/>
      <c r="F543" s="28"/>
      <c r="G543" s="28"/>
      <c r="H543" s="40" t="n">
        <f aca="false">IF(COUNT($D543:$G543)&lt;4,0,SUM($D543:$G543))</f>
        <v>0</v>
      </c>
      <c r="I543" s="26" t="str">
        <f aca="false">IF($H543=0,"",IF($H543&lt;=8,"Ótimo",IF($H543&lt;=12,"Bom",IF($H543&lt;=16,"Regular",IF($H543&lt;=20,"Alerta","Crítico")))))</f>
        <v/>
      </c>
      <c r="J543" s="27"/>
      <c r="K543" s="27"/>
    </row>
    <row r="544" customFormat="false" ht="15" hidden="false" customHeight="false" outlineLevel="0" collapsed="false">
      <c r="A544" s="29"/>
      <c r="B544" s="40" t="n">
        <f aca="false">IF($A544="",0,INT(($A544-Macrociclo!$C$11)/7)+1)</f>
        <v>0</v>
      </c>
      <c r="C544" s="27"/>
      <c r="D544" s="28"/>
      <c r="E544" s="28"/>
      <c r="F544" s="28"/>
      <c r="G544" s="28"/>
      <c r="H544" s="40" t="n">
        <f aca="false">IF(COUNT($D544:$G544)&lt;4,0,SUM($D544:$G544))</f>
        <v>0</v>
      </c>
      <c r="I544" s="26" t="str">
        <f aca="false">IF($H544=0,"",IF($H544&lt;=8,"Ótimo",IF($H544&lt;=12,"Bom",IF($H544&lt;=16,"Regular",IF($H544&lt;=20,"Alerta","Crítico")))))</f>
        <v/>
      </c>
      <c r="J544" s="27"/>
      <c r="K544" s="27"/>
    </row>
    <row r="545" customFormat="false" ht="15" hidden="false" customHeight="false" outlineLevel="0" collapsed="false">
      <c r="A545" s="29"/>
      <c r="B545" s="40" t="n">
        <f aca="false">IF($A545="",0,INT(($A545-Macrociclo!$C$11)/7)+1)</f>
        <v>0</v>
      </c>
      <c r="C545" s="27"/>
      <c r="D545" s="28"/>
      <c r="E545" s="28"/>
      <c r="F545" s="28"/>
      <c r="G545" s="28"/>
      <c r="H545" s="40" t="n">
        <f aca="false">IF(COUNT($D545:$G545)&lt;4,0,SUM($D545:$G545))</f>
        <v>0</v>
      </c>
      <c r="I545" s="26" t="str">
        <f aca="false">IF($H545=0,"",IF($H545&lt;=8,"Ótimo",IF($H545&lt;=12,"Bom",IF($H545&lt;=16,"Regular",IF($H545&lt;=20,"Alerta","Crítico")))))</f>
        <v/>
      </c>
      <c r="J545" s="27"/>
      <c r="K545" s="27"/>
    </row>
    <row r="546" customFormat="false" ht="15" hidden="false" customHeight="false" outlineLevel="0" collapsed="false">
      <c r="A546" s="29"/>
      <c r="B546" s="40" t="n">
        <f aca="false">IF($A546="",0,INT(($A546-Macrociclo!$C$11)/7)+1)</f>
        <v>0</v>
      </c>
      <c r="C546" s="27"/>
      <c r="D546" s="28"/>
      <c r="E546" s="28"/>
      <c r="F546" s="28"/>
      <c r="G546" s="28"/>
      <c r="H546" s="40" t="n">
        <f aca="false">IF(COUNT($D546:$G546)&lt;4,0,SUM($D546:$G546))</f>
        <v>0</v>
      </c>
      <c r="I546" s="26" t="str">
        <f aca="false">IF($H546=0,"",IF($H546&lt;=8,"Ótimo",IF($H546&lt;=12,"Bom",IF($H546&lt;=16,"Regular",IF($H546&lt;=20,"Alerta","Crítico")))))</f>
        <v/>
      </c>
      <c r="J546" s="27"/>
      <c r="K546" s="27"/>
    </row>
    <row r="547" customFormat="false" ht="15" hidden="false" customHeight="false" outlineLevel="0" collapsed="false">
      <c r="A547" s="29"/>
      <c r="B547" s="40" t="n">
        <f aca="false">IF($A547="",0,INT(($A547-Macrociclo!$C$11)/7)+1)</f>
        <v>0</v>
      </c>
      <c r="C547" s="27"/>
      <c r="D547" s="28"/>
      <c r="E547" s="28"/>
      <c r="F547" s="28"/>
      <c r="G547" s="28"/>
      <c r="H547" s="40" t="n">
        <f aca="false">IF(COUNT($D547:$G547)&lt;4,0,SUM($D547:$G547))</f>
        <v>0</v>
      </c>
      <c r="I547" s="26" t="str">
        <f aca="false">IF($H547=0,"",IF($H547&lt;=8,"Ótimo",IF($H547&lt;=12,"Bom",IF($H547&lt;=16,"Regular",IF($H547&lt;=20,"Alerta","Crítico")))))</f>
        <v/>
      </c>
      <c r="J547" s="27"/>
      <c r="K547" s="27"/>
    </row>
    <row r="548" customFormat="false" ht="15" hidden="false" customHeight="false" outlineLevel="0" collapsed="false">
      <c r="A548" s="29"/>
      <c r="B548" s="40" t="n">
        <f aca="false">IF($A548="",0,INT(($A548-Macrociclo!$C$11)/7)+1)</f>
        <v>0</v>
      </c>
      <c r="C548" s="27"/>
      <c r="D548" s="28"/>
      <c r="E548" s="28"/>
      <c r="F548" s="28"/>
      <c r="G548" s="28"/>
      <c r="H548" s="40" t="n">
        <f aca="false">IF(COUNT($D548:$G548)&lt;4,0,SUM($D548:$G548))</f>
        <v>0</v>
      </c>
      <c r="I548" s="26" t="str">
        <f aca="false">IF($H548=0,"",IF($H548&lt;=8,"Ótimo",IF($H548&lt;=12,"Bom",IF($H548&lt;=16,"Regular",IF($H548&lt;=20,"Alerta","Crítico")))))</f>
        <v/>
      </c>
      <c r="J548" s="27"/>
      <c r="K548" s="27"/>
    </row>
    <row r="549" customFormat="false" ht="15" hidden="false" customHeight="false" outlineLevel="0" collapsed="false">
      <c r="A549" s="29"/>
      <c r="B549" s="40" t="n">
        <f aca="false">IF($A549="",0,INT(($A549-Macrociclo!$C$11)/7)+1)</f>
        <v>0</v>
      </c>
      <c r="C549" s="27"/>
      <c r="D549" s="28"/>
      <c r="E549" s="28"/>
      <c r="F549" s="28"/>
      <c r="G549" s="28"/>
      <c r="H549" s="40" t="n">
        <f aca="false">IF(COUNT($D549:$G549)&lt;4,0,SUM($D549:$G549))</f>
        <v>0</v>
      </c>
      <c r="I549" s="26" t="str">
        <f aca="false">IF($H549=0,"",IF($H549&lt;=8,"Ótimo",IF($H549&lt;=12,"Bom",IF($H549&lt;=16,"Regular",IF($H549&lt;=20,"Alerta","Crítico")))))</f>
        <v/>
      </c>
      <c r="J549" s="27"/>
      <c r="K549" s="27"/>
    </row>
    <row r="550" customFormat="false" ht="15" hidden="false" customHeight="false" outlineLevel="0" collapsed="false">
      <c r="A550" s="29"/>
      <c r="B550" s="40" t="n">
        <f aca="false">IF($A550="",0,INT(($A550-Macrociclo!$C$11)/7)+1)</f>
        <v>0</v>
      </c>
      <c r="C550" s="27"/>
      <c r="D550" s="28"/>
      <c r="E550" s="28"/>
      <c r="F550" s="28"/>
      <c r="G550" s="28"/>
      <c r="H550" s="40" t="n">
        <f aca="false">IF(COUNT($D550:$G550)&lt;4,0,SUM($D550:$G550))</f>
        <v>0</v>
      </c>
      <c r="I550" s="26" t="str">
        <f aca="false">IF($H550=0,"",IF($H550&lt;=8,"Ótimo",IF($H550&lt;=12,"Bom",IF($H550&lt;=16,"Regular",IF($H550&lt;=20,"Alerta","Crítico")))))</f>
        <v/>
      </c>
      <c r="J550" s="27"/>
      <c r="K550" s="27"/>
    </row>
    <row r="551" customFormat="false" ht="15" hidden="false" customHeight="false" outlineLevel="0" collapsed="false">
      <c r="A551" s="29"/>
      <c r="B551" s="40" t="n">
        <f aca="false">IF($A551="",0,INT(($A551-Macrociclo!$C$11)/7)+1)</f>
        <v>0</v>
      </c>
      <c r="C551" s="27"/>
      <c r="D551" s="28"/>
      <c r="E551" s="28"/>
      <c r="F551" s="28"/>
      <c r="G551" s="28"/>
      <c r="H551" s="40" t="n">
        <f aca="false">IF(COUNT($D551:$G551)&lt;4,0,SUM($D551:$G551))</f>
        <v>0</v>
      </c>
      <c r="I551" s="26" t="str">
        <f aca="false">IF($H551=0,"",IF($H551&lt;=8,"Ótimo",IF($H551&lt;=12,"Bom",IF($H551&lt;=16,"Regular",IF($H551&lt;=20,"Alerta","Crítico")))))</f>
        <v/>
      </c>
      <c r="J551" s="27"/>
      <c r="K551" s="27"/>
    </row>
    <row r="552" customFormat="false" ht="15" hidden="false" customHeight="false" outlineLevel="0" collapsed="false">
      <c r="A552" s="29"/>
      <c r="B552" s="40" t="n">
        <f aca="false">IF($A552="",0,INT(($A552-Macrociclo!$C$11)/7)+1)</f>
        <v>0</v>
      </c>
      <c r="C552" s="27"/>
      <c r="D552" s="28"/>
      <c r="E552" s="28"/>
      <c r="F552" s="28"/>
      <c r="G552" s="28"/>
      <c r="H552" s="40" t="n">
        <f aca="false">IF(COUNT($D552:$G552)&lt;4,0,SUM($D552:$G552))</f>
        <v>0</v>
      </c>
      <c r="I552" s="26" t="str">
        <f aca="false">IF($H552=0,"",IF($H552&lt;=8,"Ótimo",IF($H552&lt;=12,"Bom",IF($H552&lt;=16,"Regular",IF($H552&lt;=20,"Alerta","Crítico")))))</f>
        <v/>
      </c>
      <c r="J552" s="27"/>
      <c r="K552" s="27"/>
    </row>
    <row r="553" customFormat="false" ht="15" hidden="false" customHeight="false" outlineLevel="0" collapsed="false">
      <c r="A553" s="29"/>
      <c r="B553" s="40" t="n">
        <f aca="false">IF($A553="",0,INT(($A553-Macrociclo!$C$11)/7)+1)</f>
        <v>0</v>
      </c>
      <c r="C553" s="27"/>
      <c r="D553" s="28"/>
      <c r="E553" s="28"/>
      <c r="F553" s="28"/>
      <c r="G553" s="28"/>
      <c r="H553" s="40" t="n">
        <f aca="false">IF(COUNT($D553:$G553)&lt;4,0,SUM($D553:$G553))</f>
        <v>0</v>
      </c>
      <c r="I553" s="26" t="str">
        <f aca="false">IF($H553=0,"",IF($H553&lt;=8,"Ótimo",IF($H553&lt;=12,"Bom",IF($H553&lt;=16,"Regular",IF($H553&lt;=20,"Alerta","Crítico")))))</f>
        <v/>
      </c>
      <c r="J553" s="27"/>
      <c r="K553" s="27"/>
    </row>
    <row r="554" customFormat="false" ht="15" hidden="false" customHeight="false" outlineLevel="0" collapsed="false">
      <c r="A554" s="29"/>
      <c r="B554" s="40" t="n">
        <f aca="false">IF($A554="",0,INT(($A554-Macrociclo!$C$11)/7)+1)</f>
        <v>0</v>
      </c>
      <c r="C554" s="27"/>
      <c r="D554" s="28"/>
      <c r="E554" s="28"/>
      <c r="F554" s="28"/>
      <c r="G554" s="28"/>
      <c r="H554" s="40" t="n">
        <f aca="false">IF(COUNT($D554:$G554)&lt;4,0,SUM($D554:$G554))</f>
        <v>0</v>
      </c>
      <c r="I554" s="26" t="str">
        <f aca="false">IF($H554=0,"",IF($H554&lt;=8,"Ótimo",IF($H554&lt;=12,"Bom",IF($H554&lt;=16,"Regular",IF($H554&lt;=20,"Alerta","Crítico")))))</f>
        <v/>
      </c>
      <c r="J554" s="27"/>
      <c r="K554" s="27"/>
    </row>
    <row r="555" customFormat="false" ht="15" hidden="false" customHeight="false" outlineLevel="0" collapsed="false">
      <c r="A555" s="29"/>
      <c r="B555" s="40" t="n">
        <f aca="false">IF($A555="",0,INT(($A555-Macrociclo!$C$11)/7)+1)</f>
        <v>0</v>
      </c>
      <c r="C555" s="27"/>
      <c r="D555" s="28"/>
      <c r="E555" s="28"/>
      <c r="F555" s="28"/>
      <c r="G555" s="28"/>
      <c r="H555" s="40" t="n">
        <f aca="false">IF(COUNT($D555:$G555)&lt;4,0,SUM($D555:$G555))</f>
        <v>0</v>
      </c>
      <c r="I555" s="26" t="str">
        <f aca="false">IF($H555=0,"",IF($H555&lt;=8,"Ótimo",IF($H555&lt;=12,"Bom",IF($H555&lt;=16,"Regular",IF($H555&lt;=20,"Alerta","Crítico")))))</f>
        <v/>
      </c>
      <c r="J555" s="27"/>
      <c r="K555" s="27"/>
    </row>
    <row r="556" customFormat="false" ht="15" hidden="false" customHeight="false" outlineLevel="0" collapsed="false">
      <c r="A556" s="29"/>
      <c r="B556" s="40" t="n">
        <f aca="false">IF($A556="",0,INT(($A556-Macrociclo!$C$11)/7)+1)</f>
        <v>0</v>
      </c>
      <c r="C556" s="27"/>
      <c r="D556" s="28"/>
      <c r="E556" s="28"/>
      <c r="F556" s="28"/>
      <c r="G556" s="28"/>
      <c r="H556" s="40" t="n">
        <f aca="false">IF(COUNT($D556:$G556)&lt;4,0,SUM($D556:$G556))</f>
        <v>0</v>
      </c>
      <c r="I556" s="26" t="str">
        <f aca="false">IF($H556=0,"",IF($H556&lt;=8,"Ótimo",IF($H556&lt;=12,"Bom",IF($H556&lt;=16,"Regular",IF($H556&lt;=20,"Alerta","Crítico")))))</f>
        <v/>
      </c>
      <c r="J556" s="27"/>
      <c r="K556" s="27"/>
    </row>
    <row r="557" customFormat="false" ht="15" hidden="false" customHeight="false" outlineLevel="0" collapsed="false">
      <c r="A557" s="29"/>
      <c r="B557" s="40" t="n">
        <f aca="false">IF($A557="",0,INT(($A557-Macrociclo!$C$11)/7)+1)</f>
        <v>0</v>
      </c>
      <c r="C557" s="27"/>
      <c r="D557" s="28"/>
      <c r="E557" s="28"/>
      <c r="F557" s="28"/>
      <c r="G557" s="28"/>
      <c r="H557" s="40" t="n">
        <f aca="false">IF(COUNT($D557:$G557)&lt;4,0,SUM($D557:$G557))</f>
        <v>0</v>
      </c>
      <c r="I557" s="26" t="str">
        <f aca="false">IF($H557=0,"",IF($H557&lt;=8,"Ótimo",IF($H557&lt;=12,"Bom",IF($H557&lt;=16,"Regular",IF($H557&lt;=20,"Alerta","Crítico")))))</f>
        <v/>
      </c>
      <c r="J557" s="27"/>
      <c r="K557" s="27"/>
    </row>
    <row r="558" customFormat="false" ht="15" hidden="false" customHeight="false" outlineLevel="0" collapsed="false">
      <c r="A558" s="29"/>
      <c r="B558" s="40" t="n">
        <f aca="false">IF($A558="",0,INT(($A558-Macrociclo!$C$11)/7)+1)</f>
        <v>0</v>
      </c>
      <c r="C558" s="27"/>
      <c r="D558" s="28"/>
      <c r="E558" s="28"/>
      <c r="F558" s="28"/>
      <c r="G558" s="28"/>
      <c r="H558" s="40" t="n">
        <f aca="false">IF(COUNT($D558:$G558)&lt;4,0,SUM($D558:$G558))</f>
        <v>0</v>
      </c>
      <c r="I558" s="26" t="str">
        <f aca="false">IF($H558=0,"",IF($H558&lt;=8,"Ótimo",IF($H558&lt;=12,"Bom",IF($H558&lt;=16,"Regular",IF($H558&lt;=20,"Alerta","Crítico")))))</f>
        <v/>
      </c>
      <c r="J558" s="27"/>
      <c r="K558" s="27"/>
    </row>
    <row r="559" customFormat="false" ht="15" hidden="false" customHeight="false" outlineLevel="0" collapsed="false">
      <c r="A559" s="29"/>
      <c r="B559" s="40" t="n">
        <f aca="false">IF($A559="",0,INT(($A559-Macrociclo!$C$11)/7)+1)</f>
        <v>0</v>
      </c>
      <c r="C559" s="27"/>
      <c r="D559" s="28"/>
      <c r="E559" s="28"/>
      <c r="F559" s="28"/>
      <c r="G559" s="28"/>
      <c r="H559" s="40" t="n">
        <f aca="false">IF(COUNT($D559:$G559)&lt;4,0,SUM($D559:$G559))</f>
        <v>0</v>
      </c>
      <c r="I559" s="26" t="str">
        <f aca="false">IF($H559=0,"",IF($H559&lt;=8,"Ótimo",IF($H559&lt;=12,"Bom",IF($H559&lt;=16,"Regular",IF($H559&lt;=20,"Alerta","Crítico")))))</f>
        <v/>
      </c>
      <c r="J559" s="27"/>
      <c r="K559" s="27"/>
    </row>
    <row r="560" customFormat="false" ht="15" hidden="false" customHeight="false" outlineLevel="0" collapsed="false">
      <c r="A560" s="29"/>
      <c r="B560" s="40" t="n">
        <f aca="false">IF($A560="",0,INT(($A560-Macrociclo!$C$11)/7)+1)</f>
        <v>0</v>
      </c>
      <c r="C560" s="27"/>
      <c r="D560" s="28"/>
      <c r="E560" s="28"/>
      <c r="F560" s="28"/>
      <c r="G560" s="28"/>
      <c r="H560" s="40" t="n">
        <f aca="false">IF(COUNT($D560:$G560)&lt;4,0,SUM($D560:$G560))</f>
        <v>0</v>
      </c>
      <c r="I560" s="26" t="str">
        <f aca="false">IF($H560=0,"",IF($H560&lt;=8,"Ótimo",IF($H560&lt;=12,"Bom",IF($H560&lt;=16,"Regular",IF($H560&lt;=20,"Alerta","Crítico")))))</f>
        <v/>
      </c>
      <c r="J560" s="27"/>
      <c r="K560" s="27"/>
    </row>
    <row r="561" customFormat="false" ht="15" hidden="false" customHeight="false" outlineLevel="0" collapsed="false">
      <c r="A561" s="29"/>
      <c r="B561" s="40" t="n">
        <f aca="false">IF($A561="",0,INT(($A561-Macrociclo!$C$11)/7)+1)</f>
        <v>0</v>
      </c>
      <c r="C561" s="27"/>
      <c r="D561" s="28"/>
      <c r="E561" s="28"/>
      <c r="F561" s="28"/>
      <c r="G561" s="28"/>
      <c r="H561" s="40" t="n">
        <f aca="false">IF(COUNT($D561:$G561)&lt;4,0,SUM($D561:$G561))</f>
        <v>0</v>
      </c>
      <c r="I561" s="26" t="str">
        <f aca="false">IF($H561=0,"",IF($H561&lt;=8,"Ótimo",IF($H561&lt;=12,"Bom",IF($H561&lt;=16,"Regular",IF($H561&lt;=20,"Alerta","Crítico")))))</f>
        <v/>
      </c>
      <c r="J561" s="27"/>
      <c r="K561" s="27"/>
    </row>
    <row r="562" customFormat="false" ht="15" hidden="false" customHeight="false" outlineLevel="0" collapsed="false">
      <c r="A562" s="29"/>
      <c r="B562" s="40" t="n">
        <f aca="false">IF($A562="",0,INT(($A562-Macrociclo!$C$11)/7)+1)</f>
        <v>0</v>
      </c>
      <c r="C562" s="27"/>
      <c r="D562" s="28"/>
      <c r="E562" s="28"/>
      <c r="F562" s="28"/>
      <c r="G562" s="28"/>
      <c r="H562" s="40" t="n">
        <f aca="false">IF(COUNT($D562:$G562)&lt;4,0,SUM($D562:$G562))</f>
        <v>0</v>
      </c>
      <c r="I562" s="26" t="str">
        <f aca="false">IF($H562=0,"",IF($H562&lt;=8,"Ótimo",IF($H562&lt;=12,"Bom",IF($H562&lt;=16,"Regular",IF($H562&lt;=20,"Alerta","Crítico")))))</f>
        <v/>
      </c>
      <c r="J562" s="27"/>
      <c r="K562" s="27"/>
    </row>
    <row r="563" customFormat="false" ht="15" hidden="false" customHeight="false" outlineLevel="0" collapsed="false">
      <c r="A563" s="29"/>
      <c r="B563" s="40" t="n">
        <f aca="false">IF($A563="",0,INT(($A563-Macrociclo!$C$11)/7)+1)</f>
        <v>0</v>
      </c>
      <c r="C563" s="27"/>
      <c r="D563" s="28"/>
      <c r="E563" s="28"/>
      <c r="F563" s="28"/>
      <c r="G563" s="28"/>
      <c r="H563" s="40" t="n">
        <f aca="false">IF(COUNT($D563:$G563)&lt;4,0,SUM($D563:$G563))</f>
        <v>0</v>
      </c>
      <c r="I563" s="26" t="str">
        <f aca="false">IF($H563=0,"",IF($H563&lt;=8,"Ótimo",IF($H563&lt;=12,"Bom",IF($H563&lt;=16,"Regular",IF($H563&lt;=20,"Alerta","Crítico")))))</f>
        <v/>
      </c>
      <c r="J563" s="27"/>
      <c r="K563" s="27"/>
    </row>
    <row r="564" customFormat="false" ht="15" hidden="false" customHeight="false" outlineLevel="0" collapsed="false">
      <c r="A564" s="29"/>
      <c r="B564" s="40" t="n">
        <f aca="false">IF($A564="",0,INT(($A564-Macrociclo!$C$11)/7)+1)</f>
        <v>0</v>
      </c>
      <c r="C564" s="27"/>
      <c r="D564" s="28"/>
      <c r="E564" s="28"/>
      <c r="F564" s="28"/>
      <c r="G564" s="28"/>
      <c r="H564" s="40" t="n">
        <f aca="false">IF(COUNT($D564:$G564)&lt;4,0,SUM($D564:$G564))</f>
        <v>0</v>
      </c>
      <c r="I564" s="26" t="str">
        <f aca="false">IF($H564=0,"",IF($H564&lt;=8,"Ótimo",IF($H564&lt;=12,"Bom",IF($H564&lt;=16,"Regular",IF($H564&lt;=20,"Alerta","Crítico")))))</f>
        <v/>
      </c>
      <c r="J564" s="27"/>
      <c r="K564" s="27"/>
    </row>
    <row r="565" customFormat="false" ht="15" hidden="false" customHeight="false" outlineLevel="0" collapsed="false">
      <c r="A565" s="29"/>
      <c r="B565" s="40" t="n">
        <f aca="false">IF($A565="",0,INT(($A565-Macrociclo!$C$11)/7)+1)</f>
        <v>0</v>
      </c>
      <c r="C565" s="27"/>
      <c r="D565" s="28"/>
      <c r="E565" s="28"/>
      <c r="F565" s="28"/>
      <c r="G565" s="28"/>
      <c r="H565" s="40" t="n">
        <f aca="false">IF(COUNT($D565:$G565)&lt;4,0,SUM($D565:$G565))</f>
        <v>0</v>
      </c>
      <c r="I565" s="26" t="str">
        <f aca="false">IF($H565=0,"",IF($H565&lt;=8,"Ótimo",IF($H565&lt;=12,"Bom",IF($H565&lt;=16,"Regular",IF($H565&lt;=20,"Alerta","Crítico")))))</f>
        <v/>
      </c>
      <c r="J565" s="27"/>
      <c r="K565" s="27"/>
    </row>
    <row r="566" customFormat="false" ht="15" hidden="false" customHeight="false" outlineLevel="0" collapsed="false">
      <c r="A566" s="29"/>
      <c r="B566" s="40" t="n">
        <f aca="false">IF($A566="",0,INT(($A566-Macrociclo!$C$11)/7)+1)</f>
        <v>0</v>
      </c>
      <c r="C566" s="27"/>
      <c r="D566" s="28"/>
      <c r="E566" s="28"/>
      <c r="F566" s="28"/>
      <c r="G566" s="28"/>
      <c r="H566" s="40" t="n">
        <f aca="false">IF(COUNT($D566:$G566)&lt;4,0,SUM($D566:$G566))</f>
        <v>0</v>
      </c>
      <c r="I566" s="26" t="str">
        <f aca="false">IF($H566=0,"",IF($H566&lt;=8,"Ótimo",IF($H566&lt;=12,"Bom",IF($H566&lt;=16,"Regular",IF($H566&lt;=20,"Alerta","Crítico")))))</f>
        <v/>
      </c>
      <c r="J566" s="27"/>
      <c r="K566" s="27"/>
    </row>
    <row r="567" customFormat="false" ht="15" hidden="false" customHeight="false" outlineLevel="0" collapsed="false">
      <c r="A567" s="29"/>
      <c r="B567" s="40" t="n">
        <f aca="false">IF($A567="",0,INT(($A567-Macrociclo!$C$11)/7)+1)</f>
        <v>0</v>
      </c>
      <c r="C567" s="27"/>
      <c r="D567" s="28"/>
      <c r="E567" s="28"/>
      <c r="F567" s="28"/>
      <c r="G567" s="28"/>
      <c r="H567" s="40" t="n">
        <f aca="false">IF(COUNT($D567:$G567)&lt;4,0,SUM($D567:$G567))</f>
        <v>0</v>
      </c>
      <c r="I567" s="26" t="str">
        <f aca="false">IF($H567=0,"",IF($H567&lt;=8,"Ótimo",IF($H567&lt;=12,"Bom",IF($H567&lt;=16,"Regular",IF($H567&lt;=20,"Alerta","Crítico")))))</f>
        <v/>
      </c>
      <c r="J567" s="27"/>
      <c r="K567" s="27"/>
    </row>
    <row r="568" customFormat="false" ht="15" hidden="false" customHeight="false" outlineLevel="0" collapsed="false">
      <c r="A568" s="29"/>
      <c r="B568" s="40" t="n">
        <f aca="false">IF($A568="",0,INT(($A568-Macrociclo!$C$11)/7)+1)</f>
        <v>0</v>
      </c>
      <c r="C568" s="27"/>
      <c r="D568" s="28"/>
      <c r="E568" s="28"/>
      <c r="F568" s="28"/>
      <c r="G568" s="28"/>
      <c r="H568" s="40" t="n">
        <f aca="false">IF(COUNT($D568:$G568)&lt;4,0,SUM($D568:$G568))</f>
        <v>0</v>
      </c>
      <c r="I568" s="26" t="str">
        <f aca="false">IF($H568=0,"",IF($H568&lt;=8,"Ótimo",IF($H568&lt;=12,"Bom",IF($H568&lt;=16,"Regular",IF($H568&lt;=20,"Alerta","Crítico")))))</f>
        <v/>
      </c>
      <c r="J568" s="27"/>
      <c r="K568" s="27"/>
    </row>
    <row r="569" customFormat="false" ht="15" hidden="false" customHeight="false" outlineLevel="0" collapsed="false">
      <c r="A569" s="29"/>
      <c r="B569" s="40" t="n">
        <f aca="false">IF($A569="",0,INT(($A569-Macrociclo!$C$11)/7)+1)</f>
        <v>0</v>
      </c>
      <c r="C569" s="27"/>
      <c r="D569" s="28"/>
      <c r="E569" s="28"/>
      <c r="F569" s="28"/>
      <c r="G569" s="28"/>
      <c r="H569" s="40" t="n">
        <f aca="false">IF(COUNT($D569:$G569)&lt;4,0,SUM($D569:$G569))</f>
        <v>0</v>
      </c>
      <c r="I569" s="26" t="str">
        <f aca="false">IF($H569=0,"",IF($H569&lt;=8,"Ótimo",IF($H569&lt;=12,"Bom",IF($H569&lt;=16,"Regular",IF($H569&lt;=20,"Alerta","Crítico")))))</f>
        <v/>
      </c>
      <c r="J569" s="27"/>
      <c r="K569" s="27"/>
    </row>
    <row r="570" customFormat="false" ht="15" hidden="false" customHeight="false" outlineLevel="0" collapsed="false">
      <c r="A570" s="29"/>
      <c r="B570" s="40" t="n">
        <f aca="false">IF($A570="",0,INT(($A570-Macrociclo!$C$11)/7)+1)</f>
        <v>0</v>
      </c>
      <c r="C570" s="27"/>
      <c r="D570" s="28"/>
      <c r="E570" s="28"/>
      <c r="F570" s="28"/>
      <c r="G570" s="28"/>
      <c r="H570" s="40" t="n">
        <f aca="false">IF(COUNT($D570:$G570)&lt;4,0,SUM($D570:$G570))</f>
        <v>0</v>
      </c>
      <c r="I570" s="26" t="str">
        <f aca="false">IF($H570=0,"",IF($H570&lt;=8,"Ótimo",IF($H570&lt;=12,"Bom",IF($H570&lt;=16,"Regular",IF($H570&lt;=20,"Alerta","Crítico")))))</f>
        <v/>
      </c>
      <c r="J570" s="27"/>
      <c r="K570" s="27"/>
    </row>
    <row r="571" customFormat="false" ht="15" hidden="false" customHeight="false" outlineLevel="0" collapsed="false">
      <c r="A571" s="29"/>
      <c r="B571" s="40" t="n">
        <f aca="false">IF($A571="",0,INT(($A571-Macrociclo!$C$11)/7)+1)</f>
        <v>0</v>
      </c>
      <c r="C571" s="27"/>
      <c r="D571" s="28"/>
      <c r="E571" s="28"/>
      <c r="F571" s="28"/>
      <c r="G571" s="28"/>
      <c r="H571" s="40" t="n">
        <f aca="false">IF(COUNT($D571:$G571)&lt;4,0,SUM($D571:$G571))</f>
        <v>0</v>
      </c>
      <c r="I571" s="26" t="str">
        <f aca="false">IF($H571=0,"",IF($H571&lt;=8,"Ótimo",IF($H571&lt;=12,"Bom",IF($H571&lt;=16,"Regular",IF($H571&lt;=20,"Alerta","Crítico")))))</f>
        <v/>
      </c>
      <c r="J571" s="27"/>
      <c r="K571" s="27"/>
    </row>
    <row r="572" customFormat="false" ht="15" hidden="false" customHeight="false" outlineLevel="0" collapsed="false">
      <c r="A572" s="29"/>
      <c r="B572" s="40" t="n">
        <f aca="false">IF($A572="",0,INT(($A572-Macrociclo!$C$11)/7)+1)</f>
        <v>0</v>
      </c>
      <c r="C572" s="27"/>
      <c r="D572" s="28"/>
      <c r="E572" s="28"/>
      <c r="F572" s="28"/>
      <c r="G572" s="28"/>
      <c r="H572" s="40" t="n">
        <f aca="false">IF(COUNT($D572:$G572)&lt;4,0,SUM($D572:$G572))</f>
        <v>0</v>
      </c>
      <c r="I572" s="26" t="str">
        <f aca="false">IF($H572=0,"",IF($H572&lt;=8,"Ótimo",IF($H572&lt;=12,"Bom",IF($H572&lt;=16,"Regular",IF($H572&lt;=20,"Alerta","Crítico")))))</f>
        <v/>
      </c>
      <c r="J572" s="27"/>
      <c r="K572" s="27"/>
    </row>
    <row r="573" customFormat="false" ht="15" hidden="false" customHeight="false" outlineLevel="0" collapsed="false">
      <c r="A573" s="29"/>
      <c r="B573" s="40" t="n">
        <f aca="false">IF($A573="",0,INT(($A573-Macrociclo!$C$11)/7)+1)</f>
        <v>0</v>
      </c>
      <c r="C573" s="27"/>
      <c r="D573" s="28"/>
      <c r="E573" s="28"/>
      <c r="F573" s="28"/>
      <c r="G573" s="28"/>
      <c r="H573" s="40" t="n">
        <f aca="false">IF(COUNT($D573:$G573)&lt;4,0,SUM($D573:$G573))</f>
        <v>0</v>
      </c>
      <c r="I573" s="26" t="str">
        <f aca="false">IF($H573=0,"",IF($H573&lt;=8,"Ótimo",IF($H573&lt;=12,"Bom",IF($H573&lt;=16,"Regular",IF($H573&lt;=20,"Alerta","Crítico")))))</f>
        <v/>
      </c>
      <c r="J573" s="27"/>
      <c r="K573" s="27"/>
    </row>
    <row r="574" customFormat="false" ht="15" hidden="false" customHeight="false" outlineLevel="0" collapsed="false">
      <c r="A574" s="29"/>
      <c r="B574" s="40" t="n">
        <f aca="false">IF($A574="",0,INT(($A574-Macrociclo!$C$11)/7)+1)</f>
        <v>0</v>
      </c>
      <c r="C574" s="27"/>
      <c r="D574" s="28"/>
      <c r="E574" s="28"/>
      <c r="F574" s="28"/>
      <c r="G574" s="28"/>
      <c r="H574" s="40" t="n">
        <f aca="false">IF(COUNT($D574:$G574)&lt;4,0,SUM($D574:$G574))</f>
        <v>0</v>
      </c>
      <c r="I574" s="26" t="str">
        <f aca="false">IF($H574=0,"",IF($H574&lt;=8,"Ótimo",IF($H574&lt;=12,"Bom",IF($H574&lt;=16,"Regular",IF($H574&lt;=20,"Alerta","Crítico")))))</f>
        <v/>
      </c>
      <c r="J574" s="27"/>
      <c r="K574" s="27"/>
    </row>
    <row r="575" customFormat="false" ht="15" hidden="false" customHeight="false" outlineLevel="0" collapsed="false">
      <c r="A575" s="29"/>
      <c r="B575" s="40" t="n">
        <f aca="false">IF($A575="",0,INT(($A575-Macrociclo!$C$11)/7)+1)</f>
        <v>0</v>
      </c>
      <c r="C575" s="27"/>
      <c r="D575" s="28"/>
      <c r="E575" s="28"/>
      <c r="F575" s="28"/>
      <c r="G575" s="28"/>
      <c r="H575" s="40" t="n">
        <f aca="false">IF(COUNT($D575:$G575)&lt;4,0,SUM($D575:$G575))</f>
        <v>0</v>
      </c>
      <c r="I575" s="26" t="str">
        <f aca="false">IF($H575=0,"",IF($H575&lt;=8,"Ótimo",IF($H575&lt;=12,"Bom",IF($H575&lt;=16,"Regular",IF($H575&lt;=20,"Alerta","Crítico")))))</f>
        <v/>
      </c>
      <c r="J575" s="27"/>
      <c r="K575" s="27"/>
    </row>
    <row r="576" customFormat="false" ht="15" hidden="false" customHeight="false" outlineLevel="0" collapsed="false">
      <c r="A576" s="29"/>
      <c r="B576" s="40" t="n">
        <f aca="false">IF($A576="",0,INT(($A576-Macrociclo!$C$11)/7)+1)</f>
        <v>0</v>
      </c>
      <c r="C576" s="27"/>
      <c r="D576" s="28"/>
      <c r="E576" s="28"/>
      <c r="F576" s="28"/>
      <c r="G576" s="28"/>
      <c r="H576" s="40" t="n">
        <f aca="false">IF(COUNT($D576:$G576)&lt;4,0,SUM($D576:$G576))</f>
        <v>0</v>
      </c>
      <c r="I576" s="26" t="str">
        <f aca="false">IF($H576=0,"",IF($H576&lt;=8,"Ótimo",IF($H576&lt;=12,"Bom",IF($H576&lt;=16,"Regular",IF($H576&lt;=20,"Alerta","Crítico")))))</f>
        <v/>
      </c>
      <c r="J576" s="27"/>
      <c r="K576" s="27"/>
    </row>
    <row r="577" customFormat="false" ht="15" hidden="false" customHeight="false" outlineLevel="0" collapsed="false">
      <c r="A577" s="29"/>
      <c r="B577" s="40" t="n">
        <f aca="false">IF($A577="",0,INT(($A577-Macrociclo!$C$11)/7)+1)</f>
        <v>0</v>
      </c>
      <c r="C577" s="27"/>
      <c r="D577" s="28"/>
      <c r="E577" s="28"/>
      <c r="F577" s="28"/>
      <c r="G577" s="28"/>
      <c r="H577" s="40" t="n">
        <f aca="false">IF(COUNT($D577:$G577)&lt;4,0,SUM($D577:$G577))</f>
        <v>0</v>
      </c>
      <c r="I577" s="26" t="str">
        <f aca="false">IF($H577=0,"",IF($H577&lt;=8,"Ótimo",IF($H577&lt;=12,"Bom",IF($H577&lt;=16,"Regular",IF($H577&lt;=20,"Alerta","Crítico")))))</f>
        <v/>
      </c>
      <c r="J577" s="27"/>
      <c r="K577" s="27"/>
    </row>
    <row r="578" customFormat="false" ht="15" hidden="false" customHeight="false" outlineLevel="0" collapsed="false">
      <c r="A578" s="29"/>
      <c r="B578" s="40" t="n">
        <f aca="false">IF($A578="",0,INT(($A578-Macrociclo!$C$11)/7)+1)</f>
        <v>0</v>
      </c>
      <c r="C578" s="27"/>
      <c r="D578" s="28"/>
      <c r="E578" s="28"/>
      <c r="F578" s="28"/>
      <c r="G578" s="28"/>
      <c r="H578" s="40" t="n">
        <f aca="false">IF(COUNT($D578:$G578)&lt;4,0,SUM($D578:$G578))</f>
        <v>0</v>
      </c>
      <c r="I578" s="26" t="str">
        <f aca="false">IF($H578=0,"",IF($H578&lt;=8,"Ótimo",IF($H578&lt;=12,"Bom",IF($H578&lt;=16,"Regular",IF($H578&lt;=20,"Alerta","Crítico")))))</f>
        <v/>
      </c>
      <c r="J578" s="27"/>
      <c r="K578" s="27"/>
    </row>
    <row r="579" customFormat="false" ht="15" hidden="false" customHeight="false" outlineLevel="0" collapsed="false">
      <c r="A579" s="29"/>
      <c r="B579" s="40" t="n">
        <f aca="false">IF($A579="",0,INT(($A579-Macrociclo!$C$11)/7)+1)</f>
        <v>0</v>
      </c>
      <c r="C579" s="27"/>
      <c r="D579" s="28"/>
      <c r="E579" s="28"/>
      <c r="F579" s="28"/>
      <c r="G579" s="28"/>
      <c r="H579" s="40" t="n">
        <f aca="false">IF(COUNT($D579:$G579)&lt;4,0,SUM($D579:$G579))</f>
        <v>0</v>
      </c>
      <c r="I579" s="26" t="str">
        <f aca="false">IF($H579=0,"",IF($H579&lt;=8,"Ótimo",IF($H579&lt;=12,"Bom",IF($H579&lt;=16,"Regular",IF($H579&lt;=20,"Alerta","Crítico")))))</f>
        <v/>
      </c>
      <c r="J579" s="27"/>
      <c r="K579" s="27"/>
    </row>
    <row r="580" customFormat="false" ht="15" hidden="false" customHeight="false" outlineLevel="0" collapsed="false">
      <c r="A580" s="29"/>
      <c r="B580" s="40" t="n">
        <f aca="false">IF($A580="",0,INT(($A580-Macrociclo!$C$11)/7)+1)</f>
        <v>0</v>
      </c>
      <c r="C580" s="27"/>
      <c r="D580" s="28"/>
      <c r="E580" s="28"/>
      <c r="F580" s="28"/>
      <c r="G580" s="28"/>
      <c r="H580" s="40" t="n">
        <f aca="false">IF(COUNT($D580:$G580)&lt;4,0,SUM($D580:$G580))</f>
        <v>0</v>
      </c>
      <c r="I580" s="26" t="str">
        <f aca="false">IF($H580=0,"",IF($H580&lt;=8,"Ótimo",IF($H580&lt;=12,"Bom",IF($H580&lt;=16,"Regular",IF($H580&lt;=20,"Alerta","Crítico")))))</f>
        <v/>
      </c>
      <c r="J580" s="27"/>
      <c r="K580" s="27"/>
    </row>
    <row r="581" customFormat="false" ht="15" hidden="false" customHeight="false" outlineLevel="0" collapsed="false">
      <c r="A581" s="29"/>
      <c r="B581" s="40" t="n">
        <f aca="false">IF($A581="",0,INT(($A581-Macrociclo!$C$11)/7)+1)</f>
        <v>0</v>
      </c>
      <c r="C581" s="27"/>
      <c r="D581" s="28"/>
      <c r="E581" s="28"/>
      <c r="F581" s="28"/>
      <c r="G581" s="28"/>
      <c r="H581" s="40" t="n">
        <f aca="false">IF(COUNT($D581:$G581)&lt;4,0,SUM($D581:$G581))</f>
        <v>0</v>
      </c>
      <c r="I581" s="26" t="str">
        <f aca="false">IF($H581=0,"",IF($H581&lt;=8,"Ótimo",IF($H581&lt;=12,"Bom",IF($H581&lt;=16,"Regular",IF($H581&lt;=20,"Alerta","Crítico")))))</f>
        <v/>
      </c>
      <c r="J581" s="27"/>
      <c r="K581" s="27"/>
    </row>
    <row r="582" customFormat="false" ht="15" hidden="false" customHeight="false" outlineLevel="0" collapsed="false">
      <c r="A582" s="29"/>
      <c r="B582" s="40" t="n">
        <f aca="false">IF($A582="",0,INT(($A582-Macrociclo!$C$11)/7)+1)</f>
        <v>0</v>
      </c>
      <c r="C582" s="27"/>
      <c r="D582" s="28"/>
      <c r="E582" s="28"/>
      <c r="F582" s="28"/>
      <c r="G582" s="28"/>
      <c r="H582" s="40" t="n">
        <f aca="false">IF(COUNT($D582:$G582)&lt;4,0,SUM($D582:$G582))</f>
        <v>0</v>
      </c>
      <c r="I582" s="26" t="str">
        <f aca="false">IF($H582=0,"",IF($H582&lt;=8,"Ótimo",IF($H582&lt;=12,"Bom",IF($H582&lt;=16,"Regular",IF($H582&lt;=20,"Alerta","Crítico")))))</f>
        <v/>
      </c>
      <c r="J582" s="27"/>
      <c r="K582" s="27"/>
    </row>
    <row r="583" customFormat="false" ht="15" hidden="false" customHeight="false" outlineLevel="0" collapsed="false">
      <c r="A583" s="29"/>
      <c r="B583" s="40" t="n">
        <f aca="false">IF($A583="",0,INT(($A583-Macrociclo!$C$11)/7)+1)</f>
        <v>0</v>
      </c>
      <c r="C583" s="27"/>
      <c r="D583" s="28"/>
      <c r="E583" s="28"/>
      <c r="F583" s="28"/>
      <c r="G583" s="28"/>
      <c r="H583" s="40" t="n">
        <f aca="false">IF(COUNT($D583:$G583)&lt;4,0,SUM($D583:$G583))</f>
        <v>0</v>
      </c>
      <c r="I583" s="26" t="str">
        <f aca="false">IF($H583=0,"",IF($H583&lt;=8,"Ótimo",IF($H583&lt;=12,"Bom",IF($H583&lt;=16,"Regular",IF($H583&lt;=20,"Alerta","Crítico")))))</f>
        <v/>
      </c>
      <c r="J583" s="27"/>
      <c r="K583" s="27"/>
    </row>
    <row r="584" customFormat="false" ht="15" hidden="false" customHeight="false" outlineLevel="0" collapsed="false">
      <c r="A584" s="29"/>
      <c r="B584" s="40" t="n">
        <f aca="false">IF($A584="",0,INT(($A584-Macrociclo!$C$11)/7)+1)</f>
        <v>0</v>
      </c>
      <c r="C584" s="27"/>
      <c r="D584" s="28"/>
      <c r="E584" s="28"/>
      <c r="F584" s="28"/>
      <c r="G584" s="28"/>
      <c r="H584" s="40" t="n">
        <f aca="false">IF(COUNT($D584:$G584)&lt;4,0,SUM($D584:$G584))</f>
        <v>0</v>
      </c>
      <c r="I584" s="26" t="str">
        <f aca="false">IF($H584=0,"",IF($H584&lt;=8,"Ótimo",IF($H584&lt;=12,"Bom",IF($H584&lt;=16,"Regular",IF($H584&lt;=20,"Alerta","Crítico")))))</f>
        <v/>
      </c>
      <c r="J584" s="27"/>
      <c r="K584" s="27"/>
    </row>
    <row r="585" customFormat="false" ht="15" hidden="false" customHeight="false" outlineLevel="0" collapsed="false">
      <c r="A585" s="29"/>
      <c r="B585" s="40" t="n">
        <f aca="false">IF($A585="",0,INT(($A585-Macrociclo!$C$11)/7)+1)</f>
        <v>0</v>
      </c>
      <c r="C585" s="27"/>
      <c r="D585" s="28"/>
      <c r="E585" s="28"/>
      <c r="F585" s="28"/>
      <c r="G585" s="28"/>
      <c r="H585" s="40" t="n">
        <f aca="false">IF(COUNT($D585:$G585)&lt;4,0,SUM($D585:$G585))</f>
        <v>0</v>
      </c>
      <c r="I585" s="26" t="str">
        <f aca="false">IF($H585=0,"",IF($H585&lt;=8,"Ótimo",IF($H585&lt;=12,"Bom",IF($H585&lt;=16,"Regular",IF($H585&lt;=20,"Alerta","Crítico")))))</f>
        <v/>
      </c>
      <c r="J585" s="27"/>
      <c r="K585" s="27"/>
    </row>
    <row r="586" customFormat="false" ht="15" hidden="false" customHeight="false" outlineLevel="0" collapsed="false">
      <c r="A586" s="29"/>
      <c r="B586" s="40" t="n">
        <f aca="false">IF($A586="",0,INT(($A586-Macrociclo!$C$11)/7)+1)</f>
        <v>0</v>
      </c>
      <c r="C586" s="27"/>
      <c r="D586" s="28"/>
      <c r="E586" s="28"/>
      <c r="F586" s="28"/>
      <c r="G586" s="28"/>
      <c r="H586" s="40" t="n">
        <f aca="false">IF(COUNT($D586:$G586)&lt;4,0,SUM($D586:$G586))</f>
        <v>0</v>
      </c>
      <c r="I586" s="26" t="str">
        <f aca="false">IF($H586=0,"",IF($H586&lt;=8,"Ótimo",IF($H586&lt;=12,"Bom",IF($H586&lt;=16,"Regular",IF($H586&lt;=20,"Alerta","Crítico")))))</f>
        <v/>
      </c>
      <c r="J586" s="27"/>
      <c r="K586" s="27"/>
    </row>
    <row r="587" customFormat="false" ht="15" hidden="false" customHeight="false" outlineLevel="0" collapsed="false">
      <c r="A587" s="29"/>
      <c r="B587" s="40" t="n">
        <f aca="false">IF($A587="",0,INT(($A587-Macrociclo!$C$11)/7)+1)</f>
        <v>0</v>
      </c>
      <c r="C587" s="27"/>
      <c r="D587" s="28"/>
      <c r="E587" s="28"/>
      <c r="F587" s="28"/>
      <c r="G587" s="28"/>
      <c r="H587" s="40" t="n">
        <f aca="false">IF(COUNT($D587:$G587)&lt;4,0,SUM($D587:$G587))</f>
        <v>0</v>
      </c>
      <c r="I587" s="26" t="str">
        <f aca="false">IF($H587=0,"",IF($H587&lt;=8,"Ótimo",IF($H587&lt;=12,"Bom",IF($H587&lt;=16,"Regular",IF($H587&lt;=20,"Alerta","Crítico")))))</f>
        <v/>
      </c>
      <c r="J587" s="27"/>
      <c r="K587" s="27"/>
    </row>
    <row r="588" customFormat="false" ht="15" hidden="false" customHeight="false" outlineLevel="0" collapsed="false">
      <c r="A588" s="29"/>
      <c r="B588" s="40" t="n">
        <f aca="false">IF($A588="",0,INT(($A588-Macrociclo!$C$11)/7)+1)</f>
        <v>0</v>
      </c>
      <c r="C588" s="27"/>
      <c r="D588" s="28"/>
      <c r="E588" s="28"/>
      <c r="F588" s="28"/>
      <c r="G588" s="28"/>
      <c r="H588" s="40" t="n">
        <f aca="false">IF(COUNT($D588:$G588)&lt;4,0,SUM($D588:$G588))</f>
        <v>0</v>
      </c>
      <c r="I588" s="26" t="str">
        <f aca="false">IF($H588=0,"",IF($H588&lt;=8,"Ótimo",IF($H588&lt;=12,"Bom",IF($H588&lt;=16,"Regular",IF($H588&lt;=20,"Alerta","Crítico")))))</f>
        <v/>
      </c>
      <c r="J588" s="27"/>
      <c r="K588" s="27"/>
    </row>
    <row r="589" customFormat="false" ht="15" hidden="false" customHeight="false" outlineLevel="0" collapsed="false">
      <c r="A589" s="29"/>
      <c r="B589" s="40" t="n">
        <f aca="false">IF($A589="",0,INT(($A589-Macrociclo!$C$11)/7)+1)</f>
        <v>0</v>
      </c>
      <c r="C589" s="27"/>
      <c r="D589" s="28"/>
      <c r="E589" s="28"/>
      <c r="F589" s="28"/>
      <c r="G589" s="28"/>
      <c r="H589" s="40" t="n">
        <f aca="false">IF(COUNT($D589:$G589)&lt;4,0,SUM($D589:$G589))</f>
        <v>0</v>
      </c>
      <c r="I589" s="26" t="str">
        <f aca="false">IF($H589=0,"",IF($H589&lt;=8,"Ótimo",IF($H589&lt;=12,"Bom",IF($H589&lt;=16,"Regular",IF($H589&lt;=20,"Alerta","Crítico")))))</f>
        <v/>
      </c>
      <c r="J589" s="27"/>
      <c r="K589" s="27"/>
    </row>
    <row r="590" customFormat="false" ht="15" hidden="false" customHeight="false" outlineLevel="0" collapsed="false">
      <c r="A590" s="29"/>
      <c r="B590" s="40" t="n">
        <f aca="false">IF($A590="",0,INT(($A590-Macrociclo!$C$11)/7)+1)</f>
        <v>0</v>
      </c>
      <c r="C590" s="27"/>
      <c r="D590" s="28"/>
      <c r="E590" s="28"/>
      <c r="F590" s="28"/>
      <c r="G590" s="28"/>
      <c r="H590" s="40" t="n">
        <f aca="false">IF(COUNT($D590:$G590)&lt;4,0,SUM($D590:$G590))</f>
        <v>0</v>
      </c>
      <c r="I590" s="26" t="str">
        <f aca="false">IF($H590=0,"",IF($H590&lt;=8,"Ótimo",IF($H590&lt;=12,"Bom",IF($H590&lt;=16,"Regular",IF($H590&lt;=20,"Alerta","Crítico")))))</f>
        <v/>
      </c>
      <c r="J590" s="27"/>
      <c r="K590" s="27"/>
    </row>
    <row r="591" customFormat="false" ht="15" hidden="false" customHeight="false" outlineLevel="0" collapsed="false">
      <c r="A591" s="29"/>
      <c r="B591" s="40" t="n">
        <f aca="false">IF($A591="",0,INT(($A591-Macrociclo!$C$11)/7)+1)</f>
        <v>0</v>
      </c>
      <c r="C591" s="27"/>
      <c r="D591" s="28"/>
      <c r="E591" s="28"/>
      <c r="F591" s="28"/>
      <c r="G591" s="28"/>
      <c r="H591" s="40" t="n">
        <f aca="false">IF(COUNT($D591:$G591)&lt;4,0,SUM($D591:$G591))</f>
        <v>0</v>
      </c>
      <c r="I591" s="26" t="str">
        <f aca="false">IF($H591=0,"",IF($H591&lt;=8,"Ótimo",IF($H591&lt;=12,"Bom",IF($H591&lt;=16,"Regular",IF($H591&lt;=20,"Alerta","Crítico")))))</f>
        <v/>
      </c>
      <c r="J591" s="27"/>
      <c r="K591" s="27"/>
    </row>
    <row r="592" customFormat="false" ht="15" hidden="false" customHeight="false" outlineLevel="0" collapsed="false">
      <c r="A592" s="29"/>
      <c r="B592" s="40" t="n">
        <f aca="false">IF($A592="",0,INT(($A592-Macrociclo!$C$11)/7)+1)</f>
        <v>0</v>
      </c>
      <c r="C592" s="27"/>
      <c r="D592" s="28"/>
      <c r="E592" s="28"/>
      <c r="F592" s="28"/>
      <c r="G592" s="28"/>
      <c r="H592" s="40" t="n">
        <f aca="false">IF(COUNT($D592:$G592)&lt;4,0,SUM($D592:$G592))</f>
        <v>0</v>
      </c>
      <c r="I592" s="26" t="str">
        <f aca="false">IF($H592=0,"",IF($H592&lt;=8,"Ótimo",IF($H592&lt;=12,"Bom",IF($H592&lt;=16,"Regular",IF($H592&lt;=20,"Alerta","Crítico")))))</f>
        <v/>
      </c>
      <c r="J592" s="27"/>
      <c r="K592" s="27"/>
    </row>
    <row r="593" customFormat="false" ht="15" hidden="false" customHeight="false" outlineLevel="0" collapsed="false">
      <c r="A593" s="29"/>
      <c r="B593" s="40" t="n">
        <f aca="false">IF($A593="",0,INT(($A593-Macrociclo!$C$11)/7)+1)</f>
        <v>0</v>
      </c>
      <c r="C593" s="27"/>
      <c r="D593" s="28"/>
      <c r="E593" s="28"/>
      <c r="F593" s="28"/>
      <c r="G593" s="28"/>
      <c r="H593" s="40" t="n">
        <f aca="false">IF(COUNT($D593:$G593)&lt;4,0,SUM($D593:$G593))</f>
        <v>0</v>
      </c>
      <c r="I593" s="26" t="str">
        <f aca="false">IF($H593=0,"",IF($H593&lt;=8,"Ótimo",IF($H593&lt;=12,"Bom",IF($H593&lt;=16,"Regular",IF($H593&lt;=20,"Alerta","Crítico")))))</f>
        <v/>
      </c>
      <c r="J593" s="27"/>
      <c r="K593" s="27"/>
    </row>
    <row r="594" customFormat="false" ht="15" hidden="false" customHeight="false" outlineLevel="0" collapsed="false">
      <c r="A594" s="29"/>
      <c r="B594" s="40" t="n">
        <f aca="false">IF($A594="",0,INT(($A594-Macrociclo!$C$11)/7)+1)</f>
        <v>0</v>
      </c>
      <c r="C594" s="27"/>
      <c r="D594" s="28"/>
      <c r="E594" s="28"/>
      <c r="F594" s="28"/>
      <c r="G594" s="28"/>
      <c r="H594" s="40" t="n">
        <f aca="false">IF(COUNT($D594:$G594)&lt;4,0,SUM($D594:$G594))</f>
        <v>0</v>
      </c>
      <c r="I594" s="26" t="str">
        <f aca="false">IF($H594=0,"",IF($H594&lt;=8,"Ótimo",IF($H594&lt;=12,"Bom",IF($H594&lt;=16,"Regular",IF($H594&lt;=20,"Alerta","Crítico")))))</f>
        <v/>
      </c>
      <c r="J594" s="27"/>
      <c r="K594" s="27"/>
    </row>
    <row r="595" customFormat="false" ht="15" hidden="false" customHeight="false" outlineLevel="0" collapsed="false">
      <c r="A595" s="29"/>
      <c r="B595" s="40" t="n">
        <f aca="false">IF($A595="",0,INT(($A595-Macrociclo!$C$11)/7)+1)</f>
        <v>0</v>
      </c>
      <c r="C595" s="27"/>
      <c r="D595" s="28"/>
      <c r="E595" s="28"/>
      <c r="F595" s="28"/>
      <c r="G595" s="28"/>
      <c r="H595" s="40" t="n">
        <f aca="false">IF(COUNT($D595:$G595)&lt;4,0,SUM($D595:$G595))</f>
        <v>0</v>
      </c>
      <c r="I595" s="26" t="str">
        <f aca="false">IF($H595=0,"",IF($H595&lt;=8,"Ótimo",IF($H595&lt;=12,"Bom",IF($H595&lt;=16,"Regular",IF($H595&lt;=20,"Alerta","Crítico")))))</f>
        <v/>
      </c>
      <c r="J595" s="27"/>
      <c r="K595" s="27"/>
    </row>
    <row r="596" customFormat="false" ht="15" hidden="false" customHeight="false" outlineLevel="0" collapsed="false">
      <c r="A596" s="29"/>
      <c r="B596" s="40" t="n">
        <f aca="false">IF($A596="",0,INT(($A596-Macrociclo!$C$11)/7)+1)</f>
        <v>0</v>
      </c>
      <c r="C596" s="27"/>
      <c r="D596" s="28"/>
      <c r="E596" s="28"/>
      <c r="F596" s="28"/>
      <c r="G596" s="28"/>
      <c r="H596" s="40" t="n">
        <f aca="false">IF(COUNT($D596:$G596)&lt;4,0,SUM($D596:$G596))</f>
        <v>0</v>
      </c>
      <c r="I596" s="26" t="str">
        <f aca="false">IF($H596=0,"",IF($H596&lt;=8,"Ótimo",IF($H596&lt;=12,"Bom",IF($H596&lt;=16,"Regular",IF($H596&lt;=20,"Alerta","Crítico")))))</f>
        <v/>
      </c>
      <c r="J596" s="27"/>
      <c r="K596" s="27"/>
    </row>
    <row r="597" customFormat="false" ht="15" hidden="false" customHeight="false" outlineLevel="0" collapsed="false">
      <c r="A597" s="29"/>
      <c r="B597" s="40" t="n">
        <f aca="false">IF($A597="",0,INT(($A597-Macrociclo!$C$11)/7)+1)</f>
        <v>0</v>
      </c>
      <c r="C597" s="27"/>
      <c r="D597" s="28"/>
      <c r="E597" s="28"/>
      <c r="F597" s="28"/>
      <c r="G597" s="28"/>
      <c r="H597" s="40" t="n">
        <f aca="false">IF(COUNT($D597:$G597)&lt;4,0,SUM($D597:$G597))</f>
        <v>0</v>
      </c>
      <c r="I597" s="26" t="str">
        <f aca="false">IF($H597=0,"",IF($H597&lt;=8,"Ótimo",IF($H597&lt;=12,"Bom",IF($H597&lt;=16,"Regular",IF($H597&lt;=20,"Alerta","Crítico")))))</f>
        <v/>
      </c>
      <c r="J597" s="27"/>
      <c r="K597" s="27"/>
    </row>
    <row r="598" customFormat="false" ht="15" hidden="false" customHeight="false" outlineLevel="0" collapsed="false">
      <c r="A598" s="29"/>
      <c r="B598" s="40" t="n">
        <f aca="false">IF($A598="",0,INT(($A598-Macrociclo!$C$11)/7)+1)</f>
        <v>0</v>
      </c>
      <c r="C598" s="27"/>
      <c r="D598" s="28"/>
      <c r="E598" s="28"/>
      <c r="F598" s="28"/>
      <c r="G598" s="28"/>
      <c r="H598" s="40" t="n">
        <f aca="false">IF(COUNT($D598:$G598)&lt;4,0,SUM($D598:$G598))</f>
        <v>0</v>
      </c>
      <c r="I598" s="26" t="str">
        <f aca="false">IF($H598=0,"",IF($H598&lt;=8,"Ótimo",IF($H598&lt;=12,"Bom",IF($H598&lt;=16,"Regular",IF($H598&lt;=20,"Alerta","Crítico")))))</f>
        <v/>
      </c>
      <c r="J598" s="27"/>
      <c r="K598" s="27"/>
    </row>
    <row r="599" customFormat="false" ht="15" hidden="false" customHeight="false" outlineLevel="0" collapsed="false">
      <c r="A599" s="29"/>
      <c r="B599" s="40" t="n">
        <f aca="false">IF($A599="",0,INT(($A599-Macrociclo!$C$11)/7)+1)</f>
        <v>0</v>
      </c>
      <c r="C599" s="27"/>
      <c r="D599" s="28"/>
      <c r="E599" s="28"/>
      <c r="F599" s="28"/>
      <c r="G599" s="28"/>
      <c r="H599" s="40" t="n">
        <f aca="false">IF(COUNT($D599:$G599)&lt;4,0,SUM($D599:$G599))</f>
        <v>0</v>
      </c>
      <c r="I599" s="26" t="str">
        <f aca="false">IF($H599=0,"",IF($H599&lt;=8,"Ótimo",IF($H599&lt;=12,"Bom",IF($H599&lt;=16,"Regular",IF($H599&lt;=20,"Alerta","Crítico")))))</f>
        <v/>
      </c>
      <c r="J599" s="27"/>
      <c r="K599" s="27"/>
    </row>
    <row r="600" customFormat="false" ht="15" hidden="false" customHeight="false" outlineLevel="0" collapsed="false">
      <c r="A600" s="29"/>
      <c r="B600" s="40" t="n">
        <f aca="false">IF($A600="",0,INT(($A600-Macrociclo!$C$11)/7)+1)</f>
        <v>0</v>
      </c>
      <c r="C600" s="27"/>
      <c r="D600" s="28"/>
      <c r="E600" s="28"/>
      <c r="F600" s="28"/>
      <c r="G600" s="28"/>
      <c r="H600" s="40" t="n">
        <f aca="false">IF(COUNT($D600:$G600)&lt;4,0,SUM($D600:$G600))</f>
        <v>0</v>
      </c>
      <c r="I600" s="26" t="str">
        <f aca="false">IF($H600=0,"",IF($H600&lt;=8,"Ótimo",IF($H600&lt;=12,"Bom",IF($H600&lt;=16,"Regular",IF($H600&lt;=20,"Alerta","Crítico")))))</f>
        <v/>
      </c>
      <c r="J600" s="27"/>
      <c r="K600" s="27"/>
    </row>
    <row r="601" customFormat="false" ht="15" hidden="false" customHeight="false" outlineLevel="0" collapsed="false">
      <c r="A601" s="29"/>
      <c r="B601" s="40" t="n">
        <f aca="false">IF($A601="",0,INT(($A601-Macrociclo!$C$11)/7)+1)</f>
        <v>0</v>
      </c>
      <c r="C601" s="27"/>
      <c r="D601" s="28"/>
      <c r="E601" s="28"/>
      <c r="F601" s="28"/>
      <c r="G601" s="28"/>
      <c r="H601" s="40" t="n">
        <f aca="false">IF(COUNT($D601:$G601)&lt;4,0,SUM($D601:$G601))</f>
        <v>0</v>
      </c>
      <c r="I601" s="26" t="str">
        <f aca="false">IF($H601=0,"",IF($H601&lt;=8,"Ótimo",IF($H601&lt;=12,"Bom",IF($H601&lt;=16,"Regular",IF($H601&lt;=20,"Alerta","Crítico")))))</f>
        <v/>
      </c>
      <c r="J601" s="27"/>
      <c r="K601" s="27"/>
    </row>
    <row r="602" customFormat="false" ht="15" hidden="false" customHeight="false" outlineLevel="0" collapsed="false">
      <c r="A602" s="29"/>
      <c r="B602" s="40" t="n">
        <f aca="false">IF($A602="",0,INT(($A602-Macrociclo!$C$11)/7)+1)</f>
        <v>0</v>
      </c>
      <c r="C602" s="27"/>
      <c r="D602" s="28"/>
      <c r="E602" s="28"/>
      <c r="F602" s="28"/>
      <c r="G602" s="28"/>
      <c r="H602" s="40" t="n">
        <f aca="false">IF(COUNT($D602:$G602)&lt;4,0,SUM($D602:$G602))</f>
        <v>0</v>
      </c>
      <c r="I602" s="26" t="str">
        <f aca="false">IF($H602=0,"",IF($H602&lt;=8,"Ótimo",IF($H602&lt;=12,"Bom",IF($H602&lt;=16,"Regular",IF($H602&lt;=20,"Alerta","Crítico")))))</f>
        <v/>
      </c>
      <c r="J602" s="27"/>
      <c r="K602" s="27"/>
    </row>
    <row r="603" customFormat="false" ht="15" hidden="false" customHeight="false" outlineLevel="0" collapsed="false">
      <c r="A603" s="29"/>
      <c r="B603" s="40" t="n">
        <f aca="false">IF($A603="",0,INT(($A603-Macrociclo!$C$11)/7)+1)</f>
        <v>0</v>
      </c>
      <c r="C603" s="27"/>
      <c r="D603" s="28"/>
      <c r="E603" s="28"/>
      <c r="F603" s="28"/>
      <c r="G603" s="28"/>
      <c r="H603" s="40" t="n">
        <f aca="false">IF(COUNT($D603:$G603)&lt;4,0,SUM($D603:$G603))</f>
        <v>0</v>
      </c>
      <c r="I603" s="26" t="str">
        <f aca="false">IF($H603=0,"",IF($H603&lt;=8,"Ótimo",IF($H603&lt;=12,"Bom",IF($H603&lt;=16,"Regular",IF($H603&lt;=20,"Alerta","Crítico")))))</f>
        <v/>
      </c>
      <c r="J603" s="27"/>
      <c r="K603" s="27"/>
    </row>
    <row r="604" customFormat="false" ht="15" hidden="false" customHeight="false" outlineLevel="0" collapsed="false">
      <c r="A604" s="29"/>
      <c r="B604" s="40" t="n">
        <f aca="false">IF($A604="",0,INT(($A604-Macrociclo!$C$11)/7)+1)</f>
        <v>0</v>
      </c>
      <c r="C604" s="27"/>
      <c r="D604" s="28"/>
      <c r="E604" s="28"/>
      <c r="F604" s="28"/>
      <c r="G604" s="28"/>
      <c r="H604" s="40" t="n">
        <f aca="false">IF(COUNT($D604:$G604)&lt;4,0,SUM($D604:$G604))</f>
        <v>0</v>
      </c>
      <c r="I604" s="26" t="str">
        <f aca="false">IF($H604=0,"",IF($H604&lt;=8,"Ótimo",IF($H604&lt;=12,"Bom",IF($H604&lt;=16,"Regular",IF($H604&lt;=20,"Alerta","Crítico")))))</f>
        <v/>
      </c>
      <c r="J604" s="27"/>
      <c r="K604" s="27"/>
    </row>
    <row r="605" customFormat="false" ht="15" hidden="false" customHeight="false" outlineLevel="0" collapsed="false">
      <c r="A605" s="29"/>
      <c r="B605" s="40" t="n">
        <f aca="false">IF($A605="",0,INT(($A605-Macrociclo!$C$11)/7)+1)</f>
        <v>0</v>
      </c>
      <c r="C605" s="27"/>
      <c r="D605" s="28"/>
      <c r="E605" s="28"/>
      <c r="F605" s="28"/>
      <c r="G605" s="28"/>
      <c r="H605" s="40" t="n">
        <f aca="false">IF(COUNT($D605:$G605)&lt;4,0,SUM($D605:$G605))</f>
        <v>0</v>
      </c>
      <c r="I605" s="26" t="str">
        <f aca="false">IF($H605=0,"",IF($H605&lt;=8,"Ótimo",IF($H605&lt;=12,"Bom",IF($H605&lt;=16,"Regular",IF($H605&lt;=20,"Alerta","Crítico")))))</f>
        <v/>
      </c>
      <c r="J605" s="27"/>
      <c r="K605" s="27"/>
    </row>
    <row r="606" customFormat="false" ht="15" hidden="false" customHeight="false" outlineLevel="0" collapsed="false">
      <c r="A606" s="29"/>
      <c r="B606" s="40" t="n">
        <f aca="false">IF($A606="",0,INT(($A606-Macrociclo!$C$11)/7)+1)</f>
        <v>0</v>
      </c>
      <c r="C606" s="27"/>
      <c r="D606" s="28"/>
      <c r="E606" s="28"/>
      <c r="F606" s="28"/>
      <c r="G606" s="28"/>
      <c r="H606" s="40" t="n">
        <f aca="false">IF(COUNT($D606:$G606)&lt;4,0,SUM($D606:$G606))</f>
        <v>0</v>
      </c>
      <c r="I606" s="26" t="str">
        <f aca="false">IF($H606=0,"",IF($H606&lt;=8,"Ótimo",IF($H606&lt;=12,"Bom",IF($H606&lt;=16,"Regular",IF($H606&lt;=20,"Alerta","Crítico")))))</f>
        <v/>
      </c>
      <c r="J606" s="27"/>
      <c r="K606" s="27"/>
    </row>
    <row r="607" customFormat="false" ht="15" hidden="false" customHeight="false" outlineLevel="0" collapsed="false">
      <c r="A607" s="29"/>
      <c r="B607" s="40" t="n">
        <f aca="false">IF($A607="",0,INT(($A607-Macrociclo!$C$11)/7)+1)</f>
        <v>0</v>
      </c>
      <c r="C607" s="27"/>
      <c r="D607" s="28"/>
      <c r="E607" s="28"/>
      <c r="F607" s="28"/>
      <c r="G607" s="28"/>
      <c r="H607" s="40" t="n">
        <f aca="false">IF(COUNT($D607:$G607)&lt;4,0,SUM($D607:$G607))</f>
        <v>0</v>
      </c>
      <c r="I607" s="26" t="str">
        <f aca="false">IF($H607=0,"",IF($H607&lt;=8,"Ótimo",IF($H607&lt;=12,"Bom",IF($H607&lt;=16,"Regular",IF($H607&lt;=20,"Alerta","Crítico")))))</f>
        <v/>
      </c>
      <c r="J607" s="27"/>
      <c r="K607" s="27"/>
    </row>
    <row r="608" customFormat="false" ht="15" hidden="false" customHeight="false" outlineLevel="0" collapsed="false">
      <c r="A608" s="29"/>
      <c r="B608" s="40" t="n">
        <f aca="false">IF($A608="",0,INT(($A608-Macrociclo!$C$11)/7)+1)</f>
        <v>0</v>
      </c>
      <c r="C608" s="27"/>
      <c r="D608" s="28"/>
      <c r="E608" s="28"/>
      <c r="F608" s="28"/>
      <c r="G608" s="28"/>
      <c r="H608" s="40" t="n">
        <f aca="false">IF(COUNT($D608:$G608)&lt;4,0,SUM($D608:$G608))</f>
        <v>0</v>
      </c>
      <c r="I608" s="26" t="str">
        <f aca="false">IF($H608=0,"",IF($H608&lt;=8,"Ótimo",IF($H608&lt;=12,"Bom",IF($H608&lt;=16,"Regular",IF($H608&lt;=20,"Alerta","Crítico")))))</f>
        <v/>
      </c>
      <c r="J608" s="27"/>
      <c r="K608" s="27"/>
    </row>
    <row r="609" customFormat="false" ht="15" hidden="false" customHeight="false" outlineLevel="0" collapsed="false">
      <c r="A609" s="29"/>
      <c r="B609" s="40" t="n">
        <f aca="false">IF($A609="",0,INT(($A609-Macrociclo!$C$11)/7)+1)</f>
        <v>0</v>
      </c>
      <c r="C609" s="27"/>
      <c r="D609" s="28"/>
      <c r="E609" s="28"/>
      <c r="F609" s="28"/>
      <c r="G609" s="28"/>
      <c r="H609" s="40" t="n">
        <f aca="false">IF(COUNT($D609:$G609)&lt;4,0,SUM($D609:$G609))</f>
        <v>0</v>
      </c>
      <c r="I609" s="26" t="str">
        <f aca="false">IF($H609=0,"",IF($H609&lt;=8,"Ótimo",IF($H609&lt;=12,"Bom",IF($H609&lt;=16,"Regular",IF($H609&lt;=20,"Alerta","Crítico")))))</f>
        <v/>
      </c>
      <c r="J609" s="27"/>
      <c r="K609" s="27"/>
    </row>
    <row r="610" customFormat="false" ht="15" hidden="false" customHeight="false" outlineLevel="0" collapsed="false">
      <c r="A610" s="29"/>
      <c r="B610" s="40" t="n">
        <f aca="false">IF($A610="",0,INT(($A610-Macrociclo!$C$11)/7)+1)</f>
        <v>0</v>
      </c>
      <c r="C610" s="27"/>
      <c r="D610" s="28"/>
      <c r="E610" s="28"/>
      <c r="F610" s="28"/>
      <c r="G610" s="28"/>
      <c r="H610" s="40" t="n">
        <f aca="false">IF(COUNT($D610:$G610)&lt;4,0,SUM($D610:$G610))</f>
        <v>0</v>
      </c>
      <c r="I610" s="26" t="str">
        <f aca="false">IF($H610=0,"",IF($H610&lt;=8,"Ótimo",IF($H610&lt;=12,"Bom",IF($H610&lt;=16,"Regular",IF($H610&lt;=20,"Alerta","Crítico")))))</f>
        <v/>
      </c>
      <c r="J610" s="27"/>
      <c r="K610" s="27"/>
    </row>
    <row r="611" customFormat="false" ht="15" hidden="false" customHeight="false" outlineLevel="0" collapsed="false">
      <c r="A611" s="29"/>
      <c r="B611" s="40" t="n">
        <f aca="false">IF($A611="",0,INT(($A611-Macrociclo!$C$11)/7)+1)</f>
        <v>0</v>
      </c>
      <c r="C611" s="27"/>
      <c r="D611" s="28"/>
      <c r="E611" s="28"/>
      <c r="F611" s="28"/>
      <c r="G611" s="28"/>
      <c r="H611" s="40" t="n">
        <f aca="false">IF(COUNT($D611:$G611)&lt;4,0,SUM($D611:$G611))</f>
        <v>0</v>
      </c>
      <c r="I611" s="26" t="str">
        <f aca="false">IF($H611=0,"",IF($H611&lt;=8,"Ótimo",IF($H611&lt;=12,"Bom",IF($H611&lt;=16,"Regular",IF($H611&lt;=20,"Alerta","Crítico")))))</f>
        <v/>
      </c>
      <c r="J611" s="27"/>
      <c r="K611" s="27"/>
    </row>
    <row r="612" customFormat="false" ht="15" hidden="false" customHeight="false" outlineLevel="0" collapsed="false">
      <c r="A612" s="29"/>
      <c r="B612" s="40" t="n">
        <f aca="false">IF($A612="",0,INT(($A612-Macrociclo!$C$11)/7)+1)</f>
        <v>0</v>
      </c>
      <c r="C612" s="27"/>
      <c r="D612" s="28"/>
      <c r="E612" s="28"/>
      <c r="F612" s="28"/>
      <c r="G612" s="28"/>
      <c r="H612" s="40" t="n">
        <f aca="false">IF(COUNT($D612:$G612)&lt;4,0,SUM($D612:$G612))</f>
        <v>0</v>
      </c>
      <c r="I612" s="26" t="str">
        <f aca="false">IF($H612=0,"",IF($H612&lt;=8,"Ótimo",IF($H612&lt;=12,"Bom",IF($H612&lt;=16,"Regular",IF($H612&lt;=20,"Alerta","Crítico")))))</f>
        <v/>
      </c>
      <c r="J612" s="27"/>
      <c r="K612" s="27"/>
    </row>
    <row r="613" customFormat="false" ht="15" hidden="false" customHeight="false" outlineLevel="0" collapsed="false">
      <c r="A613" s="29"/>
      <c r="B613" s="40" t="n">
        <f aca="false">IF($A613="",0,INT(($A613-Macrociclo!$C$11)/7)+1)</f>
        <v>0</v>
      </c>
      <c r="C613" s="27"/>
      <c r="D613" s="28"/>
      <c r="E613" s="28"/>
      <c r="F613" s="28"/>
      <c r="G613" s="28"/>
      <c r="H613" s="40" t="n">
        <f aca="false">IF(COUNT($D613:$G613)&lt;4,0,SUM($D613:$G613))</f>
        <v>0</v>
      </c>
      <c r="I613" s="26" t="str">
        <f aca="false">IF($H613=0,"",IF($H613&lt;=8,"Ótimo",IF($H613&lt;=12,"Bom",IF($H613&lt;=16,"Regular",IF($H613&lt;=20,"Alerta","Crítico")))))</f>
        <v/>
      </c>
      <c r="J613" s="27"/>
      <c r="K613" s="27"/>
    </row>
    <row r="614" customFormat="false" ht="15" hidden="false" customHeight="false" outlineLevel="0" collapsed="false">
      <c r="A614" s="29"/>
      <c r="B614" s="40" t="n">
        <f aca="false">IF($A614="",0,INT(($A614-Macrociclo!$C$11)/7)+1)</f>
        <v>0</v>
      </c>
      <c r="C614" s="27"/>
      <c r="D614" s="28"/>
      <c r="E614" s="28"/>
      <c r="F614" s="28"/>
      <c r="G614" s="28"/>
      <c r="H614" s="40" t="n">
        <f aca="false">IF(COUNT($D614:$G614)&lt;4,0,SUM($D614:$G614))</f>
        <v>0</v>
      </c>
      <c r="I614" s="26" t="str">
        <f aca="false">IF($H614=0,"",IF($H614&lt;=8,"Ótimo",IF($H614&lt;=12,"Bom",IF($H614&lt;=16,"Regular",IF($H614&lt;=20,"Alerta","Crítico")))))</f>
        <v/>
      </c>
      <c r="J614" s="27"/>
      <c r="K614" s="27"/>
    </row>
    <row r="615" customFormat="false" ht="15" hidden="false" customHeight="false" outlineLevel="0" collapsed="false">
      <c r="A615" s="29"/>
      <c r="B615" s="40" t="n">
        <f aca="false">IF($A615="",0,INT(($A615-Macrociclo!$C$11)/7)+1)</f>
        <v>0</v>
      </c>
      <c r="C615" s="27"/>
      <c r="D615" s="28"/>
      <c r="E615" s="28"/>
      <c r="F615" s="28"/>
      <c r="G615" s="28"/>
      <c r="H615" s="40" t="n">
        <f aca="false">IF(COUNT($D615:$G615)&lt;4,0,SUM($D615:$G615))</f>
        <v>0</v>
      </c>
      <c r="I615" s="26" t="str">
        <f aca="false">IF($H615=0,"",IF($H615&lt;=8,"Ótimo",IF($H615&lt;=12,"Bom",IF($H615&lt;=16,"Regular",IF($H615&lt;=20,"Alerta","Crítico")))))</f>
        <v/>
      </c>
      <c r="J615" s="27"/>
      <c r="K615" s="27"/>
    </row>
    <row r="616" customFormat="false" ht="15" hidden="false" customHeight="false" outlineLevel="0" collapsed="false">
      <c r="A616" s="29"/>
      <c r="B616" s="40" t="n">
        <f aca="false">IF($A616="",0,INT(($A616-Macrociclo!$C$11)/7)+1)</f>
        <v>0</v>
      </c>
      <c r="C616" s="27"/>
      <c r="D616" s="28"/>
      <c r="E616" s="28"/>
      <c r="F616" s="28"/>
      <c r="G616" s="28"/>
      <c r="H616" s="40" t="n">
        <f aca="false">IF(COUNT($D616:$G616)&lt;4,0,SUM($D616:$G616))</f>
        <v>0</v>
      </c>
      <c r="I616" s="26" t="str">
        <f aca="false">IF($H616=0,"",IF($H616&lt;=8,"Ótimo",IF($H616&lt;=12,"Bom",IF($H616&lt;=16,"Regular",IF($H616&lt;=20,"Alerta","Crítico")))))</f>
        <v/>
      </c>
      <c r="J616" s="27"/>
      <c r="K616" s="27"/>
    </row>
    <row r="617" customFormat="false" ht="15" hidden="false" customHeight="false" outlineLevel="0" collapsed="false">
      <c r="A617" s="29"/>
      <c r="B617" s="40" t="n">
        <f aca="false">IF($A617="",0,INT(($A617-Macrociclo!$C$11)/7)+1)</f>
        <v>0</v>
      </c>
      <c r="C617" s="27"/>
      <c r="D617" s="28"/>
      <c r="E617" s="28"/>
      <c r="F617" s="28"/>
      <c r="G617" s="28"/>
      <c r="H617" s="40" t="n">
        <f aca="false">IF(COUNT($D617:$G617)&lt;4,0,SUM($D617:$G617))</f>
        <v>0</v>
      </c>
      <c r="I617" s="26" t="str">
        <f aca="false">IF($H617=0,"",IF($H617&lt;=8,"Ótimo",IF($H617&lt;=12,"Bom",IF($H617&lt;=16,"Regular",IF($H617&lt;=20,"Alerta","Crítico")))))</f>
        <v/>
      </c>
      <c r="J617" s="27"/>
      <c r="K617" s="27"/>
    </row>
    <row r="618" customFormat="false" ht="15" hidden="false" customHeight="false" outlineLevel="0" collapsed="false">
      <c r="A618" s="29"/>
      <c r="B618" s="40" t="n">
        <f aca="false">IF($A618="",0,INT(($A618-Macrociclo!$C$11)/7)+1)</f>
        <v>0</v>
      </c>
      <c r="C618" s="27"/>
      <c r="D618" s="28"/>
      <c r="E618" s="28"/>
      <c r="F618" s="28"/>
      <c r="G618" s="28"/>
      <c r="H618" s="40" t="n">
        <f aca="false">IF(COUNT($D618:$G618)&lt;4,0,SUM($D618:$G618))</f>
        <v>0</v>
      </c>
      <c r="I618" s="26" t="str">
        <f aca="false">IF($H618=0,"",IF($H618&lt;=8,"Ótimo",IF($H618&lt;=12,"Bom",IF($H618&lt;=16,"Regular",IF($H618&lt;=20,"Alerta","Crítico")))))</f>
        <v/>
      </c>
      <c r="J618" s="27"/>
      <c r="K618" s="27"/>
    </row>
    <row r="619" customFormat="false" ht="15" hidden="false" customHeight="false" outlineLevel="0" collapsed="false">
      <c r="A619" s="29"/>
      <c r="B619" s="40" t="n">
        <f aca="false">IF($A619="",0,INT(($A619-Macrociclo!$C$11)/7)+1)</f>
        <v>0</v>
      </c>
      <c r="C619" s="27"/>
      <c r="D619" s="28"/>
      <c r="E619" s="28"/>
      <c r="F619" s="28"/>
      <c r="G619" s="28"/>
      <c r="H619" s="40" t="n">
        <f aca="false">IF(COUNT($D619:$G619)&lt;4,0,SUM($D619:$G619))</f>
        <v>0</v>
      </c>
      <c r="I619" s="26" t="str">
        <f aca="false">IF($H619=0,"",IF($H619&lt;=8,"Ótimo",IF($H619&lt;=12,"Bom",IF($H619&lt;=16,"Regular",IF($H619&lt;=20,"Alerta","Crítico")))))</f>
        <v/>
      </c>
      <c r="J619" s="27"/>
      <c r="K619" s="27"/>
    </row>
    <row r="620" customFormat="false" ht="15" hidden="false" customHeight="false" outlineLevel="0" collapsed="false">
      <c r="A620" s="29"/>
      <c r="B620" s="40" t="n">
        <f aca="false">IF($A620="",0,INT(($A620-Macrociclo!$C$11)/7)+1)</f>
        <v>0</v>
      </c>
      <c r="C620" s="27"/>
      <c r="D620" s="28"/>
      <c r="E620" s="28"/>
      <c r="F620" s="28"/>
      <c r="G620" s="28"/>
      <c r="H620" s="40" t="n">
        <f aca="false">IF(COUNT($D620:$G620)&lt;4,0,SUM($D620:$G620))</f>
        <v>0</v>
      </c>
      <c r="I620" s="26" t="str">
        <f aca="false">IF($H620=0,"",IF($H620&lt;=8,"Ótimo",IF($H620&lt;=12,"Bom",IF($H620&lt;=16,"Regular",IF($H620&lt;=20,"Alerta","Crítico")))))</f>
        <v/>
      </c>
      <c r="J620" s="27"/>
      <c r="K620" s="27"/>
    </row>
    <row r="621" customFormat="false" ht="15" hidden="false" customHeight="false" outlineLevel="0" collapsed="false">
      <c r="A621" s="29"/>
      <c r="B621" s="40" t="n">
        <f aca="false">IF($A621="",0,INT(($A621-Macrociclo!$C$11)/7)+1)</f>
        <v>0</v>
      </c>
      <c r="C621" s="27"/>
      <c r="D621" s="28"/>
      <c r="E621" s="28"/>
      <c r="F621" s="28"/>
      <c r="G621" s="28"/>
      <c r="H621" s="40" t="n">
        <f aca="false">IF(COUNT($D621:$G621)&lt;4,0,SUM($D621:$G621))</f>
        <v>0</v>
      </c>
      <c r="I621" s="26" t="str">
        <f aca="false">IF($H621=0,"",IF($H621&lt;=8,"Ótimo",IF($H621&lt;=12,"Bom",IF($H621&lt;=16,"Regular",IF($H621&lt;=20,"Alerta","Crítico")))))</f>
        <v/>
      </c>
      <c r="J621" s="27"/>
      <c r="K621" s="27"/>
    </row>
    <row r="622" customFormat="false" ht="15" hidden="false" customHeight="false" outlineLevel="0" collapsed="false">
      <c r="A622" s="29"/>
      <c r="B622" s="40" t="n">
        <f aca="false">IF($A622="",0,INT(($A622-Macrociclo!$C$11)/7)+1)</f>
        <v>0</v>
      </c>
      <c r="C622" s="27"/>
      <c r="D622" s="28"/>
      <c r="E622" s="28"/>
      <c r="F622" s="28"/>
      <c r="G622" s="28"/>
      <c r="H622" s="40" t="n">
        <f aca="false">IF(COUNT($D622:$G622)&lt;4,0,SUM($D622:$G622))</f>
        <v>0</v>
      </c>
      <c r="I622" s="26" t="str">
        <f aca="false">IF($H622=0,"",IF($H622&lt;=8,"Ótimo",IF($H622&lt;=12,"Bom",IF($H622&lt;=16,"Regular",IF($H622&lt;=20,"Alerta","Crítico")))))</f>
        <v/>
      </c>
      <c r="J622" s="27"/>
      <c r="K622" s="27"/>
    </row>
    <row r="623" customFormat="false" ht="15" hidden="false" customHeight="false" outlineLevel="0" collapsed="false">
      <c r="A623" s="29"/>
      <c r="B623" s="40" t="n">
        <f aca="false">IF($A623="",0,INT(($A623-Macrociclo!$C$11)/7)+1)</f>
        <v>0</v>
      </c>
      <c r="C623" s="27"/>
      <c r="D623" s="28"/>
      <c r="E623" s="28"/>
      <c r="F623" s="28"/>
      <c r="G623" s="28"/>
      <c r="H623" s="40" t="n">
        <f aca="false">IF(COUNT($D623:$G623)&lt;4,0,SUM($D623:$G623))</f>
        <v>0</v>
      </c>
      <c r="I623" s="26" t="str">
        <f aca="false">IF($H623=0,"",IF($H623&lt;=8,"Ótimo",IF($H623&lt;=12,"Bom",IF($H623&lt;=16,"Regular",IF($H623&lt;=20,"Alerta","Crítico")))))</f>
        <v/>
      </c>
      <c r="J623" s="27"/>
      <c r="K623" s="27"/>
    </row>
    <row r="624" customFormat="false" ht="15" hidden="false" customHeight="false" outlineLevel="0" collapsed="false">
      <c r="A624" s="29"/>
      <c r="B624" s="40" t="n">
        <f aca="false">IF($A624="",0,INT(($A624-Macrociclo!$C$11)/7)+1)</f>
        <v>0</v>
      </c>
      <c r="C624" s="27"/>
      <c r="D624" s="28"/>
      <c r="E624" s="28"/>
      <c r="F624" s="28"/>
      <c r="G624" s="28"/>
      <c r="H624" s="40" t="n">
        <f aca="false">IF(COUNT($D624:$G624)&lt;4,0,SUM($D624:$G624))</f>
        <v>0</v>
      </c>
      <c r="I624" s="26" t="str">
        <f aca="false">IF($H624=0,"",IF($H624&lt;=8,"Ótimo",IF($H624&lt;=12,"Bom",IF($H624&lt;=16,"Regular",IF($H624&lt;=20,"Alerta","Crítico")))))</f>
        <v/>
      </c>
      <c r="J624" s="27"/>
      <c r="K624" s="27"/>
    </row>
    <row r="625" customFormat="false" ht="15" hidden="false" customHeight="false" outlineLevel="0" collapsed="false">
      <c r="A625" s="29"/>
      <c r="B625" s="40" t="n">
        <f aca="false">IF($A625="",0,INT(($A625-Macrociclo!$C$11)/7)+1)</f>
        <v>0</v>
      </c>
      <c r="C625" s="27"/>
      <c r="D625" s="28"/>
      <c r="E625" s="28"/>
      <c r="F625" s="28"/>
      <c r="G625" s="28"/>
      <c r="H625" s="40" t="n">
        <f aca="false">IF(COUNT($D625:$G625)&lt;4,0,SUM($D625:$G625))</f>
        <v>0</v>
      </c>
      <c r="I625" s="26" t="str">
        <f aca="false">IF($H625=0,"",IF($H625&lt;=8,"Ótimo",IF($H625&lt;=12,"Bom",IF($H625&lt;=16,"Regular",IF($H625&lt;=20,"Alerta","Crítico")))))</f>
        <v/>
      </c>
      <c r="J625" s="27"/>
      <c r="K625" s="27"/>
    </row>
    <row r="626" customFormat="false" ht="15" hidden="false" customHeight="false" outlineLevel="0" collapsed="false">
      <c r="A626" s="29"/>
      <c r="B626" s="40" t="n">
        <f aca="false">IF($A626="",0,INT(($A626-Macrociclo!$C$11)/7)+1)</f>
        <v>0</v>
      </c>
      <c r="C626" s="27"/>
      <c r="D626" s="28"/>
      <c r="E626" s="28"/>
      <c r="F626" s="28"/>
      <c r="G626" s="28"/>
      <c r="H626" s="40" t="n">
        <f aca="false">IF(COUNT($D626:$G626)&lt;4,0,SUM($D626:$G626))</f>
        <v>0</v>
      </c>
      <c r="I626" s="26" t="str">
        <f aca="false">IF($H626=0,"",IF($H626&lt;=8,"Ótimo",IF($H626&lt;=12,"Bom",IF($H626&lt;=16,"Regular",IF($H626&lt;=20,"Alerta","Crítico")))))</f>
        <v/>
      </c>
      <c r="J626" s="27"/>
      <c r="K626" s="27"/>
    </row>
    <row r="627" customFormat="false" ht="15" hidden="false" customHeight="false" outlineLevel="0" collapsed="false">
      <c r="A627" s="29"/>
      <c r="B627" s="40" t="n">
        <f aca="false">IF($A627="",0,INT(($A627-Macrociclo!$C$11)/7)+1)</f>
        <v>0</v>
      </c>
      <c r="C627" s="27"/>
      <c r="D627" s="28"/>
      <c r="E627" s="28"/>
      <c r="F627" s="28"/>
      <c r="G627" s="28"/>
      <c r="H627" s="40" t="n">
        <f aca="false">IF(COUNT($D627:$G627)&lt;4,0,SUM($D627:$G627))</f>
        <v>0</v>
      </c>
      <c r="I627" s="26" t="str">
        <f aca="false">IF($H627=0,"",IF($H627&lt;=8,"Ótimo",IF($H627&lt;=12,"Bom",IF($H627&lt;=16,"Regular",IF($H627&lt;=20,"Alerta","Crítico")))))</f>
        <v/>
      </c>
      <c r="J627" s="27"/>
      <c r="K627" s="27"/>
    </row>
    <row r="628" customFormat="false" ht="15" hidden="false" customHeight="false" outlineLevel="0" collapsed="false">
      <c r="A628" s="29"/>
      <c r="B628" s="40" t="n">
        <f aca="false">IF($A628="",0,INT(($A628-Macrociclo!$C$11)/7)+1)</f>
        <v>0</v>
      </c>
      <c r="C628" s="27"/>
      <c r="D628" s="28"/>
      <c r="E628" s="28"/>
      <c r="F628" s="28"/>
      <c r="G628" s="28"/>
      <c r="H628" s="40" t="n">
        <f aca="false">IF(COUNT($D628:$G628)&lt;4,0,SUM($D628:$G628))</f>
        <v>0</v>
      </c>
      <c r="I628" s="26" t="str">
        <f aca="false">IF($H628=0,"",IF($H628&lt;=8,"Ótimo",IF($H628&lt;=12,"Bom",IF($H628&lt;=16,"Regular",IF($H628&lt;=20,"Alerta","Crítico")))))</f>
        <v/>
      </c>
      <c r="J628" s="27"/>
      <c r="K628" s="27"/>
    </row>
    <row r="629" customFormat="false" ht="15" hidden="false" customHeight="false" outlineLevel="0" collapsed="false">
      <c r="A629" s="29"/>
      <c r="B629" s="40" t="n">
        <f aca="false">IF($A629="",0,INT(($A629-Macrociclo!$C$11)/7)+1)</f>
        <v>0</v>
      </c>
      <c r="C629" s="27"/>
      <c r="D629" s="28"/>
      <c r="E629" s="28"/>
      <c r="F629" s="28"/>
      <c r="G629" s="28"/>
      <c r="H629" s="40" t="n">
        <f aca="false">IF(COUNT($D629:$G629)&lt;4,0,SUM($D629:$G629))</f>
        <v>0</v>
      </c>
      <c r="I629" s="26" t="str">
        <f aca="false">IF($H629=0,"",IF($H629&lt;=8,"Ótimo",IF($H629&lt;=12,"Bom",IF($H629&lt;=16,"Regular",IF($H629&lt;=20,"Alerta","Crítico")))))</f>
        <v/>
      </c>
      <c r="J629" s="27"/>
      <c r="K629" s="27"/>
    </row>
    <row r="630" customFormat="false" ht="15" hidden="false" customHeight="false" outlineLevel="0" collapsed="false">
      <c r="A630" s="29"/>
      <c r="B630" s="40" t="n">
        <f aca="false">IF($A630="",0,INT(($A630-Macrociclo!$C$11)/7)+1)</f>
        <v>0</v>
      </c>
      <c r="C630" s="27"/>
      <c r="D630" s="28"/>
      <c r="E630" s="28"/>
      <c r="F630" s="28"/>
      <c r="G630" s="28"/>
      <c r="H630" s="40" t="n">
        <f aca="false">IF(COUNT($D630:$G630)&lt;4,0,SUM($D630:$G630))</f>
        <v>0</v>
      </c>
      <c r="I630" s="26" t="str">
        <f aca="false">IF($H630=0,"",IF($H630&lt;=8,"Ótimo",IF($H630&lt;=12,"Bom",IF($H630&lt;=16,"Regular",IF($H630&lt;=20,"Alerta","Crítico")))))</f>
        <v/>
      </c>
      <c r="J630" s="27"/>
      <c r="K630" s="27"/>
    </row>
    <row r="631" customFormat="false" ht="15" hidden="false" customHeight="false" outlineLevel="0" collapsed="false">
      <c r="A631" s="29"/>
      <c r="B631" s="40" t="n">
        <f aca="false">IF($A631="",0,INT(($A631-Macrociclo!$C$11)/7)+1)</f>
        <v>0</v>
      </c>
      <c r="C631" s="27"/>
      <c r="D631" s="28"/>
      <c r="E631" s="28"/>
      <c r="F631" s="28"/>
      <c r="G631" s="28"/>
      <c r="H631" s="40" t="n">
        <f aca="false">IF(COUNT($D631:$G631)&lt;4,0,SUM($D631:$G631))</f>
        <v>0</v>
      </c>
      <c r="I631" s="26" t="str">
        <f aca="false">IF($H631=0,"",IF($H631&lt;=8,"Ótimo",IF($H631&lt;=12,"Bom",IF($H631&lt;=16,"Regular",IF($H631&lt;=20,"Alerta","Crítico")))))</f>
        <v/>
      </c>
      <c r="J631" s="27"/>
      <c r="K631" s="27"/>
    </row>
    <row r="632" customFormat="false" ht="15" hidden="false" customHeight="false" outlineLevel="0" collapsed="false">
      <c r="A632" s="29"/>
      <c r="B632" s="40" t="n">
        <f aca="false">IF($A632="",0,INT(($A632-Macrociclo!$C$11)/7)+1)</f>
        <v>0</v>
      </c>
      <c r="C632" s="27"/>
      <c r="D632" s="28"/>
      <c r="E632" s="28"/>
      <c r="F632" s="28"/>
      <c r="G632" s="28"/>
      <c r="H632" s="40" t="n">
        <f aca="false">IF(COUNT($D632:$G632)&lt;4,0,SUM($D632:$G632))</f>
        <v>0</v>
      </c>
      <c r="I632" s="26" t="str">
        <f aca="false">IF($H632=0,"",IF($H632&lt;=8,"Ótimo",IF($H632&lt;=12,"Bom",IF($H632&lt;=16,"Regular",IF($H632&lt;=20,"Alerta","Crítico")))))</f>
        <v/>
      </c>
      <c r="J632" s="27"/>
      <c r="K632" s="27"/>
    </row>
    <row r="633" customFormat="false" ht="15" hidden="false" customHeight="false" outlineLevel="0" collapsed="false">
      <c r="A633" s="29"/>
      <c r="B633" s="40" t="n">
        <f aca="false">IF($A633="",0,INT(($A633-Macrociclo!$C$11)/7)+1)</f>
        <v>0</v>
      </c>
      <c r="C633" s="27"/>
      <c r="D633" s="28"/>
      <c r="E633" s="28"/>
      <c r="F633" s="28"/>
      <c r="G633" s="28"/>
      <c r="H633" s="40" t="n">
        <f aca="false">IF(COUNT($D633:$G633)&lt;4,0,SUM($D633:$G633))</f>
        <v>0</v>
      </c>
      <c r="I633" s="26" t="str">
        <f aca="false">IF($H633=0,"",IF($H633&lt;=8,"Ótimo",IF($H633&lt;=12,"Bom",IF($H633&lt;=16,"Regular",IF($H633&lt;=20,"Alerta","Crítico")))))</f>
        <v/>
      </c>
      <c r="J633" s="27"/>
      <c r="K633" s="27"/>
    </row>
    <row r="634" customFormat="false" ht="15" hidden="false" customHeight="false" outlineLevel="0" collapsed="false">
      <c r="A634" s="29"/>
      <c r="B634" s="40" t="n">
        <f aca="false">IF($A634="",0,INT(($A634-Macrociclo!$C$11)/7)+1)</f>
        <v>0</v>
      </c>
      <c r="C634" s="27"/>
      <c r="D634" s="28"/>
      <c r="E634" s="28"/>
      <c r="F634" s="28"/>
      <c r="G634" s="28"/>
      <c r="H634" s="40" t="n">
        <f aca="false">IF(COUNT($D634:$G634)&lt;4,0,SUM($D634:$G634))</f>
        <v>0</v>
      </c>
      <c r="I634" s="26" t="str">
        <f aca="false">IF($H634=0,"",IF($H634&lt;=8,"Ótimo",IF($H634&lt;=12,"Bom",IF($H634&lt;=16,"Regular",IF($H634&lt;=20,"Alerta","Crítico")))))</f>
        <v/>
      </c>
      <c r="J634" s="27"/>
      <c r="K634" s="27"/>
    </row>
    <row r="635" customFormat="false" ht="15" hidden="false" customHeight="false" outlineLevel="0" collapsed="false">
      <c r="A635" s="29"/>
      <c r="B635" s="40" t="n">
        <f aca="false">IF($A635="",0,INT(($A635-Macrociclo!$C$11)/7)+1)</f>
        <v>0</v>
      </c>
      <c r="C635" s="27"/>
      <c r="D635" s="28"/>
      <c r="E635" s="28"/>
      <c r="F635" s="28"/>
      <c r="G635" s="28"/>
      <c r="H635" s="40" t="n">
        <f aca="false">IF(COUNT($D635:$G635)&lt;4,0,SUM($D635:$G635))</f>
        <v>0</v>
      </c>
      <c r="I635" s="26" t="str">
        <f aca="false">IF($H635=0,"",IF($H635&lt;=8,"Ótimo",IF($H635&lt;=12,"Bom",IF($H635&lt;=16,"Regular",IF($H635&lt;=20,"Alerta","Crítico")))))</f>
        <v/>
      </c>
      <c r="J635" s="27"/>
      <c r="K635" s="27"/>
    </row>
    <row r="636" customFormat="false" ht="15" hidden="false" customHeight="false" outlineLevel="0" collapsed="false">
      <c r="A636" s="29"/>
      <c r="B636" s="40" t="n">
        <f aca="false">IF($A636="",0,INT(($A636-Macrociclo!$C$11)/7)+1)</f>
        <v>0</v>
      </c>
      <c r="C636" s="27"/>
      <c r="D636" s="28"/>
      <c r="E636" s="28"/>
      <c r="F636" s="28"/>
      <c r="G636" s="28"/>
      <c r="H636" s="40" t="n">
        <f aca="false">IF(COUNT($D636:$G636)&lt;4,0,SUM($D636:$G636))</f>
        <v>0</v>
      </c>
      <c r="I636" s="26" t="str">
        <f aca="false">IF($H636=0,"",IF($H636&lt;=8,"Ótimo",IF($H636&lt;=12,"Bom",IF($H636&lt;=16,"Regular",IF($H636&lt;=20,"Alerta","Crítico")))))</f>
        <v/>
      </c>
      <c r="J636" s="27"/>
      <c r="K636" s="27"/>
    </row>
    <row r="637" customFormat="false" ht="15" hidden="false" customHeight="false" outlineLevel="0" collapsed="false">
      <c r="A637" s="29"/>
      <c r="B637" s="40" t="n">
        <f aca="false">IF($A637="",0,INT(($A637-Macrociclo!$C$11)/7)+1)</f>
        <v>0</v>
      </c>
      <c r="C637" s="27"/>
      <c r="D637" s="28"/>
      <c r="E637" s="28"/>
      <c r="F637" s="28"/>
      <c r="G637" s="28"/>
      <c r="H637" s="40" t="n">
        <f aca="false">IF(COUNT($D637:$G637)&lt;4,0,SUM($D637:$G637))</f>
        <v>0</v>
      </c>
      <c r="I637" s="26" t="str">
        <f aca="false">IF($H637=0,"",IF($H637&lt;=8,"Ótimo",IF($H637&lt;=12,"Bom",IF($H637&lt;=16,"Regular",IF($H637&lt;=20,"Alerta","Crítico")))))</f>
        <v/>
      </c>
      <c r="J637" s="27"/>
      <c r="K637" s="27"/>
    </row>
    <row r="638" customFormat="false" ht="15" hidden="false" customHeight="false" outlineLevel="0" collapsed="false">
      <c r="A638" s="29"/>
      <c r="B638" s="40" t="n">
        <f aca="false">IF($A638="",0,INT(($A638-Macrociclo!$C$11)/7)+1)</f>
        <v>0</v>
      </c>
      <c r="C638" s="27"/>
      <c r="D638" s="28"/>
      <c r="E638" s="28"/>
      <c r="F638" s="28"/>
      <c r="G638" s="28"/>
      <c r="H638" s="40" t="n">
        <f aca="false">IF(COUNT($D638:$G638)&lt;4,0,SUM($D638:$G638))</f>
        <v>0</v>
      </c>
      <c r="I638" s="26" t="str">
        <f aca="false">IF($H638=0,"",IF($H638&lt;=8,"Ótimo",IF($H638&lt;=12,"Bom",IF($H638&lt;=16,"Regular",IF($H638&lt;=20,"Alerta","Crítico")))))</f>
        <v/>
      </c>
      <c r="J638" s="27"/>
      <c r="K638" s="27"/>
    </row>
    <row r="639" customFormat="false" ht="15" hidden="false" customHeight="false" outlineLevel="0" collapsed="false">
      <c r="A639" s="29"/>
      <c r="B639" s="40" t="n">
        <f aca="false">IF($A639="",0,INT(($A639-Macrociclo!$C$11)/7)+1)</f>
        <v>0</v>
      </c>
      <c r="C639" s="27"/>
      <c r="D639" s="28"/>
      <c r="E639" s="28"/>
      <c r="F639" s="28"/>
      <c r="G639" s="28"/>
      <c r="H639" s="40" t="n">
        <f aca="false">IF(COUNT($D639:$G639)&lt;4,0,SUM($D639:$G639))</f>
        <v>0</v>
      </c>
      <c r="I639" s="26" t="str">
        <f aca="false">IF($H639=0,"",IF($H639&lt;=8,"Ótimo",IF($H639&lt;=12,"Bom",IF($H639&lt;=16,"Regular",IF($H639&lt;=20,"Alerta","Crítico")))))</f>
        <v/>
      </c>
      <c r="J639" s="27"/>
      <c r="K639" s="27"/>
    </row>
    <row r="640" customFormat="false" ht="15" hidden="false" customHeight="false" outlineLevel="0" collapsed="false">
      <c r="A640" s="29"/>
      <c r="B640" s="40" t="n">
        <f aca="false">IF($A640="",0,INT(($A640-Macrociclo!$C$11)/7)+1)</f>
        <v>0</v>
      </c>
      <c r="C640" s="27"/>
      <c r="D640" s="28"/>
      <c r="E640" s="28"/>
      <c r="F640" s="28"/>
      <c r="G640" s="28"/>
      <c r="H640" s="40" t="n">
        <f aca="false">IF(COUNT($D640:$G640)&lt;4,0,SUM($D640:$G640))</f>
        <v>0</v>
      </c>
      <c r="I640" s="26" t="str">
        <f aca="false">IF($H640=0,"",IF($H640&lt;=8,"Ótimo",IF($H640&lt;=12,"Bom",IF($H640&lt;=16,"Regular",IF($H640&lt;=20,"Alerta","Crítico")))))</f>
        <v/>
      </c>
      <c r="J640" s="27"/>
      <c r="K640" s="27"/>
    </row>
    <row r="641" customFormat="false" ht="15" hidden="false" customHeight="false" outlineLevel="0" collapsed="false">
      <c r="A641" s="29"/>
      <c r="B641" s="40" t="n">
        <f aca="false">IF($A641="",0,INT(($A641-Macrociclo!$C$11)/7)+1)</f>
        <v>0</v>
      </c>
      <c r="C641" s="27"/>
      <c r="D641" s="28"/>
      <c r="E641" s="28"/>
      <c r="F641" s="28"/>
      <c r="G641" s="28"/>
      <c r="H641" s="40" t="n">
        <f aca="false">IF(COUNT($D641:$G641)&lt;4,0,SUM($D641:$G641))</f>
        <v>0</v>
      </c>
      <c r="I641" s="26" t="str">
        <f aca="false">IF($H641=0,"",IF($H641&lt;=8,"Ótimo",IF($H641&lt;=12,"Bom",IF($H641&lt;=16,"Regular",IF($H641&lt;=20,"Alerta","Crítico")))))</f>
        <v/>
      </c>
      <c r="J641" s="27"/>
      <c r="K641" s="27"/>
    </row>
    <row r="642" customFormat="false" ht="15" hidden="false" customHeight="false" outlineLevel="0" collapsed="false">
      <c r="A642" s="29"/>
      <c r="B642" s="40" t="n">
        <f aca="false">IF($A642="",0,INT(($A642-Macrociclo!$C$11)/7)+1)</f>
        <v>0</v>
      </c>
      <c r="C642" s="27"/>
      <c r="D642" s="28"/>
      <c r="E642" s="28"/>
      <c r="F642" s="28"/>
      <c r="G642" s="28"/>
      <c r="H642" s="40" t="n">
        <f aca="false">IF(COUNT($D642:$G642)&lt;4,0,SUM($D642:$G642))</f>
        <v>0</v>
      </c>
      <c r="I642" s="26" t="str">
        <f aca="false">IF($H642=0,"",IF($H642&lt;=8,"Ótimo",IF($H642&lt;=12,"Bom",IF($H642&lt;=16,"Regular",IF($H642&lt;=20,"Alerta","Crítico")))))</f>
        <v/>
      </c>
      <c r="J642" s="27"/>
      <c r="K642" s="27"/>
    </row>
    <row r="643" customFormat="false" ht="15" hidden="false" customHeight="false" outlineLevel="0" collapsed="false">
      <c r="A643" s="29"/>
      <c r="B643" s="40" t="n">
        <f aca="false">IF($A643="",0,INT(($A643-Macrociclo!$C$11)/7)+1)</f>
        <v>0</v>
      </c>
      <c r="C643" s="27"/>
      <c r="D643" s="28"/>
      <c r="E643" s="28"/>
      <c r="F643" s="28"/>
      <c r="G643" s="28"/>
      <c r="H643" s="40" t="n">
        <f aca="false">IF(COUNT($D643:$G643)&lt;4,0,SUM($D643:$G643))</f>
        <v>0</v>
      </c>
      <c r="I643" s="26" t="str">
        <f aca="false">IF($H643=0,"",IF($H643&lt;=8,"Ótimo",IF($H643&lt;=12,"Bom",IF($H643&lt;=16,"Regular",IF($H643&lt;=20,"Alerta","Crítico")))))</f>
        <v/>
      </c>
      <c r="J643" s="27"/>
      <c r="K643" s="27"/>
    </row>
    <row r="644" customFormat="false" ht="15" hidden="false" customHeight="false" outlineLevel="0" collapsed="false">
      <c r="A644" s="29"/>
      <c r="B644" s="40" t="n">
        <f aca="false">IF($A644="",0,INT(($A644-Macrociclo!$C$11)/7)+1)</f>
        <v>0</v>
      </c>
      <c r="C644" s="27"/>
      <c r="D644" s="28"/>
      <c r="E644" s="28"/>
      <c r="F644" s="28"/>
      <c r="G644" s="28"/>
      <c r="H644" s="40" t="n">
        <f aca="false">IF(COUNT($D644:$G644)&lt;4,0,SUM($D644:$G644))</f>
        <v>0</v>
      </c>
      <c r="I644" s="26" t="str">
        <f aca="false">IF($H644=0,"",IF($H644&lt;=8,"Ótimo",IF($H644&lt;=12,"Bom",IF($H644&lt;=16,"Regular",IF($H644&lt;=20,"Alerta","Crítico")))))</f>
        <v/>
      </c>
      <c r="J644" s="27"/>
      <c r="K644" s="27"/>
    </row>
    <row r="645" customFormat="false" ht="15" hidden="false" customHeight="false" outlineLevel="0" collapsed="false">
      <c r="A645" s="29"/>
      <c r="B645" s="40" t="n">
        <f aca="false">IF($A645="",0,INT(($A645-Macrociclo!$C$11)/7)+1)</f>
        <v>0</v>
      </c>
      <c r="C645" s="27"/>
      <c r="D645" s="28"/>
      <c r="E645" s="28"/>
      <c r="F645" s="28"/>
      <c r="G645" s="28"/>
      <c r="H645" s="40" t="n">
        <f aca="false">IF(COUNT($D645:$G645)&lt;4,0,SUM($D645:$G645))</f>
        <v>0</v>
      </c>
      <c r="I645" s="26" t="str">
        <f aca="false">IF($H645=0,"",IF($H645&lt;=8,"Ótimo",IF($H645&lt;=12,"Bom",IF($H645&lt;=16,"Regular",IF($H645&lt;=20,"Alerta","Crítico")))))</f>
        <v/>
      </c>
      <c r="J645" s="27"/>
      <c r="K645" s="27"/>
    </row>
    <row r="646" customFormat="false" ht="15" hidden="false" customHeight="false" outlineLevel="0" collapsed="false">
      <c r="A646" s="29"/>
      <c r="B646" s="40" t="n">
        <f aca="false">IF($A646="",0,INT(($A646-Macrociclo!$C$11)/7)+1)</f>
        <v>0</v>
      </c>
      <c r="C646" s="27"/>
      <c r="D646" s="28"/>
      <c r="E646" s="28"/>
      <c r="F646" s="28"/>
      <c r="G646" s="28"/>
      <c r="H646" s="40" t="n">
        <f aca="false">IF(COUNT($D646:$G646)&lt;4,0,SUM($D646:$G646))</f>
        <v>0</v>
      </c>
      <c r="I646" s="26" t="str">
        <f aca="false">IF($H646=0,"",IF($H646&lt;=8,"Ótimo",IF($H646&lt;=12,"Bom",IF($H646&lt;=16,"Regular",IF($H646&lt;=20,"Alerta","Crítico")))))</f>
        <v/>
      </c>
      <c r="J646" s="27"/>
      <c r="K646" s="27"/>
    </row>
    <row r="647" customFormat="false" ht="15" hidden="false" customHeight="false" outlineLevel="0" collapsed="false">
      <c r="A647" s="29"/>
      <c r="B647" s="40" t="n">
        <f aca="false">IF($A647="",0,INT(($A647-Macrociclo!$C$11)/7)+1)</f>
        <v>0</v>
      </c>
      <c r="C647" s="27"/>
      <c r="D647" s="28"/>
      <c r="E647" s="28"/>
      <c r="F647" s="28"/>
      <c r="G647" s="28"/>
      <c r="H647" s="40" t="n">
        <f aca="false">IF(COUNT($D647:$G647)&lt;4,0,SUM($D647:$G647))</f>
        <v>0</v>
      </c>
      <c r="I647" s="26" t="str">
        <f aca="false">IF($H647=0,"",IF($H647&lt;=8,"Ótimo",IF($H647&lt;=12,"Bom",IF($H647&lt;=16,"Regular",IF($H647&lt;=20,"Alerta","Crítico")))))</f>
        <v/>
      </c>
      <c r="J647" s="27"/>
      <c r="K647" s="27"/>
    </row>
    <row r="648" customFormat="false" ht="15" hidden="false" customHeight="false" outlineLevel="0" collapsed="false">
      <c r="A648" s="29"/>
      <c r="B648" s="40" t="n">
        <f aca="false">IF($A648="",0,INT(($A648-Macrociclo!$C$11)/7)+1)</f>
        <v>0</v>
      </c>
      <c r="C648" s="27"/>
      <c r="D648" s="28"/>
      <c r="E648" s="28"/>
      <c r="F648" s="28"/>
      <c r="G648" s="28"/>
      <c r="H648" s="40" t="n">
        <f aca="false">IF(COUNT($D648:$G648)&lt;4,0,SUM($D648:$G648))</f>
        <v>0</v>
      </c>
      <c r="I648" s="26" t="str">
        <f aca="false">IF($H648=0,"",IF($H648&lt;=8,"Ótimo",IF($H648&lt;=12,"Bom",IF($H648&lt;=16,"Regular",IF($H648&lt;=20,"Alerta","Crítico")))))</f>
        <v/>
      </c>
      <c r="J648" s="27"/>
      <c r="K648" s="27"/>
    </row>
    <row r="649" customFormat="false" ht="15" hidden="false" customHeight="false" outlineLevel="0" collapsed="false">
      <c r="A649" s="29"/>
      <c r="B649" s="40" t="n">
        <f aca="false">IF($A649="",0,INT(($A649-Macrociclo!$C$11)/7)+1)</f>
        <v>0</v>
      </c>
      <c r="C649" s="27"/>
      <c r="D649" s="28"/>
      <c r="E649" s="28"/>
      <c r="F649" s="28"/>
      <c r="G649" s="28"/>
      <c r="H649" s="40" t="n">
        <f aca="false">IF(COUNT($D649:$G649)&lt;4,0,SUM($D649:$G649))</f>
        <v>0</v>
      </c>
      <c r="I649" s="26" t="str">
        <f aca="false">IF($H649=0,"",IF($H649&lt;=8,"Ótimo",IF($H649&lt;=12,"Bom",IF($H649&lt;=16,"Regular",IF($H649&lt;=20,"Alerta","Crítico")))))</f>
        <v/>
      </c>
      <c r="J649" s="27"/>
      <c r="K649" s="27"/>
    </row>
    <row r="650" customFormat="false" ht="15" hidden="false" customHeight="false" outlineLevel="0" collapsed="false">
      <c r="A650" s="29"/>
      <c r="B650" s="40" t="n">
        <f aca="false">IF($A650="",0,INT(($A650-Macrociclo!$C$11)/7)+1)</f>
        <v>0</v>
      </c>
      <c r="C650" s="27"/>
      <c r="D650" s="28"/>
      <c r="E650" s="28"/>
      <c r="F650" s="28"/>
      <c r="G650" s="28"/>
      <c r="H650" s="40" t="n">
        <f aca="false">IF(COUNT($D650:$G650)&lt;4,0,SUM($D650:$G650))</f>
        <v>0</v>
      </c>
      <c r="I650" s="26" t="str">
        <f aca="false">IF($H650=0,"",IF($H650&lt;=8,"Ótimo",IF($H650&lt;=12,"Bom",IF($H650&lt;=16,"Regular",IF($H650&lt;=20,"Alerta","Crítico")))))</f>
        <v/>
      </c>
      <c r="J650" s="27"/>
      <c r="K650" s="27"/>
    </row>
    <row r="651" customFormat="false" ht="15" hidden="false" customHeight="false" outlineLevel="0" collapsed="false">
      <c r="A651" s="29"/>
      <c r="B651" s="40" t="n">
        <f aca="false">IF($A651="",0,INT(($A651-Macrociclo!$C$11)/7)+1)</f>
        <v>0</v>
      </c>
      <c r="C651" s="27"/>
      <c r="D651" s="28"/>
      <c r="E651" s="28"/>
      <c r="F651" s="28"/>
      <c r="G651" s="28"/>
      <c r="H651" s="40" t="n">
        <f aca="false">IF(COUNT($D651:$G651)&lt;4,0,SUM($D651:$G651))</f>
        <v>0</v>
      </c>
      <c r="I651" s="26" t="str">
        <f aca="false">IF($H651=0,"",IF($H651&lt;=8,"Ótimo",IF($H651&lt;=12,"Bom",IF($H651&lt;=16,"Regular",IF($H651&lt;=20,"Alerta","Crítico")))))</f>
        <v/>
      </c>
      <c r="J651" s="27"/>
      <c r="K651" s="27"/>
    </row>
    <row r="652" customFormat="false" ht="15" hidden="false" customHeight="false" outlineLevel="0" collapsed="false">
      <c r="A652" s="29"/>
      <c r="B652" s="40" t="n">
        <f aca="false">IF($A652="",0,INT(($A652-Macrociclo!$C$11)/7)+1)</f>
        <v>0</v>
      </c>
      <c r="C652" s="27"/>
      <c r="D652" s="28"/>
      <c r="E652" s="28"/>
      <c r="F652" s="28"/>
      <c r="G652" s="28"/>
      <c r="H652" s="40" t="n">
        <f aca="false">IF(COUNT($D652:$G652)&lt;4,0,SUM($D652:$G652))</f>
        <v>0</v>
      </c>
      <c r="I652" s="26" t="str">
        <f aca="false">IF($H652=0,"",IF($H652&lt;=8,"Ótimo",IF($H652&lt;=12,"Bom",IF($H652&lt;=16,"Regular",IF($H652&lt;=20,"Alerta","Crítico")))))</f>
        <v/>
      </c>
      <c r="J652" s="27"/>
      <c r="K652" s="27"/>
    </row>
    <row r="653" customFormat="false" ht="15" hidden="false" customHeight="false" outlineLevel="0" collapsed="false">
      <c r="A653" s="29"/>
      <c r="B653" s="40" t="n">
        <f aca="false">IF($A653="",0,INT(($A653-Macrociclo!$C$11)/7)+1)</f>
        <v>0</v>
      </c>
      <c r="C653" s="27"/>
      <c r="D653" s="28"/>
      <c r="E653" s="28"/>
      <c r="F653" s="28"/>
      <c r="G653" s="28"/>
      <c r="H653" s="40" t="n">
        <f aca="false">IF(COUNT($D653:$G653)&lt;4,0,SUM($D653:$G653))</f>
        <v>0</v>
      </c>
      <c r="I653" s="26" t="str">
        <f aca="false">IF($H653=0,"",IF($H653&lt;=8,"Ótimo",IF($H653&lt;=12,"Bom",IF($H653&lt;=16,"Regular",IF($H653&lt;=20,"Alerta","Crítico")))))</f>
        <v/>
      </c>
      <c r="J653" s="27"/>
      <c r="K653" s="27"/>
    </row>
    <row r="654" customFormat="false" ht="15" hidden="false" customHeight="false" outlineLevel="0" collapsed="false">
      <c r="A654" s="29"/>
      <c r="B654" s="40" t="n">
        <f aca="false">IF($A654="",0,INT(($A654-Macrociclo!$C$11)/7)+1)</f>
        <v>0</v>
      </c>
      <c r="C654" s="27"/>
      <c r="D654" s="28"/>
      <c r="E654" s="28"/>
      <c r="F654" s="28"/>
      <c r="G654" s="28"/>
      <c r="H654" s="40" t="n">
        <f aca="false">IF(COUNT($D654:$G654)&lt;4,0,SUM($D654:$G654))</f>
        <v>0</v>
      </c>
      <c r="I654" s="26" t="str">
        <f aca="false">IF($H654=0,"",IF($H654&lt;=8,"Ótimo",IF($H654&lt;=12,"Bom",IF($H654&lt;=16,"Regular",IF($H654&lt;=20,"Alerta","Crítico")))))</f>
        <v/>
      </c>
      <c r="J654" s="27"/>
      <c r="K654" s="27"/>
    </row>
    <row r="655" customFormat="false" ht="15" hidden="false" customHeight="false" outlineLevel="0" collapsed="false">
      <c r="A655" s="29"/>
      <c r="B655" s="40" t="n">
        <f aca="false">IF($A655="",0,INT(($A655-Macrociclo!$C$11)/7)+1)</f>
        <v>0</v>
      </c>
      <c r="C655" s="27"/>
      <c r="D655" s="28"/>
      <c r="E655" s="28"/>
      <c r="F655" s="28"/>
      <c r="G655" s="28"/>
      <c r="H655" s="40" t="n">
        <f aca="false">IF(COUNT($D655:$G655)&lt;4,0,SUM($D655:$G655))</f>
        <v>0</v>
      </c>
      <c r="I655" s="26" t="str">
        <f aca="false">IF($H655=0,"",IF($H655&lt;=8,"Ótimo",IF($H655&lt;=12,"Bom",IF($H655&lt;=16,"Regular",IF($H655&lt;=20,"Alerta","Crítico")))))</f>
        <v/>
      </c>
      <c r="J655" s="27"/>
      <c r="K655" s="27"/>
    </row>
    <row r="656" customFormat="false" ht="15" hidden="false" customHeight="false" outlineLevel="0" collapsed="false">
      <c r="A656" s="29"/>
      <c r="B656" s="40" t="n">
        <f aca="false">IF($A656="",0,INT(($A656-Macrociclo!$C$11)/7)+1)</f>
        <v>0</v>
      </c>
      <c r="C656" s="27"/>
      <c r="D656" s="28"/>
      <c r="E656" s="28"/>
      <c r="F656" s="28"/>
      <c r="G656" s="28"/>
      <c r="H656" s="40" t="n">
        <f aca="false">IF(COUNT($D656:$G656)&lt;4,0,SUM($D656:$G656))</f>
        <v>0</v>
      </c>
      <c r="I656" s="26" t="str">
        <f aca="false">IF($H656=0,"",IF($H656&lt;=8,"Ótimo",IF($H656&lt;=12,"Bom",IF($H656&lt;=16,"Regular",IF($H656&lt;=20,"Alerta","Crítico")))))</f>
        <v/>
      </c>
      <c r="J656" s="27"/>
      <c r="K656" s="27"/>
    </row>
    <row r="657" customFormat="false" ht="15" hidden="false" customHeight="false" outlineLevel="0" collapsed="false">
      <c r="A657" s="29"/>
      <c r="B657" s="40" t="n">
        <f aca="false">IF($A657="",0,INT(($A657-Macrociclo!$C$11)/7)+1)</f>
        <v>0</v>
      </c>
      <c r="C657" s="27"/>
      <c r="D657" s="28"/>
      <c r="E657" s="28"/>
      <c r="F657" s="28"/>
      <c r="G657" s="28"/>
      <c r="H657" s="40" t="n">
        <f aca="false">IF(COUNT($D657:$G657)&lt;4,0,SUM($D657:$G657))</f>
        <v>0</v>
      </c>
      <c r="I657" s="26" t="str">
        <f aca="false">IF($H657=0,"",IF($H657&lt;=8,"Ótimo",IF($H657&lt;=12,"Bom",IF($H657&lt;=16,"Regular",IF($H657&lt;=20,"Alerta","Crítico")))))</f>
        <v/>
      </c>
      <c r="J657" s="27"/>
      <c r="K657" s="27"/>
    </row>
    <row r="658" customFormat="false" ht="15" hidden="false" customHeight="false" outlineLevel="0" collapsed="false">
      <c r="A658" s="29"/>
      <c r="B658" s="40" t="n">
        <f aca="false">IF($A658="",0,INT(($A658-Macrociclo!$C$11)/7)+1)</f>
        <v>0</v>
      </c>
      <c r="C658" s="27"/>
      <c r="D658" s="28"/>
      <c r="E658" s="28"/>
      <c r="F658" s="28"/>
      <c r="G658" s="28"/>
      <c r="H658" s="40" t="n">
        <f aca="false">IF(COUNT($D658:$G658)&lt;4,0,SUM($D658:$G658))</f>
        <v>0</v>
      </c>
      <c r="I658" s="26" t="str">
        <f aca="false">IF($H658=0,"",IF($H658&lt;=8,"Ótimo",IF($H658&lt;=12,"Bom",IF($H658&lt;=16,"Regular",IF($H658&lt;=20,"Alerta","Crítico")))))</f>
        <v/>
      </c>
      <c r="J658" s="27"/>
      <c r="K658" s="27"/>
    </row>
    <row r="659" customFormat="false" ht="15" hidden="false" customHeight="false" outlineLevel="0" collapsed="false">
      <c r="A659" s="29"/>
      <c r="B659" s="40" t="n">
        <f aca="false">IF($A659="",0,INT(($A659-Macrociclo!$C$11)/7)+1)</f>
        <v>0</v>
      </c>
      <c r="C659" s="27"/>
      <c r="D659" s="28"/>
      <c r="E659" s="28"/>
      <c r="F659" s="28"/>
      <c r="G659" s="28"/>
      <c r="H659" s="40" t="n">
        <f aca="false">IF(COUNT($D659:$G659)&lt;4,0,SUM($D659:$G659))</f>
        <v>0</v>
      </c>
      <c r="I659" s="26" t="str">
        <f aca="false">IF($H659=0,"",IF($H659&lt;=8,"Ótimo",IF($H659&lt;=12,"Bom",IF($H659&lt;=16,"Regular",IF($H659&lt;=20,"Alerta","Crítico")))))</f>
        <v/>
      </c>
      <c r="J659" s="27"/>
      <c r="K659" s="27"/>
    </row>
    <row r="660" customFormat="false" ht="15" hidden="false" customHeight="false" outlineLevel="0" collapsed="false">
      <c r="A660" s="29"/>
      <c r="B660" s="40" t="n">
        <f aca="false">IF($A660="",0,INT(($A660-Macrociclo!$C$11)/7)+1)</f>
        <v>0</v>
      </c>
      <c r="C660" s="27"/>
      <c r="D660" s="28"/>
      <c r="E660" s="28"/>
      <c r="F660" s="28"/>
      <c r="G660" s="28"/>
      <c r="H660" s="40" t="n">
        <f aca="false">IF(COUNT($D660:$G660)&lt;4,0,SUM($D660:$G660))</f>
        <v>0</v>
      </c>
      <c r="I660" s="26" t="str">
        <f aca="false">IF($H660=0,"",IF($H660&lt;=8,"Ótimo",IF($H660&lt;=12,"Bom",IF($H660&lt;=16,"Regular",IF($H660&lt;=20,"Alerta","Crítico")))))</f>
        <v/>
      </c>
      <c r="J660" s="27"/>
      <c r="K660" s="27"/>
    </row>
    <row r="661" customFormat="false" ht="15" hidden="false" customHeight="false" outlineLevel="0" collapsed="false">
      <c r="A661" s="29"/>
      <c r="B661" s="40" t="n">
        <f aca="false">IF($A661="",0,INT(($A661-Macrociclo!$C$11)/7)+1)</f>
        <v>0</v>
      </c>
      <c r="C661" s="27"/>
      <c r="D661" s="28"/>
      <c r="E661" s="28"/>
      <c r="F661" s="28"/>
      <c r="G661" s="28"/>
      <c r="H661" s="40" t="n">
        <f aca="false">IF(COUNT($D661:$G661)&lt;4,0,SUM($D661:$G661))</f>
        <v>0</v>
      </c>
      <c r="I661" s="26" t="str">
        <f aca="false">IF($H661=0,"",IF($H661&lt;=8,"Ótimo",IF($H661&lt;=12,"Bom",IF($H661&lt;=16,"Regular",IF($H661&lt;=20,"Alerta","Crítico")))))</f>
        <v/>
      </c>
      <c r="J661" s="27"/>
      <c r="K661" s="27"/>
    </row>
    <row r="662" customFormat="false" ht="15" hidden="false" customHeight="false" outlineLevel="0" collapsed="false">
      <c r="A662" s="29"/>
      <c r="B662" s="40" t="n">
        <f aca="false">IF($A662="",0,INT(($A662-Macrociclo!$C$11)/7)+1)</f>
        <v>0</v>
      </c>
      <c r="C662" s="27"/>
      <c r="D662" s="28"/>
      <c r="E662" s="28"/>
      <c r="F662" s="28"/>
      <c r="G662" s="28"/>
      <c r="H662" s="40" t="n">
        <f aca="false">IF(COUNT($D662:$G662)&lt;4,0,SUM($D662:$G662))</f>
        <v>0</v>
      </c>
      <c r="I662" s="26" t="str">
        <f aca="false">IF($H662=0,"",IF($H662&lt;=8,"Ótimo",IF($H662&lt;=12,"Bom",IF($H662&lt;=16,"Regular",IF($H662&lt;=20,"Alerta","Crítico")))))</f>
        <v/>
      </c>
      <c r="J662" s="27"/>
      <c r="K662" s="27"/>
    </row>
    <row r="663" customFormat="false" ht="15" hidden="false" customHeight="false" outlineLevel="0" collapsed="false">
      <c r="A663" s="29"/>
      <c r="B663" s="40" t="n">
        <f aca="false">IF($A663="",0,INT(($A663-Macrociclo!$C$11)/7)+1)</f>
        <v>0</v>
      </c>
      <c r="C663" s="27"/>
      <c r="D663" s="28"/>
      <c r="E663" s="28"/>
      <c r="F663" s="28"/>
      <c r="G663" s="28"/>
      <c r="H663" s="40" t="n">
        <f aca="false">IF(COUNT($D663:$G663)&lt;4,0,SUM($D663:$G663))</f>
        <v>0</v>
      </c>
      <c r="I663" s="26" t="str">
        <f aca="false">IF($H663=0,"",IF($H663&lt;=8,"Ótimo",IF($H663&lt;=12,"Bom",IF($H663&lt;=16,"Regular",IF($H663&lt;=20,"Alerta","Crítico")))))</f>
        <v/>
      </c>
      <c r="J663" s="27"/>
      <c r="K663" s="27"/>
    </row>
    <row r="664" customFormat="false" ht="15" hidden="false" customHeight="false" outlineLevel="0" collapsed="false">
      <c r="A664" s="29"/>
      <c r="B664" s="40" t="n">
        <f aca="false">IF($A664="",0,INT(($A664-Macrociclo!$C$11)/7)+1)</f>
        <v>0</v>
      </c>
      <c r="C664" s="27"/>
      <c r="D664" s="28"/>
      <c r="E664" s="28"/>
      <c r="F664" s="28"/>
      <c r="G664" s="28"/>
      <c r="H664" s="40" t="n">
        <f aca="false">IF(COUNT($D664:$G664)&lt;4,0,SUM($D664:$G664))</f>
        <v>0</v>
      </c>
      <c r="I664" s="26" t="str">
        <f aca="false">IF($H664=0,"",IF($H664&lt;=8,"Ótimo",IF($H664&lt;=12,"Bom",IF($H664&lt;=16,"Regular",IF($H664&lt;=20,"Alerta","Crítico")))))</f>
        <v/>
      </c>
      <c r="J664" s="27"/>
      <c r="K664" s="27"/>
    </row>
    <row r="665" customFormat="false" ht="15" hidden="false" customHeight="false" outlineLevel="0" collapsed="false">
      <c r="A665" s="29"/>
      <c r="B665" s="40" t="n">
        <f aca="false">IF($A665="",0,INT(($A665-Macrociclo!$C$11)/7)+1)</f>
        <v>0</v>
      </c>
      <c r="C665" s="27"/>
      <c r="D665" s="28"/>
      <c r="E665" s="28"/>
      <c r="F665" s="28"/>
      <c r="G665" s="28"/>
      <c r="H665" s="40" t="n">
        <f aca="false">IF(COUNT($D665:$G665)&lt;4,0,SUM($D665:$G665))</f>
        <v>0</v>
      </c>
      <c r="I665" s="26" t="str">
        <f aca="false">IF($H665=0,"",IF($H665&lt;=8,"Ótimo",IF($H665&lt;=12,"Bom",IF($H665&lt;=16,"Regular",IF($H665&lt;=20,"Alerta","Crítico")))))</f>
        <v/>
      </c>
      <c r="J665" s="27"/>
      <c r="K665" s="27"/>
    </row>
    <row r="666" customFormat="false" ht="15" hidden="false" customHeight="false" outlineLevel="0" collapsed="false">
      <c r="A666" s="29"/>
      <c r="B666" s="40" t="n">
        <f aca="false">IF($A666="",0,INT(($A666-Macrociclo!$C$11)/7)+1)</f>
        <v>0</v>
      </c>
      <c r="C666" s="27"/>
      <c r="D666" s="28"/>
      <c r="E666" s="28"/>
      <c r="F666" s="28"/>
      <c r="G666" s="28"/>
      <c r="H666" s="40" t="n">
        <f aca="false">IF(COUNT($D666:$G666)&lt;4,0,SUM($D666:$G666))</f>
        <v>0</v>
      </c>
      <c r="I666" s="26" t="str">
        <f aca="false">IF($H666=0,"",IF($H666&lt;=8,"Ótimo",IF($H666&lt;=12,"Bom",IF($H666&lt;=16,"Regular",IF($H666&lt;=20,"Alerta","Crítico")))))</f>
        <v/>
      </c>
      <c r="J666" s="27"/>
      <c r="K666" s="27"/>
    </row>
    <row r="667" customFormat="false" ht="15" hidden="false" customHeight="false" outlineLevel="0" collapsed="false">
      <c r="A667" s="29"/>
      <c r="B667" s="40" t="n">
        <f aca="false">IF($A667="",0,INT(($A667-Macrociclo!$C$11)/7)+1)</f>
        <v>0</v>
      </c>
      <c r="C667" s="27"/>
      <c r="D667" s="28"/>
      <c r="E667" s="28"/>
      <c r="F667" s="28"/>
      <c r="G667" s="28"/>
      <c r="H667" s="40" t="n">
        <f aca="false">IF(COUNT($D667:$G667)&lt;4,0,SUM($D667:$G667))</f>
        <v>0</v>
      </c>
      <c r="I667" s="26" t="str">
        <f aca="false">IF($H667=0,"",IF($H667&lt;=8,"Ótimo",IF($H667&lt;=12,"Bom",IF($H667&lt;=16,"Regular",IF($H667&lt;=20,"Alerta","Crítico")))))</f>
        <v/>
      </c>
      <c r="J667" s="27"/>
      <c r="K667" s="27"/>
    </row>
    <row r="668" customFormat="false" ht="15" hidden="false" customHeight="false" outlineLevel="0" collapsed="false">
      <c r="A668" s="29"/>
      <c r="B668" s="40" t="n">
        <f aca="false">IF($A668="",0,INT(($A668-Macrociclo!$C$11)/7)+1)</f>
        <v>0</v>
      </c>
      <c r="C668" s="27"/>
      <c r="D668" s="28"/>
      <c r="E668" s="28"/>
      <c r="F668" s="28"/>
      <c r="G668" s="28"/>
      <c r="H668" s="40" t="n">
        <f aca="false">IF(COUNT($D668:$G668)&lt;4,0,SUM($D668:$G668))</f>
        <v>0</v>
      </c>
      <c r="I668" s="26" t="str">
        <f aca="false">IF($H668=0,"",IF($H668&lt;=8,"Ótimo",IF($H668&lt;=12,"Bom",IF($H668&lt;=16,"Regular",IF($H668&lt;=20,"Alerta","Crítico")))))</f>
        <v/>
      </c>
      <c r="J668" s="27"/>
      <c r="K668" s="27"/>
    </row>
    <row r="669" customFormat="false" ht="15" hidden="false" customHeight="false" outlineLevel="0" collapsed="false">
      <c r="A669" s="29"/>
      <c r="B669" s="40" t="n">
        <f aca="false">IF($A669="",0,INT(($A669-Macrociclo!$C$11)/7)+1)</f>
        <v>0</v>
      </c>
      <c r="C669" s="27"/>
      <c r="D669" s="28"/>
      <c r="E669" s="28"/>
      <c r="F669" s="28"/>
      <c r="G669" s="28"/>
      <c r="H669" s="40" t="n">
        <f aca="false">IF(COUNT($D669:$G669)&lt;4,0,SUM($D669:$G669))</f>
        <v>0</v>
      </c>
      <c r="I669" s="26" t="str">
        <f aca="false">IF($H669=0,"",IF($H669&lt;=8,"Ótimo",IF($H669&lt;=12,"Bom",IF($H669&lt;=16,"Regular",IF($H669&lt;=20,"Alerta","Crítico")))))</f>
        <v/>
      </c>
      <c r="J669" s="27"/>
      <c r="K669" s="27"/>
    </row>
    <row r="670" customFormat="false" ht="15" hidden="false" customHeight="false" outlineLevel="0" collapsed="false">
      <c r="A670" s="29"/>
      <c r="B670" s="40" t="n">
        <f aca="false">IF($A670="",0,INT(($A670-Macrociclo!$C$11)/7)+1)</f>
        <v>0</v>
      </c>
      <c r="C670" s="27"/>
      <c r="D670" s="28"/>
      <c r="E670" s="28"/>
      <c r="F670" s="28"/>
      <c r="G670" s="28"/>
      <c r="H670" s="40" t="n">
        <f aca="false">IF(COUNT($D670:$G670)&lt;4,0,SUM($D670:$G670))</f>
        <v>0</v>
      </c>
      <c r="I670" s="26" t="str">
        <f aca="false">IF($H670=0,"",IF($H670&lt;=8,"Ótimo",IF($H670&lt;=12,"Bom",IF($H670&lt;=16,"Regular",IF($H670&lt;=20,"Alerta","Crítico")))))</f>
        <v/>
      </c>
      <c r="J670" s="27"/>
      <c r="K670" s="27"/>
    </row>
    <row r="671" customFormat="false" ht="15" hidden="false" customHeight="false" outlineLevel="0" collapsed="false">
      <c r="A671" s="29"/>
      <c r="B671" s="40" t="n">
        <f aca="false">IF($A671="",0,INT(($A671-Macrociclo!$C$11)/7)+1)</f>
        <v>0</v>
      </c>
      <c r="C671" s="27"/>
      <c r="D671" s="28"/>
      <c r="E671" s="28"/>
      <c r="F671" s="28"/>
      <c r="G671" s="28"/>
      <c r="H671" s="40" t="n">
        <f aca="false">IF(COUNT($D671:$G671)&lt;4,0,SUM($D671:$G671))</f>
        <v>0</v>
      </c>
      <c r="I671" s="26" t="str">
        <f aca="false">IF($H671=0,"",IF($H671&lt;=8,"Ótimo",IF($H671&lt;=12,"Bom",IF($H671&lt;=16,"Regular",IF($H671&lt;=20,"Alerta","Crítico")))))</f>
        <v/>
      </c>
      <c r="J671" s="27"/>
      <c r="K671" s="27"/>
    </row>
    <row r="672" customFormat="false" ht="15" hidden="false" customHeight="false" outlineLevel="0" collapsed="false">
      <c r="A672" s="29"/>
      <c r="B672" s="40" t="n">
        <f aca="false">IF($A672="",0,INT(($A672-Macrociclo!$C$11)/7)+1)</f>
        <v>0</v>
      </c>
      <c r="C672" s="27"/>
      <c r="D672" s="28"/>
      <c r="E672" s="28"/>
      <c r="F672" s="28"/>
      <c r="G672" s="28"/>
      <c r="H672" s="40" t="n">
        <f aca="false">IF(COUNT($D672:$G672)&lt;4,0,SUM($D672:$G672))</f>
        <v>0</v>
      </c>
      <c r="I672" s="26" t="str">
        <f aca="false">IF($H672=0,"",IF($H672&lt;=8,"Ótimo",IF($H672&lt;=12,"Bom",IF($H672&lt;=16,"Regular",IF($H672&lt;=20,"Alerta","Crítico")))))</f>
        <v/>
      </c>
      <c r="J672" s="27"/>
      <c r="K672" s="27"/>
    </row>
    <row r="673" customFormat="false" ht="15" hidden="false" customHeight="false" outlineLevel="0" collapsed="false">
      <c r="A673" s="29"/>
      <c r="B673" s="40" t="n">
        <f aca="false">IF($A673="",0,INT(($A673-Macrociclo!$C$11)/7)+1)</f>
        <v>0</v>
      </c>
      <c r="C673" s="27"/>
      <c r="D673" s="28"/>
      <c r="E673" s="28"/>
      <c r="F673" s="28"/>
      <c r="G673" s="28"/>
      <c r="H673" s="40" t="n">
        <f aca="false">IF(COUNT($D673:$G673)&lt;4,0,SUM($D673:$G673))</f>
        <v>0</v>
      </c>
      <c r="I673" s="26" t="str">
        <f aca="false">IF($H673=0,"",IF($H673&lt;=8,"Ótimo",IF($H673&lt;=12,"Bom",IF($H673&lt;=16,"Regular",IF($H673&lt;=20,"Alerta","Crítico")))))</f>
        <v/>
      </c>
      <c r="J673" s="27"/>
      <c r="K673" s="27"/>
    </row>
    <row r="674" customFormat="false" ht="15" hidden="false" customHeight="false" outlineLevel="0" collapsed="false">
      <c r="A674" s="29"/>
      <c r="B674" s="40" t="n">
        <f aca="false">IF($A674="",0,INT(($A674-Macrociclo!$C$11)/7)+1)</f>
        <v>0</v>
      </c>
      <c r="C674" s="27"/>
      <c r="D674" s="28"/>
      <c r="E674" s="28"/>
      <c r="F674" s="28"/>
      <c r="G674" s="28"/>
      <c r="H674" s="40" t="n">
        <f aca="false">IF(COUNT($D674:$G674)&lt;4,0,SUM($D674:$G674))</f>
        <v>0</v>
      </c>
      <c r="I674" s="26" t="str">
        <f aca="false">IF($H674=0,"",IF($H674&lt;=8,"Ótimo",IF($H674&lt;=12,"Bom",IF($H674&lt;=16,"Regular",IF($H674&lt;=20,"Alerta","Crítico")))))</f>
        <v/>
      </c>
      <c r="J674" s="27"/>
      <c r="K674" s="27"/>
    </row>
    <row r="675" customFormat="false" ht="15" hidden="false" customHeight="false" outlineLevel="0" collapsed="false">
      <c r="A675" s="29"/>
      <c r="B675" s="40" t="n">
        <f aca="false">IF($A675="",0,INT(($A675-Macrociclo!$C$11)/7)+1)</f>
        <v>0</v>
      </c>
      <c r="C675" s="27"/>
      <c r="D675" s="28"/>
      <c r="E675" s="28"/>
      <c r="F675" s="28"/>
      <c r="G675" s="28"/>
      <c r="H675" s="40" t="n">
        <f aca="false">IF(COUNT($D675:$G675)&lt;4,0,SUM($D675:$G675))</f>
        <v>0</v>
      </c>
      <c r="I675" s="26" t="str">
        <f aca="false">IF($H675=0,"",IF($H675&lt;=8,"Ótimo",IF($H675&lt;=12,"Bom",IF($H675&lt;=16,"Regular",IF($H675&lt;=20,"Alerta","Crítico")))))</f>
        <v/>
      </c>
      <c r="J675" s="27"/>
      <c r="K675" s="27"/>
    </row>
    <row r="676" customFormat="false" ht="15" hidden="false" customHeight="false" outlineLevel="0" collapsed="false">
      <c r="A676" s="29"/>
      <c r="B676" s="40" t="n">
        <f aca="false">IF($A676="",0,INT(($A676-Macrociclo!$C$11)/7)+1)</f>
        <v>0</v>
      </c>
      <c r="C676" s="27"/>
      <c r="D676" s="28"/>
      <c r="E676" s="28"/>
      <c r="F676" s="28"/>
      <c r="G676" s="28"/>
      <c r="H676" s="40" t="n">
        <f aca="false">IF(COUNT($D676:$G676)&lt;4,0,SUM($D676:$G676))</f>
        <v>0</v>
      </c>
      <c r="I676" s="26" t="str">
        <f aca="false">IF($H676=0,"",IF($H676&lt;=8,"Ótimo",IF($H676&lt;=12,"Bom",IF($H676&lt;=16,"Regular",IF($H676&lt;=20,"Alerta","Crítico")))))</f>
        <v/>
      </c>
      <c r="J676" s="27"/>
      <c r="K676" s="27"/>
    </row>
    <row r="677" customFormat="false" ht="15" hidden="false" customHeight="false" outlineLevel="0" collapsed="false">
      <c r="A677" s="29"/>
      <c r="B677" s="40" t="n">
        <f aca="false">IF($A677="",0,INT(($A677-Macrociclo!$C$11)/7)+1)</f>
        <v>0</v>
      </c>
      <c r="C677" s="27"/>
      <c r="D677" s="28"/>
      <c r="E677" s="28"/>
      <c r="F677" s="28"/>
      <c r="G677" s="28"/>
      <c r="H677" s="40" t="n">
        <f aca="false">IF(COUNT($D677:$G677)&lt;4,0,SUM($D677:$G677))</f>
        <v>0</v>
      </c>
      <c r="I677" s="26" t="str">
        <f aca="false">IF($H677=0,"",IF($H677&lt;=8,"Ótimo",IF($H677&lt;=12,"Bom",IF($H677&lt;=16,"Regular",IF($H677&lt;=20,"Alerta","Crítico")))))</f>
        <v/>
      </c>
      <c r="J677" s="27"/>
      <c r="K677" s="27"/>
    </row>
    <row r="678" customFormat="false" ht="15" hidden="false" customHeight="false" outlineLevel="0" collapsed="false">
      <c r="A678" s="29"/>
      <c r="B678" s="40" t="n">
        <f aca="false">IF($A678="",0,INT(($A678-Macrociclo!$C$11)/7)+1)</f>
        <v>0</v>
      </c>
      <c r="C678" s="27"/>
      <c r="D678" s="28"/>
      <c r="E678" s="28"/>
      <c r="F678" s="28"/>
      <c r="G678" s="28"/>
      <c r="H678" s="40" t="n">
        <f aca="false">IF(COUNT($D678:$G678)&lt;4,0,SUM($D678:$G678))</f>
        <v>0</v>
      </c>
      <c r="I678" s="26" t="str">
        <f aca="false">IF($H678=0,"",IF($H678&lt;=8,"Ótimo",IF($H678&lt;=12,"Bom",IF($H678&lt;=16,"Regular",IF($H678&lt;=20,"Alerta","Crítico")))))</f>
        <v/>
      </c>
      <c r="J678" s="27"/>
      <c r="K678" s="27"/>
    </row>
    <row r="679" customFormat="false" ht="15" hidden="false" customHeight="false" outlineLevel="0" collapsed="false">
      <c r="A679" s="29"/>
      <c r="B679" s="40" t="n">
        <f aca="false">IF($A679="",0,INT(($A679-Macrociclo!$C$11)/7)+1)</f>
        <v>0</v>
      </c>
      <c r="C679" s="27"/>
      <c r="D679" s="28"/>
      <c r="E679" s="28"/>
      <c r="F679" s="28"/>
      <c r="G679" s="28"/>
      <c r="H679" s="40" t="n">
        <f aca="false">IF(COUNT($D679:$G679)&lt;4,0,SUM($D679:$G679))</f>
        <v>0</v>
      </c>
      <c r="I679" s="26" t="str">
        <f aca="false">IF($H679=0,"",IF($H679&lt;=8,"Ótimo",IF($H679&lt;=12,"Bom",IF($H679&lt;=16,"Regular",IF($H679&lt;=20,"Alerta","Crítico")))))</f>
        <v/>
      </c>
      <c r="J679" s="27"/>
      <c r="K679" s="27"/>
    </row>
    <row r="680" customFormat="false" ht="15" hidden="false" customHeight="false" outlineLevel="0" collapsed="false">
      <c r="A680" s="29"/>
      <c r="B680" s="40" t="n">
        <f aca="false">IF($A680="",0,INT(($A680-Macrociclo!$C$11)/7)+1)</f>
        <v>0</v>
      </c>
      <c r="C680" s="27"/>
      <c r="D680" s="28"/>
      <c r="E680" s="28"/>
      <c r="F680" s="28"/>
      <c r="G680" s="28"/>
      <c r="H680" s="40" t="n">
        <f aca="false">IF(COUNT($D680:$G680)&lt;4,0,SUM($D680:$G680))</f>
        <v>0</v>
      </c>
      <c r="I680" s="26" t="str">
        <f aca="false">IF($H680=0,"",IF($H680&lt;=8,"Ótimo",IF($H680&lt;=12,"Bom",IF($H680&lt;=16,"Regular",IF($H680&lt;=20,"Alerta","Crítico")))))</f>
        <v/>
      </c>
      <c r="J680" s="27"/>
      <c r="K680" s="27"/>
    </row>
    <row r="681" customFormat="false" ht="15" hidden="false" customHeight="false" outlineLevel="0" collapsed="false">
      <c r="A681" s="29"/>
      <c r="B681" s="40" t="n">
        <f aca="false">IF($A681="",0,INT(($A681-Macrociclo!$C$11)/7)+1)</f>
        <v>0</v>
      </c>
      <c r="C681" s="27"/>
      <c r="D681" s="28"/>
      <c r="E681" s="28"/>
      <c r="F681" s="28"/>
      <c r="G681" s="28"/>
      <c r="H681" s="40" t="n">
        <f aca="false">IF(COUNT($D681:$G681)&lt;4,0,SUM($D681:$G681))</f>
        <v>0</v>
      </c>
      <c r="I681" s="26" t="str">
        <f aca="false">IF($H681=0,"",IF($H681&lt;=8,"Ótimo",IF($H681&lt;=12,"Bom",IF($H681&lt;=16,"Regular",IF($H681&lt;=20,"Alerta","Crítico")))))</f>
        <v/>
      </c>
      <c r="J681" s="27"/>
      <c r="K681" s="27"/>
    </row>
    <row r="682" customFormat="false" ht="15" hidden="false" customHeight="false" outlineLevel="0" collapsed="false">
      <c r="A682" s="29"/>
      <c r="B682" s="40" t="n">
        <f aca="false">IF($A682="",0,INT(($A682-Macrociclo!$C$11)/7)+1)</f>
        <v>0</v>
      </c>
      <c r="C682" s="27"/>
      <c r="D682" s="28"/>
      <c r="E682" s="28"/>
      <c r="F682" s="28"/>
      <c r="G682" s="28"/>
      <c r="H682" s="40" t="n">
        <f aca="false">IF(COUNT($D682:$G682)&lt;4,0,SUM($D682:$G682))</f>
        <v>0</v>
      </c>
      <c r="I682" s="26" t="str">
        <f aca="false">IF($H682=0,"",IF($H682&lt;=8,"Ótimo",IF($H682&lt;=12,"Bom",IF($H682&lt;=16,"Regular",IF($H682&lt;=20,"Alerta","Crítico")))))</f>
        <v/>
      </c>
      <c r="J682" s="27"/>
      <c r="K682" s="27"/>
    </row>
    <row r="683" customFormat="false" ht="15" hidden="false" customHeight="false" outlineLevel="0" collapsed="false">
      <c r="A683" s="29"/>
      <c r="B683" s="40" t="n">
        <f aca="false">IF($A683="",0,INT(($A683-Macrociclo!$C$11)/7)+1)</f>
        <v>0</v>
      </c>
      <c r="C683" s="27"/>
      <c r="D683" s="28"/>
      <c r="E683" s="28"/>
      <c r="F683" s="28"/>
      <c r="G683" s="28"/>
      <c r="H683" s="40" t="n">
        <f aca="false">IF(COUNT($D683:$G683)&lt;4,0,SUM($D683:$G683))</f>
        <v>0</v>
      </c>
      <c r="I683" s="26" t="str">
        <f aca="false">IF($H683=0,"",IF($H683&lt;=8,"Ótimo",IF($H683&lt;=12,"Bom",IF($H683&lt;=16,"Regular",IF($H683&lt;=20,"Alerta","Crítico")))))</f>
        <v/>
      </c>
      <c r="J683" s="27"/>
      <c r="K683" s="27"/>
    </row>
    <row r="684" customFormat="false" ht="15" hidden="false" customHeight="false" outlineLevel="0" collapsed="false">
      <c r="A684" s="29"/>
      <c r="B684" s="40" t="n">
        <f aca="false">IF($A684="",0,INT(($A684-Macrociclo!$C$11)/7)+1)</f>
        <v>0</v>
      </c>
      <c r="C684" s="27"/>
      <c r="D684" s="28"/>
      <c r="E684" s="28"/>
      <c r="F684" s="28"/>
      <c r="G684" s="28"/>
      <c r="H684" s="40" t="n">
        <f aca="false">IF(COUNT($D684:$G684)&lt;4,0,SUM($D684:$G684))</f>
        <v>0</v>
      </c>
      <c r="I684" s="26" t="str">
        <f aca="false">IF($H684=0,"",IF($H684&lt;=8,"Ótimo",IF($H684&lt;=12,"Bom",IF($H684&lt;=16,"Regular",IF($H684&lt;=20,"Alerta","Crítico")))))</f>
        <v/>
      </c>
      <c r="J684" s="27"/>
      <c r="K684" s="27"/>
    </row>
    <row r="685" customFormat="false" ht="15" hidden="false" customHeight="false" outlineLevel="0" collapsed="false">
      <c r="A685" s="29"/>
      <c r="B685" s="40" t="n">
        <f aca="false">IF($A685="",0,INT(($A685-Macrociclo!$C$11)/7)+1)</f>
        <v>0</v>
      </c>
      <c r="C685" s="27"/>
      <c r="D685" s="28"/>
      <c r="E685" s="28"/>
      <c r="F685" s="28"/>
      <c r="G685" s="28"/>
      <c r="H685" s="40" t="n">
        <f aca="false">IF(COUNT($D685:$G685)&lt;4,0,SUM($D685:$G685))</f>
        <v>0</v>
      </c>
      <c r="I685" s="26" t="str">
        <f aca="false">IF($H685=0,"",IF($H685&lt;=8,"Ótimo",IF($H685&lt;=12,"Bom",IF($H685&lt;=16,"Regular",IF($H685&lt;=20,"Alerta","Crítico")))))</f>
        <v/>
      </c>
      <c r="J685" s="27"/>
      <c r="K685" s="27"/>
    </row>
    <row r="686" customFormat="false" ht="15" hidden="false" customHeight="false" outlineLevel="0" collapsed="false">
      <c r="A686" s="29"/>
      <c r="B686" s="40" t="n">
        <f aca="false">IF($A686="",0,INT(($A686-Macrociclo!$C$11)/7)+1)</f>
        <v>0</v>
      </c>
      <c r="C686" s="27"/>
      <c r="D686" s="28"/>
      <c r="E686" s="28"/>
      <c r="F686" s="28"/>
      <c r="G686" s="28"/>
      <c r="H686" s="40" t="n">
        <f aca="false">IF(COUNT($D686:$G686)&lt;4,0,SUM($D686:$G686))</f>
        <v>0</v>
      </c>
      <c r="I686" s="26" t="str">
        <f aca="false">IF($H686=0,"",IF($H686&lt;=8,"Ótimo",IF($H686&lt;=12,"Bom",IF($H686&lt;=16,"Regular",IF($H686&lt;=20,"Alerta","Crítico")))))</f>
        <v/>
      </c>
      <c r="J686" s="27"/>
      <c r="K686" s="27"/>
    </row>
    <row r="687" customFormat="false" ht="15" hidden="false" customHeight="false" outlineLevel="0" collapsed="false">
      <c r="A687" s="29"/>
      <c r="B687" s="40" t="n">
        <f aca="false">IF($A687="",0,INT(($A687-Macrociclo!$C$11)/7)+1)</f>
        <v>0</v>
      </c>
      <c r="C687" s="27"/>
      <c r="D687" s="28"/>
      <c r="E687" s="28"/>
      <c r="F687" s="28"/>
      <c r="G687" s="28"/>
      <c r="H687" s="40" t="n">
        <f aca="false">IF(COUNT($D687:$G687)&lt;4,0,SUM($D687:$G687))</f>
        <v>0</v>
      </c>
      <c r="I687" s="26" t="str">
        <f aca="false">IF($H687=0,"",IF($H687&lt;=8,"Ótimo",IF($H687&lt;=12,"Bom",IF($H687&lt;=16,"Regular",IF($H687&lt;=20,"Alerta","Crítico")))))</f>
        <v/>
      </c>
      <c r="J687" s="27"/>
      <c r="K687" s="27"/>
    </row>
    <row r="688" customFormat="false" ht="15" hidden="false" customHeight="false" outlineLevel="0" collapsed="false">
      <c r="A688" s="29"/>
      <c r="B688" s="40" t="n">
        <f aca="false">IF($A688="",0,INT(($A688-Macrociclo!$C$11)/7)+1)</f>
        <v>0</v>
      </c>
      <c r="C688" s="27"/>
      <c r="D688" s="28"/>
      <c r="E688" s="28"/>
      <c r="F688" s="28"/>
      <c r="G688" s="28"/>
      <c r="H688" s="40" t="n">
        <f aca="false">IF(COUNT($D688:$G688)&lt;4,0,SUM($D688:$G688))</f>
        <v>0</v>
      </c>
      <c r="I688" s="26" t="str">
        <f aca="false">IF($H688=0,"",IF($H688&lt;=8,"Ótimo",IF($H688&lt;=12,"Bom",IF($H688&lt;=16,"Regular",IF($H688&lt;=20,"Alerta","Crítico")))))</f>
        <v/>
      </c>
      <c r="J688" s="27"/>
      <c r="K688" s="27"/>
    </row>
    <row r="689" customFormat="false" ht="15" hidden="false" customHeight="false" outlineLevel="0" collapsed="false">
      <c r="A689" s="29"/>
      <c r="B689" s="40" t="n">
        <f aca="false">IF($A689="",0,INT(($A689-Macrociclo!$C$11)/7)+1)</f>
        <v>0</v>
      </c>
      <c r="C689" s="27"/>
      <c r="D689" s="28"/>
      <c r="E689" s="28"/>
      <c r="F689" s="28"/>
      <c r="G689" s="28"/>
      <c r="H689" s="40" t="n">
        <f aca="false">IF(COUNT($D689:$G689)&lt;4,0,SUM($D689:$G689))</f>
        <v>0</v>
      </c>
      <c r="I689" s="26" t="str">
        <f aca="false">IF($H689=0,"",IF($H689&lt;=8,"Ótimo",IF($H689&lt;=12,"Bom",IF($H689&lt;=16,"Regular",IF($H689&lt;=20,"Alerta","Crítico")))))</f>
        <v/>
      </c>
      <c r="J689" s="27"/>
      <c r="K689" s="27"/>
    </row>
    <row r="690" customFormat="false" ht="15" hidden="false" customHeight="false" outlineLevel="0" collapsed="false">
      <c r="A690" s="29"/>
      <c r="B690" s="40" t="n">
        <f aca="false">IF($A690="",0,INT(($A690-Macrociclo!$C$11)/7)+1)</f>
        <v>0</v>
      </c>
      <c r="C690" s="27"/>
      <c r="D690" s="28"/>
      <c r="E690" s="28"/>
      <c r="F690" s="28"/>
      <c r="G690" s="28"/>
      <c r="H690" s="40" t="n">
        <f aca="false">IF(COUNT($D690:$G690)&lt;4,0,SUM($D690:$G690))</f>
        <v>0</v>
      </c>
      <c r="I690" s="26" t="str">
        <f aca="false">IF($H690=0,"",IF($H690&lt;=8,"Ótimo",IF($H690&lt;=12,"Bom",IF($H690&lt;=16,"Regular",IF($H690&lt;=20,"Alerta","Crítico")))))</f>
        <v/>
      </c>
      <c r="J690" s="27"/>
      <c r="K690" s="27"/>
    </row>
    <row r="691" customFormat="false" ht="15" hidden="false" customHeight="false" outlineLevel="0" collapsed="false">
      <c r="A691" s="29"/>
      <c r="B691" s="40" t="n">
        <f aca="false">IF($A691="",0,INT(($A691-Macrociclo!$C$11)/7)+1)</f>
        <v>0</v>
      </c>
      <c r="C691" s="27"/>
      <c r="D691" s="28"/>
      <c r="E691" s="28"/>
      <c r="F691" s="28"/>
      <c r="G691" s="28"/>
      <c r="H691" s="40" t="n">
        <f aca="false">IF(COUNT($D691:$G691)&lt;4,0,SUM($D691:$G691))</f>
        <v>0</v>
      </c>
      <c r="I691" s="26" t="str">
        <f aca="false">IF($H691=0,"",IF($H691&lt;=8,"Ótimo",IF($H691&lt;=12,"Bom",IF($H691&lt;=16,"Regular",IF($H691&lt;=20,"Alerta","Crítico")))))</f>
        <v/>
      </c>
      <c r="J691" s="27"/>
      <c r="K691" s="27"/>
    </row>
    <row r="692" customFormat="false" ht="15" hidden="false" customHeight="false" outlineLevel="0" collapsed="false">
      <c r="A692" s="29"/>
      <c r="B692" s="40" t="n">
        <f aca="false">IF($A692="",0,INT(($A692-Macrociclo!$C$11)/7)+1)</f>
        <v>0</v>
      </c>
      <c r="C692" s="27"/>
      <c r="D692" s="28"/>
      <c r="E692" s="28"/>
      <c r="F692" s="28"/>
      <c r="G692" s="28"/>
      <c r="H692" s="40" t="n">
        <f aca="false">IF(COUNT($D692:$G692)&lt;4,0,SUM($D692:$G692))</f>
        <v>0</v>
      </c>
      <c r="I692" s="26" t="str">
        <f aca="false">IF($H692=0,"",IF($H692&lt;=8,"Ótimo",IF($H692&lt;=12,"Bom",IF($H692&lt;=16,"Regular",IF($H692&lt;=20,"Alerta","Crítico")))))</f>
        <v/>
      </c>
      <c r="J692" s="27"/>
      <c r="K692" s="27"/>
    </row>
    <row r="693" customFormat="false" ht="15" hidden="false" customHeight="false" outlineLevel="0" collapsed="false">
      <c r="A693" s="29"/>
      <c r="B693" s="40" t="n">
        <f aca="false">IF($A693="",0,INT(($A693-Macrociclo!$C$11)/7)+1)</f>
        <v>0</v>
      </c>
      <c r="C693" s="27"/>
      <c r="D693" s="28"/>
      <c r="E693" s="28"/>
      <c r="F693" s="28"/>
      <c r="G693" s="28"/>
      <c r="H693" s="40" t="n">
        <f aca="false">IF(COUNT($D693:$G693)&lt;4,0,SUM($D693:$G693))</f>
        <v>0</v>
      </c>
      <c r="I693" s="26" t="str">
        <f aca="false">IF($H693=0,"",IF($H693&lt;=8,"Ótimo",IF($H693&lt;=12,"Bom",IF($H693&lt;=16,"Regular",IF($H693&lt;=20,"Alerta","Crítico")))))</f>
        <v/>
      </c>
      <c r="J693" s="27"/>
      <c r="K693" s="27"/>
    </row>
    <row r="694" customFormat="false" ht="15" hidden="false" customHeight="false" outlineLevel="0" collapsed="false">
      <c r="A694" s="29"/>
      <c r="B694" s="40" t="n">
        <f aca="false">IF($A694="",0,INT(($A694-Macrociclo!$C$11)/7)+1)</f>
        <v>0</v>
      </c>
      <c r="C694" s="27"/>
      <c r="D694" s="28"/>
      <c r="E694" s="28"/>
      <c r="F694" s="28"/>
      <c r="G694" s="28"/>
      <c r="H694" s="40" t="n">
        <f aca="false">IF(COUNT($D694:$G694)&lt;4,0,SUM($D694:$G694))</f>
        <v>0</v>
      </c>
      <c r="I694" s="26" t="str">
        <f aca="false">IF($H694=0,"",IF($H694&lt;=8,"Ótimo",IF($H694&lt;=12,"Bom",IF($H694&lt;=16,"Regular",IF($H694&lt;=20,"Alerta","Crítico")))))</f>
        <v/>
      </c>
      <c r="J694" s="27"/>
      <c r="K694" s="27"/>
    </row>
    <row r="695" customFormat="false" ht="15" hidden="false" customHeight="false" outlineLevel="0" collapsed="false">
      <c r="A695" s="29"/>
      <c r="B695" s="40" t="n">
        <f aca="false">IF($A695="",0,INT(($A695-Macrociclo!$C$11)/7)+1)</f>
        <v>0</v>
      </c>
      <c r="C695" s="27"/>
      <c r="D695" s="28"/>
      <c r="E695" s="28"/>
      <c r="F695" s="28"/>
      <c r="G695" s="28"/>
      <c r="H695" s="40" t="n">
        <f aca="false">IF(COUNT($D695:$G695)&lt;4,0,SUM($D695:$G695))</f>
        <v>0</v>
      </c>
      <c r="I695" s="26" t="str">
        <f aca="false">IF($H695=0,"",IF($H695&lt;=8,"Ótimo",IF($H695&lt;=12,"Bom",IF($H695&lt;=16,"Regular",IF($H695&lt;=20,"Alerta","Crítico")))))</f>
        <v/>
      </c>
      <c r="J695" s="27"/>
      <c r="K695" s="27"/>
    </row>
    <row r="696" customFormat="false" ht="15" hidden="false" customHeight="false" outlineLevel="0" collapsed="false">
      <c r="A696" s="29"/>
      <c r="B696" s="40" t="n">
        <f aca="false">IF($A696="",0,INT(($A696-Macrociclo!$C$11)/7)+1)</f>
        <v>0</v>
      </c>
      <c r="C696" s="27"/>
      <c r="D696" s="28"/>
      <c r="E696" s="28"/>
      <c r="F696" s="28"/>
      <c r="G696" s="28"/>
      <c r="H696" s="40" t="n">
        <f aca="false">IF(COUNT($D696:$G696)&lt;4,0,SUM($D696:$G696))</f>
        <v>0</v>
      </c>
      <c r="I696" s="26" t="str">
        <f aca="false">IF($H696=0,"",IF($H696&lt;=8,"Ótimo",IF($H696&lt;=12,"Bom",IF($H696&lt;=16,"Regular",IF($H696&lt;=20,"Alerta","Crítico")))))</f>
        <v/>
      </c>
      <c r="J696" s="27"/>
      <c r="K696" s="27"/>
    </row>
    <row r="697" customFormat="false" ht="15" hidden="false" customHeight="false" outlineLevel="0" collapsed="false">
      <c r="A697" s="29"/>
      <c r="B697" s="40" t="n">
        <f aca="false">IF($A697="",0,INT(($A697-Macrociclo!$C$11)/7)+1)</f>
        <v>0</v>
      </c>
      <c r="C697" s="27"/>
      <c r="D697" s="28"/>
      <c r="E697" s="28"/>
      <c r="F697" s="28"/>
      <c r="G697" s="28"/>
      <c r="H697" s="40" t="n">
        <f aca="false">IF(COUNT($D697:$G697)&lt;4,0,SUM($D697:$G697))</f>
        <v>0</v>
      </c>
      <c r="I697" s="26" t="str">
        <f aca="false">IF($H697=0,"",IF($H697&lt;=8,"Ótimo",IF($H697&lt;=12,"Bom",IF($H697&lt;=16,"Regular",IF($H697&lt;=20,"Alerta","Crítico")))))</f>
        <v/>
      </c>
      <c r="J697" s="27"/>
      <c r="K697" s="27"/>
    </row>
    <row r="698" customFormat="false" ht="15" hidden="false" customHeight="false" outlineLevel="0" collapsed="false">
      <c r="A698" s="29"/>
      <c r="B698" s="40" t="n">
        <f aca="false">IF($A698="",0,INT(($A698-Macrociclo!$C$11)/7)+1)</f>
        <v>0</v>
      </c>
      <c r="C698" s="27"/>
      <c r="D698" s="28"/>
      <c r="E698" s="28"/>
      <c r="F698" s="28"/>
      <c r="G698" s="28"/>
      <c r="H698" s="40" t="n">
        <f aca="false">IF(COUNT($D698:$G698)&lt;4,0,SUM($D698:$G698))</f>
        <v>0</v>
      </c>
      <c r="I698" s="26" t="str">
        <f aca="false">IF($H698=0,"",IF($H698&lt;=8,"Ótimo",IF($H698&lt;=12,"Bom",IF($H698&lt;=16,"Regular",IF($H698&lt;=20,"Alerta","Crítico")))))</f>
        <v/>
      </c>
      <c r="J698" s="27"/>
      <c r="K698" s="27"/>
    </row>
    <row r="699" customFormat="false" ht="15" hidden="false" customHeight="false" outlineLevel="0" collapsed="false">
      <c r="A699" s="29"/>
      <c r="B699" s="40" t="n">
        <f aca="false">IF($A699="",0,INT(($A699-Macrociclo!$C$11)/7)+1)</f>
        <v>0</v>
      </c>
      <c r="C699" s="27"/>
      <c r="D699" s="28"/>
      <c r="E699" s="28"/>
      <c r="F699" s="28"/>
      <c r="G699" s="28"/>
      <c r="H699" s="40" t="n">
        <f aca="false">IF(COUNT($D699:$G699)&lt;4,0,SUM($D699:$G699))</f>
        <v>0</v>
      </c>
      <c r="I699" s="26" t="str">
        <f aca="false">IF($H699=0,"",IF($H699&lt;=8,"Ótimo",IF($H699&lt;=12,"Bom",IF($H699&lt;=16,"Regular",IF($H699&lt;=20,"Alerta","Crítico")))))</f>
        <v/>
      </c>
      <c r="J699" s="27"/>
      <c r="K699" s="27"/>
    </row>
    <row r="700" customFormat="false" ht="15" hidden="false" customHeight="false" outlineLevel="0" collapsed="false">
      <c r="A700" s="29"/>
      <c r="B700" s="40" t="n">
        <f aca="false">IF($A700="",0,INT(($A700-Macrociclo!$C$11)/7)+1)</f>
        <v>0</v>
      </c>
      <c r="C700" s="27"/>
      <c r="D700" s="28"/>
      <c r="E700" s="28"/>
      <c r="F700" s="28"/>
      <c r="G700" s="28"/>
      <c r="H700" s="40" t="n">
        <f aca="false">IF(COUNT($D700:$G700)&lt;4,0,SUM($D700:$G700))</f>
        <v>0</v>
      </c>
      <c r="I700" s="26" t="str">
        <f aca="false">IF($H700=0,"",IF($H700&lt;=8,"Ótimo",IF($H700&lt;=12,"Bom",IF($H700&lt;=16,"Regular",IF($H700&lt;=20,"Alerta","Crítico")))))</f>
        <v/>
      </c>
      <c r="J700" s="27"/>
      <c r="K700" s="27"/>
    </row>
    <row r="701" customFormat="false" ht="15" hidden="false" customHeight="false" outlineLevel="0" collapsed="false">
      <c r="A701" s="29"/>
      <c r="B701" s="40" t="n">
        <f aca="false">IF($A701="",0,INT(($A701-Macrociclo!$C$11)/7)+1)</f>
        <v>0</v>
      </c>
      <c r="C701" s="27"/>
      <c r="D701" s="28"/>
      <c r="E701" s="28"/>
      <c r="F701" s="28"/>
      <c r="G701" s="28"/>
      <c r="H701" s="40" t="n">
        <f aca="false">IF(COUNT($D701:$G701)&lt;4,0,SUM($D701:$G701))</f>
        <v>0</v>
      </c>
      <c r="I701" s="26" t="str">
        <f aca="false">IF($H701=0,"",IF($H701&lt;=8,"Ótimo",IF($H701&lt;=12,"Bom",IF($H701&lt;=16,"Regular",IF($H701&lt;=20,"Alerta","Crítico")))))</f>
        <v/>
      </c>
      <c r="J701" s="27"/>
      <c r="K701" s="27"/>
    </row>
    <row r="702" customFormat="false" ht="15" hidden="false" customHeight="false" outlineLevel="0" collapsed="false">
      <c r="A702" s="29"/>
      <c r="B702" s="40" t="n">
        <f aca="false">IF($A702="",0,INT(($A702-Macrociclo!$C$11)/7)+1)</f>
        <v>0</v>
      </c>
      <c r="C702" s="27"/>
      <c r="D702" s="28"/>
      <c r="E702" s="28"/>
      <c r="F702" s="28"/>
      <c r="G702" s="28"/>
      <c r="H702" s="40" t="n">
        <f aca="false">IF(COUNT($D702:$G702)&lt;4,0,SUM($D702:$G702))</f>
        <v>0</v>
      </c>
      <c r="I702" s="26" t="str">
        <f aca="false">IF($H702=0,"",IF($H702&lt;=8,"Ótimo",IF($H702&lt;=12,"Bom",IF($H702&lt;=16,"Regular",IF($H702&lt;=20,"Alerta","Crítico")))))</f>
        <v/>
      </c>
      <c r="J702" s="27"/>
      <c r="K702" s="27"/>
    </row>
    <row r="703" customFormat="false" ht="15" hidden="false" customHeight="false" outlineLevel="0" collapsed="false">
      <c r="A703" s="29"/>
      <c r="B703" s="40" t="n">
        <f aca="false">IF($A703="",0,INT(($A703-Macrociclo!$C$11)/7)+1)</f>
        <v>0</v>
      </c>
      <c r="C703" s="27"/>
      <c r="D703" s="28"/>
      <c r="E703" s="28"/>
      <c r="F703" s="28"/>
      <c r="G703" s="28"/>
      <c r="H703" s="40" t="n">
        <f aca="false">IF(COUNT($D703:$G703)&lt;4,0,SUM($D703:$G703))</f>
        <v>0</v>
      </c>
      <c r="I703" s="26" t="str">
        <f aca="false">IF($H703=0,"",IF($H703&lt;=8,"Ótimo",IF($H703&lt;=12,"Bom",IF($H703&lt;=16,"Regular",IF($H703&lt;=20,"Alerta","Crítico")))))</f>
        <v/>
      </c>
      <c r="J703" s="27"/>
      <c r="K703" s="27"/>
    </row>
    <row r="704" customFormat="false" ht="15" hidden="false" customHeight="false" outlineLevel="0" collapsed="false">
      <c r="A704" s="29"/>
      <c r="B704" s="40" t="n">
        <f aca="false">IF($A704="",0,INT(($A704-Macrociclo!$C$11)/7)+1)</f>
        <v>0</v>
      </c>
      <c r="C704" s="27"/>
      <c r="D704" s="28"/>
      <c r="E704" s="28"/>
      <c r="F704" s="28"/>
      <c r="G704" s="28"/>
      <c r="H704" s="40" t="n">
        <f aca="false">IF(COUNT($D704:$G704)&lt;4,0,SUM($D704:$G704))</f>
        <v>0</v>
      </c>
      <c r="I704" s="26" t="str">
        <f aca="false">IF($H704=0,"",IF($H704&lt;=8,"Ótimo",IF($H704&lt;=12,"Bom",IF($H704&lt;=16,"Regular",IF($H704&lt;=20,"Alerta","Crítico")))))</f>
        <v/>
      </c>
      <c r="J704" s="27"/>
      <c r="K704" s="27"/>
    </row>
    <row r="705" customFormat="false" ht="15" hidden="false" customHeight="false" outlineLevel="0" collapsed="false">
      <c r="A705" s="29"/>
      <c r="B705" s="40" t="n">
        <f aca="false">IF($A705="",0,INT(($A705-Macrociclo!$C$11)/7)+1)</f>
        <v>0</v>
      </c>
      <c r="C705" s="27"/>
      <c r="D705" s="28"/>
      <c r="E705" s="28"/>
      <c r="F705" s="28"/>
      <c r="G705" s="28"/>
      <c r="H705" s="40" t="n">
        <f aca="false">IF(COUNT($D705:$G705)&lt;4,0,SUM($D705:$G705))</f>
        <v>0</v>
      </c>
      <c r="I705" s="26" t="str">
        <f aca="false">IF($H705=0,"",IF($H705&lt;=8,"Ótimo",IF($H705&lt;=12,"Bom",IF($H705&lt;=16,"Regular",IF($H705&lt;=20,"Alerta","Crítico")))))</f>
        <v/>
      </c>
      <c r="J705" s="27"/>
      <c r="K705" s="27"/>
    </row>
    <row r="706" customFormat="false" ht="15" hidden="false" customHeight="false" outlineLevel="0" collapsed="false">
      <c r="A706" s="29"/>
      <c r="B706" s="40" t="n">
        <f aca="false">IF($A706="",0,INT(($A706-Macrociclo!$C$11)/7)+1)</f>
        <v>0</v>
      </c>
      <c r="C706" s="27"/>
      <c r="D706" s="28"/>
      <c r="E706" s="28"/>
      <c r="F706" s="28"/>
      <c r="G706" s="28"/>
      <c r="H706" s="40" t="n">
        <f aca="false">IF(COUNT($D706:$G706)&lt;4,0,SUM($D706:$G706))</f>
        <v>0</v>
      </c>
      <c r="I706" s="26" t="str">
        <f aca="false">IF($H706=0,"",IF($H706&lt;=8,"Ótimo",IF($H706&lt;=12,"Bom",IF($H706&lt;=16,"Regular",IF($H706&lt;=20,"Alerta","Crítico")))))</f>
        <v/>
      </c>
      <c r="J706" s="27"/>
      <c r="K706" s="27"/>
    </row>
    <row r="707" customFormat="false" ht="15" hidden="false" customHeight="false" outlineLevel="0" collapsed="false">
      <c r="A707" s="29"/>
      <c r="B707" s="40" t="n">
        <f aca="false">IF($A707="",0,INT(($A707-Macrociclo!$C$11)/7)+1)</f>
        <v>0</v>
      </c>
      <c r="C707" s="27"/>
      <c r="D707" s="28"/>
      <c r="E707" s="28"/>
      <c r="F707" s="28"/>
      <c r="G707" s="28"/>
      <c r="H707" s="40" t="n">
        <f aca="false">IF(COUNT($D707:$G707)&lt;4,0,SUM($D707:$G707))</f>
        <v>0</v>
      </c>
      <c r="I707" s="26" t="str">
        <f aca="false">IF($H707=0,"",IF($H707&lt;=8,"Ótimo",IF($H707&lt;=12,"Bom",IF($H707&lt;=16,"Regular",IF($H707&lt;=20,"Alerta","Crítico")))))</f>
        <v/>
      </c>
      <c r="J707" s="27"/>
      <c r="K707" s="27"/>
    </row>
    <row r="708" customFormat="false" ht="15" hidden="false" customHeight="false" outlineLevel="0" collapsed="false">
      <c r="A708" s="29"/>
      <c r="B708" s="40" t="n">
        <f aca="false">IF($A708="",0,INT(($A708-Macrociclo!$C$11)/7)+1)</f>
        <v>0</v>
      </c>
      <c r="C708" s="27"/>
      <c r="D708" s="28"/>
      <c r="E708" s="28"/>
      <c r="F708" s="28"/>
      <c r="G708" s="28"/>
      <c r="H708" s="40" t="n">
        <f aca="false">IF(COUNT($D708:$G708)&lt;4,0,SUM($D708:$G708))</f>
        <v>0</v>
      </c>
      <c r="I708" s="26" t="str">
        <f aca="false">IF($H708=0,"",IF($H708&lt;=8,"Ótimo",IF($H708&lt;=12,"Bom",IF($H708&lt;=16,"Regular",IF($H708&lt;=20,"Alerta","Crítico")))))</f>
        <v/>
      </c>
      <c r="J708" s="27"/>
      <c r="K708" s="27"/>
    </row>
    <row r="709" customFormat="false" ht="15" hidden="false" customHeight="false" outlineLevel="0" collapsed="false">
      <c r="A709" s="29"/>
      <c r="B709" s="40" t="n">
        <f aca="false">IF($A709="",0,INT(($A709-Macrociclo!$C$11)/7)+1)</f>
        <v>0</v>
      </c>
      <c r="C709" s="27"/>
      <c r="D709" s="28"/>
      <c r="E709" s="28"/>
      <c r="F709" s="28"/>
      <c r="G709" s="28"/>
      <c r="H709" s="40" t="n">
        <f aca="false">IF(COUNT($D709:$G709)&lt;4,0,SUM($D709:$G709))</f>
        <v>0</v>
      </c>
      <c r="I709" s="26" t="str">
        <f aca="false">IF($H709=0,"",IF($H709&lt;=8,"Ótimo",IF($H709&lt;=12,"Bom",IF($H709&lt;=16,"Regular",IF($H709&lt;=20,"Alerta","Crítico")))))</f>
        <v/>
      </c>
      <c r="J709" s="27"/>
      <c r="K709" s="27"/>
    </row>
    <row r="710" customFormat="false" ht="15" hidden="false" customHeight="false" outlineLevel="0" collapsed="false">
      <c r="A710" s="29"/>
      <c r="B710" s="40" t="n">
        <f aca="false">IF($A710="",0,INT(($A710-Macrociclo!$C$11)/7)+1)</f>
        <v>0</v>
      </c>
      <c r="C710" s="27"/>
      <c r="D710" s="28"/>
      <c r="E710" s="28"/>
      <c r="F710" s="28"/>
      <c r="G710" s="28"/>
      <c r="H710" s="40" t="n">
        <f aca="false">IF(COUNT($D710:$G710)&lt;4,0,SUM($D710:$G710))</f>
        <v>0</v>
      </c>
      <c r="I710" s="26" t="str">
        <f aca="false">IF($H710=0,"",IF($H710&lt;=8,"Ótimo",IF($H710&lt;=12,"Bom",IF($H710&lt;=16,"Regular",IF($H710&lt;=20,"Alerta","Crítico")))))</f>
        <v/>
      </c>
      <c r="J710" s="27"/>
      <c r="K710" s="27"/>
    </row>
    <row r="711" customFormat="false" ht="15" hidden="false" customHeight="false" outlineLevel="0" collapsed="false">
      <c r="A711" s="29"/>
      <c r="B711" s="40" t="n">
        <f aca="false">IF($A711="",0,INT(($A711-Macrociclo!$C$11)/7)+1)</f>
        <v>0</v>
      </c>
      <c r="C711" s="27"/>
      <c r="D711" s="28"/>
      <c r="E711" s="28"/>
      <c r="F711" s="28"/>
      <c r="G711" s="28"/>
      <c r="H711" s="40" t="n">
        <f aca="false">IF(COUNT($D711:$G711)&lt;4,0,SUM($D711:$G711))</f>
        <v>0</v>
      </c>
      <c r="I711" s="26" t="str">
        <f aca="false">IF($H711=0,"",IF($H711&lt;=8,"Ótimo",IF($H711&lt;=12,"Bom",IF($H711&lt;=16,"Regular",IF($H711&lt;=20,"Alerta","Crítico")))))</f>
        <v/>
      </c>
      <c r="J711" s="27"/>
      <c r="K711" s="27"/>
    </row>
    <row r="712" customFormat="false" ht="15" hidden="false" customHeight="false" outlineLevel="0" collapsed="false">
      <c r="A712" s="29"/>
      <c r="B712" s="40" t="n">
        <f aca="false">IF($A712="",0,INT(($A712-Macrociclo!$C$11)/7)+1)</f>
        <v>0</v>
      </c>
      <c r="C712" s="27"/>
      <c r="D712" s="28"/>
      <c r="E712" s="28"/>
      <c r="F712" s="28"/>
      <c r="G712" s="28"/>
      <c r="H712" s="40" t="n">
        <f aca="false">IF(COUNT($D712:$G712)&lt;4,0,SUM($D712:$G712))</f>
        <v>0</v>
      </c>
      <c r="I712" s="26" t="str">
        <f aca="false">IF($H712=0,"",IF($H712&lt;=8,"Ótimo",IF($H712&lt;=12,"Bom",IF($H712&lt;=16,"Regular",IF($H712&lt;=20,"Alerta","Crítico")))))</f>
        <v/>
      </c>
      <c r="J712" s="27"/>
      <c r="K712" s="27"/>
    </row>
    <row r="713" customFormat="false" ht="15" hidden="false" customHeight="false" outlineLevel="0" collapsed="false">
      <c r="A713" s="29"/>
      <c r="B713" s="40" t="n">
        <f aca="false">IF($A713="",0,INT(($A713-Macrociclo!$C$11)/7)+1)</f>
        <v>0</v>
      </c>
      <c r="C713" s="27"/>
      <c r="D713" s="28"/>
      <c r="E713" s="28"/>
      <c r="F713" s="28"/>
      <c r="G713" s="28"/>
      <c r="H713" s="40" t="n">
        <f aca="false">IF(COUNT($D713:$G713)&lt;4,0,SUM($D713:$G713))</f>
        <v>0</v>
      </c>
      <c r="I713" s="26" t="str">
        <f aca="false">IF($H713=0,"",IF($H713&lt;=8,"Ótimo",IF($H713&lt;=12,"Bom",IF($H713&lt;=16,"Regular",IF($H713&lt;=20,"Alerta","Crítico")))))</f>
        <v/>
      </c>
      <c r="J713" s="27"/>
      <c r="K713" s="27"/>
    </row>
    <row r="714" customFormat="false" ht="15" hidden="false" customHeight="false" outlineLevel="0" collapsed="false">
      <c r="A714" s="29"/>
      <c r="B714" s="40" t="n">
        <f aca="false">IF($A714="",0,INT(($A714-Macrociclo!$C$11)/7)+1)</f>
        <v>0</v>
      </c>
      <c r="C714" s="27"/>
      <c r="D714" s="28"/>
      <c r="E714" s="28"/>
      <c r="F714" s="28"/>
      <c r="G714" s="28"/>
      <c r="H714" s="40" t="n">
        <f aca="false">IF(COUNT($D714:$G714)&lt;4,0,SUM($D714:$G714))</f>
        <v>0</v>
      </c>
      <c r="I714" s="26" t="str">
        <f aca="false">IF($H714=0,"",IF($H714&lt;=8,"Ótimo",IF($H714&lt;=12,"Bom",IF($H714&lt;=16,"Regular",IF($H714&lt;=20,"Alerta","Crítico")))))</f>
        <v/>
      </c>
      <c r="J714" s="27"/>
      <c r="K714" s="27"/>
    </row>
    <row r="715" customFormat="false" ht="15" hidden="false" customHeight="false" outlineLevel="0" collapsed="false">
      <c r="A715" s="29"/>
      <c r="B715" s="40" t="n">
        <f aca="false">IF($A715="",0,INT(($A715-Macrociclo!$C$11)/7)+1)</f>
        <v>0</v>
      </c>
      <c r="C715" s="27"/>
      <c r="D715" s="28"/>
      <c r="E715" s="28"/>
      <c r="F715" s="28"/>
      <c r="G715" s="28"/>
      <c r="H715" s="40" t="n">
        <f aca="false">IF(COUNT($D715:$G715)&lt;4,0,SUM($D715:$G715))</f>
        <v>0</v>
      </c>
      <c r="I715" s="26" t="str">
        <f aca="false">IF($H715=0,"",IF($H715&lt;=8,"Ótimo",IF($H715&lt;=12,"Bom",IF($H715&lt;=16,"Regular",IF($H715&lt;=20,"Alerta","Crítico")))))</f>
        <v/>
      </c>
      <c r="J715" s="27"/>
      <c r="K715" s="27"/>
    </row>
    <row r="716" customFormat="false" ht="15" hidden="false" customHeight="false" outlineLevel="0" collapsed="false">
      <c r="A716" s="29"/>
      <c r="B716" s="40" t="n">
        <f aca="false">IF($A716="",0,INT(($A716-Macrociclo!$C$11)/7)+1)</f>
        <v>0</v>
      </c>
      <c r="C716" s="27"/>
      <c r="D716" s="28"/>
      <c r="E716" s="28"/>
      <c r="F716" s="28"/>
      <c r="G716" s="28"/>
      <c r="H716" s="40" t="n">
        <f aca="false">IF(COUNT($D716:$G716)&lt;4,0,SUM($D716:$G716))</f>
        <v>0</v>
      </c>
      <c r="I716" s="26" t="str">
        <f aca="false">IF($H716=0,"",IF($H716&lt;=8,"Ótimo",IF($H716&lt;=12,"Bom",IF($H716&lt;=16,"Regular",IF($H716&lt;=20,"Alerta","Crítico")))))</f>
        <v/>
      </c>
      <c r="J716" s="27"/>
      <c r="K716" s="27"/>
    </row>
    <row r="717" customFormat="false" ht="15" hidden="false" customHeight="false" outlineLevel="0" collapsed="false">
      <c r="A717" s="29"/>
      <c r="B717" s="40" t="n">
        <f aca="false">IF($A717="",0,INT(($A717-Macrociclo!$C$11)/7)+1)</f>
        <v>0</v>
      </c>
      <c r="C717" s="27"/>
      <c r="D717" s="28"/>
      <c r="E717" s="28"/>
      <c r="F717" s="28"/>
      <c r="G717" s="28"/>
      <c r="H717" s="40" t="n">
        <f aca="false">IF(COUNT($D717:$G717)&lt;4,0,SUM($D717:$G717))</f>
        <v>0</v>
      </c>
      <c r="I717" s="26" t="str">
        <f aca="false">IF($H717=0,"",IF($H717&lt;=8,"Ótimo",IF($H717&lt;=12,"Bom",IF($H717&lt;=16,"Regular",IF($H717&lt;=20,"Alerta","Crítico")))))</f>
        <v/>
      </c>
      <c r="J717" s="27"/>
      <c r="K717" s="27"/>
    </row>
    <row r="718" customFormat="false" ht="15" hidden="false" customHeight="false" outlineLevel="0" collapsed="false">
      <c r="A718" s="29"/>
      <c r="B718" s="40" t="n">
        <f aca="false">IF($A718="",0,INT(($A718-Macrociclo!$C$11)/7)+1)</f>
        <v>0</v>
      </c>
      <c r="C718" s="27"/>
      <c r="D718" s="28"/>
      <c r="E718" s="28"/>
      <c r="F718" s="28"/>
      <c r="G718" s="28"/>
      <c r="H718" s="40" t="n">
        <f aca="false">IF(COUNT($D718:$G718)&lt;4,0,SUM($D718:$G718))</f>
        <v>0</v>
      </c>
      <c r="I718" s="26" t="str">
        <f aca="false">IF($H718=0,"",IF($H718&lt;=8,"Ótimo",IF($H718&lt;=12,"Bom",IF($H718&lt;=16,"Regular",IF($H718&lt;=20,"Alerta","Crítico")))))</f>
        <v/>
      </c>
      <c r="J718" s="27"/>
      <c r="K718" s="27"/>
    </row>
    <row r="719" customFormat="false" ht="15" hidden="false" customHeight="false" outlineLevel="0" collapsed="false">
      <c r="A719" s="29"/>
      <c r="B719" s="40" t="n">
        <f aca="false">IF($A719="",0,INT(($A719-Macrociclo!$C$11)/7)+1)</f>
        <v>0</v>
      </c>
      <c r="C719" s="27"/>
      <c r="D719" s="28"/>
      <c r="E719" s="28"/>
      <c r="F719" s="28"/>
      <c r="G719" s="28"/>
      <c r="H719" s="40" t="n">
        <f aca="false">IF(COUNT($D719:$G719)&lt;4,0,SUM($D719:$G719))</f>
        <v>0</v>
      </c>
      <c r="I719" s="26" t="str">
        <f aca="false">IF($H719=0,"",IF($H719&lt;=8,"Ótimo",IF($H719&lt;=12,"Bom",IF($H719&lt;=16,"Regular",IF($H719&lt;=20,"Alerta","Crítico")))))</f>
        <v/>
      </c>
      <c r="J719" s="27"/>
      <c r="K719" s="27"/>
    </row>
    <row r="720" customFormat="false" ht="15" hidden="false" customHeight="false" outlineLevel="0" collapsed="false">
      <c r="A720" s="29"/>
      <c r="B720" s="40" t="n">
        <f aca="false">IF($A720="",0,INT(($A720-Macrociclo!$C$11)/7)+1)</f>
        <v>0</v>
      </c>
      <c r="C720" s="27"/>
      <c r="D720" s="28"/>
      <c r="E720" s="28"/>
      <c r="F720" s="28"/>
      <c r="G720" s="28"/>
      <c r="H720" s="40" t="n">
        <f aca="false">IF(COUNT($D720:$G720)&lt;4,0,SUM($D720:$G720))</f>
        <v>0</v>
      </c>
      <c r="I720" s="26" t="str">
        <f aca="false">IF($H720=0,"",IF($H720&lt;=8,"Ótimo",IF($H720&lt;=12,"Bom",IF($H720&lt;=16,"Regular",IF($H720&lt;=20,"Alerta","Crítico")))))</f>
        <v/>
      </c>
      <c r="J720" s="27"/>
      <c r="K720" s="27"/>
    </row>
    <row r="721" customFormat="false" ht="15" hidden="false" customHeight="false" outlineLevel="0" collapsed="false">
      <c r="A721" s="29"/>
      <c r="B721" s="40" t="n">
        <f aca="false">IF($A721="",0,INT(($A721-Macrociclo!$C$11)/7)+1)</f>
        <v>0</v>
      </c>
      <c r="C721" s="27"/>
      <c r="D721" s="28"/>
      <c r="E721" s="28"/>
      <c r="F721" s="28"/>
      <c r="G721" s="28"/>
      <c r="H721" s="40" t="n">
        <f aca="false">IF(COUNT($D721:$G721)&lt;4,0,SUM($D721:$G721))</f>
        <v>0</v>
      </c>
      <c r="I721" s="26" t="str">
        <f aca="false">IF($H721=0,"",IF($H721&lt;=8,"Ótimo",IF($H721&lt;=12,"Bom",IF($H721&lt;=16,"Regular",IF($H721&lt;=20,"Alerta","Crítico")))))</f>
        <v/>
      </c>
      <c r="J721" s="27"/>
      <c r="K721" s="27"/>
    </row>
    <row r="722" customFormat="false" ht="15" hidden="false" customHeight="false" outlineLevel="0" collapsed="false">
      <c r="A722" s="29"/>
      <c r="B722" s="40" t="n">
        <f aca="false">IF($A722="",0,INT(($A722-Macrociclo!$C$11)/7)+1)</f>
        <v>0</v>
      </c>
      <c r="C722" s="27"/>
      <c r="D722" s="28"/>
      <c r="E722" s="28"/>
      <c r="F722" s="28"/>
      <c r="G722" s="28"/>
      <c r="H722" s="40" t="n">
        <f aca="false">IF(COUNT($D722:$G722)&lt;4,0,SUM($D722:$G722))</f>
        <v>0</v>
      </c>
      <c r="I722" s="26" t="str">
        <f aca="false">IF($H722=0,"",IF($H722&lt;=8,"Ótimo",IF($H722&lt;=12,"Bom",IF($H722&lt;=16,"Regular",IF($H722&lt;=20,"Alerta","Crítico")))))</f>
        <v/>
      </c>
      <c r="J722" s="27"/>
      <c r="K722" s="27"/>
    </row>
    <row r="723" customFormat="false" ht="15" hidden="false" customHeight="false" outlineLevel="0" collapsed="false">
      <c r="A723" s="29"/>
      <c r="B723" s="40" t="n">
        <f aca="false">IF($A723="",0,INT(($A723-Macrociclo!$C$11)/7)+1)</f>
        <v>0</v>
      </c>
      <c r="C723" s="27"/>
      <c r="D723" s="28"/>
      <c r="E723" s="28"/>
      <c r="F723" s="28"/>
      <c r="G723" s="28"/>
      <c r="H723" s="40" t="n">
        <f aca="false">IF(COUNT($D723:$G723)&lt;4,0,SUM($D723:$G723))</f>
        <v>0</v>
      </c>
      <c r="I723" s="26" t="str">
        <f aca="false">IF($H723=0,"",IF($H723&lt;=8,"Ótimo",IF($H723&lt;=12,"Bom",IF($H723&lt;=16,"Regular",IF($H723&lt;=20,"Alerta","Crítico")))))</f>
        <v/>
      </c>
      <c r="J723" s="27"/>
      <c r="K723" s="27"/>
    </row>
    <row r="724" customFormat="false" ht="15" hidden="false" customHeight="false" outlineLevel="0" collapsed="false">
      <c r="A724" s="29"/>
      <c r="B724" s="40" t="n">
        <f aca="false">IF($A724="",0,INT(($A724-Macrociclo!$C$11)/7)+1)</f>
        <v>0</v>
      </c>
      <c r="C724" s="27"/>
      <c r="D724" s="28"/>
      <c r="E724" s="28"/>
      <c r="F724" s="28"/>
      <c r="G724" s="28"/>
      <c r="H724" s="40" t="n">
        <f aca="false">IF(COUNT($D724:$G724)&lt;4,0,SUM($D724:$G724))</f>
        <v>0</v>
      </c>
      <c r="I724" s="26" t="str">
        <f aca="false">IF($H724=0,"",IF($H724&lt;=8,"Ótimo",IF($H724&lt;=12,"Bom",IF($H724&lt;=16,"Regular",IF($H724&lt;=20,"Alerta","Crítico")))))</f>
        <v/>
      </c>
      <c r="J724" s="27"/>
      <c r="K724" s="27"/>
    </row>
    <row r="725" customFormat="false" ht="15" hidden="false" customHeight="false" outlineLevel="0" collapsed="false">
      <c r="A725" s="29"/>
      <c r="B725" s="40" t="n">
        <f aca="false">IF($A725="",0,INT(($A725-Macrociclo!$C$11)/7)+1)</f>
        <v>0</v>
      </c>
      <c r="C725" s="27"/>
      <c r="D725" s="28"/>
      <c r="E725" s="28"/>
      <c r="F725" s="28"/>
      <c r="G725" s="28"/>
      <c r="H725" s="40" t="n">
        <f aca="false">IF(COUNT($D725:$G725)&lt;4,0,SUM($D725:$G725))</f>
        <v>0</v>
      </c>
      <c r="I725" s="26" t="str">
        <f aca="false">IF($H725=0,"",IF($H725&lt;=8,"Ótimo",IF($H725&lt;=12,"Bom",IF($H725&lt;=16,"Regular",IF($H725&lt;=20,"Alerta","Crítico")))))</f>
        <v/>
      </c>
      <c r="J725" s="27"/>
      <c r="K725" s="27"/>
    </row>
    <row r="726" customFormat="false" ht="15" hidden="false" customHeight="false" outlineLevel="0" collapsed="false">
      <c r="A726" s="29"/>
      <c r="B726" s="40" t="n">
        <f aca="false">IF($A726="",0,INT(($A726-Macrociclo!$C$11)/7)+1)</f>
        <v>0</v>
      </c>
      <c r="C726" s="27"/>
      <c r="D726" s="28"/>
      <c r="E726" s="28"/>
      <c r="F726" s="28"/>
      <c r="G726" s="28"/>
      <c r="H726" s="40" t="n">
        <f aca="false">IF(COUNT($D726:$G726)&lt;4,0,SUM($D726:$G726))</f>
        <v>0</v>
      </c>
      <c r="I726" s="26" t="str">
        <f aca="false">IF($H726=0,"",IF($H726&lt;=8,"Ótimo",IF($H726&lt;=12,"Bom",IF($H726&lt;=16,"Regular",IF($H726&lt;=20,"Alerta","Crítico")))))</f>
        <v/>
      </c>
      <c r="J726" s="27"/>
      <c r="K726" s="27"/>
    </row>
    <row r="727" customFormat="false" ht="15" hidden="false" customHeight="false" outlineLevel="0" collapsed="false">
      <c r="A727" s="29"/>
      <c r="B727" s="40" t="n">
        <f aca="false">IF($A727="",0,INT(($A727-Macrociclo!$C$11)/7)+1)</f>
        <v>0</v>
      </c>
      <c r="C727" s="27"/>
      <c r="D727" s="28"/>
      <c r="E727" s="28"/>
      <c r="F727" s="28"/>
      <c r="G727" s="28"/>
      <c r="H727" s="40" t="n">
        <f aca="false">IF(COUNT($D727:$G727)&lt;4,0,SUM($D727:$G727))</f>
        <v>0</v>
      </c>
      <c r="I727" s="26" t="str">
        <f aca="false">IF($H727=0,"",IF($H727&lt;=8,"Ótimo",IF($H727&lt;=12,"Bom",IF($H727&lt;=16,"Regular",IF($H727&lt;=20,"Alerta","Crítico")))))</f>
        <v/>
      </c>
      <c r="J727" s="27"/>
      <c r="K727" s="27"/>
    </row>
    <row r="728" customFormat="false" ht="15" hidden="false" customHeight="false" outlineLevel="0" collapsed="false">
      <c r="A728" s="29"/>
      <c r="B728" s="40" t="n">
        <f aca="false">IF($A728="",0,INT(($A728-Macrociclo!$C$11)/7)+1)</f>
        <v>0</v>
      </c>
      <c r="C728" s="27"/>
      <c r="D728" s="28"/>
      <c r="E728" s="28"/>
      <c r="F728" s="28"/>
      <c r="G728" s="28"/>
      <c r="H728" s="40" t="n">
        <f aca="false">IF(COUNT($D728:$G728)&lt;4,0,SUM($D728:$G728))</f>
        <v>0</v>
      </c>
      <c r="I728" s="26" t="str">
        <f aca="false">IF($H728=0,"",IF($H728&lt;=8,"Ótimo",IF($H728&lt;=12,"Bom",IF($H728&lt;=16,"Regular",IF($H728&lt;=20,"Alerta","Crítico")))))</f>
        <v/>
      </c>
      <c r="J728" s="27"/>
      <c r="K728" s="27"/>
    </row>
    <row r="729" customFormat="false" ht="15" hidden="false" customHeight="false" outlineLevel="0" collapsed="false">
      <c r="A729" s="29"/>
      <c r="B729" s="40" t="n">
        <f aca="false">IF($A729="",0,INT(($A729-Macrociclo!$C$11)/7)+1)</f>
        <v>0</v>
      </c>
      <c r="C729" s="27"/>
      <c r="D729" s="28"/>
      <c r="E729" s="28"/>
      <c r="F729" s="28"/>
      <c r="G729" s="28"/>
      <c r="H729" s="40" t="n">
        <f aca="false">IF(COUNT($D729:$G729)&lt;4,0,SUM($D729:$G729))</f>
        <v>0</v>
      </c>
      <c r="I729" s="26" t="str">
        <f aca="false">IF($H729=0,"",IF($H729&lt;=8,"Ótimo",IF($H729&lt;=12,"Bom",IF($H729&lt;=16,"Regular",IF($H729&lt;=20,"Alerta","Crítico")))))</f>
        <v/>
      </c>
      <c r="J729" s="27"/>
      <c r="K729" s="27"/>
    </row>
    <row r="730" customFormat="false" ht="15" hidden="false" customHeight="false" outlineLevel="0" collapsed="false">
      <c r="A730" s="29"/>
      <c r="B730" s="40" t="n">
        <f aca="false">IF($A730="",0,INT(($A730-Macrociclo!$C$11)/7)+1)</f>
        <v>0</v>
      </c>
      <c r="C730" s="27"/>
      <c r="D730" s="28"/>
      <c r="E730" s="28"/>
      <c r="F730" s="28"/>
      <c r="G730" s="28"/>
      <c r="H730" s="40" t="n">
        <f aca="false">IF(COUNT($D730:$G730)&lt;4,0,SUM($D730:$G730))</f>
        <v>0</v>
      </c>
      <c r="I730" s="26" t="str">
        <f aca="false">IF($H730=0,"",IF($H730&lt;=8,"Ótimo",IF($H730&lt;=12,"Bom",IF($H730&lt;=16,"Regular",IF($H730&lt;=20,"Alerta","Crítico")))))</f>
        <v/>
      </c>
      <c r="J730" s="27"/>
      <c r="K730" s="27"/>
    </row>
    <row r="731" customFormat="false" ht="15" hidden="false" customHeight="false" outlineLevel="0" collapsed="false">
      <c r="A731" s="29"/>
      <c r="B731" s="40" t="n">
        <f aca="false">IF($A731="",0,INT(($A731-Macrociclo!$C$11)/7)+1)</f>
        <v>0</v>
      </c>
      <c r="C731" s="27"/>
      <c r="D731" s="28"/>
      <c r="E731" s="28"/>
      <c r="F731" s="28"/>
      <c r="G731" s="28"/>
      <c r="H731" s="40" t="n">
        <f aca="false">IF(COUNT($D731:$G731)&lt;4,0,SUM($D731:$G731))</f>
        <v>0</v>
      </c>
      <c r="I731" s="26" t="str">
        <f aca="false">IF($H731=0,"",IF($H731&lt;=8,"Ótimo",IF($H731&lt;=12,"Bom",IF($H731&lt;=16,"Regular",IF($H731&lt;=20,"Alerta","Crítico")))))</f>
        <v/>
      </c>
      <c r="J731" s="27"/>
      <c r="K731" s="27"/>
    </row>
    <row r="732" customFormat="false" ht="15" hidden="false" customHeight="false" outlineLevel="0" collapsed="false">
      <c r="A732" s="29"/>
      <c r="B732" s="40" t="n">
        <f aca="false">IF($A732="",0,INT(($A732-Macrociclo!$C$11)/7)+1)</f>
        <v>0</v>
      </c>
      <c r="C732" s="27"/>
      <c r="D732" s="28"/>
      <c r="E732" s="28"/>
      <c r="F732" s="28"/>
      <c r="G732" s="28"/>
      <c r="H732" s="40" t="n">
        <f aca="false">IF(COUNT($D732:$G732)&lt;4,0,SUM($D732:$G732))</f>
        <v>0</v>
      </c>
      <c r="I732" s="26" t="str">
        <f aca="false">IF($H732=0,"",IF($H732&lt;=8,"Ótimo",IF($H732&lt;=12,"Bom",IF($H732&lt;=16,"Regular",IF($H732&lt;=20,"Alerta","Crítico")))))</f>
        <v/>
      </c>
      <c r="J732" s="27"/>
      <c r="K732" s="27"/>
    </row>
    <row r="733" customFormat="false" ht="15" hidden="false" customHeight="false" outlineLevel="0" collapsed="false">
      <c r="A733" s="29"/>
      <c r="B733" s="40" t="n">
        <f aca="false">IF($A733="",0,INT(($A733-Macrociclo!$C$11)/7)+1)</f>
        <v>0</v>
      </c>
      <c r="C733" s="27"/>
      <c r="D733" s="28"/>
      <c r="E733" s="28"/>
      <c r="F733" s="28"/>
      <c r="G733" s="28"/>
      <c r="H733" s="40" t="n">
        <f aca="false">IF(COUNT($D733:$G733)&lt;4,0,SUM($D733:$G733))</f>
        <v>0</v>
      </c>
      <c r="I733" s="26" t="str">
        <f aca="false">IF($H733=0,"",IF($H733&lt;=8,"Ótimo",IF($H733&lt;=12,"Bom",IF($H733&lt;=16,"Regular",IF($H733&lt;=20,"Alerta","Crítico")))))</f>
        <v/>
      </c>
      <c r="J733" s="27"/>
      <c r="K733" s="27"/>
    </row>
    <row r="734" customFormat="false" ht="15" hidden="false" customHeight="false" outlineLevel="0" collapsed="false">
      <c r="A734" s="29"/>
      <c r="B734" s="40" t="n">
        <f aca="false">IF($A734="",0,INT(($A734-Macrociclo!$C$11)/7)+1)</f>
        <v>0</v>
      </c>
      <c r="C734" s="27"/>
      <c r="D734" s="28"/>
      <c r="E734" s="28"/>
      <c r="F734" s="28"/>
      <c r="G734" s="28"/>
      <c r="H734" s="40" t="n">
        <f aca="false">IF(COUNT($D734:$G734)&lt;4,0,SUM($D734:$G734))</f>
        <v>0</v>
      </c>
      <c r="I734" s="26" t="str">
        <f aca="false">IF($H734=0,"",IF($H734&lt;=8,"Ótimo",IF($H734&lt;=12,"Bom",IF($H734&lt;=16,"Regular",IF($H734&lt;=20,"Alerta","Crítico")))))</f>
        <v/>
      </c>
      <c r="J734" s="27"/>
      <c r="K734" s="27"/>
    </row>
    <row r="735" customFormat="false" ht="15" hidden="false" customHeight="false" outlineLevel="0" collapsed="false">
      <c r="A735" s="29"/>
      <c r="B735" s="40" t="n">
        <f aca="false">IF($A735="",0,INT(($A735-Macrociclo!$C$11)/7)+1)</f>
        <v>0</v>
      </c>
      <c r="C735" s="27"/>
      <c r="D735" s="28"/>
      <c r="E735" s="28"/>
      <c r="F735" s="28"/>
      <c r="G735" s="28"/>
      <c r="H735" s="40" t="n">
        <f aca="false">IF(COUNT($D735:$G735)&lt;4,0,SUM($D735:$G735))</f>
        <v>0</v>
      </c>
      <c r="I735" s="26" t="str">
        <f aca="false">IF($H735=0,"",IF($H735&lt;=8,"Ótimo",IF($H735&lt;=12,"Bom",IF($H735&lt;=16,"Regular",IF($H735&lt;=20,"Alerta","Crítico")))))</f>
        <v/>
      </c>
      <c r="J735" s="27"/>
      <c r="K735" s="27"/>
    </row>
    <row r="736" customFormat="false" ht="15" hidden="false" customHeight="false" outlineLevel="0" collapsed="false">
      <c r="A736" s="29"/>
      <c r="B736" s="40" t="n">
        <f aca="false">IF($A736="",0,INT(($A736-Macrociclo!$C$11)/7)+1)</f>
        <v>0</v>
      </c>
      <c r="C736" s="27"/>
      <c r="D736" s="28"/>
      <c r="E736" s="28"/>
      <c r="F736" s="28"/>
      <c r="G736" s="28"/>
      <c r="H736" s="40" t="n">
        <f aca="false">IF(COUNT($D736:$G736)&lt;4,0,SUM($D736:$G736))</f>
        <v>0</v>
      </c>
      <c r="I736" s="26" t="str">
        <f aca="false">IF($H736=0,"",IF($H736&lt;=8,"Ótimo",IF($H736&lt;=12,"Bom",IF($H736&lt;=16,"Regular",IF($H736&lt;=20,"Alerta","Crítico")))))</f>
        <v/>
      </c>
      <c r="J736" s="27"/>
      <c r="K736" s="27"/>
    </row>
    <row r="737" customFormat="false" ht="15" hidden="false" customHeight="false" outlineLevel="0" collapsed="false">
      <c r="A737" s="29"/>
      <c r="B737" s="40" t="n">
        <f aca="false">IF($A737="",0,INT(($A737-Macrociclo!$C$11)/7)+1)</f>
        <v>0</v>
      </c>
      <c r="C737" s="27"/>
      <c r="D737" s="28"/>
      <c r="E737" s="28"/>
      <c r="F737" s="28"/>
      <c r="G737" s="28"/>
      <c r="H737" s="40" t="n">
        <f aca="false">IF(COUNT($D737:$G737)&lt;4,0,SUM($D737:$G737))</f>
        <v>0</v>
      </c>
      <c r="I737" s="26" t="str">
        <f aca="false">IF($H737=0,"",IF($H737&lt;=8,"Ótimo",IF($H737&lt;=12,"Bom",IF($H737&lt;=16,"Regular",IF($H737&lt;=20,"Alerta","Crítico")))))</f>
        <v/>
      </c>
      <c r="J737" s="27"/>
      <c r="K737" s="27"/>
    </row>
    <row r="738" customFormat="false" ht="15" hidden="false" customHeight="false" outlineLevel="0" collapsed="false">
      <c r="A738" s="29"/>
      <c r="B738" s="40" t="n">
        <f aca="false">IF($A738="",0,INT(($A738-Macrociclo!$C$11)/7)+1)</f>
        <v>0</v>
      </c>
      <c r="C738" s="27"/>
      <c r="D738" s="28"/>
      <c r="E738" s="28"/>
      <c r="F738" s="28"/>
      <c r="G738" s="28"/>
      <c r="H738" s="40" t="n">
        <f aca="false">IF(COUNT($D738:$G738)&lt;4,0,SUM($D738:$G738))</f>
        <v>0</v>
      </c>
      <c r="I738" s="26" t="str">
        <f aca="false">IF($H738=0,"",IF($H738&lt;=8,"Ótimo",IF($H738&lt;=12,"Bom",IF($H738&lt;=16,"Regular",IF($H738&lt;=20,"Alerta","Crítico")))))</f>
        <v/>
      </c>
      <c r="J738" s="27"/>
      <c r="K738" s="27"/>
    </row>
    <row r="739" customFormat="false" ht="15" hidden="false" customHeight="false" outlineLevel="0" collapsed="false">
      <c r="A739" s="29"/>
      <c r="B739" s="40" t="n">
        <f aca="false">IF($A739="",0,INT(($A739-Macrociclo!$C$11)/7)+1)</f>
        <v>0</v>
      </c>
      <c r="C739" s="27"/>
      <c r="D739" s="28"/>
      <c r="E739" s="28"/>
      <c r="F739" s="28"/>
      <c r="G739" s="28"/>
      <c r="H739" s="40" t="n">
        <f aca="false">IF(COUNT($D739:$G739)&lt;4,0,SUM($D739:$G739))</f>
        <v>0</v>
      </c>
      <c r="I739" s="26" t="str">
        <f aca="false">IF($H739=0,"",IF($H739&lt;=8,"Ótimo",IF($H739&lt;=12,"Bom",IF($H739&lt;=16,"Regular",IF($H739&lt;=20,"Alerta","Crítico")))))</f>
        <v/>
      </c>
      <c r="J739" s="27"/>
      <c r="K739" s="27"/>
    </row>
    <row r="740" customFormat="false" ht="15" hidden="false" customHeight="false" outlineLevel="0" collapsed="false">
      <c r="A740" s="29"/>
      <c r="B740" s="40" t="n">
        <f aca="false">IF($A740="",0,INT(($A740-Macrociclo!$C$11)/7)+1)</f>
        <v>0</v>
      </c>
      <c r="C740" s="27"/>
      <c r="D740" s="28"/>
      <c r="E740" s="28"/>
      <c r="F740" s="28"/>
      <c r="G740" s="28"/>
      <c r="H740" s="40" t="n">
        <f aca="false">IF(COUNT($D740:$G740)&lt;4,0,SUM($D740:$G740))</f>
        <v>0</v>
      </c>
      <c r="I740" s="26" t="str">
        <f aca="false">IF($H740=0,"",IF($H740&lt;=8,"Ótimo",IF($H740&lt;=12,"Bom",IF($H740&lt;=16,"Regular",IF($H740&lt;=20,"Alerta","Crítico")))))</f>
        <v/>
      </c>
      <c r="J740" s="27"/>
      <c r="K740" s="27"/>
    </row>
    <row r="741" customFormat="false" ht="15" hidden="false" customHeight="false" outlineLevel="0" collapsed="false">
      <c r="A741" s="29"/>
      <c r="B741" s="40" t="n">
        <f aca="false">IF($A741="",0,INT(($A741-Macrociclo!$C$11)/7)+1)</f>
        <v>0</v>
      </c>
      <c r="C741" s="27"/>
      <c r="D741" s="28"/>
      <c r="E741" s="28"/>
      <c r="F741" s="28"/>
      <c r="G741" s="28"/>
      <c r="H741" s="40" t="n">
        <f aca="false">IF(COUNT($D741:$G741)&lt;4,0,SUM($D741:$G741))</f>
        <v>0</v>
      </c>
      <c r="I741" s="26" t="str">
        <f aca="false">IF($H741=0,"",IF($H741&lt;=8,"Ótimo",IF($H741&lt;=12,"Bom",IF($H741&lt;=16,"Regular",IF($H741&lt;=20,"Alerta","Crítico")))))</f>
        <v/>
      </c>
      <c r="J741" s="27"/>
      <c r="K741" s="27"/>
    </row>
    <row r="742" customFormat="false" ht="15" hidden="false" customHeight="false" outlineLevel="0" collapsed="false">
      <c r="A742" s="29"/>
      <c r="B742" s="40" t="n">
        <f aca="false">IF($A742="",0,INT(($A742-Macrociclo!$C$11)/7)+1)</f>
        <v>0</v>
      </c>
      <c r="C742" s="27"/>
      <c r="D742" s="28"/>
      <c r="E742" s="28"/>
      <c r="F742" s="28"/>
      <c r="G742" s="28"/>
      <c r="H742" s="40" t="n">
        <f aca="false">IF(COUNT($D742:$G742)&lt;4,0,SUM($D742:$G742))</f>
        <v>0</v>
      </c>
      <c r="I742" s="26" t="str">
        <f aca="false">IF($H742=0,"",IF($H742&lt;=8,"Ótimo",IF($H742&lt;=12,"Bom",IF($H742&lt;=16,"Regular",IF($H742&lt;=20,"Alerta","Crítico")))))</f>
        <v/>
      </c>
      <c r="J742" s="27"/>
      <c r="K742" s="27"/>
    </row>
    <row r="743" customFormat="false" ht="15" hidden="false" customHeight="false" outlineLevel="0" collapsed="false">
      <c r="A743" s="29"/>
      <c r="B743" s="40" t="n">
        <f aca="false">IF($A743="",0,INT(($A743-Macrociclo!$C$11)/7)+1)</f>
        <v>0</v>
      </c>
      <c r="C743" s="27"/>
      <c r="D743" s="28"/>
      <c r="E743" s="28"/>
      <c r="F743" s="28"/>
      <c r="G743" s="28"/>
      <c r="H743" s="40" t="n">
        <f aca="false">IF(COUNT($D743:$G743)&lt;4,0,SUM($D743:$G743))</f>
        <v>0</v>
      </c>
      <c r="I743" s="26" t="str">
        <f aca="false">IF($H743=0,"",IF($H743&lt;=8,"Ótimo",IF($H743&lt;=12,"Bom",IF($H743&lt;=16,"Regular",IF($H743&lt;=20,"Alerta","Crítico")))))</f>
        <v/>
      </c>
      <c r="J743" s="27"/>
      <c r="K743" s="27"/>
    </row>
    <row r="744" customFormat="false" ht="15" hidden="false" customHeight="false" outlineLevel="0" collapsed="false">
      <c r="A744" s="29"/>
      <c r="B744" s="40" t="n">
        <f aca="false">IF($A744="",0,INT(($A744-Macrociclo!$C$11)/7)+1)</f>
        <v>0</v>
      </c>
      <c r="C744" s="27"/>
      <c r="D744" s="28"/>
      <c r="E744" s="28"/>
      <c r="F744" s="28"/>
      <c r="G744" s="28"/>
      <c r="H744" s="40" t="n">
        <f aca="false">IF(COUNT($D744:$G744)&lt;4,0,SUM($D744:$G744))</f>
        <v>0</v>
      </c>
      <c r="I744" s="26" t="str">
        <f aca="false">IF($H744=0,"",IF($H744&lt;=8,"Ótimo",IF($H744&lt;=12,"Bom",IF($H744&lt;=16,"Regular",IF($H744&lt;=20,"Alerta","Crítico")))))</f>
        <v/>
      </c>
      <c r="J744" s="27"/>
      <c r="K744" s="27"/>
    </row>
    <row r="745" customFormat="false" ht="15" hidden="false" customHeight="false" outlineLevel="0" collapsed="false">
      <c r="A745" s="29"/>
      <c r="B745" s="40" t="n">
        <f aca="false">IF($A745="",0,INT(($A745-Macrociclo!$C$11)/7)+1)</f>
        <v>0</v>
      </c>
      <c r="C745" s="27"/>
      <c r="D745" s="28"/>
      <c r="E745" s="28"/>
      <c r="F745" s="28"/>
      <c r="G745" s="28"/>
      <c r="H745" s="40" t="n">
        <f aca="false">IF(COUNT($D745:$G745)&lt;4,0,SUM($D745:$G745))</f>
        <v>0</v>
      </c>
      <c r="I745" s="26" t="str">
        <f aca="false">IF($H745=0,"",IF($H745&lt;=8,"Ótimo",IF($H745&lt;=12,"Bom",IF($H745&lt;=16,"Regular",IF($H745&lt;=20,"Alerta","Crítico")))))</f>
        <v/>
      </c>
      <c r="J745" s="27"/>
      <c r="K745" s="27"/>
    </row>
    <row r="746" customFormat="false" ht="15" hidden="false" customHeight="false" outlineLevel="0" collapsed="false">
      <c r="A746" s="29"/>
      <c r="B746" s="40" t="n">
        <f aca="false">IF($A746="",0,INT(($A746-Macrociclo!$C$11)/7)+1)</f>
        <v>0</v>
      </c>
      <c r="C746" s="27"/>
      <c r="D746" s="28"/>
      <c r="E746" s="28"/>
      <c r="F746" s="28"/>
      <c r="G746" s="28"/>
      <c r="H746" s="40" t="n">
        <f aca="false">IF(COUNT($D746:$G746)&lt;4,0,SUM($D746:$G746))</f>
        <v>0</v>
      </c>
      <c r="I746" s="26" t="str">
        <f aca="false">IF($H746=0,"",IF($H746&lt;=8,"Ótimo",IF($H746&lt;=12,"Bom",IF($H746&lt;=16,"Regular",IF($H746&lt;=20,"Alerta","Crítico")))))</f>
        <v/>
      </c>
      <c r="J746" s="27"/>
      <c r="K746" s="27"/>
    </row>
    <row r="747" customFormat="false" ht="15" hidden="false" customHeight="false" outlineLevel="0" collapsed="false">
      <c r="A747" s="29"/>
      <c r="B747" s="40" t="n">
        <f aca="false">IF($A747="",0,INT(($A747-Macrociclo!$C$11)/7)+1)</f>
        <v>0</v>
      </c>
      <c r="C747" s="27"/>
      <c r="D747" s="28"/>
      <c r="E747" s="28"/>
      <c r="F747" s="28"/>
      <c r="G747" s="28"/>
      <c r="H747" s="40" t="n">
        <f aca="false">IF(COUNT($D747:$G747)&lt;4,0,SUM($D747:$G747))</f>
        <v>0</v>
      </c>
      <c r="I747" s="26" t="str">
        <f aca="false">IF($H747=0,"",IF($H747&lt;=8,"Ótimo",IF($H747&lt;=12,"Bom",IF($H747&lt;=16,"Regular",IF($H747&lt;=20,"Alerta","Crítico")))))</f>
        <v/>
      </c>
      <c r="J747" s="27"/>
      <c r="K747" s="27"/>
    </row>
    <row r="748" customFormat="false" ht="15" hidden="false" customHeight="false" outlineLevel="0" collapsed="false">
      <c r="A748" s="29"/>
      <c r="B748" s="40" t="n">
        <f aca="false">IF($A748="",0,INT(($A748-Macrociclo!$C$11)/7)+1)</f>
        <v>0</v>
      </c>
      <c r="C748" s="27"/>
      <c r="D748" s="28"/>
      <c r="E748" s="28"/>
      <c r="F748" s="28"/>
      <c r="G748" s="28"/>
      <c r="H748" s="40" t="n">
        <f aca="false">IF(COUNT($D748:$G748)&lt;4,0,SUM($D748:$G748))</f>
        <v>0</v>
      </c>
      <c r="I748" s="26" t="str">
        <f aca="false">IF($H748=0,"",IF($H748&lt;=8,"Ótimo",IF($H748&lt;=12,"Bom",IF($H748&lt;=16,"Regular",IF($H748&lt;=20,"Alerta","Crítico")))))</f>
        <v/>
      </c>
      <c r="J748" s="27"/>
      <c r="K748" s="27"/>
    </row>
    <row r="749" customFormat="false" ht="15" hidden="false" customHeight="false" outlineLevel="0" collapsed="false">
      <c r="A749" s="29"/>
      <c r="B749" s="40" t="n">
        <f aca="false">IF($A749="",0,INT(($A749-Macrociclo!$C$11)/7)+1)</f>
        <v>0</v>
      </c>
      <c r="C749" s="27"/>
      <c r="D749" s="28"/>
      <c r="E749" s="28"/>
      <c r="F749" s="28"/>
      <c r="G749" s="28"/>
      <c r="H749" s="40" t="n">
        <f aca="false">IF(COUNT($D749:$G749)&lt;4,0,SUM($D749:$G749))</f>
        <v>0</v>
      </c>
      <c r="I749" s="26" t="str">
        <f aca="false">IF($H749=0,"",IF($H749&lt;=8,"Ótimo",IF($H749&lt;=12,"Bom",IF($H749&lt;=16,"Regular",IF($H749&lt;=20,"Alerta","Crítico")))))</f>
        <v/>
      </c>
      <c r="J749" s="27"/>
      <c r="K749" s="27"/>
    </row>
    <row r="750" customFormat="false" ht="15" hidden="false" customHeight="false" outlineLevel="0" collapsed="false">
      <c r="A750" s="29"/>
      <c r="B750" s="40" t="n">
        <f aca="false">IF($A750="",0,INT(($A750-Macrociclo!$C$11)/7)+1)</f>
        <v>0</v>
      </c>
      <c r="C750" s="27"/>
      <c r="D750" s="28"/>
      <c r="E750" s="28"/>
      <c r="F750" s="28"/>
      <c r="G750" s="28"/>
      <c r="H750" s="40" t="n">
        <f aca="false">IF(COUNT($D750:$G750)&lt;4,0,SUM($D750:$G750))</f>
        <v>0</v>
      </c>
      <c r="I750" s="26" t="str">
        <f aca="false">IF($H750=0,"",IF($H750&lt;=8,"Ótimo",IF($H750&lt;=12,"Bom",IF($H750&lt;=16,"Regular",IF($H750&lt;=20,"Alerta","Crítico")))))</f>
        <v/>
      </c>
      <c r="J750" s="27"/>
      <c r="K750" s="27"/>
    </row>
    <row r="751" customFormat="false" ht="15" hidden="false" customHeight="false" outlineLevel="0" collapsed="false">
      <c r="A751" s="29"/>
      <c r="B751" s="40" t="n">
        <f aca="false">IF($A751="",0,INT(($A751-Macrociclo!$C$11)/7)+1)</f>
        <v>0</v>
      </c>
      <c r="C751" s="27"/>
      <c r="D751" s="28"/>
      <c r="E751" s="28"/>
      <c r="F751" s="28"/>
      <c r="G751" s="28"/>
      <c r="H751" s="40" t="n">
        <f aca="false">IF(COUNT($D751:$G751)&lt;4,0,SUM($D751:$G751))</f>
        <v>0</v>
      </c>
      <c r="I751" s="26" t="str">
        <f aca="false">IF($H751=0,"",IF($H751&lt;=8,"Ótimo",IF($H751&lt;=12,"Bom",IF($H751&lt;=16,"Regular",IF($H751&lt;=20,"Alerta","Crítico")))))</f>
        <v/>
      </c>
      <c r="J751" s="27"/>
      <c r="K751" s="27"/>
    </row>
    <row r="752" customFormat="false" ht="15" hidden="false" customHeight="false" outlineLevel="0" collapsed="false">
      <c r="A752" s="29"/>
      <c r="B752" s="40" t="n">
        <f aca="false">IF($A752="",0,INT(($A752-Macrociclo!$C$11)/7)+1)</f>
        <v>0</v>
      </c>
      <c r="C752" s="27"/>
      <c r="D752" s="28"/>
      <c r="E752" s="28"/>
      <c r="F752" s="28"/>
      <c r="G752" s="28"/>
      <c r="H752" s="40" t="n">
        <f aca="false">IF(COUNT($D752:$G752)&lt;4,0,SUM($D752:$G752))</f>
        <v>0</v>
      </c>
      <c r="I752" s="26" t="str">
        <f aca="false">IF($H752=0,"",IF($H752&lt;=8,"Ótimo",IF($H752&lt;=12,"Bom",IF($H752&lt;=16,"Regular",IF($H752&lt;=20,"Alerta","Crítico")))))</f>
        <v/>
      </c>
      <c r="J752" s="27"/>
      <c r="K752" s="27"/>
    </row>
    <row r="753" customFormat="false" ht="15" hidden="false" customHeight="false" outlineLevel="0" collapsed="false">
      <c r="A753" s="29"/>
      <c r="B753" s="40" t="n">
        <f aca="false">IF($A753="",0,INT(($A753-Macrociclo!$C$11)/7)+1)</f>
        <v>0</v>
      </c>
      <c r="C753" s="27"/>
      <c r="D753" s="28"/>
      <c r="E753" s="28"/>
      <c r="F753" s="28"/>
      <c r="G753" s="28"/>
      <c r="H753" s="40" t="n">
        <f aca="false">IF(COUNT($D753:$G753)&lt;4,0,SUM($D753:$G753))</f>
        <v>0</v>
      </c>
      <c r="I753" s="26" t="str">
        <f aca="false">IF($H753=0,"",IF($H753&lt;=8,"Ótimo",IF($H753&lt;=12,"Bom",IF($H753&lt;=16,"Regular",IF($H753&lt;=20,"Alerta","Crítico")))))</f>
        <v/>
      </c>
      <c r="J753" s="27"/>
      <c r="K753" s="27"/>
    </row>
    <row r="754" customFormat="false" ht="15" hidden="false" customHeight="false" outlineLevel="0" collapsed="false">
      <c r="A754" s="29"/>
      <c r="B754" s="40" t="n">
        <f aca="false">IF($A754="",0,INT(($A754-Macrociclo!$C$11)/7)+1)</f>
        <v>0</v>
      </c>
      <c r="C754" s="27"/>
      <c r="D754" s="28"/>
      <c r="E754" s="28"/>
      <c r="F754" s="28"/>
      <c r="G754" s="28"/>
      <c r="H754" s="40" t="n">
        <f aca="false">IF(COUNT($D754:$G754)&lt;4,0,SUM($D754:$G754))</f>
        <v>0</v>
      </c>
      <c r="I754" s="26" t="str">
        <f aca="false">IF($H754=0,"",IF($H754&lt;=8,"Ótimo",IF($H754&lt;=12,"Bom",IF($H754&lt;=16,"Regular",IF($H754&lt;=20,"Alerta","Crítico")))))</f>
        <v/>
      </c>
      <c r="J754" s="27"/>
      <c r="K754" s="27"/>
    </row>
    <row r="755" customFormat="false" ht="15" hidden="false" customHeight="false" outlineLevel="0" collapsed="false">
      <c r="A755" s="29"/>
      <c r="B755" s="40" t="n">
        <f aca="false">IF($A755="",0,INT(($A755-Macrociclo!$C$11)/7)+1)</f>
        <v>0</v>
      </c>
      <c r="C755" s="27"/>
      <c r="D755" s="28"/>
      <c r="E755" s="28"/>
      <c r="F755" s="28"/>
      <c r="G755" s="28"/>
      <c r="H755" s="40" t="n">
        <f aca="false">IF(COUNT($D755:$G755)&lt;4,0,SUM($D755:$G755))</f>
        <v>0</v>
      </c>
      <c r="I755" s="26" t="str">
        <f aca="false">IF($H755=0,"",IF($H755&lt;=8,"Ótimo",IF($H755&lt;=12,"Bom",IF($H755&lt;=16,"Regular",IF($H755&lt;=20,"Alerta","Crítico")))))</f>
        <v/>
      </c>
      <c r="J755" s="27"/>
      <c r="K755" s="27"/>
    </row>
    <row r="756" customFormat="false" ht="15" hidden="false" customHeight="false" outlineLevel="0" collapsed="false">
      <c r="A756" s="29"/>
      <c r="B756" s="40" t="n">
        <f aca="false">IF($A756="",0,INT(($A756-Macrociclo!$C$11)/7)+1)</f>
        <v>0</v>
      </c>
      <c r="C756" s="27"/>
      <c r="D756" s="28"/>
      <c r="E756" s="28"/>
      <c r="F756" s="28"/>
      <c r="G756" s="28"/>
      <c r="H756" s="40" t="n">
        <f aca="false">IF(COUNT($D756:$G756)&lt;4,0,SUM($D756:$G756))</f>
        <v>0</v>
      </c>
      <c r="I756" s="26" t="str">
        <f aca="false">IF($H756=0,"",IF($H756&lt;=8,"Ótimo",IF($H756&lt;=12,"Bom",IF($H756&lt;=16,"Regular",IF($H756&lt;=20,"Alerta","Crítico")))))</f>
        <v/>
      </c>
      <c r="J756" s="27"/>
      <c r="K756" s="27"/>
    </row>
    <row r="757" customFormat="false" ht="15" hidden="false" customHeight="false" outlineLevel="0" collapsed="false">
      <c r="A757" s="29"/>
      <c r="B757" s="40" t="n">
        <f aca="false">IF($A757="",0,INT(($A757-Macrociclo!$C$11)/7)+1)</f>
        <v>0</v>
      </c>
      <c r="C757" s="27"/>
      <c r="D757" s="28"/>
      <c r="E757" s="28"/>
      <c r="F757" s="28"/>
      <c r="G757" s="28"/>
      <c r="H757" s="40" t="n">
        <f aca="false">IF(COUNT($D757:$G757)&lt;4,0,SUM($D757:$G757))</f>
        <v>0</v>
      </c>
      <c r="I757" s="26" t="str">
        <f aca="false">IF($H757=0,"",IF($H757&lt;=8,"Ótimo",IF($H757&lt;=12,"Bom",IF($H757&lt;=16,"Regular",IF($H757&lt;=20,"Alerta","Crítico")))))</f>
        <v/>
      </c>
      <c r="J757" s="27"/>
      <c r="K757" s="27"/>
    </row>
    <row r="758" customFormat="false" ht="15" hidden="false" customHeight="false" outlineLevel="0" collapsed="false">
      <c r="A758" s="29"/>
      <c r="B758" s="40" t="n">
        <f aca="false">IF($A758="",0,INT(($A758-Macrociclo!$C$11)/7)+1)</f>
        <v>0</v>
      </c>
      <c r="C758" s="27"/>
      <c r="D758" s="28"/>
      <c r="E758" s="28"/>
      <c r="F758" s="28"/>
      <c r="G758" s="28"/>
      <c r="H758" s="40" t="n">
        <f aca="false">IF(COUNT($D758:$G758)&lt;4,0,SUM($D758:$G758))</f>
        <v>0</v>
      </c>
      <c r="I758" s="26" t="str">
        <f aca="false">IF($H758=0,"",IF($H758&lt;=8,"Ótimo",IF($H758&lt;=12,"Bom",IF($H758&lt;=16,"Regular",IF($H758&lt;=20,"Alerta","Crítico")))))</f>
        <v/>
      </c>
      <c r="J758" s="27"/>
      <c r="K758" s="27"/>
    </row>
    <row r="759" customFormat="false" ht="15" hidden="false" customHeight="false" outlineLevel="0" collapsed="false">
      <c r="A759" s="29"/>
      <c r="B759" s="40" t="n">
        <f aca="false">IF($A759="",0,INT(($A759-Macrociclo!$C$11)/7)+1)</f>
        <v>0</v>
      </c>
      <c r="C759" s="27"/>
      <c r="D759" s="28"/>
      <c r="E759" s="28"/>
      <c r="F759" s="28"/>
      <c r="G759" s="28"/>
      <c r="H759" s="40" t="n">
        <f aca="false">IF(COUNT($D759:$G759)&lt;4,0,SUM($D759:$G759))</f>
        <v>0</v>
      </c>
      <c r="I759" s="26" t="str">
        <f aca="false">IF($H759=0,"",IF($H759&lt;=8,"Ótimo",IF($H759&lt;=12,"Bom",IF($H759&lt;=16,"Regular",IF($H759&lt;=20,"Alerta","Crítico")))))</f>
        <v/>
      </c>
      <c r="J759" s="27"/>
      <c r="K759" s="27"/>
    </row>
    <row r="760" customFormat="false" ht="15" hidden="false" customHeight="false" outlineLevel="0" collapsed="false">
      <c r="A760" s="29"/>
      <c r="B760" s="40" t="n">
        <f aca="false">IF($A760="",0,INT(($A760-Macrociclo!$C$11)/7)+1)</f>
        <v>0</v>
      </c>
      <c r="C760" s="27"/>
      <c r="D760" s="28"/>
      <c r="E760" s="28"/>
      <c r="F760" s="28"/>
      <c r="G760" s="28"/>
      <c r="H760" s="40" t="n">
        <f aca="false">IF(COUNT($D760:$G760)&lt;4,0,SUM($D760:$G760))</f>
        <v>0</v>
      </c>
      <c r="I760" s="26" t="str">
        <f aca="false">IF($H760=0,"",IF($H760&lt;=8,"Ótimo",IF($H760&lt;=12,"Bom",IF($H760&lt;=16,"Regular",IF($H760&lt;=20,"Alerta","Crítico")))))</f>
        <v/>
      </c>
      <c r="J760" s="27"/>
      <c r="K760" s="27"/>
    </row>
    <row r="761" customFormat="false" ht="15" hidden="false" customHeight="false" outlineLevel="0" collapsed="false">
      <c r="A761" s="29"/>
      <c r="B761" s="40" t="n">
        <f aca="false">IF($A761="",0,INT(($A761-Macrociclo!$C$11)/7)+1)</f>
        <v>0</v>
      </c>
      <c r="C761" s="27"/>
      <c r="D761" s="28"/>
      <c r="E761" s="28"/>
      <c r="F761" s="28"/>
      <c r="G761" s="28"/>
      <c r="H761" s="40" t="n">
        <f aca="false">IF(COUNT($D761:$G761)&lt;4,0,SUM($D761:$G761))</f>
        <v>0</v>
      </c>
      <c r="I761" s="26" t="str">
        <f aca="false">IF($H761=0,"",IF($H761&lt;=8,"Ótimo",IF($H761&lt;=12,"Bom",IF($H761&lt;=16,"Regular",IF($H761&lt;=20,"Alerta","Crítico")))))</f>
        <v/>
      </c>
      <c r="J761" s="27"/>
      <c r="K761" s="27"/>
    </row>
    <row r="762" customFormat="false" ht="15" hidden="false" customHeight="false" outlineLevel="0" collapsed="false">
      <c r="A762" s="29"/>
      <c r="B762" s="40" t="n">
        <f aca="false">IF($A762="",0,INT(($A762-Macrociclo!$C$11)/7)+1)</f>
        <v>0</v>
      </c>
      <c r="C762" s="27"/>
      <c r="D762" s="28"/>
      <c r="E762" s="28"/>
      <c r="F762" s="28"/>
      <c r="G762" s="28"/>
      <c r="H762" s="40" t="n">
        <f aca="false">IF(COUNT($D762:$G762)&lt;4,0,SUM($D762:$G762))</f>
        <v>0</v>
      </c>
      <c r="I762" s="26" t="str">
        <f aca="false">IF($H762=0,"",IF($H762&lt;=8,"Ótimo",IF($H762&lt;=12,"Bom",IF($H762&lt;=16,"Regular",IF($H762&lt;=20,"Alerta","Crítico")))))</f>
        <v/>
      </c>
      <c r="J762" s="27"/>
      <c r="K762" s="27"/>
    </row>
    <row r="763" customFormat="false" ht="15" hidden="false" customHeight="false" outlineLevel="0" collapsed="false">
      <c r="A763" s="29"/>
      <c r="B763" s="40" t="n">
        <f aca="false">IF($A763="",0,INT(($A763-Macrociclo!$C$11)/7)+1)</f>
        <v>0</v>
      </c>
      <c r="C763" s="27"/>
      <c r="D763" s="28"/>
      <c r="E763" s="28"/>
      <c r="F763" s="28"/>
      <c r="G763" s="28"/>
      <c r="H763" s="40" t="n">
        <f aca="false">IF(COUNT($D763:$G763)&lt;4,0,SUM($D763:$G763))</f>
        <v>0</v>
      </c>
      <c r="I763" s="26" t="str">
        <f aca="false">IF($H763=0,"",IF($H763&lt;=8,"Ótimo",IF($H763&lt;=12,"Bom",IF($H763&lt;=16,"Regular",IF($H763&lt;=20,"Alerta","Crítico")))))</f>
        <v/>
      </c>
      <c r="J763" s="27"/>
      <c r="K763" s="27"/>
    </row>
    <row r="764" customFormat="false" ht="15" hidden="false" customHeight="false" outlineLevel="0" collapsed="false">
      <c r="A764" s="29"/>
      <c r="B764" s="40" t="n">
        <f aca="false">IF($A764="",0,INT(($A764-Macrociclo!$C$11)/7)+1)</f>
        <v>0</v>
      </c>
      <c r="C764" s="27"/>
      <c r="D764" s="28"/>
      <c r="E764" s="28"/>
      <c r="F764" s="28"/>
      <c r="G764" s="28"/>
      <c r="H764" s="40" t="n">
        <f aca="false">IF(COUNT($D764:$G764)&lt;4,0,SUM($D764:$G764))</f>
        <v>0</v>
      </c>
      <c r="I764" s="26" t="str">
        <f aca="false">IF($H764=0,"",IF($H764&lt;=8,"Ótimo",IF($H764&lt;=12,"Bom",IF($H764&lt;=16,"Regular",IF($H764&lt;=20,"Alerta","Crítico")))))</f>
        <v/>
      </c>
      <c r="J764" s="27"/>
      <c r="K764" s="27"/>
    </row>
    <row r="765" customFormat="false" ht="15" hidden="false" customHeight="false" outlineLevel="0" collapsed="false">
      <c r="A765" s="29"/>
      <c r="B765" s="40" t="n">
        <f aca="false">IF($A765="",0,INT(($A765-Macrociclo!$C$11)/7)+1)</f>
        <v>0</v>
      </c>
      <c r="C765" s="27"/>
      <c r="D765" s="28"/>
      <c r="E765" s="28"/>
      <c r="F765" s="28"/>
      <c r="G765" s="28"/>
      <c r="H765" s="40" t="n">
        <f aca="false">IF(COUNT($D765:$G765)&lt;4,0,SUM($D765:$G765))</f>
        <v>0</v>
      </c>
      <c r="I765" s="26" t="str">
        <f aca="false">IF($H765=0,"",IF($H765&lt;=8,"Ótimo",IF($H765&lt;=12,"Bom",IF($H765&lt;=16,"Regular",IF($H765&lt;=20,"Alerta","Crítico")))))</f>
        <v/>
      </c>
      <c r="J765" s="27"/>
      <c r="K765" s="27"/>
    </row>
    <row r="766" customFormat="false" ht="15" hidden="false" customHeight="false" outlineLevel="0" collapsed="false">
      <c r="A766" s="29"/>
      <c r="B766" s="40" t="n">
        <f aca="false">IF($A766="",0,INT(($A766-Macrociclo!$C$11)/7)+1)</f>
        <v>0</v>
      </c>
      <c r="C766" s="27"/>
      <c r="D766" s="28"/>
      <c r="E766" s="28"/>
      <c r="F766" s="28"/>
      <c r="G766" s="28"/>
      <c r="H766" s="40" t="n">
        <f aca="false">IF(COUNT($D766:$G766)&lt;4,0,SUM($D766:$G766))</f>
        <v>0</v>
      </c>
      <c r="I766" s="26" t="str">
        <f aca="false">IF($H766=0,"",IF($H766&lt;=8,"Ótimo",IF($H766&lt;=12,"Bom",IF($H766&lt;=16,"Regular",IF($H766&lt;=20,"Alerta","Crítico")))))</f>
        <v/>
      </c>
      <c r="J766" s="27"/>
      <c r="K766" s="27"/>
    </row>
    <row r="767" customFormat="false" ht="15" hidden="false" customHeight="false" outlineLevel="0" collapsed="false">
      <c r="A767" s="29"/>
      <c r="B767" s="40" t="n">
        <f aca="false">IF($A767="",0,INT(($A767-Macrociclo!$C$11)/7)+1)</f>
        <v>0</v>
      </c>
      <c r="C767" s="27"/>
      <c r="D767" s="28"/>
      <c r="E767" s="28"/>
      <c r="F767" s="28"/>
      <c r="G767" s="28"/>
      <c r="H767" s="40" t="n">
        <f aca="false">IF(COUNT($D767:$G767)&lt;4,0,SUM($D767:$G767))</f>
        <v>0</v>
      </c>
      <c r="I767" s="26" t="str">
        <f aca="false">IF($H767=0,"",IF($H767&lt;=8,"Ótimo",IF($H767&lt;=12,"Bom",IF($H767&lt;=16,"Regular",IF($H767&lt;=20,"Alerta","Crítico")))))</f>
        <v/>
      </c>
      <c r="J767" s="27"/>
      <c r="K767" s="27"/>
    </row>
    <row r="768" customFormat="false" ht="15" hidden="false" customHeight="false" outlineLevel="0" collapsed="false">
      <c r="A768" s="29"/>
      <c r="B768" s="40" t="n">
        <f aca="false">IF($A768="",0,INT(($A768-Macrociclo!$C$11)/7)+1)</f>
        <v>0</v>
      </c>
      <c r="C768" s="27"/>
      <c r="D768" s="28"/>
      <c r="E768" s="28"/>
      <c r="F768" s="28"/>
      <c r="G768" s="28"/>
      <c r="H768" s="40" t="n">
        <f aca="false">IF(COUNT($D768:$G768)&lt;4,0,SUM($D768:$G768))</f>
        <v>0</v>
      </c>
      <c r="I768" s="26" t="str">
        <f aca="false">IF($H768=0,"",IF($H768&lt;=8,"Ótimo",IF($H768&lt;=12,"Bom",IF($H768&lt;=16,"Regular",IF($H768&lt;=20,"Alerta","Crítico")))))</f>
        <v/>
      </c>
      <c r="J768" s="27"/>
      <c r="K768" s="27"/>
    </row>
    <row r="769" customFormat="false" ht="15" hidden="false" customHeight="false" outlineLevel="0" collapsed="false">
      <c r="A769" s="29"/>
      <c r="B769" s="40" t="n">
        <f aca="false">IF($A769="",0,INT(($A769-Macrociclo!$C$11)/7)+1)</f>
        <v>0</v>
      </c>
      <c r="C769" s="27"/>
      <c r="D769" s="28"/>
      <c r="E769" s="28"/>
      <c r="F769" s="28"/>
      <c r="G769" s="28"/>
      <c r="H769" s="40" t="n">
        <f aca="false">IF(COUNT($D769:$G769)&lt;4,0,SUM($D769:$G769))</f>
        <v>0</v>
      </c>
      <c r="I769" s="26" t="str">
        <f aca="false">IF($H769=0,"",IF($H769&lt;=8,"Ótimo",IF($H769&lt;=12,"Bom",IF($H769&lt;=16,"Regular",IF($H769&lt;=20,"Alerta","Crítico")))))</f>
        <v/>
      </c>
      <c r="J769" s="27"/>
      <c r="K769" s="27"/>
    </row>
    <row r="770" customFormat="false" ht="15" hidden="false" customHeight="false" outlineLevel="0" collapsed="false">
      <c r="A770" s="29"/>
      <c r="B770" s="40" t="n">
        <f aca="false">IF($A770="",0,INT(($A770-Macrociclo!$C$11)/7)+1)</f>
        <v>0</v>
      </c>
      <c r="C770" s="27"/>
      <c r="D770" s="28"/>
      <c r="E770" s="28"/>
      <c r="F770" s="28"/>
      <c r="G770" s="28"/>
      <c r="H770" s="40" t="n">
        <f aca="false">IF(COUNT($D770:$G770)&lt;4,0,SUM($D770:$G770))</f>
        <v>0</v>
      </c>
      <c r="I770" s="26" t="str">
        <f aca="false">IF($H770=0,"",IF($H770&lt;=8,"Ótimo",IF($H770&lt;=12,"Bom",IF($H770&lt;=16,"Regular",IF($H770&lt;=20,"Alerta","Crítico")))))</f>
        <v/>
      </c>
      <c r="J770" s="27"/>
      <c r="K770" s="27"/>
    </row>
    <row r="771" customFormat="false" ht="15" hidden="false" customHeight="false" outlineLevel="0" collapsed="false">
      <c r="A771" s="29"/>
      <c r="B771" s="40" t="n">
        <f aca="false">IF($A771="",0,INT(($A771-Macrociclo!$C$11)/7)+1)</f>
        <v>0</v>
      </c>
      <c r="C771" s="27"/>
      <c r="D771" s="28"/>
      <c r="E771" s="28"/>
      <c r="F771" s="28"/>
      <c r="G771" s="28"/>
      <c r="H771" s="40" t="n">
        <f aca="false">IF(COUNT($D771:$G771)&lt;4,0,SUM($D771:$G771))</f>
        <v>0</v>
      </c>
      <c r="I771" s="26" t="str">
        <f aca="false">IF($H771=0,"",IF($H771&lt;=8,"Ótimo",IF($H771&lt;=12,"Bom",IF($H771&lt;=16,"Regular",IF($H771&lt;=20,"Alerta","Crítico")))))</f>
        <v/>
      </c>
      <c r="J771" s="27"/>
      <c r="K771" s="27"/>
    </row>
    <row r="772" customFormat="false" ht="15" hidden="false" customHeight="false" outlineLevel="0" collapsed="false">
      <c r="A772" s="29"/>
      <c r="B772" s="40" t="n">
        <f aca="false">IF($A772="",0,INT(($A772-Macrociclo!$C$11)/7)+1)</f>
        <v>0</v>
      </c>
      <c r="C772" s="27"/>
      <c r="D772" s="28"/>
      <c r="E772" s="28"/>
      <c r="F772" s="28"/>
      <c r="G772" s="28"/>
      <c r="H772" s="40" t="n">
        <f aca="false">IF(COUNT($D772:$G772)&lt;4,0,SUM($D772:$G772))</f>
        <v>0</v>
      </c>
      <c r="I772" s="26" t="str">
        <f aca="false">IF($H772=0,"",IF($H772&lt;=8,"Ótimo",IF($H772&lt;=12,"Bom",IF($H772&lt;=16,"Regular",IF($H772&lt;=20,"Alerta","Crítico")))))</f>
        <v/>
      </c>
      <c r="J772" s="27"/>
      <c r="K772" s="27"/>
    </row>
    <row r="773" customFormat="false" ht="15" hidden="false" customHeight="false" outlineLevel="0" collapsed="false">
      <c r="A773" s="29"/>
      <c r="B773" s="40" t="n">
        <f aca="false">IF($A773="",0,INT(($A773-Macrociclo!$C$11)/7)+1)</f>
        <v>0</v>
      </c>
      <c r="C773" s="27"/>
      <c r="D773" s="28"/>
      <c r="E773" s="28"/>
      <c r="F773" s="28"/>
      <c r="G773" s="28"/>
      <c r="H773" s="40" t="n">
        <f aca="false">IF(COUNT($D773:$G773)&lt;4,0,SUM($D773:$G773))</f>
        <v>0</v>
      </c>
      <c r="I773" s="26" t="str">
        <f aca="false">IF($H773=0,"",IF($H773&lt;=8,"Ótimo",IF($H773&lt;=12,"Bom",IF($H773&lt;=16,"Regular",IF($H773&lt;=20,"Alerta","Crítico")))))</f>
        <v/>
      </c>
      <c r="J773" s="27"/>
      <c r="K773" s="27"/>
    </row>
    <row r="774" customFormat="false" ht="15" hidden="false" customHeight="false" outlineLevel="0" collapsed="false">
      <c r="A774" s="29"/>
      <c r="B774" s="40" t="n">
        <f aca="false">IF($A774="",0,INT(($A774-Macrociclo!$C$11)/7)+1)</f>
        <v>0</v>
      </c>
      <c r="C774" s="27"/>
      <c r="D774" s="28"/>
      <c r="E774" s="28"/>
      <c r="F774" s="28"/>
      <c r="G774" s="28"/>
      <c r="H774" s="40" t="n">
        <f aca="false">IF(COUNT($D774:$G774)&lt;4,0,SUM($D774:$G774))</f>
        <v>0</v>
      </c>
      <c r="I774" s="26" t="str">
        <f aca="false">IF($H774=0,"",IF($H774&lt;=8,"Ótimo",IF($H774&lt;=12,"Bom",IF($H774&lt;=16,"Regular",IF($H774&lt;=20,"Alerta","Crítico")))))</f>
        <v/>
      </c>
      <c r="J774" s="27"/>
      <c r="K774" s="27"/>
    </row>
    <row r="775" customFormat="false" ht="15" hidden="false" customHeight="false" outlineLevel="0" collapsed="false">
      <c r="A775" s="29"/>
      <c r="B775" s="40" t="n">
        <f aca="false">IF($A775="",0,INT(($A775-Macrociclo!$C$11)/7)+1)</f>
        <v>0</v>
      </c>
      <c r="C775" s="27"/>
      <c r="D775" s="28"/>
      <c r="E775" s="28"/>
      <c r="F775" s="28"/>
      <c r="G775" s="28"/>
      <c r="H775" s="40" t="n">
        <f aca="false">IF(COUNT($D775:$G775)&lt;4,0,SUM($D775:$G775))</f>
        <v>0</v>
      </c>
      <c r="I775" s="26" t="str">
        <f aca="false">IF($H775=0,"",IF($H775&lt;=8,"Ótimo",IF($H775&lt;=12,"Bom",IF($H775&lt;=16,"Regular",IF($H775&lt;=20,"Alerta","Crítico")))))</f>
        <v/>
      </c>
      <c r="J775" s="27"/>
      <c r="K775" s="27"/>
    </row>
    <row r="776" customFormat="false" ht="15" hidden="false" customHeight="false" outlineLevel="0" collapsed="false">
      <c r="A776" s="29"/>
      <c r="B776" s="40" t="n">
        <f aca="false">IF($A776="",0,INT(($A776-Macrociclo!$C$11)/7)+1)</f>
        <v>0</v>
      </c>
      <c r="C776" s="27"/>
      <c r="D776" s="28"/>
      <c r="E776" s="28"/>
      <c r="F776" s="28"/>
      <c r="G776" s="28"/>
      <c r="H776" s="40" t="n">
        <f aca="false">IF(COUNT($D776:$G776)&lt;4,0,SUM($D776:$G776))</f>
        <v>0</v>
      </c>
      <c r="I776" s="26" t="str">
        <f aca="false">IF($H776=0,"",IF($H776&lt;=8,"Ótimo",IF($H776&lt;=12,"Bom",IF($H776&lt;=16,"Regular",IF($H776&lt;=20,"Alerta","Crítico")))))</f>
        <v/>
      </c>
      <c r="J776" s="27"/>
      <c r="K776" s="27"/>
    </row>
    <row r="777" customFormat="false" ht="15" hidden="false" customHeight="false" outlineLevel="0" collapsed="false">
      <c r="A777" s="29"/>
      <c r="B777" s="40" t="n">
        <f aca="false">IF($A777="",0,INT(($A777-Macrociclo!$C$11)/7)+1)</f>
        <v>0</v>
      </c>
      <c r="C777" s="27"/>
      <c r="D777" s="28"/>
      <c r="E777" s="28"/>
      <c r="F777" s="28"/>
      <c r="G777" s="28"/>
      <c r="H777" s="40" t="n">
        <f aca="false">IF(COUNT($D777:$G777)&lt;4,0,SUM($D777:$G777))</f>
        <v>0</v>
      </c>
      <c r="I777" s="26" t="str">
        <f aca="false">IF($H777=0,"",IF($H777&lt;=8,"Ótimo",IF($H777&lt;=12,"Bom",IF($H777&lt;=16,"Regular",IF($H777&lt;=20,"Alerta","Crítico")))))</f>
        <v/>
      </c>
      <c r="J777" s="27"/>
      <c r="K777" s="27"/>
    </row>
    <row r="778" customFormat="false" ht="15" hidden="false" customHeight="false" outlineLevel="0" collapsed="false">
      <c r="A778" s="29"/>
      <c r="B778" s="40" t="n">
        <f aca="false">IF($A778="",0,INT(($A778-Macrociclo!$C$11)/7)+1)</f>
        <v>0</v>
      </c>
      <c r="C778" s="27"/>
      <c r="D778" s="28"/>
      <c r="E778" s="28"/>
      <c r="F778" s="28"/>
      <c r="G778" s="28"/>
      <c r="H778" s="40" t="n">
        <f aca="false">IF(COUNT($D778:$G778)&lt;4,0,SUM($D778:$G778))</f>
        <v>0</v>
      </c>
      <c r="I778" s="26" t="str">
        <f aca="false">IF($H778=0,"",IF($H778&lt;=8,"Ótimo",IF($H778&lt;=12,"Bom",IF($H778&lt;=16,"Regular",IF($H778&lt;=20,"Alerta","Crítico")))))</f>
        <v/>
      </c>
      <c r="J778" s="27"/>
      <c r="K778" s="27"/>
    </row>
    <row r="779" customFormat="false" ht="15" hidden="false" customHeight="false" outlineLevel="0" collapsed="false">
      <c r="A779" s="29"/>
      <c r="B779" s="40" t="n">
        <f aca="false">IF($A779="",0,INT(($A779-Macrociclo!$C$11)/7)+1)</f>
        <v>0</v>
      </c>
      <c r="C779" s="27"/>
      <c r="D779" s="28"/>
      <c r="E779" s="28"/>
      <c r="F779" s="28"/>
      <c r="G779" s="28"/>
      <c r="H779" s="40" t="n">
        <f aca="false">IF(COUNT($D779:$G779)&lt;4,0,SUM($D779:$G779))</f>
        <v>0</v>
      </c>
      <c r="I779" s="26" t="str">
        <f aca="false">IF($H779=0,"",IF($H779&lt;=8,"Ótimo",IF($H779&lt;=12,"Bom",IF($H779&lt;=16,"Regular",IF($H779&lt;=20,"Alerta","Crítico")))))</f>
        <v/>
      </c>
      <c r="J779" s="27"/>
      <c r="K779" s="27"/>
    </row>
    <row r="780" customFormat="false" ht="15" hidden="false" customHeight="false" outlineLevel="0" collapsed="false">
      <c r="A780" s="29"/>
      <c r="B780" s="40" t="n">
        <f aca="false">IF($A780="",0,INT(($A780-Macrociclo!$C$11)/7)+1)</f>
        <v>0</v>
      </c>
      <c r="C780" s="27"/>
      <c r="D780" s="28"/>
      <c r="E780" s="28"/>
      <c r="F780" s="28"/>
      <c r="G780" s="28"/>
      <c r="H780" s="40" t="n">
        <f aca="false">IF(COUNT($D780:$G780)&lt;4,0,SUM($D780:$G780))</f>
        <v>0</v>
      </c>
      <c r="I780" s="26" t="str">
        <f aca="false">IF($H780=0,"",IF($H780&lt;=8,"Ótimo",IF($H780&lt;=12,"Bom",IF($H780&lt;=16,"Regular",IF($H780&lt;=20,"Alerta","Crítico")))))</f>
        <v/>
      </c>
      <c r="J780" s="27"/>
      <c r="K780" s="27"/>
    </row>
    <row r="781" customFormat="false" ht="15" hidden="false" customHeight="false" outlineLevel="0" collapsed="false">
      <c r="A781" s="29"/>
      <c r="B781" s="40" t="n">
        <f aca="false">IF($A781="",0,INT(($A781-Macrociclo!$C$11)/7)+1)</f>
        <v>0</v>
      </c>
      <c r="C781" s="27"/>
      <c r="D781" s="28"/>
      <c r="E781" s="28"/>
      <c r="F781" s="28"/>
      <c r="G781" s="28"/>
      <c r="H781" s="40" t="n">
        <f aca="false">IF(COUNT($D781:$G781)&lt;4,0,SUM($D781:$G781))</f>
        <v>0</v>
      </c>
      <c r="I781" s="26" t="str">
        <f aca="false">IF($H781=0,"",IF($H781&lt;=8,"Ótimo",IF($H781&lt;=12,"Bom",IF($H781&lt;=16,"Regular",IF($H781&lt;=20,"Alerta","Crítico")))))</f>
        <v/>
      </c>
      <c r="J781" s="27"/>
      <c r="K781" s="27"/>
    </row>
    <row r="782" customFormat="false" ht="15" hidden="false" customHeight="false" outlineLevel="0" collapsed="false">
      <c r="A782" s="29"/>
      <c r="B782" s="40" t="n">
        <f aca="false">IF($A782="",0,INT(($A782-Macrociclo!$C$11)/7)+1)</f>
        <v>0</v>
      </c>
      <c r="C782" s="27"/>
      <c r="D782" s="28"/>
      <c r="E782" s="28"/>
      <c r="F782" s="28"/>
      <c r="G782" s="28"/>
      <c r="H782" s="40" t="n">
        <f aca="false">IF(COUNT($D782:$G782)&lt;4,0,SUM($D782:$G782))</f>
        <v>0</v>
      </c>
      <c r="I782" s="26" t="str">
        <f aca="false">IF($H782=0,"",IF($H782&lt;=8,"Ótimo",IF($H782&lt;=12,"Bom",IF($H782&lt;=16,"Regular",IF($H782&lt;=20,"Alerta","Crítico")))))</f>
        <v/>
      </c>
      <c r="J782" s="27"/>
      <c r="K782" s="27"/>
    </row>
    <row r="783" customFormat="false" ht="15" hidden="false" customHeight="false" outlineLevel="0" collapsed="false">
      <c r="A783" s="29"/>
      <c r="B783" s="40" t="n">
        <f aca="false">IF($A783="",0,INT(($A783-Macrociclo!$C$11)/7)+1)</f>
        <v>0</v>
      </c>
      <c r="C783" s="27"/>
      <c r="D783" s="28"/>
      <c r="E783" s="28"/>
      <c r="F783" s="28"/>
      <c r="G783" s="28"/>
      <c r="H783" s="40" t="n">
        <f aca="false">IF(COUNT($D783:$G783)&lt;4,0,SUM($D783:$G783))</f>
        <v>0</v>
      </c>
      <c r="I783" s="26" t="str">
        <f aca="false">IF($H783=0,"",IF($H783&lt;=8,"Ótimo",IF($H783&lt;=12,"Bom",IF($H783&lt;=16,"Regular",IF($H783&lt;=20,"Alerta","Crítico")))))</f>
        <v/>
      </c>
      <c r="J783" s="27"/>
      <c r="K783" s="27"/>
    </row>
    <row r="784" customFormat="false" ht="15" hidden="false" customHeight="false" outlineLevel="0" collapsed="false">
      <c r="A784" s="29"/>
      <c r="B784" s="40" t="n">
        <f aca="false">IF($A784="",0,INT(($A784-Macrociclo!$C$11)/7)+1)</f>
        <v>0</v>
      </c>
      <c r="C784" s="27"/>
      <c r="D784" s="28"/>
      <c r="E784" s="28"/>
      <c r="F784" s="28"/>
      <c r="G784" s="28"/>
      <c r="H784" s="40" t="n">
        <f aca="false">IF(COUNT($D784:$G784)&lt;4,0,SUM($D784:$G784))</f>
        <v>0</v>
      </c>
      <c r="I784" s="26" t="str">
        <f aca="false">IF($H784=0,"",IF($H784&lt;=8,"Ótimo",IF($H784&lt;=12,"Bom",IF($H784&lt;=16,"Regular",IF($H784&lt;=20,"Alerta","Crítico")))))</f>
        <v/>
      </c>
      <c r="J784" s="27"/>
      <c r="K784" s="27"/>
    </row>
    <row r="785" customFormat="false" ht="15" hidden="false" customHeight="false" outlineLevel="0" collapsed="false">
      <c r="A785" s="29"/>
      <c r="B785" s="40" t="n">
        <f aca="false">IF($A785="",0,INT(($A785-Macrociclo!$C$11)/7)+1)</f>
        <v>0</v>
      </c>
      <c r="C785" s="27"/>
      <c r="D785" s="28"/>
      <c r="E785" s="28"/>
      <c r="F785" s="28"/>
      <c r="G785" s="28"/>
      <c r="H785" s="40" t="n">
        <f aca="false">IF(COUNT($D785:$G785)&lt;4,0,SUM($D785:$G785))</f>
        <v>0</v>
      </c>
      <c r="I785" s="26" t="str">
        <f aca="false">IF($H785=0,"",IF($H785&lt;=8,"Ótimo",IF($H785&lt;=12,"Bom",IF($H785&lt;=16,"Regular",IF($H785&lt;=20,"Alerta","Crítico")))))</f>
        <v/>
      </c>
      <c r="J785" s="27"/>
      <c r="K785" s="27"/>
    </row>
    <row r="786" customFormat="false" ht="15" hidden="false" customHeight="false" outlineLevel="0" collapsed="false">
      <c r="A786" s="29"/>
      <c r="B786" s="40" t="n">
        <f aca="false">IF($A786="",0,INT(($A786-Macrociclo!$C$11)/7)+1)</f>
        <v>0</v>
      </c>
      <c r="C786" s="27"/>
      <c r="D786" s="28"/>
      <c r="E786" s="28"/>
      <c r="F786" s="28"/>
      <c r="G786" s="28"/>
      <c r="H786" s="40" t="n">
        <f aca="false">IF(COUNT($D786:$G786)&lt;4,0,SUM($D786:$G786))</f>
        <v>0</v>
      </c>
      <c r="I786" s="26" t="str">
        <f aca="false">IF($H786=0,"",IF($H786&lt;=8,"Ótimo",IF($H786&lt;=12,"Bom",IF($H786&lt;=16,"Regular",IF($H786&lt;=20,"Alerta","Crítico")))))</f>
        <v/>
      </c>
      <c r="J786" s="27"/>
      <c r="K786" s="27"/>
    </row>
    <row r="787" customFormat="false" ht="15" hidden="false" customHeight="false" outlineLevel="0" collapsed="false">
      <c r="A787" s="29"/>
      <c r="B787" s="40" t="n">
        <f aca="false">IF($A787="",0,INT(($A787-Macrociclo!$C$11)/7)+1)</f>
        <v>0</v>
      </c>
      <c r="C787" s="27"/>
      <c r="D787" s="28"/>
      <c r="E787" s="28"/>
      <c r="F787" s="28"/>
      <c r="G787" s="28"/>
      <c r="H787" s="40" t="n">
        <f aca="false">IF(COUNT($D787:$G787)&lt;4,0,SUM($D787:$G787))</f>
        <v>0</v>
      </c>
      <c r="I787" s="26" t="str">
        <f aca="false">IF($H787=0,"",IF($H787&lt;=8,"Ótimo",IF($H787&lt;=12,"Bom",IF($H787&lt;=16,"Regular",IF($H787&lt;=20,"Alerta","Crítico")))))</f>
        <v/>
      </c>
      <c r="J787" s="27"/>
      <c r="K787" s="27"/>
    </row>
    <row r="788" customFormat="false" ht="15" hidden="false" customHeight="false" outlineLevel="0" collapsed="false">
      <c r="A788" s="29"/>
      <c r="B788" s="40" t="n">
        <f aca="false">IF($A788="",0,INT(($A788-Macrociclo!$C$11)/7)+1)</f>
        <v>0</v>
      </c>
      <c r="C788" s="27"/>
      <c r="D788" s="28"/>
      <c r="E788" s="28"/>
      <c r="F788" s="28"/>
      <c r="G788" s="28"/>
      <c r="H788" s="40" t="n">
        <f aca="false">IF(COUNT($D788:$G788)&lt;4,0,SUM($D788:$G788))</f>
        <v>0</v>
      </c>
      <c r="I788" s="26" t="str">
        <f aca="false">IF($H788=0,"",IF($H788&lt;=8,"Ótimo",IF($H788&lt;=12,"Bom",IF($H788&lt;=16,"Regular",IF($H788&lt;=20,"Alerta","Crítico")))))</f>
        <v/>
      </c>
      <c r="J788" s="27"/>
      <c r="K788" s="27"/>
    </row>
    <row r="789" customFormat="false" ht="15" hidden="false" customHeight="false" outlineLevel="0" collapsed="false">
      <c r="A789" s="29"/>
      <c r="B789" s="40" t="n">
        <f aca="false">IF($A789="",0,INT(($A789-Macrociclo!$C$11)/7)+1)</f>
        <v>0</v>
      </c>
      <c r="C789" s="27"/>
      <c r="D789" s="28"/>
      <c r="E789" s="28"/>
      <c r="F789" s="28"/>
      <c r="G789" s="28"/>
      <c r="H789" s="40" t="n">
        <f aca="false">IF(COUNT($D789:$G789)&lt;4,0,SUM($D789:$G789))</f>
        <v>0</v>
      </c>
      <c r="I789" s="26" t="str">
        <f aca="false">IF($H789=0,"",IF($H789&lt;=8,"Ótimo",IF($H789&lt;=12,"Bom",IF($H789&lt;=16,"Regular",IF($H789&lt;=20,"Alerta","Crítico")))))</f>
        <v/>
      </c>
      <c r="J789" s="27"/>
      <c r="K789" s="27"/>
    </row>
    <row r="790" customFormat="false" ht="15" hidden="false" customHeight="false" outlineLevel="0" collapsed="false">
      <c r="A790" s="29"/>
      <c r="B790" s="40" t="n">
        <f aca="false">IF($A790="",0,INT(($A790-Macrociclo!$C$11)/7)+1)</f>
        <v>0</v>
      </c>
      <c r="C790" s="27"/>
      <c r="D790" s="28"/>
      <c r="E790" s="28"/>
      <c r="F790" s="28"/>
      <c r="G790" s="28"/>
      <c r="H790" s="40" t="n">
        <f aca="false">IF(COUNT($D790:$G790)&lt;4,0,SUM($D790:$G790))</f>
        <v>0</v>
      </c>
      <c r="I790" s="26" t="str">
        <f aca="false">IF($H790=0,"",IF($H790&lt;=8,"Ótimo",IF($H790&lt;=12,"Bom",IF($H790&lt;=16,"Regular",IF($H790&lt;=20,"Alerta","Crítico")))))</f>
        <v/>
      </c>
      <c r="J790" s="27"/>
      <c r="K790" s="27"/>
    </row>
    <row r="791" customFormat="false" ht="15" hidden="false" customHeight="false" outlineLevel="0" collapsed="false">
      <c r="A791" s="29"/>
      <c r="B791" s="40" t="n">
        <f aca="false">IF($A791="",0,INT(($A791-Macrociclo!$C$11)/7)+1)</f>
        <v>0</v>
      </c>
      <c r="C791" s="27"/>
      <c r="D791" s="28"/>
      <c r="E791" s="28"/>
      <c r="F791" s="28"/>
      <c r="G791" s="28"/>
      <c r="H791" s="40" t="n">
        <f aca="false">IF(COUNT($D791:$G791)&lt;4,0,SUM($D791:$G791))</f>
        <v>0</v>
      </c>
      <c r="I791" s="26" t="str">
        <f aca="false">IF($H791=0,"",IF($H791&lt;=8,"Ótimo",IF($H791&lt;=12,"Bom",IF($H791&lt;=16,"Regular",IF($H791&lt;=20,"Alerta","Crítico")))))</f>
        <v/>
      </c>
      <c r="J791" s="27"/>
      <c r="K791" s="27"/>
    </row>
    <row r="792" customFormat="false" ht="15" hidden="false" customHeight="false" outlineLevel="0" collapsed="false">
      <c r="A792" s="29"/>
      <c r="B792" s="40" t="n">
        <f aca="false">IF($A792="",0,INT(($A792-Macrociclo!$C$11)/7)+1)</f>
        <v>0</v>
      </c>
      <c r="C792" s="27"/>
      <c r="D792" s="28"/>
      <c r="E792" s="28"/>
      <c r="F792" s="28"/>
      <c r="G792" s="28"/>
      <c r="H792" s="40" t="n">
        <f aca="false">IF(COUNT($D792:$G792)&lt;4,0,SUM($D792:$G792))</f>
        <v>0</v>
      </c>
      <c r="I792" s="26" t="str">
        <f aca="false">IF($H792=0,"",IF($H792&lt;=8,"Ótimo",IF($H792&lt;=12,"Bom",IF($H792&lt;=16,"Regular",IF($H792&lt;=20,"Alerta","Crítico")))))</f>
        <v/>
      </c>
      <c r="J792" s="27"/>
      <c r="K792" s="27"/>
    </row>
    <row r="793" customFormat="false" ht="15" hidden="false" customHeight="false" outlineLevel="0" collapsed="false">
      <c r="A793" s="29"/>
      <c r="B793" s="40" t="n">
        <f aca="false">IF($A793="",0,INT(($A793-Macrociclo!$C$11)/7)+1)</f>
        <v>0</v>
      </c>
      <c r="C793" s="27"/>
      <c r="D793" s="28"/>
      <c r="E793" s="28"/>
      <c r="F793" s="28"/>
      <c r="G793" s="28"/>
      <c r="H793" s="40" t="n">
        <f aca="false">IF(COUNT($D793:$G793)&lt;4,0,SUM($D793:$G793))</f>
        <v>0</v>
      </c>
      <c r="I793" s="26" t="str">
        <f aca="false">IF($H793=0,"",IF($H793&lt;=8,"Ótimo",IF($H793&lt;=12,"Bom",IF($H793&lt;=16,"Regular",IF($H793&lt;=20,"Alerta","Crítico")))))</f>
        <v/>
      </c>
      <c r="J793" s="27"/>
      <c r="K793" s="27"/>
    </row>
    <row r="794" customFormat="false" ht="15" hidden="false" customHeight="false" outlineLevel="0" collapsed="false">
      <c r="A794" s="29"/>
      <c r="B794" s="40" t="n">
        <f aca="false">IF($A794="",0,INT(($A794-Macrociclo!$C$11)/7)+1)</f>
        <v>0</v>
      </c>
      <c r="C794" s="27"/>
      <c r="D794" s="28"/>
      <c r="E794" s="28"/>
      <c r="F794" s="28"/>
      <c r="G794" s="28"/>
      <c r="H794" s="40" t="n">
        <f aca="false">IF(COUNT($D794:$G794)&lt;4,0,SUM($D794:$G794))</f>
        <v>0</v>
      </c>
      <c r="I794" s="26" t="str">
        <f aca="false">IF($H794=0,"",IF($H794&lt;=8,"Ótimo",IF($H794&lt;=12,"Bom",IF($H794&lt;=16,"Regular",IF($H794&lt;=20,"Alerta","Crítico")))))</f>
        <v/>
      </c>
      <c r="J794" s="27"/>
      <c r="K794" s="27"/>
    </row>
    <row r="795" customFormat="false" ht="15" hidden="false" customHeight="false" outlineLevel="0" collapsed="false">
      <c r="A795" s="29"/>
      <c r="B795" s="40" t="n">
        <f aca="false">IF($A795="",0,INT(($A795-Macrociclo!$C$11)/7)+1)</f>
        <v>0</v>
      </c>
      <c r="C795" s="27"/>
      <c r="D795" s="28"/>
      <c r="E795" s="28"/>
      <c r="F795" s="28"/>
      <c r="G795" s="28"/>
      <c r="H795" s="40" t="n">
        <f aca="false">IF(COUNT($D795:$G795)&lt;4,0,SUM($D795:$G795))</f>
        <v>0</v>
      </c>
      <c r="I795" s="26" t="str">
        <f aca="false">IF($H795=0,"",IF($H795&lt;=8,"Ótimo",IF($H795&lt;=12,"Bom",IF($H795&lt;=16,"Regular",IF($H795&lt;=20,"Alerta","Crítico")))))</f>
        <v/>
      </c>
      <c r="J795" s="27"/>
      <c r="K795" s="27"/>
    </row>
    <row r="796" customFormat="false" ht="15" hidden="false" customHeight="false" outlineLevel="0" collapsed="false">
      <c r="A796" s="29"/>
      <c r="B796" s="40" t="n">
        <f aca="false">IF($A796="",0,INT(($A796-Macrociclo!$C$11)/7)+1)</f>
        <v>0</v>
      </c>
      <c r="C796" s="27"/>
      <c r="D796" s="28"/>
      <c r="E796" s="28"/>
      <c r="F796" s="28"/>
      <c r="G796" s="28"/>
      <c r="H796" s="40" t="n">
        <f aca="false">IF(COUNT($D796:$G796)&lt;4,0,SUM($D796:$G796))</f>
        <v>0</v>
      </c>
      <c r="I796" s="26" t="str">
        <f aca="false">IF($H796=0,"",IF($H796&lt;=8,"Ótimo",IF($H796&lt;=12,"Bom",IF($H796&lt;=16,"Regular",IF($H796&lt;=20,"Alerta","Crítico")))))</f>
        <v/>
      </c>
      <c r="J796" s="27"/>
      <c r="K796" s="27"/>
    </row>
    <row r="797" customFormat="false" ht="15" hidden="false" customHeight="false" outlineLevel="0" collapsed="false">
      <c r="A797" s="29"/>
      <c r="B797" s="40" t="n">
        <f aca="false">IF($A797="",0,INT(($A797-Macrociclo!$C$11)/7)+1)</f>
        <v>0</v>
      </c>
      <c r="C797" s="27"/>
      <c r="D797" s="28"/>
      <c r="E797" s="28"/>
      <c r="F797" s="28"/>
      <c r="G797" s="28"/>
      <c r="H797" s="40" t="n">
        <f aca="false">IF(COUNT($D797:$G797)&lt;4,0,SUM($D797:$G797))</f>
        <v>0</v>
      </c>
      <c r="I797" s="26" t="str">
        <f aca="false">IF($H797=0,"",IF($H797&lt;=8,"Ótimo",IF($H797&lt;=12,"Bom",IF($H797&lt;=16,"Regular",IF($H797&lt;=20,"Alerta","Crítico")))))</f>
        <v/>
      </c>
      <c r="J797" s="27"/>
      <c r="K797" s="27"/>
    </row>
    <row r="798" customFormat="false" ht="15" hidden="false" customHeight="false" outlineLevel="0" collapsed="false">
      <c r="A798" s="29"/>
      <c r="B798" s="40" t="n">
        <f aca="false">IF($A798="",0,INT(($A798-Macrociclo!$C$11)/7)+1)</f>
        <v>0</v>
      </c>
      <c r="C798" s="27"/>
      <c r="D798" s="28"/>
      <c r="E798" s="28"/>
      <c r="F798" s="28"/>
      <c r="G798" s="28"/>
      <c r="H798" s="40" t="n">
        <f aca="false">IF(COUNT($D798:$G798)&lt;4,0,SUM($D798:$G798))</f>
        <v>0</v>
      </c>
      <c r="I798" s="26" t="str">
        <f aca="false">IF($H798=0,"",IF($H798&lt;=8,"Ótimo",IF($H798&lt;=12,"Bom",IF($H798&lt;=16,"Regular",IF($H798&lt;=20,"Alerta","Crítico")))))</f>
        <v/>
      </c>
      <c r="J798" s="27"/>
      <c r="K798" s="27"/>
    </row>
    <row r="799" customFormat="false" ht="15" hidden="false" customHeight="false" outlineLevel="0" collapsed="false">
      <c r="A799" s="29"/>
      <c r="B799" s="40" t="n">
        <f aca="false">IF($A799="",0,INT(($A799-Macrociclo!$C$11)/7)+1)</f>
        <v>0</v>
      </c>
      <c r="C799" s="27"/>
      <c r="D799" s="28"/>
      <c r="E799" s="28"/>
      <c r="F799" s="28"/>
      <c r="G799" s="28"/>
      <c r="H799" s="40" t="n">
        <f aca="false">IF(COUNT($D799:$G799)&lt;4,0,SUM($D799:$G799))</f>
        <v>0</v>
      </c>
      <c r="I799" s="26" t="str">
        <f aca="false">IF($H799=0,"",IF($H799&lt;=8,"Ótimo",IF($H799&lt;=12,"Bom",IF($H799&lt;=16,"Regular",IF($H799&lt;=20,"Alerta","Crítico")))))</f>
        <v/>
      </c>
      <c r="J799" s="27"/>
      <c r="K799" s="27"/>
    </row>
    <row r="800" customFormat="false" ht="15" hidden="false" customHeight="false" outlineLevel="0" collapsed="false">
      <c r="A800" s="29"/>
      <c r="B800" s="40" t="n">
        <f aca="false">IF($A800="",0,INT(($A800-Macrociclo!$C$11)/7)+1)</f>
        <v>0</v>
      </c>
      <c r="C800" s="27"/>
      <c r="D800" s="28"/>
      <c r="E800" s="28"/>
      <c r="F800" s="28"/>
      <c r="G800" s="28"/>
      <c r="H800" s="40" t="n">
        <f aca="false">IF(COUNT($D800:$G800)&lt;4,0,SUM($D800:$G800))</f>
        <v>0</v>
      </c>
      <c r="I800" s="26" t="str">
        <f aca="false">IF($H800=0,"",IF($H800&lt;=8,"Ótimo",IF($H800&lt;=12,"Bom",IF($H800&lt;=16,"Regular",IF($H800&lt;=20,"Alerta","Crítico")))))</f>
        <v/>
      </c>
      <c r="J800" s="27"/>
      <c r="K800" s="27"/>
    </row>
    <row r="801" customFormat="false" ht="15" hidden="false" customHeight="false" outlineLevel="0" collapsed="false">
      <c r="A801" s="29"/>
      <c r="B801" s="40" t="n">
        <f aca="false">IF($A801="",0,INT(($A801-Macrociclo!$C$11)/7)+1)</f>
        <v>0</v>
      </c>
      <c r="C801" s="27"/>
      <c r="D801" s="28"/>
      <c r="E801" s="28"/>
      <c r="F801" s="28"/>
      <c r="G801" s="28"/>
      <c r="H801" s="40" t="n">
        <f aca="false">IF(COUNT($D801:$G801)&lt;4,0,SUM($D801:$G801))</f>
        <v>0</v>
      </c>
      <c r="I801" s="26" t="str">
        <f aca="false">IF($H801=0,"",IF($H801&lt;=8,"Ótimo",IF($H801&lt;=12,"Bom",IF($H801&lt;=16,"Regular",IF($H801&lt;=20,"Alerta","Crítico")))))</f>
        <v/>
      </c>
      <c r="J801" s="27"/>
      <c r="K801" s="27"/>
    </row>
    <row r="802" customFormat="false" ht="15" hidden="false" customHeight="false" outlineLevel="0" collapsed="false">
      <c r="A802" s="29"/>
      <c r="B802" s="40" t="n">
        <f aca="false">IF($A802="",0,INT(($A802-Macrociclo!$C$11)/7)+1)</f>
        <v>0</v>
      </c>
      <c r="C802" s="27"/>
      <c r="D802" s="28"/>
      <c r="E802" s="28"/>
      <c r="F802" s="28"/>
      <c r="G802" s="28"/>
      <c r="H802" s="40" t="n">
        <f aca="false">IF(COUNT($D802:$G802)&lt;4,0,SUM($D802:$G802))</f>
        <v>0</v>
      </c>
      <c r="I802" s="26" t="str">
        <f aca="false">IF($H802=0,"",IF($H802&lt;=8,"Ótimo",IF($H802&lt;=12,"Bom",IF($H802&lt;=16,"Regular",IF($H802&lt;=20,"Alerta","Crítico")))))</f>
        <v/>
      </c>
      <c r="J802" s="27"/>
      <c r="K802" s="27"/>
    </row>
    <row r="803" customFormat="false" ht="15" hidden="false" customHeight="false" outlineLevel="0" collapsed="false">
      <c r="A803" s="29"/>
      <c r="B803" s="40" t="n">
        <f aca="false">IF($A803="",0,INT(($A803-Macrociclo!$C$11)/7)+1)</f>
        <v>0</v>
      </c>
      <c r="C803" s="27"/>
      <c r="D803" s="28"/>
      <c r="E803" s="28"/>
      <c r="F803" s="28"/>
      <c r="G803" s="28"/>
      <c r="H803" s="40" t="n">
        <f aca="false">IF(COUNT($D803:$G803)&lt;4,0,SUM($D803:$G803))</f>
        <v>0</v>
      </c>
      <c r="I803" s="26" t="str">
        <f aca="false">IF($H803=0,"",IF($H803&lt;=8,"Ótimo",IF($H803&lt;=12,"Bom",IF($H803&lt;=16,"Regular",IF($H803&lt;=20,"Alerta","Crítico")))))</f>
        <v/>
      </c>
      <c r="J803" s="27"/>
      <c r="K803" s="27"/>
    </row>
    <row r="804" customFormat="false" ht="15" hidden="false" customHeight="false" outlineLevel="0" collapsed="false">
      <c r="A804" s="29"/>
      <c r="B804" s="40" t="n">
        <f aca="false">IF($A804="",0,INT(($A804-Macrociclo!$C$11)/7)+1)</f>
        <v>0</v>
      </c>
      <c r="C804" s="27"/>
      <c r="D804" s="28"/>
      <c r="E804" s="28"/>
      <c r="F804" s="28"/>
      <c r="G804" s="28"/>
      <c r="H804" s="40" t="n">
        <f aca="false">IF(COUNT($D804:$G804)&lt;4,0,SUM($D804:$G804))</f>
        <v>0</v>
      </c>
      <c r="I804" s="26" t="str">
        <f aca="false">IF($H804=0,"",IF($H804&lt;=8,"Ótimo",IF($H804&lt;=12,"Bom",IF($H804&lt;=16,"Regular",IF($H804&lt;=20,"Alerta","Crítico")))))</f>
        <v/>
      </c>
      <c r="J804" s="27"/>
      <c r="K804" s="27"/>
    </row>
    <row r="805" customFormat="false" ht="15" hidden="false" customHeight="false" outlineLevel="0" collapsed="false">
      <c r="A805" s="29"/>
      <c r="B805" s="40" t="n">
        <f aca="false">IF($A805="",0,INT(($A805-Macrociclo!$C$11)/7)+1)</f>
        <v>0</v>
      </c>
      <c r="C805" s="27"/>
      <c r="D805" s="28"/>
      <c r="E805" s="28"/>
      <c r="F805" s="28"/>
      <c r="G805" s="28"/>
      <c r="H805" s="40" t="n">
        <f aca="false">IF(COUNT($D805:$G805)&lt;4,0,SUM($D805:$G805))</f>
        <v>0</v>
      </c>
      <c r="I805" s="26" t="str">
        <f aca="false">IF($H805=0,"",IF($H805&lt;=8,"Ótimo",IF($H805&lt;=12,"Bom",IF($H805&lt;=16,"Regular",IF($H805&lt;=20,"Alerta","Crítico")))))</f>
        <v/>
      </c>
      <c r="J805" s="27"/>
      <c r="K805" s="27"/>
    </row>
    <row r="806" customFormat="false" ht="15" hidden="false" customHeight="false" outlineLevel="0" collapsed="false">
      <c r="A806" s="29"/>
      <c r="B806" s="40" t="n">
        <f aca="false">IF($A806="",0,INT(($A806-Macrociclo!$C$11)/7)+1)</f>
        <v>0</v>
      </c>
      <c r="C806" s="27"/>
      <c r="D806" s="28"/>
      <c r="E806" s="28"/>
      <c r="F806" s="28"/>
      <c r="G806" s="28"/>
      <c r="H806" s="40" t="n">
        <f aca="false">IF(COUNT($D806:$G806)&lt;4,0,SUM($D806:$G806))</f>
        <v>0</v>
      </c>
      <c r="I806" s="26" t="str">
        <f aca="false">IF($H806=0,"",IF($H806&lt;=8,"Ótimo",IF($H806&lt;=12,"Bom",IF($H806&lt;=16,"Regular",IF($H806&lt;=20,"Alerta","Crítico")))))</f>
        <v/>
      </c>
      <c r="J806" s="27"/>
      <c r="K806" s="27"/>
    </row>
    <row r="807" customFormat="false" ht="15" hidden="false" customHeight="false" outlineLevel="0" collapsed="false">
      <c r="A807" s="29"/>
      <c r="B807" s="40" t="n">
        <f aca="false">IF($A807="",0,INT(($A807-Macrociclo!$C$11)/7)+1)</f>
        <v>0</v>
      </c>
      <c r="C807" s="27"/>
      <c r="D807" s="28"/>
      <c r="E807" s="28"/>
      <c r="F807" s="28"/>
      <c r="G807" s="28"/>
      <c r="H807" s="40" t="n">
        <f aca="false">IF(COUNT($D807:$G807)&lt;4,0,SUM($D807:$G807))</f>
        <v>0</v>
      </c>
      <c r="I807" s="26" t="str">
        <f aca="false">IF($H807=0,"",IF($H807&lt;=8,"Ótimo",IF($H807&lt;=12,"Bom",IF($H807&lt;=16,"Regular",IF($H807&lt;=20,"Alerta","Crítico")))))</f>
        <v/>
      </c>
      <c r="J807" s="27"/>
      <c r="K807" s="27"/>
    </row>
    <row r="808" customFormat="false" ht="15" hidden="false" customHeight="false" outlineLevel="0" collapsed="false">
      <c r="A808" s="29"/>
      <c r="B808" s="40" t="n">
        <f aca="false">IF($A808="",0,INT(($A808-Macrociclo!$C$11)/7)+1)</f>
        <v>0</v>
      </c>
      <c r="C808" s="27"/>
      <c r="D808" s="28"/>
      <c r="E808" s="28"/>
      <c r="F808" s="28"/>
      <c r="G808" s="28"/>
      <c r="H808" s="40" t="n">
        <f aca="false">IF(COUNT($D808:$G808)&lt;4,0,SUM($D808:$G808))</f>
        <v>0</v>
      </c>
      <c r="I808" s="26" t="str">
        <f aca="false">IF($H808=0,"",IF($H808&lt;=8,"Ótimo",IF($H808&lt;=12,"Bom",IF($H808&lt;=16,"Regular",IF($H808&lt;=20,"Alerta","Crítico")))))</f>
        <v/>
      </c>
      <c r="J808" s="27"/>
      <c r="K808" s="27"/>
    </row>
    <row r="809" customFormat="false" ht="15" hidden="false" customHeight="false" outlineLevel="0" collapsed="false">
      <c r="A809" s="29"/>
      <c r="B809" s="40" t="n">
        <f aca="false">IF($A809="",0,INT(($A809-Macrociclo!$C$11)/7)+1)</f>
        <v>0</v>
      </c>
      <c r="C809" s="27"/>
      <c r="D809" s="28"/>
      <c r="E809" s="28"/>
      <c r="F809" s="28"/>
      <c r="G809" s="28"/>
      <c r="H809" s="40" t="n">
        <f aca="false">IF(COUNT($D809:$G809)&lt;4,0,SUM($D809:$G809))</f>
        <v>0</v>
      </c>
      <c r="I809" s="26" t="str">
        <f aca="false">IF($H809=0,"",IF($H809&lt;=8,"Ótimo",IF($H809&lt;=12,"Bom",IF($H809&lt;=16,"Regular",IF($H809&lt;=20,"Alerta","Crítico")))))</f>
        <v/>
      </c>
      <c r="J809" s="27"/>
      <c r="K809" s="27"/>
    </row>
    <row r="810" customFormat="false" ht="15" hidden="false" customHeight="false" outlineLevel="0" collapsed="false">
      <c r="A810" s="29"/>
      <c r="B810" s="40" t="n">
        <f aca="false">IF($A810="",0,INT(($A810-Macrociclo!$C$11)/7)+1)</f>
        <v>0</v>
      </c>
      <c r="C810" s="27"/>
      <c r="D810" s="28"/>
      <c r="E810" s="28"/>
      <c r="F810" s="28"/>
      <c r="G810" s="28"/>
      <c r="H810" s="40" t="n">
        <f aca="false">IF(COUNT($D810:$G810)&lt;4,0,SUM($D810:$G810))</f>
        <v>0</v>
      </c>
      <c r="I810" s="26" t="str">
        <f aca="false">IF($H810=0,"",IF($H810&lt;=8,"Ótimo",IF($H810&lt;=12,"Bom",IF($H810&lt;=16,"Regular",IF($H810&lt;=20,"Alerta","Crítico")))))</f>
        <v/>
      </c>
      <c r="J810" s="27"/>
      <c r="K810" s="27"/>
    </row>
    <row r="811" customFormat="false" ht="15" hidden="false" customHeight="false" outlineLevel="0" collapsed="false">
      <c r="A811" s="29"/>
      <c r="B811" s="40" t="n">
        <f aca="false">IF($A811="",0,INT(($A811-Macrociclo!$C$11)/7)+1)</f>
        <v>0</v>
      </c>
      <c r="C811" s="27"/>
      <c r="D811" s="28"/>
      <c r="E811" s="28"/>
      <c r="F811" s="28"/>
      <c r="G811" s="28"/>
      <c r="H811" s="40" t="n">
        <f aca="false">IF(COUNT($D811:$G811)&lt;4,0,SUM($D811:$G811))</f>
        <v>0</v>
      </c>
      <c r="I811" s="26" t="str">
        <f aca="false">IF($H811=0,"",IF($H811&lt;=8,"Ótimo",IF($H811&lt;=12,"Bom",IF($H811&lt;=16,"Regular",IF($H811&lt;=20,"Alerta","Crítico")))))</f>
        <v/>
      </c>
      <c r="J811" s="27"/>
      <c r="K811" s="27"/>
    </row>
    <row r="812" customFormat="false" ht="15" hidden="false" customHeight="false" outlineLevel="0" collapsed="false">
      <c r="A812" s="29"/>
      <c r="B812" s="40" t="n">
        <f aca="false">IF($A812="",0,INT(($A812-Macrociclo!$C$11)/7)+1)</f>
        <v>0</v>
      </c>
      <c r="C812" s="27"/>
      <c r="D812" s="28"/>
      <c r="E812" s="28"/>
      <c r="F812" s="28"/>
      <c r="G812" s="28"/>
      <c r="H812" s="40" t="n">
        <f aca="false">IF(COUNT($D812:$G812)&lt;4,0,SUM($D812:$G812))</f>
        <v>0</v>
      </c>
      <c r="I812" s="26" t="str">
        <f aca="false">IF($H812=0,"",IF($H812&lt;=8,"Ótimo",IF($H812&lt;=12,"Bom",IF($H812&lt;=16,"Regular",IF($H812&lt;=20,"Alerta","Crítico")))))</f>
        <v/>
      </c>
      <c r="J812" s="27"/>
      <c r="K812" s="27"/>
    </row>
    <row r="813" customFormat="false" ht="15" hidden="false" customHeight="false" outlineLevel="0" collapsed="false">
      <c r="A813" s="29"/>
      <c r="B813" s="40" t="n">
        <f aca="false">IF($A813="",0,INT(($A813-Macrociclo!$C$11)/7)+1)</f>
        <v>0</v>
      </c>
      <c r="C813" s="27"/>
      <c r="D813" s="28"/>
      <c r="E813" s="28"/>
      <c r="F813" s="28"/>
      <c r="G813" s="28"/>
      <c r="H813" s="40" t="n">
        <f aca="false">IF(COUNT($D813:$G813)&lt;4,0,SUM($D813:$G813))</f>
        <v>0</v>
      </c>
      <c r="I813" s="26" t="str">
        <f aca="false">IF($H813=0,"",IF($H813&lt;=8,"Ótimo",IF($H813&lt;=12,"Bom",IF($H813&lt;=16,"Regular",IF($H813&lt;=20,"Alerta","Crítico")))))</f>
        <v/>
      </c>
      <c r="J813" s="27"/>
      <c r="K813" s="27"/>
    </row>
    <row r="814" customFormat="false" ht="15" hidden="false" customHeight="false" outlineLevel="0" collapsed="false">
      <c r="A814" s="29"/>
      <c r="B814" s="40" t="n">
        <f aca="false">IF($A814="",0,INT(($A814-Macrociclo!$C$11)/7)+1)</f>
        <v>0</v>
      </c>
      <c r="C814" s="27"/>
      <c r="D814" s="28"/>
      <c r="E814" s="28"/>
      <c r="F814" s="28"/>
      <c r="G814" s="28"/>
      <c r="H814" s="40" t="n">
        <f aca="false">IF(COUNT($D814:$G814)&lt;4,0,SUM($D814:$G814))</f>
        <v>0</v>
      </c>
      <c r="I814" s="26" t="str">
        <f aca="false">IF($H814=0,"",IF($H814&lt;=8,"Ótimo",IF($H814&lt;=12,"Bom",IF($H814&lt;=16,"Regular",IF($H814&lt;=20,"Alerta","Crítico")))))</f>
        <v/>
      </c>
      <c r="J814" s="27"/>
      <c r="K814" s="27"/>
    </row>
    <row r="815" customFormat="false" ht="15" hidden="false" customHeight="false" outlineLevel="0" collapsed="false">
      <c r="A815" s="29"/>
      <c r="B815" s="40" t="n">
        <f aca="false">IF($A815="",0,INT(($A815-Macrociclo!$C$11)/7)+1)</f>
        <v>0</v>
      </c>
      <c r="C815" s="27"/>
      <c r="D815" s="28"/>
      <c r="E815" s="28"/>
      <c r="F815" s="28"/>
      <c r="G815" s="28"/>
      <c r="H815" s="40" t="n">
        <f aca="false">IF(COUNT($D815:$G815)&lt;4,0,SUM($D815:$G815))</f>
        <v>0</v>
      </c>
      <c r="I815" s="26" t="str">
        <f aca="false">IF($H815=0,"",IF($H815&lt;=8,"Ótimo",IF($H815&lt;=12,"Bom",IF($H815&lt;=16,"Regular",IF($H815&lt;=20,"Alerta","Crítico")))))</f>
        <v/>
      </c>
      <c r="J815" s="27"/>
      <c r="K815" s="27"/>
    </row>
    <row r="816" customFormat="false" ht="15" hidden="false" customHeight="false" outlineLevel="0" collapsed="false">
      <c r="A816" s="29"/>
      <c r="B816" s="40" t="n">
        <f aca="false">IF($A816="",0,INT(($A816-Macrociclo!$C$11)/7)+1)</f>
        <v>0</v>
      </c>
      <c r="C816" s="27"/>
      <c r="D816" s="28"/>
      <c r="E816" s="28"/>
      <c r="F816" s="28"/>
      <c r="G816" s="28"/>
      <c r="H816" s="40" t="n">
        <f aca="false">IF(COUNT($D816:$G816)&lt;4,0,SUM($D816:$G816))</f>
        <v>0</v>
      </c>
      <c r="I816" s="26" t="str">
        <f aca="false">IF($H816=0,"",IF($H816&lt;=8,"Ótimo",IF($H816&lt;=12,"Bom",IF($H816&lt;=16,"Regular",IF($H816&lt;=20,"Alerta","Crítico")))))</f>
        <v/>
      </c>
      <c r="J816" s="27"/>
      <c r="K816" s="27"/>
    </row>
    <row r="817" customFormat="false" ht="15" hidden="false" customHeight="false" outlineLevel="0" collapsed="false">
      <c r="A817" s="29"/>
      <c r="B817" s="40" t="n">
        <f aca="false">IF($A817="",0,INT(($A817-Macrociclo!$C$11)/7)+1)</f>
        <v>0</v>
      </c>
      <c r="C817" s="27"/>
      <c r="D817" s="28"/>
      <c r="E817" s="28"/>
      <c r="F817" s="28"/>
      <c r="G817" s="28"/>
      <c r="H817" s="40" t="n">
        <f aca="false">IF(COUNT($D817:$G817)&lt;4,0,SUM($D817:$G817))</f>
        <v>0</v>
      </c>
      <c r="I817" s="26" t="str">
        <f aca="false">IF($H817=0,"",IF($H817&lt;=8,"Ótimo",IF($H817&lt;=12,"Bom",IF($H817&lt;=16,"Regular",IF($H817&lt;=20,"Alerta","Crítico")))))</f>
        <v/>
      </c>
      <c r="J817" s="27"/>
      <c r="K817" s="27"/>
    </row>
    <row r="818" customFormat="false" ht="15" hidden="false" customHeight="false" outlineLevel="0" collapsed="false">
      <c r="A818" s="29"/>
      <c r="B818" s="40" t="n">
        <f aca="false">IF($A818="",0,INT(($A818-Macrociclo!$C$11)/7)+1)</f>
        <v>0</v>
      </c>
      <c r="C818" s="27"/>
      <c r="D818" s="28"/>
      <c r="E818" s="28"/>
      <c r="F818" s="28"/>
      <c r="G818" s="28"/>
      <c r="H818" s="40" t="n">
        <f aca="false">IF(COUNT($D818:$G818)&lt;4,0,SUM($D818:$G818))</f>
        <v>0</v>
      </c>
      <c r="I818" s="26" t="str">
        <f aca="false">IF($H818=0,"",IF($H818&lt;=8,"Ótimo",IF($H818&lt;=12,"Bom",IF($H818&lt;=16,"Regular",IF($H818&lt;=20,"Alerta","Crítico")))))</f>
        <v/>
      </c>
      <c r="J818" s="27"/>
      <c r="K818" s="27"/>
    </row>
    <row r="819" customFormat="false" ht="15" hidden="false" customHeight="false" outlineLevel="0" collapsed="false">
      <c r="A819" s="29"/>
      <c r="B819" s="40" t="n">
        <f aca="false">IF($A819="",0,INT(($A819-Macrociclo!$C$11)/7)+1)</f>
        <v>0</v>
      </c>
      <c r="C819" s="27"/>
      <c r="D819" s="28"/>
      <c r="E819" s="28"/>
      <c r="F819" s="28"/>
      <c r="G819" s="28"/>
      <c r="H819" s="40" t="n">
        <f aca="false">IF(COUNT($D819:$G819)&lt;4,0,SUM($D819:$G819))</f>
        <v>0</v>
      </c>
      <c r="I819" s="26" t="str">
        <f aca="false">IF($H819=0,"",IF($H819&lt;=8,"Ótimo",IF($H819&lt;=12,"Bom",IF($H819&lt;=16,"Regular",IF($H819&lt;=20,"Alerta","Crítico")))))</f>
        <v/>
      </c>
      <c r="J819" s="27"/>
      <c r="K819" s="27"/>
    </row>
    <row r="820" customFormat="false" ht="15" hidden="false" customHeight="false" outlineLevel="0" collapsed="false">
      <c r="A820" s="29"/>
      <c r="B820" s="40" t="n">
        <f aca="false">IF($A820="",0,INT(($A820-Macrociclo!$C$11)/7)+1)</f>
        <v>0</v>
      </c>
      <c r="C820" s="27"/>
      <c r="D820" s="28"/>
      <c r="E820" s="28"/>
      <c r="F820" s="28"/>
      <c r="G820" s="28"/>
      <c r="H820" s="40" t="n">
        <f aca="false">IF(COUNT($D820:$G820)&lt;4,0,SUM($D820:$G820))</f>
        <v>0</v>
      </c>
      <c r="I820" s="26" t="str">
        <f aca="false">IF($H820=0,"",IF($H820&lt;=8,"Ótimo",IF($H820&lt;=12,"Bom",IF($H820&lt;=16,"Regular",IF($H820&lt;=20,"Alerta","Crítico")))))</f>
        <v/>
      </c>
      <c r="J820" s="27"/>
      <c r="K820" s="27"/>
    </row>
    <row r="821" customFormat="false" ht="15" hidden="false" customHeight="false" outlineLevel="0" collapsed="false">
      <c r="A821" s="29"/>
      <c r="B821" s="40" t="n">
        <f aca="false">IF($A821="",0,INT(($A821-Macrociclo!$C$11)/7)+1)</f>
        <v>0</v>
      </c>
      <c r="C821" s="27"/>
      <c r="D821" s="28"/>
      <c r="E821" s="28"/>
      <c r="F821" s="28"/>
      <c r="G821" s="28"/>
      <c r="H821" s="40" t="n">
        <f aca="false">IF(COUNT($D821:$G821)&lt;4,0,SUM($D821:$G821))</f>
        <v>0</v>
      </c>
      <c r="I821" s="26" t="str">
        <f aca="false">IF($H821=0,"",IF($H821&lt;=8,"Ótimo",IF($H821&lt;=12,"Bom",IF($H821&lt;=16,"Regular",IF($H821&lt;=20,"Alerta","Crítico")))))</f>
        <v/>
      </c>
      <c r="J821" s="27"/>
      <c r="K821" s="27"/>
    </row>
    <row r="822" customFormat="false" ht="15" hidden="false" customHeight="false" outlineLevel="0" collapsed="false">
      <c r="A822" s="29"/>
      <c r="B822" s="40" t="n">
        <f aca="false">IF($A822="",0,INT(($A822-Macrociclo!$C$11)/7)+1)</f>
        <v>0</v>
      </c>
      <c r="C822" s="27"/>
      <c r="D822" s="28"/>
      <c r="E822" s="28"/>
      <c r="F822" s="28"/>
      <c r="G822" s="28"/>
      <c r="H822" s="40" t="n">
        <f aca="false">IF(COUNT($D822:$G822)&lt;4,0,SUM($D822:$G822))</f>
        <v>0</v>
      </c>
      <c r="I822" s="26" t="str">
        <f aca="false">IF($H822=0,"",IF($H822&lt;=8,"Ótimo",IF($H822&lt;=12,"Bom",IF($H822&lt;=16,"Regular",IF($H822&lt;=20,"Alerta","Crítico")))))</f>
        <v/>
      </c>
      <c r="J822" s="27"/>
      <c r="K822" s="27"/>
    </row>
    <row r="823" customFormat="false" ht="15" hidden="false" customHeight="false" outlineLevel="0" collapsed="false">
      <c r="A823" s="29"/>
      <c r="B823" s="40" t="n">
        <f aca="false">IF($A823="",0,INT(($A823-Macrociclo!$C$11)/7)+1)</f>
        <v>0</v>
      </c>
      <c r="C823" s="27"/>
      <c r="D823" s="28"/>
      <c r="E823" s="28"/>
      <c r="F823" s="28"/>
      <c r="G823" s="28"/>
      <c r="H823" s="40" t="n">
        <f aca="false">IF(COUNT($D823:$G823)&lt;4,0,SUM($D823:$G823))</f>
        <v>0</v>
      </c>
      <c r="I823" s="26" t="str">
        <f aca="false">IF($H823=0,"",IF($H823&lt;=8,"Ótimo",IF($H823&lt;=12,"Bom",IF($H823&lt;=16,"Regular",IF($H823&lt;=20,"Alerta","Crítico")))))</f>
        <v/>
      </c>
      <c r="J823" s="27"/>
      <c r="K823" s="27"/>
    </row>
    <row r="824" customFormat="false" ht="15" hidden="false" customHeight="false" outlineLevel="0" collapsed="false">
      <c r="A824" s="29"/>
      <c r="B824" s="40" t="n">
        <f aca="false">IF($A824="",0,INT(($A824-Macrociclo!$C$11)/7)+1)</f>
        <v>0</v>
      </c>
      <c r="C824" s="27"/>
      <c r="D824" s="28"/>
      <c r="E824" s="28"/>
      <c r="F824" s="28"/>
      <c r="G824" s="28"/>
      <c r="H824" s="40" t="n">
        <f aca="false">IF(COUNT($D824:$G824)&lt;4,0,SUM($D824:$G824))</f>
        <v>0</v>
      </c>
      <c r="I824" s="26" t="str">
        <f aca="false">IF($H824=0,"",IF($H824&lt;=8,"Ótimo",IF($H824&lt;=12,"Bom",IF($H824&lt;=16,"Regular",IF($H824&lt;=20,"Alerta","Crítico")))))</f>
        <v/>
      </c>
      <c r="J824" s="27"/>
      <c r="K824" s="27"/>
    </row>
    <row r="825" customFormat="false" ht="15" hidden="false" customHeight="false" outlineLevel="0" collapsed="false">
      <c r="A825" s="29"/>
      <c r="B825" s="40" t="n">
        <f aca="false">IF($A825="",0,INT(($A825-Macrociclo!$C$11)/7)+1)</f>
        <v>0</v>
      </c>
      <c r="C825" s="27"/>
      <c r="D825" s="28"/>
      <c r="E825" s="28"/>
      <c r="F825" s="28"/>
      <c r="G825" s="28"/>
      <c r="H825" s="40" t="n">
        <f aca="false">IF(COUNT($D825:$G825)&lt;4,0,SUM($D825:$G825))</f>
        <v>0</v>
      </c>
      <c r="I825" s="26" t="str">
        <f aca="false">IF($H825=0,"",IF($H825&lt;=8,"Ótimo",IF($H825&lt;=12,"Bom",IF($H825&lt;=16,"Regular",IF($H825&lt;=20,"Alerta","Crítico")))))</f>
        <v/>
      </c>
      <c r="J825" s="27"/>
      <c r="K825" s="27"/>
    </row>
    <row r="826" customFormat="false" ht="15" hidden="false" customHeight="false" outlineLevel="0" collapsed="false">
      <c r="A826" s="29"/>
      <c r="B826" s="40" t="n">
        <f aca="false">IF($A826="",0,INT(($A826-Macrociclo!$C$11)/7)+1)</f>
        <v>0</v>
      </c>
      <c r="C826" s="27"/>
      <c r="D826" s="28"/>
      <c r="E826" s="28"/>
      <c r="F826" s="28"/>
      <c r="G826" s="28"/>
      <c r="H826" s="40" t="n">
        <f aca="false">IF(COUNT($D826:$G826)&lt;4,0,SUM($D826:$G826))</f>
        <v>0</v>
      </c>
      <c r="I826" s="26" t="str">
        <f aca="false">IF($H826=0,"",IF($H826&lt;=8,"Ótimo",IF($H826&lt;=12,"Bom",IF($H826&lt;=16,"Regular",IF($H826&lt;=20,"Alerta","Crítico")))))</f>
        <v/>
      </c>
      <c r="J826" s="27"/>
      <c r="K826" s="27"/>
    </row>
    <row r="827" customFormat="false" ht="15" hidden="false" customHeight="false" outlineLevel="0" collapsed="false">
      <c r="A827" s="29"/>
      <c r="B827" s="40" t="n">
        <f aca="false">IF($A827="",0,INT(($A827-Macrociclo!$C$11)/7)+1)</f>
        <v>0</v>
      </c>
      <c r="C827" s="27"/>
      <c r="D827" s="28"/>
      <c r="E827" s="28"/>
      <c r="F827" s="28"/>
      <c r="G827" s="28"/>
      <c r="H827" s="40" t="n">
        <f aca="false">IF(COUNT($D827:$G827)&lt;4,0,SUM($D827:$G827))</f>
        <v>0</v>
      </c>
      <c r="I827" s="26" t="str">
        <f aca="false">IF($H827=0,"",IF($H827&lt;=8,"Ótimo",IF($H827&lt;=12,"Bom",IF($H827&lt;=16,"Regular",IF($H827&lt;=20,"Alerta","Crítico")))))</f>
        <v/>
      </c>
      <c r="J827" s="27"/>
      <c r="K827" s="27"/>
    </row>
    <row r="828" customFormat="false" ht="15" hidden="false" customHeight="false" outlineLevel="0" collapsed="false">
      <c r="A828" s="29"/>
      <c r="B828" s="40" t="n">
        <f aca="false">IF($A828="",0,INT(($A828-Macrociclo!$C$11)/7)+1)</f>
        <v>0</v>
      </c>
      <c r="C828" s="27"/>
      <c r="D828" s="28"/>
      <c r="E828" s="28"/>
      <c r="F828" s="28"/>
      <c r="G828" s="28"/>
      <c r="H828" s="40" t="n">
        <f aca="false">IF(COUNT($D828:$G828)&lt;4,0,SUM($D828:$G828))</f>
        <v>0</v>
      </c>
      <c r="I828" s="26" t="str">
        <f aca="false">IF($H828=0,"",IF($H828&lt;=8,"Ótimo",IF($H828&lt;=12,"Bom",IF($H828&lt;=16,"Regular",IF($H828&lt;=20,"Alerta","Crítico")))))</f>
        <v/>
      </c>
      <c r="J828" s="27"/>
      <c r="K828" s="27"/>
    </row>
    <row r="829" customFormat="false" ht="15" hidden="false" customHeight="false" outlineLevel="0" collapsed="false">
      <c r="A829" s="29"/>
      <c r="B829" s="40" t="n">
        <f aca="false">IF($A829="",0,INT(($A829-Macrociclo!$C$11)/7)+1)</f>
        <v>0</v>
      </c>
      <c r="C829" s="27"/>
      <c r="D829" s="28"/>
      <c r="E829" s="28"/>
      <c r="F829" s="28"/>
      <c r="G829" s="28"/>
      <c r="H829" s="40" t="n">
        <f aca="false">IF(COUNT($D829:$G829)&lt;4,0,SUM($D829:$G829))</f>
        <v>0</v>
      </c>
      <c r="I829" s="26" t="str">
        <f aca="false">IF($H829=0,"",IF($H829&lt;=8,"Ótimo",IF($H829&lt;=12,"Bom",IF($H829&lt;=16,"Regular",IF($H829&lt;=20,"Alerta","Crítico")))))</f>
        <v/>
      </c>
      <c r="J829" s="27"/>
      <c r="K829" s="27"/>
    </row>
    <row r="830" customFormat="false" ht="15" hidden="false" customHeight="false" outlineLevel="0" collapsed="false">
      <c r="A830" s="29"/>
      <c r="B830" s="40" t="n">
        <f aca="false">IF($A830="",0,INT(($A830-Macrociclo!$C$11)/7)+1)</f>
        <v>0</v>
      </c>
      <c r="C830" s="27"/>
      <c r="D830" s="28"/>
      <c r="E830" s="28"/>
      <c r="F830" s="28"/>
      <c r="G830" s="28"/>
      <c r="H830" s="40" t="n">
        <f aca="false">IF(COUNT($D830:$G830)&lt;4,0,SUM($D830:$G830))</f>
        <v>0</v>
      </c>
      <c r="I830" s="26" t="str">
        <f aca="false">IF($H830=0,"",IF($H830&lt;=8,"Ótimo",IF($H830&lt;=12,"Bom",IF($H830&lt;=16,"Regular",IF($H830&lt;=20,"Alerta","Crítico")))))</f>
        <v/>
      </c>
      <c r="J830" s="27"/>
      <c r="K830" s="27"/>
    </row>
    <row r="831" customFormat="false" ht="15" hidden="false" customHeight="false" outlineLevel="0" collapsed="false">
      <c r="A831" s="29"/>
      <c r="B831" s="40" t="n">
        <f aca="false">IF($A831="",0,INT(($A831-Macrociclo!$C$11)/7)+1)</f>
        <v>0</v>
      </c>
      <c r="C831" s="27"/>
      <c r="D831" s="28"/>
      <c r="E831" s="28"/>
      <c r="F831" s="28"/>
      <c r="G831" s="28"/>
      <c r="H831" s="40" t="n">
        <f aca="false">IF(COUNT($D831:$G831)&lt;4,0,SUM($D831:$G831))</f>
        <v>0</v>
      </c>
      <c r="I831" s="26" t="str">
        <f aca="false">IF($H831=0,"",IF($H831&lt;=8,"Ótimo",IF($H831&lt;=12,"Bom",IF($H831&lt;=16,"Regular",IF($H831&lt;=20,"Alerta","Crítico")))))</f>
        <v/>
      </c>
      <c r="J831" s="27"/>
      <c r="K831" s="27"/>
    </row>
    <row r="832" customFormat="false" ht="15" hidden="false" customHeight="false" outlineLevel="0" collapsed="false">
      <c r="A832" s="29"/>
      <c r="B832" s="40" t="n">
        <f aca="false">IF($A832="",0,INT(($A832-Macrociclo!$C$11)/7)+1)</f>
        <v>0</v>
      </c>
      <c r="C832" s="27"/>
      <c r="D832" s="28"/>
      <c r="E832" s="28"/>
      <c r="F832" s="28"/>
      <c r="G832" s="28"/>
      <c r="H832" s="40" t="n">
        <f aca="false">IF(COUNT($D832:$G832)&lt;4,0,SUM($D832:$G832))</f>
        <v>0</v>
      </c>
      <c r="I832" s="26" t="str">
        <f aca="false">IF($H832=0,"",IF($H832&lt;=8,"Ótimo",IF($H832&lt;=12,"Bom",IF($H832&lt;=16,"Regular",IF($H832&lt;=20,"Alerta","Crítico")))))</f>
        <v/>
      </c>
      <c r="J832" s="27"/>
      <c r="K832" s="27"/>
    </row>
    <row r="833" customFormat="false" ht="15" hidden="false" customHeight="false" outlineLevel="0" collapsed="false">
      <c r="A833" s="29"/>
      <c r="B833" s="40" t="n">
        <f aca="false">IF($A833="",0,INT(($A833-Macrociclo!$C$11)/7)+1)</f>
        <v>0</v>
      </c>
      <c r="C833" s="27"/>
      <c r="D833" s="28"/>
      <c r="E833" s="28"/>
      <c r="F833" s="28"/>
      <c r="G833" s="28"/>
      <c r="H833" s="40" t="n">
        <f aca="false">IF(COUNT($D833:$G833)&lt;4,0,SUM($D833:$G833))</f>
        <v>0</v>
      </c>
      <c r="I833" s="26" t="str">
        <f aca="false">IF($H833=0,"",IF($H833&lt;=8,"Ótimo",IF($H833&lt;=12,"Bom",IF($H833&lt;=16,"Regular",IF($H833&lt;=20,"Alerta","Crítico")))))</f>
        <v/>
      </c>
      <c r="J833" s="27"/>
      <c r="K833" s="27"/>
    </row>
    <row r="834" customFormat="false" ht="15" hidden="false" customHeight="false" outlineLevel="0" collapsed="false">
      <c r="A834" s="29"/>
      <c r="B834" s="40" t="n">
        <f aca="false">IF($A834="",0,INT(($A834-Macrociclo!$C$11)/7)+1)</f>
        <v>0</v>
      </c>
      <c r="C834" s="27"/>
      <c r="D834" s="28"/>
      <c r="E834" s="28"/>
      <c r="F834" s="28"/>
      <c r="G834" s="28"/>
      <c r="H834" s="40" t="n">
        <f aca="false">IF(COUNT($D834:$G834)&lt;4,0,SUM($D834:$G834))</f>
        <v>0</v>
      </c>
      <c r="I834" s="26" t="str">
        <f aca="false">IF($H834=0,"",IF($H834&lt;=8,"Ótimo",IF($H834&lt;=12,"Bom",IF($H834&lt;=16,"Regular",IF($H834&lt;=20,"Alerta","Crítico")))))</f>
        <v/>
      </c>
      <c r="J834" s="27"/>
      <c r="K834" s="27"/>
    </row>
    <row r="835" customFormat="false" ht="15" hidden="false" customHeight="false" outlineLevel="0" collapsed="false">
      <c r="A835" s="29"/>
      <c r="B835" s="40" t="n">
        <f aca="false">IF($A835="",0,INT(($A835-Macrociclo!$C$11)/7)+1)</f>
        <v>0</v>
      </c>
      <c r="C835" s="27"/>
      <c r="D835" s="28"/>
      <c r="E835" s="28"/>
      <c r="F835" s="28"/>
      <c r="G835" s="28"/>
      <c r="H835" s="40" t="n">
        <f aca="false">IF(COUNT($D835:$G835)&lt;4,0,SUM($D835:$G835))</f>
        <v>0</v>
      </c>
      <c r="I835" s="26" t="str">
        <f aca="false">IF($H835=0,"",IF($H835&lt;=8,"Ótimo",IF($H835&lt;=12,"Bom",IF($H835&lt;=16,"Regular",IF($H835&lt;=20,"Alerta","Crítico")))))</f>
        <v/>
      </c>
      <c r="J835" s="27"/>
      <c r="K835" s="27"/>
    </row>
    <row r="836" customFormat="false" ht="15" hidden="false" customHeight="false" outlineLevel="0" collapsed="false">
      <c r="A836" s="29"/>
      <c r="B836" s="40" t="n">
        <f aca="false">IF($A836="",0,INT(($A836-Macrociclo!$C$11)/7)+1)</f>
        <v>0</v>
      </c>
      <c r="C836" s="27"/>
      <c r="D836" s="28"/>
      <c r="E836" s="28"/>
      <c r="F836" s="28"/>
      <c r="G836" s="28"/>
      <c r="H836" s="40" t="n">
        <f aca="false">IF(COUNT($D836:$G836)&lt;4,0,SUM($D836:$G836))</f>
        <v>0</v>
      </c>
      <c r="I836" s="26" t="str">
        <f aca="false">IF($H836=0,"",IF($H836&lt;=8,"Ótimo",IF($H836&lt;=12,"Bom",IF($H836&lt;=16,"Regular",IF($H836&lt;=20,"Alerta","Crítico")))))</f>
        <v/>
      </c>
      <c r="J836" s="27"/>
      <c r="K836" s="27"/>
    </row>
    <row r="837" customFormat="false" ht="15" hidden="false" customHeight="false" outlineLevel="0" collapsed="false">
      <c r="A837" s="29"/>
      <c r="B837" s="40" t="n">
        <f aca="false">IF($A837="",0,INT(($A837-Macrociclo!$C$11)/7)+1)</f>
        <v>0</v>
      </c>
      <c r="C837" s="27"/>
      <c r="D837" s="28"/>
      <c r="E837" s="28"/>
      <c r="F837" s="28"/>
      <c r="G837" s="28"/>
      <c r="H837" s="40" t="n">
        <f aca="false">IF(COUNT($D837:$G837)&lt;4,0,SUM($D837:$G837))</f>
        <v>0</v>
      </c>
      <c r="I837" s="26" t="str">
        <f aca="false">IF($H837=0,"",IF($H837&lt;=8,"Ótimo",IF($H837&lt;=12,"Bom",IF($H837&lt;=16,"Regular",IF($H837&lt;=20,"Alerta","Crítico")))))</f>
        <v/>
      </c>
      <c r="J837" s="27"/>
      <c r="K837" s="27"/>
    </row>
    <row r="838" customFormat="false" ht="15" hidden="false" customHeight="false" outlineLevel="0" collapsed="false">
      <c r="A838" s="29"/>
      <c r="B838" s="40" t="n">
        <f aca="false">IF($A838="",0,INT(($A838-Macrociclo!$C$11)/7)+1)</f>
        <v>0</v>
      </c>
      <c r="C838" s="27"/>
      <c r="D838" s="28"/>
      <c r="E838" s="28"/>
      <c r="F838" s="28"/>
      <c r="G838" s="28"/>
      <c r="H838" s="40" t="n">
        <f aca="false">IF(COUNT($D838:$G838)&lt;4,0,SUM($D838:$G838))</f>
        <v>0</v>
      </c>
      <c r="I838" s="26" t="str">
        <f aca="false">IF($H838=0,"",IF($H838&lt;=8,"Ótimo",IF($H838&lt;=12,"Bom",IF($H838&lt;=16,"Regular",IF($H838&lt;=20,"Alerta","Crítico")))))</f>
        <v/>
      </c>
      <c r="J838" s="27"/>
      <c r="K838" s="27"/>
    </row>
    <row r="839" customFormat="false" ht="15" hidden="false" customHeight="false" outlineLevel="0" collapsed="false">
      <c r="A839" s="29"/>
      <c r="B839" s="40" t="n">
        <f aca="false">IF($A839="",0,INT(($A839-Macrociclo!$C$11)/7)+1)</f>
        <v>0</v>
      </c>
      <c r="C839" s="27"/>
      <c r="D839" s="28"/>
      <c r="E839" s="28"/>
      <c r="F839" s="28"/>
      <c r="G839" s="28"/>
      <c r="H839" s="40" t="n">
        <f aca="false">IF(COUNT($D839:$G839)&lt;4,0,SUM($D839:$G839))</f>
        <v>0</v>
      </c>
      <c r="I839" s="26" t="str">
        <f aca="false">IF($H839=0,"",IF($H839&lt;=8,"Ótimo",IF($H839&lt;=12,"Bom",IF($H839&lt;=16,"Regular",IF($H839&lt;=20,"Alerta","Crítico")))))</f>
        <v/>
      </c>
      <c r="J839" s="27"/>
      <c r="K839" s="27"/>
    </row>
    <row r="840" customFormat="false" ht="15" hidden="false" customHeight="false" outlineLevel="0" collapsed="false">
      <c r="A840" s="29"/>
      <c r="B840" s="40" t="n">
        <f aca="false">IF($A840="",0,INT(($A840-Macrociclo!$C$11)/7)+1)</f>
        <v>0</v>
      </c>
      <c r="C840" s="27"/>
      <c r="D840" s="28"/>
      <c r="E840" s="28"/>
      <c r="F840" s="28"/>
      <c r="G840" s="28"/>
      <c r="H840" s="40" t="n">
        <f aca="false">IF(COUNT($D840:$G840)&lt;4,0,SUM($D840:$G840))</f>
        <v>0</v>
      </c>
      <c r="I840" s="26" t="str">
        <f aca="false">IF($H840=0,"",IF($H840&lt;=8,"Ótimo",IF($H840&lt;=12,"Bom",IF($H840&lt;=16,"Regular",IF($H840&lt;=20,"Alerta","Crítico")))))</f>
        <v/>
      </c>
      <c r="J840" s="27"/>
      <c r="K840" s="27"/>
    </row>
    <row r="841" customFormat="false" ht="15" hidden="false" customHeight="false" outlineLevel="0" collapsed="false">
      <c r="A841" s="29"/>
      <c r="B841" s="40" t="n">
        <f aca="false">IF($A841="",0,INT(($A841-Macrociclo!$C$11)/7)+1)</f>
        <v>0</v>
      </c>
      <c r="C841" s="27"/>
      <c r="D841" s="28"/>
      <c r="E841" s="28"/>
      <c r="F841" s="28"/>
      <c r="G841" s="28"/>
      <c r="H841" s="40" t="n">
        <f aca="false">IF(COUNT($D841:$G841)&lt;4,0,SUM($D841:$G841))</f>
        <v>0</v>
      </c>
      <c r="I841" s="26" t="str">
        <f aca="false">IF($H841=0,"",IF($H841&lt;=8,"Ótimo",IF($H841&lt;=12,"Bom",IF($H841&lt;=16,"Regular",IF($H841&lt;=20,"Alerta","Crítico")))))</f>
        <v/>
      </c>
      <c r="J841" s="27"/>
      <c r="K841" s="27"/>
    </row>
    <row r="842" customFormat="false" ht="15" hidden="false" customHeight="false" outlineLevel="0" collapsed="false">
      <c r="A842" s="29"/>
      <c r="B842" s="40" t="n">
        <f aca="false">IF($A842="",0,INT(($A842-Macrociclo!$C$11)/7)+1)</f>
        <v>0</v>
      </c>
      <c r="C842" s="27"/>
      <c r="D842" s="28"/>
      <c r="E842" s="28"/>
      <c r="F842" s="28"/>
      <c r="G842" s="28"/>
      <c r="H842" s="40" t="n">
        <f aca="false">IF(COUNT($D842:$G842)&lt;4,0,SUM($D842:$G842))</f>
        <v>0</v>
      </c>
      <c r="I842" s="26" t="str">
        <f aca="false">IF($H842=0,"",IF($H842&lt;=8,"Ótimo",IF($H842&lt;=12,"Bom",IF($H842&lt;=16,"Regular",IF($H842&lt;=20,"Alerta","Crítico")))))</f>
        <v/>
      </c>
      <c r="J842" s="27"/>
      <c r="K842" s="27"/>
    </row>
    <row r="843" customFormat="false" ht="15" hidden="false" customHeight="false" outlineLevel="0" collapsed="false">
      <c r="A843" s="29"/>
      <c r="B843" s="40" t="n">
        <f aca="false">IF($A843="",0,INT(($A843-Macrociclo!$C$11)/7)+1)</f>
        <v>0</v>
      </c>
      <c r="C843" s="27"/>
      <c r="D843" s="28"/>
      <c r="E843" s="28"/>
      <c r="F843" s="28"/>
      <c r="G843" s="28"/>
      <c r="H843" s="40" t="n">
        <f aca="false">IF(COUNT($D843:$G843)&lt;4,0,SUM($D843:$G843))</f>
        <v>0</v>
      </c>
      <c r="I843" s="26" t="str">
        <f aca="false">IF($H843=0,"",IF($H843&lt;=8,"Ótimo",IF($H843&lt;=12,"Bom",IF($H843&lt;=16,"Regular",IF($H843&lt;=20,"Alerta","Crítico")))))</f>
        <v/>
      </c>
      <c r="J843" s="27"/>
      <c r="K843" s="27"/>
    </row>
    <row r="844" customFormat="false" ht="15" hidden="false" customHeight="false" outlineLevel="0" collapsed="false">
      <c r="A844" s="29"/>
      <c r="B844" s="40" t="n">
        <f aca="false">IF($A844="",0,INT(($A844-Macrociclo!$C$11)/7)+1)</f>
        <v>0</v>
      </c>
      <c r="C844" s="27"/>
      <c r="D844" s="28"/>
      <c r="E844" s="28"/>
      <c r="F844" s="28"/>
      <c r="G844" s="28"/>
      <c r="H844" s="40" t="n">
        <f aca="false">IF(COUNT($D844:$G844)&lt;4,0,SUM($D844:$G844))</f>
        <v>0</v>
      </c>
      <c r="I844" s="26" t="str">
        <f aca="false">IF($H844=0,"",IF($H844&lt;=8,"Ótimo",IF($H844&lt;=12,"Bom",IF($H844&lt;=16,"Regular",IF($H844&lt;=20,"Alerta","Crítico")))))</f>
        <v/>
      </c>
      <c r="J844" s="27"/>
      <c r="K844" s="27"/>
    </row>
    <row r="845" customFormat="false" ht="15" hidden="false" customHeight="false" outlineLevel="0" collapsed="false">
      <c r="A845" s="29"/>
      <c r="B845" s="40" t="n">
        <f aca="false">IF($A845="",0,INT(($A845-Macrociclo!$C$11)/7)+1)</f>
        <v>0</v>
      </c>
      <c r="C845" s="27"/>
      <c r="D845" s="28"/>
      <c r="E845" s="28"/>
      <c r="F845" s="28"/>
      <c r="G845" s="28"/>
      <c r="H845" s="40" t="n">
        <f aca="false">IF(COUNT($D845:$G845)&lt;4,0,SUM($D845:$G845))</f>
        <v>0</v>
      </c>
      <c r="I845" s="26" t="str">
        <f aca="false">IF($H845=0,"",IF($H845&lt;=8,"Ótimo",IF($H845&lt;=12,"Bom",IF($H845&lt;=16,"Regular",IF($H845&lt;=20,"Alerta","Crítico")))))</f>
        <v/>
      </c>
      <c r="J845" s="27"/>
      <c r="K845" s="27"/>
    </row>
    <row r="846" customFormat="false" ht="15" hidden="false" customHeight="false" outlineLevel="0" collapsed="false">
      <c r="A846" s="29"/>
      <c r="B846" s="40" t="n">
        <f aca="false">IF($A846="",0,INT(($A846-Macrociclo!$C$11)/7)+1)</f>
        <v>0</v>
      </c>
      <c r="C846" s="27"/>
      <c r="D846" s="28"/>
      <c r="E846" s="28"/>
      <c r="F846" s="28"/>
      <c r="G846" s="28"/>
      <c r="H846" s="40" t="n">
        <f aca="false">IF(COUNT($D846:$G846)&lt;4,0,SUM($D846:$G846))</f>
        <v>0</v>
      </c>
      <c r="I846" s="26" t="str">
        <f aca="false">IF($H846=0,"",IF($H846&lt;=8,"Ótimo",IF($H846&lt;=12,"Bom",IF($H846&lt;=16,"Regular",IF($H846&lt;=20,"Alerta","Crítico")))))</f>
        <v/>
      </c>
      <c r="J846" s="27"/>
      <c r="K846" s="27"/>
    </row>
    <row r="847" customFormat="false" ht="15" hidden="false" customHeight="false" outlineLevel="0" collapsed="false">
      <c r="A847" s="29"/>
      <c r="B847" s="40" t="n">
        <f aca="false">IF($A847="",0,INT(($A847-Macrociclo!$C$11)/7)+1)</f>
        <v>0</v>
      </c>
      <c r="C847" s="27"/>
      <c r="D847" s="28"/>
      <c r="E847" s="28"/>
      <c r="F847" s="28"/>
      <c r="G847" s="28"/>
      <c r="H847" s="40" t="n">
        <f aca="false">IF(COUNT($D847:$G847)&lt;4,0,SUM($D847:$G847))</f>
        <v>0</v>
      </c>
      <c r="I847" s="26" t="str">
        <f aca="false">IF($H847=0,"",IF($H847&lt;=8,"Ótimo",IF($H847&lt;=12,"Bom",IF($H847&lt;=16,"Regular",IF($H847&lt;=20,"Alerta","Crítico")))))</f>
        <v/>
      </c>
      <c r="J847" s="27"/>
      <c r="K847" s="27"/>
    </row>
    <row r="848" customFormat="false" ht="15" hidden="false" customHeight="false" outlineLevel="0" collapsed="false">
      <c r="A848" s="29"/>
      <c r="B848" s="40" t="n">
        <f aca="false">IF($A848="",0,INT(($A848-Macrociclo!$C$11)/7)+1)</f>
        <v>0</v>
      </c>
      <c r="C848" s="27"/>
      <c r="D848" s="28"/>
      <c r="E848" s="28"/>
      <c r="F848" s="28"/>
      <c r="G848" s="28"/>
      <c r="H848" s="40" t="n">
        <f aca="false">IF(COUNT($D848:$G848)&lt;4,0,SUM($D848:$G848))</f>
        <v>0</v>
      </c>
      <c r="I848" s="26" t="str">
        <f aca="false">IF($H848=0,"",IF($H848&lt;=8,"Ótimo",IF($H848&lt;=12,"Bom",IF($H848&lt;=16,"Regular",IF($H848&lt;=20,"Alerta","Crítico")))))</f>
        <v/>
      </c>
      <c r="J848" s="27"/>
      <c r="K848" s="27"/>
    </row>
    <row r="849" customFormat="false" ht="15" hidden="false" customHeight="false" outlineLevel="0" collapsed="false">
      <c r="A849" s="29"/>
      <c r="B849" s="40" t="n">
        <f aca="false">IF($A849="",0,INT(($A849-Macrociclo!$C$11)/7)+1)</f>
        <v>0</v>
      </c>
      <c r="C849" s="27"/>
      <c r="D849" s="28"/>
      <c r="E849" s="28"/>
      <c r="F849" s="28"/>
      <c r="G849" s="28"/>
      <c r="H849" s="40" t="n">
        <f aca="false">IF(COUNT($D849:$G849)&lt;4,0,SUM($D849:$G849))</f>
        <v>0</v>
      </c>
      <c r="I849" s="26" t="str">
        <f aca="false">IF($H849=0,"",IF($H849&lt;=8,"Ótimo",IF($H849&lt;=12,"Bom",IF($H849&lt;=16,"Regular",IF($H849&lt;=20,"Alerta","Crítico")))))</f>
        <v/>
      </c>
      <c r="J849" s="27"/>
      <c r="K849" s="27"/>
    </row>
    <row r="850" customFormat="false" ht="15" hidden="false" customHeight="false" outlineLevel="0" collapsed="false">
      <c r="A850" s="29"/>
      <c r="B850" s="40" t="n">
        <f aca="false">IF($A850="",0,INT(($A850-Macrociclo!$C$11)/7)+1)</f>
        <v>0</v>
      </c>
      <c r="C850" s="27"/>
      <c r="D850" s="28"/>
      <c r="E850" s="28"/>
      <c r="F850" s="28"/>
      <c r="G850" s="28"/>
      <c r="H850" s="40" t="n">
        <f aca="false">IF(COUNT($D850:$G850)&lt;4,0,SUM($D850:$G850))</f>
        <v>0</v>
      </c>
      <c r="I850" s="26" t="str">
        <f aca="false">IF($H850=0,"",IF($H850&lt;=8,"Ótimo",IF($H850&lt;=12,"Bom",IF($H850&lt;=16,"Regular",IF($H850&lt;=20,"Alerta","Crítico")))))</f>
        <v/>
      </c>
      <c r="J850" s="27"/>
      <c r="K850" s="27"/>
    </row>
    <row r="851" customFormat="false" ht="15" hidden="false" customHeight="false" outlineLevel="0" collapsed="false">
      <c r="A851" s="29"/>
      <c r="B851" s="40" t="n">
        <f aca="false">IF($A851="",0,INT(($A851-Macrociclo!$C$11)/7)+1)</f>
        <v>0</v>
      </c>
      <c r="C851" s="27"/>
      <c r="D851" s="28"/>
      <c r="E851" s="28"/>
      <c r="F851" s="28"/>
      <c r="G851" s="28"/>
      <c r="H851" s="40" t="n">
        <f aca="false">IF(COUNT($D851:$G851)&lt;4,0,SUM($D851:$G851))</f>
        <v>0</v>
      </c>
      <c r="I851" s="26" t="str">
        <f aca="false">IF($H851=0,"",IF($H851&lt;=8,"Ótimo",IF($H851&lt;=12,"Bom",IF($H851&lt;=16,"Regular",IF($H851&lt;=20,"Alerta","Crítico")))))</f>
        <v/>
      </c>
      <c r="J851" s="27"/>
      <c r="K851" s="27"/>
    </row>
    <row r="852" customFormat="false" ht="15" hidden="false" customHeight="false" outlineLevel="0" collapsed="false">
      <c r="A852" s="29"/>
      <c r="B852" s="40" t="n">
        <f aca="false">IF($A852="",0,INT(($A852-Macrociclo!$C$11)/7)+1)</f>
        <v>0</v>
      </c>
      <c r="C852" s="27"/>
      <c r="D852" s="28"/>
      <c r="E852" s="28"/>
      <c r="F852" s="28"/>
      <c r="G852" s="28"/>
      <c r="H852" s="40" t="n">
        <f aca="false">IF(COUNT($D852:$G852)&lt;4,0,SUM($D852:$G852))</f>
        <v>0</v>
      </c>
      <c r="I852" s="26" t="str">
        <f aca="false">IF($H852=0,"",IF($H852&lt;=8,"Ótimo",IF($H852&lt;=12,"Bom",IF($H852&lt;=16,"Regular",IF($H852&lt;=20,"Alerta","Crítico")))))</f>
        <v/>
      </c>
      <c r="J852" s="27"/>
      <c r="K852" s="27"/>
    </row>
    <row r="853" customFormat="false" ht="15" hidden="false" customHeight="false" outlineLevel="0" collapsed="false">
      <c r="A853" s="29"/>
      <c r="B853" s="40" t="n">
        <f aca="false">IF($A853="",0,INT(($A853-Macrociclo!$C$11)/7)+1)</f>
        <v>0</v>
      </c>
      <c r="C853" s="27"/>
      <c r="D853" s="28"/>
      <c r="E853" s="28"/>
      <c r="F853" s="28"/>
      <c r="G853" s="28"/>
      <c r="H853" s="40" t="n">
        <f aca="false">IF(COUNT($D853:$G853)&lt;4,0,SUM($D853:$G853))</f>
        <v>0</v>
      </c>
      <c r="I853" s="26" t="str">
        <f aca="false">IF($H853=0,"",IF($H853&lt;=8,"Ótimo",IF($H853&lt;=12,"Bom",IF($H853&lt;=16,"Regular",IF($H853&lt;=20,"Alerta","Crítico")))))</f>
        <v/>
      </c>
      <c r="J853" s="27"/>
      <c r="K853" s="27"/>
    </row>
    <row r="854" customFormat="false" ht="15" hidden="false" customHeight="false" outlineLevel="0" collapsed="false">
      <c r="A854" s="29"/>
      <c r="B854" s="40" t="n">
        <f aca="false">IF($A854="",0,INT(($A854-Macrociclo!$C$11)/7)+1)</f>
        <v>0</v>
      </c>
      <c r="C854" s="27"/>
      <c r="D854" s="28"/>
      <c r="E854" s="28"/>
      <c r="F854" s="28"/>
      <c r="G854" s="28"/>
      <c r="H854" s="40" t="n">
        <f aca="false">IF(COUNT($D854:$G854)&lt;4,0,SUM($D854:$G854))</f>
        <v>0</v>
      </c>
      <c r="I854" s="26" t="str">
        <f aca="false">IF($H854=0,"",IF($H854&lt;=8,"Ótimo",IF($H854&lt;=12,"Bom",IF($H854&lt;=16,"Regular",IF($H854&lt;=20,"Alerta","Crítico")))))</f>
        <v/>
      </c>
      <c r="J854" s="27"/>
      <c r="K854" s="27"/>
    </row>
    <row r="855" customFormat="false" ht="15" hidden="false" customHeight="false" outlineLevel="0" collapsed="false">
      <c r="A855" s="29"/>
      <c r="B855" s="40" t="n">
        <f aca="false">IF($A855="",0,INT(($A855-Macrociclo!$C$11)/7)+1)</f>
        <v>0</v>
      </c>
      <c r="C855" s="27"/>
      <c r="D855" s="28"/>
      <c r="E855" s="28"/>
      <c r="F855" s="28"/>
      <c r="G855" s="28"/>
      <c r="H855" s="40" t="n">
        <f aca="false">IF(COUNT($D855:$G855)&lt;4,0,SUM($D855:$G855))</f>
        <v>0</v>
      </c>
      <c r="I855" s="26" t="str">
        <f aca="false">IF($H855=0,"",IF($H855&lt;=8,"Ótimo",IF($H855&lt;=12,"Bom",IF($H855&lt;=16,"Regular",IF($H855&lt;=20,"Alerta","Crítico")))))</f>
        <v/>
      </c>
      <c r="J855" s="27"/>
      <c r="K855" s="27"/>
    </row>
    <row r="856" customFormat="false" ht="15" hidden="false" customHeight="false" outlineLevel="0" collapsed="false">
      <c r="A856" s="29"/>
      <c r="B856" s="40" t="n">
        <f aca="false">IF($A856="",0,INT(($A856-Macrociclo!$C$11)/7)+1)</f>
        <v>0</v>
      </c>
      <c r="C856" s="27"/>
      <c r="D856" s="28"/>
      <c r="E856" s="28"/>
      <c r="F856" s="28"/>
      <c r="G856" s="28"/>
      <c r="H856" s="40" t="n">
        <f aca="false">IF(COUNT($D856:$G856)&lt;4,0,SUM($D856:$G856))</f>
        <v>0</v>
      </c>
      <c r="I856" s="26" t="str">
        <f aca="false">IF($H856=0,"",IF($H856&lt;=8,"Ótimo",IF($H856&lt;=12,"Bom",IF($H856&lt;=16,"Regular",IF($H856&lt;=20,"Alerta","Crítico")))))</f>
        <v/>
      </c>
      <c r="J856" s="27"/>
      <c r="K856" s="27"/>
    </row>
    <row r="857" customFormat="false" ht="15" hidden="false" customHeight="false" outlineLevel="0" collapsed="false">
      <c r="A857" s="29"/>
      <c r="B857" s="40" t="n">
        <f aca="false">IF($A857="",0,INT(($A857-Macrociclo!$C$11)/7)+1)</f>
        <v>0</v>
      </c>
      <c r="C857" s="27"/>
      <c r="D857" s="28"/>
      <c r="E857" s="28"/>
      <c r="F857" s="28"/>
      <c r="G857" s="28"/>
      <c r="H857" s="40" t="n">
        <f aca="false">IF(COUNT($D857:$G857)&lt;4,0,SUM($D857:$G857))</f>
        <v>0</v>
      </c>
      <c r="I857" s="26" t="str">
        <f aca="false">IF($H857=0,"",IF($H857&lt;=8,"Ótimo",IF($H857&lt;=12,"Bom",IF($H857&lt;=16,"Regular",IF($H857&lt;=20,"Alerta","Crítico")))))</f>
        <v/>
      </c>
      <c r="J857" s="27"/>
      <c r="K857" s="27"/>
    </row>
    <row r="858" customFormat="false" ht="15" hidden="false" customHeight="false" outlineLevel="0" collapsed="false">
      <c r="A858" s="29"/>
      <c r="B858" s="40" t="n">
        <f aca="false">IF($A858="",0,INT(($A858-Macrociclo!$C$11)/7)+1)</f>
        <v>0</v>
      </c>
      <c r="C858" s="27"/>
      <c r="D858" s="28"/>
      <c r="E858" s="28"/>
      <c r="F858" s="28"/>
      <c r="G858" s="28"/>
      <c r="H858" s="40" t="n">
        <f aca="false">IF(COUNT($D858:$G858)&lt;4,0,SUM($D858:$G858))</f>
        <v>0</v>
      </c>
      <c r="I858" s="26" t="str">
        <f aca="false">IF($H858=0,"",IF($H858&lt;=8,"Ótimo",IF($H858&lt;=12,"Bom",IF($H858&lt;=16,"Regular",IF($H858&lt;=20,"Alerta","Crítico")))))</f>
        <v/>
      </c>
      <c r="J858" s="27"/>
      <c r="K858" s="27"/>
    </row>
    <row r="859" customFormat="false" ht="15" hidden="false" customHeight="false" outlineLevel="0" collapsed="false">
      <c r="A859" s="29"/>
      <c r="B859" s="40" t="n">
        <f aca="false">IF($A859="",0,INT(($A859-Macrociclo!$C$11)/7)+1)</f>
        <v>0</v>
      </c>
      <c r="C859" s="27"/>
      <c r="D859" s="28"/>
      <c r="E859" s="28"/>
      <c r="F859" s="28"/>
      <c r="G859" s="28"/>
      <c r="H859" s="40" t="n">
        <f aca="false">IF(COUNT($D859:$G859)&lt;4,0,SUM($D859:$G859))</f>
        <v>0</v>
      </c>
      <c r="I859" s="26" t="str">
        <f aca="false">IF($H859=0,"",IF($H859&lt;=8,"Ótimo",IF($H859&lt;=12,"Bom",IF($H859&lt;=16,"Regular",IF($H859&lt;=20,"Alerta","Crítico")))))</f>
        <v/>
      </c>
      <c r="J859" s="27"/>
      <c r="K859" s="27"/>
    </row>
    <row r="860" customFormat="false" ht="15" hidden="false" customHeight="false" outlineLevel="0" collapsed="false">
      <c r="A860" s="29"/>
      <c r="B860" s="40" t="n">
        <f aca="false">IF($A860="",0,INT(($A860-Macrociclo!$C$11)/7)+1)</f>
        <v>0</v>
      </c>
      <c r="C860" s="27"/>
      <c r="D860" s="28"/>
      <c r="E860" s="28"/>
      <c r="F860" s="28"/>
      <c r="G860" s="28"/>
      <c r="H860" s="40" t="n">
        <f aca="false">IF(COUNT($D860:$G860)&lt;4,0,SUM($D860:$G860))</f>
        <v>0</v>
      </c>
      <c r="I860" s="26" t="str">
        <f aca="false">IF($H860=0,"",IF($H860&lt;=8,"Ótimo",IF($H860&lt;=12,"Bom",IF($H860&lt;=16,"Regular",IF($H860&lt;=20,"Alerta","Crítico")))))</f>
        <v/>
      </c>
      <c r="J860" s="27"/>
      <c r="K860" s="27"/>
    </row>
    <row r="861" customFormat="false" ht="15" hidden="false" customHeight="false" outlineLevel="0" collapsed="false">
      <c r="A861" s="29"/>
      <c r="B861" s="40" t="n">
        <f aca="false">IF($A861="",0,INT(($A861-Macrociclo!$C$11)/7)+1)</f>
        <v>0</v>
      </c>
      <c r="C861" s="27"/>
      <c r="D861" s="28"/>
      <c r="E861" s="28"/>
      <c r="F861" s="28"/>
      <c r="G861" s="28"/>
      <c r="H861" s="40" t="n">
        <f aca="false">IF(COUNT($D861:$G861)&lt;4,0,SUM($D861:$G861))</f>
        <v>0</v>
      </c>
      <c r="I861" s="26" t="str">
        <f aca="false">IF($H861=0,"",IF($H861&lt;=8,"Ótimo",IF($H861&lt;=12,"Bom",IF($H861&lt;=16,"Regular",IF($H861&lt;=20,"Alerta","Crítico")))))</f>
        <v/>
      </c>
      <c r="J861" s="27"/>
      <c r="K861" s="27"/>
    </row>
    <row r="862" customFormat="false" ht="15" hidden="false" customHeight="false" outlineLevel="0" collapsed="false">
      <c r="A862" s="29"/>
      <c r="B862" s="40" t="n">
        <f aca="false">IF($A862="",0,INT(($A862-Macrociclo!$C$11)/7)+1)</f>
        <v>0</v>
      </c>
      <c r="C862" s="27"/>
      <c r="D862" s="28"/>
      <c r="E862" s="28"/>
      <c r="F862" s="28"/>
      <c r="G862" s="28"/>
      <c r="H862" s="40" t="n">
        <f aca="false">IF(COUNT($D862:$G862)&lt;4,0,SUM($D862:$G862))</f>
        <v>0</v>
      </c>
      <c r="I862" s="26" t="str">
        <f aca="false">IF($H862=0,"",IF($H862&lt;=8,"Ótimo",IF($H862&lt;=12,"Bom",IF($H862&lt;=16,"Regular",IF($H862&lt;=20,"Alerta","Crítico")))))</f>
        <v/>
      </c>
      <c r="J862" s="27"/>
      <c r="K862" s="27"/>
    </row>
    <row r="863" customFormat="false" ht="15" hidden="false" customHeight="false" outlineLevel="0" collapsed="false">
      <c r="A863" s="29"/>
      <c r="B863" s="40" t="n">
        <f aca="false">IF($A863="",0,INT(($A863-Macrociclo!$C$11)/7)+1)</f>
        <v>0</v>
      </c>
      <c r="C863" s="27"/>
      <c r="D863" s="28"/>
      <c r="E863" s="28"/>
      <c r="F863" s="28"/>
      <c r="G863" s="28"/>
      <c r="H863" s="40" t="n">
        <f aca="false">IF(COUNT($D863:$G863)&lt;4,0,SUM($D863:$G863))</f>
        <v>0</v>
      </c>
      <c r="I863" s="26" t="str">
        <f aca="false">IF($H863=0,"",IF($H863&lt;=8,"Ótimo",IF($H863&lt;=12,"Bom",IF($H863&lt;=16,"Regular",IF($H863&lt;=20,"Alerta","Crítico")))))</f>
        <v/>
      </c>
      <c r="J863" s="27"/>
      <c r="K863" s="27"/>
    </row>
    <row r="864" customFormat="false" ht="15" hidden="false" customHeight="false" outlineLevel="0" collapsed="false">
      <c r="A864" s="29"/>
      <c r="B864" s="40" t="n">
        <f aca="false">IF($A864="",0,INT(($A864-Macrociclo!$C$11)/7)+1)</f>
        <v>0</v>
      </c>
      <c r="C864" s="27"/>
      <c r="D864" s="28"/>
      <c r="E864" s="28"/>
      <c r="F864" s="28"/>
      <c r="G864" s="28"/>
      <c r="H864" s="40" t="n">
        <f aca="false">IF(COUNT($D864:$G864)&lt;4,0,SUM($D864:$G864))</f>
        <v>0</v>
      </c>
      <c r="I864" s="26" t="str">
        <f aca="false">IF($H864=0,"",IF($H864&lt;=8,"Ótimo",IF($H864&lt;=12,"Bom",IF($H864&lt;=16,"Regular",IF($H864&lt;=20,"Alerta","Crítico")))))</f>
        <v/>
      </c>
      <c r="J864" s="27"/>
      <c r="K864" s="27"/>
    </row>
    <row r="865" customFormat="false" ht="15" hidden="false" customHeight="false" outlineLevel="0" collapsed="false">
      <c r="A865" s="29"/>
      <c r="B865" s="40" t="n">
        <f aca="false">IF($A865="",0,INT(($A865-Macrociclo!$C$11)/7)+1)</f>
        <v>0</v>
      </c>
      <c r="C865" s="27"/>
      <c r="D865" s="28"/>
      <c r="E865" s="28"/>
      <c r="F865" s="28"/>
      <c r="G865" s="28"/>
      <c r="H865" s="40" t="n">
        <f aca="false">IF(COUNT($D865:$G865)&lt;4,0,SUM($D865:$G865))</f>
        <v>0</v>
      </c>
      <c r="I865" s="26" t="str">
        <f aca="false">IF($H865=0,"",IF($H865&lt;=8,"Ótimo",IF($H865&lt;=12,"Bom",IF($H865&lt;=16,"Regular",IF($H865&lt;=20,"Alerta","Crítico")))))</f>
        <v/>
      </c>
      <c r="J865" s="27"/>
      <c r="K865" s="27"/>
    </row>
    <row r="866" customFormat="false" ht="15" hidden="false" customHeight="false" outlineLevel="0" collapsed="false">
      <c r="A866" s="29"/>
      <c r="B866" s="40" t="n">
        <f aca="false">IF($A866="",0,INT(($A866-Macrociclo!$C$11)/7)+1)</f>
        <v>0</v>
      </c>
      <c r="C866" s="27"/>
      <c r="D866" s="28"/>
      <c r="E866" s="28"/>
      <c r="F866" s="28"/>
      <c r="G866" s="28"/>
      <c r="H866" s="40" t="n">
        <f aca="false">IF(COUNT($D866:$G866)&lt;4,0,SUM($D866:$G866))</f>
        <v>0</v>
      </c>
      <c r="I866" s="26" t="str">
        <f aca="false">IF($H866=0,"",IF($H866&lt;=8,"Ótimo",IF($H866&lt;=12,"Bom",IF($H866&lt;=16,"Regular",IF($H866&lt;=20,"Alerta","Crítico")))))</f>
        <v/>
      </c>
      <c r="J866" s="27"/>
      <c r="K866" s="27"/>
    </row>
    <row r="867" customFormat="false" ht="15" hidden="false" customHeight="false" outlineLevel="0" collapsed="false">
      <c r="A867" s="29"/>
      <c r="B867" s="40" t="n">
        <f aca="false">IF($A867="",0,INT(($A867-Macrociclo!$C$11)/7)+1)</f>
        <v>0</v>
      </c>
      <c r="C867" s="27"/>
      <c r="D867" s="28"/>
      <c r="E867" s="28"/>
      <c r="F867" s="28"/>
      <c r="G867" s="28"/>
      <c r="H867" s="40" t="n">
        <f aca="false">IF(COUNT($D867:$G867)&lt;4,0,SUM($D867:$G867))</f>
        <v>0</v>
      </c>
      <c r="I867" s="26" t="str">
        <f aca="false">IF($H867=0,"",IF($H867&lt;=8,"Ótimo",IF($H867&lt;=12,"Bom",IF($H867&lt;=16,"Regular",IF($H867&lt;=20,"Alerta","Crítico")))))</f>
        <v/>
      </c>
      <c r="J867" s="27"/>
      <c r="K867" s="27"/>
    </row>
    <row r="868" customFormat="false" ht="15" hidden="false" customHeight="false" outlineLevel="0" collapsed="false">
      <c r="A868" s="29"/>
      <c r="B868" s="40" t="n">
        <f aca="false">IF($A868="",0,INT(($A868-Macrociclo!$C$11)/7)+1)</f>
        <v>0</v>
      </c>
      <c r="C868" s="27"/>
      <c r="D868" s="28"/>
      <c r="E868" s="28"/>
      <c r="F868" s="28"/>
      <c r="G868" s="28"/>
      <c r="H868" s="40" t="n">
        <f aca="false">IF(COUNT($D868:$G868)&lt;4,0,SUM($D868:$G868))</f>
        <v>0</v>
      </c>
      <c r="I868" s="26" t="str">
        <f aca="false">IF($H868=0,"",IF($H868&lt;=8,"Ótimo",IF($H868&lt;=12,"Bom",IF($H868&lt;=16,"Regular",IF($H868&lt;=20,"Alerta","Crítico")))))</f>
        <v/>
      </c>
      <c r="J868" s="27"/>
      <c r="K868" s="27"/>
    </row>
    <row r="869" customFormat="false" ht="15" hidden="false" customHeight="false" outlineLevel="0" collapsed="false">
      <c r="A869" s="29"/>
      <c r="B869" s="40" t="n">
        <f aca="false">IF($A869="",0,INT(($A869-Macrociclo!$C$11)/7)+1)</f>
        <v>0</v>
      </c>
      <c r="C869" s="27"/>
      <c r="D869" s="28"/>
      <c r="E869" s="28"/>
      <c r="F869" s="28"/>
      <c r="G869" s="28"/>
      <c r="H869" s="40" t="n">
        <f aca="false">IF(COUNT($D869:$G869)&lt;4,0,SUM($D869:$G869))</f>
        <v>0</v>
      </c>
      <c r="I869" s="26" t="str">
        <f aca="false">IF($H869=0,"",IF($H869&lt;=8,"Ótimo",IF($H869&lt;=12,"Bom",IF($H869&lt;=16,"Regular",IF($H869&lt;=20,"Alerta","Crítico")))))</f>
        <v/>
      </c>
      <c r="J869" s="27"/>
      <c r="K869" s="27"/>
    </row>
    <row r="870" customFormat="false" ht="15" hidden="false" customHeight="false" outlineLevel="0" collapsed="false">
      <c r="A870" s="29"/>
      <c r="B870" s="40" t="n">
        <f aca="false">IF($A870="",0,INT(($A870-Macrociclo!$C$11)/7)+1)</f>
        <v>0</v>
      </c>
      <c r="C870" s="27"/>
      <c r="D870" s="28"/>
      <c r="E870" s="28"/>
      <c r="F870" s="28"/>
      <c r="G870" s="28"/>
      <c r="H870" s="40" t="n">
        <f aca="false">IF(COUNT($D870:$G870)&lt;4,0,SUM($D870:$G870))</f>
        <v>0</v>
      </c>
      <c r="I870" s="26" t="str">
        <f aca="false">IF($H870=0,"",IF($H870&lt;=8,"Ótimo",IF($H870&lt;=12,"Bom",IF($H870&lt;=16,"Regular",IF($H870&lt;=20,"Alerta","Crítico")))))</f>
        <v/>
      </c>
      <c r="J870" s="27"/>
      <c r="K870" s="27"/>
    </row>
    <row r="871" customFormat="false" ht="15" hidden="false" customHeight="false" outlineLevel="0" collapsed="false">
      <c r="A871" s="29"/>
      <c r="B871" s="40" t="n">
        <f aca="false">IF($A871="",0,INT(($A871-Macrociclo!$C$11)/7)+1)</f>
        <v>0</v>
      </c>
      <c r="C871" s="27"/>
      <c r="D871" s="28"/>
      <c r="E871" s="28"/>
      <c r="F871" s="28"/>
      <c r="G871" s="28"/>
      <c r="H871" s="40" t="n">
        <f aca="false">IF(COUNT($D871:$G871)&lt;4,0,SUM($D871:$G871))</f>
        <v>0</v>
      </c>
      <c r="I871" s="26" t="str">
        <f aca="false">IF($H871=0,"",IF($H871&lt;=8,"Ótimo",IF($H871&lt;=12,"Bom",IF($H871&lt;=16,"Regular",IF($H871&lt;=20,"Alerta","Crítico")))))</f>
        <v/>
      </c>
      <c r="J871" s="27"/>
      <c r="K871" s="27"/>
    </row>
    <row r="872" customFormat="false" ht="15" hidden="false" customHeight="false" outlineLevel="0" collapsed="false">
      <c r="A872" s="29"/>
      <c r="B872" s="40" t="n">
        <f aca="false">IF($A872="",0,INT(($A872-Macrociclo!$C$11)/7)+1)</f>
        <v>0</v>
      </c>
      <c r="C872" s="27"/>
      <c r="D872" s="28"/>
      <c r="E872" s="28"/>
      <c r="F872" s="28"/>
      <c r="G872" s="28"/>
      <c r="H872" s="40" t="n">
        <f aca="false">IF(COUNT($D872:$G872)&lt;4,0,SUM($D872:$G872))</f>
        <v>0</v>
      </c>
      <c r="I872" s="26" t="str">
        <f aca="false">IF($H872=0,"",IF($H872&lt;=8,"Ótimo",IF($H872&lt;=12,"Bom",IF($H872&lt;=16,"Regular",IF($H872&lt;=20,"Alerta","Crítico")))))</f>
        <v/>
      </c>
      <c r="J872" s="27"/>
      <c r="K872" s="27"/>
    </row>
    <row r="873" customFormat="false" ht="15" hidden="false" customHeight="false" outlineLevel="0" collapsed="false">
      <c r="A873" s="29"/>
      <c r="B873" s="40" t="n">
        <f aca="false">IF($A873="",0,INT(($A873-Macrociclo!$C$11)/7)+1)</f>
        <v>0</v>
      </c>
      <c r="C873" s="27"/>
      <c r="D873" s="28"/>
      <c r="E873" s="28"/>
      <c r="F873" s="28"/>
      <c r="G873" s="28"/>
      <c r="H873" s="40" t="n">
        <f aca="false">IF(COUNT($D873:$G873)&lt;4,0,SUM($D873:$G873))</f>
        <v>0</v>
      </c>
      <c r="I873" s="26" t="str">
        <f aca="false">IF($H873=0,"",IF($H873&lt;=8,"Ótimo",IF($H873&lt;=12,"Bom",IF($H873&lt;=16,"Regular",IF($H873&lt;=20,"Alerta","Crítico")))))</f>
        <v/>
      </c>
      <c r="J873" s="27"/>
      <c r="K873" s="27"/>
    </row>
    <row r="874" customFormat="false" ht="15" hidden="false" customHeight="false" outlineLevel="0" collapsed="false">
      <c r="A874" s="29"/>
      <c r="B874" s="40" t="n">
        <f aca="false">IF($A874="",0,INT(($A874-Macrociclo!$C$11)/7)+1)</f>
        <v>0</v>
      </c>
      <c r="C874" s="27"/>
      <c r="D874" s="28"/>
      <c r="E874" s="28"/>
      <c r="F874" s="28"/>
      <c r="G874" s="28"/>
      <c r="H874" s="40" t="n">
        <f aca="false">IF(COUNT($D874:$G874)&lt;4,0,SUM($D874:$G874))</f>
        <v>0</v>
      </c>
      <c r="I874" s="26" t="str">
        <f aca="false">IF($H874=0,"",IF($H874&lt;=8,"Ótimo",IF($H874&lt;=12,"Bom",IF($H874&lt;=16,"Regular",IF($H874&lt;=20,"Alerta","Crítico")))))</f>
        <v/>
      </c>
      <c r="J874" s="27"/>
      <c r="K874" s="27"/>
    </row>
    <row r="875" customFormat="false" ht="15" hidden="false" customHeight="false" outlineLevel="0" collapsed="false">
      <c r="A875" s="29"/>
      <c r="B875" s="40" t="n">
        <f aca="false">IF($A875="",0,INT(($A875-Macrociclo!$C$11)/7)+1)</f>
        <v>0</v>
      </c>
      <c r="C875" s="27"/>
      <c r="D875" s="28"/>
      <c r="E875" s="28"/>
      <c r="F875" s="28"/>
      <c r="G875" s="28"/>
      <c r="H875" s="40" t="n">
        <f aca="false">IF(COUNT($D875:$G875)&lt;4,0,SUM($D875:$G875))</f>
        <v>0</v>
      </c>
      <c r="I875" s="26" t="str">
        <f aca="false">IF($H875=0,"",IF($H875&lt;=8,"Ótimo",IF($H875&lt;=12,"Bom",IF($H875&lt;=16,"Regular",IF($H875&lt;=20,"Alerta","Crítico")))))</f>
        <v/>
      </c>
      <c r="J875" s="27"/>
      <c r="K875" s="27"/>
    </row>
    <row r="876" customFormat="false" ht="15" hidden="false" customHeight="false" outlineLevel="0" collapsed="false">
      <c r="A876" s="29"/>
      <c r="B876" s="40" t="n">
        <f aca="false">IF($A876="",0,INT(($A876-Macrociclo!$C$11)/7)+1)</f>
        <v>0</v>
      </c>
      <c r="C876" s="27"/>
      <c r="D876" s="28"/>
      <c r="E876" s="28"/>
      <c r="F876" s="28"/>
      <c r="G876" s="28"/>
      <c r="H876" s="40" t="n">
        <f aca="false">IF(COUNT($D876:$G876)&lt;4,0,SUM($D876:$G876))</f>
        <v>0</v>
      </c>
      <c r="I876" s="26" t="str">
        <f aca="false">IF($H876=0,"",IF($H876&lt;=8,"Ótimo",IF($H876&lt;=12,"Bom",IF($H876&lt;=16,"Regular",IF($H876&lt;=20,"Alerta","Crítico")))))</f>
        <v/>
      </c>
      <c r="J876" s="27"/>
      <c r="K876" s="27"/>
    </row>
    <row r="877" customFormat="false" ht="15" hidden="false" customHeight="false" outlineLevel="0" collapsed="false">
      <c r="A877" s="29"/>
      <c r="B877" s="40" t="n">
        <f aca="false">IF($A877="",0,INT(($A877-Macrociclo!$C$11)/7)+1)</f>
        <v>0</v>
      </c>
      <c r="C877" s="27"/>
      <c r="D877" s="28"/>
      <c r="E877" s="28"/>
      <c r="F877" s="28"/>
      <c r="G877" s="28"/>
      <c r="H877" s="40" t="n">
        <f aca="false">IF(COUNT($D877:$G877)&lt;4,0,SUM($D877:$G877))</f>
        <v>0</v>
      </c>
      <c r="I877" s="26" t="str">
        <f aca="false">IF($H877=0,"",IF($H877&lt;=8,"Ótimo",IF($H877&lt;=12,"Bom",IF($H877&lt;=16,"Regular",IF($H877&lt;=20,"Alerta","Crítico")))))</f>
        <v/>
      </c>
      <c r="J877" s="27"/>
      <c r="K877" s="27"/>
    </row>
    <row r="878" customFormat="false" ht="15" hidden="false" customHeight="false" outlineLevel="0" collapsed="false">
      <c r="A878" s="29"/>
      <c r="B878" s="40" t="n">
        <f aca="false">IF($A878="",0,INT(($A878-Macrociclo!$C$11)/7)+1)</f>
        <v>0</v>
      </c>
      <c r="C878" s="27"/>
      <c r="D878" s="28"/>
      <c r="E878" s="28"/>
      <c r="F878" s="28"/>
      <c r="G878" s="28"/>
      <c r="H878" s="40" t="n">
        <f aca="false">IF(COUNT($D878:$G878)&lt;4,0,SUM($D878:$G878))</f>
        <v>0</v>
      </c>
      <c r="I878" s="26" t="str">
        <f aca="false">IF($H878=0,"",IF($H878&lt;=8,"Ótimo",IF($H878&lt;=12,"Bom",IF($H878&lt;=16,"Regular",IF($H878&lt;=20,"Alerta","Crítico")))))</f>
        <v/>
      </c>
      <c r="J878" s="27"/>
      <c r="K878" s="27"/>
    </row>
    <row r="879" customFormat="false" ht="15" hidden="false" customHeight="false" outlineLevel="0" collapsed="false">
      <c r="A879" s="29"/>
      <c r="B879" s="40" t="n">
        <f aca="false">IF($A879="",0,INT(($A879-Macrociclo!$C$11)/7)+1)</f>
        <v>0</v>
      </c>
      <c r="C879" s="27"/>
      <c r="D879" s="28"/>
      <c r="E879" s="28"/>
      <c r="F879" s="28"/>
      <c r="G879" s="28"/>
      <c r="H879" s="40" t="n">
        <f aca="false">IF(COUNT($D879:$G879)&lt;4,0,SUM($D879:$G879))</f>
        <v>0</v>
      </c>
      <c r="I879" s="26" t="str">
        <f aca="false">IF($H879=0,"",IF($H879&lt;=8,"Ótimo",IF($H879&lt;=12,"Bom",IF($H879&lt;=16,"Regular",IF($H879&lt;=20,"Alerta","Crítico")))))</f>
        <v/>
      </c>
      <c r="J879" s="27"/>
      <c r="K879" s="27"/>
    </row>
    <row r="880" customFormat="false" ht="15" hidden="false" customHeight="false" outlineLevel="0" collapsed="false">
      <c r="A880" s="29"/>
      <c r="B880" s="40" t="n">
        <f aca="false">IF($A880="",0,INT(($A880-Macrociclo!$C$11)/7)+1)</f>
        <v>0</v>
      </c>
      <c r="C880" s="27"/>
      <c r="D880" s="28"/>
      <c r="E880" s="28"/>
      <c r="F880" s="28"/>
      <c r="G880" s="28"/>
      <c r="H880" s="40" t="n">
        <f aca="false">IF(COUNT($D880:$G880)&lt;4,0,SUM($D880:$G880))</f>
        <v>0</v>
      </c>
      <c r="I880" s="26" t="str">
        <f aca="false">IF($H880=0,"",IF($H880&lt;=8,"Ótimo",IF($H880&lt;=12,"Bom",IF($H880&lt;=16,"Regular",IF($H880&lt;=20,"Alerta","Crítico")))))</f>
        <v/>
      </c>
      <c r="J880" s="27"/>
      <c r="K880" s="27"/>
    </row>
    <row r="881" customFormat="false" ht="15" hidden="false" customHeight="false" outlineLevel="0" collapsed="false">
      <c r="A881" s="29"/>
      <c r="B881" s="40" t="n">
        <f aca="false">IF($A881="",0,INT(($A881-Macrociclo!$C$11)/7)+1)</f>
        <v>0</v>
      </c>
      <c r="C881" s="27"/>
      <c r="D881" s="28"/>
      <c r="E881" s="28"/>
      <c r="F881" s="28"/>
      <c r="G881" s="28"/>
      <c r="H881" s="40" t="n">
        <f aca="false">IF(COUNT($D881:$G881)&lt;4,0,SUM($D881:$G881))</f>
        <v>0</v>
      </c>
      <c r="I881" s="26" t="str">
        <f aca="false">IF($H881=0,"",IF($H881&lt;=8,"Ótimo",IF($H881&lt;=12,"Bom",IF($H881&lt;=16,"Regular",IF($H881&lt;=20,"Alerta","Crítico")))))</f>
        <v/>
      </c>
      <c r="J881" s="27"/>
      <c r="K881" s="27"/>
    </row>
    <row r="882" customFormat="false" ht="15" hidden="false" customHeight="false" outlineLevel="0" collapsed="false">
      <c r="A882" s="29"/>
      <c r="B882" s="40" t="n">
        <f aca="false">IF($A882="",0,INT(($A882-Macrociclo!$C$11)/7)+1)</f>
        <v>0</v>
      </c>
      <c r="C882" s="27"/>
      <c r="D882" s="28"/>
      <c r="E882" s="28"/>
      <c r="F882" s="28"/>
      <c r="G882" s="28"/>
      <c r="H882" s="40" t="n">
        <f aca="false">IF(COUNT($D882:$G882)&lt;4,0,SUM($D882:$G882))</f>
        <v>0</v>
      </c>
      <c r="I882" s="26" t="str">
        <f aca="false">IF($H882=0,"",IF($H882&lt;=8,"Ótimo",IF($H882&lt;=12,"Bom",IF($H882&lt;=16,"Regular",IF($H882&lt;=20,"Alerta","Crítico")))))</f>
        <v/>
      </c>
      <c r="J882" s="27"/>
      <c r="K882" s="27"/>
    </row>
    <row r="883" customFormat="false" ht="15" hidden="false" customHeight="false" outlineLevel="0" collapsed="false">
      <c r="A883" s="29"/>
      <c r="B883" s="40" t="n">
        <f aca="false">IF($A883="",0,INT(($A883-Macrociclo!$C$11)/7)+1)</f>
        <v>0</v>
      </c>
      <c r="C883" s="27"/>
      <c r="D883" s="28"/>
      <c r="E883" s="28"/>
      <c r="F883" s="28"/>
      <c r="G883" s="28"/>
      <c r="H883" s="40" t="n">
        <f aca="false">IF(COUNT($D883:$G883)&lt;4,0,SUM($D883:$G883))</f>
        <v>0</v>
      </c>
      <c r="I883" s="26" t="str">
        <f aca="false">IF($H883=0,"",IF($H883&lt;=8,"Ótimo",IF($H883&lt;=12,"Bom",IF($H883&lt;=16,"Regular",IF($H883&lt;=20,"Alerta","Crítico")))))</f>
        <v/>
      </c>
      <c r="J883" s="27"/>
      <c r="K883" s="27"/>
    </row>
    <row r="884" customFormat="false" ht="15" hidden="false" customHeight="false" outlineLevel="0" collapsed="false">
      <c r="A884" s="29"/>
      <c r="B884" s="40" t="n">
        <f aca="false">IF($A884="",0,INT(($A884-Macrociclo!$C$11)/7)+1)</f>
        <v>0</v>
      </c>
      <c r="C884" s="27"/>
      <c r="D884" s="28"/>
      <c r="E884" s="28"/>
      <c r="F884" s="28"/>
      <c r="G884" s="28"/>
      <c r="H884" s="40" t="n">
        <f aca="false">IF(COUNT($D884:$G884)&lt;4,0,SUM($D884:$G884))</f>
        <v>0</v>
      </c>
      <c r="I884" s="26" t="str">
        <f aca="false">IF($H884=0,"",IF($H884&lt;=8,"Ótimo",IF($H884&lt;=12,"Bom",IF($H884&lt;=16,"Regular",IF($H884&lt;=20,"Alerta","Crítico")))))</f>
        <v/>
      </c>
      <c r="J884" s="27"/>
      <c r="K884" s="27"/>
    </row>
    <row r="885" customFormat="false" ht="15" hidden="false" customHeight="false" outlineLevel="0" collapsed="false">
      <c r="A885" s="29"/>
      <c r="B885" s="40" t="n">
        <f aca="false">IF($A885="",0,INT(($A885-Macrociclo!$C$11)/7)+1)</f>
        <v>0</v>
      </c>
      <c r="C885" s="27"/>
      <c r="D885" s="28"/>
      <c r="E885" s="28"/>
      <c r="F885" s="28"/>
      <c r="G885" s="28"/>
      <c r="H885" s="40" t="n">
        <f aca="false">IF(COUNT($D885:$G885)&lt;4,0,SUM($D885:$G885))</f>
        <v>0</v>
      </c>
      <c r="I885" s="26" t="str">
        <f aca="false">IF($H885=0,"",IF($H885&lt;=8,"Ótimo",IF($H885&lt;=12,"Bom",IF($H885&lt;=16,"Regular",IF($H885&lt;=20,"Alerta","Crítico")))))</f>
        <v/>
      </c>
      <c r="J885" s="27"/>
      <c r="K885" s="27"/>
    </row>
    <row r="886" customFormat="false" ht="15" hidden="false" customHeight="false" outlineLevel="0" collapsed="false">
      <c r="A886" s="29"/>
      <c r="B886" s="40" t="n">
        <f aca="false">IF($A886="",0,INT(($A886-Macrociclo!$C$11)/7)+1)</f>
        <v>0</v>
      </c>
      <c r="C886" s="27"/>
      <c r="D886" s="28"/>
      <c r="E886" s="28"/>
      <c r="F886" s="28"/>
      <c r="G886" s="28"/>
      <c r="H886" s="40" t="n">
        <f aca="false">IF(COUNT($D886:$G886)&lt;4,0,SUM($D886:$G886))</f>
        <v>0</v>
      </c>
      <c r="I886" s="26" t="str">
        <f aca="false">IF($H886=0,"",IF($H886&lt;=8,"Ótimo",IF($H886&lt;=12,"Bom",IF($H886&lt;=16,"Regular",IF($H886&lt;=20,"Alerta","Crítico")))))</f>
        <v/>
      </c>
      <c r="J886" s="27"/>
      <c r="K886" s="27"/>
    </row>
    <row r="887" customFormat="false" ht="15" hidden="false" customHeight="false" outlineLevel="0" collapsed="false">
      <c r="A887" s="29"/>
      <c r="B887" s="40" t="n">
        <f aca="false">IF($A887="",0,INT(($A887-Macrociclo!$C$11)/7)+1)</f>
        <v>0</v>
      </c>
      <c r="C887" s="27"/>
      <c r="D887" s="28"/>
      <c r="E887" s="28"/>
      <c r="F887" s="28"/>
      <c r="G887" s="28"/>
      <c r="H887" s="40" t="n">
        <f aca="false">IF(COUNT($D887:$G887)&lt;4,0,SUM($D887:$G887))</f>
        <v>0</v>
      </c>
      <c r="I887" s="26" t="str">
        <f aca="false">IF($H887=0,"",IF($H887&lt;=8,"Ótimo",IF($H887&lt;=12,"Bom",IF($H887&lt;=16,"Regular",IF($H887&lt;=20,"Alerta","Crítico")))))</f>
        <v/>
      </c>
      <c r="J887" s="27"/>
      <c r="K887" s="27"/>
    </row>
    <row r="888" customFormat="false" ht="15" hidden="false" customHeight="false" outlineLevel="0" collapsed="false">
      <c r="A888" s="29"/>
      <c r="B888" s="40" t="n">
        <f aca="false">IF($A888="",0,INT(($A888-Macrociclo!$C$11)/7)+1)</f>
        <v>0</v>
      </c>
      <c r="C888" s="27"/>
      <c r="D888" s="28"/>
      <c r="E888" s="28"/>
      <c r="F888" s="28"/>
      <c r="G888" s="28"/>
      <c r="H888" s="40" t="n">
        <f aca="false">IF(COUNT($D888:$G888)&lt;4,0,SUM($D888:$G888))</f>
        <v>0</v>
      </c>
      <c r="I888" s="26" t="str">
        <f aca="false">IF($H888=0,"",IF($H888&lt;=8,"Ótimo",IF($H888&lt;=12,"Bom",IF($H888&lt;=16,"Regular",IF($H888&lt;=20,"Alerta","Crítico")))))</f>
        <v/>
      </c>
      <c r="J888" s="27"/>
      <c r="K888" s="27"/>
    </row>
    <row r="889" customFormat="false" ht="15" hidden="false" customHeight="false" outlineLevel="0" collapsed="false">
      <c r="A889" s="29"/>
      <c r="B889" s="40" t="n">
        <f aca="false">IF($A889="",0,INT(($A889-Macrociclo!$C$11)/7)+1)</f>
        <v>0</v>
      </c>
      <c r="C889" s="27"/>
      <c r="D889" s="28"/>
      <c r="E889" s="28"/>
      <c r="F889" s="28"/>
      <c r="G889" s="28"/>
      <c r="H889" s="40" t="n">
        <f aca="false">IF(COUNT($D889:$G889)&lt;4,0,SUM($D889:$G889))</f>
        <v>0</v>
      </c>
      <c r="I889" s="26" t="str">
        <f aca="false">IF($H889=0,"",IF($H889&lt;=8,"Ótimo",IF($H889&lt;=12,"Bom",IF($H889&lt;=16,"Regular",IF($H889&lt;=20,"Alerta","Crítico")))))</f>
        <v/>
      </c>
      <c r="J889" s="27"/>
      <c r="K889" s="27"/>
    </row>
    <row r="890" customFormat="false" ht="15" hidden="false" customHeight="false" outlineLevel="0" collapsed="false">
      <c r="A890" s="29"/>
      <c r="B890" s="40" t="n">
        <f aca="false">IF($A890="",0,INT(($A890-Macrociclo!$C$11)/7)+1)</f>
        <v>0</v>
      </c>
      <c r="C890" s="27"/>
      <c r="D890" s="28"/>
      <c r="E890" s="28"/>
      <c r="F890" s="28"/>
      <c r="G890" s="28"/>
      <c r="H890" s="40" t="n">
        <f aca="false">IF(COUNT($D890:$G890)&lt;4,0,SUM($D890:$G890))</f>
        <v>0</v>
      </c>
      <c r="I890" s="26" t="str">
        <f aca="false">IF($H890=0,"",IF($H890&lt;=8,"Ótimo",IF($H890&lt;=12,"Bom",IF($H890&lt;=16,"Regular",IF($H890&lt;=20,"Alerta","Crítico")))))</f>
        <v/>
      </c>
      <c r="J890" s="27"/>
      <c r="K890" s="27"/>
    </row>
    <row r="891" customFormat="false" ht="15" hidden="false" customHeight="false" outlineLevel="0" collapsed="false">
      <c r="A891" s="29"/>
      <c r="B891" s="40" t="n">
        <f aca="false">IF($A891="",0,INT(($A891-Macrociclo!$C$11)/7)+1)</f>
        <v>0</v>
      </c>
      <c r="C891" s="27"/>
      <c r="D891" s="28"/>
      <c r="E891" s="28"/>
      <c r="F891" s="28"/>
      <c r="G891" s="28"/>
      <c r="H891" s="40" t="n">
        <f aca="false">IF(COUNT($D891:$G891)&lt;4,0,SUM($D891:$G891))</f>
        <v>0</v>
      </c>
      <c r="I891" s="26" t="str">
        <f aca="false">IF($H891=0,"",IF($H891&lt;=8,"Ótimo",IF($H891&lt;=12,"Bom",IF($H891&lt;=16,"Regular",IF($H891&lt;=20,"Alerta","Crítico")))))</f>
        <v/>
      </c>
      <c r="J891" s="27"/>
      <c r="K891" s="27"/>
    </row>
    <row r="892" customFormat="false" ht="15" hidden="false" customHeight="false" outlineLevel="0" collapsed="false">
      <c r="A892" s="29"/>
      <c r="B892" s="40" t="n">
        <f aca="false">IF($A892="",0,INT(($A892-Macrociclo!$C$11)/7)+1)</f>
        <v>0</v>
      </c>
      <c r="C892" s="27"/>
      <c r="D892" s="28"/>
      <c r="E892" s="28"/>
      <c r="F892" s="28"/>
      <c r="G892" s="28"/>
      <c r="H892" s="40" t="n">
        <f aca="false">IF(COUNT($D892:$G892)&lt;4,0,SUM($D892:$G892))</f>
        <v>0</v>
      </c>
      <c r="I892" s="26" t="str">
        <f aca="false">IF($H892=0,"",IF($H892&lt;=8,"Ótimo",IF($H892&lt;=12,"Bom",IF($H892&lt;=16,"Regular",IF($H892&lt;=20,"Alerta","Crítico")))))</f>
        <v/>
      </c>
      <c r="J892" s="27"/>
      <c r="K892" s="27"/>
    </row>
    <row r="893" customFormat="false" ht="15" hidden="false" customHeight="false" outlineLevel="0" collapsed="false">
      <c r="A893" s="29"/>
      <c r="B893" s="40" t="n">
        <f aca="false">IF($A893="",0,INT(($A893-Macrociclo!$C$11)/7)+1)</f>
        <v>0</v>
      </c>
      <c r="C893" s="27"/>
      <c r="D893" s="28"/>
      <c r="E893" s="28"/>
      <c r="F893" s="28"/>
      <c r="G893" s="28"/>
      <c r="H893" s="40" t="n">
        <f aca="false">IF(COUNT($D893:$G893)&lt;4,0,SUM($D893:$G893))</f>
        <v>0</v>
      </c>
      <c r="I893" s="26" t="str">
        <f aca="false">IF($H893=0,"",IF($H893&lt;=8,"Ótimo",IF($H893&lt;=12,"Bom",IF($H893&lt;=16,"Regular",IF($H893&lt;=20,"Alerta","Crítico")))))</f>
        <v/>
      </c>
      <c r="J893" s="27"/>
      <c r="K893" s="27"/>
    </row>
    <row r="894" customFormat="false" ht="15" hidden="false" customHeight="false" outlineLevel="0" collapsed="false">
      <c r="A894" s="29"/>
      <c r="B894" s="40" t="n">
        <f aca="false">IF($A894="",0,INT(($A894-Macrociclo!$C$11)/7)+1)</f>
        <v>0</v>
      </c>
      <c r="C894" s="27"/>
      <c r="D894" s="28"/>
      <c r="E894" s="28"/>
      <c r="F894" s="28"/>
      <c r="G894" s="28"/>
      <c r="H894" s="40" t="n">
        <f aca="false">IF(COUNT($D894:$G894)&lt;4,0,SUM($D894:$G894))</f>
        <v>0</v>
      </c>
      <c r="I894" s="26" t="str">
        <f aca="false">IF($H894=0,"",IF($H894&lt;=8,"Ótimo",IF($H894&lt;=12,"Bom",IF($H894&lt;=16,"Regular",IF($H894&lt;=20,"Alerta","Crítico")))))</f>
        <v/>
      </c>
      <c r="J894" s="27"/>
      <c r="K894" s="27"/>
    </row>
    <row r="895" customFormat="false" ht="15" hidden="false" customHeight="false" outlineLevel="0" collapsed="false">
      <c r="A895" s="29"/>
      <c r="B895" s="40" t="n">
        <f aca="false">IF($A895="",0,INT(($A895-Macrociclo!$C$11)/7)+1)</f>
        <v>0</v>
      </c>
      <c r="C895" s="27"/>
      <c r="D895" s="28"/>
      <c r="E895" s="28"/>
      <c r="F895" s="28"/>
      <c r="G895" s="28"/>
      <c r="H895" s="40" t="n">
        <f aca="false">IF(COUNT($D895:$G895)&lt;4,0,SUM($D895:$G895))</f>
        <v>0</v>
      </c>
      <c r="I895" s="26" t="str">
        <f aca="false">IF($H895=0,"",IF($H895&lt;=8,"Ótimo",IF($H895&lt;=12,"Bom",IF($H895&lt;=16,"Regular",IF($H895&lt;=20,"Alerta","Crítico")))))</f>
        <v/>
      </c>
      <c r="J895" s="27"/>
      <c r="K895" s="27"/>
    </row>
    <row r="896" customFormat="false" ht="15" hidden="false" customHeight="false" outlineLevel="0" collapsed="false">
      <c r="A896" s="29"/>
      <c r="B896" s="40" t="n">
        <f aca="false">IF($A896="",0,INT(($A896-Macrociclo!$C$11)/7)+1)</f>
        <v>0</v>
      </c>
      <c r="C896" s="27"/>
      <c r="D896" s="28"/>
      <c r="E896" s="28"/>
      <c r="F896" s="28"/>
      <c r="G896" s="28"/>
      <c r="H896" s="40" t="n">
        <f aca="false">IF(COUNT($D896:$G896)&lt;4,0,SUM($D896:$G896))</f>
        <v>0</v>
      </c>
      <c r="I896" s="26" t="str">
        <f aca="false">IF($H896=0,"",IF($H896&lt;=8,"Ótimo",IF($H896&lt;=12,"Bom",IF($H896&lt;=16,"Regular",IF($H896&lt;=20,"Alerta","Crítico")))))</f>
        <v/>
      </c>
      <c r="J896" s="27"/>
      <c r="K896" s="27"/>
    </row>
    <row r="897" customFormat="false" ht="15" hidden="false" customHeight="false" outlineLevel="0" collapsed="false">
      <c r="A897" s="29"/>
      <c r="B897" s="40" t="n">
        <f aca="false">IF($A897="",0,INT(($A897-Macrociclo!$C$11)/7)+1)</f>
        <v>0</v>
      </c>
      <c r="C897" s="27"/>
      <c r="D897" s="28"/>
      <c r="E897" s="28"/>
      <c r="F897" s="28"/>
      <c r="G897" s="28"/>
      <c r="H897" s="40" t="n">
        <f aca="false">IF(COUNT($D897:$G897)&lt;4,0,SUM($D897:$G897))</f>
        <v>0</v>
      </c>
      <c r="I897" s="26" t="str">
        <f aca="false">IF($H897=0,"",IF($H897&lt;=8,"Ótimo",IF($H897&lt;=12,"Bom",IF($H897&lt;=16,"Regular",IF($H897&lt;=20,"Alerta","Crítico")))))</f>
        <v/>
      </c>
      <c r="J897" s="27"/>
      <c r="K897" s="27"/>
    </row>
    <row r="898" customFormat="false" ht="15" hidden="false" customHeight="false" outlineLevel="0" collapsed="false">
      <c r="A898" s="29"/>
      <c r="B898" s="40" t="n">
        <f aca="false">IF($A898="",0,INT(($A898-Macrociclo!$C$11)/7)+1)</f>
        <v>0</v>
      </c>
      <c r="C898" s="27"/>
      <c r="D898" s="28"/>
      <c r="E898" s="28"/>
      <c r="F898" s="28"/>
      <c r="G898" s="28"/>
      <c r="H898" s="40" t="n">
        <f aca="false">IF(COUNT($D898:$G898)&lt;4,0,SUM($D898:$G898))</f>
        <v>0</v>
      </c>
      <c r="I898" s="26" t="str">
        <f aca="false">IF($H898=0,"",IF($H898&lt;=8,"Ótimo",IF($H898&lt;=12,"Bom",IF($H898&lt;=16,"Regular",IF($H898&lt;=20,"Alerta","Crítico")))))</f>
        <v/>
      </c>
      <c r="J898" s="27"/>
      <c r="K898" s="27"/>
    </row>
    <row r="899" customFormat="false" ht="15" hidden="false" customHeight="false" outlineLevel="0" collapsed="false">
      <c r="A899" s="29"/>
      <c r="B899" s="40" t="n">
        <f aca="false">IF($A899="",0,INT(($A899-Macrociclo!$C$11)/7)+1)</f>
        <v>0</v>
      </c>
      <c r="C899" s="27"/>
      <c r="D899" s="28"/>
      <c r="E899" s="28"/>
      <c r="F899" s="28"/>
      <c r="G899" s="28"/>
      <c r="H899" s="40" t="n">
        <f aca="false">IF(COUNT($D899:$G899)&lt;4,0,SUM($D899:$G899))</f>
        <v>0</v>
      </c>
      <c r="I899" s="26" t="str">
        <f aca="false">IF($H899=0,"",IF($H899&lt;=8,"Ótimo",IF($H899&lt;=12,"Bom",IF($H899&lt;=16,"Regular",IF($H899&lt;=20,"Alerta","Crítico")))))</f>
        <v/>
      </c>
      <c r="J899" s="27"/>
      <c r="K899" s="27"/>
    </row>
    <row r="900" customFormat="false" ht="15" hidden="false" customHeight="false" outlineLevel="0" collapsed="false">
      <c r="A900" s="29"/>
      <c r="B900" s="40" t="n">
        <f aca="false">IF($A900="",0,INT(($A900-Macrociclo!$C$11)/7)+1)</f>
        <v>0</v>
      </c>
      <c r="C900" s="27"/>
      <c r="D900" s="28"/>
      <c r="E900" s="28"/>
      <c r="F900" s="28"/>
      <c r="G900" s="28"/>
      <c r="H900" s="40" t="n">
        <f aca="false">IF(COUNT($D900:$G900)&lt;4,0,SUM($D900:$G900))</f>
        <v>0</v>
      </c>
      <c r="I900" s="26" t="str">
        <f aca="false">IF($H900=0,"",IF($H900&lt;=8,"Ótimo",IF($H900&lt;=12,"Bom",IF($H900&lt;=16,"Regular",IF($H900&lt;=20,"Alerta","Crítico")))))</f>
        <v/>
      </c>
      <c r="J900" s="27"/>
      <c r="K900" s="27"/>
    </row>
    <row r="901" customFormat="false" ht="15" hidden="false" customHeight="false" outlineLevel="0" collapsed="false">
      <c r="A901" s="29"/>
      <c r="B901" s="40" t="n">
        <f aca="false">IF($A901="",0,INT(($A901-Macrociclo!$C$11)/7)+1)</f>
        <v>0</v>
      </c>
      <c r="C901" s="27"/>
      <c r="D901" s="28"/>
      <c r="E901" s="28"/>
      <c r="F901" s="28"/>
      <c r="G901" s="28"/>
      <c r="H901" s="40" t="n">
        <f aca="false">IF(COUNT($D901:$G901)&lt;4,0,SUM($D901:$G901))</f>
        <v>0</v>
      </c>
      <c r="I901" s="26" t="str">
        <f aca="false">IF($H901=0,"",IF($H901&lt;=8,"Ótimo",IF($H901&lt;=12,"Bom",IF($H901&lt;=16,"Regular",IF($H901&lt;=20,"Alerta","Crítico")))))</f>
        <v/>
      </c>
      <c r="J901" s="27"/>
      <c r="K901" s="27"/>
    </row>
    <row r="902" customFormat="false" ht="15" hidden="false" customHeight="false" outlineLevel="0" collapsed="false">
      <c r="A902" s="29"/>
      <c r="B902" s="40" t="n">
        <f aca="false">IF($A902="",0,INT(($A902-Macrociclo!$C$11)/7)+1)</f>
        <v>0</v>
      </c>
      <c r="C902" s="27"/>
      <c r="D902" s="28"/>
      <c r="E902" s="28"/>
      <c r="F902" s="28"/>
      <c r="G902" s="28"/>
      <c r="H902" s="40" t="n">
        <f aca="false">IF(COUNT($D902:$G902)&lt;4,0,SUM($D902:$G902))</f>
        <v>0</v>
      </c>
      <c r="I902" s="26" t="str">
        <f aca="false">IF($H902=0,"",IF($H902&lt;=8,"Ótimo",IF($H902&lt;=12,"Bom",IF($H902&lt;=16,"Regular",IF($H902&lt;=20,"Alerta","Crítico")))))</f>
        <v/>
      </c>
      <c r="J902" s="27"/>
      <c r="K902" s="27"/>
    </row>
    <row r="903" customFormat="false" ht="15" hidden="false" customHeight="false" outlineLevel="0" collapsed="false">
      <c r="A903" s="29"/>
      <c r="B903" s="40" t="n">
        <f aca="false">IF($A903="",0,INT(($A903-Macrociclo!$C$11)/7)+1)</f>
        <v>0</v>
      </c>
      <c r="C903" s="27"/>
      <c r="D903" s="28"/>
      <c r="E903" s="28"/>
      <c r="F903" s="28"/>
      <c r="G903" s="28"/>
      <c r="H903" s="40" t="n">
        <f aca="false">IF(COUNT($D903:$G903)&lt;4,0,SUM($D903:$G903))</f>
        <v>0</v>
      </c>
      <c r="I903" s="26" t="str">
        <f aca="false">IF($H903=0,"",IF($H903&lt;=8,"Ótimo",IF($H903&lt;=12,"Bom",IF($H903&lt;=16,"Regular",IF($H903&lt;=20,"Alerta","Crítico")))))</f>
        <v/>
      </c>
      <c r="J903" s="27"/>
      <c r="K903" s="27"/>
    </row>
    <row r="904" customFormat="false" ht="15" hidden="false" customHeight="false" outlineLevel="0" collapsed="false">
      <c r="A904" s="29"/>
      <c r="B904" s="40" t="n">
        <f aca="false">IF($A904="",0,INT(($A904-Macrociclo!$C$11)/7)+1)</f>
        <v>0</v>
      </c>
      <c r="C904" s="27"/>
      <c r="D904" s="28"/>
      <c r="E904" s="28"/>
      <c r="F904" s="28"/>
      <c r="G904" s="28"/>
      <c r="H904" s="40" t="n">
        <f aca="false">IF(COUNT($D904:$G904)&lt;4,0,SUM($D904:$G904))</f>
        <v>0</v>
      </c>
      <c r="I904" s="26" t="str">
        <f aca="false">IF($H904=0,"",IF($H904&lt;=8,"Ótimo",IF($H904&lt;=12,"Bom",IF($H904&lt;=16,"Regular",IF($H904&lt;=20,"Alerta","Crítico")))))</f>
        <v/>
      </c>
      <c r="J904" s="27"/>
      <c r="K904" s="27"/>
    </row>
    <row r="905" customFormat="false" ht="15" hidden="false" customHeight="false" outlineLevel="0" collapsed="false">
      <c r="A905" s="29"/>
      <c r="B905" s="40" t="n">
        <f aca="false">IF($A905="",0,INT(($A905-Macrociclo!$C$11)/7)+1)</f>
        <v>0</v>
      </c>
      <c r="C905" s="27"/>
      <c r="D905" s="28"/>
      <c r="E905" s="28"/>
      <c r="F905" s="28"/>
      <c r="G905" s="28"/>
      <c r="H905" s="40" t="n">
        <f aca="false">IF(COUNT($D905:$G905)&lt;4,0,SUM($D905:$G905))</f>
        <v>0</v>
      </c>
      <c r="I905" s="26" t="str">
        <f aca="false">IF($H905=0,"",IF($H905&lt;=8,"Ótimo",IF($H905&lt;=12,"Bom",IF($H905&lt;=16,"Regular",IF($H905&lt;=20,"Alerta","Crítico")))))</f>
        <v/>
      </c>
      <c r="J905" s="27"/>
      <c r="K905" s="27"/>
    </row>
    <row r="906" customFormat="false" ht="15" hidden="false" customHeight="false" outlineLevel="0" collapsed="false">
      <c r="A906" s="29"/>
      <c r="B906" s="40" t="n">
        <f aca="false">IF($A906="",0,INT(($A906-Macrociclo!$C$11)/7)+1)</f>
        <v>0</v>
      </c>
      <c r="C906" s="27"/>
      <c r="D906" s="28"/>
      <c r="E906" s="28"/>
      <c r="F906" s="28"/>
      <c r="G906" s="28"/>
      <c r="H906" s="40" t="n">
        <f aca="false">IF(COUNT($D906:$G906)&lt;4,0,SUM($D906:$G906))</f>
        <v>0</v>
      </c>
      <c r="I906" s="26" t="str">
        <f aca="false">IF($H906=0,"",IF($H906&lt;=8,"Ótimo",IF($H906&lt;=12,"Bom",IF($H906&lt;=16,"Regular",IF($H906&lt;=20,"Alerta","Crítico")))))</f>
        <v/>
      </c>
      <c r="J906" s="27"/>
      <c r="K906" s="27"/>
    </row>
    <row r="907" customFormat="false" ht="15" hidden="false" customHeight="false" outlineLevel="0" collapsed="false">
      <c r="A907" s="29"/>
      <c r="B907" s="40" t="n">
        <f aca="false">IF($A907="",0,INT(($A907-Macrociclo!$C$11)/7)+1)</f>
        <v>0</v>
      </c>
      <c r="C907" s="27"/>
      <c r="D907" s="28"/>
      <c r="E907" s="28"/>
      <c r="F907" s="28"/>
      <c r="G907" s="28"/>
      <c r="H907" s="40" t="n">
        <f aca="false">IF(COUNT($D907:$G907)&lt;4,0,SUM($D907:$G907))</f>
        <v>0</v>
      </c>
      <c r="I907" s="26" t="str">
        <f aca="false">IF($H907=0,"",IF($H907&lt;=8,"Ótimo",IF($H907&lt;=12,"Bom",IF($H907&lt;=16,"Regular",IF($H907&lt;=20,"Alerta","Crítico")))))</f>
        <v/>
      </c>
      <c r="J907" s="27"/>
      <c r="K907" s="27"/>
    </row>
    <row r="908" customFormat="false" ht="15" hidden="false" customHeight="false" outlineLevel="0" collapsed="false">
      <c r="A908" s="29"/>
      <c r="B908" s="40" t="n">
        <f aca="false">IF($A908="",0,INT(($A908-Macrociclo!$C$11)/7)+1)</f>
        <v>0</v>
      </c>
      <c r="C908" s="27"/>
      <c r="D908" s="28"/>
      <c r="E908" s="28"/>
      <c r="F908" s="28"/>
      <c r="G908" s="28"/>
      <c r="H908" s="40" t="n">
        <f aca="false">IF(COUNT($D908:$G908)&lt;4,0,SUM($D908:$G908))</f>
        <v>0</v>
      </c>
      <c r="I908" s="26" t="str">
        <f aca="false">IF($H908=0,"",IF($H908&lt;=8,"Ótimo",IF($H908&lt;=12,"Bom",IF($H908&lt;=16,"Regular",IF($H908&lt;=20,"Alerta","Crítico")))))</f>
        <v/>
      </c>
      <c r="J908" s="27"/>
      <c r="K908" s="27"/>
    </row>
    <row r="909" customFormat="false" ht="15" hidden="false" customHeight="false" outlineLevel="0" collapsed="false">
      <c r="A909" s="29"/>
      <c r="B909" s="40" t="n">
        <f aca="false">IF($A909="",0,INT(($A909-Macrociclo!$C$11)/7)+1)</f>
        <v>0</v>
      </c>
      <c r="C909" s="27"/>
      <c r="D909" s="28"/>
      <c r="E909" s="28"/>
      <c r="F909" s="28"/>
      <c r="G909" s="28"/>
      <c r="H909" s="40" t="n">
        <f aca="false">IF(COUNT($D909:$G909)&lt;4,0,SUM($D909:$G909))</f>
        <v>0</v>
      </c>
      <c r="I909" s="26" t="str">
        <f aca="false">IF($H909=0,"",IF($H909&lt;=8,"Ótimo",IF($H909&lt;=12,"Bom",IF($H909&lt;=16,"Regular",IF($H909&lt;=20,"Alerta","Crítico")))))</f>
        <v/>
      </c>
      <c r="J909" s="27"/>
      <c r="K909" s="27"/>
    </row>
    <row r="910" customFormat="false" ht="15" hidden="false" customHeight="false" outlineLevel="0" collapsed="false">
      <c r="A910" s="29"/>
      <c r="B910" s="40" t="n">
        <f aca="false">IF($A910="",0,INT(($A910-Macrociclo!$C$11)/7)+1)</f>
        <v>0</v>
      </c>
      <c r="C910" s="27"/>
      <c r="D910" s="28"/>
      <c r="E910" s="28"/>
      <c r="F910" s="28"/>
      <c r="G910" s="28"/>
      <c r="H910" s="40" t="n">
        <f aca="false">IF(COUNT($D910:$G910)&lt;4,0,SUM($D910:$G910))</f>
        <v>0</v>
      </c>
      <c r="I910" s="26" t="str">
        <f aca="false">IF($H910=0,"",IF($H910&lt;=8,"Ótimo",IF($H910&lt;=12,"Bom",IF($H910&lt;=16,"Regular",IF($H910&lt;=20,"Alerta","Crítico")))))</f>
        <v/>
      </c>
      <c r="J910" s="27"/>
      <c r="K910" s="27"/>
    </row>
    <row r="911" customFormat="false" ht="15" hidden="false" customHeight="false" outlineLevel="0" collapsed="false">
      <c r="A911" s="29"/>
      <c r="B911" s="40" t="n">
        <f aca="false">IF($A911="",0,INT(($A911-Macrociclo!$C$11)/7)+1)</f>
        <v>0</v>
      </c>
      <c r="C911" s="27"/>
      <c r="D911" s="28"/>
      <c r="E911" s="28"/>
      <c r="F911" s="28"/>
      <c r="G911" s="28"/>
      <c r="H911" s="40" t="n">
        <f aca="false">IF(COUNT($D911:$G911)&lt;4,0,SUM($D911:$G911))</f>
        <v>0</v>
      </c>
      <c r="I911" s="26" t="str">
        <f aca="false">IF($H911=0,"",IF($H911&lt;=8,"Ótimo",IF($H911&lt;=12,"Bom",IF($H911&lt;=16,"Regular",IF($H911&lt;=20,"Alerta","Crítico")))))</f>
        <v/>
      </c>
      <c r="J911" s="27"/>
      <c r="K911" s="27"/>
    </row>
    <row r="912" customFormat="false" ht="15" hidden="false" customHeight="false" outlineLevel="0" collapsed="false">
      <c r="A912" s="29"/>
      <c r="B912" s="40" t="n">
        <f aca="false">IF($A912="",0,INT(($A912-Macrociclo!$C$11)/7)+1)</f>
        <v>0</v>
      </c>
      <c r="C912" s="27"/>
      <c r="D912" s="28"/>
      <c r="E912" s="28"/>
      <c r="F912" s="28"/>
      <c r="G912" s="28"/>
      <c r="H912" s="40" t="n">
        <f aca="false">IF(COUNT($D912:$G912)&lt;4,0,SUM($D912:$G912))</f>
        <v>0</v>
      </c>
      <c r="I912" s="26" t="str">
        <f aca="false">IF($H912=0,"",IF($H912&lt;=8,"Ótimo",IF($H912&lt;=12,"Bom",IF($H912&lt;=16,"Regular",IF($H912&lt;=20,"Alerta","Crítico")))))</f>
        <v/>
      </c>
      <c r="J912" s="27"/>
      <c r="K912" s="27"/>
    </row>
    <row r="913" customFormat="false" ht="15" hidden="false" customHeight="false" outlineLevel="0" collapsed="false">
      <c r="A913" s="29"/>
      <c r="B913" s="40" t="n">
        <f aca="false">IF($A913="",0,INT(($A913-Macrociclo!$C$11)/7)+1)</f>
        <v>0</v>
      </c>
      <c r="C913" s="27"/>
      <c r="D913" s="28"/>
      <c r="E913" s="28"/>
      <c r="F913" s="28"/>
      <c r="G913" s="28"/>
      <c r="H913" s="40" t="n">
        <f aca="false">IF(COUNT($D913:$G913)&lt;4,0,SUM($D913:$G913))</f>
        <v>0</v>
      </c>
      <c r="I913" s="26" t="str">
        <f aca="false">IF($H913=0,"",IF($H913&lt;=8,"Ótimo",IF($H913&lt;=12,"Bom",IF($H913&lt;=16,"Regular",IF($H913&lt;=20,"Alerta","Crítico")))))</f>
        <v/>
      </c>
      <c r="J913" s="27"/>
      <c r="K913" s="27"/>
    </row>
    <row r="914" customFormat="false" ht="15" hidden="false" customHeight="false" outlineLevel="0" collapsed="false">
      <c r="A914" s="29"/>
      <c r="B914" s="40" t="n">
        <f aca="false">IF($A914="",0,INT(($A914-Macrociclo!$C$11)/7)+1)</f>
        <v>0</v>
      </c>
      <c r="C914" s="27"/>
      <c r="D914" s="28"/>
      <c r="E914" s="28"/>
      <c r="F914" s="28"/>
      <c r="G914" s="28"/>
      <c r="H914" s="40" t="n">
        <f aca="false">IF(COUNT($D914:$G914)&lt;4,0,SUM($D914:$G914))</f>
        <v>0</v>
      </c>
      <c r="I914" s="26" t="str">
        <f aca="false">IF($H914=0,"",IF($H914&lt;=8,"Ótimo",IF($H914&lt;=12,"Bom",IF($H914&lt;=16,"Regular",IF($H914&lt;=20,"Alerta","Crítico")))))</f>
        <v/>
      </c>
      <c r="J914" s="27"/>
      <c r="K914" s="27"/>
    </row>
    <row r="915" customFormat="false" ht="15" hidden="false" customHeight="false" outlineLevel="0" collapsed="false">
      <c r="A915" s="29"/>
      <c r="B915" s="40" t="n">
        <f aca="false">IF($A915="",0,INT(($A915-Macrociclo!$C$11)/7)+1)</f>
        <v>0</v>
      </c>
      <c r="C915" s="27"/>
      <c r="D915" s="28"/>
      <c r="E915" s="28"/>
      <c r="F915" s="28"/>
      <c r="G915" s="28"/>
      <c r="H915" s="40" t="n">
        <f aca="false">IF(COUNT($D915:$G915)&lt;4,0,SUM($D915:$G915))</f>
        <v>0</v>
      </c>
      <c r="I915" s="26" t="str">
        <f aca="false">IF($H915=0,"",IF($H915&lt;=8,"Ótimo",IF($H915&lt;=12,"Bom",IF($H915&lt;=16,"Regular",IF($H915&lt;=20,"Alerta","Crítico")))))</f>
        <v/>
      </c>
      <c r="J915" s="27"/>
      <c r="K915" s="27"/>
    </row>
    <row r="916" customFormat="false" ht="15" hidden="false" customHeight="false" outlineLevel="0" collapsed="false">
      <c r="A916" s="29"/>
      <c r="B916" s="40" t="n">
        <f aca="false">IF($A916="",0,INT(($A916-Macrociclo!$C$11)/7)+1)</f>
        <v>0</v>
      </c>
      <c r="C916" s="27"/>
      <c r="D916" s="28"/>
      <c r="E916" s="28"/>
      <c r="F916" s="28"/>
      <c r="G916" s="28"/>
      <c r="H916" s="40" t="n">
        <f aca="false">IF(COUNT($D916:$G916)&lt;4,0,SUM($D916:$G916))</f>
        <v>0</v>
      </c>
      <c r="I916" s="26" t="str">
        <f aca="false">IF($H916=0,"",IF($H916&lt;=8,"Ótimo",IF($H916&lt;=12,"Bom",IF($H916&lt;=16,"Regular",IF($H916&lt;=20,"Alerta","Crítico")))))</f>
        <v/>
      </c>
      <c r="J916" s="27"/>
      <c r="K916" s="27"/>
    </row>
    <row r="917" customFormat="false" ht="15" hidden="false" customHeight="false" outlineLevel="0" collapsed="false">
      <c r="A917" s="29"/>
      <c r="B917" s="40" t="n">
        <f aca="false">IF($A917="",0,INT(($A917-Macrociclo!$C$11)/7)+1)</f>
        <v>0</v>
      </c>
      <c r="C917" s="27"/>
      <c r="D917" s="28"/>
      <c r="E917" s="28"/>
      <c r="F917" s="28"/>
      <c r="G917" s="28"/>
      <c r="H917" s="40" t="n">
        <f aca="false">IF(COUNT($D917:$G917)&lt;4,0,SUM($D917:$G917))</f>
        <v>0</v>
      </c>
      <c r="I917" s="26" t="str">
        <f aca="false">IF($H917=0,"",IF($H917&lt;=8,"Ótimo",IF($H917&lt;=12,"Bom",IF($H917&lt;=16,"Regular",IF($H917&lt;=20,"Alerta","Crítico")))))</f>
        <v/>
      </c>
      <c r="J917" s="27"/>
      <c r="K917" s="27"/>
    </row>
    <row r="918" customFormat="false" ht="15" hidden="false" customHeight="false" outlineLevel="0" collapsed="false">
      <c r="A918" s="29"/>
      <c r="B918" s="40" t="n">
        <f aca="false">IF($A918="",0,INT(($A918-Macrociclo!$C$11)/7)+1)</f>
        <v>0</v>
      </c>
      <c r="C918" s="27"/>
      <c r="D918" s="28"/>
      <c r="E918" s="28"/>
      <c r="F918" s="28"/>
      <c r="G918" s="28"/>
      <c r="H918" s="40" t="n">
        <f aca="false">IF(COUNT($D918:$G918)&lt;4,0,SUM($D918:$G918))</f>
        <v>0</v>
      </c>
      <c r="I918" s="26" t="str">
        <f aca="false">IF($H918=0,"",IF($H918&lt;=8,"Ótimo",IF($H918&lt;=12,"Bom",IF($H918&lt;=16,"Regular",IF($H918&lt;=20,"Alerta","Crítico")))))</f>
        <v/>
      </c>
      <c r="J918" s="27"/>
      <c r="K918" s="27"/>
    </row>
    <row r="919" customFormat="false" ht="15" hidden="false" customHeight="false" outlineLevel="0" collapsed="false">
      <c r="A919" s="29"/>
      <c r="B919" s="40" t="n">
        <f aca="false">IF($A919="",0,INT(($A919-Macrociclo!$C$11)/7)+1)</f>
        <v>0</v>
      </c>
      <c r="C919" s="27"/>
      <c r="D919" s="28"/>
      <c r="E919" s="28"/>
      <c r="F919" s="28"/>
      <c r="G919" s="28"/>
      <c r="H919" s="40" t="n">
        <f aca="false">IF(COUNT($D919:$G919)&lt;4,0,SUM($D919:$G919))</f>
        <v>0</v>
      </c>
      <c r="I919" s="26" t="str">
        <f aca="false">IF($H919=0,"",IF($H919&lt;=8,"Ótimo",IF($H919&lt;=12,"Bom",IF($H919&lt;=16,"Regular",IF($H919&lt;=20,"Alerta","Crítico")))))</f>
        <v/>
      </c>
      <c r="J919" s="27"/>
      <c r="K919" s="27"/>
    </row>
    <row r="920" customFormat="false" ht="15" hidden="false" customHeight="false" outlineLevel="0" collapsed="false">
      <c r="A920" s="29"/>
      <c r="B920" s="40" t="n">
        <f aca="false">IF($A920="",0,INT(($A920-Macrociclo!$C$11)/7)+1)</f>
        <v>0</v>
      </c>
      <c r="C920" s="27"/>
      <c r="D920" s="28"/>
      <c r="E920" s="28"/>
      <c r="F920" s="28"/>
      <c r="G920" s="28"/>
      <c r="H920" s="40" t="n">
        <f aca="false">IF(COUNT($D920:$G920)&lt;4,0,SUM($D920:$G920))</f>
        <v>0</v>
      </c>
      <c r="I920" s="26" t="str">
        <f aca="false">IF($H920=0,"",IF($H920&lt;=8,"Ótimo",IF($H920&lt;=12,"Bom",IF($H920&lt;=16,"Regular",IF($H920&lt;=20,"Alerta","Crítico")))))</f>
        <v/>
      </c>
      <c r="J920" s="27"/>
      <c r="K920" s="27"/>
    </row>
    <row r="921" customFormat="false" ht="15" hidden="false" customHeight="false" outlineLevel="0" collapsed="false">
      <c r="A921" s="29"/>
      <c r="B921" s="40" t="n">
        <f aca="false">IF($A921="",0,INT(($A921-Macrociclo!$C$11)/7)+1)</f>
        <v>0</v>
      </c>
      <c r="C921" s="27"/>
      <c r="D921" s="28"/>
      <c r="E921" s="28"/>
      <c r="F921" s="28"/>
      <c r="G921" s="28"/>
      <c r="H921" s="40" t="n">
        <f aca="false">IF(COUNT($D921:$G921)&lt;4,0,SUM($D921:$G921))</f>
        <v>0</v>
      </c>
      <c r="I921" s="26" t="str">
        <f aca="false">IF($H921=0,"",IF($H921&lt;=8,"Ótimo",IF($H921&lt;=12,"Bom",IF($H921&lt;=16,"Regular",IF($H921&lt;=20,"Alerta","Crítico")))))</f>
        <v/>
      </c>
      <c r="J921" s="27"/>
      <c r="K921" s="27"/>
    </row>
    <row r="922" customFormat="false" ht="15" hidden="false" customHeight="false" outlineLevel="0" collapsed="false">
      <c r="A922" s="29"/>
      <c r="B922" s="40" t="n">
        <f aca="false">IF($A922="",0,INT(($A922-Macrociclo!$C$11)/7)+1)</f>
        <v>0</v>
      </c>
      <c r="C922" s="27"/>
      <c r="D922" s="28"/>
      <c r="E922" s="28"/>
      <c r="F922" s="28"/>
      <c r="G922" s="28"/>
      <c r="H922" s="40" t="n">
        <f aca="false">IF(COUNT($D922:$G922)&lt;4,0,SUM($D922:$G922))</f>
        <v>0</v>
      </c>
      <c r="I922" s="26" t="str">
        <f aca="false">IF($H922=0,"",IF($H922&lt;=8,"Ótimo",IF($H922&lt;=12,"Bom",IF($H922&lt;=16,"Regular",IF($H922&lt;=20,"Alerta","Crítico")))))</f>
        <v/>
      </c>
      <c r="J922" s="27"/>
      <c r="K922" s="27"/>
    </row>
    <row r="923" customFormat="false" ht="15" hidden="false" customHeight="false" outlineLevel="0" collapsed="false">
      <c r="A923" s="29"/>
      <c r="B923" s="40" t="n">
        <f aca="false">IF($A923="",0,INT(($A923-Macrociclo!$C$11)/7)+1)</f>
        <v>0</v>
      </c>
      <c r="C923" s="27"/>
      <c r="D923" s="28"/>
      <c r="E923" s="28"/>
      <c r="F923" s="28"/>
      <c r="G923" s="28"/>
      <c r="H923" s="40" t="n">
        <f aca="false">IF(COUNT($D923:$G923)&lt;4,0,SUM($D923:$G923))</f>
        <v>0</v>
      </c>
      <c r="I923" s="26" t="str">
        <f aca="false">IF($H923=0,"",IF($H923&lt;=8,"Ótimo",IF($H923&lt;=12,"Bom",IF($H923&lt;=16,"Regular",IF($H923&lt;=20,"Alerta","Crítico")))))</f>
        <v/>
      </c>
      <c r="J923" s="27"/>
      <c r="K923" s="27"/>
    </row>
    <row r="924" customFormat="false" ht="15" hidden="false" customHeight="false" outlineLevel="0" collapsed="false">
      <c r="A924" s="29"/>
      <c r="B924" s="40" t="n">
        <f aca="false">IF($A924="",0,INT(($A924-Macrociclo!$C$11)/7)+1)</f>
        <v>0</v>
      </c>
      <c r="C924" s="27"/>
      <c r="D924" s="28"/>
      <c r="E924" s="28"/>
      <c r="F924" s="28"/>
      <c r="G924" s="28"/>
      <c r="H924" s="40" t="n">
        <f aca="false">IF(COUNT($D924:$G924)&lt;4,0,SUM($D924:$G924))</f>
        <v>0</v>
      </c>
      <c r="I924" s="26" t="str">
        <f aca="false">IF($H924=0,"",IF($H924&lt;=8,"Ótimo",IF($H924&lt;=12,"Bom",IF($H924&lt;=16,"Regular",IF($H924&lt;=20,"Alerta","Crítico")))))</f>
        <v/>
      </c>
      <c r="J924" s="27"/>
      <c r="K924" s="27"/>
    </row>
    <row r="925" customFormat="false" ht="15" hidden="false" customHeight="false" outlineLevel="0" collapsed="false">
      <c r="A925" s="29"/>
      <c r="B925" s="40" t="n">
        <f aca="false">IF($A925="",0,INT(($A925-Macrociclo!$C$11)/7)+1)</f>
        <v>0</v>
      </c>
      <c r="C925" s="27"/>
      <c r="D925" s="28"/>
      <c r="E925" s="28"/>
      <c r="F925" s="28"/>
      <c r="G925" s="28"/>
      <c r="H925" s="40" t="n">
        <f aca="false">IF(COUNT($D925:$G925)&lt;4,0,SUM($D925:$G925))</f>
        <v>0</v>
      </c>
      <c r="I925" s="26" t="str">
        <f aca="false">IF($H925=0,"",IF($H925&lt;=8,"Ótimo",IF($H925&lt;=12,"Bom",IF($H925&lt;=16,"Regular",IF($H925&lt;=20,"Alerta","Crítico")))))</f>
        <v/>
      </c>
      <c r="J925" s="27"/>
      <c r="K925" s="27"/>
    </row>
    <row r="926" customFormat="false" ht="15" hidden="false" customHeight="false" outlineLevel="0" collapsed="false">
      <c r="A926" s="29"/>
      <c r="B926" s="40" t="n">
        <f aca="false">IF($A926="",0,INT(($A926-Macrociclo!$C$11)/7)+1)</f>
        <v>0</v>
      </c>
      <c r="C926" s="27"/>
      <c r="D926" s="28"/>
      <c r="E926" s="28"/>
      <c r="F926" s="28"/>
      <c r="G926" s="28"/>
      <c r="H926" s="40" t="n">
        <f aca="false">IF(COUNT($D926:$G926)&lt;4,0,SUM($D926:$G926))</f>
        <v>0</v>
      </c>
      <c r="I926" s="26" t="str">
        <f aca="false">IF($H926=0,"",IF($H926&lt;=8,"Ótimo",IF($H926&lt;=12,"Bom",IF($H926&lt;=16,"Regular",IF($H926&lt;=20,"Alerta","Crítico")))))</f>
        <v/>
      </c>
      <c r="J926" s="27"/>
      <c r="K926" s="27"/>
    </row>
    <row r="927" customFormat="false" ht="15" hidden="false" customHeight="false" outlineLevel="0" collapsed="false">
      <c r="A927" s="29"/>
      <c r="B927" s="40" t="n">
        <f aca="false">IF($A927="",0,INT(($A927-Macrociclo!$C$11)/7)+1)</f>
        <v>0</v>
      </c>
      <c r="C927" s="27"/>
      <c r="D927" s="28"/>
      <c r="E927" s="28"/>
      <c r="F927" s="28"/>
      <c r="G927" s="28"/>
      <c r="H927" s="40" t="n">
        <f aca="false">IF(COUNT($D927:$G927)&lt;4,0,SUM($D927:$G927))</f>
        <v>0</v>
      </c>
      <c r="I927" s="26" t="str">
        <f aca="false">IF($H927=0,"",IF($H927&lt;=8,"Ótimo",IF($H927&lt;=12,"Bom",IF($H927&lt;=16,"Regular",IF($H927&lt;=20,"Alerta","Crítico")))))</f>
        <v/>
      </c>
      <c r="J927" s="27"/>
      <c r="K927" s="27"/>
    </row>
    <row r="928" customFormat="false" ht="15" hidden="false" customHeight="false" outlineLevel="0" collapsed="false">
      <c r="A928" s="29"/>
      <c r="B928" s="40" t="n">
        <f aca="false">IF($A928="",0,INT(($A928-Macrociclo!$C$11)/7)+1)</f>
        <v>0</v>
      </c>
      <c r="C928" s="27"/>
      <c r="D928" s="28"/>
      <c r="E928" s="28"/>
      <c r="F928" s="28"/>
      <c r="G928" s="28"/>
      <c r="H928" s="40" t="n">
        <f aca="false">IF(COUNT($D928:$G928)&lt;4,0,SUM($D928:$G928))</f>
        <v>0</v>
      </c>
      <c r="I928" s="26" t="str">
        <f aca="false">IF($H928=0,"",IF($H928&lt;=8,"Ótimo",IF($H928&lt;=12,"Bom",IF($H928&lt;=16,"Regular",IF($H928&lt;=20,"Alerta","Crítico")))))</f>
        <v/>
      </c>
      <c r="J928" s="27"/>
      <c r="K928" s="27"/>
    </row>
    <row r="929" customFormat="false" ht="15" hidden="false" customHeight="false" outlineLevel="0" collapsed="false">
      <c r="A929" s="29"/>
      <c r="B929" s="40" t="n">
        <f aca="false">IF($A929="",0,INT(($A929-Macrociclo!$C$11)/7)+1)</f>
        <v>0</v>
      </c>
      <c r="C929" s="27"/>
      <c r="D929" s="28"/>
      <c r="E929" s="28"/>
      <c r="F929" s="28"/>
      <c r="G929" s="28"/>
      <c r="H929" s="40" t="n">
        <f aca="false">IF(COUNT($D929:$G929)&lt;4,0,SUM($D929:$G929))</f>
        <v>0</v>
      </c>
      <c r="I929" s="26" t="str">
        <f aca="false">IF($H929=0,"",IF($H929&lt;=8,"Ótimo",IF($H929&lt;=12,"Bom",IF($H929&lt;=16,"Regular",IF($H929&lt;=20,"Alerta","Crítico")))))</f>
        <v/>
      </c>
      <c r="J929" s="27"/>
      <c r="K929" s="27"/>
    </row>
    <row r="930" customFormat="false" ht="15" hidden="false" customHeight="false" outlineLevel="0" collapsed="false">
      <c r="A930" s="29"/>
      <c r="B930" s="40" t="n">
        <f aca="false">IF($A930="",0,INT(($A930-Macrociclo!$C$11)/7)+1)</f>
        <v>0</v>
      </c>
      <c r="C930" s="27"/>
      <c r="D930" s="28"/>
      <c r="E930" s="28"/>
      <c r="F930" s="28"/>
      <c r="G930" s="28"/>
      <c r="H930" s="40" t="n">
        <f aca="false">IF(COUNT($D930:$G930)&lt;4,0,SUM($D930:$G930))</f>
        <v>0</v>
      </c>
      <c r="I930" s="26" t="str">
        <f aca="false">IF($H930=0,"",IF($H930&lt;=8,"Ótimo",IF($H930&lt;=12,"Bom",IF($H930&lt;=16,"Regular",IF($H930&lt;=20,"Alerta","Crítico")))))</f>
        <v/>
      </c>
      <c r="J930" s="27"/>
      <c r="K930" s="27"/>
    </row>
    <row r="931" customFormat="false" ht="15" hidden="false" customHeight="false" outlineLevel="0" collapsed="false">
      <c r="A931" s="29"/>
      <c r="B931" s="40" t="n">
        <f aca="false">IF($A931="",0,INT(($A931-Macrociclo!$C$11)/7)+1)</f>
        <v>0</v>
      </c>
      <c r="C931" s="27"/>
      <c r="D931" s="28"/>
      <c r="E931" s="28"/>
      <c r="F931" s="28"/>
      <c r="G931" s="28"/>
      <c r="H931" s="40" t="n">
        <f aca="false">IF(COUNT($D931:$G931)&lt;4,0,SUM($D931:$G931))</f>
        <v>0</v>
      </c>
      <c r="I931" s="26" t="str">
        <f aca="false">IF($H931=0,"",IF($H931&lt;=8,"Ótimo",IF($H931&lt;=12,"Bom",IF($H931&lt;=16,"Regular",IF($H931&lt;=20,"Alerta","Crítico")))))</f>
        <v/>
      </c>
      <c r="J931" s="27"/>
      <c r="K931" s="27"/>
    </row>
    <row r="932" customFormat="false" ht="15" hidden="false" customHeight="false" outlineLevel="0" collapsed="false">
      <c r="A932" s="29"/>
      <c r="B932" s="40" t="n">
        <f aca="false">IF($A932="",0,INT(($A932-Macrociclo!$C$11)/7)+1)</f>
        <v>0</v>
      </c>
      <c r="C932" s="27"/>
      <c r="D932" s="28"/>
      <c r="E932" s="28"/>
      <c r="F932" s="28"/>
      <c r="G932" s="28"/>
      <c r="H932" s="40" t="n">
        <f aca="false">IF(COUNT($D932:$G932)&lt;4,0,SUM($D932:$G932))</f>
        <v>0</v>
      </c>
      <c r="I932" s="26" t="str">
        <f aca="false">IF($H932=0,"",IF($H932&lt;=8,"Ótimo",IF($H932&lt;=12,"Bom",IF($H932&lt;=16,"Regular",IF($H932&lt;=20,"Alerta","Crítico")))))</f>
        <v/>
      </c>
      <c r="J932" s="27"/>
      <c r="K932" s="27"/>
    </row>
    <row r="933" customFormat="false" ht="15" hidden="false" customHeight="false" outlineLevel="0" collapsed="false">
      <c r="A933" s="29"/>
      <c r="B933" s="40" t="n">
        <f aca="false">IF($A933="",0,INT(($A933-Macrociclo!$C$11)/7)+1)</f>
        <v>0</v>
      </c>
      <c r="C933" s="27"/>
      <c r="D933" s="28"/>
      <c r="E933" s="28"/>
      <c r="F933" s="28"/>
      <c r="G933" s="28"/>
      <c r="H933" s="40" t="n">
        <f aca="false">IF(COUNT($D933:$G933)&lt;4,0,SUM($D933:$G933))</f>
        <v>0</v>
      </c>
      <c r="I933" s="26" t="str">
        <f aca="false">IF($H933=0,"",IF($H933&lt;=8,"Ótimo",IF($H933&lt;=12,"Bom",IF($H933&lt;=16,"Regular",IF($H933&lt;=20,"Alerta","Crítico")))))</f>
        <v/>
      </c>
      <c r="J933" s="27"/>
      <c r="K933" s="27"/>
    </row>
    <row r="934" customFormat="false" ht="15" hidden="false" customHeight="false" outlineLevel="0" collapsed="false">
      <c r="A934" s="29"/>
      <c r="B934" s="40" t="n">
        <f aca="false">IF($A934="",0,INT(($A934-Macrociclo!$C$11)/7)+1)</f>
        <v>0</v>
      </c>
      <c r="C934" s="27"/>
      <c r="D934" s="28"/>
      <c r="E934" s="28"/>
      <c r="F934" s="28"/>
      <c r="G934" s="28"/>
      <c r="H934" s="40" t="n">
        <f aca="false">IF(COUNT($D934:$G934)&lt;4,0,SUM($D934:$G934))</f>
        <v>0</v>
      </c>
      <c r="I934" s="26" t="str">
        <f aca="false">IF($H934=0,"",IF($H934&lt;=8,"Ótimo",IF($H934&lt;=12,"Bom",IF($H934&lt;=16,"Regular",IF($H934&lt;=20,"Alerta","Crítico")))))</f>
        <v/>
      </c>
      <c r="J934" s="27"/>
      <c r="K934" s="27"/>
    </row>
    <row r="935" customFormat="false" ht="15" hidden="false" customHeight="false" outlineLevel="0" collapsed="false">
      <c r="A935" s="29"/>
      <c r="B935" s="40" t="n">
        <f aca="false">IF($A935="",0,INT(($A935-Macrociclo!$C$11)/7)+1)</f>
        <v>0</v>
      </c>
      <c r="C935" s="27"/>
      <c r="D935" s="28"/>
      <c r="E935" s="28"/>
      <c r="F935" s="28"/>
      <c r="G935" s="28"/>
      <c r="H935" s="40" t="n">
        <f aca="false">IF(COUNT($D935:$G935)&lt;4,0,SUM($D935:$G935))</f>
        <v>0</v>
      </c>
      <c r="I935" s="26" t="str">
        <f aca="false">IF($H935=0,"",IF($H935&lt;=8,"Ótimo",IF($H935&lt;=12,"Bom",IF($H935&lt;=16,"Regular",IF($H935&lt;=20,"Alerta","Crítico")))))</f>
        <v/>
      </c>
      <c r="J935" s="27"/>
      <c r="K935" s="27"/>
    </row>
    <row r="936" customFormat="false" ht="15" hidden="false" customHeight="false" outlineLevel="0" collapsed="false">
      <c r="A936" s="29"/>
      <c r="B936" s="40" t="n">
        <f aca="false">IF($A936="",0,INT(($A936-Macrociclo!$C$11)/7)+1)</f>
        <v>0</v>
      </c>
      <c r="C936" s="27"/>
      <c r="D936" s="28"/>
      <c r="E936" s="28"/>
      <c r="F936" s="28"/>
      <c r="G936" s="28"/>
      <c r="H936" s="40" t="n">
        <f aca="false">IF(COUNT($D936:$G936)&lt;4,0,SUM($D936:$G936))</f>
        <v>0</v>
      </c>
      <c r="I936" s="26" t="str">
        <f aca="false">IF($H936=0,"",IF($H936&lt;=8,"Ótimo",IF($H936&lt;=12,"Bom",IF($H936&lt;=16,"Regular",IF($H936&lt;=20,"Alerta","Crítico")))))</f>
        <v/>
      </c>
      <c r="J936" s="27"/>
      <c r="K936" s="27"/>
    </row>
    <row r="937" customFormat="false" ht="15" hidden="false" customHeight="false" outlineLevel="0" collapsed="false">
      <c r="A937" s="29"/>
      <c r="B937" s="40" t="n">
        <f aca="false">IF($A937="",0,INT(($A937-Macrociclo!$C$11)/7)+1)</f>
        <v>0</v>
      </c>
      <c r="C937" s="27"/>
      <c r="D937" s="28"/>
      <c r="E937" s="28"/>
      <c r="F937" s="28"/>
      <c r="G937" s="28"/>
      <c r="H937" s="40" t="n">
        <f aca="false">IF(COUNT($D937:$G937)&lt;4,0,SUM($D937:$G937))</f>
        <v>0</v>
      </c>
      <c r="I937" s="26" t="str">
        <f aca="false">IF($H937=0,"",IF($H937&lt;=8,"Ótimo",IF($H937&lt;=12,"Bom",IF($H937&lt;=16,"Regular",IF($H937&lt;=20,"Alerta","Crítico")))))</f>
        <v/>
      </c>
      <c r="J937" s="27"/>
      <c r="K937" s="27"/>
    </row>
    <row r="938" customFormat="false" ht="15" hidden="false" customHeight="false" outlineLevel="0" collapsed="false">
      <c r="A938" s="29"/>
      <c r="B938" s="40" t="n">
        <f aca="false">IF($A938="",0,INT(($A938-Macrociclo!$C$11)/7)+1)</f>
        <v>0</v>
      </c>
      <c r="C938" s="27"/>
      <c r="D938" s="28"/>
      <c r="E938" s="28"/>
      <c r="F938" s="28"/>
      <c r="G938" s="28"/>
      <c r="H938" s="40" t="n">
        <f aca="false">IF(COUNT($D938:$G938)&lt;4,0,SUM($D938:$G938))</f>
        <v>0</v>
      </c>
      <c r="I938" s="26" t="str">
        <f aca="false">IF($H938=0,"",IF($H938&lt;=8,"Ótimo",IF($H938&lt;=12,"Bom",IF($H938&lt;=16,"Regular",IF($H938&lt;=20,"Alerta","Crítico")))))</f>
        <v/>
      </c>
      <c r="J938" s="27"/>
      <c r="K938" s="27"/>
    </row>
    <row r="939" customFormat="false" ht="15" hidden="false" customHeight="false" outlineLevel="0" collapsed="false">
      <c r="A939" s="29"/>
      <c r="B939" s="40" t="n">
        <f aca="false">IF($A939="",0,INT(($A939-Macrociclo!$C$11)/7)+1)</f>
        <v>0</v>
      </c>
      <c r="C939" s="27"/>
      <c r="D939" s="28"/>
      <c r="E939" s="28"/>
      <c r="F939" s="28"/>
      <c r="G939" s="28"/>
      <c r="H939" s="40" t="n">
        <f aca="false">IF(COUNT($D939:$G939)&lt;4,0,SUM($D939:$G939))</f>
        <v>0</v>
      </c>
      <c r="I939" s="26" t="str">
        <f aca="false">IF($H939=0,"",IF($H939&lt;=8,"Ótimo",IF($H939&lt;=12,"Bom",IF($H939&lt;=16,"Regular",IF($H939&lt;=20,"Alerta","Crítico")))))</f>
        <v/>
      </c>
      <c r="J939" s="27"/>
      <c r="K939" s="27"/>
    </row>
    <row r="940" customFormat="false" ht="15" hidden="false" customHeight="false" outlineLevel="0" collapsed="false">
      <c r="A940" s="29"/>
      <c r="B940" s="40" t="n">
        <f aca="false">IF($A940="",0,INT(($A940-Macrociclo!$C$11)/7)+1)</f>
        <v>0</v>
      </c>
      <c r="C940" s="27"/>
      <c r="D940" s="28"/>
      <c r="E940" s="28"/>
      <c r="F940" s="28"/>
      <c r="G940" s="28"/>
      <c r="H940" s="40" t="n">
        <f aca="false">IF(COUNT($D940:$G940)&lt;4,0,SUM($D940:$G940))</f>
        <v>0</v>
      </c>
      <c r="I940" s="26" t="str">
        <f aca="false">IF($H940=0,"",IF($H940&lt;=8,"Ótimo",IF($H940&lt;=12,"Bom",IF($H940&lt;=16,"Regular",IF($H940&lt;=20,"Alerta","Crítico")))))</f>
        <v/>
      </c>
      <c r="J940" s="27"/>
      <c r="K940" s="27"/>
    </row>
    <row r="941" customFormat="false" ht="15" hidden="false" customHeight="false" outlineLevel="0" collapsed="false">
      <c r="A941" s="29"/>
      <c r="B941" s="40" t="n">
        <f aca="false">IF($A941="",0,INT(($A941-Macrociclo!$C$11)/7)+1)</f>
        <v>0</v>
      </c>
      <c r="C941" s="27"/>
      <c r="D941" s="28"/>
      <c r="E941" s="28"/>
      <c r="F941" s="28"/>
      <c r="G941" s="28"/>
      <c r="H941" s="40" t="n">
        <f aca="false">IF(COUNT($D941:$G941)&lt;4,0,SUM($D941:$G941))</f>
        <v>0</v>
      </c>
      <c r="I941" s="26" t="str">
        <f aca="false">IF($H941=0,"",IF($H941&lt;=8,"Ótimo",IF($H941&lt;=12,"Bom",IF($H941&lt;=16,"Regular",IF($H941&lt;=20,"Alerta","Crítico")))))</f>
        <v/>
      </c>
      <c r="J941" s="27"/>
      <c r="K941" s="27"/>
    </row>
    <row r="942" customFormat="false" ht="15" hidden="false" customHeight="false" outlineLevel="0" collapsed="false">
      <c r="A942" s="29"/>
      <c r="B942" s="40" t="n">
        <f aca="false">IF($A942="",0,INT(($A942-Macrociclo!$C$11)/7)+1)</f>
        <v>0</v>
      </c>
      <c r="C942" s="27"/>
      <c r="D942" s="28"/>
      <c r="E942" s="28"/>
      <c r="F942" s="28"/>
      <c r="G942" s="28"/>
      <c r="H942" s="40" t="n">
        <f aca="false">IF(COUNT($D942:$G942)&lt;4,0,SUM($D942:$G942))</f>
        <v>0</v>
      </c>
      <c r="I942" s="26" t="str">
        <f aca="false">IF($H942=0,"",IF($H942&lt;=8,"Ótimo",IF($H942&lt;=12,"Bom",IF($H942&lt;=16,"Regular",IF($H942&lt;=20,"Alerta","Crítico")))))</f>
        <v/>
      </c>
      <c r="J942" s="27"/>
      <c r="K942" s="27"/>
    </row>
    <row r="943" customFormat="false" ht="15" hidden="false" customHeight="false" outlineLevel="0" collapsed="false">
      <c r="A943" s="29"/>
      <c r="B943" s="40" t="n">
        <f aca="false">IF($A943="",0,INT(($A943-Macrociclo!$C$11)/7)+1)</f>
        <v>0</v>
      </c>
      <c r="C943" s="27"/>
      <c r="D943" s="28"/>
      <c r="E943" s="28"/>
      <c r="F943" s="28"/>
      <c r="G943" s="28"/>
      <c r="H943" s="40" t="n">
        <f aca="false">IF(COUNT($D943:$G943)&lt;4,0,SUM($D943:$G943))</f>
        <v>0</v>
      </c>
      <c r="I943" s="26" t="str">
        <f aca="false">IF($H943=0,"",IF($H943&lt;=8,"Ótimo",IF($H943&lt;=12,"Bom",IF($H943&lt;=16,"Regular",IF($H943&lt;=20,"Alerta","Crítico")))))</f>
        <v/>
      </c>
      <c r="J943" s="27"/>
      <c r="K943" s="27"/>
    </row>
    <row r="944" customFormat="false" ht="15" hidden="false" customHeight="false" outlineLevel="0" collapsed="false">
      <c r="A944" s="29"/>
      <c r="B944" s="40" t="n">
        <f aca="false">IF($A944="",0,INT(($A944-Macrociclo!$C$11)/7)+1)</f>
        <v>0</v>
      </c>
      <c r="C944" s="27"/>
      <c r="D944" s="28"/>
      <c r="E944" s="28"/>
      <c r="F944" s="28"/>
      <c r="G944" s="28"/>
      <c r="H944" s="40" t="n">
        <f aca="false">IF(COUNT($D944:$G944)&lt;4,0,SUM($D944:$G944))</f>
        <v>0</v>
      </c>
      <c r="I944" s="26" t="str">
        <f aca="false">IF($H944=0,"",IF($H944&lt;=8,"Ótimo",IF($H944&lt;=12,"Bom",IF($H944&lt;=16,"Regular",IF($H944&lt;=20,"Alerta","Crítico")))))</f>
        <v/>
      </c>
      <c r="J944" s="27"/>
      <c r="K944" s="27"/>
    </row>
    <row r="945" customFormat="false" ht="15" hidden="false" customHeight="false" outlineLevel="0" collapsed="false">
      <c r="A945" s="29"/>
      <c r="B945" s="40" t="n">
        <f aca="false">IF($A945="",0,INT(($A945-Macrociclo!$C$11)/7)+1)</f>
        <v>0</v>
      </c>
      <c r="C945" s="27"/>
      <c r="D945" s="28"/>
      <c r="E945" s="28"/>
      <c r="F945" s="28"/>
      <c r="G945" s="28"/>
      <c r="H945" s="40" t="n">
        <f aca="false">IF(COUNT($D945:$G945)&lt;4,0,SUM($D945:$G945))</f>
        <v>0</v>
      </c>
      <c r="I945" s="26" t="str">
        <f aca="false">IF($H945=0,"",IF($H945&lt;=8,"Ótimo",IF($H945&lt;=12,"Bom",IF($H945&lt;=16,"Regular",IF($H945&lt;=20,"Alerta","Crítico")))))</f>
        <v/>
      </c>
      <c r="J945" s="27"/>
      <c r="K945" s="27"/>
    </row>
    <row r="946" customFormat="false" ht="15" hidden="false" customHeight="false" outlineLevel="0" collapsed="false">
      <c r="A946" s="29"/>
      <c r="B946" s="40" t="n">
        <f aca="false">IF($A946="",0,INT(($A946-Macrociclo!$C$11)/7)+1)</f>
        <v>0</v>
      </c>
      <c r="C946" s="27"/>
      <c r="D946" s="28"/>
      <c r="E946" s="28"/>
      <c r="F946" s="28"/>
      <c r="G946" s="28"/>
      <c r="H946" s="40" t="n">
        <f aca="false">IF(COUNT($D946:$G946)&lt;4,0,SUM($D946:$G946))</f>
        <v>0</v>
      </c>
      <c r="I946" s="26" t="str">
        <f aca="false">IF($H946=0,"",IF($H946&lt;=8,"Ótimo",IF($H946&lt;=12,"Bom",IF($H946&lt;=16,"Regular",IF($H946&lt;=20,"Alerta","Crítico")))))</f>
        <v/>
      </c>
      <c r="J946" s="27"/>
      <c r="K946" s="27"/>
    </row>
    <row r="947" customFormat="false" ht="15" hidden="false" customHeight="false" outlineLevel="0" collapsed="false">
      <c r="A947" s="29"/>
      <c r="B947" s="40" t="n">
        <f aca="false">IF($A947="",0,INT(($A947-Macrociclo!$C$11)/7)+1)</f>
        <v>0</v>
      </c>
      <c r="C947" s="27"/>
      <c r="D947" s="28"/>
      <c r="E947" s="28"/>
      <c r="F947" s="28"/>
      <c r="G947" s="28"/>
      <c r="H947" s="40" t="n">
        <f aca="false">IF(COUNT($D947:$G947)&lt;4,0,SUM($D947:$G947))</f>
        <v>0</v>
      </c>
      <c r="I947" s="26" t="str">
        <f aca="false">IF($H947=0,"",IF($H947&lt;=8,"Ótimo",IF($H947&lt;=12,"Bom",IF($H947&lt;=16,"Regular",IF($H947&lt;=20,"Alerta","Crítico")))))</f>
        <v/>
      </c>
      <c r="J947" s="27"/>
      <c r="K947" s="27"/>
    </row>
    <row r="948" customFormat="false" ht="15" hidden="false" customHeight="false" outlineLevel="0" collapsed="false">
      <c r="A948" s="29"/>
      <c r="B948" s="40" t="n">
        <f aca="false">IF($A948="",0,INT(($A948-Macrociclo!$C$11)/7)+1)</f>
        <v>0</v>
      </c>
      <c r="C948" s="27"/>
      <c r="D948" s="28"/>
      <c r="E948" s="28"/>
      <c r="F948" s="28"/>
      <c r="G948" s="28"/>
      <c r="H948" s="40" t="n">
        <f aca="false">IF(COUNT($D948:$G948)&lt;4,0,SUM($D948:$G948))</f>
        <v>0</v>
      </c>
      <c r="I948" s="26" t="str">
        <f aca="false">IF($H948=0,"",IF($H948&lt;=8,"Ótimo",IF($H948&lt;=12,"Bom",IF($H948&lt;=16,"Regular",IF($H948&lt;=20,"Alerta","Crítico")))))</f>
        <v/>
      </c>
      <c r="J948" s="27"/>
      <c r="K948" s="27"/>
    </row>
    <row r="949" customFormat="false" ht="15" hidden="false" customHeight="false" outlineLevel="0" collapsed="false">
      <c r="A949" s="29"/>
      <c r="B949" s="40" t="n">
        <f aca="false">IF($A949="",0,INT(($A949-Macrociclo!$C$11)/7)+1)</f>
        <v>0</v>
      </c>
      <c r="C949" s="27"/>
      <c r="D949" s="28"/>
      <c r="E949" s="28"/>
      <c r="F949" s="28"/>
      <c r="G949" s="28"/>
      <c r="H949" s="40" t="n">
        <f aca="false">IF(COUNT($D949:$G949)&lt;4,0,SUM($D949:$G949))</f>
        <v>0</v>
      </c>
      <c r="I949" s="26" t="str">
        <f aca="false">IF($H949=0,"",IF($H949&lt;=8,"Ótimo",IF($H949&lt;=12,"Bom",IF($H949&lt;=16,"Regular",IF($H949&lt;=20,"Alerta","Crítico")))))</f>
        <v/>
      </c>
      <c r="J949" s="27"/>
      <c r="K949" s="27"/>
    </row>
    <row r="950" customFormat="false" ht="15" hidden="false" customHeight="false" outlineLevel="0" collapsed="false">
      <c r="A950" s="29"/>
      <c r="B950" s="40" t="n">
        <f aca="false">IF($A950="",0,INT(($A950-Macrociclo!$C$11)/7)+1)</f>
        <v>0</v>
      </c>
      <c r="C950" s="27"/>
      <c r="D950" s="28"/>
      <c r="E950" s="28"/>
      <c r="F950" s="28"/>
      <c r="G950" s="28"/>
      <c r="H950" s="40" t="n">
        <f aca="false">IF(COUNT($D950:$G950)&lt;4,0,SUM($D950:$G950))</f>
        <v>0</v>
      </c>
      <c r="I950" s="26" t="str">
        <f aca="false">IF($H950=0,"",IF($H950&lt;=8,"Ótimo",IF($H950&lt;=12,"Bom",IF($H950&lt;=16,"Regular",IF($H950&lt;=20,"Alerta","Crítico")))))</f>
        <v/>
      </c>
      <c r="J950" s="27"/>
      <c r="K950" s="27"/>
    </row>
    <row r="951" customFormat="false" ht="15" hidden="false" customHeight="false" outlineLevel="0" collapsed="false">
      <c r="A951" s="29"/>
      <c r="B951" s="40" t="n">
        <f aca="false">IF($A951="",0,INT(($A951-Macrociclo!$C$11)/7)+1)</f>
        <v>0</v>
      </c>
      <c r="C951" s="27"/>
      <c r="D951" s="28"/>
      <c r="E951" s="28"/>
      <c r="F951" s="28"/>
      <c r="G951" s="28"/>
      <c r="H951" s="40" t="n">
        <f aca="false">IF(COUNT($D951:$G951)&lt;4,0,SUM($D951:$G951))</f>
        <v>0</v>
      </c>
      <c r="I951" s="26" t="str">
        <f aca="false">IF($H951=0,"",IF($H951&lt;=8,"Ótimo",IF($H951&lt;=12,"Bom",IF($H951&lt;=16,"Regular",IF($H951&lt;=20,"Alerta","Crítico")))))</f>
        <v/>
      </c>
      <c r="J951" s="27"/>
      <c r="K951" s="27"/>
    </row>
    <row r="952" customFormat="false" ht="15" hidden="false" customHeight="false" outlineLevel="0" collapsed="false">
      <c r="A952" s="29"/>
      <c r="B952" s="40" t="n">
        <f aca="false">IF($A952="",0,INT(($A952-Macrociclo!$C$11)/7)+1)</f>
        <v>0</v>
      </c>
      <c r="C952" s="27"/>
      <c r="D952" s="28"/>
      <c r="E952" s="28"/>
      <c r="F952" s="28"/>
      <c r="G952" s="28"/>
      <c r="H952" s="40" t="n">
        <f aca="false">IF(COUNT($D952:$G952)&lt;4,0,SUM($D952:$G952))</f>
        <v>0</v>
      </c>
      <c r="I952" s="26" t="str">
        <f aca="false">IF($H952=0,"",IF($H952&lt;=8,"Ótimo",IF($H952&lt;=12,"Bom",IF($H952&lt;=16,"Regular",IF($H952&lt;=20,"Alerta","Crítico")))))</f>
        <v/>
      </c>
      <c r="J952" s="27"/>
      <c r="K952" s="27"/>
    </row>
    <row r="953" customFormat="false" ht="15" hidden="false" customHeight="false" outlineLevel="0" collapsed="false">
      <c r="A953" s="29"/>
      <c r="B953" s="40" t="n">
        <f aca="false">IF($A953="",0,INT(($A953-Macrociclo!$C$11)/7)+1)</f>
        <v>0</v>
      </c>
      <c r="C953" s="27"/>
      <c r="D953" s="28"/>
      <c r="E953" s="28"/>
      <c r="F953" s="28"/>
      <c r="G953" s="28"/>
      <c r="H953" s="40" t="n">
        <f aca="false">IF(COUNT($D953:$G953)&lt;4,0,SUM($D953:$G953))</f>
        <v>0</v>
      </c>
      <c r="I953" s="26" t="str">
        <f aca="false">IF($H953=0,"",IF($H953&lt;=8,"Ótimo",IF($H953&lt;=12,"Bom",IF($H953&lt;=16,"Regular",IF($H953&lt;=20,"Alerta","Crítico")))))</f>
        <v/>
      </c>
      <c r="J953" s="27"/>
      <c r="K953" s="27"/>
    </row>
    <row r="954" customFormat="false" ht="15" hidden="false" customHeight="false" outlineLevel="0" collapsed="false">
      <c r="A954" s="29"/>
      <c r="B954" s="40" t="n">
        <f aca="false">IF($A954="",0,INT(($A954-Macrociclo!$C$11)/7)+1)</f>
        <v>0</v>
      </c>
      <c r="C954" s="27"/>
      <c r="D954" s="28"/>
      <c r="E954" s="28"/>
      <c r="F954" s="28"/>
      <c r="G954" s="28"/>
      <c r="H954" s="40" t="n">
        <f aca="false">IF(COUNT($D954:$G954)&lt;4,0,SUM($D954:$G954))</f>
        <v>0</v>
      </c>
      <c r="I954" s="26" t="str">
        <f aca="false">IF($H954=0,"",IF($H954&lt;=8,"Ótimo",IF($H954&lt;=12,"Bom",IF($H954&lt;=16,"Regular",IF($H954&lt;=20,"Alerta","Crítico")))))</f>
        <v/>
      </c>
      <c r="J954" s="27"/>
      <c r="K954" s="27"/>
    </row>
    <row r="955" customFormat="false" ht="15" hidden="false" customHeight="false" outlineLevel="0" collapsed="false">
      <c r="A955" s="29"/>
      <c r="B955" s="40" t="n">
        <f aca="false">IF($A955="",0,INT(($A955-Macrociclo!$C$11)/7)+1)</f>
        <v>0</v>
      </c>
      <c r="C955" s="27"/>
      <c r="D955" s="28"/>
      <c r="E955" s="28"/>
      <c r="F955" s="28"/>
      <c r="G955" s="28"/>
      <c r="H955" s="40" t="n">
        <f aca="false">IF(COUNT($D955:$G955)&lt;4,0,SUM($D955:$G955))</f>
        <v>0</v>
      </c>
      <c r="I955" s="26" t="str">
        <f aca="false">IF($H955=0,"",IF($H955&lt;=8,"Ótimo",IF($H955&lt;=12,"Bom",IF($H955&lt;=16,"Regular",IF($H955&lt;=20,"Alerta","Crítico")))))</f>
        <v/>
      </c>
      <c r="J955" s="27"/>
      <c r="K955" s="27"/>
    </row>
    <row r="956" customFormat="false" ht="15" hidden="false" customHeight="false" outlineLevel="0" collapsed="false">
      <c r="A956" s="29"/>
      <c r="B956" s="40" t="n">
        <f aca="false">IF($A956="",0,INT(($A956-Macrociclo!$C$11)/7)+1)</f>
        <v>0</v>
      </c>
      <c r="C956" s="27"/>
      <c r="D956" s="28"/>
      <c r="E956" s="28"/>
      <c r="F956" s="28"/>
      <c r="G956" s="28"/>
      <c r="H956" s="40" t="n">
        <f aca="false">IF(COUNT($D956:$G956)&lt;4,0,SUM($D956:$G956))</f>
        <v>0</v>
      </c>
      <c r="I956" s="26" t="str">
        <f aca="false">IF($H956=0,"",IF($H956&lt;=8,"Ótimo",IF($H956&lt;=12,"Bom",IF($H956&lt;=16,"Regular",IF($H956&lt;=20,"Alerta","Crítico")))))</f>
        <v/>
      </c>
      <c r="J956" s="27"/>
      <c r="K956" s="27"/>
    </row>
    <row r="957" customFormat="false" ht="15" hidden="false" customHeight="false" outlineLevel="0" collapsed="false">
      <c r="A957" s="29"/>
      <c r="B957" s="40" t="n">
        <f aca="false">IF($A957="",0,INT(($A957-Macrociclo!$C$11)/7)+1)</f>
        <v>0</v>
      </c>
      <c r="C957" s="27"/>
      <c r="D957" s="28"/>
      <c r="E957" s="28"/>
      <c r="F957" s="28"/>
      <c r="G957" s="28"/>
      <c r="H957" s="40" t="n">
        <f aca="false">IF(COUNT($D957:$G957)&lt;4,0,SUM($D957:$G957))</f>
        <v>0</v>
      </c>
      <c r="I957" s="26" t="str">
        <f aca="false">IF($H957=0,"",IF($H957&lt;=8,"Ótimo",IF($H957&lt;=12,"Bom",IF($H957&lt;=16,"Regular",IF($H957&lt;=20,"Alerta","Crítico")))))</f>
        <v/>
      </c>
      <c r="J957" s="27"/>
      <c r="K957" s="27"/>
    </row>
    <row r="958" customFormat="false" ht="15" hidden="false" customHeight="false" outlineLevel="0" collapsed="false">
      <c r="A958" s="29"/>
      <c r="B958" s="40" t="n">
        <f aca="false">IF($A958="",0,INT(($A958-Macrociclo!$C$11)/7)+1)</f>
        <v>0</v>
      </c>
      <c r="C958" s="27"/>
      <c r="D958" s="28"/>
      <c r="E958" s="28"/>
      <c r="F958" s="28"/>
      <c r="G958" s="28"/>
      <c r="H958" s="40" t="n">
        <f aca="false">IF(COUNT($D958:$G958)&lt;4,0,SUM($D958:$G958))</f>
        <v>0</v>
      </c>
      <c r="I958" s="26" t="str">
        <f aca="false">IF($H958=0,"",IF($H958&lt;=8,"Ótimo",IF($H958&lt;=12,"Bom",IF($H958&lt;=16,"Regular",IF($H958&lt;=20,"Alerta","Crítico")))))</f>
        <v/>
      </c>
      <c r="J958" s="27"/>
      <c r="K958" s="27"/>
    </row>
    <row r="959" customFormat="false" ht="15" hidden="false" customHeight="false" outlineLevel="0" collapsed="false">
      <c r="A959" s="29"/>
      <c r="B959" s="40" t="n">
        <f aca="false">IF($A959="",0,INT(($A959-Macrociclo!$C$11)/7)+1)</f>
        <v>0</v>
      </c>
      <c r="C959" s="27"/>
      <c r="D959" s="28"/>
      <c r="E959" s="28"/>
      <c r="F959" s="28"/>
      <c r="G959" s="28"/>
      <c r="H959" s="40" t="n">
        <f aca="false">IF(COUNT($D959:$G959)&lt;4,0,SUM($D959:$G959))</f>
        <v>0</v>
      </c>
      <c r="I959" s="26" t="str">
        <f aca="false">IF($H959=0,"",IF($H959&lt;=8,"Ótimo",IF($H959&lt;=12,"Bom",IF($H959&lt;=16,"Regular",IF($H959&lt;=20,"Alerta","Crítico")))))</f>
        <v/>
      </c>
      <c r="J959" s="27"/>
      <c r="K959" s="27"/>
    </row>
    <row r="960" customFormat="false" ht="15" hidden="false" customHeight="false" outlineLevel="0" collapsed="false">
      <c r="A960" s="29"/>
      <c r="B960" s="40" t="n">
        <f aca="false">IF($A960="",0,INT(($A960-Macrociclo!$C$11)/7)+1)</f>
        <v>0</v>
      </c>
      <c r="C960" s="27"/>
      <c r="D960" s="28"/>
      <c r="E960" s="28"/>
      <c r="F960" s="28"/>
      <c r="G960" s="28"/>
      <c r="H960" s="40" t="n">
        <f aca="false">IF(COUNT($D960:$G960)&lt;4,0,SUM($D960:$G960))</f>
        <v>0</v>
      </c>
      <c r="I960" s="26" t="str">
        <f aca="false">IF($H960=0,"",IF($H960&lt;=8,"Ótimo",IF($H960&lt;=12,"Bom",IF($H960&lt;=16,"Regular",IF($H960&lt;=20,"Alerta","Crítico")))))</f>
        <v/>
      </c>
      <c r="J960" s="27"/>
      <c r="K960" s="27"/>
    </row>
    <row r="961" customFormat="false" ht="15" hidden="false" customHeight="false" outlineLevel="0" collapsed="false">
      <c r="A961" s="29"/>
      <c r="B961" s="40" t="n">
        <f aca="false">IF($A961="",0,INT(($A961-Macrociclo!$C$11)/7)+1)</f>
        <v>0</v>
      </c>
      <c r="C961" s="27"/>
      <c r="D961" s="28"/>
      <c r="E961" s="28"/>
      <c r="F961" s="28"/>
      <c r="G961" s="28"/>
      <c r="H961" s="40" t="n">
        <f aca="false">IF(COUNT($D961:$G961)&lt;4,0,SUM($D961:$G961))</f>
        <v>0</v>
      </c>
      <c r="I961" s="26" t="str">
        <f aca="false">IF($H961=0,"",IF($H961&lt;=8,"Ótimo",IF($H961&lt;=12,"Bom",IF($H961&lt;=16,"Regular",IF($H961&lt;=20,"Alerta","Crítico")))))</f>
        <v/>
      </c>
      <c r="J961" s="27"/>
      <c r="K961" s="27"/>
    </row>
    <row r="962" customFormat="false" ht="15" hidden="false" customHeight="false" outlineLevel="0" collapsed="false">
      <c r="A962" s="29"/>
      <c r="B962" s="40" t="n">
        <f aca="false">IF($A962="",0,INT(($A962-Macrociclo!$C$11)/7)+1)</f>
        <v>0</v>
      </c>
      <c r="C962" s="27"/>
      <c r="D962" s="28"/>
      <c r="E962" s="28"/>
      <c r="F962" s="28"/>
      <c r="G962" s="28"/>
      <c r="H962" s="40" t="n">
        <f aca="false">IF(COUNT($D962:$G962)&lt;4,0,SUM($D962:$G962))</f>
        <v>0</v>
      </c>
      <c r="I962" s="26" t="str">
        <f aca="false">IF($H962=0,"",IF($H962&lt;=8,"Ótimo",IF($H962&lt;=12,"Bom",IF($H962&lt;=16,"Regular",IF($H962&lt;=20,"Alerta","Crítico")))))</f>
        <v/>
      </c>
      <c r="J962" s="27"/>
      <c r="K962" s="27"/>
    </row>
    <row r="963" customFormat="false" ht="15" hidden="false" customHeight="false" outlineLevel="0" collapsed="false">
      <c r="A963" s="29"/>
      <c r="B963" s="40" t="n">
        <f aca="false">IF($A963="",0,INT(($A963-Macrociclo!$C$11)/7)+1)</f>
        <v>0</v>
      </c>
      <c r="C963" s="27"/>
      <c r="D963" s="28"/>
      <c r="E963" s="28"/>
      <c r="F963" s="28"/>
      <c r="G963" s="28"/>
      <c r="H963" s="40" t="n">
        <f aca="false">IF(COUNT($D963:$G963)&lt;4,0,SUM($D963:$G963))</f>
        <v>0</v>
      </c>
      <c r="I963" s="26" t="str">
        <f aca="false">IF($H963=0,"",IF($H963&lt;=8,"Ótimo",IF($H963&lt;=12,"Bom",IF($H963&lt;=16,"Regular",IF($H963&lt;=20,"Alerta","Crítico")))))</f>
        <v/>
      </c>
      <c r="J963" s="27"/>
      <c r="K963" s="27"/>
    </row>
    <row r="964" customFormat="false" ht="15" hidden="false" customHeight="false" outlineLevel="0" collapsed="false">
      <c r="A964" s="29"/>
      <c r="B964" s="40" t="n">
        <f aca="false">IF($A964="",0,INT(($A964-Macrociclo!$C$11)/7)+1)</f>
        <v>0</v>
      </c>
      <c r="C964" s="27"/>
      <c r="D964" s="28"/>
      <c r="E964" s="28"/>
      <c r="F964" s="28"/>
      <c r="G964" s="28"/>
      <c r="H964" s="40" t="n">
        <f aca="false">IF(COUNT($D964:$G964)&lt;4,0,SUM($D964:$G964))</f>
        <v>0</v>
      </c>
      <c r="I964" s="26" t="str">
        <f aca="false">IF($H964=0,"",IF($H964&lt;=8,"Ótimo",IF($H964&lt;=12,"Bom",IF($H964&lt;=16,"Regular",IF($H964&lt;=20,"Alerta","Crítico")))))</f>
        <v/>
      </c>
      <c r="J964" s="27"/>
      <c r="K964" s="27"/>
    </row>
    <row r="965" customFormat="false" ht="15" hidden="false" customHeight="false" outlineLevel="0" collapsed="false">
      <c r="A965" s="29"/>
      <c r="B965" s="40" t="n">
        <f aca="false">IF($A965="",0,INT(($A965-Macrociclo!$C$11)/7)+1)</f>
        <v>0</v>
      </c>
      <c r="C965" s="27"/>
      <c r="D965" s="28"/>
      <c r="E965" s="28"/>
      <c r="F965" s="28"/>
      <c r="G965" s="28"/>
      <c r="H965" s="40" t="n">
        <f aca="false">IF(COUNT($D965:$G965)&lt;4,0,SUM($D965:$G965))</f>
        <v>0</v>
      </c>
      <c r="I965" s="26" t="str">
        <f aca="false">IF($H965=0,"",IF($H965&lt;=8,"Ótimo",IF($H965&lt;=12,"Bom",IF($H965&lt;=16,"Regular",IF($H965&lt;=20,"Alerta","Crítico")))))</f>
        <v/>
      </c>
      <c r="J965" s="27"/>
      <c r="K965" s="27"/>
    </row>
    <row r="966" customFormat="false" ht="15" hidden="false" customHeight="false" outlineLevel="0" collapsed="false">
      <c r="A966" s="29"/>
      <c r="B966" s="40" t="n">
        <f aca="false">IF($A966="",0,INT(($A966-Macrociclo!$C$11)/7)+1)</f>
        <v>0</v>
      </c>
      <c r="C966" s="27"/>
      <c r="D966" s="28"/>
      <c r="E966" s="28"/>
      <c r="F966" s="28"/>
      <c r="G966" s="28"/>
      <c r="H966" s="40" t="n">
        <f aca="false">IF(COUNT($D966:$G966)&lt;4,0,SUM($D966:$G966))</f>
        <v>0</v>
      </c>
      <c r="I966" s="26" t="str">
        <f aca="false">IF($H966=0,"",IF($H966&lt;=8,"Ótimo",IF($H966&lt;=12,"Bom",IF($H966&lt;=16,"Regular",IF($H966&lt;=20,"Alerta","Crítico")))))</f>
        <v/>
      </c>
      <c r="J966" s="27"/>
      <c r="K966" s="27"/>
    </row>
    <row r="967" customFormat="false" ht="15" hidden="false" customHeight="false" outlineLevel="0" collapsed="false">
      <c r="A967" s="29"/>
      <c r="B967" s="40" t="n">
        <f aca="false">IF($A967="",0,INT(($A967-Macrociclo!$C$11)/7)+1)</f>
        <v>0</v>
      </c>
      <c r="C967" s="27"/>
      <c r="D967" s="28"/>
      <c r="E967" s="28"/>
      <c r="F967" s="28"/>
      <c r="G967" s="28"/>
      <c r="H967" s="40" t="n">
        <f aca="false">IF(COUNT($D967:$G967)&lt;4,0,SUM($D967:$G967))</f>
        <v>0</v>
      </c>
      <c r="I967" s="26" t="str">
        <f aca="false">IF($H967=0,"",IF($H967&lt;=8,"Ótimo",IF($H967&lt;=12,"Bom",IF($H967&lt;=16,"Regular",IF($H967&lt;=20,"Alerta","Crítico")))))</f>
        <v/>
      </c>
      <c r="J967" s="27"/>
      <c r="K967" s="27"/>
    </row>
    <row r="968" customFormat="false" ht="15" hidden="false" customHeight="false" outlineLevel="0" collapsed="false">
      <c r="A968" s="29"/>
      <c r="B968" s="40" t="n">
        <f aca="false">IF($A968="",0,INT(($A968-Macrociclo!$C$11)/7)+1)</f>
        <v>0</v>
      </c>
      <c r="C968" s="27"/>
      <c r="D968" s="28"/>
      <c r="E968" s="28"/>
      <c r="F968" s="28"/>
      <c r="G968" s="28"/>
      <c r="H968" s="40" t="n">
        <f aca="false">IF(COUNT($D968:$G968)&lt;4,0,SUM($D968:$G968))</f>
        <v>0</v>
      </c>
      <c r="I968" s="26" t="str">
        <f aca="false">IF($H968=0,"",IF($H968&lt;=8,"Ótimo",IF($H968&lt;=12,"Bom",IF($H968&lt;=16,"Regular",IF($H968&lt;=20,"Alerta","Crítico")))))</f>
        <v/>
      </c>
      <c r="J968" s="27"/>
      <c r="K968" s="27"/>
    </row>
    <row r="969" customFormat="false" ht="15" hidden="false" customHeight="false" outlineLevel="0" collapsed="false">
      <c r="A969" s="29"/>
      <c r="B969" s="40" t="n">
        <f aca="false">IF($A969="",0,INT(($A969-Macrociclo!$C$11)/7)+1)</f>
        <v>0</v>
      </c>
      <c r="C969" s="27"/>
      <c r="D969" s="28"/>
      <c r="E969" s="28"/>
      <c r="F969" s="28"/>
      <c r="G969" s="28"/>
      <c r="H969" s="40" t="n">
        <f aca="false">IF(COUNT($D969:$G969)&lt;4,0,SUM($D969:$G969))</f>
        <v>0</v>
      </c>
      <c r="I969" s="26" t="str">
        <f aca="false">IF($H969=0,"",IF($H969&lt;=8,"Ótimo",IF($H969&lt;=12,"Bom",IF($H969&lt;=16,"Regular",IF($H969&lt;=20,"Alerta","Crítico")))))</f>
        <v/>
      </c>
      <c r="J969" s="27"/>
      <c r="K969" s="27"/>
    </row>
    <row r="970" customFormat="false" ht="15" hidden="false" customHeight="false" outlineLevel="0" collapsed="false">
      <c r="A970" s="29"/>
      <c r="B970" s="40" t="n">
        <f aca="false">IF($A970="",0,INT(($A970-Macrociclo!$C$11)/7)+1)</f>
        <v>0</v>
      </c>
      <c r="C970" s="27"/>
      <c r="D970" s="28"/>
      <c r="E970" s="28"/>
      <c r="F970" s="28"/>
      <c r="G970" s="28"/>
      <c r="H970" s="40" t="n">
        <f aca="false">IF(COUNT($D970:$G970)&lt;4,0,SUM($D970:$G970))</f>
        <v>0</v>
      </c>
      <c r="I970" s="26" t="str">
        <f aca="false">IF($H970=0,"",IF($H970&lt;=8,"Ótimo",IF($H970&lt;=12,"Bom",IF($H970&lt;=16,"Regular",IF($H970&lt;=20,"Alerta","Crítico")))))</f>
        <v/>
      </c>
      <c r="J970" s="27"/>
      <c r="K970" s="27"/>
    </row>
    <row r="971" customFormat="false" ht="15" hidden="false" customHeight="false" outlineLevel="0" collapsed="false">
      <c r="A971" s="29"/>
      <c r="B971" s="40" t="n">
        <f aca="false">IF($A971="",0,INT(($A971-Macrociclo!$C$11)/7)+1)</f>
        <v>0</v>
      </c>
      <c r="C971" s="27"/>
      <c r="D971" s="28"/>
      <c r="E971" s="28"/>
      <c r="F971" s="28"/>
      <c r="G971" s="28"/>
      <c r="H971" s="40" t="n">
        <f aca="false">IF(COUNT($D971:$G971)&lt;4,0,SUM($D971:$G971))</f>
        <v>0</v>
      </c>
      <c r="I971" s="26" t="str">
        <f aca="false">IF($H971=0,"",IF($H971&lt;=8,"Ótimo",IF($H971&lt;=12,"Bom",IF($H971&lt;=16,"Regular",IF($H971&lt;=20,"Alerta","Crítico")))))</f>
        <v/>
      </c>
      <c r="J971" s="27"/>
      <c r="K971" s="27"/>
    </row>
    <row r="972" customFormat="false" ht="15" hidden="false" customHeight="false" outlineLevel="0" collapsed="false">
      <c r="A972" s="29"/>
      <c r="B972" s="40" t="n">
        <f aca="false">IF($A972="",0,INT(($A972-Macrociclo!$C$11)/7)+1)</f>
        <v>0</v>
      </c>
      <c r="C972" s="27"/>
      <c r="D972" s="28"/>
      <c r="E972" s="28"/>
      <c r="F972" s="28"/>
      <c r="G972" s="28"/>
      <c r="H972" s="40" t="n">
        <f aca="false">IF(COUNT($D972:$G972)&lt;4,0,SUM($D972:$G972))</f>
        <v>0</v>
      </c>
      <c r="I972" s="26" t="str">
        <f aca="false">IF($H972=0,"",IF($H972&lt;=8,"Ótimo",IF($H972&lt;=12,"Bom",IF($H972&lt;=16,"Regular",IF($H972&lt;=20,"Alerta","Crítico")))))</f>
        <v/>
      </c>
      <c r="J972" s="27"/>
      <c r="K972" s="27"/>
    </row>
    <row r="973" customFormat="false" ht="15" hidden="false" customHeight="false" outlineLevel="0" collapsed="false">
      <c r="A973" s="29"/>
      <c r="B973" s="40" t="n">
        <f aca="false">IF($A973="",0,INT(($A973-Macrociclo!$C$11)/7)+1)</f>
        <v>0</v>
      </c>
      <c r="C973" s="27"/>
      <c r="D973" s="28"/>
      <c r="E973" s="28"/>
      <c r="F973" s="28"/>
      <c r="G973" s="28"/>
      <c r="H973" s="40" t="n">
        <f aca="false">IF(COUNT($D973:$G973)&lt;4,0,SUM($D973:$G973))</f>
        <v>0</v>
      </c>
      <c r="I973" s="26" t="str">
        <f aca="false">IF($H973=0,"",IF($H973&lt;=8,"Ótimo",IF($H973&lt;=12,"Bom",IF($H973&lt;=16,"Regular",IF($H973&lt;=20,"Alerta","Crítico")))))</f>
        <v/>
      </c>
      <c r="J973" s="27"/>
      <c r="K973" s="27"/>
    </row>
    <row r="974" customFormat="false" ht="15" hidden="false" customHeight="false" outlineLevel="0" collapsed="false">
      <c r="A974" s="29"/>
      <c r="B974" s="40" t="n">
        <f aca="false">IF($A974="",0,INT(($A974-Macrociclo!$C$11)/7)+1)</f>
        <v>0</v>
      </c>
      <c r="C974" s="27"/>
      <c r="D974" s="28"/>
      <c r="E974" s="28"/>
      <c r="F974" s="28"/>
      <c r="G974" s="28"/>
      <c r="H974" s="40" t="n">
        <f aca="false">IF(COUNT($D974:$G974)&lt;4,0,SUM($D974:$G974))</f>
        <v>0</v>
      </c>
      <c r="I974" s="26" t="str">
        <f aca="false">IF($H974=0,"",IF($H974&lt;=8,"Ótimo",IF($H974&lt;=12,"Bom",IF($H974&lt;=16,"Regular",IF($H974&lt;=20,"Alerta","Crítico")))))</f>
        <v/>
      </c>
      <c r="J974" s="27"/>
      <c r="K974" s="27"/>
    </row>
    <row r="975" customFormat="false" ht="15" hidden="false" customHeight="false" outlineLevel="0" collapsed="false">
      <c r="A975" s="29"/>
      <c r="B975" s="40" t="n">
        <f aca="false">IF($A975="",0,INT(($A975-Macrociclo!$C$11)/7)+1)</f>
        <v>0</v>
      </c>
      <c r="C975" s="27"/>
      <c r="D975" s="28"/>
      <c r="E975" s="28"/>
      <c r="F975" s="28"/>
      <c r="G975" s="28"/>
      <c r="H975" s="40" t="n">
        <f aca="false">IF(COUNT($D975:$G975)&lt;4,0,SUM($D975:$G975))</f>
        <v>0</v>
      </c>
      <c r="I975" s="26" t="str">
        <f aca="false">IF($H975=0,"",IF($H975&lt;=8,"Ótimo",IF($H975&lt;=12,"Bom",IF($H975&lt;=16,"Regular",IF($H975&lt;=20,"Alerta","Crítico")))))</f>
        <v/>
      </c>
      <c r="J975" s="27"/>
      <c r="K975" s="27"/>
    </row>
    <row r="976" customFormat="false" ht="15" hidden="false" customHeight="false" outlineLevel="0" collapsed="false">
      <c r="A976" s="29"/>
      <c r="B976" s="40" t="n">
        <f aca="false">IF($A976="",0,INT(($A976-Macrociclo!$C$11)/7)+1)</f>
        <v>0</v>
      </c>
      <c r="C976" s="27"/>
      <c r="D976" s="28"/>
      <c r="E976" s="28"/>
      <c r="F976" s="28"/>
      <c r="G976" s="28"/>
      <c r="H976" s="40" t="n">
        <f aca="false">IF(COUNT($D976:$G976)&lt;4,0,SUM($D976:$G976))</f>
        <v>0</v>
      </c>
      <c r="I976" s="26" t="str">
        <f aca="false">IF($H976=0,"",IF($H976&lt;=8,"Ótimo",IF($H976&lt;=12,"Bom",IF($H976&lt;=16,"Regular",IF($H976&lt;=20,"Alerta","Crítico")))))</f>
        <v/>
      </c>
      <c r="J976" s="27"/>
      <c r="K976" s="27"/>
    </row>
    <row r="977" customFormat="false" ht="15" hidden="false" customHeight="false" outlineLevel="0" collapsed="false">
      <c r="A977" s="29"/>
      <c r="B977" s="40" t="n">
        <f aca="false">IF($A977="",0,INT(($A977-Macrociclo!$C$11)/7)+1)</f>
        <v>0</v>
      </c>
      <c r="C977" s="27"/>
      <c r="D977" s="28"/>
      <c r="E977" s="28"/>
      <c r="F977" s="28"/>
      <c r="G977" s="28"/>
      <c r="H977" s="40" t="n">
        <f aca="false">IF(COUNT($D977:$G977)&lt;4,0,SUM($D977:$G977))</f>
        <v>0</v>
      </c>
      <c r="I977" s="26" t="str">
        <f aca="false">IF($H977=0,"",IF($H977&lt;=8,"Ótimo",IF($H977&lt;=12,"Bom",IF($H977&lt;=16,"Regular",IF($H977&lt;=20,"Alerta","Crítico")))))</f>
        <v/>
      </c>
      <c r="J977" s="27"/>
      <c r="K977" s="27"/>
    </row>
    <row r="978" customFormat="false" ht="15" hidden="false" customHeight="false" outlineLevel="0" collapsed="false">
      <c r="A978" s="29"/>
      <c r="B978" s="40" t="n">
        <f aca="false">IF($A978="",0,INT(($A978-Macrociclo!$C$11)/7)+1)</f>
        <v>0</v>
      </c>
      <c r="C978" s="27"/>
      <c r="D978" s="28"/>
      <c r="E978" s="28"/>
      <c r="F978" s="28"/>
      <c r="G978" s="28"/>
      <c r="H978" s="40" t="n">
        <f aca="false">IF(COUNT($D978:$G978)&lt;4,0,SUM($D978:$G978))</f>
        <v>0</v>
      </c>
      <c r="I978" s="26" t="str">
        <f aca="false">IF($H978=0,"",IF($H978&lt;=8,"Ótimo",IF($H978&lt;=12,"Bom",IF($H978&lt;=16,"Regular",IF($H978&lt;=20,"Alerta","Crítico")))))</f>
        <v/>
      </c>
      <c r="J978" s="27"/>
      <c r="K978" s="27"/>
    </row>
    <row r="979" customFormat="false" ht="15" hidden="false" customHeight="false" outlineLevel="0" collapsed="false">
      <c r="A979" s="29"/>
      <c r="B979" s="40" t="n">
        <f aca="false">IF($A979="",0,INT(($A979-Macrociclo!$C$11)/7)+1)</f>
        <v>0</v>
      </c>
      <c r="C979" s="27"/>
      <c r="D979" s="28"/>
      <c r="E979" s="28"/>
      <c r="F979" s="28"/>
      <c r="G979" s="28"/>
      <c r="H979" s="40" t="n">
        <f aca="false">IF(COUNT($D979:$G979)&lt;4,0,SUM($D979:$G979))</f>
        <v>0</v>
      </c>
      <c r="I979" s="26" t="str">
        <f aca="false">IF($H979=0,"",IF($H979&lt;=8,"Ótimo",IF($H979&lt;=12,"Bom",IF($H979&lt;=16,"Regular",IF($H979&lt;=20,"Alerta","Crítico")))))</f>
        <v/>
      </c>
      <c r="J979" s="27"/>
      <c r="K979" s="27"/>
    </row>
    <row r="980" customFormat="false" ht="15" hidden="false" customHeight="false" outlineLevel="0" collapsed="false">
      <c r="A980" s="29"/>
      <c r="B980" s="40" t="n">
        <f aca="false">IF($A980="",0,INT(($A980-Macrociclo!$C$11)/7)+1)</f>
        <v>0</v>
      </c>
      <c r="C980" s="27"/>
      <c r="D980" s="28"/>
      <c r="E980" s="28"/>
      <c r="F980" s="28"/>
      <c r="G980" s="28"/>
      <c r="H980" s="40" t="n">
        <f aca="false">IF(COUNT($D980:$G980)&lt;4,0,SUM($D980:$G980))</f>
        <v>0</v>
      </c>
      <c r="I980" s="26" t="str">
        <f aca="false">IF($H980=0,"",IF($H980&lt;=8,"Ótimo",IF($H980&lt;=12,"Bom",IF($H980&lt;=16,"Regular",IF($H980&lt;=20,"Alerta","Crítico")))))</f>
        <v/>
      </c>
      <c r="J980" s="27"/>
      <c r="K980" s="27"/>
    </row>
    <row r="981" customFormat="false" ht="15" hidden="false" customHeight="false" outlineLevel="0" collapsed="false">
      <c r="A981" s="29"/>
      <c r="B981" s="40" t="n">
        <f aca="false">IF($A981="",0,INT(($A981-Macrociclo!$C$11)/7)+1)</f>
        <v>0</v>
      </c>
      <c r="C981" s="27"/>
      <c r="D981" s="28"/>
      <c r="E981" s="28"/>
      <c r="F981" s="28"/>
      <c r="G981" s="28"/>
      <c r="H981" s="40" t="n">
        <f aca="false">IF(COUNT($D981:$G981)&lt;4,0,SUM($D981:$G981))</f>
        <v>0</v>
      </c>
      <c r="I981" s="26" t="str">
        <f aca="false">IF($H981=0,"",IF($H981&lt;=8,"Ótimo",IF($H981&lt;=12,"Bom",IF($H981&lt;=16,"Regular",IF($H981&lt;=20,"Alerta","Crítico")))))</f>
        <v/>
      </c>
      <c r="J981" s="27"/>
      <c r="K981" s="27"/>
    </row>
    <row r="982" customFormat="false" ht="15" hidden="false" customHeight="false" outlineLevel="0" collapsed="false">
      <c r="A982" s="29"/>
      <c r="B982" s="40" t="n">
        <f aca="false">IF($A982="",0,INT(($A982-Macrociclo!$C$11)/7)+1)</f>
        <v>0</v>
      </c>
      <c r="C982" s="27"/>
      <c r="D982" s="28"/>
      <c r="E982" s="28"/>
      <c r="F982" s="28"/>
      <c r="G982" s="28"/>
      <c r="H982" s="40" t="n">
        <f aca="false">IF(COUNT($D982:$G982)&lt;4,0,SUM($D982:$G982))</f>
        <v>0</v>
      </c>
      <c r="I982" s="26" t="str">
        <f aca="false">IF($H982=0,"",IF($H982&lt;=8,"Ótimo",IF($H982&lt;=12,"Bom",IF($H982&lt;=16,"Regular",IF($H982&lt;=20,"Alerta","Crítico")))))</f>
        <v/>
      </c>
      <c r="J982" s="27"/>
      <c r="K982" s="27"/>
    </row>
    <row r="983" customFormat="false" ht="15" hidden="false" customHeight="false" outlineLevel="0" collapsed="false">
      <c r="A983" s="29"/>
      <c r="B983" s="40" t="n">
        <f aca="false">IF($A983="",0,INT(($A983-Macrociclo!$C$11)/7)+1)</f>
        <v>0</v>
      </c>
      <c r="C983" s="27"/>
      <c r="D983" s="28"/>
      <c r="E983" s="28"/>
      <c r="F983" s="28"/>
      <c r="G983" s="28"/>
      <c r="H983" s="40" t="n">
        <f aca="false">IF(COUNT($D983:$G983)&lt;4,0,SUM($D983:$G983))</f>
        <v>0</v>
      </c>
      <c r="I983" s="26" t="str">
        <f aca="false">IF($H983=0,"",IF($H983&lt;=8,"Ótimo",IF($H983&lt;=12,"Bom",IF($H983&lt;=16,"Regular",IF($H983&lt;=20,"Alerta","Crítico")))))</f>
        <v/>
      </c>
      <c r="J983" s="27"/>
      <c r="K983" s="27"/>
    </row>
    <row r="984" customFormat="false" ht="15" hidden="false" customHeight="false" outlineLevel="0" collapsed="false">
      <c r="A984" s="29"/>
      <c r="B984" s="40" t="n">
        <f aca="false">IF($A984="",0,INT(($A984-Macrociclo!$C$11)/7)+1)</f>
        <v>0</v>
      </c>
      <c r="C984" s="27"/>
      <c r="D984" s="28"/>
      <c r="E984" s="28"/>
      <c r="F984" s="28"/>
      <c r="G984" s="28"/>
      <c r="H984" s="40" t="n">
        <f aca="false">IF(COUNT($D984:$G984)&lt;4,0,SUM($D984:$G984))</f>
        <v>0</v>
      </c>
      <c r="I984" s="26" t="str">
        <f aca="false">IF($H984=0,"",IF($H984&lt;=8,"Ótimo",IF($H984&lt;=12,"Bom",IF($H984&lt;=16,"Regular",IF($H984&lt;=20,"Alerta","Crítico")))))</f>
        <v/>
      </c>
      <c r="J984" s="27"/>
      <c r="K984" s="27"/>
    </row>
    <row r="985" customFormat="false" ht="15" hidden="false" customHeight="false" outlineLevel="0" collapsed="false">
      <c r="A985" s="29"/>
      <c r="B985" s="40" t="n">
        <f aca="false">IF($A985="",0,INT(($A985-Macrociclo!$C$11)/7)+1)</f>
        <v>0</v>
      </c>
      <c r="C985" s="27"/>
      <c r="D985" s="28"/>
      <c r="E985" s="28"/>
      <c r="F985" s="28"/>
      <c r="G985" s="28"/>
      <c r="H985" s="40" t="n">
        <f aca="false">IF(COUNT($D985:$G985)&lt;4,0,SUM($D985:$G985))</f>
        <v>0</v>
      </c>
      <c r="I985" s="26" t="str">
        <f aca="false">IF($H985=0,"",IF($H985&lt;=8,"Ótimo",IF($H985&lt;=12,"Bom",IF($H985&lt;=16,"Regular",IF($H985&lt;=20,"Alerta","Crítico")))))</f>
        <v/>
      </c>
      <c r="J985" s="27"/>
      <c r="K985" s="27"/>
    </row>
    <row r="986" customFormat="false" ht="15" hidden="false" customHeight="false" outlineLevel="0" collapsed="false">
      <c r="A986" s="29"/>
      <c r="B986" s="40" t="n">
        <f aca="false">IF($A986="",0,INT(($A986-Macrociclo!$C$11)/7)+1)</f>
        <v>0</v>
      </c>
      <c r="C986" s="27"/>
      <c r="D986" s="28"/>
      <c r="E986" s="28"/>
      <c r="F986" s="28"/>
      <c r="G986" s="28"/>
      <c r="H986" s="40" t="n">
        <f aca="false">IF(COUNT($D986:$G986)&lt;4,0,SUM($D986:$G986))</f>
        <v>0</v>
      </c>
      <c r="I986" s="26" t="str">
        <f aca="false">IF($H986=0,"",IF($H986&lt;=8,"Ótimo",IF($H986&lt;=12,"Bom",IF($H986&lt;=16,"Regular",IF($H986&lt;=20,"Alerta","Crítico")))))</f>
        <v/>
      </c>
      <c r="J986" s="27"/>
      <c r="K986" s="27"/>
    </row>
    <row r="987" customFormat="false" ht="15" hidden="false" customHeight="false" outlineLevel="0" collapsed="false">
      <c r="A987" s="29"/>
      <c r="B987" s="40" t="n">
        <f aca="false">IF($A987="",0,INT(($A987-Macrociclo!$C$11)/7)+1)</f>
        <v>0</v>
      </c>
      <c r="C987" s="27"/>
      <c r="D987" s="28"/>
      <c r="E987" s="28"/>
      <c r="F987" s="28"/>
      <c r="G987" s="28"/>
      <c r="H987" s="40" t="n">
        <f aca="false">IF(COUNT($D987:$G987)&lt;4,0,SUM($D987:$G987))</f>
        <v>0</v>
      </c>
      <c r="I987" s="26" t="str">
        <f aca="false">IF($H987=0,"",IF($H987&lt;=8,"Ótimo",IF($H987&lt;=12,"Bom",IF($H987&lt;=16,"Regular",IF($H987&lt;=20,"Alerta","Crítico")))))</f>
        <v/>
      </c>
      <c r="J987" s="27"/>
      <c r="K987" s="27"/>
    </row>
    <row r="988" customFormat="false" ht="15" hidden="false" customHeight="false" outlineLevel="0" collapsed="false">
      <c r="A988" s="29"/>
      <c r="B988" s="40" t="n">
        <f aca="false">IF($A988="",0,INT(($A988-Macrociclo!$C$11)/7)+1)</f>
        <v>0</v>
      </c>
      <c r="C988" s="27"/>
      <c r="D988" s="28"/>
      <c r="E988" s="28"/>
      <c r="F988" s="28"/>
      <c r="G988" s="28"/>
      <c r="H988" s="40" t="n">
        <f aca="false">IF(COUNT($D988:$G988)&lt;4,0,SUM($D988:$G988))</f>
        <v>0</v>
      </c>
      <c r="I988" s="26" t="str">
        <f aca="false">IF($H988=0,"",IF($H988&lt;=8,"Ótimo",IF($H988&lt;=12,"Bom",IF($H988&lt;=16,"Regular",IF($H988&lt;=20,"Alerta","Crítico")))))</f>
        <v/>
      </c>
      <c r="J988" s="27"/>
      <c r="K988" s="27"/>
    </row>
    <row r="989" customFormat="false" ht="15" hidden="false" customHeight="false" outlineLevel="0" collapsed="false">
      <c r="A989" s="29"/>
      <c r="B989" s="40" t="n">
        <f aca="false">IF($A989="",0,INT(($A989-Macrociclo!$C$11)/7)+1)</f>
        <v>0</v>
      </c>
      <c r="C989" s="27"/>
      <c r="D989" s="28"/>
      <c r="E989" s="28"/>
      <c r="F989" s="28"/>
      <c r="G989" s="28"/>
      <c r="H989" s="40" t="n">
        <f aca="false">IF(COUNT($D989:$G989)&lt;4,0,SUM($D989:$G989))</f>
        <v>0</v>
      </c>
      <c r="I989" s="26" t="str">
        <f aca="false">IF($H989=0,"",IF($H989&lt;=8,"Ótimo",IF($H989&lt;=12,"Bom",IF($H989&lt;=16,"Regular",IF($H989&lt;=20,"Alerta","Crítico")))))</f>
        <v/>
      </c>
      <c r="J989" s="27"/>
      <c r="K989" s="27"/>
    </row>
    <row r="990" customFormat="false" ht="15" hidden="false" customHeight="false" outlineLevel="0" collapsed="false">
      <c r="A990" s="29"/>
      <c r="B990" s="40" t="n">
        <f aca="false">IF($A990="",0,INT(($A990-Macrociclo!$C$11)/7)+1)</f>
        <v>0</v>
      </c>
      <c r="C990" s="27"/>
      <c r="D990" s="28"/>
      <c r="E990" s="28"/>
      <c r="F990" s="28"/>
      <c r="G990" s="28"/>
      <c r="H990" s="40" t="n">
        <f aca="false">IF(COUNT($D990:$G990)&lt;4,0,SUM($D990:$G990))</f>
        <v>0</v>
      </c>
      <c r="I990" s="26" t="str">
        <f aca="false">IF($H990=0,"",IF($H990&lt;=8,"Ótimo",IF($H990&lt;=12,"Bom",IF($H990&lt;=16,"Regular",IF($H990&lt;=20,"Alerta","Crítico")))))</f>
        <v/>
      </c>
      <c r="J990" s="27"/>
      <c r="K990" s="27"/>
    </row>
    <row r="991" customFormat="false" ht="15" hidden="false" customHeight="false" outlineLevel="0" collapsed="false">
      <c r="A991" s="29"/>
      <c r="B991" s="40" t="n">
        <f aca="false">IF($A991="",0,INT(($A991-Macrociclo!$C$11)/7)+1)</f>
        <v>0</v>
      </c>
      <c r="C991" s="27"/>
      <c r="D991" s="28"/>
      <c r="E991" s="28"/>
      <c r="F991" s="28"/>
      <c r="G991" s="28"/>
      <c r="H991" s="40" t="n">
        <f aca="false">IF(COUNT($D991:$G991)&lt;4,0,SUM($D991:$G991))</f>
        <v>0</v>
      </c>
      <c r="I991" s="26" t="str">
        <f aca="false">IF($H991=0,"",IF($H991&lt;=8,"Ótimo",IF($H991&lt;=12,"Bom",IF($H991&lt;=16,"Regular",IF($H991&lt;=20,"Alerta","Crítico")))))</f>
        <v/>
      </c>
      <c r="J991" s="27"/>
      <c r="K991" s="27"/>
    </row>
    <row r="992" customFormat="false" ht="15" hidden="false" customHeight="false" outlineLevel="0" collapsed="false">
      <c r="A992" s="29"/>
      <c r="B992" s="40" t="n">
        <f aca="false">IF($A992="",0,INT(($A992-Macrociclo!$C$11)/7)+1)</f>
        <v>0</v>
      </c>
      <c r="C992" s="27"/>
      <c r="D992" s="28"/>
      <c r="E992" s="28"/>
      <c r="F992" s="28"/>
      <c r="G992" s="28"/>
      <c r="H992" s="40" t="n">
        <f aca="false">IF(COUNT($D992:$G992)&lt;4,0,SUM($D992:$G992))</f>
        <v>0</v>
      </c>
      <c r="I992" s="26" t="str">
        <f aca="false">IF($H992=0,"",IF($H992&lt;=8,"Ótimo",IF($H992&lt;=12,"Bom",IF($H992&lt;=16,"Regular",IF($H992&lt;=20,"Alerta","Crítico")))))</f>
        <v/>
      </c>
      <c r="J992" s="27"/>
      <c r="K992" s="27"/>
    </row>
    <row r="993" customFormat="false" ht="15" hidden="false" customHeight="false" outlineLevel="0" collapsed="false">
      <c r="A993" s="29"/>
      <c r="B993" s="40" t="n">
        <f aca="false">IF($A993="",0,INT(($A993-Macrociclo!$C$11)/7)+1)</f>
        <v>0</v>
      </c>
      <c r="C993" s="27"/>
      <c r="D993" s="28"/>
      <c r="E993" s="28"/>
      <c r="F993" s="28"/>
      <c r="G993" s="28"/>
      <c r="H993" s="40" t="n">
        <f aca="false">IF(COUNT($D993:$G993)&lt;4,0,SUM($D993:$G993))</f>
        <v>0</v>
      </c>
      <c r="I993" s="26" t="str">
        <f aca="false">IF($H993=0,"",IF($H993&lt;=8,"Ótimo",IF($H993&lt;=12,"Bom",IF($H993&lt;=16,"Regular",IF($H993&lt;=20,"Alerta","Crítico")))))</f>
        <v/>
      </c>
      <c r="J993" s="27"/>
      <c r="K993" s="27"/>
    </row>
    <row r="994" customFormat="false" ht="15" hidden="false" customHeight="false" outlineLevel="0" collapsed="false">
      <c r="A994" s="29"/>
      <c r="B994" s="40" t="n">
        <f aca="false">IF($A994="",0,INT(($A994-Macrociclo!$C$11)/7)+1)</f>
        <v>0</v>
      </c>
      <c r="C994" s="27"/>
      <c r="D994" s="28"/>
      <c r="E994" s="28"/>
      <c r="F994" s="28"/>
      <c r="G994" s="28"/>
      <c r="H994" s="40" t="n">
        <f aca="false">IF(COUNT($D994:$G994)&lt;4,0,SUM($D994:$G994))</f>
        <v>0</v>
      </c>
      <c r="I994" s="26" t="str">
        <f aca="false">IF($H994=0,"",IF($H994&lt;=8,"Ótimo",IF($H994&lt;=12,"Bom",IF($H994&lt;=16,"Regular",IF($H994&lt;=20,"Alerta","Crítico")))))</f>
        <v/>
      </c>
      <c r="J994" s="27"/>
      <c r="K994" s="27"/>
    </row>
    <row r="995" customFormat="false" ht="15" hidden="false" customHeight="false" outlineLevel="0" collapsed="false">
      <c r="A995" s="29"/>
      <c r="B995" s="40" t="n">
        <f aca="false">IF($A995="",0,INT(($A995-Macrociclo!$C$11)/7)+1)</f>
        <v>0</v>
      </c>
      <c r="C995" s="27"/>
      <c r="D995" s="28"/>
      <c r="E995" s="28"/>
      <c r="F995" s="28"/>
      <c r="G995" s="28"/>
      <c r="H995" s="40" t="n">
        <f aca="false">IF(COUNT($D995:$G995)&lt;4,0,SUM($D995:$G995))</f>
        <v>0</v>
      </c>
      <c r="I995" s="26" t="str">
        <f aca="false">IF($H995=0,"",IF($H995&lt;=8,"Ótimo",IF($H995&lt;=12,"Bom",IF($H995&lt;=16,"Regular",IF($H995&lt;=20,"Alerta","Crítico")))))</f>
        <v/>
      </c>
      <c r="J995" s="27"/>
      <c r="K995" s="27"/>
    </row>
    <row r="996" customFormat="false" ht="15" hidden="false" customHeight="false" outlineLevel="0" collapsed="false">
      <c r="A996" s="29"/>
      <c r="B996" s="40" t="n">
        <f aca="false">IF($A996="",0,INT(($A996-Macrociclo!$C$11)/7)+1)</f>
        <v>0</v>
      </c>
      <c r="C996" s="27"/>
      <c r="D996" s="28"/>
      <c r="E996" s="28"/>
      <c r="F996" s="28"/>
      <c r="G996" s="28"/>
      <c r="H996" s="40" t="n">
        <f aca="false">IF(COUNT($D996:$G996)&lt;4,0,SUM($D996:$G996))</f>
        <v>0</v>
      </c>
      <c r="I996" s="26" t="str">
        <f aca="false">IF($H996=0,"",IF($H996&lt;=8,"Ótimo",IF($H996&lt;=12,"Bom",IF($H996&lt;=16,"Regular",IF($H996&lt;=20,"Alerta","Crítico")))))</f>
        <v/>
      </c>
      <c r="J996" s="27"/>
      <c r="K996" s="27"/>
    </row>
    <row r="997" customFormat="false" ht="15" hidden="false" customHeight="false" outlineLevel="0" collapsed="false">
      <c r="A997" s="29"/>
      <c r="B997" s="40" t="n">
        <f aca="false">IF($A997="",0,INT(($A997-Macrociclo!$C$11)/7)+1)</f>
        <v>0</v>
      </c>
      <c r="C997" s="27"/>
      <c r="D997" s="28"/>
      <c r="E997" s="28"/>
      <c r="F997" s="28"/>
      <c r="G997" s="28"/>
      <c r="H997" s="40" t="n">
        <f aca="false">IF(COUNT($D997:$G997)&lt;4,0,SUM($D997:$G997))</f>
        <v>0</v>
      </c>
      <c r="I997" s="26" t="str">
        <f aca="false">IF($H997=0,"",IF($H997&lt;=8,"Ótimo",IF($H997&lt;=12,"Bom",IF($H997&lt;=16,"Regular",IF($H997&lt;=20,"Alerta","Crítico")))))</f>
        <v/>
      </c>
      <c r="J997" s="27"/>
      <c r="K997" s="27"/>
    </row>
    <row r="998" customFormat="false" ht="15" hidden="false" customHeight="false" outlineLevel="0" collapsed="false">
      <c r="A998" s="29"/>
      <c r="B998" s="40" t="n">
        <f aca="false">IF($A998="",0,INT(($A998-Macrociclo!$C$11)/7)+1)</f>
        <v>0</v>
      </c>
      <c r="C998" s="27"/>
      <c r="D998" s="28"/>
      <c r="E998" s="28"/>
      <c r="F998" s="28"/>
      <c r="G998" s="28"/>
      <c r="H998" s="40" t="n">
        <f aca="false">IF(COUNT($D998:$G998)&lt;4,0,SUM($D998:$G998))</f>
        <v>0</v>
      </c>
      <c r="I998" s="26" t="str">
        <f aca="false">IF($H998=0,"",IF($H998&lt;=8,"Ótimo",IF($H998&lt;=12,"Bom",IF($H998&lt;=16,"Regular",IF($H998&lt;=20,"Alerta","Crítico")))))</f>
        <v/>
      </c>
      <c r="J998" s="27"/>
      <c r="K998" s="27"/>
    </row>
    <row r="999" customFormat="false" ht="15" hidden="false" customHeight="false" outlineLevel="0" collapsed="false">
      <c r="A999" s="29"/>
      <c r="B999" s="40" t="n">
        <f aca="false">IF($A999="",0,INT(($A999-Macrociclo!$C$11)/7)+1)</f>
        <v>0</v>
      </c>
      <c r="C999" s="27"/>
      <c r="D999" s="28"/>
      <c r="E999" s="28"/>
      <c r="F999" s="28"/>
      <c r="G999" s="28"/>
      <c r="H999" s="40" t="n">
        <f aca="false">IF(COUNT($D999:$G999)&lt;4,0,SUM($D999:$G999))</f>
        <v>0</v>
      </c>
      <c r="I999" s="26" t="str">
        <f aca="false">IF($H999=0,"",IF($H999&lt;=8,"Ótimo",IF($H999&lt;=12,"Bom",IF($H999&lt;=16,"Regular",IF($H999&lt;=20,"Alerta","Crítico")))))</f>
        <v/>
      </c>
      <c r="J999" s="27"/>
      <c r="K999" s="27"/>
    </row>
    <row r="1000" customFormat="false" ht="15" hidden="false" customHeight="false" outlineLevel="0" collapsed="false">
      <c r="A1000" s="29"/>
      <c r="B1000" s="40" t="n">
        <f aca="false">IF($A1000="",0,INT(($A1000-Macrociclo!$C$11)/7)+1)</f>
        <v>0</v>
      </c>
      <c r="C1000" s="27"/>
      <c r="D1000" s="28"/>
      <c r="E1000" s="28"/>
      <c r="F1000" s="28"/>
      <c r="G1000" s="28"/>
      <c r="H1000" s="40" t="n">
        <f aca="false">IF(COUNT($D1000:$G1000)&lt;4,0,SUM($D1000:$G1000))</f>
        <v>0</v>
      </c>
      <c r="I1000" s="26" t="str">
        <f aca="false">IF($H1000=0,"",IF($H1000&lt;=8,"Ótimo",IF($H1000&lt;=12,"Bom",IF($H1000&lt;=16,"Regular",IF($H1000&lt;=20,"Alerta","Crítico")))))</f>
        <v/>
      </c>
      <c r="J1000" s="27"/>
      <c r="K1000" s="27"/>
    </row>
    <row r="1001" customFormat="false" ht="15" hidden="false" customHeight="false" outlineLevel="0" collapsed="false">
      <c r="A1001" s="29"/>
      <c r="B1001" s="40" t="n">
        <f aca="false">IF($A1001="",0,INT(($A1001-Macrociclo!$C$11)/7)+1)</f>
        <v>0</v>
      </c>
      <c r="C1001" s="27"/>
      <c r="D1001" s="28"/>
      <c r="E1001" s="28"/>
      <c r="F1001" s="28"/>
      <c r="G1001" s="28"/>
      <c r="H1001" s="40" t="n">
        <f aca="false">IF(COUNT($D1001:$G1001)&lt;4,0,SUM($D1001:$G1001))</f>
        <v>0</v>
      </c>
      <c r="I1001" s="26" t="str">
        <f aca="false">IF($H1001=0,"",IF($H1001&lt;=8,"Ótimo",IF($H1001&lt;=12,"Bom",IF($H1001&lt;=16,"Regular",IF($H1001&lt;=20,"Alerta","Crítico")))))</f>
        <v/>
      </c>
      <c r="J1001" s="27"/>
      <c r="K1001" s="27"/>
    </row>
    <row r="1002" customFormat="false" ht="15" hidden="false" customHeight="false" outlineLevel="0" collapsed="false">
      <c r="A1002" s="29"/>
      <c r="B1002" s="40" t="n">
        <f aca="false">IF($A1002="",0,INT(($A1002-Macrociclo!$C$11)/7)+1)</f>
        <v>0</v>
      </c>
      <c r="C1002" s="27"/>
      <c r="D1002" s="28"/>
      <c r="E1002" s="28"/>
      <c r="F1002" s="28"/>
      <c r="G1002" s="28"/>
      <c r="H1002" s="40" t="n">
        <f aca="false">IF(COUNT($D1002:$G1002)&lt;4,0,SUM($D1002:$G1002))</f>
        <v>0</v>
      </c>
      <c r="I1002" s="26" t="str">
        <f aca="false">IF($H1002=0,"",IF($H1002&lt;=8,"Ótimo",IF($H1002&lt;=12,"Bom",IF($H1002&lt;=16,"Regular",IF($H1002&lt;=20,"Alerta","Crítico")))))</f>
        <v/>
      </c>
      <c r="J1002" s="27"/>
      <c r="K1002" s="27"/>
    </row>
    <row r="1003" customFormat="false" ht="15" hidden="false" customHeight="false" outlineLevel="0" collapsed="false">
      <c r="A1003" s="29"/>
      <c r="B1003" s="40" t="n">
        <f aca="false">IF($A1003="",0,INT(($A1003-Macrociclo!$C$11)/7)+1)</f>
        <v>0</v>
      </c>
      <c r="C1003" s="27"/>
      <c r="D1003" s="28"/>
      <c r="E1003" s="28"/>
      <c r="F1003" s="28"/>
      <c r="G1003" s="28"/>
      <c r="H1003" s="40" t="n">
        <f aca="false">IF(COUNT($D1003:$G1003)&lt;4,0,SUM($D1003:$G1003))</f>
        <v>0</v>
      </c>
      <c r="I1003" s="26" t="str">
        <f aca="false">IF($H1003=0,"",IF($H1003&lt;=8,"Ótimo",IF($H1003&lt;=12,"Bom",IF($H1003&lt;=16,"Regular",IF($H1003&lt;=20,"Alerta","Crítico")))))</f>
        <v/>
      </c>
      <c r="J1003" s="27"/>
      <c r="K1003" s="27"/>
    </row>
    <row r="1004" customFormat="false" ht="15" hidden="false" customHeight="false" outlineLevel="0" collapsed="false">
      <c r="A1004" s="29"/>
      <c r="B1004" s="40" t="n">
        <f aca="false">IF($A1004="",0,INT(($A1004-Macrociclo!$C$11)/7)+1)</f>
        <v>0</v>
      </c>
      <c r="C1004" s="27"/>
      <c r="D1004" s="28"/>
      <c r="E1004" s="28"/>
      <c r="F1004" s="28"/>
      <c r="G1004" s="28"/>
      <c r="H1004" s="40" t="n">
        <f aca="false">IF(COUNT($D1004:$G1004)&lt;4,0,SUM($D1004:$G1004))</f>
        <v>0</v>
      </c>
      <c r="I1004" s="26" t="str">
        <f aca="false">IF($H1004=0,"",IF($H1004&lt;=8,"Ótimo",IF($H1004&lt;=12,"Bom",IF($H1004&lt;=16,"Regular",IF($H1004&lt;=20,"Alerta","Crítico")))))</f>
        <v/>
      </c>
      <c r="J1004" s="27"/>
      <c r="K1004" s="27"/>
    </row>
    <row r="1005" customFormat="false" ht="15" hidden="false" customHeight="false" outlineLevel="0" collapsed="false">
      <c r="A1005" s="29"/>
      <c r="B1005" s="40" t="n">
        <f aca="false">IF($A1005="",0,INT(($A1005-Macrociclo!$C$11)/7)+1)</f>
        <v>0</v>
      </c>
      <c r="C1005" s="27"/>
      <c r="D1005" s="28"/>
      <c r="E1005" s="28"/>
      <c r="F1005" s="28"/>
      <c r="G1005" s="28"/>
      <c r="H1005" s="40" t="n">
        <f aca="false">IF(COUNT($D1005:$G1005)&lt;4,0,SUM($D1005:$G1005))</f>
        <v>0</v>
      </c>
      <c r="I1005" s="26" t="str">
        <f aca="false">IF($H1005=0,"",IF($H1005&lt;=8,"Ótimo",IF($H1005&lt;=12,"Bom",IF($H1005&lt;=16,"Regular",IF($H1005&lt;=20,"Alerta","Crítico")))))</f>
        <v/>
      </c>
      <c r="J1005" s="27"/>
      <c r="K1005" s="27"/>
    </row>
    <row r="1006" customFormat="false" ht="15" hidden="false" customHeight="false" outlineLevel="0" collapsed="false">
      <c r="A1006" s="29"/>
      <c r="B1006" s="40" t="n">
        <f aca="false">IF($A1006="",0,INT(($A1006-Macrociclo!$C$11)/7)+1)</f>
        <v>0</v>
      </c>
      <c r="C1006" s="27"/>
      <c r="D1006" s="28"/>
      <c r="E1006" s="28"/>
      <c r="F1006" s="28"/>
      <c r="G1006" s="28"/>
      <c r="H1006" s="40" t="n">
        <f aca="false">IF(COUNT($D1006:$G1006)&lt;4,0,SUM($D1006:$G1006))</f>
        <v>0</v>
      </c>
      <c r="I1006" s="26" t="str">
        <f aca="false">IF($H1006=0,"",IF($H1006&lt;=8,"Ótimo",IF($H1006&lt;=12,"Bom",IF($H1006&lt;=16,"Regular",IF($H1006&lt;=20,"Alerta","Crítico")))))</f>
        <v/>
      </c>
      <c r="J1006" s="27"/>
      <c r="K1006" s="27"/>
    </row>
    <row r="1007" customFormat="false" ht="15" hidden="false" customHeight="false" outlineLevel="0" collapsed="false">
      <c r="A1007" s="29"/>
      <c r="B1007" s="40" t="n">
        <f aca="false">IF($A1007="",0,INT(($A1007-Macrociclo!$C$11)/7)+1)</f>
        <v>0</v>
      </c>
      <c r="C1007" s="27"/>
      <c r="D1007" s="28"/>
      <c r="E1007" s="28"/>
      <c r="F1007" s="28"/>
      <c r="G1007" s="28"/>
      <c r="H1007" s="40" t="n">
        <f aca="false">IF(COUNT($D1007:$G1007)&lt;4,0,SUM($D1007:$G1007))</f>
        <v>0</v>
      </c>
      <c r="I1007" s="26" t="str">
        <f aca="false">IF($H1007=0,"",IF($H1007&lt;=8,"Ótimo",IF($H1007&lt;=12,"Bom",IF($H1007&lt;=16,"Regular",IF($H1007&lt;=20,"Alerta","Crítico")))))</f>
        <v/>
      </c>
      <c r="J1007" s="27"/>
      <c r="K1007" s="27"/>
    </row>
  </sheetData>
  <autoFilter ref="A7:K1007"/>
  <mergeCells count="3">
    <mergeCell ref="A1:K1"/>
    <mergeCell ref="A2:K2"/>
    <mergeCell ref="A4:K4"/>
  </mergeCells>
  <conditionalFormatting sqref="I8:I1007">
    <cfRule type="cellIs" priority="2" operator="equal" aboveAverage="0" equalAverage="0" bottom="0" percent="0" rank="0" text="" dxfId="10">
      <formula>"Ótimo"</formula>
    </cfRule>
    <cfRule type="cellIs" priority="3" operator="equal" aboveAverage="0" equalAverage="0" bottom="0" percent="0" rank="0" text="" dxfId="81">
      <formula>"Bom"</formula>
    </cfRule>
    <cfRule type="cellIs" priority="4" operator="equal" aboveAverage="0" equalAverage="0" bottom="0" percent="0" rank="0" text="" dxfId="12">
      <formula>"Regular"</formula>
    </cfRule>
    <cfRule type="cellIs" priority="5" operator="equal" aboveAverage="0" equalAverage="0" bottom="0" percent="0" rank="0" text="" dxfId="68">
      <formula>"Alerta"</formula>
    </cfRule>
    <cfRule type="cellIs" priority="6" operator="equal" aboveAverage="0" equalAverage="0" bottom="0" percent="0" rank="0" text="" dxfId="11">
      <formula>"Crítico"</formula>
    </cfRule>
  </conditionalFormatting>
  <dataValidations count="5">
    <dataValidation allowBlank="true" errorStyle="stop" operator="between" showDropDown="false" showErrorMessage="false" showInputMessage="false" sqref="C8:C1007" type="list">
      <formula1>Cadastro!$B$8:$B$47</formula1>
      <formula2>0</formula2>
    </dataValidation>
    <dataValidation allowBlank="true" errorStyle="stop" operator="between" showDropDown="false" showErrorMessage="false" showInputMessage="false" sqref="D8:D1007" type="list">
      <formula1>Listas!$O$5:$O$16</formula1>
      <formula2>0</formula2>
    </dataValidation>
    <dataValidation allowBlank="true" errorStyle="stop" operator="between" showDropDown="false" showErrorMessage="false" showInputMessage="false" sqref="E8:E1007" type="list">
      <formula1>Listas!$O$5:$O$16</formula1>
      <formula2>0</formula2>
    </dataValidation>
    <dataValidation allowBlank="true" errorStyle="stop" operator="between" showDropDown="false" showErrorMessage="false" showInputMessage="false" sqref="F8:F1007" type="list">
      <formula1>Listas!$O$5:$O$16</formula1>
      <formula2>0</formula2>
    </dataValidation>
    <dataValidation allowBlank="true" errorStyle="stop" operator="between" showDropDown="false" showErrorMessage="false" showInputMessage="false" sqref="G8:G1007" type="list">
      <formula1>Listas!$O$5:$O$16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A"/>
    <pageSetUpPr fitToPage="true"/>
  </sheetPr>
  <dimension ref="A1:P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13"/>
    <col collapsed="false" customWidth="true" hidden="false" outlineLevel="0" max="16" min="16" style="0" width="16"/>
  </cols>
  <sheetData>
    <row r="1" customFormat="false" ht="30" hidden="false" customHeight="true" outlineLevel="0" collapsed="false">
      <c r="A1" s="1" t="s">
        <v>1247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1248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5" customFormat="false" ht="19.5" hidden="false" customHeight="true" outlineLevel="0" collapsed="false">
      <c r="I5" s="3" t="s">
        <v>1249</v>
      </c>
      <c r="J5" s="3"/>
      <c r="K5" s="3"/>
      <c r="L5" s="3"/>
      <c r="M5" s="3"/>
      <c r="N5" s="3"/>
      <c r="O5" s="3"/>
      <c r="P5" s="3"/>
    </row>
    <row r="7" customFormat="false" ht="31.5" hidden="false" customHeight="true" outlineLevel="0" collapsed="false">
      <c r="A7" s="25" t="s">
        <v>294</v>
      </c>
      <c r="B7" s="25" t="s">
        <v>922</v>
      </c>
      <c r="C7" s="25" t="s">
        <v>1250</v>
      </c>
      <c r="D7" s="25" t="s">
        <v>295</v>
      </c>
      <c r="E7" s="25" t="s">
        <v>1251</v>
      </c>
      <c r="F7" s="25" t="s">
        <v>1252</v>
      </c>
      <c r="G7" s="25" t="s">
        <v>1253</v>
      </c>
      <c r="I7" s="25" t="s">
        <v>295</v>
      </c>
      <c r="J7" s="25" t="s">
        <v>1254</v>
      </c>
      <c r="K7" s="25" t="s">
        <v>1255</v>
      </c>
      <c r="L7" s="25" t="s">
        <v>1256</v>
      </c>
      <c r="M7" s="25" t="s">
        <v>1257</v>
      </c>
      <c r="N7" s="25" t="s">
        <v>1258</v>
      </c>
      <c r="O7" s="25" t="s">
        <v>1259</v>
      </c>
      <c r="P7" s="25" t="s">
        <v>842</v>
      </c>
    </row>
    <row r="8" customFormat="false" ht="15" hidden="false" customHeight="false" outlineLevel="0" collapsed="false">
      <c r="A8" s="29" t="n">
        <v>46244</v>
      </c>
      <c r="B8" s="40" t="n">
        <f aca="false">IF($A8="",0,INT(($A8-Macrociclo!$C$11)/7)+1)</f>
        <v>32</v>
      </c>
      <c r="C8" s="27" t="s">
        <v>1052</v>
      </c>
      <c r="D8" s="27" t="s">
        <v>164</v>
      </c>
      <c r="E8" s="28" t="s">
        <v>1260</v>
      </c>
      <c r="F8" s="28" t="n">
        <v>75</v>
      </c>
      <c r="G8" s="27" t="s">
        <v>373</v>
      </c>
      <c r="I8" s="60" t="str">
        <f aca="false">IF(Cadastro!$B8="","",Cadastro!$B8)</f>
        <v>Rafael Monteiro Alves</v>
      </c>
      <c r="J8" s="33" t="n">
        <f aca="false">IF($I8="",0,COUNTIFS($D$8:$D$1007,$I8))</f>
        <v>25</v>
      </c>
      <c r="K8" s="33" t="n">
        <f aca="false">IF($I8="",0,COUNTIFS($D$8:$D$1007,$I8,$E$8:$E$1007,"Presente"))</f>
        <v>23</v>
      </c>
      <c r="L8" s="95" t="n">
        <f aca="false">IF($J8=0,0,$K8/$J8)</f>
        <v>0.92</v>
      </c>
      <c r="M8" s="33" t="n">
        <f aca="false">IF($I8="",0,COUNTIFS($D$8:$D$1007,$I8,$E$8:$E$1007,"Falta Justificada")+COUNTIFS($D$8:$D$1007,$I8,$E$8:$E$1007,"Falta Não Justificada"))</f>
        <v>2</v>
      </c>
      <c r="N8" s="33" t="n">
        <f aca="false">IF($I8="",0,COUNTIFS($D$8:$D$1007,$I8,$E$8:$E$1007,"Lesionado")+COUNTIFS($D$8:$D$1007,$I8,$E$8:$E$1007,"Departamento Médico"))</f>
        <v>0</v>
      </c>
      <c r="O8" s="33" t="n">
        <f aca="false">IF($I8="",0,SUMIFS($F$8:$F$1007,$D$8:$D$1007,$I8))</f>
        <v>1875</v>
      </c>
      <c r="P8" s="69" t="str">
        <f aca="false">IF($I8="","",IF($J8=0,"Sem registro",IF($L8&gt;=0.9,"Excelente",IF($L8&gt;=0.75,"Regular","Baixa assiduidade"))))</f>
        <v>Excelente</v>
      </c>
    </row>
    <row r="9" customFormat="false" ht="15" hidden="false" customHeight="false" outlineLevel="0" collapsed="false">
      <c r="A9" s="29" t="n">
        <v>46244</v>
      </c>
      <c r="B9" s="40" t="n">
        <f aca="false">IF($A9="",0,INT(($A9-Macrociclo!$C$11)/7)+1)</f>
        <v>32</v>
      </c>
      <c r="C9" s="27" t="s">
        <v>1052</v>
      </c>
      <c r="D9" s="27" t="s">
        <v>192</v>
      </c>
      <c r="E9" s="28" t="s">
        <v>1260</v>
      </c>
      <c r="F9" s="28" t="n">
        <v>75</v>
      </c>
      <c r="G9" s="27" t="s">
        <v>373</v>
      </c>
      <c r="I9" s="62" t="str">
        <f aca="false">IF(Cadastro!$B9="","",Cadastro!$B9)</f>
        <v>Diego Salgado Ferraz</v>
      </c>
      <c r="J9" s="149" t="n">
        <f aca="false">IF($I9="",0,COUNTIFS($D$8:$D$1007,$I9))</f>
        <v>25</v>
      </c>
      <c r="K9" s="149" t="n">
        <f aca="false">IF($I9="",0,COUNTIFS($D$8:$D$1007,$I9,$E$8:$E$1007,"Presente"))</f>
        <v>25</v>
      </c>
      <c r="L9" s="150" t="n">
        <f aca="false">IF($J9=0,0,$K9/$J9)</f>
        <v>1</v>
      </c>
      <c r="M9" s="149" t="n">
        <f aca="false">IF($I9="",0,COUNTIFS($D$8:$D$1007,$I9,$E$8:$E$1007,"Falta Justificada")+COUNTIFS($D$8:$D$1007,$I9,$E$8:$E$1007,"Falta Não Justificada"))</f>
        <v>0</v>
      </c>
      <c r="N9" s="149" t="n">
        <f aca="false">IF($I9="",0,COUNTIFS($D$8:$D$1007,$I9,$E$8:$E$1007,"Lesionado")+COUNTIFS($D$8:$D$1007,$I9,$E$8:$E$1007,"Departamento Médico"))</f>
        <v>0</v>
      </c>
      <c r="O9" s="149" t="n">
        <f aca="false">IF($I9="",0,SUMIFS($F$8:$F$1007,$D$8:$D$1007,$I9))</f>
        <v>2050</v>
      </c>
      <c r="P9" s="73" t="str">
        <f aca="false">IF($I9="","",IF($J9=0,"Sem registro",IF($L9&gt;=0.9,"Excelente",IF($L9&gt;=0.75,"Regular","Baixa assiduidade"))))</f>
        <v>Excelente</v>
      </c>
    </row>
    <row r="10" customFormat="false" ht="15" hidden="false" customHeight="false" outlineLevel="0" collapsed="false">
      <c r="A10" s="29" t="n">
        <v>46244</v>
      </c>
      <c r="B10" s="40" t="n">
        <f aca="false">IF($A10="",0,INT(($A10-Macrociclo!$C$11)/7)+1)</f>
        <v>32</v>
      </c>
      <c r="C10" s="27" t="s">
        <v>1052</v>
      </c>
      <c r="D10" s="27" t="s">
        <v>206</v>
      </c>
      <c r="E10" s="28" t="s">
        <v>1261</v>
      </c>
      <c r="F10" s="28" t="n">
        <v>0</v>
      </c>
      <c r="G10" s="27" t="s">
        <v>1262</v>
      </c>
      <c r="I10" s="60" t="str">
        <f aca="false">IF(Cadastro!$B10="","",Cadastro!$B10)</f>
        <v>Lucas Prado Bittencourt</v>
      </c>
      <c r="J10" s="33" t="n">
        <f aca="false">IF($I10="",0,COUNTIFS($D$8:$D$1007,$I10))</f>
        <v>25</v>
      </c>
      <c r="K10" s="33" t="n">
        <f aca="false">IF($I10="",0,COUNTIFS($D$8:$D$1007,$I10,$E$8:$E$1007,"Presente"))</f>
        <v>21</v>
      </c>
      <c r="L10" s="95" t="n">
        <f aca="false">IF($J10=0,0,$K10/$J10)</f>
        <v>0.84</v>
      </c>
      <c r="M10" s="33" t="n">
        <f aca="false">IF($I10="",0,COUNTIFS($D$8:$D$1007,$I10,$E$8:$E$1007,"Falta Justificada")+COUNTIFS($D$8:$D$1007,$I10,$E$8:$E$1007,"Falta Não Justificada"))</f>
        <v>4</v>
      </c>
      <c r="N10" s="33" t="n">
        <f aca="false">IF($I10="",0,COUNTIFS($D$8:$D$1007,$I10,$E$8:$E$1007,"Lesionado")+COUNTIFS($D$8:$D$1007,$I10,$E$8:$E$1007,"Departamento Médico"))</f>
        <v>0</v>
      </c>
      <c r="O10" s="33" t="n">
        <f aca="false">IF($I10="",0,SUMIFS($F$8:$F$1007,$D$8:$D$1007,$I10))</f>
        <v>1725</v>
      </c>
      <c r="P10" s="69" t="str">
        <f aca="false">IF($I10="","",IF($J10=0,"Sem registro",IF($L10&gt;=0.9,"Excelente",IF($L10&gt;=0.75,"Regular","Baixa assiduidade"))))</f>
        <v>Regular</v>
      </c>
    </row>
    <row r="11" customFormat="false" ht="15" hidden="false" customHeight="false" outlineLevel="0" collapsed="false">
      <c r="A11" s="29" t="n">
        <v>46244</v>
      </c>
      <c r="B11" s="40" t="n">
        <f aca="false">IF($A11="",0,INT(($A11-Macrociclo!$C$11)/7)+1)</f>
        <v>32</v>
      </c>
      <c r="C11" s="27" t="s">
        <v>1052</v>
      </c>
      <c r="D11" s="27" t="s">
        <v>215</v>
      </c>
      <c r="E11" s="28" t="s">
        <v>1260</v>
      </c>
      <c r="F11" s="28" t="n">
        <v>75</v>
      </c>
      <c r="G11" s="27" t="s">
        <v>373</v>
      </c>
      <c r="I11" s="62" t="str">
        <f aca="false">IF(Cadastro!$B11="","",Cadastro!$B11)</f>
        <v>Bruno Rezende Camargo</v>
      </c>
      <c r="J11" s="149" t="n">
        <f aca="false">IF($I11="",0,COUNTIFS($D$8:$D$1007,$I11))</f>
        <v>25</v>
      </c>
      <c r="K11" s="149" t="n">
        <f aca="false">IF($I11="",0,COUNTIFS($D$8:$D$1007,$I11,$E$8:$E$1007,"Presente"))</f>
        <v>13</v>
      </c>
      <c r="L11" s="150" t="n">
        <f aca="false">IF($J11=0,0,$K11/$J11)</f>
        <v>0.52</v>
      </c>
      <c r="M11" s="149" t="n">
        <f aca="false">IF($I11="",0,COUNTIFS($D$8:$D$1007,$I11,$E$8:$E$1007,"Falta Justificada")+COUNTIFS($D$8:$D$1007,$I11,$E$8:$E$1007,"Falta Não Justificada"))</f>
        <v>1</v>
      </c>
      <c r="N11" s="149" t="n">
        <f aca="false">IF($I11="",0,COUNTIFS($D$8:$D$1007,$I11,$E$8:$E$1007,"Lesionado")+COUNTIFS($D$8:$D$1007,$I11,$E$8:$E$1007,"Departamento Médico"))</f>
        <v>11</v>
      </c>
      <c r="O11" s="149" t="n">
        <f aca="false">IF($I11="",0,SUMIFS($F$8:$F$1007,$D$8:$D$1007,$I11))</f>
        <v>1090</v>
      </c>
      <c r="P11" s="73" t="str">
        <f aca="false">IF($I11="","",IF($J11=0,"Sem registro",IF($L11&gt;=0.9,"Excelente",IF($L11&gt;=0.75,"Regular","Baixa assiduidade"))))</f>
        <v>Baixa assiduidade</v>
      </c>
    </row>
    <row r="12" customFormat="false" ht="15" hidden="false" customHeight="false" outlineLevel="0" collapsed="false">
      <c r="A12" s="29" t="n">
        <v>46244</v>
      </c>
      <c r="B12" s="40" t="n">
        <f aca="false">IF($A12="",0,INT(($A12-Macrociclo!$C$11)/7)+1)</f>
        <v>32</v>
      </c>
      <c r="C12" s="27" t="s">
        <v>1052</v>
      </c>
      <c r="D12" s="27" t="s">
        <v>226</v>
      </c>
      <c r="E12" s="28" t="s">
        <v>1260</v>
      </c>
      <c r="F12" s="28" t="n">
        <v>75</v>
      </c>
      <c r="G12" s="27" t="s">
        <v>373</v>
      </c>
      <c r="I12" s="60" t="str">
        <f aca="false">IF(Cadastro!$B12="","",Cadastro!$B12)</f>
        <v>Thiago Nogueira Vasques</v>
      </c>
      <c r="J12" s="33" t="n">
        <f aca="false">IF($I12="",0,COUNTIFS($D$8:$D$1007,$I12))</f>
        <v>25</v>
      </c>
      <c r="K12" s="33" t="n">
        <f aca="false">IF($I12="",0,COUNTIFS($D$8:$D$1007,$I12,$E$8:$E$1007,"Presente"))</f>
        <v>24</v>
      </c>
      <c r="L12" s="95" t="n">
        <f aca="false">IF($J12=0,0,$K12/$J12)</f>
        <v>0.96</v>
      </c>
      <c r="M12" s="33" t="n">
        <f aca="false">IF($I12="",0,COUNTIFS($D$8:$D$1007,$I12,$E$8:$E$1007,"Falta Justificada")+COUNTIFS($D$8:$D$1007,$I12,$E$8:$E$1007,"Falta Não Justificada"))</f>
        <v>1</v>
      </c>
      <c r="N12" s="33" t="n">
        <f aca="false">IF($I12="",0,COUNTIFS($D$8:$D$1007,$I12,$E$8:$E$1007,"Lesionado")+COUNTIFS($D$8:$D$1007,$I12,$E$8:$E$1007,"Departamento Médico"))</f>
        <v>0</v>
      </c>
      <c r="O12" s="33" t="n">
        <f aca="false">IF($I12="",0,SUMIFS($F$8:$F$1007,$D$8:$D$1007,$I12))</f>
        <v>1990</v>
      </c>
      <c r="P12" s="69" t="str">
        <f aca="false">IF($I12="","",IF($J12=0,"Sem registro",IF($L12&gt;=0.9,"Excelente",IF($L12&gt;=0.75,"Regular","Baixa assiduidade"))))</f>
        <v>Excelente</v>
      </c>
    </row>
    <row r="13" customFormat="false" ht="15" hidden="false" customHeight="false" outlineLevel="0" collapsed="false">
      <c r="A13" s="29" t="n">
        <v>46244</v>
      </c>
      <c r="B13" s="40" t="n">
        <f aca="false">IF($A13="",0,INT(($A13-Macrociclo!$C$11)/7)+1)</f>
        <v>32</v>
      </c>
      <c r="C13" s="27" t="s">
        <v>1052</v>
      </c>
      <c r="D13" s="27" t="s">
        <v>236</v>
      </c>
      <c r="E13" s="28" t="s">
        <v>1260</v>
      </c>
      <c r="F13" s="28" t="n">
        <v>75</v>
      </c>
      <c r="G13" s="27" t="s">
        <v>373</v>
      </c>
      <c r="I13" s="62" t="str">
        <f aca="false">IF(Cadastro!$B13="","",Cadastro!$B13)</f>
        <v>Matheus Caldeira Lins</v>
      </c>
      <c r="J13" s="149" t="n">
        <f aca="false">IF($I13="",0,COUNTIFS($D$8:$D$1007,$I13))</f>
        <v>25</v>
      </c>
      <c r="K13" s="149" t="n">
        <f aca="false">IF($I13="",0,COUNTIFS($D$8:$D$1007,$I13,$E$8:$E$1007,"Presente"))</f>
        <v>24</v>
      </c>
      <c r="L13" s="150" t="n">
        <f aca="false">IF($J13=0,0,$K13/$J13)</f>
        <v>0.96</v>
      </c>
      <c r="M13" s="149" t="n">
        <f aca="false">IF($I13="",0,COUNTIFS($D$8:$D$1007,$I13,$E$8:$E$1007,"Falta Justificada")+COUNTIFS($D$8:$D$1007,$I13,$E$8:$E$1007,"Falta Não Justificada"))</f>
        <v>1</v>
      </c>
      <c r="N13" s="149" t="n">
        <f aca="false">IF($I13="",0,COUNTIFS($D$8:$D$1007,$I13,$E$8:$E$1007,"Lesionado")+COUNTIFS($D$8:$D$1007,$I13,$E$8:$E$1007,"Departamento Médico"))</f>
        <v>0</v>
      </c>
      <c r="O13" s="149" t="n">
        <f aca="false">IF($I13="",0,SUMIFS($F$8:$F$1007,$D$8:$D$1007,$I13))</f>
        <v>1950</v>
      </c>
      <c r="P13" s="73" t="str">
        <f aca="false">IF($I13="","",IF($J13=0,"Sem registro",IF($L13&gt;=0.9,"Excelente",IF($L13&gt;=0.75,"Regular","Baixa assiduidade"))))</f>
        <v>Excelente</v>
      </c>
    </row>
    <row r="14" customFormat="false" ht="15" hidden="false" customHeight="false" outlineLevel="0" collapsed="false">
      <c r="A14" s="29" t="n">
        <v>46244</v>
      </c>
      <c r="B14" s="40" t="n">
        <f aca="false">IF($A14="",0,INT(($A14-Macrociclo!$C$11)/7)+1)</f>
        <v>32</v>
      </c>
      <c r="C14" s="27" t="s">
        <v>1052</v>
      </c>
      <c r="D14" s="27" t="s">
        <v>244</v>
      </c>
      <c r="E14" s="28" t="s">
        <v>1260</v>
      </c>
      <c r="F14" s="28" t="n">
        <v>75</v>
      </c>
      <c r="G14" s="27" t="s">
        <v>373</v>
      </c>
      <c r="I14" s="60" t="str">
        <f aca="false">IF(Cadastro!$B14="","",Cadastro!$B14)</f>
        <v>Felipe Andrade Rocha</v>
      </c>
      <c r="J14" s="33" t="n">
        <f aca="false">IF($I14="",0,COUNTIFS($D$8:$D$1007,$I14))</f>
        <v>25</v>
      </c>
      <c r="K14" s="33" t="n">
        <f aca="false">IF($I14="",0,COUNTIFS($D$8:$D$1007,$I14,$E$8:$E$1007,"Presente"))</f>
        <v>24</v>
      </c>
      <c r="L14" s="95" t="n">
        <f aca="false">IF($J14=0,0,$K14/$J14)</f>
        <v>0.96</v>
      </c>
      <c r="M14" s="33" t="n">
        <f aca="false">IF($I14="",0,COUNTIFS($D$8:$D$1007,$I14,$E$8:$E$1007,"Falta Justificada")+COUNTIFS($D$8:$D$1007,$I14,$E$8:$E$1007,"Falta Não Justificada"))</f>
        <v>1</v>
      </c>
      <c r="N14" s="33" t="n">
        <f aca="false">IF($I14="",0,COUNTIFS($D$8:$D$1007,$I14,$E$8:$E$1007,"Lesionado")+COUNTIFS($D$8:$D$1007,$I14,$E$8:$E$1007,"Departamento Médico"))</f>
        <v>0</v>
      </c>
      <c r="O14" s="33" t="n">
        <f aca="false">IF($I14="",0,SUMIFS($F$8:$F$1007,$D$8:$D$1007,$I14))</f>
        <v>1950</v>
      </c>
      <c r="P14" s="69" t="str">
        <f aca="false">IF($I14="","",IF($J14=0,"Sem registro",IF($L14&gt;=0.9,"Excelente",IF($L14&gt;=0.75,"Regular","Baixa assiduidade"))))</f>
        <v>Excelente</v>
      </c>
    </row>
    <row r="15" customFormat="false" ht="15" hidden="false" customHeight="false" outlineLevel="0" collapsed="false">
      <c r="A15" s="29" t="n">
        <v>46244</v>
      </c>
      <c r="B15" s="40" t="n">
        <f aca="false">IF($A15="",0,INT(($A15-Macrociclo!$C$11)/7)+1)</f>
        <v>32</v>
      </c>
      <c r="C15" s="27" t="s">
        <v>1052</v>
      </c>
      <c r="D15" s="27" t="s">
        <v>253</v>
      </c>
      <c r="E15" s="28" t="s">
        <v>1260</v>
      </c>
      <c r="F15" s="28" t="n">
        <v>75</v>
      </c>
      <c r="G15" s="27" t="s">
        <v>373</v>
      </c>
      <c r="I15" s="62" t="str">
        <f aca="false">IF(Cadastro!$B15="","",Cadastro!$B15)</f>
        <v>Gustavo Peixoto Maia</v>
      </c>
      <c r="J15" s="149" t="n">
        <f aca="false">IF($I15="",0,COUNTIFS($D$8:$D$1007,$I15))</f>
        <v>25</v>
      </c>
      <c r="K15" s="149" t="n">
        <f aca="false">IF($I15="",0,COUNTIFS($D$8:$D$1007,$I15,$E$8:$E$1007,"Presente"))</f>
        <v>25</v>
      </c>
      <c r="L15" s="150" t="n">
        <f aca="false">IF($J15=0,0,$K15/$J15)</f>
        <v>1</v>
      </c>
      <c r="M15" s="149" t="n">
        <f aca="false">IF($I15="",0,COUNTIFS($D$8:$D$1007,$I15,$E$8:$E$1007,"Falta Justificada")+COUNTIFS($D$8:$D$1007,$I15,$E$8:$E$1007,"Falta Não Justificada"))</f>
        <v>0</v>
      </c>
      <c r="N15" s="149" t="n">
        <f aca="false">IF($I15="",0,COUNTIFS($D$8:$D$1007,$I15,$E$8:$E$1007,"Lesionado")+COUNTIFS($D$8:$D$1007,$I15,$E$8:$E$1007,"Departamento Médico"))</f>
        <v>0</v>
      </c>
      <c r="O15" s="149" t="n">
        <f aca="false">IF($I15="",0,SUMIFS($F$8:$F$1007,$D$8:$D$1007,$I15))</f>
        <v>2050</v>
      </c>
      <c r="P15" s="73" t="str">
        <f aca="false">IF($I15="","",IF($J15=0,"Sem registro",IF($L15&gt;=0.9,"Excelente",IF($L15&gt;=0.75,"Regular","Baixa assiduidade"))))</f>
        <v>Excelente</v>
      </c>
    </row>
    <row r="16" customFormat="false" ht="15" hidden="false" customHeight="false" outlineLevel="0" collapsed="false">
      <c r="A16" s="29" t="n">
        <v>46244</v>
      </c>
      <c r="B16" s="40" t="n">
        <f aca="false">IF($A16="",0,INT(($A16-Macrociclo!$C$11)/7)+1)</f>
        <v>32</v>
      </c>
      <c r="C16" s="27" t="s">
        <v>1052</v>
      </c>
      <c r="D16" s="27" t="s">
        <v>259</v>
      </c>
      <c r="E16" s="28" t="s">
        <v>1260</v>
      </c>
      <c r="F16" s="28" t="n">
        <v>75</v>
      </c>
      <c r="G16" s="27" t="s">
        <v>373</v>
      </c>
      <c r="I16" s="60" t="str">
        <f aca="false">IF(Cadastro!$B16="","",Cadastro!$B16)</f>
        <v>Vinícius Barreto Duarte</v>
      </c>
      <c r="J16" s="33" t="n">
        <f aca="false">IF($I16="",0,COUNTIFS($D$8:$D$1007,$I16))</f>
        <v>25</v>
      </c>
      <c r="K16" s="33" t="n">
        <f aca="false">IF($I16="",0,COUNTIFS($D$8:$D$1007,$I16,$E$8:$E$1007,"Presente"))</f>
        <v>25</v>
      </c>
      <c r="L16" s="95" t="n">
        <f aca="false">IF($J16=0,0,$K16/$J16)</f>
        <v>1</v>
      </c>
      <c r="M16" s="33" t="n">
        <f aca="false">IF($I16="",0,COUNTIFS($D$8:$D$1007,$I16,$E$8:$E$1007,"Falta Justificada")+COUNTIFS($D$8:$D$1007,$I16,$E$8:$E$1007,"Falta Não Justificada"))</f>
        <v>0</v>
      </c>
      <c r="N16" s="33" t="n">
        <f aca="false">IF($I16="",0,COUNTIFS($D$8:$D$1007,$I16,$E$8:$E$1007,"Lesionado")+COUNTIFS($D$8:$D$1007,$I16,$E$8:$E$1007,"Departamento Médico"))</f>
        <v>0</v>
      </c>
      <c r="O16" s="33" t="n">
        <f aca="false">IF($I16="",0,SUMIFS($F$8:$F$1007,$D$8:$D$1007,$I16))</f>
        <v>2050</v>
      </c>
      <c r="P16" s="69" t="str">
        <f aca="false">IF($I16="","",IF($J16=0,"Sem registro",IF($L16&gt;=0.9,"Excelente",IF($L16&gt;=0.75,"Regular","Baixa assiduidade"))))</f>
        <v>Excelente</v>
      </c>
    </row>
    <row r="17" customFormat="false" ht="15" hidden="false" customHeight="false" outlineLevel="0" collapsed="false">
      <c r="A17" s="29" t="n">
        <v>46244</v>
      </c>
      <c r="B17" s="40" t="n">
        <f aca="false">IF($A17="",0,INT(($A17-Macrociclo!$C$11)/7)+1)</f>
        <v>32</v>
      </c>
      <c r="C17" s="27" t="s">
        <v>1052</v>
      </c>
      <c r="D17" s="27" t="s">
        <v>264</v>
      </c>
      <c r="E17" s="28" t="s">
        <v>1260</v>
      </c>
      <c r="F17" s="28" t="n">
        <v>75</v>
      </c>
      <c r="G17" s="27" t="s">
        <v>373</v>
      </c>
      <c r="I17" s="62" t="str">
        <f aca="false">IF(Cadastro!$B17="","",Cadastro!$B17)</f>
        <v>André Luiz Sampaio</v>
      </c>
      <c r="J17" s="149" t="n">
        <f aca="false">IF($I17="",0,COUNTIFS($D$8:$D$1007,$I17))</f>
        <v>25</v>
      </c>
      <c r="K17" s="149" t="n">
        <f aca="false">IF($I17="",0,COUNTIFS($D$8:$D$1007,$I17,$E$8:$E$1007,"Presente"))</f>
        <v>24</v>
      </c>
      <c r="L17" s="150" t="n">
        <f aca="false">IF($J17=0,0,$K17/$J17)</f>
        <v>0.96</v>
      </c>
      <c r="M17" s="149" t="n">
        <f aca="false">IF($I17="",0,COUNTIFS($D$8:$D$1007,$I17,$E$8:$E$1007,"Falta Justificada")+COUNTIFS($D$8:$D$1007,$I17,$E$8:$E$1007,"Falta Não Justificada"))</f>
        <v>1</v>
      </c>
      <c r="N17" s="149" t="n">
        <f aca="false">IF($I17="",0,COUNTIFS($D$8:$D$1007,$I17,$E$8:$E$1007,"Lesionado")+COUNTIFS($D$8:$D$1007,$I17,$E$8:$E$1007,"Departamento Médico"))</f>
        <v>0</v>
      </c>
      <c r="O17" s="149" t="n">
        <f aca="false">IF($I17="",0,SUMIFS($F$8:$F$1007,$D$8:$D$1007,$I17))</f>
        <v>1975</v>
      </c>
      <c r="P17" s="73" t="str">
        <f aca="false">IF($I17="","",IF($J17=0,"Sem registro",IF($L17&gt;=0.9,"Excelente",IF($L17&gt;=0.75,"Regular","Baixa assiduidade"))))</f>
        <v>Excelente</v>
      </c>
    </row>
    <row r="18" customFormat="false" ht="15" hidden="false" customHeight="false" outlineLevel="0" collapsed="false">
      <c r="A18" s="29" t="n">
        <v>46244</v>
      </c>
      <c r="B18" s="40" t="n">
        <f aca="false">IF($A18="",0,INT(($A18-Macrociclo!$C$11)/7)+1)</f>
        <v>32</v>
      </c>
      <c r="C18" s="27" t="s">
        <v>1052</v>
      </c>
      <c r="D18" s="27" t="s">
        <v>270</v>
      </c>
      <c r="E18" s="28" t="s">
        <v>1260</v>
      </c>
      <c r="F18" s="28" t="n">
        <v>75</v>
      </c>
      <c r="G18" s="27" t="s">
        <v>373</v>
      </c>
      <c r="I18" s="60" t="str">
        <f aca="false">IF(Cadastro!$B18="","",Cadastro!$B18)</f>
        <v>Pedro Henrique Coutinho</v>
      </c>
      <c r="J18" s="33" t="n">
        <f aca="false">IF($I18="",0,COUNTIFS($D$8:$D$1007,$I18))</f>
        <v>25</v>
      </c>
      <c r="K18" s="33" t="n">
        <f aca="false">IF($I18="",0,COUNTIFS($D$8:$D$1007,$I18,$E$8:$E$1007,"Presente"))</f>
        <v>23</v>
      </c>
      <c r="L18" s="95" t="n">
        <f aca="false">IF($J18=0,0,$K18/$J18)</f>
        <v>0.92</v>
      </c>
      <c r="M18" s="33" t="n">
        <f aca="false">IF($I18="",0,COUNTIFS($D$8:$D$1007,$I18,$E$8:$E$1007,"Falta Justificada")+COUNTIFS($D$8:$D$1007,$I18,$E$8:$E$1007,"Falta Não Justificada"))</f>
        <v>2</v>
      </c>
      <c r="N18" s="33" t="n">
        <f aca="false">IF($I18="",0,COUNTIFS($D$8:$D$1007,$I18,$E$8:$E$1007,"Lesionado")+COUNTIFS($D$8:$D$1007,$I18,$E$8:$E$1007,"Departamento Médico"))</f>
        <v>0</v>
      </c>
      <c r="O18" s="33" t="n">
        <f aca="false">IF($I18="",0,SUMIFS($F$8:$F$1007,$D$8:$D$1007,$I18))</f>
        <v>1840</v>
      </c>
      <c r="P18" s="69" t="str">
        <f aca="false">IF($I18="","",IF($J18=0,"Sem registro",IF($L18&gt;=0.9,"Excelente",IF($L18&gt;=0.75,"Regular","Baixa assiduidade"))))</f>
        <v>Excelente</v>
      </c>
    </row>
    <row r="19" customFormat="false" ht="15" hidden="false" customHeight="false" outlineLevel="0" collapsed="false">
      <c r="A19" s="29" t="n">
        <v>46244</v>
      </c>
      <c r="B19" s="40" t="n">
        <f aca="false">IF($A19="",0,INT(($A19-Macrociclo!$C$11)/7)+1)</f>
        <v>32</v>
      </c>
      <c r="C19" s="27" t="s">
        <v>1052</v>
      </c>
      <c r="D19" s="27" t="s">
        <v>279</v>
      </c>
      <c r="E19" s="28" t="s">
        <v>1261</v>
      </c>
      <c r="F19" s="28" t="n">
        <v>0</v>
      </c>
      <c r="G19" s="27" t="s">
        <v>1262</v>
      </c>
      <c r="I19" s="62" t="str">
        <f aca="false">IF(Cadastro!$B19="","",Cadastro!$B19)</f>
        <v>Caio Fernandes Bastos</v>
      </c>
      <c r="J19" s="149" t="n">
        <f aca="false">IF($I19="",0,COUNTIFS($D$8:$D$1007,$I19))</f>
        <v>25</v>
      </c>
      <c r="K19" s="149" t="n">
        <f aca="false">IF($I19="",0,COUNTIFS($D$8:$D$1007,$I19,$E$8:$E$1007,"Presente"))</f>
        <v>21</v>
      </c>
      <c r="L19" s="150" t="n">
        <f aca="false">IF($J19=0,0,$K19/$J19)</f>
        <v>0.84</v>
      </c>
      <c r="M19" s="149" t="n">
        <f aca="false">IF($I19="",0,COUNTIFS($D$8:$D$1007,$I19,$E$8:$E$1007,"Falta Justificada")+COUNTIFS($D$8:$D$1007,$I19,$E$8:$E$1007,"Falta Não Justificada"))</f>
        <v>4</v>
      </c>
      <c r="N19" s="149" t="n">
        <f aca="false">IF($I19="",0,COUNTIFS($D$8:$D$1007,$I19,$E$8:$E$1007,"Lesionado")+COUNTIFS($D$8:$D$1007,$I19,$E$8:$E$1007,"Departamento Médico"))</f>
        <v>0</v>
      </c>
      <c r="O19" s="149" t="n">
        <f aca="false">IF($I19="",0,SUMIFS($F$8:$F$1007,$D$8:$D$1007,$I19))</f>
        <v>1760</v>
      </c>
      <c r="P19" s="73" t="str">
        <f aca="false">IF($I19="","",IF($J19=0,"Sem registro",IF($L19&gt;=0.9,"Excelente",IF($L19&gt;=0.75,"Regular","Baixa assiduidade"))))</f>
        <v>Regular</v>
      </c>
    </row>
    <row r="20" customFormat="false" ht="15" hidden="false" customHeight="false" outlineLevel="0" collapsed="false">
      <c r="A20" s="29" t="n">
        <v>46244</v>
      </c>
      <c r="B20" s="40" t="n">
        <f aca="false">IF($A20="",0,INT(($A20-Macrociclo!$C$11)/7)+1)</f>
        <v>32</v>
      </c>
      <c r="C20" s="27" t="s">
        <v>1056</v>
      </c>
      <c r="D20" s="27" t="s">
        <v>164</v>
      </c>
      <c r="E20" s="28" t="s">
        <v>1260</v>
      </c>
      <c r="F20" s="28" t="n">
        <v>90</v>
      </c>
      <c r="G20" s="27" t="s">
        <v>373</v>
      </c>
      <c r="I20" s="60" t="str">
        <f aca="false">IF(Cadastro!$B20="","",Cadastro!$B20)</f>
        <v/>
      </c>
      <c r="J20" s="33" t="n">
        <f aca="false">IF($I20="",0,COUNTIFS($D$8:$D$1007,$I20))</f>
        <v>0</v>
      </c>
      <c r="K20" s="33" t="n">
        <f aca="false">IF($I20="",0,COUNTIFS($D$8:$D$1007,$I20,$E$8:$E$1007,"Presente"))</f>
        <v>0</v>
      </c>
      <c r="L20" s="95" t="n">
        <f aca="false">IF($J20=0,0,$K20/$J20)</f>
        <v>0</v>
      </c>
      <c r="M20" s="33" t="n">
        <f aca="false">IF($I20="",0,COUNTIFS($D$8:$D$1007,$I20,$E$8:$E$1007,"Falta Justificada")+COUNTIFS($D$8:$D$1007,$I20,$E$8:$E$1007,"Falta Não Justificada"))</f>
        <v>0</v>
      </c>
      <c r="N20" s="33" t="n">
        <f aca="false">IF($I20="",0,COUNTIFS($D$8:$D$1007,$I20,$E$8:$E$1007,"Lesionado")+COUNTIFS($D$8:$D$1007,$I20,$E$8:$E$1007,"Departamento Médico"))</f>
        <v>0</v>
      </c>
      <c r="O20" s="33" t="n">
        <f aca="false">IF($I20="",0,SUMIFS($F$8:$F$1007,$D$8:$D$1007,$I20))</f>
        <v>0</v>
      </c>
      <c r="P20" s="69" t="str">
        <f aca="false">IF($I20="","",IF($J20=0,"Sem registro",IF($L20&gt;=0.9,"Excelente",IF($L20&gt;=0.75,"Regular","Baixa assiduidade"))))</f>
        <v/>
      </c>
    </row>
    <row r="21" customFormat="false" ht="15" hidden="false" customHeight="false" outlineLevel="0" collapsed="false">
      <c r="A21" s="29" t="n">
        <v>46244</v>
      </c>
      <c r="B21" s="40" t="n">
        <f aca="false">IF($A21="",0,INT(($A21-Macrociclo!$C$11)/7)+1)</f>
        <v>32</v>
      </c>
      <c r="C21" s="27" t="s">
        <v>1056</v>
      </c>
      <c r="D21" s="27" t="s">
        <v>192</v>
      </c>
      <c r="E21" s="28" t="s">
        <v>1260</v>
      </c>
      <c r="F21" s="28" t="n">
        <v>90</v>
      </c>
      <c r="G21" s="27" t="s">
        <v>373</v>
      </c>
      <c r="I21" s="62" t="str">
        <f aca="false">IF(Cadastro!$B21="","",Cadastro!$B21)</f>
        <v/>
      </c>
      <c r="J21" s="149" t="n">
        <f aca="false">IF($I21="",0,COUNTIFS($D$8:$D$1007,$I21))</f>
        <v>0</v>
      </c>
      <c r="K21" s="149" t="n">
        <f aca="false">IF($I21="",0,COUNTIFS($D$8:$D$1007,$I21,$E$8:$E$1007,"Presente"))</f>
        <v>0</v>
      </c>
      <c r="L21" s="150" t="n">
        <f aca="false">IF($J21=0,0,$K21/$J21)</f>
        <v>0</v>
      </c>
      <c r="M21" s="149" t="n">
        <f aca="false">IF($I21="",0,COUNTIFS($D$8:$D$1007,$I21,$E$8:$E$1007,"Falta Justificada")+COUNTIFS($D$8:$D$1007,$I21,$E$8:$E$1007,"Falta Não Justificada"))</f>
        <v>0</v>
      </c>
      <c r="N21" s="149" t="n">
        <f aca="false">IF($I21="",0,COUNTIFS($D$8:$D$1007,$I21,$E$8:$E$1007,"Lesionado")+COUNTIFS($D$8:$D$1007,$I21,$E$8:$E$1007,"Departamento Médico"))</f>
        <v>0</v>
      </c>
      <c r="O21" s="149" t="n">
        <f aca="false">IF($I21="",0,SUMIFS($F$8:$F$1007,$D$8:$D$1007,$I21))</f>
        <v>0</v>
      </c>
      <c r="P21" s="73" t="str">
        <f aca="false">IF($I21="","",IF($J21=0,"Sem registro",IF($L21&gt;=0.9,"Excelente",IF($L21&gt;=0.75,"Regular","Baixa assiduidade"))))</f>
        <v/>
      </c>
    </row>
    <row r="22" customFormat="false" ht="15" hidden="false" customHeight="false" outlineLevel="0" collapsed="false">
      <c r="A22" s="29" t="n">
        <v>46244</v>
      </c>
      <c r="B22" s="40" t="n">
        <f aca="false">IF($A22="",0,INT(($A22-Macrociclo!$C$11)/7)+1)</f>
        <v>32</v>
      </c>
      <c r="C22" s="27" t="s">
        <v>1056</v>
      </c>
      <c r="D22" s="27" t="s">
        <v>206</v>
      </c>
      <c r="E22" s="28" t="s">
        <v>1260</v>
      </c>
      <c r="F22" s="28" t="n">
        <v>90</v>
      </c>
      <c r="G22" s="27" t="s">
        <v>373</v>
      </c>
      <c r="I22" s="60" t="str">
        <f aca="false">IF(Cadastro!$B22="","",Cadastro!$B22)</f>
        <v/>
      </c>
      <c r="J22" s="33" t="n">
        <f aca="false">IF($I22="",0,COUNTIFS($D$8:$D$1007,$I22))</f>
        <v>0</v>
      </c>
      <c r="K22" s="33" t="n">
        <f aca="false">IF($I22="",0,COUNTIFS($D$8:$D$1007,$I22,$E$8:$E$1007,"Presente"))</f>
        <v>0</v>
      </c>
      <c r="L22" s="95" t="n">
        <f aca="false">IF($J22=0,0,$K22/$J22)</f>
        <v>0</v>
      </c>
      <c r="M22" s="33" t="n">
        <f aca="false">IF($I22="",0,COUNTIFS($D$8:$D$1007,$I22,$E$8:$E$1007,"Falta Justificada")+COUNTIFS($D$8:$D$1007,$I22,$E$8:$E$1007,"Falta Não Justificada"))</f>
        <v>0</v>
      </c>
      <c r="N22" s="33" t="n">
        <f aca="false">IF($I22="",0,COUNTIFS($D$8:$D$1007,$I22,$E$8:$E$1007,"Lesionado")+COUNTIFS($D$8:$D$1007,$I22,$E$8:$E$1007,"Departamento Médico"))</f>
        <v>0</v>
      </c>
      <c r="O22" s="33" t="n">
        <f aca="false">IF($I22="",0,SUMIFS($F$8:$F$1007,$D$8:$D$1007,$I22))</f>
        <v>0</v>
      </c>
      <c r="P22" s="69" t="str">
        <f aca="false">IF($I22="","",IF($J22=0,"Sem registro",IF($L22&gt;=0.9,"Excelente",IF($L22&gt;=0.75,"Regular","Baixa assiduidade"))))</f>
        <v/>
      </c>
    </row>
    <row r="23" customFormat="false" ht="15" hidden="false" customHeight="false" outlineLevel="0" collapsed="false">
      <c r="A23" s="29" t="n">
        <v>46244</v>
      </c>
      <c r="B23" s="40" t="n">
        <f aca="false">IF($A23="",0,INT(($A23-Macrociclo!$C$11)/7)+1)</f>
        <v>32</v>
      </c>
      <c r="C23" s="27" t="s">
        <v>1056</v>
      </c>
      <c r="D23" s="27" t="s">
        <v>215</v>
      </c>
      <c r="E23" s="28" t="s">
        <v>1260</v>
      </c>
      <c r="F23" s="28" t="n">
        <v>90</v>
      </c>
      <c r="G23" s="27" t="s">
        <v>373</v>
      </c>
      <c r="I23" s="62" t="str">
        <f aca="false">IF(Cadastro!$B23="","",Cadastro!$B23)</f>
        <v/>
      </c>
      <c r="J23" s="149" t="n">
        <f aca="false">IF($I23="",0,COUNTIFS($D$8:$D$1007,$I23))</f>
        <v>0</v>
      </c>
      <c r="K23" s="149" t="n">
        <f aca="false">IF($I23="",0,COUNTIFS($D$8:$D$1007,$I23,$E$8:$E$1007,"Presente"))</f>
        <v>0</v>
      </c>
      <c r="L23" s="150" t="n">
        <f aca="false">IF($J23=0,0,$K23/$J23)</f>
        <v>0</v>
      </c>
      <c r="M23" s="149" t="n">
        <f aca="false">IF($I23="",0,COUNTIFS($D$8:$D$1007,$I23,$E$8:$E$1007,"Falta Justificada")+COUNTIFS($D$8:$D$1007,$I23,$E$8:$E$1007,"Falta Não Justificada"))</f>
        <v>0</v>
      </c>
      <c r="N23" s="149" t="n">
        <f aca="false">IF($I23="",0,COUNTIFS($D$8:$D$1007,$I23,$E$8:$E$1007,"Lesionado")+COUNTIFS($D$8:$D$1007,$I23,$E$8:$E$1007,"Departamento Médico"))</f>
        <v>0</v>
      </c>
      <c r="O23" s="149" t="n">
        <f aca="false">IF($I23="",0,SUMIFS($F$8:$F$1007,$D$8:$D$1007,$I23))</f>
        <v>0</v>
      </c>
      <c r="P23" s="73" t="str">
        <f aca="false">IF($I23="","",IF($J23=0,"Sem registro",IF($L23&gt;=0.9,"Excelente",IF($L23&gt;=0.75,"Regular","Baixa assiduidade"))))</f>
        <v/>
      </c>
    </row>
    <row r="24" customFormat="false" ht="15" hidden="false" customHeight="false" outlineLevel="0" collapsed="false">
      <c r="A24" s="29" t="n">
        <v>46244</v>
      </c>
      <c r="B24" s="40" t="n">
        <f aca="false">IF($A24="",0,INT(($A24-Macrociclo!$C$11)/7)+1)</f>
        <v>32</v>
      </c>
      <c r="C24" s="27" t="s">
        <v>1056</v>
      </c>
      <c r="D24" s="27" t="s">
        <v>226</v>
      </c>
      <c r="E24" s="28" t="s">
        <v>1260</v>
      </c>
      <c r="F24" s="28" t="n">
        <v>90</v>
      </c>
      <c r="G24" s="27" t="s">
        <v>373</v>
      </c>
      <c r="I24" s="60" t="str">
        <f aca="false">IF(Cadastro!$B24="","",Cadastro!$B24)</f>
        <v/>
      </c>
      <c r="J24" s="33" t="n">
        <f aca="false">IF($I24="",0,COUNTIFS($D$8:$D$1007,$I24))</f>
        <v>0</v>
      </c>
      <c r="K24" s="33" t="n">
        <f aca="false">IF($I24="",0,COUNTIFS($D$8:$D$1007,$I24,$E$8:$E$1007,"Presente"))</f>
        <v>0</v>
      </c>
      <c r="L24" s="95" t="n">
        <f aca="false">IF($J24=0,0,$K24/$J24)</f>
        <v>0</v>
      </c>
      <c r="M24" s="33" t="n">
        <f aca="false">IF($I24="",0,COUNTIFS($D$8:$D$1007,$I24,$E$8:$E$1007,"Falta Justificada")+COUNTIFS($D$8:$D$1007,$I24,$E$8:$E$1007,"Falta Não Justificada"))</f>
        <v>0</v>
      </c>
      <c r="N24" s="33" t="n">
        <f aca="false">IF($I24="",0,COUNTIFS($D$8:$D$1007,$I24,$E$8:$E$1007,"Lesionado")+COUNTIFS($D$8:$D$1007,$I24,$E$8:$E$1007,"Departamento Médico"))</f>
        <v>0</v>
      </c>
      <c r="O24" s="33" t="n">
        <f aca="false">IF($I24="",0,SUMIFS($F$8:$F$1007,$D$8:$D$1007,$I24))</f>
        <v>0</v>
      </c>
      <c r="P24" s="69" t="str">
        <f aca="false">IF($I24="","",IF($J24=0,"Sem registro",IF($L24&gt;=0.9,"Excelente",IF($L24&gt;=0.75,"Regular","Baixa assiduidade"))))</f>
        <v/>
      </c>
    </row>
    <row r="25" customFormat="false" ht="15" hidden="false" customHeight="false" outlineLevel="0" collapsed="false">
      <c r="A25" s="29" t="n">
        <v>46244</v>
      </c>
      <c r="B25" s="40" t="n">
        <f aca="false">IF($A25="",0,INT(($A25-Macrociclo!$C$11)/7)+1)</f>
        <v>32</v>
      </c>
      <c r="C25" s="27" t="s">
        <v>1056</v>
      </c>
      <c r="D25" s="27" t="s">
        <v>236</v>
      </c>
      <c r="E25" s="28" t="s">
        <v>1260</v>
      </c>
      <c r="F25" s="28" t="n">
        <v>90</v>
      </c>
      <c r="G25" s="27" t="s">
        <v>373</v>
      </c>
      <c r="I25" s="62" t="str">
        <f aca="false">IF(Cadastro!$B25="","",Cadastro!$B25)</f>
        <v/>
      </c>
      <c r="J25" s="149" t="n">
        <f aca="false">IF($I25="",0,COUNTIFS($D$8:$D$1007,$I25))</f>
        <v>0</v>
      </c>
      <c r="K25" s="149" t="n">
        <f aca="false">IF($I25="",0,COUNTIFS($D$8:$D$1007,$I25,$E$8:$E$1007,"Presente"))</f>
        <v>0</v>
      </c>
      <c r="L25" s="150" t="n">
        <f aca="false">IF($J25=0,0,$K25/$J25)</f>
        <v>0</v>
      </c>
      <c r="M25" s="149" t="n">
        <f aca="false">IF($I25="",0,COUNTIFS($D$8:$D$1007,$I25,$E$8:$E$1007,"Falta Justificada")+COUNTIFS($D$8:$D$1007,$I25,$E$8:$E$1007,"Falta Não Justificada"))</f>
        <v>0</v>
      </c>
      <c r="N25" s="149" t="n">
        <f aca="false">IF($I25="",0,COUNTIFS($D$8:$D$1007,$I25,$E$8:$E$1007,"Lesionado")+COUNTIFS($D$8:$D$1007,$I25,$E$8:$E$1007,"Departamento Médico"))</f>
        <v>0</v>
      </c>
      <c r="O25" s="149" t="n">
        <f aca="false">IF($I25="",0,SUMIFS($F$8:$F$1007,$D$8:$D$1007,$I25))</f>
        <v>0</v>
      </c>
      <c r="P25" s="73" t="str">
        <f aca="false">IF($I25="","",IF($J25=0,"Sem registro",IF($L25&gt;=0.9,"Excelente",IF($L25&gt;=0.75,"Regular","Baixa assiduidade"))))</f>
        <v/>
      </c>
    </row>
    <row r="26" customFormat="false" ht="15" hidden="false" customHeight="false" outlineLevel="0" collapsed="false">
      <c r="A26" s="29" t="n">
        <v>46244</v>
      </c>
      <c r="B26" s="40" t="n">
        <f aca="false">IF($A26="",0,INT(($A26-Macrociclo!$C$11)/7)+1)</f>
        <v>32</v>
      </c>
      <c r="C26" s="27" t="s">
        <v>1056</v>
      </c>
      <c r="D26" s="27" t="s">
        <v>244</v>
      </c>
      <c r="E26" s="28" t="s">
        <v>1260</v>
      </c>
      <c r="F26" s="28" t="n">
        <v>90</v>
      </c>
      <c r="G26" s="27" t="s">
        <v>373</v>
      </c>
      <c r="I26" s="60" t="str">
        <f aca="false">IF(Cadastro!$B26="","",Cadastro!$B26)</f>
        <v/>
      </c>
      <c r="J26" s="33" t="n">
        <f aca="false">IF($I26="",0,COUNTIFS($D$8:$D$1007,$I26))</f>
        <v>0</v>
      </c>
      <c r="K26" s="33" t="n">
        <f aca="false">IF($I26="",0,COUNTIFS($D$8:$D$1007,$I26,$E$8:$E$1007,"Presente"))</f>
        <v>0</v>
      </c>
      <c r="L26" s="95" t="n">
        <f aca="false">IF($J26=0,0,$K26/$J26)</f>
        <v>0</v>
      </c>
      <c r="M26" s="33" t="n">
        <f aca="false">IF($I26="",0,COUNTIFS($D$8:$D$1007,$I26,$E$8:$E$1007,"Falta Justificada")+COUNTIFS($D$8:$D$1007,$I26,$E$8:$E$1007,"Falta Não Justificada"))</f>
        <v>0</v>
      </c>
      <c r="N26" s="33" t="n">
        <f aca="false">IF($I26="",0,COUNTIFS($D$8:$D$1007,$I26,$E$8:$E$1007,"Lesionado")+COUNTIFS($D$8:$D$1007,$I26,$E$8:$E$1007,"Departamento Médico"))</f>
        <v>0</v>
      </c>
      <c r="O26" s="33" t="n">
        <f aca="false">IF($I26="",0,SUMIFS($F$8:$F$1007,$D$8:$D$1007,$I26))</f>
        <v>0</v>
      </c>
      <c r="P26" s="69" t="str">
        <f aca="false">IF($I26="","",IF($J26=0,"Sem registro",IF($L26&gt;=0.9,"Excelente",IF($L26&gt;=0.75,"Regular","Baixa assiduidade"))))</f>
        <v/>
      </c>
    </row>
    <row r="27" customFormat="false" ht="15" hidden="false" customHeight="false" outlineLevel="0" collapsed="false">
      <c r="A27" s="29" t="n">
        <v>46244</v>
      </c>
      <c r="B27" s="40" t="n">
        <f aca="false">IF($A27="",0,INT(($A27-Macrociclo!$C$11)/7)+1)</f>
        <v>32</v>
      </c>
      <c r="C27" s="27" t="s">
        <v>1056</v>
      </c>
      <c r="D27" s="27" t="s">
        <v>253</v>
      </c>
      <c r="E27" s="28" t="s">
        <v>1260</v>
      </c>
      <c r="F27" s="28" t="n">
        <v>90</v>
      </c>
      <c r="G27" s="27" t="s">
        <v>373</v>
      </c>
      <c r="I27" s="62" t="str">
        <f aca="false">IF(Cadastro!$B27="","",Cadastro!$B27)</f>
        <v/>
      </c>
      <c r="J27" s="149" t="n">
        <f aca="false">IF($I27="",0,COUNTIFS($D$8:$D$1007,$I27))</f>
        <v>0</v>
      </c>
      <c r="K27" s="149" t="n">
        <f aca="false">IF($I27="",0,COUNTIFS($D$8:$D$1007,$I27,$E$8:$E$1007,"Presente"))</f>
        <v>0</v>
      </c>
      <c r="L27" s="150" t="n">
        <f aca="false">IF($J27=0,0,$K27/$J27)</f>
        <v>0</v>
      </c>
      <c r="M27" s="149" t="n">
        <f aca="false">IF($I27="",0,COUNTIFS($D$8:$D$1007,$I27,$E$8:$E$1007,"Falta Justificada")+COUNTIFS($D$8:$D$1007,$I27,$E$8:$E$1007,"Falta Não Justificada"))</f>
        <v>0</v>
      </c>
      <c r="N27" s="149" t="n">
        <f aca="false">IF($I27="",0,COUNTIFS($D$8:$D$1007,$I27,$E$8:$E$1007,"Lesionado")+COUNTIFS($D$8:$D$1007,$I27,$E$8:$E$1007,"Departamento Médico"))</f>
        <v>0</v>
      </c>
      <c r="O27" s="149" t="n">
        <f aca="false">IF($I27="",0,SUMIFS($F$8:$F$1007,$D$8:$D$1007,$I27))</f>
        <v>0</v>
      </c>
      <c r="P27" s="73" t="str">
        <f aca="false">IF($I27="","",IF($J27=0,"Sem registro",IF($L27&gt;=0.9,"Excelente",IF($L27&gt;=0.75,"Regular","Baixa assiduidade"))))</f>
        <v/>
      </c>
    </row>
    <row r="28" customFormat="false" ht="15" hidden="false" customHeight="false" outlineLevel="0" collapsed="false">
      <c r="A28" s="29" t="n">
        <v>46244</v>
      </c>
      <c r="B28" s="40" t="n">
        <f aca="false">IF($A28="",0,INT(($A28-Macrociclo!$C$11)/7)+1)</f>
        <v>32</v>
      </c>
      <c r="C28" s="27" t="s">
        <v>1056</v>
      </c>
      <c r="D28" s="27" t="s">
        <v>259</v>
      </c>
      <c r="E28" s="28" t="s">
        <v>1260</v>
      </c>
      <c r="F28" s="28" t="n">
        <v>90</v>
      </c>
      <c r="G28" s="27" t="s">
        <v>373</v>
      </c>
      <c r="I28" s="60" t="str">
        <f aca="false">IF(Cadastro!$B28="","",Cadastro!$B28)</f>
        <v/>
      </c>
      <c r="J28" s="33" t="n">
        <f aca="false">IF($I28="",0,COUNTIFS($D$8:$D$1007,$I28))</f>
        <v>0</v>
      </c>
      <c r="K28" s="33" t="n">
        <f aca="false">IF($I28="",0,COUNTIFS($D$8:$D$1007,$I28,$E$8:$E$1007,"Presente"))</f>
        <v>0</v>
      </c>
      <c r="L28" s="95" t="n">
        <f aca="false">IF($J28=0,0,$K28/$J28)</f>
        <v>0</v>
      </c>
      <c r="M28" s="33" t="n">
        <f aca="false">IF($I28="",0,COUNTIFS($D$8:$D$1007,$I28,$E$8:$E$1007,"Falta Justificada")+COUNTIFS($D$8:$D$1007,$I28,$E$8:$E$1007,"Falta Não Justificada"))</f>
        <v>0</v>
      </c>
      <c r="N28" s="33" t="n">
        <f aca="false">IF($I28="",0,COUNTIFS($D$8:$D$1007,$I28,$E$8:$E$1007,"Lesionado")+COUNTIFS($D$8:$D$1007,$I28,$E$8:$E$1007,"Departamento Médico"))</f>
        <v>0</v>
      </c>
      <c r="O28" s="33" t="n">
        <f aca="false">IF($I28="",0,SUMIFS($F$8:$F$1007,$D$8:$D$1007,$I28))</f>
        <v>0</v>
      </c>
      <c r="P28" s="69" t="str">
        <f aca="false">IF($I28="","",IF($J28=0,"Sem registro",IF($L28&gt;=0.9,"Excelente",IF($L28&gt;=0.75,"Regular","Baixa assiduidade"))))</f>
        <v/>
      </c>
    </row>
    <row r="29" customFormat="false" ht="15" hidden="false" customHeight="false" outlineLevel="0" collapsed="false">
      <c r="A29" s="29" t="n">
        <v>46244</v>
      </c>
      <c r="B29" s="40" t="n">
        <f aca="false">IF($A29="",0,INT(($A29-Macrociclo!$C$11)/7)+1)</f>
        <v>32</v>
      </c>
      <c r="C29" s="27" t="s">
        <v>1056</v>
      </c>
      <c r="D29" s="27" t="s">
        <v>264</v>
      </c>
      <c r="E29" s="28" t="s">
        <v>1260</v>
      </c>
      <c r="F29" s="28" t="n">
        <v>90</v>
      </c>
      <c r="G29" s="27" t="s">
        <v>373</v>
      </c>
      <c r="I29" s="62" t="str">
        <f aca="false">IF(Cadastro!$B29="","",Cadastro!$B29)</f>
        <v/>
      </c>
      <c r="J29" s="149" t="n">
        <f aca="false">IF($I29="",0,COUNTIFS($D$8:$D$1007,$I29))</f>
        <v>0</v>
      </c>
      <c r="K29" s="149" t="n">
        <f aca="false">IF($I29="",0,COUNTIFS($D$8:$D$1007,$I29,$E$8:$E$1007,"Presente"))</f>
        <v>0</v>
      </c>
      <c r="L29" s="150" t="n">
        <f aca="false">IF($J29=0,0,$K29/$J29)</f>
        <v>0</v>
      </c>
      <c r="M29" s="149" t="n">
        <f aca="false">IF($I29="",0,COUNTIFS($D$8:$D$1007,$I29,$E$8:$E$1007,"Falta Justificada")+COUNTIFS($D$8:$D$1007,$I29,$E$8:$E$1007,"Falta Não Justificada"))</f>
        <v>0</v>
      </c>
      <c r="N29" s="149" t="n">
        <f aca="false">IF($I29="",0,COUNTIFS($D$8:$D$1007,$I29,$E$8:$E$1007,"Lesionado")+COUNTIFS($D$8:$D$1007,$I29,$E$8:$E$1007,"Departamento Médico"))</f>
        <v>0</v>
      </c>
      <c r="O29" s="149" t="n">
        <f aca="false">IF($I29="",0,SUMIFS($F$8:$F$1007,$D$8:$D$1007,$I29))</f>
        <v>0</v>
      </c>
      <c r="P29" s="73" t="str">
        <f aca="false">IF($I29="","",IF($J29=0,"Sem registro",IF($L29&gt;=0.9,"Excelente",IF($L29&gt;=0.75,"Regular","Baixa assiduidade"))))</f>
        <v/>
      </c>
    </row>
    <row r="30" customFormat="false" ht="15" hidden="false" customHeight="false" outlineLevel="0" collapsed="false">
      <c r="A30" s="29" t="n">
        <v>46244</v>
      </c>
      <c r="B30" s="40" t="n">
        <f aca="false">IF($A30="",0,INT(($A30-Macrociclo!$C$11)/7)+1)</f>
        <v>32</v>
      </c>
      <c r="C30" s="27" t="s">
        <v>1056</v>
      </c>
      <c r="D30" s="27" t="s">
        <v>270</v>
      </c>
      <c r="E30" s="28" t="s">
        <v>1260</v>
      </c>
      <c r="F30" s="28" t="n">
        <v>90</v>
      </c>
      <c r="G30" s="27" t="s">
        <v>373</v>
      </c>
      <c r="I30" s="60" t="str">
        <f aca="false">IF(Cadastro!$B30="","",Cadastro!$B30)</f>
        <v/>
      </c>
      <c r="J30" s="33" t="n">
        <f aca="false">IF($I30="",0,COUNTIFS($D$8:$D$1007,$I30))</f>
        <v>0</v>
      </c>
      <c r="K30" s="33" t="n">
        <f aca="false">IF($I30="",0,COUNTIFS($D$8:$D$1007,$I30,$E$8:$E$1007,"Presente"))</f>
        <v>0</v>
      </c>
      <c r="L30" s="95" t="n">
        <f aca="false">IF($J30=0,0,$K30/$J30)</f>
        <v>0</v>
      </c>
      <c r="M30" s="33" t="n">
        <f aca="false">IF($I30="",0,COUNTIFS($D$8:$D$1007,$I30,$E$8:$E$1007,"Falta Justificada")+COUNTIFS($D$8:$D$1007,$I30,$E$8:$E$1007,"Falta Não Justificada"))</f>
        <v>0</v>
      </c>
      <c r="N30" s="33" t="n">
        <f aca="false">IF($I30="",0,COUNTIFS($D$8:$D$1007,$I30,$E$8:$E$1007,"Lesionado")+COUNTIFS($D$8:$D$1007,$I30,$E$8:$E$1007,"Departamento Médico"))</f>
        <v>0</v>
      </c>
      <c r="O30" s="33" t="n">
        <f aca="false">IF($I30="",0,SUMIFS($F$8:$F$1007,$D$8:$D$1007,$I30))</f>
        <v>0</v>
      </c>
      <c r="P30" s="69" t="str">
        <f aca="false">IF($I30="","",IF($J30=0,"Sem registro",IF($L30&gt;=0.9,"Excelente",IF($L30&gt;=0.75,"Regular","Baixa assiduidade"))))</f>
        <v/>
      </c>
    </row>
    <row r="31" customFormat="false" ht="15" hidden="false" customHeight="false" outlineLevel="0" collapsed="false">
      <c r="A31" s="29" t="n">
        <v>46244</v>
      </c>
      <c r="B31" s="40" t="n">
        <f aca="false">IF($A31="",0,INT(($A31-Macrociclo!$C$11)/7)+1)</f>
        <v>32</v>
      </c>
      <c r="C31" s="27" t="s">
        <v>1056</v>
      </c>
      <c r="D31" s="27" t="s">
        <v>279</v>
      </c>
      <c r="E31" s="28" t="s">
        <v>1260</v>
      </c>
      <c r="F31" s="28" t="n">
        <v>90</v>
      </c>
      <c r="G31" s="27" t="s">
        <v>373</v>
      </c>
      <c r="I31" s="62" t="str">
        <f aca="false">IF(Cadastro!$B31="","",Cadastro!$B31)</f>
        <v/>
      </c>
      <c r="J31" s="149" t="n">
        <f aca="false">IF($I31="",0,COUNTIFS($D$8:$D$1007,$I31))</f>
        <v>0</v>
      </c>
      <c r="K31" s="149" t="n">
        <f aca="false">IF($I31="",0,COUNTIFS($D$8:$D$1007,$I31,$E$8:$E$1007,"Presente"))</f>
        <v>0</v>
      </c>
      <c r="L31" s="150" t="n">
        <f aca="false">IF($J31=0,0,$K31/$J31)</f>
        <v>0</v>
      </c>
      <c r="M31" s="149" t="n">
        <f aca="false">IF($I31="",0,COUNTIFS($D$8:$D$1007,$I31,$E$8:$E$1007,"Falta Justificada")+COUNTIFS($D$8:$D$1007,$I31,$E$8:$E$1007,"Falta Não Justificada"))</f>
        <v>0</v>
      </c>
      <c r="N31" s="149" t="n">
        <f aca="false">IF($I31="",0,COUNTIFS($D$8:$D$1007,$I31,$E$8:$E$1007,"Lesionado")+COUNTIFS($D$8:$D$1007,$I31,$E$8:$E$1007,"Departamento Médico"))</f>
        <v>0</v>
      </c>
      <c r="O31" s="149" t="n">
        <f aca="false">IF($I31="",0,SUMIFS($F$8:$F$1007,$D$8:$D$1007,$I31))</f>
        <v>0</v>
      </c>
      <c r="P31" s="73" t="str">
        <f aca="false">IF($I31="","",IF($J31=0,"Sem registro",IF($L31&gt;=0.9,"Excelente",IF($L31&gt;=0.75,"Regular","Baixa assiduidade"))))</f>
        <v/>
      </c>
    </row>
    <row r="32" customFormat="false" ht="15" hidden="false" customHeight="false" outlineLevel="0" collapsed="false">
      <c r="A32" s="29" t="n">
        <v>46245</v>
      </c>
      <c r="B32" s="40" t="n">
        <f aca="false">IF($A32="",0,INT(($A32-Macrociclo!$C$11)/7)+1)</f>
        <v>32</v>
      </c>
      <c r="C32" s="27" t="s">
        <v>1061</v>
      </c>
      <c r="D32" s="27" t="s">
        <v>164</v>
      </c>
      <c r="E32" s="28" t="s">
        <v>1260</v>
      </c>
      <c r="F32" s="28" t="n">
        <v>60</v>
      </c>
      <c r="G32" s="27" t="s">
        <v>373</v>
      </c>
      <c r="I32" s="60" t="str">
        <f aca="false">IF(Cadastro!$B32="","",Cadastro!$B32)</f>
        <v/>
      </c>
      <c r="J32" s="33" t="n">
        <f aca="false">IF($I32="",0,COUNTIFS($D$8:$D$1007,$I32))</f>
        <v>0</v>
      </c>
      <c r="K32" s="33" t="n">
        <f aca="false">IF($I32="",0,COUNTIFS($D$8:$D$1007,$I32,$E$8:$E$1007,"Presente"))</f>
        <v>0</v>
      </c>
      <c r="L32" s="95" t="n">
        <f aca="false">IF($J32=0,0,$K32/$J32)</f>
        <v>0</v>
      </c>
      <c r="M32" s="33" t="n">
        <f aca="false">IF($I32="",0,COUNTIFS($D$8:$D$1007,$I32,$E$8:$E$1007,"Falta Justificada")+COUNTIFS($D$8:$D$1007,$I32,$E$8:$E$1007,"Falta Não Justificada"))</f>
        <v>0</v>
      </c>
      <c r="N32" s="33" t="n">
        <f aca="false">IF($I32="",0,COUNTIFS($D$8:$D$1007,$I32,$E$8:$E$1007,"Lesionado")+COUNTIFS($D$8:$D$1007,$I32,$E$8:$E$1007,"Departamento Médico"))</f>
        <v>0</v>
      </c>
      <c r="O32" s="33" t="n">
        <f aca="false">IF($I32="",0,SUMIFS($F$8:$F$1007,$D$8:$D$1007,$I32))</f>
        <v>0</v>
      </c>
      <c r="P32" s="69" t="str">
        <f aca="false">IF($I32="","",IF($J32=0,"Sem registro",IF($L32&gt;=0.9,"Excelente",IF($L32&gt;=0.75,"Regular","Baixa assiduidade"))))</f>
        <v/>
      </c>
    </row>
    <row r="33" customFormat="false" ht="15" hidden="false" customHeight="false" outlineLevel="0" collapsed="false">
      <c r="A33" s="29" t="n">
        <v>46245</v>
      </c>
      <c r="B33" s="40" t="n">
        <f aca="false">IF($A33="",0,INT(($A33-Macrociclo!$C$11)/7)+1)</f>
        <v>32</v>
      </c>
      <c r="C33" s="27" t="s">
        <v>1061</v>
      </c>
      <c r="D33" s="27" t="s">
        <v>192</v>
      </c>
      <c r="E33" s="28" t="s">
        <v>1260</v>
      </c>
      <c r="F33" s="28" t="n">
        <v>60</v>
      </c>
      <c r="G33" s="27" t="s">
        <v>373</v>
      </c>
      <c r="I33" s="62" t="str">
        <f aca="false">IF(Cadastro!$B33="","",Cadastro!$B33)</f>
        <v/>
      </c>
      <c r="J33" s="149" t="n">
        <f aca="false">IF($I33="",0,COUNTIFS($D$8:$D$1007,$I33))</f>
        <v>0</v>
      </c>
      <c r="K33" s="149" t="n">
        <f aca="false">IF($I33="",0,COUNTIFS($D$8:$D$1007,$I33,$E$8:$E$1007,"Presente"))</f>
        <v>0</v>
      </c>
      <c r="L33" s="150" t="n">
        <f aca="false">IF($J33=0,0,$K33/$J33)</f>
        <v>0</v>
      </c>
      <c r="M33" s="149" t="n">
        <f aca="false">IF($I33="",0,COUNTIFS($D$8:$D$1007,$I33,$E$8:$E$1007,"Falta Justificada")+COUNTIFS($D$8:$D$1007,$I33,$E$8:$E$1007,"Falta Não Justificada"))</f>
        <v>0</v>
      </c>
      <c r="N33" s="149" t="n">
        <f aca="false">IF($I33="",0,COUNTIFS($D$8:$D$1007,$I33,$E$8:$E$1007,"Lesionado")+COUNTIFS($D$8:$D$1007,$I33,$E$8:$E$1007,"Departamento Médico"))</f>
        <v>0</v>
      </c>
      <c r="O33" s="149" t="n">
        <f aca="false">IF($I33="",0,SUMIFS($F$8:$F$1007,$D$8:$D$1007,$I33))</f>
        <v>0</v>
      </c>
      <c r="P33" s="73" t="str">
        <f aca="false">IF($I33="","",IF($J33=0,"Sem registro",IF($L33&gt;=0.9,"Excelente",IF($L33&gt;=0.75,"Regular","Baixa assiduidade"))))</f>
        <v/>
      </c>
    </row>
    <row r="34" customFormat="false" ht="15" hidden="false" customHeight="false" outlineLevel="0" collapsed="false">
      <c r="A34" s="29" t="n">
        <v>46245</v>
      </c>
      <c r="B34" s="40" t="n">
        <f aca="false">IF($A34="",0,INT(($A34-Macrociclo!$C$11)/7)+1)</f>
        <v>32</v>
      </c>
      <c r="C34" s="27" t="s">
        <v>1061</v>
      </c>
      <c r="D34" s="27" t="s">
        <v>206</v>
      </c>
      <c r="E34" s="28" t="s">
        <v>1260</v>
      </c>
      <c r="F34" s="28" t="n">
        <v>60</v>
      </c>
      <c r="G34" s="27" t="s">
        <v>373</v>
      </c>
      <c r="I34" s="60" t="str">
        <f aca="false">IF(Cadastro!$B34="","",Cadastro!$B34)</f>
        <v/>
      </c>
      <c r="J34" s="33" t="n">
        <f aca="false">IF($I34="",0,COUNTIFS($D$8:$D$1007,$I34))</f>
        <v>0</v>
      </c>
      <c r="K34" s="33" t="n">
        <f aca="false">IF($I34="",0,COUNTIFS($D$8:$D$1007,$I34,$E$8:$E$1007,"Presente"))</f>
        <v>0</v>
      </c>
      <c r="L34" s="95" t="n">
        <f aca="false">IF($J34=0,0,$K34/$J34)</f>
        <v>0</v>
      </c>
      <c r="M34" s="33" t="n">
        <f aca="false">IF($I34="",0,COUNTIFS($D$8:$D$1007,$I34,$E$8:$E$1007,"Falta Justificada")+COUNTIFS($D$8:$D$1007,$I34,$E$8:$E$1007,"Falta Não Justificada"))</f>
        <v>0</v>
      </c>
      <c r="N34" s="33" t="n">
        <f aca="false">IF($I34="",0,COUNTIFS($D$8:$D$1007,$I34,$E$8:$E$1007,"Lesionado")+COUNTIFS($D$8:$D$1007,$I34,$E$8:$E$1007,"Departamento Médico"))</f>
        <v>0</v>
      </c>
      <c r="O34" s="33" t="n">
        <f aca="false">IF($I34="",0,SUMIFS($F$8:$F$1007,$D$8:$D$1007,$I34))</f>
        <v>0</v>
      </c>
      <c r="P34" s="69" t="str">
        <f aca="false">IF($I34="","",IF($J34=0,"Sem registro",IF($L34&gt;=0.9,"Excelente",IF($L34&gt;=0.75,"Regular","Baixa assiduidade"))))</f>
        <v/>
      </c>
    </row>
    <row r="35" customFormat="false" ht="15" hidden="false" customHeight="false" outlineLevel="0" collapsed="false">
      <c r="A35" s="29" t="n">
        <v>46245</v>
      </c>
      <c r="B35" s="40" t="n">
        <f aca="false">IF($A35="",0,INT(($A35-Macrociclo!$C$11)/7)+1)</f>
        <v>32</v>
      </c>
      <c r="C35" s="27" t="s">
        <v>1061</v>
      </c>
      <c r="D35" s="27" t="s">
        <v>215</v>
      </c>
      <c r="E35" s="28" t="s">
        <v>1261</v>
      </c>
      <c r="F35" s="28" t="n">
        <v>0</v>
      </c>
      <c r="G35" s="27" t="s">
        <v>1262</v>
      </c>
      <c r="I35" s="62" t="str">
        <f aca="false">IF(Cadastro!$B35="","",Cadastro!$B35)</f>
        <v/>
      </c>
      <c r="J35" s="149" t="n">
        <f aca="false">IF($I35="",0,COUNTIFS($D$8:$D$1007,$I35))</f>
        <v>0</v>
      </c>
      <c r="K35" s="149" t="n">
        <f aca="false">IF($I35="",0,COUNTIFS($D$8:$D$1007,$I35,$E$8:$E$1007,"Presente"))</f>
        <v>0</v>
      </c>
      <c r="L35" s="150" t="n">
        <f aca="false">IF($J35=0,0,$K35/$J35)</f>
        <v>0</v>
      </c>
      <c r="M35" s="149" t="n">
        <f aca="false">IF($I35="",0,COUNTIFS($D$8:$D$1007,$I35,$E$8:$E$1007,"Falta Justificada")+COUNTIFS($D$8:$D$1007,$I35,$E$8:$E$1007,"Falta Não Justificada"))</f>
        <v>0</v>
      </c>
      <c r="N35" s="149" t="n">
        <f aca="false">IF($I35="",0,COUNTIFS($D$8:$D$1007,$I35,$E$8:$E$1007,"Lesionado")+COUNTIFS($D$8:$D$1007,$I35,$E$8:$E$1007,"Departamento Médico"))</f>
        <v>0</v>
      </c>
      <c r="O35" s="149" t="n">
        <f aca="false">IF($I35="",0,SUMIFS($F$8:$F$1007,$D$8:$D$1007,$I35))</f>
        <v>0</v>
      </c>
      <c r="P35" s="73" t="str">
        <f aca="false">IF($I35="","",IF($J35=0,"Sem registro",IF($L35&gt;=0.9,"Excelente",IF($L35&gt;=0.75,"Regular","Baixa assiduidade"))))</f>
        <v/>
      </c>
    </row>
    <row r="36" customFormat="false" ht="15" hidden="false" customHeight="false" outlineLevel="0" collapsed="false">
      <c r="A36" s="29" t="n">
        <v>46245</v>
      </c>
      <c r="B36" s="40" t="n">
        <f aca="false">IF($A36="",0,INT(($A36-Macrociclo!$C$11)/7)+1)</f>
        <v>32</v>
      </c>
      <c r="C36" s="27" t="s">
        <v>1061</v>
      </c>
      <c r="D36" s="27" t="s">
        <v>226</v>
      </c>
      <c r="E36" s="28" t="s">
        <v>1260</v>
      </c>
      <c r="F36" s="28" t="n">
        <v>60</v>
      </c>
      <c r="G36" s="27" t="s">
        <v>373</v>
      </c>
      <c r="I36" s="60" t="str">
        <f aca="false">IF(Cadastro!$B36="","",Cadastro!$B36)</f>
        <v/>
      </c>
      <c r="J36" s="33" t="n">
        <f aca="false">IF($I36="",0,COUNTIFS($D$8:$D$1007,$I36))</f>
        <v>0</v>
      </c>
      <c r="K36" s="33" t="n">
        <f aca="false">IF($I36="",0,COUNTIFS($D$8:$D$1007,$I36,$E$8:$E$1007,"Presente"))</f>
        <v>0</v>
      </c>
      <c r="L36" s="95" t="n">
        <f aca="false">IF($J36=0,0,$K36/$J36)</f>
        <v>0</v>
      </c>
      <c r="M36" s="33" t="n">
        <f aca="false">IF($I36="",0,COUNTIFS($D$8:$D$1007,$I36,$E$8:$E$1007,"Falta Justificada")+COUNTIFS($D$8:$D$1007,$I36,$E$8:$E$1007,"Falta Não Justificada"))</f>
        <v>0</v>
      </c>
      <c r="N36" s="33" t="n">
        <f aca="false">IF($I36="",0,COUNTIFS($D$8:$D$1007,$I36,$E$8:$E$1007,"Lesionado")+COUNTIFS($D$8:$D$1007,$I36,$E$8:$E$1007,"Departamento Médico"))</f>
        <v>0</v>
      </c>
      <c r="O36" s="33" t="n">
        <f aca="false">IF($I36="",0,SUMIFS($F$8:$F$1007,$D$8:$D$1007,$I36))</f>
        <v>0</v>
      </c>
      <c r="P36" s="69" t="str">
        <f aca="false">IF($I36="","",IF($J36=0,"Sem registro",IF($L36&gt;=0.9,"Excelente",IF($L36&gt;=0.75,"Regular","Baixa assiduidade"))))</f>
        <v/>
      </c>
    </row>
    <row r="37" customFormat="false" ht="15" hidden="false" customHeight="false" outlineLevel="0" collapsed="false">
      <c r="A37" s="29" t="n">
        <v>46245</v>
      </c>
      <c r="B37" s="40" t="n">
        <f aca="false">IF($A37="",0,INT(($A37-Macrociclo!$C$11)/7)+1)</f>
        <v>32</v>
      </c>
      <c r="C37" s="27" t="s">
        <v>1061</v>
      </c>
      <c r="D37" s="27" t="s">
        <v>236</v>
      </c>
      <c r="E37" s="28" t="s">
        <v>1260</v>
      </c>
      <c r="F37" s="28" t="n">
        <v>60</v>
      </c>
      <c r="G37" s="27" t="s">
        <v>373</v>
      </c>
      <c r="I37" s="62" t="str">
        <f aca="false">IF(Cadastro!$B37="","",Cadastro!$B37)</f>
        <v/>
      </c>
      <c r="J37" s="149" t="n">
        <f aca="false">IF($I37="",0,COUNTIFS($D$8:$D$1007,$I37))</f>
        <v>0</v>
      </c>
      <c r="K37" s="149" t="n">
        <f aca="false">IF($I37="",0,COUNTIFS($D$8:$D$1007,$I37,$E$8:$E$1007,"Presente"))</f>
        <v>0</v>
      </c>
      <c r="L37" s="150" t="n">
        <f aca="false">IF($J37=0,0,$K37/$J37)</f>
        <v>0</v>
      </c>
      <c r="M37" s="149" t="n">
        <f aca="false">IF($I37="",0,COUNTIFS($D$8:$D$1007,$I37,$E$8:$E$1007,"Falta Justificada")+COUNTIFS($D$8:$D$1007,$I37,$E$8:$E$1007,"Falta Não Justificada"))</f>
        <v>0</v>
      </c>
      <c r="N37" s="149" t="n">
        <f aca="false">IF($I37="",0,COUNTIFS($D$8:$D$1007,$I37,$E$8:$E$1007,"Lesionado")+COUNTIFS($D$8:$D$1007,$I37,$E$8:$E$1007,"Departamento Médico"))</f>
        <v>0</v>
      </c>
      <c r="O37" s="149" t="n">
        <f aca="false">IF($I37="",0,SUMIFS($F$8:$F$1007,$D$8:$D$1007,$I37))</f>
        <v>0</v>
      </c>
      <c r="P37" s="73" t="str">
        <f aca="false">IF($I37="","",IF($J37=0,"Sem registro",IF($L37&gt;=0.9,"Excelente",IF($L37&gt;=0.75,"Regular","Baixa assiduidade"))))</f>
        <v/>
      </c>
    </row>
    <row r="38" customFormat="false" ht="15" hidden="false" customHeight="false" outlineLevel="0" collapsed="false">
      <c r="A38" s="29" t="n">
        <v>46245</v>
      </c>
      <c r="B38" s="40" t="n">
        <f aca="false">IF($A38="",0,INT(($A38-Macrociclo!$C$11)/7)+1)</f>
        <v>32</v>
      </c>
      <c r="C38" s="27" t="s">
        <v>1061</v>
      </c>
      <c r="D38" s="27" t="s">
        <v>244</v>
      </c>
      <c r="E38" s="28" t="s">
        <v>1260</v>
      </c>
      <c r="F38" s="28" t="n">
        <v>60</v>
      </c>
      <c r="G38" s="27" t="s">
        <v>373</v>
      </c>
      <c r="I38" s="60" t="str">
        <f aca="false">IF(Cadastro!$B38="","",Cadastro!$B38)</f>
        <v/>
      </c>
      <c r="J38" s="33" t="n">
        <f aca="false">IF($I38="",0,COUNTIFS($D$8:$D$1007,$I38))</f>
        <v>0</v>
      </c>
      <c r="K38" s="33" t="n">
        <f aca="false">IF($I38="",0,COUNTIFS($D$8:$D$1007,$I38,$E$8:$E$1007,"Presente"))</f>
        <v>0</v>
      </c>
      <c r="L38" s="95" t="n">
        <f aca="false">IF($J38=0,0,$K38/$J38)</f>
        <v>0</v>
      </c>
      <c r="M38" s="33" t="n">
        <f aca="false">IF($I38="",0,COUNTIFS($D$8:$D$1007,$I38,$E$8:$E$1007,"Falta Justificada")+COUNTIFS($D$8:$D$1007,$I38,$E$8:$E$1007,"Falta Não Justificada"))</f>
        <v>0</v>
      </c>
      <c r="N38" s="33" t="n">
        <f aca="false">IF($I38="",0,COUNTIFS($D$8:$D$1007,$I38,$E$8:$E$1007,"Lesionado")+COUNTIFS($D$8:$D$1007,$I38,$E$8:$E$1007,"Departamento Médico"))</f>
        <v>0</v>
      </c>
      <c r="O38" s="33" t="n">
        <f aca="false">IF($I38="",0,SUMIFS($F$8:$F$1007,$D$8:$D$1007,$I38))</f>
        <v>0</v>
      </c>
      <c r="P38" s="69" t="str">
        <f aca="false">IF($I38="","",IF($J38=0,"Sem registro",IF($L38&gt;=0.9,"Excelente",IF($L38&gt;=0.75,"Regular","Baixa assiduidade"))))</f>
        <v/>
      </c>
    </row>
    <row r="39" customFormat="false" ht="15" hidden="false" customHeight="false" outlineLevel="0" collapsed="false">
      <c r="A39" s="29" t="n">
        <v>46245</v>
      </c>
      <c r="B39" s="40" t="n">
        <f aca="false">IF($A39="",0,INT(($A39-Macrociclo!$C$11)/7)+1)</f>
        <v>32</v>
      </c>
      <c r="C39" s="27" t="s">
        <v>1061</v>
      </c>
      <c r="D39" s="27" t="s">
        <v>253</v>
      </c>
      <c r="E39" s="28" t="s">
        <v>1260</v>
      </c>
      <c r="F39" s="28" t="n">
        <v>60</v>
      </c>
      <c r="G39" s="27" t="s">
        <v>373</v>
      </c>
      <c r="I39" s="62" t="str">
        <f aca="false">IF(Cadastro!$B39="","",Cadastro!$B39)</f>
        <v/>
      </c>
      <c r="J39" s="149" t="n">
        <f aca="false">IF($I39="",0,COUNTIFS($D$8:$D$1007,$I39))</f>
        <v>0</v>
      </c>
      <c r="K39" s="149" t="n">
        <f aca="false">IF($I39="",0,COUNTIFS($D$8:$D$1007,$I39,$E$8:$E$1007,"Presente"))</f>
        <v>0</v>
      </c>
      <c r="L39" s="150" t="n">
        <f aca="false">IF($J39=0,0,$K39/$J39)</f>
        <v>0</v>
      </c>
      <c r="M39" s="149" t="n">
        <f aca="false">IF($I39="",0,COUNTIFS($D$8:$D$1007,$I39,$E$8:$E$1007,"Falta Justificada")+COUNTIFS($D$8:$D$1007,$I39,$E$8:$E$1007,"Falta Não Justificada"))</f>
        <v>0</v>
      </c>
      <c r="N39" s="149" t="n">
        <f aca="false">IF($I39="",0,COUNTIFS($D$8:$D$1007,$I39,$E$8:$E$1007,"Lesionado")+COUNTIFS($D$8:$D$1007,$I39,$E$8:$E$1007,"Departamento Médico"))</f>
        <v>0</v>
      </c>
      <c r="O39" s="149" t="n">
        <f aca="false">IF($I39="",0,SUMIFS($F$8:$F$1007,$D$8:$D$1007,$I39))</f>
        <v>0</v>
      </c>
      <c r="P39" s="73" t="str">
        <f aca="false">IF($I39="","",IF($J39=0,"Sem registro",IF($L39&gt;=0.9,"Excelente",IF($L39&gt;=0.75,"Regular","Baixa assiduidade"))))</f>
        <v/>
      </c>
    </row>
    <row r="40" customFormat="false" ht="15" hidden="false" customHeight="false" outlineLevel="0" collapsed="false">
      <c r="A40" s="29" t="n">
        <v>46245</v>
      </c>
      <c r="B40" s="40" t="n">
        <f aca="false">IF($A40="",0,INT(($A40-Macrociclo!$C$11)/7)+1)</f>
        <v>32</v>
      </c>
      <c r="C40" s="27" t="s">
        <v>1061</v>
      </c>
      <c r="D40" s="27" t="s">
        <v>259</v>
      </c>
      <c r="E40" s="28" t="s">
        <v>1260</v>
      </c>
      <c r="F40" s="28" t="n">
        <v>60</v>
      </c>
      <c r="G40" s="27" t="s">
        <v>373</v>
      </c>
      <c r="I40" s="60" t="str">
        <f aca="false">IF(Cadastro!$B40="","",Cadastro!$B40)</f>
        <v/>
      </c>
      <c r="J40" s="33" t="n">
        <f aca="false">IF($I40="",0,COUNTIFS($D$8:$D$1007,$I40))</f>
        <v>0</v>
      </c>
      <c r="K40" s="33" t="n">
        <f aca="false">IF($I40="",0,COUNTIFS($D$8:$D$1007,$I40,$E$8:$E$1007,"Presente"))</f>
        <v>0</v>
      </c>
      <c r="L40" s="95" t="n">
        <f aca="false">IF($J40=0,0,$K40/$J40)</f>
        <v>0</v>
      </c>
      <c r="M40" s="33" t="n">
        <f aca="false">IF($I40="",0,COUNTIFS($D$8:$D$1007,$I40,$E$8:$E$1007,"Falta Justificada")+COUNTIFS($D$8:$D$1007,$I40,$E$8:$E$1007,"Falta Não Justificada"))</f>
        <v>0</v>
      </c>
      <c r="N40" s="33" t="n">
        <f aca="false">IF($I40="",0,COUNTIFS($D$8:$D$1007,$I40,$E$8:$E$1007,"Lesionado")+COUNTIFS($D$8:$D$1007,$I40,$E$8:$E$1007,"Departamento Médico"))</f>
        <v>0</v>
      </c>
      <c r="O40" s="33" t="n">
        <f aca="false">IF($I40="",0,SUMIFS($F$8:$F$1007,$D$8:$D$1007,$I40))</f>
        <v>0</v>
      </c>
      <c r="P40" s="69" t="str">
        <f aca="false">IF($I40="","",IF($J40=0,"Sem registro",IF($L40&gt;=0.9,"Excelente",IF($L40&gt;=0.75,"Regular","Baixa assiduidade"))))</f>
        <v/>
      </c>
    </row>
    <row r="41" customFormat="false" ht="15" hidden="false" customHeight="false" outlineLevel="0" collapsed="false">
      <c r="A41" s="29" t="n">
        <v>46245</v>
      </c>
      <c r="B41" s="40" t="n">
        <f aca="false">IF($A41="",0,INT(($A41-Macrociclo!$C$11)/7)+1)</f>
        <v>32</v>
      </c>
      <c r="C41" s="27" t="s">
        <v>1061</v>
      </c>
      <c r="D41" s="27" t="s">
        <v>264</v>
      </c>
      <c r="E41" s="28" t="s">
        <v>1260</v>
      </c>
      <c r="F41" s="28" t="n">
        <v>60</v>
      </c>
      <c r="G41" s="27" t="s">
        <v>373</v>
      </c>
      <c r="I41" s="62" t="str">
        <f aca="false">IF(Cadastro!$B41="","",Cadastro!$B41)</f>
        <v/>
      </c>
      <c r="J41" s="149" t="n">
        <f aca="false">IF($I41="",0,COUNTIFS($D$8:$D$1007,$I41))</f>
        <v>0</v>
      </c>
      <c r="K41" s="149" t="n">
        <f aca="false">IF($I41="",0,COUNTIFS($D$8:$D$1007,$I41,$E$8:$E$1007,"Presente"))</f>
        <v>0</v>
      </c>
      <c r="L41" s="150" t="n">
        <f aca="false">IF($J41=0,0,$K41/$J41)</f>
        <v>0</v>
      </c>
      <c r="M41" s="149" t="n">
        <f aca="false">IF($I41="",0,COUNTIFS($D$8:$D$1007,$I41,$E$8:$E$1007,"Falta Justificada")+COUNTIFS($D$8:$D$1007,$I41,$E$8:$E$1007,"Falta Não Justificada"))</f>
        <v>0</v>
      </c>
      <c r="N41" s="149" t="n">
        <f aca="false">IF($I41="",0,COUNTIFS($D$8:$D$1007,$I41,$E$8:$E$1007,"Lesionado")+COUNTIFS($D$8:$D$1007,$I41,$E$8:$E$1007,"Departamento Médico"))</f>
        <v>0</v>
      </c>
      <c r="O41" s="149" t="n">
        <f aca="false">IF($I41="",0,SUMIFS($F$8:$F$1007,$D$8:$D$1007,$I41))</f>
        <v>0</v>
      </c>
      <c r="P41" s="73" t="str">
        <f aca="false">IF($I41="","",IF($J41=0,"Sem registro",IF($L41&gt;=0.9,"Excelente",IF($L41&gt;=0.75,"Regular","Baixa assiduidade"))))</f>
        <v/>
      </c>
    </row>
    <row r="42" customFormat="false" ht="15" hidden="false" customHeight="false" outlineLevel="0" collapsed="false">
      <c r="A42" s="29" t="n">
        <v>46245</v>
      </c>
      <c r="B42" s="40" t="n">
        <f aca="false">IF($A42="",0,INT(($A42-Macrociclo!$C$11)/7)+1)</f>
        <v>32</v>
      </c>
      <c r="C42" s="27" t="s">
        <v>1061</v>
      </c>
      <c r="D42" s="27" t="s">
        <v>270</v>
      </c>
      <c r="E42" s="28" t="s">
        <v>1260</v>
      </c>
      <c r="F42" s="28" t="n">
        <v>60</v>
      </c>
      <c r="G42" s="27" t="s">
        <v>373</v>
      </c>
      <c r="I42" s="60" t="str">
        <f aca="false">IF(Cadastro!$B42="","",Cadastro!$B42)</f>
        <v/>
      </c>
      <c r="J42" s="33" t="n">
        <f aca="false">IF($I42="",0,COUNTIFS($D$8:$D$1007,$I42))</f>
        <v>0</v>
      </c>
      <c r="K42" s="33" t="n">
        <f aca="false">IF($I42="",0,COUNTIFS($D$8:$D$1007,$I42,$E$8:$E$1007,"Presente"))</f>
        <v>0</v>
      </c>
      <c r="L42" s="95" t="n">
        <f aca="false">IF($J42=0,0,$K42/$J42)</f>
        <v>0</v>
      </c>
      <c r="M42" s="33" t="n">
        <f aca="false">IF($I42="",0,COUNTIFS($D$8:$D$1007,$I42,$E$8:$E$1007,"Falta Justificada")+COUNTIFS($D$8:$D$1007,$I42,$E$8:$E$1007,"Falta Não Justificada"))</f>
        <v>0</v>
      </c>
      <c r="N42" s="33" t="n">
        <f aca="false">IF($I42="",0,COUNTIFS($D$8:$D$1007,$I42,$E$8:$E$1007,"Lesionado")+COUNTIFS($D$8:$D$1007,$I42,$E$8:$E$1007,"Departamento Médico"))</f>
        <v>0</v>
      </c>
      <c r="O42" s="33" t="n">
        <f aca="false">IF($I42="",0,SUMIFS($F$8:$F$1007,$D$8:$D$1007,$I42))</f>
        <v>0</v>
      </c>
      <c r="P42" s="69" t="str">
        <f aca="false">IF($I42="","",IF($J42=0,"Sem registro",IF($L42&gt;=0.9,"Excelente",IF($L42&gt;=0.75,"Regular","Baixa assiduidade"))))</f>
        <v/>
      </c>
    </row>
    <row r="43" customFormat="false" ht="15" hidden="false" customHeight="false" outlineLevel="0" collapsed="false">
      <c r="A43" s="29" t="n">
        <v>46245</v>
      </c>
      <c r="B43" s="40" t="n">
        <f aca="false">IF($A43="",0,INT(($A43-Macrociclo!$C$11)/7)+1)</f>
        <v>32</v>
      </c>
      <c r="C43" s="27" t="s">
        <v>1061</v>
      </c>
      <c r="D43" s="27" t="s">
        <v>279</v>
      </c>
      <c r="E43" s="28" t="s">
        <v>1260</v>
      </c>
      <c r="F43" s="28" t="n">
        <v>60</v>
      </c>
      <c r="G43" s="27" t="s">
        <v>373</v>
      </c>
      <c r="I43" s="62" t="str">
        <f aca="false">IF(Cadastro!$B43="","",Cadastro!$B43)</f>
        <v/>
      </c>
      <c r="J43" s="149" t="n">
        <f aca="false">IF($I43="",0,COUNTIFS($D$8:$D$1007,$I43))</f>
        <v>0</v>
      </c>
      <c r="K43" s="149" t="n">
        <f aca="false">IF($I43="",0,COUNTIFS($D$8:$D$1007,$I43,$E$8:$E$1007,"Presente"))</f>
        <v>0</v>
      </c>
      <c r="L43" s="150" t="n">
        <f aca="false">IF($J43=0,0,$K43/$J43)</f>
        <v>0</v>
      </c>
      <c r="M43" s="149" t="n">
        <f aca="false">IF($I43="",0,COUNTIFS($D$8:$D$1007,$I43,$E$8:$E$1007,"Falta Justificada")+COUNTIFS($D$8:$D$1007,$I43,$E$8:$E$1007,"Falta Não Justificada"))</f>
        <v>0</v>
      </c>
      <c r="N43" s="149" t="n">
        <f aca="false">IF($I43="",0,COUNTIFS($D$8:$D$1007,$I43,$E$8:$E$1007,"Lesionado")+COUNTIFS($D$8:$D$1007,$I43,$E$8:$E$1007,"Departamento Médico"))</f>
        <v>0</v>
      </c>
      <c r="O43" s="149" t="n">
        <f aca="false">IF($I43="",0,SUMIFS($F$8:$F$1007,$D$8:$D$1007,$I43))</f>
        <v>0</v>
      </c>
      <c r="P43" s="73" t="str">
        <f aca="false">IF($I43="","",IF($J43=0,"Sem registro",IF($L43&gt;=0.9,"Excelente",IF($L43&gt;=0.75,"Regular","Baixa assiduidade"))))</f>
        <v/>
      </c>
    </row>
    <row r="44" customFormat="false" ht="15" hidden="false" customHeight="false" outlineLevel="0" collapsed="false">
      <c r="A44" s="29" t="n">
        <v>46246</v>
      </c>
      <c r="B44" s="40" t="n">
        <f aca="false">IF($A44="",0,INT(($A44-Macrociclo!$C$11)/7)+1)</f>
        <v>32</v>
      </c>
      <c r="C44" s="27" t="s">
        <v>1066</v>
      </c>
      <c r="D44" s="27" t="s">
        <v>164</v>
      </c>
      <c r="E44" s="28" t="s">
        <v>1260</v>
      </c>
      <c r="F44" s="28" t="n">
        <v>100</v>
      </c>
      <c r="G44" s="27" t="s">
        <v>373</v>
      </c>
      <c r="I44" s="60" t="str">
        <f aca="false">IF(Cadastro!$B44="","",Cadastro!$B44)</f>
        <v/>
      </c>
      <c r="J44" s="33" t="n">
        <f aca="false">IF($I44="",0,COUNTIFS($D$8:$D$1007,$I44))</f>
        <v>0</v>
      </c>
      <c r="K44" s="33" t="n">
        <f aca="false">IF($I44="",0,COUNTIFS($D$8:$D$1007,$I44,$E$8:$E$1007,"Presente"))</f>
        <v>0</v>
      </c>
      <c r="L44" s="95" t="n">
        <f aca="false">IF($J44=0,0,$K44/$J44)</f>
        <v>0</v>
      </c>
      <c r="M44" s="33" t="n">
        <f aca="false">IF($I44="",0,COUNTIFS($D$8:$D$1007,$I44,$E$8:$E$1007,"Falta Justificada")+COUNTIFS($D$8:$D$1007,$I44,$E$8:$E$1007,"Falta Não Justificada"))</f>
        <v>0</v>
      </c>
      <c r="N44" s="33" t="n">
        <f aca="false">IF($I44="",0,COUNTIFS($D$8:$D$1007,$I44,$E$8:$E$1007,"Lesionado")+COUNTIFS($D$8:$D$1007,$I44,$E$8:$E$1007,"Departamento Médico"))</f>
        <v>0</v>
      </c>
      <c r="O44" s="33" t="n">
        <f aca="false">IF($I44="",0,SUMIFS($F$8:$F$1007,$D$8:$D$1007,$I44))</f>
        <v>0</v>
      </c>
      <c r="P44" s="69" t="str">
        <f aca="false">IF($I44="","",IF($J44=0,"Sem registro",IF($L44&gt;=0.9,"Excelente",IF($L44&gt;=0.75,"Regular","Baixa assiduidade"))))</f>
        <v/>
      </c>
    </row>
    <row r="45" customFormat="false" ht="15" hidden="false" customHeight="false" outlineLevel="0" collapsed="false">
      <c r="A45" s="29" t="n">
        <v>46246</v>
      </c>
      <c r="B45" s="40" t="n">
        <f aca="false">IF($A45="",0,INT(($A45-Macrociclo!$C$11)/7)+1)</f>
        <v>32</v>
      </c>
      <c r="C45" s="27" t="s">
        <v>1066</v>
      </c>
      <c r="D45" s="27" t="s">
        <v>192</v>
      </c>
      <c r="E45" s="28" t="s">
        <v>1260</v>
      </c>
      <c r="F45" s="28" t="n">
        <v>100</v>
      </c>
      <c r="G45" s="27" t="s">
        <v>373</v>
      </c>
      <c r="I45" s="62" t="str">
        <f aca="false">IF(Cadastro!$B45="","",Cadastro!$B45)</f>
        <v/>
      </c>
      <c r="J45" s="149" t="n">
        <f aca="false">IF($I45="",0,COUNTIFS($D$8:$D$1007,$I45))</f>
        <v>0</v>
      </c>
      <c r="K45" s="149" t="n">
        <f aca="false">IF($I45="",0,COUNTIFS($D$8:$D$1007,$I45,$E$8:$E$1007,"Presente"))</f>
        <v>0</v>
      </c>
      <c r="L45" s="150" t="n">
        <f aca="false">IF($J45=0,0,$K45/$J45)</f>
        <v>0</v>
      </c>
      <c r="M45" s="149" t="n">
        <f aca="false">IF($I45="",0,COUNTIFS($D$8:$D$1007,$I45,$E$8:$E$1007,"Falta Justificada")+COUNTIFS($D$8:$D$1007,$I45,$E$8:$E$1007,"Falta Não Justificada"))</f>
        <v>0</v>
      </c>
      <c r="N45" s="149" t="n">
        <f aca="false">IF($I45="",0,COUNTIFS($D$8:$D$1007,$I45,$E$8:$E$1007,"Lesionado")+COUNTIFS($D$8:$D$1007,$I45,$E$8:$E$1007,"Departamento Médico"))</f>
        <v>0</v>
      </c>
      <c r="O45" s="149" t="n">
        <f aca="false">IF($I45="",0,SUMIFS($F$8:$F$1007,$D$8:$D$1007,$I45))</f>
        <v>0</v>
      </c>
      <c r="P45" s="73" t="str">
        <f aca="false">IF($I45="","",IF($J45=0,"Sem registro",IF($L45&gt;=0.9,"Excelente",IF($L45&gt;=0.75,"Regular","Baixa assiduidade"))))</f>
        <v/>
      </c>
    </row>
    <row r="46" customFormat="false" ht="15" hidden="false" customHeight="false" outlineLevel="0" collapsed="false">
      <c r="A46" s="29" t="n">
        <v>46246</v>
      </c>
      <c r="B46" s="40" t="n">
        <f aca="false">IF($A46="",0,INT(($A46-Macrociclo!$C$11)/7)+1)</f>
        <v>32</v>
      </c>
      <c r="C46" s="27" t="s">
        <v>1066</v>
      </c>
      <c r="D46" s="27" t="s">
        <v>206</v>
      </c>
      <c r="E46" s="28" t="s">
        <v>1261</v>
      </c>
      <c r="F46" s="28" t="n">
        <v>0</v>
      </c>
      <c r="G46" s="27" t="s">
        <v>1262</v>
      </c>
      <c r="I46" s="60" t="str">
        <f aca="false">IF(Cadastro!$B46="","",Cadastro!$B46)</f>
        <v/>
      </c>
      <c r="J46" s="33" t="n">
        <f aca="false">IF($I46="",0,COUNTIFS($D$8:$D$1007,$I46))</f>
        <v>0</v>
      </c>
      <c r="K46" s="33" t="n">
        <f aca="false">IF($I46="",0,COUNTIFS($D$8:$D$1007,$I46,$E$8:$E$1007,"Presente"))</f>
        <v>0</v>
      </c>
      <c r="L46" s="95" t="n">
        <f aca="false">IF($J46=0,0,$K46/$J46)</f>
        <v>0</v>
      </c>
      <c r="M46" s="33" t="n">
        <f aca="false">IF($I46="",0,COUNTIFS($D$8:$D$1007,$I46,$E$8:$E$1007,"Falta Justificada")+COUNTIFS($D$8:$D$1007,$I46,$E$8:$E$1007,"Falta Não Justificada"))</f>
        <v>0</v>
      </c>
      <c r="N46" s="33" t="n">
        <f aca="false">IF($I46="",0,COUNTIFS($D$8:$D$1007,$I46,$E$8:$E$1007,"Lesionado")+COUNTIFS($D$8:$D$1007,$I46,$E$8:$E$1007,"Departamento Médico"))</f>
        <v>0</v>
      </c>
      <c r="O46" s="33" t="n">
        <f aca="false">IF($I46="",0,SUMIFS($F$8:$F$1007,$D$8:$D$1007,$I46))</f>
        <v>0</v>
      </c>
      <c r="P46" s="69" t="str">
        <f aca="false">IF($I46="","",IF($J46=0,"Sem registro",IF($L46&gt;=0.9,"Excelente",IF($L46&gt;=0.75,"Regular","Baixa assiduidade"))))</f>
        <v/>
      </c>
    </row>
    <row r="47" customFormat="false" ht="15" hidden="false" customHeight="false" outlineLevel="0" collapsed="false">
      <c r="A47" s="29" t="n">
        <v>46246</v>
      </c>
      <c r="B47" s="40" t="n">
        <f aca="false">IF($A47="",0,INT(($A47-Macrociclo!$C$11)/7)+1)</f>
        <v>32</v>
      </c>
      <c r="C47" s="27" t="s">
        <v>1066</v>
      </c>
      <c r="D47" s="27" t="s">
        <v>215</v>
      </c>
      <c r="E47" s="28" t="s">
        <v>1260</v>
      </c>
      <c r="F47" s="28" t="n">
        <v>100</v>
      </c>
      <c r="G47" s="27" t="s">
        <v>373</v>
      </c>
      <c r="I47" s="62" t="str">
        <f aca="false">IF(Cadastro!$B47="","",Cadastro!$B47)</f>
        <v/>
      </c>
      <c r="J47" s="149" t="n">
        <f aca="false">IF($I47="",0,COUNTIFS($D$8:$D$1007,$I47))</f>
        <v>0</v>
      </c>
      <c r="K47" s="149" t="n">
        <f aca="false">IF($I47="",0,COUNTIFS($D$8:$D$1007,$I47,$E$8:$E$1007,"Presente"))</f>
        <v>0</v>
      </c>
      <c r="L47" s="150" t="n">
        <f aca="false">IF($J47=0,0,$K47/$J47)</f>
        <v>0</v>
      </c>
      <c r="M47" s="149" t="n">
        <f aca="false">IF($I47="",0,COUNTIFS($D$8:$D$1007,$I47,$E$8:$E$1007,"Falta Justificada")+COUNTIFS($D$8:$D$1007,$I47,$E$8:$E$1007,"Falta Não Justificada"))</f>
        <v>0</v>
      </c>
      <c r="N47" s="149" t="n">
        <f aca="false">IF($I47="",0,COUNTIFS($D$8:$D$1007,$I47,$E$8:$E$1007,"Lesionado")+COUNTIFS($D$8:$D$1007,$I47,$E$8:$E$1007,"Departamento Médico"))</f>
        <v>0</v>
      </c>
      <c r="O47" s="149" t="n">
        <f aca="false">IF($I47="",0,SUMIFS($F$8:$F$1007,$D$8:$D$1007,$I47))</f>
        <v>0</v>
      </c>
      <c r="P47" s="73" t="str">
        <f aca="false">IF($I47="","",IF($J47=0,"Sem registro",IF($L47&gt;=0.9,"Excelente",IF($L47&gt;=0.75,"Regular","Baixa assiduidade"))))</f>
        <v/>
      </c>
    </row>
    <row r="48" customFormat="false" ht="15" hidden="false" customHeight="false" outlineLevel="0" collapsed="false">
      <c r="A48" s="29" t="n">
        <v>46246</v>
      </c>
      <c r="B48" s="40" t="n">
        <f aca="false">IF($A48="",0,INT(($A48-Macrociclo!$C$11)/7)+1)</f>
        <v>32</v>
      </c>
      <c r="C48" s="27" t="s">
        <v>1066</v>
      </c>
      <c r="D48" s="27" t="s">
        <v>226</v>
      </c>
      <c r="E48" s="28" t="s">
        <v>1260</v>
      </c>
      <c r="F48" s="28" t="n">
        <v>100</v>
      </c>
      <c r="G48" s="27" t="s">
        <v>373</v>
      </c>
    </row>
    <row r="49" customFormat="false" ht="15" hidden="false" customHeight="false" outlineLevel="0" collapsed="false">
      <c r="A49" s="29" t="n">
        <v>46246</v>
      </c>
      <c r="B49" s="40" t="n">
        <f aca="false">IF($A49="",0,INT(($A49-Macrociclo!$C$11)/7)+1)</f>
        <v>32</v>
      </c>
      <c r="C49" s="27" t="s">
        <v>1066</v>
      </c>
      <c r="D49" s="27" t="s">
        <v>236</v>
      </c>
      <c r="E49" s="28" t="s">
        <v>1260</v>
      </c>
      <c r="F49" s="28" t="n">
        <v>100</v>
      </c>
      <c r="G49" s="27" t="s">
        <v>373</v>
      </c>
    </row>
    <row r="50" customFormat="false" ht="15" hidden="false" customHeight="false" outlineLevel="0" collapsed="false">
      <c r="A50" s="29" t="n">
        <v>46246</v>
      </c>
      <c r="B50" s="40" t="n">
        <f aca="false">IF($A50="",0,INT(($A50-Macrociclo!$C$11)/7)+1)</f>
        <v>32</v>
      </c>
      <c r="C50" s="27" t="s">
        <v>1066</v>
      </c>
      <c r="D50" s="27" t="s">
        <v>244</v>
      </c>
      <c r="E50" s="28" t="s">
        <v>1260</v>
      </c>
      <c r="F50" s="28" t="n">
        <v>100</v>
      </c>
      <c r="G50" s="27" t="s">
        <v>373</v>
      </c>
    </row>
    <row r="51" customFormat="false" ht="15" hidden="false" customHeight="false" outlineLevel="0" collapsed="false">
      <c r="A51" s="29" t="n">
        <v>46246</v>
      </c>
      <c r="B51" s="40" t="n">
        <f aca="false">IF($A51="",0,INT(($A51-Macrociclo!$C$11)/7)+1)</f>
        <v>32</v>
      </c>
      <c r="C51" s="27" t="s">
        <v>1066</v>
      </c>
      <c r="D51" s="27" t="s">
        <v>253</v>
      </c>
      <c r="E51" s="28" t="s">
        <v>1260</v>
      </c>
      <c r="F51" s="28" t="n">
        <v>100</v>
      </c>
      <c r="G51" s="27" t="s">
        <v>373</v>
      </c>
    </row>
    <row r="52" customFormat="false" ht="15" hidden="false" customHeight="false" outlineLevel="0" collapsed="false">
      <c r="A52" s="29" t="n">
        <v>46246</v>
      </c>
      <c r="B52" s="40" t="n">
        <f aca="false">IF($A52="",0,INT(($A52-Macrociclo!$C$11)/7)+1)</f>
        <v>32</v>
      </c>
      <c r="C52" s="27" t="s">
        <v>1066</v>
      </c>
      <c r="D52" s="27" t="s">
        <v>259</v>
      </c>
      <c r="E52" s="28" t="s">
        <v>1260</v>
      </c>
      <c r="F52" s="28" t="n">
        <v>100</v>
      </c>
      <c r="G52" s="27" t="s">
        <v>373</v>
      </c>
    </row>
    <row r="53" customFormat="false" ht="15" hidden="false" customHeight="false" outlineLevel="0" collapsed="false">
      <c r="A53" s="29" t="n">
        <v>46246</v>
      </c>
      <c r="B53" s="40" t="n">
        <f aca="false">IF($A53="",0,INT(($A53-Macrociclo!$C$11)/7)+1)</f>
        <v>32</v>
      </c>
      <c r="C53" s="27" t="s">
        <v>1066</v>
      </c>
      <c r="D53" s="27" t="s">
        <v>264</v>
      </c>
      <c r="E53" s="28" t="s">
        <v>1260</v>
      </c>
      <c r="F53" s="28" t="n">
        <v>100</v>
      </c>
      <c r="G53" s="27" t="s">
        <v>373</v>
      </c>
    </row>
    <row r="54" customFormat="false" ht="15" hidden="false" customHeight="false" outlineLevel="0" collapsed="false">
      <c r="A54" s="29" t="n">
        <v>46246</v>
      </c>
      <c r="B54" s="40" t="n">
        <f aca="false">IF($A54="",0,INT(($A54-Macrociclo!$C$11)/7)+1)</f>
        <v>32</v>
      </c>
      <c r="C54" s="27" t="s">
        <v>1066</v>
      </c>
      <c r="D54" s="27" t="s">
        <v>270</v>
      </c>
      <c r="E54" s="28" t="s">
        <v>1260</v>
      </c>
      <c r="F54" s="28" t="n">
        <v>100</v>
      </c>
      <c r="G54" s="27" t="s">
        <v>373</v>
      </c>
    </row>
    <row r="55" customFormat="false" ht="15" hidden="false" customHeight="false" outlineLevel="0" collapsed="false">
      <c r="A55" s="29" t="n">
        <v>46246</v>
      </c>
      <c r="B55" s="40" t="n">
        <f aca="false">IF($A55="",0,INT(($A55-Macrociclo!$C$11)/7)+1)</f>
        <v>32</v>
      </c>
      <c r="C55" s="27" t="s">
        <v>1066</v>
      </c>
      <c r="D55" s="27" t="s">
        <v>279</v>
      </c>
      <c r="E55" s="28" t="s">
        <v>1260</v>
      </c>
      <c r="F55" s="28" t="n">
        <v>100</v>
      </c>
      <c r="G55" s="27" t="s">
        <v>373</v>
      </c>
    </row>
    <row r="56" customFormat="false" ht="15" hidden="false" customHeight="false" outlineLevel="0" collapsed="false">
      <c r="A56" s="29" t="n">
        <v>46247</v>
      </c>
      <c r="B56" s="40" t="n">
        <f aca="false">IF($A56="",0,INT(($A56-Macrociclo!$C$11)/7)+1)</f>
        <v>32</v>
      </c>
      <c r="C56" s="27" t="s">
        <v>1069</v>
      </c>
      <c r="D56" s="27" t="s">
        <v>164</v>
      </c>
      <c r="E56" s="28" t="s">
        <v>1260</v>
      </c>
      <c r="F56" s="28" t="n">
        <v>50</v>
      </c>
      <c r="G56" s="27" t="s">
        <v>373</v>
      </c>
    </row>
    <row r="57" customFormat="false" ht="15" hidden="false" customHeight="false" outlineLevel="0" collapsed="false">
      <c r="A57" s="29" t="n">
        <v>46247</v>
      </c>
      <c r="B57" s="40" t="n">
        <f aca="false">IF($A57="",0,INT(($A57-Macrociclo!$C$11)/7)+1)</f>
        <v>32</v>
      </c>
      <c r="C57" s="27" t="s">
        <v>1069</v>
      </c>
      <c r="D57" s="27" t="s">
        <v>192</v>
      </c>
      <c r="E57" s="28" t="s">
        <v>1260</v>
      </c>
      <c r="F57" s="28" t="n">
        <v>50</v>
      </c>
      <c r="G57" s="27" t="s">
        <v>373</v>
      </c>
    </row>
    <row r="58" customFormat="false" ht="15" hidden="false" customHeight="false" outlineLevel="0" collapsed="false">
      <c r="A58" s="29" t="n">
        <v>46247</v>
      </c>
      <c r="B58" s="40" t="n">
        <f aca="false">IF($A58="",0,INT(($A58-Macrociclo!$C$11)/7)+1)</f>
        <v>32</v>
      </c>
      <c r="C58" s="27" t="s">
        <v>1069</v>
      </c>
      <c r="D58" s="27" t="s">
        <v>206</v>
      </c>
      <c r="E58" s="28" t="s">
        <v>1260</v>
      </c>
      <c r="F58" s="28" t="n">
        <v>50</v>
      </c>
      <c r="G58" s="27" t="s">
        <v>373</v>
      </c>
    </row>
    <row r="59" customFormat="false" ht="15" hidden="false" customHeight="false" outlineLevel="0" collapsed="false">
      <c r="A59" s="29" t="n">
        <v>46247</v>
      </c>
      <c r="B59" s="40" t="n">
        <f aca="false">IF($A59="",0,INT(($A59-Macrociclo!$C$11)/7)+1)</f>
        <v>32</v>
      </c>
      <c r="C59" s="27" t="s">
        <v>1069</v>
      </c>
      <c r="D59" s="27" t="s">
        <v>215</v>
      </c>
      <c r="E59" s="28" t="s">
        <v>1260</v>
      </c>
      <c r="F59" s="28" t="n">
        <v>50</v>
      </c>
      <c r="G59" s="27" t="s">
        <v>373</v>
      </c>
    </row>
    <row r="60" customFormat="false" ht="15" hidden="false" customHeight="false" outlineLevel="0" collapsed="false">
      <c r="A60" s="29" t="n">
        <v>46247</v>
      </c>
      <c r="B60" s="40" t="n">
        <f aca="false">IF($A60="",0,INT(($A60-Macrociclo!$C$11)/7)+1)</f>
        <v>32</v>
      </c>
      <c r="C60" s="27" t="s">
        <v>1069</v>
      </c>
      <c r="D60" s="27" t="s">
        <v>226</v>
      </c>
      <c r="E60" s="28" t="s">
        <v>1260</v>
      </c>
      <c r="F60" s="28" t="n">
        <v>50</v>
      </c>
      <c r="G60" s="27" t="s">
        <v>373</v>
      </c>
    </row>
    <row r="61" customFormat="false" ht="15" hidden="false" customHeight="false" outlineLevel="0" collapsed="false">
      <c r="A61" s="29" t="n">
        <v>46247</v>
      </c>
      <c r="B61" s="40" t="n">
        <f aca="false">IF($A61="",0,INT(($A61-Macrociclo!$C$11)/7)+1)</f>
        <v>32</v>
      </c>
      <c r="C61" s="27" t="s">
        <v>1069</v>
      </c>
      <c r="D61" s="27" t="s">
        <v>236</v>
      </c>
      <c r="E61" s="28" t="s">
        <v>1260</v>
      </c>
      <c r="F61" s="28" t="n">
        <v>50</v>
      </c>
      <c r="G61" s="27" t="s">
        <v>373</v>
      </c>
    </row>
    <row r="62" customFormat="false" ht="15" hidden="false" customHeight="false" outlineLevel="0" collapsed="false">
      <c r="A62" s="29" t="n">
        <v>46247</v>
      </c>
      <c r="B62" s="40" t="n">
        <f aca="false">IF($A62="",0,INT(($A62-Macrociclo!$C$11)/7)+1)</f>
        <v>32</v>
      </c>
      <c r="C62" s="27" t="s">
        <v>1069</v>
      </c>
      <c r="D62" s="27" t="s">
        <v>244</v>
      </c>
      <c r="E62" s="28" t="s">
        <v>1260</v>
      </c>
      <c r="F62" s="28" t="n">
        <v>50</v>
      </c>
      <c r="G62" s="27" t="s">
        <v>373</v>
      </c>
    </row>
    <row r="63" customFormat="false" ht="15" hidden="false" customHeight="false" outlineLevel="0" collapsed="false">
      <c r="A63" s="29" t="n">
        <v>46247</v>
      </c>
      <c r="B63" s="40" t="n">
        <f aca="false">IF($A63="",0,INT(($A63-Macrociclo!$C$11)/7)+1)</f>
        <v>32</v>
      </c>
      <c r="C63" s="27" t="s">
        <v>1069</v>
      </c>
      <c r="D63" s="27" t="s">
        <v>253</v>
      </c>
      <c r="E63" s="28" t="s">
        <v>1260</v>
      </c>
      <c r="F63" s="28" t="n">
        <v>50</v>
      </c>
      <c r="G63" s="27" t="s">
        <v>373</v>
      </c>
    </row>
    <row r="64" customFormat="false" ht="15" hidden="false" customHeight="false" outlineLevel="0" collapsed="false">
      <c r="A64" s="29" t="n">
        <v>46247</v>
      </c>
      <c r="B64" s="40" t="n">
        <f aca="false">IF($A64="",0,INT(($A64-Macrociclo!$C$11)/7)+1)</f>
        <v>32</v>
      </c>
      <c r="C64" s="27" t="s">
        <v>1069</v>
      </c>
      <c r="D64" s="27" t="s">
        <v>259</v>
      </c>
      <c r="E64" s="28" t="s">
        <v>1260</v>
      </c>
      <c r="F64" s="28" t="n">
        <v>50</v>
      </c>
      <c r="G64" s="27" t="s">
        <v>373</v>
      </c>
    </row>
    <row r="65" customFormat="false" ht="15" hidden="false" customHeight="false" outlineLevel="0" collapsed="false">
      <c r="A65" s="29" t="n">
        <v>46247</v>
      </c>
      <c r="B65" s="40" t="n">
        <f aca="false">IF($A65="",0,INT(($A65-Macrociclo!$C$11)/7)+1)</f>
        <v>32</v>
      </c>
      <c r="C65" s="27" t="s">
        <v>1069</v>
      </c>
      <c r="D65" s="27" t="s">
        <v>264</v>
      </c>
      <c r="E65" s="28" t="s">
        <v>1260</v>
      </c>
      <c r="F65" s="28" t="n">
        <v>50</v>
      </c>
      <c r="G65" s="27" t="s">
        <v>373</v>
      </c>
    </row>
    <row r="66" customFormat="false" ht="15" hidden="false" customHeight="false" outlineLevel="0" collapsed="false">
      <c r="A66" s="29" t="n">
        <v>46247</v>
      </c>
      <c r="B66" s="40" t="n">
        <f aca="false">IF($A66="",0,INT(($A66-Macrociclo!$C$11)/7)+1)</f>
        <v>32</v>
      </c>
      <c r="C66" s="27" t="s">
        <v>1069</v>
      </c>
      <c r="D66" s="27" t="s">
        <v>270</v>
      </c>
      <c r="E66" s="28" t="s">
        <v>1260</v>
      </c>
      <c r="F66" s="28" t="n">
        <v>50</v>
      </c>
      <c r="G66" s="27" t="s">
        <v>373</v>
      </c>
    </row>
    <row r="67" customFormat="false" ht="15" hidden="false" customHeight="false" outlineLevel="0" collapsed="false">
      <c r="A67" s="29" t="n">
        <v>46247</v>
      </c>
      <c r="B67" s="40" t="n">
        <f aca="false">IF($A67="",0,INT(($A67-Macrociclo!$C$11)/7)+1)</f>
        <v>32</v>
      </c>
      <c r="C67" s="27" t="s">
        <v>1069</v>
      </c>
      <c r="D67" s="27" t="s">
        <v>279</v>
      </c>
      <c r="E67" s="28" t="s">
        <v>1261</v>
      </c>
      <c r="F67" s="28" t="n">
        <v>0</v>
      </c>
      <c r="G67" s="27" t="s">
        <v>1262</v>
      </c>
    </row>
    <row r="68" customFormat="false" ht="15" hidden="false" customHeight="false" outlineLevel="0" collapsed="false">
      <c r="A68" s="29" t="n">
        <v>46247</v>
      </c>
      <c r="B68" s="40" t="n">
        <f aca="false">IF($A68="",0,INT(($A68-Macrociclo!$C$11)/7)+1)</f>
        <v>32</v>
      </c>
      <c r="C68" s="27" t="s">
        <v>1056</v>
      </c>
      <c r="D68" s="27" t="s">
        <v>164</v>
      </c>
      <c r="E68" s="28" t="s">
        <v>1260</v>
      </c>
      <c r="F68" s="28" t="n">
        <v>90</v>
      </c>
      <c r="G68" s="27" t="s">
        <v>373</v>
      </c>
    </row>
    <row r="69" customFormat="false" ht="15" hidden="false" customHeight="false" outlineLevel="0" collapsed="false">
      <c r="A69" s="29" t="n">
        <v>46247</v>
      </c>
      <c r="B69" s="40" t="n">
        <f aca="false">IF($A69="",0,INT(($A69-Macrociclo!$C$11)/7)+1)</f>
        <v>32</v>
      </c>
      <c r="C69" s="27" t="s">
        <v>1056</v>
      </c>
      <c r="D69" s="27" t="s">
        <v>192</v>
      </c>
      <c r="E69" s="28" t="s">
        <v>1260</v>
      </c>
      <c r="F69" s="28" t="n">
        <v>90</v>
      </c>
      <c r="G69" s="27" t="s">
        <v>373</v>
      </c>
    </row>
    <row r="70" customFormat="false" ht="15" hidden="false" customHeight="false" outlineLevel="0" collapsed="false">
      <c r="A70" s="29" t="n">
        <v>46247</v>
      </c>
      <c r="B70" s="40" t="n">
        <f aca="false">IF($A70="",0,INT(($A70-Macrociclo!$C$11)/7)+1)</f>
        <v>32</v>
      </c>
      <c r="C70" s="27" t="s">
        <v>1056</v>
      </c>
      <c r="D70" s="27" t="s">
        <v>206</v>
      </c>
      <c r="E70" s="28" t="s">
        <v>1260</v>
      </c>
      <c r="F70" s="28" t="n">
        <v>90</v>
      </c>
      <c r="G70" s="27" t="s">
        <v>373</v>
      </c>
    </row>
    <row r="71" customFormat="false" ht="15" hidden="false" customHeight="false" outlineLevel="0" collapsed="false">
      <c r="A71" s="29" t="n">
        <v>46247</v>
      </c>
      <c r="B71" s="40" t="n">
        <f aca="false">IF($A71="",0,INT(($A71-Macrociclo!$C$11)/7)+1)</f>
        <v>32</v>
      </c>
      <c r="C71" s="27" t="s">
        <v>1056</v>
      </c>
      <c r="D71" s="27" t="s">
        <v>215</v>
      </c>
      <c r="E71" s="28" t="s">
        <v>1260</v>
      </c>
      <c r="F71" s="28" t="n">
        <v>90</v>
      </c>
      <c r="G71" s="27" t="s">
        <v>373</v>
      </c>
    </row>
    <row r="72" customFormat="false" ht="15" hidden="false" customHeight="false" outlineLevel="0" collapsed="false">
      <c r="A72" s="29" t="n">
        <v>46247</v>
      </c>
      <c r="B72" s="40" t="n">
        <f aca="false">IF($A72="",0,INT(($A72-Macrociclo!$C$11)/7)+1)</f>
        <v>32</v>
      </c>
      <c r="C72" s="27" t="s">
        <v>1056</v>
      </c>
      <c r="D72" s="27" t="s">
        <v>226</v>
      </c>
      <c r="E72" s="28" t="s">
        <v>1260</v>
      </c>
      <c r="F72" s="28" t="n">
        <v>90</v>
      </c>
      <c r="G72" s="27" t="s">
        <v>373</v>
      </c>
    </row>
    <row r="73" customFormat="false" ht="15" hidden="false" customHeight="false" outlineLevel="0" collapsed="false">
      <c r="A73" s="29" t="n">
        <v>46247</v>
      </c>
      <c r="B73" s="40" t="n">
        <f aca="false">IF($A73="",0,INT(($A73-Macrociclo!$C$11)/7)+1)</f>
        <v>32</v>
      </c>
      <c r="C73" s="27" t="s">
        <v>1056</v>
      </c>
      <c r="D73" s="27" t="s">
        <v>236</v>
      </c>
      <c r="E73" s="28" t="s">
        <v>1260</v>
      </c>
      <c r="F73" s="28" t="n">
        <v>90</v>
      </c>
      <c r="G73" s="27" t="s">
        <v>373</v>
      </c>
    </row>
    <row r="74" customFormat="false" ht="15" hidden="false" customHeight="false" outlineLevel="0" collapsed="false">
      <c r="A74" s="29" t="n">
        <v>46247</v>
      </c>
      <c r="B74" s="40" t="n">
        <f aca="false">IF($A74="",0,INT(($A74-Macrociclo!$C$11)/7)+1)</f>
        <v>32</v>
      </c>
      <c r="C74" s="27" t="s">
        <v>1056</v>
      </c>
      <c r="D74" s="27" t="s">
        <v>244</v>
      </c>
      <c r="E74" s="28" t="s">
        <v>1260</v>
      </c>
      <c r="F74" s="28" t="n">
        <v>90</v>
      </c>
      <c r="G74" s="27" t="s">
        <v>373</v>
      </c>
    </row>
    <row r="75" customFormat="false" ht="15" hidden="false" customHeight="false" outlineLevel="0" collapsed="false">
      <c r="A75" s="29" t="n">
        <v>46247</v>
      </c>
      <c r="B75" s="40" t="n">
        <f aca="false">IF($A75="",0,INT(($A75-Macrociclo!$C$11)/7)+1)</f>
        <v>32</v>
      </c>
      <c r="C75" s="27" t="s">
        <v>1056</v>
      </c>
      <c r="D75" s="27" t="s">
        <v>253</v>
      </c>
      <c r="E75" s="28" t="s">
        <v>1260</v>
      </c>
      <c r="F75" s="28" t="n">
        <v>90</v>
      </c>
      <c r="G75" s="27" t="s">
        <v>373</v>
      </c>
    </row>
    <row r="76" customFormat="false" ht="15" hidden="false" customHeight="false" outlineLevel="0" collapsed="false">
      <c r="A76" s="29" t="n">
        <v>46247</v>
      </c>
      <c r="B76" s="40" t="n">
        <f aca="false">IF($A76="",0,INT(($A76-Macrociclo!$C$11)/7)+1)</f>
        <v>32</v>
      </c>
      <c r="C76" s="27" t="s">
        <v>1056</v>
      </c>
      <c r="D76" s="27" t="s">
        <v>259</v>
      </c>
      <c r="E76" s="28" t="s">
        <v>1260</v>
      </c>
      <c r="F76" s="28" t="n">
        <v>90</v>
      </c>
      <c r="G76" s="27" t="s">
        <v>373</v>
      </c>
    </row>
    <row r="77" customFormat="false" ht="15" hidden="false" customHeight="false" outlineLevel="0" collapsed="false">
      <c r="A77" s="29" t="n">
        <v>46247</v>
      </c>
      <c r="B77" s="40" t="n">
        <f aca="false">IF($A77="",0,INT(($A77-Macrociclo!$C$11)/7)+1)</f>
        <v>32</v>
      </c>
      <c r="C77" s="27" t="s">
        <v>1056</v>
      </c>
      <c r="D77" s="27" t="s">
        <v>264</v>
      </c>
      <c r="E77" s="28" t="s">
        <v>1260</v>
      </c>
      <c r="F77" s="28" t="n">
        <v>90</v>
      </c>
      <c r="G77" s="27" t="s">
        <v>373</v>
      </c>
    </row>
    <row r="78" customFormat="false" ht="15" hidden="false" customHeight="false" outlineLevel="0" collapsed="false">
      <c r="A78" s="29" t="n">
        <v>46247</v>
      </c>
      <c r="B78" s="40" t="n">
        <f aca="false">IF($A78="",0,INT(($A78-Macrociclo!$C$11)/7)+1)</f>
        <v>32</v>
      </c>
      <c r="C78" s="27" t="s">
        <v>1056</v>
      </c>
      <c r="D78" s="27" t="s">
        <v>270</v>
      </c>
      <c r="E78" s="28" t="s">
        <v>1260</v>
      </c>
      <c r="F78" s="28" t="n">
        <v>90</v>
      </c>
      <c r="G78" s="27" t="s">
        <v>373</v>
      </c>
    </row>
    <row r="79" customFormat="false" ht="15" hidden="false" customHeight="false" outlineLevel="0" collapsed="false">
      <c r="A79" s="29" t="n">
        <v>46247</v>
      </c>
      <c r="B79" s="40" t="n">
        <f aca="false">IF($A79="",0,INT(($A79-Macrociclo!$C$11)/7)+1)</f>
        <v>32</v>
      </c>
      <c r="C79" s="27" t="s">
        <v>1056</v>
      </c>
      <c r="D79" s="27" t="s">
        <v>279</v>
      </c>
      <c r="E79" s="28" t="s">
        <v>1261</v>
      </c>
      <c r="F79" s="28" t="n">
        <v>0</v>
      </c>
      <c r="G79" s="27" t="s">
        <v>1262</v>
      </c>
    </row>
    <row r="80" customFormat="false" ht="15" hidden="false" customHeight="false" outlineLevel="0" collapsed="false">
      <c r="A80" s="29" t="n">
        <v>46248</v>
      </c>
      <c r="B80" s="40" t="n">
        <f aca="false">IF($A80="",0,INT(($A80-Macrociclo!$C$11)/7)+1)</f>
        <v>32</v>
      </c>
      <c r="C80" s="27" t="s">
        <v>1066</v>
      </c>
      <c r="D80" s="27" t="s">
        <v>164</v>
      </c>
      <c r="E80" s="28" t="s">
        <v>1260</v>
      </c>
      <c r="F80" s="28" t="n">
        <v>110</v>
      </c>
      <c r="G80" s="27" t="s">
        <v>373</v>
      </c>
    </row>
    <row r="81" customFormat="false" ht="15" hidden="false" customHeight="false" outlineLevel="0" collapsed="false">
      <c r="A81" s="29" t="n">
        <v>46248</v>
      </c>
      <c r="B81" s="40" t="n">
        <f aca="false">IF($A81="",0,INT(($A81-Macrociclo!$C$11)/7)+1)</f>
        <v>32</v>
      </c>
      <c r="C81" s="27" t="s">
        <v>1066</v>
      </c>
      <c r="D81" s="27" t="s">
        <v>192</v>
      </c>
      <c r="E81" s="28" t="s">
        <v>1260</v>
      </c>
      <c r="F81" s="28" t="n">
        <v>110</v>
      </c>
      <c r="G81" s="27" t="s">
        <v>373</v>
      </c>
    </row>
    <row r="82" customFormat="false" ht="15" hidden="false" customHeight="false" outlineLevel="0" collapsed="false">
      <c r="A82" s="29" t="n">
        <v>46248</v>
      </c>
      <c r="B82" s="40" t="n">
        <f aca="false">IF($A82="",0,INT(($A82-Macrociclo!$C$11)/7)+1)</f>
        <v>32</v>
      </c>
      <c r="C82" s="27" t="s">
        <v>1066</v>
      </c>
      <c r="D82" s="27" t="s">
        <v>206</v>
      </c>
      <c r="E82" s="28" t="s">
        <v>1260</v>
      </c>
      <c r="F82" s="28" t="n">
        <v>110</v>
      </c>
      <c r="G82" s="27" t="s">
        <v>373</v>
      </c>
    </row>
    <row r="83" customFormat="false" ht="15" hidden="false" customHeight="false" outlineLevel="0" collapsed="false">
      <c r="A83" s="29" t="n">
        <v>46248</v>
      </c>
      <c r="B83" s="40" t="n">
        <f aca="false">IF($A83="",0,INT(($A83-Macrociclo!$C$11)/7)+1)</f>
        <v>32</v>
      </c>
      <c r="C83" s="27" t="s">
        <v>1066</v>
      </c>
      <c r="D83" s="27" t="s">
        <v>215</v>
      </c>
      <c r="E83" s="28" t="s">
        <v>1260</v>
      </c>
      <c r="F83" s="28" t="n">
        <v>110</v>
      </c>
      <c r="G83" s="27" t="s">
        <v>373</v>
      </c>
    </row>
    <row r="84" customFormat="false" ht="15" hidden="false" customHeight="false" outlineLevel="0" collapsed="false">
      <c r="A84" s="29" t="n">
        <v>46248</v>
      </c>
      <c r="B84" s="40" t="n">
        <f aca="false">IF($A84="",0,INT(($A84-Macrociclo!$C$11)/7)+1)</f>
        <v>32</v>
      </c>
      <c r="C84" s="27" t="s">
        <v>1066</v>
      </c>
      <c r="D84" s="27" t="s">
        <v>226</v>
      </c>
      <c r="E84" s="28" t="s">
        <v>1260</v>
      </c>
      <c r="F84" s="28" t="n">
        <v>110</v>
      </c>
      <c r="G84" s="27" t="s">
        <v>373</v>
      </c>
    </row>
    <row r="85" customFormat="false" ht="15" hidden="false" customHeight="false" outlineLevel="0" collapsed="false">
      <c r="A85" s="29" t="n">
        <v>46248</v>
      </c>
      <c r="B85" s="40" t="n">
        <f aca="false">IF($A85="",0,INT(($A85-Macrociclo!$C$11)/7)+1)</f>
        <v>32</v>
      </c>
      <c r="C85" s="27" t="s">
        <v>1066</v>
      </c>
      <c r="D85" s="27" t="s">
        <v>236</v>
      </c>
      <c r="E85" s="28" t="s">
        <v>1260</v>
      </c>
      <c r="F85" s="28" t="n">
        <v>110</v>
      </c>
      <c r="G85" s="27" t="s">
        <v>373</v>
      </c>
    </row>
    <row r="86" customFormat="false" ht="15" hidden="false" customHeight="false" outlineLevel="0" collapsed="false">
      <c r="A86" s="29" t="n">
        <v>46248</v>
      </c>
      <c r="B86" s="40" t="n">
        <f aca="false">IF($A86="",0,INT(($A86-Macrociclo!$C$11)/7)+1)</f>
        <v>32</v>
      </c>
      <c r="C86" s="27" t="s">
        <v>1066</v>
      </c>
      <c r="D86" s="27" t="s">
        <v>244</v>
      </c>
      <c r="E86" s="28" t="s">
        <v>1260</v>
      </c>
      <c r="F86" s="28" t="n">
        <v>110</v>
      </c>
      <c r="G86" s="27" t="s">
        <v>373</v>
      </c>
    </row>
    <row r="87" customFormat="false" ht="15" hidden="false" customHeight="false" outlineLevel="0" collapsed="false">
      <c r="A87" s="29" t="n">
        <v>46248</v>
      </c>
      <c r="B87" s="40" t="n">
        <f aca="false">IF($A87="",0,INT(($A87-Macrociclo!$C$11)/7)+1)</f>
        <v>32</v>
      </c>
      <c r="C87" s="27" t="s">
        <v>1066</v>
      </c>
      <c r="D87" s="27" t="s">
        <v>253</v>
      </c>
      <c r="E87" s="28" t="s">
        <v>1260</v>
      </c>
      <c r="F87" s="28" t="n">
        <v>110</v>
      </c>
      <c r="G87" s="27" t="s">
        <v>373</v>
      </c>
    </row>
    <row r="88" customFormat="false" ht="15" hidden="false" customHeight="false" outlineLevel="0" collapsed="false">
      <c r="A88" s="29" t="n">
        <v>46248</v>
      </c>
      <c r="B88" s="40" t="n">
        <f aca="false">IF($A88="",0,INT(($A88-Macrociclo!$C$11)/7)+1)</f>
        <v>32</v>
      </c>
      <c r="C88" s="27" t="s">
        <v>1066</v>
      </c>
      <c r="D88" s="27" t="s">
        <v>259</v>
      </c>
      <c r="E88" s="28" t="s">
        <v>1260</v>
      </c>
      <c r="F88" s="28" t="n">
        <v>110</v>
      </c>
      <c r="G88" s="27" t="s">
        <v>373</v>
      </c>
    </row>
    <row r="89" customFormat="false" ht="15" hidden="false" customHeight="false" outlineLevel="0" collapsed="false">
      <c r="A89" s="29" t="n">
        <v>46248</v>
      </c>
      <c r="B89" s="40" t="n">
        <f aca="false">IF($A89="",0,INT(($A89-Macrociclo!$C$11)/7)+1)</f>
        <v>32</v>
      </c>
      <c r="C89" s="27" t="s">
        <v>1066</v>
      </c>
      <c r="D89" s="27" t="s">
        <v>264</v>
      </c>
      <c r="E89" s="28" t="s">
        <v>1260</v>
      </c>
      <c r="F89" s="28" t="n">
        <v>110</v>
      </c>
      <c r="G89" s="27" t="s">
        <v>373</v>
      </c>
    </row>
    <row r="90" customFormat="false" ht="15" hidden="false" customHeight="false" outlineLevel="0" collapsed="false">
      <c r="A90" s="29" t="n">
        <v>46248</v>
      </c>
      <c r="B90" s="40" t="n">
        <f aca="false">IF($A90="",0,INT(($A90-Macrociclo!$C$11)/7)+1)</f>
        <v>32</v>
      </c>
      <c r="C90" s="27" t="s">
        <v>1066</v>
      </c>
      <c r="D90" s="27" t="s">
        <v>270</v>
      </c>
      <c r="E90" s="28" t="s">
        <v>1260</v>
      </c>
      <c r="F90" s="28" t="n">
        <v>110</v>
      </c>
      <c r="G90" s="27" t="s">
        <v>373</v>
      </c>
    </row>
    <row r="91" customFormat="false" ht="15" hidden="false" customHeight="false" outlineLevel="0" collapsed="false">
      <c r="A91" s="29" t="n">
        <v>46248</v>
      </c>
      <c r="B91" s="40" t="n">
        <f aca="false">IF($A91="",0,INT(($A91-Macrociclo!$C$11)/7)+1)</f>
        <v>32</v>
      </c>
      <c r="C91" s="27" t="s">
        <v>1066</v>
      </c>
      <c r="D91" s="27" t="s">
        <v>279</v>
      </c>
      <c r="E91" s="28" t="s">
        <v>1260</v>
      </c>
      <c r="F91" s="28" t="n">
        <v>110</v>
      </c>
      <c r="G91" s="27" t="s">
        <v>373</v>
      </c>
    </row>
    <row r="92" customFormat="false" ht="15" hidden="false" customHeight="false" outlineLevel="0" collapsed="false">
      <c r="A92" s="29" t="n">
        <v>46251</v>
      </c>
      <c r="B92" s="40" t="n">
        <f aca="false">IF($A92="",0,INT(($A92-Macrociclo!$C$11)/7)+1)</f>
        <v>33</v>
      </c>
      <c r="C92" s="27" t="s">
        <v>1052</v>
      </c>
      <c r="D92" s="27" t="s">
        <v>164</v>
      </c>
      <c r="E92" s="28" t="s">
        <v>1261</v>
      </c>
      <c r="F92" s="28" t="n">
        <v>0</v>
      </c>
      <c r="G92" s="27" t="s">
        <v>1262</v>
      </c>
    </row>
    <row r="93" customFormat="false" ht="15" hidden="false" customHeight="false" outlineLevel="0" collapsed="false">
      <c r="A93" s="29" t="n">
        <v>46251</v>
      </c>
      <c r="B93" s="40" t="n">
        <f aca="false">IF($A93="",0,INT(($A93-Macrociclo!$C$11)/7)+1)</f>
        <v>33</v>
      </c>
      <c r="C93" s="27" t="s">
        <v>1052</v>
      </c>
      <c r="D93" s="27" t="s">
        <v>192</v>
      </c>
      <c r="E93" s="28" t="s">
        <v>1260</v>
      </c>
      <c r="F93" s="28" t="n">
        <v>75</v>
      </c>
      <c r="G93" s="27" t="s">
        <v>373</v>
      </c>
    </row>
    <row r="94" customFormat="false" ht="15" hidden="false" customHeight="false" outlineLevel="0" collapsed="false">
      <c r="A94" s="29" t="n">
        <v>46251</v>
      </c>
      <c r="B94" s="40" t="n">
        <f aca="false">IF($A94="",0,INT(($A94-Macrociclo!$C$11)/7)+1)</f>
        <v>33</v>
      </c>
      <c r="C94" s="27" t="s">
        <v>1052</v>
      </c>
      <c r="D94" s="27" t="s">
        <v>206</v>
      </c>
      <c r="E94" s="28" t="s">
        <v>1260</v>
      </c>
      <c r="F94" s="28" t="n">
        <v>75</v>
      </c>
      <c r="G94" s="27" t="s">
        <v>373</v>
      </c>
    </row>
    <row r="95" customFormat="false" ht="15" hidden="false" customHeight="false" outlineLevel="0" collapsed="false">
      <c r="A95" s="29" t="n">
        <v>46251</v>
      </c>
      <c r="B95" s="40" t="n">
        <f aca="false">IF($A95="",0,INT(($A95-Macrociclo!$C$11)/7)+1)</f>
        <v>33</v>
      </c>
      <c r="C95" s="27" t="s">
        <v>1052</v>
      </c>
      <c r="D95" s="27" t="s">
        <v>215</v>
      </c>
      <c r="E95" s="28" t="s">
        <v>1260</v>
      </c>
      <c r="F95" s="28" t="n">
        <v>75</v>
      </c>
      <c r="G95" s="27" t="s">
        <v>373</v>
      </c>
    </row>
    <row r="96" customFormat="false" ht="15" hidden="false" customHeight="false" outlineLevel="0" collapsed="false">
      <c r="A96" s="29" t="n">
        <v>46251</v>
      </c>
      <c r="B96" s="40" t="n">
        <f aca="false">IF($A96="",0,INT(($A96-Macrociclo!$C$11)/7)+1)</f>
        <v>33</v>
      </c>
      <c r="C96" s="27" t="s">
        <v>1052</v>
      </c>
      <c r="D96" s="27" t="s">
        <v>226</v>
      </c>
      <c r="E96" s="28" t="s">
        <v>1260</v>
      </c>
      <c r="F96" s="28" t="n">
        <v>75</v>
      </c>
      <c r="G96" s="27" t="s">
        <v>373</v>
      </c>
    </row>
    <row r="97" customFormat="false" ht="15" hidden="false" customHeight="false" outlineLevel="0" collapsed="false">
      <c r="A97" s="29" t="n">
        <v>46251</v>
      </c>
      <c r="B97" s="40" t="n">
        <f aca="false">IF($A97="",0,INT(($A97-Macrociclo!$C$11)/7)+1)</f>
        <v>33</v>
      </c>
      <c r="C97" s="27" t="s">
        <v>1052</v>
      </c>
      <c r="D97" s="27" t="s">
        <v>236</v>
      </c>
      <c r="E97" s="28" t="s">
        <v>1260</v>
      </c>
      <c r="F97" s="28" t="n">
        <v>75</v>
      </c>
      <c r="G97" s="27" t="s">
        <v>373</v>
      </c>
    </row>
    <row r="98" customFormat="false" ht="15" hidden="false" customHeight="false" outlineLevel="0" collapsed="false">
      <c r="A98" s="29" t="n">
        <v>46251</v>
      </c>
      <c r="B98" s="40" t="n">
        <f aca="false">IF($A98="",0,INT(($A98-Macrociclo!$C$11)/7)+1)</f>
        <v>33</v>
      </c>
      <c r="C98" s="27" t="s">
        <v>1052</v>
      </c>
      <c r="D98" s="27" t="s">
        <v>244</v>
      </c>
      <c r="E98" s="28" t="s">
        <v>1260</v>
      </c>
      <c r="F98" s="28" t="n">
        <v>75</v>
      </c>
      <c r="G98" s="27" t="s">
        <v>373</v>
      </c>
    </row>
    <row r="99" customFormat="false" ht="15" hidden="false" customHeight="false" outlineLevel="0" collapsed="false">
      <c r="A99" s="29" t="n">
        <v>46251</v>
      </c>
      <c r="B99" s="40" t="n">
        <f aca="false">IF($A99="",0,INT(($A99-Macrociclo!$C$11)/7)+1)</f>
        <v>33</v>
      </c>
      <c r="C99" s="27" t="s">
        <v>1052</v>
      </c>
      <c r="D99" s="27" t="s">
        <v>253</v>
      </c>
      <c r="E99" s="28" t="s">
        <v>1260</v>
      </c>
      <c r="F99" s="28" t="n">
        <v>75</v>
      </c>
      <c r="G99" s="27" t="s">
        <v>373</v>
      </c>
    </row>
    <row r="100" customFormat="false" ht="15" hidden="false" customHeight="false" outlineLevel="0" collapsed="false">
      <c r="A100" s="29" t="n">
        <v>46251</v>
      </c>
      <c r="B100" s="40" t="n">
        <f aca="false">IF($A100="",0,INT(($A100-Macrociclo!$C$11)/7)+1)</f>
        <v>33</v>
      </c>
      <c r="C100" s="27" t="s">
        <v>1052</v>
      </c>
      <c r="D100" s="27" t="s">
        <v>259</v>
      </c>
      <c r="E100" s="28" t="s">
        <v>1260</v>
      </c>
      <c r="F100" s="28" t="n">
        <v>75</v>
      </c>
      <c r="G100" s="27" t="s">
        <v>373</v>
      </c>
    </row>
    <row r="101" customFormat="false" ht="15" hidden="false" customHeight="false" outlineLevel="0" collapsed="false">
      <c r="A101" s="29" t="n">
        <v>46251</v>
      </c>
      <c r="B101" s="40" t="n">
        <f aca="false">IF($A101="",0,INT(($A101-Macrociclo!$C$11)/7)+1)</f>
        <v>33</v>
      </c>
      <c r="C101" s="27" t="s">
        <v>1052</v>
      </c>
      <c r="D101" s="27" t="s">
        <v>264</v>
      </c>
      <c r="E101" s="28" t="s">
        <v>1261</v>
      </c>
      <c r="F101" s="28" t="n">
        <v>0</v>
      </c>
      <c r="G101" s="27" t="s">
        <v>1262</v>
      </c>
    </row>
    <row r="102" customFormat="false" ht="15" hidden="false" customHeight="false" outlineLevel="0" collapsed="false">
      <c r="A102" s="29" t="n">
        <v>46251</v>
      </c>
      <c r="B102" s="40" t="n">
        <f aca="false">IF($A102="",0,INT(($A102-Macrociclo!$C$11)/7)+1)</f>
        <v>33</v>
      </c>
      <c r="C102" s="27" t="s">
        <v>1052</v>
      </c>
      <c r="D102" s="27" t="s">
        <v>270</v>
      </c>
      <c r="E102" s="28" t="s">
        <v>1260</v>
      </c>
      <c r="F102" s="28" t="n">
        <v>75</v>
      </c>
      <c r="G102" s="27" t="s">
        <v>373</v>
      </c>
    </row>
    <row r="103" customFormat="false" ht="15" hidden="false" customHeight="false" outlineLevel="0" collapsed="false">
      <c r="A103" s="29" t="n">
        <v>46251</v>
      </c>
      <c r="B103" s="40" t="n">
        <f aca="false">IF($A103="",0,INT(($A103-Macrociclo!$C$11)/7)+1)</f>
        <v>33</v>
      </c>
      <c r="C103" s="27" t="s">
        <v>1052</v>
      </c>
      <c r="D103" s="27" t="s">
        <v>279</v>
      </c>
      <c r="E103" s="28" t="s">
        <v>1260</v>
      </c>
      <c r="F103" s="28" t="n">
        <v>75</v>
      </c>
      <c r="G103" s="27" t="s">
        <v>373</v>
      </c>
    </row>
    <row r="104" customFormat="false" ht="15" hidden="false" customHeight="false" outlineLevel="0" collapsed="false">
      <c r="A104" s="29" t="n">
        <v>46251</v>
      </c>
      <c r="B104" s="40" t="n">
        <f aca="false">IF($A104="",0,INT(($A104-Macrociclo!$C$11)/7)+1)</f>
        <v>33</v>
      </c>
      <c r="C104" s="27" t="s">
        <v>1056</v>
      </c>
      <c r="D104" s="27" t="s">
        <v>164</v>
      </c>
      <c r="E104" s="28" t="s">
        <v>1260</v>
      </c>
      <c r="F104" s="28" t="n">
        <v>90</v>
      </c>
      <c r="G104" s="27" t="s">
        <v>373</v>
      </c>
    </row>
    <row r="105" customFormat="false" ht="15" hidden="false" customHeight="false" outlineLevel="0" collapsed="false">
      <c r="A105" s="29" t="n">
        <v>46251</v>
      </c>
      <c r="B105" s="40" t="n">
        <f aca="false">IF($A105="",0,INT(($A105-Macrociclo!$C$11)/7)+1)</f>
        <v>33</v>
      </c>
      <c r="C105" s="27" t="s">
        <v>1056</v>
      </c>
      <c r="D105" s="27" t="s">
        <v>192</v>
      </c>
      <c r="E105" s="28" t="s">
        <v>1260</v>
      </c>
      <c r="F105" s="28" t="n">
        <v>90</v>
      </c>
      <c r="G105" s="27" t="s">
        <v>373</v>
      </c>
    </row>
    <row r="106" customFormat="false" ht="15" hidden="false" customHeight="false" outlineLevel="0" collapsed="false">
      <c r="A106" s="29" t="n">
        <v>46251</v>
      </c>
      <c r="B106" s="40" t="n">
        <f aca="false">IF($A106="",0,INT(($A106-Macrociclo!$C$11)/7)+1)</f>
        <v>33</v>
      </c>
      <c r="C106" s="27" t="s">
        <v>1056</v>
      </c>
      <c r="D106" s="27" t="s">
        <v>206</v>
      </c>
      <c r="E106" s="28" t="s">
        <v>1260</v>
      </c>
      <c r="F106" s="28" t="n">
        <v>90</v>
      </c>
      <c r="G106" s="27" t="s">
        <v>373</v>
      </c>
    </row>
    <row r="107" customFormat="false" ht="15" hidden="false" customHeight="false" outlineLevel="0" collapsed="false">
      <c r="A107" s="29" t="n">
        <v>46251</v>
      </c>
      <c r="B107" s="40" t="n">
        <f aca="false">IF($A107="",0,INT(($A107-Macrociclo!$C$11)/7)+1)</f>
        <v>33</v>
      </c>
      <c r="C107" s="27" t="s">
        <v>1056</v>
      </c>
      <c r="D107" s="27" t="s">
        <v>215</v>
      </c>
      <c r="E107" s="28" t="s">
        <v>1260</v>
      </c>
      <c r="F107" s="28" t="n">
        <v>90</v>
      </c>
      <c r="G107" s="27" t="s">
        <v>373</v>
      </c>
    </row>
    <row r="108" customFormat="false" ht="15" hidden="false" customHeight="false" outlineLevel="0" collapsed="false">
      <c r="A108" s="29" t="n">
        <v>46251</v>
      </c>
      <c r="B108" s="40" t="n">
        <f aca="false">IF($A108="",0,INT(($A108-Macrociclo!$C$11)/7)+1)</f>
        <v>33</v>
      </c>
      <c r="C108" s="27" t="s">
        <v>1056</v>
      </c>
      <c r="D108" s="27" t="s">
        <v>226</v>
      </c>
      <c r="E108" s="28" t="s">
        <v>1260</v>
      </c>
      <c r="F108" s="28" t="n">
        <v>90</v>
      </c>
      <c r="G108" s="27" t="s">
        <v>373</v>
      </c>
    </row>
    <row r="109" customFormat="false" ht="15" hidden="false" customHeight="false" outlineLevel="0" collapsed="false">
      <c r="A109" s="29" t="n">
        <v>46251</v>
      </c>
      <c r="B109" s="40" t="n">
        <f aca="false">IF($A109="",0,INT(($A109-Macrociclo!$C$11)/7)+1)</f>
        <v>33</v>
      </c>
      <c r="C109" s="27" t="s">
        <v>1056</v>
      </c>
      <c r="D109" s="27" t="s">
        <v>236</v>
      </c>
      <c r="E109" s="28" t="s">
        <v>1260</v>
      </c>
      <c r="F109" s="28" t="n">
        <v>90</v>
      </c>
      <c r="G109" s="27" t="s">
        <v>373</v>
      </c>
    </row>
    <row r="110" customFormat="false" ht="15" hidden="false" customHeight="false" outlineLevel="0" collapsed="false">
      <c r="A110" s="29" t="n">
        <v>46251</v>
      </c>
      <c r="B110" s="40" t="n">
        <f aca="false">IF($A110="",0,INT(($A110-Macrociclo!$C$11)/7)+1)</f>
        <v>33</v>
      </c>
      <c r="C110" s="27" t="s">
        <v>1056</v>
      </c>
      <c r="D110" s="27" t="s">
        <v>244</v>
      </c>
      <c r="E110" s="28" t="s">
        <v>1260</v>
      </c>
      <c r="F110" s="28" t="n">
        <v>90</v>
      </c>
      <c r="G110" s="27" t="s">
        <v>373</v>
      </c>
    </row>
    <row r="111" customFormat="false" ht="15" hidden="false" customHeight="false" outlineLevel="0" collapsed="false">
      <c r="A111" s="29" t="n">
        <v>46251</v>
      </c>
      <c r="B111" s="40" t="n">
        <f aca="false">IF($A111="",0,INT(($A111-Macrociclo!$C$11)/7)+1)</f>
        <v>33</v>
      </c>
      <c r="C111" s="27" t="s">
        <v>1056</v>
      </c>
      <c r="D111" s="27" t="s">
        <v>253</v>
      </c>
      <c r="E111" s="28" t="s">
        <v>1260</v>
      </c>
      <c r="F111" s="28" t="n">
        <v>90</v>
      </c>
      <c r="G111" s="27" t="s">
        <v>373</v>
      </c>
    </row>
    <row r="112" customFormat="false" ht="15" hidden="false" customHeight="false" outlineLevel="0" collapsed="false">
      <c r="A112" s="29" t="n">
        <v>46251</v>
      </c>
      <c r="B112" s="40" t="n">
        <f aca="false">IF($A112="",0,INT(($A112-Macrociclo!$C$11)/7)+1)</f>
        <v>33</v>
      </c>
      <c r="C112" s="27" t="s">
        <v>1056</v>
      </c>
      <c r="D112" s="27" t="s">
        <v>259</v>
      </c>
      <c r="E112" s="28" t="s">
        <v>1260</v>
      </c>
      <c r="F112" s="28" t="n">
        <v>90</v>
      </c>
      <c r="G112" s="27" t="s">
        <v>373</v>
      </c>
    </row>
    <row r="113" customFormat="false" ht="15" hidden="false" customHeight="false" outlineLevel="0" collapsed="false">
      <c r="A113" s="29" t="n">
        <v>46251</v>
      </c>
      <c r="B113" s="40" t="n">
        <f aca="false">IF($A113="",0,INT(($A113-Macrociclo!$C$11)/7)+1)</f>
        <v>33</v>
      </c>
      <c r="C113" s="27" t="s">
        <v>1056</v>
      </c>
      <c r="D113" s="27" t="s">
        <v>264</v>
      </c>
      <c r="E113" s="28" t="s">
        <v>1260</v>
      </c>
      <c r="F113" s="28" t="n">
        <v>90</v>
      </c>
      <c r="G113" s="27" t="s">
        <v>373</v>
      </c>
    </row>
    <row r="114" customFormat="false" ht="15" hidden="false" customHeight="false" outlineLevel="0" collapsed="false">
      <c r="A114" s="29" t="n">
        <v>46251</v>
      </c>
      <c r="B114" s="40" t="n">
        <f aca="false">IF($A114="",0,INT(($A114-Macrociclo!$C$11)/7)+1)</f>
        <v>33</v>
      </c>
      <c r="C114" s="27" t="s">
        <v>1056</v>
      </c>
      <c r="D114" s="27" t="s">
        <v>270</v>
      </c>
      <c r="E114" s="28" t="s">
        <v>1260</v>
      </c>
      <c r="F114" s="28" t="n">
        <v>90</v>
      </c>
      <c r="G114" s="27" t="s">
        <v>373</v>
      </c>
    </row>
    <row r="115" customFormat="false" ht="15" hidden="false" customHeight="false" outlineLevel="0" collapsed="false">
      <c r="A115" s="29" t="n">
        <v>46251</v>
      </c>
      <c r="B115" s="40" t="n">
        <f aca="false">IF($A115="",0,INT(($A115-Macrociclo!$C$11)/7)+1)</f>
        <v>33</v>
      </c>
      <c r="C115" s="27" t="s">
        <v>1056</v>
      </c>
      <c r="D115" s="27" t="s">
        <v>279</v>
      </c>
      <c r="E115" s="28" t="s">
        <v>1260</v>
      </c>
      <c r="F115" s="28" t="n">
        <v>90</v>
      </c>
      <c r="G115" s="27" t="s">
        <v>373</v>
      </c>
    </row>
    <row r="116" customFormat="false" ht="15" hidden="false" customHeight="false" outlineLevel="0" collapsed="false">
      <c r="A116" s="29" t="n">
        <v>46252</v>
      </c>
      <c r="B116" s="40" t="n">
        <f aca="false">IF($A116="",0,INT(($A116-Macrociclo!$C$11)/7)+1)</f>
        <v>33</v>
      </c>
      <c r="C116" s="27" t="s">
        <v>1061</v>
      </c>
      <c r="D116" s="27" t="s">
        <v>164</v>
      </c>
      <c r="E116" s="28" t="s">
        <v>1260</v>
      </c>
      <c r="F116" s="28" t="n">
        <v>60</v>
      </c>
      <c r="G116" s="27" t="s">
        <v>373</v>
      </c>
    </row>
    <row r="117" customFormat="false" ht="15" hidden="false" customHeight="false" outlineLevel="0" collapsed="false">
      <c r="A117" s="29" t="n">
        <v>46252</v>
      </c>
      <c r="B117" s="40" t="n">
        <f aca="false">IF($A117="",0,INT(($A117-Macrociclo!$C$11)/7)+1)</f>
        <v>33</v>
      </c>
      <c r="C117" s="27" t="s">
        <v>1061</v>
      </c>
      <c r="D117" s="27" t="s">
        <v>192</v>
      </c>
      <c r="E117" s="28" t="s">
        <v>1260</v>
      </c>
      <c r="F117" s="28" t="n">
        <v>60</v>
      </c>
      <c r="G117" s="27" t="s">
        <v>373</v>
      </c>
    </row>
    <row r="118" customFormat="false" ht="15" hidden="false" customHeight="false" outlineLevel="0" collapsed="false">
      <c r="A118" s="29" t="n">
        <v>46252</v>
      </c>
      <c r="B118" s="40" t="n">
        <f aca="false">IF($A118="",0,INT(($A118-Macrociclo!$C$11)/7)+1)</f>
        <v>33</v>
      </c>
      <c r="C118" s="27" t="s">
        <v>1061</v>
      </c>
      <c r="D118" s="27" t="s">
        <v>206</v>
      </c>
      <c r="E118" s="28" t="s">
        <v>1260</v>
      </c>
      <c r="F118" s="28" t="n">
        <v>60</v>
      </c>
      <c r="G118" s="27" t="s">
        <v>373</v>
      </c>
    </row>
    <row r="119" customFormat="false" ht="15" hidden="false" customHeight="false" outlineLevel="0" collapsed="false">
      <c r="A119" s="29" t="n">
        <v>46252</v>
      </c>
      <c r="B119" s="40" t="n">
        <f aca="false">IF($A119="",0,INT(($A119-Macrociclo!$C$11)/7)+1)</f>
        <v>33</v>
      </c>
      <c r="C119" s="27" t="s">
        <v>1061</v>
      </c>
      <c r="D119" s="27" t="s">
        <v>215</v>
      </c>
      <c r="E119" s="28" t="s">
        <v>1260</v>
      </c>
      <c r="F119" s="28" t="n">
        <v>60</v>
      </c>
      <c r="G119" s="27" t="s">
        <v>373</v>
      </c>
    </row>
    <row r="120" customFormat="false" ht="15" hidden="false" customHeight="false" outlineLevel="0" collapsed="false">
      <c r="A120" s="29" t="n">
        <v>46252</v>
      </c>
      <c r="B120" s="40" t="n">
        <f aca="false">IF($A120="",0,INT(($A120-Macrociclo!$C$11)/7)+1)</f>
        <v>33</v>
      </c>
      <c r="C120" s="27" t="s">
        <v>1061</v>
      </c>
      <c r="D120" s="27" t="s">
        <v>226</v>
      </c>
      <c r="E120" s="28" t="s">
        <v>1260</v>
      </c>
      <c r="F120" s="28" t="n">
        <v>60</v>
      </c>
      <c r="G120" s="27" t="s">
        <v>373</v>
      </c>
    </row>
    <row r="121" customFormat="false" ht="15" hidden="false" customHeight="false" outlineLevel="0" collapsed="false">
      <c r="A121" s="29" t="n">
        <v>46252</v>
      </c>
      <c r="B121" s="40" t="n">
        <f aca="false">IF($A121="",0,INT(($A121-Macrociclo!$C$11)/7)+1)</f>
        <v>33</v>
      </c>
      <c r="C121" s="27" t="s">
        <v>1061</v>
      </c>
      <c r="D121" s="27" t="s">
        <v>236</v>
      </c>
      <c r="E121" s="28" t="s">
        <v>1260</v>
      </c>
      <c r="F121" s="28" t="n">
        <v>60</v>
      </c>
      <c r="G121" s="27" t="s">
        <v>373</v>
      </c>
    </row>
    <row r="122" customFormat="false" ht="15" hidden="false" customHeight="false" outlineLevel="0" collapsed="false">
      <c r="A122" s="29" t="n">
        <v>46252</v>
      </c>
      <c r="B122" s="40" t="n">
        <f aca="false">IF($A122="",0,INT(($A122-Macrociclo!$C$11)/7)+1)</f>
        <v>33</v>
      </c>
      <c r="C122" s="27" t="s">
        <v>1061</v>
      </c>
      <c r="D122" s="27" t="s">
        <v>244</v>
      </c>
      <c r="E122" s="28" t="s">
        <v>1260</v>
      </c>
      <c r="F122" s="28" t="n">
        <v>60</v>
      </c>
      <c r="G122" s="27" t="s">
        <v>373</v>
      </c>
    </row>
    <row r="123" customFormat="false" ht="15" hidden="false" customHeight="false" outlineLevel="0" collapsed="false">
      <c r="A123" s="29" t="n">
        <v>46252</v>
      </c>
      <c r="B123" s="40" t="n">
        <f aca="false">IF($A123="",0,INT(($A123-Macrociclo!$C$11)/7)+1)</f>
        <v>33</v>
      </c>
      <c r="C123" s="27" t="s">
        <v>1061</v>
      </c>
      <c r="D123" s="27" t="s">
        <v>253</v>
      </c>
      <c r="E123" s="28" t="s">
        <v>1260</v>
      </c>
      <c r="F123" s="28" t="n">
        <v>60</v>
      </c>
      <c r="G123" s="27" t="s">
        <v>373</v>
      </c>
    </row>
    <row r="124" customFormat="false" ht="15" hidden="false" customHeight="false" outlineLevel="0" collapsed="false">
      <c r="A124" s="29" t="n">
        <v>46252</v>
      </c>
      <c r="B124" s="40" t="n">
        <f aca="false">IF($A124="",0,INT(($A124-Macrociclo!$C$11)/7)+1)</f>
        <v>33</v>
      </c>
      <c r="C124" s="27" t="s">
        <v>1061</v>
      </c>
      <c r="D124" s="27" t="s">
        <v>259</v>
      </c>
      <c r="E124" s="28" t="s">
        <v>1260</v>
      </c>
      <c r="F124" s="28" t="n">
        <v>60</v>
      </c>
      <c r="G124" s="27" t="s">
        <v>373</v>
      </c>
    </row>
    <row r="125" customFormat="false" ht="15" hidden="false" customHeight="false" outlineLevel="0" collapsed="false">
      <c r="A125" s="29" t="n">
        <v>46252</v>
      </c>
      <c r="B125" s="40" t="n">
        <f aca="false">IF($A125="",0,INT(($A125-Macrociclo!$C$11)/7)+1)</f>
        <v>33</v>
      </c>
      <c r="C125" s="27" t="s">
        <v>1061</v>
      </c>
      <c r="D125" s="27" t="s">
        <v>264</v>
      </c>
      <c r="E125" s="28" t="s">
        <v>1260</v>
      </c>
      <c r="F125" s="28" t="n">
        <v>60</v>
      </c>
      <c r="G125" s="27" t="s">
        <v>373</v>
      </c>
    </row>
    <row r="126" customFormat="false" ht="15" hidden="false" customHeight="false" outlineLevel="0" collapsed="false">
      <c r="A126" s="29" t="n">
        <v>46252</v>
      </c>
      <c r="B126" s="40" t="n">
        <f aca="false">IF($A126="",0,INT(($A126-Macrociclo!$C$11)/7)+1)</f>
        <v>33</v>
      </c>
      <c r="C126" s="27" t="s">
        <v>1061</v>
      </c>
      <c r="D126" s="27" t="s">
        <v>270</v>
      </c>
      <c r="E126" s="28" t="s">
        <v>1260</v>
      </c>
      <c r="F126" s="28" t="n">
        <v>60</v>
      </c>
      <c r="G126" s="27" t="s">
        <v>373</v>
      </c>
    </row>
    <row r="127" customFormat="false" ht="15" hidden="false" customHeight="false" outlineLevel="0" collapsed="false">
      <c r="A127" s="29" t="n">
        <v>46252</v>
      </c>
      <c r="B127" s="40" t="n">
        <f aca="false">IF($A127="",0,INT(($A127-Macrociclo!$C$11)/7)+1)</f>
        <v>33</v>
      </c>
      <c r="C127" s="27" t="s">
        <v>1061</v>
      </c>
      <c r="D127" s="27" t="s">
        <v>279</v>
      </c>
      <c r="E127" s="28" t="s">
        <v>1260</v>
      </c>
      <c r="F127" s="28" t="n">
        <v>60</v>
      </c>
      <c r="G127" s="27" t="s">
        <v>373</v>
      </c>
    </row>
    <row r="128" customFormat="false" ht="15" hidden="false" customHeight="false" outlineLevel="0" collapsed="false">
      <c r="A128" s="29" t="n">
        <v>46253</v>
      </c>
      <c r="B128" s="40" t="n">
        <f aca="false">IF($A128="",0,INT(($A128-Macrociclo!$C$11)/7)+1)</f>
        <v>33</v>
      </c>
      <c r="C128" s="27" t="s">
        <v>1066</v>
      </c>
      <c r="D128" s="27" t="s">
        <v>164</v>
      </c>
      <c r="E128" s="28" t="s">
        <v>1260</v>
      </c>
      <c r="F128" s="28" t="n">
        <v>100</v>
      </c>
      <c r="G128" s="27" t="s">
        <v>373</v>
      </c>
    </row>
    <row r="129" customFormat="false" ht="15" hidden="false" customHeight="false" outlineLevel="0" collapsed="false">
      <c r="A129" s="29" t="n">
        <v>46253</v>
      </c>
      <c r="B129" s="40" t="n">
        <f aca="false">IF($A129="",0,INT(($A129-Macrociclo!$C$11)/7)+1)</f>
        <v>33</v>
      </c>
      <c r="C129" s="27" t="s">
        <v>1066</v>
      </c>
      <c r="D129" s="27" t="s">
        <v>192</v>
      </c>
      <c r="E129" s="28" t="s">
        <v>1260</v>
      </c>
      <c r="F129" s="28" t="n">
        <v>100</v>
      </c>
      <c r="G129" s="27" t="s">
        <v>373</v>
      </c>
    </row>
    <row r="130" customFormat="false" ht="15" hidden="false" customHeight="false" outlineLevel="0" collapsed="false">
      <c r="A130" s="29" t="n">
        <v>46253</v>
      </c>
      <c r="B130" s="40" t="n">
        <f aca="false">IF($A130="",0,INT(($A130-Macrociclo!$C$11)/7)+1)</f>
        <v>33</v>
      </c>
      <c r="C130" s="27" t="s">
        <v>1066</v>
      </c>
      <c r="D130" s="27" t="s">
        <v>206</v>
      </c>
      <c r="E130" s="28" t="s">
        <v>1260</v>
      </c>
      <c r="F130" s="28" t="n">
        <v>100</v>
      </c>
      <c r="G130" s="27" t="s">
        <v>373</v>
      </c>
    </row>
    <row r="131" customFormat="false" ht="15" hidden="false" customHeight="false" outlineLevel="0" collapsed="false">
      <c r="A131" s="29" t="n">
        <v>46253</v>
      </c>
      <c r="B131" s="40" t="n">
        <f aca="false">IF($A131="",0,INT(($A131-Macrociclo!$C$11)/7)+1)</f>
        <v>33</v>
      </c>
      <c r="C131" s="27" t="s">
        <v>1066</v>
      </c>
      <c r="D131" s="27" t="s">
        <v>215</v>
      </c>
      <c r="E131" s="28" t="s">
        <v>1260</v>
      </c>
      <c r="F131" s="28" t="n">
        <v>100</v>
      </c>
      <c r="G131" s="27" t="s">
        <v>373</v>
      </c>
    </row>
    <row r="132" customFormat="false" ht="15" hidden="false" customHeight="false" outlineLevel="0" collapsed="false">
      <c r="A132" s="29" t="n">
        <v>46253</v>
      </c>
      <c r="B132" s="40" t="n">
        <f aca="false">IF($A132="",0,INT(($A132-Macrociclo!$C$11)/7)+1)</f>
        <v>33</v>
      </c>
      <c r="C132" s="27" t="s">
        <v>1066</v>
      </c>
      <c r="D132" s="27" t="s">
        <v>226</v>
      </c>
      <c r="E132" s="28" t="s">
        <v>1260</v>
      </c>
      <c r="F132" s="28" t="n">
        <v>100</v>
      </c>
      <c r="G132" s="27" t="s">
        <v>373</v>
      </c>
    </row>
    <row r="133" customFormat="false" ht="15" hidden="false" customHeight="false" outlineLevel="0" collapsed="false">
      <c r="A133" s="29" t="n">
        <v>46253</v>
      </c>
      <c r="B133" s="40" t="n">
        <f aca="false">IF($A133="",0,INT(($A133-Macrociclo!$C$11)/7)+1)</f>
        <v>33</v>
      </c>
      <c r="C133" s="27" t="s">
        <v>1066</v>
      </c>
      <c r="D133" s="27" t="s">
        <v>236</v>
      </c>
      <c r="E133" s="28" t="s">
        <v>1261</v>
      </c>
      <c r="F133" s="28" t="n">
        <v>0</v>
      </c>
      <c r="G133" s="27" t="s">
        <v>1262</v>
      </c>
    </row>
    <row r="134" customFormat="false" ht="15" hidden="false" customHeight="false" outlineLevel="0" collapsed="false">
      <c r="A134" s="29" t="n">
        <v>46253</v>
      </c>
      <c r="B134" s="40" t="n">
        <f aca="false">IF($A134="",0,INT(($A134-Macrociclo!$C$11)/7)+1)</f>
        <v>33</v>
      </c>
      <c r="C134" s="27" t="s">
        <v>1066</v>
      </c>
      <c r="D134" s="27" t="s">
        <v>244</v>
      </c>
      <c r="E134" s="28" t="s">
        <v>1261</v>
      </c>
      <c r="F134" s="28" t="n">
        <v>0</v>
      </c>
      <c r="G134" s="27" t="s">
        <v>1262</v>
      </c>
    </row>
    <row r="135" customFormat="false" ht="15" hidden="false" customHeight="false" outlineLevel="0" collapsed="false">
      <c r="A135" s="29" t="n">
        <v>46253</v>
      </c>
      <c r="B135" s="40" t="n">
        <f aca="false">IF($A135="",0,INT(($A135-Macrociclo!$C$11)/7)+1)</f>
        <v>33</v>
      </c>
      <c r="C135" s="27" t="s">
        <v>1066</v>
      </c>
      <c r="D135" s="27" t="s">
        <v>253</v>
      </c>
      <c r="E135" s="28" t="s">
        <v>1260</v>
      </c>
      <c r="F135" s="28" t="n">
        <v>100</v>
      </c>
      <c r="G135" s="27" t="s">
        <v>373</v>
      </c>
    </row>
    <row r="136" customFormat="false" ht="15" hidden="false" customHeight="false" outlineLevel="0" collapsed="false">
      <c r="A136" s="29" t="n">
        <v>46253</v>
      </c>
      <c r="B136" s="40" t="n">
        <f aca="false">IF($A136="",0,INT(($A136-Macrociclo!$C$11)/7)+1)</f>
        <v>33</v>
      </c>
      <c r="C136" s="27" t="s">
        <v>1066</v>
      </c>
      <c r="D136" s="27" t="s">
        <v>259</v>
      </c>
      <c r="E136" s="28" t="s">
        <v>1260</v>
      </c>
      <c r="F136" s="28" t="n">
        <v>100</v>
      </c>
      <c r="G136" s="27" t="s">
        <v>373</v>
      </c>
    </row>
    <row r="137" customFormat="false" ht="15" hidden="false" customHeight="false" outlineLevel="0" collapsed="false">
      <c r="A137" s="29" t="n">
        <v>46253</v>
      </c>
      <c r="B137" s="40" t="n">
        <f aca="false">IF($A137="",0,INT(($A137-Macrociclo!$C$11)/7)+1)</f>
        <v>33</v>
      </c>
      <c r="C137" s="27" t="s">
        <v>1066</v>
      </c>
      <c r="D137" s="27" t="s">
        <v>264</v>
      </c>
      <c r="E137" s="28" t="s">
        <v>1260</v>
      </c>
      <c r="F137" s="28" t="n">
        <v>100</v>
      </c>
      <c r="G137" s="27" t="s">
        <v>373</v>
      </c>
    </row>
    <row r="138" customFormat="false" ht="15" hidden="false" customHeight="false" outlineLevel="0" collapsed="false">
      <c r="A138" s="29" t="n">
        <v>46253</v>
      </c>
      <c r="B138" s="40" t="n">
        <f aca="false">IF($A138="",0,INT(($A138-Macrociclo!$C$11)/7)+1)</f>
        <v>33</v>
      </c>
      <c r="C138" s="27" t="s">
        <v>1066</v>
      </c>
      <c r="D138" s="27" t="s">
        <v>270</v>
      </c>
      <c r="E138" s="28" t="s">
        <v>1260</v>
      </c>
      <c r="F138" s="28" t="n">
        <v>100</v>
      </c>
      <c r="G138" s="27" t="s">
        <v>373</v>
      </c>
    </row>
    <row r="139" customFormat="false" ht="15" hidden="false" customHeight="false" outlineLevel="0" collapsed="false">
      <c r="A139" s="29" t="n">
        <v>46253</v>
      </c>
      <c r="B139" s="40" t="n">
        <f aca="false">IF($A139="",0,INT(($A139-Macrociclo!$C$11)/7)+1)</f>
        <v>33</v>
      </c>
      <c r="C139" s="27" t="s">
        <v>1066</v>
      </c>
      <c r="D139" s="27" t="s">
        <v>279</v>
      </c>
      <c r="E139" s="28" t="s">
        <v>1260</v>
      </c>
      <c r="F139" s="28" t="n">
        <v>100</v>
      </c>
      <c r="G139" s="27" t="s">
        <v>373</v>
      </c>
    </row>
    <row r="140" customFormat="false" ht="15" hidden="false" customHeight="false" outlineLevel="0" collapsed="false">
      <c r="A140" s="29" t="n">
        <v>46254</v>
      </c>
      <c r="B140" s="40" t="n">
        <f aca="false">IF($A140="",0,INT(($A140-Macrociclo!$C$11)/7)+1)</f>
        <v>33</v>
      </c>
      <c r="C140" s="27" t="s">
        <v>1069</v>
      </c>
      <c r="D140" s="27" t="s">
        <v>164</v>
      </c>
      <c r="E140" s="28" t="s">
        <v>1260</v>
      </c>
      <c r="F140" s="28" t="n">
        <v>50</v>
      </c>
      <c r="G140" s="27" t="s">
        <v>373</v>
      </c>
    </row>
    <row r="141" customFormat="false" ht="15" hidden="false" customHeight="false" outlineLevel="0" collapsed="false">
      <c r="A141" s="29" t="n">
        <v>46254</v>
      </c>
      <c r="B141" s="40" t="n">
        <f aca="false">IF($A141="",0,INT(($A141-Macrociclo!$C$11)/7)+1)</f>
        <v>33</v>
      </c>
      <c r="C141" s="27" t="s">
        <v>1069</v>
      </c>
      <c r="D141" s="27" t="s">
        <v>192</v>
      </c>
      <c r="E141" s="28" t="s">
        <v>1260</v>
      </c>
      <c r="F141" s="28" t="n">
        <v>50</v>
      </c>
      <c r="G141" s="27" t="s">
        <v>373</v>
      </c>
    </row>
    <row r="142" customFormat="false" ht="15" hidden="false" customHeight="false" outlineLevel="0" collapsed="false">
      <c r="A142" s="29" t="n">
        <v>46254</v>
      </c>
      <c r="B142" s="40" t="n">
        <f aca="false">IF($A142="",0,INT(($A142-Macrociclo!$C$11)/7)+1)</f>
        <v>33</v>
      </c>
      <c r="C142" s="27" t="s">
        <v>1069</v>
      </c>
      <c r="D142" s="27" t="s">
        <v>206</v>
      </c>
      <c r="E142" s="28" t="s">
        <v>1260</v>
      </c>
      <c r="F142" s="28" t="n">
        <v>50</v>
      </c>
      <c r="G142" s="27" t="s">
        <v>373</v>
      </c>
    </row>
    <row r="143" customFormat="false" ht="15" hidden="false" customHeight="false" outlineLevel="0" collapsed="false">
      <c r="A143" s="29" t="n">
        <v>46254</v>
      </c>
      <c r="B143" s="40" t="n">
        <f aca="false">IF($A143="",0,INT(($A143-Macrociclo!$C$11)/7)+1)</f>
        <v>33</v>
      </c>
      <c r="C143" s="27" t="s">
        <v>1069</v>
      </c>
      <c r="D143" s="27" t="s">
        <v>215</v>
      </c>
      <c r="E143" s="28" t="s">
        <v>1260</v>
      </c>
      <c r="F143" s="28" t="n">
        <v>50</v>
      </c>
      <c r="G143" s="27" t="s">
        <v>373</v>
      </c>
    </row>
    <row r="144" customFormat="false" ht="15" hidden="false" customHeight="false" outlineLevel="0" collapsed="false">
      <c r="A144" s="29" t="n">
        <v>46254</v>
      </c>
      <c r="B144" s="40" t="n">
        <f aca="false">IF($A144="",0,INT(($A144-Macrociclo!$C$11)/7)+1)</f>
        <v>33</v>
      </c>
      <c r="C144" s="27" t="s">
        <v>1069</v>
      </c>
      <c r="D144" s="27" t="s">
        <v>226</v>
      </c>
      <c r="E144" s="28" t="s">
        <v>1260</v>
      </c>
      <c r="F144" s="28" t="n">
        <v>50</v>
      </c>
      <c r="G144" s="27" t="s">
        <v>373</v>
      </c>
    </row>
    <row r="145" customFormat="false" ht="15" hidden="false" customHeight="false" outlineLevel="0" collapsed="false">
      <c r="A145" s="29" t="n">
        <v>46254</v>
      </c>
      <c r="B145" s="40" t="n">
        <f aca="false">IF($A145="",0,INT(($A145-Macrociclo!$C$11)/7)+1)</f>
        <v>33</v>
      </c>
      <c r="C145" s="27" t="s">
        <v>1069</v>
      </c>
      <c r="D145" s="27" t="s">
        <v>236</v>
      </c>
      <c r="E145" s="28" t="s">
        <v>1260</v>
      </c>
      <c r="F145" s="28" t="n">
        <v>50</v>
      </c>
      <c r="G145" s="27" t="s">
        <v>373</v>
      </c>
    </row>
    <row r="146" customFormat="false" ht="15" hidden="false" customHeight="false" outlineLevel="0" collapsed="false">
      <c r="A146" s="29" t="n">
        <v>46254</v>
      </c>
      <c r="B146" s="40" t="n">
        <f aca="false">IF($A146="",0,INT(($A146-Macrociclo!$C$11)/7)+1)</f>
        <v>33</v>
      </c>
      <c r="C146" s="27" t="s">
        <v>1069</v>
      </c>
      <c r="D146" s="27" t="s">
        <v>244</v>
      </c>
      <c r="E146" s="28" t="s">
        <v>1260</v>
      </c>
      <c r="F146" s="28" t="n">
        <v>50</v>
      </c>
      <c r="G146" s="27" t="s">
        <v>373</v>
      </c>
    </row>
    <row r="147" customFormat="false" ht="15" hidden="false" customHeight="false" outlineLevel="0" collapsed="false">
      <c r="A147" s="29" t="n">
        <v>46254</v>
      </c>
      <c r="B147" s="40" t="n">
        <f aca="false">IF($A147="",0,INT(($A147-Macrociclo!$C$11)/7)+1)</f>
        <v>33</v>
      </c>
      <c r="C147" s="27" t="s">
        <v>1069</v>
      </c>
      <c r="D147" s="27" t="s">
        <v>253</v>
      </c>
      <c r="E147" s="28" t="s">
        <v>1260</v>
      </c>
      <c r="F147" s="28" t="n">
        <v>50</v>
      </c>
      <c r="G147" s="27" t="s">
        <v>373</v>
      </c>
    </row>
    <row r="148" customFormat="false" ht="15" hidden="false" customHeight="false" outlineLevel="0" collapsed="false">
      <c r="A148" s="29" t="n">
        <v>46254</v>
      </c>
      <c r="B148" s="40" t="n">
        <f aca="false">IF($A148="",0,INT(($A148-Macrociclo!$C$11)/7)+1)</f>
        <v>33</v>
      </c>
      <c r="C148" s="27" t="s">
        <v>1069</v>
      </c>
      <c r="D148" s="27" t="s">
        <v>259</v>
      </c>
      <c r="E148" s="28" t="s">
        <v>1260</v>
      </c>
      <c r="F148" s="28" t="n">
        <v>50</v>
      </c>
      <c r="G148" s="27" t="s">
        <v>373</v>
      </c>
    </row>
    <row r="149" customFormat="false" ht="15" hidden="false" customHeight="false" outlineLevel="0" collapsed="false">
      <c r="A149" s="29" t="n">
        <v>46254</v>
      </c>
      <c r="B149" s="40" t="n">
        <f aca="false">IF($A149="",0,INT(($A149-Macrociclo!$C$11)/7)+1)</f>
        <v>33</v>
      </c>
      <c r="C149" s="27" t="s">
        <v>1069</v>
      </c>
      <c r="D149" s="27" t="s">
        <v>264</v>
      </c>
      <c r="E149" s="28" t="s">
        <v>1260</v>
      </c>
      <c r="F149" s="28" t="n">
        <v>50</v>
      </c>
      <c r="G149" s="27" t="s">
        <v>373</v>
      </c>
    </row>
    <row r="150" customFormat="false" ht="15" hidden="false" customHeight="false" outlineLevel="0" collapsed="false">
      <c r="A150" s="29" t="n">
        <v>46254</v>
      </c>
      <c r="B150" s="40" t="n">
        <f aca="false">IF($A150="",0,INT(($A150-Macrociclo!$C$11)/7)+1)</f>
        <v>33</v>
      </c>
      <c r="C150" s="27" t="s">
        <v>1069</v>
      </c>
      <c r="D150" s="27" t="s">
        <v>270</v>
      </c>
      <c r="E150" s="28" t="s">
        <v>1260</v>
      </c>
      <c r="F150" s="28" t="n">
        <v>50</v>
      </c>
      <c r="G150" s="27" t="s">
        <v>373</v>
      </c>
    </row>
    <row r="151" customFormat="false" ht="15" hidden="false" customHeight="false" outlineLevel="0" collapsed="false">
      <c r="A151" s="29" t="n">
        <v>46254</v>
      </c>
      <c r="B151" s="40" t="n">
        <f aca="false">IF($A151="",0,INT(($A151-Macrociclo!$C$11)/7)+1)</f>
        <v>33</v>
      </c>
      <c r="C151" s="27" t="s">
        <v>1069</v>
      </c>
      <c r="D151" s="27" t="s">
        <v>279</v>
      </c>
      <c r="E151" s="28" t="s">
        <v>1260</v>
      </c>
      <c r="F151" s="28" t="n">
        <v>50</v>
      </c>
      <c r="G151" s="27" t="s">
        <v>373</v>
      </c>
    </row>
    <row r="152" customFormat="false" ht="15" hidden="false" customHeight="false" outlineLevel="0" collapsed="false">
      <c r="A152" s="29" t="n">
        <v>46254</v>
      </c>
      <c r="B152" s="40" t="n">
        <f aca="false">IF($A152="",0,INT(($A152-Macrociclo!$C$11)/7)+1)</f>
        <v>33</v>
      </c>
      <c r="C152" s="27" t="s">
        <v>1056</v>
      </c>
      <c r="D152" s="27" t="s">
        <v>164</v>
      </c>
      <c r="E152" s="28" t="s">
        <v>1260</v>
      </c>
      <c r="F152" s="28" t="n">
        <v>90</v>
      </c>
      <c r="G152" s="27" t="s">
        <v>373</v>
      </c>
    </row>
    <row r="153" customFormat="false" ht="15" hidden="false" customHeight="false" outlineLevel="0" collapsed="false">
      <c r="A153" s="29" t="n">
        <v>46254</v>
      </c>
      <c r="B153" s="40" t="n">
        <f aca="false">IF($A153="",0,INT(($A153-Macrociclo!$C$11)/7)+1)</f>
        <v>33</v>
      </c>
      <c r="C153" s="27" t="s">
        <v>1056</v>
      </c>
      <c r="D153" s="27" t="s">
        <v>192</v>
      </c>
      <c r="E153" s="28" t="s">
        <v>1260</v>
      </c>
      <c r="F153" s="28" t="n">
        <v>90</v>
      </c>
      <c r="G153" s="27" t="s">
        <v>373</v>
      </c>
    </row>
    <row r="154" customFormat="false" ht="15" hidden="false" customHeight="false" outlineLevel="0" collapsed="false">
      <c r="A154" s="29" t="n">
        <v>46254</v>
      </c>
      <c r="B154" s="40" t="n">
        <f aca="false">IF($A154="",0,INT(($A154-Macrociclo!$C$11)/7)+1)</f>
        <v>33</v>
      </c>
      <c r="C154" s="27" t="s">
        <v>1056</v>
      </c>
      <c r="D154" s="27" t="s">
        <v>206</v>
      </c>
      <c r="E154" s="28" t="s">
        <v>1260</v>
      </c>
      <c r="F154" s="28" t="n">
        <v>90</v>
      </c>
      <c r="G154" s="27" t="s">
        <v>373</v>
      </c>
    </row>
    <row r="155" customFormat="false" ht="15" hidden="false" customHeight="false" outlineLevel="0" collapsed="false">
      <c r="A155" s="29" t="n">
        <v>46254</v>
      </c>
      <c r="B155" s="40" t="n">
        <f aca="false">IF($A155="",0,INT(($A155-Macrociclo!$C$11)/7)+1)</f>
        <v>33</v>
      </c>
      <c r="C155" s="27" t="s">
        <v>1056</v>
      </c>
      <c r="D155" s="27" t="s">
        <v>215</v>
      </c>
      <c r="E155" s="28" t="s">
        <v>1260</v>
      </c>
      <c r="F155" s="28" t="n">
        <v>90</v>
      </c>
      <c r="G155" s="27" t="s">
        <v>373</v>
      </c>
    </row>
    <row r="156" customFormat="false" ht="15" hidden="false" customHeight="false" outlineLevel="0" collapsed="false">
      <c r="A156" s="29" t="n">
        <v>46254</v>
      </c>
      <c r="B156" s="40" t="n">
        <f aca="false">IF($A156="",0,INT(($A156-Macrociclo!$C$11)/7)+1)</f>
        <v>33</v>
      </c>
      <c r="C156" s="27" t="s">
        <v>1056</v>
      </c>
      <c r="D156" s="27" t="s">
        <v>226</v>
      </c>
      <c r="E156" s="28" t="s">
        <v>1260</v>
      </c>
      <c r="F156" s="28" t="n">
        <v>90</v>
      </c>
      <c r="G156" s="27" t="s">
        <v>373</v>
      </c>
    </row>
    <row r="157" customFormat="false" ht="15" hidden="false" customHeight="false" outlineLevel="0" collapsed="false">
      <c r="A157" s="29" t="n">
        <v>46254</v>
      </c>
      <c r="B157" s="40" t="n">
        <f aca="false">IF($A157="",0,INT(($A157-Macrociclo!$C$11)/7)+1)</f>
        <v>33</v>
      </c>
      <c r="C157" s="27" t="s">
        <v>1056</v>
      </c>
      <c r="D157" s="27" t="s">
        <v>236</v>
      </c>
      <c r="E157" s="28" t="s">
        <v>1260</v>
      </c>
      <c r="F157" s="28" t="n">
        <v>90</v>
      </c>
      <c r="G157" s="27" t="s">
        <v>373</v>
      </c>
    </row>
    <row r="158" customFormat="false" ht="15" hidden="false" customHeight="false" outlineLevel="0" collapsed="false">
      <c r="A158" s="29" t="n">
        <v>46254</v>
      </c>
      <c r="B158" s="40" t="n">
        <f aca="false">IF($A158="",0,INT(($A158-Macrociclo!$C$11)/7)+1)</f>
        <v>33</v>
      </c>
      <c r="C158" s="27" t="s">
        <v>1056</v>
      </c>
      <c r="D158" s="27" t="s">
        <v>244</v>
      </c>
      <c r="E158" s="28" t="s">
        <v>1260</v>
      </c>
      <c r="F158" s="28" t="n">
        <v>90</v>
      </c>
      <c r="G158" s="27" t="s">
        <v>373</v>
      </c>
    </row>
    <row r="159" customFormat="false" ht="15" hidden="false" customHeight="false" outlineLevel="0" collapsed="false">
      <c r="A159" s="29" t="n">
        <v>46254</v>
      </c>
      <c r="B159" s="40" t="n">
        <f aca="false">IF($A159="",0,INT(($A159-Macrociclo!$C$11)/7)+1)</f>
        <v>33</v>
      </c>
      <c r="C159" s="27" t="s">
        <v>1056</v>
      </c>
      <c r="D159" s="27" t="s">
        <v>253</v>
      </c>
      <c r="E159" s="28" t="s">
        <v>1260</v>
      </c>
      <c r="F159" s="28" t="n">
        <v>90</v>
      </c>
      <c r="G159" s="27" t="s">
        <v>373</v>
      </c>
    </row>
    <row r="160" customFormat="false" ht="15" hidden="false" customHeight="false" outlineLevel="0" collapsed="false">
      <c r="A160" s="29" t="n">
        <v>46254</v>
      </c>
      <c r="B160" s="40" t="n">
        <f aca="false">IF($A160="",0,INT(($A160-Macrociclo!$C$11)/7)+1)</f>
        <v>33</v>
      </c>
      <c r="C160" s="27" t="s">
        <v>1056</v>
      </c>
      <c r="D160" s="27" t="s">
        <v>259</v>
      </c>
      <c r="E160" s="28" t="s">
        <v>1260</v>
      </c>
      <c r="F160" s="28" t="n">
        <v>90</v>
      </c>
      <c r="G160" s="27" t="s">
        <v>373</v>
      </c>
    </row>
    <row r="161" customFormat="false" ht="15" hidden="false" customHeight="false" outlineLevel="0" collapsed="false">
      <c r="A161" s="29" t="n">
        <v>46254</v>
      </c>
      <c r="B161" s="40" t="n">
        <f aca="false">IF($A161="",0,INT(($A161-Macrociclo!$C$11)/7)+1)</f>
        <v>33</v>
      </c>
      <c r="C161" s="27" t="s">
        <v>1056</v>
      </c>
      <c r="D161" s="27" t="s">
        <v>264</v>
      </c>
      <c r="E161" s="28" t="s">
        <v>1260</v>
      </c>
      <c r="F161" s="28" t="n">
        <v>90</v>
      </c>
      <c r="G161" s="27" t="s">
        <v>373</v>
      </c>
    </row>
    <row r="162" customFormat="false" ht="15" hidden="false" customHeight="false" outlineLevel="0" collapsed="false">
      <c r="A162" s="29" t="n">
        <v>46254</v>
      </c>
      <c r="B162" s="40" t="n">
        <f aca="false">IF($A162="",0,INT(($A162-Macrociclo!$C$11)/7)+1)</f>
        <v>33</v>
      </c>
      <c r="C162" s="27" t="s">
        <v>1056</v>
      </c>
      <c r="D162" s="27" t="s">
        <v>270</v>
      </c>
      <c r="E162" s="28" t="s">
        <v>1260</v>
      </c>
      <c r="F162" s="28" t="n">
        <v>90</v>
      </c>
      <c r="G162" s="27" t="s">
        <v>373</v>
      </c>
    </row>
    <row r="163" customFormat="false" ht="15" hidden="false" customHeight="false" outlineLevel="0" collapsed="false">
      <c r="A163" s="29" t="n">
        <v>46254</v>
      </c>
      <c r="B163" s="40" t="n">
        <f aca="false">IF($A163="",0,INT(($A163-Macrociclo!$C$11)/7)+1)</f>
        <v>33</v>
      </c>
      <c r="C163" s="27" t="s">
        <v>1056</v>
      </c>
      <c r="D163" s="27" t="s">
        <v>279</v>
      </c>
      <c r="E163" s="28" t="s">
        <v>1260</v>
      </c>
      <c r="F163" s="28" t="n">
        <v>90</v>
      </c>
      <c r="G163" s="27" t="s">
        <v>373</v>
      </c>
    </row>
    <row r="164" customFormat="false" ht="15" hidden="false" customHeight="false" outlineLevel="0" collapsed="false">
      <c r="A164" s="29" t="n">
        <v>46255</v>
      </c>
      <c r="B164" s="40" t="n">
        <f aca="false">IF($A164="",0,INT(($A164-Macrociclo!$C$11)/7)+1)</f>
        <v>33</v>
      </c>
      <c r="C164" s="27" t="s">
        <v>1066</v>
      </c>
      <c r="D164" s="27" t="s">
        <v>164</v>
      </c>
      <c r="E164" s="28" t="s">
        <v>1260</v>
      </c>
      <c r="F164" s="28" t="n">
        <v>110</v>
      </c>
      <c r="G164" s="27" t="s">
        <v>373</v>
      </c>
    </row>
    <row r="165" customFormat="false" ht="15" hidden="false" customHeight="false" outlineLevel="0" collapsed="false">
      <c r="A165" s="29" t="n">
        <v>46255</v>
      </c>
      <c r="B165" s="40" t="n">
        <f aca="false">IF($A165="",0,INT(($A165-Macrociclo!$C$11)/7)+1)</f>
        <v>33</v>
      </c>
      <c r="C165" s="27" t="s">
        <v>1066</v>
      </c>
      <c r="D165" s="27" t="s">
        <v>192</v>
      </c>
      <c r="E165" s="28" t="s">
        <v>1260</v>
      </c>
      <c r="F165" s="28" t="n">
        <v>110</v>
      </c>
      <c r="G165" s="27" t="s">
        <v>373</v>
      </c>
    </row>
    <row r="166" customFormat="false" ht="15" hidden="false" customHeight="false" outlineLevel="0" collapsed="false">
      <c r="A166" s="29" t="n">
        <v>46255</v>
      </c>
      <c r="B166" s="40" t="n">
        <f aca="false">IF($A166="",0,INT(($A166-Macrociclo!$C$11)/7)+1)</f>
        <v>33</v>
      </c>
      <c r="C166" s="27" t="s">
        <v>1066</v>
      </c>
      <c r="D166" s="27" t="s">
        <v>206</v>
      </c>
      <c r="E166" s="28" t="s">
        <v>1260</v>
      </c>
      <c r="F166" s="28" t="n">
        <v>110</v>
      </c>
      <c r="G166" s="27" t="s">
        <v>373</v>
      </c>
    </row>
    <row r="167" customFormat="false" ht="15" hidden="false" customHeight="false" outlineLevel="0" collapsed="false">
      <c r="A167" s="29" t="n">
        <v>46255</v>
      </c>
      <c r="B167" s="40" t="n">
        <f aca="false">IF($A167="",0,INT(($A167-Macrociclo!$C$11)/7)+1)</f>
        <v>33</v>
      </c>
      <c r="C167" s="27" t="s">
        <v>1066</v>
      </c>
      <c r="D167" s="27" t="s">
        <v>215</v>
      </c>
      <c r="E167" s="28" t="s">
        <v>1260</v>
      </c>
      <c r="F167" s="28" t="n">
        <v>110</v>
      </c>
      <c r="G167" s="27" t="s">
        <v>373</v>
      </c>
    </row>
    <row r="168" customFormat="false" ht="15" hidden="false" customHeight="false" outlineLevel="0" collapsed="false">
      <c r="A168" s="29" t="n">
        <v>46255</v>
      </c>
      <c r="B168" s="40" t="n">
        <f aca="false">IF($A168="",0,INT(($A168-Macrociclo!$C$11)/7)+1)</f>
        <v>33</v>
      </c>
      <c r="C168" s="27" t="s">
        <v>1066</v>
      </c>
      <c r="D168" s="27" t="s">
        <v>226</v>
      </c>
      <c r="E168" s="28" t="s">
        <v>1260</v>
      </c>
      <c r="F168" s="28" t="n">
        <v>110</v>
      </c>
      <c r="G168" s="27" t="s">
        <v>373</v>
      </c>
    </row>
    <row r="169" customFormat="false" ht="15" hidden="false" customHeight="false" outlineLevel="0" collapsed="false">
      <c r="A169" s="29" t="n">
        <v>46255</v>
      </c>
      <c r="B169" s="40" t="n">
        <f aca="false">IF($A169="",0,INT(($A169-Macrociclo!$C$11)/7)+1)</f>
        <v>33</v>
      </c>
      <c r="C169" s="27" t="s">
        <v>1066</v>
      </c>
      <c r="D169" s="27" t="s">
        <v>236</v>
      </c>
      <c r="E169" s="28" t="s">
        <v>1260</v>
      </c>
      <c r="F169" s="28" t="n">
        <v>110</v>
      </c>
      <c r="G169" s="27" t="s">
        <v>373</v>
      </c>
    </row>
    <row r="170" customFormat="false" ht="15" hidden="false" customHeight="false" outlineLevel="0" collapsed="false">
      <c r="A170" s="29" t="n">
        <v>46255</v>
      </c>
      <c r="B170" s="40" t="n">
        <f aca="false">IF($A170="",0,INT(($A170-Macrociclo!$C$11)/7)+1)</f>
        <v>33</v>
      </c>
      <c r="C170" s="27" t="s">
        <v>1066</v>
      </c>
      <c r="D170" s="27" t="s">
        <v>244</v>
      </c>
      <c r="E170" s="28" t="s">
        <v>1260</v>
      </c>
      <c r="F170" s="28" t="n">
        <v>110</v>
      </c>
      <c r="G170" s="27" t="s">
        <v>373</v>
      </c>
    </row>
    <row r="171" customFormat="false" ht="15" hidden="false" customHeight="false" outlineLevel="0" collapsed="false">
      <c r="A171" s="29" t="n">
        <v>46255</v>
      </c>
      <c r="B171" s="40" t="n">
        <f aca="false">IF($A171="",0,INT(($A171-Macrociclo!$C$11)/7)+1)</f>
        <v>33</v>
      </c>
      <c r="C171" s="27" t="s">
        <v>1066</v>
      </c>
      <c r="D171" s="27" t="s">
        <v>253</v>
      </c>
      <c r="E171" s="28" t="s">
        <v>1260</v>
      </c>
      <c r="F171" s="28" t="n">
        <v>110</v>
      </c>
      <c r="G171" s="27" t="s">
        <v>373</v>
      </c>
    </row>
    <row r="172" customFormat="false" ht="15" hidden="false" customHeight="false" outlineLevel="0" collapsed="false">
      <c r="A172" s="29" t="n">
        <v>46255</v>
      </c>
      <c r="B172" s="40" t="n">
        <f aca="false">IF($A172="",0,INT(($A172-Macrociclo!$C$11)/7)+1)</f>
        <v>33</v>
      </c>
      <c r="C172" s="27" t="s">
        <v>1066</v>
      </c>
      <c r="D172" s="27" t="s">
        <v>259</v>
      </c>
      <c r="E172" s="28" t="s">
        <v>1260</v>
      </c>
      <c r="F172" s="28" t="n">
        <v>110</v>
      </c>
      <c r="G172" s="27" t="s">
        <v>373</v>
      </c>
    </row>
    <row r="173" customFormat="false" ht="15" hidden="false" customHeight="false" outlineLevel="0" collapsed="false">
      <c r="A173" s="29" t="n">
        <v>46255</v>
      </c>
      <c r="B173" s="40" t="n">
        <f aca="false">IF($A173="",0,INT(($A173-Macrociclo!$C$11)/7)+1)</f>
        <v>33</v>
      </c>
      <c r="C173" s="27" t="s">
        <v>1066</v>
      </c>
      <c r="D173" s="27" t="s">
        <v>264</v>
      </c>
      <c r="E173" s="28" t="s">
        <v>1260</v>
      </c>
      <c r="F173" s="28" t="n">
        <v>110</v>
      </c>
      <c r="G173" s="27" t="s">
        <v>373</v>
      </c>
    </row>
    <row r="174" customFormat="false" ht="15" hidden="false" customHeight="false" outlineLevel="0" collapsed="false">
      <c r="A174" s="29" t="n">
        <v>46255</v>
      </c>
      <c r="B174" s="40" t="n">
        <f aca="false">IF($A174="",0,INT(($A174-Macrociclo!$C$11)/7)+1)</f>
        <v>33</v>
      </c>
      <c r="C174" s="27" t="s">
        <v>1066</v>
      </c>
      <c r="D174" s="27" t="s">
        <v>270</v>
      </c>
      <c r="E174" s="28" t="s">
        <v>1261</v>
      </c>
      <c r="F174" s="28" t="n">
        <v>0</v>
      </c>
      <c r="G174" s="27" t="s">
        <v>1262</v>
      </c>
    </row>
    <row r="175" customFormat="false" ht="15" hidden="false" customHeight="false" outlineLevel="0" collapsed="false">
      <c r="A175" s="29" t="n">
        <v>46255</v>
      </c>
      <c r="B175" s="40" t="n">
        <f aca="false">IF($A175="",0,INT(($A175-Macrociclo!$C$11)/7)+1)</f>
        <v>33</v>
      </c>
      <c r="C175" s="27" t="s">
        <v>1066</v>
      </c>
      <c r="D175" s="27" t="s">
        <v>279</v>
      </c>
      <c r="E175" s="28" t="s">
        <v>1260</v>
      </c>
      <c r="F175" s="28" t="n">
        <v>110</v>
      </c>
      <c r="G175" s="27" t="s">
        <v>373</v>
      </c>
    </row>
    <row r="176" customFormat="false" ht="15" hidden="false" customHeight="false" outlineLevel="0" collapsed="false">
      <c r="A176" s="29" t="n">
        <v>46258</v>
      </c>
      <c r="B176" s="40" t="n">
        <f aca="false">IF($A176="",0,INT(($A176-Macrociclo!$C$11)/7)+1)</f>
        <v>34</v>
      </c>
      <c r="C176" s="27" t="s">
        <v>1052</v>
      </c>
      <c r="D176" s="27" t="s">
        <v>164</v>
      </c>
      <c r="E176" s="28" t="s">
        <v>1260</v>
      </c>
      <c r="F176" s="28" t="n">
        <v>75</v>
      </c>
      <c r="G176" s="27" t="s">
        <v>373</v>
      </c>
    </row>
    <row r="177" customFormat="false" ht="15" hidden="false" customHeight="false" outlineLevel="0" collapsed="false">
      <c r="A177" s="29" t="n">
        <v>46258</v>
      </c>
      <c r="B177" s="40" t="n">
        <f aca="false">IF($A177="",0,INT(($A177-Macrociclo!$C$11)/7)+1)</f>
        <v>34</v>
      </c>
      <c r="C177" s="27" t="s">
        <v>1052</v>
      </c>
      <c r="D177" s="27" t="s">
        <v>192</v>
      </c>
      <c r="E177" s="28" t="s">
        <v>1260</v>
      </c>
      <c r="F177" s="28" t="n">
        <v>75</v>
      </c>
      <c r="G177" s="27" t="s">
        <v>373</v>
      </c>
    </row>
    <row r="178" customFormat="false" ht="15" hidden="false" customHeight="false" outlineLevel="0" collapsed="false">
      <c r="A178" s="29" t="n">
        <v>46258</v>
      </c>
      <c r="B178" s="40" t="n">
        <f aca="false">IF($A178="",0,INT(($A178-Macrociclo!$C$11)/7)+1)</f>
        <v>34</v>
      </c>
      <c r="C178" s="27" t="s">
        <v>1052</v>
      </c>
      <c r="D178" s="27" t="s">
        <v>206</v>
      </c>
      <c r="E178" s="28" t="s">
        <v>1260</v>
      </c>
      <c r="F178" s="28" t="n">
        <v>75</v>
      </c>
      <c r="G178" s="27" t="s">
        <v>373</v>
      </c>
    </row>
    <row r="179" customFormat="false" ht="15" hidden="false" customHeight="false" outlineLevel="0" collapsed="false">
      <c r="A179" s="29" t="n">
        <v>46258</v>
      </c>
      <c r="B179" s="40" t="n">
        <f aca="false">IF($A179="",0,INT(($A179-Macrociclo!$C$11)/7)+1)</f>
        <v>34</v>
      </c>
      <c r="C179" s="27" t="s">
        <v>1052</v>
      </c>
      <c r="D179" s="27" t="s">
        <v>215</v>
      </c>
      <c r="E179" s="28" t="s">
        <v>225</v>
      </c>
      <c r="F179" s="28" t="n">
        <v>0</v>
      </c>
      <c r="G179" s="27" t="s">
        <v>1263</v>
      </c>
    </row>
    <row r="180" customFormat="false" ht="15" hidden="false" customHeight="false" outlineLevel="0" collapsed="false">
      <c r="A180" s="29" t="n">
        <v>46258</v>
      </c>
      <c r="B180" s="40" t="n">
        <f aca="false">IF($A180="",0,INT(($A180-Macrociclo!$C$11)/7)+1)</f>
        <v>34</v>
      </c>
      <c r="C180" s="27" t="s">
        <v>1052</v>
      </c>
      <c r="D180" s="27" t="s">
        <v>226</v>
      </c>
      <c r="E180" s="28" t="s">
        <v>1260</v>
      </c>
      <c r="F180" s="28" t="n">
        <v>75</v>
      </c>
      <c r="G180" s="27" t="s">
        <v>373</v>
      </c>
    </row>
    <row r="181" customFormat="false" ht="15" hidden="false" customHeight="false" outlineLevel="0" collapsed="false">
      <c r="A181" s="29" t="n">
        <v>46258</v>
      </c>
      <c r="B181" s="40" t="n">
        <f aca="false">IF($A181="",0,INT(($A181-Macrociclo!$C$11)/7)+1)</f>
        <v>34</v>
      </c>
      <c r="C181" s="27" t="s">
        <v>1052</v>
      </c>
      <c r="D181" s="27" t="s">
        <v>236</v>
      </c>
      <c r="E181" s="28" t="s">
        <v>1260</v>
      </c>
      <c r="F181" s="28" t="n">
        <v>75</v>
      </c>
      <c r="G181" s="27" t="s">
        <v>373</v>
      </c>
    </row>
    <row r="182" customFormat="false" ht="15" hidden="false" customHeight="false" outlineLevel="0" collapsed="false">
      <c r="A182" s="29" t="n">
        <v>46258</v>
      </c>
      <c r="B182" s="40" t="n">
        <f aca="false">IF($A182="",0,INT(($A182-Macrociclo!$C$11)/7)+1)</f>
        <v>34</v>
      </c>
      <c r="C182" s="27" t="s">
        <v>1052</v>
      </c>
      <c r="D182" s="27" t="s">
        <v>244</v>
      </c>
      <c r="E182" s="28" t="s">
        <v>1260</v>
      </c>
      <c r="F182" s="28" t="n">
        <v>75</v>
      </c>
      <c r="G182" s="27" t="s">
        <v>373</v>
      </c>
    </row>
    <row r="183" customFormat="false" ht="15" hidden="false" customHeight="false" outlineLevel="0" collapsed="false">
      <c r="A183" s="29" t="n">
        <v>46258</v>
      </c>
      <c r="B183" s="40" t="n">
        <f aca="false">IF($A183="",0,INT(($A183-Macrociclo!$C$11)/7)+1)</f>
        <v>34</v>
      </c>
      <c r="C183" s="27" t="s">
        <v>1052</v>
      </c>
      <c r="D183" s="27" t="s">
        <v>253</v>
      </c>
      <c r="E183" s="28" t="s">
        <v>1260</v>
      </c>
      <c r="F183" s="28" t="n">
        <v>75</v>
      </c>
      <c r="G183" s="27" t="s">
        <v>373</v>
      </c>
    </row>
    <row r="184" customFormat="false" ht="15" hidden="false" customHeight="false" outlineLevel="0" collapsed="false">
      <c r="A184" s="29" t="n">
        <v>46258</v>
      </c>
      <c r="B184" s="40" t="n">
        <f aca="false">IF($A184="",0,INT(($A184-Macrociclo!$C$11)/7)+1)</f>
        <v>34</v>
      </c>
      <c r="C184" s="27" t="s">
        <v>1052</v>
      </c>
      <c r="D184" s="27" t="s">
        <v>259</v>
      </c>
      <c r="E184" s="28" t="s">
        <v>1260</v>
      </c>
      <c r="F184" s="28" t="n">
        <v>75</v>
      </c>
      <c r="G184" s="27" t="s">
        <v>373</v>
      </c>
    </row>
    <row r="185" customFormat="false" ht="15" hidden="false" customHeight="false" outlineLevel="0" collapsed="false">
      <c r="A185" s="29" t="n">
        <v>46258</v>
      </c>
      <c r="B185" s="40" t="n">
        <f aca="false">IF($A185="",0,INT(($A185-Macrociclo!$C$11)/7)+1)</f>
        <v>34</v>
      </c>
      <c r="C185" s="27" t="s">
        <v>1052</v>
      </c>
      <c r="D185" s="27" t="s">
        <v>264</v>
      </c>
      <c r="E185" s="28" t="s">
        <v>1260</v>
      </c>
      <c r="F185" s="28" t="n">
        <v>75</v>
      </c>
      <c r="G185" s="27" t="s">
        <v>373</v>
      </c>
    </row>
    <row r="186" customFormat="false" ht="15" hidden="false" customHeight="false" outlineLevel="0" collapsed="false">
      <c r="A186" s="29" t="n">
        <v>46258</v>
      </c>
      <c r="B186" s="40" t="n">
        <f aca="false">IF($A186="",0,INT(($A186-Macrociclo!$C$11)/7)+1)</f>
        <v>34</v>
      </c>
      <c r="C186" s="27" t="s">
        <v>1052</v>
      </c>
      <c r="D186" s="27" t="s">
        <v>270</v>
      </c>
      <c r="E186" s="28" t="s">
        <v>1260</v>
      </c>
      <c r="F186" s="28" t="n">
        <v>75</v>
      </c>
      <c r="G186" s="27" t="s">
        <v>373</v>
      </c>
    </row>
    <row r="187" customFormat="false" ht="15" hidden="false" customHeight="false" outlineLevel="0" collapsed="false">
      <c r="A187" s="29" t="n">
        <v>46258</v>
      </c>
      <c r="B187" s="40" t="n">
        <f aca="false">IF($A187="",0,INT(($A187-Macrociclo!$C$11)/7)+1)</f>
        <v>34</v>
      </c>
      <c r="C187" s="27" t="s">
        <v>1052</v>
      </c>
      <c r="D187" s="27" t="s">
        <v>279</v>
      </c>
      <c r="E187" s="28" t="s">
        <v>1261</v>
      </c>
      <c r="F187" s="28" t="n">
        <v>0</v>
      </c>
      <c r="G187" s="27" t="s">
        <v>1262</v>
      </c>
    </row>
    <row r="188" customFormat="false" ht="15" hidden="false" customHeight="false" outlineLevel="0" collapsed="false">
      <c r="A188" s="29" t="n">
        <v>46258</v>
      </c>
      <c r="B188" s="40" t="n">
        <f aca="false">IF($A188="",0,INT(($A188-Macrociclo!$C$11)/7)+1)</f>
        <v>34</v>
      </c>
      <c r="C188" s="27" t="s">
        <v>1056</v>
      </c>
      <c r="D188" s="27" t="s">
        <v>164</v>
      </c>
      <c r="E188" s="28" t="s">
        <v>1260</v>
      </c>
      <c r="F188" s="28" t="n">
        <v>90</v>
      </c>
      <c r="G188" s="27" t="s">
        <v>373</v>
      </c>
    </row>
    <row r="189" customFormat="false" ht="15" hidden="false" customHeight="false" outlineLevel="0" collapsed="false">
      <c r="A189" s="29" t="n">
        <v>46258</v>
      </c>
      <c r="B189" s="40" t="n">
        <f aca="false">IF($A189="",0,INT(($A189-Macrociclo!$C$11)/7)+1)</f>
        <v>34</v>
      </c>
      <c r="C189" s="27" t="s">
        <v>1056</v>
      </c>
      <c r="D189" s="27" t="s">
        <v>192</v>
      </c>
      <c r="E189" s="28" t="s">
        <v>1260</v>
      </c>
      <c r="F189" s="28" t="n">
        <v>90</v>
      </c>
      <c r="G189" s="27" t="s">
        <v>373</v>
      </c>
    </row>
    <row r="190" customFormat="false" ht="15" hidden="false" customHeight="false" outlineLevel="0" collapsed="false">
      <c r="A190" s="29" t="n">
        <v>46258</v>
      </c>
      <c r="B190" s="40" t="n">
        <f aca="false">IF($A190="",0,INT(($A190-Macrociclo!$C$11)/7)+1)</f>
        <v>34</v>
      </c>
      <c r="C190" s="27" t="s">
        <v>1056</v>
      </c>
      <c r="D190" s="27" t="s">
        <v>206</v>
      </c>
      <c r="E190" s="28" t="s">
        <v>1260</v>
      </c>
      <c r="F190" s="28" t="n">
        <v>90</v>
      </c>
      <c r="G190" s="27" t="s">
        <v>373</v>
      </c>
    </row>
    <row r="191" customFormat="false" ht="15" hidden="false" customHeight="false" outlineLevel="0" collapsed="false">
      <c r="A191" s="29" t="n">
        <v>46258</v>
      </c>
      <c r="B191" s="40" t="n">
        <f aca="false">IF($A191="",0,INT(($A191-Macrociclo!$C$11)/7)+1)</f>
        <v>34</v>
      </c>
      <c r="C191" s="27" t="s">
        <v>1056</v>
      </c>
      <c r="D191" s="27" t="s">
        <v>215</v>
      </c>
      <c r="E191" s="28" t="s">
        <v>225</v>
      </c>
      <c r="F191" s="28" t="n">
        <v>0</v>
      </c>
      <c r="G191" s="27" t="s">
        <v>1263</v>
      </c>
    </row>
    <row r="192" customFormat="false" ht="15" hidden="false" customHeight="false" outlineLevel="0" collapsed="false">
      <c r="A192" s="29" t="n">
        <v>46258</v>
      </c>
      <c r="B192" s="40" t="n">
        <f aca="false">IF($A192="",0,INT(($A192-Macrociclo!$C$11)/7)+1)</f>
        <v>34</v>
      </c>
      <c r="C192" s="27" t="s">
        <v>1056</v>
      </c>
      <c r="D192" s="27" t="s">
        <v>226</v>
      </c>
      <c r="E192" s="28" t="s">
        <v>1260</v>
      </c>
      <c r="F192" s="28" t="n">
        <v>90</v>
      </c>
      <c r="G192" s="27" t="s">
        <v>373</v>
      </c>
    </row>
    <row r="193" customFormat="false" ht="15" hidden="false" customHeight="false" outlineLevel="0" collapsed="false">
      <c r="A193" s="29" t="n">
        <v>46258</v>
      </c>
      <c r="B193" s="40" t="n">
        <f aca="false">IF($A193="",0,INT(($A193-Macrociclo!$C$11)/7)+1)</f>
        <v>34</v>
      </c>
      <c r="C193" s="27" t="s">
        <v>1056</v>
      </c>
      <c r="D193" s="27" t="s">
        <v>236</v>
      </c>
      <c r="E193" s="28" t="s">
        <v>1260</v>
      </c>
      <c r="F193" s="28" t="n">
        <v>90</v>
      </c>
      <c r="G193" s="27" t="s">
        <v>373</v>
      </c>
    </row>
    <row r="194" customFormat="false" ht="15" hidden="false" customHeight="false" outlineLevel="0" collapsed="false">
      <c r="A194" s="29" t="n">
        <v>46258</v>
      </c>
      <c r="B194" s="40" t="n">
        <f aca="false">IF($A194="",0,INT(($A194-Macrociclo!$C$11)/7)+1)</f>
        <v>34</v>
      </c>
      <c r="C194" s="27" t="s">
        <v>1056</v>
      </c>
      <c r="D194" s="27" t="s">
        <v>244</v>
      </c>
      <c r="E194" s="28" t="s">
        <v>1260</v>
      </c>
      <c r="F194" s="28" t="n">
        <v>90</v>
      </c>
      <c r="G194" s="27" t="s">
        <v>373</v>
      </c>
    </row>
    <row r="195" customFormat="false" ht="15" hidden="false" customHeight="false" outlineLevel="0" collapsed="false">
      <c r="A195" s="29" t="n">
        <v>46258</v>
      </c>
      <c r="B195" s="40" t="n">
        <f aca="false">IF($A195="",0,INT(($A195-Macrociclo!$C$11)/7)+1)</f>
        <v>34</v>
      </c>
      <c r="C195" s="27" t="s">
        <v>1056</v>
      </c>
      <c r="D195" s="27" t="s">
        <v>253</v>
      </c>
      <c r="E195" s="28" t="s">
        <v>1260</v>
      </c>
      <c r="F195" s="28" t="n">
        <v>90</v>
      </c>
      <c r="G195" s="27" t="s">
        <v>373</v>
      </c>
    </row>
    <row r="196" customFormat="false" ht="15" hidden="false" customHeight="false" outlineLevel="0" collapsed="false">
      <c r="A196" s="29" t="n">
        <v>46258</v>
      </c>
      <c r="B196" s="40" t="n">
        <f aca="false">IF($A196="",0,INT(($A196-Macrociclo!$C$11)/7)+1)</f>
        <v>34</v>
      </c>
      <c r="C196" s="27" t="s">
        <v>1056</v>
      </c>
      <c r="D196" s="27" t="s">
        <v>259</v>
      </c>
      <c r="E196" s="28" t="s">
        <v>1260</v>
      </c>
      <c r="F196" s="28" t="n">
        <v>90</v>
      </c>
      <c r="G196" s="27" t="s">
        <v>373</v>
      </c>
    </row>
    <row r="197" customFormat="false" ht="15" hidden="false" customHeight="false" outlineLevel="0" collapsed="false">
      <c r="A197" s="29" t="n">
        <v>46258</v>
      </c>
      <c r="B197" s="40" t="n">
        <f aca="false">IF($A197="",0,INT(($A197-Macrociclo!$C$11)/7)+1)</f>
        <v>34</v>
      </c>
      <c r="C197" s="27" t="s">
        <v>1056</v>
      </c>
      <c r="D197" s="27" t="s">
        <v>264</v>
      </c>
      <c r="E197" s="28" t="s">
        <v>1260</v>
      </c>
      <c r="F197" s="28" t="n">
        <v>90</v>
      </c>
      <c r="G197" s="27" t="s">
        <v>373</v>
      </c>
    </row>
    <row r="198" customFormat="false" ht="15" hidden="false" customHeight="false" outlineLevel="0" collapsed="false">
      <c r="A198" s="29" t="n">
        <v>46258</v>
      </c>
      <c r="B198" s="40" t="n">
        <f aca="false">IF($A198="",0,INT(($A198-Macrociclo!$C$11)/7)+1)</f>
        <v>34</v>
      </c>
      <c r="C198" s="27" t="s">
        <v>1056</v>
      </c>
      <c r="D198" s="27" t="s">
        <v>270</v>
      </c>
      <c r="E198" s="28" t="s">
        <v>1260</v>
      </c>
      <c r="F198" s="28" t="n">
        <v>90</v>
      </c>
      <c r="G198" s="27" t="s">
        <v>373</v>
      </c>
    </row>
    <row r="199" customFormat="false" ht="15" hidden="false" customHeight="false" outlineLevel="0" collapsed="false">
      <c r="A199" s="29" t="n">
        <v>46258</v>
      </c>
      <c r="B199" s="40" t="n">
        <f aca="false">IF($A199="",0,INT(($A199-Macrociclo!$C$11)/7)+1)</f>
        <v>34</v>
      </c>
      <c r="C199" s="27" t="s">
        <v>1056</v>
      </c>
      <c r="D199" s="27" t="s">
        <v>279</v>
      </c>
      <c r="E199" s="28" t="s">
        <v>1260</v>
      </c>
      <c r="F199" s="28" t="n">
        <v>90</v>
      </c>
      <c r="G199" s="27" t="s">
        <v>373</v>
      </c>
    </row>
    <row r="200" customFormat="false" ht="15" hidden="false" customHeight="false" outlineLevel="0" collapsed="false">
      <c r="A200" s="29" t="n">
        <v>46259</v>
      </c>
      <c r="B200" s="40" t="n">
        <f aca="false">IF($A200="",0,INT(($A200-Macrociclo!$C$11)/7)+1)</f>
        <v>34</v>
      </c>
      <c r="C200" s="27" t="s">
        <v>1061</v>
      </c>
      <c r="D200" s="27" t="s">
        <v>164</v>
      </c>
      <c r="E200" s="28" t="s">
        <v>1260</v>
      </c>
      <c r="F200" s="28" t="n">
        <v>60</v>
      </c>
      <c r="G200" s="27" t="s">
        <v>373</v>
      </c>
    </row>
    <row r="201" customFormat="false" ht="15" hidden="false" customHeight="false" outlineLevel="0" collapsed="false">
      <c r="A201" s="29" t="n">
        <v>46259</v>
      </c>
      <c r="B201" s="40" t="n">
        <f aca="false">IF($A201="",0,INT(($A201-Macrociclo!$C$11)/7)+1)</f>
        <v>34</v>
      </c>
      <c r="C201" s="27" t="s">
        <v>1061</v>
      </c>
      <c r="D201" s="27" t="s">
        <v>192</v>
      </c>
      <c r="E201" s="28" t="s">
        <v>1260</v>
      </c>
      <c r="F201" s="28" t="n">
        <v>60</v>
      </c>
      <c r="G201" s="27" t="s">
        <v>373</v>
      </c>
    </row>
    <row r="202" customFormat="false" ht="15" hidden="false" customHeight="false" outlineLevel="0" collapsed="false">
      <c r="A202" s="29" t="n">
        <v>46259</v>
      </c>
      <c r="B202" s="40" t="n">
        <f aca="false">IF($A202="",0,INT(($A202-Macrociclo!$C$11)/7)+1)</f>
        <v>34</v>
      </c>
      <c r="C202" s="27" t="s">
        <v>1061</v>
      </c>
      <c r="D202" s="27" t="s">
        <v>206</v>
      </c>
      <c r="E202" s="28" t="s">
        <v>1260</v>
      </c>
      <c r="F202" s="28" t="n">
        <v>60</v>
      </c>
      <c r="G202" s="27" t="s">
        <v>373</v>
      </c>
    </row>
    <row r="203" customFormat="false" ht="15" hidden="false" customHeight="false" outlineLevel="0" collapsed="false">
      <c r="A203" s="29" t="n">
        <v>46259</v>
      </c>
      <c r="B203" s="40" t="n">
        <f aca="false">IF($A203="",0,INT(($A203-Macrociclo!$C$11)/7)+1)</f>
        <v>34</v>
      </c>
      <c r="C203" s="27" t="s">
        <v>1061</v>
      </c>
      <c r="D203" s="27" t="s">
        <v>215</v>
      </c>
      <c r="E203" s="28" t="s">
        <v>225</v>
      </c>
      <c r="F203" s="28" t="n">
        <v>0</v>
      </c>
      <c r="G203" s="27" t="s">
        <v>1263</v>
      </c>
    </row>
    <row r="204" customFormat="false" ht="15" hidden="false" customHeight="false" outlineLevel="0" collapsed="false">
      <c r="A204" s="29" t="n">
        <v>46259</v>
      </c>
      <c r="B204" s="40" t="n">
        <f aca="false">IF($A204="",0,INT(($A204-Macrociclo!$C$11)/7)+1)</f>
        <v>34</v>
      </c>
      <c r="C204" s="27" t="s">
        <v>1061</v>
      </c>
      <c r="D204" s="27" t="s">
        <v>226</v>
      </c>
      <c r="E204" s="28" t="s">
        <v>1261</v>
      </c>
      <c r="F204" s="28" t="n">
        <v>0</v>
      </c>
      <c r="G204" s="27" t="s">
        <v>1262</v>
      </c>
    </row>
    <row r="205" customFormat="false" ht="15" hidden="false" customHeight="false" outlineLevel="0" collapsed="false">
      <c r="A205" s="29" t="n">
        <v>46259</v>
      </c>
      <c r="B205" s="40" t="n">
        <f aca="false">IF($A205="",0,INT(($A205-Macrociclo!$C$11)/7)+1)</f>
        <v>34</v>
      </c>
      <c r="C205" s="27" t="s">
        <v>1061</v>
      </c>
      <c r="D205" s="27" t="s">
        <v>236</v>
      </c>
      <c r="E205" s="28" t="s">
        <v>1260</v>
      </c>
      <c r="F205" s="28" t="n">
        <v>60</v>
      </c>
      <c r="G205" s="27" t="s">
        <v>373</v>
      </c>
    </row>
    <row r="206" customFormat="false" ht="15" hidden="false" customHeight="false" outlineLevel="0" collapsed="false">
      <c r="A206" s="29" t="n">
        <v>46259</v>
      </c>
      <c r="B206" s="40" t="n">
        <f aca="false">IF($A206="",0,INT(($A206-Macrociclo!$C$11)/7)+1)</f>
        <v>34</v>
      </c>
      <c r="C206" s="27" t="s">
        <v>1061</v>
      </c>
      <c r="D206" s="27" t="s">
        <v>244</v>
      </c>
      <c r="E206" s="28" t="s">
        <v>1260</v>
      </c>
      <c r="F206" s="28" t="n">
        <v>60</v>
      </c>
      <c r="G206" s="27" t="s">
        <v>373</v>
      </c>
    </row>
    <row r="207" customFormat="false" ht="15" hidden="false" customHeight="false" outlineLevel="0" collapsed="false">
      <c r="A207" s="29" t="n">
        <v>46259</v>
      </c>
      <c r="B207" s="40" t="n">
        <f aca="false">IF($A207="",0,INT(($A207-Macrociclo!$C$11)/7)+1)</f>
        <v>34</v>
      </c>
      <c r="C207" s="27" t="s">
        <v>1061</v>
      </c>
      <c r="D207" s="27" t="s">
        <v>253</v>
      </c>
      <c r="E207" s="28" t="s">
        <v>1260</v>
      </c>
      <c r="F207" s="28" t="n">
        <v>60</v>
      </c>
      <c r="G207" s="27" t="s">
        <v>373</v>
      </c>
    </row>
    <row r="208" customFormat="false" ht="15" hidden="false" customHeight="false" outlineLevel="0" collapsed="false">
      <c r="A208" s="29" t="n">
        <v>46259</v>
      </c>
      <c r="B208" s="40" t="n">
        <f aca="false">IF($A208="",0,INT(($A208-Macrociclo!$C$11)/7)+1)</f>
        <v>34</v>
      </c>
      <c r="C208" s="27" t="s">
        <v>1061</v>
      </c>
      <c r="D208" s="27" t="s">
        <v>259</v>
      </c>
      <c r="E208" s="28" t="s">
        <v>1260</v>
      </c>
      <c r="F208" s="28" t="n">
        <v>60</v>
      </c>
      <c r="G208" s="27" t="s">
        <v>373</v>
      </c>
    </row>
    <row r="209" customFormat="false" ht="15" hidden="false" customHeight="false" outlineLevel="0" collapsed="false">
      <c r="A209" s="29" t="n">
        <v>46259</v>
      </c>
      <c r="B209" s="40" t="n">
        <f aca="false">IF($A209="",0,INT(($A209-Macrociclo!$C$11)/7)+1)</f>
        <v>34</v>
      </c>
      <c r="C209" s="27" t="s">
        <v>1061</v>
      </c>
      <c r="D209" s="27" t="s">
        <v>264</v>
      </c>
      <c r="E209" s="28" t="s">
        <v>1260</v>
      </c>
      <c r="F209" s="28" t="n">
        <v>60</v>
      </c>
      <c r="G209" s="27" t="s">
        <v>373</v>
      </c>
    </row>
    <row r="210" customFormat="false" ht="15" hidden="false" customHeight="false" outlineLevel="0" collapsed="false">
      <c r="A210" s="29" t="n">
        <v>46259</v>
      </c>
      <c r="B210" s="40" t="n">
        <f aca="false">IF($A210="",0,INT(($A210-Macrociclo!$C$11)/7)+1)</f>
        <v>34</v>
      </c>
      <c r="C210" s="27" t="s">
        <v>1061</v>
      </c>
      <c r="D210" s="27" t="s">
        <v>270</v>
      </c>
      <c r="E210" s="28" t="s">
        <v>1260</v>
      </c>
      <c r="F210" s="28" t="n">
        <v>60</v>
      </c>
      <c r="G210" s="27" t="s">
        <v>373</v>
      </c>
    </row>
    <row r="211" customFormat="false" ht="15" hidden="false" customHeight="false" outlineLevel="0" collapsed="false">
      <c r="A211" s="29" t="n">
        <v>46259</v>
      </c>
      <c r="B211" s="40" t="n">
        <f aca="false">IF($A211="",0,INT(($A211-Macrociclo!$C$11)/7)+1)</f>
        <v>34</v>
      </c>
      <c r="C211" s="27" t="s">
        <v>1061</v>
      </c>
      <c r="D211" s="27" t="s">
        <v>279</v>
      </c>
      <c r="E211" s="28" t="s">
        <v>1260</v>
      </c>
      <c r="F211" s="28" t="n">
        <v>60</v>
      </c>
      <c r="G211" s="27" t="s">
        <v>373</v>
      </c>
    </row>
    <row r="212" customFormat="false" ht="15" hidden="false" customHeight="false" outlineLevel="0" collapsed="false">
      <c r="A212" s="29" t="n">
        <v>46260</v>
      </c>
      <c r="B212" s="40" t="n">
        <f aca="false">IF($A212="",0,INT(($A212-Macrociclo!$C$11)/7)+1)</f>
        <v>34</v>
      </c>
      <c r="C212" s="27" t="s">
        <v>1066</v>
      </c>
      <c r="D212" s="27" t="s">
        <v>164</v>
      </c>
      <c r="E212" s="28" t="s">
        <v>1260</v>
      </c>
      <c r="F212" s="28" t="n">
        <v>100</v>
      </c>
      <c r="G212" s="27" t="s">
        <v>373</v>
      </c>
    </row>
    <row r="213" customFormat="false" ht="15" hidden="false" customHeight="false" outlineLevel="0" collapsed="false">
      <c r="A213" s="29" t="n">
        <v>46260</v>
      </c>
      <c r="B213" s="40" t="n">
        <f aca="false">IF($A213="",0,INT(($A213-Macrociclo!$C$11)/7)+1)</f>
        <v>34</v>
      </c>
      <c r="C213" s="27" t="s">
        <v>1066</v>
      </c>
      <c r="D213" s="27" t="s">
        <v>192</v>
      </c>
      <c r="E213" s="28" t="s">
        <v>1260</v>
      </c>
      <c r="F213" s="28" t="n">
        <v>100</v>
      </c>
      <c r="G213" s="27" t="s">
        <v>373</v>
      </c>
    </row>
    <row r="214" customFormat="false" ht="15" hidden="false" customHeight="false" outlineLevel="0" collapsed="false">
      <c r="A214" s="29" t="n">
        <v>46260</v>
      </c>
      <c r="B214" s="40" t="n">
        <f aca="false">IF($A214="",0,INT(($A214-Macrociclo!$C$11)/7)+1)</f>
        <v>34</v>
      </c>
      <c r="C214" s="27" t="s">
        <v>1066</v>
      </c>
      <c r="D214" s="27" t="s">
        <v>206</v>
      </c>
      <c r="E214" s="28" t="s">
        <v>1260</v>
      </c>
      <c r="F214" s="28" t="n">
        <v>100</v>
      </c>
      <c r="G214" s="27" t="s">
        <v>373</v>
      </c>
    </row>
    <row r="215" customFormat="false" ht="15" hidden="false" customHeight="false" outlineLevel="0" collapsed="false">
      <c r="A215" s="29" t="n">
        <v>46260</v>
      </c>
      <c r="B215" s="40" t="n">
        <f aca="false">IF($A215="",0,INT(($A215-Macrociclo!$C$11)/7)+1)</f>
        <v>34</v>
      </c>
      <c r="C215" s="27" t="s">
        <v>1066</v>
      </c>
      <c r="D215" s="27" t="s">
        <v>215</v>
      </c>
      <c r="E215" s="28" t="s">
        <v>225</v>
      </c>
      <c r="F215" s="28" t="n">
        <v>0</v>
      </c>
      <c r="G215" s="27" t="s">
        <v>1263</v>
      </c>
    </row>
    <row r="216" customFormat="false" ht="15" hidden="false" customHeight="false" outlineLevel="0" collapsed="false">
      <c r="A216" s="29" t="n">
        <v>46260</v>
      </c>
      <c r="B216" s="40" t="n">
        <f aca="false">IF($A216="",0,INT(($A216-Macrociclo!$C$11)/7)+1)</f>
        <v>34</v>
      </c>
      <c r="C216" s="27" t="s">
        <v>1066</v>
      </c>
      <c r="D216" s="27" t="s">
        <v>226</v>
      </c>
      <c r="E216" s="28" t="s">
        <v>1260</v>
      </c>
      <c r="F216" s="28" t="n">
        <v>100</v>
      </c>
      <c r="G216" s="27" t="s">
        <v>373</v>
      </c>
    </row>
    <row r="217" customFormat="false" ht="15" hidden="false" customHeight="false" outlineLevel="0" collapsed="false">
      <c r="A217" s="29" t="n">
        <v>46260</v>
      </c>
      <c r="B217" s="40" t="n">
        <f aca="false">IF($A217="",0,INT(($A217-Macrociclo!$C$11)/7)+1)</f>
        <v>34</v>
      </c>
      <c r="C217" s="27" t="s">
        <v>1066</v>
      </c>
      <c r="D217" s="27" t="s">
        <v>236</v>
      </c>
      <c r="E217" s="28" t="s">
        <v>1260</v>
      </c>
      <c r="F217" s="28" t="n">
        <v>100</v>
      </c>
      <c r="G217" s="27" t="s">
        <v>373</v>
      </c>
    </row>
    <row r="218" customFormat="false" ht="15" hidden="false" customHeight="false" outlineLevel="0" collapsed="false">
      <c r="A218" s="29" t="n">
        <v>46260</v>
      </c>
      <c r="B218" s="40" t="n">
        <f aca="false">IF($A218="",0,INT(($A218-Macrociclo!$C$11)/7)+1)</f>
        <v>34</v>
      </c>
      <c r="C218" s="27" t="s">
        <v>1066</v>
      </c>
      <c r="D218" s="27" t="s">
        <v>244</v>
      </c>
      <c r="E218" s="28" t="s">
        <v>1260</v>
      </c>
      <c r="F218" s="28" t="n">
        <v>100</v>
      </c>
      <c r="G218" s="27" t="s">
        <v>373</v>
      </c>
    </row>
    <row r="219" customFormat="false" ht="15" hidden="false" customHeight="false" outlineLevel="0" collapsed="false">
      <c r="A219" s="29" t="n">
        <v>46260</v>
      </c>
      <c r="B219" s="40" t="n">
        <f aca="false">IF($A219="",0,INT(($A219-Macrociclo!$C$11)/7)+1)</f>
        <v>34</v>
      </c>
      <c r="C219" s="27" t="s">
        <v>1066</v>
      </c>
      <c r="D219" s="27" t="s">
        <v>253</v>
      </c>
      <c r="E219" s="28" t="s">
        <v>1260</v>
      </c>
      <c r="F219" s="28" t="n">
        <v>100</v>
      </c>
      <c r="G219" s="27" t="s">
        <v>373</v>
      </c>
    </row>
    <row r="220" customFormat="false" ht="15" hidden="false" customHeight="false" outlineLevel="0" collapsed="false">
      <c r="A220" s="29" t="n">
        <v>46260</v>
      </c>
      <c r="B220" s="40" t="n">
        <f aca="false">IF($A220="",0,INT(($A220-Macrociclo!$C$11)/7)+1)</f>
        <v>34</v>
      </c>
      <c r="C220" s="27" t="s">
        <v>1066</v>
      </c>
      <c r="D220" s="27" t="s">
        <v>259</v>
      </c>
      <c r="E220" s="28" t="s">
        <v>1260</v>
      </c>
      <c r="F220" s="28" t="n">
        <v>100</v>
      </c>
      <c r="G220" s="27" t="s">
        <v>373</v>
      </c>
    </row>
    <row r="221" customFormat="false" ht="15" hidden="false" customHeight="false" outlineLevel="0" collapsed="false">
      <c r="A221" s="29" t="n">
        <v>46260</v>
      </c>
      <c r="B221" s="40" t="n">
        <f aca="false">IF($A221="",0,INT(($A221-Macrociclo!$C$11)/7)+1)</f>
        <v>34</v>
      </c>
      <c r="C221" s="27" t="s">
        <v>1066</v>
      </c>
      <c r="D221" s="27" t="s">
        <v>264</v>
      </c>
      <c r="E221" s="28" t="s">
        <v>1260</v>
      </c>
      <c r="F221" s="28" t="n">
        <v>100</v>
      </c>
      <c r="G221" s="27" t="s">
        <v>373</v>
      </c>
    </row>
    <row r="222" customFormat="false" ht="15" hidden="false" customHeight="false" outlineLevel="0" collapsed="false">
      <c r="A222" s="29" t="n">
        <v>46260</v>
      </c>
      <c r="B222" s="40" t="n">
        <f aca="false">IF($A222="",0,INT(($A222-Macrociclo!$C$11)/7)+1)</f>
        <v>34</v>
      </c>
      <c r="C222" s="27" t="s">
        <v>1066</v>
      </c>
      <c r="D222" s="27" t="s">
        <v>270</v>
      </c>
      <c r="E222" s="28" t="s">
        <v>1260</v>
      </c>
      <c r="F222" s="28" t="n">
        <v>100</v>
      </c>
      <c r="G222" s="27" t="s">
        <v>373</v>
      </c>
    </row>
    <row r="223" customFormat="false" ht="15" hidden="false" customHeight="false" outlineLevel="0" collapsed="false">
      <c r="A223" s="29" t="n">
        <v>46260</v>
      </c>
      <c r="B223" s="40" t="n">
        <f aca="false">IF($A223="",0,INT(($A223-Macrociclo!$C$11)/7)+1)</f>
        <v>34</v>
      </c>
      <c r="C223" s="27" t="s">
        <v>1066</v>
      </c>
      <c r="D223" s="27" t="s">
        <v>279</v>
      </c>
      <c r="E223" s="28" t="s">
        <v>1260</v>
      </c>
      <c r="F223" s="28" t="n">
        <v>100</v>
      </c>
      <c r="G223" s="27" t="s">
        <v>373</v>
      </c>
    </row>
    <row r="224" customFormat="false" ht="15" hidden="false" customHeight="false" outlineLevel="0" collapsed="false">
      <c r="A224" s="29" t="n">
        <v>46261</v>
      </c>
      <c r="B224" s="40" t="n">
        <f aca="false">IF($A224="",0,INT(($A224-Macrociclo!$C$11)/7)+1)</f>
        <v>34</v>
      </c>
      <c r="C224" s="27" t="s">
        <v>1069</v>
      </c>
      <c r="D224" s="27" t="s">
        <v>164</v>
      </c>
      <c r="E224" s="28" t="s">
        <v>1260</v>
      </c>
      <c r="F224" s="28" t="n">
        <v>50</v>
      </c>
      <c r="G224" s="27" t="s">
        <v>373</v>
      </c>
    </row>
    <row r="225" customFormat="false" ht="15" hidden="false" customHeight="false" outlineLevel="0" collapsed="false">
      <c r="A225" s="29" t="n">
        <v>46261</v>
      </c>
      <c r="B225" s="40" t="n">
        <f aca="false">IF($A225="",0,INT(($A225-Macrociclo!$C$11)/7)+1)</f>
        <v>34</v>
      </c>
      <c r="C225" s="27" t="s">
        <v>1069</v>
      </c>
      <c r="D225" s="27" t="s">
        <v>192</v>
      </c>
      <c r="E225" s="28" t="s">
        <v>1260</v>
      </c>
      <c r="F225" s="28" t="n">
        <v>50</v>
      </c>
      <c r="G225" s="27" t="s">
        <v>373</v>
      </c>
    </row>
    <row r="226" customFormat="false" ht="15" hidden="false" customHeight="false" outlineLevel="0" collapsed="false">
      <c r="A226" s="29" t="n">
        <v>46261</v>
      </c>
      <c r="B226" s="40" t="n">
        <f aca="false">IF($A226="",0,INT(($A226-Macrociclo!$C$11)/7)+1)</f>
        <v>34</v>
      </c>
      <c r="C226" s="27" t="s">
        <v>1069</v>
      </c>
      <c r="D226" s="27" t="s">
        <v>206</v>
      </c>
      <c r="E226" s="28" t="s">
        <v>1260</v>
      </c>
      <c r="F226" s="28" t="n">
        <v>50</v>
      </c>
      <c r="G226" s="27" t="s">
        <v>373</v>
      </c>
    </row>
    <row r="227" customFormat="false" ht="15" hidden="false" customHeight="false" outlineLevel="0" collapsed="false">
      <c r="A227" s="29" t="n">
        <v>46261</v>
      </c>
      <c r="B227" s="40" t="n">
        <f aca="false">IF($A227="",0,INT(($A227-Macrociclo!$C$11)/7)+1)</f>
        <v>34</v>
      </c>
      <c r="C227" s="27" t="s">
        <v>1069</v>
      </c>
      <c r="D227" s="27" t="s">
        <v>215</v>
      </c>
      <c r="E227" s="28" t="s">
        <v>225</v>
      </c>
      <c r="F227" s="28" t="n">
        <v>0</v>
      </c>
      <c r="G227" s="27" t="s">
        <v>1263</v>
      </c>
    </row>
    <row r="228" customFormat="false" ht="15" hidden="false" customHeight="false" outlineLevel="0" collapsed="false">
      <c r="A228" s="29" t="n">
        <v>46261</v>
      </c>
      <c r="B228" s="40" t="n">
        <f aca="false">IF($A228="",0,INT(($A228-Macrociclo!$C$11)/7)+1)</f>
        <v>34</v>
      </c>
      <c r="C228" s="27" t="s">
        <v>1069</v>
      </c>
      <c r="D228" s="27" t="s">
        <v>226</v>
      </c>
      <c r="E228" s="28" t="s">
        <v>1260</v>
      </c>
      <c r="F228" s="28" t="n">
        <v>50</v>
      </c>
      <c r="G228" s="27" t="s">
        <v>373</v>
      </c>
    </row>
    <row r="229" customFormat="false" ht="15" hidden="false" customHeight="false" outlineLevel="0" collapsed="false">
      <c r="A229" s="29" t="n">
        <v>46261</v>
      </c>
      <c r="B229" s="40" t="n">
        <f aca="false">IF($A229="",0,INT(($A229-Macrociclo!$C$11)/7)+1)</f>
        <v>34</v>
      </c>
      <c r="C229" s="27" t="s">
        <v>1069</v>
      </c>
      <c r="D229" s="27" t="s">
        <v>236</v>
      </c>
      <c r="E229" s="28" t="s">
        <v>1260</v>
      </c>
      <c r="F229" s="28" t="n">
        <v>50</v>
      </c>
      <c r="G229" s="27" t="s">
        <v>373</v>
      </c>
    </row>
    <row r="230" customFormat="false" ht="15" hidden="false" customHeight="false" outlineLevel="0" collapsed="false">
      <c r="A230" s="29" t="n">
        <v>46261</v>
      </c>
      <c r="B230" s="40" t="n">
        <f aca="false">IF($A230="",0,INT(($A230-Macrociclo!$C$11)/7)+1)</f>
        <v>34</v>
      </c>
      <c r="C230" s="27" t="s">
        <v>1069</v>
      </c>
      <c r="D230" s="27" t="s">
        <v>244</v>
      </c>
      <c r="E230" s="28" t="s">
        <v>1260</v>
      </c>
      <c r="F230" s="28" t="n">
        <v>50</v>
      </c>
      <c r="G230" s="27" t="s">
        <v>373</v>
      </c>
    </row>
    <row r="231" customFormat="false" ht="15" hidden="false" customHeight="false" outlineLevel="0" collapsed="false">
      <c r="A231" s="29" t="n">
        <v>46261</v>
      </c>
      <c r="B231" s="40" t="n">
        <f aca="false">IF($A231="",0,INT(($A231-Macrociclo!$C$11)/7)+1)</f>
        <v>34</v>
      </c>
      <c r="C231" s="27" t="s">
        <v>1069</v>
      </c>
      <c r="D231" s="27" t="s">
        <v>253</v>
      </c>
      <c r="E231" s="28" t="s">
        <v>1260</v>
      </c>
      <c r="F231" s="28" t="n">
        <v>50</v>
      </c>
      <c r="G231" s="27" t="s">
        <v>373</v>
      </c>
    </row>
    <row r="232" customFormat="false" ht="15" hidden="false" customHeight="false" outlineLevel="0" collapsed="false">
      <c r="A232" s="29" t="n">
        <v>46261</v>
      </c>
      <c r="B232" s="40" t="n">
        <f aca="false">IF($A232="",0,INT(($A232-Macrociclo!$C$11)/7)+1)</f>
        <v>34</v>
      </c>
      <c r="C232" s="27" t="s">
        <v>1069</v>
      </c>
      <c r="D232" s="27" t="s">
        <v>259</v>
      </c>
      <c r="E232" s="28" t="s">
        <v>1260</v>
      </c>
      <c r="F232" s="28" t="n">
        <v>50</v>
      </c>
      <c r="G232" s="27" t="s">
        <v>373</v>
      </c>
    </row>
    <row r="233" customFormat="false" ht="15" hidden="false" customHeight="false" outlineLevel="0" collapsed="false">
      <c r="A233" s="29" t="n">
        <v>46261</v>
      </c>
      <c r="B233" s="40" t="n">
        <f aca="false">IF($A233="",0,INT(($A233-Macrociclo!$C$11)/7)+1)</f>
        <v>34</v>
      </c>
      <c r="C233" s="27" t="s">
        <v>1069</v>
      </c>
      <c r="D233" s="27" t="s">
        <v>264</v>
      </c>
      <c r="E233" s="28" t="s">
        <v>1260</v>
      </c>
      <c r="F233" s="28" t="n">
        <v>50</v>
      </c>
      <c r="G233" s="27" t="s">
        <v>373</v>
      </c>
    </row>
    <row r="234" customFormat="false" ht="15" hidden="false" customHeight="false" outlineLevel="0" collapsed="false">
      <c r="A234" s="29" t="n">
        <v>46261</v>
      </c>
      <c r="B234" s="40" t="n">
        <f aca="false">IF($A234="",0,INT(($A234-Macrociclo!$C$11)/7)+1)</f>
        <v>34</v>
      </c>
      <c r="C234" s="27" t="s">
        <v>1069</v>
      </c>
      <c r="D234" s="27" t="s">
        <v>270</v>
      </c>
      <c r="E234" s="28" t="s">
        <v>1260</v>
      </c>
      <c r="F234" s="28" t="n">
        <v>50</v>
      </c>
      <c r="G234" s="27" t="s">
        <v>373</v>
      </c>
    </row>
    <row r="235" customFormat="false" ht="15" hidden="false" customHeight="false" outlineLevel="0" collapsed="false">
      <c r="A235" s="29" t="n">
        <v>46261</v>
      </c>
      <c r="B235" s="40" t="n">
        <f aca="false">IF($A235="",0,INT(($A235-Macrociclo!$C$11)/7)+1)</f>
        <v>34</v>
      </c>
      <c r="C235" s="27" t="s">
        <v>1069</v>
      </c>
      <c r="D235" s="27" t="s">
        <v>279</v>
      </c>
      <c r="E235" s="28" t="s">
        <v>1260</v>
      </c>
      <c r="F235" s="28" t="n">
        <v>50</v>
      </c>
      <c r="G235" s="27" t="s">
        <v>373</v>
      </c>
    </row>
    <row r="236" customFormat="false" ht="15" hidden="false" customHeight="false" outlineLevel="0" collapsed="false">
      <c r="A236" s="29" t="n">
        <v>46261</v>
      </c>
      <c r="B236" s="40" t="n">
        <f aca="false">IF($A236="",0,INT(($A236-Macrociclo!$C$11)/7)+1)</f>
        <v>34</v>
      </c>
      <c r="C236" s="27" t="s">
        <v>1056</v>
      </c>
      <c r="D236" s="27" t="s">
        <v>164</v>
      </c>
      <c r="E236" s="28" t="s">
        <v>1260</v>
      </c>
      <c r="F236" s="28" t="n">
        <v>90</v>
      </c>
      <c r="G236" s="27" t="s">
        <v>373</v>
      </c>
    </row>
    <row r="237" customFormat="false" ht="15" hidden="false" customHeight="false" outlineLevel="0" collapsed="false">
      <c r="A237" s="29" t="n">
        <v>46261</v>
      </c>
      <c r="B237" s="40" t="n">
        <f aca="false">IF($A237="",0,INT(($A237-Macrociclo!$C$11)/7)+1)</f>
        <v>34</v>
      </c>
      <c r="C237" s="27" t="s">
        <v>1056</v>
      </c>
      <c r="D237" s="27" t="s">
        <v>192</v>
      </c>
      <c r="E237" s="28" t="s">
        <v>1260</v>
      </c>
      <c r="F237" s="28" t="n">
        <v>90</v>
      </c>
      <c r="G237" s="27" t="s">
        <v>373</v>
      </c>
    </row>
    <row r="238" customFormat="false" ht="15" hidden="false" customHeight="false" outlineLevel="0" collapsed="false">
      <c r="A238" s="29" t="n">
        <v>46261</v>
      </c>
      <c r="B238" s="40" t="n">
        <f aca="false">IF($A238="",0,INT(($A238-Macrociclo!$C$11)/7)+1)</f>
        <v>34</v>
      </c>
      <c r="C238" s="27" t="s">
        <v>1056</v>
      </c>
      <c r="D238" s="27" t="s">
        <v>206</v>
      </c>
      <c r="E238" s="28" t="s">
        <v>1261</v>
      </c>
      <c r="F238" s="28" t="n">
        <v>0</v>
      </c>
      <c r="G238" s="27" t="s">
        <v>1262</v>
      </c>
    </row>
    <row r="239" customFormat="false" ht="15" hidden="false" customHeight="false" outlineLevel="0" collapsed="false">
      <c r="A239" s="29" t="n">
        <v>46261</v>
      </c>
      <c r="B239" s="40" t="n">
        <f aca="false">IF($A239="",0,INT(($A239-Macrociclo!$C$11)/7)+1)</f>
        <v>34</v>
      </c>
      <c r="C239" s="27" t="s">
        <v>1056</v>
      </c>
      <c r="D239" s="27" t="s">
        <v>215</v>
      </c>
      <c r="E239" s="28" t="s">
        <v>225</v>
      </c>
      <c r="F239" s="28" t="n">
        <v>0</v>
      </c>
      <c r="G239" s="27" t="s">
        <v>1263</v>
      </c>
    </row>
    <row r="240" customFormat="false" ht="15" hidden="false" customHeight="false" outlineLevel="0" collapsed="false">
      <c r="A240" s="29" t="n">
        <v>46261</v>
      </c>
      <c r="B240" s="40" t="n">
        <f aca="false">IF($A240="",0,INT(($A240-Macrociclo!$C$11)/7)+1)</f>
        <v>34</v>
      </c>
      <c r="C240" s="27" t="s">
        <v>1056</v>
      </c>
      <c r="D240" s="27" t="s">
        <v>226</v>
      </c>
      <c r="E240" s="28" t="s">
        <v>1260</v>
      </c>
      <c r="F240" s="28" t="n">
        <v>90</v>
      </c>
      <c r="G240" s="27" t="s">
        <v>373</v>
      </c>
    </row>
    <row r="241" customFormat="false" ht="15" hidden="false" customHeight="false" outlineLevel="0" collapsed="false">
      <c r="A241" s="29" t="n">
        <v>46261</v>
      </c>
      <c r="B241" s="40" t="n">
        <f aca="false">IF($A241="",0,INT(($A241-Macrociclo!$C$11)/7)+1)</f>
        <v>34</v>
      </c>
      <c r="C241" s="27" t="s">
        <v>1056</v>
      </c>
      <c r="D241" s="27" t="s">
        <v>236</v>
      </c>
      <c r="E241" s="28" t="s">
        <v>1260</v>
      </c>
      <c r="F241" s="28" t="n">
        <v>90</v>
      </c>
      <c r="G241" s="27" t="s">
        <v>373</v>
      </c>
    </row>
    <row r="242" customFormat="false" ht="15" hidden="false" customHeight="false" outlineLevel="0" collapsed="false">
      <c r="A242" s="29" t="n">
        <v>46261</v>
      </c>
      <c r="B242" s="40" t="n">
        <f aca="false">IF($A242="",0,INT(($A242-Macrociclo!$C$11)/7)+1)</f>
        <v>34</v>
      </c>
      <c r="C242" s="27" t="s">
        <v>1056</v>
      </c>
      <c r="D242" s="27" t="s">
        <v>244</v>
      </c>
      <c r="E242" s="28" t="s">
        <v>1260</v>
      </c>
      <c r="F242" s="28" t="n">
        <v>90</v>
      </c>
      <c r="G242" s="27" t="s">
        <v>373</v>
      </c>
    </row>
    <row r="243" customFormat="false" ht="15" hidden="false" customHeight="false" outlineLevel="0" collapsed="false">
      <c r="A243" s="29" t="n">
        <v>46261</v>
      </c>
      <c r="B243" s="40" t="n">
        <f aca="false">IF($A243="",0,INT(($A243-Macrociclo!$C$11)/7)+1)</f>
        <v>34</v>
      </c>
      <c r="C243" s="27" t="s">
        <v>1056</v>
      </c>
      <c r="D243" s="27" t="s">
        <v>253</v>
      </c>
      <c r="E243" s="28" t="s">
        <v>1260</v>
      </c>
      <c r="F243" s="28" t="n">
        <v>90</v>
      </c>
      <c r="G243" s="27" t="s">
        <v>373</v>
      </c>
    </row>
    <row r="244" customFormat="false" ht="15" hidden="false" customHeight="false" outlineLevel="0" collapsed="false">
      <c r="A244" s="29" t="n">
        <v>46261</v>
      </c>
      <c r="B244" s="40" t="n">
        <f aca="false">IF($A244="",0,INT(($A244-Macrociclo!$C$11)/7)+1)</f>
        <v>34</v>
      </c>
      <c r="C244" s="27" t="s">
        <v>1056</v>
      </c>
      <c r="D244" s="27" t="s">
        <v>259</v>
      </c>
      <c r="E244" s="28" t="s">
        <v>1260</v>
      </c>
      <c r="F244" s="28" t="n">
        <v>90</v>
      </c>
      <c r="G244" s="27" t="s">
        <v>373</v>
      </c>
    </row>
    <row r="245" customFormat="false" ht="15" hidden="false" customHeight="false" outlineLevel="0" collapsed="false">
      <c r="A245" s="29" t="n">
        <v>46261</v>
      </c>
      <c r="B245" s="40" t="n">
        <f aca="false">IF($A245="",0,INT(($A245-Macrociclo!$C$11)/7)+1)</f>
        <v>34</v>
      </c>
      <c r="C245" s="27" t="s">
        <v>1056</v>
      </c>
      <c r="D245" s="27" t="s">
        <v>264</v>
      </c>
      <c r="E245" s="28" t="s">
        <v>1260</v>
      </c>
      <c r="F245" s="28" t="n">
        <v>90</v>
      </c>
      <c r="G245" s="27" t="s">
        <v>373</v>
      </c>
    </row>
    <row r="246" customFormat="false" ht="15" hidden="false" customHeight="false" outlineLevel="0" collapsed="false">
      <c r="A246" s="29" t="n">
        <v>46261</v>
      </c>
      <c r="B246" s="40" t="n">
        <f aca="false">IF($A246="",0,INT(($A246-Macrociclo!$C$11)/7)+1)</f>
        <v>34</v>
      </c>
      <c r="C246" s="27" t="s">
        <v>1056</v>
      </c>
      <c r="D246" s="27" t="s">
        <v>270</v>
      </c>
      <c r="E246" s="28" t="s">
        <v>1260</v>
      </c>
      <c r="F246" s="28" t="n">
        <v>90</v>
      </c>
      <c r="G246" s="27" t="s">
        <v>373</v>
      </c>
    </row>
    <row r="247" customFormat="false" ht="15" hidden="false" customHeight="false" outlineLevel="0" collapsed="false">
      <c r="A247" s="29" t="n">
        <v>46261</v>
      </c>
      <c r="B247" s="40" t="n">
        <f aca="false">IF($A247="",0,INT(($A247-Macrociclo!$C$11)/7)+1)</f>
        <v>34</v>
      </c>
      <c r="C247" s="27" t="s">
        <v>1056</v>
      </c>
      <c r="D247" s="27" t="s">
        <v>279</v>
      </c>
      <c r="E247" s="28" t="s">
        <v>1260</v>
      </c>
      <c r="F247" s="28" t="n">
        <v>90</v>
      </c>
      <c r="G247" s="27" t="s">
        <v>373</v>
      </c>
    </row>
    <row r="248" customFormat="false" ht="15" hidden="false" customHeight="false" outlineLevel="0" collapsed="false">
      <c r="A248" s="29" t="n">
        <v>46262</v>
      </c>
      <c r="B248" s="40" t="n">
        <f aca="false">IF($A248="",0,INT(($A248-Macrociclo!$C$11)/7)+1)</f>
        <v>34</v>
      </c>
      <c r="C248" s="27" t="s">
        <v>1066</v>
      </c>
      <c r="D248" s="27" t="s">
        <v>164</v>
      </c>
      <c r="E248" s="28" t="s">
        <v>1260</v>
      </c>
      <c r="F248" s="28" t="n">
        <v>110</v>
      </c>
      <c r="G248" s="27" t="s">
        <v>373</v>
      </c>
    </row>
    <row r="249" customFormat="false" ht="15" hidden="false" customHeight="false" outlineLevel="0" collapsed="false">
      <c r="A249" s="29" t="n">
        <v>46262</v>
      </c>
      <c r="B249" s="40" t="n">
        <f aca="false">IF($A249="",0,INT(($A249-Macrociclo!$C$11)/7)+1)</f>
        <v>34</v>
      </c>
      <c r="C249" s="27" t="s">
        <v>1066</v>
      </c>
      <c r="D249" s="27" t="s">
        <v>192</v>
      </c>
      <c r="E249" s="28" t="s">
        <v>1260</v>
      </c>
      <c r="F249" s="28" t="n">
        <v>110</v>
      </c>
      <c r="G249" s="27" t="s">
        <v>373</v>
      </c>
    </row>
    <row r="250" customFormat="false" ht="15" hidden="false" customHeight="false" outlineLevel="0" collapsed="false">
      <c r="A250" s="29" t="n">
        <v>46262</v>
      </c>
      <c r="B250" s="40" t="n">
        <f aca="false">IF($A250="",0,INT(($A250-Macrociclo!$C$11)/7)+1)</f>
        <v>34</v>
      </c>
      <c r="C250" s="27" t="s">
        <v>1066</v>
      </c>
      <c r="D250" s="27" t="s">
        <v>206</v>
      </c>
      <c r="E250" s="28" t="s">
        <v>1260</v>
      </c>
      <c r="F250" s="28" t="n">
        <v>110</v>
      </c>
      <c r="G250" s="27" t="s">
        <v>373</v>
      </c>
    </row>
    <row r="251" customFormat="false" ht="15" hidden="false" customHeight="false" outlineLevel="0" collapsed="false">
      <c r="A251" s="29" t="n">
        <v>46262</v>
      </c>
      <c r="B251" s="40" t="n">
        <f aca="false">IF($A251="",0,INT(($A251-Macrociclo!$C$11)/7)+1)</f>
        <v>34</v>
      </c>
      <c r="C251" s="27" t="s">
        <v>1066</v>
      </c>
      <c r="D251" s="27" t="s">
        <v>215</v>
      </c>
      <c r="E251" s="28" t="s">
        <v>225</v>
      </c>
      <c r="F251" s="28" t="n">
        <v>0</v>
      </c>
      <c r="G251" s="27" t="s">
        <v>1263</v>
      </c>
    </row>
    <row r="252" customFormat="false" ht="15" hidden="false" customHeight="false" outlineLevel="0" collapsed="false">
      <c r="A252" s="29" t="n">
        <v>46262</v>
      </c>
      <c r="B252" s="40" t="n">
        <f aca="false">IF($A252="",0,INT(($A252-Macrociclo!$C$11)/7)+1)</f>
        <v>34</v>
      </c>
      <c r="C252" s="27" t="s">
        <v>1066</v>
      </c>
      <c r="D252" s="27" t="s">
        <v>226</v>
      </c>
      <c r="E252" s="28" t="s">
        <v>1260</v>
      </c>
      <c r="F252" s="28" t="n">
        <v>110</v>
      </c>
      <c r="G252" s="27" t="s">
        <v>373</v>
      </c>
    </row>
    <row r="253" customFormat="false" ht="15" hidden="false" customHeight="false" outlineLevel="0" collapsed="false">
      <c r="A253" s="29" t="n">
        <v>46262</v>
      </c>
      <c r="B253" s="40" t="n">
        <f aca="false">IF($A253="",0,INT(($A253-Macrociclo!$C$11)/7)+1)</f>
        <v>34</v>
      </c>
      <c r="C253" s="27" t="s">
        <v>1066</v>
      </c>
      <c r="D253" s="27" t="s">
        <v>236</v>
      </c>
      <c r="E253" s="28" t="s">
        <v>1260</v>
      </c>
      <c r="F253" s="28" t="n">
        <v>110</v>
      </c>
      <c r="G253" s="27" t="s">
        <v>373</v>
      </c>
    </row>
    <row r="254" customFormat="false" ht="15" hidden="false" customHeight="false" outlineLevel="0" collapsed="false">
      <c r="A254" s="29" t="n">
        <v>46262</v>
      </c>
      <c r="B254" s="40" t="n">
        <f aca="false">IF($A254="",0,INT(($A254-Macrociclo!$C$11)/7)+1)</f>
        <v>34</v>
      </c>
      <c r="C254" s="27" t="s">
        <v>1066</v>
      </c>
      <c r="D254" s="27" t="s">
        <v>244</v>
      </c>
      <c r="E254" s="28" t="s">
        <v>1260</v>
      </c>
      <c r="F254" s="28" t="n">
        <v>110</v>
      </c>
      <c r="G254" s="27" t="s">
        <v>373</v>
      </c>
    </row>
    <row r="255" customFormat="false" ht="15" hidden="false" customHeight="false" outlineLevel="0" collapsed="false">
      <c r="A255" s="29" t="n">
        <v>46262</v>
      </c>
      <c r="B255" s="40" t="n">
        <f aca="false">IF($A255="",0,INT(($A255-Macrociclo!$C$11)/7)+1)</f>
        <v>34</v>
      </c>
      <c r="C255" s="27" t="s">
        <v>1066</v>
      </c>
      <c r="D255" s="27" t="s">
        <v>253</v>
      </c>
      <c r="E255" s="28" t="s">
        <v>1260</v>
      </c>
      <c r="F255" s="28" t="n">
        <v>110</v>
      </c>
      <c r="G255" s="27" t="s">
        <v>373</v>
      </c>
    </row>
    <row r="256" customFormat="false" ht="15" hidden="false" customHeight="false" outlineLevel="0" collapsed="false">
      <c r="A256" s="29" t="n">
        <v>46262</v>
      </c>
      <c r="B256" s="40" t="n">
        <f aca="false">IF($A256="",0,INT(($A256-Macrociclo!$C$11)/7)+1)</f>
        <v>34</v>
      </c>
      <c r="C256" s="27" t="s">
        <v>1066</v>
      </c>
      <c r="D256" s="27" t="s">
        <v>259</v>
      </c>
      <c r="E256" s="28" t="s">
        <v>1260</v>
      </c>
      <c r="F256" s="28" t="n">
        <v>110</v>
      </c>
      <c r="G256" s="27" t="s">
        <v>373</v>
      </c>
    </row>
    <row r="257" customFormat="false" ht="15" hidden="false" customHeight="false" outlineLevel="0" collapsed="false">
      <c r="A257" s="29" t="n">
        <v>46262</v>
      </c>
      <c r="B257" s="40" t="n">
        <f aca="false">IF($A257="",0,INT(($A257-Macrociclo!$C$11)/7)+1)</f>
        <v>34</v>
      </c>
      <c r="C257" s="27" t="s">
        <v>1066</v>
      </c>
      <c r="D257" s="27" t="s">
        <v>264</v>
      </c>
      <c r="E257" s="28" t="s">
        <v>1260</v>
      </c>
      <c r="F257" s="28" t="n">
        <v>110</v>
      </c>
      <c r="G257" s="27" t="s">
        <v>373</v>
      </c>
    </row>
    <row r="258" customFormat="false" ht="15" hidden="false" customHeight="false" outlineLevel="0" collapsed="false">
      <c r="A258" s="29" t="n">
        <v>46262</v>
      </c>
      <c r="B258" s="40" t="n">
        <f aca="false">IF($A258="",0,INT(($A258-Macrociclo!$C$11)/7)+1)</f>
        <v>34</v>
      </c>
      <c r="C258" s="27" t="s">
        <v>1066</v>
      </c>
      <c r="D258" s="27" t="s">
        <v>270</v>
      </c>
      <c r="E258" s="28" t="s">
        <v>1260</v>
      </c>
      <c r="F258" s="28" t="n">
        <v>110</v>
      </c>
      <c r="G258" s="27" t="s">
        <v>373</v>
      </c>
    </row>
    <row r="259" customFormat="false" ht="15" hidden="false" customHeight="false" outlineLevel="0" collapsed="false">
      <c r="A259" s="29" t="n">
        <v>46262</v>
      </c>
      <c r="B259" s="40" t="n">
        <f aca="false">IF($A259="",0,INT(($A259-Macrociclo!$C$11)/7)+1)</f>
        <v>34</v>
      </c>
      <c r="C259" s="27" t="s">
        <v>1066</v>
      </c>
      <c r="D259" s="27" t="s">
        <v>279</v>
      </c>
      <c r="E259" s="28" t="s">
        <v>1260</v>
      </c>
      <c r="F259" s="28" t="n">
        <v>110</v>
      </c>
      <c r="G259" s="27" t="s">
        <v>373</v>
      </c>
    </row>
    <row r="260" customFormat="false" ht="15" hidden="false" customHeight="false" outlineLevel="0" collapsed="false">
      <c r="A260" s="29" t="n">
        <v>46265</v>
      </c>
      <c r="B260" s="40" t="n">
        <f aca="false">IF($A260="",0,INT(($A260-Macrociclo!$C$11)/7)+1)</f>
        <v>35</v>
      </c>
      <c r="C260" s="27" t="s">
        <v>1052</v>
      </c>
      <c r="D260" s="27" t="s">
        <v>164</v>
      </c>
      <c r="E260" s="28" t="s">
        <v>1260</v>
      </c>
      <c r="F260" s="28" t="n">
        <v>75</v>
      </c>
      <c r="G260" s="27" t="s">
        <v>373</v>
      </c>
    </row>
    <row r="261" customFormat="false" ht="15" hidden="false" customHeight="false" outlineLevel="0" collapsed="false">
      <c r="A261" s="29" t="n">
        <v>46265</v>
      </c>
      <c r="B261" s="40" t="n">
        <f aca="false">IF($A261="",0,INT(($A261-Macrociclo!$C$11)/7)+1)</f>
        <v>35</v>
      </c>
      <c r="C261" s="27" t="s">
        <v>1052</v>
      </c>
      <c r="D261" s="27" t="s">
        <v>192</v>
      </c>
      <c r="E261" s="28" t="s">
        <v>1260</v>
      </c>
      <c r="F261" s="28" t="n">
        <v>75</v>
      </c>
      <c r="G261" s="27" t="s">
        <v>373</v>
      </c>
    </row>
    <row r="262" customFormat="false" ht="15" hidden="false" customHeight="false" outlineLevel="0" collapsed="false">
      <c r="A262" s="29" t="n">
        <v>46265</v>
      </c>
      <c r="B262" s="40" t="n">
        <f aca="false">IF($A262="",0,INT(($A262-Macrociclo!$C$11)/7)+1)</f>
        <v>35</v>
      </c>
      <c r="C262" s="27" t="s">
        <v>1052</v>
      </c>
      <c r="D262" s="27" t="s">
        <v>206</v>
      </c>
      <c r="E262" s="28" t="s">
        <v>1260</v>
      </c>
      <c r="F262" s="28" t="n">
        <v>75</v>
      </c>
      <c r="G262" s="27" t="s">
        <v>373</v>
      </c>
    </row>
    <row r="263" customFormat="false" ht="15" hidden="false" customHeight="false" outlineLevel="0" collapsed="false">
      <c r="A263" s="29" t="n">
        <v>46265</v>
      </c>
      <c r="B263" s="40" t="n">
        <f aca="false">IF($A263="",0,INT(($A263-Macrociclo!$C$11)/7)+1)</f>
        <v>35</v>
      </c>
      <c r="C263" s="27" t="s">
        <v>1052</v>
      </c>
      <c r="D263" s="27" t="s">
        <v>215</v>
      </c>
      <c r="E263" s="28" t="s">
        <v>225</v>
      </c>
      <c r="F263" s="28" t="n">
        <v>0</v>
      </c>
      <c r="G263" s="27" t="s">
        <v>1263</v>
      </c>
    </row>
    <row r="264" customFormat="false" ht="15" hidden="false" customHeight="false" outlineLevel="0" collapsed="false">
      <c r="A264" s="29" t="n">
        <v>46265</v>
      </c>
      <c r="B264" s="40" t="n">
        <f aca="false">IF($A264="",0,INT(($A264-Macrociclo!$C$11)/7)+1)</f>
        <v>35</v>
      </c>
      <c r="C264" s="27" t="s">
        <v>1052</v>
      </c>
      <c r="D264" s="27" t="s">
        <v>226</v>
      </c>
      <c r="E264" s="28" t="s">
        <v>1260</v>
      </c>
      <c r="F264" s="28" t="n">
        <v>75</v>
      </c>
      <c r="G264" s="27" t="s">
        <v>373</v>
      </c>
    </row>
    <row r="265" customFormat="false" ht="15" hidden="false" customHeight="false" outlineLevel="0" collapsed="false">
      <c r="A265" s="29" t="n">
        <v>46265</v>
      </c>
      <c r="B265" s="40" t="n">
        <f aca="false">IF($A265="",0,INT(($A265-Macrociclo!$C$11)/7)+1)</f>
        <v>35</v>
      </c>
      <c r="C265" s="27" t="s">
        <v>1052</v>
      </c>
      <c r="D265" s="27" t="s">
        <v>236</v>
      </c>
      <c r="E265" s="28" t="s">
        <v>1260</v>
      </c>
      <c r="F265" s="28" t="n">
        <v>75</v>
      </c>
      <c r="G265" s="27" t="s">
        <v>373</v>
      </c>
    </row>
    <row r="266" customFormat="false" ht="15" hidden="false" customHeight="false" outlineLevel="0" collapsed="false">
      <c r="A266" s="29" t="n">
        <v>46265</v>
      </c>
      <c r="B266" s="40" t="n">
        <f aca="false">IF($A266="",0,INT(($A266-Macrociclo!$C$11)/7)+1)</f>
        <v>35</v>
      </c>
      <c r="C266" s="27" t="s">
        <v>1052</v>
      </c>
      <c r="D266" s="27" t="s">
        <v>244</v>
      </c>
      <c r="E266" s="28" t="s">
        <v>1260</v>
      </c>
      <c r="F266" s="28" t="n">
        <v>75</v>
      </c>
      <c r="G266" s="27" t="s">
        <v>373</v>
      </c>
    </row>
    <row r="267" customFormat="false" ht="15" hidden="false" customHeight="false" outlineLevel="0" collapsed="false">
      <c r="A267" s="29" t="n">
        <v>46265</v>
      </c>
      <c r="B267" s="40" t="n">
        <f aca="false">IF($A267="",0,INT(($A267-Macrociclo!$C$11)/7)+1)</f>
        <v>35</v>
      </c>
      <c r="C267" s="27" t="s">
        <v>1052</v>
      </c>
      <c r="D267" s="27" t="s">
        <v>253</v>
      </c>
      <c r="E267" s="28" t="s">
        <v>1260</v>
      </c>
      <c r="F267" s="28" t="n">
        <v>75</v>
      </c>
      <c r="G267" s="27" t="s">
        <v>373</v>
      </c>
    </row>
    <row r="268" customFormat="false" ht="15" hidden="false" customHeight="false" outlineLevel="0" collapsed="false">
      <c r="A268" s="29" t="n">
        <v>46265</v>
      </c>
      <c r="B268" s="40" t="n">
        <f aca="false">IF($A268="",0,INT(($A268-Macrociclo!$C$11)/7)+1)</f>
        <v>35</v>
      </c>
      <c r="C268" s="27" t="s">
        <v>1052</v>
      </c>
      <c r="D268" s="27" t="s">
        <v>259</v>
      </c>
      <c r="E268" s="28" t="s">
        <v>1260</v>
      </c>
      <c r="F268" s="28" t="n">
        <v>75</v>
      </c>
      <c r="G268" s="27" t="s">
        <v>373</v>
      </c>
    </row>
    <row r="269" customFormat="false" ht="15" hidden="false" customHeight="false" outlineLevel="0" collapsed="false">
      <c r="A269" s="29" t="n">
        <v>46265</v>
      </c>
      <c r="B269" s="40" t="n">
        <f aca="false">IF($A269="",0,INT(($A269-Macrociclo!$C$11)/7)+1)</f>
        <v>35</v>
      </c>
      <c r="C269" s="27" t="s">
        <v>1052</v>
      </c>
      <c r="D269" s="27" t="s">
        <v>264</v>
      </c>
      <c r="E269" s="28" t="s">
        <v>1260</v>
      </c>
      <c r="F269" s="28" t="n">
        <v>75</v>
      </c>
      <c r="G269" s="27" t="s">
        <v>373</v>
      </c>
    </row>
    <row r="270" customFormat="false" ht="15" hidden="false" customHeight="false" outlineLevel="0" collapsed="false">
      <c r="A270" s="29" t="n">
        <v>46265</v>
      </c>
      <c r="B270" s="40" t="n">
        <f aca="false">IF($A270="",0,INT(($A270-Macrociclo!$C$11)/7)+1)</f>
        <v>35</v>
      </c>
      <c r="C270" s="27" t="s">
        <v>1052</v>
      </c>
      <c r="D270" s="27" t="s">
        <v>270</v>
      </c>
      <c r="E270" s="28" t="s">
        <v>1260</v>
      </c>
      <c r="F270" s="28" t="n">
        <v>75</v>
      </c>
      <c r="G270" s="27" t="s">
        <v>373</v>
      </c>
    </row>
    <row r="271" customFormat="false" ht="15" hidden="false" customHeight="false" outlineLevel="0" collapsed="false">
      <c r="A271" s="29" t="n">
        <v>46265</v>
      </c>
      <c r="B271" s="40" t="n">
        <f aca="false">IF($A271="",0,INT(($A271-Macrociclo!$C$11)/7)+1)</f>
        <v>35</v>
      </c>
      <c r="C271" s="27" t="s">
        <v>1052</v>
      </c>
      <c r="D271" s="27" t="s">
        <v>279</v>
      </c>
      <c r="E271" s="28" t="s">
        <v>1260</v>
      </c>
      <c r="F271" s="28" t="n">
        <v>75</v>
      </c>
      <c r="G271" s="27" t="s">
        <v>373</v>
      </c>
    </row>
    <row r="272" customFormat="false" ht="15" hidden="false" customHeight="false" outlineLevel="0" collapsed="false">
      <c r="A272" s="29" t="n">
        <v>46265</v>
      </c>
      <c r="B272" s="40" t="n">
        <f aca="false">IF($A272="",0,INT(($A272-Macrociclo!$C$11)/7)+1)</f>
        <v>35</v>
      </c>
      <c r="C272" s="27" t="s">
        <v>1056</v>
      </c>
      <c r="D272" s="27" t="s">
        <v>164</v>
      </c>
      <c r="E272" s="28" t="s">
        <v>1260</v>
      </c>
      <c r="F272" s="28" t="n">
        <v>90</v>
      </c>
      <c r="G272" s="27" t="s">
        <v>373</v>
      </c>
    </row>
    <row r="273" customFormat="false" ht="15" hidden="false" customHeight="false" outlineLevel="0" collapsed="false">
      <c r="A273" s="29" t="n">
        <v>46265</v>
      </c>
      <c r="B273" s="40" t="n">
        <f aca="false">IF($A273="",0,INT(($A273-Macrociclo!$C$11)/7)+1)</f>
        <v>35</v>
      </c>
      <c r="C273" s="27" t="s">
        <v>1056</v>
      </c>
      <c r="D273" s="27" t="s">
        <v>192</v>
      </c>
      <c r="E273" s="28" t="s">
        <v>1260</v>
      </c>
      <c r="F273" s="28" t="n">
        <v>90</v>
      </c>
      <c r="G273" s="27" t="s">
        <v>373</v>
      </c>
    </row>
    <row r="274" customFormat="false" ht="15" hidden="false" customHeight="false" outlineLevel="0" collapsed="false">
      <c r="A274" s="29" t="n">
        <v>46265</v>
      </c>
      <c r="B274" s="40" t="n">
        <f aca="false">IF($A274="",0,INT(($A274-Macrociclo!$C$11)/7)+1)</f>
        <v>35</v>
      </c>
      <c r="C274" s="27" t="s">
        <v>1056</v>
      </c>
      <c r="D274" s="27" t="s">
        <v>206</v>
      </c>
      <c r="E274" s="28" t="s">
        <v>1260</v>
      </c>
      <c r="F274" s="28" t="n">
        <v>90</v>
      </c>
      <c r="G274" s="27" t="s">
        <v>373</v>
      </c>
    </row>
    <row r="275" customFormat="false" ht="15" hidden="false" customHeight="false" outlineLevel="0" collapsed="false">
      <c r="A275" s="29" t="n">
        <v>46265</v>
      </c>
      <c r="B275" s="40" t="n">
        <f aca="false">IF($A275="",0,INT(($A275-Macrociclo!$C$11)/7)+1)</f>
        <v>35</v>
      </c>
      <c r="C275" s="27" t="s">
        <v>1056</v>
      </c>
      <c r="D275" s="27" t="s">
        <v>215</v>
      </c>
      <c r="E275" s="28" t="s">
        <v>225</v>
      </c>
      <c r="F275" s="28" t="n">
        <v>0</v>
      </c>
      <c r="G275" s="27" t="s">
        <v>1263</v>
      </c>
    </row>
    <row r="276" customFormat="false" ht="15" hidden="false" customHeight="false" outlineLevel="0" collapsed="false">
      <c r="A276" s="29" t="n">
        <v>46265</v>
      </c>
      <c r="B276" s="40" t="n">
        <f aca="false">IF($A276="",0,INT(($A276-Macrociclo!$C$11)/7)+1)</f>
        <v>35</v>
      </c>
      <c r="C276" s="27" t="s">
        <v>1056</v>
      </c>
      <c r="D276" s="27" t="s">
        <v>226</v>
      </c>
      <c r="E276" s="28" t="s">
        <v>1260</v>
      </c>
      <c r="F276" s="28" t="n">
        <v>90</v>
      </c>
      <c r="G276" s="27" t="s">
        <v>373</v>
      </c>
    </row>
    <row r="277" customFormat="false" ht="15" hidden="false" customHeight="false" outlineLevel="0" collapsed="false">
      <c r="A277" s="29" t="n">
        <v>46265</v>
      </c>
      <c r="B277" s="40" t="n">
        <f aca="false">IF($A277="",0,INT(($A277-Macrociclo!$C$11)/7)+1)</f>
        <v>35</v>
      </c>
      <c r="C277" s="27" t="s">
        <v>1056</v>
      </c>
      <c r="D277" s="27" t="s">
        <v>236</v>
      </c>
      <c r="E277" s="28" t="s">
        <v>1260</v>
      </c>
      <c r="F277" s="28" t="n">
        <v>90</v>
      </c>
      <c r="G277" s="27" t="s">
        <v>373</v>
      </c>
    </row>
    <row r="278" customFormat="false" ht="15" hidden="false" customHeight="false" outlineLevel="0" collapsed="false">
      <c r="A278" s="29" t="n">
        <v>46265</v>
      </c>
      <c r="B278" s="40" t="n">
        <f aca="false">IF($A278="",0,INT(($A278-Macrociclo!$C$11)/7)+1)</f>
        <v>35</v>
      </c>
      <c r="C278" s="27" t="s">
        <v>1056</v>
      </c>
      <c r="D278" s="27" t="s">
        <v>244</v>
      </c>
      <c r="E278" s="28" t="s">
        <v>1260</v>
      </c>
      <c r="F278" s="28" t="n">
        <v>90</v>
      </c>
      <c r="G278" s="27" t="s">
        <v>373</v>
      </c>
    </row>
    <row r="279" customFormat="false" ht="15" hidden="false" customHeight="false" outlineLevel="0" collapsed="false">
      <c r="A279" s="29" t="n">
        <v>46265</v>
      </c>
      <c r="B279" s="40" t="n">
        <f aca="false">IF($A279="",0,INT(($A279-Macrociclo!$C$11)/7)+1)</f>
        <v>35</v>
      </c>
      <c r="C279" s="27" t="s">
        <v>1056</v>
      </c>
      <c r="D279" s="27" t="s">
        <v>253</v>
      </c>
      <c r="E279" s="28" t="s">
        <v>1260</v>
      </c>
      <c r="F279" s="28" t="n">
        <v>90</v>
      </c>
      <c r="G279" s="27" t="s">
        <v>373</v>
      </c>
    </row>
    <row r="280" customFormat="false" ht="15" hidden="false" customHeight="false" outlineLevel="0" collapsed="false">
      <c r="A280" s="29" t="n">
        <v>46265</v>
      </c>
      <c r="B280" s="40" t="n">
        <f aca="false">IF($A280="",0,INT(($A280-Macrociclo!$C$11)/7)+1)</f>
        <v>35</v>
      </c>
      <c r="C280" s="27" t="s">
        <v>1056</v>
      </c>
      <c r="D280" s="27" t="s">
        <v>259</v>
      </c>
      <c r="E280" s="28" t="s">
        <v>1260</v>
      </c>
      <c r="F280" s="28" t="n">
        <v>90</v>
      </c>
      <c r="G280" s="27" t="s">
        <v>373</v>
      </c>
    </row>
    <row r="281" customFormat="false" ht="15" hidden="false" customHeight="false" outlineLevel="0" collapsed="false">
      <c r="A281" s="29" t="n">
        <v>46265</v>
      </c>
      <c r="B281" s="40" t="n">
        <f aca="false">IF($A281="",0,INT(($A281-Macrociclo!$C$11)/7)+1)</f>
        <v>35</v>
      </c>
      <c r="C281" s="27" t="s">
        <v>1056</v>
      </c>
      <c r="D281" s="27" t="s">
        <v>264</v>
      </c>
      <c r="E281" s="28" t="s">
        <v>1260</v>
      </c>
      <c r="F281" s="28" t="n">
        <v>90</v>
      </c>
      <c r="G281" s="27" t="s">
        <v>373</v>
      </c>
    </row>
    <row r="282" customFormat="false" ht="15" hidden="false" customHeight="false" outlineLevel="0" collapsed="false">
      <c r="A282" s="29" t="n">
        <v>46265</v>
      </c>
      <c r="B282" s="40" t="n">
        <f aca="false">IF($A282="",0,INT(($A282-Macrociclo!$C$11)/7)+1)</f>
        <v>35</v>
      </c>
      <c r="C282" s="27" t="s">
        <v>1056</v>
      </c>
      <c r="D282" s="27" t="s">
        <v>270</v>
      </c>
      <c r="E282" s="28" t="s">
        <v>1260</v>
      </c>
      <c r="F282" s="28" t="n">
        <v>90</v>
      </c>
      <c r="G282" s="27" t="s">
        <v>373</v>
      </c>
    </row>
    <row r="283" customFormat="false" ht="15" hidden="false" customHeight="false" outlineLevel="0" collapsed="false">
      <c r="A283" s="29" t="n">
        <v>46265</v>
      </c>
      <c r="B283" s="40" t="n">
        <f aca="false">IF($A283="",0,INT(($A283-Macrociclo!$C$11)/7)+1)</f>
        <v>35</v>
      </c>
      <c r="C283" s="27" t="s">
        <v>1056</v>
      </c>
      <c r="D283" s="27" t="s">
        <v>279</v>
      </c>
      <c r="E283" s="28" t="s">
        <v>1260</v>
      </c>
      <c r="F283" s="28" t="n">
        <v>90</v>
      </c>
      <c r="G283" s="27" t="s">
        <v>373</v>
      </c>
    </row>
    <row r="284" customFormat="false" ht="15" hidden="false" customHeight="false" outlineLevel="0" collapsed="false">
      <c r="A284" s="29" t="n">
        <v>46266</v>
      </c>
      <c r="B284" s="40" t="n">
        <f aca="false">IF($A284="",0,INT(($A284-Macrociclo!$C$11)/7)+1)</f>
        <v>35</v>
      </c>
      <c r="C284" s="27" t="s">
        <v>1061</v>
      </c>
      <c r="D284" s="27" t="s">
        <v>164</v>
      </c>
      <c r="E284" s="28" t="s">
        <v>1260</v>
      </c>
      <c r="F284" s="28" t="n">
        <v>60</v>
      </c>
      <c r="G284" s="27" t="s">
        <v>373</v>
      </c>
    </row>
    <row r="285" customFormat="false" ht="15" hidden="false" customHeight="false" outlineLevel="0" collapsed="false">
      <c r="A285" s="29" t="n">
        <v>46266</v>
      </c>
      <c r="B285" s="40" t="n">
        <f aca="false">IF($A285="",0,INT(($A285-Macrociclo!$C$11)/7)+1)</f>
        <v>35</v>
      </c>
      <c r="C285" s="27" t="s">
        <v>1061</v>
      </c>
      <c r="D285" s="27" t="s">
        <v>192</v>
      </c>
      <c r="E285" s="28" t="s">
        <v>1260</v>
      </c>
      <c r="F285" s="28" t="n">
        <v>60</v>
      </c>
      <c r="G285" s="27" t="s">
        <v>373</v>
      </c>
    </row>
    <row r="286" customFormat="false" ht="15" hidden="false" customHeight="false" outlineLevel="0" collapsed="false">
      <c r="A286" s="29" t="n">
        <v>46266</v>
      </c>
      <c r="B286" s="40" t="n">
        <f aca="false">IF($A286="",0,INT(($A286-Macrociclo!$C$11)/7)+1)</f>
        <v>35</v>
      </c>
      <c r="C286" s="27" t="s">
        <v>1061</v>
      </c>
      <c r="D286" s="27" t="s">
        <v>206</v>
      </c>
      <c r="E286" s="28" t="s">
        <v>1261</v>
      </c>
      <c r="F286" s="28" t="n">
        <v>0</v>
      </c>
      <c r="G286" s="27" t="s">
        <v>1262</v>
      </c>
    </row>
    <row r="287" customFormat="false" ht="15" hidden="false" customHeight="false" outlineLevel="0" collapsed="false">
      <c r="A287" s="29" t="n">
        <v>46266</v>
      </c>
      <c r="B287" s="40" t="n">
        <f aca="false">IF($A287="",0,INT(($A287-Macrociclo!$C$11)/7)+1)</f>
        <v>35</v>
      </c>
      <c r="C287" s="27" t="s">
        <v>1061</v>
      </c>
      <c r="D287" s="27" t="s">
        <v>215</v>
      </c>
      <c r="E287" s="28" t="s">
        <v>225</v>
      </c>
      <c r="F287" s="28" t="n">
        <v>0</v>
      </c>
      <c r="G287" s="27" t="s">
        <v>1263</v>
      </c>
    </row>
    <row r="288" customFormat="false" ht="15" hidden="false" customHeight="false" outlineLevel="0" collapsed="false">
      <c r="A288" s="29" t="n">
        <v>46266</v>
      </c>
      <c r="B288" s="40" t="n">
        <f aca="false">IF($A288="",0,INT(($A288-Macrociclo!$C$11)/7)+1)</f>
        <v>35</v>
      </c>
      <c r="C288" s="27" t="s">
        <v>1061</v>
      </c>
      <c r="D288" s="27" t="s">
        <v>226</v>
      </c>
      <c r="E288" s="28" t="s">
        <v>1260</v>
      </c>
      <c r="F288" s="28" t="n">
        <v>60</v>
      </c>
      <c r="G288" s="27" t="s">
        <v>373</v>
      </c>
    </row>
    <row r="289" customFormat="false" ht="15" hidden="false" customHeight="false" outlineLevel="0" collapsed="false">
      <c r="A289" s="29" t="n">
        <v>46266</v>
      </c>
      <c r="B289" s="40" t="n">
        <f aca="false">IF($A289="",0,INT(($A289-Macrociclo!$C$11)/7)+1)</f>
        <v>35</v>
      </c>
      <c r="C289" s="27" t="s">
        <v>1061</v>
      </c>
      <c r="D289" s="27" t="s">
        <v>236</v>
      </c>
      <c r="E289" s="28" t="s">
        <v>1260</v>
      </c>
      <c r="F289" s="28" t="n">
        <v>60</v>
      </c>
      <c r="G289" s="27" t="s">
        <v>373</v>
      </c>
    </row>
    <row r="290" customFormat="false" ht="15" hidden="false" customHeight="false" outlineLevel="0" collapsed="false">
      <c r="A290" s="29" t="n">
        <v>46266</v>
      </c>
      <c r="B290" s="40" t="n">
        <f aca="false">IF($A290="",0,INT(($A290-Macrociclo!$C$11)/7)+1)</f>
        <v>35</v>
      </c>
      <c r="C290" s="27" t="s">
        <v>1061</v>
      </c>
      <c r="D290" s="27" t="s">
        <v>244</v>
      </c>
      <c r="E290" s="28" t="s">
        <v>1260</v>
      </c>
      <c r="F290" s="28" t="n">
        <v>60</v>
      </c>
      <c r="G290" s="27" t="s">
        <v>373</v>
      </c>
    </row>
    <row r="291" customFormat="false" ht="15" hidden="false" customHeight="false" outlineLevel="0" collapsed="false">
      <c r="A291" s="29" t="n">
        <v>46266</v>
      </c>
      <c r="B291" s="40" t="n">
        <f aca="false">IF($A291="",0,INT(($A291-Macrociclo!$C$11)/7)+1)</f>
        <v>35</v>
      </c>
      <c r="C291" s="27" t="s">
        <v>1061</v>
      </c>
      <c r="D291" s="27" t="s">
        <v>253</v>
      </c>
      <c r="E291" s="28" t="s">
        <v>1260</v>
      </c>
      <c r="F291" s="28" t="n">
        <v>60</v>
      </c>
      <c r="G291" s="27" t="s">
        <v>373</v>
      </c>
    </row>
    <row r="292" customFormat="false" ht="15" hidden="false" customHeight="false" outlineLevel="0" collapsed="false">
      <c r="A292" s="29" t="n">
        <v>46266</v>
      </c>
      <c r="B292" s="40" t="n">
        <f aca="false">IF($A292="",0,INT(($A292-Macrociclo!$C$11)/7)+1)</f>
        <v>35</v>
      </c>
      <c r="C292" s="27" t="s">
        <v>1061</v>
      </c>
      <c r="D292" s="27" t="s">
        <v>259</v>
      </c>
      <c r="E292" s="28" t="s">
        <v>1260</v>
      </c>
      <c r="F292" s="28" t="n">
        <v>60</v>
      </c>
      <c r="G292" s="27" t="s">
        <v>373</v>
      </c>
    </row>
    <row r="293" customFormat="false" ht="15" hidden="false" customHeight="false" outlineLevel="0" collapsed="false">
      <c r="A293" s="29" t="n">
        <v>46266</v>
      </c>
      <c r="B293" s="40" t="n">
        <f aca="false">IF($A293="",0,INT(($A293-Macrociclo!$C$11)/7)+1)</f>
        <v>35</v>
      </c>
      <c r="C293" s="27" t="s">
        <v>1061</v>
      </c>
      <c r="D293" s="27" t="s">
        <v>264</v>
      </c>
      <c r="E293" s="28" t="s">
        <v>1260</v>
      </c>
      <c r="F293" s="28" t="n">
        <v>60</v>
      </c>
      <c r="G293" s="27" t="s">
        <v>373</v>
      </c>
    </row>
    <row r="294" customFormat="false" ht="15" hidden="false" customHeight="false" outlineLevel="0" collapsed="false">
      <c r="A294" s="29" t="n">
        <v>46266</v>
      </c>
      <c r="B294" s="40" t="n">
        <f aca="false">IF($A294="",0,INT(($A294-Macrociclo!$C$11)/7)+1)</f>
        <v>35</v>
      </c>
      <c r="C294" s="27" t="s">
        <v>1061</v>
      </c>
      <c r="D294" s="27" t="s">
        <v>270</v>
      </c>
      <c r="E294" s="28" t="s">
        <v>1260</v>
      </c>
      <c r="F294" s="28" t="n">
        <v>60</v>
      </c>
      <c r="G294" s="27" t="s">
        <v>373</v>
      </c>
    </row>
    <row r="295" customFormat="false" ht="15" hidden="false" customHeight="false" outlineLevel="0" collapsed="false">
      <c r="A295" s="29" t="n">
        <v>46266</v>
      </c>
      <c r="B295" s="40" t="n">
        <f aca="false">IF($A295="",0,INT(($A295-Macrociclo!$C$11)/7)+1)</f>
        <v>35</v>
      </c>
      <c r="C295" s="27" t="s">
        <v>1061</v>
      </c>
      <c r="D295" s="27" t="s">
        <v>279</v>
      </c>
      <c r="E295" s="28" t="s">
        <v>1260</v>
      </c>
      <c r="F295" s="28" t="n">
        <v>60</v>
      </c>
      <c r="G295" s="27" t="s">
        <v>373</v>
      </c>
    </row>
    <row r="296" customFormat="false" ht="15" hidden="false" customHeight="false" outlineLevel="0" collapsed="false">
      <c r="A296" s="29" t="n">
        <v>46267</v>
      </c>
      <c r="B296" s="40" t="n">
        <f aca="false">IF($A296="",0,INT(($A296-Macrociclo!$C$11)/7)+1)</f>
        <v>35</v>
      </c>
      <c r="C296" s="27" t="s">
        <v>1066</v>
      </c>
      <c r="D296" s="27" t="s">
        <v>164</v>
      </c>
      <c r="E296" s="28" t="s">
        <v>1261</v>
      </c>
      <c r="F296" s="28" t="n">
        <v>0</v>
      </c>
      <c r="G296" s="27" t="s">
        <v>1262</v>
      </c>
    </row>
    <row r="297" customFormat="false" ht="15" hidden="false" customHeight="false" outlineLevel="0" collapsed="false">
      <c r="A297" s="29" t="n">
        <v>46267</v>
      </c>
      <c r="B297" s="40" t="n">
        <f aca="false">IF($A297="",0,INT(($A297-Macrociclo!$C$11)/7)+1)</f>
        <v>35</v>
      </c>
      <c r="C297" s="27" t="s">
        <v>1066</v>
      </c>
      <c r="D297" s="27" t="s">
        <v>192</v>
      </c>
      <c r="E297" s="28" t="s">
        <v>1260</v>
      </c>
      <c r="F297" s="28" t="n">
        <v>100</v>
      </c>
      <c r="G297" s="27" t="s">
        <v>373</v>
      </c>
    </row>
    <row r="298" customFormat="false" ht="15" hidden="false" customHeight="false" outlineLevel="0" collapsed="false">
      <c r="A298" s="29" t="n">
        <v>46267</v>
      </c>
      <c r="B298" s="40" t="n">
        <f aca="false">IF($A298="",0,INT(($A298-Macrociclo!$C$11)/7)+1)</f>
        <v>35</v>
      </c>
      <c r="C298" s="27" t="s">
        <v>1066</v>
      </c>
      <c r="D298" s="27" t="s">
        <v>206</v>
      </c>
      <c r="E298" s="28" t="s">
        <v>1260</v>
      </c>
      <c r="F298" s="28" t="n">
        <v>100</v>
      </c>
      <c r="G298" s="27" t="s">
        <v>373</v>
      </c>
    </row>
    <row r="299" customFormat="false" ht="15" hidden="false" customHeight="false" outlineLevel="0" collapsed="false">
      <c r="A299" s="29" t="n">
        <v>46267</v>
      </c>
      <c r="B299" s="40" t="n">
        <f aca="false">IF($A299="",0,INT(($A299-Macrociclo!$C$11)/7)+1)</f>
        <v>35</v>
      </c>
      <c r="C299" s="27" t="s">
        <v>1066</v>
      </c>
      <c r="D299" s="27" t="s">
        <v>215</v>
      </c>
      <c r="E299" s="28" t="s">
        <v>225</v>
      </c>
      <c r="F299" s="28" t="n">
        <v>0</v>
      </c>
      <c r="G299" s="27" t="s">
        <v>1263</v>
      </c>
    </row>
    <row r="300" customFormat="false" ht="15" hidden="false" customHeight="false" outlineLevel="0" collapsed="false">
      <c r="A300" s="29" t="n">
        <v>46267</v>
      </c>
      <c r="B300" s="40" t="n">
        <f aca="false">IF($A300="",0,INT(($A300-Macrociclo!$C$11)/7)+1)</f>
        <v>35</v>
      </c>
      <c r="C300" s="27" t="s">
        <v>1066</v>
      </c>
      <c r="D300" s="27" t="s">
        <v>226</v>
      </c>
      <c r="E300" s="28" t="s">
        <v>1260</v>
      </c>
      <c r="F300" s="28" t="n">
        <v>100</v>
      </c>
      <c r="G300" s="27" t="s">
        <v>373</v>
      </c>
    </row>
    <row r="301" customFormat="false" ht="15" hidden="false" customHeight="false" outlineLevel="0" collapsed="false">
      <c r="A301" s="29" t="n">
        <v>46267</v>
      </c>
      <c r="B301" s="40" t="n">
        <f aca="false">IF($A301="",0,INT(($A301-Macrociclo!$C$11)/7)+1)</f>
        <v>35</v>
      </c>
      <c r="C301" s="27" t="s">
        <v>1066</v>
      </c>
      <c r="D301" s="27" t="s">
        <v>236</v>
      </c>
      <c r="E301" s="28" t="s">
        <v>1260</v>
      </c>
      <c r="F301" s="28" t="n">
        <v>100</v>
      </c>
      <c r="G301" s="27" t="s">
        <v>373</v>
      </c>
    </row>
    <row r="302" customFormat="false" ht="15" hidden="false" customHeight="false" outlineLevel="0" collapsed="false">
      <c r="A302" s="29" t="n">
        <v>46267</v>
      </c>
      <c r="B302" s="40" t="n">
        <f aca="false">IF($A302="",0,INT(($A302-Macrociclo!$C$11)/7)+1)</f>
        <v>35</v>
      </c>
      <c r="C302" s="27" t="s">
        <v>1066</v>
      </c>
      <c r="D302" s="27" t="s">
        <v>244</v>
      </c>
      <c r="E302" s="28" t="s">
        <v>1260</v>
      </c>
      <c r="F302" s="28" t="n">
        <v>100</v>
      </c>
      <c r="G302" s="27" t="s">
        <v>373</v>
      </c>
    </row>
    <row r="303" customFormat="false" ht="15" hidden="false" customHeight="false" outlineLevel="0" collapsed="false">
      <c r="A303" s="29" t="n">
        <v>46267</v>
      </c>
      <c r="B303" s="40" t="n">
        <f aca="false">IF($A303="",0,INT(($A303-Macrociclo!$C$11)/7)+1)</f>
        <v>35</v>
      </c>
      <c r="C303" s="27" t="s">
        <v>1066</v>
      </c>
      <c r="D303" s="27" t="s">
        <v>253</v>
      </c>
      <c r="E303" s="28" t="s">
        <v>1260</v>
      </c>
      <c r="F303" s="28" t="n">
        <v>100</v>
      </c>
      <c r="G303" s="27" t="s">
        <v>373</v>
      </c>
    </row>
    <row r="304" customFormat="false" ht="15" hidden="false" customHeight="false" outlineLevel="0" collapsed="false">
      <c r="A304" s="29" t="n">
        <v>46267</v>
      </c>
      <c r="B304" s="40" t="n">
        <f aca="false">IF($A304="",0,INT(($A304-Macrociclo!$C$11)/7)+1)</f>
        <v>35</v>
      </c>
      <c r="C304" s="27" t="s">
        <v>1066</v>
      </c>
      <c r="D304" s="27" t="s">
        <v>259</v>
      </c>
      <c r="E304" s="28" t="s">
        <v>1260</v>
      </c>
      <c r="F304" s="28" t="n">
        <v>100</v>
      </c>
      <c r="G304" s="27" t="s">
        <v>373</v>
      </c>
    </row>
    <row r="305" customFormat="false" ht="15" hidden="false" customHeight="false" outlineLevel="0" collapsed="false">
      <c r="A305" s="29" t="n">
        <v>46267</v>
      </c>
      <c r="B305" s="40" t="n">
        <f aca="false">IF($A305="",0,INT(($A305-Macrociclo!$C$11)/7)+1)</f>
        <v>35</v>
      </c>
      <c r="C305" s="27" t="s">
        <v>1066</v>
      </c>
      <c r="D305" s="27" t="s">
        <v>264</v>
      </c>
      <c r="E305" s="28" t="s">
        <v>1260</v>
      </c>
      <c r="F305" s="28" t="n">
        <v>100</v>
      </c>
      <c r="G305" s="27" t="s">
        <v>373</v>
      </c>
    </row>
    <row r="306" customFormat="false" ht="15" hidden="false" customHeight="false" outlineLevel="0" collapsed="false">
      <c r="A306" s="29" t="n">
        <v>46267</v>
      </c>
      <c r="B306" s="40" t="n">
        <f aca="false">IF($A306="",0,INT(($A306-Macrociclo!$C$11)/7)+1)</f>
        <v>35</v>
      </c>
      <c r="C306" s="27" t="s">
        <v>1066</v>
      </c>
      <c r="D306" s="27" t="s">
        <v>270</v>
      </c>
      <c r="E306" s="28" t="s">
        <v>1261</v>
      </c>
      <c r="F306" s="28" t="n">
        <v>0</v>
      </c>
      <c r="G306" s="27" t="s">
        <v>1262</v>
      </c>
    </row>
    <row r="307" customFormat="false" ht="15" hidden="false" customHeight="false" outlineLevel="0" collapsed="false">
      <c r="A307" s="29" t="n">
        <v>46267</v>
      </c>
      <c r="B307" s="40" t="n">
        <f aca="false">IF($A307="",0,INT(($A307-Macrociclo!$C$11)/7)+1)</f>
        <v>35</v>
      </c>
      <c r="C307" s="27" t="s">
        <v>1066</v>
      </c>
      <c r="D307" s="27" t="s">
        <v>279</v>
      </c>
      <c r="E307" s="28" t="s">
        <v>1260</v>
      </c>
      <c r="F307" s="28" t="n">
        <v>100</v>
      </c>
      <c r="G307" s="27" t="s">
        <v>373</v>
      </c>
    </row>
    <row r="308" customFormat="false" ht="15" hidden="false" customHeight="false" outlineLevel="0" collapsed="false">
      <c r="A308" s="29"/>
      <c r="B308" s="40" t="n">
        <f aca="false">IF($A308="",0,INT(($A308-Macrociclo!$C$11)/7)+1)</f>
        <v>0</v>
      </c>
      <c r="C308" s="27"/>
      <c r="D308" s="27"/>
      <c r="E308" s="28"/>
      <c r="F308" s="28"/>
      <c r="G308" s="27"/>
    </row>
    <row r="309" customFormat="false" ht="15" hidden="false" customHeight="false" outlineLevel="0" collapsed="false">
      <c r="A309" s="29"/>
      <c r="B309" s="40" t="n">
        <f aca="false">IF($A309="",0,INT(($A309-Macrociclo!$C$11)/7)+1)</f>
        <v>0</v>
      </c>
      <c r="C309" s="27"/>
      <c r="D309" s="27"/>
      <c r="E309" s="28"/>
      <c r="F309" s="28"/>
      <c r="G309" s="27"/>
    </row>
    <row r="310" customFormat="false" ht="15" hidden="false" customHeight="false" outlineLevel="0" collapsed="false">
      <c r="A310" s="29"/>
      <c r="B310" s="40" t="n">
        <f aca="false">IF($A310="",0,INT(($A310-Macrociclo!$C$11)/7)+1)</f>
        <v>0</v>
      </c>
      <c r="C310" s="27"/>
      <c r="D310" s="27"/>
      <c r="E310" s="28"/>
      <c r="F310" s="28"/>
      <c r="G310" s="27"/>
    </row>
    <row r="311" customFormat="false" ht="15" hidden="false" customHeight="false" outlineLevel="0" collapsed="false">
      <c r="A311" s="29"/>
      <c r="B311" s="40" t="n">
        <f aca="false">IF($A311="",0,INT(($A311-Macrociclo!$C$11)/7)+1)</f>
        <v>0</v>
      </c>
      <c r="C311" s="27"/>
      <c r="D311" s="27"/>
      <c r="E311" s="28"/>
      <c r="F311" s="28"/>
      <c r="G311" s="27"/>
    </row>
    <row r="312" customFormat="false" ht="15" hidden="false" customHeight="false" outlineLevel="0" collapsed="false">
      <c r="A312" s="29"/>
      <c r="B312" s="40" t="n">
        <f aca="false">IF($A312="",0,INT(($A312-Macrociclo!$C$11)/7)+1)</f>
        <v>0</v>
      </c>
      <c r="C312" s="27"/>
      <c r="D312" s="27"/>
      <c r="E312" s="28"/>
      <c r="F312" s="28"/>
      <c r="G312" s="27"/>
    </row>
    <row r="313" customFormat="false" ht="15" hidden="false" customHeight="false" outlineLevel="0" collapsed="false">
      <c r="A313" s="29"/>
      <c r="B313" s="40" t="n">
        <f aca="false">IF($A313="",0,INT(($A313-Macrociclo!$C$11)/7)+1)</f>
        <v>0</v>
      </c>
      <c r="C313" s="27"/>
      <c r="D313" s="27"/>
      <c r="E313" s="28"/>
      <c r="F313" s="28"/>
      <c r="G313" s="27"/>
    </row>
    <row r="314" customFormat="false" ht="15" hidden="false" customHeight="false" outlineLevel="0" collapsed="false">
      <c r="A314" s="29"/>
      <c r="B314" s="40" t="n">
        <f aca="false">IF($A314="",0,INT(($A314-Macrociclo!$C$11)/7)+1)</f>
        <v>0</v>
      </c>
      <c r="C314" s="27"/>
      <c r="D314" s="27"/>
      <c r="E314" s="28"/>
      <c r="F314" s="28"/>
      <c r="G314" s="27"/>
    </row>
    <row r="315" customFormat="false" ht="15" hidden="false" customHeight="false" outlineLevel="0" collapsed="false">
      <c r="A315" s="29"/>
      <c r="B315" s="40" t="n">
        <f aca="false">IF($A315="",0,INT(($A315-Macrociclo!$C$11)/7)+1)</f>
        <v>0</v>
      </c>
      <c r="C315" s="27"/>
      <c r="D315" s="27"/>
      <c r="E315" s="28"/>
      <c r="F315" s="28"/>
      <c r="G315" s="27"/>
    </row>
    <row r="316" customFormat="false" ht="15" hidden="false" customHeight="false" outlineLevel="0" collapsed="false">
      <c r="A316" s="29"/>
      <c r="B316" s="40" t="n">
        <f aca="false">IF($A316="",0,INT(($A316-Macrociclo!$C$11)/7)+1)</f>
        <v>0</v>
      </c>
      <c r="C316" s="27"/>
      <c r="D316" s="27"/>
      <c r="E316" s="28"/>
      <c r="F316" s="28"/>
      <c r="G316" s="27"/>
    </row>
    <row r="317" customFormat="false" ht="15" hidden="false" customHeight="false" outlineLevel="0" collapsed="false">
      <c r="A317" s="29"/>
      <c r="B317" s="40" t="n">
        <f aca="false">IF($A317="",0,INT(($A317-Macrociclo!$C$11)/7)+1)</f>
        <v>0</v>
      </c>
      <c r="C317" s="27"/>
      <c r="D317" s="27"/>
      <c r="E317" s="28"/>
      <c r="F317" s="28"/>
      <c r="G317" s="27"/>
    </row>
    <row r="318" customFormat="false" ht="15" hidden="false" customHeight="false" outlineLevel="0" collapsed="false">
      <c r="A318" s="29"/>
      <c r="B318" s="40" t="n">
        <f aca="false">IF($A318="",0,INT(($A318-Macrociclo!$C$11)/7)+1)</f>
        <v>0</v>
      </c>
      <c r="C318" s="27"/>
      <c r="D318" s="27"/>
      <c r="E318" s="28"/>
      <c r="F318" s="28"/>
      <c r="G318" s="27"/>
    </row>
    <row r="319" customFormat="false" ht="15" hidden="false" customHeight="false" outlineLevel="0" collapsed="false">
      <c r="A319" s="29"/>
      <c r="B319" s="40" t="n">
        <f aca="false">IF($A319="",0,INT(($A319-Macrociclo!$C$11)/7)+1)</f>
        <v>0</v>
      </c>
      <c r="C319" s="27"/>
      <c r="D319" s="27"/>
      <c r="E319" s="28"/>
      <c r="F319" s="28"/>
      <c r="G319" s="27"/>
    </row>
    <row r="320" customFormat="false" ht="15" hidden="false" customHeight="false" outlineLevel="0" collapsed="false">
      <c r="A320" s="29"/>
      <c r="B320" s="40" t="n">
        <f aca="false">IF($A320="",0,INT(($A320-Macrociclo!$C$11)/7)+1)</f>
        <v>0</v>
      </c>
      <c r="C320" s="27"/>
      <c r="D320" s="27"/>
      <c r="E320" s="28"/>
      <c r="F320" s="28"/>
      <c r="G320" s="27"/>
    </row>
    <row r="321" customFormat="false" ht="15" hidden="false" customHeight="false" outlineLevel="0" collapsed="false">
      <c r="A321" s="29"/>
      <c r="B321" s="40" t="n">
        <f aca="false">IF($A321="",0,INT(($A321-Macrociclo!$C$11)/7)+1)</f>
        <v>0</v>
      </c>
      <c r="C321" s="27"/>
      <c r="D321" s="27"/>
      <c r="E321" s="28"/>
      <c r="F321" s="28"/>
      <c r="G321" s="27"/>
    </row>
    <row r="322" customFormat="false" ht="15" hidden="false" customHeight="false" outlineLevel="0" collapsed="false">
      <c r="A322" s="29"/>
      <c r="B322" s="40" t="n">
        <f aca="false">IF($A322="",0,INT(($A322-Macrociclo!$C$11)/7)+1)</f>
        <v>0</v>
      </c>
      <c r="C322" s="27"/>
      <c r="D322" s="27"/>
      <c r="E322" s="28"/>
      <c r="F322" s="28"/>
      <c r="G322" s="27"/>
    </row>
    <row r="323" customFormat="false" ht="15" hidden="false" customHeight="false" outlineLevel="0" collapsed="false">
      <c r="A323" s="29"/>
      <c r="B323" s="40" t="n">
        <f aca="false">IF($A323="",0,INT(($A323-Macrociclo!$C$11)/7)+1)</f>
        <v>0</v>
      </c>
      <c r="C323" s="27"/>
      <c r="D323" s="27"/>
      <c r="E323" s="28"/>
      <c r="F323" s="28"/>
      <c r="G323" s="27"/>
    </row>
    <row r="324" customFormat="false" ht="15" hidden="false" customHeight="false" outlineLevel="0" collapsed="false">
      <c r="A324" s="29"/>
      <c r="B324" s="40" t="n">
        <f aca="false">IF($A324="",0,INT(($A324-Macrociclo!$C$11)/7)+1)</f>
        <v>0</v>
      </c>
      <c r="C324" s="27"/>
      <c r="D324" s="27"/>
      <c r="E324" s="28"/>
      <c r="F324" s="28"/>
      <c r="G324" s="27"/>
    </row>
    <row r="325" customFormat="false" ht="15" hidden="false" customHeight="false" outlineLevel="0" collapsed="false">
      <c r="A325" s="29"/>
      <c r="B325" s="40" t="n">
        <f aca="false">IF($A325="",0,INT(($A325-Macrociclo!$C$11)/7)+1)</f>
        <v>0</v>
      </c>
      <c r="C325" s="27"/>
      <c r="D325" s="27"/>
      <c r="E325" s="28"/>
      <c r="F325" s="28"/>
      <c r="G325" s="27"/>
    </row>
    <row r="326" customFormat="false" ht="15" hidden="false" customHeight="false" outlineLevel="0" collapsed="false">
      <c r="A326" s="29"/>
      <c r="B326" s="40" t="n">
        <f aca="false">IF($A326="",0,INT(($A326-Macrociclo!$C$11)/7)+1)</f>
        <v>0</v>
      </c>
      <c r="C326" s="27"/>
      <c r="D326" s="27"/>
      <c r="E326" s="28"/>
      <c r="F326" s="28"/>
      <c r="G326" s="27"/>
    </row>
    <row r="327" customFormat="false" ht="15" hidden="false" customHeight="false" outlineLevel="0" collapsed="false">
      <c r="A327" s="29"/>
      <c r="B327" s="40" t="n">
        <f aca="false">IF($A327="",0,INT(($A327-Macrociclo!$C$11)/7)+1)</f>
        <v>0</v>
      </c>
      <c r="C327" s="27"/>
      <c r="D327" s="27"/>
      <c r="E327" s="28"/>
      <c r="F327" s="28"/>
      <c r="G327" s="27"/>
    </row>
    <row r="328" customFormat="false" ht="15" hidden="false" customHeight="false" outlineLevel="0" collapsed="false">
      <c r="A328" s="29"/>
      <c r="B328" s="40" t="n">
        <f aca="false">IF($A328="",0,INT(($A328-Macrociclo!$C$11)/7)+1)</f>
        <v>0</v>
      </c>
      <c r="C328" s="27"/>
      <c r="D328" s="27"/>
      <c r="E328" s="28"/>
      <c r="F328" s="28"/>
      <c r="G328" s="27"/>
    </row>
    <row r="329" customFormat="false" ht="15" hidden="false" customHeight="false" outlineLevel="0" collapsed="false">
      <c r="A329" s="29"/>
      <c r="B329" s="40" t="n">
        <f aca="false">IF($A329="",0,INT(($A329-Macrociclo!$C$11)/7)+1)</f>
        <v>0</v>
      </c>
      <c r="C329" s="27"/>
      <c r="D329" s="27"/>
      <c r="E329" s="28"/>
      <c r="F329" s="28"/>
      <c r="G329" s="27"/>
    </row>
    <row r="330" customFormat="false" ht="15" hidden="false" customHeight="false" outlineLevel="0" collapsed="false">
      <c r="A330" s="29"/>
      <c r="B330" s="40" t="n">
        <f aca="false">IF($A330="",0,INT(($A330-Macrociclo!$C$11)/7)+1)</f>
        <v>0</v>
      </c>
      <c r="C330" s="27"/>
      <c r="D330" s="27"/>
      <c r="E330" s="28"/>
      <c r="F330" s="28"/>
      <c r="G330" s="27"/>
    </row>
    <row r="331" customFormat="false" ht="15" hidden="false" customHeight="false" outlineLevel="0" collapsed="false">
      <c r="A331" s="29"/>
      <c r="B331" s="40" t="n">
        <f aca="false">IF($A331="",0,INT(($A331-Macrociclo!$C$11)/7)+1)</f>
        <v>0</v>
      </c>
      <c r="C331" s="27"/>
      <c r="D331" s="27"/>
      <c r="E331" s="28"/>
      <c r="F331" s="28"/>
      <c r="G331" s="27"/>
    </row>
    <row r="332" customFormat="false" ht="15" hidden="false" customHeight="false" outlineLevel="0" collapsed="false">
      <c r="A332" s="29"/>
      <c r="B332" s="40" t="n">
        <f aca="false">IF($A332="",0,INT(($A332-Macrociclo!$C$11)/7)+1)</f>
        <v>0</v>
      </c>
      <c r="C332" s="27"/>
      <c r="D332" s="27"/>
      <c r="E332" s="28"/>
      <c r="F332" s="28"/>
      <c r="G332" s="27"/>
    </row>
    <row r="333" customFormat="false" ht="15" hidden="false" customHeight="false" outlineLevel="0" collapsed="false">
      <c r="A333" s="29"/>
      <c r="B333" s="40" t="n">
        <f aca="false">IF($A333="",0,INT(($A333-Macrociclo!$C$11)/7)+1)</f>
        <v>0</v>
      </c>
      <c r="C333" s="27"/>
      <c r="D333" s="27"/>
      <c r="E333" s="28"/>
      <c r="F333" s="28"/>
      <c r="G333" s="27"/>
    </row>
    <row r="334" customFormat="false" ht="15" hidden="false" customHeight="false" outlineLevel="0" collapsed="false">
      <c r="A334" s="29"/>
      <c r="B334" s="40" t="n">
        <f aca="false">IF($A334="",0,INT(($A334-Macrociclo!$C$11)/7)+1)</f>
        <v>0</v>
      </c>
      <c r="C334" s="27"/>
      <c r="D334" s="27"/>
      <c r="E334" s="28"/>
      <c r="F334" s="28"/>
      <c r="G334" s="27"/>
    </row>
    <row r="335" customFormat="false" ht="15" hidden="false" customHeight="false" outlineLevel="0" collapsed="false">
      <c r="A335" s="29"/>
      <c r="B335" s="40" t="n">
        <f aca="false">IF($A335="",0,INT(($A335-Macrociclo!$C$11)/7)+1)</f>
        <v>0</v>
      </c>
      <c r="C335" s="27"/>
      <c r="D335" s="27"/>
      <c r="E335" s="28"/>
      <c r="F335" s="28"/>
      <c r="G335" s="27"/>
    </row>
    <row r="336" customFormat="false" ht="15" hidden="false" customHeight="false" outlineLevel="0" collapsed="false">
      <c r="A336" s="29"/>
      <c r="B336" s="40" t="n">
        <f aca="false">IF($A336="",0,INT(($A336-Macrociclo!$C$11)/7)+1)</f>
        <v>0</v>
      </c>
      <c r="C336" s="27"/>
      <c r="D336" s="27"/>
      <c r="E336" s="28"/>
      <c r="F336" s="28"/>
      <c r="G336" s="27"/>
    </row>
    <row r="337" customFormat="false" ht="15" hidden="false" customHeight="false" outlineLevel="0" collapsed="false">
      <c r="A337" s="29"/>
      <c r="B337" s="40" t="n">
        <f aca="false">IF($A337="",0,INT(($A337-Macrociclo!$C$11)/7)+1)</f>
        <v>0</v>
      </c>
      <c r="C337" s="27"/>
      <c r="D337" s="27"/>
      <c r="E337" s="28"/>
      <c r="F337" s="28"/>
      <c r="G337" s="27"/>
    </row>
    <row r="338" customFormat="false" ht="15" hidden="false" customHeight="false" outlineLevel="0" collapsed="false">
      <c r="A338" s="29"/>
      <c r="B338" s="40" t="n">
        <f aca="false">IF($A338="",0,INT(($A338-Macrociclo!$C$11)/7)+1)</f>
        <v>0</v>
      </c>
      <c r="C338" s="27"/>
      <c r="D338" s="27"/>
      <c r="E338" s="28"/>
      <c r="F338" s="28"/>
      <c r="G338" s="27"/>
    </row>
    <row r="339" customFormat="false" ht="15" hidden="false" customHeight="false" outlineLevel="0" collapsed="false">
      <c r="A339" s="29"/>
      <c r="B339" s="40" t="n">
        <f aca="false">IF($A339="",0,INT(($A339-Macrociclo!$C$11)/7)+1)</f>
        <v>0</v>
      </c>
      <c r="C339" s="27"/>
      <c r="D339" s="27"/>
      <c r="E339" s="28"/>
      <c r="F339" s="28"/>
      <c r="G339" s="27"/>
    </row>
    <row r="340" customFormat="false" ht="15" hidden="false" customHeight="false" outlineLevel="0" collapsed="false">
      <c r="A340" s="29"/>
      <c r="B340" s="40" t="n">
        <f aca="false">IF($A340="",0,INT(($A340-Macrociclo!$C$11)/7)+1)</f>
        <v>0</v>
      </c>
      <c r="C340" s="27"/>
      <c r="D340" s="27"/>
      <c r="E340" s="28"/>
      <c r="F340" s="28"/>
      <c r="G340" s="27"/>
    </row>
    <row r="341" customFormat="false" ht="15" hidden="false" customHeight="false" outlineLevel="0" collapsed="false">
      <c r="A341" s="29"/>
      <c r="B341" s="40" t="n">
        <f aca="false">IF($A341="",0,INT(($A341-Macrociclo!$C$11)/7)+1)</f>
        <v>0</v>
      </c>
      <c r="C341" s="27"/>
      <c r="D341" s="27"/>
      <c r="E341" s="28"/>
      <c r="F341" s="28"/>
      <c r="G341" s="27"/>
    </row>
    <row r="342" customFormat="false" ht="15" hidden="false" customHeight="false" outlineLevel="0" collapsed="false">
      <c r="A342" s="29"/>
      <c r="B342" s="40" t="n">
        <f aca="false">IF($A342="",0,INT(($A342-Macrociclo!$C$11)/7)+1)</f>
        <v>0</v>
      </c>
      <c r="C342" s="27"/>
      <c r="D342" s="27"/>
      <c r="E342" s="28"/>
      <c r="F342" s="28"/>
      <c r="G342" s="27"/>
    </row>
    <row r="343" customFormat="false" ht="15" hidden="false" customHeight="false" outlineLevel="0" collapsed="false">
      <c r="A343" s="29"/>
      <c r="B343" s="40" t="n">
        <f aca="false">IF($A343="",0,INT(($A343-Macrociclo!$C$11)/7)+1)</f>
        <v>0</v>
      </c>
      <c r="C343" s="27"/>
      <c r="D343" s="27"/>
      <c r="E343" s="28"/>
      <c r="F343" s="28"/>
      <c r="G343" s="27"/>
    </row>
    <row r="344" customFormat="false" ht="15" hidden="false" customHeight="false" outlineLevel="0" collapsed="false">
      <c r="A344" s="29"/>
      <c r="B344" s="40" t="n">
        <f aca="false">IF($A344="",0,INT(($A344-Macrociclo!$C$11)/7)+1)</f>
        <v>0</v>
      </c>
      <c r="C344" s="27"/>
      <c r="D344" s="27"/>
      <c r="E344" s="28"/>
      <c r="F344" s="28"/>
      <c r="G344" s="27"/>
    </row>
    <row r="345" customFormat="false" ht="15" hidden="false" customHeight="false" outlineLevel="0" collapsed="false">
      <c r="A345" s="29"/>
      <c r="B345" s="40" t="n">
        <f aca="false">IF($A345="",0,INT(($A345-Macrociclo!$C$11)/7)+1)</f>
        <v>0</v>
      </c>
      <c r="C345" s="27"/>
      <c r="D345" s="27"/>
      <c r="E345" s="28"/>
      <c r="F345" s="28"/>
      <c r="G345" s="27"/>
    </row>
    <row r="346" customFormat="false" ht="15" hidden="false" customHeight="false" outlineLevel="0" collapsed="false">
      <c r="A346" s="29"/>
      <c r="B346" s="40" t="n">
        <f aca="false">IF($A346="",0,INT(($A346-Macrociclo!$C$11)/7)+1)</f>
        <v>0</v>
      </c>
      <c r="C346" s="27"/>
      <c r="D346" s="27"/>
      <c r="E346" s="28"/>
      <c r="F346" s="28"/>
      <c r="G346" s="27"/>
    </row>
    <row r="347" customFormat="false" ht="15" hidden="false" customHeight="false" outlineLevel="0" collapsed="false">
      <c r="A347" s="29"/>
      <c r="B347" s="40" t="n">
        <f aca="false">IF($A347="",0,INT(($A347-Macrociclo!$C$11)/7)+1)</f>
        <v>0</v>
      </c>
      <c r="C347" s="27"/>
      <c r="D347" s="27"/>
      <c r="E347" s="28"/>
      <c r="F347" s="28"/>
      <c r="G347" s="27"/>
    </row>
    <row r="348" customFormat="false" ht="15" hidden="false" customHeight="false" outlineLevel="0" collapsed="false">
      <c r="A348" s="29"/>
      <c r="B348" s="40" t="n">
        <f aca="false">IF($A348="",0,INT(($A348-Macrociclo!$C$11)/7)+1)</f>
        <v>0</v>
      </c>
      <c r="C348" s="27"/>
      <c r="D348" s="27"/>
      <c r="E348" s="28"/>
      <c r="F348" s="28"/>
      <c r="G348" s="27"/>
    </row>
    <row r="349" customFormat="false" ht="15" hidden="false" customHeight="false" outlineLevel="0" collapsed="false">
      <c r="A349" s="29"/>
      <c r="B349" s="40" t="n">
        <f aca="false">IF($A349="",0,INT(($A349-Macrociclo!$C$11)/7)+1)</f>
        <v>0</v>
      </c>
      <c r="C349" s="27"/>
      <c r="D349" s="27"/>
      <c r="E349" s="28"/>
      <c r="F349" s="28"/>
      <c r="G349" s="27"/>
    </row>
    <row r="350" customFormat="false" ht="15" hidden="false" customHeight="false" outlineLevel="0" collapsed="false">
      <c r="A350" s="29"/>
      <c r="B350" s="40" t="n">
        <f aca="false">IF($A350="",0,INT(($A350-Macrociclo!$C$11)/7)+1)</f>
        <v>0</v>
      </c>
      <c r="C350" s="27"/>
      <c r="D350" s="27"/>
      <c r="E350" s="28"/>
      <c r="F350" s="28"/>
      <c r="G350" s="27"/>
    </row>
    <row r="351" customFormat="false" ht="15" hidden="false" customHeight="false" outlineLevel="0" collapsed="false">
      <c r="A351" s="29"/>
      <c r="B351" s="40" t="n">
        <f aca="false">IF($A351="",0,INT(($A351-Macrociclo!$C$11)/7)+1)</f>
        <v>0</v>
      </c>
      <c r="C351" s="27"/>
      <c r="D351" s="27"/>
      <c r="E351" s="28"/>
      <c r="F351" s="28"/>
      <c r="G351" s="27"/>
    </row>
    <row r="352" customFormat="false" ht="15" hidden="false" customHeight="false" outlineLevel="0" collapsed="false">
      <c r="A352" s="29"/>
      <c r="B352" s="40" t="n">
        <f aca="false">IF($A352="",0,INT(($A352-Macrociclo!$C$11)/7)+1)</f>
        <v>0</v>
      </c>
      <c r="C352" s="27"/>
      <c r="D352" s="27"/>
      <c r="E352" s="28"/>
      <c r="F352" s="28"/>
      <c r="G352" s="27"/>
    </row>
    <row r="353" customFormat="false" ht="15" hidden="false" customHeight="false" outlineLevel="0" collapsed="false">
      <c r="A353" s="29"/>
      <c r="B353" s="40" t="n">
        <f aca="false">IF($A353="",0,INT(($A353-Macrociclo!$C$11)/7)+1)</f>
        <v>0</v>
      </c>
      <c r="C353" s="27"/>
      <c r="D353" s="27"/>
      <c r="E353" s="28"/>
      <c r="F353" s="28"/>
      <c r="G353" s="27"/>
    </row>
    <row r="354" customFormat="false" ht="15" hidden="false" customHeight="false" outlineLevel="0" collapsed="false">
      <c r="A354" s="29"/>
      <c r="B354" s="40" t="n">
        <f aca="false">IF($A354="",0,INT(($A354-Macrociclo!$C$11)/7)+1)</f>
        <v>0</v>
      </c>
      <c r="C354" s="27"/>
      <c r="D354" s="27"/>
      <c r="E354" s="28"/>
      <c r="F354" s="28"/>
      <c r="G354" s="27"/>
    </row>
    <row r="355" customFormat="false" ht="15" hidden="false" customHeight="false" outlineLevel="0" collapsed="false">
      <c r="A355" s="29"/>
      <c r="B355" s="40" t="n">
        <f aca="false">IF($A355="",0,INT(($A355-Macrociclo!$C$11)/7)+1)</f>
        <v>0</v>
      </c>
      <c r="C355" s="27"/>
      <c r="D355" s="27"/>
      <c r="E355" s="28"/>
      <c r="F355" s="28"/>
      <c r="G355" s="27"/>
    </row>
    <row r="356" customFormat="false" ht="15" hidden="false" customHeight="false" outlineLevel="0" collapsed="false">
      <c r="A356" s="29"/>
      <c r="B356" s="40" t="n">
        <f aca="false">IF($A356="",0,INT(($A356-Macrociclo!$C$11)/7)+1)</f>
        <v>0</v>
      </c>
      <c r="C356" s="27"/>
      <c r="D356" s="27"/>
      <c r="E356" s="28"/>
      <c r="F356" s="28"/>
      <c r="G356" s="27"/>
    </row>
    <row r="357" customFormat="false" ht="15" hidden="false" customHeight="false" outlineLevel="0" collapsed="false">
      <c r="A357" s="29"/>
      <c r="B357" s="40" t="n">
        <f aca="false">IF($A357="",0,INT(($A357-Macrociclo!$C$11)/7)+1)</f>
        <v>0</v>
      </c>
      <c r="C357" s="27"/>
      <c r="D357" s="27"/>
      <c r="E357" s="28"/>
      <c r="F357" s="28"/>
      <c r="G357" s="27"/>
    </row>
    <row r="358" customFormat="false" ht="15" hidden="false" customHeight="false" outlineLevel="0" collapsed="false">
      <c r="A358" s="29"/>
      <c r="B358" s="40" t="n">
        <f aca="false">IF($A358="",0,INT(($A358-Macrociclo!$C$11)/7)+1)</f>
        <v>0</v>
      </c>
      <c r="C358" s="27"/>
      <c r="D358" s="27"/>
      <c r="E358" s="28"/>
      <c r="F358" s="28"/>
      <c r="G358" s="27"/>
    </row>
    <row r="359" customFormat="false" ht="15" hidden="false" customHeight="false" outlineLevel="0" collapsed="false">
      <c r="A359" s="29"/>
      <c r="B359" s="40" t="n">
        <f aca="false">IF($A359="",0,INT(($A359-Macrociclo!$C$11)/7)+1)</f>
        <v>0</v>
      </c>
      <c r="C359" s="27"/>
      <c r="D359" s="27"/>
      <c r="E359" s="28"/>
      <c r="F359" s="28"/>
      <c r="G359" s="27"/>
    </row>
    <row r="360" customFormat="false" ht="15" hidden="false" customHeight="false" outlineLevel="0" collapsed="false">
      <c r="A360" s="29"/>
      <c r="B360" s="40" t="n">
        <f aca="false">IF($A360="",0,INT(($A360-Macrociclo!$C$11)/7)+1)</f>
        <v>0</v>
      </c>
      <c r="C360" s="27"/>
      <c r="D360" s="27"/>
      <c r="E360" s="28"/>
      <c r="F360" s="28"/>
      <c r="G360" s="27"/>
    </row>
    <row r="361" customFormat="false" ht="15" hidden="false" customHeight="false" outlineLevel="0" collapsed="false">
      <c r="A361" s="29"/>
      <c r="B361" s="40" t="n">
        <f aca="false">IF($A361="",0,INT(($A361-Macrociclo!$C$11)/7)+1)</f>
        <v>0</v>
      </c>
      <c r="C361" s="27"/>
      <c r="D361" s="27"/>
      <c r="E361" s="28"/>
      <c r="F361" s="28"/>
      <c r="G361" s="27"/>
    </row>
    <row r="362" customFormat="false" ht="15" hidden="false" customHeight="false" outlineLevel="0" collapsed="false">
      <c r="A362" s="29"/>
      <c r="B362" s="40" t="n">
        <f aca="false">IF($A362="",0,INT(($A362-Macrociclo!$C$11)/7)+1)</f>
        <v>0</v>
      </c>
      <c r="C362" s="27"/>
      <c r="D362" s="27"/>
      <c r="E362" s="28"/>
      <c r="F362" s="28"/>
      <c r="G362" s="27"/>
    </row>
    <row r="363" customFormat="false" ht="15" hidden="false" customHeight="false" outlineLevel="0" collapsed="false">
      <c r="A363" s="29"/>
      <c r="B363" s="40" t="n">
        <f aca="false">IF($A363="",0,INT(($A363-Macrociclo!$C$11)/7)+1)</f>
        <v>0</v>
      </c>
      <c r="C363" s="27"/>
      <c r="D363" s="27"/>
      <c r="E363" s="28"/>
      <c r="F363" s="28"/>
      <c r="G363" s="27"/>
    </row>
    <row r="364" customFormat="false" ht="15" hidden="false" customHeight="false" outlineLevel="0" collapsed="false">
      <c r="A364" s="29"/>
      <c r="B364" s="40" t="n">
        <f aca="false">IF($A364="",0,INT(($A364-Macrociclo!$C$11)/7)+1)</f>
        <v>0</v>
      </c>
      <c r="C364" s="27"/>
      <c r="D364" s="27"/>
      <c r="E364" s="28"/>
      <c r="F364" s="28"/>
      <c r="G364" s="27"/>
    </row>
    <row r="365" customFormat="false" ht="15" hidden="false" customHeight="false" outlineLevel="0" collapsed="false">
      <c r="A365" s="29"/>
      <c r="B365" s="40" t="n">
        <f aca="false">IF($A365="",0,INT(($A365-Macrociclo!$C$11)/7)+1)</f>
        <v>0</v>
      </c>
      <c r="C365" s="27"/>
      <c r="D365" s="27"/>
      <c r="E365" s="28"/>
      <c r="F365" s="28"/>
      <c r="G365" s="27"/>
    </row>
    <row r="366" customFormat="false" ht="15" hidden="false" customHeight="false" outlineLevel="0" collapsed="false">
      <c r="A366" s="29"/>
      <c r="B366" s="40" t="n">
        <f aca="false">IF($A366="",0,INT(($A366-Macrociclo!$C$11)/7)+1)</f>
        <v>0</v>
      </c>
      <c r="C366" s="27"/>
      <c r="D366" s="27"/>
      <c r="E366" s="28"/>
      <c r="F366" s="28"/>
      <c r="G366" s="27"/>
    </row>
    <row r="367" customFormat="false" ht="15" hidden="false" customHeight="false" outlineLevel="0" collapsed="false">
      <c r="A367" s="29"/>
      <c r="B367" s="40" t="n">
        <f aca="false">IF($A367="",0,INT(($A367-Macrociclo!$C$11)/7)+1)</f>
        <v>0</v>
      </c>
      <c r="C367" s="27"/>
      <c r="D367" s="27"/>
      <c r="E367" s="28"/>
      <c r="F367" s="28"/>
      <c r="G367" s="27"/>
    </row>
    <row r="368" customFormat="false" ht="15" hidden="false" customHeight="false" outlineLevel="0" collapsed="false">
      <c r="A368" s="29"/>
      <c r="B368" s="40" t="n">
        <f aca="false">IF($A368="",0,INT(($A368-Macrociclo!$C$11)/7)+1)</f>
        <v>0</v>
      </c>
      <c r="C368" s="27"/>
      <c r="D368" s="27"/>
      <c r="E368" s="28"/>
      <c r="F368" s="28"/>
      <c r="G368" s="27"/>
    </row>
    <row r="369" customFormat="false" ht="15" hidden="false" customHeight="false" outlineLevel="0" collapsed="false">
      <c r="A369" s="29"/>
      <c r="B369" s="40" t="n">
        <f aca="false">IF($A369="",0,INT(($A369-Macrociclo!$C$11)/7)+1)</f>
        <v>0</v>
      </c>
      <c r="C369" s="27"/>
      <c r="D369" s="27"/>
      <c r="E369" s="28"/>
      <c r="F369" s="28"/>
      <c r="G369" s="27"/>
    </row>
    <row r="370" customFormat="false" ht="15" hidden="false" customHeight="false" outlineLevel="0" collapsed="false">
      <c r="A370" s="29"/>
      <c r="B370" s="40" t="n">
        <f aca="false">IF($A370="",0,INT(($A370-Macrociclo!$C$11)/7)+1)</f>
        <v>0</v>
      </c>
      <c r="C370" s="27"/>
      <c r="D370" s="27"/>
      <c r="E370" s="28"/>
      <c r="F370" s="28"/>
      <c r="G370" s="27"/>
    </row>
    <row r="371" customFormat="false" ht="15" hidden="false" customHeight="false" outlineLevel="0" collapsed="false">
      <c r="A371" s="29"/>
      <c r="B371" s="40" t="n">
        <f aca="false">IF($A371="",0,INT(($A371-Macrociclo!$C$11)/7)+1)</f>
        <v>0</v>
      </c>
      <c r="C371" s="27"/>
      <c r="D371" s="27"/>
      <c r="E371" s="28"/>
      <c r="F371" s="28"/>
      <c r="G371" s="27"/>
    </row>
    <row r="372" customFormat="false" ht="15" hidden="false" customHeight="false" outlineLevel="0" collapsed="false">
      <c r="A372" s="29"/>
      <c r="B372" s="40" t="n">
        <f aca="false">IF($A372="",0,INT(($A372-Macrociclo!$C$11)/7)+1)</f>
        <v>0</v>
      </c>
      <c r="C372" s="27"/>
      <c r="D372" s="27"/>
      <c r="E372" s="28"/>
      <c r="F372" s="28"/>
      <c r="G372" s="27"/>
    </row>
    <row r="373" customFormat="false" ht="15" hidden="false" customHeight="false" outlineLevel="0" collapsed="false">
      <c r="A373" s="29"/>
      <c r="B373" s="40" t="n">
        <f aca="false">IF($A373="",0,INT(($A373-Macrociclo!$C$11)/7)+1)</f>
        <v>0</v>
      </c>
      <c r="C373" s="27"/>
      <c r="D373" s="27"/>
      <c r="E373" s="28"/>
      <c r="F373" s="28"/>
      <c r="G373" s="27"/>
    </row>
    <row r="374" customFormat="false" ht="15" hidden="false" customHeight="false" outlineLevel="0" collapsed="false">
      <c r="A374" s="29"/>
      <c r="B374" s="40" t="n">
        <f aca="false">IF($A374="",0,INT(($A374-Macrociclo!$C$11)/7)+1)</f>
        <v>0</v>
      </c>
      <c r="C374" s="27"/>
      <c r="D374" s="27"/>
      <c r="E374" s="28"/>
      <c r="F374" s="28"/>
      <c r="G374" s="27"/>
    </row>
    <row r="375" customFormat="false" ht="15" hidden="false" customHeight="false" outlineLevel="0" collapsed="false">
      <c r="A375" s="29"/>
      <c r="B375" s="40" t="n">
        <f aca="false">IF($A375="",0,INT(($A375-Macrociclo!$C$11)/7)+1)</f>
        <v>0</v>
      </c>
      <c r="C375" s="27"/>
      <c r="D375" s="27"/>
      <c r="E375" s="28"/>
      <c r="F375" s="28"/>
      <c r="G375" s="27"/>
    </row>
    <row r="376" customFormat="false" ht="15" hidden="false" customHeight="false" outlineLevel="0" collapsed="false">
      <c r="A376" s="29"/>
      <c r="B376" s="40" t="n">
        <f aca="false">IF($A376="",0,INT(($A376-Macrociclo!$C$11)/7)+1)</f>
        <v>0</v>
      </c>
      <c r="C376" s="27"/>
      <c r="D376" s="27"/>
      <c r="E376" s="28"/>
      <c r="F376" s="28"/>
      <c r="G376" s="27"/>
    </row>
    <row r="377" customFormat="false" ht="15" hidden="false" customHeight="false" outlineLevel="0" collapsed="false">
      <c r="A377" s="29"/>
      <c r="B377" s="40" t="n">
        <f aca="false">IF($A377="",0,INT(($A377-Macrociclo!$C$11)/7)+1)</f>
        <v>0</v>
      </c>
      <c r="C377" s="27"/>
      <c r="D377" s="27"/>
      <c r="E377" s="28"/>
      <c r="F377" s="28"/>
      <c r="G377" s="27"/>
    </row>
    <row r="378" customFormat="false" ht="15" hidden="false" customHeight="false" outlineLevel="0" collapsed="false">
      <c r="A378" s="29"/>
      <c r="B378" s="40" t="n">
        <f aca="false">IF($A378="",0,INT(($A378-Macrociclo!$C$11)/7)+1)</f>
        <v>0</v>
      </c>
      <c r="C378" s="27"/>
      <c r="D378" s="27"/>
      <c r="E378" s="28"/>
      <c r="F378" s="28"/>
      <c r="G378" s="27"/>
    </row>
    <row r="379" customFormat="false" ht="15" hidden="false" customHeight="false" outlineLevel="0" collapsed="false">
      <c r="A379" s="29"/>
      <c r="B379" s="40" t="n">
        <f aca="false">IF($A379="",0,INT(($A379-Macrociclo!$C$11)/7)+1)</f>
        <v>0</v>
      </c>
      <c r="C379" s="27"/>
      <c r="D379" s="27"/>
      <c r="E379" s="28"/>
      <c r="F379" s="28"/>
      <c r="G379" s="27"/>
    </row>
    <row r="380" customFormat="false" ht="15" hidden="false" customHeight="false" outlineLevel="0" collapsed="false">
      <c r="A380" s="29"/>
      <c r="B380" s="40" t="n">
        <f aca="false">IF($A380="",0,INT(($A380-Macrociclo!$C$11)/7)+1)</f>
        <v>0</v>
      </c>
      <c r="C380" s="27"/>
      <c r="D380" s="27"/>
      <c r="E380" s="28"/>
      <c r="F380" s="28"/>
      <c r="G380" s="27"/>
    </row>
    <row r="381" customFormat="false" ht="15" hidden="false" customHeight="false" outlineLevel="0" collapsed="false">
      <c r="A381" s="29"/>
      <c r="B381" s="40" t="n">
        <f aca="false">IF($A381="",0,INT(($A381-Macrociclo!$C$11)/7)+1)</f>
        <v>0</v>
      </c>
      <c r="C381" s="27"/>
      <c r="D381" s="27"/>
      <c r="E381" s="28"/>
      <c r="F381" s="28"/>
      <c r="G381" s="27"/>
    </row>
    <row r="382" customFormat="false" ht="15" hidden="false" customHeight="false" outlineLevel="0" collapsed="false">
      <c r="A382" s="29"/>
      <c r="B382" s="40" t="n">
        <f aca="false">IF($A382="",0,INT(($A382-Macrociclo!$C$11)/7)+1)</f>
        <v>0</v>
      </c>
      <c r="C382" s="27"/>
      <c r="D382" s="27"/>
      <c r="E382" s="28"/>
      <c r="F382" s="28"/>
      <c r="G382" s="27"/>
    </row>
    <row r="383" customFormat="false" ht="15" hidden="false" customHeight="false" outlineLevel="0" collapsed="false">
      <c r="A383" s="29"/>
      <c r="B383" s="40" t="n">
        <f aca="false">IF($A383="",0,INT(($A383-Macrociclo!$C$11)/7)+1)</f>
        <v>0</v>
      </c>
      <c r="C383" s="27"/>
      <c r="D383" s="27"/>
      <c r="E383" s="28"/>
      <c r="F383" s="28"/>
      <c r="G383" s="27"/>
    </row>
    <row r="384" customFormat="false" ht="15" hidden="false" customHeight="false" outlineLevel="0" collapsed="false">
      <c r="A384" s="29"/>
      <c r="B384" s="40" t="n">
        <f aca="false">IF($A384="",0,INT(($A384-Macrociclo!$C$11)/7)+1)</f>
        <v>0</v>
      </c>
      <c r="C384" s="27"/>
      <c r="D384" s="27"/>
      <c r="E384" s="28"/>
      <c r="F384" s="28"/>
      <c r="G384" s="27"/>
    </row>
    <row r="385" customFormat="false" ht="15" hidden="false" customHeight="false" outlineLevel="0" collapsed="false">
      <c r="A385" s="29"/>
      <c r="B385" s="40" t="n">
        <f aca="false">IF($A385="",0,INT(($A385-Macrociclo!$C$11)/7)+1)</f>
        <v>0</v>
      </c>
      <c r="C385" s="27"/>
      <c r="D385" s="27"/>
      <c r="E385" s="28"/>
      <c r="F385" s="28"/>
      <c r="G385" s="27"/>
    </row>
    <row r="386" customFormat="false" ht="15" hidden="false" customHeight="false" outlineLevel="0" collapsed="false">
      <c r="A386" s="29"/>
      <c r="B386" s="40" t="n">
        <f aca="false">IF($A386="",0,INT(($A386-Macrociclo!$C$11)/7)+1)</f>
        <v>0</v>
      </c>
      <c r="C386" s="27"/>
      <c r="D386" s="27"/>
      <c r="E386" s="28"/>
      <c r="F386" s="28"/>
      <c r="G386" s="27"/>
    </row>
    <row r="387" customFormat="false" ht="15" hidden="false" customHeight="false" outlineLevel="0" collapsed="false">
      <c r="A387" s="29"/>
      <c r="B387" s="40" t="n">
        <f aca="false">IF($A387="",0,INT(($A387-Macrociclo!$C$11)/7)+1)</f>
        <v>0</v>
      </c>
      <c r="C387" s="27"/>
      <c r="D387" s="27"/>
      <c r="E387" s="28"/>
      <c r="F387" s="28"/>
      <c r="G387" s="27"/>
    </row>
    <row r="388" customFormat="false" ht="15" hidden="false" customHeight="false" outlineLevel="0" collapsed="false">
      <c r="A388" s="29"/>
      <c r="B388" s="40" t="n">
        <f aca="false">IF($A388="",0,INT(($A388-Macrociclo!$C$11)/7)+1)</f>
        <v>0</v>
      </c>
      <c r="C388" s="27"/>
      <c r="D388" s="27"/>
      <c r="E388" s="28"/>
      <c r="F388" s="28"/>
      <c r="G388" s="27"/>
    </row>
    <row r="389" customFormat="false" ht="15" hidden="false" customHeight="false" outlineLevel="0" collapsed="false">
      <c r="A389" s="29"/>
      <c r="B389" s="40" t="n">
        <f aca="false">IF($A389="",0,INT(($A389-Macrociclo!$C$11)/7)+1)</f>
        <v>0</v>
      </c>
      <c r="C389" s="27"/>
      <c r="D389" s="27"/>
      <c r="E389" s="28"/>
      <c r="F389" s="28"/>
      <c r="G389" s="27"/>
    </row>
    <row r="390" customFormat="false" ht="15" hidden="false" customHeight="false" outlineLevel="0" collapsed="false">
      <c r="A390" s="29"/>
      <c r="B390" s="40" t="n">
        <f aca="false">IF($A390="",0,INT(($A390-Macrociclo!$C$11)/7)+1)</f>
        <v>0</v>
      </c>
      <c r="C390" s="27"/>
      <c r="D390" s="27"/>
      <c r="E390" s="28"/>
      <c r="F390" s="28"/>
      <c r="G390" s="27"/>
    </row>
    <row r="391" customFormat="false" ht="15" hidden="false" customHeight="false" outlineLevel="0" collapsed="false">
      <c r="A391" s="29"/>
      <c r="B391" s="40" t="n">
        <f aca="false">IF($A391="",0,INT(($A391-Macrociclo!$C$11)/7)+1)</f>
        <v>0</v>
      </c>
      <c r="C391" s="27"/>
      <c r="D391" s="27"/>
      <c r="E391" s="28"/>
      <c r="F391" s="28"/>
      <c r="G391" s="27"/>
    </row>
    <row r="392" customFormat="false" ht="15" hidden="false" customHeight="false" outlineLevel="0" collapsed="false">
      <c r="A392" s="29"/>
      <c r="B392" s="40" t="n">
        <f aca="false">IF($A392="",0,INT(($A392-Macrociclo!$C$11)/7)+1)</f>
        <v>0</v>
      </c>
      <c r="C392" s="27"/>
      <c r="D392" s="27"/>
      <c r="E392" s="28"/>
      <c r="F392" s="28"/>
      <c r="G392" s="27"/>
    </row>
    <row r="393" customFormat="false" ht="15" hidden="false" customHeight="false" outlineLevel="0" collapsed="false">
      <c r="A393" s="29"/>
      <c r="B393" s="40" t="n">
        <f aca="false">IF($A393="",0,INT(($A393-Macrociclo!$C$11)/7)+1)</f>
        <v>0</v>
      </c>
      <c r="C393" s="27"/>
      <c r="D393" s="27"/>
      <c r="E393" s="28"/>
      <c r="F393" s="28"/>
      <c r="G393" s="27"/>
    </row>
    <row r="394" customFormat="false" ht="15" hidden="false" customHeight="false" outlineLevel="0" collapsed="false">
      <c r="A394" s="29"/>
      <c r="B394" s="40" t="n">
        <f aca="false">IF($A394="",0,INT(($A394-Macrociclo!$C$11)/7)+1)</f>
        <v>0</v>
      </c>
      <c r="C394" s="27"/>
      <c r="D394" s="27"/>
      <c r="E394" s="28"/>
      <c r="F394" s="28"/>
      <c r="G394" s="27"/>
    </row>
    <row r="395" customFormat="false" ht="15" hidden="false" customHeight="false" outlineLevel="0" collapsed="false">
      <c r="A395" s="29"/>
      <c r="B395" s="40" t="n">
        <f aca="false">IF($A395="",0,INT(($A395-Macrociclo!$C$11)/7)+1)</f>
        <v>0</v>
      </c>
      <c r="C395" s="27"/>
      <c r="D395" s="27"/>
      <c r="E395" s="28"/>
      <c r="F395" s="28"/>
      <c r="G395" s="27"/>
    </row>
    <row r="396" customFormat="false" ht="15" hidden="false" customHeight="false" outlineLevel="0" collapsed="false">
      <c r="A396" s="29"/>
      <c r="B396" s="40" t="n">
        <f aca="false">IF($A396="",0,INT(($A396-Macrociclo!$C$11)/7)+1)</f>
        <v>0</v>
      </c>
      <c r="C396" s="27"/>
      <c r="D396" s="27"/>
      <c r="E396" s="28"/>
      <c r="F396" s="28"/>
      <c r="G396" s="27"/>
    </row>
    <row r="397" customFormat="false" ht="15" hidden="false" customHeight="false" outlineLevel="0" collapsed="false">
      <c r="A397" s="29"/>
      <c r="B397" s="40" t="n">
        <f aca="false">IF($A397="",0,INT(($A397-Macrociclo!$C$11)/7)+1)</f>
        <v>0</v>
      </c>
      <c r="C397" s="27"/>
      <c r="D397" s="27"/>
      <c r="E397" s="28"/>
      <c r="F397" s="28"/>
      <c r="G397" s="27"/>
    </row>
    <row r="398" customFormat="false" ht="15" hidden="false" customHeight="false" outlineLevel="0" collapsed="false">
      <c r="A398" s="29"/>
      <c r="B398" s="40" t="n">
        <f aca="false">IF($A398="",0,INT(($A398-Macrociclo!$C$11)/7)+1)</f>
        <v>0</v>
      </c>
      <c r="C398" s="27"/>
      <c r="D398" s="27"/>
      <c r="E398" s="28"/>
      <c r="F398" s="28"/>
      <c r="G398" s="27"/>
    </row>
    <row r="399" customFormat="false" ht="15" hidden="false" customHeight="false" outlineLevel="0" collapsed="false">
      <c r="A399" s="29"/>
      <c r="B399" s="40" t="n">
        <f aca="false">IF($A399="",0,INT(($A399-Macrociclo!$C$11)/7)+1)</f>
        <v>0</v>
      </c>
      <c r="C399" s="27"/>
      <c r="D399" s="27"/>
      <c r="E399" s="28"/>
      <c r="F399" s="28"/>
      <c r="G399" s="27"/>
    </row>
    <row r="400" customFormat="false" ht="15" hidden="false" customHeight="false" outlineLevel="0" collapsed="false">
      <c r="A400" s="29"/>
      <c r="B400" s="40" t="n">
        <f aca="false">IF($A400="",0,INT(($A400-Macrociclo!$C$11)/7)+1)</f>
        <v>0</v>
      </c>
      <c r="C400" s="27"/>
      <c r="D400" s="27"/>
      <c r="E400" s="28"/>
      <c r="F400" s="28"/>
      <c r="G400" s="27"/>
    </row>
    <row r="401" customFormat="false" ht="15" hidden="false" customHeight="false" outlineLevel="0" collapsed="false">
      <c r="A401" s="29"/>
      <c r="B401" s="40" t="n">
        <f aca="false">IF($A401="",0,INT(($A401-Macrociclo!$C$11)/7)+1)</f>
        <v>0</v>
      </c>
      <c r="C401" s="27"/>
      <c r="D401" s="27"/>
      <c r="E401" s="28"/>
      <c r="F401" s="28"/>
      <c r="G401" s="27"/>
    </row>
    <row r="402" customFormat="false" ht="15" hidden="false" customHeight="false" outlineLevel="0" collapsed="false">
      <c r="A402" s="29"/>
      <c r="B402" s="40" t="n">
        <f aca="false">IF($A402="",0,INT(($A402-Macrociclo!$C$11)/7)+1)</f>
        <v>0</v>
      </c>
      <c r="C402" s="27"/>
      <c r="D402" s="27"/>
      <c r="E402" s="28"/>
      <c r="F402" s="28"/>
      <c r="G402" s="27"/>
    </row>
    <row r="403" customFormat="false" ht="15" hidden="false" customHeight="false" outlineLevel="0" collapsed="false">
      <c r="A403" s="29"/>
      <c r="B403" s="40" t="n">
        <f aca="false">IF($A403="",0,INT(($A403-Macrociclo!$C$11)/7)+1)</f>
        <v>0</v>
      </c>
      <c r="C403" s="27"/>
      <c r="D403" s="27"/>
      <c r="E403" s="28"/>
      <c r="F403" s="28"/>
      <c r="G403" s="27"/>
    </row>
    <row r="404" customFormat="false" ht="15" hidden="false" customHeight="false" outlineLevel="0" collapsed="false">
      <c r="A404" s="29"/>
      <c r="B404" s="40" t="n">
        <f aca="false">IF($A404="",0,INT(($A404-Macrociclo!$C$11)/7)+1)</f>
        <v>0</v>
      </c>
      <c r="C404" s="27"/>
      <c r="D404" s="27"/>
      <c r="E404" s="28"/>
      <c r="F404" s="28"/>
      <c r="G404" s="27"/>
    </row>
    <row r="405" customFormat="false" ht="15" hidden="false" customHeight="false" outlineLevel="0" collapsed="false">
      <c r="A405" s="29"/>
      <c r="B405" s="40" t="n">
        <f aca="false">IF($A405="",0,INT(($A405-Macrociclo!$C$11)/7)+1)</f>
        <v>0</v>
      </c>
      <c r="C405" s="27"/>
      <c r="D405" s="27"/>
      <c r="E405" s="28"/>
      <c r="F405" s="28"/>
      <c r="G405" s="27"/>
    </row>
    <row r="406" customFormat="false" ht="15" hidden="false" customHeight="false" outlineLevel="0" collapsed="false">
      <c r="A406" s="29"/>
      <c r="B406" s="40" t="n">
        <f aca="false">IF($A406="",0,INT(($A406-Macrociclo!$C$11)/7)+1)</f>
        <v>0</v>
      </c>
      <c r="C406" s="27"/>
      <c r="D406" s="27"/>
      <c r="E406" s="28"/>
      <c r="F406" s="28"/>
      <c r="G406" s="27"/>
    </row>
    <row r="407" customFormat="false" ht="15" hidden="false" customHeight="false" outlineLevel="0" collapsed="false">
      <c r="A407" s="29"/>
      <c r="B407" s="40" t="n">
        <f aca="false">IF($A407="",0,INT(($A407-Macrociclo!$C$11)/7)+1)</f>
        <v>0</v>
      </c>
      <c r="C407" s="27"/>
      <c r="D407" s="27"/>
      <c r="E407" s="28"/>
      <c r="F407" s="28"/>
      <c r="G407" s="27"/>
    </row>
    <row r="408" customFormat="false" ht="15" hidden="false" customHeight="false" outlineLevel="0" collapsed="false">
      <c r="A408" s="29"/>
      <c r="B408" s="40" t="n">
        <f aca="false">IF($A408="",0,INT(($A408-Macrociclo!$C$11)/7)+1)</f>
        <v>0</v>
      </c>
      <c r="C408" s="27"/>
      <c r="D408" s="27"/>
      <c r="E408" s="28"/>
      <c r="F408" s="28"/>
      <c r="G408" s="27"/>
    </row>
    <row r="409" customFormat="false" ht="15" hidden="false" customHeight="false" outlineLevel="0" collapsed="false">
      <c r="A409" s="29"/>
      <c r="B409" s="40" t="n">
        <f aca="false">IF($A409="",0,INT(($A409-Macrociclo!$C$11)/7)+1)</f>
        <v>0</v>
      </c>
      <c r="C409" s="27"/>
      <c r="D409" s="27"/>
      <c r="E409" s="28"/>
      <c r="F409" s="28"/>
      <c r="G409" s="27"/>
    </row>
    <row r="410" customFormat="false" ht="15" hidden="false" customHeight="false" outlineLevel="0" collapsed="false">
      <c r="A410" s="29"/>
      <c r="B410" s="40" t="n">
        <f aca="false">IF($A410="",0,INT(($A410-Macrociclo!$C$11)/7)+1)</f>
        <v>0</v>
      </c>
      <c r="C410" s="27"/>
      <c r="D410" s="27"/>
      <c r="E410" s="28"/>
      <c r="F410" s="28"/>
      <c r="G410" s="27"/>
    </row>
    <row r="411" customFormat="false" ht="15" hidden="false" customHeight="false" outlineLevel="0" collapsed="false">
      <c r="A411" s="29"/>
      <c r="B411" s="40" t="n">
        <f aca="false">IF($A411="",0,INT(($A411-Macrociclo!$C$11)/7)+1)</f>
        <v>0</v>
      </c>
      <c r="C411" s="27"/>
      <c r="D411" s="27"/>
      <c r="E411" s="28"/>
      <c r="F411" s="28"/>
      <c r="G411" s="27"/>
    </row>
    <row r="412" customFormat="false" ht="15" hidden="false" customHeight="false" outlineLevel="0" collapsed="false">
      <c r="A412" s="29"/>
      <c r="B412" s="40" t="n">
        <f aca="false">IF($A412="",0,INT(($A412-Macrociclo!$C$11)/7)+1)</f>
        <v>0</v>
      </c>
      <c r="C412" s="27"/>
      <c r="D412" s="27"/>
      <c r="E412" s="28"/>
      <c r="F412" s="28"/>
      <c r="G412" s="27"/>
    </row>
    <row r="413" customFormat="false" ht="15" hidden="false" customHeight="false" outlineLevel="0" collapsed="false">
      <c r="A413" s="29"/>
      <c r="B413" s="40" t="n">
        <f aca="false">IF($A413="",0,INT(($A413-Macrociclo!$C$11)/7)+1)</f>
        <v>0</v>
      </c>
      <c r="C413" s="27"/>
      <c r="D413" s="27"/>
      <c r="E413" s="28"/>
      <c r="F413" s="28"/>
      <c r="G413" s="27"/>
    </row>
    <row r="414" customFormat="false" ht="15" hidden="false" customHeight="false" outlineLevel="0" collapsed="false">
      <c r="A414" s="29"/>
      <c r="B414" s="40" t="n">
        <f aca="false">IF($A414="",0,INT(($A414-Macrociclo!$C$11)/7)+1)</f>
        <v>0</v>
      </c>
      <c r="C414" s="27"/>
      <c r="D414" s="27"/>
      <c r="E414" s="28"/>
      <c r="F414" s="28"/>
      <c r="G414" s="27"/>
    </row>
    <row r="415" customFormat="false" ht="15" hidden="false" customHeight="false" outlineLevel="0" collapsed="false">
      <c r="A415" s="29"/>
      <c r="B415" s="40" t="n">
        <f aca="false">IF($A415="",0,INT(($A415-Macrociclo!$C$11)/7)+1)</f>
        <v>0</v>
      </c>
      <c r="C415" s="27"/>
      <c r="D415" s="27"/>
      <c r="E415" s="28"/>
      <c r="F415" s="28"/>
      <c r="G415" s="27"/>
    </row>
    <row r="416" customFormat="false" ht="15" hidden="false" customHeight="false" outlineLevel="0" collapsed="false">
      <c r="A416" s="29"/>
      <c r="B416" s="40" t="n">
        <f aca="false">IF($A416="",0,INT(($A416-Macrociclo!$C$11)/7)+1)</f>
        <v>0</v>
      </c>
      <c r="C416" s="27"/>
      <c r="D416" s="27"/>
      <c r="E416" s="28"/>
      <c r="F416" s="28"/>
      <c r="G416" s="27"/>
    </row>
    <row r="417" customFormat="false" ht="15" hidden="false" customHeight="false" outlineLevel="0" collapsed="false">
      <c r="A417" s="29"/>
      <c r="B417" s="40" t="n">
        <f aca="false">IF($A417="",0,INT(($A417-Macrociclo!$C$11)/7)+1)</f>
        <v>0</v>
      </c>
      <c r="C417" s="27"/>
      <c r="D417" s="27"/>
      <c r="E417" s="28"/>
      <c r="F417" s="28"/>
      <c r="G417" s="27"/>
    </row>
    <row r="418" customFormat="false" ht="15" hidden="false" customHeight="false" outlineLevel="0" collapsed="false">
      <c r="A418" s="29"/>
      <c r="B418" s="40" t="n">
        <f aca="false">IF($A418="",0,INT(($A418-Macrociclo!$C$11)/7)+1)</f>
        <v>0</v>
      </c>
      <c r="C418" s="27"/>
      <c r="D418" s="27"/>
      <c r="E418" s="28"/>
      <c r="F418" s="28"/>
      <c r="G418" s="27"/>
    </row>
    <row r="419" customFormat="false" ht="15" hidden="false" customHeight="false" outlineLevel="0" collapsed="false">
      <c r="A419" s="29"/>
      <c r="B419" s="40" t="n">
        <f aca="false">IF($A419="",0,INT(($A419-Macrociclo!$C$11)/7)+1)</f>
        <v>0</v>
      </c>
      <c r="C419" s="27"/>
      <c r="D419" s="27"/>
      <c r="E419" s="28"/>
      <c r="F419" s="28"/>
      <c r="G419" s="27"/>
    </row>
    <row r="420" customFormat="false" ht="15" hidden="false" customHeight="false" outlineLevel="0" collapsed="false">
      <c r="A420" s="29"/>
      <c r="B420" s="40" t="n">
        <f aca="false">IF($A420="",0,INT(($A420-Macrociclo!$C$11)/7)+1)</f>
        <v>0</v>
      </c>
      <c r="C420" s="27"/>
      <c r="D420" s="27"/>
      <c r="E420" s="28"/>
      <c r="F420" s="28"/>
      <c r="G420" s="27"/>
    </row>
    <row r="421" customFormat="false" ht="15" hidden="false" customHeight="false" outlineLevel="0" collapsed="false">
      <c r="A421" s="29"/>
      <c r="B421" s="40" t="n">
        <f aca="false">IF($A421="",0,INT(($A421-Macrociclo!$C$11)/7)+1)</f>
        <v>0</v>
      </c>
      <c r="C421" s="27"/>
      <c r="D421" s="27"/>
      <c r="E421" s="28"/>
      <c r="F421" s="28"/>
      <c r="G421" s="27"/>
    </row>
    <row r="422" customFormat="false" ht="15" hidden="false" customHeight="false" outlineLevel="0" collapsed="false">
      <c r="A422" s="29"/>
      <c r="B422" s="40" t="n">
        <f aca="false">IF($A422="",0,INT(($A422-Macrociclo!$C$11)/7)+1)</f>
        <v>0</v>
      </c>
      <c r="C422" s="27"/>
      <c r="D422" s="27"/>
      <c r="E422" s="28"/>
      <c r="F422" s="28"/>
      <c r="G422" s="27"/>
    </row>
    <row r="423" customFormat="false" ht="15" hidden="false" customHeight="false" outlineLevel="0" collapsed="false">
      <c r="A423" s="29"/>
      <c r="B423" s="40" t="n">
        <f aca="false">IF($A423="",0,INT(($A423-Macrociclo!$C$11)/7)+1)</f>
        <v>0</v>
      </c>
      <c r="C423" s="27"/>
      <c r="D423" s="27"/>
      <c r="E423" s="28"/>
      <c r="F423" s="28"/>
      <c r="G423" s="27"/>
    </row>
    <row r="424" customFormat="false" ht="15" hidden="false" customHeight="false" outlineLevel="0" collapsed="false">
      <c r="A424" s="29"/>
      <c r="B424" s="40" t="n">
        <f aca="false">IF($A424="",0,INT(($A424-Macrociclo!$C$11)/7)+1)</f>
        <v>0</v>
      </c>
      <c r="C424" s="27"/>
      <c r="D424" s="27"/>
      <c r="E424" s="28"/>
      <c r="F424" s="28"/>
      <c r="G424" s="27"/>
    </row>
    <row r="425" customFormat="false" ht="15" hidden="false" customHeight="false" outlineLevel="0" collapsed="false">
      <c r="A425" s="29"/>
      <c r="B425" s="40" t="n">
        <f aca="false">IF($A425="",0,INT(($A425-Macrociclo!$C$11)/7)+1)</f>
        <v>0</v>
      </c>
      <c r="C425" s="27"/>
      <c r="D425" s="27"/>
      <c r="E425" s="28"/>
      <c r="F425" s="28"/>
      <c r="G425" s="27"/>
    </row>
    <row r="426" customFormat="false" ht="15" hidden="false" customHeight="false" outlineLevel="0" collapsed="false">
      <c r="A426" s="29"/>
      <c r="B426" s="40" t="n">
        <f aca="false">IF($A426="",0,INT(($A426-Macrociclo!$C$11)/7)+1)</f>
        <v>0</v>
      </c>
      <c r="C426" s="27"/>
      <c r="D426" s="27"/>
      <c r="E426" s="28"/>
      <c r="F426" s="28"/>
      <c r="G426" s="27"/>
    </row>
    <row r="427" customFormat="false" ht="15" hidden="false" customHeight="false" outlineLevel="0" collapsed="false">
      <c r="A427" s="29"/>
      <c r="B427" s="40" t="n">
        <f aca="false">IF($A427="",0,INT(($A427-Macrociclo!$C$11)/7)+1)</f>
        <v>0</v>
      </c>
      <c r="C427" s="27"/>
      <c r="D427" s="27"/>
      <c r="E427" s="28"/>
      <c r="F427" s="28"/>
      <c r="G427" s="27"/>
    </row>
    <row r="428" customFormat="false" ht="15" hidden="false" customHeight="false" outlineLevel="0" collapsed="false">
      <c r="A428" s="29"/>
      <c r="B428" s="40" t="n">
        <f aca="false">IF($A428="",0,INT(($A428-Macrociclo!$C$11)/7)+1)</f>
        <v>0</v>
      </c>
      <c r="C428" s="27"/>
      <c r="D428" s="27"/>
      <c r="E428" s="28"/>
      <c r="F428" s="28"/>
      <c r="G428" s="27"/>
    </row>
    <row r="429" customFormat="false" ht="15" hidden="false" customHeight="false" outlineLevel="0" collapsed="false">
      <c r="A429" s="29"/>
      <c r="B429" s="40" t="n">
        <f aca="false">IF($A429="",0,INT(($A429-Macrociclo!$C$11)/7)+1)</f>
        <v>0</v>
      </c>
      <c r="C429" s="27"/>
      <c r="D429" s="27"/>
      <c r="E429" s="28"/>
      <c r="F429" s="28"/>
      <c r="G429" s="27"/>
    </row>
    <row r="430" customFormat="false" ht="15" hidden="false" customHeight="false" outlineLevel="0" collapsed="false">
      <c r="A430" s="29"/>
      <c r="B430" s="40" t="n">
        <f aca="false">IF($A430="",0,INT(($A430-Macrociclo!$C$11)/7)+1)</f>
        <v>0</v>
      </c>
      <c r="C430" s="27"/>
      <c r="D430" s="27"/>
      <c r="E430" s="28"/>
      <c r="F430" s="28"/>
      <c r="G430" s="27"/>
    </row>
    <row r="431" customFormat="false" ht="15" hidden="false" customHeight="false" outlineLevel="0" collapsed="false">
      <c r="A431" s="29"/>
      <c r="B431" s="40" t="n">
        <f aca="false">IF($A431="",0,INT(($A431-Macrociclo!$C$11)/7)+1)</f>
        <v>0</v>
      </c>
      <c r="C431" s="27"/>
      <c r="D431" s="27"/>
      <c r="E431" s="28"/>
      <c r="F431" s="28"/>
      <c r="G431" s="27"/>
    </row>
    <row r="432" customFormat="false" ht="15" hidden="false" customHeight="false" outlineLevel="0" collapsed="false">
      <c r="A432" s="29"/>
      <c r="B432" s="40" t="n">
        <f aca="false">IF($A432="",0,INT(($A432-Macrociclo!$C$11)/7)+1)</f>
        <v>0</v>
      </c>
      <c r="C432" s="27"/>
      <c r="D432" s="27"/>
      <c r="E432" s="28"/>
      <c r="F432" s="28"/>
      <c r="G432" s="27"/>
    </row>
    <row r="433" customFormat="false" ht="15" hidden="false" customHeight="false" outlineLevel="0" collapsed="false">
      <c r="A433" s="29"/>
      <c r="B433" s="40" t="n">
        <f aca="false">IF($A433="",0,INT(($A433-Macrociclo!$C$11)/7)+1)</f>
        <v>0</v>
      </c>
      <c r="C433" s="27"/>
      <c r="D433" s="27"/>
      <c r="E433" s="28"/>
      <c r="F433" s="28"/>
      <c r="G433" s="27"/>
    </row>
    <row r="434" customFormat="false" ht="15" hidden="false" customHeight="false" outlineLevel="0" collapsed="false">
      <c r="A434" s="29"/>
      <c r="B434" s="40" t="n">
        <f aca="false">IF($A434="",0,INT(($A434-Macrociclo!$C$11)/7)+1)</f>
        <v>0</v>
      </c>
      <c r="C434" s="27"/>
      <c r="D434" s="27"/>
      <c r="E434" s="28"/>
      <c r="F434" s="28"/>
      <c r="G434" s="27"/>
    </row>
    <row r="435" customFormat="false" ht="15" hidden="false" customHeight="false" outlineLevel="0" collapsed="false">
      <c r="A435" s="29"/>
      <c r="B435" s="40" t="n">
        <f aca="false">IF($A435="",0,INT(($A435-Macrociclo!$C$11)/7)+1)</f>
        <v>0</v>
      </c>
      <c r="C435" s="27"/>
      <c r="D435" s="27"/>
      <c r="E435" s="28"/>
      <c r="F435" s="28"/>
      <c r="G435" s="27"/>
    </row>
    <row r="436" customFormat="false" ht="15" hidden="false" customHeight="false" outlineLevel="0" collapsed="false">
      <c r="A436" s="29"/>
      <c r="B436" s="40" t="n">
        <f aca="false">IF($A436="",0,INT(($A436-Macrociclo!$C$11)/7)+1)</f>
        <v>0</v>
      </c>
      <c r="C436" s="27"/>
      <c r="D436" s="27"/>
      <c r="E436" s="28"/>
      <c r="F436" s="28"/>
      <c r="G436" s="27"/>
    </row>
    <row r="437" customFormat="false" ht="15" hidden="false" customHeight="false" outlineLevel="0" collapsed="false">
      <c r="A437" s="29"/>
      <c r="B437" s="40" t="n">
        <f aca="false">IF($A437="",0,INT(($A437-Macrociclo!$C$11)/7)+1)</f>
        <v>0</v>
      </c>
      <c r="C437" s="27"/>
      <c r="D437" s="27"/>
      <c r="E437" s="28"/>
      <c r="F437" s="28"/>
      <c r="G437" s="27"/>
    </row>
    <row r="438" customFormat="false" ht="15" hidden="false" customHeight="false" outlineLevel="0" collapsed="false">
      <c r="A438" s="29"/>
      <c r="B438" s="40" t="n">
        <f aca="false">IF($A438="",0,INT(($A438-Macrociclo!$C$11)/7)+1)</f>
        <v>0</v>
      </c>
      <c r="C438" s="27"/>
      <c r="D438" s="27"/>
      <c r="E438" s="28"/>
      <c r="F438" s="28"/>
      <c r="G438" s="27"/>
    </row>
    <row r="439" customFormat="false" ht="15" hidden="false" customHeight="false" outlineLevel="0" collapsed="false">
      <c r="A439" s="29"/>
      <c r="B439" s="40" t="n">
        <f aca="false">IF($A439="",0,INT(($A439-Macrociclo!$C$11)/7)+1)</f>
        <v>0</v>
      </c>
      <c r="C439" s="27"/>
      <c r="D439" s="27"/>
      <c r="E439" s="28"/>
      <c r="F439" s="28"/>
      <c r="G439" s="27"/>
    </row>
    <row r="440" customFormat="false" ht="15" hidden="false" customHeight="false" outlineLevel="0" collapsed="false">
      <c r="A440" s="29"/>
      <c r="B440" s="40" t="n">
        <f aca="false">IF($A440="",0,INT(($A440-Macrociclo!$C$11)/7)+1)</f>
        <v>0</v>
      </c>
      <c r="C440" s="27"/>
      <c r="D440" s="27"/>
      <c r="E440" s="28"/>
      <c r="F440" s="28"/>
      <c r="G440" s="27"/>
    </row>
    <row r="441" customFormat="false" ht="15" hidden="false" customHeight="false" outlineLevel="0" collapsed="false">
      <c r="A441" s="29"/>
      <c r="B441" s="40" t="n">
        <f aca="false">IF($A441="",0,INT(($A441-Macrociclo!$C$11)/7)+1)</f>
        <v>0</v>
      </c>
      <c r="C441" s="27"/>
      <c r="D441" s="27"/>
      <c r="E441" s="28"/>
      <c r="F441" s="28"/>
      <c r="G441" s="27"/>
    </row>
    <row r="442" customFormat="false" ht="15" hidden="false" customHeight="false" outlineLevel="0" collapsed="false">
      <c r="A442" s="29"/>
      <c r="B442" s="40" t="n">
        <f aca="false">IF($A442="",0,INT(($A442-Macrociclo!$C$11)/7)+1)</f>
        <v>0</v>
      </c>
      <c r="C442" s="27"/>
      <c r="D442" s="27"/>
      <c r="E442" s="28"/>
      <c r="F442" s="28"/>
      <c r="G442" s="27"/>
    </row>
    <row r="443" customFormat="false" ht="15" hidden="false" customHeight="false" outlineLevel="0" collapsed="false">
      <c r="A443" s="29"/>
      <c r="B443" s="40" t="n">
        <f aca="false">IF($A443="",0,INT(($A443-Macrociclo!$C$11)/7)+1)</f>
        <v>0</v>
      </c>
      <c r="C443" s="27"/>
      <c r="D443" s="27"/>
      <c r="E443" s="28"/>
      <c r="F443" s="28"/>
      <c r="G443" s="27"/>
    </row>
    <row r="444" customFormat="false" ht="15" hidden="false" customHeight="false" outlineLevel="0" collapsed="false">
      <c r="A444" s="29"/>
      <c r="B444" s="40" t="n">
        <f aca="false">IF($A444="",0,INT(($A444-Macrociclo!$C$11)/7)+1)</f>
        <v>0</v>
      </c>
      <c r="C444" s="27"/>
      <c r="D444" s="27"/>
      <c r="E444" s="28"/>
      <c r="F444" s="28"/>
      <c r="G444" s="27"/>
    </row>
    <row r="445" customFormat="false" ht="15" hidden="false" customHeight="false" outlineLevel="0" collapsed="false">
      <c r="A445" s="29"/>
      <c r="B445" s="40" t="n">
        <f aca="false">IF($A445="",0,INT(($A445-Macrociclo!$C$11)/7)+1)</f>
        <v>0</v>
      </c>
      <c r="C445" s="27"/>
      <c r="D445" s="27"/>
      <c r="E445" s="28"/>
      <c r="F445" s="28"/>
      <c r="G445" s="27"/>
    </row>
    <row r="446" customFormat="false" ht="15" hidden="false" customHeight="false" outlineLevel="0" collapsed="false">
      <c r="A446" s="29"/>
      <c r="B446" s="40" t="n">
        <f aca="false">IF($A446="",0,INT(($A446-Macrociclo!$C$11)/7)+1)</f>
        <v>0</v>
      </c>
      <c r="C446" s="27"/>
      <c r="D446" s="27"/>
      <c r="E446" s="28"/>
      <c r="F446" s="28"/>
      <c r="G446" s="27"/>
    </row>
    <row r="447" customFormat="false" ht="15" hidden="false" customHeight="false" outlineLevel="0" collapsed="false">
      <c r="A447" s="29"/>
      <c r="B447" s="40" t="n">
        <f aca="false">IF($A447="",0,INT(($A447-Macrociclo!$C$11)/7)+1)</f>
        <v>0</v>
      </c>
      <c r="C447" s="27"/>
      <c r="D447" s="27"/>
      <c r="E447" s="28"/>
      <c r="F447" s="28"/>
      <c r="G447" s="27"/>
    </row>
    <row r="448" customFormat="false" ht="15" hidden="false" customHeight="false" outlineLevel="0" collapsed="false">
      <c r="A448" s="29"/>
      <c r="B448" s="40" t="n">
        <f aca="false">IF($A448="",0,INT(($A448-Macrociclo!$C$11)/7)+1)</f>
        <v>0</v>
      </c>
      <c r="C448" s="27"/>
      <c r="D448" s="27"/>
      <c r="E448" s="28"/>
      <c r="F448" s="28"/>
      <c r="G448" s="27"/>
    </row>
    <row r="449" customFormat="false" ht="15" hidden="false" customHeight="false" outlineLevel="0" collapsed="false">
      <c r="A449" s="29"/>
      <c r="B449" s="40" t="n">
        <f aca="false">IF($A449="",0,INT(($A449-Macrociclo!$C$11)/7)+1)</f>
        <v>0</v>
      </c>
      <c r="C449" s="27"/>
      <c r="D449" s="27"/>
      <c r="E449" s="28"/>
      <c r="F449" s="28"/>
      <c r="G449" s="27"/>
    </row>
    <row r="450" customFormat="false" ht="15" hidden="false" customHeight="false" outlineLevel="0" collapsed="false">
      <c r="A450" s="29"/>
      <c r="B450" s="40" t="n">
        <f aca="false">IF($A450="",0,INT(($A450-Macrociclo!$C$11)/7)+1)</f>
        <v>0</v>
      </c>
      <c r="C450" s="27"/>
      <c r="D450" s="27"/>
      <c r="E450" s="28"/>
      <c r="F450" s="28"/>
      <c r="G450" s="27"/>
    </row>
    <row r="451" customFormat="false" ht="15" hidden="false" customHeight="false" outlineLevel="0" collapsed="false">
      <c r="A451" s="29"/>
      <c r="B451" s="40" t="n">
        <f aca="false">IF($A451="",0,INT(($A451-Macrociclo!$C$11)/7)+1)</f>
        <v>0</v>
      </c>
      <c r="C451" s="27"/>
      <c r="D451" s="27"/>
      <c r="E451" s="28"/>
      <c r="F451" s="28"/>
      <c r="G451" s="27"/>
    </row>
    <row r="452" customFormat="false" ht="15" hidden="false" customHeight="false" outlineLevel="0" collapsed="false">
      <c r="A452" s="29"/>
      <c r="B452" s="40" t="n">
        <f aca="false">IF($A452="",0,INT(($A452-Macrociclo!$C$11)/7)+1)</f>
        <v>0</v>
      </c>
      <c r="C452" s="27"/>
      <c r="D452" s="27"/>
      <c r="E452" s="28"/>
      <c r="F452" s="28"/>
      <c r="G452" s="27"/>
    </row>
    <row r="453" customFormat="false" ht="15" hidden="false" customHeight="false" outlineLevel="0" collapsed="false">
      <c r="A453" s="29"/>
      <c r="B453" s="40" t="n">
        <f aca="false">IF($A453="",0,INT(($A453-Macrociclo!$C$11)/7)+1)</f>
        <v>0</v>
      </c>
      <c r="C453" s="27"/>
      <c r="D453" s="27"/>
      <c r="E453" s="28"/>
      <c r="F453" s="28"/>
      <c r="G453" s="27"/>
    </row>
    <row r="454" customFormat="false" ht="15" hidden="false" customHeight="false" outlineLevel="0" collapsed="false">
      <c r="A454" s="29"/>
      <c r="B454" s="40" t="n">
        <f aca="false">IF($A454="",0,INT(($A454-Macrociclo!$C$11)/7)+1)</f>
        <v>0</v>
      </c>
      <c r="C454" s="27"/>
      <c r="D454" s="27"/>
      <c r="E454" s="28"/>
      <c r="F454" s="28"/>
      <c r="G454" s="27"/>
    </row>
    <row r="455" customFormat="false" ht="15" hidden="false" customHeight="false" outlineLevel="0" collapsed="false">
      <c r="A455" s="29"/>
      <c r="B455" s="40" t="n">
        <f aca="false">IF($A455="",0,INT(($A455-Macrociclo!$C$11)/7)+1)</f>
        <v>0</v>
      </c>
      <c r="C455" s="27"/>
      <c r="D455" s="27"/>
      <c r="E455" s="28"/>
      <c r="F455" s="28"/>
      <c r="G455" s="27"/>
    </row>
    <row r="456" customFormat="false" ht="15" hidden="false" customHeight="false" outlineLevel="0" collapsed="false">
      <c r="A456" s="29"/>
      <c r="B456" s="40" t="n">
        <f aca="false">IF($A456="",0,INT(($A456-Macrociclo!$C$11)/7)+1)</f>
        <v>0</v>
      </c>
      <c r="C456" s="27"/>
      <c r="D456" s="27"/>
      <c r="E456" s="28"/>
      <c r="F456" s="28"/>
      <c r="G456" s="27"/>
    </row>
    <row r="457" customFormat="false" ht="15" hidden="false" customHeight="false" outlineLevel="0" collapsed="false">
      <c r="A457" s="29"/>
      <c r="B457" s="40" t="n">
        <f aca="false">IF($A457="",0,INT(($A457-Macrociclo!$C$11)/7)+1)</f>
        <v>0</v>
      </c>
      <c r="C457" s="27"/>
      <c r="D457" s="27"/>
      <c r="E457" s="28"/>
      <c r="F457" s="28"/>
      <c r="G457" s="27"/>
    </row>
    <row r="458" customFormat="false" ht="15" hidden="false" customHeight="false" outlineLevel="0" collapsed="false">
      <c r="A458" s="29"/>
      <c r="B458" s="40" t="n">
        <f aca="false">IF($A458="",0,INT(($A458-Macrociclo!$C$11)/7)+1)</f>
        <v>0</v>
      </c>
      <c r="C458" s="27"/>
      <c r="D458" s="27"/>
      <c r="E458" s="28"/>
      <c r="F458" s="28"/>
      <c r="G458" s="27"/>
    </row>
    <row r="459" customFormat="false" ht="15" hidden="false" customHeight="false" outlineLevel="0" collapsed="false">
      <c r="A459" s="29"/>
      <c r="B459" s="40" t="n">
        <f aca="false">IF($A459="",0,INT(($A459-Macrociclo!$C$11)/7)+1)</f>
        <v>0</v>
      </c>
      <c r="C459" s="27"/>
      <c r="D459" s="27"/>
      <c r="E459" s="28"/>
      <c r="F459" s="28"/>
      <c r="G459" s="27"/>
    </row>
    <row r="460" customFormat="false" ht="15" hidden="false" customHeight="false" outlineLevel="0" collapsed="false">
      <c r="A460" s="29"/>
      <c r="B460" s="40" t="n">
        <f aca="false">IF($A460="",0,INT(($A460-Macrociclo!$C$11)/7)+1)</f>
        <v>0</v>
      </c>
      <c r="C460" s="27"/>
      <c r="D460" s="27"/>
      <c r="E460" s="28"/>
      <c r="F460" s="28"/>
      <c r="G460" s="27"/>
    </row>
    <row r="461" customFormat="false" ht="15" hidden="false" customHeight="false" outlineLevel="0" collapsed="false">
      <c r="A461" s="29"/>
      <c r="B461" s="40" t="n">
        <f aca="false">IF($A461="",0,INT(($A461-Macrociclo!$C$11)/7)+1)</f>
        <v>0</v>
      </c>
      <c r="C461" s="27"/>
      <c r="D461" s="27"/>
      <c r="E461" s="28"/>
      <c r="F461" s="28"/>
      <c r="G461" s="27"/>
    </row>
    <row r="462" customFormat="false" ht="15" hidden="false" customHeight="false" outlineLevel="0" collapsed="false">
      <c r="A462" s="29"/>
      <c r="B462" s="40" t="n">
        <f aca="false">IF($A462="",0,INT(($A462-Macrociclo!$C$11)/7)+1)</f>
        <v>0</v>
      </c>
      <c r="C462" s="27"/>
      <c r="D462" s="27"/>
      <c r="E462" s="28"/>
      <c r="F462" s="28"/>
      <c r="G462" s="27"/>
    </row>
    <row r="463" customFormat="false" ht="15" hidden="false" customHeight="false" outlineLevel="0" collapsed="false">
      <c r="A463" s="29"/>
      <c r="B463" s="40" t="n">
        <f aca="false">IF($A463="",0,INT(($A463-Macrociclo!$C$11)/7)+1)</f>
        <v>0</v>
      </c>
      <c r="C463" s="27"/>
      <c r="D463" s="27"/>
      <c r="E463" s="28"/>
      <c r="F463" s="28"/>
      <c r="G463" s="27"/>
    </row>
    <row r="464" customFormat="false" ht="15" hidden="false" customHeight="false" outlineLevel="0" collapsed="false">
      <c r="A464" s="29"/>
      <c r="B464" s="40" t="n">
        <f aca="false">IF($A464="",0,INT(($A464-Macrociclo!$C$11)/7)+1)</f>
        <v>0</v>
      </c>
      <c r="C464" s="27"/>
      <c r="D464" s="27"/>
      <c r="E464" s="28"/>
      <c r="F464" s="28"/>
      <c r="G464" s="27"/>
    </row>
    <row r="465" customFormat="false" ht="15" hidden="false" customHeight="false" outlineLevel="0" collapsed="false">
      <c r="A465" s="29"/>
      <c r="B465" s="40" t="n">
        <f aca="false">IF($A465="",0,INT(($A465-Macrociclo!$C$11)/7)+1)</f>
        <v>0</v>
      </c>
      <c r="C465" s="27"/>
      <c r="D465" s="27"/>
      <c r="E465" s="28"/>
      <c r="F465" s="28"/>
      <c r="G465" s="27"/>
    </row>
    <row r="466" customFormat="false" ht="15" hidden="false" customHeight="false" outlineLevel="0" collapsed="false">
      <c r="A466" s="29"/>
      <c r="B466" s="40" t="n">
        <f aca="false">IF($A466="",0,INT(($A466-Macrociclo!$C$11)/7)+1)</f>
        <v>0</v>
      </c>
      <c r="C466" s="27"/>
      <c r="D466" s="27"/>
      <c r="E466" s="28"/>
      <c r="F466" s="28"/>
      <c r="G466" s="27"/>
    </row>
    <row r="467" customFormat="false" ht="15" hidden="false" customHeight="false" outlineLevel="0" collapsed="false">
      <c r="A467" s="29"/>
      <c r="B467" s="40" t="n">
        <f aca="false">IF($A467="",0,INT(($A467-Macrociclo!$C$11)/7)+1)</f>
        <v>0</v>
      </c>
      <c r="C467" s="27"/>
      <c r="D467" s="27"/>
      <c r="E467" s="28"/>
      <c r="F467" s="28"/>
      <c r="G467" s="27"/>
    </row>
    <row r="468" customFormat="false" ht="15" hidden="false" customHeight="false" outlineLevel="0" collapsed="false">
      <c r="A468" s="29"/>
      <c r="B468" s="40" t="n">
        <f aca="false">IF($A468="",0,INT(($A468-Macrociclo!$C$11)/7)+1)</f>
        <v>0</v>
      </c>
      <c r="C468" s="27"/>
      <c r="D468" s="27"/>
      <c r="E468" s="28"/>
      <c r="F468" s="28"/>
      <c r="G468" s="27"/>
    </row>
    <row r="469" customFormat="false" ht="15" hidden="false" customHeight="false" outlineLevel="0" collapsed="false">
      <c r="A469" s="29"/>
      <c r="B469" s="40" t="n">
        <f aca="false">IF($A469="",0,INT(($A469-Macrociclo!$C$11)/7)+1)</f>
        <v>0</v>
      </c>
      <c r="C469" s="27"/>
      <c r="D469" s="27"/>
      <c r="E469" s="28"/>
      <c r="F469" s="28"/>
      <c r="G469" s="27"/>
    </row>
    <row r="470" customFormat="false" ht="15" hidden="false" customHeight="false" outlineLevel="0" collapsed="false">
      <c r="A470" s="29"/>
      <c r="B470" s="40" t="n">
        <f aca="false">IF($A470="",0,INT(($A470-Macrociclo!$C$11)/7)+1)</f>
        <v>0</v>
      </c>
      <c r="C470" s="27"/>
      <c r="D470" s="27"/>
      <c r="E470" s="28"/>
      <c r="F470" s="28"/>
      <c r="G470" s="27"/>
    </row>
    <row r="471" customFormat="false" ht="15" hidden="false" customHeight="false" outlineLevel="0" collapsed="false">
      <c r="A471" s="29"/>
      <c r="B471" s="40" t="n">
        <f aca="false">IF($A471="",0,INT(($A471-Macrociclo!$C$11)/7)+1)</f>
        <v>0</v>
      </c>
      <c r="C471" s="27"/>
      <c r="D471" s="27"/>
      <c r="E471" s="28"/>
      <c r="F471" s="28"/>
      <c r="G471" s="27"/>
    </row>
    <row r="472" customFormat="false" ht="15" hidden="false" customHeight="false" outlineLevel="0" collapsed="false">
      <c r="A472" s="29"/>
      <c r="B472" s="40" t="n">
        <f aca="false">IF($A472="",0,INT(($A472-Macrociclo!$C$11)/7)+1)</f>
        <v>0</v>
      </c>
      <c r="C472" s="27"/>
      <c r="D472" s="27"/>
      <c r="E472" s="28"/>
      <c r="F472" s="28"/>
      <c r="G472" s="27"/>
    </row>
    <row r="473" customFormat="false" ht="15" hidden="false" customHeight="false" outlineLevel="0" collapsed="false">
      <c r="A473" s="29"/>
      <c r="B473" s="40" t="n">
        <f aca="false">IF($A473="",0,INT(($A473-Macrociclo!$C$11)/7)+1)</f>
        <v>0</v>
      </c>
      <c r="C473" s="27"/>
      <c r="D473" s="27"/>
      <c r="E473" s="28"/>
      <c r="F473" s="28"/>
      <c r="G473" s="27"/>
    </row>
    <row r="474" customFormat="false" ht="15" hidden="false" customHeight="false" outlineLevel="0" collapsed="false">
      <c r="A474" s="29"/>
      <c r="B474" s="40" t="n">
        <f aca="false">IF($A474="",0,INT(($A474-Macrociclo!$C$11)/7)+1)</f>
        <v>0</v>
      </c>
      <c r="C474" s="27"/>
      <c r="D474" s="27"/>
      <c r="E474" s="28"/>
      <c r="F474" s="28"/>
      <c r="G474" s="27"/>
    </row>
    <row r="475" customFormat="false" ht="15" hidden="false" customHeight="false" outlineLevel="0" collapsed="false">
      <c r="A475" s="29"/>
      <c r="B475" s="40" t="n">
        <f aca="false">IF($A475="",0,INT(($A475-Macrociclo!$C$11)/7)+1)</f>
        <v>0</v>
      </c>
      <c r="C475" s="27"/>
      <c r="D475" s="27"/>
      <c r="E475" s="28"/>
      <c r="F475" s="28"/>
      <c r="G475" s="27"/>
    </row>
    <row r="476" customFormat="false" ht="15" hidden="false" customHeight="false" outlineLevel="0" collapsed="false">
      <c r="A476" s="29"/>
      <c r="B476" s="40" t="n">
        <f aca="false">IF($A476="",0,INT(($A476-Macrociclo!$C$11)/7)+1)</f>
        <v>0</v>
      </c>
      <c r="C476" s="27"/>
      <c r="D476" s="27"/>
      <c r="E476" s="28"/>
      <c r="F476" s="28"/>
      <c r="G476" s="27"/>
    </row>
    <row r="477" customFormat="false" ht="15" hidden="false" customHeight="false" outlineLevel="0" collapsed="false">
      <c r="A477" s="29"/>
      <c r="B477" s="40" t="n">
        <f aca="false">IF($A477="",0,INT(($A477-Macrociclo!$C$11)/7)+1)</f>
        <v>0</v>
      </c>
      <c r="C477" s="27"/>
      <c r="D477" s="27"/>
      <c r="E477" s="28"/>
      <c r="F477" s="28"/>
      <c r="G477" s="27"/>
    </row>
    <row r="478" customFormat="false" ht="15" hidden="false" customHeight="false" outlineLevel="0" collapsed="false">
      <c r="A478" s="29"/>
      <c r="B478" s="40" t="n">
        <f aca="false">IF($A478="",0,INT(($A478-Macrociclo!$C$11)/7)+1)</f>
        <v>0</v>
      </c>
      <c r="C478" s="27"/>
      <c r="D478" s="27"/>
      <c r="E478" s="28"/>
      <c r="F478" s="28"/>
      <c r="G478" s="27"/>
    </row>
    <row r="479" customFormat="false" ht="15" hidden="false" customHeight="false" outlineLevel="0" collapsed="false">
      <c r="A479" s="29"/>
      <c r="B479" s="40" t="n">
        <f aca="false">IF($A479="",0,INT(($A479-Macrociclo!$C$11)/7)+1)</f>
        <v>0</v>
      </c>
      <c r="C479" s="27"/>
      <c r="D479" s="27"/>
      <c r="E479" s="28"/>
      <c r="F479" s="28"/>
      <c r="G479" s="27"/>
    </row>
    <row r="480" customFormat="false" ht="15" hidden="false" customHeight="false" outlineLevel="0" collapsed="false">
      <c r="A480" s="29"/>
      <c r="B480" s="40" t="n">
        <f aca="false">IF($A480="",0,INT(($A480-Macrociclo!$C$11)/7)+1)</f>
        <v>0</v>
      </c>
      <c r="C480" s="27"/>
      <c r="D480" s="27"/>
      <c r="E480" s="28"/>
      <c r="F480" s="28"/>
      <c r="G480" s="27"/>
    </row>
    <row r="481" customFormat="false" ht="15" hidden="false" customHeight="false" outlineLevel="0" collapsed="false">
      <c r="A481" s="29"/>
      <c r="B481" s="40" t="n">
        <f aca="false">IF($A481="",0,INT(($A481-Macrociclo!$C$11)/7)+1)</f>
        <v>0</v>
      </c>
      <c r="C481" s="27"/>
      <c r="D481" s="27"/>
      <c r="E481" s="28"/>
      <c r="F481" s="28"/>
      <c r="G481" s="27"/>
    </row>
    <row r="482" customFormat="false" ht="15" hidden="false" customHeight="false" outlineLevel="0" collapsed="false">
      <c r="A482" s="29"/>
      <c r="B482" s="40" t="n">
        <f aca="false">IF($A482="",0,INT(($A482-Macrociclo!$C$11)/7)+1)</f>
        <v>0</v>
      </c>
      <c r="C482" s="27"/>
      <c r="D482" s="27"/>
      <c r="E482" s="28"/>
      <c r="F482" s="28"/>
      <c r="G482" s="27"/>
    </row>
    <row r="483" customFormat="false" ht="15" hidden="false" customHeight="false" outlineLevel="0" collapsed="false">
      <c r="A483" s="29"/>
      <c r="B483" s="40" t="n">
        <f aca="false">IF($A483="",0,INT(($A483-Macrociclo!$C$11)/7)+1)</f>
        <v>0</v>
      </c>
      <c r="C483" s="27"/>
      <c r="D483" s="27"/>
      <c r="E483" s="28"/>
      <c r="F483" s="28"/>
      <c r="G483" s="27"/>
    </row>
    <row r="484" customFormat="false" ht="15" hidden="false" customHeight="false" outlineLevel="0" collapsed="false">
      <c r="A484" s="29"/>
      <c r="B484" s="40" t="n">
        <f aca="false">IF($A484="",0,INT(($A484-Macrociclo!$C$11)/7)+1)</f>
        <v>0</v>
      </c>
      <c r="C484" s="27"/>
      <c r="D484" s="27"/>
      <c r="E484" s="28"/>
      <c r="F484" s="28"/>
      <c r="G484" s="27"/>
    </row>
    <row r="485" customFormat="false" ht="15" hidden="false" customHeight="false" outlineLevel="0" collapsed="false">
      <c r="A485" s="29"/>
      <c r="B485" s="40" t="n">
        <f aca="false">IF($A485="",0,INT(($A485-Macrociclo!$C$11)/7)+1)</f>
        <v>0</v>
      </c>
      <c r="C485" s="27"/>
      <c r="D485" s="27"/>
      <c r="E485" s="28"/>
      <c r="F485" s="28"/>
      <c r="G485" s="27"/>
    </row>
    <row r="486" customFormat="false" ht="15" hidden="false" customHeight="false" outlineLevel="0" collapsed="false">
      <c r="A486" s="29"/>
      <c r="B486" s="40" t="n">
        <f aca="false">IF($A486="",0,INT(($A486-Macrociclo!$C$11)/7)+1)</f>
        <v>0</v>
      </c>
      <c r="C486" s="27"/>
      <c r="D486" s="27"/>
      <c r="E486" s="28"/>
      <c r="F486" s="28"/>
      <c r="G486" s="27"/>
    </row>
    <row r="487" customFormat="false" ht="15" hidden="false" customHeight="false" outlineLevel="0" collapsed="false">
      <c r="A487" s="29"/>
      <c r="B487" s="40" t="n">
        <f aca="false">IF($A487="",0,INT(($A487-Macrociclo!$C$11)/7)+1)</f>
        <v>0</v>
      </c>
      <c r="C487" s="27"/>
      <c r="D487" s="27"/>
      <c r="E487" s="28"/>
      <c r="F487" s="28"/>
      <c r="G487" s="27"/>
    </row>
    <row r="488" customFormat="false" ht="15" hidden="false" customHeight="false" outlineLevel="0" collapsed="false">
      <c r="A488" s="29"/>
      <c r="B488" s="40" t="n">
        <f aca="false">IF($A488="",0,INT(($A488-Macrociclo!$C$11)/7)+1)</f>
        <v>0</v>
      </c>
      <c r="C488" s="27"/>
      <c r="D488" s="27"/>
      <c r="E488" s="28"/>
      <c r="F488" s="28"/>
      <c r="G488" s="27"/>
    </row>
    <row r="489" customFormat="false" ht="15" hidden="false" customHeight="false" outlineLevel="0" collapsed="false">
      <c r="A489" s="29"/>
      <c r="B489" s="40" t="n">
        <f aca="false">IF($A489="",0,INT(($A489-Macrociclo!$C$11)/7)+1)</f>
        <v>0</v>
      </c>
      <c r="C489" s="27"/>
      <c r="D489" s="27"/>
      <c r="E489" s="28"/>
      <c r="F489" s="28"/>
      <c r="G489" s="27"/>
    </row>
    <row r="490" customFormat="false" ht="15" hidden="false" customHeight="false" outlineLevel="0" collapsed="false">
      <c r="A490" s="29"/>
      <c r="B490" s="40" t="n">
        <f aca="false">IF($A490="",0,INT(($A490-Macrociclo!$C$11)/7)+1)</f>
        <v>0</v>
      </c>
      <c r="C490" s="27"/>
      <c r="D490" s="27"/>
      <c r="E490" s="28"/>
      <c r="F490" s="28"/>
      <c r="G490" s="27"/>
    </row>
    <row r="491" customFormat="false" ht="15" hidden="false" customHeight="false" outlineLevel="0" collapsed="false">
      <c r="A491" s="29"/>
      <c r="B491" s="40" t="n">
        <f aca="false">IF($A491="",0,INT(($A491-Macrociclo!$C$11)/7)+1)</f>
        <v>0</v>
      </c>
      <c r="C491" s="27"/>
      <c r="D491" s="27"/>
      <c r="E491" s="28"/>
      <c r="F491" s="28"/>
      <c r="G491" s="27"/>
    </row>
    <row r="492" customFormat="false" ht="15" hidden="false" customHeight="false" outlineLevel="0" collapsed="false">
      <c r="A492" s="29"/>
      <c r="B492" s="40" t="n">
        <f aca="false">IF($A492="",0,INT(($A492-Macrociclo!$C$11)/7)+1)</f>
        <v>0</v>
      </c>
      <c r="C492" s="27"/>
      <c r="D492" s="27"/>
      <c r="E492" s="28"/>
      <c r="F492" s="28"/>
      <c r="G492" s="27"/>
    </row>
    <row r="493" customFormat="false" ht="15" hidden="false" customHeight="false" outlineLevel="0" collapsed="false">
      <c r="A493" s="29"/>
      <c r="B493" s="40" t="n">
        <f aca="false">IF($A493="",0,INT(($A493-Macrociclo!$C$11)/7)+1)</f>
        <v>0</v>
      </c>
      <c r="C493" s="27"/>
      <c r="D493" s="27"/>
      <c r="E493" s="28"/>
      <c r="F493" s="28"/>
      <c r="G493" s="27"/>
    </row>
    <row r="494" customFormat="false" ht="15" hidden="false" customHeight="false" outlineLevel="0" collapsed="false">
      <c r="A494" s="29"/>
      <c r="B494" s="40" t="n">
        <f aca="false">IF($A494="",0,INT(($A494-Macrociclo!$C$11)/7)+1)</f>
        <v>0</v>
      </c>
      <c r="C494" s="27"/>
      <c r="D494" s="27"/>
      <c r="E494" s="28"/>
      <c r="F494" s="28"/>
      <c r="G494" s="27"/>
    </row>
    <row r="495" customFormat="false" ht="15" hidden="false" customHeight="false" outlineLevel="0" collapsed="false">
      <c r="A495" s="29"/>
      <c r="B495" s="40" t="n">
        <f aca="false">IF($A495="",0,INT(($A495-Macrociclo!$C$11)/7)+1)</f>
        <v>0</v>
      </c>
      <c r="C495" s="27"/>
      <c r="D495" s="27"/>
      <c r="E495" s="28"/>
      <c r="F495" s="28"/>
      <c r="G495" s="27"/>
    </row>
    <row r="496" customFormat="false" ht="15" hidden="false" customHeight="false" outlineLevel="0" collapsed="false">
      <c r="A496" s="29"/>
      <c r="B496" s="40" t="n">
        <f aca="false">IF($A496="",0,INT(($A496-Macrociclo!$C$11)/7)+1)</f>
        <v>0</v>
      </c>
      <c r="C496" s="27"/>
      <c r="D496" s="27"/>
      <c r="E496" s="28"/>
      <c r="F496" s="28"/>
      <c r="G496" s="27"/>
    </row>
    <row r="497" customFormat="false" ht="15" hidden="false" customHeight="false" outlineLevel="0" collapsed="false">
      <c r="A497" s="29"/>
      <c r="B497" s="40" t="n">
        <f aca="false">IF($A497="",0,INT(($A497-Macrociclo!$C$11)/7)+1)</f>
        <v>0</v>
      </c>
      <c r="C497" s="27"/>
      <c r="D497" s="27"/>
      <c r="E497" s="28"/>
      <c r="F497" s="28"/>
      <c r="G497" s="27"/>
    </row>
    <row r="498" customFormat="false" ht="15" hidden="false" customHeight="false" outlineLevel="0" collapsed="false">
      <c r="A498" s="29"/>
      <c r="B498" s="40" t="n">
        <f aca="false">IF($A498="",0,INT(($A498-Macrociclo!$C$11)/7)+1)</f>
        <v>0</v>
      </c>
      <c r="C498" s="27"/>
      <c r="D498" s="27"/>
      <c r="E498" s="28"/>
      <c r="F498" s="28"/>
      <c r="G498" s="27"/>
    </row>
    <row r="499" customFormat="false" ht="15" hidden="false" customHeight="false" outlineLevel="0" collapsed="false">
      <c r="A499" s="29"/>
      <c r="B499" s="40" t="n">
        <f aca="false">IF($A499="",0,INT(($A499-Macrociclo!$C$11)/7)+1)</f>
        <v>0</v>
      </c>
      <c r="C499" s="27"/>
      <c r="D499" s="27"/>
      <c r="E499" s="28"/>
      <c r="F499" s="28"/>
      <c r="G499" s="27"/>
    </row>
    <row r="500" customFormat="false" ht="15" hidden="false" customHeight="false" outlineLevel="0" collapsed="false">
      <c r="A500" s="29"/>
      <c r="B500" s="40" t="n">
        <f aca="false">IF($A500="",0,INT(($A500-Macrociclo!$C$11)/7)+1)</f>
        <v>0</v>
      </c>
      <c r="C500" s="27"/>
      <c r="D500" s="27"/>
      <c r="E500" s="28"/>
      <c r="F500" s="28"/>
      <c r="G500" s="27"/>
    </row>
    <row r="501" customFormat="false" ht="15" hidden="false" customHeight="false" outlineLevel="0" collapsed="false">
      <c r="A501" s="29"/>
      <c r="B501" s="40" t="n">
        <f aca="false">IF($A501="",0,INT(($A501-Macrociclo!$C$11)/7)+1)</f>
        <v>0</v>
      </c>
      <c r="C501" s="27"/>
      <c r="D501" s="27"/>
      <c r="E501" s="28"/>
      <c r="F501" s="28"/>
      <c r="G501" s="27"/>
    </row>
    <row r="502" customFormat="false" ht="15" hidden="false" customHeight="false" outlineLevel="0" collapsed="false">
      <c r="A502" s="29"/>
      <c r="B502" s="40" t="n">
        <f aca="false">IF($A502="",0,INT(($A502-Macrociclo!$C$11)/7)+1)</f>
        <v>0</v>
      </c>
      <c r="C502" s="27"/>
      <c r="D502" s="27"/>
      <c r="E502" s="28"/>
      <c r="F502" s="28"/>
      <c r="G502" s="27"/>
    </row>
    <row r="503" customFormat="false" ht="15" hidden="false" customHeight="false" outlineLevel="0" collapsed="false">
      <c r="A503" s="29"/>
      <c r="B503" s="40" t="n">
        <f aca="false">IF($A503="",0,INT(($A503-Macrociclo!$C$11)/7)+1)</f>
        <v>0</v>
      </c>
      <c r="C503" s="27"/>
      <c r="D503" s="27"/>
      <c r="E503" s="28"/>
      <c r="F503" s="28"/>
      <c r="G503" s="27"/>
    </row>
    <row r="504" customFormat="false" ht="15" hidden="false" customHeight="false" outlineLevel="0" collapsed="false">
      <c r="A504" s="29"/>
      <c r="B504" s="40" t="n">
        <f aca="false">IF($A504="",0,INT(($A504-Macrociclo!$C$11)/7)+1)</f>
        <v>0</v>
      </c>
      <c r="C504" s="27"/>
      <c r="D504" s="27"/>
      <c r="E504" s="28"/>
      <c r="F504" s="28"/>
      <c r="G504" s="27"/>
    </row>
    <row r="505" customFormat="false" ht="15" hidden="false" customHeight="false" outlineLevel="0" collapsed="false">
      <c r="A505" s="29"/>
      <c r="B505" s="40" t="n">
        <f aca="false">IF($A505="",0,INT(($A505-Macrociclo!$C$11)/7)+1)</f>
        <v>0</v>
      </c>
      <c r="C505" s="27"/>
      <c r="D505" s="27"/>
      <c r="E505" s="28"/>
      <c r="F505" s="28"/>
      <c r="G505" s="27"/>
    </row>
    <row r="506" customFormat="false" ht="15" hidden="false" customHeight="false" outlineLevel="0" collapsed="false">
      <c r="A506" s="29"/>
      <c r="B506" s="40" t="n">
        <f aca="false">IF($A506="",0,INT(($A506-Macrociclo!$C$11)/7)+1)</f>
        <v>0</v>
      </c>
      <c r="C506" s="27"/>
      <c r="D506" s="27"/>
      <c r="E506" s="28"/>
      <c r="F506" s="28"/>
      <c r="G506" s="27"/>
    </row>
    <row r="507" customFormat="false" ht="15" hidden="false" customHeight="false" outlineLevel="0" collapsed="false">
      <c r="A507" s="29"/>
      <c r="B507" s="40" t="n">
        <f aca="false">IF($A507="",0,INT(($A507-Macrociclo!$C$11)/7)+1)</f>
        <v>0</v>
      </c>
      <c r="C507" s="27"/>
      <c r="D507" s="27"/>
      <c r="E507" s="28"/>
      <c r="F507" s="28"/>
      <c r="G507" s="27"/>
    </row>
    <row r="508" customFormat="false" ht="15" hidden="false" customHeight="false" outlineLevel="0" collapsed="false">
      <c r="A508" s="29"/>
      <c r="B508" s="40" t="n">
        <f aca="false">IF($A508="",0,INT(($A508-Macrociclo!$C$11)/7)+1)</f>
        <v>0</v>
      </c>
      <c r="C508" s="27"/>
      <c r="D508" s="27"/>
      <c r="E508" s="28"/>
      <c r="F508" s="28"/>
      <c r="G508" s="27"/>
    </row>
    <row r="509" customFormat="false" ht="15" hidden="false" customHeight="false" outlineLevel="0" collapsed="false">
      <c r="A509" s="29"/>
      <c r="B509" s="40" t="n">
        <f aca="false">IF($A509="",0,INT(($A509-Macrociclo!$C$11)/7)+1)</f>
        <v>0</v>
      </c>
      <c r="C509" s="27"/>
      <c r="D509" s="27"/>
      <c r="E509" s="28"/>
      <c r="F509" s="28"/>
      <c r="G509" s="27"/>
    </row>
    <row r="510" customFormat="false" ht="15" hidden="false" customHeight="false" outlineLevel="0" collapsed="false">
      <c r="A510" s="29"/>
      <c r="B510" s="40" t="n">
        <f aca="false">IF($A510="",0,INT(($A510-Macrociclo!$C$11)/7)+1)</f>
        <v>0</v>
      </c>
      <c r="C510" s="27"/>
      <c r="D510" s="27"/>
      <c r="E510" s="28"/>
      <c r="F510" s="28"/>
      <c r="G510" s="27"/>
    </row>
    <row r="511" customFormat="false" ht="15" hidden="false" customHeight="false" outlineLevel="0" collapsed="false">
      <c r="A511" s="29"/>
      <c r="B511" s="40" t="n">
        <f aca="false">IF($A511="",0,INT(($A511-Macrociclo!$C$11)/7)+1)</f>
        <v>0</v>
      </c>
      <c r="C511" s="27"/>
      <c r="D511" s="27"/>
      <c r="E511" s="28"/>
      <c r="F511" s="28"/>
      <c r="G511" s="27"/>
    </row>
    <row r="512" customFormat="false" ht="15" hidden="false" customHeight="false" outlineLevel="0" collapsed="false">
      <c r="A512" s="29"/>
      <c r="B512" s="40" t="n">
        <f aca="false">IF($A512="",0,INT(($A512-Macrociclo!$C$11)/7)+1)</f>
        <v>0</v>
      </c>
      <c r="C512" s="27"/>
      <c r="D512" s="27"/>
      <c r="E512" s="28"/>
      <c r="F512" s="28"/>
      <c r="G512" s="27"/>
    </row>
    <row r="513" customFormat="false" ht="15" hidden="false" customHeight="false" outlineLevel="0" collapsed="false">
      <c r="A513" s="29"/>
      <c r="B513" s="40" t="n">
        <f aca="false">IF($A513="",0,INT(($A513-Macrociclo!$C$11)/7)+1)</f>
        <v>0</v>
      </c>
      <c r="C513" s="27"/>
      <c r="D513" s="27"/>
      <c r="E513" s="28"/>
      <c r="F513" s="28"/>
      <c r="G513" s="27"/>
    </row>
    <row r="514" customFormat="false" ht="15" hidden="false" customHeight="false" outlineLevel="0" collapsed="false">
      <c r="A514" s="29"/>
      <c r="B514" s="40" t="n">
        <f aca="false">IF($A514="",0,INT(($A514-Macrociclo!$C$11)/7)+1)</f>
        <v>0</v>
      </c>
      <c r="C514" s="27"/>
      <c r="D514" s="27"/>
      <c r="E514" s="28"/>
      <c r="F514" s="28"/>
      <c r="G514" s="27"/>
    </row>
    <row r="515" customFormat="false" ht="15" hidden="false" customHeight="false" outlineLevel="0" collapsed="false">
      <c r="A515" s="29"/>
      <c r="B515" s="40" t="n">
        <f aca="false">IF($A515="",0,INT(($A515-Macrociclo!$C$11)/7)+1)</f>
        <v>0</v>
      </c>
      <c r="C515" s="27"/>
      <c r="D515" s="27"/>
      <c r="E515" s="28"/>
      <c r="F515" s="28"/>
      <c r="G515" s="27"/>
    </row>
    <row r="516" customFormat="false" ht="15" hidden="false" customHeight="false" outlineLevel="0" collapsed="false">
      <c r="A516" s="29"/>
      <c r="B516" s="40" t="n">
        <f aca="false">IF($A516="",0,INT(($A516-Macrociclo!$C$11)/7)+1)</f>
        <v>0</v>
      </c>
      <c r="C516" s="27"/>
      <c r="D516" s="27"/>
      <c r="E516" s="28"/>
      <c r="F516" s="28"/>
      <c r="G516" s="27"/>
    </row>
    <row r="517" customFormat="false" ht="15" hidden="false" customHeight="false" outlineLevel="0" collapsed="false">
      <c r="A517" s="29"/>
      <c r="B517" s="40" t="n">
        <f aca="false">IF($A517="",0,INT(($A517-Macrociclo!$C$11)/7)+1)</f>
        <v>0</v>
      </c>
      <c r="C517" s="27"/>
      <c r="D517" s="27"/>
      <c r="E517" s="28"/>
      <c r="F517" s="28"/>
      <c r="G517" s="27"/>
    </row>
    <row r="518" customFormat="false" ht="15" hidden="false" customHeight="false" outlineLevel="0" collapsed="false">
      <c r="A518" s="29"/>
      <c r="B518" s="40" t="n">
        <f aca="false">IF($A518="",0,INT(($A518-Macrociclo!$C$11)/7)+1)</f>
        <v>0</v>
      </c>
      <c r="C518" s="27"/>
      <c r="D518" s="27"/>
      <c r="E518" s="28"/>
      <c r="F518" s="28"/>
      <c r="G518" s="27"/>
    </row>
    <row r="519" customFormat="false" ht="15" hidden="false" customHeight="false" outlineLevel="0" collapsed="false">
      <c r="A519" s="29"/>
      <c r="B519" s="40" t="n">
        <f aca="false">IF($A519="",0,INT(($A519-Macrociclo!$C$11)/7)+1)</f>
        <v>0</v>
      </c>
      <c r="C519" s="27"/>
      <c r="D519" s="27"/>
      <c r="E519" s="28"/>
      <c r="F519" s="28"/>
      <c r="G519" s="27"/>
    </row>
    <row r="520" customFormat="false" ht="15" hidden="false" customHeight="false" outlineLevel="0" collapsed="false">
      <c r="A520" s="29"/>
      <c r="B520" s="40" t="n">
        <f aca="false">IF($A520="",0,INT(($A520-Macrociclo!$C$11)/7)+1)</f>
        <v>0</v>
      </c>
      <c r="C520" s="27"/>
      <c r="D520" s="27"/>
      <c r="E520" s="28"/>
      <c r="F520" s="28"/>
      <c r="G520" s="27"/>
    </row>
    <row r="521" customFormat="false" ht="15" hidden="false" customHeight="false" outlineLevel="0" collapsed="false">
      <c r="A521" s="29"/>
      <c r="B521" s="40" t="n">
        <f aca="false">IF($A521="",0,INT(($A521-Macrociclo!$C$11)/7)+1)</f>
        <v>0</v>
      </c>
      <c r="C521" s="27"/>
      <c r="D521" s="27"/>
      <c r="E521" s="28"/>
      <c r="F521" s="28"/>
      <c r="G521" s="27"/>
    </row>
    <row r="522" customFormat="false" ht="15" hidden="false" customHeight="false" outlineLevel="0" collapsed="false">
      <c r="A522" s="29"/>
      <c r="B522" s="40" t="n">
        <f aca="false">IF($A522="",0,INT(($A522-Macrociclo!$C$11)/7)+1)</f>
        <v>0</v>
      </c>
      <c r="C522" s="27"/>
      <c r="D522" s="27"/>
      <c r="E522" s="28"/>
      <c r="F522" s="28"/>
      <c r="G522" s="27"/>
    </row>
    <row r="523" customFormat="false" ht="15" hidden="false" customHeight="false" outlineLevel="0" collapsed="false">
      <c r="A523" s="29"/>
      <c r="B523" s="40" t="n">
        <f aca="false">IF($A523="",0,INT(($A523-Macrociclo!$C$11)/7)+1)</f>
        <v>0</v>
      </c>
      <c r="C523" s="27"/>
      <c r="D523" s="27"/>
      <c r="E523" s="28"/>
      <c r="F523" s="28"/>
      <c r="G523" s="27"/>
    </row>
    <row r="524" customFormat="false" ht="15" hidden="false" customHeight="false" outlineLevel="0" collapsed="false">
      <c r="A524" s="29"/>
      <c r="B524" s="40" t="n">
        <f aca="false">IF($A524="",0,INT(($A524-Macrociclo!$C$11)/7)+1)</f>
        <v>0</v>
      </c>
      <c r="C524" s="27"/>
      <c r="D524" s="27"/>
      <c r="E524" s="28"/>
      <c r="F524" s="28"/>
      <c r="G524" s="27"/>
    </row>
    <row r="525" customFormat="false" ht="15" hidden="false" customHeight="false" outlineLevel="0" collapsed="false">
      <c r="A525" s="29"/>
      <c r="B525" s="40" t="n">
        <f aca="false">IF($A525="",0,INT(($A525-Macrociclo!$C$11)/7)+1)</f>
        <v>0</v>
      </c>
      <c r="C525" s="27"/>
      <c r="D525" s="27"/>
      <c r="E525" s="28"/>
      <c r="F525" s="28"/>
      <c r="G525" s="27"/>
    </row>
    <row r="526" customFormat="false" ht="15" hidden="false" customHeight="false" outlineLevel="0" collapsed="false">
      <c r="A526" s="29"/>
      <c r="B526" s="40" t="n">
        <f aca="false">IF($A526="",0,INT(($A526-Macrociclo!$C$11)/7)+1)</f>
        <v>0</v>
      </c>
      <c r="C526" s="27"/>
      <c r="D526" s="27"/>
      <c r="E526" s="28"/>
      <c r="F526" s="28"/>
      <c r="G526" s="27"/>
    </row>
    <row r="527" customFormat="false" ht="15" hidden="false" customHeight="false" outlineLevel="0" collapsed="false">
      <c r="A527" s="29"/>
      <c r="B527" s="40" t="n">
        <f aca="false">IF($A527="",0,INT(($A527-Macrociclo!$C$11)/7)+1)</f>
        <v>0</v>
      </c>
      <c r="C527" s="27"/>
      <c r="D527" s="27"/>
      <c r="E527" s="28"/>
      <c r="F527" s="28"/>
      <c r="G527" s="27"/>
    </row>
    <row r="528" customFormat="false" ht="15" hidden="false" customHeight="false" outlineLevel="0" collapsed="false">
      <c r="A528" s="29"/>
      <c r="B528" s="40" t="n">
        <f aca="false">IF($A528="",0,INT(($A528-Macrociclo!$C$11)/7)+1)</f>
        <v>0</v>
      </c>
      <c r="C528" s="27"/>
      <c r="D528" s="27"/>
      <c r="E528" s="28"/>
      <c r="F528" s="28"/>
      <c r="G528" s="27"/>
    </row>
    <row r="529" customFormat="false" ht="15" hidden="false" customHeight="false" outlineLevel="0" collapsed="false">
      <c r="A529" s="29"/>
      <c r="B529" s="40" t="n">
        <f aca="false">IF($A529="",0,INT(($A529-Macrociclo!$C$11)/7)+1)</f>
        <v>0</v>
      </c>
      <c r="C529" s="27"/>
      <c r="D529" s="27"/>
      <c r="E529" s="28"/>
      <c r="F529" s="28"/>
      <c r="G529" s="27"/>
    </row>
    <row r="530" customFormat="false" ht="15" hidden="false" customHeight="false" outlineLevel="0" collapsed="false">
      <c r="A530" s="29"/>
      <c r="B530" s="40" t="n">
        <f aca="false">IF($A530="",0,INT(($A530-Macrociclo!$C$11)/7)+1)</f>
        <v>0</v>
      </c>
      <c r="C530" s="27"/>
      <c r="D530" s="27"/>
      <c r="E530" s="28"/>
      <c r="F530" s="28"/>
      <c r="G530" s="27"/>
    </row>
    <row r="531" customFormat="false" ht="15" hidden="false" customHeight="false" outlineLevel="0" collapsed="false">
      <c r="A531" s="29"/>
      <c r="B531" s="40" t="n">
        <f aca="false">IF($A531="",0,INT(($A531-Macrociclo!$C$11)/7)+1)</f>
        <v>0</v>
      </c>
      <c r="C531" s="27"/>
      <c r="D531" s="27"/>
      <c r="E531" s="28"/>
      <c r="F531" s="28"/>
      <c r="G531" s="27"/>
    </row>
    <row r="532" customFormat="false" ht="15" hidden="false" customHeight="false" outlineLevel="0" collapsed="false">
      <c r="A532" s="29"/>
      <c r="B532" s="40" t="n">
        <f aca="false">IF($A532="",0,INT(($A532-Macrociclo!$C$11)/7)+1)</f>
        <v>0</v>
      </c>
      <c r="C532" s="27"/>
      <c r="D532" s="27"/>
      <c r="E532" s="28"/>
      <c r="F532" s="28"/>
      <c r="G532" s="27"/>
    </row>
    <row r="533" customFormat="false" ht="15" hidden="false" customHeight="false" outlineLevel="0" collapsed="false">
      <c r="A533" s="29"/>
      <c r="B533" s="40" t="n">
        <f aca="false">IF($A533="",0,INT(($A533-Macrociclo!$C$11)/7)+1)</f>
        <v>0</v>
      </c>
      <c r="C533" s="27"/>
      <c r="D533" s="27"/>
      <c r="E533" s="28"/>
      <c r="F533" s="28"/>
      <c r="G533" s="27"/>
    </row>
    <row r="534" customFormat="false" ht="15" hidden="false" customHeight="false" outlineLevel="0" collapsed="false">
      <c r="A534" s="29"/>
      <c r="B534" s="40" t="n">
        <f aca="false">IF($A534="",0,INT(($A534-Macrociclo!$C$11)/7)+1)</f>
        <v>0</v>
      </c>
      <c r="C534" s="27"/>
      <c r="D534" s="27"/>
      <c r="E534" s="28"/>
      <c r="F534" s="28"/>
      <c r="G534" s="27"/>
    </row>
    <row r="535" customFormat="false" ht="15" hidden="false" customHeight="false" outlineLevel="0" collapsed="false">
      <c r="A535" s="29"/>
      <c r="B535" s="40" t="n">
        <f aca="false">IF($A535="",0,INT(($A535-Macrociclo!$C$11)/7)+1)</f>
        <v>0</v>
      </c>
      <c r="C535" s="27"/>
      <c r="D535" s="27"/>
      <c r="E535" s="28"/>
      <c r="F535" s="28"/>
      <c r="G535" s="27"/>
    </row>
    <row r="536" customFormat="false" ht="15" hidden="false" customHeight="false" outlineLevel="0" collapsed="false">
      <c r="A536" s="29"/>
      <c r="B536" s="40" t="n">
        <f aca="false">IF($A536="",0,INT(($A536-Macrociclo!$C$11)/7)+1)</f>
        <v>0</v>
      </c>
      <c r="C536" s="27"/>
      <c r="D536" s="27"/>
      <c r="E536" s="28"/>
      <c r="F536" s="28"/>
      <c r="G536" s="27"/>
    </row>
    <row r="537" customFormat="false" ht="15" hidden="false" customHeight="false" outlineLevel="0" collapsed="false">
      <c r="A537" s="29"/>
      <c r="B537" s="40" t="n">
        <f aca="false">IF($A537="",0,INT(($A537-Macrociclo!$C$11)/7)+1)</f>
        <v>0</v>
      </c>
      <c r="C537" s="27"/>
      <c r="D537" s="27"/>
      <c r="E537" s="28"/>
      <c r="F537" s="28"/>
      <c r="G537" s="27"/>
    </row>
    <row r="538" customFormat="false" ht="15" hidden="false" customHeight="false" outlineLevel="0" collapsed="false">
      <c r="A538" s="29"/>
      <c r="B538" s="40" t="n">
        <f aca="false">IF($A538="",0,INT(($A538-Macrociclo!$C$11)/7)+1)</f>
        <v>0</v>
      </c>
      <c r="C538" s="27"/>
      <c r="D538" s="27"/>
      <c r="E538" s="28"/>
      <c r="F538" s="28"/>
      <c r="G538" s="27"/>
    </row>
    <row r="539" customFormat="false" ht="15" hidden="false" customHeight="false" outlineLevel="0" collapsed="false">
      <c r="A539" s="29"/>
      <c r="B539" s="40" t="n">
        <f aca="false">IF($A539="",0,INT(($A539-Macrociclo!$C$11)/7)+1)</f>
        <v>0</v>
      </c>
      <c r="C539" s="27"/>
      <c r="D539" s="27"/>
      <c r="E539" s="28"/>
      <c r="F539" s="28"/>
      <c r="G539" s="27"/>
    </row>
    <row r="540" customFormat="false" ht="15" hidden="false" customHeight="false" outlineLevel="0" collapsed="false">
      <c r="A540" s="29"/>
      <c r="B540" s="40" t="n">
        <f aca="false">IF($A540="",0,INT(($A540-Macrociclo!$C$11)/7)+1)</f>
        <v>0</v>
      </c>
      <c r="C540" s="27"/>
      <c r="D540" s="27"/>
      <c r="E540" s="28"/>
      <c r="F540" s="28"/>
      <c r="G540" s="27"/>
    </row>
    <row r="541" customFormat="false" ht="15" hidden="false" customHeight="false" outlineLevel="0" collapsed="false">
      <c r="A541" s="29"/>
      <c r="B541" s="40" t="n">
        <f aca="false">IF($A541="",0,INT(($A541-Macrociclo!$C$11)/7)+1)</f>
        <v>0</v>
      </c>
      <c r="C541" s="27"/>
      <c r="D541" s="27"/>
      <c r="E541" s="28"/>
      <c r="F541" s="28"/>
      <c r="G541" s="27"/>
    </row>
    <row r="542" customFormat="false" ht="15" hidden="false" customHeight="false" outlineLevel="0" collapsed="false">
      <c r="A542" s="29"/>
      <c r="B542" s="40" t="n">
        <f aca="false">IF($A542="",0,INT(($A542-Macrociclo!$C$11)/7)+1)</f>
        <v>0</v>
      </c>
      <c r="C542" s="27"/>
      <c r="D542" s="27"/>
      <c r="E542" s="28"/>
      <c r="F542" s="28"/>
      <c r="G542" s="27"/>
    </row>
    <row r="543" customFormat="false" ht="15" hidden="false" customHeight="false" outlineLevel="0" collapsed="false">
      <c r="A543" s="29"/>
      <c r="B543" s="40" t="n">
        <f aca="false">IF($A543="",0,INT(($A543-Macrociclo!$C$11)/7)+1)</f>
        <v>0</v>
      </c>
      <c r="C543" s="27"/>
      <c r="D543" s="27"/>
      <c r="E543" s="28"/>
      <c r="F543" s="28"/>
      <c r="G543" s="27"/>
    </row>
    <row r="544" customFormat="false" ht="15" hidden="false" customHeight="false" outlineLevel="0" collapsed="false">
      <c r="A544" s="29"/>
      <c r="B544" s="40" t="n">
        <f aca="false">IF($A544="",0,INT(($A544-Macrociclo!$C$11)/7)+1)</f>
        <v>0</v>
      </c>
      <c r="C544" s="27"/>
      <c r="D544" s="27"/>
      <c r="E544" s="28"/>
      <c r="F544" s="28"/>
      <c r="G544" s="27"/>
    </row>
    <row r="545" customFormat="false" ht="15" hidden="false" customHeight="false" outlineLevel="0" collapsed="false">
      <c r="A545" s="29"/>
      <c r="B545" s="40" t="n">
        <f aca="false">IF($A545="",0,INT(($A545-Macrociclo!$C$11)/7)+1)</f>
        <v>0</v>
      </c>
      <c r="C545" s="27"/>
      <c r="D545" s="27"/>
      <c r="E545" s="28"/>
      <c r="F545" s="28"/>
      <c r="G545" s="27"/>
    </row>
    <row r="546" customFormat="false" ht="15" hidden="false" customHeight="false" outlineLevel="0" collapsed="false">
      <c r="A546" s="29"/>
      <c r="B546" s="40" t="n">
        <f aca="false">IF($A546="",0,INT(($A546-Macrociclo!$C$11)/7)+1)</f>
        <v>0</v>
      </c>
      <c r="C546" s="27"/>
      <c r="D546" s="27"/>
      <c r="E546" s="28"/>
      <c r="F546" s="28"/>
      <c r="G546" s="27"/>
    </row>
    <row r="547" customFormat="false" ht="15" hidden="false" customHeight="false" outlineLevel="0" collapsed="false">
      <c r="A547" s="29"/>
      <c r="B547" s="40" t="n">
        <f aca="false">IF($A547="",0,INT(($A547-Macrociclo!$C$11)/7)+1)</f>
        <v>0</v>
      </c>
      <c r="C547" s="27"/>
      <c r="D547" s="27"/>
      <c r="E547" s="28"/>
      <c r="F547" s="28"/>
      <c r="G547" s="27"/>
    </row>
    <row r="548" customFormat="false" ht="15" hidden="false" customHeight="false" outlineLevel="0" collapsed="false">
      <c r="A548" s="29"/>
      <c r="B548" s="40" t="n">
        <f aca="false">IF($A548="",0,INT(($A548-Macrociclo!$C$11)/7)+1)</f>
        <v>0</v>
      </c>
      <c r="C548" s="27"/>
      <c r="D548" s="27"/>
      <c r="E548" s="28"/>
      <c r="F548" s="28"/>
      <c r="G548" s="27"/>
    </row>
    <row r="549" customFormat="false" ht="15" hidden="false" customHeight="false" outlineLevel="0" collapsed="false">
      <c r="A549" s="29"/>
      <c r="B549" s="40" t="n">
        <f aca="false">IF($A549="",0,INT(($A549-Macrociclo!$C$11)/7)+1)</f>
        <v>0</v>
      </c>
      <c r="C549" s="27"/>
      <c r="D549" s="27"/>
      <c r="E549" s="28"/>
      <c r="F549" s="28"/>
      <c r="G549" s="27"/>
    </row>
    <row r="550" customFormat="false" ht="15" hidden="false" customHeight="false" outlineLevel="0" collapsed="false">
      <c r="A550" s="29"/>
      <c r="B550" s="40" t="n">
        <f aca="false">IF($A550="",0,INT(($A550-Macrociclo!$C$11)/7)+1)</f>
        <v>0</v>
      </c>
      <c r="C550" s="27"/>
      <c r="D550" s="27"/>
      <c r="E550" s="28"/>
      <c r="F550" s="28"/>
      <c r="G550" s="27"/>
    </row>
    <row r="551" customFormat="false" ht="15" hidden="false" customHeight="false" outlineLevel="0" collapsed="false">
      <c r="A551" s="29"/>
      <c r="B551" s="40" t="n">
        <f aca="false">IF($A551="",0,INT(($A551-Macrociclo!$C$11)/7)+1)</f>
        <v>0</v>
      </c>
      <c r="C551" s="27"/>
      <c r="D551" s="27"/>
      <c r="E551" s="28"/>
      <c r="F551" s="28"/>
      <c r="G551" s="27"/>
    </row>
    <row r="552" customFormat="false" ht="15" hidden="false" customHeight="false" outlineLevel="0" collapsed="false">
      <c r="A552" s="29"/>
      <c r="B552" s="40" t="n">
        <f aca="false">IF($A552="",0,INT(($A552-Macrociclo!$C$11)/7)+1)</f>
        <v>0</v>
      </c>
      <c r="C552" s="27"/>
      <c r="D552" s="27"/>
      <c r="E552" s="28"/>
      <c r="F552" s="28"/>
      <c r="G552" s="27"/>
    </row>
    <row r="553" customFormat="false" ht="15" hidden="false" customHeight="false" outlineLevel="0" collapsed="false">
      <c r="A553" s="29"/>
      <c r="B553" s="40" t="n">
        <f aca="false">IF($A553="",0,INT(($A553-Macrociclo!$C$11)/7)+1)</f>
        <v>0</v>
      </c>
      <c r="C553" s="27"/>
      <c r="D553" s="27"/>
      <c r="E553" s="28"/>
      <c r="F553" s="28"/>
      <c r="G553" s="27"/>
    </row>
    <row r="554" customFormat="false" ht="15" hidden="false" customHeight="false" outlineLevel="0" collapsed="false">
      <c r="A554" s="29"/>
      <c r="B554" s="40" t="n">
        <f aca="false">IF($A554="",0,INT(($A554-Macrociclo!$C$11)/7)+1)</f>
        <v>0</v>
      </c>
      <c r="C554" s="27"/>
      <c r="D554" s="27"/>
      <c r="E554" s="28"/>
      <c r="F554" s="28"/>
      <c r="G554" s="27"/>
    </row>
    <row r="555" customFormat="false" ht="15" hidden="false" customHeight="false" outlineLevel="0" collapsed="false">
      <c r="A555" s="29"/>
      <c r="B555" s="40" t="n">
        <f aca="false">IF($A555="",0,INT(($A555-Macrociclo!$C$11)/7)+1)</f>
        <v>0</v>
      </c>
      <c r="C555" s="27"/>
      <c r="D555" s="27"/>
      <c r="E555" s="28"/>
      <c r="F555" s="28"/>
      <c r="G555" s="27"/>
    </row>
    <row r="556" customFormat="false" ht="15" hidden="false" customHeight="false" outlineLevel="0" collapsed="false">
      <c r="A556" s="29"/>
      <c r="B556" s="40" t="n">
        <f aca="false">IF($A556="",0,INT(($A556-Macrociclo!$C$11)/7)+1)</f>
        <v>0</v>
      </c>
      <c r="C556" s="27"/>
      <c r="D556" s="27"/>
      <c r="E556" s="28"/>
      <c r="F556" s="28"/>
      <c r="G556" s="27"/>
    </row>
    <row r="557" customFormat="false" ht="15" hidden="false" customHeight="false" outlineLevel="0" collapsed="false">
      <c r="A557" s="29"/>
      <c r="B557" s="40" t="n">
        <f aca="false">IF($A557="",0,INT(($A557-Macrociclo!$C$11)/7)+1)</f>
        <v>0</v>
      </c>
      <c r="C557" s="27"/>
      <c r="D557" s="27"/>
      <c r="E557" s="28"/>
      <c r="F557" s="28"/>
      <c r="G557" s="27"/>
    </row>
    <row r="558" customFormat="false" ht="15" hidden="false" customHeight="false" outlineLevel="0" collapsed="false">
      <c r="A558" s="29"/>
      <c r="B558" s="40" t="n">
        <f aca="false">IF($A558="",0,INT(($A558-Macrociclo!$C$11)/7)+1)</f>
        <v>0</v>
      </c>
      <c r="C558" s="27"/>
      <c r="D558" s="27"/>
      <c r="E558" s="28"/>
      <c r="F558" s="28"/>
      <c r="G558" s="27"/>
    </row>
    <row r="559" customFormat="false" ht="15" hidden="false" customHeight="false" outlineLevel="0" collapsed="false">
      <c r="A559" s="29"/>
      <c r="B559" s="40" t="n">
        <f aca="false">IF($A559="",0,INT(($A559-Macrociclo!$C$11)/7)+1)</f>
        <v>0</v>
      </c>
      <c r="C559" s="27"/>
      <c r="D559" s="27"/>
      <c r="E559" s="28"/>
      <c r="F559" s="28"/>
      <c r="G559" s="27"/>
    </row>
    <row r="560" customFormat="false" ht="15" hidden="false" customHeight="false" outlineLevel="0" collapsed="false">
      <c r="A560" s="29"/>
      <c r="B560" s="40" t="n">
        <f aca="false">IF($A560="",0,INT(($A560-Macrociclo!$C$11)/7)+1)</f>
        <v>0</v>
      </c>
      <c r="C560" s="27"/>
      <c r="D560" s="27"/>
      <c r="E560" s="28"/>
      <c r="F560" s="28"/>
      <c r="G560" s="27"/>
    </row>
    <row r="561" customFormat="false" ht="15" hidden="false" customHeight="false" outlineLevel="0" collapsed="false">
      <c r="A561" s="29"/>
      <c r="B561" s="40" t="n">
        <f aca="false">IF($A561="",0,INT(($A561-Macrociclo!$C$11)/7)+1)</f>
        <v>0</v>
      </c>
      <c r="C561" s="27"/>
      <c r="D561" s="27"/>
      <c r="E561" s="28"/>
      <c r="F561" s="28"/>
      <c r="G561" s="27"/>
    </row>
    <row r="562" customFormat="false" ht="15" hidden="false" customHeight="false" outlineLevel="0" collapsed="false">
      <c r="A562" s="29"/>
      <c r="B562" s="40" t="n">
        <f aca="false">IF($A562="",0,INT(($A562-Macrociclo!$C$11)/7)+1)</f>
        <v>0</v>
      </c>
      <c r="C562" s="27"/>
      <c r="D562" s="27"/>
      <c r="E562" s="28"/>
      <c r="F562" s="28"/>
      <c r="G562" s="27"/>
    </row>
    <row r="563" customFormat="false" ht="15" hidden="false" customHeight="false" outlineLevel="0" collapsed="false">
      <c r="A563" s="29"/>
      <c r="B563" s="40" t="n">
        <f aca="false">IF($A563="",0,INT(($A563-Macrociclo!$C$11)/7)+1)</f>
        <v>0</v>
      </c>
      <c r="C563" s="27"/>
      <c r="D563" s="27"/>
      <c r="E563" s="28"/>
      <c r="F563" s="28"/>
      <c r="G563" s="27"/>
    </row>
    <row r="564" customFormat="false" ht="15" hidden="false" customHeight="false" outlineLevel="0" collapsed="false">
      <c r="A564" s="29"/>
      <c r="B564" s="40" t="n">
        <f aca="false">IF($A564="",0,INT(($A564-Macrociclo!$C$11)/7)+1)</f>
        <v>0</v>
      </c>
      <c r="C564" s="27"/>
      <c r="D564" s="27"/>
      <c r="E564" s="28"/>
      <c r="F564" s="28"/>
      <c r="G564" s="27"/>
    </row>
    <row r="565" customFormat="false" ht="15" hidden="false" customHeight="false" outlineLevel="0" collapsed="false">
      <c r="A565" s="29"/>
      <c r="B565" s="40" t="n">
        <f aca="false">IF($A565="",0,INT(($A565-Macrociclo!$C$11)/7)+1)</f>
        <v>0</v>
      </c>
      <c r="C565" s="27"/>
      <c r="D565" s="27"/>
      <c r="E565" s="28"/>
      <c r="F565" s="28"/>
      <c r="G565" s="27"/>
    </row>
    <row r="566" customFormat="false" ht="15" hidden="false" customHeight="false" outlineLevel="0" collapsed="false">
      <c r="A566" s="29"/>
      <c r="B566" s="40" t="n">
        <f aca="false">IF($A566="",0,INT(($A566-Macrociclo!$C$11)/7)+1)</f>
        <v>0</v>
      </c>
      <c r="C566" s="27"/>
      <c r="D566" s="27"/>
      <c r="E566" s="28"/>
      <c r="F566" s="28"/>
      <c r="G566" s="27"/>
    </row>
    <row r="567" customFormat="false" ht="15" hidden="false" customHeight="false" outlineLevel="0" collapsed="false">
      <c r="A567" s="29"/>
      <c r="B567" s="40" t="n">
        <f aca="false">IF($A567="",0,INT(($A567-Macrociclo!$C$11)/7)+1)</f>
        <v>0</v>
      </c>
      <c r="C567" s="27"/>
      <c r="D567" s="27"/>
      <c r="E567" s="28"/>
      <c r="F567" s="28"/>
      <c r="G567" s="27"/>
    </row>
    <row r="568" customFormat="false" ht="15" hidden="false" customHeight="false" outlineLevel="0" collapsed="false">
      <c r="A568" s="29"/>
      <c r="B568" s="40" t="n">
        <f aca="false">IF($A568="",0,INT(($A568-Macrociclo!$C$11)/7)+1)</f>
        <v>0</v>
      </c>
      <c r="C568" s="27"/>
      <c r="D568" s="27"/>
      <c r="E568" s="28"/>
      <c r="F568" s="28"/>
      <c r="G568" s="27"/>
    </row>
    <row r="569" customFormat="false" ht="15" hidden="false" customHeight="false" outlineLevel="0" collapsed="false">
      <c r="A569" s="29"/>
      <c r="B569" s="40" t="n">
        <f aca="false">IF($A569="",0,INT(($A569-Macrociclo!$C$11)/7)+1)</f>
        <v>0</v>
      </c>
      <c r="C569" s="27"/>
      <c r="D569" s="27"/>
      <c r="E569" s="28"/>
      <c r="F569" s="28"/>
      <c r="G569" s="27"/>
    </row>
    <row r="570" customFormat="false" ht="15" hidden="false" customHeight="false" outlineLevel="0" collapsed="false">
      <c r="A570" s="29"/>
      <c r="B570" s="40" t="n">
        <f aca="false">IF($A570="",0,INT(($A570-Macrociclo!$C$11)/7)+1)</f>
        <v>0</v>
      </c>
      <c r="C570" s="27"/>
      <c r="D570" s="27"/>
      <c r="E570" s="28"/>
      <c r="F570" s="28"/>
      <c r="G570" s="27"/>
    </row>
    <row r="571" customFormat="false" ht="15" hidden="false" customHeight="false" outlineLevel="0" collapsed="false">
      <c r="A571" s="29"/>
      <c r="B571" s="40" t="n">
        <f aca="false">IF($A571="",0,INT(($A571-Macrociclo!$C$11)/7)+1)</f>
        <v>0</v>
      </c>
      <c r="C571" s="27"/>
      <c r="D571" s="27"/>
      <c r="E571" s="28"/>
      <c r="F571" s="28"/>
      <c r="G571" s="27"/>
    </row>
    <row r="572" customFormat="false" ht="15" hidden="false" customHeight="false" outlineLevel="0" collapsed="false">
      <c r="A572" s="29"/>
      <c r="B572" s="40" t="n">
        <f aca="false">IF($A572="",0,INT(($A572-Macrociclo!$C$11)/7)+1)</f>
        <v>0</v>
      </c>
      <c r="C572" s="27"/>
      <c r="D572" s="27"/>
      <c r="E572" s="28"/>
      <c r="F572" s="28"/>
      <c r="G572" s="27"/>
    </row>
    <row r="573" customFormat="false" ht="15" hidden="false" customHeight="false" outlineLevel="0" collapsed="false">
      <c r="A573" s="29"/>
      <c r="B573" s="40" t="n">
        <f aca="false">IF($A573="",0,INT(($A573-Macrociclo!$C$11)/7)+1)</f>
        <v>0</v>
      </c>
      <c r="C573" s="27"/>
      <c r="D573" s="27"/>
      <c r="E573" s="28"/>
      <c r="F573" s="28"/>
      <c r="G573" s="27"/>
    </row>
    <row r="574" customFormat="false" ht="15" hidden="false" customHeight="false" outlineLevel="0" collapsed="false">
      <c r="A574" s="29"/>
      <c r="B574" s="40" t="n">
        <f aca="false">IF($A574="",0,INT(($A574-Macrociclo!$C$11)/7)+1)</f>
        <v>0</v>
      </c>
      <c r="C574" s="27"/>
      <c r="D574" s="27"/>
      <c r="E574" s="28"/>
      <c r="F574" s="28"/>
      <c r="G574" s="27"/>
    </row>
    <row r="575" customFormat="false" ht="15" hidden="false" customHeight="false" outlineLevel="0" collapsed="false">
      <c r="A575" s="29"/>
      <c r="B575" s="40" t="n">
        <f aca="false">IF($A575="",0,INT(($A575-Macrociclo!$C$11)/7)+1)</f>
        <v>0</v>
      </c>
      <c r="C575" s="27"/>
      <c r="D575" s="27"/>
      <c r="E575" s="28"/>
      <c r="F575" s="28"/>
      <c r="G575" s="27"/>
    </row>
    <row r="576" customFormat="false" ht="15" hidden="false" customHeight="false" outlineLevel="0" collapsed="false">
      <c r="A576" s="29"/>
      <c r="B576" s="40" t="n">
        <f aca="false">IF($A576="",0,INT(($A576-Macrociclo!$C$11)/7)+1)</f>
        <v>0</v>
      </c>
      <c r="C576" s="27"/>
      <c r="D576" s="27"/>
      <c r="E576" s="28"/>
      <c r="F576" s="28"/>
      <c r="G576" s="27"/>
    </row>
    <row r="577" customFormat="false" ht="15" hidden="false" customHeight="false" outlineLevel="0" collapsed="false">
      <c r="A577" s="29"/>
      <c r="B577" s="40" t="n">
        <f aca="false">IF($A577="",0,INT(($A577-Macrociclo!$C$11)/7)+1)</f>
        <v>0</v>
      </c>
      <c r="C577" s="27"/>
      <c r="D577" s="27"/>
      <c r="E577" s="28"/>
      <c r="F577" s="28"/>
      <c r="G577" s="27"/>
    </row>
    <row r="578" customFormat="false" ht="15" hidden="false" customHeight="false" outlineLevel="0" collapsed="false">
      <c r="A578" s="29"/>
      <c r="B578" s="40" t="n">
        <f aca="false">IF($A578="",0,INT(($A578-Macrociclo!$C$11)/7)+1)</f>
        <v>0</v>
      </c>
      <c r="C578" s="27"/>
      <c r="D578" s="27"/>
      <c r="E578" s="28"/>
      <c r="F578" s="28"/>
      <c r="G578" s="27"/>
    </row>
    <row r="579" customFormat="false" ht="15" hidden="false" customHeight="false" outlineLevel="0" collapsed="false">
      <c r="A579" s="29"/>
      <c r="B579" s="40" t="n">
        <f aca="false">IF($A579="",0,INT(($A579-Macrociclo!$C$11)/7)+1)</f>
        <v>0</v>
      </c>
      <c r="C579" s="27"/>
      <c r="D579" s="27"/>
      <c r="E579" s="28"/>
      <c r="F579" s="28"/>
      <c r="G579" s="27"/>
    </row>
    <row r="580" customFormat="false" ht="15" hidden="false" customHeight="false" outlineLevel="0" collapsed="false">
      <c r="A580" s="29"/>
      <c r="B580" s="40" t="n">
        <f aca="false">IF($A580="",0,INT(($A580-Macrociclo!$C$11)/7)+1)</f>
        <v>0</v>
      </c>
      <c r="C580" s="27"/>
      <c r="D580" s="27"/>
      <c r="E580" s="28"/>
      <c r="F580" s="28"/>
      <c r="G580" s="27"/>
    </row>
    <row r="581" customFormat="false" ht="15" hidden="false" customHeight="false" outlineLevel="0" collapsed="false">
      <c r="A581" s="29"/>
      <c r="B581" s="40" t="n">
        <f aca="false">IF($A581="",0,INT(($A581-Macrociclo!$C$11)/7)+1)</f>
        <v>0</v>
      </c>
      <c r="C581" s="27"/>
      <c r="D581" s="27"/>
      <c r="E581" s="28"/>
      <c r="F581" s="28"/>
      <c r="G581" s="27"/>
    </row>
    <row r="582" customFormat="false" ht="15" hidden="false" customHeight="false" outlineLevel="0" collapsed="false">
      <c r="A582" s="29"/>
      <c r="B582" s="40" t="n">
        <f aca="false">IF($A582="",0,INT(($A582-Macrociclo!$C$11)/7)+1)</f>
        <v>0</v>
      </c>
      <c r="C582" s="27"/>
      <c r="D582" s="27"/>
      <c r="E582" s="28"/>
      <c r="F582" s="28"/>
      <c r="G582" s="27"/>
    </row>
    <row r="583" customFormat="false" ht="15" hidden="false" customHeight="false" outlineLevel="0" collapsed="false">
      <c r="A583" s="29"/>
      <c r="B583" s="40" t="n">
        <f aca="false">IF($A583="",0,INT(($A583-Macrociclo!$C$11)/7)+1)</f>
        <v>0</v>
      </c>
      <c r="C583" s="27"/>
      <c r="D583" s="27"/>
      <c r="E583" s="28"/>
      <c r="F583" s="28"/>
      <c r="G583" s="27"/>
    </row>
    <row r="584" customFormat="false" ht="15" hidden="false" customHeight="false" outlineLevel="0" collapsed="false">
      <c r="A584" s="29"/>
      <c r="B584" s="40" t="n">
        <f aca="false">IF($A584="",0,INT(($A584-Macrociclo!$C$11)/7)+1)</f>
        <v>0</v>
      </c>
      <c r="C584" s="27"/>
      <c r="D584" s="27"/>
      <c r="E584" s="28"/>
      <c r="F584" s="28"/>
      <c r="G584" s="27"/>
    </row>
    <row r="585" customFormat="false" ht="15" hidden="false" customHeight="false" outlineLevel="0" collapsed="false">
      <c r="A585" s="29"/>
      <c r="B585" s="40" t="n">
        <f aca="false">IF($A585="",0,INT(($A585-Macrociclo!$C$11)/7)+1)</f>
        <v>0</v>
      </c>
      <c r="C585" s="27"/>
      <c r="D585" s="27"/>
      <c r="E585" s="28"/>
      <c r="F585" s="28"/>
      <c r="G585" s="27"/>
    </row>
    <row r="586" customFormat="false" ht="15" hidden="false" customHeight="false" outlineLevel="0" collapsed="false">
      <c r="A586" s="29"/>
      <c r="B586" s="40" t="n">
        <f aca="false">IF($A586="",0,INT(($A586-Macrociclo!$C$11)/7)+1)</f>
        <v>0</v>
      </c>
      <c r="C586" s="27"/>
      <c r="D586" s="27"/>
      <c r="E586" s="28"/>
      <c r="F586" s="28"/>
      <c r="G586" s="27"/>
    </row>
    <row r="587" customFormat="false" ht="15" hidden="false" customHeight="false" outlineLevel="0" collapsed="false">
      <c r="A587" s="29"/>
      <c r="B587" s="40" t="n">
        <f aca="false">IF($A587="",0,INT(($A587-Macrociclo!$C$11)/7)+1)</f>
        <v>0</v>
      </c>
      <c r="C587" s="27"/>
      <c r="D587" s="27"/>
      <c r="E587" s="28"/>
      <c r="F587" s="28"/>
      <c r="G587" s="27"/>
    </row>
    <row r="588" customFormat="false" ht="15" hidden="false" customHeight="false" outlineLevel="0" collapsed="false">
      <c r="A588" s="29"/>
      <c r="B588" s="40" t="n">
        <f aca="false">IF($A588="",0,INT(($A588-Macrociclo!$C$11)/7)+1)</f>
        <v>0</v>
      </c>
      <c r="C588" s="27"/>
      <c r="D588" s="27"/>
      <c r="E588" s="28"/>
      <c r="F588" s="28"/>
      <c r="G588" s="27"/>
    </row>
    <row r="589" customFormat="false" ht="15" hidden="false" customHeight="false" outlineLevel="0" collapsed="false">
      <c r="A589" s="29"/>
      <c r="B589" s="40" t="n">
        <f aca="false">IF($A589="",0,INT(($A589-Macrociclo!$C$11)/7)+1)</f>
        <v>0</v>
      </c>
      <c r="C589" s="27"/>
      <c r="D589" s="27"/>
      <c r="E589" s="28"/>
      <c r="F589" s="28"/>
      <c r="G589" s="27"/>
    </row>
    <row r="590" customFormat="false" ht="15" hidden="false" customHeight="false" outlineLevel="0" collapsed="false">
      <c r="A590" s="29"/>
      <c r="B590" s="40" t="n">
        <f aca="false">IF($A590="",0,INT(($A590-Macrociclo!$C$11)/7)+1)</f>
        <v>0</v>
      </c>
      <c r="C590" s="27"/>
      <c r="D590" s="27"/>
      <c r="E590" s="28"/>
      <c r="F590" s="28"/>
      <c r="G590" s="27"/>
    </row>
    <row r="591" customFormat="false" ht="15" hidden="false" customHeight="false" outlineLevel="0" collapsed="false">
      <c r="A591" s="29"/>
      <c r="B591" s="40" t="n">
        <f aca="false">IF($A591="",0,INT(($A591-Macrociclo!$C$11)/7)+1)</f>
        <v>0</v>
      </c>
      <c r="C591" s="27"/>
      <c r="D591" s="27"/>
      <c r="E591" s="28"/>
      <c r="F591" s="28"/>
      <c r="G591" s="27"/>
    </row>
    <row r="592" customFormat="false" ht="15" hidden="false" customHeight="false" outlineLevel="0" collapsed="false">
      <c r="A592" s="29"/>
      <c r="B592" s="40" t="n">
        <f aca="false">IF($A592="",0,INT(($A592-Macrociclo!$C$11)/7)+1)</f>
        <v>0</v>
      </c>
      <c r="C592" s="27"/>
      <c r="D592" s="27"/>
      <c r="E592" s="28"/>
      <c r="F592" s="28"/>
      <c r="G592" s="27"/>
    </row>
    <row r="593" customFormat="false" ht="15" hidden="false" customHeight="false" outlineLevel="0" collapsed="false">
      <c r="A593" s="29"/>
      <c r="B593" s="40" t="n">
        <f aca="false">IF($A593="",0,INT(($A593-Macrociclo!$C$11)/7)+1)</f>
        <v>0</v>
      </c>
      <c r="C593" s="27"/>
      <c r="D593" s="27"/>
      <c r="E593" s="28"/>
      <c r="F593" s="28"/>
      <c r="G593" s="27"/>
    </row>
    <row r="594" customFormat="false" ht="15" hidden="false" customHeight="false" outlineLevel="0" collapsed="false">
      <c r="A594" s="29"/>
      <c r="B594" s="40" t="n">
        <f aca="false">IF($A594="",0,INT(($A594-Macrociclo!$C$11)/7)+1)</f>
        <v>0</v>
      </c>
      <c r="C594" s="27"/>
      <c r="D594" s="27"/>
      <c r="E594" s="28"/>
      <c r="F594" s="28"/>
      <c r="G594" s="27"/>
    </row>
    <row r="595" customFormat="false" ht="15" hidden="false" customHeight="false" outlineLevel="0" collapsed="false">
      <c r="A595" s="29"/>
      <c r="B595" s="40" t="n">
        <f aca="false">IF($A595="",0,INT(($A595-Macrociclo!$C$11)/7)+1)</f>
        <v>0</v>
      </c>
      <c r="C595" s="27"/>
      <c r="D595" s="27"/>
      <c r="E595" s="28"/>
      <c r="F595" s="28"/>
      <c r="G595" s="27"/>
    </row>
    <row r="596" customFormat="false" ht="15" hidden="false" customHeight="false" outlineLevel="0" collapsed="false">
      <c r="A596" s="29"/>
      <c r="B596" s="40" t="n">
        <f aca="false">IF($A596="",0,INT(($A596-Macrociclo!$C$11)/7)+1)</f>
        <v>0</v>
      </c>
      <c r="C596" s="27"/>
      <c r="D596" s="27"/>
      <c r="E596" s="28"/>
      <c r="F596" s="28"/>
      <c r="G596" s="27"/>
    </row>
    <row r="597" customFormat="false" ht="15" hidden="false" customHeight="false" outlineLevel="0" collapsed="false">
      <c r="A597" s="29"/>
      <c r="B597" s="40" t="n">
        <f aca="false">IF($A597="",0,INT(($A597-Macrociclo!$C$11)/7)+1)</f>
        <v>0</v>
      </c>
      <c r="C597" s="27"/>
      <c r="D597" s="27"/>
      <c r="E597" s="28"/>
      <c r="F597" s="28"/>
      <c r="G597" s="27"/>
    </row>
    <row r="598" customFormat="false" ht="15" hidden="false" customHeight="false" outlineLevel="0" collapsed="false">
      <c r="A598" s="29"/>
      <c r="B598" s="40" t="n">
        <f aca="false">IF($A598="",0,INT(($A598-Macrociclo!$C$11)/7)+1)</f>
        <v>0</v>
      </c>
      <c r="C598" s="27"/>
      <c r="D598" s="27"/>
      <c r="E598" s="28"/>
      <c r="F598" s="28"/>
      <c r="G598" s="27"/>
    </row>
    <row r="599" customFormat="false" ht="15" hidden="false" customHeight="false" outlineLevel="0" collapsed="false">
      <c r="A599" s="29"/>
      <c r="B599" s="40" t="n">
        <f aca="false">IF($A599="",0,INT(($A599-Macrociclo!$C$11)/7)+1)</f>
        <v>0</v>
      </c>
      <c r="C599" s="27"/>
      <c r="D599" s="27"/>
      <c r="E599" s="28"/>
      <c r="F599" s="28"/>
      <c r="G599" s="27"/>
    </row>
    <row r="600" customFormat="false" ht="15" hidden="false" customHeight="false" outlineLevel="0" collapsed="false">
      <c r="A600" s="29"/>
      <c r="B600" s="40" t="n">
        <f aca="false">IF($A600="",0,INT(($A600-Macrociclo!$C$11)/7)+1)</f>
        <v>0</v>
      </c>
      <c r="C600" s="27"/>
      <c r="D600" s="27"/>
      <c r="E600" s="28"/>
      <c r="F600" s="28"/>
      <c r="G600" s="27"/>
    </row>
    <row r="601" customFormat="false" ht="15" hidden="false" customHeight="false" outlineLevel="0" collapsed="false">
      <c r="A601" s="29"/>
      <c r="B601" s="40" t="n">
        <f aca="false">IF($A601="",0,INT(($A601-Macrociclo!$C$11)/7)+1)</f>
        <v>0</v>
      </c>
      <c r="C601" s="27"/>
      <c r="D601" s="27"/>
      <c r="E601" s="28"/>
      <c r="F601" s="28"/>
      <c r="G601" s="27"/>
    </row>
    <row r="602" customFormat="false" ht="15" hidden="false" customHeight="false" outlineLevel="0" collapsed="false">
      <c r="A602" s="29"/>
      <c r="B602" s="40" t="n">
        <f aca="false">IF($A602="",0,INT(($A602-Macrociclo!$C$11)/7)+1)</f>
        <v>0</v>
      </c>
      <c r="C602" s="27"/>
      <c r="D602" s="27"/>
      <c r="E602" s="28"/>
      <c r="F602" s="28"/>
      <c r="G602" s="27"/>
    </row>
    <row r="603" customFormat="false" ht="15" hidden="false" customHeight="false" outlineLevel="0" collapsed="false">
      <c r="A603" s="29"/>
      <c r="B603" s="40" t="n">
        <f aca="false">IF($A603="",0,INT(($A603-Macrociclo!$C$11)/7)+1)</f>
        <v>0</v>
      </c>
      <c r="C603" s="27"/>
      <c r="D603" s="27"/>
      <c r="E603" s="28"/>
      <c r="F603" s="28"/>
      <c r="G603" s="27"/>
    </row>
    <row r="604" customFormat="false" ht="15" hidden="false" customHeight="false" outlineLevel="0" collapsed="false">
      <c r="A604" s="29"/>
      <c r="B604" s="40" t="n">
        <f aca="false">IF($A604="",0,INT(($A604-Macrociclo!$C$11)/7)+1)</f>
        <v>0</v>
      </c>
      <c r="C604" s="27"/>
      <c r="D604" s="27"/>
      <c r="E604" s="28"/>
      <c r="F604" s="28"/>
      <c r="G604" s="27"/>
    </row>
    <row r="605" customFormat="false" ht="15" hidden="false" customHeight="false" outlineLevel="0" collapsed="false">
      <c r="A605" s="29"/>
      <c r="B605" s="40" t="n">
        <f aca="false">IF($A605="",0,INT(($A605-Macrociclo!$C$11)/7)+1)</f>
        <v>0</v>
      </c>
      <c r="C605" s="27"/>
      <c r="D605" s="27"/>
      <c r="E605" s="28"/>
      <c r="F605" s="28"/>
      <c r="G605" s="27"/>
    </row>
    <row r="606" customFormat="false" ht="15" hidden="false" customHeight="false" outlineLevel="0" collapsed="false">
      <c r="A606" s="29"/>
      <c r="B606" s="40" t="n">
        <f aca="false">IF($A606="",0,INT(($A606-Macrociclo!$C$11)/7)+1)</f>
        <v>0</v>
      </c>
      <c r="C606" s="27"/>
      <c r="D606" s="27"/>
      <c r="E606" s="28"/>
      <c r="F606" s="28"/>
      <c r="G606" s="27"/>
    </row>
    <row r="607" customFormat="false" ht="15" hidden="false" customHeight="false" outlineLevel="0" collapsed="false">
      <c r="A607" s="29"/>
      <c r="B607" s="40" t="n">
        <f aca="false">IF($A607="",0,INT(($A607-Macrociclo!$C$11)/7)+1)</f>
        <v>0</v>
      </c>
      <c r="C607" s="27"/>
      <c r="D607" s="27"/>
      <c r="E607" s="28"/>
      <c r="F607" s="28"/>
      <c r="G607" s="27"/>
    </row>
    <row r="608" customFormat="false" ht="15" hidden="false" customHeight="false" outlineLevel="0" collapsed="false">
      <c r="A608" s="29"/>
      <c r="B608" s="40" t="n">
        <f aca="false">IF($A608="",0,INT(($A608-Macrociclo!$C$11)/7)+1)</f>
        <v>0</v>
      </c>
      <c r="C608" s="27"/>
      <c r="D608" s="27"/>
      <c r="E608" s="28"/>
      <c r="F608" s="28"/>
      <c r="G608" s="27"/>
    </row>
    <row r="609" customFormat="false" ht="15" hidden="false" customHeight="false" outlineLevel="0" collapsed="false">
      <c r="A609" s="29"/>
      <c r="B609" s="40" t="n">
        <f aca="false">IF($A609="",0,INT(($A609-Macrociclo!$C$11)/7)+1)</f>
        <v>0</v>
      </c>
      <c r="C609" s="27"/>
      <c r="D609" s="27"/>
      <c r="E609" s="28"/>
      <c r="F609" s="28"/>
      <c r="G609" s="27"/>
    </row>
    <row r="610" customFormat="false" ht="15" hidden="false" customHeight="false" outlineLevel="0" collapsed="false">
      <c r="A610" s="29"/>
      <c r="B610" s="40" t="n">
        <f aca="false">IF($A610="",0,INT(($A610-Macrociclo!$C$11)/7)+1)</f>
        <v>0</v>
      </c>
      <c r="C610" s="27"/>
      <c r="D610" s="27"/>
      <c r="E610" s="28"/>
      <c r="F610" s="28"/>
      <c r="G610" s="27"/>
    </row>
    <row r="611" customFormat="false" ht="15" hidden="false" customHeight="false" outlineLevel="0" collapsed="false">
      <c r="A611" s="29"/>
      <c r="B611" s="40" t="n">
        <f aca="false">IF($A611="",0,INT(($A611-Macrociclo!$C$11)/7)+1)</f>
        <v>0</v>
      </c>
      <c r="C611" s="27"/>
      <c r="D611" s="27"/>
      <c r="E611" s="28"/>
      <c r="F611" s="28"/>
      <c r="G611" s="27"/>
    </row>
    <row r="612" customFormat="false" ht="15" hidden="false" customHeight="false" outlineLevel="0" collapsed="false">
      <c r="A612" s="29"/>
      <c r="B612" s="40" t="n">
        <f aca="false">IF($A612="",0,INT(($A612-Macrociclo!$C$11)/7)+1)</f>
        <v>0</v>
      </c>
      <c r="C612" s="27"/>
      <c r="D612" s="27"/>
      <c r="E612" s="28"/>
      <c r="F612" s="28"/>
      <c r="G612" s="27"/>
    </row>
    <row r="613" customFormat="false" ht="15" hidden="false" customHeight="false" outlineLevel="0" collapsed="false">
      <c r="A613" s="29"/>
      <c r="B613" s="40" t="n">
        <f aca="false">IF($A613="",0,INT(($A613-Macrociclo!$C$11)/7)+1)</f>
        <v>0</v>
      </c>
      <c r="C613" s="27"/>
      <c r="D613" s="27"/>
      <c r="E613" s="28"/>
      <c r="F613" s="28"/>
      <c r="G613" s="27"/>
    </row>
    <row r="614" customFormat="false" ht="15" hidden="false" customHeight="false" outlineLevel="0" collapsed="false">
      <c r="A614" s="29"/>
      <c r="B614" s="40" t="n">
        <f aca="false">IF($A614="",0,INT(($A614-Macrociclo!$C$11)/7)+1)</f>
        <v>0</v>
      </c>
      <c r="C614" s="27"/>
      <c r="D614" s="27"/>
      <c r="E614" s="28"/>
      <c r="F614" s="28"/>
      <c r="G614" s="27"/>
    </row>
    <row r="615" customFormat="false" ht="15" hidden="false" customHeight="false" outlineLevel="0" collapsed="false">
      <c r="A615" s="29"/>
      <c r="B615" s="40" t="n">
        <f aca="false">IF($A615="",0,INT(($A615-Macrociclo!$C$11)/7)+1)</f>
        <v>0</v>
      </c>
      <c r="C615" s="27"/>
      <c r="D615" s="27"/>
      <c r="E615" s="28"/>
      <c r="F615" s="28"/>
      <c r="G615" s="27"/>
    </row>
    <row r="616" customFormat="false" ht="15" hidden="false" customHeight="false" outlineLevel="0" collapsed="false">
      <c r="A616" s="29"/>
      <c r="B616" s="40" t="n">
        <f aca="false">IF($A616="",0,INT(($A616-Macrociclo!$C$11)/7)+1)</f>
        <v>0</v>
      </c>
      <c r="C616" s="27"/>
      <c r="D616" s="27"/>
      <c r="E616" s="28"/>
      <c r="F616" s="28"/>
      <c r="G616" s="27"/>
    </row>
    <row r="617" customFormat="false" ht="15" hidden="false" customHeight="false" outlineLevel="0" collapsed="false">
      <c r="A617" s="29"/>
      <c r="B617" s="40" t="n">
        <f aca="false">IF($A617="",0,INT(($A617-Macrociclo!$C$11)/7)+1)</f>
        <v>0</v>
      </c>
      <c r="C617" s="27"/>
      <c r="D617" s="27"/>
      <c r="E617" s="28"/>
      <c r="F617" s="28"/>
      <c r="G617" s="27"/>
    </row>
    <row r="618" customFormat="false" ht="15" hidden="false" customHeight="false" outlineLevel="0" collapsed="false">
      <c r="A618" s="29"/>
      <c r="B618" s="40" t="n">
        <f aca="false">IF($A618="",0,INT(($A618-Macrociclo!$C$11)/7)+1)</f>
        <v>0</v>
      </c>
      <c r="C618" s="27"/>
      <c r="D618" s="27"/>
      <c r="E618" s="28"/>
      <c r="F618" s="28"/>
      <c r="G618" s="27"/>
    </row>
    <row r="619" customFormat="false" ht="15" hidden="false" customHeight="false" outlineLevel="0" collapsed="false">
      <c r="A619" s="29"/>
      <c r="B619" s="40" t="n">
        <f aca="false">IF($A619="",0,INT(($A619-Macrociclo!$C$11)/7)+1)</f>
        <v>0</v>
      </c>
      <c r="C619" s="27"/>
      <c r="D619" s="27"/>
      <c r="E619" s="28"/>
      <c r="F619" s="28"/>
      <c r="G619" s="27"/>
    </row>
    <row r="620" customFormat="false" ht="15" hidden="false" customHeight="false" outlineLevel="0" collapsed="false">
      <c r="A620" s="29"/>
      <c r="B620" s="40" t="n">
        <f aca="false">IF($A620="",0,INT(($A620-Macrociclo!$C$11)/7)+1)</f>
        <v>0</v>
      </c>
      <c r="C620" s="27"/>
      <c r="D620" s="27"/>
      <c r="E620" s="28"/>
      <c r="F620" s="28"/>
      <c r="G620" s="27"/>
    </row>
    <row r="621" customFormat="false" ht="15" hidden="false" customHeight="false" outlineLevel="0" collapsed="false">
      <c r="A621" s="29"/>
      <c r="B621" s="40" t="n">
        <f aca="false">IF($A621="",0,INT(($A621-Macrociclo!$C$11)/7)+1)</f>
        <v>0</v>
      </c>
      <c r="C621" s="27"/>
      <c r="D621" s="27"/>
      <c r="E621" s="28"/>
      <c r="F621" s="28"/>
      <c r="G621" s="27"/>
    </row>
    <row r="622" customFormat="false" ht="15" hidden="false" customHeight="false" outlineLevel="0" collapsed="false">
      <c r="A622" s="29"/>
      <c r="B622" s="40" t="n">
        <f aca="false">IF($A622="",0,INT(($A622-Macrociclo!$C$11)/7)+1)</f>
        <v>0</v>
      </c>
      <c r="C622" s="27"/>
      <c r="D622" s="27"/>
      <c r="E622" s="28"/>
      <c r="F622" s="28"/>
      <c r="G622" s="27"/>
    </row>
    <row r="623" customFormat="false" ht="15" hidden="false" customHeight="false" outlineLevel="0" collapsed="false">
      <c r="A623" s="29"/>
      <c r="B623" s="40" t="n">
        <f aca="false">IF($A623="",0,INT(($A623-Macrociclo!$C$11)/7)+1)</f>
        <v>0</v>
      </c>
      <c r="C623" s="27"/>
      <c r="D623" s="27"/>
      <c r="E623" s="28"/>
      <c r="F623" s="28"/>
      <c r="G623" s="27"/>
    </row>
    <row r="624" customFormat="false" ht="15" hidden="false" customHeight="false" outlineLevel="0" collapsed="false">
      <c r="A624" s="29"/>
      <c r="B624" s="40" t="n">
        <f aca="false">IF($A624="",0,INT(($A624-Macrociclo!$C$11)/7)+1)</f>
        <v>0</v>
      </c>
      <c r="C624" s="27"/>
      <c r="D624" s="27"/>
      <c r="E624" s="28"/>
      <c r="F624" s="28"/>
      <c r="G624" s="27"/>
    </row>
    <row r="625" customFormat="false" ht="15" hidden="false" customHeight="false" outlineLevel="0" collapsed="false">
      <c r="A625" s="29"/>
      <c r="B625" s="40" t="n">
        <f aca="false">IF($A625="",0,INT(($A625-Macrociclo!$C$11)/7)+1)</f>
        <v>0</v>
      </c>
      <c r="C625" s="27"/>
      <c r="D625" s="27"/>
      <c r="E625" s="28"/>
      <c r="F625" s="28"/>
      <c r="G625" s="27"/>
    </row>
    <row r="626" customFormat="false" ht="15" hidden="false" customHeight="false" outlineLevel="0" collapsed="false">
      <c r="A626" s="29"/>
      <c r="B626" s="40" t="n">
        <f aca="false">IF($A626="",0,INT(($A626-Macrociclo!$C$11)/7)+1)</f>
        <v>0</v>
      </c>
      <c r="C626" s="27"/>
      <c r="D626" s="27"/>
      <c r="E626" s="28"/>
      <c r="F626" s="28"/>
      <c r="G626" s="27"/>
    </row>
    <row r="627" customFormat="false" ht="15" hidden="false" customHeight="false" outlineLevel="0" collapsed="false">
      <c r="A627" s="29"/>
      <c r="B627" s="40" t="n">
        <f aca="false">IF($A627="",0,INT(($A627-Macrociclo!$C$11)/7)+1)</f>
        <v>0</v>
      </c>
      <c r="C627" s="27"/>
      <c r="D627" s="27"/>
      <c r="E627" s="28"/>
      <c r="F627" s="28"/>
      <c r="G627" s="27"/>
    </row>
    <row r="628" customFormat="false" ht="15" hidden="false" customHeight="false" outlineLevel="0" collapsed="false">
      <c r="A628" s="29"/>
      <c r="B628" s="40" t="n">
        <f aca="false">IF($A628="",0,INT(($A628-Macrociclo!$C$11)/7)+1)</f>
        <v>0</v>
      </c>
      <c r="C628" s="27"/>
      <c r="D628" s="27"/>
      <c r="E628" s="28"/>
      <c r="F628" s="28"/>
      <c r="G628" s="27"/>
    </row>
    <row r="629" customFormat="false" ht="15" hidden="false" customHeight="false" outlineLevel="0" collapsed="false">
      <c r="A629" s="29"/>
      <c r="B629" s="40" t="n">
        <f aca="false">IF($A629="",0,INT(($A629-Macrociclo!$C$11)/7)+1)</f>
        <v>0</v>
      </c>
      <c r="C629" s="27"/>
      <c r="D629" s="27"/>
      <c r="E629" s="28"/>
      <c r="F629" s="28"/>
      <c r="G629" s="27"/>
    </row>
    <row r="630" customFormat="false" ht="15" hidden="false" customHeight="false" outlineLevel="0" collapsed="false">
      <c r="A630" s="29"/>
      <c r="B630" s="40" t="n">
        <f aca="false">IF($A630="",0,INT(($A630-Macrociclo!$C$11)/7)+1)</f>
        <v>0</v>
      </c>
      <c r="C630" s="27"/>
      <c r="D630" s="27"/>
      <c r="E630" s="28"/>
      <c r="F630" s="28"/>
      <c r="G630" s="27"/>
    </row>
    <row r="631" customFormat="false" ht="15" hidden="false" customHeight="false" outlineLevel="0" collapsed="false">
      <c r="A631" s="29"/>
      <c r="B631" s="40" t="n">
        <f aca="false">IF($A631="",0,INT(($A631-Macrociclo!$C$11)/7)+1)</f>
        <v>0</v>
      </c>
      <c r="C631" s="27"/>
      <c r="D631" s="27"/>
      <c r="E631" s="28"/>
      <c r="F631" s="28"/>
      <c r="G631" s="27"/>
    </row>
    <row r="632" customFormat="false" ht="15" hidden="false" customHeight="false" outlineLevel="0" collapsed="false">
      <c r="A632" s="29"/>
      <c r="B632" s="40" t="n">
        <f aca="false">IF($A632="",0,INT(($A632-Macrociclo!$C$11)/7)+1)</f>
        <v>0</v>
      </c>
      <c r="C632" s="27"/>
      <c r="D632" s="27"/>
      <c r="E632" s="28"/>
      <c r="F632" s="28"/>
      <c r="G632" s="27"/>
    </row>
    <row r="633" customFormat="false" ht="15" hidden="false" customHeight="false" outlineLevel="0" collapsed="false">
      <c r="A633" s="29"/>
      <c r="B633" s="40" t="n">
        <f aca="false">IF($A633="",0,INT(($A633-Macrociclo!$C$11)/7)+1)</f>
        <v>0</v>
      </c>
      <c r="C633" s="27"/>
      <c r="D633" s="27"/>
      <c r="E633" s="28"/>
      <c r="F633" s="28"/>
      <c r="G633" s="27"/>
    </row>
    <row r="634" customFormat="false" ht="15" hidden="false" customHeight="false" outlineLevel="0" collapsed="false">
      <c r="A634" s="29"/>
      <c r="B634" s="40" t="n">
        <f aca="false">IF($A634="",0,INT(($A634-Macrociclo!$C$11)/7)+1)</f>
        <v>0</v>
      </c>
      <c r="C634" s="27"/>
      <c r="D634" s="27"/>
      <c r="E634" s="28"/>
      <c r="F634" s="28"/>
      <c r="G634" s="27"/>
    </row>
    <row r="635" customFormat="false" ht="15" hidden="false" customHeight="false" outlineLevel="0" collapsed="false">
      <c r="A635" s="29"/>
      <c r="B635" s="40" t="n">
        <f aca="false">IF($A635="",0,INT(($A635-Macrociclo!$C$11)/7)+1)</f>
        <v>0</v>
      </c>
      <c r="C635" s="27"/>
      <c r="D635" s="27"/>
      <c r="E635" s="28"/>
      <c r="F635" s="28"/>
      <c r="G635" s="27"/>
    </row>
    <row r="636" customFormat="false" ht="15" hidden="false" customHeight="false" outlineLevel="0" collapsed="false">
      <c r="A636" s="29"/>
      <c r="B636" s="40" t="n">
        <f aca="false">IF($A636="",0,INT(($A636-Macrociclo!$C$11)/7)+1)</f>
        <v>0</v>
      </c>
      <c r="C636" s="27"/>
      <c r="D636" s="27"/>
      <c r="E636" s="28"/>
      <c r="F636" s="28"/>
      <c r="G636" s="27"/>
    </row>
    <row r="637" customFormat="false" ht="15" hidden="false" customHeight="false" outlineLevel="0" collapsed="false">
      <c r="A637" s="29"/>
      <c r="B637" s="40" t="n">
        <f aca="false">IF($A637="",0,INT(($A637-Macrociclo!$C$11)/7)+1)</f>
        <v>0</v>
      </c>
      <c r="C637" s="27"/>
      <c r="D637" s="27"/>
      <c r="E637" s="28"/>
      <c r="F637" s="28"/>
      <c r="G637" s="27"/>
    </row>
    <row r="638" customFormat="false" ht="15" hidden="false" customHeight="false" outlineLevel="0" collapsed="false">
      <c r="A638" s="29"/>
      <c r="B638" s="40" t="n">
        <f aca="false">IF($A638="",0,INT(($A638-Macrociclo!$C$11)/7)+1)</f>
        <v>0</v>
      </c>
      <c r="C638" s="27"/>
      <c r="D638" s="27"/>
      <c r="E638" s="28"/>
      <c r="F638" s="28"/>
      <c r="G638" s="27"/>
    </row>
    <row r="639" customFormat="false" ht="15" hidden="false" customHeight="false" outlineLevel="0" collapsed="false">
      <c r="A639" s="29"/>
      <c r="B639" s="40" t="n">
        <f aca="false">IF($A639="",0,INT(($A639-Macrociclo!$C$11)/7)+1)</f>
        <v>0</v>
      </c>
      <c r="C639" s="27"/>
      <c r="D639" s="27"/>
      <c r="E639" s="28"/>
      <c r="F639" s="28"/>
      <c r="G639" s="27"/>
    </row>
    <row r="640" customFormat="false" ht="15" hidden="false" customHeight="false" outlineLevel="0" collapsed="false">
      <c r="A640" s="29"/>
      <c r="B640" s="40" t="n">
        <f aca="false">IF($A640="",0,INT(($A640-Macrociclo!$C$11)/7)+1)</f>
        <v>0</v>
      </c>
      <c r="C640" s="27"/>
      <c r="D640" s="27"/>
      <c r="E640" s="28"/>
      <c r="F640" s="28"/>
      <c r="G640" s="27"/>
    </row>
    <row r="641" customFormat="false" ht="15" hidden="false" customHeight="false" outlineLevel="0" collapsed="false">
      <c r="A641" s="29"/>
      <c r="B641" s="40" t="n">
        <f aca="false">IF($A641="",0,INT(($A641-Macrociclo!$C$11)/7)+1)</f>
        <v>0</v>
      </c>
      <c r="C641" s="27"/>
      <c r="D641" s="27"/>
      <c r="E641" s="28"/>
      <c r="F641" s="28"/>
      <c r="G641" s="27"/>
    </row>
    <row r="642" customFormat="false" ht="15" hidden="false" customHeight="false" outlineLevel="0" collapsed="false">
      <c r="A642" s="29"/>
      <c r="B642" s="40" t="n">
        <f aca="false">IF($A642="",0,INT(($A642-Macrociclo!$C$11)/7)+1)</f>
        <v>0</v>
      </c>
      <c r="C642" s="27"/>
      <c r="D642" s="27"/>
      <c r="E642" s="28"/>
      <c r="F642" s="28"/>
      <c r="G642" s="27"/>
    </row>
    <row r="643" customFormat="false" ht="15" hidden="false" customHeight="false" outlineLevel="0" collapsed="false">
      <c r="A643" s="29"/>
      <c r="B643" s="40" t="n">
        <f aca="false">IF($A643="",0,INT(($A643-Macrociclo!$C$11)/7)+1)</f>
        <v>0</v>
      </c>
      <c r="C643" s="27"/>
      <c r="D643" s="27"/>
      <c r="E643" s="28"/>
      <c r="F643" s="28"/>
      <c r="G643" s="27"/>
    </row>
    <row r="644" customFormat="false" ht="15" hidden="false" customHeight="false" outlineLevel="0" collapsed="false">
      <c r="A644" s="29"/>
      <c r="B644" s="40" t="n">
        <f aca="false">IF($A644="",0,INT(($A644-Macrociclo!$C$11)/7)+1)</f>
        <v>0</v>
      </c>
      <c r="C644" s="27"/>
      <c r="D644" s="27"/>
      <c r="E644" s="28"/>
      <c r="F644" s="28"/>
      <c r="G644" s="27"/>
    </row>
    <row r="645" customFormat="false" ht="15" hidden="false" customHeight="false" outlineLevel="0" collapsed="false">
      <c r="A645" s="29"/>
      <c r="B645" s="40" t="n">
        <f aca="false">IF($A645="",0,INT(($A645-Macrociclo!$C$11)/7)+1)</f>
        <v>0</v>
      </c>
      <c r="C645" s="27"/>
      <c r="D645" s="27"/>
      <c r="E645" s="28"/>
      <c r="F645" s="28"/>
      <c r="G645" s="27"/>
    </row>
    <row r="646" customFormat="false" ht="15" hidden="false" customHeight="false" outlineLevel="0" collapsed="false">
      <c r="A646" s="29"/>
      <c r="B646" s="40" t="n">
        <f aca="false">IF($A646="",0,INT(($A646-Macrociclo!$C$11)/7)+1)</f>
        <v>0</v>
      </c>
      <c r="C646" s="27"/>
      <c r="D646" s="27"/>
      <c r="E646" s="28"/>
      <c r="F646" s="28"/>
      <c r="G646" s="27"/>
    </row>
    <row r="647" customFormat="false" ht="15" hidden="false" customHeight="false" outlineLevel="0" collapsed="false">
      <c r="A647" s="29"/>
      <c r="B647" s="40" t="n">
        <f aca="false">IF($A647="",0,INT(($A647-Macrociclo!$C$11)/7)+1)</f>
        <v>0</v>
      </c>
      <c r="C647" s="27"/>
      <c r="D647" s="27"/>
      <c r="E647" s="28"/>
      <c r="F647" s="28"/>
      <c r="G647" s="27"/>
    </row>
    <row r="648" customFormat="false" ht="15" hidden="false" customHeight="false" outlineLevel="0" collapsed="false">
      <c r="A648" s="29"/>
      <c r="B648" s="40" t="n">
        <f aca="false">IF($A648="",0,INT(($A648-Macrociclo!$C$11)/7)+1)</f>
        <v>0</v>
      </c>
      <c r="C648" s="27"/>
      <c r="D648" s="27"/>
      <c r="E648" s="28"/>
      <c r="F648" s="28"/>
      <c r="G648" s="27"/>
    </row>
    <row r="649" customFormat="false" ht="15" hidden="false" customHeight="false" outlineLevel="0" collapsed="false">
      <c r="A649" s="29"/>
      <c r="B649" s="40" t="n">
        <f aca="false">IF($A649="",0,INT(($A649-Macrociclo!$C$11)/7)+1)</f>
        <v>0</v>
      </c>
      <c r="C649" s="27"/>
      <c r="D649" s="27"/>
      <c r="E649" s="28"/>
      <c r="F649" s="28"/>
      <c r="G649" s="27"/>
    </row>
    <row r="650" customFormat="false" ht="15" hidden="false" customHeight="false" outlineLevel="0" collapsed="false">
      <c r="A650" s="29"/>
      <c r="B650" s="40" t="n">
        <f aca="false">IF($A650="",0,INT(($A650-Macrociclo!$C$11)/7)+1)</f>
        <v>0</v>
      </c>
      <c r="C650" s="27"/>
      <c r="D650" s="27"/>
      <c r="E650" s="28"/>
      <c r="F650" s="28"/>
      <c r="G650" s="27"/>
    </row>
    <row r="651" customFormat="false" ht="15" hidden="false" customHeight="false" outlineLevel="0" collapsed="false">
      <c r="A651" s="29"/>
      <c r="B651" s="40" t="n">
        <f aca="false">IF($A651="",0,INT(($A651-Macrociclo!$C$11)/7)+1)</f>
        <v>0</v>
      </c>
      <c r="C651" s="27"/>
      <c r="D651" s="27"/>
      <c r="E651" s="28"/>
      <c r="F651" s="28"/>
      <c r="G651" s="27"/>
    </row>
    <row r="652" customFormat="false" ht="15" hidden="false" customHeight="false" outlineLevel="0" collapsed="false">
      <c r="A652" s="29"/>
      <c r="B652" s="40" t="n">
        <f aca="false">IF($A652="",0,INT(($A652-Macrociclo!$C$11)/7)+1)</f>
        <v>0</v>
      </c>
      <c r="C652" s="27"/>
      <c r="D652" s="27"/>
      <c r="E652" s="28"/>
      <c r="F652" s="28"/>
      <c r="G652" s="27"/>
    </row>
    <row r="653" customFormat="false" ht="15" hidden="false" customHeight="false" outlineLevel="0" collapsed="false">
      <c r="A653" s="29"/>
      <c r="B653" s="40" t="n">
        <f aca="false">IF($A653="",0,INT(($A653-Macrociclo!$C$11)/7)+1)</f>
        <v>0</v>
      </c>
      <c r="C653" s="27"/>
      <c r="D653" s="27"/>
      <c r="E653" s="28"/>
      <c r="F653" s="28"/>
      <c r="G653" s="27"/>
    </row>
    <row r="654" customFormat="false" ht="15" hidden="false" customHeight="false" outlineLevel="0" collapsed="false">
      <c r="A654" s="29"/>
      <c r="B654" s="40" t="n">
        <f aca="false">IF($A654="",0,INT(($A654-Macrociclo!$C$11)/7)+1)</f>
        <v>0</v>
      </c>
      <c r="C654" s="27"/>
      <c r="D654" s="27"/>
      <c r="E654" s="28"/>
      <c r="F654" s="28"/>
      <c r="G654" s="27"/>
    </row>
    <row r="655" customFormat="false" ht="15" hidden="false" customHeight="false" outlineLevel="0" collapsed="false">
      <c r="A655" s="29"/>
      <c r="B655" s="40" t="n">
        <f aca="false">IF($A655="",0,INT(($A655-Macrociclo!$C$11)/7)+1)</f>
        <v>0</v>
      </c>
      <c r="C655" s="27"/>
      <c r="D655" s="27"/>
      <c r="E655" s="28"/>
      <c r="F655" s="28"/>
      <c r="G655" s="27"/>
    </row>
    <row r="656" customFormat="false" ht="15" hidden="false" customHeight="false" outlineLevel="0" collapsed="false">
      <c r="A656" s="29"/>
      <c r="B656" s="40" t="n">
        <f aca="false">IF($A656="",0,INT(($A656-Macrociclo!$C$11)/7)+1)</f>
        <v>0</v>
      </c>
      <c r="C656" s="27"/>
      <c r="D656" s="27"/>
      <c r="E656" s="28"/>
      <c r="F656" s="28"/>
      <c r="G656" s="27"/>
    </row>
    <row r="657" customFormat="false" ht="15" hidden="false" customHeight="false" outlineLevel="0" collapsed="false">
      <c r="A657" s="29"/>
      <c r="B657" s="40" t="n">
        <f aca="false">IF($A657="",0,INT(($A657-Macrociclo!$C$11)/7)+1)</f>
        <v>0</v>
      </c>
      <c r="C657" s="27"/>
      <c r="D657" s="27"/>
      <c r="E657" s="28"/>
      <c r="F657" s="28"/>
      <c r="G657" s="27"/>
    </row>
    <row r="658" customFormat="false" ht="15" hidden="false" customHeight="false" outlineLevel="0" collapsed="false">
      <c r="A658" s="29"/>
      <c r="B658" s="40" t="n">
        <f aca="false">IF($A658="",0,INT(($A658-Macrociclo!$C$11)/7)+1)</f>
        <v>0</v>
      </c>
      <c r="C658" s="27"/>
      <c r="D658" s="27"/>
      <c r="E658" s="28"/>
      <c r="F658" s="28"/>
      <c r="G658" s="27"/>
    </row>
    <row r="659" customFormat="false" ht="15" hidden="false" customHeight="false" outlineLevel="0" collapsed="false">
      <c r="A659" s="29"/>
      <c r="B659" s="40" t="n">
        <f aca="false">IF($A659="",0,INT(($A659-Macrociclo!$C$11)/7)+1)</f>
        <v>0</v>
      </c>
      <c r="C659" s="27"/>
      <c r="D659" s="27"/>
      <c r="E659" s="28"/>
      <c r="F659" s="28"/>
      <c r="G659" s="27"/>
    </row>
    <row r="660" customFormat="false" ht="15" hidden="false" customHeight="false" outlineLevel="0" collapsed="false">
      <c r="A660" s="29"/>
      <c r="B660" s="40" t="n">
        <f aca="false">IF($A660="",0,INT(($A660-Macrociclo!$C$11)/7)+1)</f>
        <v>0</v>
      </c>
      <c r="C660" s="27"/>
      <c r="D660" s="27"/>
      <c r="E660" s="28"/>
      <c r="F660" s="28"/>
      <c r="G660" s="27"/>
    </row>
    <row r="661" customFormat="false" ht="15" hidden="false" customHeight="false" outlineLevel="0" collapsed="false">
      <c r="A661" s="29"/>
      <c r="B661" s="40" t="n">
        <f aca="false">IF($A661="",0,INT(($A661-Macrociclo!$C$11)/7)+1)</f>
        <v>0</v>
      </c>
      <c r="C661" s="27"/>
      <c r="D661" s="27"/>
      <c r="E661" s="28"/>
      <c r="F661" s="28"/>
      <c r="G661" s="27"/>
    </row>
    <row r="662" customFormat="false" ht="15" hidden="false" customHeight="false" outlineLevel="0" collapsed="false">
      <c r="A662" s="29"/>
      <c r="B662" s="40" t="n">
        <f aca="false">IF($A662="",0,INT(($A662-Macrociclo!$C$11)/7)+1)</f>
        <v>0</v>
      </c>
      <c r="C662" s="27"/>
      <c r="D662" s="27"/>
      <c r="E662" s="28"/>
      <c r="F662" s="28"/>
      <c r="G662" s="27"/>
    </row>
    <row r="663" customFormat="false" ht="15" hidden="false" customHeight="false" outlineLevel="0" collapsed="false">
      <c r="A663" s="29"/>
      <c r="B663" s="40" t="n">
        <f aca="false">IF($A663="",0,INT(($A663-Macrociclo!$C$11)/7)+1)</f>
        <v>0</v>
      </c>
      <c r="C663" s="27"/>
      <c r="D663" s="27"/>
      <c r="E663" s="28"/>
      <c r="F663" s="28"/>
      <c r="G663" s="27"/>
    </row>
    <row r="664" customFormat="false" ht="15" hidden="false" customHeight="false" outlineLevel="0" collapsed="false">
      <c r="A664" s="29"/>
      <c r="B664" s="40" t="n">
        <f aca="false">IF($A664="",0,INT(($A664-Macrociclo!$C$11)/7)+1)</f>
        <v>0</v>
      </c>
      <c r="C664" s="27"/>
      <c r="D664" s="27"/>
      <c r="E664" s="28"/>
      <c r="F664" s="28"/>
      <c r="G664" s="27"/>
    </row>
    <row r="665" customFormat="false" ht="15" hidden="false" customHeight="false" outlineLevel="0" collapsed="false">
      <c r="A665" s="29"/>
      <c r="B665" s="40" t="n">
        <f aca="false">IF($A665="",0,INT(($A665-Macrociclo!$C$11)/7)+1)</f>
        <v>0</v>
      </c>
      <c r="C665" s="27"/>
      <c r="D665" s="27"/>
      <c r="E665" s="28"/>
      <c r="F665" s="28"/>
      <c r="G665" s="27"/>
    </row>
    <row r="666" customFormat="false" ht="15" hidden="false" customHeight="false" outlineLevel="0" collapsed="false">
      <c r="A666" s="29"/>
      <c r="B666" s="40" t="n">
        <f aca="false">IF($A666="",0,INT(($A666-Macrociclo!$C$11)/7)+1)</f>
        <v>0</v>
      </c>
      <c r="C666" s="27"/>
      <c r="D666" s="27"/>
      <c r="E666" s="28"/>
      <c r="F666" s="28"/>
      <c r="G666" s="27"/>
    </row>
    <row r="667" customFormat="false" ht="15" hidden="false" customHeight="false" outlineLevel="0" collapsed="false">
      <c r="A667" s="29"/>
      <c r="B667" s="40" t="n">
        <f aca="false">IF($A667="",0,INT(($A667-Macrociclo!$C$11)/7)+1)</f>
        <v>0</v>
      </c>
      <c r="C667" s="27"/>
      <c r="D667" s="27"/>
      <c r="E667" s="28"/>
      <c r="F667" s="28"/>
      <c r="G667" s="27"/>
    </row>
    <row r="668" customFormat="false" ht="15" hidden="false" customHeight="false" outlineLevel="0" collapsed="false">
      <c r="A668" s="29"/>
      <c r="B668" s="40" t="n">
        <f aca="false">IF($A668="",0,INT(($A668-Macrociclo!$C$11)/7)+1)</f>
        <v>0</v>
      </c>
      <c r="C668" s="27"/>
      <c r="D668" s="27"/>
      <c r="E668" s="28"/>
      <c r="F668" s="28"/>
      <c r="G668" s="27"/>
    </row>
    <row r="669" customFormat="false" ht="15" hidden="false" customHeight="false" outlineLevel="0" collapsed="false">
      <c r="A669" s="29"/>
      <c r="B669" s="40" t="n">
        <f aca="false">IF($A669="",0,INT(($A669-Macrociclo!$C$11)/7)+1)</f>
        <v>0</v>
      </c>
      <c r="C669" s="27"/>
      <c r="D669" s="27"/>
      <c r="E669" s="28"/>
      <c r="F669" s="28"/>
      <c r="G669" s="27"/>
    </row>
    <row r="670" customFormat="false" ht="15" hidden="false" customHeight="false" outlineLevel="0" collapsed="false">
      <c r="A670" s="29"/>
      <c r="B670" s="40" t="n">
        <f aca="false">IF($A670="",0,INT(($A670-Macrociclo!$C$11)/7)+1)</f>
        <v>0</v>
      </c>
      <c r="C670" s="27"/>
      <c r="D670" s="27"/>
      <c r="E670" s="28"/>
      <c r="F670" s="28"/>
      <c r="G670" s="27"/>
    </row>
    <row r="671" customFormat="false" ht="15" hidden="false" customHeight="false" outlineLevel="0" collapsed="false">
      <c r="A671" s="29"/>
      <c r="B671" s="40" t="n">
        <f aca="false">IF($A671="",0,INT(($A671-Macrociclo!$C$11)/7)+1)</f>
        <v>0</v>
      </c>
      <c r="C671" s="27"/>
      <c r="D671" s="27"/>
      <c r="E671" s="28"/>
      <c r="F671" s="28"/>
      <c r="G671" s="27"/>
    </row>
    <row r="672" customFormat="false" ht="15" hidden="false" customHeight="false" outlineLevel="0" collapsed="false">
      <c r="A672" s="29"/>
      <c r="B672" s="40" t="n">
        <f aca="false">IF($A672="",0,INT(($A672-Macrociclo!$C$11)/7)+1)</f>
        <v>0</v>
      </c>
      <c r="C672" s="27"/>
      <c r="D672" s="27"/>
      <c r="E672" s="28"/>
      <c r="F672" s="28"/>
      <c r="G672" s="27"/>
    </row>
    <row r="673" customFormat="false" ht="15" hidden="false" customHeight="false" outlineLevel="0" collapsed="false">
      <c r="A673" s="29"/>
      <c r="B673" s="40" t="n">
        <f aca="false">IF($A673="",0,INT(($A673-Macrociclo!$C$11)/7)+1)</f>
        <v>0</v>
      </c>
      <c r="C673" s="27"/>
      <c r="D673" s="27"/>
      <c r="E673" s="28"/>
      <c r="F673" s="28"/>
      <c r="G673" s="27"/>
    </row>
    <row r="674" customFormat="false" ht="15" hidden="false" customHeight="false" outlineLevel="0" collapsed="false">
      <c r="A674" s="29"/>
      <c r="B674" s="40" t="n">
        <f aca="false">IF($A674="",0,INT(($A674-Macrociclo!$C$11)/7)+1)</f>
        <v>0</v>
      </c>
      <c r="C674" s="27"/>
      <c r="D674" s="27"/>
      <c r="E674" s="28"/>
      <c r="F674" s="28"/>
      <c r="G674" s="27"/>
    </row>
    <row r="675" customFormat="false" ht="15" hidden="false" customHeight="false" outlineLevel="0" collapsed="false">
      <c r="A675" s="29"/>
      <c r="B675" s="40" t="n">
        <f aca="false">IF($A675="",0,INT(($A675-Macrociclo!$C$11)/7)+1)</f>
        <v>0</v>
      </c>
      <c r="C675" s="27"/>
      <c r="D675" s="27"/>
      <c r="E675" s="28"/>
      <c r="F675" s="28"/>
      <c r="G675" s="27"/>
    </row>
    <row r="676" customFormat="false" ht="15" hidden="false" customHeight="false" outlineLevel="0" collapsed="false">
      <c r="A676" s="29"/>
      <c r="B676" s="40" t="n">
        <f aca="false">IF($A676="",0,INT(($A676-Macrociclo!$C$11)/7)+1)</f>
        <v>0</v>
      </c>
      <c r="C676" s="27"/>
      <c r="D676" s="27"/>
      <c r="E676" s="28"/>
      <c r="F676" s="28"/>
      <c r="G676" s="27"/>
    </row>
    <row r="677" customFormat="false" ht="15" hidden="false" customHeight="false" outlineLevel="0" collapsed="false">
      <c r="A677" s="29"/>
      <c r="B677" s="40" t="n">
        <f aca="false">IF($A677="",0,INT(($A677-Macrociclo!$C$11)/7)+1)</f>
        <v>0</v>
      </c>
      <c r="C677" s="27"/>
      <c r="D677" s="27"/>
      <c r="E677" s="28"/>
      <c r="F677" s="28"/>
      <c r="G677" s="27"/>
    </row>
    <row r="678" customFormat="false" ht="15" hidden="false" customHeight="false" outlineLevel="0" collapsed="false">
      <c r="A678" s="29"/>
      <c r="B678" s="40" t="n">
        <f aca="false">IF($A678="",0,INT(($A678-Macrociclo!$C$11)/7)+1)</f>
        <v>0</v>
      </c>
      <c r="C678" s="27"/>
      <c r="D678" s="27"/>
      <c r="E678" s="28"/>
      <c r="F678" s="28"/>
      <c r="G678" s="27"/>
    </row>
    <row r="679" customFormat="false" ht="15" hidden="false" customHeight="false" outlineLevel="0" collapsed="false">
      <c r="A679" s="29"/>
      <c r="B679" s="40" t="n">
        <f aca="false">IF($A679="",0,INT(($A679-Macrociclo!$C$11)/7)+1)</f>
        <v>0</v>
      </c>
      <c r="C679" s="27"/>
      <c r="D679" s="27"/>
      <c r="E679" s="28"/>
      <c r="F679" s="28"/>
      <c r="G679" s="27"/>
    </row>
    <row r="680" customFormat="false" ht="15" hidden="false" customHeight="false" outlineLevel="0" collapsed="false">
      <c r="A680" s="29"/>
      <c r="B680" s="40" t="n">
        <f aca="false">IF($A680="",0,INT(($A680-Macrociclo!$C$11)/7)+1)</f>
        <v>0</v>
      </c>
      <c r="C680" s="27"/>
      <c r="D680" s="27"/>
      <c r="E680" s="28"/>
      <c r="F680" s="28"/>
      <c r="G680" s="27"/>
    </row>
    <row r="681" customFormat="false" ht="15" hidden="false" customHeight="false" outlineLevel="0" collapsed="false">
      <c r="A681" s="29"/>
      <c r="B681" s="40" t="n">
        <f aca="false">IF($A681="",0,INT(($A681-Macrociclo!$C$11)/7)+1)</f>
        <v>0</v>
      </c>
      <c r="C681" s="27"/>
      <c r="D681" s="27"/>
      <c r="E681" s="28"/>
      <c r="F681" s="28"/>
      <c r="G681" s="27"/>
    </row>
    <row r="682" customFormat="false" ht="15" hidden="false" customHeight="false" outlineLevel="0" collapsed="false">
      <c r="A682" s="29"/>
      <c r="B682" s="40" t="n">
        <f aca="false">IF($A682="",0,INT(($A682-Macrociclo!$C$11)/7)+1)</f>
        <v>0</v>
      </c>
      <c r="C682" s="27"/>
      <c r="D682" s="27"/>
      <c r="E682" s="28"/>
      <c r="F682" s="28"/>
      <c r="G682" s="27"/>
    </row>
    <row r="683" customFormat="false" ht="15" hidden="false" customHeight="false" outlineLevel="0" collapsed="false">
      <c r="A683" s="29"/>
      <c r="B683" s="40" t="n">
        <f aca="false">IF($A683="",0,INT(($A683-Macrociclo!$C$11)/7)+1)</f>
        <v>0</v>
      </c>
      <c r="C683" s="27"/>
      <c r="D683" s="27"/>
      <c r="E683" s="28"/>
      <c r="F683" s="28"/>
      <c r="G683" s="27"/>
    </row>
    <row r="684" customFormat="false" ht="15" hidden="false" customHeight="false" outlineLevel="0" collapsed="false">
      <c r="A684" s="29"/>
      <c r="B684" s="40" t="n">
        <f aca="false">IF($A684="",0,INT(($A684-Macrociclo!$C$11)/7)+1)</f>
        <v>0</v>
      </c>
      <c r="C684" s="27"/>
      <c r="D684" s="27"/>
      <c r="E684" s="28"/>
      <c r="F684" s="28"/>
      <c r="G684" s="27"/>
    </row>
    <row r="685" customFormat="false" ht="15" hidden="false" customHeight="false" outlineLevel="0" collapsed="false">
      <c r="A685" s="29"/>
      <c r="B685" s="40" t="n">
        <f aca="false">IF($A685="",0,INT(($A685-Macrociclo!$C$11)/7)+1)</f>
        <v>0</v>
      </c>
      <c r="C685" s="27"/>
      <c r="D685" s="27"/>
      <c r="E685" s="28"/>
      <c r="F685" s="28"/>
      <c r="G685" s="27"/>
    </row>
    <row r="686" customFormat="false" ht="15" hidden="false" customHeight="false" outlineLevel="0" collapsed="false">
      <c r="A686" s="29"/>
      <c r="B686" s="40" t="n">
        <f aca="false">IF($A686="",0,INT(($A686-Macrociclo!$C$11)/7)+1)</f>
        <v>0</v>
      </c>
      <c r="C686" s="27"/>
      <c r="D686" s="27"/>
      <c r="E686" s="28"/>
      <c r="F686" s="28"/>
      <c r="G686" s="27"/>
    </row>
    <row r="687" customFormat="false" ht="15" hidden="false" customHeight="false" outlineLevel="0" collapsed="false">
      <c r="A687" s="29"/>
      <c r="B687" s="40" t="n">
        <f aca="false">IF($A687="",0,INT(($A687-Macrociclo!$C$11)/7)+1)</f>
        <v>0</v>
      </c>
      <c r="C687" s="27"/>
      <c r="D687" s="27"/>
      <c r="E687" s="28"/>
      <c r="F687" s="28"/>
      <c r="G687" s="27"/>
    </row>
    <row r="688" customFormat="false" ht="15" hidden="false" customHeight="false" outlineLevel="0" collapsed="false">
      <c r="A688" s="29"/>
      <c r="B688" s="40" t="n">
        <f aca="false">IF($A688="",0,INT(($A688-Macrociclo!$C$11)/7)+1)</f>
        <v>0</v>
      </c>
      <c r="C688" s="27"/>
      <c r="D688" s="27"/>
      <c r="E688" s="28"/>
      <c r="F688" s="28"/>
      <c r="G688" s="27"/>
    </row>
    <row r="689" customFormat="false" ht="15" hidden="false" customHeight="false" outlineLevel="0" collapsed="false">
      <c r="A689" s="29"/>
      <c r="B689" s="40" t="n">
        <f aca="false">IF($A689="",0,INT(($A689-Macrociclo!$C$11)/7)+1)</f>
        <v>0</v>
      </c>
      <c r="C689" s="27"/>
      <c r="D689" s="27"/>
      <c r="E689" s="28"/>
      <c r="F689" s="28"/>
      <c r="G689" s="27"/>
    </row>
    <row r="690" customFormat="false" ht="15" hidden="false" customHeight="false" outlineLevel="0" collapsed="false">
      <c r="A690" s="29"/>
      <c r="B690" s="40" t="n">
        <f aca="false">IF($A690="",0,INT(($A690-Macrociclo!$C$11)/7)+1)</f>
        <v>0</v>
      </c>
      <c r="C690" s="27"/>
      <c r="D690" s="27"/>
      <c r="E690" s="28"/>
      <c r="F690" s="28"/>
      <c r="G690" s="27"/>
    </row>
    <row r="691" customFormat="false" ht="15" hidden="false" customHeight="false" outlineLevel="0" collapsed="false">
      <c r="A691" s="29"/>
      <c r="B691" s="40" t="n">
        <f aca="false">IF($A691="",0,INT(($A691-Macrociclo!$C$11)/7)+1)</f>
        <v>0</v>
      </c>
      <c r="C691" s="27"/>
      <c r="D691" s="27"/>
      <c r="E691" s="28"/>
      <c r="F691" s="28"/>
      <c r="G691" s="27"/>
    </row>
    <row r="692" customFormat="false" ht="15" hidden="false" customHeight="false" outlineLevel="0" collapsed="false">
      <c r="A692" s="29"/>
      <c r="B692" s="40" t="n">
        <f aca="false">IF($A692="",0,INT(($A692-Macrociclo!$C$11)/7)+1)</f>
        <v>0</v>
      </c>
      <c r="C692" s="27"/>
      <c r="D692" s="27"/>
      <c r="E692" s="28"/>
      <c r="F692" s="28"/>
      <c r="G692" s="27"/>
    </row>
    <row r="693" customFormat="false" ht="15" hidden="false" customHeight="false" outlineLevel="0" collapsed="false">
      <c r="A693" s="29"/>
      <c r="B693" s="40" t="n">
        <f aca="false">IF($A693="",0,INT(($A693-Macrociclo!$C$11)/7)+1)</f>
        <v>0</v>
      </c>
      <c r="C693" s="27"/>
      <c r="D693" s="27"/>
      <c r="E693" s="28"/>
      <c r="F693" s="28"/>
      <c r="G693" s="27"/>
    </row>
    <row r="694" customFormat="false" ht="15" hidden="false" customHeight="false" outlineLevel="0" collapsed="false">
      <c r="A694" s="29"/>
      <c r="B694" s="40" t="n">
        <f aca="false">IF($A694="",0,INT(($A694-Macrociclo!$C$11)/7)+1)</f>
        <v>0</v>
      </c>
      <c r="C694" s="27"/>
      <c r="D694" s="27"/>
      <c r="E694" s="28"/>
      <c r="F694" s="28"/>
      <c r="G694" s="27"/>
    </row>
    <row r="695" customFormat="false" ht="15" hidden="false" customHeight="false" outlineLevel="0" collapsed="false">
      <c r="A695" s="29"/>
      <c r="B695" s="40" t="n">
        <f aca="false">IF($A695="",0,INT(($A695-Macrociclo!$C$11)/7)+1)</f>
        <v>0</v>
      </c>
      <c r="C695" s="27"/>
      <c r="D695" s="27"/>
      <c r="E695" s="28"/>
      <c r="F695" s="28"/>
      <c r="G695" s="27"/>
    </row>
    <row r="696" customFormat="false" ht="15" hidden="false" customHeight="false" outlineLevel="0" collapsed="false">
      <c r="A696" s="29"/>
      <c r="B696" s="40" t="n">
        <f aca="false">IF($A696="",0,INT(($A696-Macrociclo!$C$11)/7)+1)</f>
        <v>0</v>
      </c>
      <c r="C696" s="27"/>
      <c r="D696" s="27"/>
      <c r="E696" s="28"/>
      <c r="F696" s="28"/>
      <c r="G696" s="27"/>
    </row>
    <row r="697" customFormat="false" ht="15" hidden="false" customHeight="false" outlineLevel="0" collapsed="false">
      <c r="A697" s="29"/>
      <c r="B697" s="40" t="n">
        <f aca="false">IF($A697="",0,INT(($A697-Macrociclo!$C$11)/7)+1)</f>
        <v>0</v>
      </c>
      <c r="C697" s="27"/>
      <c r="D697" s="27"/>
      <c r="E697" s="28"/>
      <c r="F697" s="28"/>
      <c r="G697" s="27"/>
    </row>
    <row r="698" customFormat="false" ht="15" hidden="false" customHeight="false" outlineLevel="0" collapsed="false">
      <c r="A698" s="29"/>
      <c r="B698" s="40" t="n">
        <f aca="false">IF($A698="",0,INT(($A698-Macrociclo!$C$11)/7)+1)</f>
        <v>0</v>
      </c>
      <c r="C698" s="27"/>
      <c r="D698" s="27"/>
      <c r="E698" s="28"/>
      <c r="F698" s="28"/>
      <c r="G698" s="27"/>
    </row>
    <row r="699" customFormat="false" ht="15" hidden="false" customHeight="false" outlineLevel="0" collapsed="false">
      <c r="A699" s="29"/>
      <c r="B699" s="40" t="n">
        <f aca="false">IF($A699="",0,INT(($A699-Macrociclo!$C$11)/7)+1)</f>
        <v>0</v>
      </c>
      <c r="C699" s="27"/>
      <c r="D699" s="27"/>
      <c r="E699" s="28"/>
      <c r="F699" s="28"/>
      <c r="G699" s="27"/>
    </row>
    <row r="700" customFormat="false" ht="15" hidden="false" customHeight="false" outlineLevel="0" collapsed="false">
      <c r="A700" s="29"/>
      <c r="B700" s="40" t="n">
        <f aca="false">IF($A700="",0,INT(($A700-Macrociclo!$C$11)/7)+1)</f>
        <v>0</v>
      </c>
      <c r="C700" s="27"/>
      <c r="D700" s="27"/>
      <c r="E700" s="28"/>
      <c r="F700" s="28"/>
      <c r="G700" s="27"/>
    </row>
    <row r="701" customFormat="false" ht="15" hidden="false" customHeight="false" outlineLevel="0" collapsed="false">
      <c r="A701" s="29"/>
      <c r="B701" s="40" t="n">
        <f aca="false">IF($A701="",0,INT(($A701-Macrociclo!$C$11)/7)+1)</f>
        <v>0</v>
      </c>
      <c r="C701" s="27"/>
      <c r="D701" s="27"/>
      <c r="E701" s="28"/>
      <c r="F701" s="28"/>
      <c r="G701" s="27"/>
    </row>
    <row r="702" customFormat="false" ht="15" hidden="false" customHeight="false" outlineLevel="0" collapsed="false">
      <c r="A702" s="29"/>
      <c r="B702" s="40" t="n">
        <f aca="false">IF($A702="",0,INT(($A702-Macrociclo!$C$11)/7)+1)</f>
        <v>0</v>
      </c>
      <c r="C702" s="27"/>
      <c r="D702" s="27"/>
      <c r="E702" s="28"/>
      <c r="F702" s="28"/>
      <c r="G702" s="27"/>
    </row>
    <row r="703" customFormat="false" ht="15" hidden="false" customHeight="false" outlineLevel="0" collapsed="false">
      <c r="A703" s="29"/>
      <c r="B703" s="40" t="n">
        <f aca="false">IF($A703="",0,INT(($A703-Macrociclo!$C$11)/7)+1)</f>
        <v>0</v>
      </c>
      <c r="C703" s="27"/>
      <c r="D703" s="27"/>
      <c r="E703" s="28"/>
      <c r="F703" s="28"/>
      <c r="G703" s="27"/>
    </row>
    <row r="704" customFormat="false" ht="15" hidden="false" customHeight="false" outlineLevel="0" collapsed="false">
      <c r="A704" s="29"/>
      <c r="B704" s="40" t="n">
        <f aca="false">IF($A704="",0,INT(($A704-Macrociclo!$C$11)/7)+1)</f>
        <v>0</v>
      </c>
      <c r="C704" s="27"/>
      <c r="D704" s="27"/>
      <c r="E704" s="28"/>
      <c r="F704" s="28"/>
      <c r="G704" s="27"/>
    </row>
    <row r="705" customFormat="false" ht="15" hidden="false" customHeight="false" outlineLevel="0" collapsed="false">
      <c r="A705" s="29"/>
      <c r="B705" s="40" t="n">
        <f aca="false">IF($A705="",0,INT(($A705-Macrociclo!$C$11)/7)+1)</f>
        <v>0</v>
      </c>
      <c r="C705" s="27"/>
      <c r="D705" s="27"/>
      <c r="E705" s="28"/>
      <c r="F705" s="28"/>
      <c r="G705" s="27"/>
    </row>
    <row r="706" customFormat="false" ht="15" hidden="false" customHeight="false" outlineLevel="0" collapsed="false">
      <c r="A706" s="29"/>
      <c r="B706" s="40" t="n">
        <f aca="false">IF($A706="",0,INT(($A706-Macrociclo!$C$11)/7)+1)</f>
        <v>0</v>
      </c>
      <c r="C706" s="27"/>
      <c r="D706" s="27"/>
      <c r="E706" s="28"/>
      <c r="F706" s="28"/>
      <c r="G706" s="27"/>
    </row>
    <row r="707" customFormat="false" ht="15" hidden="false" customHeight="false" outlineLevel="0" collapsed="false">
      <c r="A707" s="29"/>
      <c r="B707" s="40" t="n">
        <f aca="false">IF($A707="",0,INT(($A707-Macrociclo!$C$11)/7)+1)</f>
        <v>0</v>
      </c>
      <c r="C707" s="27"/>
      <c r="D707" s="27"/>
      <c r="E707" s="28"/>
      <c r="F707" s="28"/>
      <c r="G707" s="27"/>
    </row>
    <row r="708" customFormat="false" ht="15" hidden="false" customHeight="false" outlineLevel="0" collapsed="false">
      <c r="A708" s="29"/>
      <c r="B708" s="40" t="n">
        <f aca="false">IF($A708="",0,INT(($A708-Macrociclo!$C$11)/7)+1)</f>
        <v>0</v>
      </c>
      <c r="C708" s="27"/>
      <c r="D708" s="27"/>
      <c r="E708" s="28"/>
      <c r="F708" s="28"/>
      <c r="G708" s="27"/>
    </row>
    <row r="709" customFormat="false" ht="15" hidden="false" customHeight="false" outlineLevel="0" collapsed="false">
      <c r="A709" s="29"/>
      <c r="B709" s="40" t="n">
        <f aca="false">IF($A709="",0,INT(($A709-Macrociclo!$C$11)/7)+1)</f>
        <v>0</v>
      </c>
      <c r="C709" s="27"/>
      <c r="D709" s="27"/>
      <c r="E709" s="28"/>
      <c r="F709" s="28"/>
      <c r="G709" s="27"/>
    </row>
    <row r="710" customFormat="false" ht="15" hidden="false" customHeight="false" outlineLevel="0" collapsed="false">
      <c r="A710" s="29"/>
      <c r="B710" s="40" t="n">
        <f aca="false">IF($A710="",0,INT(($A710-Macrociclo!$C$11)/7)+1)</f>
        <v>0</v>
      </c>
      <c r="C710" s="27"/>
      <c r="D710" s="27"/>
      <c r="E710" s="28"/>
      <c r="F710" s="28"/>
      <c r="G710" s="27"/>
    </row>
    <row r="711" customFormat="false" ht="15" hidden="false" customHeight="false" outlineLevel="0" collapsed="false">
      <c r="A711" s="29"/>
      <c r="B711" s="40" t="n">
        <f aca="false">IF($A711="",0,INT(($A711-Macrociclo!$C$11)/7)+1)</f>
        <v>0</v>
      </c>
      <c r="C711" s="27"/>
      <c r="D711" s="27"/>
      <c r="E711" s="28"/>
      <c r="F711" s="28"/>
      <c r="G711" s="27"/>
    </row>
    <row r="712" customFormat="false" ht="15" hidden="false" customHeight="false" outlineLevel="0" collapsed="false">
      <c r="A712" s="29"/>
      <c r="B712" s="40" t="n">
        <f aca="false">IF($A712="",0,INT(($A712-Macrociclo!$C$11)/7)+1)</f>
        <v>0</v>
      </c>
      <c r="C712" s="27"/>
      <c r="D712" s="27"/>
      <c r="E712" s="28"/>
      <c r="F712" s="28"/>
      <c r="G712" s="27"/>
    </row>
    <row r="713" customFormat="false" ht="15" hidden="false" customHeight="false" outlineLevel="0" collapsed="false">
      <c r="A713" s="29"/>
      <c r="B713" s="40" t="n">
        <f aca="false">IF($A713="",0,INT(($A713-Macrociclo!$C$11)/7)+1)</f>
        <v>0</v>
      </c>
      <c r="C713" s="27"/>
      <c r="D713" s="27"/>
      <c r="E713" s="28"/>
      <c r="F713" s="28"/>
      <c r="G713" s="27"/>
    </row>
    <row r="714" customFormat="false" ht="15" hidden="false" customHeight="false" outlineLevel="0" collapsed="false">
      <c r="A714" s="29"/>
      <c r="B714" s="40" t="n">
        <f aca="false">IF($A714="",0,INT(($A714-Macrociclo!$C$11)/7)+1)</f>
        <v>0</v>
      </c>
      <c r="C714" s="27"/>
      <c r="D714" s="27"/>
      <c r="E714" s="28"/>
      <c r="F714" s="28"/>
      <c r="G714" s="27"/>
    </row>
    <row r="715" customFormat="false" ht="15" hidden="false" customHeight="false" outlineLevel="0" collapsed="false">
      <c r="A715" s="29"/>
      <c r="B715" s="40" t="n">
        <f aca="false">IF($A715="",0,INT(($A715-Macrociclo!$C$11)/7)+1)</f>
        <v>0</v>
      </c>
      <c r="C715" s="27"/>
      <c r="D715" s="27"/>
      <c r="E715" s="28"/>
      <c r="F715" s="28"/>
      <c r="G715" s="27"/>
    </row>
    <row r="716" customFormat="false" ht="15" hidden="false" customHeight="false" outlineLevel="0" collapsed="false">
      <c r="A716" s="29"/>
      <c r="B716" s="40" t="n">
        <f aca="false">IF($A716="",0,INT(($A716-Macrociclo!$C$11)/7)+1)</f>
        <v>0</v>
      </c>
      <c r="C716" s="27"/>
      <c r="D716" s="27"/>
      <c r="E716" s="28"/>
      <c r="F716" s="28"/>
      <c r="G716" s="27"/>
    </row>
    <row r="717" customFormat="false" ht="15" hidden="false" customHeight="false" outlineLevel="0" collapsed="false">
      <c r="A717" s="29"/>
      <c r="B717" s="40" t="n">
        <f aca="false">IF($A717="",0,INT(($A717-Macrociclo!$C$11)/7)+1)</f>
        <v>0</v>
      </c>
      <c r="C717" s="27"/>
      <c r="D717" s="27"/>
      <c r="E717" s="28"/>
      <c r="F717" s="28"/>
      <c r="G717" s="27"/>
    </row>
    <row r="718" customFormat="false" ht="15" hidden="false" customHeight="false" outlineLevel="0" collapsed="false">
      <c r="A718" s="29"/>
      <c r="B718" s="40" t="n">
        <f aca="false">IF($A718="",0,INT(($A718-Macrociclo!$C$11)/7)+1)</f>
        <v>0</v>
      </c>
      <c r="C718" s="27"/>
      <c r="D718" s="27"/>
      <c r="E718" s="28"/>
      <c r="F718" s="28"/>
      <c r="G718" s="27"/>
    </row>
    <row r="719" customFormat="false" ht="15" hidden="false" customHeight="false" outlineLevel="0" collapsed="false">
      <c r="A719" s="29"/>
      <c r="B719" s="40" t="n">
        <f aca="false">IF($A719="",0,INT(($A719-Macrociclo!$C$11)/7)+1)</f>
        <v>0</v>
      </c>
      <c r="C719" s="27"/>
      <c r="D719" s="27"/>
      <c r="E719" s="28"/>
      <c r="F719" s="28"/>
      <c r="G719" s="27"/>
    </row>
    <row r="720" customFormat="false" ht="15" hidden="false" customHeight="false" outlineLevel="0" collapsed="false">
      <c r="A720" s="29"/>
      <c r="B720" s="40" t="n">
        <f aca="false">IF($A720="",0,INT(($A720-Macrociclo!$C$11)/7)+1)</f>
        <v>0</v>
      </c>
      <c r="C720" s="27"/>
      <c r="D720" s="27"/>
      <c r="E720" s="28"/>
      <c r="F720" s="28"/>
      <c r="G720" s="27"/>
    </row>
    <row r="721" customFormat="false" ht="15" hidden="false" customHeight="false" outlineLevel="0" collapsed="false">
      <c r="A721" s="29"/>
      <c r="B721" s="40" t="n">
        <f aca="false">IF($A721="",0,INT(($A721-Macrociclo!$C$11)/7)+1)</f>
        <v>0</v>
      </c>
      <c r="C721" s="27"/>
      <c r="D721" s="27"/>
      <c r="E721" s="28"/>
      <c r="F721" s="28"/>
      <c r="G721" s="27"/>
    </row>
    <row r="722" customFormat="false" ht="15" hidden="false" customHeight="false" outlineLevel="0" collapsed="false">
      <c r="A722" s="29"/>
      <c r="B722" s="40" t="n">
        <f aca="false">IF($A722="",0,INT(($A722-Macrociclo!$C$11)/7)+1)</f>
        <v>0</v>
      </c>
      <c r="C722" s="27"/>
      <c r="D722" s="27"/>
      <c r="E722" s="28"/>
      <c r="F722" s="28"/>
      <c r="G722" s="27"/>
    </row>
    <row r="723" customFormat="false" ht="15" hidden="false" customHeight="false" outlineLevel="0" collapsed="false">
      <c r="A723" s="29"/>
      <c r="B723" s="40" t="n">
        <f aca="false">IF($A723="",0,INT(($A723-Macrociclo!$C$11)/7)+1)</f>
        <v>0</v>
      </c>
      <c r="C723" s="27"/>
      <c r="D723" s="27"/>
      <c r="E723" s="28"/>
      <c r="F723" s="28"/>
      <c r="G723" s="27"/>
    </row>
    <row r="724" customFormat="false" ht="15" hidden="false" customHeight="false" outlineLevel="0" collapsed="false">
      <c r="A724" s="29"/>
      <c r="B724" s="40" t="n">
        <f aca="false">IF($A724="",0,INT(($A724-Macrociclo!$C$11)/7)+1)</f>
        <v>0</v>
      </c>
      <c r="C724" s="27"/>
      <c r="D724" s="27"/>
      <c r="E724" s="28"/>
      <c r="F724" s="28"/>
      <c r="G724" s="27"/>
    </row>
    <row r="725" customFormat="false" ht="15" hidden="false" customHeight="false" outlineLevel="0" collapsed="false">
      <c r="A725" s="29"/>
      <c r="B725" s="40" t="n">
        <f aca="false">IF($A725="",0,INT(($A725-Macrociclo!$C$11)/7)+1)</f>
        <v>0</v>
      </c>
      <c r="C725" s="27"/>
      <c r="D725" s="27"/>
      <c r="E725" s="28"/>
      <c r="F725" s="28"/>
      <c r="G725" s="27"/>
    </row>
    <row r="726" customFormat="false" ht="15" hidden="false" customHeight="false" outlineLevel="0" collapsed="false">
      <c r="A726" s="29"/>
      <c r="B726" s="40" t="n">
        <f aca="false">IF($A726="",0,INT(($A726-Macrociclo!$C$11)/7)+1)</f>
        <v>0</v>
      </c>
      <c r="C726" s="27"/>
      <c r="D726" s="27"/>
      <c r="E726" s="28"/>
      <c r="F726" s="28"/>
      <c r="G726" s="27"/>
    </row>
    <row r="727" customFormat="false" ht="15" hidden="false" customHeight="false" outlineLevel="0" collapsed="false">
      <c r="A727" s="29"/>
      <c r="B727" s="40" t="n">
        <f aca="false">IF($A727="",0,INT(($A727-Macrociclo!$C$11)/7)+1)</f>
        <v>0</v>
      </c>
      <c r="C727" s="27"/>
      <c r="D727" s="27"/>
      <c r="E727" s="28"/>
      <c r="F727" s="28"/>
      <c r="G727" s="27"/>
    </row>
    <row r="728" customFormat="false" ht="15" hidden="false" customHeight="false" outlineLevel="0" collapsed="false">
      <c r="A728" s="29"/>
      <c r="B728" s="40" t="n">
        <f aca="false">IF($A728="",0,INT(($A728-Macrociclo!$C$11)/7)+1)</f>
        <v>0</v>
      </c>
      <c r="C728" s="27"/>
      <c r="D728" s="27"/>
      <c r="E728" s="28"/>
      <c r="F728" s="28"/>
      <c r="G728" s="27"/>
    </row>
    <row r="729" customFormat="false" ht="15" hidden="false" customHeight="false" outlineLevel="0" collapsed="false">
      <c r="A729" s="29"/>
      <c r="B729" s="40" t="n">
        <f aca="false">IF($A729="",0,INT(($A729-Macrociclo!$C$11)/7)+1)</f>
        <v>0</v>
      </c>
      <c r="C729" s="27"/>
      <c r="D729" s="27"/>
      <c r="E729" s="28"/>
      <c r="F729" s="28"/>
      <c r="G729" s="27"/>
    </row>
    <row r="730" customFormat="false" ht="15" hidden="false" customHeight="false" outlineLevel="0" collapsed="false">
      <c r="A730" s="29"/>
      <c r="B730" s="40" t="n">
        <f aca="false">IF($A730="",0,INT(($A730-Macrociclo!$C$11)/7)+1)</f>
        <v>0</v>
      </c>
      <c r="C730" s="27"/>
      <c r="D730" s="27"/>
      <c r="E730" s="28"/>
      <c r="F730" s="28"/>
      <c r="G730" s="27"/>
    </row>
    <row r="731" customFormat="false" ht="15" hidden="false" customHeight="false" outlineLevel="0" collapsed="false">
      <c r="A731" s="29"/>
      <c r="B731" s="40" t="n">
        <f aca="false">IF($A731="",0,INT(($A731-Macrociclo!$C$11)/7)+1)</f>
        <v>0</v>
      </c>
      <c r="C731" s="27"/>
      <c r="D731" s="27"/>
      <c r="E731" s="28"/>
      <c r="F731" s="28"/>
      <c r="G731" s="27"/>
    </row>
    <row r="732" customFormat="false" ht="15" hidden="false" customHeight="false" outlineLevel="0" collapsed="false">
      <c r="A732" s="29"/>
      <c r="B732" s="40" t="n">
        <f aca="false">IF($A732="",0,INT(($A732-Macrociclo!$C$11)/7)+1)</f>
        <v>0</v>
      </c>
      <c r="C732" s="27"/>
      <c r="D732" s="27"/>
      <c r="E732" s="28"/>
      <c r="F732" s="28"/>
      <c r="G732" s="27"/>
    </row>
    <row r="733" customFormat="false" ht="15" hidden="false" customHeight="false" outlineLevel="0" collapsed="false">
      <c r="A733" s="29"/>
      <c r="B733" s="40" t="n">
        <f aca="false">IF($A733="",0,INT(($A733-Macrociclo!$C$11)/7)+1)</f>
        <v>0</v>
      </c>
      <c r="C733" s="27"/>
      <c r="D733" s="27"/>
      <c r="E733" s="28"/>
      <c r="F733" s="28"/>
      <c r="G733" s="27"/>
    </row>
    <row r="734" customFormat="false" ht="15" hidden="false" customHeight="false" outlineLevel="0" collapsed="false">
      <c r="A734" s="29"/>
      <c r="B734" s="40" t="n">
        <f aca="false">IF($A734="",0,INT(($A734-Macrociclo!$C$11)/7)+1)</f>
        <v>0</v>
      </c>
      <c r="C734" s="27"/>
      <c r="D734" s="27"/>
      <c r="E734" s="28"/>
      <c r="F734" s="28"/>
      <c r="G734" s="27"/>
    </row>
    <row r="735" customFormat="false" ht="15" hidden="false" customHeight="false" outlineLevel="0" collapsed="false">
      <c r="A735" s="29"/>
      <c r="B735" s="40" t="n">
        <f aca="false">IF($A735="",0,INT(($A735-Macrociclo!$C$11)/7)+1)</f>
        <v>0</v>
      </c>
      <c r="C735" s="27"/>
      <c r="D735" s="27"/>
      <c r="E735" s="28"/>
      <c r="F735" s="28"/>
      <c r="G735" s="27"/>
    </row>
    <row r="736" customFormat="false" ht="15" hidden="false" customHeight="false" outlineLevel="0" collapsed="false">
      <c r="A736" s="29"/>
      <c r="B736" s="40" t="n">
        <f aca="false">IF($A736="",0,INT(($A736-Macrociclo!$C$11)/7)+1)</f>
        <v>0</v>
      </c>
      <c r="C736" s="27"/>
      <c r="D736" s="27"/>
      <c r="E736" s="28"/>
      <c r="F736" s="28"/>
      <c r="G736" s="27"/>
    </row>
    <row r="737" customFormat="false" ht="15" hidden="false" customHeight="false" outlineLevel="0" collapsed="false">
      <c r="A737" s="29"/>
      <c r="B737" s="40" t="n">
        <f aca="false">IF($A737="",0,INT(($A737-Macrociclo!$C$11)/7)+1)</f>
        <v>0</v>
      </c>
      <c r="C737" s="27"/>
      <c r="D737" s="27"/>
      <c r="E737" s="28"/>
      <c r="F737" s="28"/>
      <c r="G737" s="27"/>
    </row>
    <row r="738" customFormat="false" ht="15" hidden="false" customHeight="false" outlineLevel="0" collapsed="false">
      <c r="A738" s="29"/>
      <c r="B738" s="40" t="n">
        <f aca="false">IF($A738="",0,INT(($A738-Macrociclo!$C$11)/7)+1)</f>
        <v>0</v>
      </c>
      <c r="C738" s="27"/>
      <c r="D738" s="27"/>
      <c r="E738" s="28"/>
      <c r="F738" s="28"/>
      <c r="G738" s="27"/>
    </row>
    <row r="739" customFormat="false" ht="15" hidden="false" customHeight="false" outlineLevel="0" collapsed="false">
      <c r="A739" s="29"/>
      <c r="B739" s="40" t="n">
        <f aca="false">IF($A739="",0,INT(($A739-Macrociclo!$C$11)/7)+1)</f>
        <v>0</v>
      </c>
      <c r="C739" s="27"/>
      <c r="D739" s="27"/>
      <c r="E739" s="28"/>
      <c r="F739" s="28"/>
      <c r="G739" s="27"/>
    </row>
    <row r="740" customFormat="false" ht="15" hidden="false" customHeight="false" outlineLevel="0" collapsed="false">
      <c r="A740" s="29"/>
      <c r="B740" s="40" t="n">
        <f aca="false">IF($A740="",0,INT(($A740-Macrociclo!$C$11)/7)+1)</f>
        <v>0</v>
      </c>
      <c r="C740" s="27"/>
      <c r="D740" s="27"/>
      <c r="E740" s="28"/>
      <c r="F740" s="28"/>
      <c r="G740" s="27"/>
    </row>
    <row r="741" customFormat="false" ht="15" hidden="false" customHeight="false" outlineLevel="0" collapsed="false">
      <c r="A741" s="29"/>
      <c r="B741" s="40" t="n">
        <f aca="false">IF($A741="",0,INT(($A741-Macrociclo!$C$11)/7)+1)</f>
        <v>0</v>
      </c>
      <c r="C741" s="27"/>
      <c r="D741" s="27"/>
      <c r="E741" s="28"/>
      <c r="F741" s="28"/>
      <c r="G741" s="27"/>
    </row>
    <row r="742" customFormat="false" ht="15" hidden="false" customHeight="false" outlineLevel="0" collapsed="false">
      <c r="A742" s="29"/>
      <c r="B742" s="40" t="n">
        <f aca="false">IF($A742="",0,INT(($A742-Macrociclo!$C$11)/7)+1)</f>
        <v>0</v>
      </c>
      <c r="C742" s="27"/>
      <c r="D742" s="27"/>
      <c r="E742" s="28"/>
      <c r="F742" s="28"/>
      <c r="G742" s="27"/>
    </row>
    <row r="743" customFormat="false" ht="15" hidden="false" customHeight="false" outlineLevel="0" collapsed="false">
      <c r="A743" s="29"/>
      <c r="B743" s="40" t="n">
        <f aca="false">IF($A743="",0,INT(($A743-Macrociclo!$C$11)/7)+1)</f>
        <v>0</v>
      </c>
      <c r="C743" s="27"/>
      <c r="D743" s="27"/>
      <c r="E743" s="28"/>
      <c r="F743" s="28"/>
      <c r="G743" s="27"/>
    </row>
    <row r="744" customFormat="false" ht="15" hidden="false" customHeight="false" outlineLevel="0" collapsed="false">
      <c r="A744" s="29"/>
      <c r="B744" s="40" t="n">
        <f aca="false">IF($A744="",0,INT(($A744-Macrociclo!$C$11)/7)+1)</f>
        <v>0</v>
      </c>
      <c r="C744" s="27"/>
      <c r="D744" s="27"/>
      <c r="E744" s="28"/>
      <c r="F744" s="28"/>
      <c r="G744" s="27"/>
    </row>
    <row r="745" customFormat="false" ht="15" hidden="false" customHeight="false" outlineLevel="0" collapsed="false">
      <c r="A745" s="29"/>
      <c r="B745" s="40" t="n">
        <f aca="false">IF($A745="",0,INT(($A745-Macrociclo!$C$11)/7)+1)</f>
        <v>0</v>
      </c>
      <c r="C745" s="27"/>
      <c r="D745" s="27"/>
      <c r="E745" s="28"/>
      <c r="F745" s="28"/>
      <c r="G745" s="27"/>
    </row>
    <row r="746" customFormat="false" ht="15" hidden="false" customHeight="false" outlineLevel="0" collapsed="false">
      <c r="A746" s="29"/>
      <c r="B746" s="40" t="n">
        <f aca="false">IF($A746="",0,INT(($A746-Macrociclo!$C$11)/7)+1)</f>
        <v>0</v>
      </c>
      <c r="C746" s="27"/>
      <c r="D746" s="27"/>
      <c r="E746" s="28"/>
      <c r="F746" s="28"/>
      <c r="G746" s="27"/>
    </row>
    <row r="747" customFormat="false" ht="15" hidden="false" customHeight="false" outlineLevel="0" collapsed="false">
      <c r="A747" s="29"/>
      <c r="B747" s="40" t="n">
        <f aca="false">IF($A747="",0,INT(($A747-Macrociclo!$C$11)/7)+1)</f>
        <v>0</v>
      </c>
      <c r="C747" s="27"/>
      <c r="D747" s="27"/>
      <c r="E747" s="28"/>
      <c r="F747" s="28"/>
      <c r="G747" s="27"/>
    </row>
    <row r="748" customFormat="false" ht="15" hidden="false" customHeight="false" outlineLevel="0" collapsed="false">
      <c r="A748" s="29"/>
      <c r="B748" s="40" t="n">
        <f aca="false">IF($A748="",0,INT(($A748-Macrociclo!$C$11)/7)+1)</f>
        <v>0</v>
      </c>
      <c r="C748" s="27"/>
      <c r="D748" s="27"/>
      <c r="E748" s="28"/>
      <c r="F748" s="28"/>
      <c r="G748" s="27"/>
    </row>
    <row r="749" customFormat="false" ht="15" hidden="false" customHeight="false" outlineLevel="0" collapsed="false">
      <c r="A749" s="29"/>
      <c r="B749" s="40" t="n">
        <f aca="false">IF($A749="",0,INT(($A749-Macrociclo!$C$11)/7)+1)</f>
        <v>0</v>
      </c>
      <c r="C749" s="27"/>
      <c r="D749" s="27"/>
      <c r="E749" s="28"/>
      <c r="F749" s="28"/>
      <c r="G749" s="27"/>
    </row>
    <row r="750" customFormat="false" ht="15" hidden="false" customHeight="false" outlineLevel="0" collapsed="false">
      <c r="A750" s="29"/>
      <c r="B750" s="40" t="n">
        <f aca="false">IF($A750="",0,INT(($A750-Macrociclo!$C$11)/7)+1)</f>
        <v>0</v>
      </c>
      <c r="C750" s="27"/>
      <c r="D750" s="27"/>
      <c r="E750" s="28"/>
      <c r="F750" s="28"/>
      <c r="G750" s="27"/>
    </row>
    <row r="751" customFormat="false" ht="15" hidden="false" customHeight="false" outlineLevel="0" collapsed="false">
      <c r="A751" s="29"/>
      <c r="B751" s="40" t="n">
        <f aca="false">IF($A751="",0,INT(($A751-Macrociclo!$C$11)/7)+1)</f>
        <v>0</v>
      </c>
      <c r="C751" s="27"/>
      <c r="D751" s="27"/>
      <c r="E751" s="28"/>
      <c r="F751" s="28"/>
      <c r="G751" s="27"/>
    </row>
    <row r="752" customFormat="false" ht="15" hidden="false" customHeight="false" outlineLevel="0" collapsed="false">
      <c r="A752" s="29"/>
      <c r="B752" s="40" t="n">
        <f aca="false">IF($A752="",0,INT(($A752-Macrociclo!$C$11)/7)+1)</f>
        <v>0</v>
      </c>
      <c r="C752" s="27"/>
      <c r="D752" s="27"/>
      <c r="E752" s="28"/>
      <c r="F752" s="28"/>
      <c r="G752" s="27"/>
    </row>
    <row r="753" customFormat="false" ht="15" hidden="false" customHeight="false" outlineLevel="0" collapsed="false">
      <c r="A753" s="29"/>
      <c r="B753" s="40" t="n">
        <f aca="false">IF($A753="",0,INT(($A753-Macrociclo!$C$11)/7)+1)</f>
        <v>0</v>
      </c>
      <c r="C753" s="27"/>
      <c r="D753" s="27"/>
      <c r="E753" s="28"/>
      <c r="F753" s="28"/>
      <c r="G753" s="27"/>
    </row>
    <row r="754" customFormat="false" ht="15" hidden="false" customHeight="false" outlineLevel="0" collapsed="false">
      <c r="A754" s="29"/>
      <c r="B754" s="40" t="n">
        <f aca="false">IF($A754="",0,INT(($A754-Macrociclo!$C$11)/7)+1)</f>
        <v>0</v>
      </c>
      <c r="C754" s="27"/>
      <c r="D754" s="27"/>
      <c r="E754" s="28"/>
      <c r="F754" s="28"/>
      <c r="G754" s="27"/>
    </row>
    <row r="755" customFormat="false" ht="15" hidden="false" customHeight="false" outlineLevel="0" collapsed="false">
      <c r="A755" s="29"/>
      <c r="B755" s="40" t="n">
        <f aca="false">IF($A755="",0,INT(($A755-Macrociclo!$C$11)/7)+1)</f>
        <v>0</v>
      </c>
      <c r="C755" s="27"/>
      <c r="D755" s="27"/>
      <c r="E755" s="28"/>
      <c r="F755" s="28"/>
      <c r="G755" s="27"/>
    </row>
    <row r="756" customFormat="false" ht="15" hidden="false" customHeight="false" outlineLevel="0" collapsed="false">
      <c r="A756" s="29"/>
      <c r="B756" s="40" t="n">
        <f aca="false">IF($A756="",0,INT(($A756-Macrociclo!$C$11)/7)+1)</f>
        <v>0</v>
      </c>
      <c r="C756" s="27"/>
      <c r="D756" s="27"/>
      <c r="E756" s="28"/>
      <c r="F756" s="28"/>
      <c r="G756" s="27"/>
    </row>
    <row r="757" customFormat="false" ht="15" hidden="false" customHeight="false" outlineLevel="0" collapsed="false">
      <c r="A757" s="29"/>
      <c r="B757" s="40" t="n">
        <f aca="false">IF($A757="",0,INT(($A757-Macrociclo!$C$11)/7)+1)</f>
        <v>0</v>
      </c>
      <c r="C757" s="27"/>
      <c r="D757" s="27"/>
      <c r="E757" s="28"/>
      <c r="F757" s="28"/>
      <c r="G757" s="27"/>
    </row>
    <row r="758" customFormat="false" ht="15" hidden="false" customHeight="false" outlineLevel="0" collapsed="false">
      <c r="A758" s="29"/>
      <c r="B758" s="40" t="n">
        <f aca="false">IF($A758="",0,INT(($A758-Macrociclo!$C$11)/7)+1)</f>
        <v>0</v>
      </c>
      <c r="C758" s="27"/>
      <c r="D758" s="27"/>
      <c r="E758" s="28"/>
      <c r="F758" s="28"/>
      <c r="G758" s="27"/>
    </row>
    <row r="759" customFormat="false" ht="15" hidden="false" customHeight="false" outlineLevel="0" collapsed="false">
      <c r="A759" s="29"/>
      <c r="B759" s="40" t="n">
        <f aca="false">IF($A759="",0,INT(($A759-Macrociclo!$C$11)/7)+1)</f>
        <v>0</v>
      </c>
      <c r="C759" s="27"/>
      <c r="D759" s="27"/>
      <c r="E759" s="28"/>
      <c r="F759" s="28"/>
      <c r="G759" s="27"/>
    </row>
    <row r="760" customFormat="false" ht="15" hidden="false" customHeight="false" outlineLevel="0" collapsed="false">
      <c r="A760" s="29"/>
      <c r="B760" s="40" t="n">
        <f aca="false">IF($A760="",0,INT(($A760-Macrociclo!$C$11)/7)+1)</f>
        <v>0</v>
      </c>
      <c r="C760" s="27"/>
      <c r="D760" s="27"/>
      <c r="E760" s="28"/>
      <c r="F760" s="28"/>
      <c r="G760" s="27"/>
    </row>
    <row r="761" customFormat="false" ht="15" hidden="false" customHeight="false" outlineLevel="0" collapsed="false">
      <c r="A761" s="29"/>
      <c r="B761" s="40" t="n">
        <f aca="false">IF($A761="",0,INT(($A761-Macrociclo!$C$11)/7)+1)</f>
        <v>0</v>
      </c>
      <c r="C761" s="27"/>
      <c r="D761" s="27"/>
      <c r="E761" s="28"/>
      <c r="F761" s="28"/>
      <c r="G761" s="27"/>
    </row>
    <row r="762" customFormat="false" ht="15" hidden="false" customHeight="false" outlineLevel="0" collapsed="false">
      <c r="A762" s="29"/>
      <c r="B762" s="40" t="n">
        <f aca="false">IF($A762="",0,INT(($A762-Macrociclo!$C$11)/7)+1)</f>
        <v>0</v>
      </c>
      <c r="C762" s="27"/>
      <c r="D762" s="27"/>
      <c r="E762" s="28"/>
      <c r="F762" s="28"/>
      <c r="G762" s="27"/>
    </row>
    <row r="763" customFormat="false" ht="15" hidden="false" customHeight="false" outlineLevel="0" collapsed="false">
      <c r="A763" s="29"/>
      <c r="B763" s="40" t="n">
        <f aca="false">IF($A763="",0,INT(($A763-Macrociclo!$C$11)/7)+1)</f>
        <v>0</v>
      </c>
      <c r="C763" s="27"/>
      <c r="D763" s="27"/>
      <c r="E763" s="28"/>
      <c r="F763" s="28"/>
      <c r="G763" s="27"/>
    </row>
    <row r="764" customFormat="false" ht="15" hidden="false" customHeight="false" outlineLevel="0" collapsed="false">
      <c r="A764" s="29"/>
      <c r="B764" s="40" t="n">
        <f aca="false">IF($A764="",0,INT(($A764-Macrociclo!$C$11)/7)+1)</f>
        <v>0</v>
      </c>
      <c r="C764" s="27"/>
      <c r="D764" s="27"/>
      <c r="E764" s="28"/>
      <c r="F764" s="28"/>
      <c r="G764" s="27"/>
    </row>
    <row r="765" customFormat="false" ht="15" hidden="false" customHeight="false" outlineLevel="0" collapsed="false">
      <c r="A765" s="29"/>
      <c r="B765" s="40" t="n">
        <f aca="false">IF($A765="",0,INT(($A765-Macrociclo!$C$11)/7)+1)</f>
        <v>0</v>
      </c>
      <c r="C765" s="27"/>
      <c r="D765" s="27"/>
      <c r="E765" s="28"/>
      <c r="F765" s="28"/>
      <c r="G765" s="27"/>
    </row>
    <row r="766" customFormat="false" ht="15" hidden="false" customHeight="false" outlineLevel="0" collapsed="false">
      <c r="A766" s="29"/>
      <c r="B766" s="40" t="n">
        <f aca="false">IF($A766="",0,INT(($A766-Macrociclo!$C$11)/7)+1)</f>
        <v>0</v>
      </c>
      <c r="C766" s="27"/>
      <c r="D766" s="27"/>
      <c r="E766" s="28"/>
      <c r="F766" s="28"/>
      <c r="G766" s="27"/>
    </row>
    <row r="767" customFormat="false" ht="15" hidden="false" customHeight="false" outlineLevel="0" collapsed="false">
      <c r="A767" s="29"/>
      <c r="B767" s="40" t="n">
        <f aca="false">IF($A767="",0,INT(($A767-Macrociclo!$C$11)/7)+1)</f>
        <v>0</v>
      </c>
      <c r="C767" s="27"/>
      <c r="D767" s="27"/>
      <c r="E767" s="28"/>
      <c r="F767" s="28"/>
      <c r="G767" s="27"/>
    </row>
    <row r="768" customFormat="false" ht="15" hidden="false" customHeight="false" outlineLevel="0" collapsed="false">
      <c r="A768" s="29"/>
      <c r="B768" s="40" t="n">
        <f aca="false">IF($A768="",0,INT(($A768-Macrociclo!$C$11)/7)+1)</f>
        <v>0</v>
      </c>
      <c r="C768" s="27"/>
      <c r="D768" s="27"/>
      <c r="E768" s="28"/>
      <c r="F768" s="28"/>
      <c r="G768" s="27"/>
    </row>
    <row r="769" customFormat="false" ht="15" hidden="false" customHeight="false" outlineLevel="0" collapsed="false">
      <c r="A769" s="29"/>
      <c r="B769" s="40" t="n">
        <f aca="false">IF($A769="",0,INT(($A769-Macrociclo!$C$11)/7)+1)</f>
        <v>0</v>
      </c>
      <c r="C769" s="27"/>
      <c r="D769" s="27"/>
      <c r="E769" s="28"/>
      <c r="F769" s="28"/>
      <c r="G769" s="27"/>
    </row>
    <row r="770" customFormat="false" ht="15" hidden="false" customHeight="false" outlineLevel="0" collapsed="false">
      <c r="A770" s="29"/>
      <c r="B770" s="40" t="n">
        <f aca="false">IF($A770="",0,INT(($A770-Macrociclo!$C$11)/7)+1)</f>
        <v>0</v>
      </c>
      <c r="C770" s="27"/>
      <c r="D770" s="27"/>
      <c r="E770" s="28"/>
      <c r="F770" s="28"/>
      <c r="G770" s="27"/>
    </row>
    <row r="771" customFormat="false" ht="15" hidden="false" customHeight="false" outlineLevel="0" collapsed="false">
      <c r="A771" s="29"/>
      <c r="B771" s="40" t="n">
        <f aca="false">IF($A771="",0,INT(($A771-Macrociclo!$C$11)/7)+1)</f>
        <v>0</v>
      </c>
      <c r="C771" s="27"/>
      <c r="D771" s="27"/>
      <c r="E771" s="28"/>
      <c r="F771" s="28"/>
      <c r="G771" s="27"/>
    </row>
    <row r="772" customFormat="false" ht="15" hidden="false" customHeight="false" outlineLevel="0" collapsed="false">
      <c r="A772" s="29"/>
      <c r="B772" s="40" t="n">
        <f aca="false">IF($A772="",0,INT(($A772-Macrociclo!$C$11)/7)+1)</f>
        <v>0</v>
      </c>
      <c r="C772" s="27"/>
      <c r="D772" s="27"/>
      <c r="E772" s="28"/>
      <c r="F772" s="28"/>
      <c r="G772" s="27"/>
    </row>
    <row r="773" customFormat="false" ht="15" hidden="false" customHeight="false" outlineLevel="0" collapsed="false">
      <c r="A773" s="29"/>
      <c r="B773" s="40" t="n">
        <f aca="false">IF($A773="",0,INT(($A773-Macrociclo!$C$11)/7)+1)</f>
        <v>0</v>
      </c>
      <c r="C773" s="27"/>
      <c r="D773" s="27"/>
      <c r="E773" s="28"/>
      <c r="F773" s="28"/>
      <c r="G773" s="27"/>
    </row>
    <row r="774" customFormat="false" ht="15" hidden="false" customHeight="false" outlineLevel="0" collapsed="false">
      <c r="A774" s="29"/>
      <c r="B774" s="40" t="n">
        <f aca="false">IF($A774="",0,INT(($A774-Macrociclo!$C$11)/7)+1)</f>
        <v>0</v>
      </c>
      <c r="C774" s="27"/>
      <c r="D774" s="27"/>
      <c r="E774" s="28"/>
      <c r="F774" s="28"/>
      <c r="G774" s="27"/>
    </row>
    <row r="775" customFormat="false" ht="15" hidden="false" customHeight="false" outlineLevel="0" collapsed="false">
      <c r="A775" s="29"/>
      <c r="B775" s="40" t="n">
        <f aca="false">IF($A775="",0,INT(($A775-Macrociclo!$C$11)/7)+1)</f>
        <v>0</v>
      </c>
      <c r="C775" s="27"/>
      <c r="D775" s="27"/>
      <c r="E775" s="28"/>
      <c r="F775" s="28"/>
      <c r="G775" s="27"/>
    </row>
    <row r="776" customFormat="false" ht="15" hidden="false" customHeight="false" outlineLevel="0" collapsed="false">
      <c r="A776" s="29"/>
      <c r="B776" s="40" t="n">
        <f aca="false">IF($A776="",0,INT(($A776-Macrociclo!$C$11)/7)+1)</f>
        <v>0</v>
      </c>
      <c r="C776" s="27"/>
      <c r="D776" s="27"/>
      <c r="E776" s="28"/>
      <c r="F776" s="28"/>
      <c r="G776" s="27"/>
    </row>
    <row r="777" customFormat="false" ht="15" hidden="false" customHeight="false" outlineLevel="0" collapsed="false">
      <c r="A777" s="29"/>
      <c r="B777" s="40" t="n">
        <f aca="false">IF($A777="",0,INT(($A777-Macrociclo!$C$11)/7)+1)</f>
        <v>0</v>
      </c>
      <c r="C777" s="27"/>
      <c r="D777" s="27"/>
      <c r="E777" s="28"/>
      <c r="F777" s="28"/>
      <c r="G777" s="27"/>
    </row>
    <row r="778" customFormat="false" ht="15" hidden="false" customHeight="false" outlineLevel="0" collapsed="false">
      <c r="A778" s="29"/>
      <c r="B778" s="40" t="n">
        <f aca="false">IF($A778="",0,INT(($A778-Macrociclo!$C$11)/7)+1)</f>
        <v>0</v>
      </c>
      <c r="C778" s="27"/>
      <c r="D778" s="27"/>
      <c r="E778" s="28"/>
      <c r="F778" s="28"/>
      <c r="G778" s="27"/>
    </row>
    <row r="779" customFormat="false" ht="15" hidden="false" customHeight="false" outlineLevel="0" collapsed="false">
      <c r="A779" s="29"/>
      <c r="B779" s="40" t="n">
        <f aca="false">IF($A779="",0,INT(($A779-Macrociclo!$C$11)/7)+1)</f>
        <v>0</v>
      </c>
      <c r="C779" s="27"/>
      <c r="D779" s="27"/>
      <c r="E779" s="28"/>
      <c r="F779" s="28"/>
      <c r="G779" s="27"/>
    </row>
    <row r="780" customFormat="false" ht="15" hidden="false" customHeight="false" outlineLevel="0" collapsed="false">
      <c r="A780" s="29"/>
      <c r="B780" s="40" t="n">
        <f aca="false">IF($A780="",0,INT(($A780-Macrociclo!$C$11)/7)+1)</f>
        <v>0</v>
      </c>
      <c r="C780" s="27"/>
      <c r="D780" s="27"/>
      <c r="E780" s="28"/>
      <c r="F780" s="28"/>
      <c r="G780" s="27"/>
    </row>
    <row r="781" customFormat="false" ht="15" hidden="false" customHeight="false" outlineLevel="0" collapsed="false">
      <c r="A781" s="29"/>
      <c r="B781" s="40" t="n">
        <f aca="false">IF($A781="",0,INT(($A781-Macrociclo!$C$11)/7)+1)</f>
        <v>0</v>
      </c>
      <c r="C781" s="27"/>
      <c r="D781" s="27"/>
      <c r="E781" s="28"/>
      <c r="F781" s="28"/>
      <c r="G781" s="27"/>
    </row>
    <row r="782" customFormat="false" ht="15" hidden="false" customHeight="false" outlineLevel="0" collapsed="false">
      <c r="A782" s="29"/>
      <c r="B782" s="40" t="n">
        <f aca="false">IF($A782="",0,INT(($A782-Macrociclo!$C$11)/7)+1)</f>
        <v>0</v>
      </c>
      <c r="C782" s="27"/>
      <c r="D782" s="27"/>
      <c r="E782" s="28"/>
      <c r="F782" s="28"/>
      <c r="G782" s="27"/>
    </row>
    <row r="783" customFormat="false" ht="15" hidden="false" customHeight="false" outlineLevel="0" collapsed="false">
      <c r="A783" s="29"/>
      <c r="B783" s="40" t="n">
        <f aca="false">IF($A783="",0,INT(($A783-Macrociclo!$C$11)/7)+1)</f>
        <v>0</v>
      </c>
      <c r="C783" s="27"/>
      <c r="D783" s="27"/>
      <c r="E783" s="28"/>
      <c r="F783" s="28"/>
      <c r="G783" s="27"/>
    </row>
    <row r="784" customFormat="false" ht="15" hidden="false" customHeight="false" outlineLevel="0" collapsed="false">
      <c r="A784" s="29"/>
      <c r="B784" s="40" t="n">
        <f aca="false">IF($A784="",0,INT(($A784-Macrociclo!$C$11)/7)+1)</f>
        <v>0</v>
      </c>
      <c r="C784" s="27"/>
      <c r="D784" s="27"/>
      <c r="E784" s="28"/>
      <c r="F784" s="28"/>
      <c r="G784" s="27"/>
    </row>
    <row r="785" customFormat="false" ht="15" hidden="false" customHeight="false" outlineLevel="0" collapsed="false">
      <c r="A785" s="29"/>
      <c r="B785" s="40" t="n">
        <f aca="false">IF($A785="",0,INT(($A785-Macrociclo!$C$11)/7)+1)</f>
        <v>0</v>
      </c>
      <c r="C785" s="27"/>
      <c r="D785" s="27"/>
      <c r="E785" s="28"/>
      <c r="F785" s="28"/>
      <c r="G785" s="27"/>
    </row>
    <row r="786" customFormat="false" ht="15" hidden="false" customHeight="false" outlineLevel="0" collapsed="false">
      <c r="A786" s="29"/>
      <c r="B786" s="40" t="n">
        <f aca="false">IF($A786="",0,INT(($A786-Macrociclo!$C$11)/7)+1)</f>
        <v>0</v>
      </c>
      <c r="C786" s="27"/>
      <c r="D786" s="27"/>
      <c r="E786" s="28"/>
      <c r="F786" s="28"/>
      <c r="G786" s="27"/>
    </row>
    <row r="787" customFormat="false" ht="15" hidden="false" customHeight="false" outlineLevel="0" collapsed="false">
      <c r="A787" s="29"/>
      <c r="B787" s="40" t="n">
        <f aca="false">IF($A787="",0,INT(($A787-Macrociclo!$C$11)/7)+1)</f>
        <v>0</v>
      </c>
      <c r="C787" s="27"/>
      <c r="D787" s="27"/>
      <c r="E787" s="28"/>
      <c r="F787" s="28"/>
      <c r="G787" s="27"/>
    </row>
    <row r="788" customFormat="false" ht="15" hidden="false" customHeight="false" outlineLevel="0" collapsed="false">
      <c r="A788" s="29"/>
      <c r="B788" s="40" t="n">
        <f aca="false">IF($A788="",0,INT(($A788-Macrociclo!$C$11)/7)+1)</f>
        <v>0</v>
      </c>
      <c r="C788" s="27"/>
      <c r="D788" s="27"/>
      <c r="E788" s="28"/>
      <c r="F788" s="28"/>
      <c r="G788" s="27"/>
    </row>
    <row r="789" customFormat="false" ht="15" hidden="false" customHeight="false" outlineLevel="0" collapsed="false">
      <c r="A789" s="29"/>
      <c r="B789" s="40" t="n">
        <f aca="false">IF($A789="",0,INT(($A789-Macrociclo!$C$11)/7)+1)</f>
        <v>0</v>
      </c>
      <c r="C789" s="27"/>
      <c r="D789" s="27"/>
      <c r="E789" s="28"/>
      <c r="F789" s="28"/>
      <c r="G789" s="27"/>
    </row>
    <row r="790" customFormat="false" ht="15" hidden="false" customHeight="false" outlineLevel="0" collapsed="false">
      <c r="A790" s="29"/>
      <c r="B790" s="40" t="n">
        <f aca="false">IF($A790="",0,INT(($A790-Macrociclo!$C$11)/7)+1)</f>
        <v>0</v>
      </c>
      <c r="C790" s="27"/>
      <c r="D790" s="27"/>
      <c r="E790" s="28"/>
      <c r="F790" s="28"/>
      <c r="G790" s="27"/>
    </row>
    <row r="791" customFormat="false" ht="15" hidden="false" customHeight="false" outlineLevel="0" collapsed="false">
      <c r="A791" s="29"/>
      <c r="B791" s="40" t="n">
        <f aca="false">IF($A791="",0,INT(($A791-Macrociclo!$C$11)/7)+1)</f>
        <v>0</v>
      </c>
      <c r="C791" s="27"/>
      <c r="D791" s="27"/>
      <c r="E791" s="28"/>
      <c r="F791" s="28"/>
      <c r="G791" s="27"/>
    </row>
    <row r="792" customFormat="false" ht="15" hidden="false" customHeight="false" outlineLevel="0" collapsed="false">
      <c r="A792" s="29"/>
      <c r="B792" s="40" t="n">
        <f aca="false">IF($A792="",0,INT(($A792-Macrociclo!$C$11)/7)+1)</f>
        <v>0</v>
      </c>
      <c r="C792" s="27"/>
      <c r="D792" s="27"/>
      <c r="E792" s="28"/>
      <c r="F792" s="28"/>
      <c r="G792" s="27"/>
    </row>
    <row r="793" customFormat="false" ht="15" hidden="false" customHeight="false" outlineLevel="0" collapsed="false">
      <c r="A793" s="29"/>
      <c r="B793" s="40" t="n">
        <f aca="false">IF($A793="",0,INT(($A793-Macrociclo!$C$11)/7)+1)</f>
        <v>0</v>
      </c>
      <c r="C793" s="27"/>
      <c r="D793" s="27"/>
      <c r="E793" s="28"/>
      <c r="F793" s="28"/>
      <c r="G793" s="27"/>
    </row>
    <row r="794" customFormat="false" ht="15" hidden="false" customHeight="false" outlineLevel="0" collapsed="false">
      <c r="A794" s="29"/>
      <c r="B794" s="40" t="n">
        <f aca="false">IF($A794="",0,INT(($A794-Macrociclo!$C$11)/7)+1)</f>
        <v>0</v>
      </c>
      <c r="C794" s="27"/>
      <c r="D794" s="27"/>
      <c r="E794" s="28"/>
      <c r="F794" s="28"/>
      <c r="G794" s="27"/>
    </row>
    <row r="795" customFormat="false" ht="15" hidden="false" customHeight="false" outlineLevel="0" collapsed="false">
      <c r="A795" s="29"/>
      <c r="B795" s="40" t="n">
        <f aca="false">IF($A795="",0,INT(($A795-Macrociclo!$C$11)/7)+1)</f>
        <v>0</v>
      </c>
      <c r="C795" s="27"/>
      <c r="D795" s="27"/>
      <c r="E795" s="28"/>
      <c r="F795" s="28"/>
      <c r="G795" s="27"/>
    </row>
    <row r="796" customFormat="false" ht="15" hidden="false" customHeight="false" outlineLevel="0" collapsed="false">
      <c r="A796" s="29"/>
      <c r="B796" s="40" t="n">
        <f aca="false">IF($A796="",0,INT(($A796-Macrociclo!$C$11)/7)+1)</f>
        <v>0</v>
      </c>
      <c r="C796" s="27"/>
      <c r="D796" s="27"/>
      <c r="E796" s="28"/>
      <c r="F796" s="28"/>
      <c r="G796" s="27"/>
    </row>
    <row r="797" customFormat="false" ht="15" hidden="false" customHeight="false" outlineLevel="0" collapsed="false">
      <c r="A797" s="29"/>
      <c r="B797" s="40" t="n">
        <f aca="false">IF($A797="",0,INT(($A797-Macrociclo!$C$11)/7)+1)</f>
        <v>0</v>
      </c>
      <c r="C797" s="27"/>
      <c r="D797" s="27"/>
      <c r="E797" s="28"/>
      <c r="F797" s="28"/>
      <c r="G797" s="27"/>
    </row>
    <row r="798" customFormat="false" ht="15" hidden="false" customHeight="false" outlineLevel="0" collapsed="false">
      <c r="A798" s="29"/>
      <c r="B798" s="40" t="n">
        <f aca="false">IF($A798="",0,INT(($A798-Macrociclo!$C$11)/7)+1)</f>
        <v>0</v>
      </c>
      <c r="C798" s="27"/>
      <c r="D798" s="27"/>
      <c r="E798" s="28"/>
      <c r="F798" s="28"/>
      <c r="G798" s="27"/>
    </row>
    <row r="799" customFormat="false" ht="15" hidden="false" customHeight="false" outlineLevel="0" collapsed="false">
      <c r="A799" s="29"/>
      <c r="B799" s="40" t="n">
        <f aca="false">IF($A799="",0,INT(($A799-Macrociclo!$C$11)/7)+1)</f>
        <v>0</v>
      </c>
      <c r="C799" s="27"/>
      <c r="D799" s="27"/>
      <c r="E799" s="28"/>
      <c r="F799" s="28"/>
      <c r="G799" s="27"/>
    </row>
    <row r="800" customFormat="false" ht="15" hidden="false" customHeight="false" outlineLevel="0" collapsed="false">
      <c r="A800" s="29"/>
      <c r="B800" s="40" t="n">
        <f aca="false">IF($A800="",0,INT(($A800-Macrociclo!$C$11)/7)+1)</f>
        <v>0</v>
      </c>
      <c r="C800" s="27"/>
      <c r="D800" s="27"/>
      <c r="E800" s="28"/>
      <c r="F800" s="28"/>
      <c r="G800" s="27"/>
    </row>
    <row r="801" customFormat="false" ht="15" hidden="false" customHeight="false" outlineLevel="0" collapsed="false">
      <c r="A801" s="29"/>
      <c r="B801" s="40" t="n">
        <f aca="false">IF($A801="",0,INT(($A801-Macrociclo!$C$11)/7)+1)</f>
        <v>0</v>
      </c>
      <c r="C801" s="27"/>
      <c r="D801" s="27"/>
      <c r="E801" s="28"/>
      <c r="F801" s="28"/>
      <c r="G801" s="27"/>
    </row>
    <row r="802" customFormat="false" ht="15" hidden="false" customHeight="false" outlineLevel="0" collapsed="false">
      <c r="A802" s="29"/>
      <c r="B802" s="40" t="n">
        <f aca="false">IF($A802="",0,INT(($A802-Macrociclo!$C$11)/7)+1)</f>
        <v>0</v>
      </c>
      <c r="C802" s="27"/>
      <c r="D802" s="27"/>
      <c r="E802" s="28"/>
      <c r="F802" s="28"/>
      <c r="G802" s="27"/>
    </row>
    <row r="803" customFormat="false" ht="15" hidden="false" customHeight="false" outlineLevel="0" collapsed="false">
      <c r="A803" s="29"/>
      <c r="B803" s="40" t="n">
        <f aca="false">IF($A803="",0,INT(($A803-Macrociclo!$C$11)/7)+1)</f>
        <v>0</v>
      </c>
      <c r="C803" s="27"/>
      <c r="D803" s="27"/>
      <c r="E803" s="28"/>
      <c r="F803" s="28"/>
      <c r="G803" s="27"/>
    </row>
    <row r="804" customFormat="false" ht="15" hidden="false" customHeight="false" outlineLevel="0" collapsed="false">
      <c r="A804" s="29"/>
      <c r="B804" s="40" t="n">
        <f aca="false">IF($A804="",0,INT(($A804-Macrociclo!$C$11)/7)+1)</f>
        <v>0</v>
      </c>
      <c r="C804" s="27"/>
      <c r="D804" s="27"/>
      <c r="E804" s="28"/>
      <c r="F804" s="28"/>
      <c r="G804" s="27"/>
    </row>
    <row r="805" customFormat="false" ht="15" hidden="false" customHeight="false" outlineLevel="0" collapsed="false">
      <c r="A805" s="29"/>
      <c r="B805" s="40" t="n">
        <f aca="false">IF($A805="",0,INT(($A805-Macrociclo!$C$11)/7)+1)</f>
        <v>0</v>
      </c>
      <c r="C805" s="27"/>
      <c r="D805" s="27"/>
      <c r="E805" s="28"/>
      <c r="F805" s="28"/>
      <c r="G805" s="27"/>
    </row>
    <row r="806" customFormat="false" ht="15" hidden="false" customHeight="false" outlineLevel="0" collapsed="false">
      <c r="A806" s="29"/>
      <c r="B806" s="40" t="n">
        <f aca="false">IF($A806="",0,INT(($A806-Macrociclo!$C$11)/7)+1)</f>
        <v>0</v>
      </c>
      <c r="C806" s="27"/>
      <c r="D806" s="27"/>
      <c r="E806" s="28"/>
      <c r="F806" s="28"/>
      <c r="G806" s="27"/>
    </row>
    <row r="807" customFormat="false" ht="15" hidden="false" customHeight="false" outlineLevel="0" collapsed="false">
      <c r="A807" s="29"/>
      <c r="B807" s="40" t="n">
        <f aca="false">IF($A807="",0,INT(($A807-Macrociclo!$C$11)/7)+1)</f>
        <v>0</v>
      </c>
      <c r="C807" s="27"/>
      <c r="D807" s="27"/>
      <c r="E807" s="28"/>
      <c r="F807" s="28"/>
      <c r="G807" s="27"/>
    </row>
    <row r="808" customFormat="false" ht="15" hidden="false" customHeight="false" outlineLevel="0" collapsed="false">
      <c r="A808" s="29"/>
      <c r="B808" s="40" t="n">
        <f aca="false">IF($A808="",0,INT(($A808-Macrociclo!$C$11)/7)+1)</f>
        <v>0</v>
      </c>
      <c r="C808" s="27"/>
      <c r="D808" s="27"/>
      <c r="E808" s="28"/>
      <c r="F808" s="28"/>
      <c r="G808" s="27"/>
    </row>
    <row r="809" customFormat="false" ht="15" hidden="false" customHeight="false" outlineLevel="0" collapsed="false">
      <c r="A809" s="29"/>
      <c r="B809" s="40" t="n">
        <f aca="false">IF($A809="",0,INT(($A809-Macrociclo!$C$11)/7)+1)</f>
        <v>0</v>
      </c>
      <c r="C809" s="27"/>
      <c r="D809" s="27"/>
      <c r="E809" s="28"/>
      <c r="F809" s="28"/>
      <c r="G809" s="27"/>
    </row>
    <row r="810" customFormat="false" ht="15" hidden="false" customHeight="false" outlineLevel="0" collapsed="false">
      <c r="A810" s="29"/>
      <c r="B810" s="40" t="n">
        <f aca="false">IF($A810="",0,INT(($A810-Macrociclo!$C$11)/7)+1)</f>
        <v>0</v>
      </c>
      <c r="C810" s="27"/>
      <c r="D810" s="27"/>
      <c r="E810" s="28"/>
      <c r="F810" s="28"/>
      <c r="G810" s="27"/>
    </row>
    <row r="811" customFormat="false" ht="15" hidden="false" customHeight="false" outlineLevel="0" collapsed="false">
      <c r="A811" s="29"/>
      <c r="B811" s="40" t="n">
        <f aca="false">IF($A811="",0,INT(($A811-Macrociclo!$C$11)/7)+1)</f>
        <v>0</v>
      </c>
      <c r="C811" s="27"/>
      <c r="D811" s="27"/>
      <c r="E811" s="28"/>
      <c r="F811" s="28"/>
      <c r="G811" s="27"/>
    </row>
    <row r="812" customFormat="false" ht="15" hidden="false" customHeight="false" outlineLevel="0" collapsed="false">
      <c r="A812" s="29"/>
      <c r="B812" s="40" t="n">
        <f aca="false">IF($A812="",0,INT(($A812-Macrociclo!$C$11)/7)+1)</f>
        <v>0</v>
      </c>
      <c r="C812" s="27"/>
      <c r="D812" s="27"/>
      <c r="E812" s="28"/>
      <c r="F812" s="28"/>
      <c r="G812" s="27"/>
    </row>
    <row r="813" customFormat="false" ht="15" hidden="false" customHeight="false" outlineLevel="0" collapsed="false">
      <c r="A813" s="29"/>
      <c r="B813" s="40" t="n">
        <f aca="false">IF($A813="",0,INT(($A813-Macrociclo!$C$11)/7)+1)</f>
        <v>0</v>
      </c>
      <c r="C813" s="27"/>
      <c r="D813" s="27"/>
      <c r="E813" s="28"/>
      <c r="F813" s="28"/>
      <c r="G813" s="27"/>
    </row>
    <row r="814" customFormat="false" ht="15" hidden="false" customHeight="false" outlineLevel="0" collapsed="false">
      <c r="A814" s="29"/>
      <c r="B814" s="40" t="n">
        <f aca="false">IF($A814="",0,INT(($A814-Macrociclo!$C$11)/7)+1)</f>
        <v>0</v>
      </c>
      <c r="C814" s="27"/>
      <c r="D814" s="27"/>
      <c r="E814" s="28"/>
      <c r="F814" s="28"/>
      <c r="G814" s="27"/>
    </row>
    <row r="815" customFormat="false" ht="15" hidden="false" customHeight="false" outlineLevel="0" collapsed="false">
      <c r="A815" s="29"/>
      <c r="B815" s="40" t="n">
        <f aca="false">IF($A815="",0,INT(($A815-Macrociclo!$C$11)/7)+1)</f>
        <v>0</v>
      </c>
      <c r="C815" s="27"/>
      <c r="D815" s="27"/>
      <c r="E815" s="28"/>
      <c r="F815" s="28"/>
      <c r="G815" s="27"/>
    </row>
    <row r="816" customFormat="false" ht="15" hidden="false" customHeight="false" outlineLevel="0" collapsed="false">
      <c r="A816" s="29"/>
      <c r="B816" s="40" t="n">
        <f aca="false">IF($A816="",0,INT(($A816-Macrociclo!$C$11)/7)+1)</f>
        <v>0</v>
      </c>
      <c r="C816" s="27"/>
      <c r="D816" s="27"/>
      <c r="E816" s="28"/>
      <c r="F816" s="28"/>
      <c r="G816" s="27"/>
    </row>
    <row r="817" customFormat="false" ht="15" hidden="false" customHeight="false" outlineLevel="0" collapsed="false">
      <c r="A817" s="29"/>
      <c r="B817" s="40" t="n">
        <f aca="false">IF($A817="",0,INT(($A817-Macrociclo!$C$11)/7)+1)</f>
        <v>0</v>
      </c>
      <c r="C817" s="27"/>
      <c r="D817" s="27"/>
      <c r="E817" s="28"/>
      <c r="F817" s="28"/>
      <c r="G817" s="27"/>
    </row>
    <row r="818" customFormat="false" ht="15" hidden="false" customHeight="false" outlineLevel="0" collapsed="false">
      <c r="A818" s="29"/>
      <c r="B818" s="40" t="n">
        <f aca="false">IF($A818="",0,INT(($A818-Macrociclo!$C$11)/7)+1)</f>
        <v>0</v>
      </c>
      <c r="C818" s="27"/>
      <c r="D818" s="27"/>
      <c r="E818" s="28"/>
      <c r="F818" s="28"/>
      <c r="G818" s="27"/>
    </row>
    <row r="819" customFormat="false" ht="15" hidden="false" customHeight="false" outlineLevel="0" collapsed="false">
      <c r="A819" s="29"/>
      <c r="B819" s="40" t="n">
        <f aca="false">IF($A819="",0,INT(($A819-Macrociclo!$C$11)/7)+1)</f>
        <v>0</v>
      </c>
      <c r="C819" s="27"/>
      <c r="D819" s="27"/>
      <c r="E819" s="28"/>
      <c r="F819" s="28"/>
      <c r="G819" s="27"/>
    </row>
    <row r="820" customFormat="false" ht="15" hidden="false" customHeight="false" outlineLevel="0" collapsed="false">
      <c r="A820" s="29"/>
      <c r="B820" s="40" t="n">
        <f aca="false">IF($A820="",0,INT(($A820-Macrociclo!$C$11)/7)+1)</f>
        <v>0</v>
      </c>
      <c r="C820" s="27"/>
      <c r="D820" s="27"/>
      <c r="E820" s="28"/>
      <c r="F820" s="28"/>
      <c r="G820" s="27"/>
    </row>
    <row r="821" customFormat="false" ht="15" hidden="false" customHeight="false" outlineLevel="0" collapsed="false">
      <c r="A821" s="29"/>
      <c r="B821" s="40" t="n">
        <f aca="false">IF($A821="",0,INT(($A821-Macrociclo!$C$11)/7)+1)</f>
        <v>0</v>
      </c>
      <c r="C821" s="27"/>
      <c r="D821" s="27"/>
      <c r="E821" s="28"/>
      <c r="F821" s="28"/>
      <c r="G821" s="27"/>
    </row>
    <row r="822" customFormat="false" ht="15" hidden="false" customHeight="false" outlineLevel="0" collapsed="false">
      <c r="A822" s="29"/>
      <c r="B822" s="40" t="n">
        <f aca="false">IF($A822="",0,INT(($A822-Macrociclo!$C$11)/7)+1)</f>
        <v>0</v>
      </c>
      <c r="C822" s="27"/>
      <c r="D822" s="27"/>
      <c r="E822" s="28"/>
      <c r="F822" s="28"/>
      <c r="G822" s="27"/>
    </row>
    <row r="823" customFormat="false" ht="15" hidden="false" customHeight="false" outlineLevel="0" collapsed="false">
      <c r="A823" s="29"/>
      <c r="B823" s="40" t="n">
        <f aca="false">IF($A823="",0,INT(($A823-Macrociclo!$C$11)/7)+1)</f>
        <v>0</v>
      </c>
      <c r="C823" s="27"/>
      <c r="D823" s="27"/>
      <c r="E823" s="28"/>
      <c r="F823" s="28"/>
      <c r="G823" s="27"/>
    </row>
    <row r="824" customFormat="false" ht="15" hidden="false" customHeight="false" outlineLevel="0" collapsed="false">
      <c r="A824" s="29"/>
      <c r="B824" s="40" t="n">
        <f aca="false">IF($A824="",0,INT(($A824-Macrociclo!$C$11)/7)+1)</f>
        <v>0</v>
      </c>
      <c r="C824" s="27"/>
      <c r="D824" s="27"/>
      <c r="E824" s="28"/>
      <c r="F824" s="28"/>
      <c r="G824" s="27"/>
    </row>
    <row r="825" customFormat="false" ht="15" hidden="false" customHeight="false" outlineLevel="0" collapsed="false">
      <c r="A825" s="29"/>
      <c r="B825" s="40" t="n">
        <f aca="false">IF($A825="",0,INT(($A825-Macrociclo!$C$11)/7)+1)</f>
        <v>0</v>
      </c>
      <c r="C825" s="27"/>
      <c r="D825" s="27"/>
      <c r="E825" s="28"/>
      <c r="F825" s="28"/>
      <c r="G825" s="27"/>
    </row>
    <row r="826" customFormat="false" ht="15" hidden="false" customHeight="false" outlineLevel="0" collapsed="false">
      <c r="A826" s="29"/>
      <c r="B826" s="40" t="n">
        <f aca="false">IF($A826="",0,INT(($A826-Macrociclo!$C$11)/7)+1)</f>
        <v>0</v>
      </c>
      <c r="C826" s="27"/>
      <c r="D826" s="27"/>
      <c r="E826" s="28"/>
      <c r="F826" s="28"/>
      <c r="G826" s="27"/>
    </row>
    <row r="827" customFormat="false" ht="15" hidden="false" customHeight="false" outlineLevel="0" collapsed="false">
      <c r="A827" s="29"/>
      <c r="B827" s="40" t="n">
        <f aca="false">IF($A827="",0,INT(($A827-Macrociclo!$C$11)/7)+1)</f>
        <v>0</v>
      </c>
      <c r="C827" s="27"/>
      <c r="D827" s="27"/>
      <c r="E827" s="28"/>
      <c r="F827" s="28"/>
      <c r="G827" s="27"/>
    </row>
    <row r="828" customFormat="false" ht="15" hidden="false" customHeight="false" outlineLevel="0" collapsed="false">
      <c r="A828" s="29"/>
      <c r="B828" s="40" t="n">
        <f aca="false">IF($A828="",0,INT(($A828-Macrociclo!$C$11)/7)+1)</f>
        <v>0</v>
      </c>
      <c r="C828" s="27"/>
      <c r="D828" s="27"/>
      <c r="E828" s="28"/>
      <c r="F828" s="28"/>
      <c r="G828" s="27"/>
    </row>
    <row r="829" customFormat="false" ht="15" hidden="false" customHeight="false" outlineLevel="0" collapsed="false">
      <c r="A829" s="29"/>
      <c r="B829" s="40" t="n">
        <f aca="false">IF($A829="",0,INT(($A829-Macrociclo!$C$11)/7)+1)</f>
        <v>0</v>
      </c>
      <c r="C829" s="27"/>
      <c r="D829" s="27"/>
      <c r="E829" s="28"/>
      <c r="F829" s="28"/>
      <c r="G829" s="27"/>
    </row>
    <row r="830" customFormat="false" ht="15" hidden="false" customHeight="false" outlineLevel="0" collapsed="false">
      <c r="A830" s="29"/>
      <c r="B830" s="40" t="n">
        <f aca="false">IF($A830="",0,INT(($A830-Macrociclo!$C$11)/7)+1)</f>
        <v>0</v>
      </c>
      <c r="C830" s="27"/>
      <c r="D830" s="27"/>
      <c r="E830" s="28"/>
      <c r="F830" s="28"/>
      <c r="G830" s="27"/>
    </row>
    <row r="831" customFormat="false" ht="15" hidden="false" customHeight="false" outlineLevel="0" collapsed="false">
      <c r="A831" s="29"/>
      <c r="B831" s="40" t="n">
        <f aca="false">IF($A831="",0,INT(($A831-Macrociclo!$C$11)/7)+1)</f>
        <v>0</v>
      </c>
      <c r="C831" s="27"/>
      <c r="D831" s="27"/>
      <c r="E831" s="28"/>
      <c r="F831" s="28"/>
      <c r="G831" s="27"/>
    </row>
    <row r="832" customFormat="false" ht="15" hidden="false" customHeight="false" outlineLevel="0" collapsed="false">
      <c r="A832" s="29"/>
      <c r="B832" s="40" t="n">
        <f aca="false">IF($A832="",0,INT(($A832-Macrociclo!$C$11)/7)+1)</f>
        <v>0</v>
      </c>
      <c r="C832" s="27"/>
      <c r="D832" s="27"/>
      <c r="E832" s="28"/>
      <c r="F832" s="28"/>
      <c r="G832" s="27"/>
    </row>
    <row r="833" customFormat="false" ht="15" hidden="false" customHeight="false" outlineLevel="0" collapsed="false">
      <c r="A833" s="29"/>
      <c r="B833" s="40" t="n">
        <f aca="false">IF($A833="",0,INT(($A833-Macrociclo!$C$11)/7)+1)</f>
        <v>0</v>
      </c>
      <c r="C833" s="27"/>
      <c r="D833" s="27"/>
      <c r="E833" s="28"/>
      <c r="F833" s="28"/>
      <c r="G833" s="27"/>
    </row>
    <row r="834" customFormat="false" ht="15" hidden="false" customHeight="false" outlineLevel="0" collapsed="false">
      <c r="A834" s="29"/>
      <c r="B834" s="40" t="n">
        <f aca="false">IF($A834="",0,INT(($A834-Macrociclo!$C$11)/7)+1)</f>
        <v>0</v>
      </c>
      <c r="C834" s="27"/>
      <c r="D834" s="27"/>
      <c r="E834" s="28"/>
      <c r="F834" s="28"/>
      <c r="G834" s="27"/>
    </row>
    <row r="835" customFormat="false" ht="15" hidden="false" customHeight="false" outlineLevel="0" collapsed="false">
      <c r="A835" s="29"/>
      <c r="B835" s="40" t="n">
        <f aca="false">IF($A835="",0,INT(($A835-Macrociclo!$C$11)/7)+1)</f>
        <v>0</v>
      </c>
      <c r="C835" s="27"/>
      <c r="D835" s="27"/>
      <c r="E835" s="28"/>
      <c r="F835" s="28"/>
      <c r="G835" s="27"/>
    </row>
    <row r="836" customFormat="false" ht="15" hidden="false" customHeight="false" outlineLevel="0" collapsed="false">
      <c r="A836" s="29"/>
      <c r="B836" s="40" t="n">
        <f aca="false">IF($A836="",0,INT(($A836-Macrociclo!$C$11)/7)+1)</f>
        <v>0</v>
      </c>
      <c r="C836" s="27"/>
      <c r="D836" s="27"/>
      <c r="E836" s="28"/>
      <c r="F836" s="28"/>
      <c r="G836" s="27"/>
    </row>
    <row r="837" customFormat="false" ht="15" hidden="false" customHeight="false" outlineLevel="0" collapsed="false">
      <c r="A837" s="29"/>
      <c r="B837" s="40" t="n">
        <f aca="false">IF($A837="",0,INT(($A837-Macrociclo!$C$11)/7)+1)</f>
        <v>0</v>
      </c>
      <c r="C837" s="27"/>
      <c r="D837" s="27"/>
      <c r="E837" s="28"/>
      <c r="F837" s="28"/>
      <c r="G837" s="27"/>
    </row>
    <row r="838" customFormat="false" ht="15" hidden="false" customHeight="false" outlineLevel="0" collapsed="false">
      <c r="A838" s="29"/>
      <c r="B838" s="40" t="n">
        <f aca="false">IF($A838="",0,INT(($A838-Macrociclo!$C$11)/7)+1)</f>
        <v>0</v>
      </c>
      <c r="C838" s="27"/>
      <c r="D838" s="27"/>
      <c r="E838" s="28"/>
      <c r="F838" s="28"/>
      <c r="G838" s="27"/>
    </row>
    <row r="839" customFormat="false" ht="15" hidden="false" customHeight="false" outlineLevel="0" collapsed="false">
      <c r="A839" s="29"/>
      <c r="B839" s="40" t="n">
        <f aca="false">IF($A839="",0,INT(($A839-Macrociclo!$C$11)/7)+1)</f>
        <v>0</v>
      </c>
      <c r="C839" s="27"/>
      <c r="D839" s="27"/>
      <c r="E839" s="28"/>
      <c r="F839" s="28"/>
      <c r="G839" s="27"/>
    </row>
    <row r="840" customFormat="false" ht="15" hidden="false" customHeight="false" outlineLevel="0" collapsed="false">
      <c r="A840" s="29"/>
      <c r="B840" s="40" t="n">
        <f aca="false">IF($A840="",0,INT(($A840-Macrociclo!$C$11)/7)+1)</f>
        <v>0</v>
      </c>
      <c r="C840" s="27"/>
      <c r="D840" s="27"/>
      <c r="E840" s="28"/>
      <c r="F840" s="28"/>
      <c r="G840" s="27"/>
    </row>
    <row r="841" customFormat="false" ht="15" hidden="false" customHeight="false" outlineLevel="0" collapsed="false">
      <c r="A841" s="29"/>
      <c r="B841" s="40" t="n">
        <f aca="false">IF($A841="",0,INT(($A841-Macrociclo!$C$11)/7)+1)</f>
        <v>0</v>
      </c>
      <c r="C841" s="27"/>
      <c r="D841" s="27"/>
      <c r="E841" s="28"/>
      <c r="F841" s="28"/>
      <c r="G841" s="27"/>
    </row>
    <row r="842" customFormat="false" ht="15" hidden="false" customHeight="false" outlineLevel="0" collapsed="false">
      <c r="A842" s="29"/>
      <c r="B842" s="40" t="n">
        <f aca="false">IF($A842="",0,INT(($A842-Macrociclo!$C$11)/7)+1)</f>
        <v>0</v>
      </c>
      <c r="C842" s="27"/>
      <c r="D842" s="27"/>
      <c r="E842" s="28"/>
      <c r="F842" s="28"/>
      <c r="G842" s="27"/>
    </row>
    <row r="843" customFormat="false" ht="15" hidden="false" customHeight="false" outlineLevel="0" collapsed="false">
      <c r="A843" s="29"/>
      <c r="B843" s="40" t="n">
        <f aca="false">IF($A843="",0,INT(($A843-Macrociclo!$C$11)/7)+1)</f>
        <v>0</v>
      </c>
      <c r="C843" s="27"/>
      <c r="D843" s="27"/>
      <c r="E843" s="28"/>
      <c r="F843" s="28"/>
      <c r="G843" s="27"/>
    </row>
    <row r="844" customFormat="false" ht="15" hidden="false" customHeight="false" outlineLevel="0" collapsed="false">
      <c r="A844" s="29"/>
      <c r="B844" s="40" t="n">
        <f aca="false">IF($A844="",0,INT(($A844-Macrociclo!$C$11)/7)+1)</f>
        <v>0</v>
      </c>
      <c r="C844" s="27"/>
      <c r="D844" s="27"/>
      <c r="E844" s="28"/>
      <c r="F844" s="28"/>
      <c r="G844" s="27"/>
    </row>
    <row r="845" customFormat="false" ht="15" hidden="false" customHeight="false" outlineLevel="0" collapsed="false">
      <c r="A845" s="29"/>
      <c r="B845" s="40" t="n">
        <f aca="false">IF($A845="",0,INT(($A845-Macrociclo!$C$11)/7)+1)</f>
        <v>0</v>
      </c>
      <c r="C845" s="27"/>
      <c r="D845" s="27"/>
      <c r="E845" s="28"/>
      <c r="F845" s="28"/>
      <c r="G845" s="27"/>
    </row>
    <row r="846" customFormat="false" ht="15" hidden="false" customHeight="false" outlineLevel="0" collapsed="false">
      <c r="A846" s="29"/>
      <c r="B846" s="40" t="n">
        <f aca="false">IF($A846="",0,INT(($A846-Macrociclo!$C$11)/7)+1)</f>
        <v>0</v>
      </c>
      <c r="C846" s="27"/>
      <c r="D846" s="27"/>
      <c r="E846" s="28"/>
      <c r="F846" s="28"/>
      <c r="G846" s="27"/>
    </row>
    <row r="847" customFormat="false" ht="15" hidden="false" customHeight="false" outlineLevel="0" collapsed="false">
      <c r="A847" s="29"/>
      <c r="B847" s="40" t="n">
        <f aca="false">IF($A847="",0,INT(($A847-Macrociclo!$C$11)/7)+1)</f>
        <v>0</v>
      </c>
      <c r="C847" s="27"/>
      <c r="D847" s="27"/>
      <c r="E847" s="28"/>
      <c r="F847" s="28"/>
      <c r="G847" s="27"/>
    </row>
    <row r="848" customFormat="false" ht="15" hidden="false" customHeight="false" outlineLevel="0" collapsed="false">
      <c r="A848" s="29"/>
      <c r="B848" s="40" t="n">
        <f aca="false">IF($A848="",0,INT(($A848-Macrociclo!$C$11)/7)+1)</f>
        <v>0</v>
      </c>
      <c r="C848" s="27"/>
      <c r="D848" s="27"/>
      <c r="E848" s="28"/>
      <c r="F848" s="28"/>
      <c r="G848" s="27"/>
    </row>
    <row r="849" customFormat="false" ht="15" hidden="false" customHeight="false" outlineLevel="0" collapsed="false">
      <c r="A849" s="29"/>
      <c r="B849" s="40" t="n">
        <f aca="false">IF($A849="",0,INT(($A849-Macrociclo!$C$11)/7)+1)</f>
        <v>0</v>
      </c>
      <c r="C849" s="27"/>
      <c r="D849" s="27"/>
      <c r="E849" s="28"/>
      <c r="F849" s="28"/>
      <c r="G849" s="27"/>
    </row>
    <row r="850" customFormat="false" ht="15" hidden="false" customHeight="false" outlineLevel="0" collapsed="false">
      <c r="A850" s="29"/>
      <c r="B850" s="40" t="n">
        <f aca="false">IF($A850="",0,INT(($A850-Macrociclo!$C$11)/7)+1)</f>
        <v>0</v>
      </c>
      <c r="C850" s="27"/>
      <c r="D850" s="27"/>
      <c r="E850" s="28"/>
      <c r="F850" s="28"/>
      <c r="G850" s="27"/>
    </row>
    <row r="851" customFormat="false" ht="15" hidden="false" customHeight="false" outlineLevel="0" collapsed="false">
      <c r="A851" s="29"/>
      <c r="B851" s="40" t="n">
        <f aca="false">IF($A851="",0,INT(($A851-Macrociclo!$C$11)/7)+1)</f>
        <v>0</v>
      </c>
      <c r="C851" s="27"/>
      <c r="D851" s="27"/>
      <c r="E851" s="28"/>
      <c r="F851" s="28"/>
      <c r="G851" s="27"/>
    </row>
    <row r="852" customFormat="false" ht="15" hidden="false" customHeight="false" outlineLevel="0" collapsed="false">
      <c r="A852" s="29"/>
      <c r="B852" s="40" t="n">
        <f aca="false">IF($A852="",0,INT(($A852-Macrociclo!$C$11)/7)+1)</f>
        <v>0</v>
      </c>
      <c r="C852" s="27"/>
      <c r="D852" s="27"/>
      <c r="E852" s="28"/>
      <c r="F852" s="28"/>
      <c r="G852" s="27"/>
    </row>
    <row r="853" customFormat="false" ht="15" hidden="false" customHeight="false" outlineLevel="0" collapsed="false">
      <c r="A853" s="29"/>
      <c r="B853" s="40" t="n">
        <f aca="false">IF($A853="",0,INT(($A853-Macrociclo!$C$11)/7)+1)</f>
        <v>0</v>
      </c>
      <c r="C853" s="27"/>
      <c r="D853" s="27"/>
      <c r="E853" s="28"/>
      <c r="F853" s="28"/>
      <c r="G853" s="27"/>
    </row>
    <row r="854" customFormat="false" ht="15" hidden="false" customHeight="false" outlineLevel="0" collapsed="false">
      <c r="A854" s="29"/>
      <c r="B854" s="40" t="n">
        <f aca="false">IF($A854="",0,INT(($A854-Macrociclo!$C$11)/7)+1)</f>
        <v>0</v>
      </c>
      <c r="C854" s="27"/>
      <c r="D854" s="27"/>
      <c r="E854" s="28"/>
      <c r="F854" s="28"/>
      <c r="G854" s="27"/>
    </row>
    <row r="855" customFormat="false" ht="15" hidden="false" customHeight="false" outlineLevel="0" collapsed="false">
      <c r="A855" s="29"/>
      <c r="B855" s="40" t="n">
        <f aca="false">IF($A855="",0,INT(($A855-Macrociclo!$C$11)/7)+1)</f>
        <v>0</v>
      </c>
      <c r="C855" s="27"/>
      <c r="D855" s="27"/>
      <c r="E855" s="28"/>
      <c r="F855" s="28"/>
      <c r="G855" s="27"/>
    </row>
    <row r="856" customFormat="false" ht="15" hidden="false" customHeight="false" outlineLevel="0" collapsed="false">
      <c r="A856" s="29"/>
      <c r="B856" s="40" t="n">
        <f aca="false">IF($A856="",0,INT(($A856-Macrociclo!$C$11)/7)+1)</f>
        <v>0</v>
      </c>
      <c r="C856" s="27"/>
      <c r="D856" s="27"/>
      <c r="E856" s="28"/>
      <c r="F856" s="28"/>
      <c r="G856" s="27"/>
    </row>
    <row r="857" customFormat="false" ht="15" hidden="false" customHeight="false" outlineLevel="0" collapsed="false">
      <c r="A857" s="29"/>
      <c r="B857" s="40" t="n">
        <f aca="false">IF($A857="",0,INT(($A857-Macrociclo!$C$11)/7)+1)</f>
        <v>0</v>
      </c>
      <c r="C857" s="27"/>
      <c r="D857" s="27"/>
      <c r="E857" s="28"/>
      <c r="F857" s="28"/>
      <c r="G857" s="27"/>
    </row>
    <row r="858" customFormat="false" ht="15" hidden="false" customHeight="false" outlineLevel="0" collapsed="false">
      <c r="A858" s="29"/>
      <c r="B858" s="40" t="n">
        <f aca="false">IF($A858="",0,INT(($A858-Macrociclo!$C$11)/7)+1)</f>
        <v>0</v>
      </c>
      <c r="C858" s="27"/>
      <c r="D858" s="27"/>
      <c r="E858" s="28"/>
      <c r="F858" s="28"/>
      <c r="G858" s="27"/>
    </row>
    <row r="859" customFormat="false" ht="15" hidden="false" customHeight="false" outlineLevel="0" collapsed="false">
      <c r="A859" s="29"/>
      <c r="B859" s="40" t="n">
        <f aca="false">IF($A859="",0,INT(($A859-Macrociclo!$C$11)/7)+1)</f>
        <v>0</v>
      </c>
      <c r="C859" s="27"/>
      <c r="D859" s="27"/>
      <c r="E859" s="28"/>
      <c r="F859" s="28"/>
      <c r="G859" s="27"/>
    </row>
    <row r="860" customFormat="false" ht="15" hidden="false" customHeight="false" outlineLevel="0" collapsed="false">
      <c r="A860" s="29"/>
      <c r="B860" s="40" t="n">
        <f aca="false">IF($A860="",0,INT(($A860-Macrociclo!$C$11)/7)+1)</f>
        <v>0</v>
      </c>
      <c r="C860" s="27"/>
      <c r="D860" s="27"/>
      <c r="E860" s="28"/>
      <c r="F860" s="28"/>
      <c r="G860" s="27"/>
    </row>
    <row r="861" customFormat="false" ht="15" hidden="false" customHeight="false" outlineLevel="0" collapsed="false">
      <c r="A861" s="29"/>
      <c r="B861" s="40" t="n">
        <f aca="false">IF($A861="",0,INT(($A861-Macrociclo!$C$11)/7)+1)</f>
        <v>0</v>
      </c>
      <c r="C861" s="27"/>
      <c r="D861" s="27"/>
      <c r="E861" s="28"/>
      <c r="F861" s="28"/>
      <c r="G861" s="27"/>
    </row>
    <row r="862" customFormat="false" ht="15" hidden="false" customHeight="false" outlineLevel="0" collapsed="false">
      <c r="A862" s="29"/>
      <c r="B862" s="40" t="n">
        <f aca="false">IF($A862="",0,INT(($A862-Macrociclo!$C$11)/7)+1)</f>
        <v>0</v>
      </c>
      <c r="C862" s="27"/>
      <c r="D862" s="27"/>
      <c r="E862" s="28"/>
      <c r="F862" s="28"/>
      <c r="G862" s="27"/>
    </row>
    <row r="863" customFormat="false" ht="15" hidden="false" customHeight="false" outlineLevel="0" collapsed="false">
      <c r="A863" s="29"/>
      <c r="B863" s="40" t="n">
        <f aca="false">IF($A863="",0,INT(($A863-Macrociclo!$C$11)/7)+1)</f>
        <v>0</v>
      </c>
      <c r="C863" s="27"/>
      <c r="D863" s="27"/>
      <c r="E863" s="28"/>
      <c r="F863" s="28"/>
      <c r="G863" s="27"/>
    </row>
    <row r="864" customFormat="false" ht="15" hidden="false" customHeight="false" outlineLevel="0" collapsed="false">
      <c r="A864" s="29"/>
      <c r="B864" s="40" t="n">
        <f aca="false">IF($A864="",0,INT(($A864-Macrociclo!$C$11)/7)+1)</f>
        <v>0</v>
      </c>
      <c r="C864" s="27"/>
      <c r="D864" s="27"/>
      <c r="E864" s="28"/>
      <c r="F864" s="28"/>
      <c r="G864" s="27"/>
    </row>
    <row r="865" customFormat="false" ht="15" hidden="false" customHeight="false" outlineLevel="0" collapsed="false">
      <c r="A865" s="29"/>
      <c r="B865" s="40" t="n">
        <f aca="false">IF($A865="",0,INT(($A865-Macrociclo!$C$11)/7)+1)</f>
        <v>0</v>
      </c>
      <c r="C865" s="27"/>
      <c r="D865" s="27"/>
      <c r="E865" s="28"/>
      <c r="F865" s="28"/>
      <c r="G865" s="27"/>
    </row>
    <row r="866" customFormat="false" ht="15" hidden="false" customHeight="false" outlineLevel="0" collapsed="false">
      <c r="A866" s="29"/>
      <c r="B866" s="40" t="n">
        <f aca="false">IF($A866="",0,INT(($A866-Macrociclo!$C$11)/7)+1)</f>
        <v>0</v>
      </c>
      <c r="C866" s="27"/>
      <c r="D866" s="27"/>
      <c r="E866" s="28"/>
      <c r="F866" s="28"/>
      <c r="G866" s="27"/>
    </row>
    <row r="867" customFormat="false" ht="15" hidden="false" customHeight="false" outlineLevel="0" collapsed="false">
      <c r="A867" s="29"/>
      <c r="B867" s="40" t="n">
        <f aca="false">IF($A867="",0,INT(($A867-Macrociclo!$C$11)/7)+1)</f>
        <v>0</v>
      </c>
      <c r="C867" s="27"/>
      <c r="D867" s="27"/>
      <c r="E867" s="28"/>
      <c r="F867" s="28"/>
      <c r="G867" s="27"/>
    </row>
    <row r="868" customFormat="false" ht="15" hidden="false" customHeight="false" outlineLevel="0" collapsed="false">
      <c r="A868" s="29"/>
      <c r="B868" s="40" t="n">
        <f aca="false">IF($A868="",0,INT(($A868-Macrociclo!$C$11)/7)+1)</f>
        <v>0</v>
      </c>
      <c r="C868" s="27"/>
      <c r="D868" s="27"/>
      <c r="E868" s="28"/>
      <c r="F868" s="28"/>
      <c r="G868" s="27"/>
    </row>
    <row r="869" customFormat="false" ht="15" hidden="false" customHeight="false" outlineLevel="0" collapsed="false">
      <c r="A869" s="29"/>
      <c r="B869" s="40" t="n">
        <f aca="false">IF($A869="",0,INT(($A869-Macrociclo!$C$11)/7)+1)</f>
        <v>0</v>
      </c>
      <c r="C869" s="27"/>
      <c r="D869" s="27"/>
      <c r="E869" s="28"/>
      <c r="F869" s="28"/>
      <c r="G869" s="27"/>
    </row>
    <row r="870" customFormat="false" ht="15" hidden="false" customHeight="false" outlineLevel="0" collapsed="false">
      <c r="A870" s="29"/>
      <c r="B870" s="40" t="n">
        <f aca="false">IF($A870="",0,INT(($A870-Macrociclo!$C$11)/7)+1)</f>
        <v>0</v>
      </c>
      <c r="C870" s="27"/>
      <c r="D870" s="27"/>
      <c r="E870" s="28"/>
      <c r="F870" s="28"/>
      <c r="G870" s="27"/>
    </row>
    <row r="871" customFormat="false" ht="15" hidden="false" customHeight="false" outlineLevel="0" collapsed="false">
      <c r="A871" s="29"/>
      <c r="B871" s="40" t="n">
        <f aca="false">IF($A871="",0,INT(($A871-Macrociclo!$C$11)/7)+1)</f>
        <v>0</v>
      </c>
      <c r="C871" s="27"/>
      <c r="D871" s="27"/>
      <c r="E871" s="28"/>
      <c r="F871" s="28"/>
      <c r="G871" s="27"/>
    </row>
    <row r="872" customFormat="false" ht="15" hidden="false" customHeight="false" outlineLevel="0" collapsed="false">
      <c r="A872" s="29"/>
      <c r="B872" s="40" t="n">
        <f aca="false">IF($A872="",0,INT(($A872-Macrociclo!$C$11)/7)+1)</f>
        <v>0</v>
      </c>
      <c r="C872" s="27"/>
      <c r="D872" s="27"/>
      <c r="E872" s="28"/>
      <c r="F872" s="28"/>
      <c r="G872" s="27"/>
    </row>
    <row r="873" customFormat="false" ht="15" hidden="false" customHeight="false" outlineLevel="0" collapsed="false">
      <c r="A873" s="29"/>
      <c r="B873" s="40" t="n">
        <f aca="false">IF($A873="",0,INT(($A873-Macrociclo!$C$11)/7)+1)</f>
        <v>0</v>
      </c>
      <c r="C873" s="27"/>
      <c r="D873" s="27"/>
      <c r="E873" s="28"/>
      <c r="F873" s="28"/>
      <c r="G873" s="27"/>
    </row>
    <row r="874" customFormat="false" ht="15" hidden="false" customHeight="false" outlineLevel="0" collapsed="false">
      <c r="A874" s="29"/>
      <c r="B874" s="40" t="n">
        <f aca="false">IF($A874="",0,INT(($A874-Macrociclo!$C$11)/7)+1)</f>
        <v>0</v>
      </c>
      <c r="C874" s="27"/>
      <c r="D874" s="27"/>
      <c r="E874" s="28"/>
      <c r="F874" s="28"/>
      <c r="G874" s="27"/>
    </row>
    <row r="875" customFormat="false" ht="15" hidden="false" customHeight="false" outlineLevel="0" collapsed="false">
      <c r="A875" s="29"/>
      <c r="B875" s="40" t="n">
        <f aca="false">IF($A875="",0,INT(($A875-Macrociclo!$C$11)/7)+1)</f>
        <v>0</v>
      </c>
      <c r="C875" s="27"/>
      <c r="D875" s="27"/>
      <c r="E875" s="28"/>
      <c r="F875" s="28"/>
      <c r="G875" s="27"/>
    </row>
    <row r="876" customFormat="false" ht="15" hidden="false" customHeight="false" outlineLevel="0" collapsed="false">
      <c r="A876" s="29"/>
      <c r="B876" s="40" t="n">
        <f aca="false">IF($A876="",0,INT(($A876-Macrociclo!$C$11)/7)+1)</f>
        <v>0</v>
      </c>
      <c r="C876" s="27"/>
      <c r="D876" s="27"/>
      <c r="E876" s="28"/>
      <c r="F876" s="28"/>
      <c r="G876" s="27"/>
    </row>
    <row r="877" customFormat="false" ht="15" hidden="false" customHeight="false" outlineLevel="0" collapsed="false">
      <c r="A877" s="29"/>
      <c r="B877" s="40" t="n">
        <f aca="false">IF($A877="",0,INT(($A877-Macrociclo!$C$11)/7)+1)</f>
        <v>0</v>
      </c>
      <c r="C877" s="27"/>
      <c r="D877" s="27"/>
      <c r="E877" s="28"/>
      <c r="F877" s="28"/>
      <c r="G877" s="27"/>
    </row>
    <row r="878" customFormat="false" ht="15" hidden="false" customHeight="false" outlineLevel="0" collapsed="false">
      <c r="A878" s="29"/>
      <c r="B878" s="40" t="n">
        <f aca="false">IF($A878="",0,INT(($A878-Macrociclo!$C$11)/7)+1)</f>
        <v>0</v>
      </c>
      <c r="C878" s="27"/>
      <c r="D878" s="27"/>
      <c r="E878" s="28"/>
      <c r="F878" s="28"/>
      <c r="G878" s="27"/>
    </row>
    <row r="879" customFormat="false" ht="15" hidden="false" customHeight="false" outlineLevel="0" collapsed="false">
      <c r="A879" s="29"/>
      <c r="B879" s="40" t="n">
        <f aca="false">IF($A879="",0,INT(($A879-Macrociclo!$C$11)/7)+1)</f>
        <v>0</v>
      </c>
      <c r="C879" s="27"/>
      <c r="D879" s="27"/>
      <c r="E879" s="28"/>
      <c r="F879" s="28"/>
      <c r="G879" s="27"/>
    </row>
    <row r="880" customFormat="false" ht="15" hidden="false" customHeight="false" outlineLevel="0" collapsed="false">
      <c r="A880" s="29"/>
      <c r="B880" s="40" t="n">
        <f aca="false">IF($A880="",0,INT(($A880-Macrociclo!$C$11)/7)+1)</f>
        <v>0</v>
      </c>
      <c r="C880" s="27"/>
      <c r="D880" s="27"/>
      <c r="E880" s="28"/>
      <c r="F880" s="28"/>
      <c r="G880" s="27"/>
    </row>
    <row r="881" customFormat="false" ht="15" hidden="false" customHeight="false" outlineLevel="0" collapsed="false">
      <c r="A881" s="29"/>
      <c r="B881" s="40" t="n">
        <f aca="false">IF($A881="",0,INT(($A881-Macrociclo!$C$11)/7)+1)</f>
        <v>0</v>
      </c>
      <c r="C881" s="27"/>
      <c r="D881" s="27"/>
      <c r="E881" s="28"/>
      <c r="F881" s="28"/>
      <c r="G881" s="27"/>
    </row>
    <row r="882" customFormat="false" ht="15" hidden="false" customHeight="false" outlineLevel="0" collapsed="false">
      <c r="A882" s="29"/>
      <c r="B882" s="40" t="n">
        <f aca="false">IF($A882="",0,INT(($A882-Macrociclo!$C$11)/7)+1)</f>
        <v>0</v>
      </c>
      <c r="C882" s="27"/>
      <c r="D882" s="27"/>
      <c r="E882" s="28"/>
      <c r="F882" s="28"/>
      <c r="G882" s="27"/>
    </row>
    <row r="883" customFormat="false" ht="15" hidden="false" customHeight="false" outlineLevel="0" collapsed="false">
      <c r="A883" s="29"/>
      <c r="B883" s="40" t="n">
        <f aca="false">IF($A883="",0,INT(($A883-Macrociclo!$C$11)/7)+1)</f>
        <v>0</v>
      </c>
      <c r="C883" s="27"/>
      <c r="D883" s="27"/>
      <c r="E883" s="28"/>
      <c r="F883" s="28"/>
      <c r="G883" s="27"/>
    </row>
    <row r="884" customFormat="false" ht="15" hidden="false" customHeight="false" outlineLevel="0" collapsed="false">
      <c r="A884" s="29"/>
      <c r="B884" s="40" t="n">
        <f aca="false">IF($A884="",0,INT(($A884-Macrociclo!$C$11)/7)+1)</f>
        <v>0</v>
      </c>
      <c r="C884" s="27"/>
      <c r="D884" s="27"/>
      <c r="E884" s="28"/>
      <c r="F884" s="28"/>
      <c r="G884" s="27"/>
    </row>
    <row r="885" customFormat="false" ht="15" hidden="false" customHeight="false" outlineLevel="0" collapsed="false">
      <c r="A885" s="29"/>
      <c r="B885" s="40" t="n">
        <f aca="false">IF($A885="",0,INT(($A885-Macrociclo!$C$11)/7)+1)</f>
        <v>0</v>
      </c>
      <c r="C885" s="27"/>
      <c r="D885" s="27"/>
      <c r="E885" s="28"/>
      <c r="F885" s="28"/>
      <c r="G885" s="27"/>
    </row>
    <row r="886" customFormat="false" ht="15" hidden="false" customHeight="false" outlineLevel="0" collapsed="false">
      <c r="A886" s="29"/>
      <c r="B886" s="40" t="n">
        <f aca="false">IF($A886="",0,INT(($A886-Macrociclo!$C$11)/7)+1)</f>
        <v>0</v>
      </c>
      <c r="C886" s="27"/>
      <c r="D886" s="27"/>
      <c r="E886" s="28"/>
      <c r="F886" s="28"/>
      <c r="G886" s="27"/>
    </row>
    <row r="887" customFormat="false" ht="15" hidden="false" customHeight="false" outlineLevel="0" collapsed="false">
      <c r="A887" s="29"/>
      <c r="B887" s="40" t="n">
        <f aca="false">IF($A887="",0,INT(($A887-Macrociclo!$C$11)/7)+1)</f>
        <v>0</v>
      </c>
      <c r="C887" s="27"/>
      <c r="D887" s="27"/>
      <c r="E887" s="28"/>
      <c r="F887" s="28"/>
      <c r="G887" s="27"/>
    </row>
    <row r="888" customFormat="false" ht="15" hidden="false" customHeight="false" outlineLevel="0" collapsed="false">
      <c r="A888" s="29"/>
      <c r="B888" s="40" t="n">
        <f aca="false">IF($A888="",0,INT(($A888-Macrociclo!$C$11)/7)+1)</f>
        <v>0</v>
      </c>
      <c r="C888" s="27"/>
      <c r="D888" s="27"/>
      <c r="E888" s="28"/>
      <c r="F888" s="28"/>
      <c r="G888" s="27"/>
    </row>
    <row r="889" customFormat="false" ht="15" hidden="false" customHeight="false" outlineLevel="0" collapsed="false">
      <c r="A889" s="29"/>
      <c r="B889" s="40" t="n">
        <f aca="false">IF($A889="",0,INT(($A889-Macrociclo!$C$11)/7)+1)</f>
        <v>0</v>
      </c>
      <c r="C889" s="27"/>
      <c r="D889" s="27"/>
      <c r="E889" s="28"/>
      <c r="F889" s="28"/>
      <c r="G889" s="27"/>
    </row>
    <row r="890" customFormat="false" ht="15" hidden="false" customHeight="false" outlineLevel="0" collapsed="false">
      <c r="A890" s="29"/>
      <c r="B890" s="40" t="n">
        <f aca="false">IF($A890="",0,INT(($A890-Macrociclo!$C$11)/7)+1)</f>
        <v>0</v>
      </c>
      <c r="C890" s="27"/>
      <c r="D890" s="27"/>
      <c r="E890" s="28"/>
      <c r="F890" s="28"/>
      <c r="G890" s="27"/>
    </row>
    <row r="891" customFormat="false" ht="15" hidden="false" customHeight="false" outlineLevel="0" collapsed="false">
      <c r="A891" s="29"/>
      <c r="B891" s="40" t="n">
        <f aca="false">IF($A891="",0,INT(($A891-Macrociclo!$C$11)/7)+1)</f>
        <v>0</v>
      </c>
      <c r="C891" s="27"/>
      <c r="D891" s="27"/>
      <c r="E891" s="28"/>
      <c r="F891" s="28"/>
      <c r="G891" s="27"/>
    </row>
    <row r="892" customFormat="false" ht="15" hidden="false" customHeight="false" outlineLevel="0" collapsed="false">
      <c r="A892" s="29"/>
      <c r="B892" s="40" t="n">
        <f aca="false">IF($A892="",0,INT(($A892-Macrociclo!$C$11)/7)+1)</f>
        <v>0</v>
      </c>
      <c r="C892" s="27"/>
      <c r="D892" s="27"/>
      <c r="E892" s="28"/>
      <c r="F892" s="28"/>
      <c r="G892" s="27"/>
    </row>
    <row r="893" customFormat="false" ht="15" hidden="false" customHeight="false" outlineLevel="0" collapsed="false">
      <c r="A893" s="29"/>
      <c r="B893" s="40" t="n">
        <f aca="false">IF($A893="",0,INT(($A893-Macrociclo!$C$11)/7)+1)</f>
        <v>0</v>
      </c>
      <c r="C893" s="27"/>
      <c r="D893" s="27"/>
      <c r="E893" s="28"/>
      <c r="F893" s="28"/>
      <c r="G893" s="27"/>
    </row>
    <row r="894" customFormat="false" ht="15" hidden="false" customHeight="false" outlineLevel="0" collapsed="false">
      <c r="A894" s="29"/>
      <c r="B894" s="40" t="n">
        <f aca="false">IF($A894="",0,INT(($A894-Macrociclo!$C$11)/7)+1)</f>
        <v>0</v>
      </c>
      <c r="C894" s="27"/>
      <c r="D894" s="27"/>
      <c r="E894" s="28"/>
      <c r="F894" s="28"/>
      <c r="G894" s="27"/>
    </row>
    <row r="895" customFormat="false" ht="15" hidden="false" customHeight="false" outlineLevel="0" collapsed="false">
      <c r="A895" s="29"/>
      <c r="B895" s="40" t="n">
        <f aca="false">IF($A895="",0,INT(($A895-Macrociclo!$C$11)/7)+1)</f>
        <v>0</v>
      </c>
      <c r="C895" s="27"/>
      <c r="D895" s="27"/>
      <c r="E895" s="28"/>
      <c r="F895" s="28"/>
      <c r="G895" s="27"/>
    </row>
    <row r="896" customFormat="false" ht="15" hidden="false" customHeight="false" outlineLevel="0" collapsed="false">
      <c r="A896" s="29"/>
      <c r="B896" s="40" t="n">
        <f aca="false">IF($A896="",0,INT(($A896-Macrociclo!$C$11)/7)+1)</f>
        <v>0</v>
      </c>
      <c r="C896" s="27"/>
      <c r="D896" s="27"/>
      <c r="E896" s="28"/>
      <c r="F896" s="28"/>
      <c r="G896" s="27"/>
    </row>
    <row r="897" customFormat="false" ht="15" hidden="false" customHeight="false" outlineLevel="0" collapsed="false">
      <c r="A897" s="29"/>
      <c r="B897" s="40" t="n">
        <f aca="false">IF($A897="",0,INT(($A897-Macrociclo!$C$11)/7)+1)</f>
        <v>0</v>
      </c>
      <c r="C897" s="27"/>
      <c r="D897" s="27"/>
      <c r="E897" s="28"/>
      <c r="F897" s="28"/>
      <c r="G897" s="27"/>
    </row>
    <row r="898" customFormat="false" ht="15" hidden="false" customHeight="false" outlineLevel="0" collapsed="false">
      <c r="A898" s="29"/>
      <c r="B898" s="40" t="n">
        <f aca="false">IF($A898="",0,INT(($A898-Macrociclo!$C$11)/7)+1)</f>
        <v>0</v>
      </c>
      <c r="C898" s="27"/>
      <c r="D898" s="27"/>
      <c r="E898" s="28"/>
      <c r="F898" s="28"/>
      <c r="G898" s="27"/>
    </row>
    <row r="899" customFormat="false" ht="15" hidden="false" customHeight="false" outlineLevel="0" collapsed="false">
      <c r="A899" s="29"/>
      <c r="B899" s="40" t="n">
        <f aca="false">IF($A899="",0,INT(($A899-Macrociclo!$C$11)/7)+1)</f>
        <v>0</v>
      </c>
      <c r="C899" s="27"/>
      <c r="D899" s="27"/>
      <c r="E899" s="28"/>
      <c r="F899" s="28"/>
      <c r="G899" s="27"/>
    </row>
    <row r="900" customFormat="false" ht="15" hidden="false" customHeight="false" outlineLevel="0" collapsed="false">
      <c r="A900" s="29"/>
      <c r="B900" s="40" t="n">
        <f aca="false">IF($A900="",0,INT(($A900-Macrociclo!$C$11)/7)+1)</f>
        <v>0</v>
      </c>
      <c r="C900" s="27"/>
      <c r="D900" s="27"/>
      <c r="E900" s="28"/>
      <c r="F900" s="28"/>
      <c r="G900" s="27"/>
    </row>
    <row r="901" customFormat="false" ht="15" hidden="false" customHeight="false" outlineLevel="0" collapsed="false">
      <c r="A901" s="29"/>
      <c r="B901" s="40" t="n">
        <f aca="false">IF($A901="",0,INT(($A901-Macrociclo!$C$11)/7)+1)</f>
        <v>0</v>
      </c>
      <c r="C901" s="27"/>
      <c r="D901" s="27"/>
      <c r="E901" s="28"/>
      <c r="F901" s="28"/>
      <c r="G901" s="27"/>
    </row>
    <row r="902" customFormat="false" ht="15" hidden="false" customHeight="false" outlineLevel="0" collapsed="false">
      <c r="A902" s="29"/>
      <c r="B902" s="40" t="n">
        <f aca="false">IF($A902="",0,INT(($A902-Macrociclo!$C$11)/7)+1)</f>
        <v>0</v>
      </c>
      <c r="C902" s="27"/>
      <c r="D902" s="27"/>
      <c r="E902" s="28"/>
      <c r="F902" s="28"/>
      <c r="G902" s="27"/>
    </row>
    <row r="903" customFormat="false" ht="15" hidden="false" customHeight="false" outlineLevel="0" collapsed="false">
      <c r="A903" s="29"/>
      <c r="B903" s="40" t="n">
        <f aca="false">IF($A903="",0,INT(($A903-Macrociclo!$C$11)/7)+1)</f>
        <v>0</v>
      </c>
      <c r="C903" s="27"/>
      <c r="D903" s="27"/>
      <c r="E903" s="28"/>
      <c r="F903" s="28"/>
      <c r="G903" s="27"/>
    </row>
    <row r="904" customFormat="false" ht="15" hidden="false" customHeight="false" outlineLevel="0" collapsed="false">
      <c r="A904" s="29"/>
      <c r="B904" s="40" t="n">
        <f aca="false">IF($A904="",0,INT(($A904-Macrociclo!$C$11)/7)+1)</f>
        <v>0</v>
      </c>
      <c r="C904" s="27"/>
      <c r="D904" s="27"/>
      <c r="E904" s="28"/>
      <c r="F904" s="28"/>
      <c r="G904" s="27"/>
    </row>
    <row r="905" customFormat="false" ht="15" hidden="false" customHeight="false" outlineLevel="0" collapsed="false">
      <c r="A905" s="29"/>
      <c r="B905" s="40" t="n">
        <f aca="false">IF($A905="",0,INT(($A905-Macrociclo!$C$11)/7)+1)</f>
        <v>0</v>
      </c>
      <c r="C905" s="27"/>
      <c r="D905" s="27"/>
      <c r="E905" s="28"/>
      <c r="F905" s="28"/>
      <c r="G905" s="27"/>
    </row>
    <row r="906" customFormat="false" ht="15" hidden="false" customHeight="false" outlineLevel="0" collapsed="false">
      <c r="A906" s="29"/>
      <c r="B906" s="40" t="n">
        <f aca="false">IF($A906="",0,INT(($A906-Macrociclo!$C$11)/7)+1)</f>
        <v>0</v>
      </c>
      <c r="C906" s="27"/>
      <c r="D906" s="27"/>
      <c r="E906" s="28"/>
      <c r="F906" s="28"/>
      <c r="G906" s="27"/>
    </row>
    <row r="907" customFormat="false" ht="15" hidden="false" customHeight="false" outlineLevel="0" collapsed="false">
      <c r="A907" s="29"/>
      <c r="B907" s="40" t="n">
        <f aca="false">IF($A907="",0,INT(($A907-Macrociclo!$C$11)/7)+1)</f>
        <v>0</v>
      </c>
      <c r="C907" s="27"/>
      <c r="D907" s="27"/>
      <c r="E907" s="28"/>
      <c r="F907" s="28"/>
      <c r="G907" s="27"/>
    </row>
    <row r="908" customFormat="false" ht="15" hidden="false" customHeight="false" outlineLevel="0" collapsed="false">
      <c r="A908" s="29"/>
      <c r="B908" s="40" t="n">
        <f aca="false">IF($A908="",0,INT(($A908-Macrociclo!$C$11)/7)+1)</f>
        <v>0</v>
      </c>
      <c r="C908" s="27"/>
      <c r="D908" s="27"/>
      <c r="E908" s="28"/>
      <c r="F908" s="28"/>
      <c r="G908" s="27"/>
    </row>
    <row r="909" customFormat="false" ht="15" hidden="false" customHeight="false" outlineLevel="0" collapsed="false">
      <c r="A909" s="29"/>
      <c r="B909" s="40" t="n">
        <f aca="false">IF($A909="",0,INT(($A909-Macrociclo!$C$11)/7)+1)</f>
        <v>0</v>
      </c>
      <c r="C909" s="27"/>
      <c r="D909" s="27"/>
      <c r="E909" s="28"/>
      <c r="F909" s="28"/>
      <c r="G909" s="27"/>
    </row>
    <row r="910" customFormat="false" ht="15" hidden="false" customHeight="false" outlineLevel="0" collapsed="false">
      <c r="A910" s="29"/>
      <c r="B910" s="40" t="n">
        <f aca="false">IF($A910="",0,INT(($A910-Macrociclo!$C$11)/7)+1)</f>
        <v>0</v>
      </c>
      <c r="C910" s="27"/>
      <c r="D910" s="27"/>
      <c r="E910" s="28"/>
      <c r="F910" s="28"/>
      <c r="G910" s="27"/>
    </row>
    <row r="911" customFormat="false" ht="15" hidden="false" customHeight="false" outlineLevel="0" collapsed="false">
      <c r="A911" s="29"/>
      <c r="B911" s="40" t="n">
        <f aca="false">IF($A911="",0,INT(($A911-Macrociclo!$C$11)/7)+1)</f>
        <v>0</v>
      </c>
      <c r="C911" s="27"/>
      <c r="D911" s="27"/>
      <c r="E911" s="28"/>
      <c r="F911" s="28"/>
      <c r="G911" s="27"/>
    </row>
    <row r="912" customFormat="false" ht="15" hidden="false" customHeight="false" outlineLevel="0" collapsed="false">
      <c r="A912" s="29"/>
      <c r="B912" s="40" t="n">
        <f aca="false">IF($A912="",0,INT(($A912-Macrociclo!$C$11)/7)+1)</f>
        <v>0</v>
      </c>
      <c r="C912" s="27"/>
      <c r="D912" s="27"/>
      <c r="E912" s="28"/>
      <c r="F912" s="28"/>
      <c r="G912" s="27"/>
    </row>
    <row r="913" customFormat="false" ht="15" hidden="false" customHeight="false" outlineLevel="0" collapsed="false">
      <c r="A913" s="29"/>
      <c r="B913" s="40" t="n">
        <f aca="false">IF($A913="",0,INT(($A913-Macrociclo!$C$11)/7)+1)</f>
        <v>0</v>
      </c>
      <c r="C913" s="27"/>
      <c r="D913" s="27"/>
      <c r="E913" s="28"/>
      <c r="F913" s="28"/>
      <c r="G913" s="27"/>
    </row>
    <row r="914" customFormat="false" ht="15" hidden="false" customHeight="false" outlineLevel="0" collapsed="false">
      <c r="A914" s="29"/>
      <c r="B914" s="40" t="n">
        <f aca="false">IF($A914="",0,INT(($A914-Macrociclo!$C$11)/7)+1)</f>
        <v>0</v>
      </c>
      <c r="C914" s="27"/>
      <c r="D914" s="27"/>
      <c r="E914" s="28"/>
      <c r="F914" s="28"/>
      <c r="G914" s="27"/>
    </row>
    <row r="915" customFormat="false" ht="15" hidden="false" customHeight="false" outlineLevel="0" collapsed="false">
      <c r="A915" s="29"/>
      <c r="B915" s="40" t="n">
        <f aca="false">IF($A915="",0,INT(($A915-Macrociclo!$C$11)/7)+1)</f>
        <v>0</v>
      </c>
      <c r="C915" s="27"/>
      <c r="D915" s="27"/>
      <c r="E915" s="28"/>
      <c r="F915" s="28"/>
      <c r="G915" s="27"/>
    </row>
    <row r="916" customFormat="false" ht="15" hidden="false" customHeight="false" outlineLevel="0" collapsed="false">
      <c r="A916" s="29"/>
      <c r="B916" s="40" t="n">
        <f aca="false">IF($A916="",0,INT(($A916-Macrociclo!$C$11)/7)+1)</f>
        <v>0</v>
      </c>
      <c r="C916" s="27"/>
      <c r="D916" s="27"/>
      <c r="E916" s="28"/>
      <c r="F916" s="28"/>
      <c r="G916" s="27"/>
    </row>
    <row r="917" customFormat="false" ht="15" hidden="false" customHeight="false" outlineLevel="0" collapsed="false">
      <c r="A917" s="29"/>
      <c r="B917" s="40" t="n">
        <f aca="false">IF($A917="",0,INT(($A917-Macrociclo!$C$11)/7)+1)</f>
        <v>0</v>
      </c>
      <c r="C917" s="27"/>
      <c r="D917" s="27"/>
      <c r="E917" s="28"/>
      <c r="F917" s="28"/>
      <c r="G917" s="27"/>
    </row>
    <row r="918" customFormat="false" ht="15" hidden="false" customHeight="false" outlineLevel="0" collapsed="false">
      <c r="A918" s="29"/>
      <c r="B918" s="40" t="n">
        <f aca="false">IF($A918="",0,INT(($A918-Macrociclo!$C$11)/7)+1)</f>
        <v>0</v>
      </c>
      <c r="C918" s="27"/>
      <c r="D918" s="27"/>
      <c r="E918" s="28"/>
      <c r="F918" s="28"/>
      <c r="G918" s="27"/>
    </row>
    <row r="919" customFormat="false" ht="15" hidden="false" customHeight="false" outlineLevel="0" collapsed="false">
      <c r="A919" s="29"/>
      <c r="B919" s="40" t="n">
        <f aca="false">IF($A919="",0,INT(($A919-Macrociclo!$C$11)/7)+1)</f>
        <v>0</v>
      </c>
      <c r="C919" s="27"/>
      <c r="D919" s="27"/>
      <c r="E919" s="28"/>
      <c r="F919" s="28"/>
      <c r="G919" s="27"/>
    </row>
    <row r="920" customFormat="false" ht="15" hidden="false" customHeight="false" outlineLevel="0" collapsed="false">
      <c r="A920" s="29"/>
      <c r="B920" s="40" t="n">
        <f aca="false">IF($A920="",0,INT(($A920-Macrociclo!$C$11)/7)+1)</f>
        <v>0</v>
      </c>
      <c r="C920" s="27"/>
      <c r="D920" s="27"/>
      <c r="E920" s="28"/>
      <c r="F920" s="28"/>
      <c r="G920" s="27"/>
    </row>
    <row r="921" customFormat="false" ht="15" hidden="false" customHeight="false" outlineLevel="0" collapsed="false">
      <c r="A921" s="29"/>
      <c r="B921" s="40" t="n">
        <f aca="false">IF($A921="",0,INT(($A921-Macrociclo!$C$11)/7)+1)</f>
        <v>0</v>
      </c>
      <c r="C921" s="27"/>
      <c r="D921" s="27"/>
      <c r="E921" s="28"/>
      <c r="F921" s="28"/>
      <c r="G921" s="27"/>
    </row>
    <row r="922" customFormat="false" ht="15" hidden="false" customHeight="false" outlineLevel="0" collapsed="false">
      <c r="A922" s="29"/>
      <c r="B922" s="40" t="n">
        <f aca="false">IF($A922="",0,INT(($A922-Macrociclo!$C$11)/7)+1)</f>
        <v>0</v>
      </c>
      <c r="C922" s="27"/>
      <c r="D922" s="27"/>
      <c r="E922" s="28"/>
      <c r="F922" s="28"/>
      <c r="G922" s="27"/>
    </row>
    <row r="923" customFormat="false" ht="15" hidden="false" customHeight="false" outlineLevel="0" collapsed="false">
      <c r="A923" s="29"/>
      <c r="B923" s="40" t="n">
        <f aca="false">IF($A923="",0,INT(($A923-Macrociclo!$C$11)/7)+1)</f>
        <v>0</v>
      </c>
      <c r="C923" s="27"/>
      <c r="D923" s="27"/>
      <c r="E923" s="28"/>
      <c r="F923" s="28"/>
      <c r="G923" s="27"/>
    </row>
    <row r="924" customFormat="false" ht="15" hidden="false" customHeight="false" outlineLevel="0" collapsed="false">
      <c r="A924" s="29"/>
      <c r="B924" s="40" t="n">
        <f aca="false">IF($A924="",0,INT(($A924-Macrociclo!$C$11)/7)+1)</f>
        <v>0</v>
      </c>
      <c r="C924" s="27"/>
      <c r="D924" s="27"/>
      <c r="E924" s="28"/>
      <c r="F924" s="28"/>
      <c r="G924" s="27"/>
    </row>
    <row r="925" customFormat="false" ht="15" hidden="false" customHeight="false" outlineLevel="0" collapsed="false">
      <c r="A925" s="29"/>
      <c r="B925" s="40" t="n">
        <f aca="false">IF($A925="",0,INT(($A925-Macrociclo!$C$11)/7)+1)</f>
        <v>0</v>
      </c>
      <c r="C925" s="27"/>
      <c r="D925" s="27"/>
      <c r="E925" s="28"/>
      <c r="F925" s="28"/>
      <c r="G925" s="27"/>
    </row>
    <row r="926" customFormat="false" ht="15" hidden="false" customHeight="false" outlineLevel="0" collapsed="false">
      <c r="A926" s="29"/>
      <c r="B926" s="40" t="n">
        <f aca="false">IF($A926="",0,INT(($A926-Macrociclo!$C$11)/7)+1)</f>
        <v>0</v>
      </c>
      <c r="C926" s="27"/>
      <c r="D926" s="27"/>
      <c r="E926" s="28"/>
      <c r="F926" s="28"/>
      <c r="G926" s="27"/>
    </row>
    <row r="927" customFormat="false" ht="15" hidden="false" customHeight="false" outlineLevel="0" collapsed="false">
      <c r="A927" s="29"/>
      <c r="B927" s="40" t="n">
        <f aca="false">IF($A927="",0,INT(($A927-Macrociclo!$C$11)/7)+1)</f>
        <v>0</v>
      </c>
      <c r="C927" s="27"/>
      <c r="D927" s="27"/>
      <c r="E927" s="28"/>
      <c r="F927" s="28"/>
      <c r="G927" s="27"/>
    </row>
    <row r="928" customFormat="false" ht="15" hidden="false" customHeight="false" outlineLevel="0" collapsed="false">
      <c r="A928" s="29"/>
      <c r="B928" s="40" t="n">
        <f aca="false">IF($A928="",0,INT(($A928-Macrociclo!$C$11)/7)+1)</f>
        <v>0</v>
      </c>
      <c r="C928" s="27"/>
      <c r="D928" s="27"/>
      <c r="E928" s="28"/>
      <c r="F928" s="28"/>
      <c r="G928" s="27"/>
    </row>
    <row r="929" customFormat="false" ht="15" hidden="false" customHeight="false" outlineLevel="0" collapsed="false">
      <c r="A929" s="29"/>
      <c r="B929" s="40" t="n">
        <f aca="false">IF($A929="",0,INT(($A929-Macrociclo!$C$11)/7)+1)</f>
        <v>0</v>
      </c>
      <c r="C929" s="27"/>
      <c r="D929" s="27"/>
      <c r="E929" s="28"/>
      <c r="F929" s="28"/>
      <c r="G929" s="27"/>
    </row>
    <row r="930" customFormat="false" ht="15" hidden="false" customHeight="false" outlineLevel="0" collapsed="false">
      <c r="A930" s="29"/>
      <c r="B930" s="40" t="n">
        <f aca="false">IF($A930="",0,INT(($A930-Macrociclo!$C$11)/7)+1)</f>
        <v>0</v>
      </c>
      <c r="C930" s="27"/>
      <c r="D930" s="27"/>
      <c r="E930" s="28"/>
      <c r="F930" s="28"/>
      <c r="G930" s="27"/>
    </row>
    <row r="931" customFormat="false" ht="15" hidden="false" customHeight="false" outlineLevel="0" collapsed="false">
      <c r="A931" s="29"/>
      <c r="B931" s="40" t="n">
        <f aca="false">IF($A931="",0,INT(($A931-Macrociclo!$C$11)/7)+1)</f>
        <v>0</v>
      </c>
      <c r="C931" s="27"/>
      <c r="D931" s="27"/>
      <c r="E931" s="28"/>
      <c r="F931" s="28"/>
      <c r="G931" s="27"/>
    </row>
    <row r="932" customFormat="false" ht="15" hidden="false" customHeight="false" outlineLevel="0" collapsed="false">
      <c r="A932" s="29"/>
      <c r="B932" s="40" t="n">
        <f aca="false">IF($A932="",0,INT(($A932-Macrociclo!$C$11)/7)+1)</f>
        <v>0</v>
      </c>
      <c r="C932" s="27"/>
      <c r="D932" s="27"/>
      <c r="E932" s="28"/>
      <c r="F932" s="28"/>
      <c r="G932" s="27"/>
    </row>
    <row r="933" customFormat="false" ht="15" hidden="false" customHeight="false" outlineLevel="0" collapsed="false">
      <c r="A933" s="29"/>
      <c r="B933" s="40" t="n">
        <f aca="false">IF($A933="",0,INT(($A933-Macrociclo!$C$11)/7)+1)</f>
        <v>0</v>
      </c>
      <c r="C933" s="27"/>
      <c r="D933" s="27"/>
      <c r="E933" s="28"/>
      <c r="F933" s="28"/>
      <c r="G933" s="27"/>
    </row>
    <row r="934" customFormat="false" ht="15" hidden="false" customHeight="false" outlineLevel="0" collapsed="false">
      <c r="A934" s="29"/>
      <c r="B934" s="40" t="n">
        <f aca="false">IF($A934="",0,INT(($A934-Macrociclo!$C$11)/7)+1)</f>
        <v>0</v>
      </c>
      <c r="C934" s="27"/>
      <c r="D934" s="27"/>
      <c r="E934" s="28"/>
      <c r="F934" s="28"/>
      <c r="G934" s="27"/>
    </row>
    <row r="935" customFormat="false" ht="15" hidden="false" customHeight="false" outlineLevel="0" collapsed="false">
      <c r="A935" s="29"/>
      <c r="B935" s="40" t="n">
        <f aca="false">IF($A935="",0,INT(($A935-Macrociclo!$C$11)/7)+1)</f>
        <v>0</v>
      </c>
      <c r="C935" s="27"/>
      <c r="D935" s="27"/>
      <c r="E935" s="28"/>
      <c r="F935" s="28"/>
      <c r="G935" s="27"/>
    </row>
    <row r="936" customFormat="false" ht="15" hidden="false" customHeight="false" outlineLevel="0" collapsed="false">
      <c r="A936" s="29"/>
      <c r="B936" s="40" t="n">
        <f aca="false">IF($A936="",0,INT(($A936-Macrociclo!$C$11)/7)+1)</f>
        <v>0</v>
      </c>
      <c r="C936" s="27"/>
      <c r="D936" s="27"/>
      <c r="E936" s="28"/>
      <c r="F936" s="28"/>
      <c r="G936" s="27"/>
    </row>
    <row r="937" customFormat="false" ht="15" hidden="false" customHeight="false" outlineLevel="0" collapsed="false">
      <c r="A937" s="29"/>
      <c r="B937" s="40" t="n">
        <f aca="false">IF($A937="",0,INT(($A937-Macrociclo!$C$11)/7)+1)</f>
        <v>0</v>
      </c>
      <c r="C937" s="27"/>
      <c r="D937" s="27"/>
      <c r="E937" s="28"/>
      <c r="F937" s="28"/>
      <c r="G937" s="27"/>
    </row>
    <row r="938" customFormat="false" ht="15" hidden="false" customHeight="false" outlineLevel="0" collapsed="false">
      <c r="A938" s="29"/>
      <c r="B938" s="40" t="n">
        <f aca="false">IF($A938="",0,INT(($A938-Macrociclo!$C$11)/7)+1)</f>
        <v>0</v>
      </c>
      <c r="C938" s="27"/>
      <c r="D938" s="27"/>
      <c r="E938" s="28"/>
      <c r="F938" s="28"/>
      <c r="G938" s="27"/>
    </row>
    <row r="939" customFormat="false" ht="15" hidden="false" customHeight="false" outlineLevel="0" collapsed="false">
      <c r="A939" s="29"/>
      <c r="B939" s="40" t="n">
        <f aca="false">IF($A939="",0,INT(($A939-Macrociclo!$C$11)/7)+1)</f>
        <v>0</v>
      </c>
      <c r="C939" s="27"/>
      <c r="D939" s="27"/>
      <c r="E939" s="28"/>
      <c r="F939" s="28"/>
      <c r="G939" s="27"/>
    </row>
    <row r="940" customFormat="false" ht="15" hidden="false" customHeight="false" outlineLevel="0" collapsed="false">
      <c r="A940" s="29"/>
      <c r="B940" s="40" t="n">
        <f aca="false">IF($A940="",0,INT(($A940-Macrociclo!$C$11)/7)+1)</f>
        <v>0</v>
      </c>
      <c r="C940" s="27"/>
      <c r="D940" s="27"/>
      <c r="E940" s="28"/>
      <c r="F940" s="28"/>
      <c r="G940" s="27"/>
    </row>
    <row r="941" customFormat="false" ht="15" hidden="false" customHeight="false" outlineLevel="0" collapsed="false">
      <c r="A941" s="29"/>
      <c r="B941" s="40" t="n">
        <f aca="false">IF($A941="",0,INT(($A941-Macrociclo!$C$11)/7)+1)</f>
        <v>0</v>
      </c>
      <c r="C941" s="27"/>
      <c r="D941" s="27"/>
      <c r="E941" s="28"/>
      <c r="F941" s="28"/>
      <c r="G941" s="27"/>
    </row>
    <row r="942" customFormat="false" ht="15" hidden="false" customHeight="false" outlineLevel="0" collapsed="false">
      <c r="A942" s="29"/>
      <c r="B942" s="40" t="n">
        <f aca="false">IF($A942="",0,INT(($A942-Macrociclo!$C$11)/7)+1)</f>
        <v>0</v>
      </c>
      <c r="C942" s="27"/>
      <c r="D942" s="27"/>
      <c r="E942" s="28"/>
      <c r="F942" s="28"/>
      <c r="G942" s="27"/>
    </row>
    <row r="943" customFormat="false" ht="15" hidden="false" customHeight="false" outlineLevel="0" collapsed="false">
      <c r="A943" s="29"/>
      <c r="B943" s="40" t="n">
        <f aca="false">IF($A943="",0,INT(($A943-Macrociclo!$C$11)/7)+1)</f>
        <v>0</v>
      </c>
      <c r="C943" s="27"/>
      <c r="D943" s="27"/>
      <c r="E943" s="28"/>
      <c r="F943" s="28"/>
      <c r="G943" s="27"/>
    </row>
    <row r="944" customFormat="false" ht="15" hidden="false" customHeight="false" outlineLevel="0" collapsed="false">
      <c r="A944" s="29"/>
      <c r="B944" s="40" t="n">
        <f aca="false">IF($A944="",0,INT(($A944-Macrociclo!$C$11)/7)+1)</f>
        <v>0</v>
      </c>
      <c r="C944" s="27"/>
      <c r="D944" s="27"/>
      <c r="E944" s="28"/>
      <c r="F944" s="28"/>
      <c r="G944" s="27"/>
    </row>
    <row r="945" customFormat="false" ht="15" hidden="false" customHeight="false" outlineLevel="0" collapsed="false">
      <c r="A945" s="29"/>
      <c r="B945" s="40" t="n">
        <f aca="false">IF($A945="",0,INT(($A945-Macrociclo!$C$11)/7)+1)</f>
        <v>0</v>
      </c>
      <c r="C945" s="27"/>
      <c r="D945" s="27"/>
      <c r="E945" s="28"/>
      <c r="F945" s="28"/>
      <c r="G945" s="27"/>
    </row>
    <row r="946" customFormat="false" ht="15" hidden="false" customHeight="false" outlineLevel="0" collapsed="false">
      <c r="A946" s="29"/>
      <c r="B946" s="40" t="n">
        <f aca="false">IF($A946="",0,INT(($A946-Macrociclo!$C$11)/7)+1)</f>
        <v>0</v>
      </c>
      <c r="C946" s="27"/>
      <c r="D946" s="27"/>
      <c r="E946" s="28"/>
      <c r="F946" s="28"/>
      <c r="G946" s="27"/>
    </row>
    <row r="947" customFormat="false" ht="15" hidden="false" customHeight="false" outlineLevel="0" collapsed="false">
      <c r="A947" s="29"/>
      <c r="B947" s="40" t="n">
        <f aca="false">IF($A947="",0,INT(($A947-Macrociclo!$C$11)/7)+1)</f>
        <v>0</v>
      </c>
      <c r="C947" s="27"/>
      <c r="D947" s="27"/>
      <c r="E947" s="28"/>
      <c r="F947" s="28"/>
      <c r="G947" s="27"/>
    </row>
    <row r="948" customFormat="false" ht="15" hidden="false" customHeight="false" outlineLevel="0" collapsed="false">
      <c r="A948" s="29"/>
      <c r="B948" s="40" t="n">
        <f aca="false">IF($A948="",0,INT(($A948-Macrociclo!$C$11)/7)+1)</f>
        <v>0</v>
      </c>
      <c r="C948" s="27"/>
      <c r="D948" s="27"/>
      <c r="E948" s="28"/>
      <c r="F948" s="28"/>
      <c r="G948" s="27"/>
    </row>
    <row r="949" customFormat="false" ht="15" hidden="false" customHeight="false" outlineLevel="0" collapsed="false">
      <c r="A949" s="29"/>
      <c r="B949" s="40" t="n">
        <f aca="false">IF($A949="",0,INT(($A949-Macrociclo!$C$11)/7)+1)</f>
        <v>0</v>
      </c>
      <c r="C949" s="27"/>
      <c r="D949" s="27"/>
      <c r="E949" s="28"/>
      <c r="F949" s="28"/>
      <c r="G949" s="27"/>
    </row>
    <row r="950" customFormat="false" ht="15" hidden="false" customHeight="false" outlineLevel="0" collapsed="false">
      <c r="A950" s="29"/>
      <c r="B950" s="40" t="n">
        <f aca="false">IF($A950="",0,INT(($A950-Macrociclo!$C$11)/7)+1)</f>
        <v>0</v>
      </c>
      <c r="C950" s="27"/>
      <c r="D950" s="27"/>
      <c r="E950" s="28"/>
      <c r="F950" s="28"/>
      <c r="G950" s="27"/>
    </row>
    <row r="951" customFormat="false" ht="15" hidden="false" customHeight="false" outlineLevel="0" collapsed="false">
      <c r="A951" s="29"/>
      <c r="B951" s="40" t="n">
        <f aca="false">IF($A951="",0,INT(($A951-Macrociclo!$C$11)/7)+1)</f>
        <v>0</v>
      </c>
      <c r="C951" s="27"/>
      <c r="D951" s="27"/>
      <c r="E951" s="28"/>
      <c r="F951" s="28"/>
      <c r="G951" s="27"/>
    </row>
    <row r="952" customFormat="false" ht="15" hidden="false" customHeight="false" outlineLevel="0" collapsed="false">
      <c r="A952" s="29"/>
      <c r="B952" s="40" t="n">
        <f aca="false">IF($A952="",0,INT(($A952-Macrociclo!$C$11)/7)+1)</f>
        <v>0</v>
      </c>
      <c r="C952" s="27"/>
      <c r="D952" s="27"/>
      <c r="E952" s="28"/>
      <c r="F952" s="28"/>
      <c r="G952" s="27"/>
    </row>
    <row r="953" customFormat="false" ht="15" hidden="false" customHeight="false" outlineLevel="0" collapsed="false">
      <c r="A953" s="29"/>
      <c r="B953" s="40" t="n">
        <f aca="false">IF($A953="",0,INT(($A953-Macrociclo!$C$11)/7)+1)</f>
        <v>0</v>
      </c>
      <c r="C953" s="27"/>
      <c r="D953" s="27"/>
      <c r="E953" s="28"/>
      <c r="F953" s="28"/>
      <c r="G953" s="27"/>
    </row>
    <row r="954" customFormat="false" ht="15" hidden="false" customHeight="false" outlineLevel="0" collapsed="false">
      <c r="A954" s="29"/>
      <c r="B954" s="40" t="n">
        <f aca="false">IF($A954="",0,INT(($A954-Macrociclo!$C$11)/7)+1)</f>
        <v>0</v>
      </c>
      <c r="C954" s="27"/>
      <c r="D954" s="27"/>
      <c r="E954" s="28"/>
      <c r="F954" s="28"/>
      <c r="G954" s="27"/>
    </row>
    <row r="955" customFormat="false" ht="15" hidden="false" customHeight="false" outlineLevel="0" collapsed="false">
      <c r="A955" s="29"/>
      <c r="B955" s="40" t="n">
        <f aca="false">IF($A955="",0,INT(($A955-Macrociclo!$C$11)/7)+1)</f>
        <v>0</v>
      </c>
      <c r="C955" s="27"/>
      <c r="D955" s="27"/>
      <c r="E955" s="28"/>
      <c r="F955" s="28"/>
      <c r="G955" s="27"/>
    </row>
    <row r="956" customFormat="false" ht="15" hidden="false" customHeight="false" outlineLevel="0" collapsed="false">
      <c r="A956" s="29"/>
      <c r="B956" s="40" t="n">
        <f aca="false">IF($A956="",0,INT(($A956-Macrociclo!$C$11)/7)+1)</f>
        <v>0</v>
      </c>
      <c r="C956" s="27"/>
      <c r="D956" s="27"/>
      <c r="E956" s="28"/>
      <c r="F956" s="28"/>
      <c r="G956" s="27"/>
    </row>
    <row r="957" customFormat="false" ht="15" hidden="false" customHeight="false" outlineLevel="0" collapsed="false">
      <c r="A957" s="29"/>
      <c r="B957" s="40" t="n">
        <f aca="false">IF($A957="",0,INT(($A957-Macrociclo!$C$11)/7)+1)</f>
        <v>0</v>
      </c>
      <c r="C957" s="27"/>
      <c r="D957" s="27"/>
      <c r="E957" s="28"/>
      <c r="F957" s="28"/>
      <c r="G957" s="27"/>
    </row>
    <row r="958" customFormat="false" ht="15" hidden="false" customHeight="false" outlineLevel="0" collapsed="false">
      <c r="A958" s="29"/>
      <c r="B958" s="40" t="n">
        <f aca="false">IF($A958="",0,INT(($A958-Macrociclo!$C$11)/7)+1)</f>
        <v>0</v>
      </c>
      <c r="C958" s="27"/>
      <c r="D958" s="27"/>
      <c r="E958" s="28"/>
      <c r="F958" s="28"/>
      <c r="G958" s="27"/>
    </row>
    <row r="959" customFormat="false" ht="15" hidden="false" customHeight="false" outlineLevel="0" collapsed="false">
      <c r="A959" s="29"/>
      <c r="B959" s="40" t="n">
        <f aca="false">IF($A959="",0,INT(($A959-Macrociclo!$C$11)/7)+1)</f>
        <v>0</v>
      </c>
      <c r="C959" s="27"/>
      <c r="D959" s="27"/>
      <c r="E959" s="28"/>
      <c r="F959" s="28"/>
      <c r="G959" s="27"/>
    </row>
    <row r="960" customFormat="false" ht="15" hidden="false" customHeight="false" outlineLevel="0" collapsed="false">
      <c r="A960" s="29"/>
      <c r="B960" s="40" t="n">
        <f aca="false">IF($A960="",0,INT(($A960-Macrociclo!$C$11)/7)+1)</f>
        <v>0</v>
      </c>
      <c r="C960" s="27"/>
      <c r="D960" s="27"/>
      <c r="E960" s="28"/>
      <c r="F960" s="28"/>
      <c r="G960" s="27"/>
    </row>
    <row r="961" customFormat="false" ht="15" hidden="false" customHeight="false" outlineLevel="0" collapsed="false">
      <c r="A961" s="29"/>
      <c r="B961" s="40" t="n">
        <f aca="false">IF($A961="",0,INT(($A961-Macrociclo!$C$11)/7)+1)</f>
        <v>0</v>
      </c>
      <c r="C961" s="27"/>
      <c r="D961" s="27"/>
      <c r="E961" s="28"/>
      <c r="F961" s="28"/>
      <c r="G961" s="27"/>
    </row>
    <row r="962" customFormat="false" ht="15" hidden="false" customHeight="false" outlineLevel="0" collapsed="false">
      <c r="A962" s="29"/>
      <c r="B962" s="40" t="n">
        <f aca="false">IF($A962="",0,INT(($A962-Macrociclo!$C$11)/7)+1)</f>
        <v>0</v>
      </c>
      <c r="C962" s="27"/>
      <c r="D962" s="27"/>
      <c r="E962" s="28"/>
      <c r="F962" s="28"/>
      <c r="G962" s="27"/>
    </row>
    <row r="963" customFormat="false" ht="15" hidden="false" customHeight="false" outlineLevel="0" collapsed="false">
      <c r="A963" s="29"/>
      <c r="B963" s="40" t="n">
        <f aca="false">IF($A963="",0,INT(($A963-Macrociclo!$C$11)/7)+1)</f>
        <v>0</v>
      </c>
      <c r="C963" s="27"/>
      <c r="D963" s="27"/>
      <c r="E963" s="28"/>
      <c r="F963" s="28"/>
      <c r="G963" s="27"/>
    </row>
    <row r="964" customFormat="false" ht="15" hidden="false" customHeight="false" outlineLevel="0" collapsed="false">
      <c r="A964" s="29"/>
      <c r="B964" s="40" t="n">
        <f aca="false">IF($A964="",0,INT(($A964-Macrociclo!$C$11)/7)+1)</f>
        <v>0</v>
      </c>
      <c r="C964" s="27"/>
      <c r="D964" s="27"/>
      <c r="E964" s="28"/>
      <c r="F964" s="28"/>
      <c r="G964" s="27"/>
    </row>
    <row r="965" customFormat="false" ht="15" hidden="false" customHeight="false" outlineLevel="0" collapsed="false">
      <c r="A965" s="29"/>
      <c r="B965" s="40" t="n">
        <f aca="false">IF($A965="",0,INT(($A965-Macrociclo!$C$11)/7)+1)</f>
        <v>0</v>
      </c>
      <c r="C965" s="27"/>
      <c r="D965" s="27"/>
      <c r="E965" s="28"/>
      <c r="F965" s="28"/>
      <c r="G965" s="27"/>
    </row>
    <row r="966" customFormat="false" ht="15" hidden="false" customHeight="false" outlineLevel="0" collapsed="false">
      <c r="A966" s="29"/>
      <c r="B966" s="40" t="n">
        <f aca="false">IF($A966="",0,INT(($A966-Macrociclo!$C$11)/7)+1)</f>
        <v>0</v>
      </c>
      <c r="C966" s="27"/>
      <c r="D966" s="27"/>
      <c r="E966" s="28"/>
      <c r="F966" s="28"/>
      <c r="G966" s="27"/>
    </row>
    <row r="967" customFormat="false" ht="15" hidden="false" customHeight="false" outlineLevel="0" collapsed="false">
      <c r="A967" s="29"/>
      <c r="B967" s="40" t="n">
        <f aca="false">IF($A967="",0,INT(($A967-Macrociclo!$C$11)/7)+1)</f>
        <v>0</v>
      </c>
      <c r="C967" s="27"/>
      <c r="D967" s="27"/>
      <c r="E967" s="28"/>
      <c r="F967" s="28"/>
      <c r="G967" s="27"/>
    </row>
    <row r="968" customFormat="false" ht="15" hidden="false" customHeight="false" outlineLevel="0" collapsed="false">
      <c r="A968" s="29"/>
      <c r="B968" s="40" t="n">
        <f aca="false">IF($A968="",0,INT(($A968-Macrociclo!$C$11)/7)+1)</f>
        <v>0</v>
      </c>
      <c r="C968" s="27"/>
      <c r="D968" s="27"/>
      <c r="E968" s="28"/>
      <c r="F968" s="28"/>
      <c r="G968" s="27"/>
    </row>
    <row r="969" customFormat="false" ht="15" hidden="false" customHeight="false" outlineLevel="0" collapsed="false">
      <c r="A969" s="29"/>
      <c r="B969" s="40" t="n">
        <f aca="false">IF($A969="",0,INT(($A969-Macrociclo!$C$11)/7)+1)</f>
        <v>0</v>
      </c>
      <c r="C969" s="27"/>
      <c r="D969" s="27"/>
      <c r="E969" s="28"/>
      <c r="F969" s="28"/>
      <c r="G969" s="27"/>
    </row>
    <row r="970" customFormat="false" ht="15" hidden="false" customHeight="false" outlineLevel="0" collapsed="false">
      <c r="A970" s="29"/>
      <c r="B970" s="40" t="n">
        <f aca="false">IF($A970="",0,INT(($A970-Macrociclo!$C$11)/7)+1)</f>
        <v>0</v>
      </c>
      <c r="C970" s="27"/>
      <c r="D970" s="27"/>
      <c r="E970" s="28"/>
      <c r="F970" s="28"/>
      <c r="G970" s="27"/>
    </row>
    <row r="971" customFormat="false" ht="15" hidden="false" customHeight="false" outlineLevel="0" collapsed="false">
      <c r="A971" s="29"/>
      <c r="B971" s="40" t="n">
        <f aca="false">IF($A971="",0,INT(($A971-Macrociclo!$C$11)/7)+1)</f>
        <v>0</v>
      </c>
      <c r="C971" s="27"/>
      <c r="D971" s="27"/>
      <c r="E971" s="28"/>
      <c r="F971" s="28"/>
      <c r="G971" s="27"/>
    </row>
    <row r="972" customFormat="false" ht="15" hidden="false" customHeight="false" outlineLevel="0" collapsed="false">
      <c r="A972" s="29"/>
      <c r="B972" s="40" t="n">
        <f aca="false">IF($A972="",0,INT(($A972-Macrociclo!$C$11)/7)+1)</f>
        <v>0</v>
      </c>
      <c r="C972" s="27"/>
      <c r="D972" s="27"/>
      <c r="E972" s="28"/>
      <c r="F972" s="28"/>
      <c r="G972" s="27"/>
    </row>
    <row r="973" customFormat="false" ht="15" hidden="false" customHeight="false" outlineLevel="0" collapsed="false">
      <c r="A973" s="29"/>
      <c r="B973" s="40" t="n">
        <f aca="false">IF($A973="",0,INT(($A973-Macrociclo!$C$11)/7)+1)</f>
        <v>0</v>
      </c>
      <c r="C973" s="27"/>
      <c r="D973" s="27"/>
      <c r="E973" s="28"/>
      <c r="F973" s="28"/>
      <c r="G973" s="27"/>
    </row>
    <row r="974" customFormat="false" ht="15" hidden="false" customHeight="false" outlineLevel="0" collapsed="false">
      <c r="A974" s="29"/>
      <c r="B974" s="40" t="n">
        <f aca="false">IF($A974="",0,INT(($A974-Macrociclo!$C$11)/7)+1)</f>
        <v>0</v>
      </c>
      <c r="C974" s="27"/>
      <c r="D974" s="27"/>
      <c r="E974" s="28"/>
      <c r="F974" s="28"/>
      <c r="G974" s="27"/>
    </row>
    <row r="975" customFormat="false" ht="15" hidden="false" customHeight="false" outlineLevel="0" collapsed="false">
      <c r="A975" s="29"/>
      <c r="B975" s="40" t="n">
        <f aca="false">IF($A975="",0,INT(($A975-Macrociclo!$C$11)/7)+1)</f>
        <v>0</v>
      </c>
      <c r="C975" s="27"/>
      <c r="D975" s="27"/>
      <c r="E975" s="28"/>
      <c r="F975" s="28"/>
      <c r="G975" s="27"/>
    </row>
    <row r="976" customFormat="false" ht="15" hidden="false" customHeight="false" outlineLevel="0" collapsed="false">
      <c r="A976" s="29"/>
      <c r="B976" s="40" t="n">
        <f aca="false">IF($A976="",0,INT(($A976-Macrociclo!$C$11)/7)+1)</f>
        <v>0</v>
      </c>
      <c r="C976" s="27"/>
      <c r="D976" s="27"/>
      <c r="E976" s="28"/>
      <c r="F976" s="28"/>
      <c r="G976" s="27"/>
    </row>
    <row r="977" customFormat="false" ht="15" hidden="false" customHeight="false" outlineLevel="0" collapsed="false">
      <c r="A977" s="29"/>
      <c r="B977" s="40" t="n">
        <f aca="false">IF($A977="",0,INT(($A977-Macrociclo!$C$11)/7)+1)</f>
        <v>0</v>
      </c>
      <c r="C977" s="27"/>
      <c r="D977" s="27"/>
      <c r="E977" s="28"/>
      <c r="F977" s="28"/>
      <c r="G977" s="27"/>
    </row>
    <row r="978" customFormat="false" ht="15" hidden="false" customHeight="false" outlineLevel="0" collapsed="false">
      <c r="A978" s="29"/>
      <c r="B978" s="40" t="n">
        <f aca="false">IF($A978="",0,INT(($A978-Macrociclo!$C$11)/7)+1)</f>
        <v>0</v>
      </c>
      <c r="C978" s="27"/>
      <c r="D978" s="27"/>
      <c r="E978" s="28"/>
      <c r="F978" s="28"/>
      <c r="G978" s="27"/>
    </row>
    <row r="979" customFormat="false" ht="15" hidden="false" customHeight="false" outlineLevel="0" collapsed="false">
      <c r="A979" s="29"/>
      <c r="B979" s="40" t="n">
        <f aca="false">IF($A979="",0,INT(($A979-Macrociclo!$C$11)/7)+1)</f>
        <v>0</v>
      </c>
      <c r="C979" s="27"/>
      <c r="D979" s="27"/>
      <c r="E979" s="28"/>
      <c r="F979" s="28"/>
      <c r="G979" s="27"/>
    </row>
    <row r="980" customFormat="false" ht="15" hidden="false" customHeight="false" outlineLevel="0" collapsed="false">
      <c r="A980" s="29"/>
      <c r="B980" s="40" t="n">
        <f aca="false">IF($A980="",0,INT(($A980-Macrociclo!$C$11)/7)+1)</f>
        <v>0</v>
      </c>
      <c r="C980" s="27"/>
      <c r="D980" s="27"/>
      <c r="E980" s="28"/>
      <c r="F980" s="28"/>
      <c r="G980" s="27"/>
    </row>
    <row r="981" customFormat="false" ht="15" hidden="false" customHeight="false" outlineLevel="0" collapsed="false">
      <c r="A981" s="29"/>
      <c r="B981" s="40" t="n">
        <f aca="false">IF($A981="",0,INT(($A981-Macrociclo!$C$11)/7)+1)</f>
        <v>0</v>
      </c>
      <c r="C981" s="27"/>
      <c r="D981" s="27"/>
      <c r="E981" s="28"/>
      <c r="F981" s="28"/>
      <c r="G981" s="27"/>
    </row>
    <row r="982" customFormat="false" ht="15" hidden="false" customHeight="false" outlineLevel="0" collapsed="false">
      <c r="A982" s="29"/>
      <c r="B982" s="40" t="n">
        <f aca="false">IF($A982="",0,INT(($A982-Macrociclo!$C$11)/7)+1)</f>
        <v>0</v>
      </c>
      <c r="C982" s="27"/>
      <c r="D982" s="27"/>
      <c r="E982" s="28"/>
      <c r="F982" s="28"/>
      <c r="G982" s="27"/>
    </row>
    <row r="983" customFormat="false" ht="15" hidden="false" customHeight="false" outlineLevel="0" collapsed="false">
      <c r="A983" s="29"/>
      <c r="B983" s="40" t="n">
        <f aca="false">IF($A983="",0,INT(($A983-Macrociclo!$C$11)/7)+1)</f>
        <v>0</v>
      </c>
      <c r="C983" s="27"/>
      <c r="D983" s="27"/>
      <c r="E983" s="28"/>
      <c r="F983" s="28"/>
      <c r="G983" s="27"/>
    </row>
    <row r="984" customFormat="false" ht="15" hidden="false" customHeight="false" outlineLevel="0" collapsed="false">
      <c r="A984" s="29"/>
      <c r="B984" s="40" t="n">
        <f aca="false">IF($A984="",0,INT(($A984-Macrociclo!$C$11)/7)+1)</f>
        <v>0</v>
      </c>
      <c r="C984" s="27"/>
      <c r="D984" s="27"/>
      <c r="E984" s="28"/>
      <c r="F984" s="28"/>
      <c r="G984" s="27"/>
    </row>
    <row r="985" customFormat="false" ht="15" hidden="false" customHeight="false" outlineLevel="0" collapsed="false">
      <c r="A985" s="29"/>
      <c r="B985" s="40" t="n">
        <f aca="false">IF($A985="",0,INT(($A985-Macrociclo!$C$11)/7)+1)</f>
        <v>0</v>
      </c>
      <c r="C985" s="27"/>
      <c r="D985" s="27"/>
      <c r="E985" s="28"/>
      <c r="F985" s="28"/>
      <c r="G985" s="27"/>
    </row>
    <row r="986" customFormat="false" ht="15" hidden="false" customHeight="false" outlineLevel="0" collapsed="false">
      <c r="A986" s="29"/>
      <c r="B986" s="40" t="n">
        <f aca="false">IF($A986="",0,INT(($A986-Macrociclo!$C$11)/7)+1)</f>
        <v>0</v>
      </c>
      <c r="C986" s="27"/>
      <c r="D986" s="27"/>
      <c r="E986" s="28"/>
      <c r="F986" s="28"/>
      <c r="G986" s="27"/>
    </row>
    <row r="987" customFormat="false" ht="15" hidden="false" customHeight="false" outlineLevel="0" collapsed="false">
      <c r="A987" s="29"/>
      <c r="B987" s="40" t="n">
        <f aca="false">IF($A987="",0,INT(($A987-Macrociclo!$C$11)/7)+1)</f>
        <v>0</v>
      </c>
      <c r="C987" s="27"/>
      <c r="D987" s="27"/>
      <c r="E987" s="28"/>
      <c r="F987" s="28"/>
      <c r="G987" s="27"/>
    </row>
    <row r="988" customFormat="false" ht="15" hidden="false" customHeight="false" outlineLevel="0" collapsed="false">
      <c r="A988" s="29"/>
      <c r="B988" s="40" t="n">
        <f aca="false">IF($A988="",0,INT(($A988-Macrociclo!$C$11)/7)+1)</f>
        <v>0</v>
      </c>
      <c r="C988" s="27"/>
      <c r="D988" s="27"/>
      <c r="E988" s="28"/>
      <c r="F988" s="28"/>
      <c r="G988" s="27"/>
    </row>
    <row r="989" customFormat="false" ht="15" hidden="false" customHeight="false" outlineLevel="0" collapsed="false">
      <c r="A989" s="29"/>
      <c r="B989" s="40" t="n">
        <f aca="false">IF($A989="",0,INT(($A989-Macrociclo!$C$11)/7)+1)</f>
        <v>0</v>
      </c>
      <c r="C989" s="27"/>
      <c r="D989" s="27"/>
      <c r="E989" s="28"/>
      <c r="F989" s="28"/>
      <c r="G989" s="27"/>
    </row>
    <row r="990" customFormat="false" ht="15" hidden="false" customHeight="false" outlineLevel="0" collapsed="false">
      <c r="A990" s="29"/>
      <c r="B990" s="40" t="n">
        <f aca="false">IF($A990="",0,INT(($A990-Macrociclo!$C$11)/7)+1)</f>
        <v>0</v>
      </c>
      <c r="C990" s="27"/>
      <c r="D990" s="27"/>
      <c r="E990" s="28"/>
      <c r="F990" s="28"/>
      <c r="G990" s="27"/>
    </row>
    <row r="991" customFormat="false" ht="15" hidden="false" customHeight="false" outlineLevel="0" collapsed="false">
      <c r="A991" s="29"/>
      <c r="B991" s="40" t="n">
        <f aca="false">IF($A991="",0,INT(($A991-Macrociclo!$C$11)/7)+1)</f>
        <v>0</v>
      </c>
      <c r="C991" s="27"/>
      <c r="D991" s="27"/>
      <c r="E991" s="28"/>
      <c r="F991" s="28"/>
      <c r="G991" s="27"/>
    </row>
    <row r="992" customFormat="false" ht="15" hidden="false" customHeight="false" outlineLevel="0" collapsed="false">
      <c r="A992" s="29"/>
      <c r="B992" s="40" t="n">
        <f aca="false">IF($A992="",0,INT(($A992-Macrociclo!$C$11)/7)+1)</f>
        <v>0</v>
      </c>
      <c r="C992" s="27"/>
      <c r="D992" s="27"/>
      <c r="E992" s="28"/>
      <c r="F992" s="28"/>
      <c r="G992" s="27"/>
    </row>
    <row r="993" customFormat="false" ht="15" hidden="false" customHeight="false" outlineLevel="0" collapsed="false">
      <c r="A993" s="29"/>
      <c r="B993" s="40" t="n">
        <f aca="false">IF($A993="",0,INT(($A993-Macrociclo!$C$11)/7)+1)</f>
        <v>0</v>
      </c>
      <c r="C993" s="27"/>
      <c r="D993" s="27"/>
      <c r="E993" s="28"/>
      <c r="F993" s="28"/>
      <c r="G993" s="27"/>
    </row>
    <row r="994" customFormat="false" ht="15" hidden="false" customHeight="false" outlineLevel="0" collapsed="false">
      <c r="A994" s="29"/>
      <c r="B994" s="40" t="n">
        <f aca="false">IF($A994="",0,INT(($A994-Macrociclo!$C$11)/7)+1)</f>
        <v>0</v>
      </c>
      <c r="C994" s="27"/>
      <c r="D994" s="27"/>
      <c r="E994" s="28"/>
      <c r="F994" s="28"/>
      <c r="G994" s="27"/>
    </row>
    <row r="995" customFormat="false" ht="15" hidden="false" customHeight="false" outlineLevel="0" collapsed="false">
      <c r="A995" s="29"/>
      <c r="B995" s="40" t="n">
        <f aca="false">IF($A995="",0,INT(($A995-Macrociclo!$C$11)/7)+1)</f>
        <v>0</v>
      </c>
      <c r="C995" s="27"/>
      <c r="D995" s="27"/>
      <c r="E995" s="28"/>
      <c r="F995" s="28"/>
      <c r="G995" s="27"/>
    </row>
    <row r="996" customFormat="false" ht="15" hidden="false" customHeight="false" outlineLevel="0" collapsed="false">
      <c r="A996" s="29"/>
      <c r="B996" s="40" t="n">
        <f aca="false">IF($A996="",0,INT(($A996-Macrociclo!$C$11)/7)+1)</f>
        <v>0</v>
      </c>
      <c r="C996" s="27"/>
      <c r="D996" s="27"/>
      <c r="E996" s="28"/>
      <c r="F996" s="28"/>
      <c r="G996" s="27"/>
    </row>
    <row r="997" customFormat="false" ht="15" hidden="false" customHeight="false" outlineLevel="0" collapsed="false">
      <c r="A997" s="29"/>
      <c r="B997" s="40" t="n">
        <f aca="false">IF($A997="",0,INT(($A997-Macrociclo!$C$11)/7)+1)</f>
        <v>0</v>
      </c>
      <c r="C997" s="27"/>
      <c r="D997" s="27"/>
      <c r="E997" s="28"/>
      <c r="F997" s="28"/>
      <c r="G997" s="27"/>
    </row>
    <row r="998" customFormat="false" ht="15" hidden="false" customHeight="false" outlineLevel="0" collapsed="false">
      <c r="A998" s="29"/>
      <c r="B998" s="40" t="n">
        <f aca="false">IF($A998="",0,INT(($A998-Macrociclo!$C$11)/7)+1)</f>
        <v>0</v>
      </c>
      <c r="C998" s="27"/>
      <c r="D998" s="27"/>
      <c r="E998" s="28"/>
      <c r="F998" s="28"/>
      <c r="G998" s="27"/>
    </row>
    <row r="999" customFormat="false" ht="15" hidden="false" customHeight="false" outlineLevel="0" collapsed="false">
      <c r="A999" s="29"/>
      <c r="B999" s="40" t="n">
        <f aca="false">IF($A999="",0,INT(($A999-Macrociclo!$C$11)/7)+1)</f>
        <v>0</v>
      </c>
      <c r="C999" s="27"/>
      <c r="D999" s="27"/>
      <c r="E999" s="28"/>
      <c r="F999" s="28"/>
      <c r="G999" s="27"/>
    </row>
    <row r="1000" customFormat="false" ht="15" hidden="false" customHeight="false" outlineLevel="0" collapsed="false">
      <c r="A1000" s="29"/>
      <c r="B1000" s="40" t="n">
        <f aca="false">IF($A1000="",0,INT(($A1000-Macrociclo!$C$11)/7)+1)</f>
        <v>0</v>
      </c>
      <c r="C1000" s="27"/>
      <c r="D1000" s="27"/>
      <c r="E1000" s="28"/>
      <c r="F1000" s="28"/>
      <c r="G1000" s="27"/>
    </row>
    <row r="1001" customFormat="false" ht="15" hidden="false" customHeight="false" outlineLevel="0" collapsed="false">
      <c r="A1001" s="29"/>
      <c r="B1001" s="40" t="n">
        <f aca="false">IF($A1001="",0,INT(($A1001-Macrociclo!$C$11)/7)+1)</f>
        <v>0</v>
      </c>
      <c r="C1001" s="27"/>
      <c r="D1001" s="27"/>
      <c r="E1001" s="28"/>
      <c r="F1001" s="28"/>
      <c r="G1001" s="27"/>
    </row>
    <row r="1002" customFormat="false" ht="15" hidden="false" customHeight="false" outlineLevel="0" collapsed="false">
      <c r="A1002" s="29"/>
      <c r="B1002" s="40" t="n">
        <f aca="false">IF($A1002="",0,INT(($A1002-Macrociclo!$C$11)/7)+1)</f>
        <v>0</v>
      </c>
      <c r="C1002" s="27"/>
      <c r="D1002" s="27"/>
      <c r="E1002" s="28"/>
      <c r="F1002" s="28"/>
      <c r="G1002" s="27"/>
    </row>
    <row r="1003" customFormat="false" ht="15" hidden="false" customHeight="false" outlineLevel="0" collapsed="false">
      <c r="A1003" s="29"/>
      <c r="B1003" s="40" t="n">
        <f aca="false">IF($A1003="",0,INT(($A1003-Macrociclo!$C$11)/7)+1)</f>
        <v>0</v>
      </c>
      <c r="C1003" s="27"/>
      <c r="D1003" s="27"/>
      <c r="E1003" s="28"/>
      <c r="F1003" s="28"/>
      <c r="G1003" s="27"/>
    </row>
    <row r="1004" customFormat="false" ht="15" hidden="false" customHeight="false" outlineLevel="0" collapsed="false">
      <c r="A1004" s="29"/>
      <c r="B1004" s="40" t="n">
        <f aca="false">IF($A1004="",0,INT(($A1004-Macrociclo!$C$11)/7)+1)</f>
        <v>0</v>
      </c>
      <c r="C1004" s="27"/>
      <c r="D1004" s="27"/>
      <c r="E1004" s="28"/>
      <c r="F1004" s="28"/>
      <c r="G1004" s="27"/>
    </row>
    <row r="1005" customFormat="false" ht="15" hidden="false" customHeight="false" outlineLevel="0" collapsed="false">
      <c r="A1005" s="29"/>
      <c r="B1005" s="40" t="n">
        <f aca="false">IF($A1005="",0,INT(($A1005-Macrociclo!$C$11)/7)+1)</f>
        <v>0</v>
      </c>
      <c r="C1005" s="27"/>
      <c r="D1005" s="27"/>
      <c r="E1005" s="28"/>
      <c r="F1005" s="28"/>
      <c r="G1005" s="27"/>
    </row>
    <row r="1006" customFormat="false" ht="15" hidden="false" customHeight="false" outlineLevel="0" collapsed="false">
      <c r="A1006" s="29"/>
      <c r="B1006" s="40" t="n">
        <f aca="false">IF($A1006="",0,INT(($A1006-Macrociclo!$C$11)/7)+1)</f>
        <v>0</v>
      </c>
      <c r="C1006" s="27"/>
      <c r="D1006" s="27"/>
      <c r="E1006" s="28"/>
      <c r="F1006" s="28"/>
      <c r="G1006" s="27"/>
    </row>
    <row r="1007" customFormat="false" ht="15" hidden="false" customHeight="false" outlineLevel="0" collapsed="false">
      <c r="A1007" s="29"/>
      <c r="B1007" s="40" t="n">
        <f aca="false">IF($A1007="",0,INT(($A1007-Macrociclo!$C$11)/7)+1)</f>
        <v>0</v>
      </c>
      <c r="C1007" s="27"/>
      <c r="D1007" s="27"/>
      <c r="E1007" s="28"/>
      <c r="F1007" s="28"/>
      <c r="G1007" s="27"/>
    </row>
  </sheetData>
  <mergeCells count="3">
    <mergeCell ref="A1:P1"/>
    <mergeCell ref="A2:P2"/>
    <mergeCell ref="I5:P5"/>
  </mergeCells>
  <conditionalFormatting sqref="E8:E1007">
    <cfRule type="cellIs" priority="2" operator="equal" aboveAverage="0" equalAverage="0" bottom="0" percent="0" rank="0" text="" dxfId="10">
      <formula>"Presente"</formula>
    </cfRule>
    <cfRule type="cellIs" priority="3" operator="equal" aboveAverage="0" equalAverage="0" bottom="0" percent="0" rank="0" text="" dxfId="11">
      <formula>"Falta Não Justificada"</formula>
    </cfRule>
    <cfRule type="cellIs" priority="4" operator="equal" aboveAverage="0" equalAverage="0" bottom="0" percent="0" rank="0" text="" dxfId="11">
      <formula>"Lesionado"</formula>
    </cfRule>
    <cfRule type="cellIs" priority="5" operator="equal" aboveAverage="0" equalAverage="0" bottom="0" percent="0" rank="0" text="" dxfId="11">
      <formula>"Departamento Médico"</formula>
    </cfRule>
    <cfRule type="cellIs" priority="6" operator="equal" aboveAverage="0" equalAverage="0" bottom="0" percent="0" rank="0" text="" dxfId="12">
      <formula>"Falta Justificada"</formula>
    </cfRule>
  </conditionalFormatting>
  <conditionalFormatting sqref="L8:L47">
    <cfRule type="colorScale" priority="7">
      <colorScale>
        <cfvo type="num" val="0.5"/>
        <cfvo type="num" val="0.8"/>
        <cfvo type="num" val="1"/>
        <color rgb="FFFFC7CE"/>
        <color rgb="FFFFEB9C"/>
        <color rgb="FFC6EFCE"/>
      </colorScale>
    </cfRule>
  </conditionalFormatting>
  <dataValidations count="3">
    <dataValidation allowBlank="true" errorStyle="stop" operator="between" showDropDown="false" showErrorMessage="false" showInputMessage="false" sqref="D8:D1007" type="list">
      <formula1>Cadastro!$B$8:$B$47</formula1>
      <formula2>0</formula2>
    </dataValidation>
    <dataValidation allowBlank="true" errorStyle="stop" operator="between" showDropDown="false" showErrorMessage="false" showInputMessage="false" sqref="E8:E1007" type="list">
      <formula1>Listas!$L$5:$L$16</formula1>
      <formula2>0</formula2>
    </dataValidation>
    <dataValidation allowBlank="true" errorStyle="stop" operator="between" showDropDown="false" showErrorMessage="false" showInputMessage="false" sqref="C8:C1007" type="list">
      <formula1>Listas!$Q$5:$Q$16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Q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9" min="5" style="0" width="13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8"/>
  </cols>
  <sheetData>
    <row r="1" customFormat="false" ht="30" hidden="false" customHeight="true" outlineLevel="0" collapsed="false">
      <c r="A1" s="1" t="s">
        <v>1264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1265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4" hidden="false" customHeight="true" outlineLevel="0" collapsed="false">
      <c r="A4" s="47" t="s">
        <v>1266</v>
      </c>
      <c r="C4" s="151" t="s">
        <v>164</v>
      </c>
      <c r="D4" s="151"/>
      <c r="E4" s="151"/>
      <c r="F4" s="151"/>
    </row>
    <row r="5" customFormat="false" ht="15" hidden="false" customHeight="false" outlineLevel="0" collapsed="false">
      <c r="A5" s="47" t="s">
        <v>1267</v>
      </c>
      <c r="C5" s="81" t="n">
        <v>46265</v>
      </c>
      <c r="D5" s="81"/>
      <c r="E5" s="81"/>
      <c r="F5" s="81"/>
    </row>
    <row r="7" customFormat="false" ht="19.5" hidden="false" customHeight="true" outlineLevel="0" collapsed="false">
      <c r="A7" s="3" t="s">
        <v>1268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5" hidden="false" customHeight="false" outlineLevel="0" collapsed="false">
      <c r="A8" s="47" t="s">
        <v>98</v>
      </c>
      <c r="B8" s="89" t="str">
        <f aca="false">IFERROR(INDEX(Cadastro!$A$8:$A$47,MATCH($C$4,Cadastro!$B$8:$B$47,0)),"")</f>
        <v>ATL-001</v>
      </c>
      <c r="C8" s="89"/>
      <c r="D8" s="89"/>
      <c r="E8" s="89"/>
      <c r="G8" s="47" t="s">
        <v>107</v>
      </c>
      <c r="H8" s="92" t="n">
        <f aca="false">IFERROR(INDEX(Cadastro!$J$8:$J$47,MATCH($C$4,Cadastro!$B$8:$B$47,0)),"")</f>
        <v>5</v>
      </c>
      <c r="I8" s="92"/>
      <c r="J8" s="92"/>
      <c r="K8" s="92"/>
      <c r="M8" s="47" t="s">
        <v>1269</v>
      </c>
      <c r="N8" s="89" t="str">
        <f aca="false">IFERROR(INDEX(Cadastro!$M$8:$M$47,MATCH($C$4,Cadastro!$B$8:$B$47,0)),"")</f>
        <v>Destro</v>
      </c>
      <c r="O8" s="89"/>
      <c r="P8" s="89"/>
      <c r="Q8" s="89"/>
    </row>
    <row r="9" customFormat="false" ht="15" hidden="false" customHeight="false" outlineLevel="0" collapsed="false">
      <c r="A9" s="47" t="s">
        <v>102</v>
      </c>
      <c r="B9" s="152" t="n">
        <f aca="false">IFERROR(INDEX(Cadastro!$E$8:$E$47,MATCH($C$4,Cadastro!$B$8:$B$47,0)),"")</f>
        <v>28</v>
      </c>
      <c r="C9" s="152"/>
      <c r="D9" s="152"/>
      <c r="E9" s="152"/>
      <c r="G9" s="47" t="s">
        <v>112</v>
      </c>
      <c r="H9" s="153" t="n">
        <f aca="false">IFERROR(INDEX(Cadastro!$O$8:$O$47,MATCH($C$4,Cadastro!$B$8:$B$47,0)),"")</f>
        <v>196</v>
      </c>
      <c r="I9" s="153"/>
      <c r="J9" s="153"/>
      <c r="K9" s="153"/>
      <c r="M9" s="47" t="s">
        <v>111</v>
      </c>
      <c r="N9" s="89" t="str">
        <f aca="false">IFERROR(INDEX(Cadastro!$N$8:$N$47,MATCH($C$4,Cadastro!$B$8:$B$47,0)),"")</f>
        <v>Esquerda</v>
      </c>
      <c r="O9" s="89"/>
      <c r="P9" s="89"/>
      <c r="Q9" s="89"/>
    </row>
    <row r="10" customFormat="false" ht="15" hidden="false" customHeight="false" outlineLevel="0" collapsed="false">
      <c r="A10" s="47" t="s">
        <v>109</v>
      </c>
      <c r="B10" s="89" t="str">
        <f aca="false">IFERROR(INDEX(Cadastro!$L$8:$L$47,MATCH($C$4,Cadastro!$B$8:$B$47,0)),"")</f>
        <v>Levantador</v>
      </c>
      <c r="C10" s="89"/>
      <c r="D10" s="89"/>
      <c r="E10" s="89"/>
      <c r="G10" s="47" t="s">
        <v>113</v>
      </c>
      <c r="H10" s="153" t="n">
        <f aca="false">IFERROR(INDEX(Cadastro!$P$8:$P$47,MATCH($C$4,Cadastro!$B$8:$B$47,0)),"")</f>
        <v>87.8</v>
      </c>
      <c r="I10" s="153"/>
      <c r="J10" s="153"/>
      <c r="K10" s="153"/>
      <c r="M10" s="47" t="s">
        <v>143</v>
      </c>
      <c r="N10" s="152" t="n">
        <f aca="false">IFERROR(INDEX(Cadastro!$AT$8:$AT$47,MATCH($C$4,Cadastro!$B$8:$B$47,0)),"")</f>
        <v>17</v>
      </c>
      <c r="O10" s="152"/>
      <c r="P10" s="152"/>
      <c r="Q10" s="152"/>
    </row>
    <row r="11" customFormat="false" ht="15" hidden="false" customHeight="false" outlineLevel="0" collapsed="false">
      <c r="A11" s="47" t="s">
        <v>108</v>
      </c>
      <c r="B11" s="89" t="str">
        <f aca="false">IFERROR(INDEX(Cadastro!$K$8:$K$47,MATCH($C$4,Cadastro!$B$8:$B$47,0)),"")</f>
        <v>Adulto</v>
      </c>
      <c r="C11" s="89"/>
      <c r="D11" s="89"/>
      <c r="E11" s="89"/>
      <c r="G11" s="47" t="s">
        <v>114</v>
      </c>
      <c r="H11" s="153" t="n">
        <f aca="false">IFERROR(INDEX(Cadastro!$Q$8:$Q$47,MATCH($C$4,Cadastro!$B$8:$B$47,0)),"")</f>
        <v>22.9</v>
      </c>
      <c r="I11" s="153"/>
      <c r="J11" s="153"/>
      <c r="K11" s="153"/>
      <c r="M11" s="47" t="s">
        <v>161</v>
      </c>
      <c r="N11" s="89" t="str">
        <f aca="false">IFERROR(INDEX(Cadastro!$BL$8:$BL$47,MATCH($C$4,Cadastro!$B$8:$B$47,0)),"")</f>
        <v>Ativo</v>
      </c>
      <c r="O11" s="89"/>
      <c r="P11" s="89"/>
      <c r="Q11" s="89"/>
    </row>
    <row r="13" customFormat="false" ht="19.5" hidden="false" customHeight="true" outlineLevel="0" collapsed="false">
      <c r="A13" s="3" t="s">
        <v>1270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25.5" hidden="false" customHeight="true" outlineLevel="0" collapsed="false">
      <c r="A14" s="127" t="s">
        <v>1271</v>
      </c>
      <c r="B14" s="127"/>
      <c r="C14" s="127" t="s">
        <v>1272</v>
      </c>
      <c r="D14" s="127"/>
      <c r="E14" s="127" t="s">
        <v>1273</v>
      </c>
      <c r="F14" s="127"/>
      <c r="G14" s="128" t="s">
        <v>1274</v>
      </c>
      <c r="H14" s="128"/>
      <c r="I14" s="128" t="s">
        <v>1275</v>
      </c>
      <c r="J14" s="128"/>
      <c r="K14" s="128" t="s">
        <v>1276</v>
      </c>
      <c r="L14" s="128"/>
      <c r="M14" s="127" t="s">
        <v>1277</v>
      </c>
      <c r="N14" s="127"/>
      <c r="O14" s="136" t="s">
        <v>1278</v>
      </c>
      <c r="P14" s="136"/>
    </row>
    <row r="15" customFormat="false" ht="30" hidden="false" customHeight="true" outlineLevel="0" collapsed="false">
      <c r="A15" s="129" t="n">
        <f aca="false">COUNTIFS('Carga (PSE)'!$C$8:$C$1007,$C$4)</f>
        <v>23</v>
      </c>
      <c r="B15" s="129"/>
      <c r="C15" s="130" t="n">
        <f aca="false">SUMIFS('Carga (PSE)'!$G$8:$G$1007,'Carga (PSE)'!$C$8:$C$1007,$C$4)</f>
        <v>12825</v>
      </c>
      <c r="D15" s="130"/>
      <c r="E15" s="130" t="n">
        <f aca="false">IFERROR(AVERAGEIF($J$20:$J$67,"&gt;0"),0)</f>
        <v>3206.25</v>
      </c>
      <c r="F15" s="130"/>
      <c r="G15" s="154" t="n">
        <f aca="false">IFERROR(IF(SUMPRODUCT(MAX(('Carga (PSE)'!$C$8:$C$1007=$C$4)*'Carga (PSE)'!$A$8:$A$1007))=0,"",SUMPRODUCT(MAX(('Carga (PSE)'!$C$8:$C$1007=$C$4)*'Carga (PSE)'!$A$8:$A$1007))),"")</f>
        <v>46266</v>
      </c>
      <c r="H15" s="154"/>
      <c r="I15" s="155" t="n">
        <f aca="false">IF($G$15="",0,IFERROR(AVERAGEIFS('Carga (PSE)'!$J$8:$J$1007,'Carga (PSE)'!$C$8:$C$1007,$C$4,'Carga (PSE)'!$A$8:$A$1007,$G$15),0))</f>
        <v>1.17426900584795</v>
      </c>
      <c r="J15" s="155"/>
      <c r="K15" s="155" t="n">
        <f aca="false">IFERROR(AVERAGEIF($N$20:$N$67,"&gt;0"),0)</f>
        <v>1.10187750076894</v>
      </c>
      <c r="L15" s="155"/>
      <c r="M15" s="132" t="n">
        <f aca="false">IFERROR(INDEX(Presença!$L$8:$L$47,MATCH($C$4,Presença!$I$8:$I$47,0)),0)</f>
        <v>0.92</v>
      </c>
      <c r="N15" s="132"/>
      <c r="O15" s="156" t="n">
        <f aca="false">IFERROR(AVERAGEIFS(Wellness!$H$8:$H$1007,Wellness!$C$8:$C$1007,$C$4),0)</f>
        <v>11.3888888888889</v>
      </c>
      <c r="P15" s="156"/>
    </row>
    <row r="16" customFormat="false" ht="24" hidden="false" customHeight="true" outlineLevel="0" collapsed="false">
      <c r="A16" s="157" t="str">
        <f aca="false">IF($C$4="","Selecione um atleta em C4.",IF($I$15&gt;1.5,"ALERTA: ACWR acima de 1,50 — pico de carga aguda. Avaliar redução do volume nas próximas sessões.",IF($I$15&lt;0.8,"ATENÇÃO: ACWR abaixo de 0,80 — carga recente baixa em relação à crônica. Progredir gradualmente.",IF($O$15&gt;16,"ATENÇÃO: Índice de Hooper médio elevado — monitorar sono, fadiga e dor muscular.",IF($K$15&gt;2,"ATENÇÃO: monotonia média acima de 2,0 — variar mais as cargas ao longo da semana.","Situação dentro dos parâmetros de referência.")))))</f>
        <v>Situação dentro dos parâmetros de referência.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</row>
    <row r="18" customFormat="false" ht="19.5" hidden="false" customHeight="true" outlineLevel="0" collapsed="false">
      <c r="A18" s="3" t="s">
        <v>1279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31.5" hidden="false" customHeight="true" outlineLevel="0" collapsed="false">
      <c r="A19" s="25" t="s">
        <v>922</v>
      </c>
      <c r="B19" s="25" t="s">
        <v>1280</v>
      </c>
      <c r="C19" s="25" t="s">
        <v>1281</v>
      </c>
      <c r="D19" s="25" t="s">
        <v>1282</v>
      </c>
      <c r="E19" s="25" t="s">
        <v>1283</v>
      </c>
      <c r="F19" s="25" t="s">
        <v>1284</v>
      </c>
      <c r="G19" s="25" t="s">
        <v>1285</v>
      </c>
      <c r="H19" s="25" t="s">
        <v>1286</v>
      </c>
      <c r="I19" s="25" t="s">
        <v>1287</v>
      </c>
      <c r="J19" s="25" t="s">
        <v>1288</v>
      </c>
      <c r="K19" s="25" t="s">
        <v>1289</v>
      </c>
      <c r="L19" s="25" t="s">
        <v>1290</v>
      </c>
      <c r="M19" s="25" t="s">
        <v>1291</v>
      </c>
      <c r="N19" s="25" t="s">
        <v>63</v>
      </c>
      <c r="O19" s="25" t="s">
        <v>65</v>
      </c>
      <c r="P19" s="25" t="s">
        <v>1245</v>
      </c>
    </row>
    <row r="20" customFormat="false" ht="15" hidden="false" customHeight="false" outlineLevel="0" collapsed="false">
      <c r="A20" s="69" t="n">
        <v>1</v>
      </c>
      <c r="B20" s="158" t="n">
        <f aca="false">IF(Macrociclo!$C$11="","",Macrociclo!$C$11+($A20-1)*7)</f>
        <v>46027</v>
      </c>
      <c r="C20" s="140" t="n">
        <f aca="false">IF($B20="",0,SUMIFS('Carga (PSE)'!$G$8:$G$1007,'Carga (PSE)'!$C$8:$C$1007,$C$4,'Carga (PSE)'!$A$8:$A$1007,$B20+0))</f>
        <v>0</v>
      </c>
      <c r="D20" s="140" t="n">
        <f aca="false">IF($B20="",0,SUMIFS('Carga (PSE)'!$G$8:$G$1007,'Carga (PSE)'!$C$8:$C$1007,$C$4,'Carga (PSE)'!$A$8:$A$1007,$B20+1))</f>
        <v>0</v>
      </c>
      <c r="E20" s="140" t="n">
        <f aca="false">IF($B20="",0,SUMIFS('Carga (PSE)'!$G$8:$G$1007,'Carga (PSE)'!$C$8:$C$1007,$C$4,'Carga (PSE)'!$A$8:$A$1007,$B20+2))</f>
        <v>0</v>
      </c>
      <c r="F20" s="140" t="n">
        <f aca="false">IF($B20="",0,SUMIFS('Carga (PSE)'!$G$8:$G$1007,'Carga (PSE)'!$C$8:$C$1007,$C$4,'Carga (PSE)'!$A$8:$A$1007,$B20+3))</f>
        <v>0</v>
      </c>
      <c r="G20" s="140" t="n">
        <f aca="false">IF($B20="",0,SUMIFS('Carga (PSE)'!$G$8:$G$1007,'Carga (PSE)'!$C$8:$C$1007,$C$4,'Carga (PSE)'!$A$8:$A$1007,$B20+4))</f>
        <v>0</v>
      </c>
      <c r="H20" s="140" t="n">
        <f aca="false">IF($B20="",0,SUMIFS('Carga (PSE)'!$G$8:$G$1007,'Carga (PSE)'!$C$8:$C$1007,$C$4,'Carga (PSE)'!$A$8:$A$1007,$B20+5))</f>
        <v>0</v>
      </c>
      <c r="I20" s="140" t="n">
        <f aca="false">IF($B20="",0,SUMIFS('Carga (PSE)'!$G$8:$G$1007,'Carga (PSE)'!$C$8:$C$1007,$C$4,'Carga (PSE)'!$A$8:$A$1007,$B20+6))</f>
        <v>0</v>
      </c>
      <c r="J20" s="44" t="n">
        <f aca="false">SUM($C20:$I20)</f>
        <v>0</v>
      </c>
      <c r="K20" s="140" t="n">
        <f aca="false">COUNTIFS('Carga (PSE)'!$C$8:$C$1007,$C$4,'Carga (PSE)'!$B$8:$B$1007,$A20)</f>
        <v>0</v>
      </c>
      <c r="L20" s="100" t="n">
        <f aca="false">IF($J20=0,0,$J20/7)</f>
        <v>0</v>
      </c>
      <c r="M20" s="100" t="n">
        <f aca="false">IF($J20=0,0,STDEV($C20:$I20))</f>
        <v>0</v>
      </c>
      <c r="N20" s="144" t="n">
        <f aca="false">IF($M20=0,0,$L20/$M20)</f>
        <v>0</v>
      </c>
      <c r="O20" s="44" t="n">
        <f aca="false">$J20*$N20</f>
        <v>0</v>
      </c>
      <c r="P20" s="69" t="str">
        <f aca="false">IF($J20=0,"",IF($N20&gt;2,"Monotonia alta",IF($N20&gt;=1.5,"Atenção","Adequada")))</f>
        <v/>
      </c>
    </row>
    <row r="21" customFormat="false" ht="15" hidden="false" customHeight="false" outlineLevel="0" collapsed="false">
      <c r="A21" s="73" t="n">
        <v>2</v>
      </c>
      <c r="B21" s="159" t="n">
        <f aca="false">IF(Macrociclo!$C$11="","",Macrociclo!$C$11+($A21-1)*7)</f>
        <v>46034</v>
      </c>
      <c r="C21" s="146" t="n">
        <f aca="false">IF($B21="",0,SUMIFS('Carga (PSE)'!$G$8:$G$1007,'Carga (PSE)'!$C$8:$C$1007,$C$4,'Carga (PSE)'!$A$8:$A$1007,$B21+0))</f>
        <v>0</v>
      </c>
      <c r="D21" s="146" t="n">
        <f aca="false">IF($B21="",0,SUMIFS('Carga (PSE)'!$G$8:$G$1007,'Carga (PSE)'!$C$8:$C$1007,$C$4,'Carga (PSE)'!$A$8:$A$1007,$B21+1))</f>
        <v>0</v>
      </c>
      <c r="E21" s="146" t="n">
        <f aca="false">IF($B21="",0,SUMIFS('Carga (PSE)'!$G$8:$G$1007,'Carga (PSE)'!$C$8:$C$1007,$C$4,'Carga (PSE)'!$A$8:$A$1007,$B21+2))</f>
        <v>0</v>
      </c>
      <c r="F21" s="146" t="n">
        <f aca="false">IF($B21="",0,SUMIFS('Carga (PSE)'!$G$8:$G$1007,'Carga (PSE)'!$C$8:$C$1007,$C$4,'Carga (PSE)'!$A$8:$A$1007,$B21+3))</f>
        <v>0</v>
      </c>
      <c r="G21" s="146" t="n">
        <f aca="false">IF($B21="",0,SUMIFS('Carga (PSE)'!$G$8:$G$1007,'Carga (PSE)'!$C$8:$C$1007,$C$4,'Carga (PSE)'!$A$8:$A$1007,$B21+4))</f>
        <v>0</v>
      </c>
      <c r="H21" s="146" t="n">
        <f aca="false">IF($B21="",0,SUMIFS('Carga (PSE)'!$G$8:$G$1007,'Carga (PSE)'!$C$8:$C$1007,$C$4,'Carga (PSE)'!$A$8:$A$1007,$B21+5))</f>
        <v>0</v>
      </c>
      <c r="I21" s="146" t="n">
        <f aca="false">IF($B21="",0,SUMIFS('Carga (PSE)'!$G$8:$G$1007,'Carga (PSE)'!$C$8:$C$1007,$C$4,'Carga (PSE)'!$A$8:$A$1007,$B21+6))</f>
        <v>0</v>
      </c>
      <c r="J21" s="147" t="n">
        <f aca="false">SUM($C21:$I21)</f>
        <v>0</v>
      </c>
      <c r="K21" s="146" t="n">
        <f aca="false">COUNTIFS('Carga (PSE)'!$C$8:$C$1007,$C$4,'Carga (PSE)'!$B$8:$B$1007,$A21)</f>
        <v>0</v>
      </c>
      <c r="L21" s="104" t="n">
        <f aca="false">IF($J21=0,0,$J21/7)</f>
        <v>0</v>
      </c>
      <c r="M21" s="104" t="n">
        <f aca="false">IF($J21=0,0,STDEV($C21:$I21))</f>
        <v>0</v>
      </c>
      <c r="N21" s="160" t="n">
        <f aca="false">IF($M21=0,0,$L21/$M21)</f>
        <v>0</v>
      </c>
      <c r="O21" s="147" t="n">
        <f aca="false">$J21*$N21</f>
        <v>0</v>
      </c>
      <c r="P21" s="73" t="str">
        <f aca="false">IF($J21=0,"",IF($N21&gt;2,"Monotonia alta",IF($N21&gt;=1.5,"Atenção","Adequada")))</f>
        <v/>
      </c>
    </row>
    <row r="22" customFormat="false" ht="15" hidden="false" customHeight="false" outlineLevel="0" collapsed="false">
      <c r="A22" s="69" t="n">
        <v>3</v>
      </c>
      <c r="B22" s="158" t="n">
        <f aca="false">IF(Macrociclo!$C$11="","",Macrociclo!$C$11+($A22-1)*7)</f>
        <v>46041</v>
      </c>
      <c r="C22" s="140" t="n">
        <f aca="false">IF($B22="",0,SUMIFS('Carga (PSE)'!$G$8:$G$1007,'Carga (PSE)'!$C$8:$C$1007,$C$4,'Carga (PSE)'!$A$8:$A$1007,$B22+0))</f>
        <v>0</v>
      </c>
      <c r="D22" s="140" t="n">
        <f aca="false">IF($B22="",0,SUMIFS('Carga (PSE)'!$G$8:$G$1007,'Carga (PSE)'!$C$8:$C$1007,$C$4,'Carga (PSE)'!$A$8:$A$1007,$B22+1))</f>
        <v>0</v>
      </c>
      <c r="E22" s="140" t="n">
        <f aca="false">IF($B22="",0,SUMIFS('Carga (PSE)'!$G$8:$G$1007,'Carga (PSE)'!$C$8:$C$1007,$C$4,'Carga (PSE)'!$A$8:$A$1007,$B22+2))</f>
        <v>0</v>
      </c>
      <c r="F22" s="140" t="n">
        <f aca="false">IF($B22="",0,SUMIFS('Carga (PSE)'!$G$8:$G$1007,'Carga (PSE)'!$C$8:$C$1007,$C$4,'Carga (PSE)'!$A$8:$A$1007,$B22+3))</f>
        <v>0</v>
      </c>
      <c r="G22" s="140" t="n">
        <f aca="false">IF($B22="",0,SUMIFS('Carga (PSE)'!$G$8:$G$1007,'Carga (PSE)'!$C$8:$C$1007,$C$4,'Carga (PSE)'!$A$8:$A$1007,$B22+4))</f>
        <v>0</v>
      </c>
      <c r="H22" s="140" t="n">
        <f aca="false">IF($B22="",0,SUMIFS('Carga (PSE)'!$G$8:$G$1007,'Carga (PSE)'!$C$8:$C$1007,$C$4,'Carga (PSE)'!$A$8:$A$1007,$B22+5))</f>
        <v>0</v>
      </c>
      <c r="I22" s="140" t="n">
        <f aca="false">IF($B22="",0,SUMIFS('Carga (PSE)'!$G$8:$G$1007,'Carga (PSE)'!$C$8:$C$1007,$C$4,'Carga (PSE)'!$A$8:$A$1007,$B22+6))</f>
        <v>0</v>
      </c>
      <c r="J22" s="44" t="n">
        <f aca="false">SUM($C22:$I22)</f>
        <v>0</v>
      </c>
      <c r="K22" s="140" t="n">
        <f aca="false">COUNTIFS('Carga (PSE)'!$C$8:$C$1007,$C$4,'Carga (PSE)'!$B$8:$B$1007,$A22)</f>
        <v>0</v>
      </c>
      <c r="L22" s="100" t="n">
        <f aca="false">IF($J22=0,0,$J22/7)</f>
        <v>0</v>
      </c>
      <c r="M22" s="100" t="n">
        <f aca="false">IF($J22=0,0,STDEV($C22:$I22))</f>
        <v>0</v>
      </c>
      <c r="N22" s="144" t="n">
        <f aca="false">IF($M22=0,0,$L22/$M22)</f>
        <v>0</v>
      </c>
      <c r="O22" s="44" t="n">
        <f aca="false">$J22*$N22</f>
        <v>0</v>
      </c>
      <c r="P22" s="69" t="str">
        <f aca="false">IF($J22=0,"",IF($N22&gt;2,"Monotonia alta",IF($N22&gt;=1.5,"Atenção","Adequada")))</f>
        <v/>
      </c>
    </row>
    <row r="23" customFormat="false" ht="15" hidden="false" customHeight="false" outlineLevel="0" collapsed="false">
      <c r="A23" s="73" t="n">
        <v>4</v>
      </c>
      <c r="B23" s="159" t="n">
        <f aca="false">IF(Macrociclo!$C$11="","",Macrociclo!$C$11+($A23-1)*7)</f>
        <v>46048</v>
      </c>
      <c r="C23" s="146" t="n">
        <f aca="false">IF($B23="",0,SUMIFS('Carga (PSE)'!$G$8:$G$1007,'Carga (PSE)'!$C$8:$C$1007,$C$4,'Carga (PSE)'!$A$8:$A$1007,$B23+0))</f>
        <v>0</v>
      </c>
      <c r="D23" s="146" t="n">
        <f aca="false">IF($B23="",0,SUMIFS('Carga (PSE)'!$G$8:$G$1007,'Carga (PSE)'!$C$8:$C$1007,$C$4,'Carga (PSE)'!$A$8:$A$1007,$B23+1))</f>
        <v>0</v>
      </c>
      <c r="E23" s="146" t="n">
        <f aca="false">IF($B23="",0,SUMIFS('Carga (PSE)'!$G$8:$G$1007,'Carga (PSE)'!$C$8:$C$1007,$C$4,'Carga (PSE)'!$A$8:$A$1007,$B23+2))</f>
        <v>0</v>
      </c>
      <c r="F23" s="146" t="n">
        <f aca="false">IF($B23="",0,SUMIFS('Carga (PSE)'!$G$8:$G$1007,'Carga (PSE)'!$C$8:$C$1007,$C$4,'Carga (PSE)'!$A$8:$A$1007,$B23+3))</f>
        <v>0</v>
      </c>
      <c r="G23" s="146" t="n">
        <f aca="false">IF($B23="",0,SUMIFS('Carga (PSE)'!$G$8:$G$1007,'Carga (PSE)'!$C$8:$C$1007,$C$4,'Carga (PSE)'!$A$8:$A$1007,$B23+4))</f>
        <v>0</v>
      </c>
      <c r="H23" s="146" t="n">
        <f aca="false">IF($B23="",0,SUMIFS('Carga (PSE)'!$G$8:$G$1007,'Carga (PSE)'!$C$8:$C$1007,$C$4,'Carga (PSE)'!$A$8:$A$1007,$B23+5))</f>
        <v>0</v>
      </c>
      <c r="I23" s="146" t="n">
        <f aca="false">IF($B23="",0,SUMIFS('Carga (PSE)'!$G$8:$G$1007,'Carga (PSE)'!$C$8:$C$1007,$C$4,'Carga (PSE)'!$A$8:$A$1007,$B23+6))</f>
        <v>0</v>
      </c>
      <c r="J23" s="147" t="n">
        <f aca="false">SUM($C23:$I23)</f>
        <v>0</v>
      </c>
      <c r="K23" s="146" t="n">
        <f aca="false">COUNTIFS('Carga (PSE)'!$C$8:$C$1007,$C$4,'Carga (PSE)'!$B$8:$B$1007,$A23)</f>
        <v>0</v>
      </c>
      <c r="L23" s="104" t="n">
        <f aca="false">IF($J23=0,0,$J23/7)</f>
        <v>0</v>
      </c>
      <c r="M23" s="104" t="n">
        <f aca="false">IF($J23=0,0,STDEV($C23:$I23))</f>
        <v>0</v>
      </c>
      <c r="N23" s="160" t="n">
        <f aca="false">IF($M23=0,0,$L23/$M23)</f>
        <v>0</v>
      </c>
      <c r="O23" s="147" t="n">
        <f aca="false">$J23*$N23</f>
        <v>0</v>
      </c>
      <c r="P23" s="73" t="str">
        <f aca="false">IF($J23=0,"",IF($N23&gt;2,"Monotonia alta",IF($N23&gt;=1.5,"Atenção","Adequada")))</f>
        <v/>
      </c>
    </row>
    <row r="24" customFormat="false" ht="15" hidden="false" customHeight="false" outlineLevel="0" collapsed="false">
      <c r="A24" s="69" t="n">
        <v>5</v>
      </c>
      <c r="B24" s="158" t="n">
        <f aca="false">IF(Macrociclo!$C$11="","",Macrociclo!$C$11+($A24-1)*7)</f>
        <v>46055</v>
      </c>
      <c r="C24" s="140" t="n">
        <f aca="false">IF($B24="",0,SUMIFS('Carga (PSE)'!$G$8:$G$1007,'Carga (PSE)'!$C$8:$C$1007,$C$4,'Carga (PSE)'!$A$8:$A$1007,$B24+0))</f>
        <v>0</v>
      </c>
      <c r="D24" s="140" t="n">
        <f aca="false">IF($B24="",0,SUMIFS('Carga (PSE)'!$G$8:$G$1007,'Carga (PSE)'!$C$8:$C$1007,$C$4,'Carga (PSE)'!$A$8:$A$1007,$B24+1))</f>
        <v>0</v>
      </c>
      <c r="E24" s="140" t="n">
        <f aca="false">IF($B24="",0,SUMIFS('Carga (PSE)'!$G$8:$G$1007,'Carga (PSE)'!$C$8:$C$1007,$C$4,'Carga (PSE)'!$A$8:$A$1007,$B24+2))</f>
        <v>0</v>
      </c>
      <c r="F24" s="140" t="n">
        <f aca="false">IF($B24="",0,SUMIFS('Carga (PSE)'!$G$8:$G$1007,'Carga (PSE)'!$C$8:$C$1007,$C$4,'Carga (PSE)'!$A$8:$A$1007,$B24+3))</f>
        <v>0</v>
      </c>
      <c r="G24" s="140" t="n">
        <f aca="false">IF($B24="",0,SUMIFS('Carga (PSE)'!$G$8:$G$1007,'Carga (PSE)'!$C$8:$C$1007,$C$4,'Carga (PSE)'!$A$8:$A$1007,$B24+4))</f>
        <v>0</v>
      </c>
      <c r="H24" s="140" t="n">
        <f aca="false">IF($B24="",0,SUMIFS('Carga (PSE)'!$G$8:$G$1007,'Carga (PSE)'!$C$8:$C$1007,$C$4,'Carga (PSE)'!$A$8:$A$1007,$B24+5))</f>
        <v>0</v>
      </c>
      <c r="I24" s="140" t="n">
        <f aca="false">IF($B24="",0,SUMIFS('Carga (PSE)'!$G$8:$G$1007,'Carga (PSE)'!$C$8:$C$1007,$C$4,'Carga (PSE)'!$A$8:$A$1007,$B24+6))</f>
        <v>0</v>
      </c>
      <c r="J24" s="44" t="n">
        <f aca="false">SUM($C24:$I24)</f>
        <v>0</v>
      </c>
      <c r="K24" s="140" t="n">
        <f aca="false">COUNTIFS('Carga (PSE)'!$C$8:$C$1007,$C$4,'Carga (PSE)'!$B$8:$B$1007,$A24)</f>
        <v>0</v>
      </c>
      <c r="L24" s="100" t="n">
        <f aca="false">IF($J24=0,0,$J24/7)</f>
        <v>0</v>
      </c>
      <c r="M24" s="100" t="n">
        <f aca="false">IF($J24=0,0,STDEV($C24:$I24))</f>
        <v>0</v>
      </c>
      <c r="N24" s="144" t="n">
        <f aca="false">IF($M24=0,0,$L24/$M24)</f>
        <v>0</v>
      </c>
      <c r="O24" s="44" t="n">
        <f aca="false">$J24*$N24</f>
        <v>0</v>
      </c>
      <c r="P24" s="69" t="str">
        <f aca="false">IF($J24=0,"",IF($N24&gt;2,"Monotonia alta",IF($N24&gt;=1.5,"Atenção","Adequada")))</f>
        <v/>
      </c>
    </row>
    <row r="25" customFormat="false" ht="15" hidden="false" customHeight="false" outlineLevel="0" collapsed="false">
      <c r="A25" s="73" t="n">
        <v>6</v>
      </c>
      <c r="B25" s="159" t="n">
        <f aca="false">IF(Macrociclo!$C$11="","",Macrociclo!$C$11+($A25-1)*7)</f>
        <v>46062</v>
      </c>
      <c r="C25" s="146" t="n">
        <f aca="false">IF($B25="",0,SUMIFS('Carga (PSE)'!$G$8:$G$1007,'Carga (PSE)'!$C$8:$C$1007,$C$4,'Carga (PSE)'!$A$8:$A$1007,$B25+0))</f>
        <v>0</v>
      </c>
      <c r="D25" s="146" t="n">
        <f aca="false">IF($B25="",0,SUMIFS('Carga (PSE)'!$G$8:$G$1007,'Carga (PSE)'!$C$8:$C$1007,$C$4,'Carga (PSE)'!$A$8:$A$1007,$B25+1))</f>
        <v>0</v>
      </c>
      <c r="E25" s="146" t="n">
        <f aca="false">IF($B25="",0,SUMIFS('Carga (PSE)'!$G$8:$G$1007,'Carga (PSE)'!$C$8:$C$1007,$C$4,'Carga (PSE)'!$A$8:$A$1007,$B25+2))</f>
        <v>0</v>
      </c>
      <c r="F25" s="146" t="n">
        <f aca="false">IF($B25="",0,SUMIFS('Carga (PSE)'!$G$8:$G$1007,'Carga (PSE)'!$C$8:$C$1007,$C$4,'Carga (PSE)'!$A$8:$A$1007,$B25+3))</f>
        <v>0</v>
      </c>
      <c r="G25" s="146" t="n">
        <f aca="false">IF($B25="",0,SUMIFS('Carga (PSE)'!$G$8:$G$1007,'Carga (PSE)'!$C$8:$C$1007,$C$4,'Carga (PSE)'!$A$8:$A$1007,$B25+4))</f>
        <v>0</v>
      </c>
      <c r="H25" s="146" t="n">
        <f aca="false">IF($B25="",0,SUMIFS('Carga (PSE)'!$G$8:$G$1007,'Carga (PSE)'!$C$8:$C$1007,$C$4,'Carga (PSE)'!$A$8:$A$1007,$B25+5))</f>
        <v>0</v>
      </c>
      <c r="I25" s="146" t="n">
        <f aca="false">IF($B25="",0,SUMIFS('Carga (PSE)'!$G$8:$G$1007,'Carga (PSE)'!$C$8:$C$1007,$C$4,'Carga (PSE)'!$A$8:$A$1007,$B25+6))</f>
        <v>0</v>
      </c>
      <c r="J25" s="147" t="n">
        <f aca="false">SUM($C25:$I25)</f>
        <v>0</v>
      </c>
      <c r="K25" s="146" t="n">
        <f aca="false">COUNTIFS('Carga (PSE)'!$C$8:$C$1007,$C$4,'Carga (PSE)'!$B$8:$B$1007,$A25)</f>
        <v>0</v>
      </c>
      <c r="L25" s="104" t="n">
        <f aca="false">IF($J25=0,0,$J25/7)</f>
        <v>0</v>
      </c>
      <c r="M25" s="104" t="n">
        <f aca="false">IF($J25=0,0,STDEV($C25:$I25))</f>
        <v>0</v>
      </c>
      <c r="N25" s="160" t="n">
        <f aca="false">IF($M25=0,0,$L25/$M25)</f>
        <v>0</v>
      </c>
      <c r="O25" s="147" t="n">
        <f aca="false">$J25*$N25</f>
        <v>0</v>
      </c>
      <c r="P25" s="73" t="str">
        <f aca="false">IF($J25=0,"",IF($N25&gt;2,"Monotonia alta",IF($N25&gt;=1.5,"Atenção","Adequada")))</f>
        <v/>
      </c>
    </row>
    <row r="26" customFormat="false" ht="15" hidden="false" customHeight="false" outlineLevel="0" collapsed="false">
      <c r="A26" s="69" t="n">
        <v>7</v>
      </c>
      <c r="B26" s="158" t="n">
        <f aca="false">IF(Macrociclo!$C$11="","",Macrociclo!$C$11+($A26-1)*7)</f>
        <v>46069</v>
      </c>
      <c r="C26" s="140" t="n">
        <f aca="false">IF($B26="",0,SUMIFS('Carga (PSE)'!$G$8:$G$1007,'Carga (PSE)'!$C$8:$C$1007,$C$4,'Carga (PSE)'!$A$8:$A$1007,$B26+0))</f>
        <v>0</v>
      </c>
      <c r="D26" s="140" t="n">
        <f aca="false">IF($B26="",0,SUMIFS('Carga (PSE)'!$G$8:$G$1007,'Carga (PSE)'!$C$8:$C$1007,$C$4,'Carga (PSE)'!$A$8:$A$1007,$B26+1))</f>
        <v>0</v>
      </c>
      <c r="E26" s="140" t="n">
        <f aca="false">IF($B26="",0,SUMIFS('Carga (PSE)'!$G$8:$G$1007,'Carga (PSE)'!$C$8:$C$1007,$C$4,'Carga (PSE)'!$A$8:$A$1007,$B26+2))</f>
        <v>0</v>
      </c>
      <c r="F26" s="140" t="n">
        <f aca="false">IF($B26="",0,SUMIFS('Carga (PSE)'!$G$8:$G$1007,'Carga (PSE)'!$C$8:$C$1007,$C$4,'Carga (PSE)'!$A$8:$A$1007,$B26+3))</f>
        <v>0</v>
      </c>
      <c r="G26" s="140" t="n">
        <f aca="false">IF($B26="",0,SUMIFS('Carga (PSE)'!$G$8:$G$1007,'Carga (PSE)'!$C$8:$C$1007,$C$4,'Carga (PSE)'!$A$8:$A$1007,$B26+4))</f>
        <v>0</v>
      </c>
      <c r="H26" s="140" t="n">
        <f aca="false">IF($B26="",0,SUMIFS('Carga (PSE)'!$G$8:$G$1007,'Carga (PSE)'!$C$8:$C$1007,$C$4,'Carga (PSE)'!$A$8:$A$1007,$B26+5))</f>
        <v>0</v>
      </c>
      <c r="I26" s="140" t="n">
        <f aca="false">IF($B26="",0,SUMIFS('Carga (PSE)'!$G$8:$G$1007,'Carga (PSE)'!$C$8:$C$1007,$C$4,'Carga (PSE)'!$A$8:$A$1007,$B26+6))</f>
        <v>0</v>
      </c>
      <c r="J26" s="44" t="n">
        <f aca="false">SUM($C26:$I26)</f>
        <v>0</v>
      </c>
      <c r="K26" s="140" t="n">
        <f aca="false">COUNTIFS('Carga (PSE)'!$C$8:$C$1007,$C$4,'Carga (PSE)'!$B$8:$B$1007,$A26)</f>
        <v>0</v>
      </c>
      <c r="L26" s="100" t="n">
        <f aca="false">IF($J26=0,0,$J26/7)</f>
        <v>0</v>
      </c>
      <c r="M26" s="100" t="n">
        <f aca="false">IF($J26=0,0,STDEV($C26:$I26))</f>
        <v>0</v>
      </c>
      <c r="N26" s="144" t="n">
        <f aca="false">IF($M26=0,0,$L26/$M26)</f>
        <v>0</v>
      </c>
      <c r="O26" s="44" t="n">
        <f aca="false">$J26*$N26</f>
        <v>0</v>
      </c>
      <c r="P26" s="69" t="str">
        <f aca="false">IF($J26=0,"",IF($N26&gt;2,"Monotonia alta",IF($N26&gt;=1.5,"Atenção","Adequada")))</f>
        <v/>
      </c>
    </row>
    <row r="27" customFormat="false" ht="15" hidden="false" customHeight="false" outlineLevel="0" collapsed="false">
      <c r="A27" s="73" t="n">
        <v>8</v>
      </c>
      <c r="B27" s="159" t="n">
        <f aca="false">IF(Macrociclo!$C$11="","",Macrociclo!$C$11+($A27-1)*7)</f>
        <v>46076</v>
      </c>
      <c r="C27" s="146" t="n">
        <f aca="false">IF($B27="",0,SUMIFS('Carga (PSE)'!$G$8:$G$1007,'Carga (PSE)'!$C$8:$C$1007,$C$4,'Carga (PSE)'!$A$8:$A$1007,$B27+0))</f>
        <v>0</v>
      </c>
      <c r="D27" s="146" t="n">
        <f aca="false">IF($B27="",0,SUMIFS('Carga (PSE)'!$G$8:$G$1007,'Carga (PSE)'!$C$8:$C$1007,$C$4,'Carga (PSE)'!$A$8:$A$1007,$B27+1))</f>
        <v>0</v>
      </c>
      <c r="E27" s="146" t="n">
        <f aca="false">IF($B27="",0,SUMIFS('Carga (PSE)'!$G$8:$G$1007,'Carga (PSE)'!$C$8:$C$1007,$C$4,'Carga (PSE)'!$A$8:$A$1007,$B27+2))</f>
        <v>0</v>
      </c>
      <c r="F27" s="146" t="n">
        <f aca="false">IF($B27="",0,SUMIFS('Carga (PSE)'!$G$8:$G$1007,'Carga (PSE)'!$C$8:$C$1007,$C$4,'Carga (PSE)'!$A$8:$A$1007,$B27+3))</f>
        <v>0</v>
      </c>
      <c r="G27" s="146" t="n">
        <f aca="false">IF($B27="",0,SUMIFS('Carga (PSE)'!$G$8:$G$1007,'Carga (PSE)'!$C$8:$C$1007,$C$4,'Carga (PSE)'!$A$8:$A$1007,$B27+4))</f>
        <v>0</v>
      </c>
      <c r="H27" s="146" t="n">
        <f aca="false">IF($B27="",0,SUMIFS('Carga (PSE)'!$G$8:$G$1007,'Carga (PSE)'!$C$8:$C$1007,$C$4,'Carga (PSE)'!$A$8:$A$1007,$B27+5))</f>
        <v>0</v>
      </c>
      <c r="I27" s="146" t="n">
        <f aca="false">IF($B27="",0,SUMIFS('Carga (PSE)'!$G$8:$G$1007,'Carga (PSE)'!$C$8:$C$1007,$C$4,'Carga (PSE)'!$A$8:$A$1007,$B27+6))</f>
        <v>0</v>
      </c>
      <c r="J27" s="147" t="n">
        <f aca="false">SUM($C27:$I27)</f>
        <v>0</v>
      </c>
      <c r="K27" s="146" t="n">
        <f aca="false">COUNTIFS('Carga (PSE)'!$C$8:$C$1007,$C$4,'Carga (PSE)'!$B$8:$B$1007,$A27)</f>
        <v>0</v>
      </c>
      <c r="L27" s="104" t="n">
        <f aca="false">IF($J27=0,0,$J27/7)</f>
        <v>0</v>
      </c>
      <c r="M27" s="104" t="n">
        <f aca="false">IF($J27=0,0,STDEV($C27:$I27))</f>
        <v>0</v>
      </c>
      <c r="N27" s="160" t="n">
        <f aca="false">IF($M27=0,0,$L27/$M27)</f>
        <v>0</v>
      </c>
      <c r="O27" s="147" t="n">
        <f aca="false">$J27*$N27</f>
        <v>0</v>
      </c>
      <c r="P27" s="73" t="str">
        <f aca="false">IF($J27=0,"",IF($N27&gt;2,"Monotonia alta",IF($N27&gt;=1.5,"Atenção","Adequada")))</f>
        <v/>
      </c>
    </row>
    <row r="28" customFormat="false" ht="15" hidden="false" customHeight="false" outlineLevel="0" collapsed="false">
      <c r="A28" s="69" t="n">
        <v>9</v>
      </c>
      <c r="B28" s="158" t="n">
        <f aca="false">IF(Macrociclo!$C$11="","",Macrociclo!$C$11+($A28-1)*7)</f>
        <v>46083</v>
      </c>
      <c r="C28" s="140" t="n">
        <f aca="false">IF($B28="",0,SUMIFS('Carga (PSE)'!$G$8:$G$1007,'Carga (PSE)'!$C$8:$C$1007,$C$4,'Carga (PSE)'!$A$8:$A$1007,$B28+0))</f>
        <v>0</v>
      </c>
      <c r="D28" s="140" t="n">
        <f aca="false">IF($B28="",0,SUMIFS('Carga (PSE)'!$G$8:$G$1007,'Carga (PSE)'!$C$8:$C$1007,$C$4,'Carga (PSE)'!$A$8:$A$1007,$B28+1))</f>
        <v>0</v>
      </c>
      <c r="E28" s="140" t="n">
        <f aca="false">IF($B28="",0,SUMIFS('Carga (PSE)'!$G$8:$G$1007,'Carga (PSE)'!$C$8:$C$1007,$C$4,'Carga (PSE)'!$A$8:$A$1007,$B28+2))</f>
        <v>0</v>
      </c>
      <c r="F28" s="140" t="n">
        <f aca="false">IF($B28="",0,SUMIFS('Carga (PSE)'!$G$8:$G$1007,'Carga (PSE)'!$C$8:$C$1007,$C$4,'Carga (PSE)'!$A$8:$A$1007,$B28+3))</f>
        <v>0</v>
      </c>
      <c r="G28" s="140" t="n">
        <f aca="false">IF($B28="",0,SUMIFS('Carga (PSE)'!$G$8:$G$1007,'Carga (PSE)'!$C$8:$C$1007,$C$4,'Carga (PSE)'!$A$8:$A$1007,$B28+4))</f>
        <v>0</v>
      </c>
      <c r="H28" s="140" t="n">
        <f aca="false">IF($B28="",0,SUMIFS('Carga (PSE)'!$G$8:$G$1007,'Carga (PSE)'!$C$8:$C$1007,$C$4,'Carga (PSE)'!$A$8:$A$1007,$B28+5))</f>
        <v>0</v>
      </c>
      <c r="I28" s="140" t="n">
        <f aca="false">IF($B28="",0,SUMIFS('Carga (PSE)'!$G$8:$G$1007,'Carga (PSE)'!$C$8:$C$1007,$C$4,'Carga (PSE)'!$A$8:$A$1007,$B28+6))</f>
        <v>0</v>
      </c>
      <c r="J28" s="44" t="n">
        <f aca="false">SUM($C28:$I28)</f>
        <v>0</v>
      </c>
      <c r="K28" s="140" t="n">
        <f aca="false">COUNTIFS('Carga (PSE)'!$C$8:$C$1007,$C$4,'Carga (PSE)'!$B$8:$B$1007,$A28)</f>
        <v>0</v>
      </c>
      <c r="L28" s="100" t="n">
        <f aca="false">IF($J28=0,0,$J28/7)</f>
        <v>0</v>
      </c>
      <c r="M28" s="100" t="n">
        <f aca="false">IF($J28=0,0,STDEV($C28:$I28))</f>
        <v>0</v>
      </c>
      <c r="N28" s="144" t="n">
        <f aca="false">IF($M28=0,0,$L28/$M28)</f>
        <v>0</v>
      </c>
      <c r="O28" s="44" t="n">
        <f aca="false">$J28*$N28</f>
        <v>0</v>
      </c>
      <c r="P28" s="69" t="str">
        <f aca="false">IF($J28=0,"",IF($N28&gt;2,"Monotonia alta",IF($N28&gt;=1.5,"Atenção","Adequada")))</f>
        <v/>
      </c>
    </row>
    <row r="29" customFormat="false" ht="15" hidden="false" customHeight="false" outlineLevel="0" collapsed="false">
      <c r="A29" s="73" t="n">
        <v>10</v>
      </c>
      <c r="B29" s="159" t="n">
        <f aca="false">IF(Macrociclo!$C$11="","",Macrociclo!$C$11+($A29-1)*7)</f>
        <v>46090</v>
      </c>
      <c r="C29" s="146" t="n">
        <f aca="false">IF($B29="",0,SUMIFS('Carga (PSE)'!$G$8:$G$1007,'Carga (PSE)'!$C$8:$C$1007,$C$4,'Carga (PSE)'!$A$8:$A$1007,$B29+0))</f>
        <v>0</v>
      </c>
      <c r="D29" s="146" t="n">
        <f aca="false">IF($B29="",0,SUMIFS('Carga (PSE)'!$G$8:$G$1007,'Carga (PSE)'!$C$8:$C$1007,$C$4,'Carga (PSE)'!$A$8:$A$1007,$B29+1))</f>
        <v>0</v>
      </c>
      <c r="E29" s="146" t="n">
        <f aca="false">IF($B29="",0,SUMIFS('Carga (PSE)'!$G$8:$G$1007,'Carga (PSE)'!$C$8:$C$1007,$C$4,'Carga (PSE)'!$A$8:$A$1007,$B29+2))</f>
        <v>0</v>
      </c>
      <c r="F29" s="146" t="n">
        <f aca="false">IF($B29="",0,SUMIFS('Carga (PSE)'!$G$8:$G$1007,'Carga (PSE)'!$C$8:$C$1007,$C$4,'Carga (PSE)'!$A$8:$A$1007,$B29+3))</f>
        <v>0</v>
      </c>
      <c r="G29" s="146" t="n">
        <f aca="false">IF($B29="",0,SUMIFS('Carga (PSE)'!$G$8:$G$1007,'Carga (PSE)'!$C$8:$C$1007,$C$4,'Carga (PSE)'!$A$8:$A$1007,$B29+4))</f>
        <v>0</v>
      </c>
      <c r="H29" s="146" t="n">
        <f aca="false">IF($B29="",0,SUMIFS('Carga (PSE)'!$G$8:$G$1007,'Carga (PSE)'!$C$8:$C$1007,$C$4,'Carga (PSE)'!$A$8:$A$1007,$B29+5))</f>
        <v>0</v>
      </c>
      <c r="I29" s="146" t="n">
        <f aca="false">IF($B29="",0,SUMIFS('Carga (PSE)'!$G$8:$G$1007,'Carga (PSE)'!$C$8:$C$1007,$C$4,'Carga (PSE)'!$A$8:$A$1007,$B29+6))</f>
        <v>0</v>
      </c>
      <c r="J29" s="147" t="n">
        <f aca="false">SUM($C29:$I29)</f>
        <v>0</v>
      </c>
      <c r="K29" s="146" t="n">
        <f aca="false">COUNTIFS('Carga (PSE)'!$C$8:$C$1007,$C$4,'Carga (PSE)'!$B$8:$B$1007,$A29)</f>
        <v>0</v>
      </c>
      <c r="L29" s="104" t="n">
        <f aca="false">IF($J29=0,0,$J29/7)</f>
        <v>0</v>
      </c>
      <c r="M29" s="104" t="n">
        <f aca="false">IF($J29=0,0,STDEV($C29:$I29))</f>
        <v>0</v>
      </c>
      <c r="N29" s="160" t="n">
        <f aca="false">IF($M29=0,0,$L29/$M29)</f>
        <v>0</v>
      </c>
      <c r="O29" s="147" t="n">
        <f aca="false">$J29*$N29</f>
        <v>0</v>
      </c>
      <c r="P29" s="73" t="str">
        <f aca="false">IF($J29=0,"",IF($N29&gt;2,"Monotonia alta",IF($N29&gt;=1.5,"Atenção","Adequada")))</f>
        <v/>
      </c>
    </row>
    <row r="30" customFormat="false" ht="15" hidden="false" customHeight="false" outlineLevel="0" collapsed="false">
      <c r="A30" s="69" t="n">
        <v>11</v>
      </c>
      <c r="B30" s="158" t="n">
        <f aca="false">IF(Macrociclo!$C$11="","",Macrociclo!$C$11+($A30-1)*7)</f>
        <v>46097</v>
      </c>
      <c r="C30" s="140" t="n">
        <f aca="false">IF($B30="",0,SUMIFS('Carga (PSE)'!$G$8:$G$1007,'Carga (PSE)'!$C$8:$C$1007,$C$4,'Carga (PSE)'!$A$8:$A$1007,$B30+0))</f>
        <v>0</v>
      </c>
      <c r="D30" s="140" t="n">
        <f aca="false">IF($B30="",0,SUMIFS('Carga (PSE)'!$G$8:$G$1007,'Carga (PSE)'!$C$8:$C$1007,$C$4,'Carga (PSE)'!$A$8:$A$1007,$B30+1))</f>
        <v>0</v>
      </c>
      <c r="E30" s="140" t="n">
        <f aca="false">IF($B30="",0,SUMIFS('Carga (PSE)'!$G$8:$G$1007,'Carga (PSE)'!$C$8:$C$1007,$C$4,'Carga (PSE)'!$A$8:$A$1007,$B30+2))</f>
        <v>0</v>
      </c>
      <c r="F30" s="140" t="n">
        <f aca="false">IF($B30="",0,SUMIFS('Carga (PSE)'!$G$8:$G$1007,'Carga (PSE)'!$C$8:$C$1007,$C$4,'Carga (PSE)'!$A$8:$A$1007,$B30+3))</f>
        <v>0</v>
      </c>
      <c r="G30" s="140" t="n">
        <f aca="false">IF($B30="",0,SUMIFS('Carga (PSE)'!$G$8:$G$1007,'Carga (PSE)'!$C$8:$C$1007,$C$4,'Carga (PSE)'!$A$8:$A$1007,$B30+4))</f>
        <v>0</v>
      </c>
      <c r="H30" s="140" t="n">
        <f aca="false">IF($B30="",0,SUMIFS('Carga (PSE)'!$G$8:$G$1007,'Carga (PSE)'!$C$8:$C$1007,$C$4,'Carga (PSE)'!$A$8:$A$1007,$B30+5))</f>
        <v>0</v>
      </c>
      <c r="I30" s="140" t="n">
        <f aca="false">IF($B30="",0,SUMIFS('Carga (PSE)'!$G$8:$G$1007,'Carga (PSE)'!$C$8:$C$1007,$C$4,'Carga (PSE)'!$A$8:$A$1007,$B30+6))</f>
        <v>0</v>
      </c>
      <c r="J30" s="44" t="n">
        <f aca="false">SUM($C30:$I30)</f>
        <v>0</v>
      </c>
      <c r="K30" s="140" t="n">
        <f aca="false">COUNTIFS('Carga (PSE)'!$C$8:$C$1007,$C$4,'Carga (PSE)'!$B$8:$B$1007,$A30)</f>
        <v>0</v>
      </c>
      <c r="L30" s="100" t="n">
        <f aca="false">IF($J30=0,0,$J30/7)</f>
        <v>0</v>
      </c>
      <c r="M30" s="100" t="n">
        <f aca="false">IF($J30=0,0,STDEV($C30:$I30))</f>
        <v>0</v>
      </c>
      <c r="N30" s="144" t="n">
        <f aca="false">IF($M30=0,0,$L30/$M30)</f>
        <v>0</v>
      </c>
      <c r="O30" s="44" t="n">
        <f aca="false">$J30*$N30</f>
        <v>0</v>
      </c>
      <c r="P30" s="69" t="str">
        <f aca="false">IF($J30=0,"",IF($N30&gt;2,"Monotonia alta",IF($N30&gt;=1.5,"Atenção","Adequada")))</f>
        <v/>
      </c>
    </row>
    <row r="31" customFormat="false" ht="15" hidden="false" customHeight="false" outlineLevel="0" collapsed="false">
      <c r="A31" s="73" t="n">
        <v>12</v>
      </c>
      <c r="B31" s="159" t="n">
        <f aca="false">IF(Macrociclo!$C$11="","",Macrociclo!$C$11+($A31-1)*7)</f>
        <v>46104</v>
      </c>
      <c r="C31" s="146" t="n">
        <f aca="false">IF($B31="",0,SUMIFS('Carga (PSE)'!$G$8:$G$1007,'Carga (PSE)'!$C$8:$C$1007,$C$4,'Carga (PSE)'!$A$8:$A$1007,$B31+0))</f>
        <v>0</v>
      </c>
      <c r="D31" s="146" t="n">
        <f aca="false">IF($B31="",0,SUMIFS('Carga (PSE)'!$G$8:$G$1007,'Carga (PSE)'!$C$8:$C$1007,$C$4,'Carga (PSE)'!$A$8:$A$1007,$B31+1))</f>
        <v>0</v>
      </c>
      <c r="E31" s="146" t="n">
        <f aca="false">IF($B31="",0,SUMIFS('Carga (PSE)'!$G$8:$G$1007,'Carga (PSE)'!$C$8:$C$1007,$C$4,'Carga (PSE)'!$A$8:$A$1007,$B31+2))</f>
        <v>0</v>
      </c>
      <c r="F31" s="146" t="n">
        <f aca="false">IF($B31="",0,SUMIFS('Carga (PSE)'!$G$8:$G$1007,'Carga (PSE)'!$C$8:$C$1007,$C$4,'Carga (PSE)'!$A$8:$A$1007,$B31+3))</f>
        <v>0</v>
      </c>
      <c r="G31" s="146" t="n">
        <f aca="false">IF($B31="",0,SUMIFS('Carga (PSE)'!$G$8:$G$1007,'Carga (PSE)'!$C$8:$C$1007,$C$4,'Carga (PSE)'!$A$8:$A$1007,$B31+4))</f>
        <v>0</v>
      </c>
      <c r="H31" s="146" t="n">
        <f aca="false">IF($B31="",0,SUMIFS('Carga (PSE)'!$G$8:$G$1007,'Carga (PSE)'!$C$8:$C$1007,$C$4,'Carga (PSE)'!$A$8:$A$1007,$B31+5))</f>
        <v>0</v>
      </c>
      <c r="I31" s="146" t="n">
        <f aca="false">IF($B31="",0,SUMIFS('Carga (PSE)'!$G$8:$G$1007,'Carga (PSE)'!$C$8:$C$1007,$C$4,'Carga (PSE)'!$A$8:$A$1007,$B31+6))</f>
        <v>0</v>
      </c>
      <c r="J31" s="147" t="n">
        <f aca="false">SUM($C31:$I31)</f>
        <v>0</v>
      </c>
      <c r="K31" s="146" t="n">
        <f aca="false">COUNTIFS('Carga (PSE)'!$C$8:$C$1007,$C$4,'Carga (PSE)'!$B$8:$B$1007,$A31)</f>
        <v>0</v>
      </c>
      <c r="L31" s="104" t="n">
        <f aca="false">IF($J31=0,0,$J31/7)</f>
        <v>0</v>
      </c>
      <c r="M31" s="104" t="n">
        <f aca="false">IF($J31=0,0,STDEV($C31:$I31))</f>
        <v>0</v>
      </c>
      <c r="N31" s="160" t="n">
        <f aca="false">IF($M31=0,0,$L31/$M31)</f>
        <v>0</v>
      </c>
      <c r="O31" s="147" t="n">
        <f aca="false">$J31*$N31</f>
        <v>0</v>
      </c>
      <c r="P31" s="73" t="str">
        <f aca="false">IF($J31=0,"",IF($N31&gt;2,"Monotonia alta",IF($N31&gt;=1.5,"Atenção","Adequada")))</f>
        <v/>
      </c>
    </row>
    <row r="32" customFormat="false" ht="15" hidden="false" customHeight="false" outlineLevel="0" collapsed="false">
      <c r="A32" s="69" t="n">
        <v>13</v>
      </c>
      <c r="B32" s="158" t="n">
        <f aca="false">IF(Macrociclo!$C$11="","",Macrociclo!$C$11+($A32-1)*7)</f>
        <v>46111</v>
      </c>
      <c r="C32" s="140" t="n">
        <f aca="false">IF($B32="",0,SUMIFS('Carga (PSE)'!$G$8:$G$1007,'Carga (PSE)'!$C$8:$C$1007,$C$4,'Carga (PSE)'!$A$8:$A$1007,$B32+0))</f>
        <v>0</v>
      </c>
      <c r="D32" s="140" t="n">
        <f aca="false">IF($B32="",0,SUMIFS('Carga (PSE)'!$G$8:$G$1007,'Carga (PSE)'!$C$8:$C$1007,$C$4,'Carga (PSE)'!$A$8:$A$1007,$B32+1))</f>
        <v>0</v>
      </c>
      <c r="E32" s="140" t="n">
        <f aca="false">IF($B32="",0,SUMIFS('Carga (PSE)'!$G$8:$G$1007,'Carga (PSE)'!$C$8:$C$1007,$C$4,'Carga (PSE)'!$A$8:$A$1007,$B32+2))</f>
        <v>0</v>
      </c>
      <c r="F32" s="140" t="n">
        <f aca="false">IF($B32="",0,SUMIFS('Carga (PSE)'!$G$8:$G$1007,'Carga (PSE)'!$C$8:$C$1007,$C$4,'Carga (PSE)'!$A$8:$A$1007,$B32+3))</f>
        <v>0</v>
      </c>
      <c r="G32" s="140" t="n">
        <f aca="false">IF($B32="",0,SUMIFS('Carga (PSE)'!$G$8:$G$1007,'Carga (PSE)'!$C$8:$C$1007,$C$4,'Carga (PSE)'!$A$8:$A$1007,$B32+4))</f>
        <v>0</v>
      </c>
      <c r="H32" s="140" t="n">
        <f aca="false">IF($B32="",0,SUMIFS('Carga (PSE)'!$G$8:$G$1007,'Carga (PSE)'!$C$8:$C$1007,$C$4,'Carga (PSE)'!$A$8:$A$1007,$B32+5))</f>
        <v>0</v>
      </c>
      <c r="I32" s="140" t="n">
        <f aca="false">IF($B32="",0,SUMIFS('Carga (PSE)'!$G$8:$G$1007,'Carga (PSE)'!$C$8:$C$1007,$C$4,'Carga (PSE)'!$A$8:$A$1007,$B32+6))</f>
        <v>0</v>
      </c>
      <c r="J32" s="44" t="n">
        <f aca="false">SUM($C32:$I32)</f>
        <v>0</v>
      </c>
      <c r="K32" s="140" t="n">
        <f aca="false">COUNTIFS('Carga (PSE)'!$C$8:$C$1007,$C$4,'Carga (PSE)'!$B$8:$B$1007,$A32)</f>
        <v>0</v>
      </c>
      <c r="L32" s="100" t="n">
        <f aca="false">IF($J32=0,0,$J32/7)</f>
        <v>0</v>
      </c>
      <c r="M32" s="100" t="n">
        <f aca="false">IF($J32=0,0,STDEV($C32:$I32))</f>
        <v>0</v>
      </c>
      <c r="N32" s="144" t="n">
        <f aca="false">IF($M32=0,0,$L32/$M32)</f>
        <v>0</v>
      </c>
      <c r="O32" s="44" t="n">
        <f aca="false">$J32*$N32</f>
        <v>0</v>
      </c>
      <c r="P32" s="69" t="str">
        <f aca="false">IF($J32=0,"",IF($N32&gt;2,"Monotonia alta",IF($N32&gt;=1.5,"Atenção","Adequada")))</f>
        <v/>
      </c>
    </row>
    <row r="33" customFormat="false" ht="15" hidden="false" customHeight="false" outlineLevel="0" collapsed="false">
      <c r="A33" s="73" t="n">
        <v>14</v>
      </c>
      <c r="B33" s="159" t="n">
        <f aca="false">IF(Macrociclo!$C$11="","",Macrociclo!$C$11+($A33-1)*7)</f>
        <v>46118</v>
      </c>
      <c r="C33" s="146" t="n">
        <f aca="false">IF($B33="",0,SUMIFS('Carga (PSE)'!$G$8:$G$1007,'Carga (PSE)'!$C$8:$C$1007,$C$4,'Carga (PSE)'!$A$8:$A$1007,$B33+0))</f>
        <v>0</v>
      </c>
      <c r="D33" s="146" t="n">
        <f aca="false">IF($B33="",0,SUMIFS('Carga (PSE)'!$G$8:$G$1007,'Carga (PSE)'!$C$8:$C$1007,$C$4,'Carga (PSE)'!$A$8:$A$1007,$B33+1))</f>
        <v>0</v>
      </c>
      <c r="E33" s="146" t="n">
        <f aca="false">IF($B33="",0,SUMIFS('Carga (PSE)'!$G$8:$G$1007,'Carga (PSE)'!$C$8:$C$1007,$C$4,'Carga (PSE)'!$A$8:$A$1007,$B33+2))</f>
        <v>0</v>
      </c>
      <c r="F33" s="146" t="n">
        <f aca="false">IF($B33="",0,SUMIFS('Carga (PSE)'!$G$8:$G$1007,'Carga (PSE)'!$C$8:$C$1007,$C$4,'Carga (PSE)'!$A$8:$A$1007,$B33+3))</f>
        <v>0</v>
      </c>
      <c r="G33" s="146" t="n">
        <f aca="false">IF($B33="",0,SUMIFS('Carga (PSE)'!$G$8:$G$1007,'Carga (PSE)'!$C$8:$C$1007,$C$4,'Carga (PSE)'!$A$8:$A$1007,$B33+4))</f>
        <v>0</v>
      </c>
      <c r="H33" s="146" t="n">
        <f aca="false">IF($B33="",0,SUMIFS('Carga (PSE)'!$G$8:$G$1007,'Carga (PSE)'!$C$8:$C$1007,$C$4,'Carga (PSE)'!$A$8:$A$1007,$B33+5))</f>
        <v>0</v>
      </c>
      <c r="I33" s="146" t="n">
        <f aca="false">IF($B33="",0,SUMIFS('Carga (PSE)'!$G$8:$G$1007,'Carga (PSE)'!$C$8:$C$1007,$C$4,'Carga (PSE)'!$A$8:$A$1007,$B33+6))</f>
        <v>0</v>
      </c>
      <c r="J33" s="147" t="n">
        <f aca="false">SUM($C33:$I33)</f>
        <v>0</v>
      </c>
      <c r="K33" s="146" t="n">
        <f aca="false">COUNTIFS('Carga (PSE)'!$C$8:$C$1007,$C$4,'Carga (PSE)'!$B$8:$B$1007,$A33)</f>
        <v>0</v>
      </c>
      <c r="L33" s="104" t="n">
        <f aca="false">IF($J33=0,0,$J33/7)</f>
        <v>0</v>
      </c>
      <c r="M33" s="104" t="n">
        <f aca="false">IF($J33=0,0,STDEV($C33:$I33))</f>
        <v>0</v>
      </c>
      <c r="N33" s="160" t="n">
        <f aca="false">IF($M33=0,0,$L33/$M33)</f>
        <v>0</v>
      </c>
      <c r="O33" s="147" t="n">
        <f aca="false">$J33*$N33</f>
        <v>0</v>
      </c>
      <c r="P33" s="73" t="str">
        <f aca="false">IF($J33=0,"",IF($N33&gt;2,"Monotonia alta",IF($N33&gt;=1.5,"Atenção","Adequada")))</f>
        <v/>
      </c>
    </row>
    <row r="34" customFormat="false" ht="15" hidden="false" customHeight="false" outlineLevel="0" collapsed="false">
      <c r="A34" s="69" t="n">
        <v>15</v>
      </c>
      <c r="B34" s="158" t="n">
        <f aca="false">IF(Macrociclo!$C$11="","",Macrociclo!$C$11+($A34-1)*7)</f>
        <v>46125</v>
      </c>
      <c r="C34" s="140" t="n">
        <f aca="false">IF($B34="",0,SUMIFS('Carga (PSE)'!$G$8:$G$1007,'Carga (PSE)'!$C$8:$C$1007,$C$4,'Carga (PSE)'!$A$8:$A$1007,$B34+0))</f>
        <v>0</v>
      </c>
      <c r="D34" s="140" t="n">
        <f aca="false">IF($B34="",0,SUMIFS('Carga (PSE)'!$G$8:$G$1007,'Carga (PSE)'!$C$8:$C$1007,$C$4,'Carga (PSE)'!$A$8:$A$1007,$B34+1))</f>
        <v>0</v>
      </c>
      <c r="E34" s="140" t="n">
        <f aca="false">IF($B34="",0,SUMIFS('Carga (PSE)'!$G$8:$G$1007,'Carga (PSE)'!$C$8:$C$1007,$C$4,'Carga (PSE)'!$A$8:$A$1007,$B34+2))</f>
        <v>0</v>
      </c>
      <c r="F34" s="140" t="n">
        <f aca="false">IF($B34="",0,SUMIFS('Carga (PSE)'!$G$8:$G$1007,'Carga (PSE)'!$C$8:$C$1007,$C$4,'Carga (PSE)'!$A$8:$A$1007,$B34+3))</f>
        <v>0</v>
      </c>
      <c r="G34" s="140" t="n">
        <f aca="false">IF($B34="",0,SUMIFS('Carga (PSE)'!$G$8:$G$1007,'Carga (PSE)'!$C$8:$C$1007,$C$4,'Carga (PSE)'!$A$8:$A$1007,$B34+4))</f>
        <v>0</v>
      </c>
      <c r="H34" s="140" t="n">
        <f aca="false">IF($B34="",0,SUMIFS('Carga (PSE)'!$G$8:$G$1007,'Carga (PSE)'!$C$8:$C$1007,$C$4,'Carga (PSE)'!$A$8:$A$1007,$B34+5))</f>
        <v>0</v>
      </c>
      <c r="I34" s="140" t="n">
        <f aca="false">IF($B34="",0,SUMIFS('Carga (PSE)'!$G$8:$G$1007,'Carga (PSE)'!$C$8:$C$1007,$C$4,'Carga (PSE)'!$A$8:$A$1007,$B34+6))</f>
        <v>0</v>
      </c>
      <c r="J34" s="44" t="n">
        <f aca="false">SUM($C34:$I34)</f>
        <v>0</v>
      </c>
      <c r="K34" s="140" t="n">
        <f aca="false">COUNTIFS('Carga (PSE)'!$C$8:$C$1007,$C$4,'Carga (PSE)'!$B$8:$B$1007,$A34)</f>
        <v>0</v>
      </c>
      <c r="L34" s="100" t="n">
        <f aca="false">IF($J34=0,0,$J34/7)</f>
        <v>0</v>
      </c>
      <c r="M34" s="100" t="n">
        <f aca="false">IF($J34=0,0,STDEV($C34:$I34))</f>
        <v>0</v>
      </c>
      <c r="N34" s="144" t="n">
        <f aca="false">IF($M34=0,0,$L34/$M34)</f>
        <v>0</v>
      </c>
      <c r="O34" s="44" t="n">
        <f aca="false">$J34*$N34</f>
        <v>0</v>
      </c>
      <c r="P34" s="69" t="str">
        <f aca="false">IF($J34=0,"",IF($N34&gt;2,"Monotonia alta",IF($N34&gt;=1.5,"Atenção","Adequada")))</f>
        <v/>
      </c>
    </row>
    <row r="35" customFormat="false" ht="15" hidden="false" customHeight="false" outlineLevel="0" collapsed="false">
      <c r="A35" s="73" t="n">
        <v>16</v>
      </c>
      <c r="B35" s="159" t="n">
        <f aca="false">IF(Macrociclo!$C$11="","",Macrociclo!$C$11+($A35-1)*7)</f>
        <v>46132</v>
      </c>
      <c r="C35" s="146" t="n">
        <f aca="false">IF($B35="",0,SUMIFS('Carga (PSE)'!$G$8:$G$1007,'Carga (PSE)'!$C$8:$C$1007,$C$4,'Carga (PSE)'!$A$8:$A$1007,$B35+0))</f>
        <v>0</v>
      </c>
      <c r="D35" s="146" t="n">
        <f aca="false">IF($B35="",0,SUMIFS('Carga (PSE)'!$G$8:$G$1007,'Carga (PSE)'!$C$8:$C$1007,$C$4,'Carga (PSE)'!$A$8:$A$1007,$B35+1))</f>
        <v>0</v>
      </c>
      <c r="E35" s="146" t="n">
        <f aca="false">IF($B35="",0,SUMIFS('Carga (PSE)'!$G$8:$G$1007,'Carga (PSE)'!$C$8:$C$1007,$C$4,'Carga (PSE)'!$A$8:$A$1007,$B35+2))</f>
        <v>0</v>
      </c>
      <c r="F35" s="146" t="n">
        <f aca="false">IF($B35="",0,SUMIFS('Carga (PSE)'!$G$8:$G$1007,'Carga (PSE)'!$C$8:$C$1007,$C$4,'Carga (PSE)'!$A$8:$A$1007,$B35+3))</f>
        <v>0</v>
      </c>
      <c r="G35" s="146" t="n">
        <f aca="false">IF($B35="",0,SUMIFS('Carga (PSE)'!$G$8:$G$1007,'Carga (PSE)'!$C$8:$C$1007,$C$4,'Carga (PSE)'!$A$8:$A$1007,$B35+4))</f>
        <v>0</v>
      </c>
      <c r="H35" s="146" t="n">
        <f aca="false">IF($B35="",0,SUMIFS('Carga (PSE)'!$G$8:$G$1007,'Carga (PSE)'!$C$8:$C$1007,$C$4,'Carga (PSE)'!$A$8:$A$1007,$B35+5))</f>
        <v>0</v>
      </c>
      <c r="I35" s="146" t="n">
        <f aca="false">IF($B35="",0,SUMIFS('Carga (PSE)'!$G$8:$G$1007,'Carga (PSE)'!$C$8:$C$1007,$C$4,'Carga (PSE)'!$A$8:$A$1007,$B35+6))</f>
        <v>0</v>
      </c>
      <c r="J35" s="147" t="n">
        <f aca="false">SUM($C35:$I35)</f>
        <v>0</v>
      </c>
      <c r="K35" s="146" t="n">
        <f aca="false">COUNTIFS('Carga (PSE)'!$C$8:$C$1007,$C$4,'Carga (PSE)'!$B$8:$B$1007,$A35)</f>
        <v>0</v>
      </c>
      <c r="L35" s="104" t="n">
        <f aca="false">IF($J35=0,0,$J35/7)</f>
        <v>0</v>
      </c>
      <c r="M35" s="104" t="n">
        <f aca="false">IF($J35=0,0,STDEV($C35:$I35))</f>
        <v>0</v>
      </c>
      <c r="N35" s="160" t="n">
        <f aca="false">IF($M35=0,0,$L35/$M35)</f>
        <v>0</v>
      </c>
      <c r="O35" s="147" t="n">
        <f aca="false">$J35*$N35</f>
        <v>0</v>
      </c>
      <c r="P35" s="73" t="str">
        <f aca="false">IF($J35=0,"",IF($N35&gt;2,"Monotonia alta",IF($N35&gt;=1.5,"Atenção","Adequada")))</f>
        <v/>
      </c>
    </row>
    <row r="36" customFormat="false" ht="15" hidden="false" customHeight="false" outlineLevel="0" collapsed="false">
      <c r="A36" s="69" t="n">
        <v>17</v>
      </c>
      <c r="B36" s="158" t="n">
        <f aca="false">IF(Macrociclo!$C$11="","",Macrociclo!$C$11+($A36-1)*7)</f>
        <v>46139</v>
      </c>
      <c r="C36" s="140" t="n">
        <f aca="false">IF($B36="",0,SUMIFS('Carga (PSE)'!$G$8:$G$1007,'Carga (PSE)'!$C$8:$C$1007,$C$4,'Carga (PSE)'!$A$8:$A$1007,$B36+0))</f>
        <v>0</v>
      </c>
      <c r="D36" s="140" t="n">
        <f aca="false">IF($B36="",0,SUMIFS('Carga (PSE)'!$G$8:$G$1007,'Carga (PSE)'!$C$8:$C$1007,$C$4,'Carga (PSE)'!$A$8:$A$1007,$B36+1))</f>
        <v>0</v>
      </c>
      <c r="E36" s="140" t="n">
        <f aca="false">IF($B36="",0,SUMIFS('Carga (PSE)'!$G$8:$G$1007,'Carga (PSE)'!$C$8:$C$1007,$C$4,'Carga (PSE)'!$A$8:$A$1007,$B36+2))</f>
        <v>0</v>
      </c>
      <c r="F36" s="140" t="n">
        <f aca="false">IF($B36="",0,SUMIFS('Carga (PSE)'!$G$8:$G$1007,'Carga (PSE)'!$C$8:$C$1007,$C$4,'Carga (PSE)'!$A$8:$A$1007,$B36+3))</f>
        <v>0</v>
      </c>
      <c r="G36" s="140" t="n">
        <f aca="false">IF($B36="",0,SUMIFS('Carga (PSE)'!$G$8:$G$1007,'Carga (PSE)'!$C$8:$C$1007,$C$4,'Carga (PSE)'!$A$8:$A$1007,$B36+4))</f>
        <v>0</v>
      </c>
      <c r="H36" s="140" t="n">
        <f aca="false">IF($B36="",0,SUMIFS('Carga (PSE)'!$G$8:$G$1007,'Carga (PSE)'!$C$8:$C$1007,$C$4,'Carga (PSE)'!$A$8:$A$1007,$B36+5))</f>
        <v>0</v>
      </c>
      <c r="I36" s="140" t="n">
        <f aca="false">IF($B36="",0,SUMIFS('Carga (PSE)'!$G$8:$G$1007,'Carga (PSE)'!$C$8:$C$1007,$C$4,'Carga (PSE)'!$A$8:$A$1007,$B36+6))</f>
        <v>0</v>
      </c>
      <c r="J36" s="44" t="n">
        <f aca="false">SUM($C36:$I36)</f>
        <v>0</v>
      </c>
      <c r="K36" s="140" t="n">
        <f aca="false">COUNTIFS('Carga (PSE)'!$C$8:$C$1007,$C$4,'Carga (PSE)'!$B$8:$B$1007,$A36)</f>
        <v>0</v>
      </c>
      <c r="L36" s="100" t="n">
        <f aca="false">IF($J36=0,0,$J36/7)</f>
        <v>0</v>
      </c>
      <c r="M36" s="100" t="n">
        <f aca="false">IF($J36=0,0,STDEV($C36:$I36))</f>
        <v>0</v>
      </c>
      <c r="N36" s="144" t="n">
        <f aca="false">IF($M36=0,0,$L36/$M36)</f>
        <v>0</v>
      </c>
      <c r="O36" s="44" t="n">
        <f aca="false">$J36*$N36</f>
        <v>0</v>
      </c>
      <c r="P36" s="69" t="str">
        <f aca="false">IF($J36=0,"",IF($N36&gt;2,"Monotonia alta",IF($N36&gt;=1.5,"Atenção","Adequada")))</f>
        <v/>
      </c>
    </row>
    <row r="37" customFormat="false" ht="15" hidden="false" customHeight="false" outlineLevel="0" collapsed="false">
      <c r="A37" s="73" t="n">
        <v>18</v>
      </c>
      <c r="B37" s="159" t="n">
        <f aca="false">IF(Macrociclo!$C$11="","",Macrociclo!$C$11+($A37-1)*7)</f>
        <v>46146</v>
      </c>
      <c r="C37" s="146" t="n">
        <f aca="false">IF($B37="",0,SUMIFS('Carga (PSE)'!$G$8:$G$1007,'Carga (PSE)'!$C$8:$C$1007,$C$4,'Carga (PSE)'!$A$8:$A$1007,$B37+0))</f>
        <v>0</v>
      </c>
      <c r="D37" s="146" t="n">
        <f aca="false">IF($B37="",0,SUMIFS('Carga (PSE)'!$G$8:$G$1007,'Carga (PSE)'!$C$8:$C$1007,$C$4,'Carga (PSE)'!$A$8:$A$1007,$B37+1))</f>
        <v>0</v>
      </c>
      <c r="E37" s="146" t="n">
        <f aca="false">IF($B37="",0,SUMIFS('Carga (PSE)'!$G$8:$G$1007,'Carga (PSE)'!$C$8:$C$1007,$C$4,'Carga (PSE)'!$A$8:$A$1007,$B37+2))</f>
        <v>0</v>
      </c>
      <c r="F37" s="146" t="n">
        <f aca="false">IF($B37="",0,SUMIFS('Carga (PSE)'!$G$8:$G$1007,'Carga (PSE)'!$C$8:$C$1007,$C$4,'Carga (PSE)'!$A$8:$A$1007,$B37+3))</f>
        <v>0</v>
      </c>
      <c r="G37" s="146" t="n">
        <f aca="false">IF($B37="",0,SUMIFS('Carga (PSE)'!$G$8:$G$1007,'Carga (PSE)'!$C$8:$C$1007,$C$4,'Carga (PSE)'!$A$8:$A$1007,$B37+4))</f>
        <v>0</v>
      </c>
      <c r="H37" s="146" t="n">
        <f aca="false">IF($B37="",0,SUMIFS('Carga (PSE)'!$G$8:$G$1007,'Carga (PSE)'!$C$8:$C$1007,$C$4,'Carga (PSE)'!$A$8:$A$1007,$B37+5))</f>
        <v>0</v>
      </c>
      <c r="I37" s="146" t="n">
        <f aca="false">IF($B37="",0,SUMIFS('Carga (PSE)'!$G$8:$G$1007,'Carga (PSE)'!$C$8:$C$1007,$C$4,'Carga (PSE)'!$A$8:$A$1007,$B37+6))</f>
        <v>0</v>
      </c>
      <c r="J37" s="147" t="n">
        <f aca="false">SUM($C37:$I37)</f>
        <v>0</v>
      </c>
      <c r="K37" s="146" t="n">
        <f aca="false">COUNTIFS('Carga (PSE)'!$C$8:$C$1007,$C$4,'Carga (PSE)'!$B$8:$B$1007,$A37)</f>
        <v>0</v>
      </c>
      <c r="L37" s="104" t="n">
        <f aca="false">IF($J37=0,0,$J37/7)</f>
        <v>0</v>
      </c>
      <c r="M37" s="104" t="n">
        <f aca="false">IF($J37=0,0,STDEV($C37:$I37))</f>
        <v>0</v>
      </c>
      <c r="N37" s="160" t="n">
        <f aca="false">IF($M37=0,0,$L37/$M37)</f>
        <v>0</v>
      </c>
      <c r="O37" s="147" t="n">
        <f aca="false">$J37*$N37</f>
        <v>0</v>
      </c>
      <c r="P37" s="73" t="str">
        <f aca="false">IF($J37=0,"",IF($N37&gt;2,"Monotonia alta",IF($N37&gt;=1.5,"Atenção","Adequada")))</f>
        <v/>
      </c>
    </row>
    <row r="38" customFormat="false" ht="15" hidden="false" customHeight="false" outlineLevel="0" collapsed="false">
      <c r="A38" s="69" t="n">
        <v>19</v>
      </c>
      <c r="B38" s="158" t="n">
        <f aca="false">IF(Macrociclo!$C$11="","",Macrociclo!$C$11+($A38-1)*7)</f>
        <v>46153</v>
      </c>
      <c r="C38" s="140" t="n">
        <f aca="false">IF($B38="",0,SUMIFS('Carga (PSE)'!$G$8:$G$1007,'Carga (PSE)'!$C$8:$C$1007,$C$4,'Carga (PSE)'!$A$8:$A$1007,$B38+0))</f>
        <v>0</v>
      </c>
      <c r="D38" s="140" t="n">
        <f aca="false">IF($B38="",0,SUMIFS('Carga (PSE)'!$G$8:$G$1007,'Carga (PSE)'!$C$8:$C$1007,$C$4,'Carga (PSE)'!$A$8:$A$1007,$B38+1))</f>
        <v>0</v>
      </c>
      <c r="E38" s="140" t="n">
        <f aca="false">IF($B38="",0,SUMIFS('Carga (PSE)'!$G$8:$G$1007,'Carga (PSE)'!$C$8:$C$1007,$C$4,'Carga (PSE)'!$A$8:$A$1007,$B38+2))</f>
        <v>0</v>
      </c>
      <c r="F38" s="140" t="n">
        <f aca="false">IF($B38="",0,SUMIFS('Carga (PSE)'!$G$8:$G$1007,'Carga (PSE)'!$C$8:$C$1007,$C$4,'Carga (PSE)'!$A$8:$A$1007,$B38+3))</f>
        <v>0</v>
      </c>
      <c r="G38" s="140" t="n">
        <f aca="false">IF($B38="",0,SUMIFS('Carga (PSE)'!$G$8:$G$1007,'Carga (PSE)'!$C$8:$C$1007,$C$4,'Carga (PSE)'!$A$8:$A$1007,$B38+4))</f>
        <v>0</v>
      </c>
      <c r="H38" s="140" t="n">
        <f aca="false">IF($B38="",0,SUMIFS('Carga (PSE)'!$G$8:$G$1007,'Carga (PSE)'!$C$8:$C$1007,$C$4,'Carga (PSE)'!$A$8:$A$1007,$B38+5))</f>
        <v>0</v>
      </c>
      <c r="I38" s="140" t="n">
        <f aca="false">IF($B38="",0,SUMIFS('Carga (PSE)'!$G$8:$G$1007,'Carga (PSE)'!$C$8:$C$1007,$C$4,'Carga (PSE)'!$A$8:$A$1007,$B38+6))</f>
        <v>0</v>
      </c>
      <c r="J38" s="44" t="n">
        <f aca="false">SUM($C38:$I38)</f>
        <v>0</v>
      </c>
      <c r="K38" s="140" t="n">
        <f aca="false">COUNTIFS('Carga (PSE)'!$C$8:$C$1007,$C$4,'Carga (PSE)'!$B$8:$B$1007,$A38)</f>
        <v>0</v>
      </c>
      <c r="L38" s="100" t="n">
        <f aca="false">IF($J38=0,0,$J38/7)</f>
        <v>0</v>
      </c>
      <c r="M38" s="100" t="n">
        <f aca="false">IF($J38=0,0,STDEV($C38:$I38))</f>
        <v>0</v>
      </c>
      <c r="N38" s="144" t="n">
        <f aca="false">IF($M38=0,0,$L38/$M38)</f>
        <v>0</v>
      </c>
      <c r="O38" s="44" t="n">
        <f aca="false">$J38*$N38</f>
        <v>0</v>
      </c>
      <c r="P38" s="69" t="str">
        <f aca="false">IF($J38=0,"",IF($N38&gt;2,"Monotonia alta",IF($N38&gt;=1.5,"Atenção","Adequada")))</f>
        <v/>
      </c>
    </row>
    <row r="39" customFormat="false" ht="15" hidden="false" customHeight="false" outlineLevel="0" collapsed="false">
      <c r="A39" s="73" t="n">
        <v>20</v>
      </c>
      <c r="B39" s="159" t="n">
        <f aca="false">IF(Macrociclo!$C$11="","",Macrociclo!$C$11+($A39-1)*7)</f>
        <v>46160</v>
      </c>
      <c r="C39" s="146" t="n">
        <f aca="false">IF($B39="",0,SUMIFS('Carga (PSE)'!$G$8:$G$1007,'Carga (PSE)'!$C$8:$C$1007,$C$4,'Carga (PSE)'!$A$8:$A$1007,$B39+0))</f>
        <v>0</v>
      </c>
      <c r="D39" s="146" t="n">
        <f aca="false">IF($B39="",0,SUMIFS('Carga (PSE)'!$G$8:$G$1007,'Carga (PSE)'!$C$8:$C$1007,$C$4,'Carga (PSE)'!$A$8:$A$1007,$B39+1))</f>
        <v>0</v>
      </c>
      <c r="E39" s="146" t="n">
        <f aca="false">IF($B39="",0,SUMIFS('Carga (PSE)'!$G$8:$G$1007,'Carga (PSE)'!$C$8:$C$1007,$C$4,'Carga (PSE)'!$A$8:$A$1007,$B39+2))</f>
        <v>0</v>
      </c>
      <c r="F39" s="146" t="n">
        <f aca="false">IF($B39="",0,SUMIFS('Carga (PSE)'!$G$8:$G$1007,'Carga (PSE)'!$C$8:$C$1007,$C$4,'Carga (PSE)'!$A$8:$A$1007,$B39+3))</f>
        <v>0</v>
      </c>
      <c r="G39" s="146" t="n">
        <f aca="false">IF($B39="",0,SUMIFS('Carga (PSE)'!$G$8:$G$1007,'Carga (PSE)'!$C$8:$C$1007,$C$4,'Carga (PSE)'!$A$8:$A$1007,$B39+4))</f>
        <v>0</v>
      </c>
      <c r="H39" s="146" t="n">
        <f aca="false">IF($B39="",0,SUMIFS('Carga (PSE)'!$G$8:$G$1007,'Carga (PSE)'!$C$8:$C$1007,$C$4,'Carga (PSE)'!$A$8:$A$1007,$B39+5))</f>
        <v>0</v>
      </c>
      <c r="I39" s="146" t="n">
        <f aca="false">IF($B39="",0,SUMIFS('Carga (PSE)'!$G$8:$G$1007,'Carga (PSE)'!$C$8:$C$1007,$C$4,'Carga (PSE)'!$A$8:$A$1007,$B39+6))</f>
        <v>0</v>
      </c>
      <c r="J39" s="147" t="n">
        <f aca="false">SUM($C39:$I39)</f>
        <v>0</v>
      </c>
      <c r="K39" s="146" t="n">
        <f aca="false">COUNTIFS('Carga (PSE)'!$C$8:$C$1007,$C$4,'Carga (PSE)'!$B$8:$B$1007,$A39)</f>
        <v>0</v>
      </c>
      <c r="L39" s="104" t="n">
        <f aca="false">IF($J39=0,0,$J39/7)</f>
        <v>0</v>
      </c>
      <c r="M39" s="104" t="n">
        <f aca="false">IF($J39=0,0,STDEV($C39:$I39))</f>
        <v>0</v>
      </c>
      <c r="N39" s="160" t="n">
        <f aca="false">IF($M39=0,0,$L39/$M39)</f>
        <v>0</v>
      </c>
      <c r="O39" s="147" t="n">
        <f aca="false">$J39*$N39</f>
        <v>0</v>
      </c>
      <c r="P39" s="73" t="str">
        <f aca="false">IF($J39=0,"",IF($N39&gt;2,"Monotonia alta",IF($N39&gt;=1.5,"Atenção","Adequada")))</f>
        <v/>
      </c>
    </row>
    <row r="40" customFormat="false" ht="15" hidden="false" customHeight="false" outlineLevel="0" collapsed="false">
      <c r="A40" s="69" t="n">
        <v>21</v>
      </c>
      <c r="B40" s="158" t="n">
        <f aca="false">IF(Macrociclo!$C$11="","",Macrociclo!$C$11+($A40-1)*7)</f>
        <v>46167</v>
      </c>
      <c r="C40" s="140" t="n">
        <f aca="false">IF($B40="",0,SUMIFS('Carga (PSE)'!$G$8:$G$1007,'Carga (PSE)'!$C$8:$C$1007,$C$4,'Carga (PSE)'!$A$8:$A$1007,$B40+0))</f>
        <v>0</v>
      </c>
      <c r="D40" s="140" t="n">
        <f aca="false">IF($B40="",0,SUMIFS('Carga (PSE)'!$G$8:$G$1007,'Carga (PSE)'!$C$8:$C$1007,$C$4,'Carga (PSE)'!$A$8:$A$1007,$B40+1))</f>
        <v>0</v>
      </c>
      <c r="E40" s="140" t="n">
        <f aca="false">IF($B40="",0,SUMIFS('Carga (PSE)'!$G$8:$G$1007,'Carga (PSE)'!$C$8:$C$1007,$C$4,'Carga (PSE)'!$A$8:$A$1007,$B40+2))</f>
        <v>0</v>
      </c>
      <c r="F40" s="140" t="n">
        <f aca="false">IF($B40="",0,SUMIFS('Carga (PSE)'!$G$8:$G$1007,'Carga (PSE)'!$C$8:$C$1007,$C$4,'Carga (PSE)'!$A$8:$A$1007,$B40+3))</f>
        <v>0</v>
      </c>
      <c r="G40" s="140" t="n">
        <f aca="false">IF($B40="",0,SUMIFS('Carga (PSE)'!$G$8:$G$1007,'Carga (PSE)'!$C$8:$C$1007,$C$4,'Carga (PSE)'!$A$8:$A$1007,$B40+4))</f>
        <v>0</v>
      </c>
      <c r="H40" s="140" t="n">
        <f aca="false">IF($B40="",0,SUMIFS('Carga (PSE)'!$G$8:$G$1007,'Carga (PSE)'!$C$8:$C$1007,$C$4,'Carga (PSE)'!$A$8:$A$1007,$B40+5))</f>
        <v>0</v>
      </c>
      <c r="I40" s="140" t="n">
        <f aca="false">IF($B40="",0,SUMIFS('Carga (PSE)'!$G$8:$G$1007,'Carga (PSE)'!$C$8:$C$1007,$C$4,'Carga (PSE)'!$A$8:$A$1007,$B40+6))</f>
        <v>0</v>
      </c>
      <c r="J40" s="44" t="n">
        <f aca="false">SUM($C40:$I40)</f>
        <v>0</v>
      </c>
      <c r="K40" s="140" t="n">
        <f aca="false">COUNTIFS('Carga (PSE)'!$C$8:$C$1007,$C$4,'Carga (PSE)'!$B$8:$B$1007,$A40)</f>
        <v>0</v>
      </c>
      <c r="L40" s="100" t="n">
        <f aca="false">IF($J40=0,0,$J40/7)</f>
        <v>0</v>
      </c>
      <c r="M40" s="100" t="n">
        <f aca="false">IF($J40=0,0,STDEV($C40:$I40))</f>
        <v>0</v>
      </c>
      <c r="N40" s="144" t="n">
        <f aca="false">IF($M40=0,0,$L40/$M40)</f>
        <v>0</v>
      </c>
      <c r="O40" s="44" t="n">
        <f aca="false">$J40*$N40</f>
        <v>0</v>
      </c>
      <c r="P40" s="69" t="str">
        <f aca="false">IF($J40=0,"",IF($N40&gt;2,"Monotonia alta",IF($N40&gt;=1.5,"Atenção","Adequada")))</f>
        <v/>
      </c>
    </row>
    <row r="41" customFormat="false" ht="15" hidden="false" customHeight="false" outlineLevel="0" collapsed="false">
      <c r="A41" s="73" t="n">
        <v>22</v>
      </c>
      <c r="B41" s="159" t="n">
        <f aca="false">IF(Macrociclo!$C$11="","",Macrociclo!$C$11+($A41-1)*7)</f>
        <v>46174</v>
      </c>
      <c r="C41" s="146" t="n">
        <f aca="false">IF($B41="",0,SUMIFS('Carga (PSE)'!$G$8:$G$1007,'Carga (PSE)'!$C$8:$C$1007,$C$4,'Carga (PSE)'!$A$8:$A$1007,$B41+0))</f>
        <v>0</v>
      </c>
      <c r="D41" s="146" t="n">
        <f aca="false">IF($B41="",0,SUMIFS('Carga (PSE)'!$G$8:$G$1007,'Carga (PSE)'!$C$8:$C$1007,$C$4,'Carga (PSE)'!$A$8:$A$1007,$B41+1))</f>
        <v>0</v>
      </c>
      <c r="E41" s="146" t="n">
        <f aca="false">IF($B41="",0,SUMIFS('Carga (PSE)'!$G$8:$G$1007,'Carga (PSE)'!$C$8:$C$1007,$C$4,'Carga (PSE)'!$A$8:$A$1007,$B41+2))</f>
        <v>0</v>
      </c>
      <c r="F41" s="146" t="n">
        <f aca="false">IF($B41="",0,SUMIFS('Carga (PSE)'!$G$8:$G$1007,'Carga (PSE)'!$C$8:$C$1007,$C$4,'Carga (PSE)'!$A$8:$A$1007,$B41+3))</f>
        <v>0</v>
      </c>
      <c r="G41" s="146" t="n">
        <f aca="false">IF($B41="",0,SUMIFS('Carga (PSE)'!$G$8:$G$1007,'Carga (PSE)'!$C$8:$C$1007,$C$4,'Carga (PSE)'!$A$8:$A$1007,$B41+4))</f>
        <v>0</v>
      </c>
      <c r="H41" s="146" t="n">
        <f aca="false">IF($B41="",0,SUMIFS('Carga (PSE)'!$G$8:$G$1007,'Carga (PSE)'!$C$8:$C$1007,$C$4,'Carga (PSE)'!$A$8:$A$1007,$B41+5))</f>
        <v>0</v>
      </c>
      <c r="I41" s="146" t="n">
        <f aca="false">IF($B41="",0,SUMIFS('Carga (PSE)'!$G$8:$G$1007,'Carga (PSE)'!$C$8:$C$1007,$C$4,'Carga (PSE)'!$A$8:$A$1007,$B41+6))</f>
        <v>0</v>
      </c>
      <c r="J41" s="147" t="n">
        <f aca="false">SUM($C41:$I41)</f>
        <v>0</v>
      </c>
      <c r="K41" s="146" t="n">
        <f aca="false">COUNTIFS('Carga (PSE)'!$C$8:$C$1007,$C$4,'Carga (PSE)'!$B$8:$B$1007,$A41)</f>
        <v>0</v>
      </c>
      <c r="L41" s="104" t="n">
        <f aca="false">IF($J41=0,0,$J41/7)</f>
        <v>0</v>
      </c>
      <c r="M41" s="104" t="n">
        <f aca="false">IF($J41=0,0,STDEV($C41:$I41))</f>
        <v>0</v>
      </c>
      <c r="N41" s="160" t="n">
        <f aca="false">IF($M41=0,0,$L41/$M41)</f>
        <v>0</v>
      </c>
      <c r="O41" s="147" t="n">
        <f aca="false">$J41*$N41</f>
        <v>0</v>
      </c>
      <c r="P41" s="73" t="str">
        <f aca="false">IF($J41=0,"",IF($N41&gt;2,"Monotonia alta",IF($N41&gt;=1.5,"Atenção","Adequada")))</f>
        <v/>
      </c>
    </row>
    <row r="42" customFormat="false" ht="15" hidden="false" customHeight="false" outlineLevel="0" collapsed="false">
      <c r="A42" s="69" t="n">
        <v>23</v>
      </c>
      <c r="B42" s="158" t="n">
        <f aca="false">IF(Macrociclo!$C$11="","",Macrociclo!$C$11+($A42-1)*7)</f>
        <v>46181</v>
      </c>
      <c r="C42" s="140" t="n">
        <f aca="false">IF($B42="",0,SUMIFS('Carga (PSE)'!$G$8:$G$1007,'Carga (PSE)'!$C$8:$C$1007,$C$4,'Carga (PSE)'!$A$8:$A$1007,$B42+0))</f>
        <v>0</v>
      </c>
      <c r="D42" s="140" t="n">
        <f aca="false">IF($B42="",0,SUMIFS('Carga (PSE)'!$G$8:$G$1007,'Carga (PSE)'!$C$8:$C$1007,$C$4,'Carga (PSE)'!$A$8:$A$1007,$B42+1))</f>
        <v>0</v>
      </c>
      <c r="E42" s="140" t="n">
        <f aca="false">IF($B42="",0,SUMIFS('Carga (PSE)'!$G$8:$G$1007,'Carga (PSE)'!$C$8:$C$1007,$C$4,'Carga (PSE)'!$A$8:$A$1007,$B42+2))</f>
        <v>0</v>
      </c>
      <c r="F42" s="140" t="n">
        <f aca="false">IF($B42="",0,SUMIFS('Carga (PSE)'!$G$8:$G$1007,'Carga (PSE)'!$C$8:$C$1007,$C$4,'Carga (PSE)'!$A$8:$A$1007,$B42+3))</f>
        <v>0</v>
      </c>
      <c r="G42" s="140" t="n">
        <f aca="false">IF($B42="",0,SUMIFS('Carga (PSE)'!$G$8:$G$1007,'Carga (PSE)'!$C$8:$C$1007,$C$4,'Carga (PSE)'!$A$8:$A$1007,$B42+4))</f>
        <v>0</v>
      </c>
      <c r="H42" s="140" t="n">
        <f aca="false">IF($B42="",0,SUMIFS('Carga (PSE)'!$G$8:$G$1007,'Carga (PSE)'!$C$8:$C$1007,$C$4,'Carga (PSE)'!$A$8:$A$1007,$B42+5))</f>
        <v>0</v>
      </c>
      <c r="I42" s="140" t="n">
        <f aca="false">IF($B42="",0,SUMIFS('Carga (PSE)'!$G$8:$G$1007,'Carga (PSE)'!$C$8:$C$1007,$C$4,'Carga (PSE)'!$A$8:$A$1007,$B42+6))</f>
        <v>0</v>
      </c>
      <c r="J42" s="44" t="n">
        <f aca="false">SUM($C42:$I42)</f>
        <v>0</v>
      </c>
      <c r="K42" s="140" t="n">
        <f aca="false">COUNTIFS('Carga (PSE)'!$C$8:$C$1007,$C$4,'Carga (PSE)'!$B$8:$B$1007,$A42)</f>
        <v>0</v>
      </c>
      <c r="L42" s="100" t="n">
        <f aca="false">IF($J42=0,0,$J42/7)</f>
        <v>0</v>
      </c>
      <c r="M42" s="100" t="n">
        <f aca="false">IF($J42=0,0,STDEV($C42:$I42))</f>
        <v>0</v>
      </c>
      <c r="N42" s="144" t="n">
        <f aca="false">IF($M42=0,0,$L42/$M42)</f>
        <v>0</v>
      </c>
      <c r="O42" s="44" t="n">
        <f aca="false">$J42*$N42</f>
        <v>0</v>
      </c>
      <c r="P42" s="69" t="str">
        <f aca="false">IF($J42=0,"",IF($N42&gt;2,"Monotonia alta",IF($N42&gt;=1.5,"Atenção","Adequada")))</f>
        <v/>
      </c>
    </row>
    <row r="43" customFormat="false" ht="15" hidden="false" customHeight="false" outlineLevel="0" collapsed="false">
      <c r="A43" s="73" t="n">
        <v>24</v>
      </c>
      <c r="B43" s="159" t="n">
        <f aca="false">IF(Macrociclo!$C$11="","",Macrociclo!$C$11+($A43-1)*7)</f>
        <v>46188</v>
      </c>
      <c r="C43" s="146" t="n">
        <f aca="false">IF($B43="",0,SUMIFS('Carga (PSE)'!$G$8:$G$1007,'Carga (PSE)'!$C$8:$C$1007,$C$4,'Carga (PSE)'!$A$8:$A$1007,$B43+0))</f>
        <v>0</v>
      </c>
      <c r="D43" s="146" t="n">
        <f aca="false">IF($B43="",0,SUMIFS('Carga (PSE)'!$G$8:$G$1007,'Carga (PSE)'!$C$8:$C$1007,$C$4,'Carga (PSE)'!$A$8:$A$1007,$B43+1))</f>
        <v>0</v>
      </c>
      <c r="E43" s="146" t="n">
        <f aca="false">IF($B43="",0,SUMIFS('Carga (PSE)'!$G$8:$G$1007,'Carga (PSE)'!$C$8:$C$1007,$C$4,'Carga (PSE)'!$A$8:$A$1007,$B43+2))</f>
        <v>0</v>
      </c>
      <c r="F43" s="146" t="n">
        <f aca="false">IF($B43="",0,SUMIFS('Carga (PSE)'!$G$8:$G$1007,'Carga (PSE)'!$C$8:$C$1007,$C$4,'Carga (PSE)'!$A$8:$A$1007,$B43+3))</f>
        <v>0</v>
      </c>
      <c r="G43" s="146" t="n">
        <f aca="false">IF($B43="",0,SUMIFS('Carga (PSE)'!$G$8:$G$1007,'Carga (PSE)'!$C$8:$C$1007,$C$4,'Carga (PSE)'!$A$8:$A$1007,$B43+4))</f>
        <v>0</v>
      </c>
      <c r="H43" s="146" t="n">
        <f aca="false">IF($B43="",0,SUMIFS('Carga (PSE)'!$G$8:$G$1007,'Carga (PSE)'!$C$8:$C$1007,$C$4,'Carga (PSE)'!$A$8:$A$1007,$B43+5))</f>
        <v>0</v>
      </c>
      <c r="I43" s="146" t="n">
        <f aca="false">IF($B43="",0,SUMIFS('Carga (PSE)'!$G$8:$G$1007,'Carga (PSE)'!$C$8:$C$1007,$C$4,'Carga (PSE)'!$A$8:$A$1007,$B43+6))</f>
        <v>0</v>
      </c>
      <c r="J43" s="147" t="n">
        <f aca="false">SUM($C43:$I43)</f>
        <v>0</v>
      </c>
      <c r="K43" s="146" t="n">
        <f aca="false">COUNTIFS('Carga (PSE)'!$C$8:$C$1007,$C$4,'Carga (PSE)'!$B$8:$B$1007,$A43)</f>
        <v>0</v>
      </c>
      <c r="L43" s="104" t="n">
        <f aca="false">IF($J43=0,0,$J43/7)</f>
        <v>0</v>
      </c>
      <c r="M43" s="104" t="n">
        <f aca="false">IF($J43=0,0,STDEV($C43:$I43))</f>
        <v>0</v>
      </c>
      <c r="N43" s="160" t="n">
        <f aca="false">IF($M43=0,0,$L43/$M43)</f>
        <v>0</v>
      </c>
      <c r="O43" s="147" t="n">
        <f aca="false">$J43*$N43</f>
        <v>0</v>
      </c>
      <c r="P43" s="73" t="str">
        <f aca="false">IF($J43=0,"",IF($N43&gt;2,"Monotonia alta",IF($N43&gt;=1.5,"Atenção","Adequada")))</f>
        <v/>
      </c>
    </row>
    <row r="44" customFormat="false" ht="15" hidden="false" customHeight="false" outlineLevel="0" collapsed="false">
      <c r="A44" s="69" t="n">
        <v>25</v>
      </c>
      <c r="B44" s="158" t="n">
        <f aca="false">IF(Macrociclo!$C$11="","",Macrociclo!$C$11+($A44-1)*7)</f>
        <v>46195</v>
      </c>
      <c r="C44" s="140" t="n">
        <f aca="false">IF($B44="",0,SUMIFS('Carga (PSE)'!$G$8:$G$1007,'Carga (PSE)'!$C$8:$C$1007,$C$4,'Carga (PSE)'!$A$8:$A$1007,$B44+0))</f>
        <v>0</v>
      </c>
      <c r="D44" s="140" t="n">
        <f aca="false">IF($B44="",0,SUMIFS('Carga (PSE)'!$G$8:$G$1007,'Carga (PSE)'!$C$8:$C$1007,$C$4,'Carga (PSE)'!$A$8:$A$1007,$B44+1))</f>
        <v>0</v>
      </c>
      <c r="E44" s="140" t="n">
        <f aca="false">IF($B44="",0,SUMIFS('Carga (PSE)'!$G$8:$G$1007,'Carga (PSE)'!$C$8:$C$1007,$C$4,'Carga (PSE)'!$A$8:$A$1007,$B44+2))</f>
        <v>0</v>
      </c>
      <c r="F44" s="140" t="n">
        <f aca="false">IF($B44="",0,SUMIFS('Carga (PSE)'!$G$8:$G$1007,'Carga (PSE)'!$C$8:$C$1007,$C$4,'Carga (PSE)'!$A$8:$A$1007,$B44+3))</f>
        <v>0</v>
      </c>
      <c r="G44" s="140" t="n">
        <f aca="false">IF($B44="",0,SUMIFS('Carga (PSE)'!$G$8:$G$1007,'Carga (PSE)'!$C$8:$C$1007,$C$4,'Carga (PSE)'!$A$8:$A$1007,$B44+4))</f>
        <v>0</v>
      </c>
      <c r="H44" s="140" t="n">
        <f aca="false">IF($B44="",0,SUMIFS('Carga (PSE)'!$G$8:$G$1007,'Carga (PSE)'!$C$8:$C$1007,$C$4,'Carga (PSE)'!$A$8:$A$1007,$B44+5))</f>
        <v>0</v>
      </c>
      <c r="I44" s="140" t="n">
        <f aca="false">IF($B44="",0,SUMIFS('Carga (PSE)'!$G$8:$G$1007,'Carga (PSE)'!$C$8:$C$1007,$C$4,'Carga (PSE)'!$A$8:$A$1007,$B44+6))</f>
        <v>0</v>
      </c>
      <c r="J44" s="44" t="n">
        <f aca="false">SUM($C44:$I44)</f>
        <v>0</v>
      </c>
      <c r="K44" s="140" t="n">
        <f aca="false">COUNTIFS('Carga (PSE)'!$C$8:$C$1007,$C$4,'Carga (PSE)'!$B$8:$B$1007,$A44)</f>
        <v>0</v>
      </c>
      <c r="L44" s="100" t="n">
        <f aca="false">IF($J44=0,0,$J44/7)</f>
        <v>0</v>
      </c>
      <c r="M44" s="100" t="n">
        <f aca="false">IF($J44=0,0,STDEV($C44:$I44))</f>
        <v>0</v>
      </c>
      <c r="N44" s="144" t="n">
        <f aca="false">IF($M44=0,0,$L44/$M44)</f>
        <v>0</v>
      </c>
      <c r="O44" s="44" t="n">
        <f aca="false">$J44*$N44</f>
        <v>0</v>
      </c>
      <c r="P44" s="69" t="str">
        <f aca="false">IF($J44=0,"",IF($N44&gt;2,"Monotonia alta",IF($N44&gt;=1.5,"Atenção","Adequada")))</f>
        <v/>
      </c>
    </row>
    <row r="45" customFormat="false" ht="15" hidden="false" customHeight="false" outlineLevel="0" collapsed="false">
      <c r="A45" s="73" t="n">
        <v>26</v>
      </c>
      <c r="B45" s="159" t="n">
        <f aca="false">IF(Macrociclo!$C$11="","",Macrociclo!$C$11+($A45-1)*7)</f>
        <v>46202</v>
      </c>
      <c r="C45" s="146" t="n">
        <f aca="false">IF($B45="",0,SUMIFS('Carga (PSE)'!$G$8:$G$1007,'Carga (PSE)'!$C$8:$C$1007,$C$4,'Carga (PSE)'!$A$8:$A$1007,$B45+0))</f>
        <v>0</v>
      </c>
      <c r="D45" s="146" t="n">
        <f aca="false">IF($B45="",0,SUMIFS('Carga (PSE)'!$G$8:$G$1007,'Carga (PSE)'!$C$8:$C$1007,$C$4,'Carga (PSE)'!$A$8:$A$1007,$B45+1))</f>
        <v>0</v>
      </c>
      <c r="E45" s="146" t="n">
        <f aca="false">IF($B45="",0,SUMIFS('Carga (PSE)'!$G$8:$G$1007,'Carga (PSE)'!$C$8:$C$1007,$C$4,'Carga (PSE)'!$A$8:$A$1007,$B45+2))</f>
        <v>0</v>
      </c>
      <c r="F45" s="146" t="n">
        <f aca="false">IF($B45="",0,SUMIFS('Carga (PSE)'!$G$8:$G$1007,'Carga (PSE)'!$C$8:$C$1007,$C$4,'Carga (PSE)'!$A$8:$A$1007,$B45+3))</f>
        <v>0</v>
      </c>
      <c r="G45" s="146" t="n">
        <f aca="false">IF($B45="",0,SUMIFS('Carga (PSE)'!$G$8:$G$1007,'Carga (PSE)'!$C$8:$C$1007,$C$4,'Carga (PSE)'!$A$8:$A$1007,$B45+4))</f>
        <v>0</v>
      </c>
      <c r="H45" s="146" t="n">
        <f aca="false">IF($B45="",0,SUMIFS('Carga (PSE)'!$G$8:$G$1007,'Carga (PSE)'!$C$8:$C$1007,$C$4,'Carga (PSE)'!$A$8:$A$1007,$B45+5))</f>
        <v>0</v>
      </c>
      <c r="I45" s="146" t="n">
        <f aca="false">IF($B45="",0,SUMIFS('Carga (PSE)'!$G$8:$G$1007,'Carga (PSE)'!$C$8:$C$1007,$C$4,'Carga (PSE)'!$A$8:$A$1007,$B45+6))</f>
        <v>0</v>
      </c>
      <c r="J45" s="147" t="n">
        <f aca="false">SUM($C45:$I45)</f>
        <v>0</v>
      </c>
      <c r="K45" s="146" t="n">
        <f aca="false">COUNTIFS('Carga (PSE)'!$C$8:$C$1007,$C$4,'Carga (PSE)'!$B$8:$B$1007,$A45)</f>
        <v>0</v>
      </c>
      <c r="L45" s="104" t="n">
        <f aca="false">IF($J45=0,0,$J45/7)</f>
        <v>0</v>
      </c>
      <c r="M45" s="104" t="n">
        <f aca="false">IF($J45=0,0,STDEV($C45:$I45))</f>
        <v>0</v>
      </c>
      <c r="N45" s="160" t="n">
        <f aca="false">IF($M45=0,0,$L45/$M45)</f>
        <v>0</v>
      </c>
      <c r="O45" s="147" t="n">
        <f aca="false">$J45*$N45</f>
        <v>0</v>
      </c>
      <c r="P45" s="73" t="str">
        <f aca="false">IF($J45=0,"",IF($N45&gt;2,"Monotonia alta",IF($N45&gt;=1.5,"Atenção","Adequada")))</f>
        <v/>
      </c>
    </row>
    <row r="46" customFormat="false" ht="15" hidden="false" customHeight="false" outlineLevel="0" collapsed="false">
      <c r="A46" s="69" t="n">
        <v>27</v>
      </c>
      <c r="B46" s="158" t="n">
        <f aca="false">IF(Macrociclo!$C$11="","",Macrociclo!$C$11+($A46-1)*7)</f>
        <v>46209</v>
      </c>
      <c r="C46" s="140" t="n">
        <f aca="false">IF($B46="",0,SUMIFS('Carga (PSE)'!$G$8:$G$1007,'Carga (PSE)'!$C$8:$C$1007,$C$4,'Carga (PSE)'!$A$8:$A$1007,$B46+0))</f>
        <v>0</v>
      </c>
      <c r="D46" s="140" t="n">
        <f aca="false">IF($B46="",0,SUMIFS('Carga (PSE)'!$G$8:$G$1007,'Carga (PSE)'!$C$8:$C$1007,$C$4,'Carga (PSE)'!$A$8:$A$1007,$B46+1))</f>
        <v>0</v>
      </c>
      <c r="E46" s="140" t="n">
        <f aca="false">IF($B46="",0,SUMIFS('Carga (PSE)'!$G$8:$G$1007,'Carga (PSE)'!$C$8:$C$1007,$C$4,'Carga (PSE)'!$A$8:$A$1007,$B46+2))</f>
        <v>0</v>
      </c>
      <c r="F46" s="140" t="n">
        <f aca="false">IF($B46="",0,SUMIFS('Carga (PSE)'!$G$8:$G$1007,'Carga (PSE)'!$C$8:$C$1007,$C$4,'Carga (PSE)'!$A$8:$A$1007,$B46+3))</f>
        <v>0</v>
      </c>
      <c r="G46" s="140" t="n">
        <f aca="false">IF($B46="",0,SUMIFS('Carga (PSE)'!$G$8:$G$1007,'Carga (PSE)'!$C$8:$C$1007,$C$4,'Carga (PSE)'!$A$8:$A$1007,$B46+4))</f>
        <v>0</v>
      </c>
      <c r="H46" s="140" t="n">
        <f aca="false">IF($B46="",0,SUMIFS('Carga (PSE)'!$G$8:$G$1007,'Carga (PSE)'!$C$8:$C$1007,$C$4,'Carga (PSE)'!$A$8:$A$1007,$B46+5))</f>
        <v>0</v>
      </c>
      <c r="I46" s="140" t="n">
        <f aca="false">IF($B46="",0,SUMIFS('Carga (PSE)'!$G$8:$G$1007,'Carga (PSE)'!$C$8:$C$1007,$C$4,'Carga (PSE)'!$A$8:$A$1007,$B46+6))</f>
        <v>0</v>
      </c>
      <c r="J46" s="44" t="n">
        <f aca="false">SUM($C46:$I46)</f>
        <v>0</v>
      </c>
      <c r="K46" s="140" t="n">
        <f aca="false">COUNTIFS('Carga (PSE)'!$C$8:$C$1007,$C$4,'Carga (PSE)'!$B$8:$B$1007,$A46)</f>
        <v>0</v>
      </c>
      <c r="L46" s="100" t="n">
        <f aca="false">IF($J46=0,0,$J46/7)</f>
        <v>0</v>
      </c>
      <c r="M46" s="100" t="n">
        <f aca="false">IF($J46=0,0,STDEV($C46:$I46))</f>
        <v>0</v>
      </c>
      <c r="N46" s="144" t="n">
        <f aca="false">IF($M46=0,0,$L46/$M46)</f>
        <v>0</v>
      </c>
      <c r="O46" s="44" t="n">
        <f aca="false">$J46*$N46</f>
        <v>0</v>
      </c>
      <c r="P46" s="69" t="str">
        <f aca="false">IF($J46=0,"",IF($N46&gt;2,"Monotonia alta",IF($N46&gt;=1.5,"Atenção","Adequada")))</f>
        <v/>
      </c>
    </row>
    <row r="47" customFormat="false" ht="15" hidden="false" customHeight="false" outlineLevel="0" collapsed="false">
      <c r="A47" s="73" t="n">
        <v>28</v>
      </c>
      <c r="B47" s="159" t="n">
        <f aca="false">IF(Macrociclo!$C$11="","",Macrociclo!$C$11+($A47-1)*7)</f>
        <v>46216</v>
      </c>
      <c r="C47" s="146" t="n">
        <f aca="false">IF($B47="",0,SUMIFS('Carga (PSE)'!$G$8:$G$1007,'Carga (PSE)'!$C$8:$C$1007,$C$4,'Carga (PSE)'!$A$8:$A$1007,$B47+0))</f>
        <v>0</v>
      </c>
      <c r="D47" s="146" t="n">
        <f aca="false">IF($B47="",0,SUMIFS('Carga (PSE)'!$G$8:$G$1007,'Carga (PSE)'!$C$8:$C$1007,$C$4,'Carga (PSE)'!$A$8:$A$1007,$B47+1))</f>
        <v>0</v>
      </c>
      <c r="E47" s="146" t="n">
        <f aca="false">IF($B47="",0,SUMIFS('Carga (PSE)'!$G$8:$G$1007,'Carga (PSE)'!$C$8:$C$1007,$C$4,'Carga (PSE)'!$A$8:$A$1007,$B47+2))</f>
        <v>0</v>
      </c>
      <c r="F47" s="146" t="n">
        <f aca="false">IF($B47="",0,SUMIFS('Carga (PSE)'!$G$8:$G$1007,'Carga (PSE)'!$C$8:$C$1007,$C$4,'Carga (PSE)'!$A$8:$A$1007,$B47+3))</f>
        <v>0</v>
      </c>
      <c r="G47" s="146" t="n">
        <f aca="false">IF($B47="",0,SUMIFS('Carga (PSE)'!$G$8:$G$1007,'Carga (PSE)'!$C$8:$C$1007,$C$4,'Carga (PSE)'!$A$8:$A$1007,$B47+4))</f>
        <v>0</v>
      </c>
      <c r="H47" s="146" t="n">
        <f aca="false">IF($B47="",0,SUMIFS('Carga (PSE)'!$G$8:$G$1007,'Carga (PSE)'!$C$8:$C$1007,$C$4,'Carga (PSE)'!$A$8:$A$1007,$B47+5))</f>
        <v>0</v>
      </c>
      <c r="I47" s="146" t="n">
        <f aca="false">IF($B47="",0,SUMIFS('Carga (PSE)'!$G$8:$G$1007,'Carga (PSE)'!$C$8:$C$1007,$C$4,'Carga (PSE)'!$A$8:$A$1007,$B47+6))</f>
        <v>0</v>
      </c>
      <c r="J47" s="147" t="n">
        <f aca="false">SUM($C47:$I47)</f>
        <v>0</v>
      </c>
      <c r="K47" s="146" t="n">
        <f aca="false">COUNTIFS('Carga (PSE)'!$C$8:$C$1007,$C$4,'Carga (PSE)'!$B$8:$B$1007,$A47)</f>
        <v>0</v>
      </c>
      <c r="L47" s="104" t="n">
        <f aca="false">IF($J47=0,0,$J47/7)</f>
        <v>0</v>
      </c>
      <c r="M47" s="104" t="n">
        <f aca="false">IF($J47=0,0,STDEV($C47:$I47))</f>
        <v>0</v>
      </c>
      <c r="N47" s="160" t="n">
        <f aca="false">IF($M47=0,0,$L47/$M47)</f>
        <v>0</v>
      </c>
      <c r="O47" s="147" t="n">
        <f aca="false">$J47*$N47</f>
        <v>0</v>
      </c>
      <c r="P47" s="73" t="str">
        <f aca="false">IF($J47=0,"",IF($N47&gt;2,"Monotonia alta",IF($N47&gt;=1.5,"Atenção","Adequada")))</f>
        <v/>
      </c>
    </row>
    <row r="48" customFormat="false" ht="15" hidden="false" customHeight="false" outlineLevel="0" collapsed="false">
      <c r="A48" s="69" t="n">
        <v>29</v>
      </c>
      <c r="B48" s="158" t="n">
        <f aca="false">IF(Macrociclo!$C$11="","",Macrociclo!$C$11+($A48-1)*7)</f>
        <v>46223</v>
      </c>
      <c r="C48" s="140" t="n">
        <f aca="false">IF($B48="",0,SUMIFS('Carga (PSE)'!$G$8:$G$1007,'Carga (PSE)'!$C$8:$C$1007,$C$4,'Carga (PSE)'!$A$8:$A$1007,$B48+0))</f>
        <v>0</v>
      </c>
      <c r="D48" s="140" t="n">
        <f aca="false">IF($B48="",0,SUMIFS('Carga (PSE)'!$G$8:$G$1007,'Carga (PSE)'!$C$8:$C$1007,$C$4,'Carga (PSE)'!$A$8:$A$1007,$B48+1))</f>
        <v>0</v>
      </c>
      <c r="E48" s="140" t="n">
        <f aca="false">IF($B48="",0,SUMIFS('Carga (PSE)'!$G$8:$G$1007,'Carga (PSE)'!$C$8:$C$1007,$C$4,'Carga (PSE)'!$A$8:$A$1007,$B48+2))</f>
        <v>0</v>
      </c>
      <c r="F48" s="140" t="n">
        <f aca="false">IF($B48="",0,SUMIFS('Carga (PSE)'!$G$8:$G$1007,'Carga (PSE)'!$C$8:$C$1007,$C$4,'Carga (PSE)'!$A$8:$A$1007,$B48+3))</f>
        <v>0</v>
      </c>
      <c r="G48" s="140" t="n">
        <f aca="false">IF($B48="",0,SUMIFS('Carga (PSE)'!$G$8:$G$1007,'Carga (PSE)'!$C$8:$C$1007,$C$4,'Carga (PSE)'!$A$8:$A$1007,$B48+4))</f>
        <v>0</v>
      </c>
      <c r="H48" s="140" t="n">
        <f aca="false">IF($B48="",0,SUMIFS('Carga (PSE)'!$G$8:$G$1007,'Carga (PSE)'!$C$8:$C$1007,$C$4,'Carga (PSE)'!$A$8:$A$1007,$B48+5))</f>
        <v>0</v>
      </c>
      <c r="I48" s="140" t="n">
        <f aca="false">IF($B48="",0,SUMIFS('Carga (PSE)'!$G$8:$G$1007,'Carga (PSE)'!$C$8:$C$1007,$C$4,'Carga (PSE)'!$A$8:$A$1007,$B48+6))</f>
        <v>0</v>
      </c>
      <c r="J48" s="44" t="n">
        <f aca="false">SUM($C48:$I48)</f>
        <v>0</v>
      </c>
      <c r="K48" s="140" t="n">
        <f aca="false">COUNTIFS('Carga (PSE)'!$C$8:$C$1007,$C$4,'Carga (PSE)'!$B$8:$B$1007,$A48)</f>
        <v>0</v>
      </c>
      <c r="L48" s="100" t="n">
        <f aca="false">IF($J48=0,0,$J48/7)</f>
        <v>0</v>
      </c>
      <c r="M48" s="100" t="n">
        <f aca="false">IF($J48=0,0,STDEV($C48:$I48))</f>
        <v>0</v>
      </c>
      <c r="N48" s="144" t="n">
        <f aca="false">IF($M48=0,0,$L48/$M48)</f>
        <v>0</v>
      </c>
      <c r="O48" s="44" t="n">
        <f aca="false">$J48*$N48</f>
        <v>0</v>
      </c>
      <c r="P48" s="69" t="str">
        <f aca="false">IF($J48=0,"",IF($N48&gt;2,"Monotonia alta",IF($N48&gt;=1.5,"Atenção","Adequada")))</f>
        <v/>
      </c>
    </row>
    <row r="49" customFormat="false" ht="15" hidden="false" customHeight="false" outlineLevel="0" collapsed="false">
      <c r="A49" s="73" t="n">
        <v>30</v>
      </c>
      <c r="B49" s="159" t="n">
        <f aca="false">IF(Macrociclo!$C$11="","",Macrociclo!$C$11+($A49-1)*7)</f>
        <v>46230</v>
      </c>
      <c r="C49" s="146" t="n">
        <f aca="false">IF($B49="",0,SUMIFS('Carga (PSE)'!$G$8:$G$1007,'Carga (PSE)'!$C$8:$C$1007,$C$4,'Carga (PSE)'!$A$8:$A$1007,$B49+0))</f>
        <v>0</v>
      </c>
      <c r="D49" s="146" t="n">
        <f aca="false">IF($B49="",0,SUMIFS('Carga (PSE)'!$G$8:$G$1007,'Carga (PSE)'!$C$8:$C$1007,$C$4,'Carga (PSE)'!$A$8:$A$1007,$B49+1))</f>
        <v>0</v>
      </c>
      <c r="E49" s="146" t="n">
        <f aca="false">IF($B49="",0,SUMIFS('Carga (PSE)'!$G$8:$G$1007,'Carga (PSE)'!$C$8:$C$1007,$C$4,'Carga (PSE)'!$A$8:$A$1007,$B49+2))</f>
        <v>0</v>
      </c>
      <c r="F49" s="146" t="n">
        <f aca="false">IF($B49="",0,SUMIFS('Carga (PSE)'!$G$8:$G$1007,'Carga (PSE)'!$C$8:$C$1007,$C$4,'Carga (PSE)'!$A$8:$A$1007,$B49+3))</f>
        <v>0</v>
      </c>
      <c r="G49" s="146" t="n">
        <f aca="false">IF($B49="",0,SUMIFS('Carga (PSE)'!$G$8:$G$1007,'Carga (PSE)'!$C$8:$C$1007,$C$4,'Carga (PSE)'!$A$8:$A$1007,$B49+4))</f>
        <v>0</v>
      </c>
      <c r="H49" s="146" t="n">
        <f aca="false">IF($B49="",0,SUMIFS('Carga (PSE)'!$G$8:$G$1007,'Carga (PSE)'!$C$8:$C$1007,$C$4,'Carga (PSE)'!$A$8:$A$1007,$B49+5))</f>
        <v>0</v>
      </c>
      <c r="I49" s="146" t="n">
        <f aca="false">IF($B49="",0,SUMIFS('Carga (PSE)'!$G$8:$G$1007,'Carga (PSE)'!$C$8:$C$1007,$C$4,'Carga (PSE)'!$A$8:$A$1007,$B49+6))</f>
        <v>0</v>
      </c>
      <c r="J49" s="147" t="n">
        <f aca="false">SUM($C49:$I49)</f>
        <v>0</v>
      </c>
      <c r="K49" s="146" t="n">
        <f aca="false">COUNTIFS('Carga (PSE)'!$C$8:$C$1007,$C$4,'Carga (PSE)'!$B$8:$B$1007,$A49)</f>
        <v>0</v>
      </c>
      <c r="L49" s="104" t="n">
        <f aca="false">IF($J49=0,0,$J49/7)</f>
        <v>0</v>
      </c>
      <c r="M49" s="104" t="n">
        <f aca="false">IF($J49=0,0,STDEV($C49:$I49))</f>
        <v>0</v>
      </c>
      <c r="N49" s="160" t="n">
        <f aca="false">IF($M49=0,0,$L49/$M49)</f>
        <v>0</v>
      </c>
      <c r="O49" s="147" t="n">
        <f aca="false">$J49*$N49</f>
        <v>0</v>
      </c>
      <c r="P49" s="73" t="str">
        <f aca="false">IF($J49=0,"",IF($N49&gt;2,"Monotonia alta",IF($N49&gt;=1.5,"Atenção","Adequada")))</f>
        <v/>
      </c>
    </row>
    <row r="50" customFormat="false" ht="15" hidden="false" customHeight="false" outlineLevel="0" collapsed="false">
      <c r="A50" s="69" t="n">
        <v>31</v>
      </c>
      <c r="B50" s="158" t="n">
        <f aca="false">IF(Macrociclo!$C$11="","",Macrociclo!$C$11+($A50-1)*7)</f>
        <v>46237</v>
      </c>
      <c r="C50" s="140" t="n">
        <f aca="false">IF($B50="",0,SUMIFS('Carga (PSE)'!$G$8:$G$1007,'Carga (PSE)'!$C$8:$C$1007,$C$4,'Carga (PSE)'!$A$8:$A$1007,$B50+0))</f>
        <v>0</v>
      </c>
      <c r="D50" s="140" t="n">
        <f aca="false">IF($B50="",0,SUMIFS('Carga (PSE)'!$G$8:$G$1007,'Carga (PSE)'!$C$8:$C$1007,$C$4,'Carga (PSE)'!$A$8:$A$1007,$B50+1))</f>
        <v>0</v>
      </c>
      <c r="E50" s="140" t="n">
        <f aca="false">IF($B50="",0,SUMIFS('Carga (PSE)'!$G$8:$G$1007,'Carga (PSE)'!$C$8:$C$1007,$C$4,'Carga (PSE)'!$A$8:$A$1007,$B50+2))</f>
        <v>0</v>
      </c>
      <c r="F50" s="140" t="n">
        <f aca="false">IF($B50="",0,SUMIFS('Carga (PSE)'!$G$8:$G$1007,'Carga (PSE)'!$C$8:$C$1007,$C$4,'Carga (PSE)'!$A$8:$A$1007,$B50+3))</f>
        <v>0</v>
      </c>
      <c r="G50" s="140" t="n">
        <f aca="false">IF($B50="",0,SUMIFS('Carga (PSE)'!$G$8:$G$1007,'Carga (PSE)'!$C$8:$C$1007,$C$4,'Carga (PSE)'!$A$8:$A$1007,$B50+4))</f>
        <v>0</v>
      </c>
      <c r="H50" s="140" t="n">
        <f aca="false">IF($B50="",0,SUMIFS('Carga (PSE)'!$G$8:$G$1007,'Carga (PSE)'!$C$8:$C$1007,$C$4,'Carga (PSE)'!$A$8:$A$1007,$B50+5))</f>
        <v>0</v>
      </c>
      <c r="I50" s="140" t="n">
        <f aca="false">IF($B50="",0,SUMIFS('Carga (PSE)'!$G$8:$G$1007,'Carga (PSE)'!$C$8:$C$1007,$C$4,'Carga (PSE)'!$A$8:$A$1007,$B50+6))</f>
        <v>0</v>
      </c>
      <c r="J50" s="44" t="n">
        <f aca="false">SUM($C50:$I50)</f>
        <v>0</v>
      </c>
      <c r="K50" s="140" t="n">
        <f aca="false">COUNTIFS('Carga (PSE)'!$C$8:$C$1007,$C$4,'Carga (PSE)'!$B$8:$B$1007,$A50)</f>
        <v>0</v>
      </c>
      <c r="L50" s="100" t="n">
        <f aca="false">IF($J50=0,0,$J50/7)</f>
        <v>0</v>
      </c>
      <c r="M50" s="100" t="n">
        <f aca="false">IF($J50=0,0,STDEV($C50:$I50))</f>
        <v>0</v>
      </c>
      <c r="N50" s="144" t="n">
        <f aca="false">IF($M50=0,0,$L50/$M50)</f>
        <v>0</v>
      </c>
      <c r="O50" s="44" t="n">
        <f aca="false">$J50*$N50</f>
        <v>0</v>
      </c>
      <c r="P50" s="69" t="str">
        <f aca="false">IF($J50=0,"",IF($N50&gt;2,"Monotonia alta",IF($N50&gt;=1.5,"Atenção","Adequada")))</f>
        <v/>
      </c>
    </row>
    <row r="51" customFormat="false" ht="15" hidden="false" customHeight="false" outlineLevel="0" collapsed="false">
      <c r="A51" s="73" t="n">
        <v>32</v>
      </c>
      <c r="B51" s="159" t="n">
        <f aca="false">IF(Macrociclo!$C$11="","",Macrociclo!$C$11+($A51-1)*7)</f>
        <v>46244</v>
      </c>
      <c r="C51" s="146" t="n">
        <f aca="false">IF($B51="",0,SUMIFS('Carga (PSE)'!$G$8:$G$1007,'Carga (PSE)'!$C$8:$C$1007,$C$4,'Carga (PSE)'!$A$8:$A$1007,$B51+0))</f>
        <v>1005</v>
      </c>
      <c r="D51" s="146" t="n">
        <f aca="false">IF($B51="",0,SUMIFS('Carga (PSE)'!$G$8:$G$1007,'Carga (PSE)'!$C$8:$C$1007,$C$4,'Carga (PSE)'!$A$8:$A$1007,$B51+1))</f>
        <v>385</v>
      </c>
      <c r="E51" s="146" t="n">
        <f aca="false">IF($B51="",0,SUMIFS('Carga (PSE)'!$G$8:$G$1007,'Carga (PSE)'!$C$8:$C$1007,$C$4,'Carga (PSE)'!$A$8:$A$1007,$B51+2))</f>
        <v>760</v>
      </c>
      <c r="F51" s="146" t="n">
        <f aca="false">IF($B51="",0,SUMIFS('Carga (PSE)'!$G$8:$G$1007,'Carga (PSE)'!$C$8:$C$1007,$C$4,'Carga (PSE)'!$A$8:$A$1007,$B51+3))</f>
        <v>835</v>
      </c>
      <c r="G51" s="146" t="n">
        <f aca="false">IF($B51="",0,SUMIFS('Carga (PSE)'!$G$8:$G$1007,'Carga (PSE)'!$C$8:$C$1007,$C$4,'Carga (PSE)'!$A$8:$A$1007,$B51+4))</f>
        <v>920</v>
      </c>
      <c r="H51" s="146" t="n">
        <f aca="false">IF($B51="",0,SUMIFS('Carga (PSE)'!$G$8:$G$1007,'Carga (PSE)'!$C$8:$C$1007,$C$4,'Carga (PSE)'!$A$8:$A$1007,$B51+5))</f>
        <v>0</v>
      </c>
      <c r="I51" s="146" t="n">
        <f aca="false">IF($B51="",0,SUMIFS('Carga (PSE)'!$G$8:$G$1007,'Carga (PSE)'!$C$8:$C$1007,$C$4,'Carga (PSE)'!$A$8:$A$1007,$B51+6))</f>
        <v>0</v>
      </c>
      <c r="J51" s="147" t="n">
        <f aca="false">SUM($C51:$I51)</f>
        <v>3905</v>
      </c>
      <c r="K51" s="146" t="n">
        <f aca="false">COUNTIFS('Carga (PSE)'!$C$8:$C$1007,$C$4,'Carga (PSE)'!$B$8:$B$1007,$A51)</f>
        <v>7</v>
      </c>
      <c r="L51" s="104" t="n">
        <f aca="false">IF($J51=0,0,$J51/7)</f>
        <v>557.857142857143</v>
      </c>
      <c r="M51" s="104" t="n">
        <f aca="false">IF($J51=0,0,STDEV($C51:$I51))</f>
        <v>428.377337002254</v>
      </c>
      <c r="N51" s="160" t="n">
        <f aca="false">IF($M51=0,0,$L51/$M51)</f>
        <v>1.30225643298727</v>
      </c>
      <c r="O51" s="147" t="n">
        <f aca="false">$J51*$N51</f>
        <v>5085.3113708153</v>
      </c>
      <c r="P51" s="73" t="str">
        <f aca="false">IF($J51=0,"",IF($N51&gt;2,"Monotonia alta",IF($N51&gt;=1.5,"Atenção","Adequada")))</f>
        <v>Adequada</v>
      </c>
    </row>
    <row r="52" customFormat="false" ht="15" hidden="false" customHeight="false" outlineLevel="0" collapsed="false">
      <c r="A52" s="69" t="n">
        <v>33</v>
      </c>
      <c r="B52" s="158" t="n">
        <f aca="false">IF(Macrociclo!$C$11="","",Macrociclo!$C$11+($A52-1)*7)</f>
        <v>46251</v>
      </c>
      <c r="C52" s="140" t="n">
        <f aca="false">IF($B52="",0,SUMIFS('Carga (PSE)'!$G$8:$G$1007,'Carga (PSE)'!$C$8:$C$1007,$C$4,'Carga (PSE)'!$A$8:$A$1007,$B52+0))</f>
        <v>540</v>
      </c>
      <c r="D52" s="140" t="n">
        <f aca="false">IF($B52="",0,SUMIFS('Carga (PSE)'!$G$8:$G$1007,'Carga (PSE)'!$C$8:$C$1007,$C$4,'Carga (PSE)'!$A$8:$A$1007,$B52+1))</f>
        <v>420</v>
      </c>
      <c r="E52" s="140" t="n">
        <f aca="false">IF($B52="",0,SUMIFS('Carga (PSE)'!$G$8:$G$1007,'Carga (PSE)'!$C$8:$C$1007,$C$4,'Carga (PSE)'!$A$8:$A$1007,$B52+2))</f>
        <v>800</v>
      </c>
      <c r="F52" s="140" t="n">
        <f aca="false">IF($B52="",0,SUMIFS('Carga (PSE)'!$G$8:$G$1007,'Carga (PSE)'!$C$8:$C$1007,$C$4,'Carga (PSE)'!$A$8:$A$1007,$B52+3))</f>
        <v>995</v>
      </c>
      <c r="G52" s="140" t="n">
        <f aca="false">IF($B52="",0,SUMIFS('Carga (PSE)'!$G$8:$G$1007,'Carga (PSE)'!$C$8:$C$1007,$C$4,'Carga (PSE)'!$A$8:$A$1007,$B52+4))</f>
        <v>840</v>
      </c>
      <c r="H52" s="140" t="n">
        <f aca="false">IF($B52="",0,SUMIFS('Carga (PSE)'!$G$8:$G$1007,'Carga (PSE)'!$C$8:$C$1007,$C$4,'Carga (PSE)'!$A$8:$A$1007,$B52+5))</f>
        <v>0</v>
      </c>
      <c r="I52" s="140" t="n">
        <f aca="false">IF($B52="",0,SUMIFS('Carga (PSE)'!$G$8:$G$1007,'Carga (PSE)'!$C$8:$C$1007,$C$4,'Carga (PSE)'!$A$8:$A$1007,$B52+6))</f>
        <v>0</v>
      </c>
      <c r="J52" s="44" t="n">
        <f aca="false">SUM($C52:$I52)</f>
        <v>3595</v>
      </c>
      <c r="K52" s="140" t="n">
        <f aca="false">COUNTIFS('Carga (PSE)'!$C$8:$C$1007,$C$4,'Carga (PSE)'!$B$8:$B$1007,$A52)</f>
        <v>6</v>
      </c>
      <c r="L52" s="100" t="n">
        <f aca="false">IF($J52=0,0,$J52/7)</f>
        <v>513.571428571429</v>
      </c>
      <c r="M52" s="100" t="n">
        <f aca="false">IF($J52=0,0,STDEV($C52:$I52))</f>
        <v>399.444554827015</v>
      </c>
      <c r="N52" s="144" t="n">
        <f aca="false">IF($M52=0,0,$L52/$M52)</f>
        <v>1.2857139304198</v>
      </c>
      <c r="O52" s="44" t="n">
        <f aca="false">$J52*$N52</f>
        <v>4622.14157985918</v>
      </c>
      <c r="P52" s="69" t="str">
        <f aca="false">IF($J52=0,"",IF($N52&gt;2,"Monotonia alta",IF($N52&gt;=1.5,"Atenção","Adequada")))</f>
        <v>Adequada</v>
      </c>
    </row>
    <row r="53" customFormat="false" ht="15" hidden="false" customHeight="false" outlineLevel="0" collapsed="false">
      <c r="A53" s="73" t="n">
        <v>34</v>
      </c>
      <c r="B53" s="159" t="n">
        <f aca="false">IF(Macrociclo!$C$11="","",Macrociclo!$C$11+($A53-1)*7)</f>
        <v>46258</v>
      </c>
      <c r="C53" s="146" t="n">
        <f aca="false">IF($B53="",0,SUMIFS('Carga (PSE)'!$G$8:$G$1007,'Carga (PSE)'!$C$8:$C$1007,$C$4,'Carga (PSE)'!$A$8:$A$1007,$B53+0))</f>
        <v>1140</v>
      </c>
      <c r="D53" s="146" t="n">
        <f aca="false">IF($B53="",0,SUMIFS('Carga (PSE)'!$G$8:$G$1007,'Carga (PSE)'!$C$8:$C$1007,$C$4,'Carga (PSE)'!$A$8:$A$1007,$B53+1))</f>
        <v>420</v>
      </c>
      <c r="E53" s="146" t="n">
        <f aca="false">IF($B53="",0,SUMIFS('Carga (PSE)'!$G$8:$G$1007,'Carga (PSE)'!$C$8:$C$1007,$C$4,'Carga (PSE)'!$A$8:$A$1007,$B53+2))</f>
        <v>800</v>
      </c>
      <c r="F53" s="146" t="n">
        <f aca="false">IF($B53="",0,SUMIFS('Carga (PSE)'!$G$8:$G$1007,'Carga (PSE)'!$C$8:$C$1007,$C$4,'Carga (PSE)'!$A$8:$A$1007,$B53+3))</f>
        <v>830</v>
      </c>
      <c r="G53" s="146" t="n">
        <f aca="false">IF($B53="",0,SUMIFS('Carga (PSE)'!$G$8:$G$1007,'Carga (PSE)'!$C$8:$C$1007,$C$4,'Carga (PSE)'!$A$8:$A$1007,$B53+4))</f>
        <v>800</v>
      </c>
      <c r="H53" s="146" t="n">
        <f aca="false">IF($B53="",0,SUMIFS('Carga (PSE)'!$G$8:$G$1007,'Carga (PSE)'!$C$8:$C$1007,$C$4,'Carga (PSE)'!$A$8:$A$1007,$B53+5))</f>
        <v>0</v>
      </c>
      <c r="I53" s="146" t="n">
        <f aca="false">IF($B53="",0,SUMIFS('Carga (PSE)'!$G$8:$G$1007,'Carga (PSE)'!$C$8:$C$1007,$C$4,'Carga (PSE)'!$A$8:$A$1007,$B53+6))</f>
        <v>0</v>
      </c>
      <c r="J53" s="147" t="n">
        <f aca="false">SUM($C53:$I53)</f>
        <v>3990</v>
      </c>
      <c r="K53" s="146" t="n">
        <f aca="false">COUNTIFS('Carga (PSE)'!$C$8:$C$1007,$C$4,'Carga (PSE)'!$B$8:$B$1007,$A53)</f>
        <v>7</v>
      </c>
      <c r="L53" s="104" t="n">
        <f aca="false">IF($J53=0,0,$J53/7)</f>
        <v>570</v>
      </c>
      <c r="M53" s="104" t="n">
        <f aca="false">IF($J53=0,0,STDEV($C53:$I53))</f>
        <v>441.701256507156</v>
      </c>
      <c r="N53" s="160" t="n">
        <f aca="false">IF($M53=0,0,$L53/$M53)</f>
        <v>1.29046497288098</v>
      </c>
      <c r="O53" s="147" t="n">
        <f aca="false">$J53*$N53</f>
        <v>5148.9552417951</v>
      </c>
      <c r="P53" s="73" t="str">
        <f aca="false">IF($J53=0,"",IF($N53&gt;2,"Monotonia alta",IF($N53&gt;=1.5,"Atenção","Adequada")))</f>
        <v>Adequada</v>
      </c>
    </row>
    <row r="54" customFormat="false" ht="15" hidden="false" customHeight="false" outlineLevel="0" collapsed="false">
      <c r="A54" s="69" t="n">
        <v>35</v>
      </c>
      <c r="B54" s="158" t="n">
        <f aca="false">IF(Macrociclo!$C$11="","",Macrociclo!$C$11+($A54-1)*7)</f>
        <v>46265</v>
      </c>
      <c r="C54" s="140" t="n">
        <f aca="false">IF($B54="",0,SUMIFS('Carga (PSE)'!$G$8:$G$1007,'Carga (PSE)'!$C$8:$C$1007,$C$4,'Carga (PSE)'!$A$8:$A$1007,$B54+0))</f>
        <v>935</v>
      </c>
      <c r="D54" s="140" t="n">
        <f aca="false">IF($B54="",0,SUMIFS('Carga (PSE)'!$G$8:$G$1007,'Carga (PSE)'!$C$8:$C$1007,$C$4,'Carga (PSE)'!$A$8:$A$1007,$B54+1))</f>
        <v>400</v>
      </c>
      <c r="E54" s="140" t="n">
        <f aca="false">IF($B54="",0,SUMIFS('Carga (PSE)'!$G$8:$G$1007,'Carga (PSE)'!$C$8:$C$1007,$C$4,'Carga (PSE)'!$A$8:$A$1007,$B54+2))</f>
        <v>0</v>
      </c>
      <c r="F54" s="140" t="n">
        <f aca="false">IF($B54="",0,SUMIFS('Carga (PSE)'!$G$8:$G$1007,'Carga (PSE)'!$C$8:$C$1007,$C$4,'Carga (PSE)'!$A$8:$A$1007,$B54+3))</f>
        <v>0</v>
      </c>
      <c r="G54" s="140" t="n">
        <f aca="false">IF($B54="",0,SUMIFS('Carga (PSE)'!$G$8:$G$1007,'Carga (PSE)'!$C$8:$C$1007,$C$4,'Carga (PSE)'!$A$8:$A$1007,$B54+4))</f>
        <v>0</v>
      </c>
      <c r="H54" s="140" t="n">
        <f aca="false">IF($B54="",0,SUMIFS('Carga (PSE)'!$G$8:$G$1007,'Carga (PSE)'!$C$8:$C$1007,$C$4,'Carga (PSE)'!$A$8:$A$1007,$B54+5))</f>
        <v>0</v>
      </c>
      <c r="I54" s="140" t="n">
        <f aca="false">IF($B54="",0,SUMIFS('Carga (PSE)'!$G$8:$G$1007,'Carga (PSE)'!$C$8:$C$1007,$C$4,'Carga (PSE)'!$A$8:$A$1007,$B54+6))</f>
        <v>0</v>
      </c>
      <c r="J54" s="44" t="n">
        <f aca="false">SUM($C54:$I54)</f>
        <v>1335</v>
      </c>
      <c r="K54" s="140" t="n">
        <f aca="false">COUNTIFS('Carga (PSE)'!$C$8:$C$1007,$C$4,'Carga (PSE)'!$B$8:$B$1007,$A54)</f>
        <v>3</v>
      </c>
      <c r="L54" s="100" t="n">
        <f aca="false">IF($J54=0,0,$J54/7)</f>
        <v>190.714285714286</v>
      </c>
      <c r="M54" s="100" t="n">
        <f aca="false">IF($J54=0,0,STDEV($C54:$I54))</f>
        <v>360.467619574775</v>
      </c>
      <c r="N54" s="144" t="n">
        <f aca="false">IF($M54=0,0,$L54/$M54)</f>
        <v>0.529074666787717</v>
      </c>
      <c r="O54" s="44" t="n">
        <f aca="false">$J54*$N54</f>
        <v>706.314680161603</v>
      </c>
      <c r="P54" s="69" t="str">
        <f aca="false">IF($J54=0,"",IF($N54&gt;2,"Monotonia alta",IF($N54&gt;=1.5,"Atenção","Adequada")))</f>
        <v>Adequada</v>
      </c>
    </row>
    <row r="55" customFormat="false" ht="15" hidden="false" customHeight="false" outlineLevel="0" collapsed="false">
      <c r="A55" s="73" t="n">
        <v>36</v>
      </c>
      <c r="B55" s="159" t="n">
        <f aca="false">IF(Macrociclo!$C$11="","",Macrociclo!$C$11+($A55-1)*7)</f>
        <v>46272</v>
      </c>
      <c r="C55" s="146" t="n">
        <f aca="false">IF($B55="",0,SUMIFS('Carga (PSE)'!$G$8:$G$1007,'Carga (PSE)'!$C$8:$C$1007,$C$4,'Carga (PSE)'!$A$8:$A$1007,$B55+0))</f>
        <v>0</v>
      </c>
      <c r="D55" s="146" t="n">
        <f aca="false">IF($B55="",0,SUMIFS('Carga (PSE)'!$G$8:$G$1007,'Carga (PSE)'!$C$8:$C$1007,$C$4,'Carga (PSE)'!$A$8:$A$1007,$B55+1))</f>
        <v>0</v>
      </c>
      <c r="E55" s="146" t="n">
        <f aca="false">IF($B55="",0,SUMIFS('Carga (PSE)'!$G$8:$G$1007,'Carga (PSE)'!$C$8:$C$1007,$C$4,'Carga (PSE)'!$A$8:$A$1007,$B55+2))</f>
        <v>0</v>
      </c>
      <c r="F55" s="146" t="n">
        <f aca="false">IF($B55="",0,SUMIFS('Carga (PSE)'!$G$8:$G$1007,'Carga (PSE)'!$C$8:$C$1007,$C$4,'Carga (PSE)'!$A$8:$A$1007,$B55+3))</f>
        <v>0</v>
      </c>
      <c r="G55" s="146" t="n">
        <f aca="false">IF($B55="",0,SUMIFS('Carga (PSE)'!$G$8:$G$1007,'Carga (PSE)'!$C$8:$C$1007,$C$4,'Carga (PSE)'!$A$8:$A$1007,$B55+4))</f>
        <v>0</v>
      </c>
      <c r="H55" s="146" t="n">
        <f aca="false">IF($B55="",0,SUMIFS('Carga (PSE)'!$G$8:$G$1007,'Carga (PSE)'!$C$8:$C$1007,$C$4,'Carga (PSE)'!$A$8:$A$1007,$B55+5))</f>
        <v>0</v>
      </c>
      <c r="I55" s="146" t="n">
        <f aca="false">IF($B55="",0,SUMIFS('Carga (PSE)'!$G$8:$G$1007,'Carga (PSE)'!$C$8:$C$1007,$C$4,'Carga (PSE)'!$A$8:$A$1007,$B55+6))</f>
        <v>0</v>
      </c>
      <c r="J55" s="147" t="n">
        <f aca="false">SUM($C55:$I55)</f>
        <v>0</v>
      </c>
      <c r="K55" s="146" t="n">
        <f aca="false">COUNTIFS('Carga (PSE)'!$C$8:$C$1007,$C$4,'Carga (PSE)'!$B$8:$B$1007,$A55)</f>
        <v>0</v>
      </c>
      <c r="L55" s="104" t="n">
        <f aca="false">IF($J55=0,0,$J55/7)</f>
        <v>0</v>
      </c>
      <c r="M55" s="104" t="n">
        <f aca="false">IF($J55=0,0,STDEV($C55:$I55))</f>
        <v>0</v>
      </c>
      <c r="N55" s="160" t="n">
        <f aca="false">IF($M55=0,0,$L55/$M55)</f>
        <v>0</v>
      </c>
      <c r="O55" s="147" t="n">
        <f aca="false">$J55*$N55</f>
        <v>0</v>
      </c>
      <c r="P55" s="73" t="str">
        <f aca="false">IF($J55=0,"",IF($N55&gt;2,"Monotonia alta",IF($N55&gt;=1.5,"Atenção","Adequada")))</f>
        <v/>
      </c>
    </row>
    <row r="56" customFormat="false" ht="15" hidden="false" customHeight="false" outlineLevel="0" collapsed="false">
      <c r="A56" s="69" t="n">
        <v>37</v>
      </c>
      <c r="B56" s="158" t="n">
        <f aca="false">IF(Macrociclo!$C$11="","",Macrociclo!$C$11+($A56-1)*7)</f>
        <v>46279</v>
      </c>
      <c r="C56" s="140" t="n">
        <f aca="false">IF($B56="",0,SUMIFS('Carga (PSE)'!$G$8:$G$1007,'Carga (PSE)'!$C$8:$C$1007,$C$4,'Carga (PSE)'!$A$8:$A$1007,$B56+0))</f>
        <v>0</v>
      </c>
      <c r="D56" s="140" t="n">
        <f aca="false">IF($B56="",0,SUMIFS('Carga (PSE)'!$G$8:$G$1007,'Carga (PSE)'!$C$8:$C$1007,$C$4,'Carga (PSE)'!$A$8:$A$1007,$B56+1))</f>
        <v>0</v>
      </c>
      <c r="E56" s="140" t="n">
        <f aca="false">IF($B56="",0,SUMIFS('Carga (PSE)'!$G$8:$G$1007,'Carga (PSE)'!$C$8:$C$1007,$C$4,'Carga (PSE)'!$A$8:$A$1007,$B56+2))</f>
        <v>0</v>
      </c>
      <c r="F56" s="140" t="n">
        <f aca="false">IF($B56="",0,SUMIFS('Carga (PSE)'!$G$8:$G$1007,'Carga (PSE)'!$C$8:$C$1007,$C$4,'Carga (PSE)'!$A$8:$A$1007,$B56+3))</f>
        <v>0</v>
      </c>
      <c r="G56" s="140" t="n">
        <f aca="false">IF($B56="",0,SUMIFS('Carga (PSE)'!$G$8:$G$1007,'Carga (PSE)'!$C$8:$C$1007,$C$4,'Carga (PSE)'!$A$8:$A$1007,$B56+4))</f>
        <v>0</v>
      </c>
      <c r="H56" s="140" t="n">
        <f aca="false">IF($B56="",0,SUMIFS('Carga (PSE)'!$G$8:$G$1007,'Carga (PSE)'!$C$8:$C$1007,$C$4,'Carga (PSE)'!$A$8:$A$1007,$B56+5))</f>
        <v>0</v>
      </c>
      <c r="I56" s="140" t="n">
        <f aca="false">IF($B56="",0,SUMIFS('Carga (PSE)'!$G$8:$G$1007,'Carga (PSE)'!$C$8:$C$1007,$C$4,'Carga (PSE)'!$A$8:$A$1007,$B56+6))</f>
        <v>0</v>
      </c>
      <c r="J56" s="44" t="n">
        <f aca="false">SUM($C56:$I56)</f>
        <v>0</v>
      </c>
      <c r="K56" s="140" t="n">
        <f aca="false">COUNTIFS('Carga (PSE)'!$C$8:$C$1007,$C$4,'Carga (PSE)'!$B$8:$B$1007,$A56)</f>
        <v>0</v>
      </c>
      <c r="L56" s="100" t="n">
        <f aca="false">IF($J56=0,0,$J56/7)</f>
        <v>0</v>
      </c>
      <c r="M56" s="100" t="n">
        <f aca="false">IF($J56=0,0,STDEV($C56:$I56))</f>
        <v>0</v>
      </c>
      <c r="N56" s="144" t="n">
        <f aca="false">IF($M56=0,0,$L56/$M56)</f>
        <v>0</v>
      </c>
      <c r="O56" s="44" t="n">
        <f aca="false">$J56*$N56</f>
        <v>0</v>
      </c>
      <c r="P56" s="69" t="str">
        <f aca="false">IF($J56=0,"",IF($N56&gt;2,"Monotonia alta",IF($N56&gt;=1.5,"Atenção","Adequada")))</f>
        <v/>
      </c>
    </row>
    <row r="57" customFormat="false" ht="15" hidden="false" customHeight="false" outlineLevel="0" collapsed="false">
      <c r="A57" s="73" t="n">
        <v>38</v>
      </c>
      <c r="B57" s="159" t="n">
        <f aca="false">IF(Macrociclo!$C$11="","",Macrociclo!$C$11+($A57-1)*7)</f>
        <v>46286</v>
      </c>
      <c r="C57" s="146" t="n">
        <f aca="false">IF($B57="",0,SUMIFS('Carga (PSE)'!$G$8:$G$1007,'Carga (PSE)'!$C$8:$C$1007,$C$4,'Carga (PSE)'!$A$8:$A$1007,$B57+0))</f>
        <v>0</v>
      </c>
      <c r="D57" s="146" t="n">
        <f aca="false">IF($B57="",0,SUMIFS('Carga (PSE)'!$G$8:$G$1007,'Carga (PSE)'!$C$8:$C$1007,$C$4,'Carga (PSE)'!$A$8:$A$1007,$B57+1))</f>
        <v>0</v>
      </c>
      <c r="E57" s="146" t="n">
        <f aca="false">IF($B57="",0,SUMIFS('Carga (PSE)'!$G$8:$G$1007,'Carga (PSE)'!$C$8:$C$1007,$C$4,'Carga (PSE)'!$A$8:$A$1007,$B57+2))</f>
        <v>0</v>
      </c>
      <c r="F57" s="146" t="n">
        <f aca="false">IF($B57="",0,SUMIFS('Carga (PSE)'!$G$8:$G$1007,'Carga (PSE)'!$C$8:$C$1007,$C$4,'Carga (PSE)'!$A$8:$A$1007,$B57+3))</f>
        <v>0</v>
      </c>
      <c r="G57" s="146" t="n">
        <f aca="false">IF($B57="",0,SUMIFS('Carga (PSE)'!$G$8:$G$1007,'Carga (PSE)'!$C$8:$C$1007,$C$4,'Carga (PSE)'!$A$8:$A$1007,$B57+4))</f>
        <v>0</v>
      </c>
      <c r="H57" s="146" t="n">
        <f aca="false">IF($B57="",0,SUMIFS('Carga (PSE)'!$G$8:$G$1007,'Carga (PSE)'!$C$8:$C$1007,$C$4,'Carga (PSE)'!$A$8:$A$1007,$B57+5))</f>
        <v>0</v>
      </c>
      <c r="I57" s="146" t="n">
        <f aca="false">IF($B57="",0,SUMIFS('Carga (PSE)'!$G$8:$G$1007,'Carga (PSE)'!$C$8:$C$1007,$C$4,'Carga (PSE)'!$A$8:$A$1007,$B57+6))</f>
        <v>0</v>
      </c>
      <c r="J57" s="147" t="n">
        <f aca="false">SUM($C57:$I57)</f>
        <v>0</v>
      </c>
      <c r="K57" s="146" t="n">
        <f aca="false">COUNTIFS('Carga (PSE)'!$C$8:$C$1007,$C$4,'Carga (PSE)'!$B$8:$B$1007,$A57)</f>
        <v>0</v>
      </c>
      <c r="L57" s="104" t="n">
        <f aca="false">IF($J57=0,0,$J57/7)</f>
        <v>0</v>
      </c>
      <c r="M57" s="104" t="n">
        <f aca="false">IF($J57=0,0,STDEV($C57:$I57))</f>
        <v>0</v>
      </c>
      <c r="N57" s="160" t="n">
        <f aca="false">IF($M57=0,0,$L57/$M57)</f>
        <v>0</v>
      </c>
      <c r="O57" s="147" t="n">
        <f aca="false">$J57*$N57</f>
        <v>0</v>
      </c>
      <c r="P57" s="73" t="str">
        <f aca="false">IF($J57=0,"",IF($N57&gt;2,"Monotonia alta",IF($N57&gt;=1.5,"Atenção","Adequada")))</f>
        <v/>
      </c>
    </row>
    <row r="58" customFormat="false" ht="15" hidden="false" customHeight="false" outlineLevel="0" collapsed="false">
      <c r="A58" s="69" t="n">
        <v>39</v>
      </c>
      <c r="B58" s="158" t="n">
        <f aca="false">IF(Macrociclo!$C$11="","",Macrociclo!$C$11+($A58-1)*7)</f>
        <v>46293</v>
      </c>
      <c r="C58" s="140" t="n">
        <f aca="false">IF($B58="",0,SUMIFS('Carga (PSE)'!$G$8:$G$1007,'Carga (PSE)'!$C$8:$C$1007,$C$4,'Carga (PSE)'!$A$8:$A$1007,$B58+0))</f>
        <v>0</v>
      </c>
      <c r="D58" s="140" t="n">
        <f aca="false">IF($B58="",0,SUMIFS('Carga (PSE)'!$G$8:$G$1007,'Carga (PSE)'!$C$8:$C$1007,$C$4,'Carga (PSE)'!$A$8:$A$1007,$B58+1))</f>
        <v>0</v>
      </c>
      <c r="E58" s="140" t="n">
        <f aca="false">IF($B58="",0,SUMIFS('Carga (PSE)'!$G$8:$G$1007,'Carga (PSE)'!$C$8:$C$1007,$C$4,'Carga (PSE)'!$A$8:$A$1007,$B58+2))</f>
        <v>0</v>
      </c>
      <c r="F58" s="140" t="n">
        <f aca="false">IF($B58="",0,SUMIFS('Carga (PSE)'!$G$8:$G$1007,'Carga (PSE)'!$C$8:$C$1007,$C$4,'Carga (PSE)'!$A$8:$A$1007,$B58+3))</f>
        <v>0</v>
      </c>
      <c r="G58" s="140" t="n">
        <f aca="false">IF($B58="",0,SUMIFS('Carga (PSE)'!$G$8:$G$1007,'Carga (PSE)'!$C$8:$C$1007,$C$4,'Carga (PSE)'!$A$8:$A$1007,$B58+4))</f>
        <v>0</v>
      </c>
      <c r="H58" s="140" t="n">
        <f aca="false">IF($B58="",0,SUMIFS('Carga (PSE)'!$G$8:$G$1007,'Carga (PSE)'!$C$8:$C$1007,$C$4,'Carga (PSE)'!$A$8:$A$1007,$B58+5))</f>
        <v>0</v>
      </c>
      <c r="I58" s="140" t="n">
        <f aca="false">IF($B58="",0,SUMIFS('Carga (PSE)'!$G$8:$G$1007,'Carga (PSE)'!$C$8:$C$1007,$C$4,'Carga (PSE)'!$A$8:$A$1007,$B58+6))</f>
        <v>0</v>
      </c>
      <c r="J58" s="44" t="n">
        <f aca="false">SUM($C58:$I58)</f>
        <v>0</v>
      </c>
      <c r="K58" s="140" t="n">
        <f aca="false">COUNTIFS('Carga (PSE)'!$C$8:$C$1007,$C$4,'Carga (PSE)'!$B$8:$B$1007,$A58)</f>
        <v>0</v>
      </c>
      <c r="L58" s="100" t="n">
        <f aca="false">IF($J58=0,0,$J58/7)</f>
        <v>0</v>
      </c>
      <c r="M58" s="100" t="n">
        <f aca="false">IF($J58=0,0,STDEV($C58:$I58))</f>
        <v>0</v>
      </c>
      <c r="N58" s="144" t="n">
        <f aca="false">IF($M58=0,0,$L58/$M58)</f>
        <v>0</v>
      </c>
      <c r="O58" s="44" t="n">
        <f aca="false">$J58*$N58</f>
        <v>0</v>
      </c>
      <c r="P58" s="69" t="str">
        <f aca="false">IF($J58=0,"",IF($N58&gt;2,"Monotonia alta",IF($N58&gt;=1.5,"Atenção","Adequada")))</f>
        <v/>
      </c>
    </row>
    <row r="59" customFormat="false" ht="15" hidden="false" customHeight="false" outlineLevel="0" collapsed="false">
      <c r="A59" s="73" t="n">
        <v>40</v>
      </c>
      <c r="B59" s="159" t="n">
        <f aca="false">IF(Macrociclo!$C$11="","",Macrociclo!$C$11+($A59-1)*7)</f>
        <v>46300</v>
      </c>
      <c r="C59" s="146" t="n">
        <f aca="false">IF($B59="",0,SUMIFS('Carga (PSE)'!$G$8:$G$1007,'Carga (PSE)'!$C$8:$C$1007,$C$4,'Carga (PSE)'!$A$8:$A$1007,$B59+0))</f>
        <v>0</v>
      </c>
      <c r="D59" s="146" t="n">
        <f aca="false">IF($B59="",0,SUMIFS('Carga (PSE)'!$G$8:$G$1007,'Carga (PSE)'!$C$8:$C$1007,$C$4,'Carga (PSE)'!$A$8:$A$1007,$B59+1))</f>
        <v>0</v>
      </c>
      <c r="E59" s="146" t="n">
        <f aca="false">IF($B59="",0,SUMIFS('Carga (PSE)'!$G$8:$G$1007,'Carga (PSE)'!$C$8:$C$1007,$C$4,'Carga (PSE)'!$A$8:$A$1007,$B59+2))</f>
        <v>0</v>
      </c>
      <c r="F59" s="146" t="n">
        <f aca="false">IF($B59="",0,SUMIFS('Carga (PSE)'!$G$8:$G$1007,'Carga (PSE)'!$C$8:$C$1007,$C$4,'Carga (PSE)'!$A$8:$A$1007,$B59+3))</f>
        <v>0</v>
      </c>
      <c r="G59" s="146" t="n">
        <f aca="false">IF($B59="",0,SUMIFS('Carga (PSE)'!$G$8:$G$1007,'Carga (PSE)'!$C$8:$C$1007,$C$4,'Carga (PSE)'!$A$8:$A$1007,$B59+4))</f>
        <v>0</v>
      </c>
      <c r="H59" s="146" t="n">
        <f aca="false">IF($B59="",0,SUMIFS('Carga (PSE)'!$G$8:$G$1007,'Carga (PSE)'!$C$8:$C$1007,$C$4,'Carga (PSE)'!$A$8:$A$1007,$B59+5))</f>
        <v>0</v>
      </c>
      <c r="I59" s="146" t="n">
        <f aca="false">IF($B59="",0,SUMIFS('Carga (PSE)'!$G$8:$G$1007,'Carga (PSE)'!$C$8:$C$1007,$C$4,'Carga (PSE)'!$A$8:$A$1007,$B59+6))</f>
        <v>0</v>
      </c>
      <c r="J59" s="147" t="n">
        <f aca="false">SUM($C59:$I59)</f>
        <v>0</v>
      </c>
      <c r="K59" s="146" t="n">
        <f aca="false">COUNTIFS('Carga (PSE)'!$C$8:$C$1007,$C$4,'Carga (PSE)'!$B$8:$B$1007,$A59)</f>
        <v>0</v>
      </c>
      <c r="L59" s="104" t="n">
        <f aca="false">IF($J59=0,0,$J59/7)</f>
        <v>0</v>
      </c>
      <c r="M59" s="104" t="n">
        <f aca="false">IF($J59=0,0,STDEV($C59:$I59))</f>
        <v>0</v>
      </c>
      <c r="N59" s="160" t="n">
        <f aca="false">IF($M59=0,0,$L59/$M59)</f>
        <v>0</v>
      </c>
      <c r="O59" s="147" t="n">
        <f aca="false">$J59*$N59</f>
        <v>0</v>
      </c>
      <c r="P59" s="73" t="str">
        <f aca="false">IF($J59=0,"",IF($N59&gt;2,"Monotonia alta",IF($N59&gt;=1.5,"Atenção","Adequada")))</f>
        <v/>
      </c>
    </row>
    <row r="60" customFormat="false" ht="15" hidden="false" customHeight="false" outlineLevel="0" collapsed="false">
      <c r="A60" s="69" t="n">
        <v>41</v>
      </c>
      <c r="B60" s="158" t="n">
        <f aca="false">IF(Macrociclo!$C$11="","",Macrociclo!$C$11+($A60-1)*7)</f>
        <v>46307</v>
      </c>
      <c r="C60" s="140" t="n">
        <f aca="false">IF($B60="",0,SUMIFS('Carga (PSE)'!$G$8:$G$1007,'Carga (PSE)'!$C$8:$C$1007,$C$4,'Carga (PSE)'!$A$8:$A$1007,$B60+0))</f>
        <v>0</v>
      </c>
      <c r="D60" s="140" t="n">
        <f aca="false">IF($B60="",0,SUMIFS('Carga (PSE)'!$G$8:$G$1007,'Carga (PSE)'!$C$8:$C$1007,$C$4,'Carga (PSE)'!$A$8:$A$1007,$B60+1))</f>
        <v>0</v>
      </c>
      <c r="E60" s="140" t="n">
        <f aca="false">IF($B60="",0,SUMIFS('Carga (PSE)'!$G$8:$G$1007,'Carga (PSE)'!$C$8:$C$1007,$C$4,'Carga (PSE)'!$A$8:$A$1007,$B60+2))</f>
        <v>0</v>
      </c>
      <c r="F60" s="140" t="n">
        <f aca="false">IF($B60="",0,SUMIFS('Carga (PSE)'!$G$8:$G$1007,'Carga (PSE)'!$C$8:$C$1007,$C$4,'Carga (PSE)'!$A$8:$A$1007,$B60+3))</f>
        <v>0</v>
      </c>
      <c r="G60" s="140" t="n">
        <f aca="false">IF($B60="",0,SUMIFS('Carga (PSE)'!$G$8:$G$1007,'Carga (PSE)'!$C$8:$C$1007,$C$4,'Carga (PSE)'!$A$8:$A$1007,$B60+4))</f>
        <v>0</v>
      </c>
      <c r="H60" s="140" t="n">
        <f aca="false">IF($B60="",0,SUMIFS('Carga (PSE)'!$G$8:$G$1007,'Carga (PSE)'!$C$8:$C$1007,$C$4,'Carga (PSE)'!$A$8:$A$1007,$B60+5))</f>
        <v>0</v>
      </c>
      <c r="I60" s="140" t="n">
        <f aca="false">IF($B60="",0,SUMIFS('Carga (PSE)'!$G$8:$G$1007,'Carga (PSE)'!$C$8:$C$1007,$C$4,'Carga (PSE)'!$A$8:$A$1007,$B60+6))</f>
        <v>0</v>
      </c>
      <c r="J60" s="44" t="n">
        <f aca="false">SUM($C60:$I60)</f>
        <v>0</v>
      </c>
      <c r="K60" s="140" t="n">
        <f aca="false">COUNTIFS('Carga (PSE)'!$C$8:$C$1007,$C$4,'Carga (PSE)'!$B$8:$B$1007,$A60)</f>
        <v>0</v>
      </c>
      <c r="L60" s="100" t="n">
        <f aca="false">IF($J60=0,0,$J60/7)</f>
        <v>0</v>
      </c>
      <c r="M60" s="100" t="n">
        <f aca="false">IF($J60=0,0,STDEV($C60:$I60))</f>
        <v>0</v>
      </c>
      <c r="N60" s="144" t="n">
        <f aca="false">IF($M60=0,0,$L60/$M60)</f>
        <v>0</v>
      </c>
      <c r="O60" s="44" t="n">
        <f aca="false">$J60*$N60</f>
        <v>0</v>
      </c>
      <c r="P60" s="69" t="str">
        <f aca="false">IF($J60=0,"",IF($N60&gt;2,"Monotonia alta",IF($N60&gt;=1.5,"Atenção","Adequada")))</f>
        <v/>
      </c>
    </row>
    <row r="61" customFormat="false" ht="15" hidden="false" customHeight="false" outlineLevel="0" collapsed="false">
      <c r="A61" s="73" t="n">
        <v>42</v>
      </c>
      <c r="B61" s="159" t="n">
        <f aca="false">IF(Macrociclo!$C$11="","",Macrociclo!$C$11+($A61-1)*7)</f>
        <v>46314</v>
      </c>
      <c r="C61" s="146" t="n">
        <f aca="false">IF($B61="",0,SUMIFS('Carga (PSE)'!$G$8:$G$1007,'Carga (PSE)'!$C$8:$C$1007,$C$4,'Carga (PSE)'!$A$8:$A$1007,$B61+0))</f>
        <v>0</v>
      </c>
      <c r="D61" s="146" t="n">
        <f aca="false">IF($B61="",0,SUMIFS('Carga (PSE)'!$G$8:$G$1007,'Carga (PSE)'!$C$8:$C$1007,$C$4,'Carga (PSE)'!$A$8:$A$1007,$B61+1))</f>
        <v>0</v>
      </c>
      <c r="E61" s="146" t="n">
        <f aca="false">IF($B61="",0,SUMIFS('Carga (PSE)'!$G$8:$G$1007,'Carga (PSE)'!$C$8:$C$1007,$C$4,'Carga (PSE)'!$A$8:$A$1007,$B61+2))</f>
        <v>0</v>
      </c>
      <c r="F61" s="146" t="n">
        <f aca="false">IF($B61="",0,SUMIFS('Carga (PSE)'!$G$8:$G$1007,'Carga (PSE)'!$C$8:$C$1007,$C$4,'Carga (PSE)'!$A$8:$A$1007,$B61+3))</f>
        <v>0</v>
      </c>
      <c r="G61" s="146" t="n">
        <f aca="false">IF($B61="",0,SUMIFS('Carga (PSE)'!$G$8:$G$1007,'Carga (PSE)'!$C$8:$C$1007,$C$4,'Carga (PSE)'!$A$8:$A$1007,$B61+4))</f>
        <v>0</v>
      </c>
      <c r="H61" s="146" t="n">
        <f aca="false">IF($B61="",0,SUMIFS('Carga (PSE)'!$G$8:$G$1007,'Carga (PSE)'!$C$8:$C$1007,$C$4,'Carga (PSE)'!$A$8:$A$1007,$B61+5))</f>
        <v>0</v>
      </c>
      <c r="I61" s="146" t="n">
        <f aca="false">IF($B61="",0,SUMIFS('Carga (PSE)'!$G$8:$G$1007,'Carga (PSE)'!$C$8:$C$1007,$C$4,'Carga (PSE)'!$A$8:$A$1007,$B61+6))</f>
        <v>0</v>
      </c>
      <c r="J61" s="147" t="n">
        <f aca="false">SUM($C61:$I61)</f>
        <v>0</v>
      </c>
      <c r="K61" s="146" t="n">
        <f aca="false">COUNTIFS('Carga (PSE)'!$C$8:$C$1007,$C$4,'Carga (PSE)'!$B$8:$B$1007,$A61)</f>
        <v>0</v>
      </c>
      <c r="L61" s="104" t="n">
        <f aca="false">IF($J61=0,0,$J61/7)</f>
        <v>0</v>
      </c>
      <c r="M61" s="104" t="n">
        <f aca="false">IF($J61=0,0,STDEV($C61:$I61))</f>
        <v>0</v>
      </c>
      <c r="N61" s="160" t="n">
        <f aca="false">IF($M61=0,0,$L61/$M61)</f>
        <v>0</v>
      </c>
      <c r="O61" s="147" t="n">
        <f aca="false">$J61*$N61</f>
        <v>0</v>
      </c>
      <c r="P61" s="73" t="str">
        <f aca="false">IF($J61=0,"",IF($N61&gt;2,"Monotonia alta",IF($N61&gt;=1.5,"Atenção","Adequada")))</f>
        <v/>
      </c>
    </row>
    <row r="62" customFormat="false" ht="15" hidden="false" customHeight="false" outlineLevel="0" collapsed="false">
      <c r="A62" s="69" t="n">
        <v>43</v>
      </c>
      <c r="B62" s="158" t="n">
        <f aca="false">IF(Macrociclo!$C$11="","",Macrociclo!$C$11+($A62-1)*7)</f>
        <v>46321</v>
      </c>
      <c r="C62" s="140" t="n">
        <f aca="false">IF($B62="",0,SUMIFS('Carga (PSE)'!$G$8:$G$1007,'Carga (PSE)'!$C$8:$C$1007,$C$4,'Carga (PSE)'!$A$8:$A$1007,$B62+0))</f>
        <v>0</v>
      </c>
      <c r="D62" s="140" t="n">
        <f aca="false">IF($B62="",0,SUMIFS('Carga (PSE)'!$G$8:$G$1007,'Carga (PSE)'!$C$8:$C$1007,$C$4,'Carga (PSE)'!$A$8:$A$1007,$B62+1))</f>
        <v>0</v>
      </c>
      <c r="E62" s="140" t="n">
        <f aca="false">IF($B62="",0,SUMIFS('Carga (PSE)'!$G$8:$G$1007,'Carga (PSE)'!$C$8:$C$1007,$C$4,'Carga (PSE)'!$A$8:$A$1007,$B62+2))</f>
        <v>0</v>
      </c>
      <c r="F62" s="140" t="n">
        <f aca="false">IF($B62="",0,SUMIFS('Carga (PSE)'!$G$8:$G$1007,'Carga (PSE)'!$C$8:$C$1007,$C$4,'Carga (PSE)'!$A$8:$A$1007,$B62+3))</f>
        <v>0</v>
      </c>
      <c r="G62" s="140" t="n">
        <f aca="false">IF($B62="",0,SUMIFS('Carga (PSE)'!$G$8:$G$1007,'Carga (PSE)'!$C$8:$C$1007,$C$4,'Carga (PSE)'!$A$8:$A$1007,$B62+4))</f>
        <v>0</v>
      </c>
      <c r="H62" s="140" t="n">
        <f aca="false">IF($B62="",0,SUMIFS('Carga (PSE)'!$G$8:$G$1007,'Carga (PSE)'!$C$8:$C$1007,$C$4,'Carga (PSE)'!$A$8:$A$1007,$B62+5))</f>
        <v>0</v>
      </c>
      <c r="I62" s="140" t="n">
        <f aca="false">IF($B62="",0,SUMIFS('Carga (PSE)'!$G$8:$G$1007,'Carga (PSE)'!$C$8:$C$1007,$C$4,'Carga (PSE)'!$A$8:$A$1007,$B62+6))</f>
        <v>0</v>
      </c>
      <c r="J62" s="44" t="n">
        <f aca="false">SUM($C62:$I62)</f>
        <v>0</v>
      </c>
      <c r="K62" s="140" t="n">
        <f aca="false">COUNTIFS('Carga (PSE)'!$C$8:$C$1007,$C$4,'Carga (PSE)'!$B$8:$B$1007,$A62)</f>
        <v>0</v>
      </c>
      <c r="L62" s="100" t="n">
        <f aca="false">IF($J62=0,0,$J62/7)</f>
        <v>0</v>
      </c>
      <c r="M62" s="100" t="n">
        <f aca="false">IF($J62=0,0,STDEV($C62:$I62))</f>
        <v>0</v>
      </c>
      <c r="N62" s="144" t="n">
        <f aca="false">IF($M62=0,0,$L62/$M62)</f>
        <v>0</v>
      </c>
      <c r="O62" s="44" t="n">
        <f aca="false">$J62*$N62</f>
        <v>0</v>
      </c>
      <c r="P62" s="69" t="str">
        <f aca="false">IF($J62=0,"",IF($N62&gt;2,"Monotonia alta",IF($N62&gt;=1.5,"Atenção","Adequada")))</f>
        <v/>
      </c>
    </row>
    <row r="63" customFormat="false" ht="15" hidden="false" customHeight="false" outlineLevel="0" collapsed="false">
      <c r="A63" s="73" t="n">
        <v>44</v>
      </c>
      <c r="B63" s="159" t="n">
        <f aca="false">IF(Macrociclo!$C$11="","",Macrociclo!$C$11+($A63-1)*7)</f>
        <v>46328</v>
      </c>
      <c r="C63" s="146" t="n">
        <f aca="false">IF($B63="",0,SUMIFS('Carga (PSE)'!$G$8:$G$1007,'Carga (PSE)'!$C$8:$C$1007,$C$4,'Carga (PSE)'!$A$8:$A$1007,$B63+0))</f>
        <v>0</v>
      </c>
      <c r="D63" s="146" t="n">
        <f aca="false">IF($B63="",0,SUMIFS('Carga (PSE)'!$G$8:$G$1007,'Carga (PSE)'!$C$8:$C$1007,$C$4,'Carga (PSE)'!$A$8:$A$1007,$B63+1))</f>
        <v>0</v>
      </c>
      <c r="E63" s="146" t="n">
        <f aca="false">IF($B63="",0,SUMIFS('Carga (PSE)'!$G$8:$G$1007,'Carga (PSE)'!$C$8:$C$1007,$C$4,'Carga (PSE)'!$A$8:$A$1007,$B63+2))</f>
        <v>0</v>
      </c>
      <c r="F63" s="146" t="n">
        <f aca="false">IF($B63="",0,SUMIFS('Carga (PSE)'!$G$8:$G$1007,'Carga (PSE)'!$C$8:$C$1007,$C$4,'Carga (PSE)'!$A$8:$A$1007,$B63+3))</f>
        <v>0</v>
      </c>
      <c r="G63" s="146" t="n">
        <f aca="false">IF($B63="",0,SUMIFS('Carga (PSE)'!$G$8:$G$1007,'Carga (PSE)'!$C$8:$C$1007,$C$4,'Carga (PSE)'!$A$8:$A$1007,$B63+4))</f>
        <v>0</v>
      </c>
      <c r="H63" s="146" t="n">
        <f aca="false">IF($B63="",0,SUMIFS('Carga (PSE)'!$G$8:$G$1007,'Carga (PSE)'!$C$8:$C$1007,$C$4,'Carga (PSE)'!$A$8:$A$1007,$B63+5))</f>
        <v>0</v>
      </c>
      <c r="I63" s="146" t="n">
        <f aca="false">IF($B63="",0,SUMIFS('Carga (PSE)'!$G$8:$G$1007,'Carga (PSE)'!$C$8:$C$1007,$C$4,'Carga (PSE)'!$A$8:$A$1007,$B63+6))</f>
        <v>0</v>
      </c>
      <c r="J63" s="147" t="n">
        <f aca="false">SUM($C63:$I63)</f>
        <v>0</v>
      </c>
      <c r="K63" s="146" t="n">
        <f aca="false">COUNTIFS('Carga (PSE)'!$C$8:$C$1007,$C$4,'Carga (PSE)'!$B$8:$B$1007,$A63)</f>
        <v>0</v>
      </c>
      <c r="L63" s="104" t="n">
        <f aca="false">IF($J63=0,0,$J63/7)</f>
        <v>0</v>
      </c>
      <c r="M63" s="104" t="n">
        <f aca="false">IF($J63=0,0,STDEV($C63:$I63))</f>
        <v>0</v>
      </c>
      <c r="N63" s="160" t="n">
        <f aca="false">IF($M63=0,0,$L63/$M63)</f>
        <v>0</v>
      </c>
      <c r="O63" s="147" t="n">
        <f aca="false">$J63*$N63</f>
        <v>0</v>
      </c>
      <c r="P63" s="73" t="str">
        <f aca="false">IF($J63=0,"",IF($N63&gt;2,"Monotonia alta",IF($N63&gt;=1.5,"Atenção","Adequada")))</f>
        <v/>
      </c>
    </row>
    <row r="64" customFormat="false" ht="15" hidden="false" customHeight="false" outlineLevel="0" collapsed="false">
      <c r="A64" s="69" t="n">
        <v>45</v>
      </c>
      <c r="B64" s="158" t="n">
        <f aca="false">IF(Macrociclo!$C$11="","",Macrociclo!$C$11+($A64-1)*7)</f>
        <v>46335</v>
      </c>
      <c r="C64" s="140" t="n">
        <f aca="false">IF($B64="",0,SUMIFS('Carga (PSE)'!$G$8:$G$1007,'Carga (PSE)'!$C$8:$C$1007,$C$4,'Carga (PSE)'!$A$8:$A$1007,$B64+0))</f>
        <v>0</v>
      </c>
      <c r="D64" s="140" t="n">
        <f aca="false">IF($B64="",0,SUMIFS('Carga (PSE)'!$G$8:$G$1007,'Carga (PSE)'!$C$8:$C$1007,$C$4,'Carga (PSE)'!$A$8:$A$1007,$B64+1))</f>
        <v>0</v>
      </c>
      <c r="E64" s="140" t="n">
        <f aca="false">IF($B64="",0,SUMIFS('Carga (PSE)'!$G$8:$G$1007,'Carga (PSE)'!$C$8:$C$1007,$C$4,'Carga (PSE)'!$A$8:$A$1007,$B64+2))</f>
        <v>0</v>
      </c>
      <c r="F64" s="140" t="n">
        <f aca="false">IF($B64="",0,SUMIFS('Carga (PSE)'!$G$8:$G$1007,'Carga (PSE)'!$C$8:$C$1007,$C$4,'Carga (PSE)'!$A$8:$A$1007,$B64+3))</f>
        <v>0</v>
      </c>
      <c r="G64" s="140" t="n">
        <f aca="false">IF($B64="",0,SUMIFS('Carga (PSE)'!$G$8:$G$1007,'Carga (PSE)'!$C$8:$C$1007,$C$4,'Carga (PSE)'!$A$8:$A$1007,$B64+4))</f>
        <v>0</v>
      </c>
      <c r="H64" s="140" t="n">
        <f aca="false">IF($B64="",0,SUMIFS('Carga (PSE)'!$G$8:$G$1007,'Carga (PSE)'!$C$8:$C$1007,$C$4,'Carga (PSE)'!$A$8:$A$1007,$B64+5))</f>
        <v>0</v>
      </c>
      <c r="I64" s="140" t="n">
        <f aca="false">IF($B64="",0,SUMIFS('Carga (PSE)'!$G$8:$G$1007,'Carga (PSE)'!$C$8:$C$1007,$C$4,'Carga (PSE)'!$A$8:$A$1007,$B64+6))</f>
        <v>0</v>
      </c>
      <c r="J64" s="44" t="n">
        <f aca="false">SUM($C64:$I64)</f>
        <v>0</v>
      </c>
      <c r="K64" s="140" t="n">
        <f aca="false">COUNTIFS('Carga (PSE)'!$C$8:$C$1007,$C$4,'Carga (PSE)'!$B$8:$B$1007,$A64)</f>
        <v>0</v>
      </c>
      <c r="L64" s="100" t="n">
        <f aca="false">IF($J64=0,0,$J64/7)</f>
        <v>0</v>
      </c>
      <c r="M64" s="100" t="n">
        <f aca="false">IF($J64=0,0,STDEV($C64:$I64))</f>
        <v>0</v>
      </c>
      <c r="N64" s="144" t="n">
        <f aca="false">IF($M64=0,0,$L64/$M64)</f>
        <v>0</v>
      </c>
      <c r="O64" s="44" t="n">
        <f aca="false">$J64*$N64</f>
        <v>0</v>
      </c>
      <c r="P64" s="69" t="str">
        <f aca="false">IF($J64=0,"",IF($N64&gt;2,"Monotonia alta",IF($N64&gt;=1.5,"Atenção","Adequada")))</f>
        <v/>
      </c>
    </row>
    <row r="65" customFormat="false" ht="15" hidden="false" customHeight="false" outlineLevel="0" collapsed="false">
      <c r="A65" s="73" t="n">
        <v>46</v>
      </c>
      <c r="B65" s="159" t="n">
        <f aca="false">IF(Macrociclo!$C$11="","",Macrociclo!$C$11+($A65-1)*7)</f>
        <v>46342</v>
      </c>
      <c r="C65" s="146" t="n">
        <f aca="false">IF($B65="",0,SUMIFS('Carga (PSE)'!$G$8:$G$1007,'Carga (PSE)'!$C$8:$C$1007,$C$4,'Carga (PSE)'!$A$8:$A$1007,$B65+0))</f>
        <v>0</v>
      </c>
      <c r="D65" s="146" t="n">
        <f aca="false">IF($B65="",0,SUMIFS('Carga (PSE)'!$G$8:$G$1007,'Carga (PSE)'!$C$8:$C$1007,$C$4,'Carga (PSE)'!$A$8:$A$1007,$B65+1))</f>
        <v>0</v>
      </c>
      <c r="E65" s="146" t="n">
        <f aca="false">IF($B65="",0,SUMIFS('Carga (PSE)'!$G$8:$G$1007,'Carga (PSE)'!$C$8:$C$1007,$C$4,'Carga (PSE)'!$A$8:$A$1007,$B65+2))</f>
        <v>0</v>
      </c>
      <c r="F65" s="146" t="n">
        <f aca="false">IF($B65="",0,SUMIFS('Carga (PSE)'!$G$8:$G$1007,'Carga (PSE)'!$C$8:$C$1007,$C$4,'Carga (PSE)'!$A$8:$A$1007,$B65+3))</f>
        <v>0</v>
      </c>
      <c r="G65" s="146" t="n">
        <f aca="false">IF($B65="",0,SUMIFS('Carga (PSE)'!$G$8:$G$1007,'Carga (PSE)'!$C$8:$C$1007,$C$4,'Carga (PSE)'!$A$8:$A$1007,$B65+4))</f>
        <v>0</v>
      </c>
      <c r="H65" s="146" t="n">
        <f aca="false">IF($B65="",0,SUMIFS('Carga (PSE)'!$G$8:$G$1007,'Carga (PSE)'!$C$8:$C$1007,$C$4,'Carga (PSE)'!$A$8:$A$1007,$B65+5))</f>
        <v>0</v>
      </c>
      <c r="I65" s="146" t="n">
        <f aca="false">IF($B65="",0,SUMIFS('Carga (PSE)'!$G$8:$G$1007,'Carga (PSE)'!$C$8:$C$1007,$C$4,'Carga (PSE)'!$A$8:$A$1007,$B65+6))</f>
        <v>0</v>
      </c>
      <c r="J65" s="147" t="n">
        <f aca="false">SUM($C65:$I65)</f>
        <v>0</v>
      </c>
      <c r="K65" s="146" t="n">
        <f aca="false">COUNTIFS('Carga (PSE)'!$C$8:$C$1007,$C$4,'Carga (PSE)'!$B$8:$B$1007,$A65)</f>
        <v>0</v>
      </c>
      <c r="L65" s="104" t="n">
        <f aca="false">IF($J65=0,0,$J65/7)</f>
        <v>0</v>
      </c>
      <c r="M65" s="104" t="n">
        <f aca="false">IF($J65=0,0,STDEV($C65:$I65))</f>
        <v>0</v>
      </c>
      <c r="N65" s="160" t="n">
        <f aca="false">IF($M65=0,0,$L65/$M65)</f>
        <v>0</v>
      </c>
      <c r="O65" s="147" t="n">
        <f aca="false">$J65*$N65</f>
        <v>0</v>
      </c>
      <c r="P65" s="73" t="str">
        <f aca="false">IF($J65=0,"",IF($N65&gt;2,"Monotonia alta",IF($N65&gt;=1.5,"Atenção","Adequada")))</f>
        <v/>
      </c>
    </row>
    <row r="66" customFormat="false" ht="15" hidden="false" customHeight="false" outlineLevel="0" collapsed="false">
      <c r="A66" s="69" t="n">
        <v>47</v>
      </c>
      <c r="B66" s="158" t="n">
        <f aca="false">IF(Macrociclo!$C$11="","",Macrociclo!$C$11+($A66-1)*7)</f>
        <v>46349</v>
      </c>
      <c r="C66" s="140" t="n">
        <f aca="false">IF($B66="",0,SUMIFS('Carga (PSE)'!$G$8:$G$1007,'Carga (PSE)'!$C$8:$C$1007,$C$4,'Carga (PSE)'!$A$8:$A$1007,$B66+0))</f>
        <v>0</v>
      </c>
      <c r="D66" s="140" t="n">
        <f aca="false">IF($B66="",0,SUMIFS('Carga (PSE)'!$G$8:$G$1007,'Carga (PSE)'!$C$8:$C$1007,$C$4,'Carga (PSE)'!$A$8:$A$1007,$B66+1))</f>
        <v>0</v>
      </c>
      <c r="E66" s="140" t="n">
        <f aca="false">IF($B66="",0,SUMIFS('Carga (PSE)'!$G$8:$G$1007,'Carga (PSE)'!$C$8:$C$1007,$C$4,'Carga (PSE)'!$A$8:$A$1007,$B66+2))</f>
        <v>0</v>
      </c>
      <c r="F66" s="140" t="n">
        <f aca="false">IF($B66="",0,SUMIFS('Carga (PSE)'!$G$8:$G$1007,'Carga (PSE)'!$C$8:$C$1007,$C$4,'Carga (PSE)'!$A$8:$A$1007,$B66+3))</f>
        <v>0</v>
      </c>
      <c r="G66" s="140" t="n">
        <f aca="false">IF($B66="",0,SUMIFS('Carga (PSE)'!$G$8:$G$1007,'Carga (PSE)'!$C$8:$C$1007,$C$4,'Carga (PSE)'!$A$8:$A$1007,$B66+4))</f>
        <v>0</v>
      </c>
      <c r="H66" s="140" t="n">
        <f aca="false">IF($B66="",0,SUMIFS('Carga (PSE)'!$G$8:$G$1007,'Carga (PSE)'!$C$8:$C$1007,$C$4,'Carga (PSE)'!$A$8:$A$1007,$B66+5))</f>
        <v>0</v>
      </c>
      <c r="I66" s="140" t="n">
        <f aca="false">IF($B66="",0,SUMIFS('Carga (PSE)'!$G$8:$G$1007,'Carga (PSE)'!$C$8:$C$1007,$C$4,'Carga (PSE)'!$A$8:$A$1007,$B66+6))</f>
        <v>0</v>
      </c>
      <c r="J66" s="44" t="n">
        <f aca="false">SUM($C66:$I66)</f>
        <v>0</v>
      </c>
      <c r="K66" s="140" t="n">
        <f aca="false">COUNTIFS('Carga (PSE)'!$C$8:$C$1007,$C$4,'Carga (PSE)'!$B$8:$B$1007,$A66)</f>
        <v>0</v>
      </c>
      <c r="L66" s="100" t="n">
        <f aca="false">IF($J66=0,0,$J66/7)</f>
        <v>0</v>
      </c>
      <c r="M66" s="100" t="n">
        <f aca="false">IF($J66=0,0,STDEV($C66:$I66))</f>
        <v>0</v>
      </c>
      <c r="N66" s="144" t="n">
        <f aca="false">IF($M66=0,0,$L66/$M66)</f>
        <v>0</v>
      </c>
      <c r="O66" s="44" t="n">
        <f aca="false">$J66*$N66</f>
        <v>0</v>
      </c>
      <c r="P66" s="69" t="str">
        <f aca="false">IF($J66=0,"",IF($N66&gt;2,"Monotonia alta",IF($N66&gt;=1.5,"Atenção","Adequada")))</f>
        <v/>
      </c>
    </row>
    <row r="67" customFormat="false" ht="15" hidden="false" customHeight="false" outlineLevel="0" collapsed="false">
      <c r="A67" s="73" t="n">
        <v>48</v>
      </c>
      <c r="B67" s="159" t="n">
        <f aca="false">IF(Macrociclo!$C$11="","",Macrociclo!$C$11+($A67-1)*7)</f>
        <v>46356</v>
      </c>
      <c r="C67" s="146" t="n">
        <f aca="false">IF($B67="",0,SUMIFS('Carga (PSE)'!$G$8:$G$1007,'Carga (PSE)'!$C$8:$C$1007,$C$4,'Carga (PSE)'!$A$8:$A$1007,$B67+0))</f>
        <v>0</v>
      </c>
      <c r="D67" s="146" t="n">
        <f aca="false">IF($B67="",0,SUMIFS('Carga (PSE)'!$G$8:$G$1007,'Carga (PSE)'!$C$8:$C$1007,$C$4,'Carga (PSE)'!$A$8:$A$1007,$B67+1))</f>
        <v>0</v>
      </c>
      <c r="E67" s="146" t="n">
        <f aca="false">IF($B67="",0,SUMIFS('Carga (PSE)'!$G$8:$G$1007,'Carga (PSE)'!$C$8:$C$1007,$C$4,'Carga (PSE)'!$A$8:$A$1007,$B67+2))</f>
        <v>0</v>
      </c>
      <c r="F67" s="146" t="n">
        <f aca="false">IF($B67="",0,SUMIFS('Carga (PSE)'!$G$8:$G$1007,'Carga (PSE)'!$C$8:$C$1007,$C$4,'Carga (PSE)'!$A$8:$A$1007,$B67+3))</f>
        <v>0</v>
      </c>
      <c r="G67" s="146" t="n">
        <f aca="false">IF($B67="",0,SUMIFS('Carga (PSE)'!$G$8:$G$1007,'Carga (PSE)'!$C$8:$C$1007,$C$4,'Carga (PSE)'!$A$8:$A$1007,$B67+4))</f>
        <v>0</v>
      </c>
      <c r="H67" s="146" t="n">
        <f aca="false">IF($B67="",0,SUMIFS('Carga (PSE)'!$G$8:$G$1007,'Carga (PSE)'!$C$8:$C$1007,$C$4,'Carga (PSE)'!$A$8:$A$1007,$B67+5))</f>
        <v>0</v>
      </c>
      <c r="I67" s="146" t="n">
        <f aca="false">IF($B67="",0,SUMIFS('Carga (PSE)'!$G$8:$G$1007,'Carga (PSE)'!$C$8:$C$1007,$C$4,'Carga (PSE)'!$A$8:$A$1007,$B67+6))</f>
        <v>0</v>
      </c>
      <c r="J67" s="147" t="n">
        <f aca="false">SUM($C67:$I67)</f>
        <v>0</v>
      </c>
      <c r="K67" s="146" t="n">
        <f aca="false">COUNTIFS('Carga (PSE)'!$C$8:$C$1007,$C$4,'Carga (PSE)'!$B$8:$B$1007,$A67)</f>
        <v>0</v>
      </c>
      <c r="L67" s="104" t="n">
        <f aca="false">IF($J67=0,0,$J67/7)</f>
        <v>0</v>
      </c>
      <c r="M67" s="104" t="n">
        <f aca="false">IF($J67=0,0,STDEV($C67:$I67))</f>
        <v>0</v>
      </c>
      <c r="N67" s="160" t="n">
        <f aca="false">IF($M67=0,0,$L67/$M67)</f>
        <v>0</v>
      </c>
      <c r="O67" s="147" t="n">
        <f aca="false">$J67*$N67</f>
        <v>0</v>
      </c>
      <c r="P67" s="73" t="str">
        <f aca="false">IF($J67=0,"",IF($N67&gt;2,"Monotonia alta",IF($N67&gt;=1.5,"Atenção","Adequada")))</f>
        <v/>
      </c>
    </row>
    <row r="70" customFormat="false" ht="19.5" hidden="false" customHeight="true" outlineLevel="0" collapsed="false">
      <c r="A70" s="3" t="s">
        <v>1292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31.5" hidden="false" customHeight="true" outlineLevel="0" collapsed="false">
      <c r="A71" s="25" t="s">
        <v>294</v>
      </c>
      <c r="B71" s="25" t="s">
        <v>988</v>
      </c>
      <c r="C71" s="25" t="s">
        <v>766</v>
      </c>
      <c r="D71" s="25" t="s">
        <v>416</v>
      </c>
      <c r="E71" s="25" t="s">
        <v>418</v>
      </c>
      <c r="F71" s="25" t="s">
        <v>1107</v>
      </c>
      <c r="G71" s="25" t="s">
        <v>1293</v>
      </c>
      <c r="H71" s="25" t="s">
        <v>1109</v>
      </c>
      <c r="I71" s="25" t="s">
        <v>1110</v>
      </c>
      <c r="J71" s="25" t="s">
        <v>1048</v>
      </c>
      <c r="K71" s="25" t="s">
        <v>1111</v>
      </c>
      <c r="L71" s="25" t="s">
        <v>1114</v>
      </c>
      <c r="M71" s="25" t="s">
        <v>162</v>
      </c>
    </row>
    <row r="72" customFormat="false" ht="22.35" hidden="false" customHeight="false" outlineLevel="0" collapsed="false">
      <c r="A72" s="98" t="n">
        <f aca="false">IFERROR(INDEX(Prescrição!$A$8:$A$507,MATCH(1,Prescrição!$U$8:$U$507,0)),"")</f>
        <v>46265</v>
      </c>
      <c r="B72" s="69" t="str">
        <f aca="false">IFERROR(INDEX(Prescrição!$C$8:$C$507,MATCH(1,Prescrição!$U$8:$U$507,0)),"")</f>
        <v>S1 — Força</v>
      </c>
      <c r="C72" s="69" t="str">
        <f aca="false">IFERROR(INDEX(Prescrição!$F$8:$F$507,MATCH(1,Prescrição!$U$8:$U$507,0)),"")</f>
        <v>Aquecimento</v>
      </c>
      <c r="D72" s="119" t="str">
        <f aca="false">IFERROR(INDEX(Prescrição!$G$8:$G$507,MATCH(1,Prescrição!$U$8:$U$507,0)),"")</f>
        <v>Mobilidade de tornozelo e quadril</v>
      </c>
      <c r="E72" s="99" t="str">
        <f aca="false">IFERROR(INDEX(Prescrição!$J$8:$J$507,MATCH(1,Prescrição!$U$8:$U$507,0)),"")</f>
        <v>Mobilidade/Flexibilidade</v>
      </c>
      <c r="F72" s="69" t="n">
        <f aca="false">IFERROR(INDEX(Prescrição!$K$8:$K$507,MATCH(1,Prescrição!$U$8:$U$507,0)),"")</f>
        <v>1</v>
      </c>
      <c r="G72" s="69" t="str">
        <f aca="false">IFERROR(INDEX(Prescrição!$L$8:$L$507,MATCH(1,Prescrição!$U$8:$U$507,0)),"")</f>
        <v>8 por exercício</v>
      </c>
      <c r="H72" s="99" t="str">
        <f aca="false">IFERROR(INDEX(Prescrição!$M$8:$M$507,MATCH(1,Prescrição!$U$8:$U$507,0)),"")</f>
        <v>Peso corporal</v>
      </c>
      <c r="I72" s="69" t="n">
        <f aca="false">IFERROR(INDEX(Prescrição!$N$8:$N$507,MATCH(1,Prescrição!$U$8:$U$507,0)),"")</f>
        <v>30</v>
      </c>
      <c r="J72" s="69" t="n">
        <f aca="false">IFERROR(INDEX(Prescrição!$O$8:$O$507,MATCH(1,Prescrição!$U$8:$U$507,0)),"")</f>
        <v>10</v>
      </c>
      <c r="K72" s="69" t="n">
        <f aca="false">IFERROR(INDEX(Prescrição!$P$8:$P$507,MATCH(1,Prescrição!$U$8:$U$507,0)),"")</f>
        <v>2</v>
      </c>
      <c r="L72" s="99" t="str">
        <f aca="false">IFERROR(INDEX(Prescrição!$S$8:$S$507,MATCH(1,Prescrição!$U$8:$U$507,0)),"")</f>
        <v>Amplitude completa</v>
      </c>
      <c r="M72" s="99" t="str">
        <f aca="false">IFERROR(INDEX(Prescrição!$T$8:$T$507,MATCH(1,Prescrição!$U$8:$U$507,0)),"")</f>
        <v>EXEMPLO</v>
      </c>
    </row>
    <row r="73" customFormat="false" ht="32.8" hidden="false" customHeight="false" outlineLevel="0" collapsed="false">
      <c r="A73" s="102" t="n">
        <f aca="false">IFERROR(INDEX(Prescrição!$A$8:$A$507,MATCH(2,Prescrição!$U$8:$U$507,0)),"")</f>
        <v>46265</v>
      </c>
      <c r="B73" s="73" t="str">
        <f aca="false">IFERROR(INDEX(Prescrição!$C$8:$C$507,MATCH(2,Prescrição!$U$8:$U$507,0)),"")</f>
        <v>S1 — Força</v>
      </c>
      <c r="C73" s="73" t="str">
        <f aca="false">IFERROR(INDEX(Prescrição!$F$8:$F$507,MATCH(2,Prescrição!$U$8:$U$507,0)),"")</f>
        <v>Ativação / Prevenção</v>
      </c>
      <c r="D73" s="118" t="str">
        <f aca="false">IFERROR(INDEX(Prescrição!$G$8:$G$507,MATCH(2,Prescrição!$U$8:$U$507,0)),"")</f>
        <v>Rotadores do ombro com elástico</v>
      </c>
      <c r="E73" s="103" t="str">
        <f aca="false">IFERROR(INDEX(Prescrição!$J$8:$J$507,MATCH(2,Prescrição!$U$8:$U$507,0)),"")</f>
        <v>Core/Estabilidade</v>
      </c>
      <c r="F73" s="73" t="n">
        <f aca="false">IFERROR(INDEX(Prescrição!$K$8:$K$507,MATCH(2,Prescrição!$U$8:$U$507,0)),"")</f>
        <v>3</v>
      </c>
      <c r="G73" s="73" t="n">
        <f aca="false">IFERROR(INDEX(Prescrição!$L$8:$L$507,MATCH(2,Prescrição!$U$8:$U$507,0)),"")</f>
        <v>15</v>
      </c>
      <c r="H73" s="103" t="str">
        <f aca="false">IFERROR(INDEX(Prescrição!$M$8:$M$507,MATCH(2,Prescrição!$U$8:$U$507,0)),"")</f>
        <v>Elástico vermelho</v>
      </c>
      <c r="I73" s="73" t="n">
        <f aca="false">IFERROR(INDEX(Prescrição!$N$8:$N$507,MATCH(2,Prescrição!$U$8:$U$507,0)),"")</f>
        <v>45</v>
      </c>
      <c r="J73" s="73" t="n">
        <f aca="false">IFERROR(INDEX(Prescrição!$O$8:$O$507,MATCH(2,Prescrição!$U$8:$U$507,0)),"")</f>
        <v>10</v>
      </c>
      <c r="K73" s="73" t="n">
        <f aca="false">IFERROR(INDEX(Prescrição!$P$8:$P$507,MATCH(2,Prescrição!$U$8:$U$507,0)),"")</f>
        <v>3</v>
      </c>
      <c r="L73" s="103" t="str">
        <f aca="false">IFERROR(INDEX(Prescrição!$S$8:$S$507,MATCH(2,Prescrição!$U$8:$U$507,0)),"")</f>
        <v>Progredir a resistência a cada 2 semanas</v>
      </c>
      <c r="M73" s="103" t="str">
        <f aca="false">IFERROR(INDEX(Prescrição!$T$8:$T$507,MATCH(2,Prescrição!$U$8:$U$507,0)),"")</f>
        <v>EXEMPLO</v>
      </c>
    </row>
    <row r="74" customFormat="false" ht="32.8" hidden="false" customHeight="false" outlineLevel="0" collapsed="false">
      <c r="A74" s="98" t="n">
        <f aca="false">IFERROR(INDEX(Prescrição!$A$8:$A$507,MATCH(3,Prescrição!$U$8:$U$507,0)),"")</f>
        <v>46265</v>
      </c>
      <c r="B74" s="69" t="str">
        <f aca="false">IFERROR(INDEX(Prescrição!$C$8:$C$507,MATCH(3,Prescrição!$U$8:$U$507,0)),"")</f>
        <v>S1 — Força</v>
      </c>
      <c r="C74" s="69" t="str">
        <f aca="false">IFERROR(INDEX(Prescrição!$F$8:$F$507,MATCH(3,Prescrição!$U$8:$U$507,0)),"")</f>
        <v>Parte Principal</v>
      </c>
      <c r="D74" s="119" t="str">
        <f aca="false">IFERROR(INDEX(Prescrição!$G$8:$G$507,MATCH(3,Prescrição!$U$8:$U$507,0)),"")</f>
        <v>Agachamento profundo</v>
      </c>
      <c r="E74" s="99" t="str">
        <f aca="false">IFERROR(INDEX(Prescrição!$J$8:$J$507,MATCH(3,Prescrição!$U$8:$U$507,0)),"")</f>
        <v>Força Máxima</v>
      </c>
      <c r="F74" s="69" t="n">
        <f aca="false">IFERROR(INDEX(Prescrição!$K$8:$K$507,MATCH(3,Prescrição!$U$8:$U$507,0)),"")</f>
        <v>4</v>
      </c>
      <c r="G74" s="69" t="n">
        <f aca="false">IFERROR(INDEX(Prescrição!$L$8:$L$507,MATCH(3,Prescrição!$U$8:$U$507,0)),"")</f>
        <v>6</v>
      </c>
      <c r="H74" s="99" t="str">
        <f aca="false">IFERROR(INDEX(Prescrição!$M$8:$M$507,MATCH(3,Prescrição!$U$8:$U$507,0)),"")</f>
        <v>75% de 1RM</v>
      </c>
      <c r="I74" s="69" t="n">
        <f aca="false">IFERROR(INDEX(Prescrição!$N$8:$N$507,MATCH(3,Prescrição!$U$8:$U$507,0)),"")</f>
        <v>180</v>
      </c>
      <c r="J74" s="69" t="n">
        <f aca="false">IFERROR(INDEX(Prescrição!$O$8:$O$507,MATCH(3,Prescrição!$U$8:$U$507,0)),"")</f>
        <v>25</v>
      </c>
      <c r="K74" s="69" t="n">
        <f aca="false">IFERROR(INDEX(Prescrição!$P$8:$P$507,MATCH(3,Prescrição!$U$8:$U$507,0)),"")</f>
        <v>8</v>
      </c>
      <c r="L74" s="99" t="str">
        <f aca="false">IFERROR(INDEX(Prescrição!$S$8:$S$507,MATCH(3,Prescrição!$U$8:$U$507,0)),"")</f>
        <v>+2,5% se completar todas as séries</v>
      </c>
      <c r="M74" s="99" t="str">
        <f aca="false">IFERROR(INDEX(Prescrição!$T$8:$T$507,MATCH(3,Prescrição!$U$8:$U$507,0)),"")</f>
        <v>EXEMPLO</v>
      </c>
    </row>
    <row r="75" customFormat="false" ht="15" hidden="false" customHeight="false" outlineLevel="0" collapsed="false">
      <c r="A75" s="102" t="n">
        <f aca="false">IFERROR(INDEX(Prescrição!$A$8:$A$507,MATCH(4,Prescrição!$U$8:$U$507,0)),"")</f>
        <v>46265</v>
      </c>
      <c r="B75" s="73" t="str">
        <f aca="false">IFERROR(INDEX(Prescrição!$C$8:$C$507,MATCH(4,Prescrição!$U$8:$U$507,0)),"")</f>
        <v>S1 — Força</v>
      </c>
      <c r="C75" s="73" t="str">
        <f aca="false">IFERROR(INDEX(Prescrição!$F$8:$F$507,MATCH(4,Prescrição!$U$8:$U$507,0)),"")</f>
        <v>Parte Principal</v>
      </c>
      <c r="D75" s="118" t="str">
        <f aca="false">IFERROR(INDEX(Prescrição!$G$8:$G$507,MATCH(4,Prescrição!$U$8:$U$507,0)),"")</f>
        <v>Stiff com barra</v>
      </c>
      <c r="E75" s="103" t="str">
        <f aca="false">IFERROR(INDEX(Prescrição!$J$8:$J$507,MATCH(4,Prescrição!$U$8:$U$507,0)),"")</f>
        <v>Força Máxima</v>
      </c>
      <c r="F75" s="73" t="n">
        <f aca="false">IFERROR(INDEX(Prescrição!$K$8:$K$507,MATCH(4,Prescrição!$U$8:$U$507,0)),"")</f>
        <v>4</v>
      </c>
      <c r="G75" s="73" t="n">
        <f aca="false">IFERROR(INDEX(Prescrição!$L$8:$L$507,MATCH(4,Prescrição!$U$8:$U$507,0)),"")</f>
        <v>8</v>
      </c>
      <c r="H75" s="103" t="str">
        <f aca="false">IFERROR(INDEX(Prescrição!$M$8:$M$507,MATCH(4,Prescrição!$U$8:$U$507,0)),"")</f>
        <v>65% de 1RM</v>
      </c>
      <c r="I75" s="73" t="n">
        <f aca="false">IFERROR(INDEX(Prescrição!$N$8:$N$507,MATCH(4,Prescrição!$U$8:$U$507,0)),"")</f>
        <v>120</v>
      </c>
      <c r="J75" s="73" t="n">
        <f aca="false">IFERROR(INDEX(Prescrição!$O$8:$O$507,MATCH(4,Prescrição!$U$8:$U$507,0)),"")</f>
        <v>18</v>
      </c>
      <c r="K75" s="73" t="n">
        <f aca="false">IFERROR(INDEX(Prescrição!$P$8:$P$507,MATCH(4,Prescrição!$U$8:$U$507,0)),"")</f>
        <v>7</v>
      </c>
      <c r="L75" s="103" t="str">
        <f aca="false">IFERROR(INDEX(Prescrição!$S$8:$S$507,MATCH(4,Prescrição!$U$8:$U$507,0)),"")</f>
        <v>Excêntrica de 3 s</v>
      </c>
      <c r="M75" s="103" t="str">
        <f aca="false">IFERROR(INDEX(Prescrição!$T$8:$T$507,MATCH(4,Prescrição!$U$8:$U$507,0)),"")</f>
        <v>EXEMPLO</v>
      </c>
    </row>
    <row r="76" customFormat="false" ht="32.8" hidden="false" customHeight="false" outlineLevel="0" collapsed="false">
      <c r="A76" s="98" t="n">
        <f aca="false">IFERROR(INDEX(Prescrição!$A$8:$A$507,MATCH(5,Prescrição!$U$8:$U$507,0)),"")</f>
        <v>46265</v>
      </c>
      <c r="B76" s="69" t="str">
        <f aca="false">IFERROR(INDEX(Prescrição!$C$8:$C$507,MATCH(5,Prescrição!$U$8:$U$507,0)),"")</f>
        <v>S1 — Força</v>
      </c>
      <c r="C76" s="69" t="str">
        <f aca="false">IFERROR(INDEX(Prescrição!$F$8:$F$507,MATCH(5,Prescrição!$U$8:$U$507,0)),"")</f>
        <v>Parte Principal</v>
      </c>
      <c r="D76" s="119" t="str">
        <f aca="false">IFERROR(INDEX(Prescrição!$G$8:$G$507,MATCH(5,Prescrição!$U$8:$U$507,0)),"")</f>
        <v>Power clean a partir do joelho</v>
      </c>
      <c r="E76" s="99" t="str">
        <f aca="false">IFERROR(INDEX(Prescrição!$J$8:$J$507,MATCH(5,Prescrição!$U$8:$U$507,0)),"")</f>
        <v>Força Explosiva/Potência</v>
      </c>
      <c r="F76" s="69" t="n">
        <f aca="false">IFERROR(INDEX(Prescrição!$K$8:$K$507,MATCH(5,Prescrição!$U$8:$U$507,0)),"")</f>
        <v>4</v>
      </c>
      <c r="G76" s="69" t="n">
        <f aca="false">IFERROR(INDEX(Prescrição!$L$8:$L$507,MATCH(5,Prescrição!$U$8:$U$507,0)),"")</f>
        <v>4</v>
      </c>
      <c r="H76" s="99" t="str">
        <f aca="false">IFERROR(INDEX(Prescrição!$M$8:$M$507,MATCH(5,Prescrição!$U$8:$U$507,0)),"")</f>
        <v>70% de 1RM</v>
      </c>
      <c r="I76" s="69" t="n">
        <f aca="false">IFERROR(INDEX(Prescrição!$N$8:$N$507,MATCH(5,Prescrição!$U$8:$U$507,0)),"")</f>
        <v>180</v>
      </c>
      <c r="J76" s="69" t="n">
        <f aca="false">IFERROR(INDEX(Prescrição!$O$8:$O$507,MATCH(5,Prescrição!$U$8:$U$507,0)),"")</f>
        <v>20</v>
      </c>
      <c r="K76" s="69" t="n">
        <f aca="false">IFERROR(INDEX(Prescrição!$P$8:$P$507,MATCH(5,Prescrição!$U$8:$U$507,0)),"")</f>
        <v>8</v>
      </c>
      <c r="L76" s="99" t="str">
        <f aca="false">IFERROR(INDEX(Prescrição!$S$8:$S$507,MATCH(5,Prescrição!$U$8:$U$507,0)),"")</f>
        <v>Parar a série se a barra desacelerar</v>
      </c>
      <c r="M76" s="99" t="str">
        <f aca="false">IFERROR(INDEX(Prescrição!$T$8:$T$507,MATCH(5,Prescrição!$U$8:$U$507,0)),"")</f>
        <v>EXEMPLO</v>
      </c>
    </row>
    <row r="77" customFormat="false" ht="22.35" hidden="false" customHeight="false" outlineLevel="0" collapsed="false">
      <c r="A77" s="102" t="n">
        <f aca="false">IFERROR(INDEX(Prescrição!$A$8:$A$507,MATCH(6,Prescrição!$U$8:$U$507,0)),"")</f>
        <v>46265</v>
      </c>
      <c r="B77" s="73" t="str">
        <f aca="false">IFERROR(INDEX(Prescrição!$C$8:$C$507,MATCH(6,Prescrição!$U$8:$U$507,0)),"")</f>
        <v>S1 — Força</v>
      </c>
      <c r="C77" s="73" t="str">
        <f aca="false">IFERROR(INDEX(Prescrição!$F$8:$F$507,MATCH(6,Prescrição!$U$8:$U$507,0)),"")</f>
        <v>Complementar</v>
      </c>
      <c r="D77" s="118" t="str">
        <f aca="false">IFERROR(INDEX(Prescrição!$G$8:$G$507,MATCH(6,Prescrição!$U$8:$U$507,0)),"")</f>
        <v>Nórdico de isquiotibiais (excêntrico)</v>
      </c>
      <c r="E77" s="103" t="str">
        <f aca="false">IFERROR(INDEX(Prescrição!$J$8:$J$507,MATCH(6,Prescrição!$U$8:$U$507,0)),"")</f>
        <v>Força Máxima</v>
      </c>
      <c r="F77" s="73" t="n">
        <f aca="false">IFERROR(INDEX(Prescrição!$K$8:$K$507,MATCH(6,Prescrição!$U$8:$U$507,0)),"")</f>
        <v>3</v>
      </c>
      <c r="G77" s="73" t="n">
        <f aca="false">IFERROR(INDEX(Prescrição!$L$8:$L$507,MATCH(6,Prescrição!$U$8:$U$507,0)),"")</f>
        <v>6</v>
      </c>
      <c r="H77" s="103" t="str">
        <f aca="false">IFERROR(INDEX(Prescrição!$M$8:$M$507,MATCH(6,Prescrição!$U$8:$U$507,0)),"")</f>
        <v>Peso corporal</v>
      </c>
      <c r="I77" s="73" t="n">
        <f aca="false">IFERROR(INDEX(Prescrição!$N$8:$N$507,MATCH(6,Prescrição!$U$8:$U$507,0)),"")</f>
        <v>90</v>
      </c>
      <c r="J77" s="73" t="n">
        <f aca="false">IFERROR(INDEX(Prescrição!$O$8:$O$507,MATCH(6,Prescrição!$U$8:$U$507,0)),"")</f>
        <v>10</v>
      </c>
      <c r="K77" s="73" t="n">
        <f aca="false">IFERROR(INDEX(Prescrição!$P$8:$P$507,MATCH(6,Prescrição!$U$8:$U$507,0)),"")</f>
        <v>6</v>
      </c>
      <c r="L77" s="103" t="str">
        <f aca="false">IFERROR(INDEX(Prescrição!$S$8:$S$507,MATCH(6,Prescrição!$U$8:$U$507,0)),"")</f>
        <v>2x por semana no bloco</v>
      </c>
      <c r="M77" s="103" t="str">
        <f aca="false">IFERROR(INDEX(Prescrição!$T$8:$T$507,MATCH(6,Prescrição!$U$8:$U$507,0)),"")</f>
        <v>EXEMPLO</v>
      </c>
    </row>
    <row r="78" customFormat="false" ht="22.35" hidden="false" customHeight="false" outlineLevel="0" collapsed="false">
      <c r="A78" s="98" t="n">
        <f aca="false">IFERROR(INDEX(Prescrição!$A$8:$A$507,MATCH(7,Prescrição!$U$8:$U$507,0)),"")</f>
        <v>46265</v>
      </c>
      <c r="B78" s="69" t="str">
        <f aca="false">IFERROR(INDEX(Prescrição!$C$8:$C$507,MATCH(7,Prescrição!$U$8:$U$507,0)),"")</f>
        <v>S1 — Força</v>
      </c>
      <c r="C78" s="69" t="str">
        <f aca="false">IFERROR(INDEX(Prescrição!$F$8:$F$507,MATCH(7,Prescrição!$U$8:$U$507,0)),"")</f>
        <v>Volta à Calma</v>
      </c>
      <c r="D78" s="119" t="str">
        <f aca="false">IFERROR(INDEX(Prescrição!$G$8:$G$507,MATCH(7,Prescrição!$U$8:$U$507,0)),"")</f>
        <v>Alongamento e liberação miofascial</v>
      </c>
      <c r="E78" s="99" t="str">
        <f aca="false">IFERROR(INDEX(Prescrição!$J$8:$J$507,MATCH(7,Prescrição!$U$8:$U$507,0)),"")</f>
        <v>Mobilidade/Flexibilidade</v>
      </c>
      <c r="F78" s="69" t="n">
        <f aca="false">IFERROR(INDEX(Prescrição!$K$8:$K$507,MATCH(7,Prescrição!$U$8:$U$507,0)),"")</f>
        <v>1</v>
      </c>
      <c r="G78" s="69" t="str">
        <f aca="false">IFERROR(INDEX(Prescrição!$L$8:$L$507,MATCH(7,Prescrição!$U$8:$U$507,0)),"")</f>
        <v>30 s por grupamento</v>
      </c>
      <c r="H78" s="99" t="str">
        <f aca="false">IFERROR(INDEX(Prescrição!$M$8:$M$507,MATCH(7,Prescrição!$U$8:$U$507,0)),"")</f>
        <v>Rolo</v>
      </c>
      <c r="I78" s="69" t="n">
        <f aca="false">IFERROR(INDEX(Prescrição!$N$8:$N$507,MATCH(7,Prescrição!$U$8:$U$507,0)),"")</f>
        <v>0</v>
      </c>
      <c r="J78" s="69" t="n">
        <f aca="false">IFERROR(INDEX(Prescrição!$O$8:$O$507,MATCH(7,Prescrição!$U$8:$U$507,0)),"")</f>
        <v>15</v>
      </c>
      <c r="K78" s="69" t="n">
        <f aca="false">IFERROR(INDEX(Prescrição!$P$8:$P$507,MATCH(7,Prescrição!$U$8:$U$507,0)),"")</f>
        <v>2</v>
      </c>
      <c r="L78" s="99" t="str">
        <f aca="false">IFERROR(INDEX(Prescrição!$S$8:$S$507,MATCH(7,Prescrição!$U$8:$U$507,0)),"")</f>
        <v>—</v>
      </c>
      <c r="M78" s="99" t="str">
        <f aca="false">IFERROR(INDEX(Prescrição!$T$8:$T$507,MATCH(7,Prescrição!$U$8:$U$507,0)),"")</f>
        <v>EXEMPLO</v>
      </c>
    </row>
    <row r="79" customFormat="false" ht="22.35" hidden="false" customHeight="false" outlineLevel="0" collapsed="false">
      <c r="A79" s="102" t="n">
        <f aca="false">IFERROR(INDEX(Prescrição!$A$8:$A$507,MATCH(8,Prescrição!$U$8:$U$507,0)),"")</f>
        <v>46265</v>
      </c>
      <c r="B79" s="73" t="str">
        <f aca="false">IFERROR(INDEX(Prescrição!$C$8:$C$507,MATCH(8,Prescrição!$U$8:$U$507,0)),"")</f>
        <v>S2 — Técnico-Tático</v>
      </c>
      <c r="C79" s="73" t="str">
        <f aca="false">IFERROR(INDEX(Prescrição!$F$8:$F$507,MATCH(8,Prescrição!$U$8:$U$507,0)),"")</f>
        <v>Aquecimento</v>
      </c>
      <c r="D79" s="118" t="str">
        <f aca="false">IFERROR(INDEX(Prescrição!$G$8:$G$507,MATCH(8,Prescrição!$U$8:$U$507,0)),"")</f>
        <v>Recepção em duplas com bola dirigida</v>
      </c>
      <c r="E79" s="103" t="str">
        <f aca="false">IFERROR(INDEX(Prescrição!$J$8:$J$507,MATCH(8,Prescrição!$U$8:$U$507,0)),"")</f>
        <v>Coordenação</v>
      </c>
      <c r="F79" s="73" t="n">
        <f aca="false">IFERROR(INDEX(Prescrição!$K$8:$K$507,MATCH(8,Prescrição!$U$8:$U$507,0)),"")</f>
        <v>3</v>
      </c>
      <c r="G79" s="73" t="n">
        <f aca="false">IFERROR(INDEX(Prescrição!$L$8:$L$507,MATCH(8,Prescrição!$U$8:$U$507,0)),"")</f>
        <v>15</v>
      </c>
      <c r="H79" s="103" t="str">
        <f aca="false">IFERROR(INDEX(Prescrição!$M$8:$M$507,MATCH(8,Prescrição!$U$8:$U$507,0)),"")</f>
        <v>Bola</v>
      </c>
      <c r="I79" s="73" t="n">
        <f aca="false">IFERROR(INDEX(Prescrição!$N$8:$N$507,MATCH(8,Prescrição!$U$8:$U$507,0)),"")</f>
        <v>30</v>
      </c>
      <c r="J79" s="73" t="n">
        <f aca="false">IFERROR(INDEX(Prescrição!$O$8:$O$507,MATCH(8,Prescrição!$U$8:$U$507,0)),"")</f>
        <v>12</v>
      </c>
      <c r="K79" s="73" t="n">
        <f aca="false">IFERROR(INDEX(Prescrição!$P$8:$P$507,MATCH(8,Prescrição!$U$8:$U$507,0)),"")</f>
        <v>4</v>
      </c>
      <c r="L79" s="103" t="str">
        <f aca="false">IFERROR(INDEX(Prescrição!$S$8:$S$507,MATCH(8,Prescrição!$U$8:$U$507,0)),"")</f>
        <v>Meta de 80% ao alvo</v>
      </c>
      <c r="M79" s="103" t="str">
        <f aca="false">IFERROR(INDEX(Prescrição!$T$8:$T$507,MATCH(8,Prescrição!$U$8:$U$507,0)),"")</f>
        <v>EXEMPLO</v>
      </c>
    </row>
    <row r="80" customFormat="false" ht="22.35" hidden="false" customHeight="false" outlineLevel="0" collapsed="false">
      <c r="A80" s="98" t="n">
        <f aca="false">IFERROR(INDEX(Prescrição!$A$8:$A$507,MATCH(9,Prescrição!$U$8:$U$507,0)),"")</f>
        <v>46265</v>
      </c>
      <c r="B80" s="69" t="str">
        <f aca="false">IFERROR(INDEX(Prescrição!$C$8:$C$507,MATCH(9,Prescrição!$U$8:$U$507,0)),"")</f>
        <v>S2 — Técnico-Tático</v>
      </c>
      <c r="C80" s="69" t="str">
        <f aca="false">IFERROR(INDEX(Prescrição!$F$8:$F$507,MATCH(9,Prescrição!$U$8:$U$507,0)),"")</f>
        <v>Parte Principal</v>
      </c>
      <c r="D80" s="119" t="str">
        <f aca="false">IFERROR(INDEX(Prescrição!$G$8:$G$507,MATCH(9,Prescrição!$U$8:$U$507,0)),"")</f>
        <v>Recepção de saque em sistema de 2 passadores</v>
      </c>
      <c r="E80" s="99" t="str">
        <f aca="false">IFERROR(INDEX(Prescrição!$J$8:$J$507,MATCH(9,Prescrição!$U$8:$U$507,0)),"")</f>
        <v>Coordenação</v>
      </c>
      <c r="F80" s="69" t="n">
        <f aca="false">IFERROR(INDEX(Prescrição!$K$8:$K$507,MATCH(9,Prescrição!$U$8:$U$507,0)),"")</f>
        <v>4</v>
      </c>
      <c r="G80" s="69" t="n">
        <f aca="false">IFERROR(INDEX(Prescrição!$L$8:$L$507,MATCH(9,Prescrição!$U$8:$U$507,0)),"")</f>
        <v>20</v>
      </c>
      <c r="H80" s="99" t="str">
        <f aca="false">IFERROR(INDEX(Prescrição!$M$8:$M$507,MATCH(9,Prescrição!$U$8:$U$507,0)),"")</f>
        <v>Saque real</v>
      </c>
      <c r="I80" s="69" t="n">
        <f aca="false">IFERROR(INDEX(Prescrição!$N$8:$N$507,MATCH(9,Prescrição!$U$8:$U$507,0)),"")</f>
        <v>60</v>
      </c>
      <c r="J80" s="69" t="n">
        <f aca="false">IFERROR(INDEX(Prescrição!$O$8:$O$507,MATCH(9,Prescrição!$U$8:$U$507,0)),"")</f>
        <v>20</v>
      </c>
      <c r="K80" s="69" t="n">
        <f aca="false">IFERROR(INDEX(Prescrição!$P$8:$P$507,MATCH(9,Prescrição!$U$8:$U$507,0)),"")</f>
        <v>6</v>
      </c>
      <c r="L80" s="99" t="str">
        <f aca="false">IFERROR(INDEX(Prescrição!$S$8:$S$507,MATCH(9,Prescrição!$U$8:$U$507,0)),"")</f>
        <v>Meta de 70% de passes A/B</v>
      </c>
      <c r="M80" s="99" t="str">
        <f aca="false">IFERROR(INDEX(Prescrição!$T$8:$T$507,MATCH(9,Prescrição!$U$8:$U$507,0)),"")</f>
        <v>EXEMPLO</v>
      </c>
    </row>
    <row r="81" customFormat="false" ht="32.8" hidden="false" customHeight="false" outlineLevel="0" collapsed="false">
      <c r="A81" s="102" t="n">
        <f aca="false">IFERROR(INDEX(Prescrição!$A$8:$A$507,MATCH(10,Prescrição!$U$8:$U$507,0)),"")</f>
        <v>46265</v>
      </c>
      <c r="B81" s="73" t="str">
        <f aca="false">IFERROR(INDEX(Prescrição!$C$8:$C$507,MATCH(10,Prescrição!$U$8:$U$507,0)),"")</f>
        <v>S2 — Técnico-Tático</v>
      </c>
      <c r="C81" s="73" t="str">
        <f aca="false">IFERROR(INDEX(Prescrição!$F$8:$F$507,MATCH(10,Prescrição!$U$8:$U$507,0)),"")</f>
        <v>Parte Principal</v>
      </c>
      <c r="D81" s="118" t="str">
        <f aca="false">IFERROR(INDEX(Prescrição!$G$8:$G$507,MATCH(10,Prescrição!$U$8:$U$507,0)),"")</f>
        <v>Ataque de bola alta pela ponta (P4)</v>
      </c>
      <c r="E81" s="103" t="str">
        <f aca="false">IFERROR(INDEX(Prescrição!$J$8:$J$507,MATCH(10,Prescrição!$U$8:$U$507,0)),"")</f>
        <v>Força Explosiva/Potência</v>
      </c>
      <c r="F81" s="73" t="n">
        <f aca="false">IFERROR(INDEX(Prescrição!$K$8:$K$507,MATCH(10,Prescrição!$U$8:$U$507,0)),"")</f>
        <v>4</v>
      </c>
      <c r="G81" s="73" t="n">
        <f aca="false">IFERROR(INDEX(Prescrição!$L$8:$L$507,MATCH(10,Prescrição!$U$8:$U$507,0)),"")</f>
        <v>10</v>
      </c>
      <c r="H81" s="103" t="str">
        <f aca="false">IFERROR(INDEX(Prescrição!$M$8:$M$507,MATCH(10,Prescrição!$U$8:$U$507,0)),"")</f>
        <v>Bola alta</v>
      </c>
      <c r="I81" s="73" t="n">
        <f aca="false">IFERROR(INDEX(Prescrição!$N$8:$N$507,MATCH(10,Prescrição!$U$8:$U$507,0)),"")</f>
        <v>60</v>
      </c>
      <c r="J81" s="73" t="n">
        <f aca="false">IFERROR(INDEX(Prescrição!$O$8:$O$507,MATCH(10,Prescrição!$U$8:$U$507,0)),"")</f>
        <v>18</v>
      </c>
      <c r="K81" s="73" t="n">
        <f aca="false">IFERROR(INDEX(Prescrição!$P$8:$P$507,MATCH(10,Prescrição!$U$8:$U$507,0)),"")</f>
        <v>6</v>
      </c>
      <c r="L81" s="103" t="str">
        <f aca="false">IFERROR(INDEX(Prescrição!$S$8:$S$507,MATCH(10,Prescrição!$U$8:$U$507,0)),"")</f>
        <v>5 séries na semana seguinte</v>
      </c>
      <c r="M81" s="103" t="str">
        <f aca="false">IFERROR(INDEX(Prescrição!$T$8:$T$507,MATCH(10,Prescrição!$U$8:$U$507,0)),"")</f>
        <v>EXEMPLO</v>
      </c>
    </row>
    <row r="82" customFormat="false" ht="22.35" hidden="false" customHeight="false" outlineLevel="0" collapsed="false">
      <c r="A82" s="98" t="n">
        <f aca="false">IFERROR(INDEX(Prescrição!$A$8:$A$507,MATCH(11,Prescrição!$U$8:$U$507,0)),"")</f>
        <v>46265</v>
      </c>
      <c r="B82" s="69" t="str">
        <f aca="false">IFERROR(INDEX(Prescrição!$C$8:$C$507,MATCH(11,Prescrição!$U$8:$U$507,0)),"")</f>
        <v>S2 — Técnico-Tático</v>
      </c>
      <c r="C82" s="69" t="str">
        <f aca="false">IFERROR(INDEX(Prescrição!$F$8:$F$507,MATCH(11,Prescrição!$U$8:$U$507,0)),"")</f>
        <v>Parte Principal</v>
      </c>
      <c r="D82" s="119" t="str">
        <f aca="false">IFERROR(INDEX(Prescrição!$G$8:$G$507,MATCH(11,Prescrição!$U$8:$U$507,0)),"")</f>
        <v>Complexo I (K1) — recepção, levantamento e ataque</v>
      </c>
      <c r="E82" s="99" t="str">
        <f aca="false">IFERROR(INDEX(Prescrição!$J$8:$J$507,MATCH(11,Prescrição!$U$8:$U$507,0)),"")</f>
        <v>N/A</v>
      </c>
      <c r="F82" s="69" t="n">
        <f aca="false">IFERROR(INDEX(Prescrição!$K$8:$K$507,MATCH(11,Prescrição!$U$8:$U$507,0)),"")</f>
        <v>1</v>
      </c>
      <c r="G82" s="69" t="str">
        <f aca="false">IFERROR(INDEX(Prescrição!$L$8:$L$507,MATCH(11,Prescrição!$U$8:$U$507,0)),"")</f>
        <v>20 tentativas</v>
      </c>
      <c r="H82" s="99" t="str">
        <f aca="false">IFERROR(INDEX(Prescrição!$M$8:$M$507,MATCH(11,Prescrição!$U$8:$U$507,0)),"")</f>
        <v>Jogo</v>
      </c>
      <c r="I82" s="69" t="n">
        <f aca="false">IFERROR(INDEX(Prescrição!$N$8:$N$507,MATCH(11,Prescrição!$U$8:$U$507,0)),"")</f>
        <v>90</v>
      </c>
      <c r="J82" s="69" t="n">
        <f aca="false">IFERROR(INDEX(Prescrição!$O$8:$O$507,MATCH(11,Prescrição!$U$8:$U$507,0)),"")</f>
        <v>25</v>
      </c>
      <c r="K82" s="69" t="n">
        <f aca="false">IFERROR(INDEX(Prescrição!$P$8:$P$507,MATCH(11,Prescrição!$U$8:$U$507,0)),"")</f>
        <v>7</v>
      </c>
      <c r="L82" s="99" t="str">
        <f aca="false">IFERROR(INDEX(Prescrição!$S$8:$S$507,MATCH(11,Prescrição!$U$8:$U$507,0)),"")</f>
        <v>Meta de 60% de side-out</v>
      </c>
      <c r="M82" s="99" t="str">
        <f aca="false">IFERROR(INDEX(Prescrição!$T$8:$T$507,MATCH(11,Prescrição!$U$8:$U$507,0)),"")</f>
        <v>EXEMPLO</v>
      </c>
    </row>
    <row r="83" customFormat="false" ht="32.8" hidden="false" customHeight="false" outlineLevel="0" collapsed="false">
      <c r="A83" s="102" t="n">
        <f aca="false">IFERROR(INDEX(Prescrição!$A$8:$A$507,MATCH(12,Prescrição!$U$8:$U$507,0)),"")</f>
        <v>46267</v>
      </c>
      <c r="B83" s="73" t="str">
        <f aca="false">IFERROR(INDEX(Prescrição!$C$8:$C$507,MATCH(12,Prescrição!$U$8:$U$507,0)),"")</f>
        <v>S3 — Potência</v>
      </c>
      <c r="C83" s="73" t="str">
        <f aca="false">IFERROR(INDEX(Prescrição!$F$8:$F$507,MATCH(12,Prescrição!$U$8:$U$507,0)),"")</f>
        <v>Parte Principal</v>
      </c>
      <c r="D83" s="118" t="str">
        <f aca="false">IFERROR(INDEX(Prescrição!$G$8:$G$507,MATCH(12,Prescrição!$U$8:$U$507,0)),"")</f>
        <v>Agachamento com salto sob carga (jump squat)</v>
      </c>
      <c r="E83" s="103" t="str">
        <f aca="false">IFERROR(INDEX(Prescrição!$J$8:$J$507,MATCH(12,Prescrição!$U$8:$U$507,0)),"")</f>
        <v>Força Explosiva/Potência</v>
      </c>
      <c r="F83" s="73" t="n">
        <f aca="false">IFERROR(INDEX(Prescrição!$K$8:$K$507,MATCH(12,Prescrição!$U$8:$U$507,0)),"")</f>
        <v>5</v>
      </c>
      <c r="G83" s="73" t="n">
        <f aca="false">IFERROR(INDEX(Prescrição!$L$8:$L$507,MATCH(12,Prescrição!$U$8:$U$507,0)),"")</f>
        <v>4</v>
      </c>
      <c r="H83" s="103" t="str">
        <f aca="false">IFERROR(INDEX(Prescrição!$M$8:$M$507,MATCH(12,Prescrição!$U$8:$U$507,0)),"")</f>
        <v>30% de 1RM</v>
      </c>
      <c r="I83" s="73" t="n">
        <f aca="false">IFERROR(INDEX(Prescrição!$N$8:$N$507,MATCH(12,Prescrição!$U$8:$U$507,0)),"")</f>
        <v>120</v>
      </c>
      <c r="J83" s="73" t="n">
        <f aca="false">IFERROR(INDEX(Prescrição!$O$8:$O$507,MATCH(12,Prescrição!$U$8:$U$507,0)),"")</f>
        <v>18</v>
      </c>
      <c r="K83" s="73" t="n">
        <f aca="false">IFERROR(INDEX(Prescrição!$P$8:$P$507,MATCH(12,Prescrição!$U$8:$U$507,0)),"")</f>
        <v>7</v>
      </c>
      <c r="L83" s="103" t="str">
        <f aca="false">IFERROR(INDEX(Prescrição!$S$8:$S$507,MATCH(12,Prescrição!$U$8:$U$507,0)),"")</f>
        <v>Velocidade acima de 1,0 m/s</v>
      </c>
      <c r="M83" s="103" t="str">
        <f aca="false">IFERROR(INDEX(Prescrição!$T$8:$T$507,MATCH(12,Prescrição!$U$8:$U$507,0)),"")</f>
        <v>EXEMPLO</v>
      </c>
    </row>
    <row r="84" customFormat="false" ht="22.35" hidden="false" customHeight="false" outlineLevel="0" collapsed="false">
      <c r="A84" s="98" t="n">
        <f aca="false">IFERROR(INDEX(Prescrição!$A$8:$A$507,MATCH(13,Prescrição!$U$8:$U$507,0)),"")</f>
        <v>46267</v>
      </c>
      <c r="B84" s="69" t="str">
        <f aca="false">IFERROR(INDEX(Prescrição!$C$8:$C$507,MATCH(13,Prescrição!$U$8:$U$507,0)),"")</f>
        <v>S3 — Potência</v>
      </c>
      <c r="C84" s="69" t="str">
        <f aca="false">IFERROR(INDEX(Prescrição!$F$8:$F$507,MATCH(13,Prescrição!$U$8:$U$507,0)),"")</f>
        <v>Parte Principal</v>
      </c>
      <c r="D84" s="119" t="str">
        <f aca="false">IFERROR(INDEX(Prescrição!$G$8:$G$507,MATCH(13,Prescrição!$U$8:$U$507,0)),"")</f>
        <v>Salto em profundidade (drop jump)</v>
      </c>
      <c r="E84" s="99" t="str">
        <f aca="false">IFERROR(INDEX(Prescrição!$J$8:$J$507,MATCH(13,Prescrição!$U$8:$U$507,0)),"")</f>
        <v>Pliometria</v>
      </c>
      <c r="F84" s="69" t="n">
        <f aca="false">IFERROR(INDEX(Prescrição!$K$8:$K$507,MATCH(13,Prescrição!$U$8:$U$507,0)),"")</f>
        <v>5</v>
      </c>
      <c r="G84" s="69" t="n">
        <f aca="false">IFERROR(INDEX(Prescrição!$L$8:$L$507,MATCH(13,Prescrição!$U$8:$U$507,0)),"")</f>
        <v>5</v>
      </c>
      <c r="H84" s="99" t="str">
        <f aca="false">IFERROR(INDEX(Prescrição!$M$8:$M$507,MATCH(13,Prescrição!$U$8:$U$507,0)),"")</f>
        <v>Caixa de 40 cm</v>
      </c>
      <c r="I84" s="69" t="n">
        <f aca="false">IFERROR(INDEX(Prescrição!$N$8:$N$507,MATCH(13,Prescrição!$U$8:$U$507,0)),"")</f>
        <v>120</v>
      </c>
      <c r="J84" s="69" t="n">
        <f aca="false">IFERROR(INDEX(Prescrição!$O$8:$O$507,MATCH(13,Prescrição!$U$8:$U$507,0)),"")</f>
        <v>15</v>
      </c>
      <c r="K84" s="69" t="n">
        <f aca="false">IFERROR(INDEX(Prescrição!$P$8:$P$507,MATCH(13,Prescrição!$U$8:$U$507,0)),"")</f>
        <v>7</v>
      </c>
      <c r="L84" s="99" t="str">
        <f aca="false">IFERROR(INDEX(Prescrição!$S$8:$S$507,MATCH(13,Prescrição!$U$8:$U$507,0)),"")</f>
        <v>Progredir só com boa aterrissagem</v>
      </c>
      <c r="M84" s="99" t="str">
        <f aca="false">IFERROR(INDEX(Prescrição!$T$8:$T$507,MATCH(13,Prescrição!$U$8:$U$507,0)),"")</f>
        <v>EXEMPLO</v>
      </c>
    </row>
    <row r="85" customFormat="false" ht="22.35" hidden="false" customHeight="false" outlineLevel="0" collapsed="false">
      <c r="A85" s="102" t="n">
        <f aca="false">IFERROR(INDEX(Prescrição!$A$8:$A$507,MATCH(14,Prescrição!$U$8:$U$507,0)),"")</f>
        <v>46267</v>
      </c>
      <c r="B85" s="73" t="str">
        <f aca="false">IFERROR(INDEX(Prescrição!$C$8:$C$507,MATCH(14,Prescrição!$U$8:$U$507,0)),"")</f>
        <v>S4 — Coletivo</v>
      </c>
      <c r="C85" s="73" t="str">
        <f aca="false">IFERROR(INDEX(Prescrição!$F$8:$F$507,MATCH(14,Prescrição!$U$8:$U$507,0)),"")</f>
        <v>Parte Principal</v>
      </c>
      <c r="D85" s="118" t="str">
        <f aca="false">IFERROR(INDEX(Prescrição!$G$8:$G$507,MATCH(14,Prescrição!$U$8:$U$507,0)),"")</f>
        <v>Complexo II (K2) — bloqueio, defesa e contra-ataque</v>
      </c>
      <c r="E85" s="103" t="str">
        <f aca="false">IFERROR(INDEX(Prescrição!$J$8:$J$507,MATCH(14,Prescrição!$U$8:$U$507,0)),"")</f>
        <v>N/A</v>
      </c>
      <c r="F85" s="73" t="n">
        <f aca="false">IFERROR(INDEX(Prescrição!$K$8:$K$507,MATCH(14,Prescrição!$U$8:$U$507,0)),"")</f>
        <v>1</v>
      </c>
      <c r="G85" s="73" t="str">
        <f aca="false">IFERROR(INDEX(Prescrição!$L$8:$L$507,MATCH(14,Prescrição!$U$8:$U$507,0)),"")</f>
        <v>20 séries</v>
      </c>
      <c r="H85" s="103" t="str">
        <f aca="false">IFERROR(INDEX(Prescrição!$M$8:$M$507,MATCH(14,Prescrição!$U$8:$U$507,0)),"")</f>
        <v>Jogo</v>
      </c>
      <c r="I85" s="73" t="n">
        <f aca="false">IFERROR(INDEX(Prescrição!$N$8:$N$507,MATCH(14,Prescrição!$U$8:$U$507,0)),"")</f>
        <v>60</v>
      </c>
      <c r="J85" s="73" t="n">
        <f aca="false">IFERROR(INDEX(Prescrição!$O$8:$O$507,MATCH(14,Prescrição!$U$8:$U$507,0)),"")</f>
        <v>25</v>
      </c>
      <c r="K85" s="73" t="n">
        <f aca="false">IFERROR(INDEX(Prescrição!$P$8:$P$507,MATCH(14,Prescrição!$U$8:$U$507,0)),"")</f>
        <v>7</v>
      </c>
      <c r="L85" s="103" t="str">
        <f aca="false">IFERROR(INDEX(Prescrição!$S$8:$S$507,MATCH(14,Prescrição!$U$8:$U$507,0)),"")</f>
        <v>Avaliar eficiência do contra-ataque</v>
      </c>
      <c r="M85" s="103" t="str">
        <f aca="false">IFERROR(INDEX(Prescrição!$T$8:$T$507,MATCH(14,Prescrição!$U$8:$U$507,0)),"")</f>
        <v>EXEMPLO</v>
      </c>
    </row>
    <row r="86" customFormat="false" ht="15" hidden="false" customHeight="false" outlineLevel="0" collapsed="false">
      <c r="A86" s="98" t="n">
        <f aca="false">IFERROR(INDEX(Prescrição!$A$8:$A$507,MATCH(15,Prescrição!$U$8:$U$507,0)),"")</f>
        <v>46267</v>
      </c>
      <c r="B86" s="69" t="str">
        <f aca="false">IFERROR(INDEX(Prescrição!$C$8:$C$507,MATCH(15,Prescrição!$U$8:$U$507,0)),"")</f>
        <v>S4 — Coletivo</v>
      </c>
      <c r="C86" s="69" t="str">
        <f aca="false">IFERROR(INDEX(Prescrição!$F$8:$F$507,MATCH(15,Prescrição!$U$8:$U$507,0)),"")</f>
        <v>Parte Principal</v>
      </c>
      <c r="D86" s="119" t="str">
        <f aca="false">IFERROR(INDEX(Prescrição!$G$8:$G$507,MATCH(15,Prescrição!$U$8:$U$507,0)),"")</f>
        <v>Jogo 6x6 com pontuação diferenciada</v>
      </c>
      <c r="E86" s="99" t="str">
        <f aca="false">IFERROR(INDEX(Prescrição!$J$8:$J$507,MATCH(15,Prescrição!$U$8:$U$507,0)),"")</f>
        <v>N/A</v>
      </c>
      <c r="F86" s="69" t="n">
        <f aca="false">IFERROR(INDEX(Prescrição!$K$8:$K$507,MATCH(15,Prescrição!$U$8:$U$507,0)),"")</f>
        <v>3</v>
      </c>
      <c r="G86" s="69" t="str">
        <f aca="false">IFERROR(INDEX(Prescrição!$L$8:$L$507,MATCH(15,Prescrição!$U$8:$U$507,0)),"")</f>
        <v>sets a 15</v>
      </c>
      <c r="H86" s="99" t="str">
        <f aca="false">IFERROR(INDEX(Prescrição!$M$8:$M$507,MATCH(15,Prescrição!$U$8:$U$507,0)),"")</f>
        <v>Jogo</v>
      </c>
      <c r="I86" s="69" t="n">
        <f aca="false">IFERROR(INDEX(Prescrição!$N$8:$N$507,MATCH(15,Prescrição!$U$8:$U$507,0)),"")</f>
        <v>120</v>
      </c>
      <c r="J86" s="69" t="n">
        <f aca="false">IFERROR(INDEX(Prescrição!$O$8:$O$507,MATCH(15,Prescrição!$U$8:$U$507,0)),"")</f>
        <v>30</v>
      </c>
      <c r="K86" s="69" t="n">
        <f aca="false">IFERROR(INDEX(Prescrição!$P$8:$P$507,MATCH(15,Prescrição!$U$8:$U$507,0)),"")</f>
        <v>8</v>
      </c>
      <c r="L86" s="99" t="str">
        <f aca="false">IFERROR(INDEX(Prescrição!$S$8:$S$507,MATCH(15,Prescrição!$U$8:$U$507,0)),"")</f>
        <v>—</v>
      </c>
      <c r="M86" s="99" t="str">
        <f aca="false">IFERROR(INDEX(Prescrição!$T$8:$T$507,MATCH(15,Prescrição!$U$8:$U$507,0)),"")</f>
        <v>EXEMPLO</v>
      </c>
    </row>
    <row r="87" customFormat="false" ht="15" hidden="false" customHeight="false" outlineLevel="0" collapsed="false">
      <c r="A87" s="102" t="str">
        <f aca="false">IFERROR(INDEX(Prescrição!$A$8:$A$507,MATCH(16,Prescrição!$U$8:$U$507,0)),"")</f>
        <v/>
      </c>
      <c r="B87" s="73" t="str">
        <f aca="false">IFERROR(INDEX(Prescrição!$C$8:$C$507,MATCH(16,Prescrição!$U$8:$U$507,0)),"")</f>
        <v/>
      </c>
      <c r="C87" s="73" t="str">
        <f aca="false">IFERROR(INDEX(Prescrição!$F$8:$F$507,MATCH(16,Prescrição!$U$8:$U$507,0)),"")</f>
        <v/>
      </c>
      <c r="D87" s="118" t="str">
        <f aca="false">IFERROR(INDEX(Prescrição!$G$8:$G$507,MATCH(16,Prescrição!$U$8:$U$507,0)),"")</f>
        <v/>
      </c>
      <c r="E87" s="103" t="str">
        <f aca="false">IFERROR(INDEX(Prescrição!$J$8:$J$507,MATCH(16,Prescrição!$U$8:$U$507,0)),"")</f>
        <v/>
      </c>
      <c r="F87" s="73" t="str">
        <f aca="false">IFERROR(INDEX(Prescrição!$K$8:$K$507,MATCH(16,Prescrição!$U$8:$U$507,0)),"")</f>
        <v/>
      </c>
      <c r="G87" s="73" t="str">
        <f aca="false">IFERROR(INDEX(Prescrição!$L$8:$L$507,MATCH(16,Prescrição!$U$8:$U$507,0)),"")</f>
        <v/>
      </c>
      <c r="H87" s="103" t="str">
        <f aca="false">IFERROR(INDEX(Prescrição!$M$8:$M$507,MATCH(16,Prescrição!$U$8:$U$507,0)),"")</f>
        <v/>
      </c>
      <c r="I87" s="73" t="str">
        <f aca="false">IFERROR(INDEX(Prescrição!$N$8:$N$507,MATCH(16,Prescrição!$U$8:$U$507,0)),"")</f>
        <v/>
      </c>
      <c r="J87" s="73" t="str">
        <f aca="false">IFERROR(INDEX(Prescrição!$O$8:$O$507,MATCH(16,Prescrição!$U$8:$U$507,0)),"")</f>
        <v/>
      </c>
      <c r="K87" s="73" t="str">
        <f aca="false">IFERROR(INDEX(Prescrição!$P$8:$P$507,MATCH(16,Prescrição!$U$8:$U$507,0)),"")</f>
        <v/>
      </c>
      <c r="L87" s="103" t="str">
        <f aca="false">IFERROR(INDEX(Prescrição!$S$8:$S$507,MATCH(16,Prescrição!$U$8:$U$507,0)),"")</f>
        <v/>
      </c>
      <c r="M87" s="103" t="str">
        <f aca="false">IFERROR(INDEX(Prescrição!$T$8:$T$507,MATCH(16,Prescrição!$U$8:$U$507,0)),"")</f>
        <v/>
      </c>
    </row>
    <row r="88" customFormat="false" ht="15" hidden="false" customHeight="false" outlineLevel="0" collapsed="false">
      <c r="A88" s="98" t="str">
        <f aca="false">IFERROR(INDEX(Prescrição!$A$8:$A$507,MATCH(17,Prescrição!$U$8:$U$507,0)),"")</f>
        <v/>
      </c>
      <c r="B88" s="69" t="str">
        <f aca="false">IFERROR(INDEX(Prescrição!$C$8:$C$507,MATCH(17,Prescrição!$U$8:$U$507,0)),"")</f>
        <v/>
      </c>
      <c r="C88" s="69" t="str">
        <f aca="false">IFERROR(INDEX(Prescrição!$F$8:$F$507,MATCH(17,Prescrição!$U$8:$U$507,0)),"")</f>
        <v/>
      </c>
      <c r="D88" s="119" t="str">
        <f aca="false">IFERROR(INDEX(Prescrição!$G$8:$G$507,MATCH(17,Prescrição!$U$8:$U$507,0)),"")</f>
        <v/>
      </c>
      <c r="E88" s="99" t="str">
        <f aca="false">IFERROR(INDEX(Prescrição!$J$8:$J$507,MATCH(17,Prescrição!$U$8:$U$507,0)),"")</f>
        <v/>
      </c>
      <c r="F88" s="69" t="str">
        <f aca="false">IFERROR(INDEX(Prescrição!$K$8:$K$507,MATCH(17,Prescrição!$U$8:$U$507,0)),"")</f>
        <v/>
      </c>
      <c r="G88" s="69" t="str">
        <f aca="false">IFERROR(INDEX(Prescrição!$L$8:$L$507,MATCH(17,Prescrição!$U$8:$U$507,0)),"")</f>
        <v/>
      </c>
      <c r="H88" s="99" t="str">
        <f aca="false">IFERROR(INDEX(Prescrição!$M$8:$M$507,MATCH(17,Prescrição!$U$8:$U$507,0)),"")</f>
        <v/>
      </c>
      <c r="I88" s="69" t="str">
        <f aca="false">IFERROR(INDEX(Prescrição!$N$8:$N$507,MATCH(17,Prescrição!$U$8:$U$507,0)),"")</f>
        <v/>
      </c>
      <c r="J88" s="69" t="str">
        <f aca="false">IFERROR(INDEX(Prescrição!$O$8:$O$507,MATCH(17,Prescrição!$U$8:$U$507,0)),"")</f>
        <v/>
      </c>
      <c r="K88" s="69" t="str">
        <f aca="false">IFERROR(INDEX(Prescrição!$P$8:$P$507,MATCH(17,Prescrição!$U$8:$U$507,0)),"")</f>
        <v/>
      </c>
      <c r="L88" s="99" t="str">
        <f aca="false">IFERROR(INDEX(Prescrição!$S$8:$S$507,MATCH(17,Prescrição!$U$8:$U$507,0)),"")</f>
        <v/>
      </c>
      <c r="M88" s="99" t="str">
        <f aca="false">IFERROR(INDEX(Prescrição!$T$8:$T$507,MATCH(17,Prescrição!$U$8:$U$507,0)),"")</f>
        <v/>
      </c>
    </row>
    <row r="89" customFormat="false" ht="15" hidden="false" customHeight="false" outlineLevel="0" collapsed="false">
      <c r="A89" s="102" t="str">
        <f aca="false">IFERROR(INDEX(Prescrição!$A$8:$A$507,MATCH(18,Prescrição!$U$8:$U$507,0)),"")</f>
        <v/>
      </c>
      <c r="B89" s="73" t="str">
        <f aca="false">IFERROR(INDEX(Prescrição!$C$8:$C$507,MATCH(18,Prescrição!$U$8:$U$507,0)),"")</f>
        <v/>
      </c>
      <c r="C89" s="73" t="str">
        <f aca="false">IFERROR(INDEX(Prescrição!$F$8:$F$507,MATCH(18,Prescrição!$U$8:$U$507,0)),"")</f>
        <v/>
      </c>
      <c r="D89" s="118" t="str">
        <f aca="false">IFERROR(INDEX(Prescrição!$G$8:$G$507,MATCH(18,Prescrição!$U$8:$U$507,0)),"")</f>
        <v/>
      </c>
      <c r="E89" s="103" t="str">
        <f aca="false">IFERROR(INDEX(Prescrição!$J$8:$J$507,MATCH(18,Prescrição!$U$8:$U$507,0)),"")</f>
        <v/>
      </c>
      <c r="F89" s="73" t="str">
        <f aca="false">IFERROR(INDEX(Prescrição!$K$8:$K$507,MATCH(18,Prescrição!$U$8:$U$507,0)),"")</f>
        <v/>
      </c>
      <c r="G89" s="73" t="str">
        <f aca="false">IFERROR(INDEX(Prescrição!$L$8:$L$507,MATCH(18,Prescrição!$U$8:$U$507,0)),"")</f>
        <v/>
      </c>
      <c r="H89" s="103" t="str">
        <f aca="false">IFERROR(INDEX(Prescrição!$M$8:$M$507,MATCH(18,Prescrição!$U$8:$U$507,0)),"")</f>
        <v/>
      </c>
      <c r="I89" s="73" t="str">
        <f aca="false">IFERROR(INDEX(Prescrição!$N$8:$N$507,MATCH(18,Prescrição!$U$8:$U$507,0)),"")</f>
        <v/>
      </c>
      <c r="J89" s="73" t="str">
        <f aca="false">IFERROR(INDEX(Prescrição!$O$8:$O$507,MATCH(18,Prescrição!$U$8:$U$507,0)),"")</f>
        <v/>
      </c>
      <c r="K89" s="73" t="str">
        <f aca="false">IFERROR(INDEX(Prescrição!$P$8:$P$507,MATCH(18,Prescrição!$U$8:$U$507,0)),"")</f>
        <v/>
      </c>
      <c r="L89" s="103" t="str">
        <f aca="false">IFERROR(INDEX(Prescrição!$S$8:$S$507,MATCH(18,Prescrição!$U$8:$U$507,0)),"")</f>
        <v/>
      </c>
      <c r="M89" s="103" t="str">
        <f aca="false">IFERROR(INDEX(Prescrição!$T$8:$T$507,MATCH(18,Prescrição!$U$8:$U$507,0)),"")</f>
        <v/>
      </c>
    </row>
    <row r="90" customFormat="false" ht="15" hidden="false" customHeight="false" outlineLevel="0" collapsed="false">
      <c r="A90" s="98" t="str">
        <f aca="false">IFERROR(INDEX(Prescrição!$A$8:$A$507,MATCH(19,Prescrição!$U$8:$U$507,0)),"")</f>
        <v/>
      </c>
      <c r="B90" s="69" t="str">
        <f aca="false">IFERROR(INDEX(Prescrição!$C$8:$C$507,MATCH(19,Prescrição!$U$8:$U$507,0)),"")</f>
        <v/>
      </c>
      <c r="C90" s="69" t="str">
        <f aca="false">IFERROR(INDEX(Prescrição!$F$8:$F$507,MATCH(19,Prescrição!$U$8:$U$507,0)),"")</f>
        <v/>
      </c>
      <c r="D90" s="119" t="str">
        <f aca="false">IFERROR(INDEX(Prescrição!$G$8:$G$507,MATCH(19,Prescrição!$U$8:$U$507,0)),"")</f>
        <v/>
      </c>
      <c r="E90" s="99" t="str">
        <f aca="false">IFERROR(INDEX(Prescrição!$J$8:$J$507,MATCH(19,Prescrição!$U$8:$U$507,0)),"")</f>
        <v/>
      </c>
      <c r="F90" s="69" t="str">
        <f aca="false">IFERROR(INDEX(Prescrição!$K$8:$K$507,MATCH(19,Prescrição!$U$8:$U$507,0)),"")</f>
        <v/>
      </c>
      <c r="G90" s="69" t="str">
        <f aca="false">IFERROR(INDEX(Prescrição!$L$8:$L$507,MATCH(19,Prescrição!$U$8:$U$507,0)),"")</f>
        <v/>
      </c>
      <c r="H90" s="99" t="str">
        <f aca="false">IFERROR(INDEX(Prescrição!$M$8:$M$507,MATCH(19,Prescrição!$U$8:$U$507,0)),"")</f>
        <v/>
      </c>
      <c r="I90" s="69" t="str">
        <f aca="false">IFERROR(INDEX(Prescrição!$N$8:$N$507,MATCH(19,Prescrição!$U$8:$U$507,0)),"")</f>
        <v/>
      </c>
      <c r="J90" s="69" t="str">
        <f aca="false">IFERROR(INDEX(Prescrição!$O$8:$O$507,MATCH(19,Prescrição!$U$8:$U$507,0)),"")</f>
        <v/>
      </c>
      <c r="K90" s="69" t="str">
        <f aca="false">IFERROR(INDEX(Prescrição!$P$8:$P$507,MATCH(19,Prescrição!$U$8:$U$507,0)),"")</f>
        <v/>
      </c>
      <c r="L90" s="99" t="str">
        <f aca="false">IFERROR(INDEX(Prescrição!$S$8:$S$507,MATCH(19,Prescrição!$U$8:$U$507,0)),"")</f>
        <v/>
      </c>
      <c r="M90" s="99" t="str">
        <f aca="false">IFERROR(INDEX(Prescrição!$T$8:$T$507,MATCH(19,Prescrição!$U$8:$U$507,0)),"")</f>
        <v/>
      </c>
    </row>
    <row r="91" customFormat="false" ht="15" hidden="false" customHeight="false" outlineLevel="0" collapsed="false">
      <c r="A91" s="102" t="str">
        <f aca="false">IFERROR(INDEX(Prescrição!$A$8:$A$507,MATCH(20,Prescrição!$U$8:$U$507,0)),"")</f>
        <v/>
      </c>
      <c r="B91" s="73" t="str">
        <f aca="false">IFERROR(INDEX(Prescrição!$C$8:$C$507,MATCH(20,Prescrição!$U$8:$U$507,0)),"")</f>
        <v/>
      </c>
      <c r="C91" s="73" t="str">
        <f aca="false">IFERROR(INDEX(Prescrição!$F$8:$F$507,MATCH(20,Prescrição!$U$8:$U$507,0)),"")</f>
        <v/>
      </c>
      <c r="D91" s="118" t="str">
        <f aca="false">IFERROR(INDEX(Prescrição!$G$8:$G$507,MATCH(20,Prescrição!$U$8:$U$507,0)),"")</f>
        <v/>
      </c>
      <c r="E91" s="103" t="str">
        <f aca="false">IFERROR(INDEX(Prescrição!$J$8:$J$507,MATCH(20,Prescrição!$U$8:$U$507,0)),"")</f>
        <v/>
      </c>
      <c r="F91" s="73" t="str">
        <f aca="false">IFERROR(INDEX(Prescrição!$K$8:$K$507,MATCH(20,Prescrição!$U$8:$U$507,0)),"")</f>
        <v/>
      </c>
      <c r="G91" s="73" t="str">
        <f aca="false">IFERROR(INDEX(Prescrição!$L$8:$L$507,MATCH(20,Prescrição!$U$8:$U$507,0)),"")</f>
        <v/>
      </c>
      <c r="H91" s="103" t="str">
        <f aca="false">IFERROR(INDEX(Prescrição!$M$8:$M$507,MATCH(20,Prescrição!$U$8:$U$507,0)),"")</f>
        <v/>
      </c>
      <c r="I91" s="73" t="str">
        <f aca="false">IFERROR(INDEX(Prescrição!$N$8:$N$507,MATCH(20,Prescrição!$U$8:$U$507,0)),"")</f>
        <v/>
      </c>
      <c r="J91" s="73" t="str">
        <f aca="false">IFERROR(INDEX(Prescrição!$O$8:$O$507,MATCH(20,Prescrição!$U$8:$U$507,0)),"")</f>
        <v/>
      </c>
      <c r="K91" s="73" t="str">
        <f aca="false">IFERROR(INDEX(Prescrição!$P$8:$P$507,MATCH(20,Prescrição!$U$8:$U$507,0)),"")</f>
        <v/>
      </c>
      <c r="L91" s="103" t="str">
        <f aca="false">IFERROR(INDEX(Prescrição!$S$8:$S$507,MATCH(20,Prescrição!$U$8:$U$507,0)),"")</f>
        <v/>
      </c>
      <c r="M91" s="103" t="str">
        <f aca="false">IFERROR(INDEX(Prescrição!$T$8:$T$507,MATCH(20,Prescrição!$U$8:$U$507,0)),"")</f>
        <v/>
      </c>
    </row>
    <row r="92" customFormat="false" ht="15" hidden="false" customHeight="false" outlineLevel="0" collapsed="false">
      <c r="A92" s="98" t="str">
        <f aca="false">IFERROR(INDEX(Prescrição!$A$8:$A$507,MATCH(21,Prescrição!$U$8:$U$507,0)),"")</f>
        <v/>
      </c>
      <c r="B92" s="69" t="str">
        <f aca="false">IFERROR(INDEX(Prescrição!$C$8:$C$507,MATCH(21,Prescrição!$U$8:$U$507,0)),"")</f>
        <v/>
      </c>
      <c r="C92" s="69" t="str">
        <f aca="false">IFERROR(INDEX(Prescrição!$F$8:$F$507,MATCH(21,Prescrição!$U$8:$U$507,0)),"")</f>
        <v/>
      </c>
      <c r="D92" s="119" t="str">
        <f aca="false">IFERROR(INDEX(Prescrição!$G$8:$G$507,MATCH(21,Prescrição!$U$8:$U$507,0)),"")</f>
        <v/>
      </c>
      <c r="E92" s="99" t="str">
        <f aca="false">IFERROR(INDEX(Prescrição!$J$8:$J$507,MATCH(21,Prescrição!$U$8:$U$507,0)),"")</f>
        <v/>
      </c>
      <c r="F92" s="69" t="str">
        <f aca="false">IFERROR(INDEX(Prescrição!$K$8:$K$507,MATCH(21,Prescrição!$U$8:$U$507,0)),"")</f>
        <v/>
      </c>
      <c r="G92" s="69" t="str">
        <f aca="false">IFERROR(INDEX(Prescrição!$L$8:$L$507,MATCH(21,Prescrição!$U$8:$U$507,0)),"")</f>
        <v/>
      </c>
      <c r="H92" s="99" t="str">
        <f aca="false">IFERROR(INDEX(Prescrição!$M$8:$M$507,MATCH(21,Prescrição!$U$8:$U$507,0)),"")</f>
        <v/>
      </c>
      <c r="I92" s="69" t="str">
        <f aca="false">IFERROR(INDEX(Prescrição!$N$8:$N$507,MATCH(21,Prescrição!$U$8:$U$507,0)),"")</f>
        <v/>
      </c>
      <c r="J92" s="69" t="str">
        <f aca="false">IFERROR(INDEX(Prescrição!$O$8:$O$507,MATCH(21,Prescrição!$U$8:$U$507,0)),"")</f>
        <v/>
      </c>
      <c r="K92" s="69" t="str">
        <f aca="false">IFERROR(INDEX(Prescrição!$P$8:$P$507,MATCH(21,Prescrição!$U$8:$U$507,0)),"")</f>
        <v/>
      </c>
      <c r="L92" s="99" t="str">
        <f aca="false">IFERROR(INDEX(Prescrição!$S$8:$S$507,MATCH(21,Prescrição!$U$8:$U$507,0)),"")</f>
        <v/>
      </c>
      <c r="M92" s="99" t="str">
        <f aca="false">IFERROR(INDEX(Prescrição!$T$8:$T$507,MATCH(21,Prescrição!$U$8:$U$507,0)),"")</f>
        <v/>
      </c>
    </row>
    <row r="93" customFormat="false" ht="15" hidden="false" customHeight="false" outlineLevel="0" collapsed="false">
      <c r="A93" s="102" t="str">
        <f aca="false">IFERROR(INDEX(Prescrição!$A$8:$A$507,MATCH(22,Prescrição!$U$8:$U$507,0)),"")</f>
        <v/>
      </c>
      <c r="B93" s="73" t="str">
        <f aca="false">IFERROR(INDEX(Prescrição!$C$8:$C$507,MATCH(22,Prescrição!$U$8:$U$507,0)),"")</f>
        <v/>
      </c>
      <c r="C93" s="73" t="str">
        <f aca="false">IFERROR(INDEX(Prescrição!$F$8:$F$507,MATCH(22,Prescrição!$U$8:$U$507,0)),"")</f>
        <v/>
      </c>
      <c r="D93" s="118" t="str">
        <f aca="false">IFERROR(INDEX(Prescrição!$G$8:$G$507,MATCH(22,Prescrição!$U$8:$U$507,0)),"")</f>
        <v/>
      </c>
      <c r="E93" s="103" t="str">
        <f aca="false">IFERROR(INDEX(Prescrição!$J$8:$J$507,MATCH(22,Prescrição!$U$8:$U$507,0)),"")</f>
        <v/>
      </c>
      <c r="F93" s="73" t="str">
        <f aca="false">IFERROR(INDEX(Prescrição!$K$8:$K$507,MATCH(22,Prescrição!$U$8:$U$507,0)),"")</f>
        <v/>
      </c>
      <c r="G93" s="73" t="str">
        <f aca="false">IFERROR(INDEX(Prescrição!$L$8:$L$507,MATCH(22,Prescrição!$U$8:$U$507,0)),"")</f>
        <v/>
      </c>
      <c r="H93" s="103" t="str">
        <f aca="false">IFERROR(INDEX(Prescrição!$M$8:$M$507,MATCH(22,Prescrição!$U$8:$U$507,0)),"")</f>
        <v/>
      </c>
      <c r="I93" s="73" t="str">
        <f aca="false">IFERROR(INDEX(Prescrição!$N$8:$N$507,MATCH(22,Prescrição!$U$8:$U$507,0)),"")</f>
        <v/>
      </c>
      <c r="J93" s="73" t="str">
        <f aca="false">IFERROR(INDEX(Prescrição!$O$8:$O$507,MATCH(22,Prescrição!$U$8:$U$507,0)),"")</f>
        <v/>
      </c>
      <c r="K93" s="73" t="str">
        <f aca="false">IFERROR(INDEX(Prescrição!$P$8:$P$507,MATCH(22,Prescrição!$U$8:$U$507,0)),"")</f>
        <v/>
      </c>
      <c r="L93" s="103" t="str">
        <f aca="false">IFERROR(INDEX(Prescrição!$S$8:$S$507,MATCH(22,Prescrição!$U$8:$U$507,0)),"")</f>
        <v/>
      </c>
      <c r="M93" s="103" t="str">
        <f aca="false">IFERROR(INDEX(Prescrição!$T$8:$T$507,MATCH(22,Prescrição!$U$8:$U$507,0)),"")</f>
        <v/>
      </c>
    </row>
    <row r="94" customFormat="false" ht="15" hidden="false" customHeight="false" outlineLevel="0" collapsed="false">
      <c r="A94" s="98" t="str">
        <f aca="false">IFERROR(INDEX(Prescrição!$A$8:$A$507,MATCH(23,Prescrição!$U$8:$U$507,0)),"")</f>
        <v/>
      </c>
      <c r="B94" s="69" t="str">
        <f aca="false">IFERROR(INDEX(Prescrição!$C$8:$C$507,MATCH(23,Prescrição!$U$8:$U$507,0)),"")</f>
        <v/>
      </c>
      <c r="C94" s="69" t="str">
        <f aca="false">IFERROR(INDEX(Prescrição!$F$8:$F$507,MATCH(23,Prescrição!$U$8:$U$507,0)),"")</f>
        <v/>
      </c>
      <c r="D94" s="119" t="str">
        <f aca="false">IFERROR(INDEX(Prescrição!$G$8:$G$507,MATCH(23,Prescrição!$U$8:$U$507,0)),"")</f>
        <v/>
      </c>
      <c r="E94" s="99" t="str">
        <f aca="false">IFERROR(INDEX(Prescrição!$J$8:$J$507,MATCH(23,Prescrição!$U$8:$U$507,0)),"")</f>
        <v/>
      </c>
      <c r="F94" s="69" t="str">
        <f aca="false">IFERROR(INDEX(Prescrição!$K$8:$K$507,MATCH(23,Prescrição!$U$8:$U$507,0)),"")</f>
        <v/>
      </c>
      <c r="G94" s="69" t="str">
        <f aca="false">IFERROR(INDEX(Prescrição!$L$8:$L$507,MATCH(23,Prescrição!$U$8:$U$507,0)),"")</f>
        <v/>
      </c>
      <c r="H94" s="99" t="str">
        <f aca="false">IFERROR(INDEX(Prescrição!$M$8:$M$507,MATCH(23,Prescrição!$U$8:$U$507,0)),"")</f>
        <v/>
      </c>
      <c r="I94" s="69" t="str">
        <f aca="false">IFERROR(INDEX(Prescrição!$N$8:$N$507,MATCH(23,Prescrição!$U$8:$U$507,0)),"")</f>
        <v/>
      </c>
      <c r="J94" s="69" t="str">
        <f aca="false">IFERROR(INDEX(Prescrição!$O$8:$O$507,MATCH(23,Prescrição!$U$8:$U$507,0)),"")</f>
        <v/>
      </c>
      <c r="K94" s="69" t="str">
        <f aca="false">IFERROR(INDEX(Prescrição!$P$8:$P$507,MATCH(23,Prescrição!$U$8:$U$507,0)),"")</f>
        <v/>
      </c>
      <c r="L94" s="99" t="str">
        <f aca="false">IFERROR(INDEX(Prescrição!$S$8:$S$507,MATCH(23,Prescrição!$U$8:$U$507,0)),"")</f>
        <v/>
      </c>
      <c r="M94" s="99" t="str">
        <f aca="false">IFERROR(INDEX(Prescrição!$T$8:$T$507,MATCH(23,Prescrição!$U$8:$U$507,0)),"")</f>
        <v/>
      </c>
    </row>
    <row r="95" customFormat="false" ht="15" hidden="false" customHeight="false" outlineLevel="0" collapsed="false">
      <c r="A95" s="102" t="str">
        <f aca="false">IFERROR(INDEX(Prescrição!$A$8:$A$507,MATCH(24,Prescrição!$U$8:$U$507,0)),"")</f>
        <v/>
      </c>
      <c r="B95" s="73" t="str">
        <f aca="false">IFERROR(INDEX(Prescrição!$C$8:$C$507,MATCH(24,Prescrição!$U$8:$U$507,0)),"")</f>
        <v/>
      </c>
      <c r="C95" s="73" t="str">
        <f aca="false">IFERROR(INDEX(Prescrição!$F$8:$F$507,MATCH(24,Prescrição!$U$8:$U$507,0)),"")</f>
        <v/>
      </c>
      <c r="D95" s="118" t="str">
        <f aca="false">IFERROR(INDEX(Prescrição!$G$8:$G$507,MATCH(24,Prescrição!$U$8:$U$507,0)),"")</f>
        <v/>
      </c>
      <c r="E95" s="103" t="str">
        <f aca="false">IFERROR(INDEX(Prescrição!$J$8:$J$507,MATCH(24,Prescrição!$U$8:$U$507,0)),"")</f>
        <v/>
      </c>
      <c r="F95" s="73" t="str">
        <f aca="false">IFERROR(INDEX(Prescrição!$K$8:$K$507,MATCH(24,Prescrição!$U$8:$U$507,0)),"")</f>
        <v/>
      </c>
      <c r="G95" s="73" t="str">
        <f aca="false">IFERROR(INDEX(Prescrição!$L$8:$L$507,MATCH(24,Prescrição!$U$8:$U$507,0)),"")</f>
        <v/>
      </c>
      <c r="H95" s="103" t="str">
        <f aca="false">IFERROR(INDEX(Prescrição!$M$8:$M$507,MATCH(24,Prescrição!$U$8:$U$507,0)),"")</f>
        <v/>
      </c>
      <c r="I95" s="73" t="str">
        <f aca="false">IFERROR(INDEX(Prescrição!$N$8:$N$507,MATCH(24,Prescrição!$U$8:$U$507,0)),"")</f>
        <v/>
      </c>
      <c r="J95" s="73" t="str">
        <f aca="false">IFERROR(INDEX(Prescrição!$O$8:$O$507,MATCH(24,Prescrição!$U$8:$U$507,0)),"")</f>
        <v/>
      </c>
      <c r="K95" s="73" t="str">
        <f aca="false">IFERROR(INDEX(Prescrição!$P$8:$P$507,MATCH(24,Prescrição!$U$8:$U$507,0)),"")</f>
        <v/>
      </c>
      <c r="L95" s="103" t="str">
        <f aca="false">IFERROR(INDEX(Prescrição!$S$8:$S$507,MATCH(24,Prescrição!$U$8:$U$507,0)),"")</f>
        <v/>
      </c>
      <c r="M95" s="103" t="str">
        <f aca="false">IFERROR(INDEX(Prescrição!$T$8:$T$507,MATCH(24,Prescrição!$U$8:$U$507,0)),"")</f>
        <v/>
      </c>
    </row>
    <row r="96" customFormat="false" ht="15" hidden="false" customHeight="false" outlineLevel="0" collapsed="false">
      <c r="A96" s="98" t="str">
        <f aca="false">IFERROR(INDEX(Prescrição!$A$8:$A$507,MATCH(25,Prescrição!$U$8:$U$507,0)),"")</f>
        <v/>
      </c>
      <c r="B96" s="69" t="str">
        <f aca="false">IFERROR(INDEX(Prescrição!$C$8:$C$507,MATCH(25,Prescrição!$U$8:$U$507,0)),"")</f>
        <v/>
      </c>
      <c r="C96" s="69" t="str">
        <f aca="false">IFERROR(INDEX(Prescrição!$F$8:$F$507,MATCH(25,Prescrição!$U$8:$U$507,0)),"")</f>
        <v/>
      </c>
      <c r="D96" s="119" t="str">
        <f aca="false">IFERROR(INDEX(Prescrição!$G$8:$G$507,MATCH(25,Prescrição!$U$8:$U$507,0)),"")</f>
        <v/>
      </c>
      <c r="E96" s="99" t="str">
        <f aca="false">IFERROR(INDEX(Prescrição!$J$8:$J$507,MATCH(25,Prescrição!$U$8:$U$507,0)),"")</f>
        <v/>
      </c>
      <c r="F96" s="69" t="str">
        <f aca="false">IFERROR(INDEX(Prescrição!$K$8:$K$507,MATCH(25,Prescrição!$U$8:$U$507,0)),"")</f>
        <v/>
      </c>
      <c r="G96" s="69" t="str">
        <f aca="false">IFERROR(INDEX(Prescrição!$L$8:$L$507,MATCH(25,Prescrição!$U$8:$U$507,0)),"")</f>
        <v/>
      </c>
      <c r="H96" s="99" t="str">
        <f aca="false">IFERROR(INDEX(Prescrição!$M$8:$M$507,MATCH(25,Prescrição!$U$8:$U$507,0)),"")</f>
        <v/>
      </c>
      <c r="I96" s="69" t="str">
        <f aca="false">IFERROR(INDEX(Prescrição!$N$8:$N$507,MATCH(25,Prescrição!$U$8:$U$507,0)),"")</f>
        <v/>
      </c>
      <c r="J96" s="69" t="str">
        <f aca="false">IFERROR(INDEX(Prescrição!$O$8:$O$507,MATCH(25,Prescrição!$U$8:$U$507,0)),"")</f>
        <v/>
      </c>
      <c r="K96" s="69" t="str">
        <f aca="false">IFERROR(INDEX(Prescrição!$P$8:$P$507,MATCH(25,Prescrição!$U$8:$U$507,0)),"")</f>
        <v/>
      </c>
      <c r="L96" s="99" t="str">
        <f aca="false">IFERROR(INDEX(Prescrição!$S$8:$S$507,MATCH(25,Prescrição!$U$8:$U$507,0)),"")</f>
        <v/>
      </c>
      <c r="M96" s="99" t="str">
        <f aca="false">IFERROR(INDEX(Prescrição!$T$8:$T$507,MATCH(25,Prescrição!$U$8:$U$507,0)),"")</f>
        <v/>
      </c>
    </row>
    <row r="97" customFormat="false" ht="15" hidden="false" customHeight="false" outlineLevel="0" collapsed="false">
      <c r="A97" s="102" t="str">
        <f aca="false">IFERROR(INDEX(Prescrição!$A$8:$A$507,MATCH(26,Prescrição!$U$8:$U$507,0)),"")</f>
        <v/>
      </c>
      <c r="B97" s="73" t="str">
        <f aca="false">IFERROR(INDEX(Prescrição!$C$8:$C$507,MATCH(26,Prescrição!$U$8:$U$507,0)),"")</f>
        <v/>
      </c>
      <c r="C97" s="73" t="str">
        <f aca="false">IFERROR(INDEX(Prescrição!$F$8:$F$507,MATCH(26,Prescrição!$U$8:$U$507,0)),"")</f>
        <v/>
      </c>
      <c r="D97" s="118" t="str">
        <f aca="false">IFERROR(INDEX(Prescrição!$G$8:$G$507,MATCH(26,Prescrição!$U$8:$U$507,0)),"")</f>
        <v/>
      </c>
      <c r="E97" s="103" t="str">
        <f aca="false">IFERROR(INDEX(Prescrição!$J$8:$J$507,MATCH(26,Prescrição!$U$8:$U$507,0)),"")</f>
        <v/>
      </c>
      <c r="F97" s="73" t="str">
        <f aca="false">IFERROR(INDEX(Prescrição!$K$8:$K$507,MATCH(26,Prescrição!$U$8:$U$507,0)),"")</f>
        <v/>
      </c>
      <c r="G97" s="73" t="str">
        <f aca="false">IFERROR(INDEX(Prescrição!$L$8:$L$507,MATCH(26,Prescrição!$U$8:$U$507,0)),"")</f>
        <v/>
      </c>
      <c r="H97" s="103" t="str">
        <f aca="false">IFERROR(INDEX(Prescrição!$M$8:$M$507,MATCH(26,Prescrição!$U$8:$U$507,0)),"")</f>
        <v/>
      </c>
      <c r="I97" s="73" t="str">
        <f aca="false">IFERROR(INDEX(Prescrição!$N$8:$N$507,MATCH(26,Prescrição!$U$8:$U$507,0)),"")</f>
        <v/>
      </c>
      <c r="J97" s="73" t="str">
        <f aca="false">IFERROR(INDEX(Prescrição!$O$8:$O$507,MATCH(26,Prescrição!$U$8:$U$507,0)),"")</f>
        <v/>
      </c>
      <c r="K97" s="73" t="str">
        <f aca="false">IFERROR(INDEX(Prescrição!$P$8:$P$507,MATCH(26,Prescrição!$U$8:$U$507,0)),"")</f>
        <v/>
      </c>
      <c r="L97" s="103" t="str">
        <f aca="false">IFERROR(INDEX(Prescrição!$S$8:$S$507,MATCH(26,Prescrição!$U$8:$U$507,0)),"")</f>
        <v/>
      </c>
      <c r="M97" s="103" t="str">
        <f aca="false">IFERROR(INDEX(Prescrição!$T$8:$T$507,MATCH(26,Prescrição!$U$8:$U$507,0)),"")</f>
        <v/>
      </c>
    </row>
    <row r="98" customFormat="false" ht="15" hidden="false" customHeight="false" outlineLevel="0" collapsed="false">
      <c r="A98" s="98" t="str">
        <f aca="false">IFERROR(INDEX(Prescrição!$A$8:$A$507,MATCH(27,Prescrição!$U$8:$U$507,0)),"")</f>
        <v/>
      </c>
      <c r="B98" s="69" t="str">
        <f aca="false">IFERROR(INDEX(Prescrição!$C$8:$C$507,MATCH(27,Prescrição!$U$8:$U$507,0)),"")</f>
        <v/>
      </c>
      <c r="C98" s="69" t="str">
        <f aca="false">IFERROR(INDEX(Prescrição!$F$8:$F$507,MATCH(27,Prescrição!$U$8:$U$507,0)),"")</f>
        <v/>
      </c>
      <c r="D98" s="119" t="str">
        <f aca="false">IFERROR(INDEX(Prescrição!$G$8:$G$507,MATCH(27,Prescrição!$U$8:$U$507,0)),"")</f>
        <v/>
      </c>
      <c r="E98" s="99" t="str">
        <f aca="false">IFERROR(INDEX(Prescrição!$J$8:$J$507,MATCH(27,Prescrição!$U$8:$U$507,0)),"")</f>
        <v/>
      </c>
      <c r="F98" s="69" t="str">
        <f aca="false">IFERROR(INDEX(Prescrição!$K$8:$K$507,MATCH(27,Prescrição!$U$8:$U$507,0)),"")</f>
        <v/>
      </c>
      <c r="G98" s="69" t="str">
        <f aca="false">IFERROR(INDEX(Prescrição!$L$8:$L$507,MATCH(27,Prescrição!$U$8:$U$507,0)),"")</f>
        <v/>
      </c>
      <c r="H98" s="99" t="str">
        <f aca="false">IFERROR(INDEX(Prescrição!$M$8:$M$507,MATCH(27,Prescrição!$U$8:$U$507,0)),"")</f>
        <v/>
      </c>
      <c r="I98" s="69" t="str">
        <f aca="false">IFERROR(INDEX(Prescrição!$N$8:$N$507,MATCH(27,Prescrição!$U$8:$U$507,0)),"")</f>
        <v/>
      </c>
      <c r="J98" s="69" t="str">
        <f aca="false">IFERROR(INDEX(Prescrição!$O$8:$O$507,MATCH(27,Prescrição!$U$8:$U$507,0)),"")</f>
        <v/>
      </c>
      <c r="K98" s="69" t="str">
        <f aca="false">IFERROR(INDEX(Prescrição!$P$8:$P$507,MATCH(27,Prescrição!$U$8:$U$507,0)),"")</f>
        <v/>
      </c>
      <c r="L98" s="99" t="str">
        <f aca="false">IFERROR(INDEX(Prescrição!$S$8:$S$507,MATCH(27,Prescrição!$U$8:$U$507,0)),"")</f>
        <v/>
      </c>
      <c r="M98" s="99" t="str">
        <f aca="false">IFERROR(INDEX(Prescrição!$T$8:$T$507,MATCH(27,Prescrição!$U$8:$U$507,0)),"")</f>
        <v/>
      </c>
    </row>
    <row r="99" customFormat="false" ht="15" hidden="false" customHeight="false" outlineLevel="0" collapsed="false">
      <c r="A99" s="102" t="str">
        <f aca="false">IFERROR(INDEX(Prescrição!$A$8:$A$507,MATCH(28,Prescrição!$U$8:$U$507,0)),"")</f>
        <v/>
      </c>
      <c r="B99" s="73" t="str">
        <f aca="false">IFERROR(INDEX(Prescrição!$C$8:$C$507,MATCH(28,Prescrição!$U$8:$U$507,0)),"")</f>
        <v/>
      </c>
      <c r="C99" s="73" t="str">
        <f aca="false">IFERROR(INDEX(Prescrição!$F$8:$F$507,MATCH(28,Prescrição!$U$8:$U$507,0)),"")</f>
        <v/>
      </c>
      <c r="D99" s="118" t="str">
        <f aca="false">IFERROR(INDEX(Prescrição!$G$8:$G$507,MATCH(28,Prescrição!$U$8:$U$507,0)),"")</f>
        <v/>
      </c>
      <c r="E99" s="103" t="str">
        <f aca="false">IFERROR(INDEX(Prescrição!$J$8:$J$507,MATCH(28,Prescrição!$U$8:$U$507,0)),"")</f>
        <v/>
      </c>
      <c r="F99" s="73" t="str">
        <f aca="false">IFERROR(INDEX(Prescrição!$K$8:$K$507,MATCH(28,Prescrição!$U$8:$U$507,0)),"")</f>
        <v/>
      </c>
      <c r="G99" s="73" t="str">
        <f aca="false">IFERROR(INDEX(Prescrição!$L$8:$L$507,MATCH(28,Prescrição!$U$8:$U$507,0)),"")</f>
        <v/>
      </c>
      <c r="H99" s="103" t="str">
        <f aca="false">IFERROR(INDEX(Prescrição!$M$8:$M$507,MATCH(28,Prescrição!$U$8:$U$507,0)),"")</f>
        <v/>
      </c>
      <c r="I99" s="73" t="str">
        <f aca="false">IFERROR(INDEX(Prescrição!$N$8:$N$507,MATCH(28,Prescrição!$U$8:$U$507,0)),"")</f>
        <v/>
      </c>
      <c r="J99" s="73" t="str">
        <f aca="false">IFERROR(INDEX(Prescrição!$O$8:$O$507,MATCH(28,Prescrição!$U$8:$U$507,0)),"")</f>
        <v/>
      </c>
      <c r="K99" s="73" t="str">
        <f aca="false">IFERROR(INDEX(Prescrição!$P$8:$P$507,MATCH(28,Prescrição!$U$8:$U$507,0)),"")</f>
        <v/>
      </c>
      <c r="L99" s="103" t="str">
        <f aca="false">IFERROR(INDEX(Prescrição!$S$8:$S$507,MATCH(28,Prescrição!$U$8:$U$507,0)),"")</f>
        <v/>
      </c>
      <c r="M99" s="103" t="str">
        <f aca="false">IFERROR(INDEX(Prescrição!$T$8:$T$507,MATCH(28,Prescrição!$U$8:$U$507,0)),"")</f>
        <v/>
      </c>
    </row>
    <row r="100" customFormat="false" ht="15" hidden="false" customHeight="false" outlineLevel="0" collapsed="false">
      <c r="A100" s="98" t="str">
        <f aca="false">IFERROR(INDEX(Prescrição!$A$8:$A$507,MATCH(29,Prescrição!$U$8:$U$507,0)),"")</f>
        <v/>
      </c>
      <c r="B100" s="69" t="str">
        <f aca="false">IFERROR(INDEX(Prescrição!$C$8:$C$507,MATCH(29,Prescrição!$U$8:$U$507,0)),"")</f>
        <v/>
      </c>
      <c r="C100" s="69" t="str">
        <f aca="false">IFERROR(INDEX(Prescrição!$F$8:$F$507,MATCH(29,Prescrição!$U$8:$U$507,0)),"")</f>
        <v/>
      </c>
      <c r="D100" s="119" t="str">
        <f aca="false">IFERROR(INDEX(Prescrição!$G$8:$G$507,MATCH(29,Prescrição!$U$8:$U$507,0)),"")</f>
        <v/>
      </c>
      <c r="E100" s="99" t="str">
        <f aca="false">IFERROR(INDEX(Prescrição!$J$8:$J$507,MATCH(29,Prescrição!$U$8:$U$507,0)),"")</f>
        <v/>
      </c>
      <c r="F100" s="69" t="str">
        <f aca="false">IFERROR(INDEX(Prescrição!$K$8:$K$507,MATCH(29,Prescrição!$U$8:$U$507,0)),"")</f>
        <v/>
      </c>
      <c r="G100" s="69" t="str">
        <f aca="false">IFERROR(INDEX(Prescrição!$L$8:$L$507,MATCH(29,Prescrição!$U$8:$U$507,0)),"")</f>
        <v/>
      </c>
      <c r="H100" s="99" t="str">
        <f aca="false">IFERROR(INDEX(Prescrição!$M$8:$M$507,MATCH(29,Prescrição!$U$8:$U$507,0)),"")</f>
        <v/>
      </c>
      <c r="I100" s="69" t="str">
        <f aca="false">IFERROR(INDEX(Prescrição!$N$8:$N$507,MATCH(29,Prescrição!$U$8:$U$507,0)),"")</f>
        <v/>
      </c>
      <c r="J100" s="69" t="str">
        <f aca="false">IFERROR(INDEX(Prescrição!$O$8:$O$507,MATCH(29,Prescrição!$U$8:$U$507,0)),"")</f>
        <v/>
      </c>
      <c r="K100" s="69" t="str">
        <f aca="false">IFERROR(INDEX(Prescrição!$P$8:$P$507,MATCH(29,Prescrição!$U$8:$U$507,0)),"")</f>
        <v/>
      </c>
      <c r="L100" s="99" t="str">
        <f aca="false">IFERROR(INDEX(Prescrição!$S$8:$S$507,MATCH(29,Prescrição!$U$8:$U$507,0)),"")</f>
        <v/>
      </c>
      <c r="M100" s="99" t="str">
        <f aca="false">IFERROR(INDEX(Prescrição!$T$8:$T$507,MATCH(29,Prescrição!$U$8:$U$507,0)),"")</f>
        <v/>
      </c>
    </row>
    <row r="101" customFormat="false" ht="15" hidden="false" customHeight="false" outlineLevel="0" collapsed="false">
      <c r="A101" s="102" t="str">
        <f aca="false">IFERROR(INDEX(Prescrição!$A$8:$A$507,MATCH(30,Prescrição!$U$8:$U$507,0)),"")</f>
        <v/>
      </c>
      <c r="B101" s="73" t="str">
        <f aca="false">IFERROR(INDEX(Prescrição!$C$8:$C$507,MATCH(30,Prescrição!$U$8:$U$507,0)),"")</f>
        <v/>
      </c>
      <c r="C101" s="73" t="str">
        <f aca="false">IFERROR(INDEX(Prescrição!$F$8:$F$507,MATCH(30,Prescrição!$U$8:$U$507,0)),"")</f>
        <v/>
      </c>
      <c r="D101" s="118" t="str">
        <f aca="false">IFERROR(INDEX(Prescrição!$G$8:$G$507,MATCH(30,Prescrição!$U$8:$U$507,0)),"")</f>
        <v/>
      </c>
      <c r="E101" s="103" t="str">
        <f aca="false">IFERROR(INDEX(Prescrição!$J$8:$J$507,MATCH(30,Prescrição!$U$8:$U$507,0)),"")</f>
        <v/>
      </c>
      <c r="F101" s="73" t="str">
        <f aca="false">IFERROR(INDEX(Prescrição!$K$8:$K$507,MATCH(30,Prescrição!$U$8:$U$507,0)),"")</f>
        <v/>
      </c>
      <c r="G101" s="73" t="str">
        <f aca="false">IFERROR(INDEX(Prescrição!$L$8:$L$507,MATCH(30,Prescrição!$U$8:$U$507,0)),"")</f>
        <v/>
      </c>
      <c r="H101" s="103" t="str">
        <f aca="false">IFERROR(INDEX(Prescrição!$M$8:$M$507,MATCH(30,Prescrição!$U$8:$U$507,0)),"")</f>
        <v/>
      </c>
      <c r="I101" s="73" t="str">
        <f aca="false">IFERROR(INDEX(Prescrição!$N$8:$N$507,MATCH(30,Prescrição!$U$8:$U$507,0)),"")</f>
        <v/>
      </c>
      <c r="J101" s="73" t="str">
        <f aca="false">IFERROR(INDEX(Prescrição!$O$8:$O$507,MATCH(30,Prescrição!$U$8:$U$507,0)),"")</f>
        <v/>
      </c>
      <c r="K101" s="73" t="str">
        <f aca="false">IFERROR(INDEX(Prescrição!$P$8:$P$507,MATCH(30,Prescrição!$U$8:$U$507,0)),"")</f>
        <v/>
      </c>
      <c r="L101" s="103" t="str">
        <f aca="false">IFERROR(INDEX(Prescrição!$S$8:$S$507,MATCH(30,Prescrição!$U$8:$U$507,0)),"")</f>
        <v/>
      </c>
      <c r="M101" s="103" t="str">
        <f aca="false">IFERROR(INDEX(Prescrição!$T$8:$T$507,MATCH(30,Prescrição!$U$8:$U$507,0)),"")</f>
        <v/>
      </c>
    </row>
    <row r="103" customFormat="false" ht="15" hidden="false" customHeight="true" outlineLevel="0" collapsed="false">
      <c r="A103" s="17" t="s">
        <v>1294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</sheetData>
  <mergeCells count="38">
    <mergeCell ref="A1:P1"/>
    <mergeCell ref="A2:P2"/>
    <mergeCell ref="C4:F4"/>
    <mergeCell ref="C5:F5"/>
    <mergeCell ref="A7:P7"/>
    <mergeCell ref="B8:E8"/>
    <mergeCell ref="H8:K8"/>
    <mergeCell ref="N8:Q8"/>
    <mergeCell ref="B9:E9"/>
    <mergeCell ref="H9:K9"/>
    <mergeCell ref="N9:Q9"/>
    <mergeCell ref="B10:E10"/>
    <mergeCell ref="H10:K10"/>
    <mergeCell ref="N10:Q10"/>
    <mergeCell ref="B11:E11"/>
    <mergeCell ref="H11:K11"/>
    <mergeCell ref="N11:Q11"/>
    <mergeCell ref="A13:P13"/>
    <mergeCell ref="A14:B14"/>
    <mergeCell ref="C14:D14"/>
    <mergeCell ref="E14:F14"/>
    <mergeCell ref="G14:H14"/>
    <mergeCell ref="I14:J14"/>
    <mergeCell ref="K14:L14"/>
    <mergeCell ref="M14:N14"/>
    <mergeCell ref="O14:P14"/>
    <mergeCell ref="A15:B15"/>
    <mergeCell ref="C15:D15"/>
    <mergeCell ref="E15:F15"/>
    <mergeCell ref="G15:H15"/>
    <mergeCell ref="I15:J15"/>
    <mergeCell ref="K15:L15"/>
    <mergeCell ref="M15:N15"/>
    <mergeCell ref="O15:P15"/>
    <mergeCell ref="A16:P16"/>
    <mergeCell ref="A18:P18"/>
    <mergeCell ref="A70:P70"/>
    <mergeCell ref="A103:P103"/>
  </mergeCells>
  <conditionalFormatting sqref="N20:N67">
    <cfRule type="cellIs" priority="2" operator="greaterThan" aboveAverage="0" equalAverage="0" bottom="0" percent="0" rank="0" text="" dxfId="11">
      <formula>2</formula>
    </cfRule>
  </conditionalFormatting>
  <conditionalFormatting sqref="J20:J67">
    <cfRule type="colorScale" priority="3">
      <colorScale>
        <cfvo type="min" val="0"/>
        <cfvo type="max" val="0"/>
        <color rgb="FFFFFFFF"/>
        <color rgb="FF9CC3E5"/>
      </colorScale>
    </cfRule>
  </conditionalFormatting>
  <dataValidations count="1">
    <dataValidation allowBlank="true" errorStyle="stop" operator="between" showDropDown="false" showErrorMessage="false" showInputMessage="false" sqref="C4" type="list">
      <formula1>Cadastro!$B$8:$B$47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15C"/>
    <pageSetUpPr fitToPage="true"/>
  </sheetPr>
  <dimension ref="A1:T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3"/>
    <col collapsed="false" customWidth="true" hidden="false" outlineLevel="0" max="18" min="11" style="0" width="13"/>
    <col collapsed="false" customWidth="true" hidden="false" outlineLevel="0" max="19" min="19" style="0" width="26"/>
    <col collapsed="false" customWidth="true" hidden="false" outlineLevel="0" max="20" min="20" style="0" width="14"/>
    <col collapsed="false" customWidth="true" hidden="false" outlineLevel="0" max="21" min="21" style="0" width="12"/>
  </cols>
  <sheetData>
    <row r="1" customFormat="false" ht="30" hidden="false" customHeight="true" outlineLevel="0" collapsed="false">
      <c r="A1" s="1" t="s">
        <v>1295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1296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false" outlineLevel="0" collapsed="false">
      <c r="A4" s="47" t="s">
        <v>1218</v>
      </c>
      <c r="C4" s="97" t="n">
        <f aca="true">IFERROR(MAX(1,INT((TODAY()-Macrociclo!$C$11)/7)+1),1)</f>
        <v>35</v>
      </c>
      <c r="D4" s="97"/>
    </row>
    <row r="6" customFormat="false" ht="25.5" hidden="false" customHeight="true" outlineLevel="0" collapsed="false">
      <c r="A6" s="127" t="s">
        <v>1297</v>
      </c>
      <c r="B6" s="127"/>
      <c r="C6" s="161" t="s">
        <v>1298</v>
      </c>
      <c r="D6" s="161"/>
      <c r="E6" s="127" t="s">
        <v>1299</v>
      </c>
      <c r="F6" s="127"/>
      <c r="G6" s="127" t="s">
        <v>1300</v>
      </c>
      <c r="H6" s="127"/>
      <c r="I6" s="127"/>
      <c r="J6" s="128" t="s">
        <v>1301</v>
      </c>
      <c r="K6" s="128"/>
      <c r="L6" s="128"/>
      <c r="M6" s="128" t="s">
        <v>1302</v>
      </c>
      <c r="N6" s="128"/>
      <c r="O6" s="128"/>
      <c r="P6" s="161" t="s">
        <v>1303</v>
      </c>
      <c r="Q6" s="161"/>
      <c r="R6" s="136" t="s">
        <v>1304</v>
      </c>
      <c r="S6" s="136"/>
      <c r="T6" s="136"/>
    </row>
    <row r="7" customFormat="false" ht="30" hidden="false" customHeight="true" outlineLevel="0" collapsed="false">
      <c r="A7" s="129" t="n">
        <f aca="false">COUNTIF(Cadastro!$BL$8:$BL$47,"Ativo")</f>
        <v>11</v>
      </c>
      <c r="B7" s="129"/>
      <c r="C7" s="162" t="n">
        <f aca="false">COUNTIF(Cadastro!$BL$8:$BL$47,"Lesionado")+COUNTIF(Cadastro!$BL$8:$BL$47,"Departamento Médico")</f>
        <v>1</v>
      </c>
      <c r="D7" s="162"/>
      <c r="E7" s="129" t="n">
        <f aca="false">COUNT('Carga (PSE)'!$A$8:$A$1007)</f>
        <v>272</v>
      </c>
      <c r="F7" s="129"/>
      <c r="G7" s="130" t="n">
        <f aca="false">SUM('Carga (PSE)'!$G$8:$G$1007)</f>
        <v>153735</v>
      </c>
      <c r="H7" s="130"/>
      <c r="I7" s="130"/>
      <c r="J7" s="131" t="n">
        <f aca="false">SUMIFS('Carga (PSE)'!$G$8:$G$1007,'Carga (PSE)'!$B$8:$B$1007,$C$4)</f>
        <v>21910</v>
      </c>
      <c r="K7" s="131"/>
      <c r="L7" s="131"/>
      <c r="M7" s="131" t="n">
        <f aca="false">IFERROR(J7/MAX(1,COUNTIF(Cadastro!$BL$8:$BL$47,"Ativo")),0)</f>
        <v>1991.81818181818</v>
      </c>
      <c r="N7" s="131"/>
      <c r="O7" s="131"/>
      <c r="P7" s="162" t="n">
        <f aca="false">COUNTIFS('Carga (PSE)'!$B$8:$B$1007,$C$4,'Carga (PSE)'!$J$8:$J$1007,"&gt;1.5")</f>
        <v>0</v>
      </c>
      <c r="Q7" s="162"/>
      <c r="R7" s="156" t="n">
        <f aca="false">IFERROR(AVERAGEIFS(Wellness!$H$8:$H$1007,Wellness!$B$8:$B$1007,$C$4),0)</f>
        <v>11.7777777777778</v>
      </c>
      <c r="S7" s="156"/>
      <c r="T7" s="156"/>
    </row>
    <row r="9" customFormat="false" ht="19.5" hidden="false" customHeight="true" outlineLevel="0" collapsed="false">
      <c r="A9" s="3" t="s">
        <v>1305</v>
      </c>
      <c r="B9" s="3"/>
      <c r="C9" s="3"/>
      <c r="D9" s="3"/>
      <c r="E9" s="3"/>
      <c r="F9" s="3"/>
      <c r="G9" s="3"/>
      <c r="H9" s="3"/>
      <c r="I9" s="3"/>
    </row>
    <row r="10" customFormat="false" ht="31.5" hidden="false" customHeight="true" outlineLevel="0" collapsed="false">
      <c r="A10" s="25" t="s">
        <v>922</v>
      </c>
      <c r="B10" s="25" t="s">
        <v>1280</v>
      </c>
      <c r="C10" s="25" t="s">
        <v>1306</v>
      </c>
      <c r="D10" s="25" t="s">
        <v>1307</v>
      </c>
      <c r="E10" s="25" t="s">
        <v>1254</v>
      </c>
      <c r="F10" s="25" t="s">
        <v>1308</v>
      </c>
      <c r="G10" s="25" t="s">
        <v>1309</v>
      </c>
      <c r="H10" s="25" t="s">
        <v>1310</v>
      </c>
      <c r="I10" s="25" t="s">
        <v>1256</v>
      </c>
    </row>
    <row r="11" customFormat="false" ht="15" hidden="false" customHeight="false" outlineLevel="0" collapsed="false">
      <c r="A11" s="69" t="n">
        <v>1</v>
      </c>
      <c r="B11" s="158" t="n">
        <f aca="false">IF(Macrociclo!$C$11="","",Macrociclo!$C$11+($A11-1)*7)</f>
        <v>46027</v>
      </c>
      <c r="C11" s="44" t="n">
        <f aca="false">SUMIFS('Carga (PSE)'!$G$8:$G$1007,'Carga (PSE)'!$B$8:$B$1007,$A11)</f>
        <v>0</v>
      </c>
      <c r="D11" s="140" t="n">
        <f aca="false">IFERROR($C11/MAX(1,COUNTIF(Cadastro!$BL$8:$BL$47,"Ativo")),0)</f>
        <v>0</v>
      </c>
      <c r="E11" s="33" t="n">
        <f aca="false">COUNTIFS('Carga (PSE)'!$B$8:$B$1007,$A11)</f>
        <v>0</v>
      </c>
      <c r="F11" s="100" t="n">
        <f aca="false">IFERROR(AVERAGEIFS('Carga (PSE)'!$F$8:$F$1007,'Carga (PSE)'!$B$8:$B$1007,$A11),0)</f>
        <v>0</v>
      </c>
      <c r="G11" s="100" t="n">
        <f aca="false">IFERROR(AVERAGEIFS(Wellness!$H$8:$H$1007,Wellness!$B$8:$B$1007,$A11),0)</f>
        <v>0</v>
      </c>
      <c r="H11" s="100" t="n">
        <f aca="false">IFERROR(AVERAGEIFS('Carga (PSE)'!$J$8:$J$1007,'Carga (PSE)'!$B$8:$B$1007,$A11),0)</f>
        <v>0</v>
      </c>
      <c r="I11" s="61" t="n">
        <f aca="false">IFERROR(COUNTIFS(Presença!$B$8:$B$1007,$A11,Presença!$E$8:$E$1007,"Presente")/MAX(1,COUNTIFS(Presença!$B$8:$B$1007,$A11)),0)</f>
        <v>0</v>
      </c>
    </row>
    <row r="12" customFormat="false" ht="15" hidden="false" customHeight="false" outlineLevel="0" collapsed="false">
      <c r="A12" s="73" t="n">
        <v>2</v>
      </c>
      <c r="B12" s="159" t="n">
        <f aca="false">IF(Macrociclo!$C$11="","",Macrociclo!$C$11+($A12-1)*7)</f>
        <v>46034</v>
      </c>
      <c r="C12" s="147" t="n">
        <f aca="false">SUMIFS('Carga (PSE)'!$G$8:$G$1007,'Carga (PSE)'!$B$8:$B$1007,$A12)</f>
        <v>0</v>
      </c>
      <c r="D12" s="146" t="n">
        <f aca="false">IFERROR($C12/MAX(1,COUNTIF(Cadastro!$BL$8:$BL$47,"Ativo")),0)</f>
        <v>0</v>
      </c>
      <c r="E12" s="149" t="n">
        <f aca="false">COUNTIFS('Carga (PSE)'!$B$8:$B$1007,$A12)</f>
        <v>0</v>
      </c>
      <c r="F12" s="104" t="n">
        <f aca="false">IFERROR(AVERAGEIFS('Carga (PSE)'!$F$8:$F$1007,'Carga (PSE)'!$B$8:$B$1007,$A12),0)</f>
        <v>0</v>
      </c>
      <c r="G12" s="104" t="n">
        <f aca="false">IFERROR(AVERAGEIFS(Wellness!$H$8:$H$1007,Wellness!$B$8:$B$1007,$A12),0)</f>
        <v>0</v>
      </c>
      <c r="H12" s="104" t="n">
        <f aca="false">IFERROR(AVERAGEIFS('Carga (PSE)'!$J$8:$J$1007,'Carga (PSE)'!$B$8:$B$1007,$A12),0)</f>
        <v>0</v>
      </c>
      <c r="I12" s="65" t="n">
        <f aca="false">IFERROR(COUNTIFS(Presença!$B$8:$B$1007,$A12,Presença!$E$8:$E$1007,"Presente")/MAX(1,COUNTIFS(Presença!$B$8:$B$1007,$A12)),0)</f>
        <v>0</v>
      </c>
    </row>
    <row r="13" customFormat="false" ht="15" hidden="false" customHeight="false" outlineLevel="0" collapsed="false">
      <c r="A13" s="69" t="n">
        <v>3</v>
      </c>
      <c r="B13" s="158" t="n">
        <f aca="false">IF(Macrociclo!$C$11="","",Macrociclo!$C$11+($A13-1)*7)</f>
        <v>46041</v>
      </c>
      <c r="C13" s="44" t="n">
        <f aca="false">SUMIFS('Carga (PSE)'!$G$8:$G$1007,'Carga (PSE)'!$B$8:$B$1007,$A13)</f>
        <v>0</v>
      </c>
      <c r="D13" s="140" t="n">
        <f aca="false">IFERROR($C13/MAX(1,COUNTIF(Cadastro!$BL$8:$BL$47,"Ativo")),0)</f>
        <v>0</v>
      </c>
      <c r="E13" s="33" t="n">
        <f aca="false">COUNTIFS('Carga (PSE)'!$B$8:$B$1007,$A13)</f>
        <v>0</v>
      </c>
      <c r="F13" s="100" t="n">
        <f aca="false">IFERROR(AVERAGEIFS('Carga (PSE)'!$F$8:$F$1007,'Carga (PSE)'!$B$8:$B$1007,$A13),0)</f>
        <v>0</v>
      </c>
      <c r="G13" s="100" t="n">
        <f aca="false">IFERROR(AVERAGEIFS(Wellness!$H$8:$H$1007,Wellness!$B$8:$B$1007,$A13),0)</f>
        <v>0</v>
      </c>
      <c r="H13" s="100" t="n">
        <f aca="false">IFERROR(AVERAGEIFS('Carga (PSE)'!$J$8:$J$1007,'Carga (PSE)'!$B$8:$B$1007,$A13),0)</f>
        <v>0</v>
      </c>
      <c r="I13" s="61" t="n">
        <f aca="false">IFERROR(COUNTIFS(Presença!$B$8:$B$1007,$A13,Presença!$E$8:$E$1007,"Presente")/MAX(1,COUNTIFS(Presença!$B$8:$B$1007,$A13)),0)</f>
        <v>0</v>
      </c>
    </row>
    <row r="14" customFormat="false" ht="15" hidden="false" customHeight="false" outlineLevel="0" collapsed="false">
      <c r="A14" s="73" t="n">
        <v>4</v>
      </c>
      <c r="B14" s="159" t="n">
        <f aca="false">IF(Macrociclo!$C$11="","",Macrociclo!$C$11+($A14-1)*7)</f>
        <v>46048</v>
      </c>
      <c r="C14" s="147" t="n">
        <f aca="false">SUMIFS('Carga (PSE)'!$G$8:$G$1007,'Carga (PSE)'!$B$8:$B$1007,$A14)</f>
        <v>0</v>
      </c>
      <c r="D14" s="146" t="n">
        <f aca="false">IFERROR($C14/MAX(1,COUNTIF(Cadastro!$BL$8:$BL$47,"Ativo")),0)</f>
        <v>0</v>
      </c>
      <c r="E14" s="149" t="n">
        <f aca="false">COUNTIFS('Carga (PSE)'!$B$8:$B$1007,$A14)</f>
        <v>0</v>
      </c>
      <c r="F14" s="104" t="n">
        <f aca="false">IFERROR(AVERAGEIFS('Carga (PSE)'!$F$8:$F$1007,'Carga (PSE)'!$B$8:$B$1007,$A14),0)</f>
        <v>0</v>
      </c>
      <c r="G14" s="104" t="n">
        <f aca="false">IFERROR(AVERAGEIFS(Wellness!$H$8:$H$1007,Wellness!$B$8:$B$1007,$A14),0)</f>
        <v>0</v>
      </c>
      <c r="H14" s="104" t="n">
        <f aca="false">IFERROR(AVERAGEIFS('Carga (PSE)'!$J$8:$J$1007,'Carga (PSE)'!$B$8:$B$1007,$A14),0)</f>
        <v>0</v>
      </c>
      <c r="I14" s="65" t="n">
        <f aca="false">IFERROR(COUNTIFS(Presença!$B$8:$B$1007,$A14,Presença!$E$8:$E$1007,"Presente")/MAX(1,COUNTIFS(Presença!$B$8:$B$1007,$A14)),0)</f>
        <v>0</v>
      </c>
    </row>
    <row r="15" customFormat="false" ht="15" hidden="false" customHeight="false" outlineLevel="0" collapsed="false">
      <c r="A15" s="69" t="n">
        <v>5</v>
      </c>
      <c r="B15" s="158" t="n">
        <f aca="false">IF(Macrociclo!$C$11="","",Macrociclo!$C$11+($A15-1)*7)</f>
        <v>46055</v>
      </c>
      <c r="C15" s="44" t="n">
        <f aca="false">SUMIFS('Carga (PSE)'!$G$8:$G$1007,'Carga (PSE)'!$B$8:$B$1007,$A15)</f>
        <v>0</v>
      </c>
      <c r="D15" s="140" t="n">
        <f aca="false">IFERROR($C15/MAX(1,COUNTIF(Cadastro!$BL$8:$BL$47,"Ativo")),0)</f>
        <v>0</v>
      </c>
      <c r="E15" s="33" t="n">
        <f aca="false">COUNTIFS('Carga (PSE)'!$B$8:$B$1007,$A15)</f>
        <v>0</v>
      </c>
      <c r="F15" s="100" t="n">
        <f aca="false">IFERROR(AVERAGEIFS('Carga (PSE)'!$F$8:$F$1007,'Carga (PSE)'!$B$8:$B$1007,$A15),0)</f>
        <v>0</v>
      </c>
      <c r="G15" s="100" t="n">
        <f aca="false">IFERROR(AVERAGEIFS(Wellness!$H$8:$H$1007,Wellness!$B$8:$B$1007,$A15),0)</f>
        <v>0</v>
      </c>
      <c r="H15" s="100" t="n">
        <f aca="false">IFERROR(AVERAGEIFS('Carga (PSE)'!$J$8:$J$1007,'Carga (PSE)'!$B$8:$B$1007,$A15),0)</f>
        <v>0</v>
      </c>
      <c r="I15" s="61" t="n">
        <f aca="false">IFERROR(COUNTIFS(Presença!$B$8:$B$1007,$A15,Presença!$E$8:$E$1007,"Presente")/MAX(1,COUNTIFS(Presença!$B$8:$B$1007,$A15)),0)</f>
        <v>0</v>
      </c>
    </row>
    <row r="16" customFormat="false" ht="15" hidden="false" customHeight="false" outlineLevel="0" collapsed="false">
      <c r="A16" s="73" t="n">
        <v>6</v>
      </c>
      <c r="B16" s="159" t="n">
        <f aca="false">IF(Macrociclo!$C$11="","",Macrociclo!$C$11+($A16-1)*7)</f>
        <v>46062</v>
      </c>
      <c r="C16" s="147" t="n">
        <f aca="false">SUMIFS('Carga (PSE)'!$G$8:$G$1007,'Carga (PSE)'!$B$8:$B$1007,$A16)</f>
        <v>0</v>
      </c>
      <c r="D16" s="146" t="n">
        <f aca="false">IFERROR($C16/MAX(1,COUNTIF(Cadastro!$BL$8:$BL$47,"Ativo")),0)</f>
        <v>0</v>
      </c>
      <c r="E16" s="149" t="n">
        <f aca="false">COUNTIFS('Carga (PSE)'!$B$8:$B$1007,$A16)</f>
        <v>0</v>
      </c>
      <c r="F16" s="104" t="n">
        <f aca="false">IFERROR(AVERAGEIFS('Carga (PSE)'!$F$8:$F$1007,'Carga (PSE)'!$B$8:$B$1007,$A16),0)</f>
        <v>0</v>
      </c>
      <c r="G16" s="104" t="n">
        <f aca="false">IFERROR(AVERAGEIFS(Wellness!$H$8:$H$1007,Wellness!$B$8:$B$1007,$A16),0)</f>
        <v>0</v>
      </c>
      <c r="H16" s="104" t="n">
        <f aca="false">IFERROR(AVERAGEIFS('Carga (PSE)'!$J$8:$J$1007,'Carga (PSE)'!$B$8:$B$1007,$A16),0)</f>
        <v>0</v>
      </c>
      <c r="I16" s="65" t="n">
        <f aca="false">IFERROR(COUNTIFS(Presença!$B$8:$B$1007,$A16,Presença!$E$8:$E$1007,"Presente")/MAX(1,COUNTIFS(Presença!$B$8:$B$1007,$A16)),0)</f>
        <v>0</v>
      </c>
    </row>
    <row r="17" customFormat="false" ht="15" hidden="false" customHeight="false" outlineLevel="0" collapsed="false">
      <c r="A17" s="69" t="n">
        <v>7</v>
      </c>
      <c r="B17" s="158" t="n">
        <f aca="false">IF(Macrociclo!$C$11="","",Macrociclo!$C$11+($A17-1)*7)</f>
        <v>46069</v>
      </c>
      <c r="C17" s="44" t="n">
        <f aca="false">SUMIFS('Carga (PSE)'!$G$8:$G$1007,'Carga (PSE)'!$B$8:$B$1007,$A17)</f>
        <v>0</v>
      </c>
      <c r="D17" s="140" t="n">
        <f aca="false">IFERROR($C17/MAX(1,COUNTIF(Cadastro!$BL$8:$BL$47,"Ativo")),0)</f>
        <v>0</v>
      </c>
      <c r="E17" s="33" t="n">
        <f aca="false">COUNTIFS('Carga (PSE)'!$B$8:$B$1007,$A17)</f>
        <v>0</v>
      </c>
      <c r="F17" s="100" t="n">
        <f aca="false">IFERROR(AVERAGEIFS('Carga (PSE)'!$F$8:$F$1007,'Carga (PSE)'!$B$8:$B$1007,$A17),0)</f>
        <v>0</v>
      </c>
      <c r="G17" s="100" t="n">
        <f aca="false">IFERROR(AVERAGEIFS(Wellness!$H$8:$H$1007,Wellness!$B$8:$B$1007,$A17),0)</f>
        <v>0</v>
      </c>
      <c r="H17" s="100" t="n">
        <f aca="false">IFERROR(AVERAGEIFS('Carga (PSE)'!$J$8:$J$1007,'Carga (PSE)'!$B$8:$B$1007,$A17),0)</f>
        <v>0</v>
      </c>
      <c r="I17" s="61" t="n">
        <f aca="false">IFERROR(COUNTIFS(Presença!$B$8:$B$1007,$A17,Presença!$E$8:$E$1007,"Presente")/MAX(1,COUNTIFS(Presença!$B$8:$B$1007,$A17)),0)</f>
        <v>0</v>
      </c>
    </row>
    <row r="18" customFormat="false" ht="15" hidden="false" customHeight="false" outlineLevel="0" collapsed="false">
      <c r="A18" s="73" t="n">
        <v>8</v>
      </c>
      <c r="B18" s="159" t="n">
        <f aca="false">IF(Macrociclo!$C$11="","",Macrociclo!$C$11+($A18-1)*7)</f>
        <v>46076</v>
      </c>
      <c r="C18" s="147" t="n">
        <f aca="false">SUMIFS('Carga (PSE)'!$G$8:$G$1007,'Carga (PSE)'!$B$8:$B$1007,$A18)</f>
        <v>0</v>
      </c>
      <c r="D18" s="146" t="n">
        <f aca="false">IFERROR($C18/MAX(1,COUNTIF(Cadastro!$BL$8:$BL$47,"Ativo")),0)</f>
        <v>0</v>
      </c>
      <c r="E18" s="149" t="n">
        <f aca="false">COUNTIFS('Carga (PSE)'!$B$8:$B$1007,$A18)</f>
        <v>0</v>
      </c>
      <c r="F18" s="104" t="n">
        <f aca="false">IFERROR(AVERAGEIFS('Carga (PSE)'!$F$8:$F$1007,'Carga (PSE)'!$B$8:$B$1007,$A18),0)</f>
        <v>0</v>
      </c>
      <c r="G18" s="104" t="n">
        <f aca="false">IFERROR(AVERAGEIFS(Wellness!$H$8:$H$1007,Wellness!$B$8:$B$1007,$A18),0)</f>
        <v>0</v>
      </c>
      <c r="H18" s="104" t="n">
        <f aca="false">IFERROR(AVERAGEIFS('Carga (PSE)'!$J$8:$J$1007,'Carga (PSE)'!$B$8:$B$1007,$A18),0)</f>
        <v>0</v>
      </c>
      <c r="I18" s="65" t="n">
        <f aca="false">IFERROR(COUNTIFS(Presença!$B$8:$B$1007,$A18,Presença!$E$8:$E$1007,"Presente")/MAX(1,COUNTIFS(Presença!$B$8:$B$1007,$A18)),0)</f>
        <v>0</v>
      </c>
    </row>
    <row r="19" customFormat="false" ht="15" hidden="false" customHeight="false" outlineLevel="0" collapsed="false">
      <c r="A19" s="69" t="n">
        <v>9</v>
      </c>
      <c r="B19" s="158" t="n">
        <f aca="false">IF(Macrociclo!$C$11="","",Macrociclo!$C$11+($A19-1)*7)</f>
        <v>46083</v>
      </c>
      <c r="C19" s="44" t="n">
        <f aca="false">SUMIFS('Carga (PSE)'!$G$8:$G$1007,'Carga (PSE)'!$B$8:$B$1007,$A19)</f>
        <v>0</v>
      </c>
      <c r="D19" s="140" t="n">
        <f aca="false">IFERROR($C19/MAX(1,COUNTIF(Cadastro!$BL$8:$BL$47,"Ativo")),0)</f>
        <v>0</v>
      </c>
      <c r="E19" s="33" t="n">
        <f aca="false">COUNTIFS('Carga (PSE)'!$B$8:$B$1007,$A19)</f>
        <v>0</v>
      </c>
      <c r="F19" s="100" t="n">
        <f aca="false">IFERROR(AVERAGEIFS('Carga (PSE)'!$F$8:$F$1007,'Carga (PSE)'!$B$8:$B$1007,$A19),0)</f>
        <v>0</v>
      </c>
      <c r="G19" s="100" t="n">
        <f aca="false">IFERROR(AVERAGEIFS(Wellness!$H$8:$H$1007,Wellness!$B$8:$B$1007,$A19),0)</f>
        <v>0</v>
      </c>
      <c r="H19" s="100" t="n">
        <f aca="false">IFERROR(AVERAGEIFS('Carga (PSE)'!$J$8:$J$1007,'Carga (PSE)'!$B$8:$B$1007,$A19),0)</f>
        <v>0</v>
      </c>
      <c r="I19" s="61" t="n">
        <f aca="false">IFERROR(COUNTIFS(Presença!$B$8:$B$1007,$A19,Presença!$E$8:$E$1007,"Presente")/MAX(1,COUNTIFS(Presença!$B$8:$B$1007,$A19)),0)</f>
        <v>0</v>
      </c>
    </row>
    <row r="20" customFormat="false" ht="15" hidden="false" customHeight="false" outlineLevel="0" collapsed="false">
      <c r="A20" s="73" t="n">
        <v>10</v>
      </c>
      <c r="B20" s="159" t="n">
        <f aca="false">IF(Macrociclo!$C$11="","",Macrociclo!$C$11+($A20-1)*7)</f>
        <v>46090</v>
      </c>
      <c r="C20" s="147" t="n">
        <f aca="false">SUMIFS('Carga (PSE)'!$G$8:$G$1007,'Carga (PSE)'!$B$8:$B$1007,$A20)</f>
        <v>0</v>
      </c>
      <c r="D20" s="146" t="n">
        <f aca="false">IFERROR($C20/MAX(1,COUNTIF(Cadastro!$BL$8:$BL$47,"Ativo")),0)</f>
        <v>0</v>
      </c>
      <c r="E20" s="149" t="n">
        <f aca="false">COUNTIFS('Carga (PSE)'!$B$8:$B$1007,$A20)</f>
        <v>0</v>
      </c>
      <c r="F20" s="104" t="n">
        <f aca="false">IFERROR(AVERAGEIFS('Carga (PSE)'!$F$8:$F$1007,'Carga (PSE)'!$B$8:$B$1007,$A20),0)</f>
        <v>0</v>
      </c>
      <c r="G20" s="104" t="n">
        <f aca="false">IFERROR(AVERAGEIFS(Wellness!$H$8:$H$1007,Wellness!$B$8:$B$1007,$A20),0)</f>
        <v>0</v>
      </c>
      <c r="H20" s="104" t="n">
        <f aca="false">IFERROR(AVERAGEIFS('Carga (PSE)'!$J$8:$J$1007,'Carga (PSE)'!$B$8:$B$1007,$A20),0)</f>
        <v>0</v>
      </c>
      <c r="I20" s="65" t="n">
        <f aca="false">IFERROR(COUNTIFS(Presença!$B$8:$B$1007,$A20,Presença!$E$8:$E$1007,"Presente")/MAX(1,COUNTIFS(Presença!$B$8:$B$1007,$A20)),0)</f>
        <v>0</v>
      </c>
    </row>
    <row r="21" customFormat="false" ht="15" hidden="false" customHeight="false" outlineLevel="0" collapsed="false">
      <c r="A21" s="69" t="n">
        <v>11</v>
      </c>
      <c r="B21" s="158" t="n">
        <f aca="false">IF(Macrociclo!$C$11="","",Macrociclo!$C$11+($A21-1)*7)</f>
        <v>46097</v>
      </c>
      <c r="C21" s="44" t="n">
        <f aca="false">SUMIFS('Carga (PSE)'!$G$8:$G$1007,'Carga (PSE)'!$B$8:$B$1007,$A21)</f>
        <v>0</v>
      </c>
      <c r="D21" s="140" t="n">
        <f aca="false">IFERROR($C21/MAX(1,COUNTIF(Cadastro!$BL$8:$BL$47,"Ativo")),0)</f>
        <v>0</v>
      </c>
      <c r="E21" s="33" t="n">
        <f aca="false">COUNTIFS('Carga (PSE)'!$B$8:$B$1007,$A21)</f>
        <v>0</v>
      </c>
      <c r="F21" s="100" t="n">
        <f aca="false">IFERROR(AVERAGEIFS('Carga (PSE)'!$F$8:$F$1007,'Carga (PSE)'!$B$8:$B$1007,$A21),0)</f>
        <v>0</v>
      </c>
      <c r="G21" s="100" t="n">
        <f aca="false">IFERROR(AVERAGEIFS(Wellness!$H$8:$H$1007,Wellness!$B$8:$B$1007,$A21),0)</f>
        <v>0</v>
      </c>
      <c r="H21" s="100" t="n">
        <f aca="false">IFERROR(AVERAGEIFS('Carga (PSE)'!$J$8:$J$1007,'Carga (PSE)'!$B$8:$B$1007,$A21),0)</f>
        <v>0</v>
      </c>
      <c r="I21" s="61" t="n">
        <f aca="false">IFERROR(COUNTIFS(Presença!$B$8:$B$1007,$A21,Presença!$E$8:$E$1007,"Presente")/MAX(1,COUNTIFS(Presença!$B$8:$B$1007,$A21)),0)</f>
        <v>0</v>
      </c>
    </row>
    <row r="22" customFormat="false" ht="15" hidden="false" customHeight="false" outlineLevel="0" collapsed="false">
      <c r="A22" s="73" t="n">
        <v>12</v>
      </c>
      <c r="B22" s="159" t="n">
        <f aca="false">IF(Macrociclo!$C$11="","",Macrociclo!$C$11+($A22-1)*7)</f>
        <v>46104</v>
      </c>
      <c r="C22" s="147" t="n">
        <f aca="false">SUMIFS('Carga (PSE)'!$G$8:$G$1007,'Carga (PSE)'!$B$8:$B$1007,$A22)</f>
        <v>0</v>
      </c>
      <c r="D22" s="146" t="n">
        <f aca="false">IFERROR($C22/MAX(1,COUNTIF(Cadastro!$BL$8:$BL$47,"Ativo")),0)</f>
        <v>0</v>
      </c>
      <c r="E22" s="149" t="n">
        <f aca="false">COUNTIFS('Carga (PSE)'!$B$8:$B$1007,$A22)</f>
        <v>0</v>
      </c>
      <c r="F22" s="104" t="n">
        <f aca="false">IFERROR(AVERAGEIFS('Carga (PSE)'!$F$8:$F$1007,'Carga (PSE)'!$B$8:$B$1007,$A22),0)</f>
        <v>0</v>
      </c>
      <c r="G22" s="104" t="n">
        <f aca="false">IFERROR(AVERAGEIFS(Wellness!$H$8:$H$1007,Wellness!$B$8:$B$1007,$A22),0)</f>
        <v>0</v>
      </c>
      <c r="H22" s="104" t="n">
        <f aca="false">IFERROR(AVERAGEIFS('Carga (PSE)'!$J$8:$J$1007,'Carga (PSE)'!$B$8:$B$1007,$A22),0)</f>
        <v>0</v>
      </c>
      <c r="I22" s="65" t="n">
        <f aca="false">IFERROR(COUNTIFS(Presença!$B$8:$B$1007,$A22,Presença!$E$8:$E$1007,"Presente")/MAX(1,COUNTIFS(Presença!$B$8:$B$1007,$A22)),0)</f>
        <v>0</v>
      </c>
    </row>
    <row r="23" customFormat="false" ht="15" hidden="false" customHeight="false" outlineLevel="0" collapsed="false">
      <c r="A23" s="69" t="n">
        <v>13</v>
      </c>
      <c r="B23" s="158" t="n">
        <f aca="false">IF(Macrociclo!$C$11="","",Macrociclo!$C$11+($A23-1)*7)</f>
        <v>46111</v>
      </c>
      <c r="C23" s="44" t="n">
        <f aca="false">SUMIFS('Carga (PSE)'!$G$8:$G$1007,'Carga (PSE)'!$B$8:$B$1007,$A23)</f>
        <v>0</v>
      </c>
      <c r="D23" s="140" t="n">
        <f aca="false">IFERROR($C23/MAX(1,COUNTIF(Cadastro!$BL$8:$BL$47,"Ativo")),0)</f>
        <v>0</v>
      </c>
      <c r="E23" s="33" t="n">
        <f aca="false">COUNTIFS('Carga (PSE)'!$B$8:$B$1007,$A23)</f>
        <v>0</v>
      </c>
      <c r="F23" s="100" t="n">
        <f aca="false">IFERROR(AVERAGEIFS('Carga (PSE)'!$F$8:$F$1007,'Carga (PSE)'!$B$8:$B$1007,$A23),0)</f>
        <v>0</v>
      </c>
      <c r="G23" s="100" t="n">
        <f aca="false">IFERROR(AVERAGEIFS(Wellness!$H$8:$H$1007,Wellness!$B$8:$B$1007,$A23),0)</f>
        <v>0</v>
      </c>
      <c r="H23" s="100" t="n">
        <f aca="false">IFERROR(AVERAGEIFS('Carga (PSE)'!$J$8:$J$1007,'Carga (PSE)'!$B$8:$B$1007,$A23),0)</f>
        <v>0</v>
      </c>
      <c r="I23" s="61" t="n">
        <f aca="false">IFERROR(COUNTIFS(Presença!$B$8:$B$1007,$A23,Presença!$E$8:$E$1007,"Presente")/MAX(1,COUNTIFS(Presença!$B$8:$B$1007,$A23)),0)</f>
        <v>0</v>
      </c>
    </row>
    <row r="24" customFormat="false" ht="15" hidden="false" customHeight="false" outlineLevel="0" collapsed="false">
      <c r="A24" s="73" t="n">
        <v>14</v>
      </c>
      <c r="B24" s="159" t="n">
        <f aca="false">IF(Macrociclo!$C$11="","",Macrociclo!$C$11+($A24-1)*7)</f>
        <v>46118</v>
      </c>
      <c r="C24" s="147" t="n">
        <f aca="false">SUMIFS('Carga (PSE)'!$G$8:$G$1007,'Carga (PSE)'!$B$8:$B$1007,$A24)</f>
        <v>0</v>
      </c>
      <c r="D24" s="146" t="n">
        <f aca="false">IFERROR($C24/MAX(1,COUNTIF(Cadastro!$BL$8:$BL$47,"Ativo")),0)</f>
        <v>0</v>
      </c>
      <c r="E24" s="149" t="n">
        <f aca="false">COUNTIFS('Carga (PSE)'!$B$8:$B$1007,$A24)</f>
        <v>0</v>
      </c>
      <c r="F24" s="104" t="n">
        <f aca="false">IFERROR(AVERAGEIFS('Carga (PSE)'!$F$8:$F$1007,'Carga (PSE)'!$B$8:$B$1007,$A24),0)</f>
        <v>0</v>
      </c>
      <c r="G24" s="104" t="n">
        <f aca="false">IFERROR(AVERAGEIFS(Wellness!$H$8:$H$1007,Wellness!$B$8:$B$1007,$A24),0)</f>
        <v>0</v>
      </c>
      <c r="H24" s="104" t="n">
        <f aca="false">IFERROR(AVERAGEIFS('Carga (PSE)'!$J$8:$J$1007,'Carga (PSE)'!$B$8:$B$1007,$A24),0)</f>
        <v>0</v>
      </c>
      <c r="I24" s="65" t="n">
        <f aca="false">IFERROR(COUNTIFS(Presença!$B$8:$B$1007,$A24,Presença!$E$8:$E$1007,"Presente")/MAX(1,COUNTIFS(Presença!$B$8:$B$1007,$A24)),0)</f>
        <v>0</v>
      </c>
    </row>
    <row r="25" customFormat="false" ht="15" hidden="false" customHeight="false" outlineLevel="0" collapsed="false">
      <c r="A25" s="69" t="n">
        <v>15</v>
      </c>
      <c r="B25" s="158" t="n">
        <f aca="false">IF(Macrociclo!$C$11="","",Macrociclo!$C$11+($A25-1)*7)</f>
        <v>46125</v>
      </c>
      <c r="C25" s="44" t="n">
        <f aca="false">SUMIFS('Carga (PSE)'!$G$8:$G$1007,'Carga (PSE)'!$B$8:$B$1007,$A25)</f>
        <v>0</v>
      </c>
      <c r="D25" s="140" t="n">
        <f aca="false">IFERROR($C25/MAX(1,COUNTIF(Cadastro!$BL$8:$BL$47,"Ativo")),0)</f>
        <v>0</v>
      </c>
      <c r="E25" s="33" t="n">
        <f aca="false">COUNTIFS('Carga (PSE)'!$B$8:$B$1007,$A25)</f>
        <v>0</v>
      </c>
      <c r="F25" s="100" t="n">
        <f aca="false">IFERROR(AVERAGEIFS('Carga (PSE)'!$F$8:$F$1007,'Carga (PSE)'!$B$8:$B$1007,$A25),0)</f>
        <v>0</v>
      </c>
      <c r="G25" s="100" t="n">
        <f aca="false">IFERROR(AVERAGEIFS(Wellness!$H$8:$H$1007,Wellness!$B$8:$B$1007,$A25),0)</f>
        <v>0</v>
      </c>
      <c r="H25" s="100" t="n">
        <f aca="false">IFERROR(AVERAGEIFS('Carga (PSE)'!$J$8:$J$1007,'Carga (PSE)'!$B$8:$B$1007,$A25),0)</f>
        <v>0</v>
      </c>
      <c r="I25" s="61" t="n">
        <f aca="false">IFERROR(COUNTIFS(Presença!$B$8:$B$1007,$A25,Presença!$E$8:$E$1007,"Presente")/MAX(1,COUNTIFS(Presença!$B$8:$B$1007,$A25)),0)</f>
        <v>0</v>
      </c>
    </row>
    <row r="26" customFormat="false" ht="15" hidden="false" customHeight="false" outlineLevel="0" collapsed="false">
      <c r="A26" s="73" t="n">
        <v>16</v>
      </c>
      <c r="B26" s="159" t="n">
        <f aca="false">IF(Macrociclo!$C$11="","",Macrociclo!$C$11+($A26-1)*7)</f>
        <v>46132</v>
      </c>
      <c r="C26" s="147" t="n">
        <f aca="false">SUMIFS('Carga (PSE)'!$G$8:$G$1007,'Carga (PSE)'!$B$8:$B$1007,$A26)</f>
        <v>0</v>
      </c>
      <c r="D26" s="146" t="n">
        <f aca="false">IFERROR($C26/MAX(1,COUNTIF(Cadastro!$BL$8:$BL$47,"Ativo")),0)</f>
        <v>0</v>
      </c>
      <c r="E26" s="149" t="n">
        <f aca="false">COUNTIFS('Carga (PSE)'!$B$8:$B$1007,$A26)</f>
        <v>0</v>
      </c>
      <c r="F26" s="104" t="n">
        <f aca="false">IFERROR(AVERAGEIFS('Carga (PSE)'!$F$8:$F$1007,'Carga (PSE)'!$B$8:$B$1007,$A26),0)</f>
        <v>0</v>
      </c>
      <c r="G26" s="104" t="n">
        <f aca="false">IFERROR(AVERAGEIFS(Wellness!$H$8:$H$1007,Wellness!$B$8:$B$1007,$A26),0)</f>
        <v>0</v>
      </c>
      <c r="H26" s="104" t="n">
        <f aca="false">IFERROR(AVERAGEIFS('Carga (PSE)'!$J$8:$J$1007,'Carga (PSE)'!$B$8:$B$1007,$A26),0)</f>
        <v>0</v>
      </c>
      <c r="I26" s="65" t="n">
        <f aca="false">IFERROR(COUNTIFS(Presença!$B$8:$B$1007,$A26,Presença!$E$8:$E$1007,"Presente")/MAX(1,COUNTIFS(Presença!$B$8:$B$1007,$A26)),0)</f>
        <v>0</v>
      </c>
    </row>
    <row r="27" customFormat="false" ht="15" hidden="false" customHeight="false" outlineLevel="0" collapsed="false">
      <c r="A27" s="69" t="n">
        <v>17</v>
      </c>
      <c r="B27" s="158" t="n">
        <f aca="false">IF(Macrociclo!$C$11="","",Macrociclo!$C$11+($A27-1)*7)</f>
        <v>46139</v>
      </c>
      <c r="C27" s="44" t="n">
        <f aca="false">SUMIFS('Carga (PSE)'!$G$8:$G$1007,'Carga (PSE)'!$B$8:$B$1007,$A27)</f>
        <v>0</v>
      </c>
      <c r="D27" s="140" t="n">
        <f aca="false">IFERROR($C27/MAX(1,COUNTIF(Cadastro!$BL$8:$BL$47,"Ativo")),0)</f>
        <v>0</v>
      </c>
      <c r="E27" s="33" t="n">
        <f aca="false">COUNTIFS('Carga (PSE)'!$B$8:$B$1007,$A27)</f>
        <v>0</v>
      </c>
      <c r="F27" s="100" t="n">
        <f aca="false">IFERROR(AVERAGEIFS('Carga (PSE)'!$F$8:$F$1007,'Carga (PSE)'!$B$8:$B$1007,$A27),0)</f>
        <v>0</v>
      </c>
      <c r="G27" s="100" t="n">
        <f aca="false">IFERROR(AVERAGEIFS(Wellness!$H$8:$H$1007,Wellness!$B$8:$B$1007,$A27),0)</f>
        <v>0</v>
      </c>
      <c r="H27" s="100" t="n">
        <f aca="false">IFERROR(AVERAGEIFS('Carga (PSE)'!$J$8:$J$1007,'Carga (PSE)'!$B$8:$B$1007,$A27),0)</f>
        <v>0</v>
      </c>
      <c r="I27" s="61" t="n">
        <f aca="false">IFERROR(COUNTIFS(Presença!$B$8:$B$1007,$A27,Presença!$E$8:$E$1007,"Presente")/MAX(1,COUNTIFS(Presença!$B$8:$B$1007,$A27)),0)</f>
        <v>0</v>
      </c>
    </row>
    <row r="28" customFormat="false" ht="15" hidden="false" customHeight="false" outlineLevel="0" collapsed="false">
      <c r="A28" s="73" t="n">
        <v>18</v>
      </c>
      <c r="B28" s="159" t="n">
        <f aca="false">IF(Macrociclo!$C$11="","",Macrociclo!$C$11+($A28-1)*7)</f>
        <v>46146</v>
      </c>
      <c r="C28" s="147" t="n">
        <f aca="false">SUMIFS('Carga (PSE)'!$G$8:$G$1007,'Carga (PSE)'!$B$8:$B$1007,$A28)</f>
        <v>0</v>
      </c>
      <c r="D28" s="146" t="n">
        <f aca="false">IFERROR($C28/MAX(1,COUNTIF(Cadastro!$BL$8:$BL$47,"Ativo")),0)</f>
        <v>0</v>
      </c>
      <c r="E28" s="149" t="n">
        <f aca="false">COUNTIFS('Carga (PSE)'!$B$8:$B$1007,$A28)</f>
        <v>0</v>
      </c>
      <c r="F28" s="104" t="n">
        <f aca="false">IFERROR(AVERAGEIFS('Carga (PSE)'!$F$8:$F$1007,'Carga (PSE)'!$B$8:$B$1007,$A28),0)</f>
        <v>0</v>
      </c>
      <c r="G28" s="104" t="n">
        <f aca="false">IFERROR(AVERAGEIFS(Wellness!$H$8:$H$1007,Wellness!$B$8:$B$1007,$A28),0)</f>
        <v>0</v>
      </c>
      <c r="H28" s="104" t="n">
        <f aca="false">IFERROR(AVERAGEIFS('Carga (PSE)'!$J$8:$J$1007,'Carga (PSE)'!$B$8:$B$1007,$A28),0)</f>
        <v>0</v>
      </c>
      <c r="I28" s="65" t="n">
        <f aca="false">IFERROR(COUNTIFS(Presença!$B$8:$B$1007,$A28,Presença!$E$8:$E$1007,"Presente")/MAX(1,COUNTIFS(Presença!$B$8:$B$1007,$A28)),0)</f>
        <v>0</v>
      </c>
    </row>
    <row r="29" customFormat="false" ht="15" hidden="false" customHeight="false" outlineLevel="0" collapsed="false">
      <c r="A29" s="69" t="n">
        <v>19</v>
      </c>
      <c r="B29" s="158" t="n">
        <f aca="false">IF(Macrociclo!$C$11="","",Macrociclo!$C$11+($A29-1)*7)</f>
        <v>46153</v>
      </c>
      <c r="C29" s="44" t="n">
        <f aca="false">SUMIFS('Carga (PSE)'!$G$8:$G$1007,'Carga (PSE)'!$B$8:$B$1007,$A29)</f>
        <v>0</v>
      </c>
      <c r="D29" s="140" t="n">
        <f aca="false">IFERROR($C29/MAX(1,COUNTIF(Cadastro!$BL$8:$BL$47,"Ativo")),0)</f>
        <v>0</v>
      </c>
      <c r="E29" s="33" t="n">
        <f aca="false">COUNTIFS('Carga (PSE)'!$B$8:$B$1007,$A29)</f>
        <v>0</v>
      </c>
      <c r="F29" s="100" t="n">
        <f aca="false">IFERROR(AVERAGEIFS('Carga (PSE)'!$F$8:$F$1007,'Carga (PSE)'!$B$8:$B$1007,$A29),0)</f>
        <v>0</v>
      </c>
      <c r="G29" s="100" t="n">
        <f aca="false">IFERROR(AVERAGEIFS(Wellness!$H$8:$H$1007,Wellness!$B$8:$B$1007,$A29),0)</f>
        <v>0</v>
      </c>
      <c r="H29" s="100" t="n">
        <f aca="false">IFERROR(AVERAGEIFS('Carga (PSE)'!$J$8:$J$1007,'Carga (PSE)'!$B$8:$B$1007,$A29),0)</f>
        <v>0</v>
      </c>
      <c r="I29" s="61" t="n">
        <f aca="false">IFERROR(COUNTIFS(Presença!$B$8:$B$1007,$A29,Presença!$E$8:$E$1007,"Presente")/MAX(1,COUNTIFS(Presença!$B$8:$B$1007,$A29)),0)</f>
        <v>0</v>
      </c>
    </row>
    <row r="30" customFormat="false" ht="15" hidden="false" customHeight="false" outlineLevel="0" collapsed="false">
      <c r="A30" s="73" t="n">
        <v>20</v>
      </c>
      <c r="B30" s="159" t="n">
        <f aca="false">IF(Macrociclo!$C$11="","",Macrociclo!$C$11+($A30-1)*7)</f>
        <v>46160</v>
      </c>
      <c r="C30" s="147" t="n">
        <f aca="false">SUMIFS('Carga (PSE)'!$G$8:$G$1007,'Carga (PSE)'!$B$8:$B$1007,$A30)</f>
        <v>0</v>
      </c>
      <c r="D30" s="146" t="n">
        <f aca="false">IFERROR($C30/MAX(1,COUNTIF(Cadastro!$BL$8:$BL$47,"Ativo")),0)</f>
        <v>0</v>
      </c>
      <c r="E30" s="149" t="n">
        <f aca="false">COUNTIFS('Carga (PSE)'!$B$8:$B$1007,$A30)</f>
        <v>0</v>
      </c>
      <c r="F30" s="104" t="n">
        <f aca="false">IFERROR(AVERAGEIFS('Carga (PSE)'!$F$8:$F$1007,'Carga (PSE)'!$B$8:$B$1007,$A30),0)</f>
        <v>0</v>
      </c>
      <c r="G30" s="104" t="n">
        <f aca="false">IFERROR(AVERAGEIFS(Wellness!$H$8:$H$1007,Wellness!$B$8:$B$1007,$A30),0)</f>
        <v>0</v>
      </c>
      <c r="H30" s="104" t="n">
        <f aca="false">IFERROR(AVERAGEIFS('Carga (PSE)'!$J$8:$J$1007,'Carga (PSE)'!$B$8:$B$1007,$A30),0)</f>
        <v>0</v>
      </c>
      <c r="I30" s="65" t="n">
        <f aca="false">IFERROR(COUNTIFS(Presença!$B$8:$B$1007,$A30,Presença!$E$8:$E$1007,"Presente")/MAX(1,COUNTIFS(Presença!$B$8:$B$1007,$A30)),0)</f>
        <v>0</v>
      </c>
    </row>
    <row r="31" customFormat="false" ht="15" hidden="false" customHeight="false" outlineLevel="0" collapsed="false">
      <c r="A31" s="69" t="n">
        <v>21</v>
      </c>
      <c r="B31" s="158" t="n">
        <f aca="false">IF(Macrociclo!$C$11="","",Macrociclo!$C$11+($A31-1)*7)</f>
        <v>46167</v>
      </c>
      <c r="C31" s="44" t="n">
        <f aca="false">SUMIFS('Carga (PSE)'!$G$8:$G$1007,'Carga (PSE)'!$B$8:$B$1007,$A31)</f>
        <v>0</v>
      </c>
      <c r="D31" s="140" t="n">
        <f aca="false">IFERROR($C31/MAX(1,COUNTIF(Cadastro!$BL$8:$BL$47,"Ativo")),0)</f>
        <v>0</v>
      </c>
      <c r="E31" s="33" t="n">
        <f aca="false">COUNTIFS('Carga (PSE)'!$B$8:$B$1007,$A31)</f>
        <v>0</v>
      </c>
      <c r="F31" s="100" t="n">
        <f aca="false">IFERROR(AVERAGEIFS('Carga (PSE)'!$F$8:$F$1007,'Carga (PSE)'!$B$8:$B$1007,$A31),0)</f>
        <v>0</v>
      </c>
      <c r="G31" s="100" t="n">
        <f aca="false">IFERROR(AVERAGEIFS(Wellness!$H$8:$H$1007,Wellness!$B$8:$B$1007,$A31),0)</f>
        <v>0</v>
      </c>
      <c r="H31" s="100" t="n">
        <f aca="false">IFERROR(AVERAGEIFS('Carga (PSE)'!$J$8:$J$1007,'Carga (PSE)'!$B$8:$B$1007,$A31),0)</f>
        <v>0</v>
      </c>
      <c r="I31" s="61" t="n">
        <f aca="false">IFERROR(COUNTIFS(Presença!$B$8:$B$1007,$A31,Presença!$E$8:$E$1007,"Presente")/MAX(1,COUNTIFS(Presença!$B$8:$B$1007,$A31)),0)</f>
        <v>0</v>
      </c>
    </row>
    <row r="32" customFormat="false" ht="15" hidden="false" customHeight="false" outlineLevel="0" collapsed="false">
      <c r="A32" s="73" t="n">
        <v>22</v>
      </c>
      <c r="B32" s="159" t="n">
        <f aca="false">IF(Macrociclo!$C$11="","",Macrociclo!$C$11+($A32-1)*7)</f>
        <v>46174</v>
      </c>
      <c r="C32" s="147" t="n">
        <f aca="false">SUMIFS('Carga (PSE)'!$G$8:$G$1007,'Carga (PSE)'!$B$8:$B$1007,$A32)</f>
        <v>0</v>
      </c>
      <c r="D32" s="146" t="n">
        <f aca="false">IFERROR($C32/MAX(1,COUNTIF(Cadastro!$BL$8:$BL$47,"Ativo")),0)</f>
        <v>0</v>
      </c>
      <c r="E32" s="149" t="n">
        <f aca="false">COUNTIFS('Carga (PSE)'!$B$8:$B$1007,$A32)</f>
        <v>0</v>
      </c>
      <c r="F32" s="104" t="n">
        <f aca="false">IFERROR(AVERAGEIFS('Carga (PSE)'!$F$8:$F$1007,'Carga (PSE)'!$B$8:$B$1007,$A32),0)</f>
        <v>0</v>
      </c>
      <c r="G32" s="104" t="n">
        <f aca="false">IFERROR(AVERAGEIFS(Wellness!$H$8:$H$1007,Wellness!$B$8:$B$1007,$A32),0)</f>
        <v>0</v>
      </c>
      <c r="H32" s="104" t="n">
        <f aca="false">IFERROR(AVERAGEIFS('Carga (PSE)'!$J$8:$J$1007,'Carga (PSE)'!$B$8:$B$1007,$A32),0)</f>
        <v>0</v>
      </c>
      <c r="I32" s="65" t="n">
        <f aca="false">IFERROR(COUNTIFS(Presença!$B$8:$B$1007,$A32,Presença!$E$8:$E$1007,"Presente")/MAX(1,COUNTIFS(Presença!$B$8:$B$1007,$A32)),0)</f>
        <v>0</v>
      </c>
    </row>
    <row r="33" customFormat="false" ht="15" hidden="false" customHeight="false" outlineLevel="0" collapsed="false">
      <c r="A33" s="69" t="n">
        <v>23</v>
      </c>
      <c r="B33" s="158" t="n">
        <f aca="false">IF(Macrociclo!$C$11="","",Macrociclo!$C$11+($A33-1)*7)</f>
        <v>46181</v>
      </c>
      <c r="C33" s="44" t="n">
        <f aca="false">SUMIFS('Carga (PSE)'!$G$8:$G$1007,'Carga (PSE)'!$B$8:$B$1007,$A33)</f>
        <v>0</v>
      </c>
      <c r="D33" s="140" t="n">
        <f aca="false">IFERROR($C33/MAX(1,COUNTIF(Cadastro!$BL$8:$BL$47,"Ativo")),0)</f>
        <v>0</v>
      </c>
      <c r="E33" s="33" t="n">
        <f aca="false">COUNTIFS('Carga (PSE)'!$B$8:$B$1007,$A33)</f>
        <v>0</v>
      </c>
      <c r="F33" s="100" t="n">
        <f aca="false">IFERROR(AVERAGEIFS('Carga (PSE)'!$F$8:$F$1007,'Carga (PSE)'!$B$8:$B$1007,$A33),0)</f>
        <v>0</v>
      </c>
      <c r="G33" s="100" t="n">
        <f aca="false">IFERROR(AVERAGEIFS(Wellness!$H$8:$H$1007,Wellness!$B$8:$B$1007,$A33),0)</f>
        <v>0</v>
      </c>
      <c r="H33" s="100" t="n">
        <f aca="false">IFERROR(AVERAGEIFS('Carga (PSE)'!$J$8:$J$1007,'Carga (PSE)'!$B$8:$B$1007,$A33),0)</f>
        <v>0</v>
      </c>
      <c r="I33" s="61" t="n">
        <f aca="false">IFERROR(COUNTIFS(Presença!$B$8:$B$1007,$A33,Presença!$E$8:$E$1007,"Presente")/MAX(1,COUNTIFS(Presença!$B$8:$B$1007,$A33)),0)</f>
        <v>0</v>
      </c>
    </row>
    <row r="34" customFormat="false" ht="15" hidden="false" customHeight="false" outlineLevel="0" collapsed="false">
      <c r="A34" s="73" t="n">
        <v>24</v>
      </c>
      <c r="B34" s="159" t="n">
        <f aca="false">IF(Macrociclo!$C$11="","",Macrociclo!$C$11+($A34-1)*7)</f>
        <v>46188</v>
      </c>
      <c r="C34" s="147" t="n">
        <f aca="false">SUMIFS('Carga (PSE)'!$G$8:$G$1007,'Carga (PSE)'!$B$8:$B$1007,$A34)</f>
        <v>0</v>
      </c>
      <c r="D34" s="146" t="n">
        <f aca="false">IFERROR($C34/MAX(1,COUNTIF(Cadastro!$BL$8:$BL$47,"Ativo")),0)</f>
        <v>0</v>
      </c>
      <c r="E34" s="149" t="n">
        <f aca="false">COUNTIFS('Carga (PSE)'!$B$8:$B$1007,$A34)</f>
        <v>0</v>
      </c>
      <c r="F34" s="104" t="n">
        <f aca="false">IFERROR(AVERAGEIFS('Carga (PSE)'!$F$8:$F$1007,'Carga (PSE)'!$B$8:$B$1007,$A34),0)</f>
        <v>0</v>
      </c>
      <c r="G34" s="104" t="n">
        <f aca="false">IFERROR(AVERAGEIFS(Wellness!$H$8:$H$1007,Wellness!$B$8:$B$1007,$A34),0)</f>
        <v>0</v>
      </c>
      <c r="H34" s="104" t="n">
        <f aca="false">IFERROR(AVERAGEIFS('Carga (PSE)'!$J$8:$J$1007,'Carga (PSE)'!$B$8:$B$1007,$A34),0)</f>
        <v>0</v>
      </c>
      <c r="I34" s="65" t="n">
        <f aca="false">IFERROR(COUNTIFS(Presença!$B$8:$B$1007,$A34,Presença!$E$8:$E$1007,"Presente")/MAX(1,COUNTIFS(Presença!$B$8:$B$1007,$A34)),0)</f>
        <v>0</v>
      </c>
    </row>
    <row r="35" customFormat="false" ht="15" hidden="false" customHeight="false" outlineLevel="0" collapsed="false">
      <c r="A35" s="69" t="n">
        <v>25</v>
      </c>
      <c r="B35" s="158" t="n">
        <f aca="false">IF(Macrociclo!$C$11="","",Macrociclo!$C$11+($A35-1)*7)</f>
        <v>46195</v>
      </c>
      <c r="C35" s="44" t="n">
        <f aca="false">SUMIFS('Carga (PSE)'!$G$8:$G$1007,'Carga (PSE)'!$B$8:$B$1007,$A35)</f>
        <v>0</v>
      </c>
      <c r="D35" s="140" t="n">
        <f aca="false">IFERROR($C35/MAX(1,COUNTIF(Cadastro!$BL$8:$BL$47,"Ativo")),0)</f>
        <v>0</v>
      </c>
      <c r="E35" s="33" t="n">
        <f aca="false">COUNTIFS('Carga (PSE)'!$B$8:$B$1007,$A35)</f>
        <v>0</v>
      </c>
      <c r="F35" s="100" t="n">
        <f aca="false">IFERROR(AVERAGEIFS('Carga (PSE)'!$F$8:$F$1007,'Carga (PSE)'!$B$8:$B$1007,$A35),0)</f>
        <v>0</v>
      </c>
      <c r="G35" s="100" t="n">
        <f aca="false">IFERROR(AVERAGEIFS(Wellness!$H$8:$H$1007,Wellness!$B$8:$B$1007,$A35),0)</f>
        <v>0</v>
      </c>
      <c r="H35" s="100" t="n">
        <f aca="false">IFERROR(AVERAGEIFS('Carga (PSE)'!$J$8:$J$1007,'Carga (PSE)'!$B$8:$B$1007,$A35),0)</f>
        <v>0</v>
      </c>
      <c r="I35" s="61" t="n">
        <f aca="false">IFERROR(COUNTIFS(Presença!$B$8:$B$1007,$A35,Presença!$E$8:$E$1007,"Presente")/MAX(1,COUNTIFS(Presença!$B$8:$B$1007,$A35)),0)</f>
        <v>0</v>
      </c>
    </row>
    <row r="36" customFormat="false" ht="15" hidden="false" customHeight="false" outlineLevel="0" collapsed="false">
      <c r="A36" s="73" t="n">
        <v>26</v>
      </c>
      <c r="B36" s="159" t="n">
        <f aca="false">IF(Macrociclo!$C$11="","",Macrociclo!$C$11+($A36-1)*7)</f>
        <v>46202</v>
      </c>
      <c r="C36" s="147" t="n">
        <f aca="false">SUMIFS('Carga (PSE)'!$G$8:$G$1007,'Carga (PSE)'!$B$8:$B$1007,$A36)</f>
        <v>0</v>
      </c>
      <c r="D36" s="146" t="n">
        <f aca="false">IFERROR($C36/MAX(1,COUNTIF(Cadastro!$BL$8:$BL$47,"Ativo")),0)</f>
        <v>0</v>
      </c>
      <c r="E36" s="149" t="n">
        <f aca="false">COUNTIFS('Carga (PSE)'!$B$8:$B$1007,$A36)</f>
        <v>0</v>
      </c>
      <c r="F36" s="104" t="n">
        <f aca="false">IFERROR(AVERAGEIFS('Carga (PSE)'!$F$8:$F$1007,'Carga (PSE)'!$B$8:$B$1007,$A36),0)</f>
        <v>0</v>
      </c>
      <c r="G36" s="104" t="n">
        <f aca="false">IFERROR(AVERAGEIFS(Wellness!$H$8:$H$1007,Wellness!$B$8:$B$1007,$A36),0)</f>
        <v>0</v>
      </c>
      <c r="H36" s="104" t="n">
        <f aca="false">IFERROR(AVERAGEIFS('Carga (PSE)'!$J$8:$J$1007,'Carga (PSE)'!$B$8:$B$1007,$A36),0)</f>
        <v>0</v>
      </c>
      <c r="I36" s="65" t="n">
        <f aca="false">IFERROR(COUNTIFS(Presença!$B$8:$B$1007,$A36,Presença!$E$8:$E$1007,"Presente")/MAX(1,COUNTIFS(Presença!$B$8:$B$1007,$A36)),0)</f>
        <v>0</v>
      </c>
    </row>
    <row r="37" customFormat="false" ht="15" hidden="false" customHeight="false" outlineLevel="0" collapsed="false">
      <c r="A37" s="69" t="n">
        <v>27</v>
      </c>
      <c r="B37" s="158" t="n">
        <f aca="false">IF(Macrociclo!$C$11="","",Macrociclo!$C$11+($A37-1)*7)</f>
        <v>46209</v>
      </c>
      <c r="C37" s="44" t="n">
        <f aca="false">SUMIFS('Carga (PSE)'!$G$8:$G$1007,'Carga (PSE)'!$B$8:$B$1007,$A37)</f>
        <v>0</v>
      </c>
      <c r="D37" s="140" t="n">
        <f aca="false">IFERROR($C37/MAX(1,COUNTIF(Cadastro!$BL$8:$BL$47,"Ativo")),0)</f>
        <v>0</v>
      </c>
      <c r="E37" s="33" t="n">
        <f aca="false">COUNTIFS('Carga (PSE)'!$B$8:$B$1007,$A37)</f>
        <v>0</v>
      </c>
      <c r="F37" s="100" t="n">
        <f aca="false">IFERROR(AVERAGEIFS('Carga (PSE)'!$F$8:$F$1007,'Carga (PSE)'!$B$8:$B$1007,$A37),0)</f>
        <v>0</v>
      </c>
      <c r="G37" s="100" t="n">
        <f aca="false">IFERROR(AVERAGEIFS(Wellness!$H$8:$H$1007,Wellness!$B$8:$B$1007,$A37),0)</f>
        <v>0</v>
      </c>
      <c r="H37" s="100" t="n">
        <f aca="false">IFERROR(AVERAGEIFS('Carga (PSE)'!$J$8:$J$1007,'Carga (PSE)'!$B$8:$B$1007,$A37),0)</f>
        <v>0</v>
      </c>
      <c r="I37" s="61" t="n">
        <f aca="false">IFERROR(COUNTIFS(Presença!$B$8:$B$1007,$A37,Presença!$E$8:$E$1007,"Presente")/MAX(1,COUNTIFS(Presença!$B$8:$B$1007,$A37)),0)</f>
        <v>0</v>
      </c>
    </row>
    <row r="38" customFormat="false" ht="15" hidden="false" customHeight="false" outlineLevel="0" collapsed="false">
      <c r="A38" s="73" t="n">
        <v>28</v>
      </c>
      <c r="B38" s="159" t="n">
        <f aca="false">IF(Macrociclo!$C$11="","",Macrociclo!$C$11+($A38-1)*7)</f>
        <v>46216</v>
      </c>
      <c r="C38" s="147" t="n">
        <f aca="false">SUMIFS('Carga (PSE)'!$G$8:$G$1007,'Carga (PSE)'!$B$8:$B$1007,$A38)</f>
        <v>0</v>
      </c>
      <c r="D38" s="146" t="n">
        <f aca="false">IFERROR($C38/MAX(1,COUNTIF(Cadastro!$BL$8:$BL$47,"Ativo")),0)</f>
        <v>0</v>
      </c>
      <c r="E38" s="149" t="n">
        <f aca="false">COUNTIFS('Carga (PSE)'!$B$8:$B$1007,$A38)</f>
        <v>0</v>
      </c>
      <c r="F38" s="104" t="n">
        <f aca="false">IFERROR(AVERAGEIFS('Carga (PSE)'!$F$8:$F$1007,'Carga (PSE)'!$B$8:$B$1007,$A38),0)</f>
        <v>0</v>
      </c>
      <c r="G38" s="104" t="n">
        <f aca="false">IFERROR(AVERAGEIFS(Wellness!$H$8:$H$1007,Wellness!$B$8:$B$1007,$A38),0)</f>
        <v>0</v>
      </c>
      <c r="H38" s="104" t="n">
        <f aca="false">IFERROR(AVERAGEIFS('Carga (PSE)'!$J$8:$J$1007,'Carga (PSE)'!$B$8:$B$1007,$A38),0)</f>
        <v>0</v>
      </c>
      <c r="I38" s="65" t="n">
        <f aca="false">IFERROR(COUNTIFS(Presença!$B$8:$B$1007,$A38,Presença!$E$8:$E$1007,"Presente")/MAX(1,COUNTIFS(Presença!$B$8:$B$1007,$A38)),0)</f>
        <v>0</v>
      </c>
    </row>
    <row r="39" customFormat="false" ht="15" hidden="false" customHeight="false" outlineLevel="0" collapsed="false">
      <c r="A39" s="69" t="n">
        <v>29</v>
      </c>
      <c r="B39" s="158" t="n">
        <f aca="false">IF(Macrociclo!$C$11="","",Macrociclo!$C$11+($A39-1)*7)</f>
        <v>46223</v>
      </c>
      <c r="C39" s="44" t="n">
        <f aca="false">SUMIFS('Carga (PSE)'!$G$8:$G$1007,'Carga (PSE)'!$B$8:$B$1007,$A39)</f>
        <v>0</v>
      </c>
      <c r="D39" s="140" t="n">
        <f aca="false">IFERROR($C39/MAX(1,COUNTIF(Cadastro!$BL$8:$BL$47,"Ativo")),0)</f>
        <v>0</v>
      </c>
      <c r="E39" s="33" t="n">
        <f aca="false">COUNTIFS('Carga (PSE)'!$B$8:$B$1007,$A39)</f>
        <v>0</v>
      </c>
      <c r="F39" s="100" t="n">
        <f aca="false">IFERROR(AVERAGEIFS('Carga (PSE)'!$F$8:$F$1007,'Carga (PSE)'!$B$8:$B$1007,$A39),0)</f>
        <v>0</v>
      </c>
      <c r="G39" s="100" t="n">
        <f aca="false">IFERROR(AVERAGEIFS(Wellness!$H$8:$H$1007,Wellness!$B$8:$B$1007,$A39),0)</f>
        <v>0</v>
      </c>
      <c r="H39" s="100" t="n">
        <f aca="false">IFERROR(AVERAGEIFS('Carga (PSE)'!$J$8:$J$1007,'Carga (PSE)'!$B$8:$B$1007,$A39),0)</f>
        <v>0</v>
      </c>
      <c r="I39" s="61" t="n">
        <f aca="false">IFERROR(COUNTIFS(Presença!$B$8:$B$1007,$A39,Presença!$E$8:$E$1007,"Presente")/MAX(1,COUNTIFS(Presença!$B$8:$B$1007,$A39)),0)</f>
        <v>0</v>
      </c>
    </row>
    <row r="40" customFormat="false" ht="15" hidden="false" customHeight="false" outlineLevel="0" collapsed="false">
      <c r="A40" s="73" t="n">
        <v>30</v>
      </c>
      <c r="B40" s="159" t="n">
        <f aca="false">IF(Macrociclo!$C$11="","",Macrociclo!$C$11+($A40-1)*7)</f>
        <v>46230</v>
      </c>
      <c r="C40" s="147" t="n">
        <f aca="false">SUMIFS('Carga (PSE)'!$G$8:$G$1007,'Carga (PSE)'!$B$8:$B$1007,$A40)</f>
        <v>0</v>
      </c>
      <c r="D40" s="146" t="n">
        <f aca="false">IFERROR($C40/MAX(1,COUNTIF(Cadastro!$BL$8:$BL$47,"Ativo")),0)</f>
        <v>0</v>
      </c>
      <c r="E40" s="149" t="n">
        <f aca="false">COUNTIFS('Carga (PSE)'!$B$8:$B$1007,$A40)</f>
        <v>0</v>
      </c>
      <c r="F40" s="104" t="n">
        <f aca="false">IFERROR(AVERAGEIFS('Carga (PSE)'!$F$8:$F$1007,'Carga (PSE)'!$B$8:$B$1007,$A40),0)</f>
        <v>0</v>
      </c>
      <c r="G40" s="104" t="n">
        <f aca="false">IFERROR(AVERAGEIFS(Wellness!$H$8:$H$1007,Wellness!$B$8:$B$1007,$A40),0)</f>
        <v>0</v>
      </c>
      <c r="H40" s="104" t="n">
        <f aca="false">IFERROR(AVERAGEIFS('Carga (PSE)'!$J$8:$J$1007,'Carga (PSE)'!$B$8:$B$1007,$A40),0)</f>
        <v>0</v>
      </c>
      <c r="I40" s="65" t="n">
        <f aca="false">IFERROR(COUNTIFS(Presença!$B$8:$B$1007,$A40,Presença!$E$8:$E$1007,"Presente")/MAX(1,COUNTIFS(Presença!$B$8:$B$1007,$A40)),0)</f>
        <v>0</v>
      </c>
    </row>
    <row r="41" customFormat="false" ht="15" hidden="false" customHeight="false" outlineLevel="0" collapsed="false">
      <c r="A41" s="69" t="n">
        <v>31</v>
      </c>
      <c r="B41" s="158" t="n">
        <f aca="false">IF(Macrociclo!$C$11="","",Macrociclo!$C$11+($A41-1)*7)</f>
        <v>46237</v>
      </c>
      <c r="C41" s="44" t="n">
        <f aca="false">SUMIFS('Carga (PSE)'!$G$8:$G$1007,'Carga (PSE)'!$B$8:$B$1007,$A41)</f>
        <v>0</v>
      </c>
      <c r="D41" s="140" t="n">
        <f aca="false">IFERROR($C41/MAX(1,COUNTIF(Cadastro!$BL$8:$BL$47,"Ativo")),0)</f>
        <v>0</v>
      </c>
      <c r="E41" s="33" t="n">
        <f aca="false">COUNTIFS('Carga (PSE)'!$B$8:$B$1007,$A41)</f>
        <v>0</v>
      </c>
      <c r="F41" s="100" t="n">
        <f aca="false">IFERROR(AVERAGEIFS('Carga (PSE)'!$F$8:$F$1007,'Carga (PSE)'!$B$8:$B$1007,$A41),0)</f>
        <v>0</v>
      </c>
      <c r="G41" s="100" t="n">
        <f aca="false">IFERROR(AVERAGEIFS(Wellness!$H$8:$H$1007,Wellness!$B$8:$B$1007,$A41),0)</f>
        <v>0</v>
      </c>
      <c r="H41" s="100" t="n">
        <f aca="false">IFERROR(AVERAGEIFS('Carga (PSE)'!$J$8:$J$1007,'Carga (PSE)'!$B$8:$B$1007,$A41),0)</f>
        <v>0</v>
      </c>
      <c r="I41" s="61" t="n">
        <f aca="false">IFERROR(COUNTIFS(Presença!$B$8:$B$1007,$A41,Presença!$E$8:$E$1007,"Presente")/MAX(1,COUNTIFS(Presença!$B$8:$B$1007,$A41)),0)</f>
        <v>0</v>
      </c>
    </row>
    <row r="42" customFormat="false" ht="15" hidden="false" customHeight="false" outlineLevel="0" collapsed="false">
      <c r="A42" s="73" t="n">
        <v>32</v>
      </c>
      <c r="B42" s="159" t="n">
        <f aca="false">IF(Macrociclo!$C$11="","",Macrociclo!$C$11+($A42-1)*7)</f>
        <v>46244</v>
      </c>
      <c r="C42" s="147" t="n">
        <f aca="false">SUMIFS('Carga (PSE)'!$G$8:$G$1007,'Carga (PSE)'!$B$8:$B$1007,$A42)</f>
        <v>44915</v>
      </c>
      <c r="D42" s="146" t="n">
        <f aca="false">IFERROR($C42/MAX(1,COUNTIF(Cadastro!$BL$8:$BL$47,"Ativo")),0)</f>
        <v>4083.18181818182</v>
      </c>
      <c r="E42" s="149" t="n">
        <f aca="false">COUNTIFS('Carga (PSE)'!$B$8:$B$1007,$A42)</f>
        <v>78</v>
      </c>
      <c r="F42" s="104" t="n">
        <f aca="false">IFERROR(AVERAGEIFS('Carga (PSE)'!$F$8:$F$1007,'Carga (PSE)'!$B$8:$B$1007,$A42),0)</f>
        <v>7.03846153846154</v>
      </c>
      <c r="G42" s="104" t="n">
        <f aca="false">IFERROR(AVERAGEIFS(Wellness!$H$8:$H$1007,Wellness!$B$8:$B$1007,$A42),0)</f>
        <v>11.95</v>
      </c>
      <c r="H42" s="104" t="n">
        <f aca="false">IFERROR(AVERAGEIFS('Carga (PSE)'!$J$8:$J$1007,'Carga (PSE)'!$B$8:$B$1007,$A42),0)</f>
        <v>4</v>
      </c>
      <c r="I42" s="65" t="n">
        <f aca="false">IFERROR(COUNTIFS(Presença!$B$8:$B$1007,$A42,Presença!$E$8:$E$1007,"Presente")/MAX(1,COUNTIFS(Presença!$B$8:$B$1007,$A42)),0)</f>
        <v>0.928571428571429</v>
      </c>
    </row>
    <row r="43" customFormat="false" ht="15" hidden="false" customHeight="false" outlineLevel="0" collapsed="false">
      <c r="A43" s="69" t="n">
        <v>33</v>
      </c>
      <c r="B43" s="158" t="n">
        <f aca="false">IF(Macrociclo!$C$11="","",Macrociclo!$C$11+($A43-1)*7)</f>
        <v>46251</v>
      </c>
      <c r="C43" s="44" t="n">
        <f aca="false">SUMIFS('Carga (PSE)'!$G$8:$G$1007,'Carga (PSE)'!$B$8:$B$1007,$A43)</f>
        <v>44825</v>
      </c>
      <c r="D43" s="140" t="n">
        <f aca="false">IFERROR($C43/MAX(1,COUNTIF(Cadastro!$BL$8:$BL$47,"Ativo")),0)</f>
        <v>4075</v>
      </c>
      <c r="E43" s="33" t="n">
        <f aca="false">COUNTIFS('Carga (PSE)'!$B$8:$B$1007,$A43)</f>
        <v>79</v>
      </c>
      <c r="F43" s="100" t="n">
        <f aca="false">IFERROR(AVERAGEIFS('Carga (PSE)'!$F$8:$F$1007,'Carga (PSE)'!$B$8:$B$1007,$A43),0)</f>
        <v>7.0379746835443</v>
      </c>
      <c r="G43" s="100" t="n">
        <f aca="false">IFERROR(AVERAGEIFS(Wellness!$H$8:$H$1007,Wellness!$B$8:$B$1007,$A43),0)</f>
        <v>12.1333333333333</v>
      </c>
      <c r="H43" s="100" t="n">
        <f aca="false">IFERROR(AVERAGEIFS('Carga (PSE)'!$J$8:$J$1007,'Carga (PSE)'!$B$8:$B$1007,$A43),0)</f>
        <v>2.62602406122498</v>
      </c>
      <c r="I43" s="61" t="n">
        <f aca="false">IFERROR(COUNTIFS(Presença!$B$8:$B$1007,$A43,Presença!$E$8:$E$1007,"Presente")/MAX(1,COUNTIFS(Presença!$B$8:$B$1007,$A43)),0)</f>
        <v>0.940476190476191</v>
      </c>
    </row>
    <row r="44" customFormat="false" ht="15" hidden="false" customHeight="false" outlineLevel="0" collapsed="false">
      <c r="A44" s="73" t="n">
        <v>34</v>
      </c>
      <c r="B44" s="159" t="n">
        <f aca="false">IF(Macrociclo!$C$11="","",Macrociclo!$C$11+($A44-1)*7)</f>
        <v>46258</v>
      </c>
      <c r="C44" s="147" t="n">
        <f aca="false">SUMIFS('Carga (PSE)'!$G$8:$G$1007,'Carga (PSE)'!$B$8:$B$1007,$A44)</f>
        <v>42085</v>
      </c>
      <c r="D44" s="146" t="n">
        <f aca="false">IFERROR($C44/MAX(1,COUNTIF(Cadastro!$BL$8:$BL$47,"Ativo")),0)</f>
        <v>3825.90909090909</v>
      </c>
      <c r="E44" s="149" t="n">
        <f aca="false">COUNTIFS('Carga (PSE)'!$B$8:$B$1007,$A44)</f>
        <v>74</v>
      </c>
      <c r="F44" s="104" t="n">
        <f aca="false">IFERROR(AVERAGEIFS('Carga (PSE)'!$F$8:$F$1007,'Carga (PSE)'!$B$8:$B$1007,$A44),0)</f>
        <v>7.01351351351351</v>
      </c>
      <c r="G44" s="104" t="n">
        <f aca="false">IFERROR(AVERAGEIFS(Wellness!$H$8:$H$1007,Wellness!$B$8:$B$1007,$A44),0)</f>
        <v>11.8833333333333</v>
      </c>
      <c r="H44" s="104" t="n">
        <f aca="false">IFERROR(AVERAGEIFS('Carga (PSE)'!$J$8:$J$1007,'Carga (PSE)'!$B$8:$B$1007,$A44),0)</f>
        <v>1.58832652557741</v>
      </c>
      <c r="I44" s="65" t="n">
        <f aca="false">IFERROR(COUNTIFS(Presença!$B$8:$B$1007,$A44,Presença!$E$8:$E$1007,"Presente")/MAX(1,COUNTIFS(Presença!$B$8:$B$1007,$A44)),0)</f>
        <v>0.880952380952381</v>
      </c>
    </row>
    <row r="45" customFormat="false" ht="19.5" hidden="false" customHeight="true" outlineLevel="0" collapsed="false">
      <c r="A45" s="69" t="n">
        <v>35</v>
      </c>
      <c r="B45" s="158" t="n">
        <f aca="false">IF(Macrociclo!$C$11="","",Macrociclo!$C$11+($A45-1)*7)</f>
        <v>46265</v>
      </c>
      <c r="C45" s="44" t="n">
        <f aca="false">SUMIFS('Carga (PSE)'!$G$8:$G$1007,'Carga (PSE)'!$B$8:$B$1007,$A45)</f>
        <v>21910</v>
      </c>
      <c r="D45" s="140" t="n">
        <f aca="false">IFERROR($C45/MAX(1,COUNTIF(Cadastro!$BL$8:$BL$47,"Ativo")),0)</f>
        <v>1991.81818181818</v>
      </c>
      <c r="E45" s="33" t="n">
        <f aca="false">COUNTIFS('Carga (PSE)'!$B$8:$B$1007,$A45)</f>
        <v>41</v>
      </c>
      <c r="F45" s="100" t="n">
        <f aca="false">IFERROR(AVERAGEIFS('Carga (PSE)'!$F$8:$F$1007,'Carga (PSE)'!$B$8:$B$1007,$A45),0)</f>
        <v>6.85365853658537</v>
      </c>
      <c r="G45" s="100" t="n">
        <f aca="false">IFERROR(AVERAGEIFS(Wellness!$H$8:$H$1007,Wellness!$B$8:$B$1007,$A45),0)</f>
        <v>11.7777777777778</v>
      </c>
      <c r="H45" s="100" t="n">
        <f aca="false">IFERROR(AVERAGEIFS('Carga (PSE)'!$J$8:$J$1007,'Carga (PSE)'!$B$8:$B$1007,$A45),0)</f>
        <v>1.22346041289585</v>
      </c>
      <c r="I45" s="61" t="n">
        <f aca="false">IFERROR(COUNTIFS(Presença!$B$8:$B$1007,$A45,Presença!$E$8:$E$1007,"Presente")/MAX(1,COUNTIFS(Presença!$B$8:$B$1007,$A45)),0)</f>
        <v>0.854166666666667</v>
      </c>
      <c r="K45" s="3" t="s">
        <v>1311</v>
      </c>
      <c r="L45" s="3"/>
      <c r="M45" s="3"/>
    </row>
    <row r="46" customFormat="false" ht="31.5" hidden="false" customHeight="true" outlineLevel="0" collapsed="false">
      <c r="A46" s="73" t="n">
        <v>36</v>
      </c>
      <c r="B46" s="159" t="n">
        <f aca="false">IF(Macrociclo!$C$11="","",Macrociclo!$C$11+($A46-1)*7)</f>
        <v>46272</v>
      </c>
      <c r="C46" s="147" t="n">
        <f aca="false">SUMIFS('Carga (PSE)'!$G$8:$G$1007,'Carga (PSE)'!$B$8:$B$1007,$A46)</f>
        <v>0</v>
      </c>
      <c r="D46" s="146" t="n">
        <f aca="false">IFERROR($C46/MAX(1,COUNTIF(Cadastro!$BL$8:$BL$47,"Ativo")),0)</f>
        <v>0</v>
      </c>
      <c r="E46" s="149" t="n">
        <f aca="false">COUNTIFS('Carga (PSE)'!$B$8:$B$1007,$A46)</f>
        <v>0</v>
      </c>
      <c r="F46" s="104" t="n">
        <f aca="false">IFERROR(AVERAGEIFS('Carga (PSE)'!$F$8:$F$1007,'Carga (PSE)'!$B$8:$B$1007,$A46),0)</f>
        <v>0</v>
      </c>
      <c r="G46" s="104" t="n">
        <f aca="false">IFERROR(AVERAGEIFS(Wellness!$H$8:$H$1007,Wellness!$B$8:$B$1007,$A46),0)</f>
        <v>0</v>
      </c>
      <c r="H46" s="104" t="n">
        <f aca="false">IFERROR(AVERAGEIFS('Carga (PSE)'!$J$8:$J$1007,'Carga (PSE)'!$B$8:$B$1007,$A46),0)</f>
        <v>0</v>
      </c>
      <c r="I46" s="65" t="n">
        <f aca="false">IFERROR(COUNTIFS(Presença!$B$8:$B$1007,$A46,Presença!$E$8:$E$1007,"Presente")/MAX(1,COUNTIFS(Presença!$B$8:$B$1007,$A46)),0)</f>
        <v>0</v>
      </c>
      <c r="K46" s="25" t="s">
        <v>1046</v>
      </c>
      <c r="L46" s="25" t="s">
        <v>1210</v>
      </c>
      <c r="M46" s="25" t="s">
        <v>1312</v>
      </c>
    </row>
    <row r="47" customFormat="false" ht="15" hidden="false" customHeight="false" outlineLevel="0" collapsed="false">
      <c r="A47" s="69" t="n">
        <v>37</v>
      </c>
      <c r="B47" s="158" t="n">
        <f aca="false">IF(Macrociclo!$C$11="","",Macrociclo!$C$11+($A47-1)*7)</f>
        <v>46279</v>
      </c>
      <c r="C47" s="44" t="n">
        <f aca="false">SUMIFS('Carga (PSE)'!$G$8:$G$1007,'Carga (PSE)'!$B$8:$B$1007,$A47)</f>
        <v>0</v>
      </c>
      <c r="D47" s="140" t="n">
        <f aca="false">IFERROR($C47/MAX(1,COUNTIF(Cadastro!$BL$8:$BL$47,"Ativo")),0)</f>
        <v>0</v>
      </c>
      <c r="E47" s="33" t="n">
        <f aca="false">COUNTIFS('Carga (PSE)'!$B$8:$B$1007,$A47)</f>
        <v>0</v>
      </c>
      <c r="F47" s="100" t="n">
        <f aca="false">IFERROR(AVERAGEIFS('Carga (PSE)'!$F$8:$F$1007,'Carga (PSE)'!$B$8:$B$1007,$A47),0)</f>
        <v>0</v>
      </c>
      <c r="G47" s="100" t="n">
        <f aca="false">IFERROR(AVERAGEIFS(Wellness!$H$8:$H$1007,Wellness!$B$8:$B$1007,$A47),0)</f>
        <v>0</v>
      </c>
      <c r="H47" s="100" t="n">
        <f aca="false">IFERROR(AVERAGEIFS('Carga (PSE)'!$J$8:$J$1007,'Carga (PSE)'!$B$8:$B$1007,$A47),0)</f>
        <v>0</v>
      </c>
      <c r="I47" s="61" t="n">
        <f aca="false">IFERROR(COUNTIFS(Presença!$B$8:$B$1007,$A47,Presença!$E$8:$E$1007,"Presente")/MAX(1,COUNTIFS(Presença!$B$8:$B$1007,$A47)),0)</f>
        <v>0</v>
      </c>
      <c r="K47" s="60" t="s">
        <v>1056</v>
      </c>
      <c r="L47" s="140" t="n">
        <f aca="false">SUMIFS('Carga (PSE)'!$G$8:$G$1007,'Carga (PSE)'!$D$8:$D$1007,$K47)</f>
        <v>44565</v>
      </c>
      <c r="M47" s="61" t="n">
        <f aca="false">IFERROR($L47/SUM($L$47:$L$56),0)</f>
        <v>0.289881939701434</v>
      </c>
    </row>
    <row r="48" customFormat="false" ht="15" hidden="false" customHeight="false" outlineLevel="0" collapsed="false">
      <c r="A48" s="73" t="n">
        <v>38</v>
      </c>
      <c r="B48" s="159" t="n">
        <f aca="false">IF(Macrociclo!$C$11="","",Macrociclo!$C$11+($A48-1)*7)</f>
        <v>46286</v>
      </c>
      <c r="C48" s="147" t="n">
        <f aca="false">SUMIFS('Carga (PSE)'!$G$8:$G$1007,'Carga (PSE)'!$B$8:$B$1007,$A48)</f>
        <v>0</v>
      </c>
      <c r="D48" s="146" t="n">
        <f aca="false">IFERROR($C48/MAX(1,COUNTIF(Cadastro!$BL$8:$BL$47,"Ativo")),0)</f>
        <v>0</v>
      </c>
      <c r="E48" s="149" t="n">
        <f aca="false">COUNTIFS('Carga (PSE)'!$B$8:$B$1007,$A48)</f>
        <v>0</v>
      </c>
      <c r="F48" s="104" t="n">
        <f aca="false">IFERROR(AVERAGEIFS('Carga (PSE)'!$F$8:$F$1007,'Carga (PSE)'!$B$8:$B$1007,$A48),0)</f>
        <v>0</v>
      </c>
      <c r="G48" s="104" t="n">
        <f aca="false">IFERROR(AVERAGEIFS(Wellness!$H$8:$H$1007,Wellness!$B$8:$B$1007,$A48),0)</f>
        <v>0</v>
      </c>
      <c r="H48" s="104" t="n">
        <f aca="false">IFERROR(AVERAGEIFS('Carga (PSE)'!$J$8:$J$1007,'Carga (PSE)'!$B$8:$B$1007,$A48),0)</f>
        <v>0</v>
      </c>
      <c r="I48" s="65" t="n">
        <f aca="false">IFERROR(COUNTIFS(Presença!$B$8:$B$1007,$A48,Presença!$E$8:$E$1007,"Presente")/MAX(1,COUNTIFS(Presença!$B$8:$B$1007,$A48)),0)</f>
        <v>0</v>
      </c>
      <c r="K48" s="62" t="s">
        <v>1052</v>
      </c>
      <c r="L48" s="146" t="n">
        <f aca="false">SUMIFS('Carga (PSE)'!$G$8:$G$1007,'Carga (PSE)'!$D$8:$D$1007,$K48)</f>
        <v>21160</v>
      </c>
      <c r="M48" s="65" t="n">
        <f aca="false">IFERROR($L48/SUM($L$47:$L$56),0)</f>
        <v>0.13763944449865</v>
      </c>
    </row>
    <row r="49" customFormat="false" ht="15" hidden="false" customHeight="false" outlineLevel="0" collapsed="false">
      <c r="A49" s="69" t="n">
        <v>39</v>
      </c>
      <c r="B49" s="158" t="n">
        <f aca="false">IF(Macrociclo!$C$11="","",Macrociclo!$C$11+($A49-1)*7)</f>
        <v>46293</v>
      </c>
      <c r="C49" s="44" t="n">
        <f aca="false">SUMIFS('Carga (PSE)'!$G$8:$G$1007,'Carga (PSE)'!$B$8:$B$1007,$A49)</f>
        <v>0</v>
      </c>
      <c r="D49" s="140" t="n">
        <f aca="false">IFERROR($C49/MAX(1,COUNTIF(Cadastro!$BL$8:$BL$47,"Ativo")),0)</f>
        <v>0</v>
      </c>
      <c r="E49" s="33" t="n">
        <f aca="false">COUNTIFS('Carga (PSE)'!$B$8:$B$1007,$A49)</f>
        <v>0</v>
      </c>
      <c r="F49" s="100" t="n">
        <f aca="false">IFERROR(AVERAGEIFS('Carga (PSE)'!$F$8:$F$1007,'Carga (PSE)'!$B$8:$B$1007,$A49),0)</f>
        <v>0</v>
      </c>
      <c r="G49" s="100" t="n">
        <f aca="false">IFERROR(AVERAGEIFS(Wellness!$H$8:$H$1007,Wellness!$B$8:$B$1007,$A49),0)</f>
        <v>0</v>
      </c>
      <c r="H49" s="100" t="n">
        <f aca="false">IFERROR(AVERAGEIFS('Carga (PSE)'!$J$8:$J$1007,'Carga (PSE)'!$B$8:$B$1007,$A49),0)</f>
        <v>0</v>
      </c>
      <c r="I49" s="61" t="n">
        <f aca="false">IFERROR(COUNTIFS(Presença!$B$8:$B$1007,$A49,Presença!$E$8:$E$1007,"Presente")/MAX(1,COUNTIFS(Presença!$B$8:$B$1007,$A49)),0)</f>
        <v>0</v>
      </c>
      <c r="K49" s="60" t="s">
        <v>1061</v>
      </c>
      <c r="L49" s="140" t="n">
        <f aca="false">SUMIFS('Carga (PSE)'!$G$8:$G$1007,'Carga (PSE)'!$D$8:$D$1007,$K49)</f>
        <v>17055</v>
      </c>
      <c r="M49" s="61" t="n">
        <f aca="false">IFERROR($L49/SUM($L$47:$L$56),0)</f>
        <v>0.110937652453898</v>
      </c>
    </row>
    <row r="50" customFormat="false" ht="15" hidden="false" customHeight="false" outlineLevel="0" collapsed="false">
      <c r="A50" s="73" t="n">
        <v>40</v>
      </c>
      <c r="B50" s="159" t="n">
        <f aca="false">IF(Macrociclo!$C$11="","",Macrociclo!$C$11+($A50-1)*7)</f>
        <v>46300</v>
      </c>
      <c r="C50" s="147" t="n">
        <f aca="false">SUMIFS('Carga (PSE)'!$G$8:$G$1007,'Carga (PSE)'!$B$8:$B$1007,$A50)</f>
        <v>0</v>
      </c>
      <c r="D50" s="146" t="n">
        <f aca="false">IFERROR($C50/MAX(1,COUNTIF(Cadastro!$BL$8:$BL$47,"Ativo")),0)</f>
        <v>0</v>
      </c>
      <c r="E50" s="149" t="n">
        <f aca="false">COUNTIFS('Carga (PSE)'!$B$8:$B$1007,$A50)</f>
        <v>0</v>
      </c>
      <c r="F50" s="104" t="n">
        <f aca="false">IFERROR(AVERAGEIFS('Carga (PSE)'!$F$8:$F$1007,'Carga (PSE)'!$B$8:$B$1007,$A50),0)</f>
        <v>0</v>
      </c>
      <c r="G50" s="104" t="n">
        <f aca="false">IFERROR(AVERAGEIFS(Wellness!$H$8:$H$1007,Wellness!$B$8:$B$1007,$A50),0)</f>
        <v>0</v>
      </c>
      <c r="H50" s="104" t="n">
        <f aca="false">IFERROR(AVERAGEIFS('Carga (PSE)'!$J$8:$J$1007,'Carga (PSE)'!$B$8:$B$1007,$A50),0)</f>
        <v>0</v>
      </c>
      <c r="I50" s="65" t="n">
        <f aca="false">IFERROR(COUNTIFS(Presença!$B$8:$B$1007,$A50,Presença!$E$8:$E$1007,"Presente")/MAX(1,COUNTIFS(Presença!$B$8:$B$1007,$A50)),0)</f>
        <v>0</v>
      </c>
      <c r="K50" s="62" t="s">
        <v>1069</v>
      </c>
      <c r="L50" s="146" t="n">
        <f aca="false">SUMIFS('Carga (PSE)'!$G$8:$G$1007,'Carga (PSE)'!$D$8:$D$1007,$K50)</f>
        <v>9950</v>
      </c>
      <c r="M50" s="65" t="n">
        <f aca="false">IFERROR($L50/SUM($L$47:$L$56),0)</f>
        <v>0.064721761472664</v>
      </c>
    </row>
    <row r="51" customFormat="false" ht="15" hidden="false" customHeight="false" outlineLevel="0" collapsed="false">
      <c r="A51" s="69" t="n">
        <v>41</v>
      </c>
      <c r="B51" s="158" t="n">
        <f aca="false">IF(Macrociclo!$C$11="","",Macrociclo!$C$11+($A51-1)*7)</f>
        <v>46307</v>
      </c>
      <c r="C51" s="44" t="n">
        <f aca="false">SUMIFS('Carga (PSE)'!$G$8:$G$1007,'Carga (PSE)'!$B$8:$B$1007,$A51)</f>
        <v>0</v>
      </c>
      <c r="D51" s="140" t="n">
        <f aca="false">IFERROR($C51/MAX(1,COUNTIF(Cadastro!$BL$8:$BL$47,"Ativo")),0)</f>
        <v>0</v>
      </c>
      <c r="E51" s="33" t="n">
        <f aca="false">COUNTIFS('Carga (PSE)'!$B$8:$B$1007,$A51)</f>
        <v>0</v>
      </c>
      <c r="F51" s="100" t="n">
        <f aca="false">IFERROR(AVERAGEIFS('Carga (PSE)'!$F$8:$F$1007,'Carga (PSE)'!$B$8:$B$1007,$A51),0)</f>
        <v>0</v>
      </c>
      <c r="G51" s="100" t="n">
        <f aca="false">IFERROR(AVERAGEIFS(Wellness!$H$8:$H$1007,Wellness!$B$8:$B$1007,$A51),0)</f>
        <v>0</v>
      </c>
      <c r="H51" s="100" t="n">
        <f aca="false">IFERROR(AVERAGEIFS('Carga (PSE)'!$J$8:$J$1007,'Carga (PSE)'!$B$8:$B$1007,$A51),0)</f>
        <v>0</v>
      </c>
      <c r="I51" s="61" t="n">
        <f aca="false">IFERROR(COUNTIFS(Presença!$B$8:$B$1007,$A51,Presença!$E$8:$E$1007,"Presente")/MAX(1,COUNTIFS(Presença!$B$8:$B$1007,$A51)),0)</f>
        <v>0</v>
      </c>
      <c r="K51" s="60" t="s">
        <v>1066</v>
      </c>
      <c r="L51" s="140" t="n">
        <f aca="false">SUMIFS('Carga (PSE)'!$G$8:$G$1007,'Carga (PSE)'!$D$8:$D$1007,$K51)</f>
        <v>61005</v>
      </c>
      <c r="M51" s="61" t="n">
        <f aca="false">IFERROR($L51/SUM($L$47:$L$56),0)</f>
        <v>0.396819201873354</v>
      </c>
    </row>
    <row r="52" customFormat="false" ht="15" hidden="false" customHeight="false" outlineLevel="0" collapsed="false">
      <c r="A52" s="73" t="n">
        <v>42</v>
      </c>
      <c r="B52" s="159" t="n">
        <f aca="false">IF(Macrociclo!$C$11="","",Macrociclo!$C$11+($A52-1)*7)</f>
        <v>46314</v>
      </c>
      <c r="C52" s="147" t="n">
        <f aca="false">SUMIFS('Carga (PSE)'!$G$8:$G$1007,'Carga (PSE)'!$B$8:$B$1007,$A52)</f>
        <v>0</v>
      </c>
      <c r="D52" s="146" t="n">
        <f aca="false">IFERROR($C52/MAX(1,COUNTIF(Cadastro!$BL$8:$BL$47,"Ativo")),0)</f>
        <v>0</v>
      </c>
      <c r="E52" s="149" t="n">
        <f aca="false">COUNTIFS('Carga (PSE)'!$B$8:$B$1007,$A52)</f>
        <v>0</v>
      </c>
      <c r="F52" s="104" t="n">
        <f aca="false">IFERROR(AVERAGEIFS('Carga (PSE)'!$F$8:$F$1007,'Carga (PSE)'!$B$8:$B$1007,$A52),0)</f>
        <v>0</v>
      </c>
      <c r="G52" s="104" t="n">
        <f aca="false">IFERROR(AVERAGEIFS(Wellness!$H$8:$H$1007,Wellness!$B$8:$B$1007,$A52),0)</f>
        <v>0</v>
      </c>
      <c r="H52" s="104" t="n">
        <f aca="false">IFERROR(AVERAGEIFS('Carga (PSE)'!$J$8:$J$1007,'Carga (PSE)'!$B$8:$B$1007,$A52),0)</f>
        <v>0</v>
      </c>
      <c r="I52" s="65" t="n">
        <f aca="false">IFERROR(COUNTIFS(Presença!$B$8:$B$1007,$A52,Presença!$E$8:$E$1007,"Presente")/MAX(1,COUNTIFS(Presença!$B$8:$B$1007,$A52)),0)</f>
        <v>0</v>
      </c>
      <c r="K52" s="62" t="s">
        <v>1313</v>
      </c>
      <c r="L52" s="146" t="n">
        <f aca="false">SUMIFS('Carga (PSE)'!$G$8:$G$1007,'Carga (PSE)'!$D$8:$D$1007,$K52)</f>
        <v>0</v>
      </c>
      <c r="M52" s="65" t="n">
        <f aca="false">IFERROR($L52/SUM($L$47:$L$56),0)</f>
        <v>0</v>
      </c>
    </row>
    <row r="53" customFormat="false" ht="15" hidden="false" customHeight="false" outlineLevel="0" collapsed="false">
      <c r="A53" s="69" t="n">
        <v>43</v>
      </c>
      <c r="B53" s="158" t="n">
        <f aca="false">IF(Macrociclo!$C$11="","",Macrociclo!$C$11+($A53-1)*7)</f>
        <v>46321</v>
      </c>
      <c r="C53" s="44" t="n">
        <f aca="false">SUMIFS('Carga (PSE)'!$G$8:$G$1007,'Carga (PSE)'!$B$8:$B$1007,$A53)</f>
        <v>0</v>
      </c>
      <c r="D53" s="140" t="n">
        <f aca="false">IFERROR($C53/MAX(1,COUNTIF(Cadastro!$BL$8:$BL$47,"Ativo")),0)</f>
        <v>0</v>
      </c>
      <c r="E53" s="33" t="n">
        <f aca="false">COUNTIFS('Carga (PSE)'!$B$8:$B$1007,$A53)</f>
        <v>0</v>
      </c>
      <c r="F53" s="100" t="n">
        <f aca="false">IFERROR(AVERAGEIFS('Carga (PSE)'!$F$8:$F$1007,'Carga (PSE)'!$B$8:$B$1007,$A53),0)</f>
        <v>0</v>
      </c>
      <c r="G53" s="100" t="n">
        <f aca="false">IFERROR(AVERAGEIFS(Wellness!$H$8:$H$1007,Wellness!$B$8:$B$1007,$A53),0)</f>
        <v>0</v>
      </c>
      <c r="H53" s="100" t="n">
        <f aca="false">IFERROR(AVERAGEIFS('Carga (PSE)'!$J$8:$J$1007,'Carga (PSE)'!$B$8:$B$1007,$A53),0)</f>
        <v>0</v>
      </c>
      <c r="I53" s="61" t="n">
        <f aca="false">IFERROR(COUNTIFS(Presença!$B$8:$B$1007,$A53,Presença!$E$8:$E$1007,"Presente")/MAX(1,COUNTIFS(Presença!$B$8:$B$1007,$A53)),0)</f>
        <v>0</v>
      </c>
      <c r="K53" s="60" t="s">
        <v>1314</v>
      </c>
      <c r="L53" s="140" t="n">
        <f aca="false">SUMIFS('Carga (PSE)'!$G$8:$G$1007,'Carga (PSE)'!$D$8:$D$1007,$K53)</f>
        <v>0</v>
      </c>
      <c r="M53" s="61" t="n">
        <f aca="false">IFERROR($L53/SUM($L$47:$L$56),0)</f>
        <v>0</v>
      </c>
    </row>
    <row r="54" customFormat="false" ht="15" hidden="false" customHeight="false" outlineLevel="0" collapsed="false">
      <c r="A54" s="73" t="n">
        <v>44</v>
      </c>
      <c r="B54" s="159" t="n">
        <f aca="false">IF(Macrociclo!$C$11="","",Macrociclo!$C$11+($A54-1)*7)</f>
        <v>46328</v>
      </c>
      <c r="C54" s="147" t="n">
        <f aca="false">SUMIFS('Carga (PSE)'!$G$8:$G$1007,'Carga (PSE)'!$B$8:$B$1007,$A54)</f>
        <v>0</v>
      </c>
      <c r="D54" s="146" t="n">
        <f aca="false">IFERROR($C54/MAX(1,COUNTIF(Cadastro!$BL$8:$BL$47,"Ativo")),0)</f>
        <v>0</v>
      </c>
      <c r="E54" s="149" t="n">
        <f aca="false">COUNTIFS('Carga (PSE)'!$B$8:$B$1007,$A54)</f>
        <v>0</v>
      </c>
      <c r="F54" s="104" t="n">
        <f aca="false">IFERROR(AVERAGEIFS('Carga (PSE)'!$F$8:$F$1007,'Carga (PSE)'!$B$8:$B$1007,$A54),0)</f>
        <v>0</v>
      </c>
      <c r="G54" s="104" t="n">
        <f aca="false">IFERROR(AVERAGEIFS(Wellness!$H$8:$H$1007,Wellness!$B$8:$B$1007,$A54),0)</f>
        <v>0</v>
      </c>
      <c r="H54" s="104" t="n">
        <f aca="false">IFERROR(AVERAGEIFS('Carga (PSE)'!$J$8:$J$1007,'Carga (PSE)'!$B$8:$B$1007,$A54),0)</f>
        <v>0</v>
      </c>
      <c r="I54" s="65" t="n">
        <f aca="false">IFERROR(COUNTIFS(Presença!$B$8:$B$1007,$A54,Presença!$E$8:$E$1007,"Presente")/MAX(1,COUNTIFS(Presença!$B$8:$B$1007,$A54)),0)</f>
        <v>0</v>
      </c>
      <c r="K54" s="62" t="s">
        <v>1077</v>
      </c>
      <c r="L54" s="146" t="n">
        <f aca="false">SUMIFS('Carga (PSE)'!$G$8:$G$1007,'Carga (PSE)'!$D$8:$D$1007,$K54)</f>
        <v>0</v>
      </c>
      <c r="M54" s="65" t="n">
        <f aca="false">IFERROR($L54/SUM($L$47:$L$56),0)</f>
        <v>0</v>
      </c>
    </row>
    <row r="55" customFormat="false" ht="15" hidden="false" customHeight="false" outlineLevel="0" collapsed="false">
      <c r="A55" s="69" t="n">
        <v>45</v>
      </c>
      <c r="B55" s="158" t="n">
        <f aca="false">IF(Macrociclo!$C$11="","",Macrociclo!$C$11+($A55-1)*7)</f>
        <v>46335</v>
      </c>
      <c r="C55" s="44" t="n">
        <f aca="false">SUMIFS('Carga (PSE)'!$G$8:$G$1007,'Carga (PSE)'!$B$8:$B$1007,$A55)</f>
        <v>0</v>
      </c>
      <c r="D55" s="140" t="n">
        <f aca="false">IFERROR($C55/MAX(1,COUNTIF(Cadastro!$BL$8:$BL$47,"Ativo")),0)</f>
        <v>0</v>
      </c>
      <c r="E55" s="33" t="n">
        <f aca="false">COUNTIFS('Carga (PSE)'!$B$8:$B$1007,$A55)</f>
        <v>0</v>
      </c>
      <c r="F55" s="100" t="n">
        <f aca="false">IFERROR(AVERAGEIFS('Carga (PSE)'!$F$8:$F$1007,'Carga (PSE)'!$B$8:$B$1007,$A55),0)</f>
        <v>0</v>
      </c>
      <c r="G55" s="100" t="n">
        <f aca="false">IFERROR(AVERAGEIFS(Wellness!$H$8:$H$1007,Wellness!$B$8:$B$1007,$A55),0)</f>
        <v>0</v>
      </c>
      <c r="H55" s="100" t="n">
        <f aca="false">IFERROR(AVERAGEIFS('Carga (PSE)'!$J$8:$J$1007,'Carga (PSE)'!$B$8:$B$1007,$A55),0)</f>
        <v>0</v>
      </c>
      <c r="I55" s="61" t="n">
        <f aca="false">IFERROR(COUNTIFS(Presença!$B$8:$B$1007,$A55,Presença!$E$8:$E$1007,"Presente")/MAX(1,COUNTIFS(Presença!$B$8:$B$1007,$A55)),0)</f>
        <v>0</v>
      </c>
      <c r="K55" s="60" t="s">
        <v>1315</v>
      </c>
      <c r="L55" s="140" t="n">
        <f aca="false">SUMIFS('Carga (PSE)'!$G$8:$G$1007,'Carga (PSE)'!$D$8:$D$1007,$K55)</f>
        <v>0</v>
      </c>
      <c r="M55" s="61" t="n">
        <f aca="false">IFERROR($L55/SUM($L$47:$L$56),0)</f>
        <v>0</v>
      </c>
    </row>
    <row r="56" customFormat="false" ht="15" hidden="false" customHeight="false" outlineLevel="0" collapsed="false">
      <c r="A56" s="73" t="n">
        <v>46</v>
      </c>
      <c r="B56" s="159" t="n">
        <f aca="false">IF(Macrociclo!$C$11="","",Macrociclo!$C$11+($A56-1)*7)</f>
        <v>46342</v>
      </c>
      <c r="C56" s="147" t="n">
        <f aca="false">SUMIFS('Carga (PSE)'!$G$8:$G$1007,'Carga (PSE)'!$B$8:$B$1007,$A56)</f>
        <v>0</v>
      </c>
      <c r="D56" s="146" t="n">
        <f aca="false">IFERROR($C56/MAX(1,COUNTIF(Cadastro!$BL$8:$BL$47,"Ativo")),0)</f>
        <v>0</v>
      </c>
      <c r="E56" s="149" t="n">
        <f aca="false">COUNTIFS('Carga (PSE)'!$B$8:$B$1007,$A56)</f>
        <v>0</v>
      </c>
      <c r="F56" s="104" t="n">
        <f aca="false">IFERROR(AVERAGEIFS('Carga (PSE)'!$F$8:$F$1007,'Carga (PSE)'!$B$8:$B$1007,$A56),0)</f>
        <v>0</v>
      </c>
      <c r="G56" s="104" t="n">
        <f aca="false">IFERROR(AVERAGEIFS(Wellness!$H$8:$H$1007,Wellness!$B$8:$B$1007,$A56),0)</f>
        <v>0</v>
      </c>
      <c r="H56" s="104" t="n">
        <f aca="false">IFERROR(AVERAGEIFS('Carga (PSE)'!$J$8:$J$1007,'Carga (PSE)'!$B$8:$B$1007,$A56),0)</f>
        <v>0</v>
      </c>
      <c r="I56" s="65" t="n">
        <f aca="false">IFERROR(COUNTIFS(Presença!$B$8:$B$1007,$A56,Presença!$E$8:$E$1007,"Presente")/MAX(1,COUNTIFS(Presença!$B$8:$B$1007,$A56)),0)</f>
        <v>0</v>
      </c>
      <c r="K56" s="62" t="s">
        <v>1082</v>
      </c>
      <c r="L56" s="146" t="n">
        <f aca="false">SUMIFS('Carga (PSE)'!$G$8:$G$1007,'Carga (PSE)'!$D$8:$D$1007,$K56)</f>
        <v>0</v>
      </c>
      <c r="M56" s="65" t="n">
        <f aca="false">IFERROR($L56/SUM($L$47:$L$56),0)</f>
        <v>0</v>
      </c>
    </row>
    <row r="57" customFormat="false" ht="15" hidden="false" customHeight="false" outlineLevel="0" collapsed="false">
      <c r="A57" s="69" t="n">
        <v>47</v>
      </c>
      <c r="B57" s="158" t="n">
        <f aca="false">IF(Macrociclo!$C$11="","",Macrociclo!$C$11+($A57-1)*7)</f>
        <v>46349</v>
      </c>
      <c r="C57" s="44" t="n">
        <f aca="false">SUMIFS('Carga (PSE)'!$G$8:$G$1007,'Carga (PSE)'!$B$8:$B$1007,$A57)</f>
        <v>0</v>
      </c>
      <c r="D57" s="140" t="n">
        <f aca="false">IFERROR($C57/MAX(1,COUNTIF(Cadastro!$BL$8:$BL$47,"Ativo")),0)</f>
        <v>0</v>
      </c>
      <c r="E57" s="33" t="n">
        <f aca="false">COUNTIFS('Carga (PSE)'!$B$8:$B$1007,$A57)</f>
        <v>0</v>
      </c>
      <c r="F57" s="100" t="n">
        <f aca="false">IFERROR(AVERAGEIFS('Carga (PSE)'!$F$8:$F$1007,'Carga (PSE)'!$B$8:$B$1007,$A57),0)</f>
        <v>0</v>
      </c>
      <c r="G57" s="100" t="n">
        <f aca="false">IFERROR(AVERAGEIFS(Wellness!$H$8:$H$1007,Wellness!$B$8:$B$1007,$A57),0)</f>
        <v>0</v>
      </c>
      <c r="H57" s="100" t="n">
        <f aca="false">IFERROR(AVERAGEIFS('Carga (PSE)'!$J$8:$J$1007,'Carga (PSE)'!$B$8:$B$1007,$A57),0)</f>
        <v>0</v>
      </c>
      <c r="I57" s="61" t="n">
        <f aca="false">IFERROR(COUNTIFS(Presença!$B$8:$B$1007,$A57,Presença!$E$8:$E$1007,"Presente")/MAX(1,COUNTIFS(Presença!$B$8:$B$1007,$A57)),0)</f>
        <v>0</v>
      </c>
    </row>
    <row r="58" customFormat="false" ht="15" hidden="false" customHeight="false" outlineLevel="0" collapsed="false">
      <c r="A58" s="73" t="n">
        <v>48</v>
      </c>
      <c r="B58" s="159" t="n">
        <f aca="false">IF(Macrociclo!$C$11="","",Macrociclo!$C$11+($A58-1)*7)</f>
        <v>46356</v>
      </c>
      <c r="C58" s="147" t="n">
        <f aca="false">SUMIFS('Carga (PSE)'!$G$8:$G$1007,'Carga (PSE)'!$B$8:$B$1007,$A58)</f>
        <v>0</v>
      </c>
      <c r="D58" s="146" t="n">
        <f aca="false">IFERROR($C58/MAX(1,COUNTIF(Cadastro!$BL$8:$BL$47,"Ativo")),0)</f>
        <v>0</v>
      </c>
      <c r="E58" s="149" t="n">
        <f aca="false">COUNTIFS('Carga (PSE)'!$B$8:$B$1007,$A58)</f>
        <v>0</v>
      </c>
      <c r="F58" s="104" t="n">
        <f aca="false">IFERROR(AVERAGEIFS('Carga (PSE)'!$F$8:$F$1007,'Carga (PSE)'!$B$8:$B$1007,$A58),0)</f>
        <v>0</v>
      </c>
      <c r="G58" s="104" t="n">
        <f aca="false">IFERROR(AVERAGEIFS(Wellness!$H$8:$H$1007,Wellness!$B$8:$B$1007,$A58),0)</f>
        <v>0</v>
      </c>
      <c r="H58" s="104" t="n">
        <f aca="false">IFERROR(AVERAGEIFS('Carga (PSE)'!$J$8:$J$1007,'Carga (PSE)'!$B$8:$B$1007,$A58),0)</f>
        <v>0</v>
      </c>
      <c r="I58" s="65" t="n">
        <f aca="false">IFERROR(COUNTIFS(Presença!$B$8:$B$1007,$A58,Presença!$E$8:$E$1007,"Presente")/MAX(1,COUNTIFS(Presença!$B$8:$B$1007,$A58)),0)</f>
        <v>0</v>
      </c>
    </row>
    <row r="61" customFormat="false" ht="19.5" hidden="false" customHeight="true" outlineLevel="0" collapsed="false">
      <c r="A61" s="3" t="s">
        <v>1316</v>
      </c>
      <c r="B61" s="3"/>
      <c r="C61" s="3"/>
      <c r="D61" s="3"/>
      <c r="E61" s="3"/>
      <c r="F61" s="3"/>
      <c r="G61" s="3"/>
      <c r="H61" s="3"/>
      <c r="I61" s="3"/>
    </row>
    <row r="62" customFormat="false" ht="31.5" hidden="false" customHeight="true" outlineLevel="0" collapsed="false">
      <c r="A62" s="25" t="s">
        <v>295</v>
      </c>
      <c r="B62" s="25" t="s">
        <v>109</v>
      </c>
      <c r="C62" s="25" t="s">
        <v>1289</v>
      </c>
      <c r="D62" s="25" t="s">
        <v>1306</v>
      </c>
      <c r="E62" s="25" t="s">
        <v>1317</v>
      </c>
      <c r="F62" s="25" t="s">
        <v>1318</v>
      </c>
      <c r="G62" s="25" t="s">
        <v>1256</v>
      </c>
      <c r="H62" s="25" t="s">
        <v>1309</v>
      </c>
      <c r="I62" s="25" t="s">
        <v>842</v>
      </c>
    </row>
    <row r="63" customFormat="false" ht="15" hidden="false" customHeight="false" outlineLevel="0" collapsed="false">
      <c r="A63" s="60" t="str">
        <f aca="false">IF(Cadastro!$B8="","",Cadastro!$B8)</f>
        <v>Rafael Monteiro Alves</v>
      </c>
      <c r="B63" s="60" t="str">
        <f aca="false">IF($A63="","",Cadastro!$L8)</f>
        <v>Levantador</v>
      </c>
      <c r="C63" s="33" t="n">
        <f aca="false">IF($A63="",0,COUNTIFS('Carga (PSE)'!$C$8:$C$1007,$A63))</f>
        <v>23</v>
      </c>
      <c r="D63" s="44" t="n">
        <f aca="false">IF($A63="",0,SUMIFS('Carga (PSE)'!$G$8:$G$1007,'Carga (PSE)'!$C$8:$C$1007,$A63))</f>
        <v>12825</v>
      </c>
      <c r="E63" s="140" t="n">
        <f aca="false">IF($C63=0,0,$D63/$C63)</f>
        <v>557.608695652174</v>
      </c>
      <c r="F63" s="100" t="n">
        <f aca="false">IF($A63="",0,IFERROR(AVERAGEIFS('Carga (PSE)'!$J$8:$J$1007,'Carga (PSE)'!$C$8:$C$1007,$A63,'Carga (PSE)'!$A$8:$A$1007,SUMPRODUCT(MAX(('Carga (PSE)'!$C$8:$C$1007=$A63)*'Carga (PSE)'!$A$8:$A$1007))),0))</f>
        <v>1.17426900584795</v>
      </c>
      <c r="G63" s="61" t="n">
        <f aca="false">IF($A63="",0,IFERROR(INDEX(Presença!$L$8:$L$47,MATCH($A63,Presença!$I$8:$I$47,0)),0))</f>
        <v>0.92</v>
      </c>
      <c r="H63" s="35" t="n">
        <f aca="false">IF($A63="",0,IFERROR(AVERAGEIFS(Wellness!$H$8:$H$1007,Wellness!$C$8:$C$1007,$A63),0))</f>
        <v>11.3888888888889</v>
      </c>
      <c r="I63" s="60" t="str">
        <f aca="false">IF($A63="","",IF(Cadastro!$BL8="Lesionado","LESIONADO",IF($F63&gt;1.5,"ALERTA — carga aguda alta",IF($H63&gt;16,"ALERTA — wellness baixo",IF(AND($G63&gt;0,$G63&lt;0.75),"Assiduidade baixa",IF($C63=0,"Sem registros","OK"))))))</f>
        <v>OK</v>
      </c>
    </row>
    <row r="64" customFormat="false" ht="15" hidden="false" customHeight="false" outlineLevel="0" collapsed="false">
      <c r="A64" s="62" t="str">
        <f aca="false">IF(Cadastro!$B9="","",Cadastro!$B9)</f>
        <v>Diego Salgado Ferraz</v>
      </c>
      <c r="B64" s="62" t="str">
        <f aca="false">IF($A64="","",Cadastro!$L9)</f>
        <v>Oposto</v>
      </c>
      <c r="C64" s="149" t="n">
        <f aca="false">IF($A64="",0,COUNTIFS('Carga (PSE)'!$C$8:$C$1007,$A64))</f>
        <v>25</v>
      </c>
      <c r="D64" s="147" t="n">
        <f aca="false">IF($A64="",0,SUMIFS('Carga (PSE)'!$G$8:$G$1007,'Carga (PSE)'!$C$8:$C$1007,$A64))</f>
        <v>14405</v>
      </c>
      <c r="E64" s="146" t="n">
        <f aca="false">IF($C64=0,0,$D64/$C64)</f>
        <v>576.2</v>
      </c>
      <c r="F64" s="104" t="n">
        <f aca="false">IF($A64="",0,IFERROR(AVERAGEIFS('Carga (PSE)'!$J$8:$J$1007,'Carga (PSE)'!$C$8:$C$1007,$A64,'Carga (PSE)'!$A$8:$A$1007,SUMPRODUCT(MAX(('Carga (PSE)'!$C$8:$C$1007=$A64)*'Carga (PSE)'!$A$8:$A$1007))),0))</f>
        <v>1.12044429017702</v>
      </c>
      <c r="G64" s="65" t="n">
        <f aca="false">IF($A64="",0,IFERROR(INDEX(Presença!$L$8:$L$47,MATCH($A64,Presença!$I$8:$I$47,0)),0))</f>
        <v>1</v>
      </c>
      <c r="H64" s="63" t="n">
        <f aca="false">IF($A64="",0,IFERROR(AVERAGEIFS(Wellness!$H$8:$H$1007,Wellness!$C$8:$C$1007,$A64),0))</f>
        <v>11.1666666666667</v>
      </c>
      <c r="I64" s="62" t="str">
        <f aca="false">IF($A64="","",IF(Cadastro!$BL9="Lesionado","LESIONADO",IF($F64&gt;1.5,"ALERTA — carga aguda alta",IF($H64&gt;16,"ALERTA — wellness baixo",IF(AND($G64&gt;0,$G64&lt;0.75),"Assiduidade baixa",IF($C64=0,"Sem registros","OK"))))))</f>
        <v>OK</v>
      </c>
    </row>
    <row r="65" customFormat="false" ht="15" hidden="false" customHeight="false" outlineLevel="0" collapsed="false">
      <c r="A65" s="60" t="str">
        <f aca="false">IF(Cadastro!$B10="","",Cadastro!$B10)</f>
        <v>Lucas Prado Bittencourt</v>
      </c>
      <c r="B65" s="60" t="str">
        <f aca="false">IF($A65="","",Cadastro!$L10)</f>
        <v>Ponteiro (Ponta)</v>
      </c>
      <c r="C65" s="33" t="n">
        <f aca="false">IF($A65="",0,COUNTIFS('Carga (PSE)'!$C$8:$C$1007,$A65))</f>
        <v>21</v>
      </c>
      <c r="D65" s="44" t="n">
        <f aca="false">IF($A65="",0,SUMIFS('Carga (PSE)'!$G$8:$G$1007,'Carga (PSE)'!$C$8:$C$1007,$A65))</f>
        <v>11685</v>
      </c>
      <c r="E65" s="140" t="n">
        <f aca="false">IF($C65=0,0,$D65/$C65)</f>
        <v>556.428571428571</v>
      </c>
      <c r="F65" s="100" t="n">
        <f aca="false">IF($A65="",0,IFERROR(AVERAGEIFS('Carga (PSE)'!$J$8:$J$1007,'Carga (PSE)'!$C$8:$C$1007,$A65,'Carga (PSE)'!$A$8:$A$1007,SUMPRODUCT(MAX(('Carga (PSE)'!$C$8:$C$1007=$A65)*'Carga (PSE)'!$A$8:$A$1007))),0))</f>
        <v>1.05091998288404</v>
      </c>
      <c r="G65" s="61" t="n">
        <f aca="false">IF($A65="",0,IFERROR(INDEX(Presença!$L$8:$L$47,MATCH($A65,Presença!$I$8:$I$47,0)),0))</f>
        <v>0.84</v>
      </c>
      <c r="H65" s="35" t="n">
        <f aca="false">IF($A65="",0,IFERROR(AVERAGEIFS(Wellness!$H$8:$H$1007,Wellness!$C$8:$C$1007,$A65),0))</f>
        <v>11.3333333333333</v>
      </c>
      <c r="I65" s="60" t="str">
        <f aca="false">IF($A65="","",IF(Cadastro!$BL10="Lesionado","LESIONADO",IF($F65&gt;1.5,"ALERTA — carga aguda alta",IF($H65&gt;16,"ALERTA — wellness baixo",IF(AND($G65&gt;0,$G65&lt;0.75),"Assiduidade baixa",IF($C65=0,"Sem registros","OK"))))))</f>
        <v>OK</v>
      </c>
    </row>
    <row r="66" customFormat="false" ht="15" hidden="false" customHeight="false" outlineLevel="0" collapsed="false">
      <c r="A66" s="62" t="str">
        <f aca="false">IF(Cadastro!$B11="","",Cadastro!$B11)</f>
        <v>Bruno Rezende Camargo</v>
      </c>
      <c r="B66" s="62" t="str">
        <f aca="false">IF($A66="","",Cadastro!$L11)</f>
        <v>Ponteiro (Ponta)</v>
      </c>
      <c r="C66" s="149" t="n">
        <f aca="false">IF($A66="",0,COUNTIFS('Carga (PSE)'!$C$8:$C$1007,$A66))</f>
        <v>13</v>
      </c>
      <c r="D66" s="147" t="n">
        <f aca="false">IF($A66="",0,SUMIFS('Carga (PSE)'!$G$8:$G$1007,'Carga (PSE)'!$C$8:$C$1007,$A66))</f>
        <v>7850</v>
      </c>
      <c r="E66" s="146" t="n">
        <f aca="false">IF($C66=0,0,$D66/$C66)</f>
        <v>603.846153846154</v>
      </c>
      <c r="F66" s="104" t="n">
        <f aca="false">IF($A66="",0,IFERROR(AVERAGEIFS('Carga (PSE)'!$J$8:$J$1007,'Carga (PSE)'!$C$8:$C$1007,$A66,'Carga (PSE)'!$A$8:$A$1007,SUMPRODUCT(MAX(('Carga (PSE)'!$C$8:$C$1007=$A66)*'Carga (PSE)'!$A$8:$A$1007))),0))</f>
        <v>2.05605095541401</v>
      </c>
      <c r="G66" s="65" t="n">
        <f aca="false">IF($A66="",0,IFERROR(INDEX(Presença!$L$8:$L$47,MATCH($A66,Presença!$I$8:$I$47,0)),0))</f>
        <v>0.52</v>
      </c>
      <c r="H66" s="63" t="n">
        <f aca="false">IF($A66="",0,IFERROR(AVERAGEIFS(Wellness!$H$8:$H$1007,Wellness!$C$8:$C$1007,$A66),0))</f>
        <v>19.4444444444444</v>
      </c>
      <c r="I66" s="62" t="str">
        <f aca="false">IF($A66="","",IF(Cadastro!$BL11="Lesionado","LESIONADO",IF($F66&gt;1.5,"ALERTA — carga aguda alta",IF($H66&gt;16,"ALERTA — wellness baixo",IF(AND($G66&gt;0,$G66&lt;0.75),"Assiduidade baixa",IF($C66=0,"Sem registros","OK"))))))</f>
        <v>LESIONADO</v>
      </c>
    </row>
    <row r="67" customFormat="false" ht="15" hidden="false" customHeight="false" outlineLevel="0" collapsed="false">
      <c r="A67" s="60" t="str">
        <f aca="false">IF(Cadastro!$B12="","",Cadastro!$B12)</f>
        <v>Thiago Nogueira Vasques</v>
      </c>
      <c r="B67" s="60" t="str">
        <f aca="false">IF($A67="","",Cadastro!$L12)</f>
        <v>Central</v>
      </c>
      <c r="C67" s="33" t="n">
        <f aca="false">IF($A67="",0,COUNTIFS('Carga (PSE)'!$C$8:$C$1007,$A67))</f>
        <v>24</v>
      </c>
      <c r="D67" s="44" t="n">
        <f aca="false">IF($A67="",0,SUMIFS('Carga (PSE)'!$G$8:$G$1007,'Carga (PSE)'!$C$8:$C$1007,$A67))</f>
        <v>14235</v>
      </c>
      <c r="E67" s="140" t="n">
        <f aca="false">IF($C67=0,0,$D67/$C67)</f>
        <v>593.125</v>
      </c>
      <c r="F67" s="100" t="n">
        <f aca="false">IF($A67="",0,IFERROR(AVERAGEIFS('Carga (PSE)'!$J$8:$J$1007,'Carga (PSE)'!$C$8:$C$1007,$A67,'Carga (PSE)'!$A$8:$A$1007,SUMPRODUCT(MAX(('Carga (PSE)'!$C$8:$C$1007=$A67)*'Carga (PSE)'!$A$8:$A$1007))),0))</f>
        <v>1.21109940288022</v>
      </c>
      <c r="G67" s="61" t="n">
        <f aca="false">IF($A67="",0,IFERROR(INDEX(Presença!$L$8:$L$47,MATCH($A67,Presença!$I$8:$I$47,0)),0))</f>
        <v>0.96</v>
      </c>
      <c r="H67" s="35" t="n">
        <f aca="false">IF($A67="",0,IFERROR(AVERAGEIFS(Wellness!$H$8:$H$1007,Wellness!$C$8:$C$1007,$A67),0))</f>
        <v>10.8888888888889</v>
      </c>
      <c r="I67" s="60" t="str">
        <f aca="false">IF($A67="","",IF(Cadastro!$BL12="Lesionado","LESIONADO",IF($F67&gt;1.5,"ALERTA — carga aguda alta",IF($H67&gt;16,"ALERTA — wellness baixo",IF(AND($G67&gt;0,$G67&lt;0.75),"Assiduidade baixa",IF($C67=0,"Sem registros","OK"))))))</f>
        <v>OK</v>
      </c>
    </row>
    <row r="68" customFormat="false" ht="15" hidden="false" customHeight="false" outlineLevel="0" collapsed="false">
      <c r="A68" s="62" t="str">
        <f aca="false">IF(Cadastro!$B13="","",Cadastro!$B13)</f>
        <v>Matheus Caldeira Lins</v>
      </c>
      <c r="B68" s="62" t="str">
        <f aca="false">IF($A68="","",Cadastro!$L13)</f>
        <v>Central</v>
      </c>
      <c r="C68" s="149" t="n">
        <f aca="false">IF($A68="",0,COUNTIFS('Carga (PSE)'!$C$8:$C$1007,$A68))</f>
        <v>24</v>
      </c>
      <c r="D68" s="147" t="n">
        <f aca="false">IF($A68="",0,SUMIFS('Carga (PSE)'!$G$8:$G$1007,'Carga (PSE)'!$C$8:$C$1007,$A68))</f>
        <v>12990</v>
      </c>
      <c r="E68" s="146" t="n">
        <f aca="false">IF($C68=0,0,$D68/$C68)</f>
        <v>541.25</v>
      </c>
      <c r="F68" s="104" t="n">
        <f aca="false">IF($A68="",0,IFERROR(AVERAGEIFS('Carga (PSE)'!$J$8:$J$1007,'Carga (PSE)'!$C$8:$C$1007,$A68,'Carga (PSE)'!$A$8:$A$1007,SUMPRODUCT(MAX(('Carga (PSE)'!$C$8:$C$1007=$A68)*'Carga (PSE)'!$A$8:$A$1007))),0))</f>
        <v>1.14087759815242</v>
      </c>
      <c r="G68" s="65" t="n">
        <f aca="false">IF($A68="",0,IFERROR(INDEX(Presença!$L$8:$L$47,MATCH($A68,Presença!$I$8:$I$47,0)),0))</f>
        <v>0.96</v>
      </c>
      <c r="H68" s="63" t="n">
        <f aca="false">IF($A68="",0,IFERROR(AVERAGEIFS(Wellness!$H$8:$H$1007,Wellness!$C$8:$C$1007,$A68),0))</f>
        <v>11.3888888888889</v>
      </c>
      <c r="I68" s="62" t="str">
        <f aca="false">IF($A68="","",IF(Cadastro!$BL13="Lesionado","LESIONADO",IF($F68&gt;1.5,"ALERTA — carga aguda alta",IF($H68&gt;16,"ALERTA — wellness baixo",IF(AND($G68&gt;0,$G68&lt;0.75),"Assiduidade baixa",IF($C68=0,"Sem registros","OK"))))))</f>
        <v>OK</v>
      </c>
    </row>
    <row r="69" customFormat="false" ht="15" hidden="false" customHeight="false" outlineLevel="0" collapsed="false">
      <c r="A69" s="60" t="str">
        <f aca="false">IF(Cadastro!$B14="","",Cadastro!$B14)</f>
        <v>Felipe Andrade Rocha</v>
      </c>
      <c r="B69" s="60" t="str">
        <f aca="false">IF($A69="","",Cadastro!$L14)</f>
        <v>Líbero</v>
      </c>
      <c r="C69" s="33" t="n">
        <f aca="false">IF($A69="",0,COUNTIFS('Carga (PSE)'!$C$8:$C$1007,$A69))</f>
        <v>24</v>
      </c>
      <c r="D69" s="44" t="n">
        <f aca="false">IF($A69="",0,SUMIFS('Carga (PSE)'!$G$8:$G$1007,'Carga (PSE)'!$C$8:$C$1007,$A69))</f>
        <v>13560</v>
      </c>
      <c r="E69" s="140" t="n">
        <f aca="false">IF($C69=0,0,$D69/$C69)</f>
        <v>565</v>
      </c>
      <c r="F69" s="100" t="n">
        <f aca="false">IF($A69="",0,IFERROR(AVERAGEIFS('Carga (PSE)'!$J$8:$J$1007,'Carga (PSE)'!$C$8:$C$1007,$A69,'Carga (PSE)'!$A$8:$A$1007,SUMPRODUCT(MAX(('Carga (PSE)'!$C$8:$C$1007=$A69)*'Carga (PSE)'!$A$8:$A$1007))),0))</f>
        <v>1.15634218289086</v>
      </c>
      <c r="G69" s="61" t="n">
        <f aca="false">IF($A69="",0,IFERROR(INDEX(Presença!$L$8:$L$47,MATCH($A69,Presença!$I$8:$I$47,0)),0))</f>
        <v>0.96</v>
      </c>
      <c r="H69" s="35" t="n">
        <f aca="false">IF($A69="",0,IFERROR(AVERAGEIFS(Wellness!$H$8:$H$1007,Wellness!$C$8:$C$1007,$A69),0))</f>
        <v>11.2222222222222</v>
      </c>
      <c r="I69" s="60" t="str">
        <f aca="false">IF($A69="","",IF(Cadastro!$BL14="Lesionado","LESIONADO",IF($F69&gt;1.5,"ALERTA — carga aguda alta",IF($H69&gt;16,"ALERTA — wellness baixo",IF(AND($G69&gt;0,$G69&lt;0.75),"Assiduidade baixa",IF($C69=0,"Sem registros","OK"))))))</f>
        <v>OK</v>
      </c>
    </row>
    <row r="70" customFormat="false" ht="15" hidden="false" customHeight="false" outlineLevel="0" collapsed="false">
      <c r="A70" s="62" t="str">
        <f aca="false">IF(Cadastro!$B15="","",Cadastro!$B15)</f>
        <v>Gustavo Peixoto Maia</v>
      </c>
      <c r="B70" s="62" t="str">
        <f aca="false">IF($A70="","",Cadastro!$L15)</f>
        <v>Ponteiro (Ponta)</v>
      </c>
      <c r="C70" s="149" t="n">
        <f aca="false">IF($A70="",0,COUNTIFS('Carga (PSE)'!$C$8:$C$1007,$A70))</f>
        <v>25</v>
      </c>
      <c r="D70" s="147" t="n">
        <f aca="false">IF($A70="",0,SUMIFS('Carga (PSE)'!$G$8:$G$1007,'Carga (PSE)'!$C$8:$C$1007,$A70))</f>
        <v>13725</v>
      </c>
      <c r="E70" s="146" t="n">
        <f aca="false">IF($C70=0,0,$D70/$C70)</f>
        <v>549</v>
      </c>
      <c r="F70" s="104" t="n">
        <f aca="false">IF($A70="",0,IFERROR(AVERAGEIFS('Carga (PSE)'!$J$8:$J$1007,'Carga (PSE)'!$C$8:$C$1007,$A70,'Carga (PSE)'!$A$8:$A$1007,SUMPRODUCT(MAX(('Carga (PSE)'!$C$8:$C$1007=$A70)*'Carga (PSE)'!$A$8:$A$1007))),0))</f>
        <v>1.05063752276867</v>
      </c>
      <c r="G70" s="65" t="n">
        <f aca="false">IF($A70="",0,IFERROR(INDEX(Presença!$L$8:$L$47,MATCH($A70,Presença!$I$8:$I$47,0)),0))</f>
        <v>1</v>
      </c>
      <c r="H70" s="63" t="n">
        <f aca="false">IF($A70="",0,IFERROR(AVERAGEIFS(Wellness!$H$8:$H$1007,Wellness!$C$8:$C$1007,$A70),0))</f>
        <v>11</v>
      </c>
      <c r="I70" s="62" t="str">
        <f aca="false">IF($A70="","",IF(Cadastro!$BL15="Lesionado","LESIONADO",IF($F70&gt;1.5,"ALERTA — carga aguda alta",IF($H70&gt;16,"ALERTA — wellness baixo",IF(AND($G70&gt;0,$G70&lt;0.75),"Assiduidade baixa",IF($C70=0,"Sem registros","OK"))))))</f>
        <v>OK</v>
      </c>
    </row>
    <row r="71" customFormat="false" ht="15" hidden="false" customHeight="false" outlineLevel="0" collapsed="false">
      <c r="A71" s="60" t="str">
        <f aca="false">IF(Cadastro!$B16="","",Cadastro!$B16)</f>
        <v>Vinícius Barreto Duarte</v>
      </c>
      <c r="B71" s="60" t="str">
        <f aca="false">IF($A71="","",Cadastro!$L16)</f>
        <v>Levantador</v>
      </c>
      <c r="C71" s="33" t="n">
        <f aca="false">IF($A71="",0,COUNTIFS('Carga (PSE)'!$C$8:$C$1007,$A71))</f>
        <v>25</v>
      </c>
      <c r="D71" s="44" t="n">
        <f aca="false">IF($A71="",0,SUMIFS('Carga (PSE)'!$G$8:$G$1007,'Carga (PSE)'!$C$8:$C$1007,$A71))</f>
        <v>13575</v>
      </c>
      <c r="E71" s="140" t="n">
        <f aca="false">IF($C71=0,0,$D71/$C71)</f>
        <v>543</v>
      </c>
      <c r="F71" s="100" t="n">
        <f aca="false">IF($A71="",0,IFERROR(AVERAGEIFS('Carga (PSE)'!$J$8:$J$1007,'Carga (PSE)'!$C$8:$C$1007,$A71,'Carga (PSE)'!$A$8:$A$1007,SUMPRODUCT(MAX(('Carga (PSE)'!$C$8:$C$1007=$A71)*'Carga (PSE)'!$A$8:$A$1007))),0))</f>
        <v>1.06519337016575</v>
      </c>
      <c r="G71" s="61" t="n">
        <f aca="false">IF($A71="",0,IFERROR(INDEX(Presença!$L$8:$L$47,MATCH($A71,Presença!$I$8:$I$47,0)),0))</f>
        <v>1</v>
      </c>
      <c r="H71" s="35" t="n">
        <f aca="false">IF($A71="",0,IFERROR(AVERAGEIFS(Wellness!$H$8:$H$1007,Wellness!$C$8:$C$1007,$A71),0))</f>
        <v>10.8333333333333</v>
      </c>
      <c r="I71" s="60" t="str">
        <f aca="false">IF($A71="","",IF(Cadastro!$BL16="Lesionado","LESIONADO",IF($F71&gt;1.5,"ALERTA — carga aguda alta",IF($H71&gt;16,"ALERTA — wellness baixo",IF(AND($G71&gt;0,$G71&lt;0.75),"Assiduidade baixa",IF($C71=0,"Sem registros","OK"))))))</f>
        <v>OK</v>
      </c>
    </row>
    <row r="72" customFormat="false" ht="15" hidden="false" customHeight="false" outlineLevel="0" collapsed="false">
      <c r="A72" s="62" t="str">
        <f aca="false">IF(Cadastro!$B17="","",Cadastro!$B17)</f>
        <v>André Luiz Sampaio</v>
      </c>
      <c r="B72" s="62" t="str">
        <f aca="false">IF($A72="","",Cadastro!$L17)</f>
        <v>Oposto</v>
      </c>
      <c r="C72" s="149" t="n">
        <f aca="false">IF($A72="",0,COUNTIFS('Carga (PSE)'!$C$8:$C$1007,$A72))</f>
        <v>24</v>
      </c>
      <c r="D72" s="147" t="n">
        <f aca="false">IF($A72="",0,SUMIFS('Carga (PSE)'!$G$8:$G$1007,'Carga (PSE)'!$C$8:$C$1007,$A72))</f>
        <v>13735</v>
      </c>
      <c r="E72" s="146" t="n">
        <f aca="false">IF($C72=0,0,$D72/$C72)</f>
        <v>572.291666666667</v>
      </c>
      <c r="F72" s="104" t="n">
        <f aca="false">IF($A72="",0,IFERROR(AVERAGEIFS('Carga (PSE)'!$J$8:$J$1007,'Carga (PSE)'!$C$8:$C$1007,$A72,'Carga (PSE)'!$A$8:$A$1007,SUMPRODUCT(MAX(('Carga (PSE)'!$C$8:$C$1007=$A72)*'Carga (PSE)'!$A$8:$A$1007))),0))</f>
        <v>1.15180196578085</v>
      </c>
      <c r="G72" s="65" t="n">
        <f aca="false">IF($A72="",0,IFERROR(INDEX(Presença!$L$8:$L$47,MATCH($A72,Presença!$I$8:$I$47,0)),0))</f>
        <v>0.96</v>
      </c>
      <c r="H72" s="63" t="n">
        <f aca="false">IF($A72="",0,IFERROR(AVERAGEIFS(Wellness!$H$8:$H$1007,Wellness!$C$8:$C$1007,$A72),0))</f>
        <v>12</v>
      </c>
      <c r="I72" s="62" t="str">
        <f aca="false">IF($A72="","",IF(Cadastro!$BL17="Lesionado","LESIONADO",IF($F72&gt;1.5,"ALERTA — carga aguda alta",IF($H72&gt;16,"ALERTA — wellness baixo",IF(AND($G72&gt;0,$G72&lt;0.75),"Assiduidade baixa",IF($C72=0,"Sem registros","OK"))))))</f>
        <v>OK</v>
      </c>
    </row>
    <row r="73" customFormat="false" ht="15" hidden="false" customHeight="false" outlineLevel="0" collapsed="false">
      <c r="A73" s="60" t="str">
        <f aca="false">IF(Cadastro!$B18="","",Cadastro!$B18)</f>
        <v>Pedro Henrique Coutinho</v>
      </c>
      <c r="B73" s="60" t="str">
        <f aca="false">IF($A73="","",Cadastro!$L18)</f>
        <v>Central</v>
      </c>
      <c r="C73" s="33" t="n">
        <f aca="false">IF($A73="",0,COUNTIFS('Carga (PSE)'!$C$8:$C$1007,$A73))</f>
        <v>23</v>
      </c>
      <c r="D73" s="44" t="n">
        <f aca="false">IF($A73="",0,SUMIFS('Carga (PSE)'!$G$8:$G$1007,'Carga (PSE)'!$C$8:$C$1007,$A73))</f>
        <v>12985</v>
      </c>
      <c r="E73" s="140" t="n">
        <f aca="false">IF($C73=0,0,$D73/$C73)</f>
        <v>564.565217391304</v>
      </c>
      <c r="F73" s="100" t="n">
        <f aca="false">IF($A73="",0,IFERROR(AVERAGEIFS('Carga (PSE)'!$J$8:$J$1007,'Carga (PSE)'!$C$8:$C$1007,$A73,'Carga (PSE)'!$A$8:$A$1007,SUMPRODUCT(MAX(('Carga (PSE)'!$C$8:$C$1007=$A73)*'Carga (PSE)'!$A$8:$A$1007))),0))</f>
        <v>1.32768579129765</v>
      </c>
      <c r="G73" s="61" t="n">
        <f aca="false">IF($A73="",0,IFERROR(INDEX(Presença!$L$8:$L$47,MATCH($A73,Presença!$I$8:$I$47,0)),0))</f>
        <v>0.92</v>
      </c>
      <c r="H73" s="35" t="n">
        <f aca="false">IF($A73="",0,IFERROR(AVERAGEIFS(Wellness!$H$8:$H$1007,Wellness!$C$8:$C$1007,$A73),0))</f>
        <v>11.2222222222222</v>
      </c>
      <c r="I73" s="60" t="str">
        <f aca="false">IF($A73="","",IF(Cadastro!$BL18="Lesionado","LESIONADO",IF($F73&gt;1.5,"ALERTA — carga aguda alta",IF($H73&gt;16,"ALERTA — wellness baixo",IF(AND($G73&gt;0,$G73&lt;0.75),"Assiduidade baixa",IF($C73=0,"Sem registros","OK"))))))</f>
        <v>OK</v>
      </c>
    </row>
    <row r="74" customFormat="false" ht="15" hidden="false" customHeight="false" outlineLevel="0" collapsed="false">
      <c r="A74" s="62" t="str">
        <f aca="false">IF(Cadastro!$B19="","",Cadastro!$B19)</f>
        <v>Caio Fernandes Bastos</v>
      </c>
      <c r="B74" s="62" t="str">
        <f aca="false">IF($A74="","",Cadastro!$L19)</f>
        <v>Líbero</v>
      </c>
      <c r="C74" s="149" t="n">
        <f aca="false">IF($A74="",0,COUNTIFS('Carga (PSE)'!$C$8:$C$1007,$A74))</f>
        <v>21</v>
      </c>
      <c r="D74" s="147" t="n">
        <f aca="false">IF($A74="",0,SUMIFS('Carga (PSE)'!$G$8:$G$1007,'Carga (PSE)'!$C$8:$C$1007,$A74))</f>
        <v>12165</v>
      </c>
      <c r="E74" s="146" t="n">
        <f aca="false">IF($C74=0,0,$D74/$C74)</f>
        <v>579.285714285714</v>
      </c>
      <c r="F74" s="104" t="n">
        <f aca="false">IF($A74="",0,IFERROR(AVERAGEIFS('Carga (PSE)'!$J$8:$J$1007,'Carga (PSE)'!$C$8:$C$1007,$A74,'Carga (PSE)'!$A$8:$A$1007,SUMPRODUCT(MAX(('Carga (PSE)'!$C$8:$C$1007=$A74)*'Carga (PSE)'!$A$8:$A$1007))),0))</f>
        <v>1.26921496095356</v>
      </c>
      <c r="G74" s="65" t="n">
        <f aca="false">IF($A74="",0,IFERROR(INDEX(Presença!$L$8:$L$47,MATCH($A74,Presença!$I$8:$I$47,0)),0))</f>
        <v>0.84</v>
      </c>
      <c r="H74" s="63" t="n">
        <f aca="false">IF($A74="",0,IFERROR(AVERAGEIFS(Wellness!$H$8:$H$1007,Wellness!$C$8:$C$1007,$A74),0))</f>
        <v>11.5555555555556</v>
      </c>
      <c r="I74" s="62" t="str">
        <f aca="false">IF($A74="","",IF(Cadastro!$BL19="Lesionado","LESIONADO",IF($F74&gt;1.5,"ALERTA — carga aguda alta",IF($H74&gt;16,"ALERTA — wellness baixo",IF(AND($G74&gt;0,$G74&lt;0.75),"Assiduidade baixa",IF($C74=0,"Sem registros","OK"))))))</f>
        <v>OK</v>
      </c>
    </row>
    <row r="75" customFormat="false" ht="15" hidden="false" customHeight="false" outlineLevel="0" collapsed="false">
      <c r="A75" s="60" t="str">
        <f aca="false">IF(Cadastro!$B20="","",Cadastro!$B20)</f>
        <v/>
      </c>
      <c r="B75" s="60" t="str">
        <f aca="false">IF($A75="","",Cadastro!$L20)</f>
        <v/>
      </c>
      <c r="C75" s="33" t="n">
        <f aca="false">IF($A75="",0,COUNTIFS('Carga (PSE)'!$C$8:$C$1007,$A75))</f>
        <v>0</v>
      </c>
      <c r="D75" s="44" t="n">
        <f aca="false">IF($A75="",0,SUMIFS('Carga (PSE)'!$G$8:$G$1007,'Carga (PSE)'!$C$8:$C$1007,$A75))</f>
        <v>0</v>
      </c>
      <c r="E75" s="140" t="n">
        <f aca="false">IF($C75=0,0,$D75/$C75)</f>
        <v>0</v>
      </c>
      <c r="F75" s="100" t="n">
        <f aca="false">IF($A75="",0,IFERROR(AVERAGEIFS('Carga (PSE)'!$J$8:$J$1007,'Carga (PSE)'!$C$8:$C$1007,$A75,'Carga (PSE)'!$A$8:$A$1007,SUMPRODUCT(MAX(('Carga (PSE)'!$C$8:$C$1007=$A75)*'Carga (PSE)'!$A$8:$A$1007))),0))</f>
        <v>0</v>
      </c>
      <c r="G75" s="61" t="n">
        <f aca="false">IF($A75="",0,IFERROR(INDEX(Presença!$L$8:$L$47,MATCH($A75,Presença!$I$8:$I$47,0)),0))</f>
        <v>0</v>
      </c>
      <c r="H75" s="35" t="n">
        <f aca="false">IF($A75="",0,IFERROR(AVERAGEIFS(Wellness!$H$8:$H$1007,Wellness!$C$8:$C$1007,$A75),0))</f>
        <v>0</v>
      </c>
      <c r="I75" s="60" t="str">
        <f aca="false">IF($A75="","",IF(Cadastro!$BL20="Lesionado","LESIONADO",IF($F75&gt;1.5,"ALERTA — carga aguda alta",IF($H75&gt;16,"ALERTA — wellness baixo",IF(AND($G75&gt;0,$G75&lt;0.75),"Assiduidade baixa",IF($C75=0,"Sem registros","OK"))))))</f>
        <v/>
      </c>
    </row>
    <row r="76" customFormat="false" ht="15" hidden="false" customHeight="false" outlineLevel="0" collapsed="false">
      <c r="A76" s="62" t="str">
        <f aca="false">IF(Cadastro!$B21="","",Cadastro!$B21)</f>
        <v/>
      </c>
      <c r="B76" s="62" t="str">
        <f aca="false">IF($A76="","",Cadastro!$L21)</f>
        <v/>
      </c>
      <c r="C76" s="149" t="n">
        <f aca="false">IF($A76="",0,COUNTIFS('Carga (PSE)'!$C$8:$C$1007,$A76))</f>
        <v>0</v>
      </c>
      <c r="D76" s="147" t="n">
        <f aca="false">IF($A76="",0,SUMIFS('Carga (PSE)'!$G$8:$G$1007,'Carga (PSE)'!$C$8:$C$1007,$A76))</f>
        <v>0</v>
      </c>
      <c r="E76" s="146" t="n">
        <f aca="false">IF($C76=0,0,$D76/$C76)</f>
        <v>0</v>
      </c>
      <c r="F76" s="104" t="n">
        <f aca="false">IF($A76="",0,IFERROR(AVERAGEIFS('Carga (PSE)'!$J$8:$J$1007,'Carga (PSE)'!$C$8:$C$1007,$A76,'Carga (PSE)'!$A$8:$A$1007,SUMPRODUCT(MAX(('Carga (PSE)'!$C$8:$C$1007=$A76)*'Carga (PSE)'!$A$8:$A$1007))),0))</f>
        <v>0</v>
      </c>
      <c r="G76" s="65" t="n">
        <f aca="false">IF($A76="",0,IFERROR(INDEX(Presença!$L$8:$L$47,MATCH($A76,Presença!$I$8:$I$47,0)),0))</f>
        <v>0</v>
      </c>
      <c r="H76" s="63" t="n">
        <f aca="false">IF($A76="",0,IFERROR(AVERAGEIFS(Wellness!$H$8:$H$1007,Wellness!$C$8:$C$1007,$A76),0))</f>
        <v>0</v>
      </c>
      <c r="I76" s="62" t="str">
        <f aca="false">IF($A76="","",IF(Cadastro!$BL21="Lesionado","LESIONADO",IF($F76&gt;1.5,"ALERTA — carga aguda alta",IF($H76&gt;16,"ALERTA — wellness baixo",IF(AND($G76&gt;0,$G76&lt;0.75),"Assiduidade baixa",IF($C76=0,"Sem registros","OK"))))))</f>
        <v/>
      </c>
    </row>
    <row r="77" customFormat="false" ht="15" hidden="false" customHeight="false" outlineLevel="0" collapsed="false">
      <c r="A77" s="60" t="str">
        <f aca="false">IF(Cadastro!$B22="","",Cadastro!$B22)</f>
        <v/>
      </c>
      <c r="B77" s="60" t="str">
        <f aca="false">IF($A77="","",Cadastro!$L22)</f>
        <v/>
      </c>
      <c r="C77" s="33" t="n">
        <f aca="false">IF($A77="",0,COUNTIFS('Carga (PSE)'!$C$8:$C$1007,$A77))</f>
        <v>0</v>
      </c>
      <c r="D77" s="44" t="n">
        <f aca="false">IF($A77="",0,SUMIFS('Carga (PSE)'!$G$8:$G$1007,'Carga (PSE)'!$C$8:$C$1007,$A77))</f>
        <v>0</v>
      </c>
      <c r="E77" s="140" t="n">
        <f aca="false">IF($C77=0,0,$D77/$C77)</f>
        <v>0</v>
      </c>
      <c r="F77" s="100" t="n">
        <f aca="false">IF($A77="",0,IFERROR(AVERAGEIFS('Carga (PSE)'!$J$8:$J$1007,'Carga (PSE)'!$C$8:$C$1007,$A77,'Carga (PSE)'!$A$8:$A$1007,SUMPRODUCT(MAX(('Carga (PSE)'!$C$8:$C$1007=$A77)*'Carga (PSE)'!$A$8:$A$1007))),0))</f>
        <v>0</v>
      </c>
      <c r="G77" s="61" t="n">
        <f aca="false">IF($A77="",0,IFERROR(INDEX(Presença!$L$8:$L$47,MATCH($A77,Presença!$I$8:$I$47,0)),0))</f>
        <v>0</v>
      </c>
      <c r="H77" s="35" t="n">
        <f aca="false">IF($A77="",0,IFERROR(AVERAGEIFS(Wellness!$H$8:$H$1007,Wellness!$C$8:$C$1007,$A77),0))</f>
        <v>0</v>
      </c>
      <c r="I77" s="60" t="str">
        <f aca="false">IF($A77="","",IF(Cadastro!$BL22="Lesionado","LESIONADO",IF($F77&gt;1.5,"ALERTA — carga aguda alta",IF($H77&gt;16,"ALERTA — wellness baixo",IF(AND($G77&gt;0,$G77&lt;0.75),"Assiduidade baixa",IF($C77=0,"Sem registros","OK"))))))</f>
        <v/>
      </c>
    </row>
    <row r="78" customFormat="false" ht="15" hidden="false" customHeight="false" outlineLevel="0" collapsed="false">
      <c r="A78" s="62" t="str">
        <f aca="false">IF(Cadastro!$B23="","",Cadastro!$B23)</f>
        <v/>
      </c>
      <c r="B78" s="62" t="str">
        <f aca="false">IF($A78="","",Cadastro!$L23)</f>
        <v/>
      </c>
      <c r="C78" s="149" t="n">
        <f aca="false">IF($A78="",0,COUNTIFS('Carga (PSE)'!$C$8:$C$1007,$A78))</f>
        <v>0</v>
      </c>
      <c r="D78" s="147" t="n">
        <f aca="false">IF($A78="",0,SUMIFS('Carga (PSE)'!$G$8:$G$1007,'Carga (PSE)'!$C$8:$C$1007,$A78))</f>
        <v>0</v>
      </c>
      <c r="E78" s="146" t="n">
        <f aca="false">IF($C78=0,0,$D78/$C78)</f>
        <v>0</v>
      </c>
      <c r="F78" s="104" t="n">
        <f aca="false">IF($A78="",0,IFERROR(AVERAGEIFS('Carga (PSE)'!$J$8:$J$1007,'Carga (PSE)'!$C$8:$C$1007,$A78,'Carga (PSE)'!$A$8:$A$1007,SUMPRODUCT(MAX(('Carga (PSE)'!$C$8:$C$1007=$A78)*'Carga (PSE)'!$A$8:$A$1007))),0))</f>
        <v>0</v>
      </c>
      <c r="G78" s="65" t="n">
        <f aca="false">IF($A78="",0,IFERROR(INDEX(Presença!$L$8:$L$47,MATCH($A78,Presença!$I$8:$I$47,0)),0))</f>
        <v>0</v>
      </c>
      <c r="H78" s="63" t="n">
        <f aca="false">IF($A78="",0,IFERROR(AVERAGEIFS(Wellness!$H$8:$H$1007,Wellness!$C$8:$C$1007,$A78),0))</f>
        <v>0</v>
      </c>
      <c r="I78" s="62" t="str">
        <f aca="false">IF($A78="","",IF(Cadastro!$BL23="Lesionado","LESIONADO",IF($F78&gt;1.5,"ALERTA — carga aguda alta",IF($H78&gt;16,"ALERTA — wellness baixo",IF(AND($G78&gt;0,$G78&lt;0.75),"Assiduidade baixa",IF($C78=0,"Sem registros","OK"))))))</f>
        <v/>
      </c>
    </row>
    <row r="79" customFormat="false" ht="15" hidden="false" customHeight="false" outlineLevel="0" collapsed="false">
      <c r="A79" s="60" t="str">
        <f aca="false">IF(Cadastro!$B24="","",Cadastro!$B24)</f>
        <v/>
      </c>
      <c r="B79" s="60" t="str">
        <f aca="false">IF($A79="","",Cadastro!$L24)</f>
        <v/>
      </c>
      <c r="C79" s="33" t="n">
        <f aca="false">IF($A79="",0,COUNTIFS('Carga (PSE)'!$C$8:$C$1007,$A79))</f>
        <v>0</v>
      </c>
      <c r="D79" s="44" t="n">
        <f aca="false">IF($A79="",0,SUMIFS('Carga (PSE)'!$G$8:$G$1007,'Carga (PSE)'!$C$8:$C$1007,$A79))</f>
        <v>0</v>
      </c>
      <c r="E79" s="140" t="n">
        <f aca="false">IF($C79=0,0,$D79/$C79)</f>
        <v>0</v>
      </c>
      <c r="F79" s="100" t="n">
        <f aca="false">IF($A79="",0,IFERROR(AVERAGEIFS('Carga (PSE)'!$J$8:$J$1007,'Carga (PSE)'!$C$8:$C$1007,$A79,'Carga (PSE)'!$A$8:$A$1007,SUMPRODUCT(MAX(('Carga (PSE)'!$C$8:$C$1007=$A79)*'Carga (PSE)'!$A$8:$A$1007))),0))</f>
        <v>0</v>
      </c>
      <c r="G79" s="61" t="n">
        <f aca="false">IF($A79="",0,IFERROR(INDEX(Presença!$L$8:$L$47,MATCH($A79,Presença!$I$8:$I$47,0)),0))</f>
        <v>0</v>
      </c>
      <c r="H79" s="35" t="n">
        <f aca="false">IF($A79="",0,IFERROR(AVERAGEIFS(Wellness!$H$8:$H$1007,Wellness!$C$8:$C$1007,$A79),0))</f>
        <v>0</v>
      </c>
      <c r="I79" s="60" t="str">
        <f aca="false">IF($A79="","",IF(Cadastro!$BL24="Lesionado","LESIONADO",IF($F79&gt;1.5,"ALERTA — carga aguda alta",IF($H79&gt;16,"ALERTA — wellness baixo",IF(AND($G79&gt;0,$G79&lt;0.75),"Assiduidade baixa",IF($C79=0,"Sem registros","OK"))))))</f>
        <v/>
      </c>
    </row>
    <row r="80" customFormat="false" ht="15" hidden="false" customHeight="false" outlineLevel="0" collapsed="false">
      <c r="A80" s="62" t="str">
        <f aca="false">IF(Cadastro!$B25="","",Cadastro!$B25)</f>
        <v/>
      </c>
      <c r="B80" s="62" t="str">
        <f aca="false">IF($A80="","",Cadastro!$L25)</f>
        <v/>
      </c>
      <c r="C80" s="149" t="n">
        <f aca="false">IF($A80="",0,COUNTIFS('Carga (PSE)'!$C$8:$C$1007,$A80))</f>
        <v>0</v>
      </c>
      <c r="D80" s="147" t="n">
        <f aca="false">IF($A80="",0,SUMIFS('Carga (PSE)'!$G$8:$G$1007,'Carga (PSE)'!$C$8:$C$1007,$A80))</f>
        <v>0</v>
      </c>
      <c r="E80" s="146" t="n">
        <f aca="false">IF($C80=0,0,$D80/$C80)</f>
        <v>0</v>
      </c>
      <c r="F80" s="104" t="n">
        <f aca="false">IF($A80="",0,IFERROR(AVERAGEIFS('Carga (PSE)'!$J$8:$J$1007,'Carga (PSE)'!$C$8:$C$1007,$A80,'Carga (PSE)'!$A$8:$A$1007,SUMPRODUCT(MAX(('Carga (PSE)'!$C$8:$C$1007=$A80)*'Carga (PSE)'!$A$8:$A$1007))),0))</f>
        <v>0</v>
      </c>
      <c r="G80" s="65" t="n">
        <f aca="false">IF($A80="",0,IFERROR(INDEX(Presença!$L$8:$L$47,MATCH($A80,Presença!$I$8:$I$47,0)),0))</f>
        <v>0</v>
      </c>
      <c r="H80" s="63" t="n">
        <f aca="false">IF($A80="",0,IFERROR(AVERAGEIFS(Wellness!$H$8:$H$1007,Wellness!$C$8:$C$1007,$A80),0))</f>
        <v>0</v>
      </c>
      <c r="I80" s="62" t="str">
        <f aca="false">IF($A80="","",IF(Cadastro!$BL25="Lesionado","LESIONADO",IF($F80&gt;1.5,"ALERTA — carga aguda alta",IF($H80&gt;16,"ALERTA — wellness baixo",IF(AND($G80&gt;0,$G80&lt;0.75),"Assiduidade baixa",IF($C80=0,"Sem registros","OK"))))))</f>
        <v/>
      </c>
    </row>
    <row r="81" customFormat="false" ht="15" hidden="false" customHeight="false" outlineLevel="0" collapsed="false">
      <c r="A81" s="60" t="str">
        <f aca="false">IF(Cadastro!$B26="","",Cadastro!$B26)</f>
        <v/>
      </c>
      <c r="B81" s="60" t="str">
        <f aca="false">IF($A81="","",Cadastro!$L26)</f>
        <v/>
      </c>
      <c r="C81" s="33" t="n">
        <f aca="false">IF($A81="",0,COUNTIFS('Carga (PSE)'!$C$8:$C$1007,$A81))</f>
        <v>0</v>
      </c>
      <c r="D81" s="44" t="n">
        <f aca="false">IF($A81="",0,SUMIFS('Carga (PSE)'!$G$8:$G$1007,'Carga (PSE)'!$C$8:$C$1007,$A81))</f>
        <v>0</v>
      </c>
      <c r="E81" s="140" t="n">
        <f aca="false">IF($C81=0,0,$D81/$C81)</f>
        <v>0</v>
      </c>
      <c r="F81" s="100" t="n">
        <f aca="false">IF($A81="",0,IFERROR(AVERAGEIFS('Carga (PSE)'!$J$8:$J$1007,'Carga (PSE)'!$C$8:$C$1007,$A81,'Carga (PSE)'!$A$8:$A$1007,SUMPRODUCT(MAX(('Carga (PSE)'!$C$8:$C$1007=$A81)*'Carga (PSE)'!$A$8:$A$1007))),0))</f>
        <v>0</v>
      </c>
      <c r="G81" s="61" t="n">
        <f aca="false">IF($A81="",0,IFERROR(INDEX(Presença!$L$8:$L$47,MATCH($A81,Presença!$I$8:$I$47,0)),0))</f>
        <v>0</v>
      </c>
      <c r="H81" s="35" t="n">
        <f aca="false">IF($A81="",0,IFERROR(AVERAGEIFS(Wellness!$H$8:$H$1007,Wellness!$C$8:$C$1007,$A81),0))</f>
        <v>0</v>
      </c>
      <c r="I81" s="60" t="str">
        <f aca="false">IF($A81="","",IF(Cadastro!$BL26="Lesionado","LESIONADO",IF($F81&gt;1.5,"ALERTA — carga aguda alta",IF($H81&gt;16,"ALERTA — wellness baixo",IF(AND($G81&gt;0,$G81&lt;0.75),"Assiduidade baixa",IF($C81=0,"Sem registros","OK"))))))</f>
        <v/>
      </c>
    </row>
    <row r="82" customFormat="false" ht="15" hidden="false" customHeight="false" outlineLevel="0" collapsed="false">
      <c r="A82" s="62" t="str">
        <f aca="false">IF(Cadastro!$B27="","",Cadastro!$B27)</f>
        <v/>
      </c>
      <c r="B82" s="62" t="str">
        <f aca="false">IF($A82="","",Cadastro!$L27)</f>
        <v/>
      </c>
      <c r="C82" s="149" t="n">
        <f aca="false">IF($A82="",0,COUNTIFS('Carga (PSE)'!$C$8:$C$1007,$A82))</f>
        <v>0</v>
      </c>
      <c r="D82" s="147" t="n">
        <f aca="false">IF($A82="",0,SUMIFS('Carga (PSE)'!$G$8:$G$1007,'Carga (PSE)'!$C$8:$C$1007,$A82))</f>
        <v>0</v>
      </c>
      <c r="E82" s="146" t="n">
        <f aca="false">IF($C82=0,0,$D82/$C82)</f>
        <v>0</v>
      </c>
      <c r="F82" s="104" t="n">
        <f aca="false">IF($A82="",0,IFERROR(AVERAGEIFS('Carga (PSE)'!$J$8:$J$1007,'Carga (PSE)'!$C$8:$C$1007,$A82,'Carga (PSE)'!$A$8:$A$1007,SUMPRODUCT(MAX(('Carga (PSE)'!$C$8:$C$1007=$A82)*'Carga (PSE)'!$A$8:$A$1007))),0))</f>
        <v>0</v>
      </c>
      <c r="G82" s="65" t="n">
        <f aca="false">IF($A82="",0,IFERROR(INDEX(Presença!$L$8:$L$47,MATCH($A82,Presença!$I$8:$I$47,0)),0))</f>
        <v>0</v>
      </c>
      <c r="H82" s="63" t="n">
        <f aca="false">IF($A82="",0,IFERROR(AVERAGEIFS(Wellness!$H$8:$H$1007,Wellness!$C$8:$C$1007,$A82),0))</f>
        <v>0</v>
      </c>
      <c r="I82" s="62" t="str">
        <f aca="false">IF($A82="","",IF(Cadastro!$BL27="Lesionado","LESIONADO",IF($F82&gt;1.5,"ALERTA — carga aguda alta",IF($H82&gt;16,"ALERTA — wellness baixo",IF(AND($G82&gt;0,$G82&lt;0.75),"Assiduidade baixa",IF($C82=0,"Sem registros","OK"))))))</f>
        <v/>
      </c>
    </row>
    <row r="83" customFormat="false" ht="15" hidden="false" customHeight="false" outlineLevel="0" collapsed="false">
      <c r="A83" s="60" t="str">
        <f aca="false">IF(Cadastro!$B28="","",Cadastro!$B28)</f>
        <v/>
      </c>
      <c r="B83" s="60" t="str">
        <f aca="false">IF($A83="","",Cadastro!$L28)</f>
        <v/>
      </c>
      <c r="C83" s="33" t="n">
        <f aca="false">IF($A83="",0,COUNTIFS('Carga (PSE)'!$C$8:$C$1007,$A83))</f>
        <v>0</v>
      </c>
      <c r="D83" s="44" t="n">
        <f aca="false">IF($A83="",0,SUMIFS('Carga (PSE)'!$G$8:$G$1007,'Carga (PSE)'!$C$8:$C$1007,$A83))</f>
        <v>0</v>
      </c>
      <c r="E83" s="140" t="n">
        <f aca="false">IF($C83=0,0,$D83/$C83)</f>
        <v>0</v>
      </c>
      <c r="F83" s="100" t="n">
        <f aca="false">IF($A83="",0,IFERROR(AVERAGEIFS('Carga (PSE)'!$J$8:$J$1007,'Carga (PSE)'!$C$8:$C$1007,$A83,'Carga (PSE)'!$A$8:$A$1007,SUMPRODUCT(MAX(('Carga (PSE)'!$C$8:$C$1007=$A83)*'Carga (PSE)'!$A$8:$A$1007))),0))</f>
        <v>0</v>
      </c>
      <c r="G83" s="61" t="n">
        <f aca="false">IF($A83="",0,IFERROR(INDEX(Presença!$L$8:$L$47,MATCH($A83,Presença!$I$8:$I$47,0)),0))</f>
        <v>0</v>
      </c>
      <c r="H83" s="35" t="n">
        <f aca="false">IF($A83="",0,IFERROR(AVERAGEIFS(Wellness!$H$8:$H$1007,Wellness!$C$8:$C$1007,$A83),0))</f>
        <v>0</v>
      </c>
      <c r="I83" s="60" t="str">
        <f aca="false">IF($A83="","",IF(Cadastro!$BL28="Lesionado","LESIONADO",IF($F83&gt;1.5,"ALERTA — carga aguda alta",IF($H83&gt;16,"ALERTA — wellness baixo",IF(AND($G83&gt;0,$G83&lt;0.75),"Assiduidade baixa",IF($C83=0,"Sem registros","OK"))))))</f>
        <v/>
      </c>
    </row>
    <row r="84" customFormat="false" ht="15" hidden="false" customHeight="false" outlineLevel="0" collapsed="false">
      <c r="A84" s="62" t="str">
        <f aca="false">IF(Cadastro!$B29="","",Cadastro!$B29)</f>
        <v/>
      </c>
      <c r="B84" s="62" t="str">
        <f aca="false">IF($A84="","",Cadastro!$L29)</f>
        <v/>
      </c>
      <c r="C84" s="149" t="n">
        <f aca="false">IF($A84="",0,COUNTIFS('Carga (PSE)'!$C$8:$C$1007,$A84))</f>
        <v>0</v>
      </c>
      <c r="D84" s="147" t="n">
        <f aca="false">IF($A84="",0,SUMIFS('Carga (PSE)'!$G$8:$G$1007,'Carga (PSE)'!$C$8:$C$1007,$A84))</f>
        <v>0</v>
      </c>
      <c r="E84" s="146" t="n">
        <f aca="false">IF($C84=0,0,$D84/$C84)</f>
        <v>0</v>
      </c>
      <c r="F84" s="104" t="n">
        <f aca="false">IF($A84="",0,IFERROR(AVERAGEIFS('Carga (PSE)'!$J$8:$J$1007,'Carga (PSE)'!$C$8:$C$1007,$A84,'Carga (PSE)'!$A$8:$A$1007,SUMPRODUCT(MAX(('Carga (PSE)'!$C$8:$C$1007=$A84)*'Carga (PSE)'!$A$8:$A$1007))),0))</f>
        <v>0</v>
      </c>
      <c r="G84" s="65" t="n">
        <f aca="false">IF($A84="",0,IFERROR(INDEX(Presença!$L$8:$L$47,MATCH($A84,Presença!$I$8:$I$47,0)),0))</f>
        <v>0</v>
      </c>
      <c r="H84" s="63" t="n">
        <f aca="false">IF($A84="",0,IFERROR(AVERAGEIFS(Wellness!$H$8:$H$1007,Wellness!$C$8:$C$1007,$A84),0))</f>
        <v>0</v>
      </c>
      <c r="I84" s="62" t="str">
        <f aca="false">IF($A84="","",IF(Cadastro!$BL29="Lesionado","LESIONADO",IF($F84&gt;1.5,"ALERTA — carga aguda alta",IF($H84&gt;16,"ALERTA — wellness baixo",IF(AND($G84&gt;0,$G84&lt;0.75),"Assiduidade baixa",IF($C84=0,"Sem registros","OK"))))))</f>
        <v/>
      </c>
    </row>
    <row r="85" customFormat="false" ht="15" hidden="false" customHeight="false" outlineLevel="0" collapsed="false">
      <c r="A85" s="60" t="str">
        <f aca="false">IF(Cadastro!$B30="","",Cadastro!$B30)</f>
        <v/>
      </c>
      <c r="B85" s="60" t="str">
        <f aca="false">IF($A85="","",Cadastro!$L30)</f>
        <v/>
      </c>
      <c r="C85" s="33" t="n">
        <f aca="false">IF($A85="",0,COUNTIFS('Carga (PSE)'!$C$8:$C$1007,$A85))</f>
        <v>0</v>
      </c>
      <c r="D85" s="44" t="n">
        <f aca="false">IF($A85="",0,SUMIFS('Carga (PSE)'!$G$8:$G$1007,'Carga (PSE)'!$C$8:$C$1007,$A85))</f>
        <v>0</v>
      </c>
      <c r="E85" s="140" t="n">
        <f aca="false">IF($C85=0,0,$D85/$C85)</f>
        <v>0</v>
      </c>
      <c r="F85" s="100" t="n">
        <f aca="false">IF($A85="",0,IFERROR(AVERAGEIFS('Carga (PSE)'!$J$8:$J$1007,'Carga (PSE)'!$C$8:$C$1007,$A85,'Carga (PSE)'!$A$8:$A$1007,SUMPRODUCT(MAX(('Carga (PSE)'!$C$8:$C$1007=$A85)*'Carga (PSE)'!$A$8:$A$1007))),0))</f>
        <v>0</v>
      </c>
      <c r="G85" s="61" t="n">
        <f aca="false">IF($A85="",0,IFERROR(INDEX(Presença!$L$8:$L$47,MATCH($A85,Presença!$I$8:$I$47,0)),0))</f>
        <v>0</v>
      </c>
      <c r="H85" s="35" t="n">
        <f aca="false">IF($A85="",0,IFERROR(AVERAGEIFS(Wellness!$H$8:$H$1007,Wellness!$C$8:$C$1007,$A85),0))</f>
        <v>0</v>
      </c>
      <c r="I85" s="60" t="str">
        <f aca="false">IF($A85="","",IF(Cadastro!$BL30="Lesionado","LESIONADO",IF($F85&gt;1.5,"ALERTA — carga aguda alta",IF($H85&gt;16,"ALERTA — wellness baixo",IF(AND($G85&gt;0,$G85&lt;0.75),"Assiduidade baixa",IF($C85=0,"Sem registros","OK"))))))</f>
        <v/>
      </c>
    </row>
    <row r="86" customFormat="false" ht="15" hidden="false" customHeight="false" outlineLevel="0" collapsed="false">
      <c r="A86" s="62" t="str">
        <f aca="false">IF(Cadastro!$B31="","",Cadastro!$B31)</f>
        <v/>
      </c>
      <c r="B86" s="62" t="str">
        <f aca="false">IF($A86="","",Cadastro!$L31)</f>
        <v/>
      </c>
      <c r="C86" s="149" t="n">
        <f aca="false">IF($A86="",0,COUNTIFS('Carga (PSE)'!$C$8:$C$1007,$A86))</f>
        <v>0</v>
      </c>
      <c r="D86" s="147" t="n">
        <f aca="false">IF($A86="",0,SUMIFS('Carga (PSE)'!$G$8:$G$1007,'Carga (PSE)'!$C$8:$C$1007,$A86))</f>
        <v>0</v>
      </c>
      <c r="E86" s="146" t="n">
        <f aca="false">IF($C86=0,0,$D86/$C86)</f>
        <v>0</v>
      </c>
      <c r="F86" s="104" t="n">
        <f aca="false">IF($A86="",0,IFERROR(AVERAGEIFS('Carga (PSE)'!$J$8:$J$1007,'Carga (PSE)'!$C$8:$C$1007,$A86,'Carga (PSE)'!$A$8:$A$1007,SUMPRODUCT(MAX(('Carga (PSE)'!$C$8:$C$1007=$A86)*'Carga (PSE)'!$A$8:$A$1007))),0))</f>
        <v>0</v>
      </c>
      <c r="G86" s="65" t="n">
        <f aca="false">IF($A86="",0,IFERROR(INDEX(Presença!$L$8:$L$47,MATCH($A86,Presença!$I$8:$I$47,0)),0))</f>
        <v>0</v>
      </c>
      <c r="H86" s="63" t="n">
        <f aca="false">IF($A86="",0,IFERROR(AVERAGEIFS(Wellness!$H$8:$H$1007,Wellness!$C$8:$C$1007,$A86),0))</f>
        <v>0</v>
      </c>
      <c r="I86" s="62" t="str">
        <f aca="false">IF($A86="","",IF(Cadastro!$BL31="Lesionado","LESIONADO",IF($F86&gt;1.5,"ALERTA — carga aguda alta",IF($H86&gt;16,"ALERTA — wellness baixo",IF(AND($G86&gt;0,$G86&lt;0.75),"Assiduidade baixa",IF($C86=0,"Sem registros","OK"))))))</f>
        <v/>
      </c>
    </row>
    <row r="87" customFormat="false" ht="15" hidden="false" customHeight="false" outlineLevel="0" collapsed="false">
      <c r="A87" s="60" t="str">
        <f aca="false">IF(Cadastro!$B32="","",Cadastro!$B32)</f>
        <v/>
      </c>
      <c r="B87" s="60" t="str">
        <f aca="false">IF($A87="","",Cadastro!$L32)</f>
        <v/>
      </c>
      <c r="C87" s="33" t="n">
        <f aca="false">IF($A87="",0,COUNTIFS('Carga (PSE)'!$C$8:$C$1007,$A87))</f>
        <v>0</v>
      </c>
      <c r="D87" s="44" t="n">
        <f aca="false">IF($A87="",0,SUMIFS('Carga (PSE)'!$G$8:$G$1007,'Carga (PSE)'!$C$8:$C$1007,$A87))</f>
        <v>0</v>
      </c>
      <c r="E87" s="140" t="n">
        <f aca="false">IF($C87=0,0,$D87/$C87)</f>
        <v>0</v>
      </c>
      <c r="F87" s="100" t="n">
        <f aca="false">IF($A87="",0,IFERROR(AVERAGEIFS('Carga (PSE)'!$J$8:$J$1007,'Carga (PSE)'!$C$8:$C$1007,$A87,'Carga (PSE)'!$A$8:$A$1007,SUMPRODUCT(MAX(('Carga (PSE)'!$C$8:$C$1007=$A87)*'Carga (PSE)'!$A$8:$A$1007))),0))</f>
        <v>0</v>
      </c>
      <c r="G87" s="61" t="n">
        <f aca="false">IF($A87="",0,IFERROR(INDEX(Presença!$L$8:$L$47,MATCH($A87,Presença!$I$8:$I$47,0)),0))</f>
        <v>0</v>
      </c>
      <c r="H87" s="35" t="n">
        <f aca="false">IF($A87="",0,IFERROR(AVERAGEIFS(Wellness!$H$8:$H$1007,Wellness!$C$8:$C$1007,$A87),0))</f>
        <v>0</v>
      </c>
      <c r="I87" s="60" t="str">
        <f aca="false">IF($A87="","",IF(Cadastro!$BL32="Lesionado","LESIONADO",IF($F87&gt;1.5,"ALERTA — carga aguda alta",IF($H87&gt;16,"ALERTA — wellness baixo",IF(AND($G87&gt;0,$G87&lt;0.75),"Assiduidade baixa",IF($C87=0,"Sem registros","OK"))))))</f>
        <v/>
      </c>
    </row>
    <row r="88" customFormat="false" ht="15" hidden="false" customHeight="false" outlineLevel="0" collapsed="false">
      <c r="A88" s="62" t="str">
        <f aca="false">IF(Cadastro!$B33="","",Cadastro!$B33)</f>
        <v/>
      </c>
      <c r="B88" s="62" t="str">
        <f aca="false">IF($A88="","",Cadastro!$L33)</f>
        <v/>
      </c>
      <c r="C88" s="149" t="n">
        <f aca="false">IF($A88="",0,COUNTIFS('Carga (PSE)'!$C$8:$C$1007,$A88))</f>
        <v>0</v>
      </c>
      <c r="D88" s="147" t="n">
        <f aca="false">IF($A88="",0,SUMIFS('Carga (PSE)'!$G$8:$G$1007,'Carga (PSE)'!$C$8:$C$1007,$A88))</f>
        <v>0</v>
      </c>
      <c r="E88" s="146" t="n">
        <f aca="false">IF($C88=0,0,$D88/$C88)</f>
        <v>0</v>
      </c>
      <c r="F88" s="104" t="n">
        <f aca="false">IF($A88="",0,IFERROR(AVERAGEIFS('Carga (PSE)'!$J$8:$J$1007,'Carga (PSE)'!$C$8:$C$1007,$A88,'Carga (PSE)'!$A$8:$A$1007,SUMPRODUCT(MAX(('Carga (PSE)'!$C$8:$C$1007=$A88)*'Carga (PSE)'!$A$8:$A$1007))),0))</f>
        <v>0</v>
      </c>
      <c r="G88" s="65" t="n">
        <f aca="false">IF($A88="",0,IFERROR(INDEX(Presença!$L$8:$L$47,MATCH($A88,Presença!$I$8:$I$47,0)),0))</f>
        <v>0</v>
      </c>
      <c r="H88" s="63" t="n">
        <f aca="false">IF($A88="",0,IFERROR(AVERAGEIFS(Wellness!$H$8:$H$1007,Wellness!$C$8:$C$1007,$A88),0))</f>
        <v>0</v>
      </c>
      <c r="I88" s="62" t="str">
        <f aca="false">IF($A88="","",IF(Cadastro!$BL33="Lesionado","LESIONADO",IF($F88&gt;1.5,"ALERTA — carga aguda alta",IF($H88&gt;16,"ALERTA — wellness baixo",IF(AND($G88&gt;0,$G88&lt;0.75),"Assiduidade baixa",IF($C88=0,"Sem registros","OK"))))))</f>
        <v/>
      </c>
    </row>
    <row r="89" customFormat="false" ht="15" hidden="false" customHeight="false" outlineLevel="0" collapsed="false">
      <c r="A89" s="60" t="str">
        <f aca="false">IF(Cadastro!$B34="","",Cadastro!$B34)</f>
        <v/>
      </c>
      <c r="B89" s="60" t="str">
        <f aca="false">IF($A89="","",Cadastro!$L34)</f>
        <v/>
      </c>
      <c r="C89" s="33" t="n">
        <f aca="false">IF($A89="",0,COUNTIFS('Carga (PSE)'!$C$8:$C$1007,$A89))</f>
        <v>0</v>
      </c>
      <c r="D89" s="44" t="n">
        <f aca="false">IF($A89="",0,SUMIFS('Carga (PSE)'!$G$8:$G$1007,'Carga (PSE)'!$C$8:$C$1007,$A89))</f>
        <v>0</v>
      </c>
      <c r="E89" s="140" t="n">
        <f aca="false">IF($C89=0,0,$D89/$C89)</f>
        <v>0</v>
      </c>
      <c r="F89" s="100" t="n">
        <f aca="false">IF($A89="",0,IFERROR(AVERAGEIFS('Carga (PSE)'!$J$8:$J$1007,'Carga (PSE)'!$C$8:$C$1007,$A89,'Carga (PSE)'!$A$8:$A$1007,SUMPRODUCT(MAX(('Carga (PSE)'!$C$8:$C$1007=$A89)*'Carga (PSE)'!$A$8:$A$1007))),0))</f>
        <v>0</v>
      </c>
      <c r="G89" s="61" t="n">
        <f aca="false">IF($A89="",0,IFERROR(INDEX(Presença!$L$8:$L$47,MATCH($A89,Presença!$I$8:$I$47,0)),0))</f>
        <v>0</v>
      </c>
      <c r="H89" s="35" t="n">
        <f aca="false">IF($A89="",0,IFERROR(AVERAGEIFS(Wellness!$H$8:$H$1007,Wellness!$C$8:$C$1007,$A89),0))</f>
        <v>0</v>
      </c>
      <c r="I89" s="60" t="str">
        <f aca="false">IF($A89="","",IF(Cadastro!$BL34="Lesionado","LESIONADO",IF($F89&gt;1.5,"ALERTA — carga aguda alta",IF($H89&gt;16,"ALERTA — wellness baixo",IF(AND($G89&gt;0,$G89&lt;0.75),"Assiduidade baixa",IF($C89=0,"Sem registros","OK"))))))</f>
        <v/>
      </c>
    </row>
    <row r="90" customFormat="false" ht="15" hidden="false" customHeight="false" outlineLevel="0" collapsed="false">
      <c r="A90" s="62" t="str">
        <f aca="false">IF(Cadastro!$B35="","",Cadastro!$B35)</f>
        <v/>
      </c>
      <c r="B90" s="62" t="str">
        <f aca="false">IF($A90="","",Cadastro!$L35)</f>
        <v/>
      </c>
      <c r="C90" s="149" t="n">
        <f aca="false">IF($A90="",0,COUNTIFS('Carga (PSE)'!$C$8:$C$1007,$A90))</f>
        <v>0</v>
      </c>
      <c r="D90" s="147" t="n">
        <f aca="false">IF($A90="",0,SUMIFS('Carga (PSE)'!$G$8:$G$1007,'Carga (PSE)'!$C$8:$C$1007,$A90))</f>
        <v>0</v>
      </c>
      <c r="E90" s="146" t="n">
        <f aca="false">IF($C90=0,0,$D90/$C90)</f>
        <v>0</v>
      </c>
      <c r="F90" s="104" t="n">
        <f aca="false">IF($A90="",0,IFERROR(AVERAGEIFS('Carga (PSE)'!$J$8:$J$1007,'Carga (PSE)'!$C$8:$C$1007,$A90,'Carga (PSE)'!$A$8:$A$1007,SUMPRODUCT(MAX(('Carga (PSE)'!$C$8:$C$1007=$A90)*'Carga (PSE)'!$A$8:$A$1007))),0))</f>
        <v>0</v>
      </c>
      <c r="G90" s="65" t="n">
        <f aca="false">IF($A90="",0,IFERROR(INDEX(Presença!$L$8:$L$47,MATCH($A90,Presença!$I$8:$I$47,0)),0))</f>
        <v>0</v>
      </c>
      <c r="H90" s="63" t="n">
        <f aca="false">IF($A90="",0,IFERROR(AVERAGEIFS(Wellness!$H$8:$H$1007,Wellness!$C$8:$C$1007,$A90),0))</f>
        <v>0</v>
      </c>
      <c r="I90" s="62" t="str">
        <f aca="false">IF($A90="","",IF(Cadastro!$BL35="Lesionado","LESIONADO",IF($F90&gt;1.5,"ALERTA — carga aguda alta",IF($H90&gt;16,"ALERTA — wellness baixo",IF(AND($G90&gt;0,$G90&lt;0.75),"Assiduidade baixa",IF($C90=0,"Sem registros","OK"))))))</f>
        <v/>
      </c>
    </row>
    <row r="91" customFormat="false" ht="15" hidden="false" customHeight="false" outlineLevel="0" collapsed="false">
      <c r="A91" s="60" t="str">
        <f aca="false">IF(Cadastro!$B36="","",Cadastro!$B36)</f>
        <v/>
      </c>
      <c r="B91" s="60" t="str">
        <f aca="false">IF($A91="","",Cadastro!$L36)</f>
        <v/>
      </c>
      <c r="C91" s="33" t="n">
        <f aca="false">IF($A91="",0,COUNTIFS('Carga (PSE)'!$C$8:$C$1007,$A91))</f>
        <v>0</v>
      </c>
      <c r="D91" s="44" t="n">
        <f aca="false">IF($A91="",0,SUMIFS('Carga (PSE)'!$G$8:$G$1007,'Carga (PSE)'!$C$8:$C$1007,$A91))</f>
        <v>0</v>
      </c>
      <c r="E91" s="140" t="n">
        <f aca="false">IF($C91=0,0,$D91/$C91)</f>
        <v>0</v>
      </c>
      <c r="F91" s="100" t="n">
        <f aca="false">IF($A91="",0,IFERROR(AVERAGEIFS('Carga (PSE)'!$J$8:$J$1007,'Carga (PSE)'!$C$8:$C$1007,$A91,'Carga (PSE)'!$A$8:$A$1007,SUMPRODUCT(MAX(('Carga (PSE)'!$C$8:$C$1007=$A91)*'Carga (PSE)'!$A$8:$A$1007))),0))</f>
        <v>0</v>
      </c>
      <c r="G91" s="61" t="n">
        <f aca="false">IF($A91="",0,IFERROR(INDEX(Presença!$L$8:$L$47,MATCH($A91,Presença!$I$8:$I$47,0)),0))</f>
        <v>0</v>
      </c>
      <c r="H91" s="35" t="n">
        <f aca="false">IF($A91="",0,IFERROR(AVERAGEIFS(Wellness!$H$8:$H$1007,Wellness!$C$8:$C$1007,$A91),0))</f>
        <v>0</v>
      </c>
      <c r="I91" s="60" t="str">
        <f aca="false">IF($A91="","",IF(Cadastro!$BL36="Lesionado","LESIONADO",IF($F91&gt;1.5,"ALERTA — carga aguda alta",IF($H91&gt;16,"ALERTA — wellness baixo",IF(AND($G91&gt;0,$G91&lt;0.75),"Assiduidade baixa",IF($C91=0,"Sem registros","OK"))))))</f>
        <v/>
      </c>
    </row>
    <row r="92" customFormat="false" ht="15" hidden="false" customHeight="false" outlineLevel="0" collapsed="false">
      <c r="A92" s="62" t="str">
        <f aca="false">IF(Cadastro!$B37="","",Cadastro!$B37)</f>
        <v/>
      </c>
      <c r="B92" s="62" t="str">
        <f aca="false">IF($A92="","",Cadastro!$L37)</f>
        <v/>
      </c>
      <c r="C92" s="149" t="n">
        <f aca="false">IF($A92="",0,COUNTIFS('Carga (PSE)'!$C$8:$C$1007,$A92))</f>
        <v>0</v>
      </c>
      <c r="D92" s="147" t="n">
        <f aca="false">IF($A92="",0,SUMIFS('Carga (PSE)'!$G$8:$G$1007,'Carga (PSE)'!$C$8:$C$1007,$A92))</f>
        <v>0</v>
      </c>
      <c r="E92" s="146" t="n">
        <f aca="false">IF($C92=0,0,$D92/$C92)</f>
        <v>0</v>
      </c>
      <c r="F92" s="104" t="n">
        <f aca="false">IF($A92="",0,IFERROR(AVERAGEIFS('Carga (PSE)'!$J$8:$J$1007,'Carga (PSE)'!$C$8:$C$1007,$A92,'Carga (PSE)'!$A$8:$A$1007,SUMPRODUCT(MAX(('Carga (PSE)'!$C$8:$C$1007=$A92)*'Carga (PSE)'!$A$8:$A$1007))),0))</f>
        <v>0</v>
      </c>
      <c r="G92" s="65" t="n">
        <f aca="false">IF($A92="",0,IFERROR(INDEX(Presença!$L$8:$L$47,MATCH($A92,Presença!$I$8:$I$47,0)),0))</f>
        <v>0</v>
      </c>
      <c r="H92" s="63" t="n">
        <f aca="false">IF($A92="",0,IFERROR(AVERAGEIFS(Wellness!$H$8:$H$1007,Wellness!$C$8:$C$1007,$A92),0))</f>
        <v>0</v>
      </c>
      <c r="I92" s="62" t="str">
        <f aca="false">IF($A92="","",IF(Cadastro!$BL37="Lesionado","LESIONADO",IF($F92&gt;1.5,"ALERTA — carga aguda alta",IF($H92&gt;16,"ALERTA — wellness baixo",IF(AND($G92&gt;0,$G92&lt;0.75),"Assiduidade baixa",IF($C92=0,"Sem registros","OK"))))))</f>
        <v/>
      </c>
    </row>
    <row r="93" customFormat="false" ht="15" hidden="false" customHeight="false" outlineLevel="0" collapsed="false">
      <c r="A93" s="60" t="str">
        <f aca="false">IF(Cadastro!$B38="","",Cadastro!$B38)</f>
        <v/>
      </c>
      <c r="B93" s="60" t="str">
        <f aca="false">IF($A93="","",Cadastro!$L38)</f>
        <v/>
      </c>
      <c r="C93" s="33" t="n">
        <f aca="false">IF($A93="",0,COUNTIFS('Carga (PSE)'!$C$8:$C$1007,$A93))</f>
        <v>0</v>
      </c>
      <c r="D93" s="44" t="n">
        <f aca="false">IF($A93="",0,SUMIFS('Carga (PSE)'!$G$8:$G$1007,'Carga (PSE)'!$C$8:$C$1007,$A93))</f>
        <v>0</v>
      </c>
      <c r="E93" s="140" t="n">
        <f aca="false">IF($C93=0,0,$D93/$C93)</f>
        <v>0</v>
      </c>
      <c r="F93" s="100" t="n">
        <f aca="false">IF($A93="",0,IFERROR(AVERAGEIFS('Carga (PSE)'!$J$8:$J$1007,'Carga (PSE)'!$C$8:$C$1007,$A93,'Carga (PSE)'!$A$8:$A$1007,SUMPRODUCT(MAX(('Carga (PSE)'!$C$8:$C$1007=$A93)*'Carga (PSE)'!$A$8:$A$1007))),0))</f>
        <v>0</v>
      </c>
      <c r="G93" s="61" t="n">
        <f aca="false">IF($A93="",0,IFERROR(INDEX(Presença!$L$8:$L$47,MATCH($A93,Presença!$I$8:$I$47,0)),0))</f>
        <v>0</v>
      </c>
      <c r="H93" s="35" t="n">
        <f aca="false">IF($A93="",0,IFERROR(AVERAGEIFS(Wellness!$H$8:$H$1007,Wellness!$C$8:$C$1007,$A93),0))</f>
        <v>0</v>
      </c>
      <c r="I93" s="60" t="str">
        <f aca="false">IF($A93="","",IF(Cadastro!$BL38="Lesionado","LESIONADO",IF($F93&gt;1.5,"ALERTA — carga aguda alta",IF($H93&gt;16,"ALERTA — wellness baixo",IF(AND($G93&gt;0,$G93&lt;0.75),"Assiduidade baixa",IF($C93=0,"Sem registros","OK"))))))</f>
        <v/>
      </c>
    </row>
    <row r="94" customFormat="false" ht="15" hidden="false" customHeight="false" outlineLevel="0" collapsed="false">
      <c r="A94" s="62" t="str">
        <f aca="false">IF(Cadastro!$B39="","",Cadastro!$B39)</f>
        <v/>
      </c>
      <c r="B94" s="62" t="str">
        <f aca="false">IF($A94="","",Cadastro!$L39)</f>
        <v/>
      </c>
      <c r="C94" s="149" t="n">
        <f aca="false">IF($A94="",0,COUNTIFS('Carga (PSE)'!$C$8:$C$1007,$A94))</f>
        <v>0</v>
      </c>
      <c r="D94" s="147" t="n">
        <f aca="false">IF($A94="",0,SUMIFS('Carga (PSE)'!$G$8:$G$1007,'Carga (PSE)'!$C$8:$C$1007,$A94))</f>
        <v>0</v>
      </c>
      <c r="E94" s="146" t="n">
        <f aca="false">IF($C94=0,0,$D94/$C94)</f>
        <v>0</v>
      </c>
      <c r="F94" s="104" t="n">
        <f aca="false">IF($A94="",0,IFERROR(AVERAGEIFS('Carga (PSE)'!$J$8:$J$1007,'Carga (PSE)'!$C$8:$C$1007,$A94,'Carga (PSE)'!$A$8:$A$1007,SUMPRODUCT(MAX(('Carga (PSE)'!$C$8:$C$1007=$A94)*'Carga (PSE)'!$A$8:$A$1007))),0))</f>
        <v>0</v>
      </c>
      <c r="G94" s="65" t="n">
        <f aca="false">IF($A94="",0,IFERROR(INDEX(Presença!$L$8:$L$47,MATCH($A94,Presença!$I$8:$I$47,0)),0))</f>
        <v>0</v>
      </c>
      <c r="H94" s="63" t="n">
        <f aca="false">IF($A94="",0,IFERROR(AVERAGEIFS(Wellness!$H$8:$H$1007,Wellness!$C$8:$C$1007,$A94),0))</f>
        <v>0</v>
      </c>
      <c r="I94" s="62" t="str">
        <f aca="false">IF($A94="","",IF(Cadastro!$BL39="Lesionado","LESIONADO",IF($F94&gt;1.5,"ALERTA — carga aguda alta",IF($H94&gt;16,"ALERTA — wellness baixo",IF(AND($G94&gt;0,$G94&lt;0.75),"Assiduidade baixa",IF($C94=0,"Sem registros","OK"))))))</f>
        <v/>
      </c>
    </row>
    <row r="95" customFormat="false" ht="15" hidden="false" customHeight="false" outlineLevel="0" collapsed="false">
      <c r="A95" s="60" t="str">
        <f aca="false">IF(Cadastro!$B40="","",Cadastro!$B40)</f>
        <v/>
      </c>
      <c r="B95" s="60" t="str">
        <f aca="false">IF($A95="","",Cadastro!$L40)</f>
        <v/>
      </c>
      <c r="C95" s="33" t="n">
        <f aca="false">IF($A95="",0,COUNTIFS('Carga (PSE)'!$C$8:$C$1007,$A95))</f>
        <v>0</v>
      </c>
      <c r="D95" s="44" t="n">
        <f aca="false">IF($A95="",0,SUMIFS('Carga (PSE)'!$G$8:$G$1007,'Carga (PSE)'!$C$8:$C$1007,$A95))</f>
        <v>0</v>
      </c>
      <c r="E95" s="140" t="n">
        <f aca="false">IF($C95=0,0,$D95/$C95)</f>
        <v>0</v>
      </c>
      <c r="F95" s="100" t="n">
        <f aca="false">IF($A95="",0,IFERROR(AVERAGEIFS('Carga (PSE)'!$J$8:$J$1007,'Carga (PSE)'!$C$8:$C$1007,$A95,'Carga (PSE)'!$A$8:$A$1007,SUMPRODUCT(MAX(('Carga (PSE)'!$C$8:$C$1007=$A95)*'Carga (PSE)'!$A$8:$A$1007))),0))</f>
        <v>0</v>
      </c>
      <c r="G95" s="61" t="n">
        <f aca="false">IF($A95="",0,IFERROR(INDEX(Presença!$L$8:$L$47,MATCH($A95,Presença!$I$8:$I$47,0)),0))</f>
        <v>0</v>
      </c>
      <c r="H95" s="35" t="n">
        <f aca="false">IF($A95="",0,IFERROR(AVERAGEIFS(Wellness!$H$8:$H$1007,Wellness!$C$8:$C$1007,$A95),0))</f>
        <v>0</v>
      </c>
      <c r="I95" s="60" t="str">
        <f aca="false">IF($A95="","",IF(Cadastro!$BL40="Lesionado","LESIONADO",IF($F95&gt;1.5,"ALERTA — carga aguda alta",IF($H95&gt;16,"ALERTA — wellness baixo",IF(AND($G95&gt;0,$G95&lt;0.75),"Assiduidade baixa",IF($C95=0,"Sem registros","OK"))))))</f>
        <v/>
      </c>
    </row>
    <row r="96" customFormat="false" ht="15" hidden="false" customHeight="false" outlineLevel="0" collapsed="false">
      <c r="A96" s="62" t="str">
        <f aca="false">IF(Cadastro!$B41="","",Cadastro!$B41)</f>
        <v/>
      </c>
      <c r="B96" s="62" t="str">
        <f aca="false">IF($A96="","",Cadastro!$L41)</f>
        <v/>
      </c>
      <c r="C96" s="149" t="n">
        <f aca="false">IF($A96="",0,COUNTIFS('Carga (PSE)'!$C$8:$C$1007,$A96))</f>
        <v>0</v>
      </c>
      <c r="D96" s="147" t="n">
        <f aca="false">IF($A96="",0,SUMIFS('Carga (PSE)'!$G$8:$G$1007,'Carga (PSE)'!$C$8:$C$1007,$A96))</f>
        <v>0</v>
      </c>
      <c r="E96" s="146" t="n">
        <f aca="false">IF($C96=0,0,$D96/$C96)</f>
        <v>0</v>
      </c>
      <c r="F96" s="104" t="n">
        <f aca="false">IF($A96="",0,IFERROR(AVERAGEIFS('Carga (PSE)'!$J$8:$J$1007,'Carga (PSE)'!$C$8:$C$1007,$A96,'Carga (PSE)'!$A$8:$A$1007,SUMPRODUCT(MAX(('Carga (PSE)'!$C$8:$C$1007=$A96)*'Carga (PSE)'!$A$8:$A$1007))),0))</f>
        <v>0</v>
      </c>
      <c r="G96" s="65" t="n">
        <f aca="false">IF($A96="",0,IFERROR(INDEX(Presença!$L$8:$L$47,MATCH($A96,Presença!$I$8:$I$47,0)),0))</f>
        <v>0</v>
      </c>
      <c r="H96" s="63" t="n">
        <f aca="false">IF($A96="",0,IFERROR(AVERAGEIFS(Wellness!$H$8:$H$1007,Wellness!$C$8:$C$1007,$A96),0))</f>
        <v>0</v>
      </c>
      <c r="I96" s="62" t="str">
        <f aca="false">IF($A96="","",IF(Cadastro!$BL41="Lesionado","LESIONADO",IF($F96&gt;1.5,"ALERTA — carga aguda alta",IF($H96&gt;16,"ALERTA — wellness baixo",IF(AND($G96&gt;0,$G96&lt;0.75),"Assiduidade baixa",IF($C96=0,"Sem registros","OK"))))))</f>
        <v/>
      </c>
    </row>
    <row r="97" customFormat="false" ht="15" hidden="false" customHeight="false" outlineLevel="0" collapsed="false">
      <c r="A97" s="60" t="str">
        <f aca="false">IF(Cadastro!$B42="","",Cadastro!$B42)</f>
        <v/>
      </c>
      <c r="B97" s="60" t="str">
        <f aca="false">IF($A97="","",Cadastro!$L42)</f>
        <v/>
      </c>
      <c r="C97" s="33" t="n">
        <f aca="false">IF($A97="",0,COUNTIFS('Carga (PSE)'!$C$8:$C$1007,$A97))</f>
        <v>0</v>
      </c>
      <c r="D97" s="44" t="n">
        <f aca="false">IF($A97="",0,SUMIFS('Carga (PSE)'!$G$8:$G$1007,'Carga (PSE)'!$C$8:$C$1007,$A97))</f>
        <v>0</v>
      </c>
      <c r="E97" s="140" t="n">
        <f aca="false">IF($C97=0,0,$D97/$C97)</f>
        <v>0</v>
      </c>
      <c r="F97" s="100" t="n">
        <f aca="false">IF($A97="",0,IFERROR(AVERAGEIFS('Carga (PSE)'!$J$8:$J$1007,'Carga (PSE)'!$C$8:$C$1007,$A97,'Carga (PSE)'!$A$8:$A$1007,SUMPRODUCT(MAX(('Carga (PSE)'!$C$8:$C$1007=$A97)*'Carga (PSE)'!$A$8:$A$1007))),0))</f>
        <v>0</v>
      </c>
      <c r="G97" s="61" t="n">
        <f aca="false">IF($A97="",0,IFERROR(INDEX(Presença!$L$8:$L$47,MATCH($A97,Presença!$I$8:$I$47,0)),0))</f>
        <v>0</v>
      </c>
      <c r="H97" s="35" t="n">
        <f aca="false">IF($A97="",0,IFERROR(AVERAGEIFS(Wellness!$H$8:$H$1007,Wellness!$C$8:$C$1007,$A97),0))</f>
        <v>0</v>
      </c>
      <c r="I97" s="60" t="str">
        <f aca="false">IF($A97="","",IF(Cadastro!$BL42="Lesionado","LESIONADO",IF($F97&gt;1.5,"ALERTA — carga aguda alta",IF($H97&gt;16,"ALERTA — wellness baixo",IF(AND($G97&gt;0,$G97&lt;0.75),"Assiduidade baixa",IF($C97=0,"Sem registros","OK"))))))</f>
        <v/>
      </c>
    </row>
    <row r="98" customFormat="false" ht="15" hidden="false" customHeight="false" outlineLevel="0" collapsed="false">
      <c r="A98" s="62" t="str">
        <f aca="false">IF(Cadastro!$B43="","",Cadastro!$B43)</f>
        <v/>
      </c>
      <c r="B98" s="62" t="str">
        <f aca="false">IF($A98="","",Cadastro!$L43)</f>
        <v/>
      </c>
      <c r="C98" s="149" t="n">
        <f aca="false">IF($A98="",0,COUNTIFS('Carga (PSE)'!$C$8:$C$1007,$A98))</f>
        <v>0</v>
      </c>
      <c r="D98" s="147" t="n">
        <f aca="false">IF($A98="",0,SUMIFS('Carga (PSE)'!$G$8:$G$1007,'Carga (PSE)'!$C$8:$C$1007,$A98))</f>
        <v>0</v>
      </c>
      <c r="E98" s="146" t="n">
        <f aca="false">IF($C98=0,0,$D98/$C98)</f>
        <v>0</v>
      </c>
      <c r="F98" s="104" t="n">
        <f aca="false">IF($A98="",0,IFERROR(AVERAGEIFS('Carga (PSE)'!$J$8:$J$1007,'Carga (PSE)'!$C$8:$C$1007,$A98,'Carga (PSE)'!$A$8:$A$1007,SUMPRODUCT(MAX(('Carga (PSE)'!$C$8:$C$1007=$A98)*'Carga (PSE)'!$A$8:$A$1007))),0))</f>
        <v>0</v>
      </c>
      <c r="G98" s="65" t="n">
        <f aca="false">IF($A98="",0,IFERROR(INDEX(Presença!$L$8:$L$47,MATCH($A98,Presença!$I$8:$I$47,0)),0))</f>
        <v>0</v>
      </c>
      <c r="H98" s="63" t="n">
        <f aca="false">IF($A98="",0,IFERROR(AVERAGEIFS(Wellness!$H$8:$H$1007,Wellness!$C$8:$C$1007,$A98),0))</f>
        <v>0</v>
      </c>
      <c r="I98" s="62" t="str">
        <f aca="false">IF($A98="","",IF(Cadastro!$BL43="Lesionado","LESIONADO",IF($F98&gt;1.5,"ALERTA — carga aguda alta",IF($H98&gt;16,"ALERTA — wellness baixo",IF(AND($G98&gt;0,$G98&lt;0.75),"Assiduidade baixa",IF($C98=0,"Sem registros","OK"))))))</f>
        <v/>
      </c>
    </row>
    <row r="99" customFormat="false" ht="15" hidden="false" customHeight="false" outlineLevel="0" collapsed="false">
      <c r="A99" s="60" t="str">
        <f aca="false">IF(Cadastro!$B44="","",Cadastro!$B44)</f>
        <v/>
      </c>
      <c r="B99" s="60" t="str">
        <f aca="false">IF($A99="","",Cadastro!$L44)</f>
        <v/>
      </c>
      <c r="C99" s="33" t="n">
        <f aca="false">IF($A99="",0,COUNTIFS('Carga (PSE)'!$C$8:$C$1007,$A99))</f>
        <v>0</v>
      </c>
      <c r="D99" s="44" t="n">
        <f aca="false">IF($A99="",0,SUMIFS('Carga (PSE)'!$G$8:$G$1007,'Carga (PSE)'!$C$8:$C$1007,$A99))</f>
        <v>0</v>
      </c>
      <c r="E99" s="140" t="n">
        <f aca="false">IF($C99=0,0,$D99/$C99)</f>
        <v>0</v>
      </c>
      <c r="F99" s="100" t="n">
        <f aca="false">IF($A99="",0,IFERROR(AVERAGEIFS('Carga (PSE)'!$J$8:$J$1007,'Carga (PSE)'!$C$8:$C$1007,$A99,'Carga (PSE)'!$A$8:$A$1007,SUMPRODUCT(MAX(('Carga (PSE)'!$C$8:$C$1007=$A99)*'Carga (PSE)'!$A$8:$A$1007))),0))</f>
        <v>0</v>
      </c>
      <c r="G99" s="61" t="n">
        <f aca="false">IF($A99="",0,IFERROR(INDEX(Presença!$L$8:$L$47,MATCH($A99,Presença!$I$8:$I$47,0)),0))</f>
        <v>0</v>
      </c>
      <c r="H99" s="35" t="n">
        <f aca="false">IF($A99="",0,IFERROR(AVERAGEIFS(Wellness!$H$8:$H$1007,Wellness!$C$8:$C$1007,$A99),0))</f>
        <v>0</v>
      </c>
      <c r="I99" s="60" t="str">
        <f aca="false">IF($A99="","",IF(Cadastro!$BL44="Lesionado","LESIONADO",IF($F99&gt;1.5,"ALERTA — carga aguda alta",IF($H99&gt;16,"ALERTA — wellness baixo",IF(AND($G99&gt;0,$G99&lt;0.75),"Assiduidade baixa",IF($C99=0,"Sem registros","OK"))))))</f>
        <v/>
      </c>
    </row>
    <row r="100" customFormat="false" ht="15" hidden="false" customHeight="false" outlineLevel="0" collapsed="false">
      <c r="A100" s="62" t="str">
        <f aca="false">IF(Cadastro!$B45="","",Cadastro!$B45)</f>
        <v/>
      </c>
      <c r="B100" s="62" t="str">
        <f aca="false">IF($A100="","",Cadastro!$L45)</f>
        <v/>
      </c>
      <c r="C100" s="149" t="n">
        <f aca="false">IF($A100="",0,COUNTIFS('Carga (PSE)'!$C$8:$C$1007,$A100))</f>
        <v>0</v>
      </c>
      <c r="D100" s="147" t="n">
        <f aca="false">IF($A100="",0,SUMIFS('Carga (PSE)'!$G$8:$G$1007,'Carga (PSE)'!$C$8:$C$1007,$A100))</f>
        <v>0</v>
      </c>
      <c r="E100" s="146" t="n">
        <f aca="false">IF($C100=0,0,$D100/$C100)</f>
        <v>0</v>
      </c>
      <c r="F100" s="104" t="n">
        <f aca="false">IF($A100="",0,IFERROR(AVERAGEIFS('Carga (PSE)'!$J$8:$J$1007,'Carga (PSE)'!$C$8:$C$1007,$A100,'Carga (PSE)'!$A$8:$A$1007,SUMPRODUCT(MAX(('Carga (PSE)'!$C$8:$C$1007=$A100)*'Carga (PSE)'!$A$8:$A$1007))),0))</f>
        <v>0</v>
      </c>
      <c r="G100" s="65" t="n">
        <f aca="false">IF($A100="",0,IFERROR(INDEX(Presença!$L$8:$L$47,MATCH($A100,Presença!$I$8:$I$47,0)),0))</f>
        <v>0</v>
      </c>
      <c r="H100" s="63" t="n">
        <f aca="false">IF($A100="",0,IFERROR(AVERAGEIFS(Wellness!$H$8:$H$1007,Wellness!$C$8:$C$1007,$A100),0))</f>
        <v>0</v>
      </c>
      <c r="I100" s="62" t="str">
        <f aca="false">IF($A100="","",IF(Cadastro!$BL45="Lesionado","LESIONADO",IF($F100&gt;1.5,"ALERTA — carga aguda alta",IF($H100&gt;16,"ALERTA — wellness baixo",IF(AND($G100&gt;0,$G100&lt;0.75),"Assiduidade baixa",IF($C100=0,"Sem registros","OK"))))))</f>
        <v/>
      </c>
    </row>
    <row r="101" customFormat="false" ht="15" hidden="false" customHeight="false" outlineLevel="0" collapsed="false">
      <c r="A101" s="60" t="str">
        <f aca="false">IF(Cadastro!$B46="","",Cadastro!$B46)</f>
        <v/>
      </c>
      <c r="B101" s="60" t="str">
        <f aca="false">IF($A101="","",Cadastro!$L46)</f>
        <v/>
      </c>
      <c r="C101" s="33" t="n">
        <f aca="false">IF($A101="",0,COUNTIFS('Carga (PSE)'!$C$8:$C$1007,$A101))</f>
        <v>0</v>
      </c>
      <c r="D101" s="44" t="n">
        <f aca="false">IF($A101="",0,SUMIFS('Carga (PSE)'!$G$8:$G$1007,'Carga (PSE)'!$C$8:$C$1007,$A101))</f>
        <v>0</v>
      </c>
      <c r="E101" s="140" t="n">
        <f aca="false">IF($C101=0,0,$D101/$C101)</f>
        <v>0</v>
      </c>
      <c r="F101" s="100" t="n">
        <f aca="false">IF($A101="",0,IFERROR(AVERAGEIFS('Carga (PSE)'!$J$8:$J$1007,'Carga (PSE)'!$C$8:$C$1007,$A101,'Carga (PSE)'!$A$8:$A$1007,SUMPRODUCT(MAX(('Carga (PSE)'!$C$8:$C$1007=$A101)*'Carga (PSE)'!$A$8:$A$1007))),0))</f>
        <v>0</v>
      </c>
      <c r="G101" s="61" t="n">
        <f aca="false">IF($A101="",0,IFERROR(INDEX(Presença!$L$8:$L$47,MATCH($A101,Presença!$I$8:$I$47,0)),0))</f>
        <v>0</v>
      </c>
      <c r="H101" s="35" t="n">
        <f aca="false">IF($A101="",0,IFERROR(AVERAGEIFS(Wellness!$H$8:$H$1007,Wellness!$C$8:$C$1007,$A101),0))</f>
        <v>0</v>
      </c>
      <c r="I101" s="60" t="str">
        <f aca="false">IF($A101="","",IF(Cadastro!$BL46="Lesionado","LESIONADO",IF($F101&gt;1.5,"ALERTA — carga aguda alta",IF($H101&gt;16,"ALERTA — wellness baixo",IF(AND($G101&gt;0,$G101&lt;0.75),"Assiduidade baixa",IF($C101=0,"Sem registros","OK"))))))</f>
        <v/>
      </c>
    </row>
    <row r="102" customFormat="false" ht="15" hidden="false" customHeight="false" outlineLevel="0" collapsed="false">
      <c r="A102" s="62" t="str">
        <f aca="false">IF(Cadastro!$B47="","",Cadastro!$B47)</f>
        <v/>
      </c>
      <c r="B102" s="62" t="str">
        <f aca="false">IF($A102="","",Cadastro!$L47)</f>
        <v/>
      </c>
      <c r="C102" s="149" t="n">
        <f aca="false">IF($A102="",0,COUNTIFS('Carga (PSE)'!$C$8:$C$1007,$A102))</f>
        <v>0</v>
      </c>
      <c r="D102" s="147" t="n">
        <f aca="false">IF($A102="",0,SUMIFS('Carga (PSE)'!$G$8:$G$1007,'Carga (PSE)'!$C$8:$C$1007,$A102))</f>
        <v>0</v>
      </c>
      <c r="E102" s="146" t="n">
        <f aca="false">IF($C102=0,0,$D102/$C102)</f>
        <v>0</v>
      </c>
      <c r="F102" s="104" t="n">
        <f aca="false">IF($A102="",0,IFERROR(AVERAGEIFS('Carga (PSE)'!$J$8:$J$1007,'Carga (PSE)'!$C$8:$C$1007,$A102,'Carga (PSE)'!$A$8:$A$1007,SUMPRODUCT(MAX(('Carga (PSE)'!$C$8:$C$1007=$A102)*'Carga (PSE)'!$A$8:$A$1007))),0))</f>
        <v>0</v>
      </c>
      <c r="G102" s="65" t="n">
        <f aca="false">IF($A102="",0,IFERROR(INDEX(Presença!$L$8:$L$47,MATCH($A102,Presença!$I$8:$I$47,0)),0))</f>
        <v>0</v>
      </c>
      <c r="H102" s="63" t="n">
        <f aca="false">IF($A102="",0,IFERROR(AVERAGEIFS(Wellness!$H$8:$H$1007,Wellness!$C$8:$C$1007,$A102),0))</f>
        <v>0</v>
      </c>
      <c r="I102" s="62" t="str">
        <f aca="false">IF($A102="","",IF(Cadastro!$BL47="Lesionado","LESIONADO",IF($F102&gt;1.5,"ALERTA — carga aguda alta",IF($H102&gt;16,"ALERTA — wellness baixo",IF(AND($G102&gt;0,$G102&lt;0.75),"Assiduidade baixa",IF($C102=0,"Sem registros","OK"))))))</f>
        <v/>
      </c>
    </row>
  </sheetData>
  <mergeCells count="22">
    <mergeCell ref="A1:T1"/>
    <mergeCell ref="A2:T2"/>
    <mergeCell ref="C4:D4"/>
    <mergeCell ref="A6:B6"/>
    <mergeCell ref="C6:D6"/>
    <mergeCell ref="E6:F6"/>
    <mergeCell ref="G6:I6"/>
    <mergeCell ref="J6:L6"/>
    <mergeCell ref="M6:O6"/>
    <mergeCell ref="P6:Q6"/>
    <mergeCell ref="R6:T6"/>
    <mergeCell ref="A7:B7"/>
    <mergeCell ref="C7:D7"/>
    <mergeCell ref="E7:F7"/>
    <mergeCell ref="G7:I7"/>
    <mergeCell ref="J7:L7"/>
    <mergeCell ref="M7:O7"/>
    <mergeCell ref="P7:Q7"/>
    <mergeCell ref="R7:T7"/>
    <mergeCell ref="A9:I9"/>
    <mergeCell ref="K45:M45"/>
    <mergeCell ref="A61:I61"/>
  </mergeCells>
  <conditionalFormatting sqref="H11:H58">
    <cfRule type="cellIs" priority="2" operator="greaterThan" aboveAverage="0" equalAverage="0" bottom="0" percent="0" rank="0" text="" dxfId="11">
      <formula>1.5</formula>
    </cfRule>
  </conditionalFormatting>
  <conditionalFormatting sqref="C11:C58">
    <cfRule type="colorScale" priority="3">
      <colorScale>
        <cfvo type="min" val="0"/>
        <cfvo type="max" val="0"/>
        <color rgb="FFFFFFFF"/>
        <color rgb="FF8FAADC"/>
      </colorScale>
    </cfRule>
  </conditionalFormatting>
  <conditionalFormatting sqref="F63:F102">
    <cfRule type="cellIs" priority="4" operator="greaterThan" aboveAverage="0" equalAverage="0" bottom="0" percent="0" rank="0" text="" dxfId="11">
      <formula>1.5</formula>
    </cfRule>
  </conditionalFormatting>
  <conditionalFormatting sqref="I63:I102">
    <cfRule type="cellIs" priority="5" operator="equal" aboveAverage="0" equalAverage="0" bottom="0" percent="0" rank="0" text="" dxfId="10">
      <formula>"OK"</formula>
    </cfRule>
    <cfRule type="expression" priority="6" aboveAverage="0" equalAverage="0" bottom="0" percent="0" rank="0" text="" dxfId="11">
      <formula>LEFT($I63,6)="ALERTA"</formula>
    </cfRule>
  </conditionalFormatting>
  <conditionalFormatting sqref="G63:G102">
    <cfRule type="colorScale" priority="7">
      <colorScale>
        <cfvo type="num" val="0.5"/>
        <cfvo type="num" val="0.8"/>
        <cfvo type="num" val="1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true"/>
  </sheetPr>
  <dimension ref="A1:T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9" min="8" style="0" width="16"/>
    <col collapsed="false" customWidth="true" hidden="false" outlineLevel="0" max="10" min="10" style="0" width="3"/>
    <col collapsed="false" customWidth="true" hidden="false" outlineLevel="0" max="20" min="11" style="0" width="13"/>
  </cols>
  <sheetData>
    <row r="1" customFormat="false" ht="30" hidden="false" customHeight="true" outlineLevel="0" collapsed="false">
      <c r="A1" s="1" t="s">
        <v>1319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1320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false" outlineLevel="0" collapsed="false">
      <c r="A4" s="47" t="s">
        <v>1168</v>
      </c>
      <c r="C4" s="97" t="n">
        <v>1</v>
      </c>
      <c r="D4" s="97"/>
    </row>
    <row r="6" customFormat="false" ht="25.5" hidden="false" customHeight="true" outlineLevel="0" collapsed="false">
      <c r="A6" s="161" t="s">
        <v>1165</v>
      </c>
      <c r="B6" s="161"/>
      <c r="C6" s="161"/>
      <c r="D6" s="127" t="s">
        <v>1164</v>
      </c>
      <c r="E6" s="127"/>
      <c r="F6" s="127"/>
      <c r="G6" s="128" t="s">
        <v>1166</v>
      </c>
      <c r="H6" s="128"/>
      <c r="I6" s="128"/>
      <c r="J6" s="136" t="s">
        <v>1167</v>
      </c>
      <c r="K6" s="136"/>
      <c r="L6" s="136"/>
      <c r="M6" s="127" t="s">
        <v>1321</v>
      </c>
      <c r="N6" s="127"/>
      <c r="O6" s="127"/>
      <c r="P6" s="127" t="s">
        <v>1322</v>
      </c>
      <c r="Q6" s="127"/>
      <c r="R6" s="127"/>
      <c r="S6" s="128" t="s">
        <v>1323</v>
      </c>
      <c r="T6" s="128"/>
    </row>
    <row r="7" customFormat="false" ht="30" hidden="false" customHeight="true" outlineLevel="0" collapsed="false">
      <c r="A7" s="163" t="n">
        <f aca="false">SUMIFS('Prescrição Força'!$Y$8:$Y$407,'Prescrição Força'!$B$8:$B$407,$C$4)</f>
        <v>11641</v>
      </c>
      <c r="B7" s="163"/>
      <c r="C7" s="163"/>
      <c r="D7" s="130" t="n">
        <f aca="false">SUMIFS('Prescrição Força'!$X$8:$X$407,'Prescrição Força'!$B$8:$B$407,$C$4)</f>
        <v>722</v>
      </c>
      <c r="E7" s="130"/>
      <c r="F7" s="130"/>
      <c r="G7" s="137" t="n">
        <f aca="false">IFERROR(SUMPRODUCT(('Prescrição Força'!$B$8:$B$407=$C$4)*'Prescrição Força'!$X$8:$X$407*'Prescrição Força'!$L$8:$L$407)/SUMPRODUCT(('Prescrição Força'!$B$8:$B$407=$C$4)*'Prescrição Força'!$X$8:$X$407*('Prescrição Força'!$L$8:$L$407&lt;&gt;"")),0)</f>
        <v>0.610082304526749</v>
      </c>
      <c r="H7" s="137"/>
      <c r="I7" s="137"/>
      <c r="J7" s="138" t="n">
        <f aca="false">SUMIFS('Prescrição Força'!$X$8:$X$407,'Prescrição Força'!$B$8:$B$407,$C$4,'Prescrição Força'!$H$8:$H$407,"Pliometria")</f>
        <v>60</v>
      </c>
      <c r="K7" s="138"/>
      <c r="L7" s="138"/>
      <c r="M7" s="164" t="n">
        <f aca="false">IFERROR(AVERAGEIF('Força 1RM'!$Q$8:$Q$47,"&gt;0"),0)</f>
        <v>161.666666666667</v>
      </c>
      <c r="N7" s="164"/>
      <c r="O7" s="164"/>
      <c r="P7" s="165" t="n">
        <f aca="false">IFERROR(AVERAGEIF($C$31:$C$70,"&gt;0"),0)</f>
        <v>1.80938079575245</v>
      </c>
      <c r="Q7" s="165"/>
      <c r="R7" s="165"/>
      <c r="S7" s="166" t="n">
        <f aca="false">IFERROR(AVERAGEIF($F$31:$F$70,"&lt;&gt;0"),0)</f>
        <v>0.0477632217710768</v>
      </c>
      <c r="T7" s="166"/>
    </row>
    <row r="9" customFormat="false" ht="19.5" hidden="false" customHeight="true" outlineLevel="0" collapsed="false">
      <c r="A9" s="3" t="s">
        <v>1324</v>
      </c>
      <c r="B9" s="3"/>
      <c r="C9" s="3"/>
      <c r="D9" s="3"/>
      <c r="E9" s="3"/>
      <c r="F9" s="3"/>
      <c r="G9" s="3"/>
      <c r="H9" s="3"/>
      <c r="I9" s="3"/>
    </row>
    <row r="10" customFormat="false" ht="31.5" hidden="false" customHeight="true" outlineLevel="0" collapsed="false">
      <c r="A10" s="25" t="s">
        <v>922</v>
      </c>
      <c r="B10" s="25" t="s">
        <v>766</v>
      </c>
      <c r="C10" s="25" t="s">
        <v>1107</v>
      </c>
      <c r="D10" s="25" t="s">
        <v>770</v>
      </c>
      <c r="E10" s="25" t="s">
        <v>1185</v>
      </c>
      <c r="F10" s="25" t="s">
        <v>1325</v>
      </c>
      <c r="G10" s="25" t="s">
        <v>1326</v>
      </c>
      <c r="H10" s="25" t="s">
        <v>1327</v>
      </c>
      <c r="I10" s="25" t="s">
        <v>1328</v>
      </c>
    </row>
    <row r="11" customFormat="false" ht="15" hidden="false" customHeight="false" outlineLevel="0" collapsed="false">
      <c r="A11" s="26" t="n">
        <v>1</v>
      </c>
      <c r="B11" s="60" t="str">
        <f aca="false">IFERROR(INDEX('Bloco Base'!$C$12:$C$19,MATCH($A11,'Bloco Base'!$A$12:$A$19,0)),"")</f>
        <v>Acumulação</v>
      </c>
      <c r="C11" s="140" t="n">
        <f aca="false">SUMIFS('Prescrição Força'!$J$8:$J$407,'Prescrição Força'!$B$8:$B$407,$A11)</f>
        <v>78</v>
      </c>
      <c r="D11" s="140" t="n">
        <f aca="false">SUMIFS('Prescrição Força'!$X$8:$X$407,'Prescrição Força'!$B$8:$B$407,$A11)</f>
        <v>722</v>
      </c>
      <c r="E11" s="44" t="n">
        <f aca="false">SUMIFS('Prescrição Força'!$Y$8:$Y$407,'Prescrição Força'!$B$8:$B$407,$A11)</f>
        <v>11641</v>
      </c>
      <c r="F11" s="61" t="n">
        <f aca="false">IFERROR(SUMPRODUCT(('Prescrição Força'!$B$8:$B$407=$A11)*'Prescrição Força'!$X$8:$X$407*'Prescrição Força'!$L$8:$L$407)/SUMPRODUCT(('Prescrição Força'!$B$8:$B$407=$A11)*'Prescrição Força'!$X$8:$X$407*('Prescrição Força'!$L$8:$L$407&lt;&gt;"")),0)</f>
        <v>0.610082304526749</v>
      </c>
      <c r="G11" s="140" t="n">
        <f aca="false">SUMIFS('Prescrição Força'!$X$8:$X$407,'Prescrição Força'!$B$8:$B$407,$A11,'Prescrição Força'!$H$8:$H$407,"Pliometria")</f>
        <v>60</v>
      </c>
      <c r="H11" s="140" t="n">
        <f aca="false">COUNTIFS('Prescrição Força'!$B$8:$B$407,$A11)</f>
        <v>23</v>
      </c>
      <c r="I11" s="140" t="n">
        <f aca="false">IFERROR($E11/$H11,0)</f>
        <v>506.130434782609</v>
      </c>
    </row>
    <row r="12" customFormat="false" ht="15" hidden="false" customHeight="false" outlineLevel="0" collapsed="false">
      <c r="A12" s="101" t="n">
        <v>2</v>
      </c>
      <c r="B12" s="62" t="str">
        <f aca="false">IFERROR(INDEX('Bloco Base'!$C$12:$C$19,MATCH($A12,'Bloco Base'!$A$12:$A$19,0)),"")</f>
        <v>Acumulação</v>
      </c>
      <c r="C12" s="146" t="n">
        <f aca="false">SUMIFS('Prescrição Força'!$J$8:$J$407,'Prescrição Força'!$B$8:$B$407,$A12)</f>
        <v>88</v>
      </c>
      <c r="D12" s="146" t="n">
        <f aca="false">SUMIFS('Prescrição Força'!$X$8:$X$407,'Prescrição Força'!$B$8:$B$407,$A12)</f>
        <v>726</v>
      </c>
      <c r="E12" s="147" t="n">
        <f aca="false">SUMIFS('Prescrição Força'!$Y$8:$Y$407,'Prescrição Força'!$B$8:$B$407,$A12)</f>
        <v>11894</v>
      </c>
      <c r="F12" s="65" t="n">
        <f aca="false">IFERROR(SUMPRODUCT(('Prescrição Força'!$B$8:$B$407=$A12)*'Prescrição Força'!$X$8:$X$407*'Prescrição Força'!$L$8:$L$407)/SUMPRODUCT(('Prescrição Força'!$B$8:$B$407=$A12)*'Prescrição Força'!$X$8:$X$407*('Prescrição Força'!$L$8:$L$407&lt;&gt;"")),0)</f>
        <v>0.648181818181818</v>
      </c>
      <c r="G12" s="146" t="n">
        <f aca="false">SUMIFS('Prescrição Força'!$X$8:$X$407,'Prescrição Força'!$B$8:$B$407,$A12,'Prescrição Força'!$H$8:$H$407,"Pliometria")</f>
        <v>85</v>
      </c>
      <c r="H12" s="146" t="n">
        <f aca="false">COUNTIFS('Prescrição Força'!$B$8:$B$407,$A12)</f>
        <v>24</v>
      </c>
      <c r="I12" s="146" t="n">
        <f aca="false">IFERROR($E12/$H12,0)</f>
        <v>495.583333333333</v>
      </c>
    </row>
    <row r="13" customFormat="false" ht="15" hidden="false" customHeight="false" outlineLevel="0" collapsed="false">
      <c r="A13" s="26" t="n">
        <v>3</v>
      </c>
      <c r="B13" s="60" t="str">
        <f aca="false">IFERROR(INDEX('Bloco Base'!$C$12:$C$19,MATCH($A13,'Bloco Base'!$A$12:$A$19,0)),"")</f>
        <v>Acumulação</v>
      </c>
      <c r="C13" s="140" t="n">
        <f aca="false">SUMIFS('Prescrição Força'!$J$8:$J$407,'Prescrição Força'!$B$8:$B$407,$A13)</f>
        <v>91</v>
      </c>
      <c r="D13" s="140" t="n">
        <f aca="false">SUMIFS('Prescrição Força'!$X$8:$X$407,'Prescrição Força'!$B$8:$B$407,$A13)</f>
        <v>713</v>
      </c>
      <c r="E13" s="44" t="n">
        <f aca="false">SUMIFS('Prescrição Força'!$Y$8:$Y$407,'Prescrição Força'!$B$8:$B$407,$A13)</f>
        <v>11796.5</v>
      </c>
      <c r="F13" s="61" t="n">
        <f aca="false">IFERROR(SUMPRODUCT(('Prescrição Força'!$B$8:$B$407=$A13)*'Prescrição Força'!$X$8:$X$407*'Prescrição Força'!$L$8:$L$407)/SUMPRODUCT(('Prescrição Força'!$B$8:$B$407=$A13)*'Prescrição Força'!$X$8:$X$407*('Prescrição Força'!$L$8:$L$407&lt;&gt;"")),0)</f>
        <v>0.699278846153846</v>
      </c>
      <c r="G13" s="140" t="n">
        <f aca="false">SUMIFS('Prescrição Força'!$X$8:$X$407,'Prescrição Força'!$B$8:$B$407,$A13,'Prescrição Força'!$H$8:$H$407,"Pliometria")</f>
        <v>120</v>
      </c>
      <c r="H13" s="140" t="n">
        <f aca="false">COUNTIFS('Prescrição Força'!$B$8:$B$407,$A13)</f>
        <v>23</v>
      </c>
      <c r="I13" s="140" t="n">
        <f aca="false">IFERROR($E13/$H13,0)</f>
        <v>512.891304347826</v>
      </c>
    </row>
    <row r="14" customFormat="false" ht="15" hidden="false" customHeight="false" outlineLevel="0" collapsed="false">
      <c r="A14" s="101" t="n">
        <v>4</v>
      </c>
      <c r="B14" s="62" t="str">
        <f aca="false">IFERROR(INDEX('Bloco Base'!$C$12:$C$19,MATCH($A14,'Bloco Base'!$A$12:$A$19,0)),"")</f>
        <v>Descarga</v>
      </c>
      <c r="C14" s="146" t="n">
        <f aca="false">SUMIFS('Prescrição Força'!$J$8:$J$407,'Prescrição Força'!$B$8:$B$407,$A14)</f>
        <v>64</v>
      </c>
      <c r="D14" s="146" t="n">
        <f aca="false">SUMIFS('Prescrição Força'!$X$8:$X$407,'Prescrição Força'!$B$8:$B$407,$A14)</f>
        <v>508</v>
      </c>
      <c r="E14" s="147" t="n">
        <f aca="false">SUMIFS('Prescrição Força'!$Y$8:$Y$407,'Prescrição Força'!$B$8:$B$407,$A14)</f>
        <v>6846</v>
      </c>
      <c r="F14" s="65" t="n">
        <f aca="false">IFERROR(SUMPRODUCT(('Prescrição Força'!$B$8:$B$407=$A14)*'Prescrição Força'!$X$8:$X$407*'Prescrição Força'!$L$8:$L$407)/SUMPRODUCT(('Prescrição Força'!$B$8:$B$407=$A14)*'Prescrição Força'!$X$8:$X$407*('Prescrição Força'!$L$8:$L$407&lt;&gt;"")),0)</f>
        <v>0.602040816326531</v>
      </c>
      <c r="G14" s="146" t="n">
        <f aca="false">SUMIFS('Prescrição Força'!$X$8:$X$407,'Prescrição Força'!$B$8:$B$407,$A14,'Prescrição Força'!$H$8:$H$407,"Pliometria")</f>
        <v>45</v>
      </c>
      <c r="H14" s="146" t="n">
        <f aca="false">COUNTIFS('Prescrição Força'!$B$8:$B$407,$A14)</f>
        <v>24</v>
      </c>
      <c r="I14" s="146" t="n">
        <f aca="false">IFERROR($E14/$H14,0)</f>
        <v>285.25</v>
      </c>
    </row>
    <row r="15" customFormat="false" ht="15" hidden="false" customHeight="false" outlineLevel="0" collapsed="false">
      <c r="A15" s="26" t="n">
        <v>5</v>
      </c>
      <c r="B15" s="60" t="str">
        <f aca="false">IFERROR(INDEX('Bloco Base'!$C$12:$C$19,MATCH($A15,'Bloco Base'!$A$12:$A$19,0)),"")</f>
        <v>Transmutação</v>
      </c>
      <c r="C15" s="140" t="n">
        <f aca="false">SUMIFS('Prescrição Força'!$J$8:$J$407,'Prescrição Força'!$B$8:$B$407,$A15)</f>
        <v>91</v>
      </c>
      <c r="D15" s="140" t="n">
        <f aca="false">SUMIFS('Prescrição Força'!$X$8:$X$407,'Prescrição Força'!$B$8:$B$407,$A15)</f>
        <v>605</v>
      </c>
      <c r="E15" s="44" t="n">
        <f aca="false">SUMIFS('Prescrição Força'!$Y$8:$Y$407,'Prescrição Força'!$B$8:$B$407,$A15)</f>
        <v>10882</v>
      </c>
      <c r="F15" s="61" t="n">
        <f aca="false">IFERROR(SUMPRODUCT(('Prescrição Força'!$B$8:$B$407=$A15)*'Prescrição Força'!$X$8:$X$407*'Prescrição Força'!$L$8:$L$407)/SUMPRODUCT(('Prescrição Força'!$B$8:$B$407=$A15)*'Prescrição Força'!$X$8:$X$407*('Prescrição Força'!$L$8:$L$407&lt;&gt;"")),0)</f>
        <v>0.727816091954023</v>
      </c>
      <c r="G15" s="140" t="n">
        <f aca="false">SUMIFS('Prescrição Força'!$X$8:$X$407,'Prescrição Força'!$B$8:$B$407,$A15,'Prescrição Força'!$H$8:$H$407,"Pliometria")</f>
        <v>85</v>
      </c>
      <c r="H15" s="140" t="n">
        <f aca="false">COUNTIFS('Prescrição Força'!$B$8:$B$407,$A15)</f>
        <v>24</v>
      </c>
      <c r="I15" s="140" t="n">
        <f aca="false">IFERROR($E15/$H15,0)</f>
        <v>453.416666666667</v>
      </c>
    </row>
    <row r="16" customFormat="false" ht="15" hidden="false" customHeight="false" outlineLevel="0" collapsed="false">
      <c r="A16" s="101" t="n">
        <v>6</v>
      </c>
      <c r="B16" s="62" t="str">
        <f aca="false">IFERROR(INDEX('Bloco Base'!$C$12:$C$19,MATCH($A16,'Bloco Base'!$A$12:$A$19,0)),"")</f>
        <v>Transmutação</v>
      </c>
      <c r="C16" s="146" t="n">
        <f aca="false">SUMIFS('Prescrição Força'!$J$8:$J$407,'Prescrição Força'!$B$8:$B$407,$A16)</f>
        <v>95</v>
      </c>
      <c r="D16" s="146" t="n">
        <f aca="false">SUMIFS('Prescrição Força'!$X$8:$X$407,'Prescrição Força'!$B$8:$B$407,$A16)</f>
        <v>625</v>
      </c>
      <c r="E16" s="147" t="n">
        <f aca="false">SUMIFS('Prescrição Força'!$Y$8:$Y$407,'Prescrição Força'!$B$8:$B$407,$A16)</f>
        <v>10056</v>
      </c>
      <c r="F16" s="65" t="n">
        <f aca="false">IFERROR(SUMPRODUCT(('Prescrição Força'!$B$8:$B$407=$A16)*'Prescrição Força'!$X$8:$X$407*'Prescrição Força'!$L$8:$L$407)/SUMPRODUCT(('Prescrição Força'!$B$8:$B$407=$A16)*'Prescrição Força'!$X$8:$X$407*('Prescrição Força'!$L$8:$L$407&lt;&gt;"")),0)</f>
        <v>0.754390243902439</v>
      </c>
      <c r="G16" s="146" t="n">
        <f aca="false">SUMIFS('Prescrição Força'!$X$8:$X$407,'Prescrição Força'!$B$8:$B$407,$A16,'Prescrição Força'!$H$8:$H$407,"Pliometria")</f>
        <v>115</v>
      </c>
      <c r="H16" s="146" t="n">
        <f aca="false">COUNTIFS('Prescrição Força'!$B$8:$B$407,$A16)</f>
        <v>24</v>
      </c>
      <c r="I16" s="146" t="n">
        <f aca="false">IFERROR($E16/$H16,0)</f>
        <v>419</v>
      </c>
    </row>
    <row r="17" customFormat="false" ht="15" hidden="false" customHeight="false" outlineLevel="0" collapsed="false">
      <c r="A17" s="26" t="n">
        <v>7</v>
      </c>
      <c r="B17" s="60" t="str">
        <f aca="false">IFERROR(INDEX('Bloco Base'!$C$12:$C$19,MATCH($A17,'Bloco Base'!$A$12:$A$19,0)),"")</f>
        <v>Transmutação</v>
      </c>
      <c r="C17" s="140" t="n">
        <f aca="false">SUMIFS('Prescrição Força'!$J$8:$J$407,'Prescrição Força'!$B$8:$B$407,$A17)</f>
        <v>97</v>
      </c>
      <c r="D17" s="140" t="n">
        <f aca="false">SUMIFS('Prescrição Força'!$X$8:$X$407,'Prescrição Força'!$B$8:$B$407,$A17)</f>
        <v>591</v>
      </c>
      <c r="E17" s="44" t="n">
        <f aca="false">SUMIFS('Prescrição Força'!$Y$8:$Y$407,'Prescrição Força'!$B$8:$B$407,$A17)</f>
        <v>9166</v>
      </c>
      <c r="F17" s="61" t="n">
        <f aca="false">IFERROR(SUMPRODUCT(('Prescrição Força'!$B$8:$B$407=$A17)*'Prescrição Força'!$X$8:$X$407*'Prescrição Força'!$L$8:$L$407)/SUMPRODUCT(('Prescrição Força'!$B$8:$B$407=$A17)*'Prescrição Força'!$X$8:$X$407*('Prescrição Força'!$L$8:$L$407&lt;&gt;"")),0)</f>
        <v>0.785177304964539</v>
      </c>
      <c r="G17" s="140" t="n">
        <f aca="false">SUMIFS('Prescrição Força'!$X$8:$X$407,'Prescrição Força'!$B$8:$B$407,$A17,'Prescrição Força'!$H$8:$H$407,"Pliometria")</f>
        <v>140</v>
      </c>
      <c r="H17" s="140" t="n">
        <f aca="false">COUNTIFS('Prescrição Força'!$B$8:$B$407,$A17)</f>
        <v>23</v>
      </c>
      <c r="I17" s="140" t="n">
        <f aca="false">IFERROR($E17/$H17,0)</f>
        <v>398.521739130435</v>
      </c>
    </row>
    <row r="18" customFormat="false" ht="15" hidden="false" customHeight="false" outlineLevel="0" collapsed="false">
      <c r="A18" s="101" t="n">
        <v>8</v>
      </c>
      <c r="B18" s="62" t="str">
        <f aca="false">IFERROR(INDEX('Bloco Base'!$C$12:$C$19,MATCH($A18,'Bloco Base'!$A$12:$A$19,0)),"")</f>
        <v>Realização</v>
      </c>
      <c r="C18" s="146" t="n">
        <f aca="false">SUMIFS('Prescrição Força'!$J$8:$J$407,'Prescrição Força'!$B$8:$B$407,$A18)</f>
        <v>72</v>
      </c>
      <c r="D18" s="146" t="n">
        <f aca="false">SUMIFS('Prescrição Força'!$X$8:$X$407,'Prescrição Força'!$B$8:$B$407,$A18)</f>
        <v>424</v>
      </c>
      <c r="E18" s="147" t="n">
        <f aca="false">SUMIFS('Prescrição Força'!$Y$8:$Y$407,'Prescrição Força'!$B$8:$B$407,$A18)</f>
        <v>5856.5</v>
      </c>
      <c r="F18" s="65" t="n">
        <f aca="false">IFERROR(SUMPRODUCT(('Prescrição Força'!$B$8:$B$407=$A18)*'Prescrição Força'!$X$8:$X$407*'Prescrição Força'!$L$8:$L$407)/SUMPRODUCT(('Prescrição Força'!$B$8:$B$407=$A18)*'Prescrição Força'!$X$8:$X$407*('Prescrição Força'!$L$8:$L$407&lt;&gt;"")),0)</f>
        <v>0.769591836734694</v>
      </c>
      <c r="G18" s="146" t="n">
        <f aca="false">SUMIFS('Prescrição Força'!$X$8:$X$407,'Prescrição Força'!$B$8:$B$407,$A18,'Prescrição Força'!$H$8:$H$407,"Pliometria")</f>
        <v>75</v>
      </c>
      <c r="H18" s="146" t="n">
        <f aca="false">COUNTIFS('Prescrição Força'!$B$8:$B$407,$A18)</f>
        <v>24</v>
      </c>
      <c r="I18" s="146" t="n">
        <f aca="false">IFERROR($E18/$H18,0)</f>
        <v>244.020833333333</v>
      </c>
    </row>
    <row r="20" customFormat="false" ht="19.5" hidden="false" customHeight="true" outlineLevel="0" collapsed="false">
      <c r="A20" s="3" t="s">
        <v>1329</v>
      </c>
      <c r="B20" s="3"/>
      <c r="C20" s="3"/>
      <c r="D20" s="3"/>
      <c r="E20" s="3"/>
      <c r="F20" s="3"/>
      <c r="G20" s="3"/>
      <c r="H20" s="3"/>
      <c r="I20" s="3"/>
    </row>
    <row r="21" customFormat="false" ht="31.5" hidden="false" customHeight="true" outlineLevel="0" collapsed="false">
      <c r="A21" s="25" t="s">
        <v>1186</v>
      </c>
      <c r="B21" s="25" t="s">
        <v>770</v>
      </c>
      <c r="C21" s="25" t="s">
        <v>1312</v>
      </c>
      <c r="D21" s="25" t="s">
        <v>1107</v>
      </c>
    </row>
    <row r="22" customFormat="false" ht="15" hidden="false" customHeight="false" outlineLevel="0" collapsed="false">
      <c r="A22" s="60" t="s">
        <v>1330</v>
      </c>
      <c r="B22" s="140" t="n">
        <f aca="false">SUMIFS('Prescrição Força'!$X$8:$X$407,'Prescrição Força'!$Z$8:$Z$407,$A22)</f>
        <v>108</v>
      </c>
      <c r="C22" s="61" t="n">
        <f aca="false">IFERROR($B22/SUM($B$22:$B$26),0)</f>
        <v>0.0774193548387097</v>
      </c>
      <c r="D22" s="140" t="n">
        <f aca="false">SUMIFS('Prescrição Força'!$J$8:$J$407,'Prescrição Força'!$Z$8:$Z$407,$A22)</f>
        <v>30</v>
      </c>
    </row>
    <row r="23" customFormat="false" ht="15" hidden="false" customHeight="false" outlineLevel="0" collapsed="false">
      <c r="A23" s="62" t="s">
        <v>1331</v>
      </c>
      <c r="B23" s="146" t="n">
        <f aca="false">SUMIFS('Prescrição Força'!$X$8:$X$407,'Prescrição Força'!$Z$8:$Z$407,$A23)</f>
        <v>454</v>
      </c>
      <c r="C23" s="65" t="n">
        <f aca="false">IFERROR($B23/SUM($B$22:$B$26),0)</f>
        <v>0.325448028673835</v>
      </c>
      <c r="D23" s="146" t="n">
        <f aca="false">SUMIFS('Prescrição Força'!$J$8:$J$407,'Prescrição Força'!$Z$8:$Z$407,$A23)</f>
        <v>70</v>
      </c>
    </row>
    <row r="24" customFormat="false" ht="15" hidden="false" customHeight="false" outlineLevel="0" collapsed="false">
      <c r="A24" s="60" t="s">
        <v>1332</v>
      </c>
      <c r="B24" s="140" t="n">
        <f aca="false">SUMIFS('Prescrição Força'!$X$8:$X$407,'Prescrição Força'!$Z$8:$Z$407,$A24)</f>
        <v>439</v>
      </c>
      <c r="C24" s="61" t="n">
        <f aca="false">IFERROR($B24/SUM($B$22:$B$26),0)</f>
        <v>0.314695340501792</v>
      </c>
      <c r="D24" s="140" t="n">
        <f aca="false">SUMIFS('Prescrição Força'!$J$8:$J$407,'Prescrição Força'!$Z$8:$Z$407,$A24)</f>
        <v>82</v>
      </c>
    </row>
    <row r="25" customFormat="false" ht="15" hidden="false" customHeight="false" outlineLevel="0" collapsed="false">
      <c r="A25" s="62" t="s">
        <v>1333</v>
      </c>
      <c r="B25" s="146" t="n">
        <f aca="false">SUMIFS('Prescrição Força'!$X$8:$X$407,'Prescrição Força'!$Z$8:$Z$407,$A25)</f>
        <v>356</v>
      </c>
      <c r="C25" s="65" t="n">
        <f aca="false">IFERROR($B25/SUM($B$22:$B$26),0)</f>
        <v>0.255197132616487</v>
      </c>
      <c r="D25" s="146" t="n">
        <f aca="false">SUMIFS('Prescrição Força'!$J$8:$J$407,'Prescrição Força'!$Z$8:$Z$407,$A25)</f>
        <v>82</v>
      </c>
    </row>
    <row r="26" customFormat="false" ht="15" hidden="false" customHeight="false" outlineLevel="0" collapsed="false">
      <c r="A26" s="60" t="s">
        <v>1334</v>
      </c>
      <c r="B26" s="140" t="n">
        <f aca="false">SUMIFS('Prescrição Força'!$X$8:$X$407,'Prescrição Força'!$Z$8:$Z$407,$A26)</f>
        <v>38</v>
      </c>
      <c r="C26" s="61" t="n">
        <f aca="false">IFERROR($B26/SUM($B$22:$B$26),0)</f>
        <v>0.0272401433691756</v>
      </c>
      <c r="D26" s="140" t="n">
        <f aca="false">SUMIFS('Prescrição Força'!$J$8:$J$407,'Prescrição Força'!$Z$8:$Z$407,$A26)</f>
        <v>15</v>
      </c>
    </row>
    <row r="29" customFormat="false" ht="19.5" hidden="false" customHeight="true" outlineLevel="0" collapsed="false">
      <c r="A29" s="3" t="s">
        <v>1335</v>
      </c>
      <c r="B29" s="3"/>
      <c r="C29" s="3"/>
      <c r="D29" s="3"/>
      <c r="E29" s="3"/>
      <c r="F29" s="3"/>
      <c r="G29" s="3"/>
      <c r="H29" s="3"/>
      <c r="I29" s="3"/>
    </row>
    <row r="30" customFormat="false" ht="31.5" hidden="false" customHeight="true" outlineLevel="0" collapsed="false">
      <c r="A30" s="25" t="s">
        <v>295</v>
      </c>
      <c r="B30" s="25" t="s">
        <v>1336</v>
      </c>
      <c r="C30" s="25" t="s">
        <v>1337</v>
      </c>
      <c r="D30" s="25" t="s">
        <v>1338</v>
      </c>
      <c r="E30" s="25" t="s">
        <v>1339</v>
      </c>
      <c r="F30" s="25" t="s">
        <v>1340</v>
      </c>
      <c r="G30" s="25" t="s">
        <v>1341</v>
      </c>
      <c r="H30" s="25" t="s">
        <v>1342</v>
      </c>
      <c r="I30" s="25" t="s">
        <v>1343</v>
      </c>
    </row>
    <row r="31" customFormat="false" ht="15" hidden="false" customHeight="false" outlineLevel="0" collapsed="false">
      <c r="A31" s="60" t="str">
        <f aca="false">IF(Cadastro!$B8="","",Cadastro!$B8)</f>
        <v>Rafael Monteiro Alves</v>
      </c>
      <c r="B31" s="35" t="n">
        <f aca="false">IF($A31="",0,IFERROR(INDEX('Força 1RM'!$Q$8:$Q$47,MATCH($A31,'Força 1RM'!$P$8:$P$47,0)),0))</f>
        <v>160</v>
      </c>
      <c r="C31" s="144" t="n">
        <f aca="false">IF($A31="",0,IFERROR($B31/INDEX(Cadastro!$P$8:$P$47,MATCH($A31,Cadastro!$B$8:$B$47,0)),0))</f>
        <v>1.82232346241458</v>
      </c>
      <c r="D31" s="35" t="n">
        <f aca="false">IF($A31="",0,IFERROR(AVERAGEIFS(Testes!$L$8:$L$407,Testes!$B$8:$B$407,$A31,Testes!$A$8:$A$407,SUMPRODUCT(MIN((Testes!$B$8:$B$407=$A31)*Testes!$A$8:$A$407+(Testes!$B$8:$B$407&lt;&gt;$A31)*100000))),0))</f>
        <v>49.1</v>
      </c>
      <c r="E31" s="35" t="n">
        <f aca="false">IF($A31="",0,IFERROR(AVERAGEIFS(Testes!$L$8:$L$407,Testes!$B$8:$B$407,$A31,Testes!$A$8:$A$407,SUMPRODUCT(MAX((Testes!$B$8:$B$407=$A31)*Testes!$A$8:$A$407))),0))</f>
        <v>52.1</v>
      </c>
      <c r="F31" s="167" t="n">
        <f aca="false">IF(OR($D31=0,$E31=0),0,$E31/$D31-1)</f>
        <v>0.0610997963340123</v>
      </c>
      <c r="G31" s="140" t="n">
        <f aca="false">IF($A31="",0,IFERROR(AVERAGEIFS(Testes!$S$8:$S$407,Testes!$B$8:$B$407,$A31,Testes!$A$8:$A$407,SUMPRODUCT(MAX((Testes!$B$8:$B$407=$A31)*Testes!$A$8:$A$407))),0))</f>
        <v>5089.34</v>
      </c>
      <c r="H31" s="60" t="str">
        <f aca="false">IF($A31="","",IFERROR(INDEX('Perfil F-V-P'!$K$36:$K$75,MATCH($A31,'Perfil F-V-P'!$A$36:$A$75,0)),""))</f>
        <v>Equilibrado</v>
      </c>
      <c r="I31" s="60" t="str">
        <f aca="false">IF($A31="","",IFERROR(INDEX('Perfil F-V-P'!$L$36:$L$75,MATCH($A31,'Perfil F-V-P'!$A$36:$A$75,0)),""))</f>
        <v>Misto: alternar força máxima e balístico</v>
      </c>
    </row>
    <row r="32" customFormat="false" ht="15" hidden="false" customHeight="false" outlineLevel="0" collapsed="false">
      <c r="A32" s="62" t="str">
        <f aca="false">IF(Cadastro!$B9="","",Cadastro!$B9)</f>
        <v>Diego Salgado Ferraz</v>
      </c>
      <c r="B32" s="63" t="n">
        <f aca="false">IF($A32="",0,IFERROR(INDEX('Força 1RM'!$Q$8:$Q$47,MATCH($A32,'Força 1RM'!$P$8:$P$47,0)),0))</f>
        <v>167.5</v>
      </c>
      <c r="C32" s="160" t="n">
        <f aca="false">IF($A32="",0,IFERROR($B32/INDEX(Cadastro!$P$8:$P$47,MATCH($A32,Cadastro!$B$8:$B$47,0)),0))</f>
        <v>1.77813163481953</v>
      </c>
      <c r="D32" s="63" t="n">
        <f aca="false">IF($A32="",0,IFERROR(AVERAGEIFS(Testes!$L$8:$L$407,Testes!$B$8:$B$407,$A32,Testes!$A$8:$A$407,SUMPRODUCT(MIN((Testes!$B$8:$B$407=$A32)*Testes!$A$8:$A$407+(Testes!$B$8:$B$407&lt;&gt;$A32)*100000))),0))</f>
        <v>55.3</v>
      </c>
      <c r="E32" s="63" t="n">
        <f aca="false">IF($A32="",0,IFERROR(AVERAGEIFS(Testes!$L$8:$L$407,Testes!$B$8:$B$407,$A32,Testes!$A$8:$A$407,SUMPRODUCT(MAX((Testes!$B$8:$B$407=$A32)*Testes!$A$8:$A$407))),0))</f>
        <v>57.4</v>
      </c>
      <c r="F32" s="168" t="n">
        <f aca="false">IF(OR($D32=0,$E32=0),0,$E32/$D32-1)</f>
        <v>0.0379746835443038</v>
      </c>
      <c r="G32" s="146" t="n">
        <f aca="false">IF($A32="",0,IFERROR(AVERAGEIFS(Testes!$S$8:$S$407,Testes!$B$8:$B$407,$A32,Testes!$A$8:$A$407,SUMPRODUCT(MAX((Testes!$B$8:$B$407=$A32)*Testes!$A$8:$A$407))),0))</f>
        <v>5691.91</v>
      </c>
      <c r="H32" s="62" t="str">
        <f aca="false">IF($A32="","",IFERROR(INDEX('Perfil F-V-P'!$K$36:$K$75,MATCH($A32,'Perfil F-V-P'!$A$36:$A$75,0)),""))</f>
        <v>Equilibrado</v>
      </c>
      <c r="I32" s="62" t="str">
        <f aca="false">IF($A32="","",IFERROR(INDEX('Perfil F-V-P'!$L$36:$L$75,MATCH($A32,'Perfil F-V-P'!$A$36:$A$75,0)),""))</f>
        <v>Misto: alternar força máxima e balístico</v>
      </c>
    </row>
    <row r="33" customFormat="false" ht="15" hidden="false" customHeight="false" outlineLevel="0" collapsed="false">
      <c r="A33" s="60" t="str">
        <f aca="false">IF(Cadastro!$B10="","",Cadastro!$B10)</f>
        <v>Lucas Prado Bittencourt</v>
      </c>
      <c r="B33" s="35" t="n">
        <f aca="false">IF($A33="",0,IFERROR(INDEX('Força 1RM'!$Q$8:$Q$47,MATCH($A33,'Força 1RM'!$P$8:$P$47,0)),0))</f>
        <v>160</v>
      </c>
      <c r="C33" s="144" t="n">
        <f aca="false">IF($A33="",0,IFERROR($B33/INDEX(Cadastro!$P$8:$P$47,MATCH($A33,Cadastro!$B$8:$B$47,0)),0))</f>
        <v>1.79977502812148</v>
      </c>
      <c r="D33" s="35" t="n">
        <f aca="false">IF($A33="",0,IFERROR(AVERAGEIFS(Testes!$L$8:$L$407,Testes!$B$8:$B$407,$A33,Testes!$A$8:$A$407,SUMPRODUCT(MIN((Testes!$B$8:$B$407=$A33)*Testes!$A$8:$A$407+(Testes!$B$8:$B$407&lt;&gt;$A33)*100000))),0))</f>
        <v>50</v>
      </c>
      <c r="E33" s="35" t="n">
        <f aca="false">IF($A33="",0,IFERROR(AVERAGEIFS(Testes!$L$8:$L$407,Testes!$B$8:$B$407,$A33,Testes!$A$8:$A$407,SUMPRODUCT(MAX((Testes!$B$8:$B$407=$A33)*Testes!$A$8:$A$407))),0))</f>
        <v>52.3</v>
      </c>
      <c r="F33" s="167" t="n">
        <f aca="false">IF(OR($D33=0,$E33=0),0,$E33/$D33-1)</f>
        <v>0.046</v>
      </c>
      <c r="G33" s="140" t="n">
        <f aca="false">IF($A33="",0,IFERROR(AVERAGEIFS(Testes!$S$8:$S$407,Testes!$B$8:$B$407,$A33,Testes!$A$8:$A$407,SUMPRODUCT(MAX((Testes!$B$8:$B$407=$A33)*Testes!$A$8:$A$407))),0))</f>
        <v>5173.96</v>
      </c>
      <c r="H33" s="60" t="str">
        <f aca="false">IF($A33="","",IFERROR(INDEX('Perfil F-V-P'!$K$36:$K$75,MATCH($A33,'Perfil F-V-P'!$A$36:$A$75,0)),""))</f>
        <v>Déficit de FORÇA</v>
      </c>
      <c r="I33" s="60" t="str">
        <f aca="false">IF($A33="","",IFERROR(INDEX('Perfil F-V-P'!$L$36:$L$75,MATCH($A33,'Perfil F-V-P'!$A$36:$A$75,0)),""))</f>
        <v>Cargas altas: 80–90% 1RM + LPO pesado</v>
      </c>
    </row>
    <row r="34" customFormat="false" ht="15" hidden="false" customHeight="false" outlineLevel="0" collapsed="false">
      <c r="A34" s="62" t="str">
        <f aca="false">IF(Cadastro!$B11="","",Cadastro!$B11)</f>
        <v>Bruno Rezende Camargo</v>
      </c>
      <c r="B34" s="63" t="n">
        <f aca="false">IF($A34="",0,IFERROR(INDEX('Força 1RM'!$Q$8:$Q$47,MATCH($A34,'Força 1RM'!$P$8:$P$47,0)),0))</f>
        <v>160</v>
      </c>
      <c r="C34" s="160" t="n">
        <f aca="false">IF($A34="",0,IFERROR($B34/INDEX(Cadastro!$P$8:$P$47,MATCH($A34,Cadastro!$B$8:$B$47,0)),0))</f>
        <v>1.82440136830103</v>
      </c>
      <c r="D34" s="63" t="n">
        <f aca="false">IF($A34="",0,IFERROR(AVERAGEIFS(Testes!$L$8:$L$407,Testes!$B$8:$B$407,$A34,Testes!$A$8:$A$407,SUMPRODUCT(MIN((Testes!$B$8:$B$407=$A34)*Testes!$A$8:$A$407+(Testes!$B$8:$B$407&lt;&gt;$A34)*100000))),0))</f>
        <v>46.4</v>
      </c>
      <c r="E34" s="63" t="n">
        <f aca="false">IF($A34="",0,IFERROR(AVERAGEIFS(Testes!$L$8:$L$407,Testes!$B$8:$B$407,$A34,Testes!$A$8:$A$407,SUMPRODUCT(MAX((Testes!$B$8:$B$407=$A34)*Testes!$A$8:$A$407))),0))</f>
        <v>48.1</v>
      </c>
      <c r="F34" s="168" t="n">
        <f aca="false">IF(OR($D34=0,$E34=0),0,$E34/$D34-1)</f>
        <v>0.0366379310344829</v>
      </c>
      <c r="G34" s="146" t="n">
        <f aca="false">IF($A34="",0,IFERROR(AVERAGEIFS(Testes!$S$8:$S$407,Testes!$B$8:$B$407,$A34,Testes!$A$8:$A$407,SUMPRODUCT(MAX((Testes!$B$8:$B$407=$A34)*Testes!$A$8:$A$407))),0))</f>
        <v>4823.89</v>
      </c>
      <c r="H34" s="62" t="str">
        <f aca="false">IF($A34="","",IFERROR(INDEX('Perfil F-V-P'!$K$36:$K$75,MATCH($A34,'Perfil F-V-P'!$A$36:$A$75,0)),""))</f>
        <v>Equilibrado</v>
      </c>
      <c r="I34" s="62" t="str">
        <f aca="false">IF($A34="","",IFERROR(INDEX('Perfil F-V-P'!$L$36:$L$75,MATCH($A34,'Perfil F-V-P'!$A$36:$A$75,0)),""))</f>
        <v>Misto: alternar força máxima e balístico</v>
      </c>
    </row>
    <row r="35" customFormat="false" ht="15" hidden="false" customHeight="false" outlineLevel="0" collapsed="false">
      <c r="A35" s="60" t="str">
        <f aca="false">IF(Cadastro!$B12="","",Cadastro!$B12)</f>
        <v>Thiago Nogueira Vasques</v>
      </c>
      <c r="B35" s="35" t="n">
        <f aca="false">IF($A35="",0,IFERROR(INDEX('Força 1RM'!$Q$8:$Q$47,MATCH($A35,'Força 1RM'!$P$8:$P$47,0)),0))</f>
        <v>180</v>
      </c>
      <c r="C35" s="144" t="n">
        <f aca="false">IF($A35="",0,IFERROR($B35/INDEX(Cadastro!$P$8:$P$47,MATCH($A35,Cadastro!$B$8:$B$47,0)),0))</f>
        <v>1.80541624874624</v>
      </c>
      <c r="D35" s="35" t="n">
        <f aca="false">IF($A35="",0,IFERROR(AVERAGEIFS(Testes!$L$8:$L$407,Testes!$B$8:$B$407,$A35,Testes!$A$8:$A$407,SUMPRODUCT(MIN((Testes!$B$8:$B$407=$A35)*Testes!$A$8:$A$407+(Testes!$B$8:$B$407&lt;&gt;$A35)*100000))),0))</f>
        <v>50.3</v>
      </c>
      <c r="E35" s="35" t="n">
        <f aca="false">IF($A35="",0,IFERROR(AVERAGEIFS(Testes!$L$8:$L$407,Testes!$B$8:$B$407,$A35,Testes!$A$8:$A$407,SUMPRODUCT(MAX((Testes!$B$8:$B$407=$A35)*Testes!$A$8:$A$407))),0))</f>
        <v>53</v>
      </c>
      <c r="F35" s="167" t="n">
        <f aca="false">IF(OR($D35=0,$E35=0),0,$E35/$D35-1)</f>
        <v>0.0536779324055667</v>
      </c>
      <c r="G35" s="140" t="n">
        <f aca="false">IF($A35="",0,IFERROR(AVERAGEIFS(Testes!$S$8:$S$407,Testes!$B$8:$B$407,$A35,Testes!$A$8:$A$407,SUMPRODUCT(MAX((Testes!$B$8:$B$407=$A35)*Testes!$A$8:$A$407))),0))</f>
        <v>5683.04</v>
      </c>
      <c r="H35" s="60" t="str">
        <f aca="false">IF($A35="","",IFERROR(INDEX('Perfil F-V-P'!$K$36:$K$75,MATCH($A35,'Perfil F-V-P'!$A$36:$A$75,0)),""))</f>
        <v>Déficit de FORÇA</v>
      </c>
      <c r="I35" s="60" t="str">
        <f aca="false">IF($A35="","",IFERROR(INDEX('Perfil F-V-P'!$L$36:$L$75,MATCH($A35,'Perfil F-V-P'!$A$36:$A$75,0)),""))</f>
        <v>Cargas altas: 80–90% 1RM + LPO pesado</v>
      </c>
    </row>
    <row r="36" customFormat="false" ht="15" hidden="false" customHeight="false" outlineLevel="0" collapsed="false">
      <c r="A36" s="62" t="str">
        <f aca="false">IF(Cadastro!$B13="","",Cadastro!$B13)</f>
        <v>Matheus Caldeira Lins</v>
      </c>
      <c r="B36" s="63" t="n">
        <f aca="false">IF($A36="",0,IFERROR(INDEX('Força 1RM'!$Q$8:$Q$47,MATCH($A36,'Força 1RM'!$P$8:$P$47,0)),0))</f>
        <v>162.5</v>
      </c>
      <c r="C36" s="160" t="n">
        <f aca="false">IF($A36="",0,IFERROR($B36/INDEX(Cadastro!$P$8:$P$47,MATCH($A36,Cadastro!$B$8:$B$47,0)),0))</f>
        <v>1.71232876712329</v>
      </c>
      <c r="D36" s="63" t="n">
        <f aca="false">IF($A36="",0,IFERROR(AVERAGEIFS(Testes!$L$8:$L$407,Testes!$B$8:$B$407,$A36,Testes!$A$8:$A$407,SUMPRODUCT(MIN((Testes!$B$8:$B$407=$A36)*Testes!$A$8:$A$407+(Testes!$B$8:$B$407&lt;&gt;$A36)*100000))),0))</f>
        <v>46.5</v>
      </c>
      <c r="E36" s="63" t="n">
        <f aca="false">IF($A36="",0,IFERROR(AVERAGEIFS(Testes!$L$8:$L$407,Testes!$B$8:$B$407,$A36,Testes!$A$8:$A$407,SUMPRODUCT(MAX((Testes!$B$8:$B$407=$A36)*Testes!$A$8:$A$407))),0))</f>
        <v>49.8</v>
      </c>
      <c r="F36" s="168" t="n">
        <f aca="false">IF(OR($D36=0,$E36=0),0,$E36/$D36-1)</f>
        <v>0.0709677419354837</v>
      </c>
      <c r="G36" s="146" t="n">
        <f aca="false">IF($A36="",0,IFERROR(AVERAGEIFS(Testes!$S$8:$S$407,Testes!$B$8:$B$407,$A36,Testes!$A$8:$A$407,SUMPRODUCT(MAX((Testes!$B$8:$B$407=$A36)*Testes!$A$8:$A$407))),0))</f>
        <v>5244.18</v>
      </c>
      <c r="H36" s="62" t="str">
        <f aca="false">IF($A36="","",IFERROR(INDEX('Perfil F-V-P'!$K$36:$K$75,MATCH($A36,'Perfil F-V-P'!$A$36:$A$75,0)),""))</f>
        <v>Déficit de FORÇA</v>
      </c>
      <c r="I36" s="62" t="str">
        <f aca="false">IF($A36="","",IFERROR(INDEX('Perfil F-V-P'!$L$36:$L$75,MATCH($A36,'Perfil F-V-P'!$A$36:$A$75,0)),""))</f>
        <v>Cargas altas: 80–90% 1RM + LPO pesado</v>
      </c>
    </row>
    <row r="37" customFormat="false" ht="15" hidden="false" customHeight="false" outlineLevel="0" collapsed="false">
      <c r="A37" s="60" t="str">
        <f aca="false">IF(Cadastro!$B14="","",Cadastro!$B14)</f>
        <v>Felipe Andrade Rocha</v>
      </c>
      <c r="B37" s="35" t="n">
        <f aca="false">IF($A37="",0,IFERROR(INDEX('Força 1RM'!$Q$8:$Q$47,MATCH($A37,'Força 1RM'!$P$8:$P$47,0)),0))</f>
        <v>145</v>
      </c>
      <c r="C37" s="144" t="n">
        <f aca="false">IF($A37="",0,IFERROR($B37/INDEX(Cadastro!$P$8:$P$47,MATCH($A37,Cadastro!$B$8:$B$47,0)),0))</f>
        <v>1.83544303797468</v>
      </c>
      <c r="D37" s="35" t="n">
        <f aca="false">IF($A37="",0,IFERROR(AVERAGEIFS(Testes!$L$8:$L$407,Testes!$B$8:$B$407,$A37,Testes!$A$8:$A$407,SUMPRODUCT(MIN((Testes!$B$8:$B$407=$A37)*Testes!$A$8:$A$407+(Testes!$B$8:$B$407&lt;&gt;$A37)*100000))),0))</f>
        <v>53.1</v>
      </c>
      <c r="E37" s="35" t="n">
        <f aca="false">IF($A37="",0,IFERROR(AVERAGEIFS(Testes!$L$8:$L$407,Testes!$B$8:$B$407,$A37,Testes!$A$8:$A$407,SUMPRODUCT(MAX((Testes!$B$8:$B$407=$A37)*Testes!$A$8:$A$407))),0))</f>
        <v>55</v>
      </c>
      <c r="F37" s="167" t="n">
        <f aca="false">IF(OR($D37=0,$E37=0),0,$E37/$D37-1)</f>
        <v>0.0357815442561205</v>
      </c>
      <c r="G37" s="140" t="n">
        <f aca="false">IF($A37="",0,IFERROR(AVERAGEIFS(Testes!$S$8:$S$407,Testes!$B$8:$B$407,$A37,Testes!$A$8:$A$407,SUMPRODUCT(MAX((Testes!$B$8:$B$407=$A37)*Testes!$A$8:$A$407))),0))</f>
        <v>4839.55</v>
      </c>
      <c r="H37" s="60" t="str">
        <f aca="false">IF($A37="","",IFERROR(INDEX('Perfil F-V-P'!$K$36:$K$75,MATCH($A37,'Perfil F-V-P'!$A$36:$A$75,0)),""))</f>
        <v>Equilibrado</v>
      </c>
      <c r="I37" s="60" t="str">
        <f aca="false">IF($A37="","",IFERROR(INDEX('Perfil F-V-P'!$L$36:$L$75,MATCH($A37,'Perfil F-V-P'!$A$36:$A$75,0)),""))</f>
        <v>Misto: alternar força máxima e balístico</v>
      </c>
    </row>
    <row r="38" customFormat="false" ht="15" hidden="false" customHeight="false" outlineLevel="0" collapsed="false">
      <c r="A38" s="62" t="str">
        <f aca="false">IF(Cadastro!$B15="","",Cadastro!$B15)</f>
        <v>Gustavo Peixoto Maia</v>
      </c>
      <c r="B38" s="63" t="n">
        <f aca="false">IF($A38="",0,IFERROR(INDEX('Força 1RM'!$Q$8:$Q$47,MATCH($A38,'Força 1RM'!$P$8:$P$47,0)),0))</f>
        <v>157.5</v>
      </c>
      <c r="C38" s="160" t="n">
        <f aca="false">IF($A38="",0,IFERROR($B38/INDEX(Cadastro!$P$8:$P$47,MATCH($A38,Cadastro!$B$8:$B$47,0)),0))</f>
        <v>1.74225663716814</v>
      </c>
      <c r="D38" s="63" t="n">
        <f aca="false">IF($A38="",0,IFERROR(AVERAGEIFS(Testes!$L$8:$L$407,Testes!$B$8:$B$407,$A38,Testes!$A$8:$A$407,SUMPRODUCT(MIN((Testes!$B$8:$B$407=$A38)*Testes!$A$8:$A$407+(Testes!$B$8:$B$407&lt;&gt;$A38)*100000))),0))</f>
        <v>51</v>
      </c>
      <c r="E38" s="63" t="n">
        <f aca="false">IF($A38="",0,IFERROR(AVERAGEIFS(Testes!$L$8:$L$407,Testes!$B$8:$B$407,$A38,Testes!$A$8:$A$407,SUMPRODUCT(MAX((Testes!$B$8:$B$407=$A38)*Testes!$A$8:$A$407))),0))</f>
        <v>54.3</v>
      </c>
      <c r="F38" s="168" t="n">
        <f aca="false">IF(OR($D38=0,$E38=0),0,$E38/$D38-1)</f>
        <v>0.0647058823529412</v>
      </c>
      <c r="G38" s="146" t="n">
        <f aca="false">IF($A38="",0,IFERROR(AVERAGEIFS(Testes!$S$8:$S$407,Testes!$B$8:$B$407,$A38,Testes!$A$8:$A$407,SUMPRODUCT(MAX((Testes!$B$8:$B$407=$A38)*Testes!$A$8:$A$407))),0))</f>
        <v>5358.78</v>
      </c>
      <c r="H38" s="62" t="str">
        <f aca="false">IF($A38="","",IFERROR(INDEX('Perfil F-V-P'!$K$36:$K$75,MATCH($A38,'Perfil F-V-P'!$A$36:$A$75,0)),""))</f>
        <v>Equilibrado</v>
      </c>
      <c r="I38" s="62" t="str">
        <f aca="false">IF($A38="","",IFERROR(INDEX('Perfil F-V-P'!$L$36:$L$75,MATCH($A38,'Perfil F-V-P'!$A$36:$A$75,0)),""))</f>
        <v>Misto: alternar força máxima e balístico</v>
      </c>
    </row>
    <row r="39" customFormat="false" ht="15" hidden="false" customHeight="false" outlineLevel="0" collapsed="false">
      <c r="A39" s="60" t="str">
        <f aca="false">IF(Cadastro!$B16="","",Cadastro!$B16)</f>
        <v>Vinícius Barreto Duarte</v>
      </c>
      <c r="B39" s="35" t="n">
        <f aca="false">IF($A39="",0,IFERROR(INDEX('Força 1RM'!$Q$8:$Q$47,MATCH($A39,'Força 1RM'!$P$8:$P$47,0)),0))</f>
        <v>162.5</v>
      </c>
      <c r="C39" s="144" t="n">
        <f aca="false">IF($A39="",0,IFERROR($B39/INDEX(Cadastro!$P$8:$P$47,MATCH($A39,Cadastro!$B$8:$B$47,0)),0))</f>
        <v>1.96969696969697</v>
      </c>
      <c r="D39" s="35" t="n">
        <f aca="false">IF($A39="",0,IFERROR(AVERAGEIFS(Testes!$L$8:$L$407,Testes!$B$8:$B$407,$A39,Testes!$A$8:$A$407,SUMPRODUCT(MIN((Testes!$B$8:$B$407=$A39)*Testes!$A$8:$A$407+(Testes!$B$8:$B$407&lt;&gt;$A39)*100000))),0))</f>
        <v>48.2</v>
      </c>
      <c r="E39" s="35" t="n">
        <f aca="false">IF($A39="",0,IFERROR(AVERAGEIFS(Testes!$L$8:$L$407,Testes!$B$8:$B$407,$A39,Testes!$A$8:$A$407,SUMPRODUCT(MAX((Testes!$B$8:$B$407=$A39)*Testes!$A$8:$A$407))),0))</f>
        <v>50.5</v>
      </c>
      <c r="F39" s="167" t="n">
        <f aca="false">IF(OR($D39=0,$E39=0),0,$E39/$D39-1)</f>
        <v>0.0477178423236513</v>
      </c>
      <c r="G39" s="140" t="n">
        <f aca="false">IF($A39="",0,IFERROR(AVERAGEIFS(Testes!$S$8:$S$407,Testes!$B$8:$B$407,$A39,Testes!$A$8:$A$407,SUMPRODUCT(MAX((Testes!$B$8:$B$407=$A39)*Testes!$A$8:$A$407))),0))</f>
        <v>4752.13</v>
      </c>
      <c r="H39" s="60" t="str">
        <f aca="false">IF($A39="","",IFERROR(INDEX('Perfil F-V-P'!$K$36:$K$75,MATCH($A39,'Perfil F-V-P'!$A$36:$A$75,0)),""))</f>
        <v>Déficit de VELOCIDADE</v>
      </c>
      <c r="I39" s="60" t="str">
        <f aca="false">IF($A39="","",IFERROR(INDEX('Perfil F-V-P'!$L$36:$L$75,MATCH($A39,'Perfil F-V-P'!$A$36:$A$75,0)),""))</f>
        <v>Balístico: 0–40% 1RM, jump squat e pliometria reativa</v>
      </c>
    </row>
    <row r="40" customFormat="false" ht="15" hidden="false" customHeight="false" outlineLevel="0" collapsed="false">
      <c r="A40" s="62" t="str">
        <f aca="false">IF(Cadastro!$B17="","",Cadastro!$B17)</f>
        <v>André Luiz Sampaio</v>
      </c>
      <c r="B40" s="63" t="n">
        <f aca="false">IF($A40="",0,IFERROR(INDEX('Força 1RM'!$Q$8:$Q$47,MATCH($A40,'Força 1RM'!$P$8:$P$47,0)),0))</f>
        <v>175</v>
      </c>
      <c r="C40" s="160" t="n">
        <f aca="false">IF($A40="",0,IFERROR($B40/INDEX(Cadastro!$P$8:$P$47,MATCH($A40,Cadastro!$B$8:$B$47,0)),0))</f>
        <v>1.7948717948718</v>
      </c>
      <c r="D40" s="63" t="n">
        <f aca="false">IF($A40="",0,IFERROR(AVERAGEIFS(Testes!$L$8:$L$407,Testes!$B$8:$B$407,$A40,Testes!$A$8:$A$407,SUMPRODUCT(MIN((Testes!$B$8:$B$407=$A40)*Testes!$A$8:$A$407+(Testes!$B$8:$B$407&lt;&gt;$A40)*100000))),0))</f>
        <v>57</v>
      </c>
      <c r="E40" s="63" t="n">
        <f aca="false">IF($A40="",0,IFERROR(AVERAGEIFS(Testes!$L$8:$L$407,Testes!$B$8:$B$407,$A40,Testes!$A$8:$A$407,SUMPRODUCT(MAX((Testes!$B$8:$B$407=$A40)*Testes!$A$8:$A$407))),0))</f>
        <v>58.8</v>
      </c>
      <c r="F40" s="168" t="n">
        <f aca="false">IF(OR($D40=0,$E40=0),0,$E40/$D40-1)</f>
        <v>0.0315789473684209</v>
      </c>
      <c r="G40" s="146" t="n">
        <f aca="false">IF($A40="",0,IFERROR(AVERAGEIFS(Testes!$S$8:$S$407,Testes!$B$8:$B$407,$A40,Testes!$A$8:$A$407,SUMPRODUCT(MAX((Testes!$B$8:$B$407=$A40)*Testes!$A$8:$A$407))),0))</f>
        <v>5849.37</v>
      </c>
      <c r="H40" s="62" t="str">
        <f aca="false">IF($A40="","",IFERROR(INDEX('Perfil F-V-P'!$K$36:$K$75,MATCH($A40,'Perfil F-V-P'!$A$36:$A$75,0)),""))</f>
        <v>Déficit de FORÇA</v>
      </c>
      <c r="I40" s="62" t="str">
        <f aca="false">IF($A40="","",IFERROR(INDEX('Perfil F-V-P'!$L$36:$L$75,MATCH($A40,'Perfil F-V-P'!$A$36:$A$75,0)),""))</f>
        <v>Cargas altas: 80–90% 1RM + LPO pesado</v>
      </c>
    </row>
    <row r="41" customFormat="false" ht="15" hidden="false" customHeight="false" outlineLevel="0" collapsed="false">
      <c r="A41" s="60" t="str">
        <f aca="false">IF(Cadastro!$B18="","",Cadastro!$B18)</f>
        <v>Pedro Henrique Coutinho</v>
      </c>
      <c r="B41" s="35" t="n">
        <f aca="false">IF($A41="",0,IFERROR(INDEX('Força 1RM'!$Q$8:$Q$47,MATCH($A41,'Força 1RM'!$P$8:$P$47,0)),0))</f>
        <v>177.5</v>
      </c>
      <c r="C41" s="144" t="n">
        <f aca="false">IF($A41="",0,IFERROR($B41/INDEX(Cadastro!$P$8:$P$47,MATCH($A41,Cadastro!$B$8:$B$47,0)),0))</f>
        <v>1.93355119825708</v>
      </c>
      <c r="D41" s="35" t="n">
        <f aca="false">IF($A41="",0,IFERROR(AVERAGEIFS(Testes!$L$8:$L$407,Testes!$B$8:$B$407,$A41,Testes!$A$8:$A$407,SUMPRODUCT(MIN((Testes!$B$8:$B$407=$A41)*Testes!$A$8:$A$407+(Testes!$B$8:$B$407&lt;&gt;$A41)*100000))),0))</f>
        <v>48.3</v>
      </c>
      <c r="E41" s="35" t="n">
        <f aca="false">IF($A41="",0,IFERROR(AVERAGEIFS(Testes!$L$8:$L$407,Testes!$B$8:$B$407,$A41,Testes!$A$8:$A$407,SUMPRODUCT(MAX((Testes!$B$8:$B$407=$A41)*Testes!$A$8:$A$407))),0))</f>
        <v>51.2</v>
      </c>
      <c r="F41" s="167" t="n">
        <f aca="false">IF(OR($D41=0,$E41=0),0,$E41/$D41-1)</f>
        <v>0.0600414078674949</v>
      </c>
      <c r="G41" s="140" t="n">
        <f aca="false">IF($A41="",0,IFERROR(AVERAGEIFS(Testes!$S$8:$S$407,Testes!$B$8:$B$407,$A41,Testes!$A$8:$A$407,SUMPRODUCT(MAX((Testes!$B$8:$B$407=$A41)*Testes!$A$8:$A$407))),0))</f>
        <v>5220.44</v>
      </c>
      <c r="H41" s="60" t="str">
        <f aca="false">IF($A41="","",IFERROR(INDEX('Perfil F-V-P'!$K$36:$K$75,MATCH($A41,'Perfil F-V-P'!$A$36:$A$75,0)),""))</f>
        <v>Déficit de VELOCIDADE</v>
      </c>
      <c r="I41" s="60" t="str">
        <f aca="false">IF($A41="","",IFERROR(INDEX('Perfil F-V-P'!$L$36:$L$75,MATCH($A41,'Perfil F-V-P'!$A$36:$A$75,0)),""))</f>
        <v>Balístico: 0–40% 1RM, jump squat e pliometria reativa</v>
      </c>
    </row>
    <row r="42" customFormat="false" ht="15" hidden="false" customHeight="false" outlineLevel="0" collapsed="false">
      <c r="A42" s="62" t="str">
        <f aca="false">IF(Cadastro!$B19="","",Cadastro!$B19)</f>
        <v>Caio Fernandes Bastos</v>
      </c>
      <c r="B42" s="63" t="n">
        <f aca="false">IF($A42="",0,IFERROR(INDEX('Força 1RM'!$Q$8:$Q$47,MATCH($A42,'Força 1RM'!$P$8:$P$47,0)),0))</f>
        <v>132.5</v>
      </c>
      <c r="C42" s="160" t="n">
        <f aca="false">IF($A42="",0,IFERROR($B42/INDEX(Cadastro!$P$8:$P$47,MATCH($A42,Cadastro!$B$8:$B$47,0)),0))</f>
        <v>1.69437340153453</v>
      </c>
      <c r="D42" s="63" t="n">
        <f aca="false">IF($A42="",0,IFERROR(AVERAGEIFS(Testes!$L$8:$L$407,Testes!$B$8:$B$407,$A42,Testes!$A$8:$A$407,SUMPRODUCT(MIN((Testes!$B$8:$B$407=$A42)*Testes!$A$8:$A$407+(Testes!$B$8:$B$407&lt;&gt;$A42)*100000))),0))</f>
        <v>51.9</v>
      </c>
      <c r="E42" s="63" t="n">
        <f aca="false">IF($A42="",0,IFERROR(AVERAGEIFS(Testes!$L$8:$L$407,Testes!$B$8:$B$407,$A42,Testes!$A$8:$A$407,SUMPRODUCT(MAX((Testes!$B$8:$B$407=$A42)*Testes!$A$8:$A$407))),0))</f>
        <v>53.3</v>
      </c>
      <c r="F42" s="168" t="n">
        <f aca="false">IF(OR($D42=0,$E42=0),0,$E42/$D42-1)</f>
        <v>0.0269749518304432</v>
      </c>
      <c r="G42" s="146" t="n">
        <f aca="false">IF($A42="",0,IFERROR(AVERAGEIFS(Testes!$S$8:$S$407,Testes!$B$8:$B$407,$A42,Testes!$A$8:$A$407,SUMPRODUCT(MAX((Testes!$B$8:$B$407=$A42)*Testes!$A$8:$A$407))),0))</f>
        <v>4731.83</v>
      </c>
      <c r="H42" s="62" t="str">
        <f aca="false">IF($A42="","",IFERROR(INDEX('Perfil F-V-P'!$K$36:$K$75,MATCH($A42,'Perfil F-V-P'!$A$36:$A$75,0)),""))</f>
        <v>Déficit de VELOCIDADE</v>
      </c>
      <c r="I42" s="62" t="str">
        <f aca="false">IF($A42="","",IFERROR(INDEX('Perfil F-V-P'!$L$36:$L$75,MATCH($A42,'Perfil F-V-P'!$A$36:$A$75,0)),""))</f>
        <v>Balístico: 0–40% 1RM, jump squat e pliometria reativa</v>
      </c>
    </row>
    <row r="43" customFormat="false" ht="15" hidden="false" customHeight="false" outlineLevel="0" collapsed="false">
      <c r="A43" s="60" t="str">
        <f aca="false">IF(Cadastro!$B20="","",Cadastro!$B20)</f>
        <v/>
      </c>
      <c r="B43" s="35" t="n">
        <f aca="false">IF($A43="",0,IFERROR(INDEX('Força 1RM'!$Q$8:$Q$47,MATCH($A43,'Força 1RM'!$P$8:$P$47,0)),0))</f>
        <v>0</v>
      </c>
      <c r="C43" s="144" t="n">
        <f aca="false">IF($A43="",0,IFERROR($B43/INDEX(Cadastro!$P$8:$P$47,MATCH($A43,Cadastro!$B$8:$B$47,0)),0))</f>
        <v>0</v>
      </c>
      <c r="D43" s="35" t="n">
        <f aca="false">IF($A43="",0,IFERROR(AVERAGEIFS(Testes!$L$8:$L$407,Testes!$B$8:$B$407,$A43,Testes!$A$8:$A$407,SUMPRODUCT(MIN((Testes!$B$8:$B$407=$A43)*Testes!$A$8:$A$407+(Testes!$B$8:$B$407&lt;&gt;$A43)*100000))),0))</f>
        <v>0</v>
      </c>
      <c r="E43" s="35" t="n">
        <f aca="false">IF($A43="",0,IFERROR(AVERAGEIFS(Testes!$L$8:$L$407,Testes!$B$8:$B$407,$A43,Testes!$A$8:$A$407,SUMPRODUCT(MAX((Testes!$B$8:$B$407=$A43)*Testes!$A$8:$A$407))),0))</f>
        <v>0</v>
      </c>
      <c r="F43" s="167" t="n">
        <f aca="false">IF(OR($D43=0,$E43=0),0,$E43/$D43-1)</f>
        <v>0</v>
      </c>
      <c r="G43" s="140" t="n">
        <f aca="false">IF($A43="",0,IFERROR(AVERAGEIFS(Testes!$S$8:$S$407,Testes!$B$8:$B$407,$A43,Testes!$A$8:$A$407,SUMPRODUCT(MAX((Testes!$B$8:$B$407=$A43)*Testes!$A$8:$A$407))),0))</f>
        <v>0</v>
      </c>
      <c r="H43" s="60" t="str">
        <f aca="false">IF($A43="","",IFERROR(INDEX('Perfil F-V-P'!$K$36:$K$75,MATCH($A43,'Perfil F-V-P'!$A$36:$A$75,0)),""))</f>
        <v/>
      </c>
      <c r="I43" s="60" t="str">
        <f aca="false">IF($A43="","",IFERROR(INDEX('Perfil F-V-P'!$L$36:$L$75,MATCH($A43,'Perfil F-V-P'!$A$36:$A$75,0)),""))</f>
        <v/>
      </c>
    </row>
    <row r="44" customFormat="false" ht="15" hidden="false" customHeight="false" outlineLevel="0" collapsed="false">
      <c r="A44" s="62" t="str">
        <f aca="false">IF(Cadastro!$B21="","",Cadastro!$B21)</f>
        <v/>
      </c>
      <c r="B44" s="63" t="n">
        <f aca="false">IF($A44="",0,IFERROR(INDEX('Força 1RM'!$Q$8:$Q$47,MATCH($A44,'Força 1RM'!$P$8:$P$47,0)),0))</f>
        <v>0</v>
      </c>
      <c r="C44" s="160" t="n">
        <f aca="false">IF($A44="",0,IFERROR($B44/INDEX(Cadastro!$P$8:$P$47,MATCH($A44,Cadastro!$B$8:$B$47,0)),0))</f>
        <v>0</v>
      </c>
      <c r="D44" s="63" t="n">
        <f aca="false">IF($A44="",0,IFERROR(AVERAGEIFS(Testes!$L$8:$L$407,Testes!$B$8:$B$407,$A44,Testes!$A$8:$A$407,SUMPRODUCT(MIN((Testes!$B$8:$B$407=$A44)*Testes!$A$8:$A$407+(Testes!$B$8:$B$407&lt;&gt;$A44)*100000))),0))</f>
        <v>0</v>
      </c>
      <c r="E44" s="63" t="n">
        <f aca="false">IF($A44="",0,IFERROR(AVERAGEIFS(Testes!$L$8:$L$407,Testes!$B$8:$B$407,$A44,Testes!$A$8:$A$407,SUMPRODUCT(MAX((Testes!$B$8:$B$407=$A44)*Testes!$A$8:$A$407))),0))</f>
        <v>0</v>
      </c>
      <c r="F44" s="168" t="n">
        <f aca="false">IF(OR($D44=0,$E44=0),0,$E44/$D44-1)</f>
        <v>0</v>
      </c>
      <c r="G44" s="146" t="n">
        <f aca="false">IF($A44="",0,IFERROR(AVERAGEIFS(Testes!$S$8:$S$407,Testes!$B$8:$B$407,$A44,Testes!$A$8:$A$407,SUMPRODUCT(MAX((Testes!$B$8:$B$407=$A44)*Testes!$A$8:$A$407))),0))</f>
        <v>0</v>
      </c>
      <c r="H44" s="62" t="str">
        <f aca="false">IF($A44="","",IFERROR(INDEX('Perfil F-V-P'!$K$36:$K$75,MATCH($A44,'Perfil F-V-P'!$A$36:$A$75,0)),""))</f>
        <v/>
      </c>
      <c r="I44" s="62" t="str">
        <f aca="false">IF($A44="","",IFERROR(INDEX('Perfil F-V-P'!$L$36:$L$75,MATCH($A44,'Perfil F-V-P'!$A$36:$A$75,0)),""))</f>
        <v/>
      </c>
    </row>
    <row r="45" customFormat="false" ht="15" hidden="false" customHeight="false" outlineLevel="0" collapsed="false">
      <c r="A45" s="60" t="str">
        <f aca="false">IF(Cadastro!$B22="","",Cadastro!$B22)</f>
        <v/>
      </c>
      <c r="B45" s="35" t="n">
        <f aca="false">IF($A45="",0,IFERROR(INDEX('Força 1RM'!$Q$8:$Q$47,MATCH($A45,'Força 1RM'!$P$8:$P$47,0)),0))</f>
        <v>0</v>
      </c>
      <c r="C45" s="144" t="n">
        <f aca="false">IF($A45="",0,IFERROR($B45/INDEX(Cadastro!$P$8:$P$47,MATCH($A45,Cadastro!$B$8:$B$47,0)),0))</f>
        <v>0</v>
      </c>
      <c r="D45" s="35" t="n">
        <f aca="false">IF($A45="",0,IFERROR(AVERAGEIFS(Testes!$L$8:$L$407,Testes!$B$8:$B$407,$A45,Testes!$A$8:$A$407,SUMPRODUCT(MIN((Testes!$B$8:$B$407=$A45)*Testes!$A$8:$A$407+(Testes!$B$8:$B$407&lt;&gt;$A45)*100000))),0))</f>
        <v>0</v>
      </c>
      <c r="E45" s="35" t="n">
        <f aca="false">IF($A45="",0,IFERROR(AVERAGEIFS(Testes!$L$8:$L$407,Testes!$B$8:$B$407,$A45,Testes!$A$8:$A$407,SUMPRODUCT(MAX((Testes!$B$8:$B$407=$A45)*Testes!$A$8:$A$407))),0))</f>
        <v>0</v>
      </c>
      <c r="F45" s="167" t="n">
        <f aca="false">IF(OR($D45=0,$E45=0),0,$E45/$D45-1)</f>
        <v>0</v>
      </c>
      <c r="G45" s="140" t="n">
        <f aca="false">IF($A45="",0,IFERROR(AVERAGEIFS(Testes!$S$8:$S$407,Testes!$B$8:$B$407,$A45,Testes!$A$8:$A$407,SUMPRODUCT(MAX((Testes!$B$8:$B$407=$A45)*Testes!$A$8:$A$407))),0))</f>
        <v>0</v>
      </c>
      <c r="H45" s="60" t="str">
        <f aca="false">IF($A45="","",IFERROR(INDEX('Perfil F-V-P'!$K$36:$K$75,MATCH($A45,'Perfil F-V-P'!$A$36:$A$75,0)),""))</f>
        <v/>
      </c>
      <c r="I45" s="60" t="str">
        <f aca="false">IF($A45="","",IFERROR(INDEX('Perfil F-V-P'!$L$36:$L$75,MATCH($A45,'Perfil F-V-P'!$A$36:$A$75,0)),""))</f>
        <v/>
      </c>
    </row>
    <row r="46" customFormat="false" ht="15" hidden="false" customHeight="false" outlineLevel="0" collapsed="false">
      <c r="A46" s="62" t="str">
        <f aca="false">IF(Cadastro!$B23="","",Cadastro!$B23)</f>
        <v/>
      </c>
      <c r="B46" s="63" t="n">
        <f aca="false">IF($A46="",0,IFERROR(INDEX('Força 1RM'!$Q$8:$Q$47,MATCH($A46,'Força 1RM'!$P$8:$P$47,0)),0))</f>
        <v>0</v>
      </c>
      <c r="C46" s="160" t="n">
        <f aca="false">IF($A46="",0,IFERROR($B46/INDEX(Cadastro!$P$8:$P$47,MATCH($A46,Cadastro!$B$8:$B$47,0)),0))</f>
        <v>0</v>
      </c>
      <c r="D46" s="63" t="n">
        <f aca="false">IF($A46="",0,IFERROR(AVERAGEIFS(Testes!$L$8:$L$407,Testes!$B$8:$B$407,$A46,Testes!$A$8:$A$407,SUMPRODUCT(MIN((Testes!$B$8:$B$407=$A46)*Testes!$A$8:$A$407+(Testes!$B$8:$B$407&lt;&gt;$A46)*100000))),0))</f>
        <v>0</v>
      </c>
      <c r="E46" s="63" t="n">
        <f aca="false">IF($A46="",0,IFERROR(AVERAGEIFS(Testes!$L$8:$L$407,Testes!$B$8:$B$407,$A46,Testes!$A$8:$A$407,SUMPRODUCT(MAX((Testes!$B$8:$B$407=$A46)*Testes!$A$8:$A$407))),0))</f>
        <v>0</v>
      </c>
      <c r="F46" s="168" t="n">
        <f aca="false">IF(OR($D46=0,$E46=0),0,$E46/$D46-1)</f>
        <v>0</v>
      </c>
      <c r="G46" s="146" t="n">
        <f aca="false">IF($A46="",0,IFERROR(AVERAGEIFS(Testes!$S$8:$S$407,Testes!$B$8:$B$407,$A46,Testes!$A$8:$A$407,SUMPRODUCT(MAX((Testes!$B$8:$B$407=$A46)*Testes!$A$8:$A$407))),0))</f>
        <v>0</v>
      </c>
      <c r="H46" s="62" t="str">
        <f aca="false">IF($A46="","",IFERROR(INDEX('Perfil F-V-P'!$K$36:$K$75,MATCH($A46,'Perfil F-V-P'!$A$36:$A$75,0)),""))</f>
        <v/>
      </c>
      <c r="I46" s="62" t="str">
        <f aca="false">IF($A46="","",IFERROR(INDEX('Perfil F-V-P'!$L$36:$L$75,MATCH($A46,'Perfil F-V-P'!$A$36:$A$75,0)),""))</f>
        <v/>
      </c>
    </row>
    <row r="47" customFormat="false" ht="15" hidden="false" customHeight="false" outlineLevel="0" collapsed="false">
      <c r="A47" s="60" t="str">
        <f aca="false">IF(Cadastro!$B24="","",Cadastro!$B24)</f>
        <v/>
      </c>
      <c r="B47" s="35" t="n">
        <f aca="false">IF($A47="",0,IFERROR(INDEX('Força 1RM'!$Q$8:$Q$47,MATCH($A47,'Força 1RM'!$P$8:$P$47,0)),0))</f>
        <v>0</v>
      </c>
      <c r="C47" s="144" t="n">
        <f aca="false">IF($A47="",0,IFERROR($B47/INDEX(Cadastro!$P$8:$P$47,MATCH($A47,Cadastro!$B$8:$B$47,0)),0))</f>
        <v>0</v>
      </c>
      <c r="D47" s="35" t="n">
        <f aca="false">IF($A47="",0,IFERROR(AVERAGEIFS(Testes!$L$8:$L$407,Testes!$B$8:$B$407,$A47,Testes!$A$8:$A$407,SUMPRODUCT(MIN((Testes!$B$8:$B$407=$A47)*Testes!$A$8:$A$407+(Testes!$B$8:$B$407&lt;&gt;$A47)*100000))),0))</f>
        <v>0</v>
      </c>
      <c r="E47" s="35" t="n">
        <f aca="false">IF($A47="",0,IFERROR(AVERAGEIFS(Testes!$L$8:$L$407,Testes!$B$8:$B$407,$A47,Testes!$A$8:$A$407,SUMPRODUCT(MAX((Testes!$B$8:$B$407=$A47)*Testes!$A$8:$A$407))),0))</f>
        <v>0</v>
      </c>
      <c r="F47" s="167" t="n">
        <f aca="false">IF(OR($D47=0,$E47=0),0,$E47/$D47-1)</f>
        <v>0</v>
      </c>
      <c r="G47" s="140" t="n">
        <f aca="false">IF($A47="",0,IFERROR(AVERAGEIFS(Testes!$S$8:$S$407,Testes!$B$8:$B$407,$A47,Testes!$A$8:$A$407,SUMPRODUCT(MAX((Testes!$B$8:$B$407=$A47)*Testes!$A$8:$A$407))),0))</f>
        <v>0</v>
      </c>
      <c r="H47" s="60" t="str">
        <f aca="false">IF($A47="","",IFERROR(INDEX('Perfil F-V-P'!$K$36:$K$75,MATCH($A47,'Perfil F-V-P'!$A$36:$A$75,0)),""))</f>
        <v/>
      </c>
      <c r="I47" s="60" t="str">
        <f aca="false">IF($A47="","",IFERROR(INDEX('Perfil F-V-P'!$L$36:$L$75,MATCH($A47,'Perfil F-V-P'!$A$36:$A$75,0)),""))</f>
        <v/>
      </c>
    </row>
    <row r="48" customFormat="false" ht="15" hidden="false" customHeight="false" outlineLevel="0" collapsed="false">
      <c r="A48" s="62" t="str">
        <f aca="false">IF(Cadastro!$B25="","",Cadastro!$B25)</f>
        <v/>
      </c>
      <c r="B48" s="63" t="n">
        <f aca="false">IF($A48="",0,IFERROR(INDEX('Força 1RM'!$Q$8:$Q$47,MATCH($A48,'Força 1RM'!$P$8:$P$47,0)),0))</f>
        <v>0</v>
      </c>
      <c r="C48" s="160" t="n">
        <f aca="false">IF($A48="",0,IFERROR($B48/INDEX(Cadastro!$P$8:$P$47,MATCH($A48,Cadastro!$B$8:$B$47,0)),0))</f>
        <v>0</v>
      </c>
      <c r="D48" s="63" t="n">
        <f aca="false">IF($A48="",0,IFERROR(AVERAGEIFS(Testes!$L$8:$L$407,Testes!$B$8:$B$407,$A48,Testes!$A$8:$A$407,SUMPRODUCT(MIN((Testes!$B$8:$B$407=$A48)*Testes!$A$8:$A$407+(Testes!$B$8:$B$407&lt;&gt;$A48)*100000))),0))</f>
        <v>0</v>
      </c>
      <c r="E48" s="63" t="n">
        <f aca="false">IF($A48="",0,IFERROR(AVERAGEIFS(Testes!$L$8:$L$407,Testes!$B$8:$B$407,$A48,Testes!$A$8:$A$407,SUMPRODUCT(MAX((Testes!$B$8:$B$407=$A48)*Testes!$A$8:$A$407))),0))</f>
        <v>0</v>
      </c>
      <c r="F48" s="168" t="n">
        <f aca="false">IF(OR($D48=0,$E48=0),0,$E48/$D48-1)</f>
        <v>0</v>
      </c>
      <c r="G48" s="146" t="n">
        <f aca="false">IF($A48="",0,IFERROR(AVERAGEIFS(Testes!$S$8:$S$407,Testes!$B$8:$B$407,$A48,Testes!$A$8:$A$407,SUMPRODUCT(MAX((Testes!$B$8:$B$407=$A48)*Testes!$A$8:$A$407))),0))</f>
        <v>0</v>
      </c>
      <c r="H48" s="62" t="str">
        <f aca="false">IF($A48="","",IFERROR(INDEX('Perfil F-V-P'!$K$36:$K$75,MATCH($A48,'Perfil F-V-P'!$A$36:$A$75,0)),""))</f>
        <v/>
      </c>
      <c r="I48" s="62" t="str">
        <f aca="false">IF($A48="","",IFERROR(INDEX('Perfil F-V-P'!$L$36:$L$75,MATCH($A48,'Perfil F-V-P'!$A$36:$A$75,0)),""))</f>
        <v/>
      </c>
    </row>
    <row r="49" customFormat="false" ht="15" hidden="false" customHeight="false" outlineLevel="0" collapsed="false">
      <c r="A49" s="60" t="str">
        <f aca="false">IF(Cadastro!$B26="","",Cadastro!$B26)</f>
        <v/>
      </c>
      <c r="B49" s="35" t="n">
        <f aca="false">IF($A49="",0,IFERROR(INDEX('Força 1RM'!$Q$8:$Q$47,MATCH($A49,'Força 1RM'!$P$8:$P$47,0)),0))</f>
        <v>0</v>
      </c>
      <c r="C49" s="144" t="n">
        <f aca="false">IF($A49="",0,IFERROR($B49/INDEX(Cadastro!$P$8:$P$47,MATCH($A49,Cadastro!$B$8:$B$47,0)),0))</f>
        <v>0</v>
      </c>
      <c r="D49" s="35" t="n">
        <f aca="false">IF($A49="",0,IFERROR(AVERAGEIFS(Testes!$L$8:$L$407,Testes!$B$8:$B$407,$A49,Testes!$A$8:$A$407,SUMPRODUCT(MIN((Testes!$B$8:$B$407=$A49)*Testes!$A$8:$A$407+(Testes!$B$8:$B$407&lt;&gt;$A49)*100000))),0))</f>
        <v>0</v>
      </c>
      <c r="E49" s="35" t="n">
        <f aca="false">IF($A49="",0,IFERROR(AVERAGEIFS(Testes!$L$8:$L$407,Testes!$B$8:$B$407,$A49,Testes!$A$8:$A$407,SUMPRODUCT(MAX((Testes!$B$8:$B$407=$A49)*Testes!$A$8:$A$407))),0))</f>
        <v>0</v>
      </c>
      <c r="F49" s="167" t="n">
        <f aca="false">IF(OR($D49=0,$E49=0),0,$E49/$D49-1)</f>
        <v>0</v>
      </c>
      <c r="G49" s="140" t="n">
        <f aca="false">IF($A49="",0,IFERROR(AVERAGEIFS(Testes!$S$8:$S$407,Testes!$B$8:$B$407,$A49,Testes!$A$8:$A$407,SUMPRODUCT(MAX((Testes!$B$8:$B$407=$A49)*Testes!$A$8:$A$407))),0))</f>
        <v>0</v>
      </c>
      <c r="H49" s="60" t="str">
        <f aca="false">IF($A49="","",IFERROR(INDEX('Perfil F-V-P'!$K$36:$K$75,MATCH($A49,'Perfil F-V-P'!$A$36:$A$75,0)),""))</f>
        <v/>
      </c>
      <c r="I49" s="60" t="str">
        <f aca="false">IF($A49="","",IFERROR(INDEX('Perfil F-V-P'!$L$36:$L$75,MATCH($A49,'Perfil F-V-P'!$A$36:$A$75,0)),""))</f>
        <v/>
      </c>
    </row>
    <row r="50" customFormat="false" ht="15" hidden="false" customHeight="false" outlineLevel="0" collapsed="false">
      <c r="A50" s="62" t="str">
        <f aca="false">IF(Cadastro!$B27="","",Cadastro!$B27)</f>
        <v/>
      </c>
      <c r="B50" s="63" t="n">
        <f aca="false">IF($A50="",0,IFERROR(INDEX('Força 1RM'!$Q$8:$Q$47,MATCH($A50,'Força 1RM'!$P$8:$P$47,0)),0))</f>
        <v>0</v>
      </c>
      <c r="C50" s="160" t="n">
        <f aca="false">IF($A50="",0,IFERROR($B50/INDEX(Cadastro!$P$8:$P$47,MATCH($A50,Cadastro!$B$8:$B$47,0)),0))</f>
        <v>0</v>
      </c>
      <c r="D50" s="63" t="n">
        <f aca="false">IF($A50="",0,IFERROR(AVERAGEIFS(Testes!$L$8:$L$407,Testes!$B$8:$B$407,$A50,Testes!$A$8:$A$407,SUMPRODUCT(MIN((Testes!$B$8:$B$407=$A50)*Testes!$A$8:$A$407+(Testes!$B$8:$B$407&lt;&gt;$A50)*100000))),0))</f>
        <v>0</v>
      </c>
      <c r="E50" s="63" t="n">
        <f aca="false">IF($A50="",0,IFERROR(AVERAGEIFS(Testes!$L$8:$L$407,Testes!$B$8:$B$407,$A50,Testes!$A$8:$A$407,SUMPRODUCT(MAX((Testes!$B$8:$B$407=$A50)*Testes!$A$8:$A$407))),0))</f>
        <v>0</v>
      </c>
      <c r="F50" s="168" t="n">
        <f aca="false">IF(OR($D50=0,$E50=0),0,$E50/$D50-1)</f>
        <v>0</v>
      </c>
      <c r="G50" s="146" t="n">
        <f aca="false">IF($A50="",0,IFERROR(AVERAGEIFS(Testes!$S$8:$S$407,Testes!$B$8:$B$407,$A50,Testes!$A$8:$A$407,SUMPRODUCT(MAX((Testes!$B$8:$B$407=$A50)*Testes!$A$8:$A$407))),0))</f>
        <v>0</v>
      </c>
      <c r="H50" s="62" t="str">
        <f aca="false">IF($A50="","",IFERROR(INDEX('Perfil F-V-P'!$K$36:$K$75,MATCH($A50,'Perfil F-V-P'!$A$36:$A$75,0)),""))</f>
        <v/>
      </c>
      <c r="I50" s="62" t="str">
        <f aca="false">IF($A50="","",IFERROR(INDEX('Perfil F-V-P'!$L$36:$L$75,MATCH($A50,'Perfil F-V-P'!$A$36:$A$75,0)),""))</f>
        <v/>
      </c>
    </row>
    <row r="51" customFormat="false" ht="15" hidden="false" customHeight="false" outlineLevel="0" collapsed="false">
      <c r="A51" s="60" t="str">
        <f aca="false">IF(Cadastro!$B28="","",Cadastro!$B28)</f>
        <v/>
      </c>
      <c r="B51" s="35" t="n">
        <f aca="false">IF($A51="",0,IFERROR(INDEX('Força 1RM'!$Q$8:$Q$47,MATCH($A51,'Força 1RM'!$P$8:$P$47,0)),0))</f>
        <v>0</v>
      </c>
      <c r="C51" s="144" t="n">
        <f aca="false">IF($A51="",0,IFERROR($B51/INDEX(Cadastro!$P$8:$P$47,MATCH($A51,Cadastro!$B$8:$B$47,0)),0))</f>
        <v>0</v>
      </c>
      <c r="D51" s="35" t="n">
        <f aca="false">IF($A51="",0,IFERROR(AVERAGEIFS(Testes!$L$8:$L$407,Testes!$B$8:$B$407,$A51,Testes!$A$8:$A$407,SUMPRODUCT(MIN((Testes!$B$8:$B$407=$A51)*Testes!$A$8:$A$407+(Testes!$B$8:$B$407&lt;&gt;$A51)*100000))),0))</f>
        <v>0</v>
      </c>
      <c r="E51" s="35" t="n">
        <f aca="false">IF($A51="",0,IFERROR(AVERAGEIFS(Testes!$L$8:$L$407,Testes!$B$8:$B$407,$A51,Testes!$A$8:$A$407,SUMPRODUCT(MAX((Testes!$B$8:$B$407=$A51)*Testes!$A$8:$A$407))),0))</f>
        <v>0</v>
      </c>
      <c r="F51" s="167" t="n">
        <f aca="false">IF(OR($D51=0,$E51=0),0,$E51/$D51-1)</f>
        <v>0</v>
      </c>
      <c r="G51" s="140" t="n">
        <f aca="false">IF($A51="",0,IFERROR(AVERAGEIFS(Testes!$S$8:$S$407,Testes!$B$8:$B$407,$A51,Testes!$A$8:$A$407,SUMPRODUCT(MAX((Testes!$B$8:$B$407=$A51)*Testes!$A$8:$A$407))),0))</f>
        <v>0</v>
      </c>
      <c r="H51" s="60" t="str">
        <f aca="false">IF($A51="","",IFERROR(INDEX('Perfil F-V-P'!$K$36:$K$75,MATCH($A51,'Perfil F-V-P'!$A$36:$A$75,0)),""))</f>
        <v/>
      </c>
      <c r="I51" s="60" t="str">
        <f aca="false">IF($A51="","",IFERROR(INDEX('Perfil F-V-P'!$L$36:$L$75,MATCH($A51,'Perfil F-V-P'!$A$36:$A$75,0)),""))</f>
        <v/>
      </c>
    </row>
    <row r="52" customFormat="false" ht="15" hidden="false" customHeight="false" outlineLevel="0" collapsed="false">
      <c r="A52" s="62" t="str">
        <f aca="false">IF(Cadastro!$B29="","",Cadastro!$B29)</f>
        <v/>
      </c>
      <c r="B52" s="63" t="n">
        <f aca="false">IF($A52="",0,IFERROR(INDEX('Força 1RM'!$Q$8:$Q$47,MATCH($A52,'Força 1RM'!$P$8:$P$47,0)),0))</f>
        <v>0</v>
      </c>
      <c r="C52" s="160" t="n">
        <f aca="false">IF($A52="",0,IFERROR($B52/INDEX(Cadastro!$P$8:$P$47,MATCH($A52,Cadastro!$B$8:$B$47,0)),0))</f>
        <v>0</v>
      </c>
      <c r="D52" s="63" t="n">
        <f aca="false">IF($A52="",0,IFERROR(AVERAGEIFS(Testes!$L$8:$L$407,Testes!$B$8:$B$407,$A52,Testes!$A$8:$A$407,SUMPRODUCT(MIN((Testes!$B$8:$B$407=$A52)*Testes!$A$8:$A$407+(Testes!$B$8:$B$407&lt;&gt;$A52)*100000))),0))</f>
        <v>0</v>
      </c>
      <c r="E52" s="63" t="n">
        <f aca="false">IF($A52="",0,IFERROR(AVERAGEIFS(Testes!$L$8:$L$407,Testes!$B$8:$B$407,$A52,Testes!$A$8:$A$407,SUMPRODUCT(MAX((Testes!$B$8:$B$407=$A52)*Testes!$A$8:$A$407))),0))</f>
        <v>0</v>
      </c>
      <c r="F52" s="168" t="n">
        <f aca="false">IF(OR($D52=0,$E52=0),0,$E52/$D52-1)</f>
        <v>0</v>
      </c>
      <c r="G52" s="146" t="n">
        <f aca="false">IF($A52="",0,IFERROR(AVERAGEIFS(Testes!$S$8:$S$407,Testes!$B$8:$B$407,$A52,Testes!$A$8:$A$407,SUMPRODUCT(MAX((Testes!$B$8:$B$407=$A52)*Testes!$A$8:$A$407))),0))</f>
        <v>0</v>
      </c>
      <c r="H52" s="62" t="str">
        <f aca="false">IF($A52="","",IFERROR(INDEX('Perfil F-V-P'!$K$36:$K$75,MATCH($A52,'Perfil F-V-P'!$A$36:$A$75,0)),""))</f>
        <v/>
      </c>
      <c r="I52" s="62" t="str">
        <f aca="false">IF($A52="","",IFERROR(INDEX('Perfil F-V-P'!$L$36:$L$75,MATCH($A52,'Perfil F-V-P'!$A$36:$A$75,0)),""))</f>
        <v/>
      </c>
    </row>
    <row r="53" customFormat="false" ht="15" hidden="false" customHeight="false" outlineLevel="0" collapsed="false">
      <c r="A53" s="60" t="str">
        <f aca="false">IF(Cadastro!$B30="","",Cadastro!$B30)</f>
        <v/>
      </c>
      <c r="B53" s="35" t="n">
        <f aca="false">IF($A53="",0,IFERROR(INDEX('Força 1RM'!$Q$8:$Q$47,MATCH($A53,'Força 1RM'!$P$8:$P$47,0)),0))</f>
        <v>0</v>
      </c>
      <c r="C53" s="144" t="n">
        <f aca="false">IF($A53="",0,IFERROR($B53/INDEX(Cadastro!$P$8:$P$47,MATCH($A53,Cadastro!$B$8:$B$47,0)),0))</f>
        <v>0</v>
      </c>
      <c r="D53" s="35" t="n">
        <f aca="false">IF($A53="",0,IFERROR(AVERAGEIFS(Testes!$L$8:$L$407,Testes!$B$8:$B$407,$A53,Testes!$A$8:$A$407,SUMPRODUCT(MIN((Testes!$B$8:$B$407=$A53)*Testes!$A$8:$A$407+(Testes!$B$8:$B$407&lt;&gt;$A53)*100000))),0))</f>
        <v>0</v>
      </c>
      <c r="E53" s="35" t="n">
        <f aca="false">IF($A53="",0,IFERROR(AVERAGEIFS(Testes!$L$8:$L$407,Testes!$B$8:$B$407,$A53,Testes!$A$8:$A$407,SUMPRODUCT(MAX((Testes!$B$8:$B$407=$A53)*Testes!$A$8:$A$407))),0))</f>
        <v>0</v>
      </c>
      <c r="F53" s="167" t="n">
        <f aca="false">IF(OR($D53=0,$E53=0),0,$E53/$D53-1)</f>
        <v>0</v>
      </c>
      <c r="G53" s="140" t="n">
        <f aca="false">IF($A53="",0,IFERROR(AVERAGEIFS(Testes!$S$8:$S$407,Testes!$B$8:$B$407,$A53,Testes!$A$8:$A$407,SUMPRODUCT(MAX((Testes!$B$8:$B$407=$A53)*Testes!$A$8:$A$407))),0))</f>
        <v>0</v>
      </c>
      <c r="H53" s="60" t="str">
        <f aca="false">IF($A53="","",IFERROR(INDEX('Perfil F-V-P'!$K$36:$K$75,MATCH($A53,'Perfil F-V-P'!$A$36:$A$75,0)),""))</f>
        <v/>
      </c>
      <c r="I53" s="60" t="str">
        <f aca="false">IF($A53="","",IFERROR(INDEX('Perfil F-V-P'!$L$36:$L$75,MATCH($A53,'Perfil F-V-P'!$A$36:$A$75,0)),""))</f>
        <v/>
      </c>
    </row>
    <row r="54" customFormat="false" ht="15" hidden="false" customHeight="false" outlineLevel="0" collapsed="false">
      <c r="A54" s="62" t="str">
        <f aca="false">IF(Cadastro!$B31="","",Cadastro!$B31)</f>
        <v/>
      </c>
      <c r="B54" s="63" t="n">
        <f aca="false">IF($A54="",0,IFERROR(INDEX('Força 1RM'!$Q$8:$Q$47,MATCH($A54,'Força 1RM'!$P$8:$P$47,0)),0))</f>
        <v>0</v>
      </c>
      <c r="C54" s="160" t="n">
        <f aca="false">IF($A54="",0,IFERROR($B54/INDEX(Cadastro!$P$8:$P$47,MATCH($A54,Cadastro!$B$8:$B$47,0)),0))</f>
        <v>0</v>
      </c>
      <c r="D54" s="63" t="n">
        <f aca="false">IF($A54="",0,IFERROR(AVERAGEIFS(Testes!$L$8:$L$407,Testes!$B$8:$B$407,$A54,Testes!$A$8:$A$407,SUMPRODUCT(MIN((Testes!$B$8:$B$407=$A54)*Testes!$A$8:$A$407+(Testes!$B$8:$B$407&lt;&gt;$A54)*100000))),0))</f>
        <v>0</v>
      </c>
      <c r="E54" s="63" t="n">
        <f aca="false">IF($A54="",0,IFERROR(AVERAGEIFS(Testes!$L$8:$L$407,Testes!$B$8:$B$407,$A54,Testes!$A$8:$A$407,SUMPRODUCT(MAX((Testes!$B$8:$B$407=$A54)*Testes!$A$8:$A$407))),0))</f>
        <v>0</v>
      </c>
      <c r="F54" s="168" t="n">
        <f aca="false">IF(OR($D54=0,$E54=0),0,$E54/$D54-1)</f>
        <v>0</v>
      </c>
      <c r="G54" s="146" t="n">
        <f aca="false">IF($A54="",0,IFERROR(AVERAGEIFS(Testes!$S$8:$S$407,Testes!$B$8:$B$407,$A54,Testes!$A$8:$A$407,SUMPRODUCT(MAX((Testes!$B$8:$B$407=$A54)*Testes!$A$8:$A$407))),0))</f>
        <v>0</v>
      </c>
      <c r="H54" s="62" t="str">
        <f aca="false">IF($A54="","",IFERROR(INDEX('Perfil F-V-P'!$K$36:$K$75,MATCH($A54,'Perfil F-V-P'!$A$36:$A$75,0)),""))</f>
        <v/>
      </c>
      <c r="I54" s="62" t="str">
        <f aca="false">IF($A54="","",IFERROR(INDEX('Perfil F-V-P'!$L$36:$L$75,MATCH($A54,'Perfil F-V-P'!$A$36:$A$75,0)),""))</f>
        <v/>
      </c>
    </row>
    <row r="55" customFormat="false" ht="15" hidden="false" customHeight="false" outlineLevel="0" collapsed="false">
      <c r="A55" s="60" t="str">
        <f aca="false">IF(Cadastro!$B32="","",Cadastro!$B32)</f>
        <v/>
      </c>
      <c r="B55" s="35" t="n">
        <f aca="false">IF($A55="",0,IFERROR(INDEX('Força 1RM'!$Q$8:$Q$47,MATCH($A55,'Força 1RM'!$P$8:$P$47,0)),0))</f>
        <v>0</v>
      </c>
      <c r="C55" s="144" t="n">
        <f aca="false">IF($A55="",0,IFERROR($B55/INDEX(Cadastro!$P$8:$P$47,MATCH($A55,Cadastro!$B$8:$B$47,0)),0))</f>
        <v>0</v>
      </c>
      <c r="D55" s="35" t="n">
        <f aca="false">IF($A55="",0,IFERROR(AVERAGEIFS(Testes!$L$8:$L$407,Testes!$B$8:$B$407,$A55,Testes!$A$8:$A$407,SUMPRODUCT(MIN((Testes!$B$8:$B$407=$A55)*Testes!$A$8:$A$407+(Testes!$B$8:$B$407&lt;&gt;$A55)*100000))),0))</f>
        <v>0</v>
      </c>
      <c r="E55" s="35" t="n">
        <f aca="false">IF($A55="",0,IFERROR(AVERAGEIFS(Testes!$L$8:$L$407,Testes!$B$8:$B$407,$A55,Testes!$A$8:$A$407,SUMPRODUCT(MAX((Testes!$B$8:$B$407=$A55)*Testes!$A$8:$A$407))),0))</f>
        <v>0</v>
      </c>
      <c r="F55" s="167" t="n">
        <f aca="false">IF(OR($D55=0,$E55=0),0,$E55/$D55-1)</f>
        <v>0</v>
      </c>
      <c r="G55" s="140" t="n">
        <f aca="false">IF($A55="",0,IFERROR(AVERAGEIFS(Testes!$S$8:$S$407,Testes!$B$8:$B$407,$A55,Testes!$A$8:$A$407,SUMPRODUCT(MAX((Testes!$B$8:$B$407=$A55)*Testes!$A$8:$A$407))),0))</f>
        <v>0</v>
      </c>
      <c r="H55" s="60" t="str">
        <f aca="false">IF($A55="","",IFERROR(INDEX('Perfil F-V-P'!$K$36:$K$75,MATCH($A55,'Perfil F-V-P'!$A$36:$A$75,0)),""))</f>
        <v/>
      </c>
      <c r="I55" s="60" t="str">
        <f aca="false">IF($A55="","",IFERROR(INDEX('Perfil F-V-P'!$L$36:$L$75,MATCH($A55,'Perfil F-V-P'!$A$36:$A$75,0)),""))</f>
        <v/>
      </c>
    </row>
    <row r="56" customFormat="false" ht="15" hidden="false" customHeight="false" outlineLevel="0" collapsed="false">
      <c r="A56" s="62" t="str">
        <f aca="false">IF(Cadastro!$B33="","",Cadastro!$B33)</f>
        <v/>
      </c>
      <c r="B56" s="63" t="n">
        <f aca="false">IF($A56="",0,IFERROR(INDEX('Força 1RM'!$Q$8:$Q$47,MATCH($A56,'Força 1RM'!$P$8:$P$47,0)),0))</f>
        <v>0</v>
      </c>
      <c r="C56" s="160" t="n">
        <f aca="false">IF($A56="",0,IFERROR($B56/INDEX(Cadastro!$P$8:$P$47,MATCH($A56,Cadastro!$B$8:$B$47,0)),0))</f>
        <v>0</v>
      </c>
      <c r="D56" s="63" t="n">
        <f aca="false">IF($A56="",0,IFERROR(AVERAGEIFS(Testes!$L$8:$L$407,Testes!$B$8:$B$407,$A56,Testes!$A$8:$A$407,SUMPRODUCT(MIN((Testes!$B$8:$B$407=$A56)*Testes!$A$8:$A$407+(Testes!$B$8:$B$407&lt;&gt;$A56)*100000))),0))</f>
        <v>0</v>
      </c>
      <c r="E56" s="63" t="n">
        <f aca="false">IF($A56="",0,IFERROR(AVERAGEIFS(Testes!$L$8:$L$407,Testes!$B$8:$B$407,$A56,Testes!$A$8:$A$407,SUMPRODUCT(MAX((Testes!$B$8:$B$407=$A56)*Testes!$A$8:$A$407))),0))</f>
        <v>0</v>
      </c>
      <c r="F56" s="168" t="n">
        <f aca="false">IF(OR($D56=0,$E56=0),0,$E56/$D56-1)</f>
        <v>0</v>
      </c>
      <c r="G56" s="146" t="n">
        <f aca="false">IF($A56="",0,IFERROR(AVERAGEIFS(Testes!$S$8:$S$407,Testes!$B$8:$B$407,$A56,Testes!$A$8:$A$407,SUMPRODUCT(MAX((Testes!$B$8:$B$407=$A56)*Testes!$A$8:$A$407))),0))</f>
        <v>0</v>
      </c>
      <c r="H56" s="62" t="str">
        <f aca="false">IF($A56="","",IFERROR(INDEX('Perfil F-V-P'!$K$36:$K$75,MATCH($A56,'Perfil F-V-P'!$A$36:$A$75,0)),""))</f>
        <v/>
      </c>
      <c r="I56" s="62" t="str">
        <f aca="false">IF($A56="","",IFERROR(INDEX('Perfil F-V-P'!$L$36:$L$75,MATCH($A56,'Perfil F-V-P'!$A$36:$A$75,0)),""))</f>
        <v/>
      </c>
    </row>
    <row r="57" customFormat="false" ht="15" hidden="false" customHeight="false" outlineLevel="0" collapsed="false">
      <c r="A57" s="60" t="str">
        <f aca="false">IF(Cadastro!$B34="","",Cadastro!$B34)</f>
        <v/>
      </c>
      <c r="B57" s="35" t="n">
        <f aca="false">IF($A57="",0,IFERROR(INDEX('Força 1RM'!$Q$8:$Q$47,MATCH($A57,'Força 1RM'!$P$8:$P$47,0)),0))</f>
        <v>0</v>
      </c>
      <c r="C57" s="144" t="n">
        <f aca="false">IF($A57="",0,IFERROR($B57/INDEX(Cadastro!$P$8:$P$47,MATCH($A57,Cadastro!$B$8:$B$47,0)),0))</f>
        <v>0</v>
      </c>
      <c r="D57" s="35" t="n">
        <f aca="false">IF($A57="",0,IFERROR(AVERAGEIFS(Testes!$L$8:$L$407,Testes!$B$8:$B$407,$A57,Testes!$A$8:$A$407,SUMPRODUCT(MIN((Testes!$B$8:$B$407=$A57)*Testes!$A$8:$A$407+(Testes!$B$8:$B$407&lt;&gt;$A57)*100000))),0))</f>
        <v>0</v>
      </c>
      <c r="E57" s="35" t="n">
        <f aca="false">IF($A57="",0,IFERROR(AVERAGEIFS(Testes!$L$8:$L$407,Testes!$B$8:$B$407,$A57,Testes!$A$8:$A$407,SUMPRODUCT(MAX((Testes!$B$8:$B$407=$A57)*Testes!$A$8:$A$407))),0))</f>
        <v>0</v>
      </c>
      <c r="F57" s="167" t="n">
        <f aca="false">IF(OR($D57=0,$E57=0),0,$E57/$D57-1)</f>
        <v>0</v>
      </c>
      <c r="G57" s="140" t="n">
        <f aca="false">IF($A57="",0,IFERROR(AVERAGEIFS(Testes!$S$8:$S$407,Testes!$B$8:$B$407,$A57,Testes!$A$8:$A$407,SUMPRODUCT(MAX((Testes!$B$8:$B$407=$A57)*Testes!$A$8:$A$407))),0))</f>
        <v>0</v>
      </c>
      <c r="H57" s="60" t="str">
        <f aca="false">IF($A57="","",IFERROR(INDEX('Perfil F-V-P'!$K$36:$K$75,MATCH($A57,'Perfil F-V-P'!$A$36:$A$75,0)),""))</f>
        <v/>
      </c>
      <c r="I57" s="60" t="str">
        <f aca="false">IF($A57="","",IFERROR(INDEX('Perfil F-V-P'!$L$36:$L$75,MATCH($A57,'Perfil F-V-P'!$A$36:$A$75,0)),""))</f>
        <v/>
      </c>
    </row>
    <row r="58" customFormat="false" ht="15" hidden="false" customHeight="false" outlineLevel="0" collapsed="false">
      <c r="A58" s="62" t="str">
        <f aca="false">IF(Cadastro!$B35="","",Cadastro!$B35)</f>
        <v/>
      </c>
      <c r="B58" s="63" t="n">
        <f aca="false">IF($A58="",0,IFERROR(INDEX('Força 1RM'!$Q$8:$Q$47,MATCH($A58,'Força 1RM'!$P$8:$P$47,0)),0))</f>
        <v>0</v>
      </c>
      <c r="C58" s="160" t="n">
        <f aca="false">IF($A58="",0,IFERROR($B58/INDEX(Cadastro!$P$8:$P$47,MATCH($A58,Cadastro!$B$8:$B$47,0)),0))</f>
        <v>0</v>
      </c>
      <c r="D58" s="63" t="n">
        <f aca="false">IF($A58="",0,IFERROR(AVERAGEIFS(Testes!$L$8:$L$407,Testes!$B$8:$B$407,$A58,Testes!$A$8:$A$407,SUMPRODUCT(MIN((Testes!$B$8:$B$407=$A58)*Testes!$A$8:$A$407+(Testes!$B$8:$B$407&lt;&gt;$A58)*100000))),0))</f>
        <v>0</v>
      </c>
      <c r="E58" s="63" t="n">
        <f aca="false">IF($A58="",0,IFERROR(AVERAGEIFS(Testes!$L$8:$L$407,Testes!$B$8:$B$407,$A58,Testes!$A$8:$A$407,SUMPRODUCT(MAX((Testes!$B$8:$B$407=$A58)*Testes!$A$8:$A$407))),0))</f>
        <v>0</v>
      </c>
      <c r="F58" s="168" t="n">
        <f aca="false">IF(OR($D58=0,$E58=0),0,$E58/$D58-1)</f>
        <v>0</v>
      </c>
      <c r="G58" s="146" t="n">
        <f aca="false">IF($A58="",0,IFERROR(AVERAGEIFS(Testes!$S$8:$S$407,Testes!$B$8:$B$407,$A58,Testes!$A$8:$A$407,SUMPRODUCT(MAX((Testes!$B$8:$B$407=$A58)*Testes!$A$8:$A$407))),0))</f>
        <v>0</v>
      </c>
      <c r="H58" s="62" t="str">
        <f aca="false">IF($A58="","",IFERROR(INDEX('Perfil F-V-P'!$K$36:$K$75,MATCH($A58,'Perfil F-V-P'!$A$36:$A$75,0)),""))</f>
        <v/>
      </c>
      <c r="I58" s="62" t="str">
        <f aca="false">IF($A58="","",IFERROR(INDEX('Perfil F-V-P'!$L$36:$L$75,MATCH($A58,'Perfil F-V-P'!$A$36:$A$75,0)),""))</f>
        <v/>
      </c>
    </row>
    <row r="59" customFormat="false" ht="15" hidden="false" customHeight="false" outlineLevel="0" collapsed="false">
      <c r="A59" s="60" t="str">
        <f aca="false">IF(Cadastro!$B36="","",Cadastro!$B36)</f>
        <v/>
      </c>
      <c r="B59" s="35" t="n">
        <f aca="false">IF($A59="",0,IFERROR(INDEX('Força 1RM'!$Q$8:$Q$47,MATCH($A59,'Força 1RM'!$P$8:$P$47,0)),0))</f>
        <v>0</v>
      </c>
      <c r="C59" s="144" t="n">
        <f aca="false">IF($A59="",0,IFERROR($B59/INDEX(Cadastro!$P$8:$P$47,MATCH($A59,Cadastro!$B$8:$B$47,0)),0))</f>
        <v>0</v>
      </c>
      <c r="D59" s="35" t="n">
        <f aca="false">IF($A59="",0,IFERROR(AVERAGEIFS(Testes!$L$8:$L$407,Testes!$B$8:$B$407,$A59,Testes!$A$8:$A$407,SUMPRODUCT(MIN((Testes!$B$8:$B$407=$A59)*Testes!$A$8:$A$407+(Testes!$B$8:$B$407&lt;&gt;$A59)*100000))),0))</f>
        <v>0</v>
      </c>
      <c r="E59" s="35" t="n">
        <f aca="false">IF($A59="",0,IFERROR(AVERAGEIFS(Testes!$L$8:$L$407,Testes!$B$8:$B$407,$A59,Testes!$A$8:$A$407,SUMPRODUCT(MAX((Testes!$B$8:$B$407=$A59)*Testes!$A$8:$A$407))),0))</f>
        <v>0</v>
      </c>
      <c r="F59" s="167" t="n">
        <f aca="false">IF(OR($D59=0,$E59=0),0,$E59/$D59-1)</f>
        <v>0</v>
      </c>
      <c r="G59" s="140" t="n">
        <f aca="false">IF($A59="",0,IFERROR(AVERAGEIFS(Testes!$S$8:$S$407,Testes!$B$8:$B$407,$A59,Testes!$A$8:$A$407,SUMPRODUCT(MAX((Testes!$B$8:$B$407=$A59)*Testes!$A$8:$A$407))),0))</f>
        <v>0</v>
      </c>
      <c r="H59" s="60" t="str">
        <f aca="false">IF($A59="","",IFERROR(INDEX('Perfil F-V-P'!$K$36:$K$75,MATCH($A59,'Perfil F-V-P'!$A$36:$A$75,0)),""))</f>
        <v/>
      </c>
      <c r="I59" s="60" t="str">
        <f aca="false">IF($A59="","",IFERROR(INDEX('Perfil F-V-P'!$L$36:$L$75,MATCH($A59,'Perfil F-V-P'!$A$36:$A$75,0)),""))</f>
        <v/>
      </c>
    </row>
    <row r="60" customFormat="false" ht="15" hidden="false" customHeight="false" outlineLevel="0" collapsed="false">
      <c r="A60" s="62" t="str">
        <f aca="false">IF(Cadastro!$B37="","",Cadastro!$B37)</f>
        <v/>
      </c>
      <c r="B60" s="63" t="n">
        <f aca="false">IF($A60="",0,IFERROR(INDEX('Força 1RM'!$Q$8:$Q$47,MATCH($A60,'Força 1RM'!$P$8:$P$47,0)),0))</f>
        <v>0</v>
      </c>
      <c r="C60" s="160" t="n">
        <f aca="false">IF($A60="",0,IFERROR($B60/INDEX(Cadastro!$P$8:$P$47,MATCH($A60,Cadastro!$B$8:$B$47,0)),0))</f>
        <v>0</v>
      </c>
      <c r="D60" s="63" t="n">
        <f aca="false">IF($A60="",0,IFERROR(AVERAGEIFS(Testes!$L$8:$L$407,Testes!$B$8:$B$407,$A60,Testes!$A$8:$A$407,SUMPRODUCT(MIN((Testes!$B$8:$B$407=$A60)*Testes!$A$8:$A$407+(Testes!$B$8:$B$407&lt;&gt;$A60)*100000))),0))</f>
        <v>0</v>
      </c>
      <c r="E60" s="63" t="n">
        <f aca="false">IF($A60="",0,IFERROR(AVERAGEIFS(Testes!$L$8:$L$407,Testes!$B$8:$B$407,$A60,Testes!$A$8:$A$407,SUMPRODUCT(MAX((Testes!$B$8:$B$407=$A60)*Testes!$A$8:$A$407))),0))</f>
        <v>0</v>
      </c>
      <c r="F60" s="168" t="n">
        <f aca="false">IF(OR($D60=0,$E60=0),0,$E60/$D60-1)</f>
        <v>0</v>
      </c>
      <c r="G60" s="146" t="n">
        <f aca="false">IF($A60="",0,IFERROR(AVERAGEIFS(Testes!$S$8:$S$407,Testes!$B$8:$B$407,$A60,Testes!$A$8:$A$407,SUMPRODUCT(MAX((Testes!$B$8:$B$407=$A60)*Testes!$A$8:$A$407))),0))</f>
        <v>0</v>
      </c>
      <c r="H60" s="62" t="str">
        <f aca="false">IF($A60="","",IFERROR(INDEX('Perfil F-V-P'!$K$36:$K$75,MATCH($A60,'Perfil F-V-P'!$A$36:$A$75,0)),""))</f>
        <v/>
      </c>
      <c r="I60" s="62" t="str">
        <f aca="false">IF($A60="","",IFERROR(INDEX('Perfil F-V-P'!$L$36:$L$75,MATCH($A60,'Perfil F-V-P'!$A$36:$A$75,0)),""))</f>
        <v/>
      </c>
    </row>
    <row r="61" customFormat="false" ht="15" hidden="false" customHeight="false" outlineLevel="0" collapsed="false">
      <c r="A61" s="60" t="str">
        <f aca="false">IF(Cadastro!$B38="","",Cadastro!$B38)</f>
        <v/>
      </c>
      <c r="B61" s="35" t="n">
        <f aca="false">IF($A61="",0,IFERROR(INDEX('Força 1RM'!$Q$8:$Q$47,MATCH($A61,'Força 1RM'!$P$8:$P$47,0)),0))</f>
        <v>0</v>
      </c>
      <c r="C61" s="144" t="n">
        <f aca="false">IF($A61="",0,IFERROR($B61/INDEX(Cadastro!$P$8:$P$47,MATCH($A61,Cadastro!$B$8:$B$47,0)),0))</f>
        <v>0</v>
      </c>
      <c r="D61" s="35" t="n">
        <f aca="false">IF($A61="",0,IFERROR(AVERAGEIFS(Testes!$L$8:$L$407,Testes!$B$8:$B$407,$A61,Testes!$A$8:$A$407,SUMPRODUCT(MIN((Testes!$B$8:$B$407=$A61)*Testes!$A$8:$A$407+(Testes!$B$8:$B$407&lt;&gt;$A61)*100000))),0))</f>
        <v>0</v>
      </c>
      <c r="E61" s="35" t="n">
        <f aca="false">IF($A61="",0,IFERROR(AVERAGEIFS(Testes!$L$8:$L$407,Testes!$B$8:$B$407,$A61,Testes!$A$8:$A$407,SUMPRODUCT(MAX((Testes!$B$8:$B$407=$A61)*Testes!$A$8:$A$407))),0))</f>
        <v>0</v>
      </c>
      <c r="F61" s="167" t="n">
        <f aca="false">IF(OR($D61=0,$E61=0),0,$E61/$D61-1)</f>
        <v>0</v>
      </c>
      <c r="G61" s="140" t="n">
        <f aca="false">IF($A61="",0,IFERROR(AVERAGEIFS(Testes!$S$8:$S$407,Testes!$B$8:$B$407,$A61,Testes!$A$8:$A$407,SUMPRODUCT(MAX((Testes!$B$8:$B$407=$A61)*Testes!$A$8:$A$407))),0))</f>
        <v>0</v>
      </c>
      <c r="H61" s="60" t="str">
        <f aca="false">IF($A61="","",IFERROR(INDEX('Perfil F-V-P'!$K$36:$K$75,MATCH($A61,'Perfil F-V-P'!$A$36:$A$75,0)),""))</f>
        <v/>
      </c>
      <c r="I61" s="60" t="str">
        <f aca="false">IF($A61="","",IFERROR(INDEX('Perfil F-V-P'!$L$36:$L$75,MATCH($A61,'Perfil F-V-P'!$A$36:$A$75,0)),""))</f>
        <v/>
      </c>
    </row>
    <row r="62" customFormat="false" ht="15" hidden="false" customHeight="false" outlineLevel="0" collapsed="false">
      <c r="A62" s="62" t="str">
        <f aca="false">IF(Cadastro!$B39="","",Cadastro!$B39)</f>
        <v/>
      </c>
      <c r="B62" s="63" t="n">
        <f aca="false">IF($A62="",0,IFERROR(INDEX('Força 1RM'!$Q$8:$Q$47,MATCH($A62,'Força 1RM'!$P$8:$P$47,0)),0))</f>
        <v>0</v>
      </c>
      <c r="C62" s="160" t="n">
        <f aca="false">IF($A62="",0,IFERROR($B62/INDEX(Cadastro!$P$8:$P$47,MATCH($A62,Cadastro!$B$8:$B$47,0)),0))</f>
        <v>0</v>
      </c>
      <c r="D62" s="63" t="n">
        <f aca="false">IF($A62="",0,IFERROR(AVERAGEIFS(Testes!$L$8:$L$407,Testes!$B$8:$B$407,$A62,Testes!$A$8:$A$407,SUMPRODUCT(MIN((Testes!$B$8:$B$407=$A62)*Testes!$A$8:$A$407+(Testes!$B$8:$B$407&lt;&gt;$A62)*100000))),0))</f>
        <v>0</v>
      </c>
      <c r="E62" s="63" t="n">
        <f aca="false">IF($A62="",0,IFERROR(AVERAGEIFS(Testes!$L$8:$L$407,Testes!$B$8:$B$407,$A62,Testes!$A$8:$A$407,SUMPRODUCT(MAX((Testes!$B$8:$B$407=$A62)*Testes!$A$8:$A$407))),0))</f>
        <v>0</v>
      </c>
      <c r="F62" s="168" t="n">
        <f aca="false">IF(OR($D62=0,$E62=0),0,$E62/$D62-1)</f>
        <v>0</v>
      </c>
      <c r="G62" s="146" t="n">
        <f aca="false">IF($A62="",0,IFERROR(AVERAGEIFS(Testes!$S$8:$S$407,Testes!$B$8:$B$407,$A62,Testes!$A$8:$A$407,SUMPRODUCT(MAX((Testes!$B$8:$B$407=$A62)*Testes!$A$8:$A$407))),0))</f>
        <v>0</v>
      </c>
      <c r="H62" s="62" t="str">
        <f aca="false">IF($A62="","",IFERROR(INDEX('Perfil F-V-P'!$K$36:$K$75,MATCH($A62,'Perfil F-V-P'!$A$36:$A$75,0)),""))</f>
        <v/>
      </c>
      <c r="I62" s="62" t="str">
        <f aca="false">IF($A62="","",IFERROR(INDEX('Perfil F-V-P'!$L$36:$L$75,MATCH($A62,'Perfil F-V-P'!$A$36:$A$75,0)),""))</f>
        <v/>
      </c>
    </row>
    <row r="63" customFormat="false" ht="15" hidden="false" customHeight="false" outlineLevel="0" collapsed="false">
      <c r="A63" s="60" t="str">
        <f aca="false">IF(Cadastro!$B40="","",Cadastro!$B40)</f>
        <v/>
      </c>
      <c r="B63" s="35" t="n">
        <f aca="false">IF($A63="",0,IFERROR(INDEX('Força 1RM'!$Q$8:$Q$47,MATCH($A63,'Força 1RM'!$P$8:$P$47,0)),0))</f>
        <v>0</v>
      </c>
      <c r="C63" s="144" t="n">
        <f aca="false">IF($A63="",0,IFERROR($B63/INDEX(Cadastro!$P$8:$P$47,MATCH($A63,Cadastro!$B$8:$B$47,0)),0))</f>
        <v>0</v>
      </c>
      <c r="D63" s="35" t="n">
        <f aca="false">IF($A63="",0,IFERROR(AVERAGEIFS(Testes!$L$8:$L$407,Testes!$B$8:$B$407,$A63,Testes!$A$8:$A$407,SUMPRODUCT(MIN((Testes!$B$8:$B$407=$A63)*Testes!$A$8:$A$407+(Testes!$B$8:$B$407&lt;&gt;$A63)*100000))),0))</f>
        <v>0</v>
      </c>
      <c r="E63" s="35" t="n">
        <f aca="false">IF($A63="",0,IFERROR(AVERAGEIFS(Testes!$L$8:$L$407,Testes!$B$8:$B$407,$A63,Testes!$A$8:$A$407,SUMPRODUCT(MAX((Testes!$B$8:$B$407=$A63)*Testes!$A$8:$A$407))),0))</f>
        <v>0</v>
      </c>
      <c r="F63" s="167" t="n">
        <f aca="false">IF(OR($D63=0,$E63=0),0,$E63/$D63-1)</f>
        <v>0</v>
      </c>
      <c r="G63" s="140" t="n">
        <f aca="false">IF($A63="",0,IFERROR(AVERAGEIFS(Testes!$S$8:$S$407,Testes!$B$8:$B$407,$A63,Testes!$A$8:$A$407,SUMPRODUCT(MAX((Testes!$B$8:$B$407=$A63)*Testes!$A$8:$A$407))),0))</f>
        <v>0</v>
      </c>
      <c r="H63" s="60" t="str">
        <f aca="false">IF($A63="","",IFERROR(INDEX('Perfil F-V-P'!$K$36:$K$75,MATCH($A63,'Perfil F-V-P'!$A$36:$A$75,0)),""))</f>
        <v/>
      </c>
      <c r="I63" s="60" t="str">
        <f aca="false">IF($A63="","",IFERROR(INDEX('Perfil F-V-P'!$L$36:$L$75,MATCH($A63,'Perfil F-V-P'!$A$36:$A$75,0)),""))</f>
        <v/>
      </c>
    </row>
    <row r="64" customFormat="false" ht="15" hidden="false" customHeight="false" outlineLevel="0" collapsed="false">
      <c r="A64" s="62" t="str">
        <f aca="false">IF(Cadastro!$B41="","",Cadastro!$B41)</f>
        <v/>
      </c>
      <c r="B64" s="63" t="n">
        <f aca="false">IF($A64="",0,IFERROR(INDEX('Força 1RM'!$Q$8:$Q$47,MATCH($A64,'Força 1RM'!$P$8:$P$47,0)),0))</f>
        <v>0</v>
      </c>
      <c r="C64" s="160" t="n">
        <f aca="false">IF($A64="",0,IFERROR($B64/INDEX(Cadastro!$P$8:$P$47,MATCH($A64,Cadastro!$B$8:$B$47,0)),0))</f>
        <v>0</v>
      </c>
      <c r="D64" s="63" t="n">
        <f aca="false">IF($A64="",0,IFERROR(AVERAGEIFS(Testes!$L$8:$L$407,Testes!$B$8:$B$407,$A64,Testes!$A$8:$A$407,SUMPRODUCT(MIN((Testes!$B$8:$B$407=$A64)*Testes!$A$8:$A$407+(Testes!$B$8:$B$407&lt;&gt;$A64)*100000))),0))</f>
        <v>0</v>
      </c>
      <c r="E64" s="63" t="n">
        <f aca="false">IF($A64="",0,IFERROR(AVERAGEIFS(Testes!$L$8:$L$407,Testes!$B$8:$B$407,$A64,Testes!$A$8:$A$407,SUMPRODUCT(MAX((Testes!$B$8:$B$407=$A64)*Testes!$A$8:$A$407))),0))</f>
        <v>0</v>
      </c>
      <c r="F64" s="168" t="n">
        <f aca="false">IF(OR($D64=0,$E64=0),0,$E64/$D64-1)</f>
        <v>0</v>
      </c>
      <c r="G64" s="146" t="n">
        <f aca="false">IF($A64="",0,IFERROR(AVERAGEIFS(Testes!$S$8:$S$407,Testes!$B$8:$B$407,$A64,Testes!$A$8:$A$407,SUMPRODUCT(MAX((Testes!$B$8:$B$407=$A64)*Testes!$A$8:$A$407))),0))</f>
        <v>0</v>
      </c>
      <c r="H64" s="62" t="str">
        <f aca="false">IF($A64="","",IFERROR(INDEX('Perfil F-V-P'!$K$36:$K$75,MATCH($A64,'Perfil F-V-P'!$A$36:$A$75,0)),""))</f>
        <v/>
      </c>
      <c r="I64" s="62" t="str">
        <f aca="false">IF($A64="","",IFERROR(INDEX('Perfil F-V-P'!$L$36:$L$75,MATCH($A64,'Perfil F-V-P'!$A$36:$A$75,0)),""))</f>
        <v/>
      </c>
    </row>
    <row r="65" customFormat="false" ht="15" hidden="false" customHeight="false" outlineLevel="0" collapsed="false">
      <c r="A65" s="60" t="str">
        <f aca="false">IF(Cadastro!$B42="","",Cadastro!$B42)</f>
        <v/>
      </c>
      <c r="B65" s="35" t="n">
        <f aca="false">IF($A65="",0,IFERROR(INDEX('Força 1RM'!$Q$8:$Q$47,MATCH($A65,'Força 1RM'!$P$8:$P$47,0)),0))</f>
        <v>0</v>
      </c>
      <c r="C65" s="144" t="n">
        <f aca="false">IF($A65="",0,IFERROR($B65/INDEX(Cadastro!$P$8:$P$47,MATCH($A65,Cadastro!$B$8:$B$47,0)),0))</f>
        <v>0</v>
      </c>
      <c r="D65" s="35" t="n">
        <f aca="false">IF($A65="",0,IFERROR(AVERAGEIFS(Testes!$L$8:$L$407,Testes!$B$8:$B$407,$A65,Testes!$A$8:$A$407,SUMPRODUCT(MIN((Testes!$B$8:$B$407=$A65)*Testes!$A$8:$A$407+(Testes!$B$8:$B$407&lt;&gt;$A65)*100000))),0))</f>
        <v>0</v>
      </c>
      <c r="E65" s="35" t="n">
        <f aca="false">IF($A65="",0,IFERROR(AVERAGEIFS(Testes!$L$8:$L$407,Testes!$B$8:$B$407,$A65,Testes!$A$8:$A$407,SUMPRODUCT(MAX((Testes!$B$8:$B$407=$A65)*Testes!$A$8:$A$407))),0))</f>
        <v>0</v>
      </c>
      <c r="F65" s="167" t="n">
        <f aca="false">IF(OR($D65=0,$E65=0),0,$E65/$D65-1)</f>
        <v>0</v>
      </c>
      <c r="G65" s="140" t="n">
        <f aca="false">IF($A65="",0,IFERROR(AVERAGEIFS(Testes!$S$8:$S$407,Testes!$B$8:$B$407,$A65,Testes!$A$8:$A$407,SUMPRODUCT(MAX((Testes!$B$8:$B$407=$A65)*Testes!$A$8:$A$407))),0))</f>
        <v>0</v>
      </c>
      <c r="H65" s="60" t="str">
        <f aca="false">IF($A65="","",IFERROR(INDEX('Perfil F-V-P'!$K$36:$K$75,MATCH($A65,'Perfil F-V-P'!$A$36:$A$75,0)),""))</f>
        <v/>
      </c>
      <c r="I65" s="60" t="str">
        <f aca="false">IF($A65="","",IFERROR(INDEX('Perfil F-V-P'!$L$36:$L$75,MATCH($A65,'Perfil F-V-P'!$A$36:$A$75,0)),""))</f>
        <v/>
      </c>
    </row>
    <row r="66" customFormat="false" ht="15" hidden="false" customHeight="false" outlineLevel="0" collapsed="false">
      <c r="A66" s="62" t="str">
        <f aca="false">IF(Cadastro!$B43="","",Cadastro!$B43)</f>
        <v/>
      </c>
      <c r="B66" s="63" t="n">
        <f aca="false">IF($A66="",0,IFERROR(INDEX('Força 1RM'!$Q$8:$Q$47,MATCH($A66,'Força 1RM'!$P$8:$P$47,0)),0))</f>
        <v>0</v>
      </c>
      <c r="C66" s="160" t="n">
        <f aca="false">IF($A66="",0,IFERROR($B66/INDEX(Cadastro!$P$8:$P$47,MATCH($A66,Cadastro!$B$8:$B$47,0)),0))</f>
        <v>0</v>
      </c>
      <c r="D66" s="63" t="n">
        <f aca="false">IF($A66="",0,IFERROR(AVERAGEIFS(Testes!$L$8:$L$407,Testes!$B$8:$B$407,$A66,Testes!$A$8:$A$407,SUMPRODUCT(MIN((Testes!$B$8:$B$407=$A66)*Testes!$A$8:$A$407+(Testes!$B$8:$B$407&lt;&gt;$A66)*100000))),0))</f>
        <v>0</v>
      </c>
      <c r="E66" s="63" t="n">
        <f aca="false">IF($A66="",0,IFERROR(AVERAGEIFS(Testes!$L$8:$L$407,Testes!$B$8:$B$407,$A66,Testes!$A$8:$A$407,SUMPRODUCT(MAX((Testes!$B$8:$B$407=$A66)*Testes!$A$8:$A$407))),0))</f>
        <v>0</v>
      </c>
      <c r="F66" s="168" t="n">
        <f aca="false">IF(OR($D66=0,$E66=0),0,$E66/$D66-1)</f>
        <v>0</v>
      </c>
      <c r="G66" s="146" t="n">
        <f aca="false">IF($A66="",0,IFERROR(AVERAGEIFS(Testes!$S$8:$S$407,Testes!$B$8:$B$407,$A66,Testes!$A$8:$A$407,SUMPRODUCT(MAX((Testes!$B$8:$B$407=$A66)*Testes!$A$8:$A$407))),0))</f>
        <v>0</v>
      </c>
      <c r="H66" s="62" t="str">
        <f aca="false">IF($A66="","",IFERROR(INDEX('Perfil F-V-P'!$K$36:$K$75,MATCH($A66,'Perfil F-V-P'!$A$36:$A$75,0)),""))</f>
        <v/>
      </c>
      <c r="I66" s="62" t="str">
        <f aca="false">IF($A66="","",IFERROR(INDEX('Perfil F-V-P'!$L$36:$L$75,MATCH($A66,'Perfil F-V-P'!$A$36:$A$75,0)),""))</f>
        <v/>
      </c>
    </row>
    <row r="67" customFormat="false" ht="15" hidden="false" customHeight="false" outlineLevel="0" collapsed="false">
      <c r="A67" s="60" t="str">
        <f aca="false">IF(Cadastro!$B44="","",Cadastro!$B44)</f>
        <v/>
      </c>
      <c r="B67" s="35" t="n">
        <f aca="false">IF($A67="",0,IFERROR(INDEX('Força 1RM'!$Q$8:$Q$47,MATCH($A67,'Força 1RM'!$P$8:$P$47,0)),0))</f>
        <v>0</v>
      </c>
      <c r="C67" s="144" t="n">
        <f aca="false">IF($A67="",0,IFERROR($B67/INDEX(Cadastro!$P$8:$P$47,MATCH($A67,Cadastro!$B$8:$B$47,0)),0))</f>
        <v>0</v>
      </c>
      <c r="D67" s="35" t="n">
        <f aca="false">IF($A67="",0,IFERROR(AVERAGEIFS(Testes!$L$8:$L$407,Testes!$B$8:$B$407,$A67,Testes!$A$8:$A$407,SUMPRODUCT(MIN((Testes!$B$8:$B$407=$A67)*Testes!$A$8:$A$407+(Testes!$B$8:$B$407&lt;&gt;$A67)*100000))),0))</f>
        <v>0</v>
      </c>
      <c r="E67" s="35" t="n">
        <f aca="false">IF($A67="",0,IFERROR(AVERAGEIFS(Testes!$L$8:$L$407,Testes!$B$8:$B$407,$A67,Testes!$A$8:$A$407,SUMPRODUCT(MAX((Testes!$B$8:$B$407=$A67)*Testes!$A$8:$A$407))),0))</f>
        <v>0</v>
      </c>
      <c r="F67" s="167" t="n">
        <f aca="false">IF(OR($D67=0,$E67=0),0,$E67/$D67-1)</f>
        <v>0</v>
      </c>
      <c r="G67" s="140" t="n">
        <f aca="false">IF($A67="",0,IFERROR(AVERAGEIFS(Testes!$S$8:$S$407,Testes!$B$8:$B$407,$A67,Testes!$A$8:$A$407,SUMPRODUCT(MAX((Testes!$B$8:$B$407=$A67)*Testes!$A$8:$A$407))),0))</f>
        <v>0</v>
      </c>
      <c r="H67" s="60" t="str">
        <f aca="false">IF($A67="","",IFERROR(INDEX('Perfil F-V-P'!$K$36:$K$75,MATCH($A67,'Perfil F-V-P'!$A$36:$A$75,0)),""))</f>
        <v/>
      </c>
      <c r="I67" s="60" t="str">
        <f aca="false">IF($A67="","",IFERROR(INDEX('Perfil F-V-P'!$L$36:$L$75,MATCH($A67,'Perfil F-V-P'!$A$36:$A$75,0)),""))</f>
        <v/>
      </c>
    </row>
    <row r="68" customFormat="false" ht="15" hidden="false" customHeight="false" outlineLevel="0" collapsed="false">
      <c r="A68" s="62" t="str">
        <f aca="false">IF(Cadastro!$B45="","",Cadastro!$B45)</f>
        <v/>
      </c>
      <c r="B68" s="63" t="n">
        <f aca="false">IF($A68="",0,IFERROR(INDEX('Força 1RM'!$Q$8:$Q$47,MATCH($A68,'Força 1RM'!$P$8:$P$47,0)),0))</f>
        <v>0</v>
      </c>
      <c r="C68" s="160" t="n">
        <f aca="false">IF($A68="",0,IFERROR($B68/INDEX(Cadastro!$P$8:$P$47,MATCH($A68,Cadastro!$B$8:$B$47,0)),0))</f>
        <v>0</v>
      </c>
      <c r="D68" s="63" t="n">
        <f aca="false">IF($A68="",0,IFERROR(AVERAGEIFS(Testes!$L$8:$L$407,Testes!$B$8:$B$407,$A68,Testes!$A$8:$A$407,SUMPRODUCT(MIN((Testes!$B$8:$B$407=$A68)*Testes!$A$8:$A$407+(Testes!$B$8:$B$407&lt;&gt;$A68)*100000))),0))</f>
        <v>0</v>
      </c>
      <c r="E68" s="63" t="n">
        <f aca="false">IF($A68="",0,IFERROR(AVERAGEIFS(Testes!$L$8:$L$407,Testes!$B$8:$B$407,$A68,Testes!$A$8:$A$407,SUMPRODUCT(MAX((Testes!$B$8:$B$407=$A68)*Testes!$A$8:$A$407))),0))</f>
        <v>0</v>
      </c>
      <c r="F68" s="168" t="n">
        <f aca="false">IF(OR($D68=0,$E68=0),0,$E68/$D68-1)</f>
        <v>0</v>
      </c>
      <c r="G68" s="146" t="n">
        <f aca="false">IF($A68="",0,IFERROR(AVERAGEIFS(Testes!$S$8:$S$407,Testes!$B$8:$B$407,$A68,Testes!$A$8:$A$407,SUMPRODUCT(MAX((Testes!$B$8:$B$407=$A68)*Testes!$A$8:$A$407))),0))</f>
        <v>0</v>
      </c>
      <c r="H68" s="62" t="str">
        <f aca="false">IF($A68="","",IFERROR(INDEX('Perfil F-V-P'!$K$36:$K$75,MATCH($A68,'Perfil F-V-P'!$A$36:$A$75,0)),""))</f>
        <v/>
      </c>
      <c r="I68" s="62" t="str">
        <f aca="false">IF($A68="","",IFERROR(INDEX('Perfil F-V-P'!$L$36:$L$75,MATCH($A68,'Perfil F-V-P'!$A$36:$A$75,0)),""))</f>
        <v/>
      </c>
    </row>
    <row r="69" customFormat="false" ht="15" hidden="false" customHeight="false" outlineLevel="0" collapsed="false">
      <c r="A69" s="60" t="str">
        <f aca="false">IF(Cadastro!$B46="","",Cadastro!$B46)</f>
        <v/>
      </c>
      <c r="B69" s="35" t="n">
        <f aca="false">IF($A69="",0,IFERROR(INDEX('Força 1RM'!$Q$8:$Q$47,MATCH($A69,'Força 1RM'!$P$8:$P$47,0)),0))</f>
        <v>0</v>
      </c>
      <c r="C69" s="144" t="n">
        <f aca="false">IF($A69="",0,IFERROR($B69/INDEX(Cadastro!$P$8:$P$47,MATCH($A69,Cadastro!$B$8:$B$47,0)),0))</f>
        <v>0</v>
      </c>
      <c r="D69" s="35" t="n">
        <f aca="false">IF($A69="",0,IFERROR(AVERAGEIFS(Testes!$L$8:$L$407,Testes!$B$8:$B$407,$A69,Testes!$A$8:$A$407,SUMPRODUCT(MIN((Testes!$B$8:$B$407=$A69)*Testes!$A$8:$A$407+(Testes!$B$8:$B$407&lt;&gt;$A69)*100000))),0))</f>
        <v>0</v>
      </c>
      <c r="E69" s="35" t="n">
        <f aca="false">IF($A69="",0,IFERROR(AVERAGEIFS(Testes!$L$8:$L$407,Testes!$B$8:$B$407,$A69,Testes!$A$8:$A$407,SUMPRODUCT(MAX((Testes!$B$8:$B$407=$A69)*Testes!$A$8:$A$407))),0))</f>
        <v>0</v>
      </c>
      <c r="F69" s="167" t="n">
        <f aca="false">IF(OR($D69=0,$E69=0),0,$E69/$D69-1)</f>
        <v>0</v>
      </c>
      <c r="G69" s="140" t="n">
        <f aca="false">IF($A69="",0,IFERROR(AVERAGEIFS(Testes!$S$8:$S$407,Testes!$B$8:$B$407,$A69,Testes!$A$8:$A$407,SUMPRODUCT(MAX((Testes!$B$8:$B$407=$A69)*Testes!$A$8:$A$407))),0))</f>
        <v>0</v>
      </c>
      <c r="H69" s="60" t="str">
        <f aca="false">IF($A69="","",IFERROR(INDEX('Perfil F-V-P'!$K$36:$K$75,MATCH($A69,'Perfil F-V-P'!$A$36:$A$75,0)),""))</f>
        <v/>
      </c>
      <c r="I69" s="60" t="str">
        <f aca="false">IF($A69="","",IFERROR(INDEX('Perfil F-V-P'!$L$36:$L$75,MATCH($A69,'Perfil F-V-P'!$A$36:$A$75,0)),""))</f>
        <v/>
      </c>
    </row>
    <row r="70" customFormat="false" ht="15" hidden="false" customHeight="false" outlineLevel="0" collapsed="false">
      <c r="A70" s="62" t="str">
        <f aca="false">IF(Cadastro!$B47="","",Cadastro!$B47)</f>
        <v/>
      </c>
      <c r="B70" s="63" t="n">
        <f aca="false">IF($A70="",0,IFERROR(INDEX('Força 1RM'!$Q$8:$Q$47,MATCH($A70,'Força 1RM'!$P$8:$P$47,0)),0))</f>
        <v>0</v>
      </c>
      <c r="C70" s="160" t="n">
        <f aca="false">IF($A70="",0,IFERROR($B70/INDEX(Cadastro!$P$8:$P$47,MATCH($A70,Cadastro!$B$8:$B$47,0)),0))</f>
        <v>0</v>
      </c>
      <c r="D70" s="63" t="n">
        <f aca="false">IF($A70="",0,IFERROR(AVERAGEIFS(Testes!$L$8:$L$407,Testes!$B$8:$B$407,$A70,Testes!$A$8:$A$407,SUMPRODUCT(MIN((Testes!$B$8:$B$407=$A70)*Testes!$A$8:$A$407+(Testes!$B$8:$B$407&lt;&gt;$A70)*100000))),0))</f>
        <v>0</v>
      </c>
      <c r="E70" s="63" t="n">
        <f aca="false">IF($A70="",0,IFERROR(AVERAGEIFS(Testes!$L$8:$L$407,Testes!$B$8:$B$407,$A70,Testes!$A$8:$A$407,SUMPRODUCT(MAX((Testes!$B$8:$B$407=$A70)*Testes!$A$8:$A$407))),0))</f>
        <v>0</v>
      </c>
      <c r="F70" s="168" t="n">
        <f aca="false">IF(OR($D70=0,$E70=0),0,$E70/$D70-1)</f>
        <v>0</v>
      </c>
      <c r="G70" s="146" t="n">
        <f aca="false">IF($A70="",0,IFERROR(AVERAGEIFS(Testes!$S$8:$S$407,Testes!$B$8:$B$407,$A70,Testes!$A$8:$A$407,SUMPRODUCT(MAX((Testes!$B$8:$B$407=$A70)*Testes!$A$8:$A$407))),0))</f>
        <v>0</v>
      </c>
      <c r="H70" s="62" t="str">
        <f aca="false">IF($A70="","",IFERROR(INDEX('Perfil F-V-P'!$K$36:$K$75,MATCH($A70,'Perfil F-V-P'!$A$36:$A$75,0)),""))</f>
        <v/>
      </c>
      <c r="I70" s="62" t="str">
        <f aca="false">IF($A70="","",IFERROR(INDEX('Perfil F-V-P'!$L$36:$L$75,MATCH($A70,'Perfil F-V-P'!$A$36:$A$75,0)),""))</f>
        <v/>
      </c>
    </row>
  </sheetData>
  <mergeCells count="20">
    <mergeCell ref="A1:T1"/>
    <mergeCell ref="A2:T2"/>
    <mergeCell ref="C4:D4"/>
    <mergeCell ref="A6:C6"/>
    <mergeCell ref="D6:F6"/>
    <mergeCell ref="G6:I6"/>
    <mergeCell ref="J6:L6"/>
    <mergeCell ref="M6:O6"/>
    <mergeCell ref="P6:R6"/>
    <mergeCell ref="S6:T6"/>
    <mergeCell ref="A7:C7"/>
    <mergeCell ref="D7:F7"/>
    <mergeCell ref="G7:I7"/>
    <mergeCell ref="J7:L7"/>
    <mergeCell ref="M7:O7"/>
    <mergeCell ref="P7:R7"/>
    <mergeCell ref="S7:T7"/>
    <mergeCell ref="A9:I9"/>
    <mergeCell ref="A20:I20"/>
    <mergeCell ref="A29:I29"/>
  </mergeCells>
  <conditionalFormatting sqref="E11:E18">
    <cfRule type="colorScale" priority="2">
      <colorScale>
        <cfvo type="min" val="0"/>
        <cfvo type="max" val="0"/>
        <color rgb="FFFFFFFF"/>
        <color rgb="FFF4B183"/>
      </colorScale>
    </cfRule>
  </conditionalFormatting>
  <conditionalFormatting sqref="F31:F70">
    <cfRule type="cellIs" priority="3" operator="greaterThan" aboveAverage="0" equalAverage="0" bottom="0" percent="0" rank="0" text="" dxfId="10">
      <formula>0.03</formula>
    </cfRule>
    <cfRule type="cellIs" priority="4" operator="lessThan" aboveAverage="0" equalAverage="0" bottom="0" percent="0" rank="0" text="" dxfId="11">
      <formula>-0.05</formula>
    </cfRule>
  </conditionalFormatting>
  <conditionalFormatting sqref="C31:C70">
    <cfRule type="colorScale" priority="5">
      <colorScale>
        <cfvo type="min" val="0"/>
        <cfvo type="max" val="0"/>
        <color rgb="FFFFFFFF"/>
        <color rgb="FFA9D08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A"/>
    <pageSetUpPr fitToPage="true"/>
  </sheetPr>
  <dimension ref="A1:H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66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72"/>
    <col collapsed="false" customWidth="true" hidden="false" outlineLevel="0" max="7" min="7" style="0" width="30"/>
    <col collapsed="false" customWidth="true" hidden="false" outlineLevel="0" max="8" min="8" style="0" width="54"/>
  </cols>
  <sheetData>
    <row r="1" customFormat="false" ht="30" hidden="false" customHeight="true" outlineLevel="0" collapsed="false">
      <c r="A1" s="1" t="s">
        <v>1344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1345</v>
      </c>
      <c r="B2" s="2"/>
      <c r="C2" s="2"/>
      <c r="D2" s="2"/>
      <c r="E2" s="2"/>
      <c r="F2" s="2"/>
      <c r="G2" s="2"/>
      <c r="H2" s="2"/>
    </row>
    <row r="6" customFormat="false" ht="31.5" hidden="false" customHeight="true" outlineLevel="0" collapsed="false">
      <c r="A6" s="25" t="s">
        <v>828</v>
      </c>
      <c r="B6" s="25" t="s">
        <v>1346</v>
      </c>
      <c r="C6" s="25" t="s">
        <v>1347</v>
      </c>
      <c r="D6" s="25" t="s">
        <v>1348</v>
      </c>
      <c r="E6" s="25" t="s">
        <v>1349</v>
      </c>
      <c r="F6" s="25" t="s">
        <v>1350</v>
      </c>
      <c r="G6" s="25" t="s">
        <v>1351</v>
      </c>
      <c r="H6" s="25" t="s">
        <v>1352</v>
      </c>
    </row>
    <row r="7" customFormat="false" ht="19.5" hidden="false" customHeight="true" outlineLevel="0" collapsed="false">
      <c r="A7" s="169" t="s">
        <v>1353</v>
      </c>
      <c r="B7" s="169"/>
      <c r="C7" s="169"/>
      <c r="D7" s="169"/>
      <c r="E7" s="169"/>
      <c r="F7" s="169"/>
      <c r="G7" s="169"/>
      <c r="H7" s="169"/>
    </row>
    <row r="8" customFormat="false" ht="45.75" hidden="false" customHeight="true" outlineLevel="0" collapsed="false">
      <c r="A8" s="170" t="n">
        <v>1</v>
      </c>
      <c r="B8" s="171" t="s">
        <v>1354</v>
      </c>
      <c r="C8" s="172" t="s">
        <v>1355</v>
      </c>
      <c r="D8" s="172" t="s">
        <v>1356</v>
      </c>
      <c r="E8" s="172" t="s">
        <v>1357</v>
      </c>
      <c r="F8" s="172" t="s">
        <v>1358</v>
      </c>
      <c r="G8" s="172" t="s">
        <v>1359</v>
      </c>
      <c r="H8" s="173" t="s">
        <v>1360</v>
      </c>
    </row>
    <row r="9" customFormat="false" ht="45.75" hidden="false" customHeight="true" outlineLevel="0" collapsed="false">
      <c r="A9" s="174" t="n">
        <v>2</v>
      </c>
      <c r="B9" s="78" t="s">
        <v>1361</v>
      </c>
      <c r="C9" s="175" t="s">
        <v>1362</v>
      </c>
      <c r="D9" s="175" t="s">
        <v>1356</v>
      </c>
      <c r="E9" s="175" t="s">
        <v>1357</v>
      </c>
      <c r="F9" s="175" t="s">
        <v>1363</v>
      </c>
      <c r="G9" s="175" t="s">
        <v>1364</v>
      </c>
      <c r="H9" s="176" t="s">
        <v>1365</v>
      </c>
    </row>
    <row r="10" customFormat="false" ht="45.75" hidden="false" customHeight="true" outlineLevel="0" collapsed="false">
      <c r="A10" s="170" t="n">
        <v>3</v>
      </c>
      <c r="B10" s="171" t="s">
        <v>1366</v>
      </c>
      <c r="C10" s="172" t="s">
        <v>1367</v>
      </c>
      <c r="D10" s="172" t="s">
        <v>1368</v>
      </c>
      <c r="E10" s="172" t="s">
        <v>1369</v>
      </c>
      <c r="F10" s="172" t="s">
        <v>1370</v>
      </c>
      <c r="G10" s="172" t="s">
        <v>1371</v>
      </c>
      <c r="H10" s="173" t="s">
        <v>1372</v>
      </c>
    </row>
    <row r="11" customFormat="false" ht="45.75" hidden="false" customHeight="true" outlineLevel="0" collapsed="false">
      <c r="A11" s="174" t="n">
        <v>4</v>
      </c>
      <c r="B11" s="78" t="s">
        <v>1373</v>
      </c>
      <c r="C11" s="175" t="s">
        <v>1374</v>
      </c>
      <c r="D11" s="175" t="s">
        <v>1375</v>
      </c>
      <c r="E11" s="175" t="s">
        <v>1376</v>
      </c>
      <c r="F11" s="175" t="s">
        <v>1377</v>
      </c>
      <c r="G11" s="175" t="s">
        <v>1378</v>
      </c>
      <c r="H11" s="176" t="s">
        <v>1379</v>
      </c>
    </row>
    <row r="12" customFormat="false" ht="45.75" hidden="false" customHeight="true" outlineLevel="0" collapsed="false">
      <c r="A12" s="170" t="n">
        <v>5</v>
      </c>
      <c r="B12" s="171" t="s">
        <v>1380</v>
      </c>
      <c r="C12" s="172" t="s">
        <v>1381</v>
      </c>
      <c r="D12" s="172" t="s">
        <v>1368</v>
      </c>
      <c r="E12" s="172" t="s">
        <v>1382</v>
      </c>
      <c r="F12" s="172" t="s">
        <v>1383</v>
      </c>
      <c r="G12" s="172" t="s">
        <v>1384</v>
      </c>
      <c r="H12" s="173" t="s">
        <v>1385</v>
      </c>
    </row>
    <row r="13" customFormat="false" ht="45.75" hidden="false" customHeight="true" outlineLevel="0" collapsed="false">
      <c r="A13" s="174" t="n">
        <v>6</v>
      </c>
      <c r="B13" s="78" t="s">
        <v>1386</v>
      </c>
      <c r="C13" s="175" t="s">
        <v>1387</v>
      </c>
      <c r="D13" s="175" t="s">
        <v>1368</v>
      </c>
      <c r="E13" s="175" t="s">
        <v>1376</v>
      </c>
      <c r="F13" s="175" t="s">
        <v>1388</v>
      </c>
      <c r="G13" s="175" t="s">
        <v>1389</v>
      </c>
      <c r="H13" s="176" t="s">
        <v>1390</v>
      </c>
    </row>
    <row r="14" customFormat="false" ht="45.75" hidden="false" customHeight="true" outlineLevel="0" collapsed="false">
      <c r="A14" s="170" t="n">
        <v>7</v>
      </c>
      <c r="B14" s="171" t="s">
        <v>1391</v>
      </c>
      <c r="C14" s="172" t="s">
        <v>1392</v>
      </c>
      <c r="D14" s="172" t="s">
        <v>1393</v>
      </c>
      <c r="E14" s="172" t="s">
        <v>1376</v>
      </c>
      <c r="F14" s="172" t="s">
        <v>1394</v>
      </c>
      <c r="G14" s="172" t="s">
        <v>1395</v>
      </c>
      <c r="H14" s="173" t="s">
        <v>1396</v>
      </c>
    </row>
    <row r="15" customFormat="false" ht="45.75" hidden="false" customHeight="true" outlineLevel="0" collapsed="false">
      <c r="A15" s="174" t="n">
        <v>8</v>
      </c>
      <c r="B15" s="78" t="s">
        <v>1397</v>
      </c>
      <c r="C15" s="175" t="s">
        <v>1398</v>
      </c>
      <c r="D15" s="175" t="s">
        <v>1393</v>
      </c>
      <c r="E15" s="175" t="s">
        <v>1376</v>
      </c>
      <c r="F15" s="175" t="s">
        <v>1399</v>
      </c>
      <c r="G15" s="175" t="s">
        <v>1400</v>
      </c>
      <c r="H15" s="176" t="s">
        <v>1401</v>
      </c>
    </row>
    <row r="16" customFormat="false" ht="45.75" hidden="false" customHeight="true" outlineLevel="0" collapsed="false">
      <c r="A16" s="170" t="n">
        <v>9</v>
      </c>
      <c r="B16" s="171" t="s">
        <v>1402</v>
      </c>
      <c r="C16" s="172" t="s">
        <v>1403</v>
      </c>
      <c r="D16" s="172" t="s">
        <v>1404</v>
      </c>
      <c r="E16" s="172" t="s">
        <v>1405</v>
      </c>
      <c r="F16" s="172" t="s">
        <v>1406</v>
      </c>
      <c r="G16" s="172" t="s">
        <v>1407</v>
      </c>
      <c r="H16" s="173" t="s">
        <v>1408</v>
      </c>
    </row>
    <row r="17" customFormat="false" ht="19.5" hidden="false" customHeight="true" outlineLevel="0" collapsed="false">
      <c r="A17" s="169" t="s">
        <v>1409</v>
      </c>
      <c r="B17" s="169"/>
      <c r="C17" s="169"/>
      <c r="D17" s="169"/>
      <c r="E17" s="169"/>
      <c r="F17" s="169"/>
      <c r="G17" s="169"/>
      <c r="H17" s="169"/>
    </row>
    <row r="18" customFormat="false" ht="45.75" hidden="false" customHeight="true" outlineLevel="0" collapsed="false">
      <c r="A18" s="174" t="n">
        <v>10</v>
      </c>
      <c r="B18" s="78" t="s">
        <v>1410</v>
      </c>
      <c r="C18" s="175" t="s">
        <v>1411</v>
      </c>
      <c r="D18" s="175" t="s">
        <v>1393</v>
      </c>
      <c r="E18" s="175" t="s">
        <v>1376</v>
      </c>
      <c r="F18" s="175" t="s">
        <v>1412</v>
      </c>
      <c r="G18" s="175" t="s">
        <v>1413</v>
      </c>
      <c r="H18" s="176" t="s">
        <v>1414</v>
      </c>
    </row>
    <row r="19" customFormat="false" ht="45.75" hidden="false" customHeight="true" outlineLevel="0" collapsed="false">
      <c r="A19" s="170" t="n">
        <v>11</v>
      </c>
      <c r="B19" s="171" t="s">
        <v>1415</v>
      </c>
      <c r="C19" s="172" t="s">
        <v>1416</v>
      </c>
      <c r="D19" s="172" t="s">
        <v>1417</v>
      </c>
      <c r="E19" s="172" t="s">
        <v>1376</v>
      </c>
      <c r="F19" s="172" t="s">
        <v>1418</v>
      </c>
      <c r="G19" s="172" t="s">
        <v>1419</v>
      </c>
      <c r="H19" s="173" t="s">
        <v>1420</v>
      </c>
    </row>
    <row r="20" customFormat="false" ht="45.75" hidden="false" customHeight="true" outlineLevel="0" collapsed="false">
      <c r="A20" s="174" t="n">
        <v>12</v>
      </c>
      <c r="B20" s="78" t="s">
        <v>1421</v>
      </c>
      <c r="C20" s="175" t="s">
        <v>1422</v>
      </c>
      <c r="D20" s="175" t="s">
        <v>1423</v>
      </c>
      <c r="E20" s="175" t="s">
        <v>1376</v>
      </c>
      <c r="F20" s="175" t="s">
        <v>1424</v>
      </c>
      <c r="G20" s="175" t="s">
        <v>1425</v>
      </c>
      <c r="H20" s="176" t="s">
        <v>1426</v>
      </c>
    </row>
    <row r="21" customFormat="false" ht="45.75" hidden="false" customHeight="true" outlineLevel="0" collapsed="false">
      <c r="A21" s="170" t="n">
        <v>13</v>
      </c>
      <c r="B21" s="171" t="s">
        <v>1427</v>
      </c>
      <c r="C21" s="172" t="s">
        <v>1428</v>
      </c>
      <c r="D21" s="172" t="s">
        <v>1429</v>
      </c>
      <c r="E21" s="172" t="s">
        <v>1376</v>
      </c>
      <c r="F21" s="172" t="s">
        <v>1430</v>
      </c>
      <c r="G21" s="172" t="s">
        <v>1431</v>
      </c>
      <c r="H21" s="173" t="s">
        <v>1432</v>
      </c>
    </row>
    <row r="22" customFormat="false" ht="45.75" hidden="false" customHeight="true" outlineLevel="0" collapsed="false">
      <c r="A22" s="174" t="n">
        <v>14</v>
      </c>
      <c r="B22" s="78" t="s">
        <v>1433</v>
      </c>
      <c r="C22" s="175" t="s">
        <v>1434</v>
      </c>
      <c r="D22" s="175" t="s">
        <v>1435</v>
      </c>
      <c r="E22" s="175" t="s">
        <v>1376</v>
      </c>
      <c r="F22" s="175" t="s">
        <v>1436</v>
      </c>
      <c r="G22" s="175" t="s">
        <v>1437</v>
      </c>
      <c r="H22" s="176" t="s">
        <v>1438</v>
      </c>
    </row>
    <row r="23" customFormat="false" ht="45.75" hidden="false" customHeight="true" outlineLevel="0" collapsed="false">
      <c r="A23" s="170" t="n">
        <v>15</v>
      </c>
      <c r="B23" s="171" t="s">
        <v>1439</v>
      </c>
      <c r="C23" s="172" t="s">
        <v>1440</v>
      </c>
      <c r="D23" s="172" t="s">
        <v>1368</v>
      </c>
      <c r="E23" s="172" t="s">
        <v>1441</v>
      </c>
      <c r="F23" s="172" t="s">
        <v>1442</v>
      </c>
      <c r="G23" s="172" t="s">
        <v>1443</v>
      </c>
      <c r="H23" s="173" t="s">
        <v>1444</v>
      </c>
    </row>
    <row r="24" customFormat="false" ht="19.5" hidden="false" customHeight="true" outlineLevel="0" collapsed="false">
      <c r="A24" s="169" t="s">
        <v>1445</v>
      </c>
      <c r="B24" s="169"/>
      <c r="C24" s="169"/>
      <c r="D24" s="169"/>
      <c r="E24" s="169"/>
      <c r="F24" s="169"/>
      <c r="G24" s="169"/>
      <c r="H24" s="169"/>
    </row>
    <row r="25" customFormat="false" ht="45.75" hidden="false" customHeight="true" outlineLevel="0" collapsed="false">
      <c r="A25" s="174" t="n">
        <v>16</v>
      </c>
      <c r="B25" s="78" t="s">
        <v>1446</v>
      </c>
      <c r="C25" s="175" t="s">
        <v>1447</v>
      </c>
      <c r="D25" s="175" t="s">
        <v>1368</v>
      </c>
      <c r="E25" s="175" t="s">
        <v>1448</v>
      </c>
      <c r="F25" s="175" t="s">
        <v>1449</v>
      </c>
      <c r="G25" s="175" t="s">
        <v>1450</v>
      </c>
      <c r="H25" s="176" t="s">
        <v>1451</v>
      </c>
    </row>
    <row r="26" customFormat="false" ht="45.75" hidden="false" customHeight="true" outlineLevel="0" collapsed="false">
      <c r="A26" s="170" t="n">
        <v>17</v>
      </c>
      <c r="B26" s="171" t="s">
        <v>1452</v>
      </c>
      <c r="C26" s="172" t="s">
        <v>1453</v>
      </c>
      <c r="D26" s="172" t="s">
        <v>1454</v>
      </c>
      <c r="E26" s="172" t="s">
        <v>1455</v>
      </c>
      <c r="F26" s="172" t="s">
        <v>1456</v>
      </c>
      <c r="G26" s="172" t="s">
        <v>1457</v>
      </c>
      <c r="H26" s="173" t="s">
        <v>1458</v>
      </c>
    </row>
    <row r="27" customFormat="false" ht="45.75" hidden="false" customHeight="true" outlineLevel="0" collapsed="false">
      <c r="A27" s="174" t="n">
        <v>18</v>
      </c>
      <c r="B27" s="78" t="s">
        <v>1459</v>
      </c>
      <c r="C27" s="175" t="s">
        <v>1460</v>
      </c>
      <c r="D27" s="175" t="s">
        <v>1461</v>
      </c>
      <c r="E27" s="175" t="s">
        <v>1376</v>
      </c>
      <c r="F27" s="175" t="s">
        <v>1462</v>
      </c>
      <c r="G27" s="175" t="s">
        <v>1463</v>
      </c>
      <c r="H27" s="176" t="s">
        <v>1464</v>
      </c>
    </row>
    <row r="28" customFormat="false" ht="45.75" hidden="false" customHeight="true" outlineLevel="0" collapsed="false">
      <c r="A28" s="170" t="n">
        <v>19</v>
      </c>
      <c r="B28" s="171" t="s">
        <v>1465</v>
      </c>
      <c r="C28" s="172" t="s">
        <v>1466</v>
      </c>
      <c r="D28" s="172" t="s">
        <v>1467</v>
      </c>
      <c r="E28" s="172" t="s">
        <v>1376</v>
      </c>
      <c r="F28" s="172" t="s">
        <v>1468</v>
      </c>
      <c r="G28" s="172" t="s">
        <v>1469</v>
      </c>
      <c r="H28" s="173" t="s">
        <v>1470</v>
      </c>
    </row>
    <row r="29" customFormat="false" ht="45.75" hidden="false" customHeight="true" outlineLevel="0" collapsed="false">
      <c r="A29" s="174" t="n">
        <v>20</v>
      </c>
      <c r="B29" s="78" t="s">
        <v>1471</v>
      </c>
      <c r="C29" s="175" t="s">
        <v>1472</v>
      </c>
      <c r="D29" s="175" t="s">
        <v>1473</v>
      </c>
      <c r="E29" s="175" t="s">
        <v>1474</v>
      </c>
      <c r="F29" s="175" t="s">
        <v>1475</v>
      </c>
      <c r="G29" s="175" t="s">
        <v>1476</v>
      </c>
      <c r="H29" s="176" t="s">
        <v>1477</v>
      </c>
    </row>
    <row r="30" customFormat="false" ht="45.75" hidden="false" customHeight="true" outlineLevel="0" collapsed="false">
      <c r="A30" s="170" t="n">
        <v>21</v>
      </c>
      <c r="B30" s="171" t="s">
        <v>1478</v>
      </c>
      <c r="C30" s="172" t="s">
        <v>1479</v>
      </c>
      <c r="D30" s="172" t="s">
        <v>1404</v>
      </c>
      <c r="E30" s="172" t="s">
        <v>1480</v>
      </c>
      <c r="F30" s="172" t="s">
        <v>1481</v>
      </c>
      <c r="G30" s="172" t="s">
        <v>1482</v>
      </c>
      <c r="H30" s="173" t="s">
        <v>1483</v>
      </c>
    </row>
    <row r="31" customFormat="false" ht="19.5" hidden="false" customHeight="true" outlineLevel="0" collapsed="false">
      <c r="A31" s="169" t="s">
        <v>1484</v>
      </c>
      <c r="B31" s="169"/>
      <c r="C31" s="169"/>
      <c r="D31" s="169"/>
      <c r="E31" s="169"/>
      <c r="F31" s="169"/>
      <c r="G31" s="169"/>
      <c r="H31" s="169"/>
    </row>
    <row r="32" customFormat="false" ht="45.75" hidden="false" customHeight="true" outlineLevel="0" collapsed="false">
      <c r="A32" s="174" t="n">
        <v>22</v>
      </c>
      <c r="B32" s="78" t="s">
        <v>1485</v>
      </c>
      <c r="C32" s="175" t="s">
        <v>1486</v>
      </c>
      <c r="D32" s="175" t="s">
        <v>1356</v>
      </c>
      <c r="E32" s="175" t="s">
        <v>1357</v>
      </c>
      <c r="F32" s="175" t="s">
        <v>1487</v>
      </c>
      <c r="G32" s="175" t="s">
        <v>1488</v>
      </c>
      <c r="H32" s="176" t="s">
        <v>1489</v>
      </c>
    </row>
    <row r="33" customFormat="false" ht="45.75" hidden="false" customHeight="true" outlineLevel="0" collapsed="false">
      <c r="A33" s="170" t="n">
        <v>23</v>
      </c>
      <c r="B33" s="171" t="s">
        <v>1490</v>
      </c>
      <c r="C33" s="172" t="s">
        <v>1491</v>
      </c>
      <c r="D33" s="172" t="s">
        <v>1393</v>
      </c>
      <c r="E33" s="172" t="s">
        <v>1441</v>
      </c>
      <c r="F33" s="172" t="s">
        <v>1492</v>
      </c>
      <c r="G33" s="172" t="s">
        <v>1493</v>
      </c>
      <c r="H33" s="173" t="s">
        <v>1494</v>
      </c>
    </row>
    <row r="34" customFormat="false" ht="45.75" hidden="false" customHeight="true" outlineLevel="0" collapsed="false">
      <c r="A34" s="174" t="n">
        <v>24</v>
      </c>
      <c r="B34" s="78" t="s">
        <v>1490</v>
      </c>
      <c r="C34" s="175" t="s">
        <v>1495</v>
      </c>
      <c r="D34" s="175" t="s">
        <v>1417</v>
      </c>
      <c r="E34" s="175" t="s">
        <v>1441</v>
      </c>
      <c r="F34" s="175" t="s">
        <v>1496</v>
      </c>
      <c r="G34" s="175" t="s">
        <v>1497</v>
      </c>
      <c r="H34" s="176" t="s">
        <v>1498</v>
      </c>
    </row>
    <row r="35" customFormat="false" ht="45.75" hidden="false" customHeight="true" outlineLevel="0" collapsed="false">
      <c r="A35" s="170" t="n">
        <v>25</v>
      </c>
      <c r="B35" s="171" t="s">
        <v>1499</v>
      </c>
      <c r="C35" s="172" t="s">
        <v>1500</v>
      </c>
      <c r="D35" s="172" t="s">
        <v>1368</v>
      </c>
      <c r="E35" s="172" t="s">
        <v>1501</v>
      </c>
      <c r="F35" s="172" t="s">
        <v>1502</v>
      </c>
      <c r="G35" s="172" t="s">
        <v>1503</v>
      </c>
      <c r="H35" s="173" t="s">
        <v>1504</v>
      </c>
    </row>
    <row r="36" customFormat="false" ht="45.75" hidden="false" customHeight="true" outlineLevel="0" collapsed="false">
      <c r="A36" s="174" t="n">
        <v>26</v>
      </c>
      <c r="B36" s="78" t="s">
        <v>1505</v>
      </c>
      <c r="C36" s="175" t="s">
        <v>1506</v>
      </c>
      <c r="D36" s="175" t="s">
        <v>1368</v>
      </c>
      <c r="E36" s="175" t="s">
        <v>1441</v>
      </c>
      <c r="F36" s="175" t="s">
        <v>1507</v>
      </c>
      <c r="G36" s="175" t="s">
        <v>1508</v>
      </c>
      <c r="H36" s="176" t="s">
        <v>1509</v>
      </c>
    </row>
    <row r="37" customFormat="false" ht="45.75" hidden="false" customHeight="true" outlineLevel="0" collapsed="false">
      <c r="A37" s="170" t="n">
        <v>27</v>
      </c>
      <c r="B37" s="171" t="s">
        <v>1510</v>
      </c>
      <c r="C37" s="172" t="s">
        <v>1511</v>
      </c>
      <c r="D37" s="172" t="s">
        <v>1368</v>
      </c>
      <c r="E37" s="172" t="s">
        <v>1376</v>
      </c>
      <c r="F37" s="172" t="s">
        <v>1512</v>
      </c>
      <c r="G37" s="172" t="s">
        <v>1513</v>
      </c>
      <c r="H37" s="173" t="s">
        <v>1514</v>
      </c>
    </row>
    <row r="38" customFormat="false" ht="45.75" hidden="false" customHeight="true" outlineLevel="0" collapsed="false">
      <c r="A38" s="174" t="n">
        <v>28</v>
      </c>
      <c r="B38" s="78" t="s">
        <v>1515</v>
      </c>
      <c r="C38" s="175" t="s">
        <v>1516</v>
      </c>
      <c r="D38" s="175" t="s">
        <v>1517</v>
      </c>
      <c r="E38" s="175" t="s">
        <v>1441</v>
      </c>
      <c r="F38" s="175" t="s">
        <v>1518</v>
      </c>
      <c r="G38" s="175" t="s">
        <v>1519</v>
      </c>
      <c r="H38" s="176" t="s">
        <v>1520</v>
      </c>
    </row>
    <row r="39" customFormat="false" ht="19.5" hidden="false" customHeight="true" outlineLevel="0" collapsed="false">
      <c r="A39" s="169" t="s">
        <v>1521</v>
      </c>
      <c r="B39" s="169"/>
      <c r="C39" s="169"/>
      <c r="D39" s="169"/>
      <c r="E39" s="169"/>
      <c r="F39" s="169"/>
      <c r="G39" s="169"/>
      <c r="H39" s="169"/>
    </row>
    <row r="40" customFormat="false" ht="45.75" hidden="false" customHeight="true" outlineLevel="0" collapsed="false">
      <c r="A40" s="170" t="n">
        <v>29</v>
      </c>
      <c r="B40" s="171" t="s">
        <v>1522</v>
      </c>
      <c r="C40" s="172" t="s">
        <v>1523</v>
      </c>
      <c r="D40" s="172" t="s">
        <v>1524</v>
      </c>
      <c r="E40" s="172" t="s">
        <v>1525</v>
      </c>
      <c r="F40" s="172" t="s">
        <v>1526</v>
      </c>
      <c r="G40" s="172" t="s">
        <v>1527</v>
      </c>
      <c r="H40" s="173" t="s">
        <v>1528</v>
      </c>
    </row>
    <row r="41" customFormat="false" ht="45.75" hidden="false" customHeight="true" outlineLevel="0" collapsed="false">
      <c r="A41" s="174" t="n">
        <v>30</v>
      </c>
      <c r="B41" s="78" t="s">
        <v>1529</v>
      </c>
      <c r="C41" s="175" t="s">
        <v>1530</v>
      </c>
      <c r="D41" s="175" t="s">
        <v>1531</v>
      </c>
      <c r="E41" s="175" t="s">
        <v>1357</v>
      </c>
      <c r="F41" s="175" t="s">
        <v>1532</v>
      </c>
      <c r="G41" s="175" t="s">
        <v>1533</v>
      </c>
      <c r="H41" s="176" t="s">
        <v>1534</v>
      </c>
    </row>
    <row r="42" customFormat="false" ht="45.75" hidden="false" customHeight="true" outlineLevel="0" collapsed="false">
      <c r="A42" s="170" t="n">
        <v>31</v>
      </c>
      <c r="B42" s="171" t="s">
        <v>1535</v>
      </c>
      <c r="C42" s="172" t="s">
        <v>1536</v>
      </c>
      <c r="D42" s="172" t="s">
        <v>1537</v>
      </c>
      <c r="E42" s="172" t="s">
        <v>1357</v>
      </c>
      <c r="F42" s="172" t="s">
        <v>1538</v>
      </c>
      <c r="G42" s="172" t="s">
        <v>1539</v>
      </c>
      <c r="H42" s="173" t="s">
        <v>1540</v>
      </c>
    </row>
    <row r="43" customFormat="false" ht="45.75" hidden="false" customHeight="true" outlineLevel="0" collapsed="false">
      <c r="A43" s="174" t="n">
        <v>32</v>
      </c>
      <c r="B43" s="78" t="s">
        <v>1541</v>
      </c>
      <c r="C43" s="175" t="s">
        <v>1542</v>
      </c>
      <c r="D43" s="175" t="s">
        <v>1543</v>
      </c>
      <c r="E43" s="175" t="s">
        <v>1455</v>
      </c>
      <c r="F43" s="175" t="s">
        <v>1544</v>
      </c>
      <c r="G43" s="175" t="s">
        <v>1545</v>
      </c>
      <c r="H43" s="176" t="s">
        <v>1546</v>
      </c>
    </row>
    <row r="44" customFormat="false" ht="45.75" hidden="false" customHeight="true" outlineLevel="0" collapsed="false">
      <c r="A44" s="170" t="n">
        <v>33</v>
      </c>
      <c r="B44" s="171" t="s">
        <v>1547</v>
      </c>
      <c r="C44" s="172" t="s">
        <v>1548</v>
      </c>
      <c r="D44" s="172" t="s">
        <v>1549</v>
      </c>
      <c r="E44" s="172" t="s">
        <v>1550</v>
      </c>
      <c r="F44" s="172" t="s">
        <v>1551</v>
      </c>
      <c r="G44" s="172" t="s">
        <v>1552</v>
      </c>
      <c r="H44" s="173" t="s">
        <v>1553</v>
      </c>
    </row>
    <row r="45" customFormat="false" ht="45.75" hidden="false" customHeight="true" outlineLevel="0" collapsed="false">
      <c r="A45" s="174" t="n">
        <v>34</v>
      </c>
      <c r="B45" s="78" t="s">
        <v>1554</v>
      </c>
      <c r="C45" s="175" t="s">
        <v>1555</v>
      </c>
      <c r="D45" s="175" t="s">
        <v>1356</v>
      </c>
      <c r="E45" s="175" t="s">
        <v>1556</v>
      </c>
      <c r="F45" s="175" t="s">
        <v>1557</v>
      </c>
      <c r="G45" s="175" t="s">
        <v>1558</v>
      </c>
      <c r="H45" s="176" t="s">
        <v>1559</v>
      </c>
    </row>
    <row r="46" customFormat="false" ht="45.75" hidden="false" customHeight="true" outlineLevel="0" collapsed="false">
      <c r="A46" s="170" t="n">
        <v>35</v>
      </c>
      <c r="B46" s="171" t="s">
        <v>1560</v>
      </c>
      <c r="C46" s="172" t="s">
        <v>1561</v>
      </c>
      <c r="D46" s="172" t="s">
        <v>1368</v>
      </c>
      <c r="E46" s="172" t="s">
        <v>1562</v>
      </c>
      <c r="F46" s="172" t="s">
        <v>1563</v>
      </c>
      <c r="G46" s="172" t="s">
        <v>1558</v>
      </c>
      <c r="H46" s="173" t="s">
        <v>1564</v>
      </c>
    </row>
    <row r="47" customFormat="false" ht="45.75" hidden="false" customHeight="true" outlineLevel="0" collapsed="false">
      <c r="A47" s="174" t="n">
        <v>36</v>
      </c>
      <c r="B47" s="78" t="s">
        <v>1565</v>
      </c>
      <c r="C47" s="175" t="s">
        <v>1566</v>
      </c>
      <c r="D47" s="175" t="s">
        <v>1567</v>
      </c>
      <c r="E47" s="175" t="s">
        <v>1441</v>
      </c>
      <c r="F47" s="175" t="s">
        <v>1568</v>
      </c>
      <c r="G47" s="175" t="s">
        <v>1569</v>
      </c>
      <c r="H47" s="176" t="s">
        <v>1570</v>
      </c>
    </row>
    <row r="48" customFormat="false" ht="19.5" hidden="false" customHeight="true" outlineLevel="0" collapsed="false">
      <c r="A48" s="169" t="s">
        <v>1571</v>
      </c>
      <c r="B48" s="169"/>
      <c r="C48" s="169"/>
      <c r="D48" s="169"/>
      <c r="E48" s="169"/>
      <c r="F48" s="169"/>
      <c r="G48" s="169"/>
      <c r="H48" s="169"/>
    </row>
    <row r="49" customFormat="false" ht="45.75" hidden="false" customHeight="true" outlineLevel="0" collapsed="false">
      <c r="A49" s="170" t="n">
        <v>37</v>
      </c>
      <c r="B49" s="171" t="s">
        <v>1572</v>
      </c>
      <c r="C49" s="172" t="s">
        <v>1573</v>
      </c>
      <c r="D49" s="172" t="s">
        <v>1393</v>
      </c>
      <c r="E49" s="172" t="s">
        <v>1525</v>
      </c>
      <c r="F49" s="172" t="s">
        <v>1574</v>
      </c>
      <c r="G49" s="172" t="s">
        <v>1575</v>
      </c>
      <c r="H49" s="173" t="s">
        <v>1576</v>
      </c>
    </row>
    <row r="50" customFormat="false" ht="45.75" hidden="false" customHeight="true" outlineLevel="0" collapsed="false">
      <c r="A50" s="174" t="n">
        <v>38</v>
      </c>
      <c r="B50" s="78" t="s">
        <v>1577</v>
      </c>
      <c r="C50" s="175" t="s">
        <v>1578</v>
      </c>
      <c r="D50" s="175" t="s">
        <v>1404</v>
      </c>
      <c r="E50" s="175" t="s">
        <v>1376</v>
      </c>
      <c r="F50" s="175" t="s">
        <v>1579</v>
      </c>
      <c r="G50" s="175" t="s">
        <v>1580</v>
      </c>
      <c r="H50" s="176" t="s">
        <v>1581</v>
      </c>
    </row>
    <row r="51" customFormat="false" ht="45.75" hidden="false" customHeight="true" outlineLevel="0" collapsed="false">
      <c r="A51" s="170" t="n">
        <v>39</v>
      </c>
      <c r="B51" s="171" t="s">
        <v>1582</v>
      </c>
      <c r="C51" s="172" t="s">
        <v>1583</v>
      </c>
      <c r="D51" s="172" t="s">
        <v>1584</v>
      </c>
      <c r="E51" s="172" t="s">
        <v>1382</v>
      </c>
      <c r="F51" s="172" t="s">
        <v>1585</v>
      </c>
      <c r="G51" s="172" t="s">
        <v>1586</v>
      </c>
      <c r="H51" s="173" t="s">
        <v>1587</v>
      </c>
    </row>
    <row r="52" customFormat="false" ht="45.75" hidden="false" customHeight="true" outlineLevel="0" collapsed="false">
      <c r="A52" s="174" t="n">
        <v>40</v>
      </c>
      <c r="B52" s="78" t="s">
        <v>1588</v>
      </c>
      <c r="C52" s="175" t="s">
        <v>1589</v>
      </c>
      <c r="D52" s="175" t="s">
        <v>1590</v>
      </c>
      <c r="E52" s="175" t="s">
        <v>1455</v>
      </c>
      <c r="F52" s="175" t="s">
        <v>1591</v>
      </c>
      <c r="G52" s="175" t="s">
        <v>1592</v>
      </c>
      <c r="H52" s="176" t="s">
        <v>1593</v>
      </c>
    </row>
    <row r="53" customFormat="false" ht="45.75" hidden="false" customHeight="true" outlineLevel="0" collapsed="false">
      <c r="A53" s="170" t="n">
        <v>41</v>
      </c>
      <c r="B53" s="171" t="s">
        <v>1594</v>
      </c>
      <c r="C53" s="172" t="s">
        <v>1595</v>
      </c>
      <c r="D53" s="172" t="s">
        <v>1375</v>
      </c>
      <c r="E53" s="172" t="s">
        <v>1501</v>
      </c>
      <c r="F53" s="172" t="s">
        <v>1596</v>
      </c>
      <c r="G53" s="172" t="s">
        <v>1597</v>
      </c>
      <c r="H53" s="173" t="s">
        <v>1598</v>
      </c>
    </row>
    <row r="54" customFormat="false" ht="45.75" hidden="false" customHeight="true" outlineLevel="0" collapsed="false">
      <c r="A54" s="174" t="n">
        <v>42</v>
      </c>
      <c r="B54" s="78" t="s">
        <v>1599</v>
      </c>
      <c r="C54" s="175" t="s">
        <v>1600</v>
      </c>
      <c r="D54" s="175" t="s">
        <v>1467</v>
      </c>
      <c r="E54" s="175" t="s">
        <v>1455</v>
      </c>
      <c r="F54" s="175" t="s">
        <v>1601</v>
      </c>
      <c r="G54" s="175" t="s">
        <v>1597</v>
      </c>
      <c r="H54" s="176" t="s">
        <v>1602</v>
      </c>
    </row>
    <row r="55" customFormat="false" ht="45.75" hidden="false" customHeight="true" outlineLevel="0" collapsed="false">
      <c r="A55" s="170" t="n">
        <v>43</v>
      </c>
      <c r="B55" s="171" t="s">
        <v>1603</v>
      </c>
      <c r="C55" s="172" t="s">
        <v>1604</v>
      </c>
      <c r="D55" s="172" t="s">
        <v>1605</v>
      </c>
      <c r="E55" s="172" t="s">
        <v>1606</v>
      </c>
      <c r="F55" s="172" t="s">
        <v>1607</v>
      </c>
      <c r="G55" s="172" t="s">
        <v>1597</v>
      </c>
      <c r="H55" s="173" t="s">
        <v>1608</v>
      </c>
    </row>
    <row r="56" customFormat="false" ht="19.5" hidden="false" customHeight="true" outlineLevel="0" collapsed="false">
      <c r="A56" s="169" t="s">
        <v>1609</v>
      </c>
      <c r="B56" s="169"/>
      <c r="C56" s="169"/>
      <c r="D56" s="169"/>
      <c r="E56" s="169"/>
      <c r="F56" s="169"/>
      <c r="G56" s="169"/>
      <c r="H56" s="169"/>
    </row>
    <row r="57" customFormat="false" ht="45.75" hidden="false" customHeight="true" outlineLevel="0" collapsed="false">
      <c r="A57" s="174" t="n">
        <v>44</v>
      </c>
      <c r="B57" s="78" t="s">
        <v>1610</v>
      </c>
      <c r="C57" s="175" t="s">
        <v>1611</v>
      </c>
      <c r="D57" s="175" t="s">
        <v>1375</v>
      </c>
      <c r="E57" s="175" t="s">
        <v>1612</v>
      </c>
      <c r="F57" s="175" t="s">
        <v>1613</v>
      </c>
      <c r="G57" s="175" t="s">
        <v>1614</v>
      </c>
      <c r="H57" s="176" t="s">
        <v>1615</v>
      </c>
    </row>
    <row r="58" customFormat="false" ht="45.75" hidden="false" customHeight="true" outlineLevel="0" collapsed="false">
      <c r="A58" s="170" t="n">
        <v>45</v>
      </c>
      <c r="B58" s="171" t="s">
        <v>1616</v>
      </c>
      <c r="C58" s="172" t="s">
        <v>1617</v>
      </c>
      <c r="D58" s="172" t="s">
        <v>1454</v>
      </c>
      <c r="E58" s="172" t="s">
        <v>1612</v>
      </c>
      <c r="F58" s="172" t="s">
        <v>1618</v>
      </c>
      <c r="G58" s="172" t="s">
        <v>1619</v>
      </c>
      <c r="H58" s="173" t="s">
        <v>1620</v>
      </c>
    </row>
    <row r="59" customFormat="false" ht="45.75" hidden="false" customHeight="true" outlineLevel="0" collapsed="false">
      <c r="A59" s="174" t="n">
        <v>46</v>
      </c>
      <c r="B59" s="78" t="s">
        <v>1621</v>
      </c>
      <c r="C59" s="175" t="s">
        <v>1622</v>
      </c>
      <c r="D59" s="175" t="s">
        <v>1590</v>
      </c>
      <c r="E59" s="175" t="s">
        <v>1623</v>
      </c>
      <c r="F59" s="175" t="s">
        <v>1624</v>
      </c>
      <c r="G59" s="175" t="s">
        <v>1625</v>
      </c>
      <c r="H59" s="176" t="s">
        <v>1626</v>
      </c>
    </row>
    <row r="60" customFormat="false" ht="45.75" hidden="false" customHeight="true" outlineLevel="0" collapsed="false">
      <c r="A60" s="170" t="n">
        <v>47</v>
      </c>
      <c r="B60" s="171" t="s">
        <v>1627</v>
      </c>
      <c r="C60" s="172" t="s">
        <v>1628</v>
      </c>
      <c r="D60" s="172" t="s">
        <v>1368</v>
      </c>
      <c r="E60" s="172" t="s">
        <v>1382</v>
      </c>
      <c r="F60" s="172" t="s">
        <v>1629</v>
      </c>
      <c r="G60" s="172" t="s">
        <v>1630</v>
      </c>
      <c r="H60" s="173" t="s">
        <v>1631</v>
      </c>
    </row>
    <row r="61" customFormat="false" ht="45.75" hidden="false" customHeight="true" outlineLevel="0" collapsed="false">
      <c r="A61" s="174" t="n">
        <v>48</v>
      </c>
      <c r="B61" s="78" t="s">
        <v>1632</v>
      </c>
      <c r="C61" s="175" t="s">
        <v>1633</v>
      </c>
      <c r="D61" s="175" t="s">
        <v>1634</v>
      </c>
      <c r="E61" s="175" t="s">
        <v>1441</v>
      </c>
      <c r="F61" s="175" t="s">
        <v>1635</v>
      </c>
      <c r="G61" s="175" t="s">
        <v>1636</v>
      </c>
      <c r="H61" s="176" t="s">
        <v>1637</v>
      </c>
    </row>
    <row r="62" customFormat="false" ht="45.75" hidden="false" customHeight="true" outlineLevel="0" collapsed="false">
      <c r="A62" s="170" t="n">
        <v>49</v>
      </c>
      <c r="B62" s="171" t="s">
        <v>1638</v>
      </c>
      <c r="C62" s="172" t="s">
        <v>1639</v>
      </c>
      <c r="D62" s="172" t="s">
        <v>1640</v>
      </c>
      <c r="E62" s="172" t="s">
        <v>1641</v>
      </c>
      <c r="F62" s="172" t="s">
        <v>1642</v>
      </c>
      <c r="G62" s="172" t="s">
        <v>1643</v>
      </c>
      <c r="H62" s="173" t="s">
        <v>1644</v>
      </c>
    </row>
    <row r="63" customFormat="false" ht="19.5" hidden="false" customHeight="true" outlineLevel="0" collapsed="false">
      <c r="A63" s="169" t="s">
        <v>1645</v>
      </c>
      <c r="B63" s="169"/>
      <c r="C63" s="169"/>
      <c r="D63" s="169"/>
      <c r="E63" s="169"/>
      <c r="F63" s="169"/>
      <c r="G63" s="169"/>
      <c r="H63" s="169"/>
    </row>
    <row r="64" customFormat="false" ht="45.75" hidden="false" customHeight="true" outlineLevel="0" collapsed="false">
      <c r="A64" s="174" t="n">
        <v>50</v>
      </c>
      <c r="B64" s="78" t="s">
        <v>1646</v>
      </c>
      <c r="C64" s="175" t="s">
        <v>1647</v>
      </c>
      <c r="D64" s="175" t="s">
        <v>1368</v>
      </c>
      <c r="E64" s="175" t="s">
        <v>1648</v>
      </c>
      <c r="F64" s="175" t="s">
        <v>1649</v>
      </c>
      <c r="G64" s="175" t="s">
        <v>1650</v>
      </c>
      <c r="H64" s="176" t="s">
        <v>1651</v>
      </c>
    </row>
    <row r="65" customFormat="false" ht="45.75" hidden="false" customHeight="true" outlineLevel="0" collapsed="false">
      <c r="A65" s="170" t="n">
        <v>51</v>
      </c>
      <c r="B65" s="171" t="s">
        <v>1652</v>
      </c>
      <c r="C65" s="172" t="s">
        <v>1653</v>
      </c>
      <c r="D65" s="172" t="s">
        <v>1654</v>
      </c>
      <c r="E65" s="172" t="s">
        <v>1655</v>
      </c>
      <c r="F65" s="172" t="s">
        <v>1656</v>
      </c>
      <c r="G65" s="172" t="s">
        <v>1657</v>
      </c>
      <c r="H65" s="173" t="s">
        <v>1658</v>
      </c>
    </row>
    <row r="66" customFormat="false" ht="45.75" hidden="false" customHeight="true" outlineLevel="0" collapsed="false">
      <c r="A66" s="174" t="n">
        <v>52</v>
      </c>
      <c r="B66" s="78" t="s">
        <v>1659</v>
      </c>
      <c r="C66" s="175" t="s">
        <v>1660</v>
      </c>
      <c r="D66" s="175" t="s">
        <v>1368</v>
      </c>
      <c r="E66" s="175" t="s">
        <v>1441</v>
      </c>
      <c r="F66" s="175" t="s">
        <v>1661</v>
      </c>
      <c r="G66" s="175" t="s">
        <v>1662</v>
      </c>
      <c r="H66" s="176" t="s">
        <v>1663</v>
      </c>
    </row>
    <row r="67" customFormat="false" ht="45.75" hidden="false" customHeight="true" outlineLevel="0" collapsed="false">
      <c r="A67" s="170" t="n">
        <v>53</v>
      </c>
      <c r="B67" s="171" t="s">
        <v>1664</v>
      </c>
      <c r="C67" s="172" t="s">
        <v>1665</v>
      </c>
      <c r="D67" s="172" t="s">
        <v>1654</v>
      </c>
      <c r="E67" s="172" t="s">
        <v>1441</v>
      </c>
      <c r="F67" s="172" t="s">
        <v>1666</v>
      </c>
      <c r="G67" s="172" t="s">
        <v>1667</v>
      </c>
      <c r="H67" s="173" t="s">
        <v>1668</v>
      </c>
    </row>
    <row r="68" customFormat="false" ht="45.75" hidden="false" customHeight="true" outlineLevel="0" collapsed="false">
      <c r="A68" s="174" t="n">
        <v>54</v>
      </c>
      <c r="B68" s="78" t="s">
        <v>1669</v>
      </c>
      <c r="C68" s="175" t="s">
        <v>1670</v>
      </c>
      <c r="D68" s="175" t="s">
        <v>1671</v>
      </c>
      <c r="E68" s="175" t="s">
        <v>1672</v>
      </c>
      <c r="F68" s="175" t="s">
        <v>1673</v>
      </c>
      <c r="G68" s="175" t="s">
        <v>1674</v>
      </c>
      <c r="H68" s="176" t="s">
        <v>1675</v>
      </c>
    </row>
    <row r="69" customFormat="false" ht="19.5" hidden="false" customHeight="true" outlineLevel="0" collapsed="false">
      <c r="A69" s="169" t="s">
        <v>1676</v>
      </c>
      <c r="B69" s="169"/>
      <c r="C69" s="169"/>
      <c r="D69" s="169"/>
      <c r="E69" s="169"/>
      <c r="F69" s="169"/>
      <c r="G69" s="169"/>
      <c r="H69" s="169"/>
    </row>
    <row r="70" customFormat="false" ht="45.75" hidden="false" customHeight="true" outlineLevel="0" collapsed="false">
      <c r="A70" s="170" t="n">
        <v>55</v>
      </c>
      <c r="B70" s="171" t="s">
        <v>1677</v>
      </c>
      <c r="C70" s="172" t="s">
        <v>1678</v>
      </c>
      <c r="D70" s="172" t="s">
        <v>1368</v>
      </c>
      <c r="E70" s="172" t="s">
        <v>1199</v>
      </c>
      <c r="F70" s="172" t="s">
        <v>1679</v>
      </c>
      <c r="G70" s="172" t="s">
        <v>1680</v>
      </c>
      <c r="H70" s="177" t="s">
        <v>168</v>
      </c>
    </row>
    <row r="71" customFormat="false" ht="45.75" hidden="false" customHeight="true" outlineLevel="0" collapsed="false">
      <c r="A71" s="174" t="n">
        <v>56</v>
      </c>
      <c r="B71" s="78" t="s">
        <v>1681</v>
      </c>
      <c r="C71" s="175" t="s">
        <v>1682</v>
      </c>
      <c r="D71" s="175" t="s">
        <v>1683</v>
      </c>
      <c r="E71" s="175" t="s">
        <v>1357</v>
      </c>
      <c r="F71" s="175" t="s">
        <v>1684</v>
      </c>
      <c r="G71" s="175" t="s">
        <v>1685</v>
      </c>
      <c r="H71" s="178" t="s">
        <v>168</v>
      </c>
    </row>
    <row r="72" customFormat="false" ht="45.75" hidden="false" customHeight="true" outlineLevel="0" collapsed="false">
      <c r="A72" s="170" t="n">
        <v>57</v>
      </c>
      <c r="B72" s="171" t="s">
        <v>1686</v>
      </c>
      <c r="C72" s="172" t="s">
        <v>1687</v>
      </c>
      <c r="D72" s="172" t="s">
        <v>1356</v>
      </c>
      <c r="E72" s="172" t="s">
        <v>1357</v>
      </c>
      <c r="F72" s="172" t="s">
        <v>1688</v>
      </c>
      <c r="G72" s="172" t="s">
        <v>1689</v>
      </c>
      <c r="H72" s="177" t="s">
        <v>168</v>
      </c>
    </row>
    <row r="73" customFormat="false" ht="45.75" hidden="false" customHeight="true" outlineLevel="0" collapsed="false">
      <c r="A73" s="174" t="n">
        <v>58</v>
      </c>
      <c r="B73" s="78" t="s">
        <v>1690</v>
      </c>
      <c r="C73" s="175" t="s">
        <v>1691</v>
      </c>
      <c r="D73" s="175" t="s">
        <v>1605</v>
      </c>
      <c r="E73" s="175" t="s">
        <v>1612</v>
      </c>
      <c r="F73" s="175" t="s">
        <v>1692</v>
      </c>
      <c r="G73" s="175" t="s">
        <v>1693</v>
      </c>
      <c r="H73" s="178" t="s">
        <v>168</v>
      </c>
    </row>
    <row r="74" customFormat="false" ht="45.75" hidden="false" customHeight="true" outlineLevel="0" collapsed="false">
      <c r="A74" s="170" t="n">
        <v>59</v>
      </c>
      <c r="B74" s="171" t="s">
        <v>1694</v>
      </c>
      <c r="C74" s="172" t="s">
        <v>1695</v>
      </c>
      <c r="D74" s="172" t="s">
        <v>1696</v>
      </c>
      <c r="E74" s="172" t="s">
        <v>1612</v>
      </c>
      <c r="F74" s="172" t="s">
        <v>1697</v>
      </c>
      <c r="G74" s="172" t="s">
        <v>1698</v>
      </c>
      <c r="H74" s="177" t="s">
        <v>168</v>
      </c>
    </row>
    <row r="75" customFormat="false" ht="45.75" hidden="false" customHeight="true" outlineLevel="0" collapsed="false">
      <c r="A75" s="174" t="n">
        <v>60</v>
      </c>
      <c r="B75" s="78" t="s">
        <v>1699</v>
      </c>
      <c r="C75" s="175" t="s">
        <v>1700</v>
      </c>
      <c r="D75" s="175" t="s">
        <v>1701</v>
      </c>
      <c r="E75" s="175" t="s">
        <v>1702</v>
      </c>
      <c r="F75" s="175" t="s">
        <v>1703</v>
      </c>
      <c r="G75" s="175" t="s">
        <v>1704</v>
      </c>
      <c r="H75" s="178" t="s">
        <v>168</v>
      </c>
    </row>
    <row r="77" customFormat="false" ht="15" hidden="false" customHeight="true" outlineLevel="0" collapsed="false">
      <c r="B77" s="17" t="s">
        <v>1705</v>
      </c>
      <c r="C77" s="17"/>
      <c r="D77" s="17"/>
      <c r="E77" s="17"/>
      <c r="F77" s="17"/>
      <c r="G77" s="17"/>
      <c r="H77" s="17"/>
    </row>
  </sheetData>
  <autoFilter ref="A6:H75"/>
  <mergeCells count="12">
    <mergeCell ref="A1:H1"/>
    <mergeCell ref="A2:H2"/>
    <mergeCell ref="A7:H7"/>
    <mergeCell ref="A17:H17"/>
    <mergeCell ref="A24:H24"/>
    <mergeCell ref="A31:H31"/>
    <mergeCell ref="A39:H39"/>
    <mergeCell ref="A48:H48"/>
    <mergeCell ref="A56:H56"/>
    <mergeCell ref="A63:H63"/>
    <mergeCell ref="A69:H69"/>
    <mergeCell ref="B77:H77"/>
  </mergeCells>
  <hyperlinks>
    <hyperlink ref="H8" r:id="rId1" display="https://consensus.app/papers/details/f382ecd540d75e349364da666ea4c096/"/>
    <hyperlink ref="H9" r:id="rId2" display="https://consensus.app/papers/details/c45056fdee8e538689e4b3e3cedc15f7/"/>
    <hyperlink ref="H10" r:id="rId3" display="https://consensus.app/papers/details/f256bd9422b65ada8b27fd28db364b55/"/>
    <hyperlink ref="H11" r:id="rId4" display="https://consensus.app/papers/details/db1410c0c5ca5209811bb4e58eb7ec1b/"/>
    <hyperlink ref="H12" r:id="rId5" display="https://consensus.app/papers/details/d8c5245dada2544285c48a147bbc308f/"/>
    <hyperlink ref="H13" r:id="rId6" display="https://consensus.app/papers/details/51ebe06543295477a6e3b87ed2fffb56/"/>
    <hyperlink ref="H14" r:id="rId7" display="https://consensus.app/papers/details/37aba2c3463d5db18d9682ba4f77c696/"/>
    <hyperlink ref="H15" r:id="rId8" display="https://consensus.app/papers/details/8fc30754f83059c691319023497a547a/"/>
    <hyperlink ref="H16" r:id="rId9" display="https://consensus.app/papers/details/cb319ced4f525fccb29ad766c357d07a/"/>
    <hyperlink ref="H18" r:id="rId10" display="https://consensus.app/papers/details/342916b5711d52e1a81ed4f1f87bdecb/"/>
    <hyperlink ref="H19" r:id="rId11" display="https://consensus.app/papers/details/cc1f0acd730e55469151f4ddd60ad2d8/"/>
    <hyperlink ref="H20" r:id="rId12" display="https://consensus.app/papers/details/5d6956f74040559da080d9e04b1cb3cc/"/>
    <hyperlink ref="H21" r:id="rId13" display="https://consensus.app/papers/details/9c60d35e1632588d8f6e0bf8707415fd/"/>
    <hyperlink ref="H22" r:id="rId14" display="https://consensus.app/papers/details/9f2b4f05a98c52f2827718b3afa7bd36/"/>
    <hyperlink ref="H23" r:id="rId15" display="https://consensus.app/papers/details/7f91b9f3f4aa502db2c5986d5aff1136/"/>
    <hyperlink ref="H25" r:id="rId16" display="https://consensus.app/papers/details/e60a777fc6a654d29ca1c61c7d29da22/"/>
    <hyperlink ref="H26" r:id="rId17" display="https://consensus.app/papers/details/049130fbe9d05f56a4810dde0ff51ef8/"/>
    <hyperlink ref="H27" r:id="rId18" display="https://consensus.app/papers/details/07f5b6752bba54198af3c2d0e5cd9d87/"/>
    <hyperlink ref="H28" r:id="rId19" display="https://consensus.app/papers/details/75bc1970db385dd2a7fc798a2d496428/"/>
    <hyperlink ref="H29" r:id="rId20" display="https://consensus.app/papers/details/97766fe403ed5d0db00747ff1e0c3b71/"/>
    <hyperlink ref="H30" r:id="rId21" display="https://consensus.app/papers/details/127de9c932de5022bf7207226214e479/"/>
    <hyperlink ref="H32" r:id="rId22" display="https://consensus.app/papers/details/e55b8645d8505f2bb685fbf171e41da5/"/>
    <hyperlink ref="H33" r:id="rId23" display="https://consensus.app/papers/details/832a4d9da8035145b9b54feac5caa891/"/>
    <hyperlink ref="H34" r:id="rId24" display="https://consensus.app/papers/details/d4fd5a5594c45196bd8036e06e06ddd5/"/>
    <hyperlink ref="H35" r:id="rId25" display="https://consensus.app/papers/details/bf6021458f755ca3a8d88965905119ed/"/>
    <hyperlink ref="H36" r:id="rId26" display="https://consensus.app/papers/details/45131b3cbdca5cfdb31431fdb5b7b004/"/>
    <hyperlink ref="H37" r:id="rId27" display="https://consensus.app/papers/details/df935f1fd927508eb7134ed0c1a65ea2/"/>
    <hyperlink ref="H38" r:id="rId28" display="https://consensus.app/papers/details/011fd93e694d529a90e28eae7334b9c4/"/>
    <hyperlink ref="H40" r:id="rId29" display="https://consensus.app/papers/details/a39766be63eb5ac7a0b76b6229d01c5f/"/>
    <hyperlink ref="H41" r:id="rId30" display="https://consensus.app/papers/details/7f88e021c22957a980dea51d84dd960a/"/>
    <hyperlink ref="H42" r:id="rId31" display="https://consensus.app/papers/details/bd88451c5a7955fa8fa376e203a6aa0e/"/>
    <hyperlink ref="H43" r:id="rId32" display="https://consensus.app/papers/details/0e6bb3b98d875b1392222cf931190cb8/"/>
    <hyperlink ref="H44" r:id="rId33" display="https://consensus.app/papers/details/c8cd652b51485409ae4e353f96d0cecd/"/>
    <hyperlink ref="H45" r:id="rId34" display="https://consensus.app/papers/details/94ecaddd8a3257c1ac5ba343f1a358be/"/>
    <hyperlink ref="H46" r:id="rId35" display="https://consensus.app/papers/details/9f572c3e92ea5983aec88ccbe3db6da9/"/>
    <hyperlink ref="H47" r:id="rId36" display="https://consensus.app/papers/details/2699a62b8e4350bd918acff60c192346/"/>
    <hyperlink ref="H49" r:id="rId37" display="https://consensus.app/papers/details/0b47720f42de500d95c89cf488fa6bc6/"/>
    <hyperlink ref="H50" r:id="rId38" display="https://consensus.app/papers/details/ac9d7b3fb607592887e952929efe8b2e/"/>
    <hyperlink ref="H51" r:id="rId39" display="https://consensus.app/papers/details/07f17089e4935553836bfe8b6c443414/"/>
    <hyperlink ref="H52" r:id="rId40" display="https://consensus.app/papers/details/bdbc8fc9675a54d29cca3b5eabf701bb/"/>
    <hyperlink ref="H53" r:id="rId41" display="https://consensus.app/papers/details/5eda6a3b427f55098d20848a20b32336/"/>
    <hyperlink ref="H54" r:id="rId42" display="https://consensus.app/papers/details/92d673eefa9b57158c87d11c3ec5fe71/"/>
    <hyperlink ref="H55" r:id="rId43" display="https://consensus.app/papers/details/6ab00db8b08e56fd86ec01c0c1b4054a/"/>
    <hyperlink ref="H57" r:id="rId44" display="https://consensus.app/papers/details/4113ba2b7f9254a78670457ae8f99ac2/"/>
    <hyperlink ref="H58" r:id="rId45" display="https://consensus.app/papers/details/9895fbb37b4f5a628d174d7e58c624c4/"/>
    <hyperlink ref="H59" r:id="rId46" display="https://consensus.app/papers/details/e05450c06ad55ab29a85378baaaf6adb/"/>
    <hyperlink ref="H60" r:id="rId47" display="https://consensus.app/papers/details/49131de7b79c5ffa86f91d25bcf2469a/"/>
    <hyperlink ref="H61" r:id="rId48" display="https://consensus.app/papers/details/8c773e2fbe795c968e9ea5185529f375/"/>
    <hyperlink ref="H62" r:id="rId49" display="https://consensus.app/papers/details/9be281c8d4d25bfaa2a0d31a09c1c0f8/"/>
    <hyperlink ref="H64" r:id="rId50" display="https://consensus.app/papers/details/acb87a06dc0b57e7896f92d25162767f/"/>
    <hyperlink ref="H65" r:id="rId51" display="https://consensus.app/papers/details/bed94db8efef54d0b856b82b62dadcaf/"/>
    <hyperlink ref="H66" r:id="rId52" display="https://consensus.app/papers/details/5d2c1a9f86b35fd89bf83100980361d1/"/>
    <hyperlink ref="H67" r:id="rId53" display="https://consensus.app/papers/details/8eb017eaf75f51948d230ec23aa8d1dd/"/>
    <hyperlink ref="H68" r:id="rId54" display="https://consensus.app/papers/details/7dcedc0290ee5117bc3e007990be1d87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5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9A"/>
    <pageSetUpPr fitToPage="true"/>
  </sheetPr>
  <dimension ref="A1:AP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8" min="1" style="0" width="22"/>
    <col collapsed="false" customWidth="true" hidden="false" outlineLevel="0" max="40" min="40" style="0" width="26"/>
  </cols>
  <sheetData>
    <row r="1" customFormat="false" ht="30" hidden="false" customHeight="true" outlineLevel="0" collapsed="false">
      <c r="A1" s="1" t="s">
        <v>1706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Format="false" ht="15.75" hidden="false" customHeight="true" outlineLevel="0" collapsed="false">
      <c r="A2" s="2" t="s">
        <v>1707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4" customFormat="false" ht="31.5" hidden="false" customHeight="true" outlineLevel="0" collapsed="false">
      <c r="A4" s="25" t="s">
        <v>109</v>
      </c>
      <c r="B4" s="25" t="s">
        <v>108</v>
      </c>
      <c r="C4" s="25" t="s">
        <v>103</v>
      </c>
      <c r="D4" s="25" t="s">
        <v>1269</v>
      </c>
      <c r="E4" s="25" t="s">
        <v>1708</v>
      </c>
      <c r="F4" s="25" t="s">
        <v>1709</v>
      </c>
      <c r="G4" s="25" t="s">
        <v>891</v>
      </c>
      <c r="H4" s="25" t="s">
        <v>1710</v>
      </c>
      <c r="I4" s="25" t="s">
        <v>1711</v>
      </c>
      <c r="J4" s="25" t="s">
        <v>417</v>
      </c>
      <c r="K4" s="25" t="s">
        <v>418</v>
      </c>
      <c r="L4" s="25" t="s">
        <v>1251</v>
      </c>
      <c r="M4" s="25" t="s">
        <v>1223</v>
      </c>
      <c r="N4" s="25" t="s">
        <v>1209</v>
      </c>
      <c r="O4" s="25" t="s">
        <v>1712</v>
      </c>
      <c r="P4" s="25" t="s">
        <v>1045</v>
      </c>
      <c r="Q4" s="25" t="s">
        <v>1046</v>
      </c>
      <c r="R4" s="25" t="s">
        <v>426</v>
      </c>
      <c r="S4" s="25" t="s">
        <v>842</v>
      </c>
      <c r="T4" s="25" t="s">
        <v>1713</v>
      </c>
      <c r="U4" s="25" t="s">
        <v>111</v>
      </c>
      <c r="V4" s="25" t="s">
        <v>123</v>
      </c>
      <c r="W4" s="25" t="s">
        <v>124</v>
      </c>
      <c r="X4" s="25" t="s">
        <v>1045</v>
      </c>
      <c r="Y4" s="25" t="s">
        <v>1714</v>
      </c>
      <c r="Z4" s="25" t="s">
        <v>1715</v>
      </c>
      <c r="AA4" s="25" t="s">
        <v>132</v>
      </c>
      <c r="AB4" s="25" t="s">
        <v>133</v>
      </c>
      <c r="AC4" s="25" t="s">
        <v>1716</v>
      </c>
      <c r="AD4" s="25" t="s">
        <v>1717</v>
      </c>
      <c r="AE4" s="25" t="s">
        <v>148</v>
      </c>
      <c r="AF4" s="25" t="s">
        <v>1718</v>
      </c>
      <c r="AG4" s="25" t="s">
        <v>1719</v>
      </c>
      <c r="AH4" s="25" t="s">
        <v>1720</v>
      </c>
      <c r="AI4" s="25" t="s">
        <v>1224</v>
      </c>
      <c r="AJ4" s="25" t="s">
        <v>990</v>
      </c>
      <c r="AK4" s="25" t="s">
        <v>1721</v>
      </c>
      <c r="AL4" s="25" t="s">
        <v>1722</v>
      </c>
      <c r="AN4" s="179" t="s">
        <v>1723</v>
      </c>
    </row>
    <row r="5" customFormat="false" ht="15" hidden="false" customHeight="false" outlineLevel="0" collapsed="false">
      <c r="A5" s="180" t="s">
        <v>170</v>
      </c>
      <c r="B5" s="180" t="s">
        <v>1724</v>
      </c>
      <c r="C5" s="180" t="s">
        <v>166</v>
      </c>
      <c r="D5" s="180" t="s">
        <v>171</v>
      </c>
      <c r="E5" s="180" t="s">
        <v>190</v>
      </c>
      <c r="F5" s="180" t="s">
        <v>844</v>
      </c>
      <c r="G5" s="180" t="s">
        <v>938</v>
      </c>
      <c r="H5" s="180" t="s">
        <v>994</v>
      </c>
      <c r="I5" s="180" t="s">
        <v>429</v>
      </c>
      <c r="J5" s="180" t="s">
        <v>430</v>
      </c>
      <c r="K5" s="180" t="s">
        <v>537</v>
      </c>
      <c r="L5" s="180" t="s">
        <v>1260</v>
      </c>
      <c r="M5" s="180" t="s">
        <v>605</v>
      </c>
      <c r="N5" s="180" t="n">
        <v>0</v>
      </c>
      <c r="O5" s="180" t="n">
        <v>1</v>
      </c>
      <c r="P5" s="180" t="s">
        <v>1051</v>
      </c>
      <c r="Q5" s="180" t="s">
        <v>1056</v>
      </c>
      <c r="R5" s="180" t="s">
        <v>436</v>
      </c>
      <c r="S5" s="180" t="s">
        <v>873</v>
      </c>
      <c r="T5" s="180" t="s">
        <v>339</v>
      </c>
      <c r="U5" s="180" t="s">
        <v>172</v>
      </c>
      <c r="V5" s="180" t="s">
        <v>1725</v>
      </c>
      <c r="W5" s="180" t="s">
        <v>178</v>
      </c>
      <c r="X5" s="180" t="s">
        <v>1051</v>
      </c>
      <c r="Y5" s="180" t="s">
        <v>186</v>
      </c>
      <c r="Z5" s="180" t="s">
        <v>233</v>
      </c>
      <c r="AA5" s="180" t="s">
        <v>183</v>
      </c>
      <c r="AB5" s="180" t="s">
        <v>184</v>
      </c>
      <c r="AC5" s="180" t="s">
        <v>243</v>
      </c>
      <c r="AD5" s="180" t="s">
        <v>1726</v>
      </c>
      <c r="AE5" s="180" t="s">
        <v>1727</v>
      </c>
      <c r="AF5" s="180" t="s">
        <v>1728</v>
      </c>
      <c r="AG5" s="180" t="s">
        <v>1205</v>
      </c>
      <c r="AH5" s="180" t="s">
        <v>558</v>
      </c>
      <c r="AI5" s="180" t="s">
        <v>1234</v>
      </c>
      <c r="AJ5" s="180" t="s">
        <v>692</v>
      </c>
      <c r="AK5" s="180" t="s">
        <v>537</v>
      </c>
      <c r="AL5" s="180" t="s">
        <v>937</v>
      </c>
      <c r="AN5" s="181" t="s">
        <v>1117</v>
      </c>
    </row>
    <row r="6" customFormat="false" ht="15" hidden="false" customHeight="false" outlineLevel="0" collapsed="false">
      <c r="A6" s="180" t="s">
        <v>194</v>
      </c>
      <c r="B6" s="180" t="s">
        <v>1729</v>
      </c>
      <c r="C6" s="180" t="s">
        <v>1730</v>
      </c>
      <c r="D6" s="180" t="s">
        <v>195</v>
      </c>
      <c r="E6" s="180" t="s">
        <v>225</v>
      </c>
      <c r="F6" s="180" t="s">
        <v>849</v>
      </c>
      <c r="G6" s="180" t="s">
        <v>900</v>
      </c>
      <c r="H6" s="180" t="s">
        <v>1121</v>
      </c>
      <c r="I6" s="180" t="s">
        <v>513</v>
      </c>
      <c r="J6" s="180" t="s">
        <v>450</v>
      </c>
      <c r="K6" s="180" t="s">
        <v>444</v>
      </c>
      <c r="L6" s="180" t="s">
        <v>1261</v>
      </c>
      <c r="M6" s="180" t="s">
        <v>467</v>
      </c>
      <c r="N6" s="180" t="n">
        <v>1</v>
      </c>
      <c r="O6" s="180" t="n">
        <v>2</v>
      </c>
      <c r="P6" s="180" t="s">
        <v>1055</v>
      </c>
      <c r="Q6" s="180" t="s">
        <v>1052</v>
      </c>
      <c r="R6" s="180" t="s">
        <v>442</v>
      </c>
      <c r="S6" s="180" t="s">
        <v>866</v>
      </c>
      <c r="T6" s="180" t="s">
        <v>1731</v>
      </c>
      <c r="U6" s="180" t="s">
        <v>229</v>
      </c>
      <c r="V6" s="180" t="s">
        <v>1732</v>
      </c>
      <c r="W6" s="180" t="s">
        <v>200</v>
      </c>
      <c r="X6" s="180" t="s">
        <v>1055</v>
      </c>
      <c r="Y6" s="180" t="s">
        <v>180</v>
      </c>
      <c r="Z6" s="180" t="s">
        <v>182</v>
      </c>
      <c r="AA6" s="180" t="s">
        <v>201</v>
      </c>
      <c r="AB6" s="180" t="s">
        <v>202</v>
      </c>
      <c r="AC6" s="180" t="s">
        <v>1733</v>
      </c>
      <c r="AD6" s="180" t="s">
        <v>1734</v>
      </c>
      <c r="AE6" s="180" t="s">
        <v>1735</v>
      </c>
      <c r="AF6" s="180" t="s">
        <v>1736</v>
      </c>
      <c r="AG6" s="180" t="s">
        <v>1737</v>
      </c>
      <c r="AH6" s="180" t="s">
        <v>1235</v>
      </c>
      <c r="AI6" s="180" t="s">
        <v>1738</v>
      </c>
      <c r="AJ6" s="180" t="s">
        <v>1017</v>
      </c>
      <c r="AK6" s="180" t="s">
        <v>1191</v>
      </c>
      <c r="AL6" s="180" t="s">
        <v>963</v>
      </c>
      <c r="AN6" s="181" t="str">
        <f aca="false">IF(Cadastro!$B$8="","",Cadastro!$B$8)</f>
        <v>Rafael Monteiro Alves</v>
      </c>
    </row>
    <row r="7" customFormat="false" ht="15" hidden="false" customHeight="false" outlineLevel="0" collapsed="false">
      <c r="A7" s="180" t="s">
        <v>208</v>
      </c>
      <c r="B7" s="180" t="s">
        <v>1739</v>
      </c>
      <c r="D7" s="180" t="s">
        <v>1740</v>
      </c>
      <c r="E7" s="180" t="s">
        <v>1741</v>
      </c>
      <c r="F7" s="180" t="s">
        <v>855</v>
      </c>
      <c r="G7" s="180" t="s">
        <v>903</v>
      </c>
      <c r="H7" s="180" t="s">
        <v>1124</v>
      </c>
      <c r="I7" s="180" t="s">
        <v>536</v>
      </c>
      <c r="J7" s="180" t="s">
        <v>463</v>
      </c>
      <c r="K7" s="180" t="s">
        <v>558</v>
      </c>
      <c r="L7" s="180" t="s">
        <v>1742</v>
      </c>
      <c r="M7" s="180" t="s">
        <v>435</v>
      </c>
      <c r="N7" s="180" t="n">
        <v>2</v>
      </c>
      <c r="O7" s="180" t="n">
        <v>3</v>
      </c>
      <c r="P7" s="180" t="s">
        <v>1743</v>
      </c>
      <c r="Q7" s="180" t="s">
        <v>1061</v>
      </c>
      <c r="R7" s="180" t="s">
        <v>448</v>
      </c>
      <c r="S7" s="180" t="s">
        <v>200</v>
      </c>
      <c r="T7" s="180" t="s">
        <v>1744</v>
      </c>
      <c r="U7" s="180" t="s">
        <v>1745</v>
      </c>
      <c r="V7" s="180" t="s">
        <v>1746</v>
      </c>
      <c r="W7" s="180" t="s">
        <v>1747</v>
      </c>
      <c r="X7" s="180" t="s">
        <v>1743</v>
      </c>
      <c r="Z7" s="180" t="s">
        <v>213</v>
      </c>
      <c r="AA7" s="180" t="s">
        <v>241</v>
      </c>
      <c r="AB7" s="180" t="s">
        <v>1748</v>
      </c>
      <c r="AC7" s="180" t="s">
        <v>222</v>
      </c>
      <c r="AD7" s="180" t="s">
        <v>1749</v>
      </c>
      <c r="AE7" s="180" t="s">
        <v>1750</v>
      </c>
      <c r="AF7" s="180" t="s">
        <v>1751</v>
      </c>
      <c r="AG7" s="180" t="s">
        <v>1752</v>
      </c>
      <c r="AH7" s="180" t="s">
        <v>1144</v>
      </c>
      <c r="AI7" s="180" t="s">
        <v>1753</v>
      </c>
      <c r="AJ7" s="180" t="s">
        <v>1000</v>
      </c>
      <c r="AK7" s="180" t="s">
        <v>792</v>
      </c>
      <c r="AL7" s="180" t="s">
        <v>979</v>
      </c>
      <c r="AN7" s="181" t="str">
        <f aca="false">IF(Cadastro!$B$9="","",Cadastro!$B$9)</f>
        <v>Diego Salgado Ferraz</v>
      </c>
    </row>
    <row r="8" customFormat="false" ht="15" hidden="false" customHeight="false" outlineLevel="0" collapsed="false">
      <c r="A8" s="180" t="s">
        <v>228</v>
      </c>
      <c r="B8" s="180" t="s">
        <v>784</v>
      </c>
      <c r="E8" s="180" t="s">
        <v>1754</v>
      </c>
      <c r="F8" s="180" t="s">
        <v>861</v>
      </c>
      <c r="G8" s="180" t="s">
        <v>908</v>
      </c>
      <c r="H8" s="180" t="s">
        <v>1131</v>
      </c>
      <c r="I8" s="180" t="s">
        <v>588</v>
      </c>
      <c r="J8" s="180" t="s">
        <v>476</v>
      </c>
      <c r="K8" s="180" t="s">
        <v>480</v>
      </c>
      <c r="L8" s="180" t="s">
        <v>225</v>
      </c>
      <c r="M8" s="180" t="s">
        <v>441</v>
      </c>
      <c r="N8" s="180" t="n">
        <v>3</v>
      </c>
      <c r="O8" s="180" t="n">
        <v>4</v>
      </c>
      <c r="Q8" s="180" t="s">
        <v>1069</v>
      </c>
      <c r="S8" s="180" t="s">
        <v>1755</v>
      </c>
      <c r="T8" s="180" t="s">
        <v>1756</v>
      </c>
      <c r="V8" s="180" t="s">
        <v>275</v>
      </c>
      <c r="W8" s="180" t="s">
        <v>1757</v>
      </c>
      <c r="X8" s="180" t="s">
        <v>212</v>
      </c>
      <c r="Z8" s="180" t="s">
        <v>221</v>
      </c>
      <c r="AA8" s="180" t="s">
        <v>1758</v>
      </c>
      <c r="AB8" s="180" t="s">
        <v>1759</v>
      </c>
      <c r="AC8" s="180" t="s">
        <v>214</v>
      </c>
      <c r="AD8" s="180" t="s">
        <v>203</v>
      </c>
      <c r="AE8" s="180" t="s">
        <v>1760</v>
      </c>
      <c r="AF8" s="180" t="s">
        <v>1761</v>
      </c>
      <c r="AG8" s="180" t="s">
        <v>1762</v>
      </c>
      <c r="AH8" s="180" t="s">
        <v>1763</v>
      </c>
      <c r="AI8" s="180" t="s">
        <v>1764</v>
      </c>
      <c r="AJ8" s="180" t="s">
        <v>168</v>
      </c>
      <c r="AK8" s="180" t="s">
        <v>1765</v>
      </c>
      <c r="AL8" s="180" t="s">
        <v>956</v>
      </c>
      <c r="AN8" s="181" t="str">
        <f aca="false">IF(Cadastro!$B$10="","",Cadastro!$B$10)</f>
        <v>Lucas Prado Bittencourt</v>
      </c>
    </row>
    <row r="9" customFormat="false" ht="15" hidden="false" customHeight="false" outlineLevel="0" collapsed="false">
      <c r="A9" s="180" t="s">
        <v>246</v>
      </c>
      <c r="B9" s="180" t="s">
        <v>1766</v>
      </c>
      <c r="E9" s="180" t="s">
        <v>1767</v>
      </c>
      <c r="F9" s="180" t="s">
        <v>868</v>
      </c>
      <c r="G9" s="180" t="s">
        <v>855</v>
      </c>
      <c r="H9" s="180" t="s">
        <v>1133</v>
      </c>
      <c r="I9" s="180" t="s">
        <v>607</v>
      </c>
      <c r="J9" s="180" t="s">
        <v>490</v>
      </c>
      <c r="K9" s="180" t="s">
        <v>459</v>
      </c>
      <c r="L9" s="180" t="s">
        <v>1741</v>
      </c>
      <c r="M9" s="180" t="s">
        <v>447</v>
      </c>
      <c r="N9" s="180" t="n">
        <v>4</v>
      </c>
      <c r="O9" s="180" t="n">
        <v>5</v>
      </c>
      <c r="Q9" s="180" t="s">
        <v>1066</v>
      </c>
      <c r="T9" s="180" t="s">
        <v>341</v>
      </c>
      <c r="V9" s="180" t="s">
        <v>177</v>
      </c>
      <c r="W9" s="180" t="s">
        <v>168</v>
      </c>
      <c r="X9" s="180" t="s">
        <v>1768</v>
      </c>
      <c r="Z9" s="180" t="s">
        <v>250</v>
      </c>
      <c r="AA9" s="180" t="s">
        <v>242</v>
      </c>
      <c r="AB9" s="180" t="s">
        <v>242</v>
      </c>
      <c r="AC9" s="180" t="s">
        <v>185</v>
      </c>
      <c r="AD9" s="180" t="s">
        <v>187</v>
      </c>
      <c r="AE9" s="180" t="s">
        <v>1769</v>
      </c>
      <c r="AF9" s="180" t="s">
        <v>1770</v>
      </c>
      <c r="AI9" s="180" t="s">
        <v>1771</v>
      </c>
      <c r="AK9" s="180" t="s">
        <v>1772</v>
      </c>
      <c r="AN9" s="181" t="str">
        <f aca="false">IF(Cadastro!$B$11="","",Cadastro!$B$11)</f>
        <v>Bruno Rezende Camargo</v>
      </c>
    </row>
    <row r="10" customFormat="false" ht="15" hidden="false" customHeight="false" outlineLevel="0" collapsed="false">
      <c r="A10" s="180" t="s">
        <v>1773</v>
      </c>
      <c r="B10" s="180" t="s">
        <v>169</v>
      </c>
      <c r="E10" s="180" t="s">
        <v>1774</v>
      </c>
      <c r="F10" s="180" t="s">
        <v>875</v>
      </c>
      <c r="G10" s="180" t="s">
        <v>1775</v>
      </c>
      <c r="I10" s="180" t="s">
        <v>612</v>
      </c>
      <c r="J10" s="180" t="s">
        <v>499</v>
      </c>
      <c r="K10" s="180" t="s">
        <v>579</v>
      </c>
      <c r="L10" s="180" t="s">
        <v>1776</v>
      </c>
      <c r="M10" s="180" t="s">
        <v>1146</v>
      </c>
      <c r="N10" s="180" t="n">
        <v>5</v>
      </c>
      <c r="O10" s="180" t="n">
        <v>6</v>
      </c>
      <c r="Q10" s="180" t="s">
        <v>1313</v>
      </c>
      <c r="T10" s="180" t="s">
        <v>1777</v>
      </c>
      <c r="V10" s="180" t="s">
        <v>199</v>
      </c>
      <c r="X10" s="180" t="s">
        <v>179</v>
      </c>
      <c r="Z10" s="180" t="s">
        <v>277</v>
      </c>
      <c r="AB10" s="180" t="s">
        <v>1778</v>
      </c>
      <c r="AC10" s="180" t="s">
        <v>1779</v>
      </c>
      <c r="AD10" s="180" t="s">
        <v>1780</v>
      </c>
      <c r="AE10" s="180" t="s">
        <v>1781</v>
      </c>
      <c r="AF10" s="180" t="s">
        <v>316</v>
      </c>
      <c r="AI10" s="180" t="s">
        <v>1782</v>
      </c>
      <c r="AK10" s="180" t="s">
        <v>558</v>
      </c>
      <c r="AN10" s="181" t="str">
        <f aca="false">IF(Cadastro!$B$12="","",Cadastro!$B$12)</f>
        <v>Thiago Nogueira Vasques</v>
      </c>
    </row>
    <row r="11" customFormat="false" ht="15" hidden="false" customHeight="false" outlineLevel="0" collapsed="false">
      <c r="B11" s="180" t="s">
        <v>1783</v>
      </c>
      <c r="G11" s="180" t="s">
        <v>1784</v>
      </c>
      <c r="J11" s="180" t="s">
        <v>508</v>
      </c>
      <c r="K11" s="180" t="s">
        <v>574</v>
      </c>
      <c r="L11" s="180" t="s">
        <v>1785</v>
      </c>
      <c r="N11" s="180" t="n">
        <v>6</v>
      </c>
      <c r="O11" s="180" t="n">
        <v>7</v>
      </c>
      <c r="Q11" s="180" t="s">
        <v>1314</v>
      </c>
      <c r="T11" s="180" t="s">
        <v>1786</v>
      </c>
      <c r="V11" s="180" t="s">
        <v>1787</v>
      </c>
      <c r="X11" s="180" t="s">
        <v>1788</v>
      </c>
      <c r="AC11" s="180" t="s">
        <v>1789</v>
      </c>
      <c r="AD11" s="180" t="s">
        <v>1790</v>
      </c>
      <c r="AE11" s="180" t="s">
        <v>189</v>
      </c>
      <c r="AF11" s="180" t="s">
        <v>1791</v>
      </c>
      <c r="AK11" s="180" t="s">
        <v>1004</v>
      </c>
      <c r="AN11" s="181" t="str">
        <f aca="false">IF(Cadastro!$B$13="","",Cadastro!$B$13)</f>
        <v>Matheus Caldeira Lins</v>
      </c>
    </row>
    <row r="12" customFormat="false" ht="15" hidden="false" customHeight="false" outlineLevel="0" collapsed="false">
      <c r="J12" s="180" t="s">
        <v>514</v>
      </c>
      <c r="K12" s="180" t="s">
        <v>601</v>
      </c>
      <c r="N12" s="180" t="n">
        <v>7</v>
      </c>
      <c r="Q12" s="180" t="s">
        <v>1077</v>
      </c>
      <c r="X12" s="180" t="s">
        <v>1792</v>
      </c>
      <c r="AD12" s="180" t="s">
        <v>276</v>
      </c>
      <c r="AE12" s="180" t="s">
        <v>1793</v>
      </c>
      <c r="AF12" s="180" t="s">
        <v>1794</v>
      </c>
      <c r="AK12" s="180" t="s">
        <v>994</v>
      </c>
      <c r="AN12" s="181" t="str">
        <f aca="false">IF(Cadastro!$B$14="","",Cadastro!$B$14)</f>
        <v>Felipe Andrade Rocha</v>
      </c>
    </row>
    <row r="13" customFormat="false" ht="15" hidden="false" customHeight="false" outlineLevel="0" collapsed="false">
      <c r="J13" s="180" t="s">
        <v>515</v>
      </c>
      <c r="K13" s="180" t="s">
        <v>583</v>
      </c>
      <c r="N13" s="180" t="n">
        <v>8</v>
      </c>
      <c r="Q13" s="180" t="s">
        <v>1315</v>
      </c>
      <c r="X13" s="180" t="s">
        <v>168</v>
      </c>
      <c r="AE13" s="180" t="s">
        <v>1795</v>
      </c>
      <c r="AF13" s="180" t="s">
        <v>318</v>
      </c>
      <c r="AK13" s="180" t="s">
        <v>776</v>
      </c>
      <c r="AN13" s="181" t="str">
        <f aca="false">IF(Cadastro!$B$15="","",Cadastro!$B$15)</f>
        <v>Gustavo Peixoto Maia</v>
      </c>
    </row>
    <row r="14" customFormat="false" ht="15" hidden="false" customHeight="false" outlineLevel="0" collapsed="false">
      <c r="K14" s="180" t="s">
        <v>431</v>
      </c>
      <c r="N14" s="180" t="n">
        <v>9</v>
      </c>
      <c r="Q14" s="180" t="s">
        <v>1082</v>
      </c>
      <c r="AF14" s="180" t="s">
        <v>1796</v>
      </c>
      <c r="AK14" s="180" t="s">
        <v>480</v>
      </c>
      <c r="AN14" s="181" t="str">
        <f aca="false">IF(Cadastro!$B$16="","",Cadastro!$B$16)</f>
        <v>Vinícius Barreto Duarte</v>
      </c>
    </row>
    <row r="15" customFormat="false" ht="15" hidden="false" customHeight="false" outlineLevel="0" collapsed="false">
      <c r="K15" s="180" t="s">
        <v>515</v>
      </c>
      <c r="N15" s="180" t="n">
        <v>10</v>
      </c>
      <c r="AF15" s="180" t="s">
        <v>1797</v>
      </c>
      <c r="AN15" s="181" t="str">
        <f aca="false">IF(Cadastro!$B$17="","",Cadastro!$B$17)</f>
        <v>André Luiz Sampaio</v>
      </c>
    </row>
    <row r="16" customFormat="false" ht="15" hidden="false" customHeight="false" outlineLevel="0" collapsed="false">
      <c r="AF16" s="180" t="s">
        <v>168</v>
      </c>
      <c r="AN16" s="181" t="str">
        <f aca="false">IF(Cadastro!$B$18="","",Cadastro!$B$18)</f>
        <v>Pedro Henrique Coutinho</v>
      </c>
    </row>
    <row r="17" customFormat="false" ht="15" hidden="false" customHeight="false" outlineLevel="0" collapsed="false">
      <c r="AN17" s="181" t="str">
        <f aca="false">IF(Cadastro!$B$19="","",Cadastro!$B$19)</f>
        <v>Caio Fernandes Bastos</v>
      </c>
    </row>
    <row r="18" customFormat="false" ht="15" hidden="false" customHeight="false" outlineLevel="0" collapsed="false">
      <c r="AN18" s="181" t="str">
        <f aca="false">IF(Cadastro!$B$20="","",Cadastro!$B$20)</f>
        <v/>
      </c>
    </row>
    <row r="19" customFormat="false" ht="15" hidden="false" customHeight="false" outlineLevel="0" collapsed="false">
      <c r="AN19" s="181" t="str">
        <f aca="false">IF(Cadastro!$B$21="","",Cadastro!$B$21)</f>
        <v/>
      </c>
    </row>
    <row r="20" customFormat="false" ht="15" hidden="false" customHeight="false" outlineLevel="0" collapsed="false">
      <c r="AN20" s="181" t="str">
        <f aca="false">IF(Cadastro!$B$22="","",Cadastro!$B$22)</f>
        <v/>
      </c>
    </row>
    <row r="21" customFormat="false" ht="15" hidden="false" customHeight="false" outlineLevel="0" collapsed="false">
      <c r="AN21" s="181" t="str">
        <f aca="false">IF(Cadastro!$B$23="","",Cadastro!$B$23)</f>
        <v/>
      </c>
    </row>
    <row r="22" customFormat="false" ht="15" hidden="false" customHeight="false" outlineLevel="0" collapsed="false">
      <c r="AN22" s="181" t="str">
        <f aca="false">IF(Cadastro!$B$24="","",Cadastro!$B$24)</f>
        <v/>
      </c>
    </row>
    <row r="23" customFormat="false" ht="15" hidden="false" customHeight="false" outlineLevel="0" collapsed="false">
      <c r="AN23" s="181" t="str">
        <f aca="false">IF(Cadastro!$B$25="","",Cadastro!$B$25)</f>
        <v/>
      </c>
    </row>
    <row r="24" customFormat="false" ht="15" hidden="false" customHeight="false" outlineLevel="0" collapsed="false">
      <c r="AN24" s="181" t="str">
        <f aca="false">IF(Cadastro!$B$26="","",Cadastro!$B$26)</f>
        <v/>
      </c>
    </row>
    <row r="25" customFormat="false" ht="15" hidden="false" customHeight="false" outlineLevel="0" collapsed="false">
      <c r="AN25" s="181" t="str">
        <f aca="false">IF(Cadastro!$B$27="","",Cadastro!$B$27)</f>
        <v/>
      </c>
    </row>
    <row r="26" customFormat="false" ht="15" hidden="false" customHeight="false" outlineLevel="0" collapsed="false">
      <c r="AN26" s="181" t="str">
        <f aca="false">IF(Cadastro!$B$28="","",Cadastro!$B$28)</f>
        <v/>
      </c>
    </row>
    <row r="27" customFormat="false" ht="15" hidden="false" customHeight="false" outlineLevel="0" collapsed="false">
      <c r="AN27" s="181" t="str">
        <f aca="false">IF(Cadastro!$B$29="","",Cadastro!$B$29)</f>
        <v/>
      </c>
    </row>
    <row r="28" customFormat="false" ht="15" hidden="false" customHeight="false" outlineLevel="0" collapsed="false">
      <c r="AN28" s="181" t="str">
        <f aca="false">IF(Cadastro!$B$30="","",Cadastro!$B$30)</f>
        <v/>
      </c>
    </row>
    <row r="29" customFormat="false" ht="15" hidden="false" customHeight="false" outlineLevel="0" collapsed="false">
      <c r="AN29" s="181" t="str">
        <f aca="false">IF(Cadastro!$B$31="","",Cadastro!$B$31)</f>
        <v/>
      </c>
    </row>
    <row r="30" customFormat="false" ht="15" hidden="false" customHeight="false" outlineLevel="0" collapsed="false">
      <c r="AN30" s="181" t="str">
        <f aca="false">IF(Cadastro!$B$32="","",Cadastro!$B$32)</f>
        <v/>
      </c>
    </row>
    <row r="31" customFormat="false" ht="15" hidden="false" customHeight="false" outlineLevel="0" collapsed="false">
      <c r="AN31" s="181" t="str">
        <f aca="false">IF(Cadastro!$B$33="","",Cadastro!$B$33)</f>
        <v/>
      </c>
    </row>
    <row r="32" customFormat="false" ht="15" hidden="false" customHeight="false" outlineLevel="0" collapsed="false">
      <c r="AN32" s="181" t="str">
        <f aca="false">IF(Cadastro!$B$34="","",Cadastro!$B$34)</f>
        <v/>
      </c>
    </row>
    <row r="33" customFormat="false" ht="15" hidden="false" customHeight="false" outlineLevel="0" collapsed="false">
      <c r="AN33" s="181" t="str">
        <f aca="false">IF(Cadastro!$B$35="","",Cadastro!$B$35)</f>
        <v/>
      </c>
    </row>
    <row r="34" customFormat="false" ht="15" hidden="false" customHeight="false" outlineLevel="0" collapsed="false">
      <c r="AN34" s="181" t="str">
        <f aca="false">IF(Cadastro!$B$36="","",Cadastro!$B$36)</f>
        <v/>
      </c>
    </row>
    <row r="35" customFormat="false" ht="15" hidden="false" customHeight="false" outlineLevel="0" collapsed="false">
      <c r="AN35" s="181" t="str">
        <f aca="false">IF(Cadastro!$B$37="","",Cadastro!$B$37)</f>
        <v/>
      </c>
    </row>
    <row r="36" customFormat="false" ht="15" hidden="false" customHeight="false" outlineLevel="0" collapsed="false">
      <c r="AN36" s="181" t="str">
        <f aca="false">IF(Cadastro!$B$38="","",Cadastro!$B$38)</f>
        <v/>
      </c>
    </row>
    <row r="37" customFormat="false" ht="15" hidden="false" customHeight="false" outlineLevel="0" collapsed="false">
      <c r="AN37" s="181" t="str">
        <f aca="false">IF(Cadastro!$B$39="","",Cadastro!$B$39)</f>
        <v/>
      </c>
    </row>
    <row r="38" customFormat="false" ht="15" hidden="false" customHeight="false" outlineLevel="0" collapsed="false">
      <c r="AN38" s="181" t="str">
        <f aca="false">IF(Cadastro!$B$40="","",Cadastro!$B$40)</f>
        <v/>
      </c>
    </row>
    <row r="39" customFormat="false" ht="15" hidden="false" customHeight="false" outlineLevel="0" collapsed="false">
      <c r="AN39" s="181" t="str">
        <f aca="false">IF(Cadastro!$B$41="","",Cadastro!$B$41)</f>
        <v/>
      </c>
    </row>
    <row r="40" customFormat="false" ht="15" hidden="false" customHeight="false" outlineLevel="0" collapsed="false">
      <c r="AN40" s="181" t="str">
        <f aca="false">IF(Cadastro!$B$42="","",Cadastro!$B$42)</f>
        <v/>
      </c>
    </row>
    <row r="41" customFormat="false" ht="15" hidden="false" customHeight="false" outlineLevel="0" collapsed="false">
      <c r="AN41" s="181" t="str">
        <f aca="false">IF(Cadastro!$B$43="","",Cadastro!$B$43)</f>
        <v/>
      </c>
    </row>
    <row r="42" customFormat="false" ht="15" hidden="false" customHeight="false" outlineLevel="0" collapsed="false">
      <c r="AN42" s="181" t="str">
        <f aca="false">IF(Cadastro!$B$44="","",Cadastro!$B$44)</f>
        <v/>
      </c>
    </row>
    <row r="43" customFormat="false" ht="15" hidden="false" customHeight="false" outlineLevel="0" collapsed="false">
      <c r="AN43" s="181" t="str">
        <f aca="false">IF(Cadastro!$B$45="","",Cadastro!$B$45)</f>
        <v/>
      </c>
    </row>
    <row r="44" customFormat="false" ht="15" hidden="false" customHeight="false" outlineLevel="0" collapsed="false">
      <c r="AN44" s="181" t="str">
        <f aca="false">IF(Cadastro!$B$46="","",Cadastro!$B$46)</f>
        <v/>
      </c>
    </row>
    <row r="45" customFormat="false" ht="15" hidden="false" customHeight="false" outlineLevel="0" collapsed="false">
      <c r="AN45" s="181" t="str">
        <f aca="false">IF(Cadastro!$B$47="","",Cadastro!$B$47)</f>
        <v/>
      </c>
    </row>
  </sheetData>
  <mergeCells count="2">
    <mergeCell ref="A1:AP1"/>
    <mergeCell ref="A2:A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2026-09-03T18:07:50Z</dcterms:created>
  <dc:creator>openpyxl</dc:creator>
  <dc:description/>
  <dc:language>en-US</dc:language>
  <cp:lastModifiedBy/>
  <dcterms:modified xsi:type="dcterms:W3CDTF">2026-09-03T18:08:13Z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